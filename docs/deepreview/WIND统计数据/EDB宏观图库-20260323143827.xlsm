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qcui\SVN\WindRes\Management\API\QntProduct\PT\yqcui\Excel插件模板库项目\模板研究\20231229 Excel模板EDB图库\历史版本\"/>
    </mc:Choice>
  </mc:AlternateContent>
  <bookViews>
    <workbookView xWindow="18930" yWindow="90" windowWidth="19350" windowHeight="11445" tabRatio="495"/>
  </bookViews>
  <sheets>
    <sheet name="目录" sheetId="6" r:id="rId1"/>
    <sheet name="1" sheetId="4" r:id="rId2"/>
    <sheet name="2" sheetId="7" r:id="rId3"/>
    <sheet name="3" sheetId="8" r:id="rId4"/>
    <sheet name="4" sheetId="10" r:id="rId5"/>
    <sheet name="5" sheetId="11" r:id="rId6"/>
    <sheet name="6" sheetId="13" r:id="rId7"/>
    <sheet name="Wind模板" sheetId="12" state="hidden" r:id="rId8"/>
  </sheets>
  <externalReferences>
    <externalReference r:id="rId9"/>
  </externalReferences>
  <definedNames>
    <definedName name="TB1AB" localSheetId="1">OFFSET('1'!$B$39,'1'!$C$11-'1'!$F$9+1,0,'1'!$F$9,1)</definedName>
    <definedName name="TB1AC" localSheetId="1">OFFSET('1'!$C$39,'1'!$C$11-'1'!$F$9+1,0,'1'!$F$9,1)</definedName>
    <definedName name="TB1AD" localSheetId="1">OFFSET('1'!$D$39,'1'!$C$11-'1'!$F$9+1,0,'1'!$F$9,1)</definedName>
    <definedName name="TB1AE" localSheetId="1">OFFSET('1'!$E$39,'1'!$C$11-'1'!$F$9+1,0,'1'!$F$9,1)</definedName>
    <definedName name="TB1AF" localSheetId="1">OFFSET('1'!$F$39,'1'!$C$11-'1'!$F$9+1,0,'1'!$F$9,1)</definedName>
    <definedName name="TB1AG" localSheetId="1">OFFSET('1'!$G$39,'1'!$C$11-'1'!$F$9+1,0,'1'!$F$9,1)</definedName>
    <definedName name="TB1BI" localSheetId="1">OFFSET('1'!$I$39,'1'!$J$11-'1'!$M$9+1,0,'1'!$M$9,1)</definedName>
    <definedName name="TB1BJ" localSheetId="1">OFFSET('1'!$J$39,'1'!$J$11-'1'!$M$9+1,0,'1'!$M$9,1)</definedName>
    <definedName name="TB1BK" localSheetId="1">OFFSET('1'!$K$39,'1'!$J$11-'1'!$M$9+1,0,'1'!$M$9,1)</definedName>
    <definedName name="TB1BL" localSheetId="1">OFFSET('1'!$L$39,'1'!$J$11-'1'!$M$9+1,0,'1'!$M$9,1)</definedName>
    <definedName name="TB1BM" localSheetId="1">OFFSET('1'!$M$39,'1'!$J$11-'1'!$M$9+1,0,'1'!$M$9,1)</definedName>
    <definedName name="TB2AB" localSheetId="2">OFFSET('2'!$B$39,'2'!$C$11-'2'!$F$9+1,0,'2'!$F$9,1)</definedName>
    <definedName name="TB2AC" localSheetId="2">OFFSET('2'!$C$39,'2'!$C$11-'2'!$F$9+1,0,'2'!$F$9,1)</definedName>
    <definedName name="TB2AD" localSheetId="2">OFFSET('2'!$D$39,'2'!$C$11-'2'!$F$9+1,0,'2'!$F$9,1)</definedName>
    <definedName name="TB2AE" localSheetId="2">OFFSET('2'!$E$39,'2'!$C$11-'2'!$F$9+1,0,'2'!$F$9,1)</definedName>
    <definedName name="TB2AF" localSheetId="2">OFFSET('2'!$F$39,'2'!$C$11-'2'!$F$9+1,0,'2'!$F$9,1)</definedName>
    <definedName name="TB2BI" localSheetId="2">OFFSET('2'!$I$39,'2'!$J$11-'2'!$M$9+1,0,'2'!$M$9,1)</definedName>
    <definedName name="TB2BJ" localSheetId="2">OFFSET('2'!$J$39,'2'!$J$11-'2'!$M$9+1,0,'2'!$M$9,1)</definedName>
    <definedName name="TB2BK" localSheetId="2">OFFSET('2'!$K$39,'2'!$J$11-'2'!$M$9+1,0,'2'!$M$9,1)</definedName>
    <definedName name="TB2BL" localSheetId="2">OFFSET('2'!$L$39,'2'!$J$11-'2'!$M$9+1,0,'2'!$M$9,1)</definedName>
    <definedName name="TB2BM" localSheetId="2">OFFSET('2'!$M$39,'2'!$J$11-'2'!$M$9+1,0,'2'!$M$9,1)</definedName>
    <definedName name="TB3AB" localSheetId="3">OFFSET('3'!$B$39,'3'!$C$11-'3'!$F$9+1,0,'3'!$F$9,1)</definedName>
    <definedName name="TB3AC" localSheetId="3">OFFSET('3'!$C$39,'3'!$C$11-'3'!$F$9+1,0,'3'!$F$9,1)</definedName>
    <definedName name="TB3AD" localSheetId="3">OFFSET('3'!$D$39,'3'!$C$11-'3'!$F$9+1,0,'3'!$F$9,1)</definedName>
    <definedName name="TB3AE" localSheetId="3">OFFSET('3'!$E$39,'3'!$C$11-'3'!$F$9+1,0,'3'!$F$9,1)</definedName>
    <definedName name="TB3AF" localSheetId="3">OFFSET('3'!$F$39,'3'!$C$11-'3'!$F$9+1,0,'3'!$F$9,1)</definedName>
    <definedName name="TB3AG" localSheetId="3">OFFSET('3'!$G$39,'3'!$C$11-'3'!$F$9+1,0,'3'!$F$9,1)</definedName>
    <definedName name="TB3BI" localSheetId="3">OFFSET('3'!$I$39,'3'!$J$11-'3'!$M$9+1,0,'3'!$M$9,1)</definedName>
    <definedName name="TB3BJ" localSheetId="3">OFFSET('3'!$J$39,'3'!$J$11-'3'!$M$9+1,0,'3'!$M$9,1)</definedName>
    <definedName name="TB3BK" localSheetId="3">OFFSET('3'!$K$39,'3'!$J$11-'3'!$M$9+1,0,'3'!$M$9,1)</definedName>
    <definedName name="TB3BL" localSheetId="3">OFFSET('3'!$L$39,'3'!$J$11-'3'!$M$9+1,0,'3'!$M$9,1)</definedName>
    <definedName name="TB3BM" localSheetId="3">OFFSET('3'!$M$39,'3'!$J$11-'3'!$M$9+1,0,'3'!$M$9,1)</definedName>
    <definedName name="TB3BN" localSheetId="3">OFFSET('3'!$N$39,'3'!$J$11-'3'!$M$9+1,0,'3'!$M$9,1)</definedName>
    <definedName name="TB4AB" localSheetId="4">OFFSET('4'!$B$39,'4'!$C$11-'4'!$F$9+1,0,'4'!$F$9,1)</definedName>
    <definedName name="TB4AC" localSheetId="4">OFFSET('4'!$C$39,'4'!$C$11-'4'!$F$9+1,0,'4'!$F$9,1)</definedName>
    <definedName name="TB4AD" localSheetId="4">OFFSET('4'!$D$39,'4'!$C$11-'4'!$F$9+1,0,'4'!$F$9,1)</definedName>
    <definedName name="TB4AE" localSheetId="4">OFFSET('4'!$E$39,'4'!$C$11-'4'!$F$9+1,0,'4'!$F$9,1)</definedName>
    <definedName name="TB4AF" localSheetId="4">OFFSET('4'!$F$39,'4'!$C$11-'4'!$F$9+1,0,'4'!$F$9,1)</definedName>
    <definedName name="TB4BI" localSheetId="4">OFFSET('4'!$I$39,'4'!$J$11-'4'!$M$9+1,0,'4'!$M$9,1)</definedName>
    <definedName name="TB4BJ" localSheetId="4">OFFSET('4'!$J$39,'4'!$J$11-'4'!$M$9+1,0,'4'!$M$9,1)</definedName>
    <definedName name="TB4BK" localSheetId="4">OFFSET('4'!$K$39,'4'!$J$11-'4'!$M$9+1,0,'4'!$M$9,1)</definedName>
    <definedName name="TB4BL" localSheetId="4">OFFSET('4'!$L$39,'4'!$J$11-'4'!$M$9+1,0,'4'!$M$9,1)</definedName>
    <definedName name="TB4BM" localSheetId="4">OFFSET('4'!$M$39,'4'!$J$11-'4'!$M$9+1,0,'4'!$M$9,1)</definedName>
    <definedName name="TB5AB" localSheetId="5">OFFSET('5'!$B$39,'5'!$C$11-'5'!$F$9+1,0,'5'!$F$9,1)</definedName>
    <definedName name="TB5AC" localSheetId="5">OFFSET('5'!$C$39,'5'!$C$11-'5'!$F$9+1,0,'5'!$F$9,1)</definedName>
    <definedName name="TB5AD" localSheetId="5">OFFSET('5'!$D$39,'5'!$C$11-'5'!$F$9+1,0,'5'!$F$9,1)</definedName>
    <definedName name="TB5AE" localSheetId="5">OFFSET('5'!$E$39,'5'!$C$11-'5'!$F$9+1,0,'5'!$F$9,1)</definedName>
    <definedName name="TB5BI" localSheetId="5">OFFSET('5'!$I$39,'5'!$J$11-'5'!$M$9+1,0,'5'!$M$9,1)</definedName>
    <definedName name="TB5BJ" localSheetId="5">OFFSET('5'!$J$39,'5'!$J$11-'5'!$M$9+1,0,'5'!$M$9,1)</definedName>
    <definedName name="TB5BK" localSheetId="5">OFFSET('5'!$K$39,'5'!$J$11-'5'!$M$9+1,0,'5'!$M$9,1)</definedName>
    <definedName name="TB5BL" localSheetId="5">OFFSET('5'!$L$39,'5'!$J$11-'5'!$M$9+1,0,'5'!$M$9,1)</definedName>
    <definedName name="TB6AB" localSheetId="6">OFFSET('6'!$B$39,'6'!$C$11-'6'!$F$9+1,0,'6'!$F$9,1)</definedName>
    <definedName name="TB6AC" localSheetId="6">OFFSET('6'!$C$39,'6'!$C$11-'6'!$F$9+1,0,'6'!$F$9,1)</definedName>
    <definedName name="TB6AD" localSheetId="6">OFFSET('6'!$D$39,'6'!$C$11-'6'!$F$9+1,0,'6'!$F$9,1)</definedName>
    <definedName name="TB6AE" localSheetId="6">OFFSET('6'!$E$39,'6'!$C$11-'6'!$F$9+1,0,'6'!$F$9,1)</definedName>
    <definedName name="TB6BI" localSheetId="6">OFFSET('6'!$I$39,'6'!$J$11-'6'!$M$9+1,0,'6'!$M$9,1)</definedName>
    <definedName name="TB6BJ" localSheetId="6">OFFSET('6'!$J$39,'6'!$J$11-'6'!$M$9+1,0,'6'!$M$9,1)</definedName>
    <definedName name="TB6BK" localSheetId="6">OFFSET('6'!$K$39,'6'!$J$11-'6'!$M$9+1,0,'6'!$M$9,1)</definedName>
    <definedName name="TB6BL" localSheetId="6">OFFSET('6'!$L$39,'6'!$J$11-'6'!$M$9+1,0,'6'!$M$9,1)</definedName>
  </definedNames>
  <calcPr calcId="162913"/>
</workbook>
</file>

<file path=xl/calcChain.xml><?xml version="1.0" encoding="utf-8"?>
<calcChain xmlns="http://schemas.openxmlformats.org/spreadsheetml/2006/main">
  <c r="G7" i="13" l="1"/>
  <c r="I38" i="11"/>
  <c r="B38" i="11"/>
  <c r="I38" i="10"/>
  <c r="B38" i="10"/>
  <c r="I38" i="8"/>
  <c r="B38" i="8"/>
  <c r="I38" i="7"/>
  <c r="B38" i="7"/>
  <c r="I38" i="4"/>
  <c r="B38" i="4"/>
  <c r="J9" i="13" l="1"/>
  <c r="C9" i="13"/>
  <c r="N7" i="13"/>
  <c r="I38" i="13"/>
  <c r="B38" i="13"/>
  <c r="C10" i="13" l="1"/>
  <c r="C11" i="13" s="1"/>
  <c r="C7" i="13"/>
  <c r="J7" i="13"/>
  <c r="J10" i="13"/>
  <c r="J11" i="13" s="1"/>
  <c r="N7" i="11"/>
  <c r="J9" i="4"/>
  <c r="C9" i="4"/>
  <c r="J9" i="10"/>
  <c r="C9" i="10"/>
  <c r="J9" i="8"/>
  <c r="C9" i="8"/>
  <c r="J9" i="7"/>
  <c r="C9" i="7"/>
  <c r="J10" i="11" l="1"/>
  <c r="J9" i="11"/>
  <c r="C10" i="4" l="1"/>
  <c r="C10" i="8"/>
  <c r="J10" i="8"/>
  <c r="J10" i="7"/>
  <c r="C10" i="10"/>
  <c r="J10" i="4"/>
  <c r="C10" i="11"/>
  <c r="C10" i="7"/>
  <c r="J10" i="10"/>
  <c r="G7" i="7"/>
  <c r="C9" i="11"/>
  <c r="G7" i="11"/>
  <c r="N7" i="10"/>
  <c r="G7" i="10"/>
  <c r="N7" i="8"/>
  <c r="G7" i="8"/>
  <c r="N7" i="7"/>
  <c r="N7" i="4"/>
  <c r="G7" i="4"/>
  <c r="J7" i="11" l="1"/>
  <c r="J11" i="11"/>
  <c r="C7" i="11"/>
  <c r="C11" i="11"/>
  <c r="J11" i="10"/>
  <c r="J7" i="10"/>
  <c r="C7" i="10"/>
  <c r="C11" i="10"/>
  <c r="J7" i="8"/>
  <c r="J11" i="8"/>
  <c r="C11" i="8"/>
  <c r="C7" i="8"/>
  <c r="J11" i="7"/>
  <c r="J7" i="7"/>
  <c r="C7" i="7"/>
  <c r="C11" i="7"/>
  <c r="J11" i="4"/>
  <c r="J7" i="4"/>
  <c r="C7" i="4"/>
  <c r="C11" i="4"/>
</calcChain>
</file>

<file path=xl/comments1.xml><?xml version="1.0" encoding="utf-8"?>
<comments xmlns="http://schemas.openxmlformats.org/spreadsheetml/2006/main">
  <authors>
    <author>hwang</author>
    <author>Qhu</author>
  </authors>
  <commentList>
    <comment ref="B38" authorId="0" shapeId="0">
      <text>
        <r>
          <rPr>
            <b/>
            <sz val="10"/>
            <color indexed="81"/>
            <rFont val="Tahoma"/>
            <family val="2"/>
          </rPr>
          <t>UEsDBBQAAAAIAAZJkUCOgYxgWAMAAL4ZAAAKAAAAemlwcGVkZmlsZXN1cWJgYWBgYGdlAIOIY5e0TotEuM7hkNyz68/aJAY08B8IgBSju0uA1YHbe46dXbPxhMb+kxtP7Lmtia4WH1h7kwuFvw6Nvx6NvwGNvxGNvwmNvxmNvwWNvxXOP1KE5rSdv47cOvlr06/rd65t1dizjyRv0RIw+hoAgamJIQ55l+aiWazXLuz8hceMnb/2XDq7ec+xfdeIt1eVWIVMjAj2SbTwPoXGP43GP4PGP4vGP4fGP4/Gv4DGv4jGv4TGvwzlf/G9ftzJDcR6oLvV46evxwkIzyGHYRSMAnSwLmXSwkUWvxz7sxxbXf8msaHLIxePWzfu2UdW8WhmaGlqxsDwMP64AIirBcTRRgaGBrqGhrqG5gqGZlZGBlamZrGuZal5JcHJiXkhmbmpVkBxIwOQPskE3PoMseszBOkLxKaP4VkEI6rrBnPxaGxpbGqCQ37gi0cGBlh4m4PCe2Ei7niywB5PFiB9N/Hos8SuD5yeBJNw6jPGnp6MwenJE6pPE0Uf8QE0CkYMCE84k+WbcMNt53fmP61yzbPR5VGKx1uXdm/6dWkryc1IUPIzMlEwNLQyNLEyMIj1CAkJsNLXNzQ00bMw0DMyNNIzt9QP9/Rz8XMN0Q8K9fP0dXR31U8tSdYPjgwOcfUFyrhGePq5+etF+ProJVUZKdjaKThbxYC0gAk9oEY9Zx9PV7+QGKg5MSW5BTFYtDMcHWqtRyMc8oOheMQZ8sWVxelFBUbZlnopiSV6TlFGCnp6ei755Xk5+YkpQL0VuZAiagOQPhgBYS9kQCquQOnFyMrQ2MrEkD7phfgAGgUjBizKYMp6LGXh33frSJnywV8YWQ21eNz2j6ziEU9ydnUOBqVjI29LPRfHEJKKPjSt6FkQkuUCyo8LKEZB2FOBOJrh2FArHo1xyA+G4pFg+H9oOC7QGI0U/sjFnwmoujQ0JqH4Qy11SUgthIrr1AriA2gUjBgwMWjPi/l3H3v3XvV+nuGz6x26PGrxeOIvWcUjTYo/FwxrNsYeF/hQfhSMkcVPgsSvwdQfH2rF42DuXKN1Xg1NQJ3Xk3E4O72Gplg7vYamIH2MuAdfgAirPjOQPks8+syx6wMPBhSi6CM+gEbBSACMDIxgEgwgw+yVfnrzGABQSwECFAAUAAAACAAGSZFAjoGMYFgDAAC+GQAACgAAAAAAAAAAACAAAAAAAAAAemlwcGVkZmlsZVBLBQYAAAAAAQABADgAAACAAwAAAAA=</t>
        </r>
      </text>
    </comment>
    <comment ref="I38" authorId="1" shapeId="0">
      <text>
        <r>
          <rPr>
            <b/>
            <sz val="9"/>
            <color indexed="81"/>
            <rFont val="Tahoma"/>
            <family val="2"/>
          </rPr>
          <t>UEsDBBQAAAAIACeWhj2Q9eKnHwIAAB0eAAAKAAAAemlwcGVkZmlsZXN1cWJgYWBgYGVjAAPmsoQVdpdW+nZceyQiu4dlCQMa+A8EIHrTsav/riw5/fjU1ROvrQ7c3nPs2lZ0pUMENE1lZGDY+WvPJWQvaVw5pDnQDgMBRl8DAxMzQzMLIDurQWkey7ULO3/hUQ/yw6b9pNlx6daVVUQpZBpG0a43b6BdMAoGIWhOmS3bcuCVy0qJSy5bJaS/osujF3/Xlm/+NqTzAUMDevEH8tJgK/7MGAZX8Tfko320+BsFWMAJvlX7TnmUuO3rS/SM/aDUjS4PLf4Y3V0CYMl/qOYAKGAEETt/Hbl18temX9fvXNuqsWffoCj6QABU/IGAIZDt4s08j5VA8Qcqxs9u3nNs3zUCBp84ffjjxktgJvHFHyMDUrQPbSA3WvyNAgzAqLFZQrWxtsB7Tveld5FXuHTRO8PMDOACgxFbL2ho5glyO7+BoY5BIa5BPpEaxjqwLqpOnY9jcAgVC0/GYkMGROeXcPF35NaWZwwktv4YRmLnVwxMMkF5zIwD55JRMHgAo8aOGYULZBd5NdYdy96ildWG3hlGL/6Qe0FDMyuQ2/nFUvyZ0aD4M2JAdH4HT/E35Du/KeCSb7T4GwXIgPE2U82ZmW6rvWboeZy3WC7Ph94aVGMAJxqk1t+15ecfbL2mcfnStYeaDHswBgsHPSC39VdsqAssm2je+jMebf3RAqC2/oAROQpGOGAED4MxwnlAwDtdbx4DAFBLAQIUABQAAAAIACeWhj2Q9eKnHwIAAB0eAAAKAAAAAAAAAAAAIAAAAAAAAAB6aXBwZWRmaWxlUEsFBgAAAAABAAEAOAAAAEcCAAAAAA==</t>
        </r>
      </text>
    </comment>
  </commentList>
</comments>
</file>

<file path=xl/comments2.xml><?xml version="1.0" encoding="utf-8"?>
<comments xmlns="http://schemas.openxmlformats.org/spreadsheetml/2006/main">
  <authors>
    <author>Qhu</author>
  </authors>
  <commentList>
    <comment ref="B38" authorId="0" shapeId="0">
      <text>
        <r>
          <rPr>
            <b/>
            <sz val="9"/>
            <color indexed="81"/>
            <rFont val="Tahoma"/>
            <family val="2"/>
          </rPr>
          <t>UEsDBBQAAAAIADihhj0nIKYajgEAAB8UAAAKAAAAemlwcGVkZmlsZXN1cWJgYWBgYAURQHBkHmtg874jPlOWOR95ezjxCgMa+A8EQIpx8/Grn3ae2bbi+qlNv85uu37q7KvNJ7e9szpwe8+xa1vRNQ1qwFcAJLB7R+PKIc2BdRyjrwEQGJkbAdnJzUrzWK5d2PkLj/qdv/ZcOrt5z7F91wgYfOL04Y8bL4GZl25dWUWUY5hwhdMQjHbreQPtglEwCMF2rcNRXxi2uE1Xtd2auuWaPLo8EcXf2TUbT2hcvnTt4QAXHUQC/qFQ/BkzULn4QwKqxCrEX/yBop14Swca6I4Wf6MAE6x/mnc4f4u86+Y/bF8vHrRUQZeHFX97P5y4tfvXzp1WO76ff7fl9/53lx9sezcA7qUc/AdlBJh3II0ikH8GvugDAXDxZ2lpZglkzywgXPyBpEF+uPTjwgW8BpPZ+hs20W4/WvyNAkyQfmPPw5IQBb/p2x3YDk8+ux9dHm/xZzXEGn4QMJ9h0Bd/5gYMVC7+kAAprT/c0U6sIYMEjLb+RgEqYARCBjBmgNG80/XmMQAAUEsBAhQAFAAAAAgAOKGGPScgphqOAQAAHxQAAAoAAAAAAAAAAAAgAAAAAAAAAHppcHBlZGZpbGVQSwUGAAAAAAEAAQA4AAAAtgEAAAAA</t>
        </r>
      </text>
    </comment>
    <comment ref="I38" authorId="0" shapeId="0">
      <text>
        <r>
          <rPr>
            <b/>
            <sz val="9"/>
            <color indexed="81"/>
            <rFont val="Tahoma"/>
            <family val="2"/>
          </rPr>
          <t>UEsDBBQAAAAIAEBM7D6LNz2BTQEAAJ8UAAAKAAAAemlwcGVkZmlsZXN1cWJgYWBgYAcRQFCt63JMs6jQZauL/1oe3bUzGdDAfyAAUozOAZ5WWzdeOXR2zcYTGpcvXXuoia5yqACjYjQBFK9dOTRoPMboawAEZoZGOOSzGkTms1y7sPMXHjN2/tpz6ezmPcf2XSPeXlViFTKhhh3xNgxCIDt/oF0wCgYhYFx6PnRW6Vf/DfHLVxy6d/42ujyseNz8bf+tvR+2vRv6mYENvXjc+wPkucObL10fTIUjvHg0MMch39NOuHjctXjnjet3Tn0gxV5SisdhkyzkR4vHUYAJnKeVBE9MtnLa4b8jzDHktC66PKx43PtjmOQDBo6hVjxa4pAfDMXjsEkWo8XjKMACJvY/3N963cK/i9mSyynWdSq6PKx4BJUepzdvGvr5gIFriBWPhoY45H92DHzxOGyShdxo8TgKUAAjEDKAMQOM5p2uN48BAFBLAQIUABQAAAAIAEBM7D6LNz2BTQEAAJ8UAAAKAAAAAAAAAAAAIAAAAAAAAAB6aXBwZWRmaWxlUEsFBgAAAAABAAEAOAAAAHUBAAAAAA==</t>
        </r>
      </text>
    </comment>
  </commentList>
</comments>
</file>

<file path=xl/comments3.xml><?xml version="1.0" encoding="utf-8"?>
<comments xmlns="http://schemas.openxmlformats.org/spreadsheetml/2006/main">
  <authors>
    <author>Qhu</author>
  </authors>
  <commentList>
    <comment ref="B38" authorId="0" shapeId="0">
      <text>
        <r>
          <rPr>
            <b/>
            <sz val="9"/>
            <color indexed="81"/>
            <rFont val="Tahoma"/>
            <family val="2"/>
          </rPr>
          <t>UEsDBBQAAAAIAIdchz25RxU2nQEAAB4ZAAAKAAAAemlwcGVkZmlsZXN1cWJgYWBgYGVlAINqXZdjmkWFLltd/Nfy6K6dyYAG/gMBkGJ0DvC02rrxyqGzazaeYLh86dpDTXSVQwUYFQMJZO9oXDk0aDzD6GsABGaGRkB2VoPSPJZrF3b+wqN+5689l85u3nNs3zXi7VAlViETajgRb8MgBLrzBtoFo2AQAqvnTWEWBRc8+gR3T/B8vTMSXR5W/AUA88GJ1Zv271xyaeux7UM5S8wsBRIg72zYsuXzgQfbrw264s/QyMgcyObuGvjib9hEu95o8TcKMMEq1RdOa3mMXDYsk95QLWyhjC6PXPyd/LXp1/VTB88P4VwABLOGQvFnwTB4ir9hEe2jrb9RgAXwz/ngKVhX6r+gfZHb8ihXG3R51OJv97shnw8Y5g2B4s8Y1PkdPMXfMIj20dbfKMAEjI1vpIx9clz9pqe0LQs0vrgYfSxQDaQIMvZ3+TUwM+z5snXbpncaQ3j0j9yxP9ionC5S/5TqgLHYkAE29kdM8Xfk1pZnDCQWf0SD4TT2J4bCo2UUjoKhARhB5RoYM8Bo3unAWhIAUEsBAhQAFAAAAAgAh1yHPblHFTadAQAAHhkAAAoAAAAAAAAAAAAgAAAAAAAAAHppcHBlZGZpbGVQSwUGAAAAAAEAAQA4AAAAxQEAAAAA</t>
        </r>
      </text>
    </comment>
    <comment ref="I38" authorId="0" shapeId="0">
      <text>
        <r>
          <rPr>
            <b/>
            <sz val="9"/>
            <color indexed="81"/>
            <rFont val="Tahoma"/>
            <family val="2"/>
          </rPr>
          <t>UEsDBBQAAAAIADOThj3xmbUDCAIAABwjAAAKAAAAemlwcGVkZmlsZXN1cWJgYWBgYGVnAIMFJiJ3BOouuG2Y1M4ytdVHjgEN/AcCIMXoa4AuM1RBUjmQ2P1146WdKy8vO7hf48ohzYF2EgIAw9nAwNDYAhTaMwuU5rFcu7DzFx71IOkTpw9/vPTjwgW8BoMUbbwEZl66dWUVUY5hYmAYNtFuM2+gXTAKBiE4yxMzw/nmIv9+0eurXsUxXkSXhxd/hgPgOJqAlKFQ/BkB2dOqBkHxN1yifbT4GwVYQEhjvPCkt9LODS9nShVVmvagy8OLP6MBcBxNQNpQKP5MGAZJ8Tdcon20+BsFWED11lDLjA8P/ObM35R9KZfzJbo8tPgDNgOszq7ZeIL+DqQ6SB0KxZ8xkM1cQ8XiDwmoEquQaRhFu+5o8TcKMIHgNJ9fOz61OS7t9ee/6nEqBl0eXvwZDZN8wJA+FIo/U4ZBUvwNl2gfLf5GASZg/H+trPlC2XSXlTyc51f/ZBZGbw2qgRSBx/50oVlB4/Klaw8HUYlBKiC39Qdrl+kilVBUB4zFhgyktP6O3NryjIHE4o9oMJxafxvUkHm0jMJRMIRAta7LMc2iQpetLv5reXTXzkSXh439OQd4Wm3deOXQ0C8AjYqBBIp3BlH7D9z6MzAzBA25ZTUQLv52/tpz6ezmPcf2XSPeDlJaf8jhRLwNgxCMtv5GASpgBDXrwJgBRvNO15vHAABQSwECFAAUAAAACAAzk4Y98Zm1AwgCAAAcIwAACgAAAAAAAAAAACAAAAAAAAAAemlwcGVkZmlsZVBLBQYAAAAAAQABADgAAAAwAgAAAAA=</t>
        </r>
      </text>
    </comment>
  </commentList>
</comments>
</file>

<file path=xl/comments4.xml><?xml version="1.0" encoding="utf-8"?>
<comments xmlns="http://schemas.openxmlformats.org/spreadsheetml/2006/main">
  <authors>
    <author>Qhu</author>
  </authors>
  <commentList>
    <comment ref="B38" authorId="0" shapeId="0">
      <text>
        <r>
          <rPr>
            <b/>
            <sz val="9"/>
            <color indexed="81"/>
            <rFont val="Tahoma"/>
            <family val="2"/>
          </rPr>
          <t>UEsDBBQAAAAIAOihhj3NwRACXgIAAB0eAAAKAAAAemlwcGVkZmlsZXN1cWJgYWBgYGVjAANRd5egZaXPnSZs37LAbDuzJgMa+A8EIHrnrz2Xzj7a/XjLoo070NUMLeA/H0jsPrb3w66zMA9pXDmE4fGBAYy+BgaGBgYmlkD2Mg/meSzXLuz8hUc9SPrE6cMfL/24cAGvwYcPXFkFZV66hcTBB5iGUbQLzBtoF4yCwQcYJ5nYiFx3KPddVX7ka8wcob/frJz7J3lauO7/XKQ8Y3HWRDUGcDZAyQdXvu25bLXnK8P6gXY9WYDc4q/YUBdYNhkYmBkaMEDLKB0DHUMgNqBe2clYbMQAK/562gkXf0dubXnGQGLxRzQYTsUfKoBH5CgY0YARvbhDbw1yghQBEXrxx7Dxye6RVfy5eLq5uQa5+jm7avjSsPgzhBd/m1poVPyNxNYfGmAcaAeMgkEBXuoyft8ss91/3ePeMzN/rwtGl4d2fhkPb750/fTmTe8Ytm68cuja1gFwKbUAZzGQ2Ptj87f9t0CeGjwdXxBgRGqX9LQrESz+di3eeeP6nVMfCBpMZucXFu1WQz3a388daBeMgkEInqdLTazr2eyxNf90zIWJFtfQ5WHF36mte04d+H358NlH10/t/bBtCBeDc0CjQGcfnTxzbePey2e3XT81mApAcPFnaWEOKv5mTSJc/J08c+7jpv1EGExO8cfCwIAe7UO2GBQdHfsbBRiA0W7abOvyznduvS18X59lBXujjwWCxv6YgepOnDi+bueB048ZEGN/oOG/IQjIHvsz0oWXTTTs/BrDO7+zJo2O/dEIIFUyo2CEAkbwCAgjnAcEvNP15jEAAFBLAQIUABQAAAAIAOihhj3NwRACXgIAAB0eAAAKAAAAAAAAAAAAIAAAAAAAAAB6aXBwZWRmaWxlUEsFBgAAAAABAAEAOAAAAIYCAAAAAA==</t>
        </r>
      </text>
    </comment>
    <comment ref="I38" authorId="0" shapeId="0">
      <text>
        <r>
          <rPr>
            <b/>
            <sz val="9"/>
            <color indexed="81"/>
            <rFont val="Tahoma"/>
            <family val="2"/>
          </rPr>
          <t>UEsDBBQAAAAIAHOjhj1nfR0qcwMAABotAAAKAAAAemlwcGVkZmlsZXN1cWJgYWBgYOVkAAOJes+SLdKP3Nq1274UWVroM6CB/0AAovd+OHFr96+dO63OPtr9+Oqe/e8uP9j2Dl3xkAD7chgR3jlx+vDHjZe2/N7/TuPKIc2BdhoDA6OvgYGJsYmRAZCd18Q8j+XahZ2/8KgHSYP8cOnHhQvE2nHp1pVVRClkGkbRLjBvoF0wCgYfYMwR13aZ4jPZb2Vy+8xVh+r70YtDDQZwNsCeDxavOHzgyqrFKwfaFyQBcos/WMGkX2xKO8cxFhsaMECLP6F2wsXfkVtbnjGQWPwRDYZT8XdkKjKPllE4CoYQeMzxxsRrIYfbdJMWtglHf/xGl4e1/q5d2PNkz20rUHG37RKk0KC/Y6kCToEIiA92Pz50SuPE1UHQ6oMBUOvPwMDQApQ9Bdsl5zFSq/VHTpSxDKNolxht/Y0CDMAoFr92WWetmGP/PD6Bb/WBdujFIaijDGwtYcsHVlcODbTzyQHkFn++/n4hHj6RGrACSqfOMcw1yNHdlZqlJyOwXQIr/qja+iOn6GIaRsUfKmBkHGgXjILBABgNtiVJZ3rbes7esUuOg49tWvS0uOkJJdv8FnBcWbRvlt1qNQZwK4DhwqEr32AdIKvgUKeQIEfnEAYGSOfXysXTzc01yNXP2XWgPUQYkNv5LTY01AUVfZYW5gYMBjpIfWEdAx1DIDagQjkI7PwawTq/syaNdn5pBODxOApGNGBEL+7QxwJBMyTMQHXIxR8DfNhvJBV/CD9qFBvSsPgzhBV/BqNjfzQDo62/UQACOzTPZzRNjnBcOLc9SPZSszC6PHTsj/Hw5kvXT2/e9I5h68Yrh65tHQCXUgtwFgOJvT82f9t/C+SpwTHjCwOQsT8zQ1Dx10NE8bdr8c4b1++c+kDQYHBlBQGXbiFx8AFg8QeLdquhHu2jM7+jAAvILry3dfMCA99Z/X/fiq1c2IUuDyv+Tm3dc+rA78uHzz66fmrvh21DuBicA8oIZx+dPHNt497LZ7ddPzWYCkBGpG4ZMZ3fk2fOfdy0nwiDySn+WBgY0KN9yBaDoqPF3yjAAIxse5t/nV3F7tvGnPozujuyGn0sEDT2xwpUd+LE8XU7D5x+zPB48UoG2NgfYhBwBHR+iw2NdOFtMxp2fo1Hx/5oDpDa2KNghAJG8AgII5wHBLzT9eYxAABQSwECFAAUAAAACABzo4Y9Z30dKnMDAAAaLQAACgAAAAAAAAAAACAAAAAAAAAAemlwcGVkZmlsZVBLBQYAAAAAAQABADgAAACbAwAAAAA=</t>
        </r>
      </text>
    </comment>
  </commentList>
</comments>
</file>

<file path=xl/comments5.xml><?xml version="1.0" encoding="utf-8"?>
<comments xmlns="http://schemas.openxmlformats.org/spreadsheetml/2006/main">
  <authors>
    <author>Qhu</author>
  </authors>
  <commentList>
    <comment ref="B38" authorId="0" shapeId="0">
      <text>
        <r>
          <rPr>
            <b/>
            <sz val="9"/>
            <color indexed="81"/>
            <rFont val="Tahoma"/>
            <family val="2"/>
          </rPr>
          <t>UEsDBBQAAAAIAOhGhz3ivWYyCgEAACAPAAAKAAAAemlwcGVkZmlsZXN1cWJgYWBgYGVmAAP/CSsM29UeO6++GTxn5f4PHgxo4D8QACnGnav3rzp1YfPCTTevf7fa/XXjpbPbth9FVzwkQKwqKwPDxdcXLhzbuO/u9kUXLmicuKo50I6CAUZfAwMzQzNDUyA7borzPOZrF3b+wqM+PDMv5fqpi9tIsePSrSuriFLIxMAwbKLdeR6MxTKQzhgFgwtc6fasejc/33Ff1eqDQhu5mdDlcRZ/u28c/DsA7qUcxA2F4s+MYZAWf0M12keLv1GABdRP/TL7XG+LY/PvT63rZ31KQJfHWfzt2z1EGwIcQ6H4M2EYDMUfI2bxN1SjfbT4GwWogBEIGcCYAUbzTtebxwAAUEsBAhQAFAAAAAgA6EaHPeK9ZjIKAQAAIA8AAAoAAAAAAAAAAAAgAAAAAAAAAHppcHBlZGZpbGVQSwUGAAAAAAEAAQA4AAAAMgEAAAAA</t>
        </r>
      </text>
    </comment>
    <comment ref="I38" authorId="0" shapeId="0">
      <text>
        <r>
          <rPr>
            <b/>
            <sz val="9"/>
            <color indexed="81"/>
            <rFont val="Tahoma"/>
            <family val="2"/>
          </rPr>
          <t>UEsDBBQACAgIAJKMrVgAAAAAAAAAAAAAAAABAAAAMLWUzW7UMBSFZ81TVJbYJZKdn5kku/6KipYiOiBVVYUc+ya16tjBcVBH1bwBCxbseAbElg1vQ3kOHGfaKWoXIOgiUnzOvb7HnyXv7mxNnkwmkysEl602dlurStSouEIcKtpLe0BV3dMaUIGYQgHiomslXRxqPki82VdcMGqFHkzRbXYMFdb0MCyeCQ5bkqqLG6nv4KBX1KCiorKDZbCaOhdWwlHrd3GjqZRe2ZXQgLLdqjxATPfKmsXtmkPHjFj1jSMqA+96UGxd5EIoKyoB5lbqaNNKWC9BArPA/dDnsDgQnUXFKTLQWW3gBW0Anbky3Ru27rK0lKN3o/RK3Anbt5xa2HHf+rgNWCMcodMr9Na5dEfUviUKUAm1UGM1Ink2JVFMHFJ27i4AXgHThru+swGCR3+IMSZxFrsaUGMMtH0uFC02DkmxcaJPvPPaZXLOU+RZU8WB3yaES2sos3Na36WHiiRAtdF9641V7QU4oiiHKMl5ycMo5yxMeJSENJ3NwoRVeVyRuIyr0k1SY5wf375cf/5euDjXHz/8/PrJOS017jb2XYYYp1Mc3DD+jaHPuwz+G6P0IUbRYzHiMYe0THhIpgzCJMJlmGNehdmUzVhSJQlL2X1G0UOM/o3PLP9DPuQhPvix+ABn2SzJ8jDC0zJMSBmHlMQ8THEJSRZlOafVfT74r/m4Y1rRwJ5xGx2DtUL5d42dA7t4Q6VYn0HSzh6VDiEZ/+eLdhgtBxHMe/+6dW6wLrs9oxtnRRinhJB4FI8tNXbTep3kmGAy6nM9StiVRkNwMELz1e6t3eulfOkltFz+AlBLBwhCBBiHZAIAAIkFAAA=</t>
        </r>
      </text>
    </comment>
  </commentList>
</comments>
</file>

<file path=xl/comments6.xml><?xml version="1.0" encoding="utf-8"?>
<comments xmlns="http://schemas.openxmlformats.org/spreadsheetml/2006/main">
  <authors>
    <author>Qhu</author>
  </authors>
  <commentList>
    <comment ref="B38" authorId="0" shapeId="0">
      <text>
        <r>
          <rPr>
            <b/>
            <sz val="9"/>
            <color indexed="81"/>
            <rFont val="Tahoma"/>
            <family val="2"/>
          </rPr>
          <t>UEsDBBQACAgIANGQrVgAAAAAAAAAAAAAAAABAAAAMK2UXWsUMRSG99pfsQQECzuQmdnZj7nr12KxH9KuQilFssmZbdhMMmYy2qUsCFb0QlHQC1ERBEFvileCSKt/plvrvzA7s+22SKkXXgxM3vMm581zIPNzM6UrpVJpB8F2orSZVTLiXRTuIAYRyYRZJLKbkS6gEFGJKojxNBGkv6TYSGLxgmScEsPVqMjT6ZSi0OgMRovrnMGMILJ3ImUpLGaSaBRGRKQwqIy7trkRsJLkp9jWRIhcmRcQgzTp2F5BVGXS6P7pmkFKNR/vK1pEGu5mIOnEZENIwyMO+lRKSZwImCxBADXA8qY3oL/IU4PCDaQhNUrDMokBbVqbyjSd7DKkI4raiZJJfiZsljBiYM5+k+vGYDS3hDZ20B1bJXO8m2/xKqgDXS4LN/Iw9l3Pdy1SumUHAKtAlWZ23+YIQo5+KQi8oF7zrQdkEQPNbnFJwvJ0a3W+fM1mp72psLyu1nPPLZvOeq6inDqRDNhpVtg2mlDTJt2zHFFYraCuVlmSF8beHli2CHdYRPya5zR8wpwqq9ecBmYdp4lxRCO/0fG8pu0ki2CH3/aGbw/CXx9/HO6/OX7/7Pjr7vGn3aPPH4Z7r38/fh4OXzw9+vLK+hOi7bQWbDLLwFLAuHIyhnOY84sMKpdi9LB7GUYP1+o+vhBjJNT9qbMAZ5fXyy7Gsfw/IMEPoNlgNcfDdd+pBlHdaUS05gRVaPqMBH7gRv8AMhwevDx692T4YP8cxapbD2qNCxkefv85fPQQDSwPw2NoadtlDYzhMn8D6BbQ3m0i+OSCgqRmpWNZu8V/u5+McomRCPpe/hKkNoLqpC2t4mIKgeu6fiGuGaLNtPlLb6tccrGVvNEVQHPFxqcnppUJcTOX0GDwB1BLBwgi/uSWlAIAALUEAAA=</t>
        </r>
      </text>
    </comment>
    <comment ref="I38" authorId="0" shapeId="0">
      <text>
        <r>
          <rPr>
            <b/>
            <sz val="9"/>
            <color indexed="81"/>
            <rFont val="Tahoma"/>
            <family val="2"/>
          </rPr>
          <t>UEsDBBQACAgIAHaQrVgAAAAAAAAAAAAAAAABAAAAMLVUy27TQBTNmq+IRkICyZbs2Ikfuz5FRUqrNiChqkLXM9fpqJOxGY9RoygbNiAW/ABsWSDBrlILCL6mKXwGYzuProAuWFjynHvunHPPtby1ud6602q1JgTP8kzpjUymfEjiCWGYQil0H+SwhCGSmFBJLMJ4kQsY72asgthoRzJOQfOsKvJiraAk1qrE6vCAM1wXIE8XUFlgv5SgSJyCKHBqzVUHXAvcy+tbjDQIUSNbAkcodTGnW4RmpdRqvDwzLKji875GIlX4vERJVyRjQmqeclRLqIBRLnB1RIFUI6tFH+K4zwtN4iOisNCZwkcwQnJsaFmp6KpLQyKa2gIpJb9htswZaNw0z2rcEWrFTUJHE/LMVGGTD+uWjkUSHHLZsEnHcT3X6XRNpPTELAAPkGaKmb7jKoQ6+l3HiXph4BgOysYG2TjhEuJ2PwPZ3ld8hO0Dc2H7Xn//4H7cdp/W3MfGpeHeJXX6IBmypWc80wqoHsDwZp4kdi0yVFmZ14U59xRNxsTp+R0fIbV7YZjYftL17YgCtVnkdSHtBWmShEZJNgavLj/P3n2Pf51fXH/6Mbt8OXv/9frNh6tvF7PXH3++fdUYdWdfzk1LDsosbseYizzH93xrsY/l17QYZGr9Nc7ICTvOn+P0PLcTRf8eZ/d/xNn1ek7QC0I7oB7YvsdCG4AmthOFQRAlvoeBf8s4u7eO06SizbTbyqgcotZc1n8EeoL09AkIvhpQQKH3kqKeqHofjPPKl6hAVC/q/0JhxLOk2FbZqN6F03Vd12vAQw1Kr+nFjlzHbfBB1kCOoXYq86h4xua353q7FGK/hsh0+htQSwcIgEIx33ECAADDBAAA</t>
        </r>
      </text>
    </comment>
  </commentList>
</comments>
</file>

<file path=xl/sharedStrings.xml><?xml version="1.0" encoding="utf-8"?>
<sst xmlns="http://schemas.openxmlformats.org/spreadsheetml/2006/main" count="172" uniqueCount="105">
  <si>
    <t>最新报告期</t>
    <phoneticPr fontId="3" type="noConversion"/>
  </si>
  <si>
    <t>最新报告期行</t>
    <phoneticPr fontId="3" type="noConversion"/>
  </si>
  <si>
    <t>统计期起始行</t>
    <phoneticPr fontId="3" type="noConversion"/>
  </si>
  <si>
    <t>偏移</t>
    <phoneticPr fontId="3" type="noConversion"/>
  </si>
  <si>
    <t>观察期</t>
    <phoneticPr fontId="3" type="noConversion"/>
  </si>
  <si>
    <t>上一页</t>
    <phoneticPr fontId="5" type="noConversion"/>
  </si>
  <si>
    <t>目录</t>
    <phoneticPr fontId="3" type="noConversion"/>
  </si>
  <si>
    <t>GDP与三大产业</t>
    <phoneticPr fontId="3" type="noConversion"/>
  </si>
  <si>
    <t>GDP与财政收支</t>
    <phoneticPr fontId="3" type="noConversion"/>
  </si>
  <si>
    <t>固定资产投资与信贷规模</t>
    <phoneticPr fontId="3" type="noConversion"/>
  </si>
  <si>
    <t>CPI与对外贸易</t>
    <phoneticPr fontId="3" type="noConversion"/>
  </si>
  <si>
    <t>CPI与PPI</t>
    <phoneticPr fontId="3" type="noConversion"/>
  </si>
  <si>
    <t>热钱估算（新增外汇储备法）</t>
    <phoneticPr fontId="3" type="noConversion"/>
  </si>
  <si>
    <t>热钱估算（新增外汇占款法）</t>
    <phoneticPr fontId="3" type="noConversion"/>
  </si>
  <si>
    <t>货币投放与回笼</t>
    <phoneticPr fontId="3" type="noConversion"/>
  </si>
  <si>
    <t>目录</t>
    <phoneticPr fontId="3" type="noConversion"/>
  </si>
  <si>
    <t>下一页</t>
    <phoneticPr fontId="3" type="noConversion"/>
  </si>
  <si>
    <t>目录</t>
    <phoneticPr fontId="3" type="noConversion"/>
  </si>
  <si>
    <t>目录</t>
    <phoneticPr fontId="3" type="noConversion"/>
  </si>
  <si>
    <t>下一页</t>
    <phoneticPr fontId="3" type="noConversion"/>
  </si>
  <si>
    <t>目录</t>
    <phoneticPr fontId="3" type="noConversion"/>
  </si>
  <si>
    <t>上一页</t>
    <phoneticPr fontId="5" type="noConversion"/>
  </si>
  <si>
    <t>目录</t>
    <phoneticPr fontId="3" type="noConversion"/>
  </si>
  <si>
    <t>下一页</t>
    <phoneticPr fontId="3" type="noConversion"/>
  </si>
  <si>
    <t>目录</t>
    <phoneticPr fontId="3" type="noConversion"/>
  </si>
  <si>
    <t>目录</t>
    <phoneticPr fontId="3" type="noConversion"/>
  </si>
  <si>
    <t>上一页</t>
    <phoneticPr fontId="5" type="noConversion"/>
  </si>
  <si>
    <t>以下为原始数据</t>
    <phoneticPr fontId="3" type="noConversion"/>
  </si>
  <si>
    <t>以下为原始数据</t>
    <phoneticPr fontId="3" type="noConversion"/>
  </si>
  <si>
    <t>以下为原始数据</t>
    <phoneticPr fontId="3" type="noConversion"/>
  </si>
  <si>
    <t>以下为原始数据</t>
    <phoneticPr fontId="3" type="noConversion"/>
  </si>
  <si>
    <t>以下为原始数据</t>
    <phoneticPr fontId="3" type="noConversion"/>
  </si>
  <si>
    <t>最新报告期</t>
    <phoneticPr fontId="3" type="noConversion"/>
  </si>
  <si>
    <t>观察期</t>
    <phoneticPr fontId="3" type="noConversion"/>
  </si>
  <si>
    <t>最新报告期</t>
    <phoneticPr fontId="3" type="noConversion"/>
  </si>
  <si>
    <t>观察期</t>
    <phoneticPr fontId="3" type="noConversion"/>
  </si>
  <si>
    <t>最新报告期</t>
    <phoneticPr fontId="3" type="noConversion"/>
  </si>
  <si>
    <t>观察期</t>
    <phoneticPr fontId="3" type="noConversion"/>
  </si>
  <si>
    <t>最新报告期</t>
    <phoneticPr fontId="3" type="noConversion"/>
  </si>
  <si>
    <t>观察期</t>
    <phoneticPr fontId="3" type="noConversion"/>
  </si>
  <si>
    <t>观察期</t>
    <phoneticPr fontId="3" type="noConversion"/>
  </si>
  <si>
    <t>最新报告期</t>
    <phoneticPr fontId="3" type="noConversion"/>
  </si>
  <si>
    <t>观察期</t>
    <phoneticPr fontId="3" type="noConversion"/>
  </si>
  <si>
    <t>EDB宏观图库</t>
    <phoneticPr fontId="26" type="noConversion"/>
  </si>
  <si>
    <t>EDB宏观图库</t>
    <phoneticPr fontId="3" type="noConversion"/>
  </si>
  <si>
    <t>EDB宏观图库</t>
    <phoneticPr fontId="12" type="noConversion"/>
  </si>
  <si>
    <t>EDB宏观图库</t>
    <phoneticPr fontId="3" type="noConversion"/>
  </si>
  <si>
    <t>EDB宏观图库</t>
    <phoneticPr fontId="3" type="noConversion"/>
  </si>
  <si>
    <t>CPI:当月同比(右轴)</t>
    <phoneticPr fontId="3" type="noConversion"/>
  </si>
  <si>
    <t>指标名称</t>
    <phoneticPr fontId="3" type="noConversion"/>
  </si>
  <si>
    <t>CPI与M1-M2</t>
    <phoneticPr fontId="3" type="noConversion"/>
  </si>
  <si>
    <t>中国:M2:同比</t>
    <phoneticPr fontId="3" type="noConversion"/>
  </si>
  <si>
    <t>中国:M1:同比</t>
    <phoneticPr fontId="3" type="noConversion"/>
  </si>
  <si>
    <t>中国:M0:同比</t>
    <phoneticPr fontId="3" type="noConversion"/>
  </si>
  <si>
    <t>GDP:第三产业:累计同比(可比价)</t>
    <phoneticPr fontId="3" type="noConversion"/>
  </si>
  <si>
    <t>LPR贷款报价利率</t>
    <phoneticPr fontId="3" type="noConversion"/>
  </si>
  <si>
    <t>中国:贷款市场报价利率(LPR):1年</t>
    <phoneticPr fontId="3" type="noConversion"/>
  </si>
  <si>
    <t>中国:贷款市场报价利率(LPR):5年</t>
    <phoneticPr fontId="3" type="noConversion"/>
  </si>
  <si>
    <t>中国:社会融资规模存量:同比</t>
    <phoneticPr fontId="3" type="noConversion"/>
  </si>
  <si>
    <t>中国:社会融资规模:当月值</t>
    <phoneticPr fontId="3" type="noConversion"/>
  </si>
  <si>
    <t>社融规模与社融同比</t>
    <phoneticPr fontId="3" type="noConversion"/>
  </si>
  <si>
    <t xml:space="preserve"> 使用说明：</t>
    <phoneticPr fontId="3" type="noConversion"/>
  </si>
  <si>
    <t>EDB宏观图库 V1.2</t>
    <phoneticPr fontId="5" type="noConversion"/>
  </si>
  <si>
    <t>城镇固定资产投资完成额:累计值</t>
    <phoneticPr fontId="3" type="noConversion"/>
  </si>
  <si>
    <t>金融机构:各项贷款余额</t>
    <phoneticPr fontId="3" type="noConversion"/>
  </si>
  <si>
    <t>M0</t>
    <phoneticPr fontId="3" type="noConversion"/>
  </si>
  <si>
    <t>出口金额:当月同比</t>
    <phoneticPr fontId="3" type="noConversion"/>
  </si>
  <si>
    <t>指标名称</t>
    <phoneticPr fontId="3" type="noConversion"/>
  </si>
  <si>
    <t>进口金额:当月同比</t>
    <phoneticPr fontId="3" type="noConversion"/>
  </si>
  <si>
    <t>贸易顺差:当月同比</t>
    <phoneticPr fontId="3" type="noConversion"/>
  </si>
  <si>
    <t>指标名称</t>
    <phoneticPr fontId="3" type="noConversion"/>
  </si>
  <si>
    <t>GDP:累计值</t>
    <phoneticPr fontId="3" type="noConversion"/>
  </si>
  <si>
    <t>财政预算收入:累计值</t>
    <phoneticPr fontId="3" type="noConversion"/>
  </si>
  <si>
    <t>财政预算支出:累计值</t>
    <phoneticPr fontId="3" type="noConversion"/>
  </si>
  <si>
    <t>财政预算收支相抵(右轴)</t>
    <phoneticPr fontId="3" type="noConversion"/>
  </si>
  <si>
    <t>指标名称</t>
    <phoneticPr fontId="3" type="noConversion"/>
  </si>
  <si>
    <t>新增外汇占款</t>
    <phoneticPr fontId="3" type="noConversion"/>
  </si>
  <si>
    <t>贸易顺差</t>
    <phoneticPr fontId="3" type="noConversion"/>
  </si>
  <si>
    <t>实际利用外资金额</t>
    <phoneticPr fontId="3" type="noConversion"/>
  </si>
  <si>
    <t>热钱估算</t>
    <phoneticPr fontId="3" type="noConversion"/>
  </si>
  <si>
    <t>公开市场操作:货币投放</t>
    <phoneticPr fontId="3" type="noConversion"/>
  </si>
  <si>
    <t>公开市场操作:货币回笼</t>
    <phoneticPr fontId="3" type="noConversion"/>
  </si>
  <si>
    <t>公开市场操作:货币净投放</t>
    <phoneticPr fontId="3" type="noConversion"/>
  </si>
  <si>
    <t>指标名称</t>
    <phoneticPr fontId="3" type="noConversion"/>
  </si>
  <si>
    <t>城镇固定资产投资完成额:累计同比(右轴)</t>
    <phoneticPr fontId="3" type="noConversion"/>
  </si>
  <si>
    <t>金融机构:各项贷款余额:同比(右轴)</t>
    <phoneticPr fontId="3" type="noConversion"/>
  </si>
  <si>
    <t>国家外汇储备增加</t>
    <phoneticPr fontId="3" type="noConversion"/>
  </si>
  <si>
    <t>贸易顺差</t>
    <phoneticPr fontId="3" type="noConversion"/>
  </si>
  <si>
    <t>实际利用外资金额</t>
    <phoneticPr fontId="3" type="noConversion"/>
  </si>
  <si>
    <t>热钱估算</t>
    <phoneticPr fontId="3" type="noConversion"/>
  </si>
  <si>
    <t>指标名称</t>
    <phoneticPr fontId="3" type="noConversion"/>
  </si>
  <si>
    <t>M1</t>
    <phoneticPr fontId="3" type="noConversion"/>
  </si>
  <si>
    <t>M2</t>
    <phoneticPr fontId="3" type="noConversion"/>
  </si>
  <si>
    <t>M1-M2:同比(右轴)</t>
    <phoneticPr fontId="3" type="noConversion"/>
  </si>
  <si>
    <t>CPI:当月同比(右轴)</t>
    <phoneticPr fontId="3" type="noConversion"/>
  </si>
  <si>
    <t>CPI:当月同比</t>
    <phoneticPr fontId="3" type="noConversion"/>
  </si>
  <si>
    <t>PPI:全部工业品:当月同比</t>
    <phoneticPr fontId="3" type="noConversion"/>
  </si>
  <si>
    <t>PPI:生产资料:当月同比</t>
    <phoneticPr fontId="3" type="noConversion"/>
  </si>
  <si>
    <t>PPI:生活资料:当月同比</t>
    <phoneticPr fontId="3" type="noConversion"/>
  </si>
  <si>
    <t>CPI与PPI剪刀差(右轴)</t>
    <phoneticPr fontId="3" type="noConversion"/>
  </si>
  <si>
    <t>GDP:累计同比(可比价)</t>
    <phoneticPr fontId="3" type="noConversion"/>
  </si>
  <si>
    <t>GDP:当季同比(可比价)</t>
    <phoneticPr fontId="3" type="noConversion"/>
  </si>
  <si>
    <t>GDP:第一产业:累计同比(可比价)</t>
    <phoneticPr fontId="3" type="noConversion"/>
  </si>
  <si>
    <t>GDP:第二产业:累计同比(可比价)</t>
    <phoneticPr fontId="3" type="noConversion"/>
  </si>
  <si>
    <t>M0,M1,M2同比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</si>
</sst>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##,###,###,###,##0.00"/>
    <numFmt numFmtId="177" formatCode="yyyy/mm;@"/>
    <numFmt numFmtId="178" formatCode="yyyy&quot;年&quot;m&quot;月&quot;;@"/>
    <numFmt numFmtId="179" formatCode="0_);[Red]\(0\)"/>
    <numFmt numFmtId="180" formatCode="yyyy\-mm"/>
    <numFmt numFmtId="181" formatCode="#,##0.00_ "/>
    <numFmt numFmtId="182" formatCode="#,##0.0000_ "/>
    <numFmt numFmtId="183" formatCode="yyyy\-mm\-dd"/>
  </numFmts>
  <fonts count="28" x14ac:knownFonts="1">
    <font>
      <sz val="12"/>
      <name val="宋体"/>
      <charset val="134"/>
    </font>
    <font>
      <sz val="10"/>
      <name val="Arial"/>
      <family val="2"/>
    </font>
    <font>
      <sz val="9"/>
      <name val="Arial"/>
      <family val="2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sz val="9"/>
      <name val="宋体"/>
      <family val="3"/>
      <charset val="134"/>
    </font>
    <font>
      <u/>
      <sz val="9"/>
      <name val="宋体"/>
      <family val="3"/>
      <charset val="134"/>
    </font>
    <font>
      <i/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10"/>
      <name val="宋体"/>
      <family val="3"/>
      <charset val="134"/>
    </font>
    <font>
      <b/>
      <sz val="9"/>
      <color indexed="10"/>
      <name val="宋体"/>
      <family val="3"/>
      <charset val="134"/>
    </font>
    <font>
      <sz val="9"/>
      <name val="宋体"/>
      <family val="3"/>
      <charset val="134"/>
    </font>
    <font>
      <b/>
      <sz val="9"/>
      <color indexed="10"/>
      <name val="宋体"/>
      <family val="3"/>
      <charset val="134"/>
    </font>
    <font>
      <sz val="12"/>
      <name val="微软雅黑"/>
      <family val="2"/>
      <charset val="134"/>
    </font>
    <font>
      <sz val="9"/>
      <name val="微软雅黑"/>
      <family val="2"/>
      <charset val="134"/>
    </font>
    <font>
      <b/>
      <sz val="9"/>
      <color indexed="10"/>
      <name val="宋体"/>
      <family val="3"/>
      <charset val="134"/>
    </font>
    <font>
      <b/>
      <sz val="10"/>
      <color indexed="81"/>
      <name val="Tahoma"/>
      <family val="2"/>
    </font>
    <font>
      <b/>
      <sz val="9"/>
      <color indexed="10"/>
      <name val="宋体"/>
      <family val="3"/>
      <charset val="134"/>
    </font>
    <font>
      <sz val="20"/>
      <color theme="0"/>
      <name val="微软雅黑"/>
      <family val="2"/>
      <charset val="134"/>
    </font>
    <font>
      <b/>
      <sz val="10"/>
      <color rgb="FF212121"/>
      <name val="微软雅黑"/>
      <family val="2"/>
      <charset val="134"/>
    </font>
    <font>
      <sz val="10"/>
      <color rgb="FF212121"/>
      <name val="微软雅黑"/>
      <family val="2"/>
      <charset val="134"/>
    </font>
    <font>
      <u/>
      <sz val="10"/>
      <color rgb="FF212121"/>
      <name val="微软雅黑"/>
      <family val="2"/>
      <charset val="134"/>
    </font>
    <font>
      <u/>
      <sz val="12"/>
      <color rgb="FF212121"/>
      <name val="微软雅黑"/>
      <family val="2"/>
      <charset val="134"/>
    </font>
    <font>
      <b/>
      <sz val="12"/>
      <color rgb="FF21212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rgb="FF2121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8D8E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3636D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4F4F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0" xfId="1" applyFont="1" applyFill="1" applyAlignment="1" applyProtection="1">
      <alignment horizontal="center"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2" borderId="0" xfId="1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14" fontId="2" fillId="2" borderId="0" xfId="0" applyNumberFormat="1" applyFont="1" applyFill="1" applyAlignment="1" applyProtection="1">
      <alignment horizontal="center" vertical="center"/>
      <protection hidden="1"/>
    </xf>
    <xf numFmtId="0" fontId="5" fillId="2" borderId="0" xfId="0" applyFont="1" applyFill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5" fillId="2" borderId="0" xfId="0" applyFont="1" applyFill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center" vertical="center"/>
      <protection locked="0" hidden="1"/>
    </xf>
    <xf numFmtId="0" fontId="8" fillId="0" borderId="0" xfId="0" applyFont="1" applyAlignment="1" applyProtection="1">
      <alignment horizontal="center" vertical="center"/>
      <protection locked="0" hidden="1"/>
    </xf>
    <xf numFmtId="179" fontId="5" fillId="0" borderId="0" xfId="0" applyNumberFormat="1" applyFont="1" applyAlignment="1" applyProtection="1">
      <alignment horizontal="center" vertical="center"/>
      <protection locked="0" hidden="1"/>
    </xf>
    <xf numFmtId="0" fontId="6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177" fontId="5" fillId="0" borderId="0" xfId="0" applyNumberFormat="1" applyFont="1" applyAlignment="1" applyProtection="1">
      <alignment horizontal="center" vertical="center"/>
      <protection locked="0" hidden="1"/>
    </xf>
    <xf numFmtId="176" fontId="5" fillId="0" borderId="0" xfId="0" applyNumberFormat="1" applyFont="1" applyAlignment="1" applyProtection="1">
      <alignment horizontal="right" vertical="center"/>
      <protection locked="0" hidden="1"/>
    </xf>
    <xf numFmtId="176" fontId="5" fillId="0" borderId="0" xfId="0" applyNumberFormat="1" applyFont="1" applyAlignment="1" applyProtection="1">
      <alignment horizontal="center" vertical="center"/>
      <protection locked="0" hidden="1"/>
    </xf>
    <xf numFmtId="177" fontId="11" fillId="0" borderId="0" xfId="0" applyNumberFormat="1" applyFont="1" applyAlignment="1" applyProtection="1">
      <alignment horizontal="center" vertical="center"/>
      <protection locked="0" hidden="1"/>
    </xf>
    <xf numFmtId="0" fontId="11" fillId="0" borderId="0" xfId="0" applyFont="1" applyAlignment="1" applyProtection="1">
      <alignment horizontal="center" vertical="center"/>
      <protection locked="0" hidden="1"/>
    </xf>
    <xf numFmtId="176" fontId="5" fillId="0" borderId="0" xfId="0" applyNumberFormat="1" applyFont="1" applyAlignment="1" applyProtection="1">
      <alignment horizontal="center" vertical="center" wrapText="1"/>
      <protection locked="0" hidden="1"/>
    </xf>
    <xf numFmtId="177" fontId="10" fillId="0" borderId="0" xfId="0" applyNumberFormat="1" applyFont="1" applyAlignment="1" applyProtection="1">
      <alignment horizontal="center" vertical="center"/>
      <protection locked="0" hidden="1"/>
    </xf>
    <xf numFmtId="176" fontId="5" fillId="2" borderId="0" xfId="0" applyNumberFormat="1" applyFont="1" applyFill="1" applyAlignment="1" applyProtection="1">
      <alignment horizontal="right" vertical="center"/>
      <protection locked="0" hidden="1"/>
    </xf>
    <xf numFmtId="0" fontId="5" fillId="0" borderId="0" xfId="0" applyFont="1" applyBorder="1" applyAlignment="1" applyProtection="1">
      <alignment horizontal="center" vertical="center"/>
      <protection locked="0" hidden="1"/>
    </xf>
    <xf numFmtId="0" fontId="5" fillId="2" borderId="0" xfId="0" applyFont="1" applyFill="1" applyBorder="1" applyAlignment="1" applyProtection="1">
      <alignment horizontal="center" vertical="center"/>
      <protection locked="0" hidden="1"/>
    </xf>
    <xf numFmtId="179" fontId="5" fillId="0" borderId="0" xfId="0" applyNumberFormat="1" applyFont="1" applyBorder="1" applyAlignment="1" applyProtection="1">
      <alignment horizontal="center" vertical="center"/>
      <protection locked="0" hidden="1"/>
    </xf>
    <xf numFmtId="0" fontId="6" fillId="0" borderId="0" xfId="0" applyFont="1" applyBorder="1" applyAlignment="1" applyProtection="1">
      <alignment horizontal="center" vertical="center"/>
      <protection locked="0" hidden="1"/>
    </xf>
    <xf numFmtId="0" fontId="7" fillId="0" borderId="0" xfId="0" applyFont="1" applyBorder="1" applyAlignment="1" applyProtection="1">
      <alignment horizontal="center" vertical="center"/>
      <protection locked="0" hidden="1"/>
    </xf>
    <xf numFmtId="177" fontId="5" fillId="0" borderId="0" xfId="0" applyNumberFormat="1" applyFont="1" applyBorder="1" applyAlignment="1" applyProtection="1">
      <alignment horizontal="center" vertical="center"/>
      <protection locked="0" hidden="1"/>
    </xf>
    <xf numFmtId="176" fontId="5" fillId="0" borderId="0" xfId="0" applyNumberFormat="1" applyFont="1" applyBorder="1" applyAlignment="1" applyProtection="1">
      <alignment horizontal="right" vertical="center"/>
      <protection locked="0" hidden="1"/>
    </xf>
    <xf numFmtId="176" fontId="5" fillId="0" borderId="0" xfId="0" applyNumberFormat="1" applyFont="1" applyBorder="1" applyAlignment="1" applyProtection="1">
      <alignment horizontal="center" vertical="center"/>
      <protection locked="0" hidden="1"/>
    </xf>
    <xf numFmtId="177" fontId="11" fillId="0" borderId="0" xfId="0" applyNumberFormat="1" applyFont="1" applyBorder="1" applyAlignment="1" applyProtection="1">
      <alignment horizontal="center" vertical="center"/>
      <protection locked="0" hidden="1"/>
    </xf>
    <xf numFmtId="176" fontId="5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locked="0" hidden="1"/>
    </xf>
    <xf numFmtId="176" fontId="2" fillId="0" borderId="0" xfId="0" applyNumberFormat="1" applyFont="1" applyAlignment="1" applyProtection="1">
      <alignment horizontal="right" vertical="center"/>
      <protection locked="0" hidden="1"/>
    </xf>
    <xf numFmtId="176" fontId="2" fillId="2" borderId="0" xfId="0" applyNumberFormat="1" applyFont="1" applyFill="1" applyAlignment="1" applyProtection="1">
      <alignment horizontal="right" vertic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178" fontId="15" fillId="4" borderId="0" xfId="0" applyNumberFormat="1" applyFont="1" applyFill="1" applyBorder="1" applyAlignment="1" applyProtection="1">
      <alignment horizontal="center" vertical="center"/>
      <protection hidden="1"/>
    </xf>
    <xf numFmtId="177" fontId="2" fillId="0" borderId="0" xfId="1" applyNumberFormat="1" applyFont="1" applyFill="1" applyAlignment="1" applyProtection="1">
      <alignment horizontal="center" vertical="center"/>
      <protection hidden="1"/>
    </xf>
    <xf numFmtId="177" fontId="2" fillId="0" borderId="0" xfId="0" applyNumberFormat="1" applyFont="1" applyFill="1" applyAlignment="1" applyProtection="1">
      <alignment horizontal="center" vertical="center"/>
      <protection hidden="1"/>
    </xf>
    <xf numFmtId="177" fontId="8" fillId="0" borderId="0" xfId="0" applyNumberFormat="1" applyFont="1" applyAlignment="1" applyProtection="1">
      <alignment horizontal="center" vertical="center"/>
      <protection locked="0" hidden="1"/>
    </xf>
    <xf numFmtId="177" fontId="8" fillId="0" borderId="0" xfId="0" applyNumberFormat="1" applyFont="1" applyBorder="1" applyAlignment="1" applyProtection="1">
      <alignment horizontal="center" vertical="center"/>
      <protection locked="0" hidden="1"/>
    </xf>
    <xf numFmtId="14" fontId="5" fillId="0" borderId="0" xfId="0" applyNumberFormat="1" applyFont="1" applyBorder="1" applyAlignment="1" applyProtection="1">
      <alignment horizontal="center" vertical="center"/>
      <protection locked="0" hidden="1"/>
    </xf>
    <xf numFmtId="14" fontId="8" fillId="0" borderId="0" xfId="0" applyNumberFormat="1" applyFont="1" applyBorder="1" applyAlignment="1" applyProtection="1">
      <alignment horizontal="center" vertical="center"/>
      <protection locked="0" hidden="1"/>
    </xf>
    <xf numFmtId="14" fontId="10" fillId="0" borderId="0" xfId="0" applyNumberFormat="1" applyFont="1" applyBorder="1" applyAlignment="1" applyProtection="1">
      <alignment horizontal="center" vertical="center"/>
      <protection locked="0" hidden="1"/>
    </xf>
    <xf numFmtId="14" fontId="5" fillId="0" borderId="0" xfId="0" applyNumberFormat="1" applyFont="1" applyAlignment="1" applyProtection="1">
      <alignment horizontal="center" vertical="center"/>
      <protection locked="0" hidden="1"/>
    </xf>
    <xf numFmtId="14" fontId="13" fillId="0" borderId="0" xfId="0" applyNumberFormat="1" applyFont="1" applyBorder="1" applyAlignment="1" applyProtection="1">
      <alignment horizontal="center" vertical="center"/>
      <protection locked="0" hidden="1"/>
    </xf>
    <xf numFmtId="0" fontId="16" fillId="0" borderId="0" xfId="0" applyFont="1" applyAlignment="1" applyProtection="1">
      <alignment horizontal="center" vertical="center"/>
      <protection locked="0" hidden="1"/>
    </xf>
    <xf numFmtId="177" fontId="18" fillId="0" borderId="0" xfId="0" applyNumberFormat="1" applyFont="1" applyAlignment="1" applyProtection="1">
      <alignment horizontal="center" vertical="center"/>
      <protection locked="0" hidden="1"/>
    </xf>
    <xf numFmtId="0" fontId="19" fillId="6" borderId="1" xfId="0" applyFont="1" applyFill="1" applyBorder="1" applyAlignment="1">
      <alignment vertical="center"/>
    </xf>
    <xf numFmtId="0" fontId="19" fillId="6" borderId="0" xfId="0" applyFont="1" applyFill="1" applyBorder="1" applyAlignment="1">
      <alignment vertical="center"/>
    </xf>
    <xf numFmtId="0" fontId="23" fillId="8" borderId="0" xfId="0" applyFont="1" applyFill="1" applyAlignment="1">
      <alignment horizontal="center"/>
    </xf>
    <xf numFmtId="0" fontId="25" fillId="7" borderId="0" xfId="0" applyFont="1" applyFill="1" applyBorder="1" applyAlignment="1">
      <alignment horizontal="center"/>
    </xf>
    <xf numFmtId="0" fontId="15" fillId="2" borderId="0" xfId="0" applyFont="1" applyFill="1" applyAlignment="1" applyProtection="1">
      <alignment horizontal="center" vertical="center"/>
      <protection locked="0" hidden="1"/>
    </xf>
    <xf numFmtId="0" fontId="15" fillId="0" borderId="0" xfId="0" applyNumberFormat="1" applyFont="1" applyAlignment="1" applyProtection="1">
      <alignment horizontal="center" vertical="center" wrapText="1"/>
      <protection locked="0" hidden="1"/>
    </xf>
    <xf numFmtId="14" fontId="27" fillId="5" borderId="0" xfId="0" applyNumberFormat="1" applyFont="1" applyFill="1"/>
    <xf numFmtId="14" fontId="27" fillId="8" borderId="0" xfId="0" applyNumberFormat="1" applyFont="1" applyFill="1"/>
    <xf numFmtId="2" fontId="27" fillId="5" borderId="0" xfId="0" applyNumberFormat="1" applyFont="1" applyFill="1"/>
    <xf numFmtId="2" fontId="27" fillId="8" borderId="0" xfId="0" applyNumberFormat="1" applyFont="1" applyFill="1"/>
    <xf numFmtId="14" fontId="5" fillId="5" borderId="0" xfId="0" applyNumberFormat="1" applyFont="1" applyFill="1" applyAlignment="1" applyProtection="1">
      <alignment horizontal="center" vertical="center"/>
      <protection locked="0" hidden="1"/>
    </xf>
    <xf numFmtId="0" fontId="5" fillId="5" borderId="0" xfId="0" applyFont="1" applyFill="1" applyAlignment="1" applyProtection="1">
      <alignment horizontal="center" vertical="center"/>
      <protection locked="0" hidden="1"/>
    </xf>
    <xf numFmtId="176" fontId="5" fillId="5" borderId="0" xfId="0" applyNumberFormat="1" applyFont="1" applyFill="1" applyAlignment="1" applyProtection="1">
      <alignment horizontal="right" vertical="center"/>
      <protection locked="0" hidden="1"/>
    </xf>
    <xf numFmtId="180" fontId="27" fillId="5" borderId="0" xfId="0" applyNumberFormat="1" applyFont="1" applyFill="1" applyAlignment="1">
      <alignment horizontal="right"/>
    </xf>
    <xf numFmtId="180" fontId="27" fillId="8" borderId="0" xfId="0" applyNumberFormat="1" applyFont="1" applyFill="1" applyAlignment="1">
      <alignment horizontal="right"/>
    </xf>
    <xf numFmtId="181" fontId="27" fillId="5" borderId="0" xfId="0" applyNumberFormat="1" applyFont="1" applyFill="1" applyAlignment="1">
      <alignment horizontal="right"/>
    </xf>
    <xf numFmtId="181" fontId="27" fillId="8" borderId="0" xfId="0" applyNumberFormat="1" applyFont="1" applyFill="1" applyAlignment="1">
      <alignment horizontal="right"/>
    </xf>
    <xf numFmtId="182" fontId="27" fillId="5" borderId="0" xfId="0" applyNumberFormat="1" applyFont="1" applyFill="1" applyAlignment="1">
      <alignment horizontal="right"/>
    </xf>
    <xf numFmtId="182" fontId="27" fillId="8" borderId="0" xfId="0" applyNumberFormat="1" applyFont="1" applyFill="1" applyAlignment="1">
      <alignment horizontal="right"/>
    </xf>
    <xf numFmtId="183" fontId="27" fillId="5" borderId="0" xfId="0" applyNumberFormat="1" applyFont="1" applyFill="1" applyAlignment="1">
      <alignment horizontal="right"/>
    </xf>
    <xf numFmtId="183" fontId="27" fillId="8" borderId="0" xfId="0" applyNumberFormat="1" applyFont="1" applyFill="1" applyAlignment="1">
      <alignment horizontal="right"/>
    </xf>
    <xf numFmtId="0" fontId="15" fillId="0" borderId="0" xfId="0" applyNumberFormat="1" applyFont="1" applyAlignment="1" applyProtection="1">
      <alignment horizontal="left" vertical="center" wrapText="1"/>
      <protection locked="0" hidden="1"/>
    </xf>
    <xf numFmtId="0" fontId="5" fillId="0" borderId="0" xfId="0" applyNumberFormat="1" applyFont="1" applyAlignment="1" applyProtection="1">
      <alignment horizontal="left" vertical="center" wrapText="1"/>
      <protection locked="0" hidden="1"/>
    </xf>
    <xf numFmtId="0" fontId="9" fillId="0" borderId="0" xfId="0" applyFont="1"/>
    <xf numFmtId="183" fontId="2" fillId="0" borderId="0" xfId="0" applyNumberFormat="1" applyFont="1" applyAlignment="1" applyProtection="1">
      <alignment horizontal="right" vertical="center"/>
      <protection locked="0" hidden="1"/>
    </xf>
    <xf numFmtId="183" fontId="5" fillId="0" borderId="0" xfId="0" applyNumberFormat="1" applyFont="1" applyAlignment="1" applyProtection="1">
      <alignment horizontal="right" vertical="center"/>
      <protection locked="0" hidden="1"/>
    </xf>
    <xf numFmtId="181" fontId="2" fillId="0" borderId="0" xfId="0" applyNumberFormat="1" applyFont="1" applyAlignment="1" applyProtection="1">
      <alignment horizontal="right" vertical="center"/>
      <protection locked="0" hidden="1"/>
    </xf>
    <xf numFmtId="181" fontId="5" fillId="0" borderId="0" xfId="0" applyNumberFormat="1" applyFont="1" applyAlignment="1" applyProtection="1">
      <alignment horizontal="right" vertical="center"/>
      <protection locked="0" hidden="1"/>
    </xf>
    <xf numFmtId="0" fontId="21" fillId="5" borderId="0" xfId="0" applyFont="1" applyFill="1" applyBorder="1"/>
    <xf numFmtId="0" fontId="21" fillId="8" borderId="0" xfId="0" applyNumberFormat="1" applyFont="1" applyFill="1" applyBorder="1"/>
    <xf numFmtId="0" fontId="22" fillId="8" borderId="0" xfId="0" applyFont="1" applyFill="1" applyBorder="1"/>
    <xf numFmtId="0" fontId="21" fillId="5" borderId="0" xfId="0" applyNumberFormat="1" applyFont="1" applyFill="1" applyBorder="1"/>
    <xf numFmtId="0" fontId="22" fillId="5" borderId="0" xfId="0" applyFont="1" applyFill="1" applyBorder="1"/>
    <xf numFmtId="0" fontId="14" fillId="0" borderId="0" xfId="0" applyFont="1" applyProtection="1">
      <protection hidden="1"/>
    </xf>
    <xf numFmtId="0" fontId="14" fillId="2" borderId="0" xfId="0" applyFont="1" applyFill="1" applyBorder="1" applyProtection="1">
      <protection hidden="1"/>
    </xf>
    <xf numFmtId="0" fontId="14" fillId="0" borderId="0" xfId="0" applyFont="1" applyBorder="1" applyProtection="1">
      <protection hidden="1"/>
    </xf>
    <xf numFmtId="0" fontId="14" fillId="5" borderId="0" xfId="0" applyFont="1" applyFill="1" applyBorder="1"/>
    <xf numFmtId="0" fontId="19" fillId="6" borderId="0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15" fillId="3" borderId="0" xfId="0" applyFont="1" applyFill="1" applyBorder="1" applyAlignment="1" applyProtection="1">
      <alignment horizontal="center" vertical="center"/>
      <protection hidden="1"/>
    </xf>
  </cellXfs>
  <cellStyles count="2">
    <cellStyle name="常规" xfId="0" builtinId="0"/>
    <cellStyle name="常规_Sheet1" xfId="1"/>
  </cellStyles>
  <dxfs count="0"/>
  <tableStyles count="0" defaultTableStyle="TableStyleMedium9" defaultPivotStyle="PivotStyleLight16"/>
  <colors>
    <mruColors>
      <color rgb="FF636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40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</a:defRPr>
            </a:pPr>
            <a:r>
              <a:rPr lang="en-US" altLang="zh-CN" sz="140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</a:rPr>
              <a:t>GDP</a:t>
            </a:r>
            <a:r>
              <a:rPr lang="zh-CN" altLang="en-US" sz="140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</a:rPr>
              <a:t>与三大产业</a:t>
            </a:r>
          </a:p>
        </c:rich>
      </c:tx>
      <c:layout>
        <c:manualLayout>
          <c:xMode val="edge"/>
          <c:yMode val="edge"/>
          <c:x val="0.40754687234061615"/>
          <c:y val="6.9069144134760938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3617747440273033E-2"/>
          <c:y val="0.12962962962962962"/>
          <c:w val="0.88907849829351537"/>
          <c:h val="0.51322751322751325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'1'!$E$39</c:f>
              <c:strCache>
                <c:ptCount val="1"/>
                <c:pt idx="0">
                  <c:v>GDP:第一产业:累计同比(可比价)</c:v>
                </c:pt>
              </c:strCache>
            </c:strRef>
          </c:tx>
          <c:invertIfNegative val="0"/>
          <c:cat>
            <c:numRef>
              <c:f>'1'!TB1AB</c:f>
              <c:numCache>
                <c:formatCode>yyyy\-mm</c:formatCode>
                <c:ptCount val="24"/>
                <c:pt idx="0">
                  <c:v>43281</c:v>
                </c:pt>
                <c:pt idx="1">
                  <c:v>43373</c:v>
                </c:pt>
                <c:pt idx="2">
                  <c:v>43465</c:v>
                </c:pt>
                <c:pt idx="3">
                  <c:v>43555</c:v>
                </c:pt>
                <c:pt idx="4">
                  <c:v>43646</c:v>
                </c:pt>
                <c:pt idx="5">
                  <c:v>43738</c:v>
                </c:pt>
                <c:pt idx="6">
                  <c:v>43830</c:v>
                </c:pt>
                <c:pt idx="7">
                  <c:v>43921</c:v>
                </c:pt>
                <c:pt idx="8">
                  <c:v>44012</c:v>
                </c:pt>
                <c:pt idx="9">
                  <c:v>44104</c:v>
                </c:pt>
                <c:pt idx="10">
                  <c:v>44196</c:v>
                </c:pt>
                <c:pt idx="11">
                  <c:v>44286</c:v>
                </c:pt>
                <c:pt idx="12">
                  <c:v>44377</c:v>
                </c:pt>
                <c:pt idx="13">
                  <c:v>44469</c:v>
                </c:pt>
                <c:pt idx="14">
                  <c:v>44561</c:v>
                </c:pt>
                <c:pt idx="15">
                  <c:v>44651</c:v>
                </c:pt>
                <c:pt idx="16">
                  <c:v>44742</c:v>
                </c:pt>
                <c:pt idx="17">
                  <c:v>44834</c:v>
                </c:pt>
                <c:pt idx="18">
                  <c:v>44926</c:v>
                </c:pt>
                <c:pt idx="19">
                  <c:v>45016</c:v>
                </c:pt>
                <c:pt idx="20">
                  <c:v>45107</c:v>
                </c:pt>
                <c:pt idx="21">
                  <c:v>45199</c:v>
                </c:pt>
                <c:pt idx="22">
                  <c:v>45291</c:v>
                </c:pt>
                <c:pt idx="23">
                  <c:v>45382</c:v>
                </c:pt>
              </c:numCache>
            </c:numRef>
          </c:cat>
          <c:val>
            <c:numRef>
              <c:f>'1'!TB1AE</c:f>
              <c:numCache>
                <c:formatCode>#,##0.00_ </c:formatCode>
                <c:ptCount val="24"/>
                <c:pt idx="0">
                  <c:v>3.3</c:v>
                </c:pt>
                <c:pt idx="1">
                  <c:v>3.4</c:v>
                </c:pt>
                <c:pt idx="2">
                  <c:v>3.482917</c:v>
                </c:pt>
                <c:pt idx="3">
                  <c:v>2.7</c:v>
                </c:pt>
                <c:pt idx="4">
                  <c:v>3.1</c:v>
                </c:pt>
                <c:pt idx="5">
                  <c:v>2.9</c:v>
                </c:pt>
                <c:pt idx="6">
                  <c:v>3.076794</c:v>
                </c:pt>
                <c:pt idx="7">
                  <c:v>-3.1</c:v>
                </c:pt>
                <c:pt idx="8">
                  <c:v>1</c:v>
                </c:pt>
                <c:pt idx="9">
                  <c:v>2.5</c:v>
                </c:pt>
                <c:pt idx="10">
                  <c:v>3.1310850000000001</c:v>
                </c:pt>
                <c:pt idx="11">
                  <c:v>8.1</c:v>
                </c:pt>
                <c:pt idx="12">
                  <c:v>7.8</c:v>
                </c:pt>
                <c:pt idx="13">
                  <c:v>7.5</c:v>
                </c:pt>
                <c:pt idx="14">
                  <c:v>7.0737959999999998</c:v>
                </c:pt>
                <c:pt idx="15">
                  <c:v>6.1</c:v>
                </c:pt>
                <c:pt idx="16">
                  <c:v>5.0999999999999996</c:v>
                </c:pt>
                <c:pt idx="17">
                  <c:v>4.3</c:v>
                </c:pt>
                <c:pt idx="18">
                  <c:v>4.2</c:v>
                </c:pt>
                <c:pt idx="19">
                  <c:v>3.7</c:v>
                </c:pt>
                <c:pt idx="20">
                  <c:v>3.7</c:v>
                </c:pt>
                <c:pt idx="21">
                  <c:v>4</c:v>
                </c:pt>
                <c:pt idx="22">
                  <c:v>4.0999999999999996</c:v>
                </c:pt>
                <c:pt idx="23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43-4C7C-BDDF-F626E0E67579}"/>
            </c:ext>
          </c:extLst>
        </c:ser>
        <c:ser>
          <c:idx val="3"/>
          <c:order val="3"/>
          <c:tx>
            <c:strRef>
              <c:f>'1'!$F$39</c:f>
              <c:strCache>
                <c:ptCount val="1"/>
                <c:pt idx="0">
                  <c:v>GDP:第二产业:累计同比(可比价)</c:v>
                </c:pt>
              </c:strCache>
            </c:strRef>
          </c:tx>
          <c:invertIfNegative val="0"/>
          <c:cat>
            <c:numRef>
              <c:f>'1'!TB1AB</c:f>
              <c:numCache>
                <c:formatCode>yyyy\-mm</c:formatCode>
                <c:ptCount val="24"/>
                <c:pt idx="0">
                  <c:v>43281</c:v>
                </c:pt>
                <c:pt idx="1">
                  <c:v>43373</c:v>
                </c:pt>
                <c:pt idx="2">
                  <c:v>43465</c:v>
                </c:pt>
                <c:pt idx="3">
                  <c:v>43555</c:v>
                </c:pt>
                <c:pt idx="4">
                  <c:v>43646</c:v>
                </c:pt>
                <c:pt idx="5">
                  <c:v>43738</c:v>
                </c:pt>
                <c:pt idx="6">
                  <c:v>43830</c:v>
                </c:pt>
                <c:pt idx="7">
                  <c:v>43921</c:v>
                </c:pt>
                <c:pt idx="8">
                  <c:v>44012</c:v>
                </c:pt>
                <c:pt idx="9">
                  <c:v>44104</c:v>
                </c:pt>
                <c:pt idx="10">
                  <c:v>44196</c:v>
                </c:pt>
                <c:pt idx="11">
                  <c:v>44286</c:v>
                </c:pt>
                <c:pt idx="12">
                  <c:v>44377</c:v>
                </c:pt>
                <c:pt idx="13">
                  <c:v>44469</c:v>
                </c:pt>
                <c:pt idx="14">
                  <c:v>44561</c:v>
                </c:pt>
                <c:pt idx="15">
                  <c:v>44651</c:v>
                </c:pt>
                <c:pt idx="16">
                  <c:v>44742</c:v>
                </c:pt>
                <c:pt idx="17">
                  <c:v>44834</c:v>
                </c:pt>
                <c:pt idx="18">
                  <c:v>44926</c:v>
                </c:pt>
                <c:pt idx="19">
                  <c:v>45016</c:v>
                </c:pt>
                <c:pt idx="20">
                  <c:v>45107</c:v>
                </c:pt>
                <c:pt idx="21">
                  <c:v>45199</c:v>
                </c:pt>
                <c:pt idx="22">
                  <c:v>45291</c:v>
                </c:pt>
                <c:pt idx="23">
                  <c:v>45382</c:v>
                </c:pt>
              </c:numCache>
            </c:numRef>
          </c:cat>
          <c:val>
            <c:numRef>
              <c:f>'1'!TB1AF</c:f>
              <c:numCache>
                <c:formatCode>#,##0.00_ </c:formatCode>
                <c:ptCount val="24"/>
                <c:pt idx="0">
                  <c:v>6.1</c:v>
                </c:pt>
                <c:pt idx="1">
                  <c:v>5.8</c:v>
                </c:pt>
                <c:pt idx="2">
                  <c:v>5.7924069999999999</c:v>
                </c:pt>
                <c:pt idx="3">
                  <c:v>5.3</c:v>
                </c:pt>
                <c:pt idx="4">
                  <c:v>5</c:v>
                </c:pt>
                <c:pt idx="5">
                  <c:v>4.8</c:v>
                </c:pt>
                <c:pt idx="6">
                  <c:v>4.8746210000000003</c:v>
                </c:pt>
                <c:pt idx="7">
                  <c:v>-9.6999999999999993</c:v>
                </c:pt>
                <c:pt idx="8">
                  <c:v>-2</c:v>
                </c:pt>
                <c:pt idx="9">
                  <c:v>0.8</c:v>
                </c:pt>
                <c:pt idx="10">
                  <c:v>2.464251</c:v>
                </c:pt>
                <c:pt idx="11">
                  <c:v>24.9</c:v>
                </c:pt>
                <c:pt idx="12">
                  <c:v>15.3</c:v>
                </c:pt>
                <c:pt idx="13">
                  <c:v>11.1</c:v>
                </c:pt>
                <c:pt idx="14">
                  <c:v>8.6743050000000004</c:v>
                </c:pt>
                <c:pt idx="15">
                  <c:v>4.7</c:v>
                </c:pt>
                <c:pt idx="16">
                  <c:v>2.1</c:v>
                </c:pt>
                <c:pt idx="17">
                  <c:v>2.8</c:v>
                </c:pt>
                <c:pt idx="18">
                  <c:v>2.6</c:v>
                </c:pt>
                <c:pt idx="19">
                  <c:v>3.3</c:v>
                </c:pt>
                <c:pt idx="20">
                  <c:v>4.3</c:v>
                </c:pt>
                <c:pt idx="21">
                  <c:v>4.4000000000000004</c:v>
                </c:pt>
                <c:pt idx="22">
                  <c:v>4.7</c:v>
                </c:pt>
                <c:pt idx="2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43-4C7C-BDDF-F626E0E67579}"/>
            </c:ext>
          </c:extLst>
        </c:ser>
        <c:ser>
          <c:idx val="4"/>
          <c:order val="4"/>
          <c:tx>
            <c:strRef>
              <c:f>'1'!$G$39</c:f>
              <c:strCache>
                <c:ptCount val="1"/>
                <c:pt idx="0">
                  <c:v>GDP:第三产业:累计同比(可比价)</c:v>
                </c:pt>
              </c:strCache>
            </c:strRef>
          </c:tx>
          <c:invertIfNegative val="0"/>
          <c:cat>
            <c:numRef>
              <c:f>'1'!TB1AB</c:f>
              <c:numCache>
                <c:formatCode>yyyy\-mm</c:formatCode>
                <c:ptCount val="24"/>
                <c:pt idx="0">
                  <c:v>43281</c:v>
                </c:pt>
                <c:pt idx="1">
                  <c:v>43373</c:v>
                </c:pt>
                <c:pt idx="2">
                  <c:v>43465</c:v>
                </c:pt>
                <c:pt idx="3">
                  <c:v>43555</c:v>
                </c:pt>
                <c:pt idx="4">
                  <c:v>43646</c:v>
                </c:pt>
                <c:pt idx="5">
                  <c:v>43738</c:v>
                </c:pt>
                <c:pt idx="6">
                  <c:v>43830</c:v>
                </c:pt>
                <c:pt idx="7">
                  <c:v>43921</c:v>
                </c:pt>
                <c:pt idx="8">
                  <c:v>44012</c:v>
                </c:pt>
                <c:pt idx="9">
                  <c:v>44104</c:v>
                </c:pt>
                <c:pt idx="10">
                  <c:v>44196</c:v>
                </c:pt>
                <c:pt idx="11">
                  <c:v>44286</c:v>
                </c:pt>
                <c:pt idx="12">
                  <c:v>44377</c:v>
                </c:pt>
                <c:pt idx="13">
                  <c:v>44469</c:v>
                </c:pt>
                <c:pt idx="14">
                  <c:v>44561</c:v>
                </c:pt>
                <c:pt idx="15">
                  <c:v>44651</c:v>
                </c:pt>
                <c:pt idx="16">
                  <c:v>44742</c:v>
                </c:pt>
                <c:pt idx="17">
                  <c:v>44834</c:v>
                </c:pt>
                <c:pt idx="18">
                  <c:v>44926</c:v>
                </c:pt>
                <c:pt idx="19">
                  <c:v>45016</c:v>
                </c:pt>
                <c:pt idx="20">
                  <c:v>45107</c:v>
                </c:pt>
                <c:pt idx="21">
                  <c:v>45199</c:v>
                </c:pt>
                <c:pt idx="22">
                  <c:v>45291</c:v>
                </c:pt>
                <c:pt idx="23">
                  <c:v>45382</c:v>
                </c:pt>
              </c:numCache>
            </c:numRef>
          </c:cat>
          <c:val>
            <c:numRef>
              <c:f>'1'!TB1AG</c:f>
              <c:numCache>
                <c:formatCode>#,##0.00_ </c:formatCode>
                <c:ptCount val="24"/>
                <c:pt idx="0">
                  <c:v>7.9</c:v>
                </c:pt>
                <c:pt idx="1">
                  <c:v>8.1</c:v>
                </c:pt>
                <c:pt idx="2">
                  <c:v>7.9835099999999999</c:v>
                </c:pt>
                <c:pt idx="3">
                  <c:v>7.2</c:v>
                </c:pt>
                <c:pt idx="4">
                  <c:v>7.2</c:v>
                </c:pt>
                <c:pt idx="5">
                  <c:v>7.3</c:v>
                </c:pt>
                <c:pt idx="6">
                  <c:v>7.1810999999999998</c:v>
                </c:pt>
                <c:pt idx="7">
                  <c:v>-5.4</c:v>
                </c:pt>
                <c:pt idx="8">
                  <c:v>-1.7</c:v>
                </c:pt>
                <c:pt idx="9">
                  <c:v>0.3</c:v>
                </c:pt>
                <c:pt idx="10">
                  <c:v>1.947122</c:v>
                </c:pt>
                <c:pt idx="11">
                  <c:v>15.9</c:v>
                </c:pt>
                <c:pt idx="12">
                  <c:v>12.1</c:v>
                </c:pt>
                <c:pt idx="13">
                  <c:v>9.8000000000000007</c:v>
                </c:pt>
                <c:pt idx="14">
                  <c:v>8.4858709999999995</c:v>
                </c:pt>
                <c:pt idx="15">
                  <c:v>4.7</c:v>
                </c:pt>
                <c:pt idx="16">
                  <c:v>2.5</c:v>
                </c:pt>
                <c:pt idx="17">
                  <c:v>3</c:v>
                </c:pt>
                <c:pt idx="18">
                  <c:v>3</c:v>
                </c:pt>
                <c:pt idx="19">
                  <c:v>5.4</c:v>
                </c:pt>
                <c:pt idx="20">
                  <c:v>6.4</c:v>
                </c:pt>
                <c:pt idx="21">
                  <c:v>6</c:v>
                </c:pt>
                <c:pt idx="22">
                  <c:v>5.8</c:v>
                </c:pt>
                <c:pt idx="2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43-4C7C-BDDF-F626E0E67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838683824"/>
        <c:axId val="1"/>
      </c:barChart>
      <c:lineChart>
        <c:grouping val="standard"/>
        <c:varyColors val="0"/>
        <c:ser>
          <c:idx val="1"/>
          <c:order val="1"/>
          <c:tx>
            <c:strRef>
              <c:f>'1'!$D$39</c:f>
              <c:strCache>
                <c:ptCount val="1"/>
                <c:pt idx="0">
                  <c:v>GDP:当季同比(可比价)</c:v>
                </c:pt>
              </c:strCache>
            </c:strRef>
          </c:tx>
          <c:marker>
            <c:symbol val="none"/>
          </c:marker>
          <c:cat>
            <c:numRef>
              <c:f>'1'!TB1AB</c:f>
              <c:numCache>
                <c:formatCode>yyyy\-mm</c:formatCode>
                <c:ptCount val="24"/>
                <c:pt idx="0">
                  <c:v>43281</c:v>
                </c:pt>
                <c:pt idx="1">
                  <c:v>43373</c:v>
                </c:pt>
                <c:pt idx="2">
                  <c:v>43465</c:v>
                </c:pt>
                <c:pt idx="3">
                  <c:v>43555</c:v>
                </c:pt>
                <c:pt idx="4">
                  <c:v>43646</c:v>
                </c:pt>
                <c:pt idx="5">
                  <c:v>43738</c:v>
                </c:pt>
                <c:pt idx="6">
                  <c:v>43830</c:v>
                </c:pt>
                <c:pt idx="7">
                  <c:v>43921</c:v>
                </c:pt>
                <c:pt idx="8">
                  <c:v>44012</c:v>
                </c:pt>
                <c:pt idx="9">
                  <c:v>44104</c:v>
                </c:pt>
                <c:pt idx="10">
                  <c:v>44196</c:v>
                </c:pt>
                <c:pt idx="11">
                  <c:v>44286</c:v>
                </c:pt>
                <c:pt idx="12">
                  <c:v>44377</c:v>
                </c:pt>
                <c:pt idx="13">
                  <c:v>44469</c:v>
                </c:pt>
                <c:pt idx="14">
                  <c:v>44561</c:v>
                </c:pt>
                <c:pt idx="15">
                  <c:v>44651</c:v>
                </c:pt>
                <c:pt idx="16">
                  <c:v>44742</c:v>
                </c:pt>
                <c:pt idx="17">
                  <c:v>44834</c:v>
                </c:pt>
                <c:pt idx="18">
                  <c:v>44926</c:v>
                </c:pt>
                <c:pt idx="19">
                  <c:v>45016</c:v>
                </c:pt>
                <c:pt idx="20">
                  <c:v>45107</c:v>
                </c:pt>
                <c:pt idx="21">
                  <c:v>45199</c:v>
                </c:pt>
                <c:pt idx="22">
                  <c:v>45291</c:v>
                </c:pt>
                <c:pt idx="23">
                  <c:v>45382</c:v>
                </c:pt>
              </c:numCache>
            </c:numRef>
          </c:cat>
          <c:val>
            <c:numRef>
              <c:f>'1'!TB1AD</c:f>
              <c:numCache>
                <c:formatCode>#,##0.00_ </c:formatCode>
                <c:ptCount val="24"/>
                <c:pt idx="0">
                  <c:v>6.9</c:v>
                </c:pt>
                <c:pt idx="1">
                  <c:v>6.7</c:v>
                </c:pt>
                <c:pt idx="2">
                  <c:v>6.5</c:v>
                </c:pt>
                <c:pt idx="3">
                  <c:v>6.3</c:v>
                </c:pt>
                <c:pt idx="4">
                  <c:v>6</c:v>
                </c:pt>
                <c:pt idx="5">
                  <c:v>5.9</c:v>
                </c:pt>
                <c:pt idx="6">
                  <c:v>5.8</c:v>
                </c:pt>
                <c:pt idx="7">
                  <c:v>-6.9</c:v>
                </c:pt>
                <c:pt idx="8">
                  <c:v>3.1</c:v>
                </c:pt>
                <c:pt idx="9">
                  <c:v>4.8</c:v>
                </c:pt>
                <c:pt idx="10">
                  <c:v>6.4</c:v>
                </c:pt>
                <c:pt idx="11">
                  <c:v>18.7</c:v>
                </c:pt>
                <c:pt idx="12">
                  <c:v>8.3000000000000007</c:v>
                </c:pt>
                <c:pt idx="13">
                  <c:v>5.2</c:v>
                </c:pt>
                <c:pt idx="14">
                  <c:v>4.3</c:v>
                </c:pt>
                <c:pt idx="15">
                  <c:v>4.8</c:v>
                </c:pt>
                <c:pt idx="16">
                  <c:v>0.4</c:v>
                </c:pt>
                <c:pt idx="17">
                  <c:v>3.9</c:v>
                </c:pt>
                <c:pt idx="18">
                  <c:v>2.9</c:v>
                </c:pt>
                <c:pt idx="19">
                  <c:v>4.5</c:v>
                </c:pt>
                <c:pt idx="20">
                  <c:v>6.3</c:v>
                </c:pt>
                <c:pt idx="21">
                  <c:v>4.9000000000000004</c:v>
                </c:pt>
                <c:pt idx="22">
                  <c:v>5.2</c:v>
                </c:pt>
                <c:pt idx="23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43-4C7C-BDDF-F626E0E67579}"/>
            </c:ext>
          </c:extLst>
        </c:ser>
        <c:ser>
          <c:idx val="0"/>
          <c:order val="2"/>
          <c:tx>
            <c:strRef>
              <c:f>'1'!$C$39</c:f>
              <c:strCache>
                <c:ptCount val="1"/>
                <c:pt idx="0">
                  <c:v>GDP:累计同比(可比价)</c:v>
                </c:pt>
              </c:strCache>
            </c:strRef>
          </c:tx>
          <c:marker>
            <c:symbol val="none"/>
          </c:marker>
          <c:cat>
            <c:numRef>
              <c:f>'1'!TB1AB</c:f>
              <c:numCache>
                <c:formatCode>yyyy\-mm</c:formatCode>
                <c:ptCount val="24"/>
                <c:pt idx="0">
                  <c:v>43281</c:v>
                </c:pt>
                <c:pt idx="1">
                  <c:v>43373</c:v>
                </c:pt>
                <c:pt idx="2">
                  <c:v>43465</c:v>
                </c:pt>
                <c:pt idx="3">
                  <c:v>43555</c:v>
                </c:pt>
                <c:pt idx="4">
                  <c:v>43646</c:v>
                </c:pt>
                <c:pt idx="5">
                  <c:v>43738</c:v>
                </c:pt>
                <c:pt idx="6">
                  <c:v>43830</c:v>
                </c:pt>
                <c:pt idx="7">
                  <c:v>43921</c:v>
                </c:pt>
                <c:pt idx="8">
                  <c:v>44012</c:v>
                </c:pt>
                <c:pt idx="9">
                  <c:v>44104</c:v>
                </c:pt>
                <c:pt idx="10">
                  <c:v>44196</c:v>
                </c:pt>
                <c:pt idx="11">
                  <c:v>44286</c:v>
                </c:pt>
                <c:pt idx="12">
                  <c:v>44377</c:v>
                </c:pt>
                <c:pt idx="13">
                  <c:v>44469</c:v>
                </c:pt>
                <c:pt idx="14">
                  <c:v>44561</c:v>
                </c:pt>
                <c:pt idx="15">
                  <c:v>44651</c:v>
                </c:pt>
                <c:pt idx="16">
                  <c:v>44742</c:v>
                </c:pt>
                <c:pt idx="17">
                  <c:v>44834</c:v>
                </c:pt>
                <c:pt idx="18">
                  <c:v>44926</c:v>
                </c:pt>
                <c:pt idx="19">
                  <c:v>45016</c:v>
                </c:pt>
                <c:pt idx="20">
                  <c:v>45107</c:v>
                </c:pt>
                <c:pt idx="21">
                  <c:v>45199</c:v>
                </c:pt>
                <c:pt idx="22">
                  <c:v>45291</c:v>
                </c:pt>
                <c:pt idx="23">
                  <c:v>45382</c:v>
                </c:pt>
              </c:numCache>
            </c:numRef>
          </c:cat>
          <c:val>
            <c:numRef>
              <c:f>'1'!TB1AC</c:f>
              <c:numCache>
                <c:formatCode>#,##0.00_ </c:formatCode>
                <c:ptCount val="24"/>
                <c:pt idx="0">
                  <c:v>6.9</c:v>
                </c:pt>
                <c:pt idx="1">
                  <c:v>6.8</c:v>
                </c:pt>
                <c:pt idx="2">
                  <c:v>6.7497740000000004</c:v>
                </c:pt>
                <c:pt idx="3">
                  <c:v>6.3</c:v>
                </c:pt>
                <c:pt idx="4">
                  <c:v>6.1</c:v>
                </c:pt>
                <c:pt idx="5">
                  <c:v>6</c:v>
                </c:pt>
                <c:pt idx="6">
                  <c:v>5.950501</c:v>
                </c:pt>
                <c:pt idx="7">
                  <c:v>-6.9</c:v>
                </c:pt>
                <c:pt idx="8">
                  <c:v>-1.7</c:v>
                </c:pt>
                <c:pt idx="9">
                  <c:v>0.6</c:v>
                </c:pt>
                <c:pt idx="10">
                  <c:v>2.2386379999999999</c:v>
                </c:pt>
                <c:pt idx="11">
                  <c:v>18.7</c:v>
                </c:pt>
                <c:pt idx="12">
                  <c:v>13</c:v>
                </c:pt>
                <c:pt idx="13">
                  <c:v>10.1</c:v>
                </c:pt>
                <c:pt idx="14">
                  <c:v>8.4484689999999993</c:v>
                </c:pt>
                <c:pt idx="15">
                  <c:v>4.8</c:v>
                </c:pt>
                <c:pt idx="16">
                  <c:v>2.5</c:v>
                </c:pt>
                <c:pt idx="17">
                  <c:v>3</c:v>
                </c:pt>
                <c:pt idx="18">
                  <c:v>3</c:v>
                </c:pt>
                <c:pt idx="19">
                  <c:v>4.5</c:v>
                </c:pt>
                <c:pt idx="20">
                  <c:v>5.5</c:v>
                </c:pt>
                <c:pt idx="21">
                  <c:v>5.2</c:v>
                </c:pt>
                <c:pt idx="22">
                  <c:v>5.2</c:v>
                </c:pt>
                <c:pt idx="23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43-4C7C-BDDF-F626E0E67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683824"/>
        <c:axId val="1"/>
      </c:lineChart>
      <c:catAx>
        <c:axId val="838683824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low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2.097390556555857E-2"/>
              <c:y val="3.9887514060742403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838683824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3701120693246678"/>
          <c:w val="1"/>
          <c:h val="0.13206849143857025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altLang="zh-CN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defRPr>
            </a:pPr>
            <a:r>
              <a:rPr lang="en-US" altLang="zh-CN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GDP与财政收支</a:t>
            </a:r>
          </a:p>
        </c:rich>
      </c:tx>
      <c:layout>
        <c:manualLayout>
          <c:xMode val="edge"/>
          <c:yMode val="edge"/>
          <c:x val="0.43940125231786298"/>
          <c:y val="1.396158813481648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48122866894198"/>
          <c:y val="0.12433862433862433"/>
          <c:w val="0.7337883959044369"/>
          <c:h val="0.53439153439153442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'1'!$M$39</c:f>
              <c:strCache>
                <c:ptCount val="1"/>
                <c:pt idx="0">
                  <c:v>财政预算收支相抵(右轴)</c:v>
                </c:pt>
              </c:strCache>
            </c:strRef>
          </c:tx>
          <c:invertIfNegative val="0"/>
          <c:cat>
            <c:numRef>
              <c:f>'1'!TB1BI</c:f>
              <c:numCache>
                <c:formatCode>yyyy\-mm</c:formatCode>
                <c:ptCount val="24"/>
                <c:pt idx="0">
                  <c:v>43281</c:v>
                </c:pt>
                <c:pt idx="1">
                  <c:v>43373</c:v>
                </c:pt>
                <c:pt idx="2">
                  <c:v>43465</c:v>
                </c:pt>
                <c:pt idx="3">
                  <c:v>43555</c:v>
                </c:pt>
                <c:pt idx="4">
                  <c:v>43646</c:v>
                </c:pt>
                <c:pt idx="5">
                  <c:v>43738</c:v>
                </c:pt>
                <c:pt idx="6">
                  <c:v>43830</c:v>
                </c:pt>
                <c:pt idx="7">
                  <c:v>43921</c:v>
                </c:pt>
                <c:pt idx="8">
                  <c:v>44012</c:v>
                </c:pt>
                <c:pt idx="9">
                  <c:v>44104</c:v>
                </c:pt>
                <c:pt idx="10">
                  <c:v>44196</c:v>
                </c:pt>
                <c:pt idx="11">
                  <c:v>44286</c:v>
                </c:pt>
                <c:pt idx="12">
                  <c:v>44377</c:v>
                </c:pt>
                <c:pt idx="13">
                  <c:v>44469</c:v>
                </c:pt>
                <c:pt idx="14">
                  <c:v>44561</c:v>
                </c:pt>
                <c:pt idx="15">
                  <c:v>44651</c:v>
                </c:pt>
                <c:pt idx="16">
                  <c:v>44742</c:v>
                </c:pt>
                <c:pt idx="17">
                  <c:v>44834</c:v>
                </c:pt>
                <c:pt idx="18">
                  <c:v>44926</c:v>
                </c:pt>
                <c:pt idx="19">
                  <c:v>45016</c:v>
                </c:pt>
                <c:pt idx="20">
                  <c:v>45107</c:v>
                </c:pt>
                <c:pt idx="21">
                  <c:v>45199</c:v>
                </c:pt>
                <c:pt idx="22">
                  <c:v>45291</c:v>
                </c:pt>
                <c:pt idx="23">
                  <c:v>45382</c:v>
                </c:pt>
              </c:numCache>
            </c:numRef>
          </c:cat>
          <c:val>
            <c:numRef>
              <c:f>'1'!TB1BM</c:f>
              <c:numCache>
                <c:formatCode>#,##0.00_ </c:formatCode>
                <c:ptCount val="24"/>
                <c:pt idx="0">
                  <c:v>-7261.43</c:v>
                </c:pt>
                <c:pt idx="1">
                  <c:v>-17458.169999999998</c:v>
                </c:pt>
                <c:pt idx="2">
                  <c:v>-37554</c:v>
                </c:pt>
                <c:pt idx="3">
                  <c:v>-4973</c:v>
                </c:pt>
                <c:pt idx="4">
                  <c:v>-15692</c:v>
                </c:pt>
                <c:pt idx="5">
                  <c:v>-27934</c:v>
                </c:pt>
                <c:pt idx="6">
                  <c:v>-48492</c:v>
                </c:pt>
                <c:pt idx="7">
                  <c:v>-9300</c:v>
                </c:pt>
                <c:pt idx="8">
                  <c:v>-20235</c:v>
                </c:pt>
                <c:pt idx="9">
                  <c:v>-34183</c:v>
                </c:pt>
                <c:pt idx="10">
                  <c:v>-62693</c:v>
                </c:pt>
                <c:pt idx="11">
                  <c:v>-1588</c:v>
                </c:pt>
                <c:pt idx="12">
                  <c:v>-4560</c:v>
                </c:pt>
                <c:pt idx="13">
                  <c:v>-15273</c:v>
                </c:pt>
                <c:pt idx="14">
                  <c:v>-43783</c:v>
                </c:pt>
                <c:pt idx="15">
                  <c:v>-1550</c:v>
                </c:pt>
                <c:pt idx="16">
                  <c:v>-23666</c:v>
                </c:pt>
                <c:pt idx="17">
                  <c:v>-37238</c:v>
                </c:pt>
                <c:pt idx="18">
                  <c:v>-56906</c:v>
                </c:pt>
                <c:pt idx="19">
                  <c:v>-5574</c:v>
                </c:pt>
                <c:pt idx="20">
                  <c:v>-14690</c:v>
                </c:pt>
                <c:pt idx="21">
                  <c:v>-31184</c:v>
                </c:pt>
                <c:pt idx="22">
                  <c:v>-57790</c:v>
                </c:pt>
                <c:pt idx="23">
                  <c:v>-8979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ED-4070-97B7-647EE34F1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"/>
        <c:axId val="4"/>
      </c:barChart>
      <c:lineChart>
        <c:grouping val="standard"/>
        <c:varyColors val="0"/>
        <c:ser>
          <c:idx val="2"/>
          <c:order val="0"/>
          <c:tx>
            <c:strRef>
              <c:f>'1'!$J$39</c:f>
              <c:strCache>
                <c:ptCount val="1"/>
                <c:pt idx="0">
                  <c:v>GDP:累计值</c:v>
                </c:pt>
              </c:strCache>
            </c:strRef>
          </c:tx>
          <c:marker>
            <c:symbol val="none"/>
          </c:marker>
          <c:cat>
            <c:numRef>
              <c:f>'1'!TB1BI</c:f>
              <c:numCache>
                <c:formatCode>yyyy\-mm</c:formatCode>
                <c:ptCount val="24"/>
                <c:pt idx="0">
                  <c:v>43281</c:v>
                </c:pt>
                <c:pt idx="1">
                  <c:v>43373</c:v>
                </c:pt>
                <c:pt idx="2">
                  <c:v>43465</c:v>
                </c:pt>
                <c:pt idx="3">
                  <c:v>43555</c:v>
                </c:pt>
                <c:pt idx="4">
                  <c:v>43646</c:v>
                </c:pt>
                <c:pt idx="5">
                  <c:v>43738</c:v>
                </c:pt>
                <c:pt idx="6">
                  <c:v>43830</c:v>
                </c:pt>
                <c:pt idx="7">
                  <c:v>43921</c:v>
                </c:pt>
                <c:pt idx="8">
                  <c:v>44012</c:v>
                </c:pt>
                <c:pt idx="9">
                  <c:v>44104</c:v>
                </c:pt>
                <c:pt idx="10">
                  <c:v>44196</c:v>
                </c:pt>
                <c:pt idx="11">
                  <c:v>44286</c:v>
                </c:pt>
                <c:pt idx="12">
                  <c:v>44377</c:v>
                </c:pt>
                <c:pt idx="13">
                  <c:v>44469</c:v>
                </c:pt>
                <c:pt idx="14">
                  <c:v>44561</c:v>
                </c:pt>
                <c:pt idx="15">
                  <c:v>44651</c:v>
                </c:pt>
                <c:pt idx="16">
                  <c:v>44742</c:v>
                </c:pt>
                <c:pt idx="17">
                  <c:v>44834</c:v>
                </c:pt>
                <c:pt idx="18">
                  <c:v>44926</c:v>
                </c:pt>
                <c:pt idx="19">
                  <c:v>45016</c:v>
                </c:pt>
                <c:pt idx="20">
                  <c:v>45107</c:v>
                </c:pt>
                <c:pt idx="21">
                  <c:v>45199</c:v>
                </c:pt>
                <c:pt idx="22">
                  <c:v>45291</c:v>
                </c:pt>
                <c:pt idx="23">
                  <c:v>45382</c:v>
                </c:pt>
              </c:numCache>
            </c:numRef>
          </c:cat>
          <c:val>
            <c:numRef>
              <c:f>'1'!TB1BJ</c:f>
              <c:numCache>
                <c:formatCode>#,##0.00_ </c:formatCode>
                <c:ptCount val="24"/>
                <c:pt idx="0">
                  <c:v>425997.9</c:v>
                </c:pt>
                <c:pt idx="1">
                  <c:v>660472.19999999995</c:v>
                </c:pt>
                <c:pt idx="2">
                  <c:v>919281.129067</c:v>
                </c:pt>
                <c:pt idx="3">
                  <c:v>217168.3</c:v>
                </c:pt>
                <c:pt idx="4">
                  <c:v>458670.9</c:v>
                </c:pt>
                <c:pt idx="5">
                  <c:v>709717.2</c:v>
                </c:pt>
                <c:pt idx="6">
                  <c:v>986515.20229199994</c:v>
                </c:pt>
                <c:pt idx="7">
                  <c:v>205244.79999999999</c:v>
                </c:pt>
                <c:pt idx="8">
                  <c:v>453592.5</c:v>
                </c:pt>
                <c:pt idx="9">
                  <c:v>717948.2</c:v>
                </c:pt>
                <c:pt idx="10">
                  <c:v>1013567.002231</c:v>
                </c:pt>
                <c:pt idx="11">
                  <c:v>249200.2</c:v>
                </c:pt>
                <c:pt idx="12">
                  <c:v>532049.4</c:v>
                </c:pt>
                <c:pt idx="13">
                  <c:v>823337.5</c:v>
                </c:pt>
                <c:pt idx="14">
                  <c:v>1149236.9786110001</c:v>
                </c:pt>
                <c:pt idx="15">
                  <c:v>270344.5</c:v>
                </c:pt>
                <c:pt idx="16">
                  <c:v>562791.1</c:v>
                </c:pt>
                <c:pt idx="17">
                  <c:v>870733.2</c:v>
                </c:pt>
                <c:pt idx="18">
                  <c:v>1204724</c:v>
                </c:pt>
                <c:pt idx="19">
                  <c:v>284423</c:v>
                </c:pt>
                <c:pt idx="20">
                  <c:v>592715.6</c:v>
                </c:pt>
                <c:pt idx="21">
                  <c:v>912692</c:v>
                </c:pt>
                <c:pt idx="22">
                  <c:v>1260582.1000000001</c:v>
                </c:pt>
                <c:pt idx="23">
                  <c:v>296299.5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ED-4070-97B7-647EE34F17B9}"/>
            </c:ext>
          </c:extLst>
        </c:ser>
        <c:ser>
          <c:idx val="1"/>
          <c:order val="1"/>
          <c:tx>
            <c:strRef>
              <c:f>'1'!$K$39</c:f>
              <c:strCache>
                <c:ptCount val="1"/>
                <c:pt idx="0">
                  <c:v>财政预算收入:累计值</c:v>
                </c:pt>
              </c:strCache>
            </c:strRef>
          </c:tx>
          <c:marker>
            <c:symbol val="none"/>
          </c:marker>
          <c:cat>
            <c:numRef>
              <c:f>'1'!TB1BI</c:f>
              <c:numCache>
                <c:formatCode>yyyy\-mm</c:formatCode>
                <c:ptCount val="24"/>
                <c:pt idx="0">
                  <c:v>43281</c:v>
                </c:pt>
                <c:pt idx="1">
                  <c:v>43373</c:v>
                </c:pt>
                <c:pt idx="2">
                  <c:v>43465</c:v>
                </c:pt>
                <c:pt idx="3">
                  <c:v>43555</c:v>
                </c:pt>
                <c:pt idx="4">
                  <c:v>43646</c:v>
                </c:pt>
                <c:pt idx="5">
                  <c:v>43738</c:v>
                </c:pt>
                <c:pt idx="6">
                  <c:v>43830</c:v>
                </c:pt>
                <c:pt idx="7">
                  <c:v>43921</c:v>
                </c:pt>
                <c:pt idx="8">
                  <c:v>44012</c:v>
                </c:pt>
                <c:pt idx="9">
                  <c:v>44104</c:v>
                </c:pt>
                <c:pt idx="10">
                  <c:v>44196</c:v>
                </c:pt>
                <c:pt idx="11">
                  <c:v>44286</c:v>
                </c:pt>
                <c:pt idx="12">
                  <c:v>44377</c:v>
                </c:pt>
                <c:pt idx="13">
                  <c:v>44469</c:v>
                </c:pt>
                <c:pt idx="14">
                  <c:v>44561</c:v>
                </c:pt>
                <c:pt idx="15">
                  <c:v>44651</c:v>
                </c:pt>
                <c:pt idx="16">
                  <c:v>44742</c:v>
                </c:pt>
                <c:pt idx="17">
                  <c:v>44834</c:v>
                </c:pt>
                <c:pt idx="18">
                  <c:v>44926</c:v>
                </c:pt>
                <c:pt idx="19">
                  <c:v>45016</c:v>
                </c:pt>
                <c:pt idx="20">
                  <c:v>45107</c:v>
                </c:pt>
                <c:pt idx="21">
                  <c:v>45199</c:v>
                </c:pt>
                <c:pt idx="22">
                  <c:v>45291</c:v>
                </c:pt>
                <c:pt idx="23">
                  <c:v>45382</c:v>
                </c:pt>
              </c:numCache>
            </c:numRef>
          </c:cat>
          <c:val>
            <c:numRef>
              <c:f>'1'!TB1BK</c:f>
              <c:numCache>
                <c:formatCode>#,##0.00_ </c:formatCode>
                <c:ptCount val="24"/>
                <c:pt idx="0">
                  <c:v>104330.68</c:v>
                </c:pt>
                <c:pt idx="1">
                  <c:v>145831.32</c:v>
                </c:pt>
                <c:pt idx="2">
                  <c:v>183352</c:v>
                </c:pt>
                <c:pt idx="3">
                  <c:v>53656</c:v>
                </c:pt>
                <c:pt idx="4">
                  <c:v>107846</c:v>
                </c:pt>
                <c:pt idx="5">
                  <c:v>150678</c:v>
                </c:pt>
                <c:pt idx="6">
                  <c:v>190382</c:v>
                </c:pt>
                <c:pt idx="7">
                  <c:v>45984</c:v>
                </c:pt>
                <c:pt idx="8">
                  <c:v>96176</c:v>
                </c:pt>
                <c:pt idx="9">
                  <c:v>141002</c:v>
                </c:pt>
                <c:pt idx="10">
                  <c:v>182895</c:v>
                </c:pt>
                <c:pt idx="11">
                  <c:v>57115</c:v>
                </c:pt>
                <c:pt idx="12">
                  <c:v>117116</c:v>
                </c:pt>
                <c:pt idx="13">
                  <c:v>164020</c:v>
                </c:pt>
                <c:pt idx="14">
                  <c:v>202539</c:v>
                </c:pt>
                <c:pt idx="15">
                  <c:v>62037</c:v>
                </c:pt>
                <c:pt idx="16">
                  <c:v>105221</c:v>
                </c:pt>
                <c:pt idx="17">
                  <c:v>153151</c:v>
                </c:pt>
                <c:pt idx="18">
                  <c:v>203703</c:v>
                </c:pt>
                <c:pt idx="19">
                  <c:v>62341</c:v>
                </c:pt>
                <c:pt idx="20">
                  <c:v>119203</c:v>
                </c:pt>
                <c:pt idx="21">
                  <c:v>166713</c:v>
                </c:pt>
                <c:pt idx="22">
                  <c:v>216784</c:v>
                </c:pt>
                <c:pt idx="23">
                  <c:v>60877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ED-4070-97B7-647EE34F17B9}"/>
            </c:ext>
          </c:extLst>
        </c:ser>
        <c:ser>
          <c:idx val="0"/>
          <c:order val="2"/>
          <c:tx>
            <c:strRef>
              <c:f>'1'!$L$39</c:f>
              <c:strCache>
                <c:ptCount val="1"/>
                <c:pt idx="0">
                  <c:v>财政预算支出:累计值</c:v>
                </c:pt>
              </c:strCache>
            </c:strRef>
          </c:tx>
          <c:marker>
            <c:symbol val="none"/>
          </c:marker>
          <c:cat>
            <c:numRef>
              <c:f>'1'!TB1BI</c:f>
              <c:numCache>
                <c:formatCode>yyyy\-mm</c:formatCode>
                <c:ptCount val="24"/>
                <c:pt idx="0">
                  <c:v>43281</c:v>
                </c:pt>
                <c:pt idx="1">
                  <c:v>43373</c:v>
                </c:pt>
                <c:pt idx="2">
                  <c:v>43465</c:v>
                </c:pt>
                <c:pt idx="3">
                  <c:v>43555</c:v>
                </c:pt>
                <c:pt idx="4">
                  <c:v>43646</c:v>
                </c:pt>
                <c:pt idx="5">
                  <c:v>43738</c:v>
                </c:pt>
                <c:pt idx="6">
                  <c:v>43830</c:v>
                </c:pt>
                <c:pt idx="7">
                  <c:v>43921</c:v>
                </c:pt>
                <c:pt idx="8">
                  <c:v>44012</c:v>
                </c:pt>
                <c:pt idx="9">
                  <c:v>44104</c:v>
                </c:pt>
                <c:pt idx="10">
                  <c:v>44196</c:v>
                </c:pt>
                <c:pt idx="11">
                  <c:v>44286</c:v>
                </c:pt>
                <c:pt idx="12">
                  <c:v>44377</c:v>
                </c:pt>
                <c:pt idx="13">
                  <c:v>44469</c:v>
                </c:pt>
                <c:pt idx="14">
                  <c:v>44561</c:v>
                </c:pt>
                <c:pt idx="15">
                  <c:v>44651</c:v>
                </c:pt>
                <c:pt idx="16">
                  <c:v>44742</c:v>
                </c:pt>
                <c:pt idx="17">
                  <c:v>44834</c:v>
                </c:pt>
                <c:pt idx="18">
                  <c:v>44926</c:v>
                </c:pt>
                <c:pt idx="19">
                  <c:v>45016</c:v>
                </c:pt>
                <c:pt idx="20">
                  <c:v>45107</c:v>
                </c:pt>
                <c:pt idx="21">
                  <c:v>45199</c:v>
                </c:pt>
                <c:pt idx="22">
                  <c:v>45291</c:v>
                </c:pt>
                <c:pt idx="23">
                  <c:v>45382</c:v>
                </c:pt>
              </c:numCache>
            </c:numRef>
          </c:cat>
          <c:val>
            <c:numRef>
              <c:f>'1'!TB1BL</c:f>
              <c:numCache>
                <c:formatCode>#,##0.00_ </c:formatCode>
                <c:ptCount val="24"/>
                <c:pt idx="0">
                  <c:v>111592.11</c:v>
                </c:pt>
                <c:pt idx="1">
                  <c:v>163289.49</c:v>
                </c:pt>
                <c:pt idx="2">
                  <c:v>220906</c:v>
                </c:pt>
                <c:pt idx="3">
                  <c:v>58629</c:v>
                </c:pt>
                <c:pt idx="4">
                  <c:v>123538</c:v>
                </c:pt>
                <c:pt idx="5">
                  <c:v>178612</c:v>
                </c:pt>
                <c:pt idx="6">
                  <c:v>238874</c:v>
                </c:pt>
                <c:pt idx="7">
                  <c:v>55284</c:v>
                </c:pt>
                <c:pt idx="8">
                  <c:v>116411</c:v>
                </c:pt>
                <c:pt idx="9">
                  <c:v>175185</c:v>
                </c:pt>
                <c:pt idx="10">
                  <c:v>245588</c:v>
                </c:pt>
                <c:pt idx="11">
                  <c:v>58703</c:v>
                </c:pt>
                <c:pt idx="12">
                  <c:v>121676</c:v>
                </c:pt>
                <c:pt idx="13">
                  <c:v>179293</c:v>
                </c:pt>
                <c:pt idx="14">
                  <c:v>246322</c:v>
                </c:pt>
                <c:pt idx="15">
                  <c:v>63587</c:v>
                </c:pt>
                <c:pt idx="16">
                  <c:v>128887</c:v>
                </c:pt>
                <c:pt idx="17">
                  <c:v>190389</c:v>
                </c:pt>
                <c:pt idx="18">
                  <c:v>260609</c:v>
                </c:pt>
                <c:pt idx="19">
                  <c:v>67915</c:v>
                </c:pt>
                <c:pt idx="20">
                  <c:v>133893</c:v>
                </c:pt>
                <c:pt idx="21">
                  <c:v>197897</c:v>
                </c:pt>
                <c:pt idx="22">
                  <c:v>274574</c:v>
                </c:pt>
                <c:pt idx="23">
                  <c:v>69856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ED-4070-97B7-647EE34F1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684240"/>
        <c:axId val="1"/>
      </c:lineChart>
      <c:catAx>
        <c:axId val="838684240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（亿元）</a:t>
                </a:r>
              </a:p>
            </c:rich>
          </c:tx>
          <c:layout>
            <c:manualLayout>
              <c:xMode val="edge"/>
              <c:yMode val="edge"/>
              <c:x val="3.4858330422007831E-2"/>
              <c:y val="3.7193128636698193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838684240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（亿元）</a:t>
                </a:r>
              </a:p>
            </c:rich>
          </c:tx>
          <c:layout>
            <c:manualLayout>
              <c:xMode val="edge"/>
              <c:yMode val="edge"/>
              <c:x val="0.84255623337185237"/>
              <c:y val="3.7193128636698193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3"/>
        <c:crosses val="max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2228137323126871"/>
          <c:w val="1"/>
          <c:h val="0.13206849143857025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defRPr>
            </a:pPr>
            <a:r>
              <a: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固定资产投资与信贷规模</a:t>
            </a:r>
          </a:p>
        </c:rich>
      </c:tx>
      <c:layout>
        <c:manualLayout>
          <c:xMode val="edge"/>
          <c:yMode val="edge"/>
          <c:x val="0.33369881665815665"/>
          <c:y val="3.3795775528058991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48122866894198"/>
          <c:y val="0.1164021164021164"/>
          <c:w val="0.77815699658703075"/>
          <c:h val="0.54833710276038039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'2'!$C$39</c:f>
              <c:strCache>
                <c:ptCount val="1"/>
                <c:pt idx="0">
                  <c:v>城镇固定资产投资完成额:累计值</c:v>
                </c:pt>
              </c:strCache>
            </c:strRef>
          </c:tx>
          <c:invertIfNegative val="0"/>
          <c:cat>
            <c:numRef>
              <c:f>'2'!TB2AB</c:f>
              <c:numCache>
                <c:formatCode>yyyy\-mm</c:formatCode>
                <c:ptCount val="34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  <c:pt idx="30">
                  <c:v>45351</c:v>
                </c:pt>
                <c:pt idx="31">
                  <c:v>45382</c:v>
                </c:pt>
                <c:pt idx="32">
                  <c:v>45412</c:v>
                </c:pt>
                <c:pt idx="33">
                  <c:v>45443</c:v>
                </c:pt>
              </c:numCache>
            </c:numRef>
          </c:cat>
          <c:val>
            <c:numRef>
              <c:f>'2'!TB2AC</c:f>
              <c:numCache>
                <c:formatCode>#,##0.00_ </c:formatCode>
                <c:ptCount val="34"/>
                <c:pt idx="0">
                  <c:v>346913</c:v>
                </c:pt>
                <c:pt idx="1">
                  <c:v>397827</c:v>
                </c:pt>
                <c:pt idx="2">
                  <c:v>445823</c:v>
                </c:pt>
                <c:pt idx="3">
                  <c:v>494082</c:v>
                </c:pt>
                <c:pt idx="4">
                  <c:v>544547</c:v>
                </c:pt>
                <c:pt idx="5">
                  <c:v>0</c:v>
                </c:pt>
                <c:pt idx="6">
                  <c:v>50763</c:v>
                </c:pt>
                <c:pt idx="7">
                  <c:v>104872</c:v>
                </c:pt>
                <c:pt idx="8">
                  <c:v>153544</c:v>
                </c:pt>
                <c:pt idx="9">
                  <c:v>205964</c:v>
                </c:pt>
                <c:pt idx="10">
                  <c:v>271430</c:v>
                </c:pt>
                <c:pt idx="11">
                  <c:v>319812</c:v>
                </c:pt>
                <c:pt idx="12">
                  <c:v>367106</c:v>
                </c:pt>
                <c:pt idx="13">
                  <c:v>421412</c:v>
                </c:pt>
                <c:pt idx="14">
                  <c:v>471459</c:v>
                </c:pt>
                <c:pt idx="15">
                  <c:v>520043</c:v>
                </c:pt>
                <c:pt idx="16">
                  <c:v>572138</c:v>
                </c:pt>
                <c:pt idx="17">
                  <c:v>0</c:v>
                </c:pt>
                <c:pt idx="18">
                  <c:v>53577</c:v>
                </c:pt>
                <c:pt idx="19">
                  <c:v>107282</c:v>
                </c:pt>
                <c:pt idx="20">
                  <c:v>147482</c:v>
                </c:pt>
                <c:pt idx="21">
                  <c:v>188815</c:v>
                </c:pt>
                <c:pt idx="22">
                  <c:v>243113</c:v>
                </c:pt>
                <c:pt idx="23">
                  <c:v>285898</c:v>
                </c:pt>
                <c:pt idx="24">
                  <c:v>327042</c:v>
                </c:pt>
                <c:pt idx="25">
                  <c:v>375035</c:v>
                </c:pt>
                <c:pt idx="26">
                  <c:v>419409</c:v>
                </c:pt>
                <c:pt idx="27">
                  <c:v>460814</c:v>
                </c:pt>
                <c:pt idx="28">
                  <c:v>503036</c:v>
                </c:pt>
                <c:pt idx="29">
                  <c:v>0</c:v>
                </c:pt>
                <c:pt idx="30">
                  <c:v>50847</c:v>
                </c:pt>
                <c:pt idx="31">
                  <c:v>100042</c:v>
                </c:pt>
                <c:pt idx="32">
                  <c:v>143401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2-451D-A254-9EB73BA8796D}"/>
            </c:ext>
          </c:extLst>
        </c:ser>
        <c:ser>
          <c:idx val="0"/>
          <c:order val="2"/>
          <c:tx>
            <c:strRef>
              <c:f>'2'!$E$39</c:f>
              <c:strCache>
                <c:ptCount val="1"/>
                <c:pt idx="0">
                  <c:v>金融机构:各项贷款余额</c:v>
                </c:pt>
              </c:strCache>
            </c:strRef>
          </c:tx>
          <c:invertIfNegative val="0"/>
          <c:cat>
            <c:numRef>
              <c:f>'2'!TB2AB</c:f>
              <c:numCache>
                <c:formatCode>yyyy\-mm</c:formatCode>
                <c:ptCount val="34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  <c:pt idx="30">
                  <c:v>45351</c:v>
                </c:pt>
                <c:pt idx="31">
                  <c:v>45382</c:v>
                </c:pt>
                <c:pt idx="32">
                  <c:v>45412</c:v>
                </c:pt>
                <c:pt idx="33">
                  <c:v>45443</c:v>
                </c:pt>
              </c:numCache>
            </c:numRef>
          </c:cat>
          <c:val>
            <c:numRef>
              <c:f>'2'!TB2AE</c:f>
              <c:numCache>
                <c:formatCode>#,##0.00_ </c:formatCode>
                <c:ptCount val="34"/>
                <c:pt idx="0">
                  <c:v>1877960.82</c:v>
                </c:pt>
                <c:pt idx="1">
                  <c:v>1894591.04</c:v>
                </c:pt>
                <c:pt idx="2">
                  <c:v>1902852.75</c:v>
                </c:pt>
                <c:pt idx="3">
                  <c:v>1915584.74</c:v>
                </c:pt>
                <c:pt idx="4">
                  <c:v>1926902.81</c:v>
                </c:pt>
                <c:pt idx="5">
                  <c:v>1966521.17</c:v>
                </c:pt>
                <c:pt idx="6">
                  <c:v>1978857.03</c:v>
                </c:pt>
                <c:pt idx="7">
                  <c:v>2010110.55</c:v>
                </c:pt>
                <c:pt idx="8">
                  <c:v>2016564.32</c:v>
                </c:pt>
                <c:pt idx="9">
                  <c:v>2035448.45</c:v>
                </c:pt>
                <c:pt idx="10">
                  <c:v>2063511.81</c:v>
                </c:pt>
                <c:pt idx="11">
                  <c:v>2070301.63</c:v>
                </c:pt>
                <c:pt idx="12">
                  <c:v>2082843.52</c:v>
                </c:pt>
                <c:pt idx="13">
                  <c:v>2107581.92</c:v>
                </c:pt>
                <c:pt idx="14">
                  <c:v>2113733.7000000002</c:v>
                </c:pt>
                <c:pt idx="15">
                  <c:v>2125869.63</c:v>
                </c:pt>
                <c:pt idx="16">
                  <c:v>2139852.67</c:v>
                </c:pt>
                <c:pt idx="17">
                  <c:v>2197455.14</c:v>
                </c:pt>
                <c:pt idx="18">
                  <c:v>2215575.67</c:v>
                </c:pt>
                <c:pt idx="19">
                  <c:v>2254455.1</c:v>
                </c:pt>
                <c:pt idx="20">
                  <c:v>2261643.4700000002</c:v>
                </c:pt>
                <c:pt idx="21">
                  <c:v>2275271.41</c:v>
                </c:pt>
                <c:pt idx="22">
                  <c:v>2305766.69</c:v>
                </c:pt>
                <c:pt idx="23">
                  <c:v>2309226.1800000002</c:v>
                </c:pt>
                <c:pt idx="24">
                  <c:v>2322806.64</c:v>
                </c:pt>
                <c:pt idx="25">
                  <c:v>2345924.92</c:v>
                </c:pt>
                <c:pt idx="26">
                  <c:v>2353309.12</c:v>
                </c:pt>
                <c:pt idx="27">
                  <c:v>2364196.44</c:v>
                </c:pt>
                <c:pt idx="28">
                  <c:v>2375905.37</c:v>
                </c:pt>
                <c:pt idx="29">
                  <c:v>2425047.89</c:v>
                </c:pt>
                <c:pt idx="30">
                  <c:v>2439604.04</c:v>
                </c:pt>
                <c:pt idx="31">
                  <c:v>2470492.81</c:v>
                </c:pt>
                <c:pt idx="32">
                  <c:v>2477817.7200000002</c:v>
                </c:pt>
                <c:pt idx="33">
                  <c:v>2487300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2-451D-A254-9EB73BA87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8681328"/>
        <c:axId val="1"/>
      </c:barChart>
      <c:lineChart>
        <c:grouping val="standard"/>
        <c:varyColors val="0"/>
        <c:ser>
          <c:idx val="1"/>
          <c:order val="1"/>
          <c:tx>
            <c:strRef>
              <c:f>'2'!$D$39</c:f>
              <c:strCache>
                <c:ptCount val="1"/>
                <c:pt idx="0">
                  <c:v>城镇固定资产投资完成额:累计同比(右轴)</c:v>
                </c:pt>
              </c:strCache>
            </c:strRef>
          </c:tx>
          <c:marker>
            <c:symbol val="none"/>
          </c:marker>
          <c:cat>
            <c:numRef>
              <c:f>'2'!TB2AB</c:f>
              <c:numCache>
                <c:formatCode>yyyy\-mm</c:formatCode>
                <c:ptCount val="34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  <c:pt idx="30">
                  <c:v>45351</c:v>
                </c:pt>
                <c:pt idx="31">
                  <c:v>45382</c:v>
                </c:pt>
                <c:pt idx="32">
                  <c:v>45412</c:v>
                </c:pt>
                <c:pt idx="33">
                  <c:v>45443</c:v>
                </c:pt>
              </c:numCache>
            </c:numRef>
          </c:cat>
          <c:val>
            <c:numRef>
              <c:f>'2'!TB2AD</c:f>
              <c:numCache>
                <c:formatCode>#,##0.00_ </c:formatCode>
                <c:ptCount val="34"/>
                <c:pt idx="0">
                  <c:v>8.9</c:v>
                </c:pt>
                <c:pt idx="1">
                  <c:v>7.3</c:v>
                </c:pt>
                <c:pt idx="2">
                  <c:v>6.1</c:v>
                </c:pt>
                <c:pt idx="3">
                  <c:v>5.2</c:v>
                </c:pt>
                <c:pt idx="4">
                  <c:v>4.9000000000000004</c:v>
                </c:pt>
                <c:pt idx="5">
                  <c:v>0</c:v>
                </c:pt>
                <c:pt idx="6">
                  <c:v>12.2</c:v>
                </c:pt>
                <c:pt idx="7">
                  <c:v>9.3000000000000007</c:v>
                </c:pt>
                <c:pt idx="8">
                  <c:v>6.8</c:v>
                </c:pt>
                <c:pt idx="9">
                  <c:v>6.2</c:v>
                </c:pt>
                <c:pt idx="10">
                  <c:v>6.1</c:v>
                </c:pt>
                <c:pt idx="11">
                  <c:v>5.7</c:v>
                </c:pt>
                <c:pt idx="12">
                  <c:v>5.8</c:v>
                </c:pt>
                <c:pt idx="13">
                  <c:v>5.9</c:v>
                </c:pt>
                <c:pt idx="14">
                  <c:v>5.8</c:v>
                </c:pt>
                <c:pt idx="15">
                  <c:v>5.3</c:v>
                </c:pt>
                <c:pt idx="16">
                  <c:v>5.0999999999999996</c:v>
                </c:pt>
                <c:pt idx="17">
                  <c:v>0</c:v>
                </c:pt>
                <c:pt idx="18">
                  <c:v>5.5</c:v>
                </c:pt>
                <c:pt idx="19">
                  <c:v>5.0999999999999996</c:v>
                </c:pt>
                <c:pt idx="20">
                  <c:v>4.7</c:v>
                </c:pt>
                <c:pt idx="21">
                  <c:v>4</c:v>
                </c:pt>
                <c:pt idx="22">
                  <c:v>3.8</c:v>
                </c:pt>
                <c:pt idx="23">
                  <c:v>3.4</c:v>
                </c:pt>
                <c:pt idx="24">
                  <c:v>3.2</c:v>
                </c:pt>
                <c:pt idx="25">
                  <c:v>3.1</c:v>
                </c:pt>
                <c:pt idx="26">
                  <c:v>2.9</c:v>
                </c:pt>
                <c:pt idx="27">
                  <c:v>2.9</c:v>
                </c:pt>
                <c:pt idx="28">
                  <c:v>3</c:v>
                </c:pt>
                <c:pt idx="29">
                  <c:v>0</c:v>
                </c:pt>
                <c:pt idx="30">
                  <c:v>4.2</c:v>
                </c:pt>
                <c:pt idx="31">
                  <c:v>4.5</c:v>
                </c:pt>
                <c:pt idx="32">
                  <c:v>4.2</c:v>
                </c:pt>
                <c:pt idx="3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3D2-451D-A254-9EB73BA8796D}"/>
            </c:ext>
          </c:extLst>
        </c:ser>
        <c:ser>
          <c:idx val="3"/>
          <c:order val="3"/>
          <c:tx>
            <c:strRef>
              <c:f>'2'!$F$39</c:f>
              <c:strCache>
                <c:ptCount val="1"/>
                <c:pt idx="0">
                  <c:v>金融机构:各项贷款余额:同比(右轴)</c:v>
                </c:pt>
              </c:strCache>
            </c:strRef>
          </c:tx>
          <c:marker>
            <c:symbol val="none"/>
          </c:marker>
          <c:cat>
            <c:numRef>
              <c:f>'2'!TB2AB</c:f>
              <c:numCache>
                <c:formatCode>yyyy\-mm</c:formatCode>
                <c:ptCount val="34"/>
                <c:pt idx="0">
                  <c:v>44439</c:v>
                </c:pt>
                <c:pt idx="1">
                  <c:v>44469</c:v>
                </c:pt>
                <c:pt idx="2">
                  <c:v>44500</c:v>
                </c:pt>
                <c:pt idx="3">
                  <c:v>44530</c:v>
                </c:pt>
                <c:pt idx="4">
                  <c:v>44561</c:v>
                </c:pt>
                <c:pt idx="5">
                  <c:v>44592</c:v>
                </c:pt>
                <c:pt idx="6">
                  <c:v>44620</c:v>
                </c:pt>
                <c:pt idx="7">
                  <c:v>44651</c:v>
                </c:pt>
                <c:pt idx="8">
                  <c:v>44681</c:v>
                </c:pt>
                <c:pt idx="9">
                  <c:v>44712</c:v>
                </c:pt>
                <c:pt idx="10">
                  <c:v>44742</c:v>
                </c:pt>
                <c:pt idx="11">
                  <c:v>44773</c:v>
                </c:pt>
                <c:pt idx="12">
                  <c:v>44804</c:v>
                </c:pt>
                <c:pt idx="13">
                  <c:v>44834</c:v>
                </c:pt>
                <c:pt idx="14">
                  <c:v>44865</c:v>
                </c:pt>
                <c:pt idx="15">
                  <c:v>44895</c:v>
                </c:pt>
                <c:pt idx="16">
                  <c:v>44926</c:v>
                </c:pt>
                <c:pt idx="17">
                  <c:v>44957</c:v>
                </c:pt>
                <c:pt idx="18">
                  <c:v>44985</c:v>
                </c:pt>
                <c:pt idx="19">
                  <c:v>45016</c:v>
                </c:pt>
                <c:pt idx="20">
                  <c:v>45046</c:v>
                </c:pt>
                <c:pt idx="21">
                  <c:v>45077</c:v>
                </c:pt>
                <c:pt idx="22">
                  <c:v>45107</c:v>
                </c:pt>
                <c:pt idx="23">
                  <c:v>45138</c:v>
                </c:pt>
                <c:pt idx="24">
                  <c:v>45169</c:v>
                </c:pt>
                <c:pt idx="25">
                  <c:v>45199</c:v>
                </c:pt>
                <c:pt idx="26">
                  <c:v>45230</c:v>
                </c:pt>
                <c:pt idx="27">
                  <c:v>45260</c:v>
                </c:pt>
                <c:pt idx="28">
                  <c:v>45291</c:v>
                </c:pt>
                <c:pt idx="29">
                  <c:v>45322</c:v>
                </c:pt>
                <c:pt idx="30">
                  <c:v>45351</c:v>
                </c:pt>
                <c:pt idx="31">
                  <c:v>45382</c:v>
                </c:pt>
                <c:pt idx="32">
                  <c:v>45412</c:v>
                </c:pt>
                <c:pt idx="33">
                  <c:v>45443</c:v>
                </c:pt>
              </c:numCache>
            </c:numRef>
          </c:cat>
          <c:val>
            <c:numRef>
              <c:f>'2'!TB2AF</c:f>
              <c:numCache>
                <c:formatCode>#,##0.00_ </c:formatCode>
                <c:ptCount val="34"/>
                <c:pt idx="0">
                  <c:v>12.1</c:v>
                </c:pt>
                <c:pt idx="1">
                  <c:v>11.9</c:v>
                </c:pt>
                <c:pt idx="2">
                  <c:v>11.9</c:v>
                </c:pt>
                <c:pt idx="3">
                  <c:v>11.7</c:v>
                </c:pt>
                <c:pt idx="4">
                  <c:v>11.6</c:v>
                </c:pt>
                <c:pt idx="5">
                  <c:v>11.5</c:v>
                </c:pt>
                <c:pt idx="6">
                  <c:v>11.4</c:v>
                </c:pt>
                <c:pt idx="7">
                  <c:v>11.4</c:v>
                </c:pt>
                <c:pt idx="8">
                  <c:v>10.9</c:v>
                </c:pt>
                <c:pt idx="9">
                  <c:v>11</c:v>
                </c:pt>
                <c:pt idx="10">
                  <c:v>11.2</c:v>
                </c:pt>
                <c:pt idx="11">
                  <c:v>11</c:v>
                </c:pt>
                <c:pt idx="12">
                  <c:v>10.9</c:v>
                </c:pt>
                <c:pt idx="13">
                  <c:v>11.2</c:v>
                </c:pt>
                <c:pt idx="14">
                  <c:v>11.1</c:v>
                </c:pt>
                <c:pt idx="15">
                  <c:v>11</c:v>
                </c:pt>
                <c:pt idx="16">
                  <c:v>11.1</c:v>
                </c:pt>
                <c:pt idx="17">
                  <c:v>11.3</c:v>
                </c:pt>
                <c:pt idx="18">
                  <c:v>11.6</c:v>
                </c:pt>
                <c:pt idx="19">
                  <c:v>11.8</c:v>
                </c:pt>
                <c:pt idx="20">
                  <c:v>11.8</c:v>
                </c:pt>
                <c:pt idx="21">
                  <c:v>11.4</c:v>
                </c:pt>
                <c:pt idx="22">
                  <c:v>11.3</c:v>
                </c:pt>
                <c:pt idx="23">
                  <c:v>11.1</c:v>
                </c:pt>
                <c:pt idx="24">
                  <c:v>11.1</c:v>
                </c:pt>
                <c:pt idx="25">
                  <c:v>10.9</c:v>
                </c:pt>
                <c:pt idx="26">
                  <c:v>10.9</c:v>
                </c:pt>
                <c:pt idx="27">
                  <c:v>10.8</c:v>
                </c:pt>
                <c:pt idx="28">
                  <c:v>10.6</c:v>
                </c:pt>
                <c:pt idx="29">
                  <c:v>10.4</c:v>
                </c:pt>
                <c:pt idx="30">
                  <c:v>10.1</c:v>
                </c:pt>
                <c:pt idx="31">
                  <c:v>9.6</c:v>
                </c:pt>
                <c:pt idx="32">
                  <c:v>9.6</c:v>
                </c:pt>
                <c:pt idx="33">
                  <c:v>9.3000000000000007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D2-451D-A254-9EB73BA87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838681328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（亿元）</a:t>
                </a:r>
              </a:p>
            </c:rich>
          </c:tx>
          <c:layout>
            <c:manualLayout>
              <c:xMode val="edge"/>
              <c:yMode val="edge"/>
              <c:x val="2.097390556555857E-2"/>
              <c:y val="3.2244580538543788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838681328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89701880268379419"/>
              <c:y val="3.5958560735463628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3"/>
        <c:crosses val="max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3291811644630032"/>
          <c:w val="1"/>
          <c:h val="0.16584203201113432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altLang="zh-CN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defRPr>
            </a:pPr>
            <a:r>
              <a:rPr lang="en-US" altLang="zh-CN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CPI与对外贸易</a:t>
            </a:r>
          </a:p>
        </c:rich>
      </c:tx>
      <c:layout>
        <c:manualLayout>
          <c:xMode val="edge"/>
          <c:yMode val="edge"/>
          <c:x val="0.43485062660682772"/>
          <c:y val="1.043425127414628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238907849829351"/>
          <c:y val="0.12433862433862433"/>
          <c:w val="0.81399317406143346"/>
          <c:h val="0.60582010582010581"/>
        </c:manualLayout>
      </c:layout>
      <c:lineChart>
        <c:grouping val="standard"/>
        <c:varyColors val="0"/>
        <c:ser>
          <c:idx val="1"/>
          <c:order val="1"/>
          <c:tx>
            <c:strRef>
              <c:f>'2'!$K$39</c:f>
              <c:strCache>
                <c:ptCount val="1"/>
                <c:pt idx="0">
                  <c:v>出口金额:当月同比</c:v>
                </c:pt>
              </c:strCache>
            </c:strRef>
          </c:tx>
          <c:marker>
            <c:symbol val="none"/>
          </c:marker>
          <c:cat>
            <c:numRef>
              <c:f>'2'!TB2BI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'2'!TB2BK</c:f>
              <c:numCache>
                <c:formatCode>#,##0.00_ </c:formatCode>
                <c:ptCount val="24"/>
                <c:pt idx="0">
                  <c:v>15.38</c:v>
                </c:pt>
                <c:pt idx="1">
                  <c:v>16.420000000000002</c:v>
                </c:pt>
                <c:pt idx="2">
                  <c:v>5.87</c:v>
                </c:pt>
                <c:pt idx="3">
                  <c:v>4.45</c:v>
                </c:pt>
                <c:pt idx="4">
                  <c:v>-1.84</c:v>
                </c:pt>
                <c:pt idx="5">
                  <c:v>-10.38</c:v>
                </c:pt>
                <c:pt idx="6">
                  <c:v>-12.59</c:v>
                </c:pt>
                <c:pt idx="7">
                  <c:v>-12.023126</c:v>
                </c:pt>
                <c:pt idx="8">
                  <c:v>-2.86551</c:v>
                </c:pt>
                <c:pt idx="9">
                  <c:v>10.84</c:v>
                </c:pt>
                <c:pt idx="10">
                  <c:v>7.1057569999999997</c:v>
                </c:pt>
                <c:pt idx="11">
                  <c:v>-7.5617229999999998</c:v>
                </c:pt>
                <c:pt idx="12">
                  <c:v>-12.377592</c:v>
                </c:pt>
                <c:pt idx="13">
                  <c:v>-14.256266999999999</c:v>
                </c:pt>
                <c:pt idx="14">
                  <c:v>-8.552899</c:v>
                </c:pt>
                <c:pt idx="15">
                  <c:v>-6.8469689999999996</c:v>
                </c:pt>
                <c:pt idx="16">
                  <c:v>-6.6127640000000003</c:v>
                </c:pt>
                <c:pt idx="17">
                  <c:v>0.69301299999999999</c:v>
                </c:pt>
                <c:pt idx="18">
                  <c:v>2.1475240000000002</c:v>
                </c:pt>
                <c:pt idx="19">
                  <c:v>8.1</c:v>
                </c:pt>
                <c:pt idx="20">
                  <c:v>5.4</c:v>
                </c:pt>
                <c:pt idx="21">
                  <c:v>-7.5</c:v>
                </c:pt>
                <c:pt idx="22">
                  <c:v>1.5</c:v>
                </c:pt>
                <c:pt idx="23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11-4BB4-92C4-42766158C816}"/>
            </c:ext>
          </c:extLst>
        </c:ser>
        <c:ser>
          <c:idx val="0"/>
          <c:order val="2"/>
          <c:tx>
            <c:strRef>
              <c:f>'2'!$L$39</c:f>
              <c:strCache>
                <c:ptCount val="1"/>
                <c:pt idx="0">
                  <c:v>进口金额:当月同比</c:v>
                </c:pt>
              </c:strCache>
            </c:strRef>
          </c:tx>
          <c:marker>
            <c:symbol val="none"/>
          </c:marker>
          <c:cat>
            <c:numRef>
              <c:f>'2'!TB2BI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'2'!TB2BL</c:f>
              <c:numCache>
                <c:formatCode>#,##0.00_ </c:formatCode>
                <c:ptCount val="24"/>
                <c:pt idx="0">
                  <c:v>-0.33</c:v>
                </c:pt>
                <c:pt idx="1">
                  <c:v>1.23</c:v>
                </c:pt>
                <c:pt idx="2">
                  <c:v>-0.56999999999999995</c:v>
                </c:pt>
                <c:pt idx="3">
                  <c:v>-0.45</c:v>
                </c:pt>
                <c:pt idx="4">
                  <c:v>-1.31</c:v>
                </c:pt>
                <c:pt idx="5">
                  <c:v>-11.14</c:v>
                </c:pt>
                <c:pt idx="6">
                  <c:v>-7.53</c:v>
                </c:pt>
                <c:pt idx="7">
                  <c:v>-21.078237999999999</c:v>
                </c:pt>
                <c:pt idx="8">
                  <c:v>4.2418620000000002</c:v>
                </c:pt>
                <c:pt idx="9">
                  <c:v>-2.0181119999999999</c:v>
                </c:pt>
                <c:pt idx="10">
                  <c:v>-8.8223140000000004</c:v>
                </c:pt>
                <c:pt idx="11">
                  <c:v>-5.2768600000000001</c:v>
                </c:pt>
                <c:pt idx="12">
                  <c:v>-7.0756189999999997</c:v>
                </c:pt>
                <c:pt idx="13">
                  <c:v>-12.145377999999999</c:v>
                </c:pt>
                <c:pt idx="14">
                  <c:v>-7.1861930000000003</c:v>
                </c:pt>
                <c:pt idx="15">
                  <c:v>-6.2513769999999997</c:v>
                </c:pt>
                <c:pt idx="16">
                  <c:v>3.0343640000000001</c:v>
                </c:pt>
                <c:pt idx="17">
                  <c:v>-0.56353399999999998</c:v>
                </c:pt>
                <c:pt idx="18">
                  <c:v>0.287854</c:v>
                </c:pt>
                <c:pt idx="19">
                  <c:v>15.4</c:v>
                </c:pt>
                <c:pt idx="20">
                  <c:v>-8.1</c:v>
                </c:pt>
                <c:pt idx="21">
                  <c:v>-1.9</c:v>
                </c:pt>
                <c:pt idx="22">
                  <c:v>8.4</c:v>
                </c:pt>
                <c:pt idx="23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11-4BB4-92C4-42766158C816}"/>
            </c:ext>
          </c:extLst>
        </c:ser>
        <c:ser>
          <c:idx val="3"/>
          <c:order val="3"/>
          <c:tx>
            <c:strRef>
              <c:f>'2'!$M$39</c:f>
              <c:strCache>
                <c:ptCount val="1"/>
                <c:pt idx="0">
                  <c:v>贸易顺差:当月同比</c:v>
                </c:pt>
              </c:strCache>
            </c:strRef>
          </c:tx>
          <c:marker>
            <c:symbol val="none"/>
          </c:marker>
          <c:cat>
            <c:numRef>
              <c:f>'2'!TB2BI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'2'!TB2BM</c:f>
              <c:numCache>
                <c:formatCode>#,##0.00_ </c:formatCode>
                <c:ptCount val="24"/>
                <c:pt idx="0">
                  <c:v>88.731567999999996</c:v>
                </c:pt>
                <c:pt idx="1">
                  <c:v>79.139313999999999</c:v>
                </c:pt>
                <c:pt idx="2">
                  <c:v>31.739242000000001</c:v>
                </c:pt>
                <c:pt idx="3">
                  <c:v>21.638508999999999</c:v>
                </c:pt>
                <c:pt idx="4">
                  <c:v>-3.1976399999999998</c:v>
                </c:pt>
                <c:pt idx="5">
                  <c:v>-7.6896089999999999</c:v>
                </c:pt>
                <c:pt idx="6">
                  <c:v>-25.964509</c:v>
                </c:pt>
                <c:pt idx="7">
                  <c:v>15.832345999999999</c:v>
                </c:pt>
                <c:pt idx="8">
                  <c:v>-54.080072999999999</c:v>
                </c:pt>
                <c:pt idx="9">
                  <c:v>79.854386000000005</c:v>
                </c:pt>
                <c:pt idx="10">
                  <c:v>83.724698000000004</c:v>
                </c:pt>
                <c:pt idx="11">
                  <c:v>-14.398707</c:v>
                </c:pt>
                <c:pt idx="12">
                  <c:v>-25.452538000000001</c:v>
                </c:pt>
                <c:pt idx="13">
                  <c:v>-19.181595999999999</c:v>
                </c:pt>
                <c:pt idx="14">
                  <c:v>-12.696928</c:v>
                </c:pt>
                <c:pt idx="15">
                  <c:v>-8.5586300000000008</c:v>
                </c:pt>
                <c:pt idx="16">
                  <c:v>-31.631316999999999</c:v>
                </c:pt>
                <c:pt idx="17">
                  <c:v>4.9859390000000001</c:v>
                </c:pt>
                <c:pt idx="18">
                  <c:v>8.2890139999999999</c:v>
                </c:pt>
                <c:pt idx="19">
                  <c:v>-7.1019569999999996</c:v>
                </c:pt>
                <c:pt idx="20">
                  <c:v>227.53743800000001</c:v>
                </c:pt>
                <c:pt idx="21">
                  <c:v>-23.968185999999999</c:v>
                </c:pt>
                <c:pt idx="22">
                  <c:v>-14.928041</c:v>
                </c:pt>
                <c:pt idx="23">
                  <c:v>26.811149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11-4BB4-92C4-42766158C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240800"/>
        <c:axId val="1"/>
      </c:lineChart>
      <c:lineChart>
        <c:grouping val="standard"/>
        <c:varyColors val="0"/>
        <c:ser>
          <c:idx val="2"/>
          <c:order val="0"/>
          <c:tx>
            <c:strRef>
              <c:f>'2'!$J$39</c:f>
              <c:strCache>
                <c:ptCount val="1"/>
                <c:pt idx="0">
                  <c:v>CPI:当月同比(右轴)</c:v>
                </c:pt>
              </c:strCache>
            </c:strRef>
          </c:tx>
          <c:marker>
            <c:symbol val="none"/>
          </c:marker>
          <c:cat>
            <c:numRef>
              <c:f>'2'!TB2BI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'2'!TB2BJ</c:f>
              <c:numCache>
                <c:formatCode>#,##0.00_ </c:formatCode>
                <c:ptCount val="24"/>
                <c:pt idx="0">
                  <c:v>2.5</c:v>
                </c:pt>
                <c:pt idx="1">
                  <c:v>2.7</c:v>
                </c:pt>
                <c:pt idx="2">
                  <c:v>2.5</c:v>
                </c:pt>
                <c:pt idx="3">
                  <c:v>2.8</c:v>
                </c:pt>
                <c:pt idx="4">
                  <c:v>2.1</c:v>
                </c:pt>
                <c:pt idx="5">
                  <c:v>1.6</c:v>
                </c:pt>
                <c:pt idx="6">
                  <c:v>1.8</c:v>
                </c:pt>
                <c:pt idx="7">
                  <c:v>2.1</c:v>
                </c:pt>
                <c:pt idx="8">
                  <c:v>1</c:v>
                </c:pt>
                <c:pt idx="9">
                  <c:v>0.7</c:v>
                </c:pt>
                <c:pt idx="10">
                  <c:v>0.1</c:v>
                </c:pt>
                <c:pt idx="11">
                  <c:v>0.2</c:v>
                </c:pt>
                <c:pt idx="12">
                  <c:v>0</c:v>
                </c:pt>
                <c:pt idx="13">
                  <c:v>-0.3</c:v>
                </c:pt>
                <c:pt idx="14">
                  <c:v>0.1</c:v>
                </c:pt>
                <c:pt idx="15">
                  <c:v>0</c:v>
                </c:pt>
                <c:pt idx="16">
                  <c:v>-0.2</c:v>
                </c:pt>
                <c:pt idx="17">
                  <c:v>-0.5</c:v>
                </c:pt>
                <c:pt idx="18">
                  <c:v>-0.3</c:v>
                </c:pt>
                <c:pt idx="19">
                  <c:v>-0.8</c:v>
                </c:pt>
                <c:pt idx="20">
                  <c:v>0.7</c:v>
                </c:pt>
                <c:pt idx="21">
                  <c:v>0.1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11-4BB4-92C4-42766158C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955240800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nextTo"/>
        <c:crossAx val="1"/>
        <c:crossesAt val="-150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"/>
              <c:y val="3.4254884806065908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955240800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89774887354097799"/>
              <c:y val="3.802108069824605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3"/>
        <c:crosses val="max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6647065646021804"/>
          <c:w val="1"/>
          <c:h val="0.10260902342843888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altLang="zh-CN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defRPr>
            </a:pPr>
            <a:r>
              <a:rPr lang="en-US" altLang="zh-CN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CPI与PPI</a:t>
            </a:r>
          </a:p>
        </c:rich>
      </c:tx>
      <c:layout>
        <c:manualLayout>
          <c:xMode val="edge"/>
          <c:yMode val="edge"/>
          <c:x val="0.43050459989429651"/>
          <c:y val="1.043425127414628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8737201365187715E-2"/>
          <c:y val="0.12433862433862433"/>
          <c:w val="0.79351535836177478"/>
          <c:h val="0.55291005291005291"/>
        </c:manualLayout>
      </c:layout>
      <c:barChart>
        <c:barDir val="col"/>
        <c:grouping val="clustered"/>
        <c:varyColors val="0"/>
        <c:ser>
          <c:idx val="4"/>
          <c:order val="4"/>
          <c:tx>
            <c:strRef>
              <c:f>'3'!$G$39</c:f>
              <c:strCache>
                <c:ptCount val="1"/>
                <c:pt idx="0">
                  <c:v>CPI与PPI剪刀差(右轴)</c:v>
                </c:pt>
              </c:strCache>
            </c:strRef>
          </c:tx>
          <c:invertIfNegative val="0"/>
          <c:cat>
            <c:numRef>
              <c:f>'3'!TB3AB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'3'!TB3AG</c:f>
              <c:numCache>
                <c:formatCode>#,##0.00_ </c:formatCode>
                <c:ptCount val="24"/>
                <c:pt idx="0">
                  <c:v>-3.6</c:v>
                </c:pt>
                <c:pt idx="1">
                  <c:v>-1.5</c:v>
                </c:pt>
                <c:pt idx="2">
                  <c:v>0.2</c:v>
                </c:pt>
                <c:pt idx="3">
                  <c:v>1.9</c:v>
                </c:pt>
                <c:pt idx="4">
                  <c:v>3.4</c:v>
                </c:pt>
                <c:pt idx="5">
                  <c:v>2.9</c:v>
                </c:pt>
                <c:pt idx="6">
                  <c:v>2.5</c:v>
                </c:pt>
                <c:pt idx="7">
                  <c:v>2.9</c:v>
                </c:pt>
                <c:pt idx="8">
                  <c:v>2.4</c:v>
                </c:pt>
                <c:pt idx="9">
                  <c:v>3.2</c:v>
                </c:pt>
                <c:pt idx="10">
                  <c:v>3.7</c:v>
                </c:pt>
                <c:pt idx="11">
                  <c:v>4.8</c:v>
                </c:pt>
                <c:pt idx="12">
                  <c:v>5.4</c:v>
                </c:pt>
                <c:pt idx="13">
                  <c:v>4.0999999999999996</c:v>
                </c:pt>
                <c:pt idx="14">
                  <c:v>3.1</c:v>
                </c:pt>
                <c:pt idx="15">
                  <c:v>2.5</c:v>
                </c:pt>
                <c:pt idx="16">
                  <c:v>2.4</c:v>
                </c:pt>
                <c:pt idx="17">
                  <c:v>2.5</c:v>
                </c:pt>
                <c:pt idx="18">
                  <c:v>2.4</c:v>
                </c:pt>
                <c:pt idx="19">
                  <c:v>1.7</c:v>
                </c:pt>
                <c:pt idx="20">
                  <c:v>3.4</c:v>
                </c:pt>
                <c:pt idx="21">
                  <c:v>2.9</c:v>
                </c:pt>
                <c:pt idx="22">
                  <c:v>2.8</c:v>
                </c:pt>
                <c:pt idx="23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2F-426E-9528-DC449CD9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"/>
        <c:axId val="4"/>
      </c:barChart>
      <c:lineChart>
        <c:grouping val="standard"/>
        <c:varyColors val="0"/>
        <c:ser>
          <c:idx val="2"/>
          <c:order val="0"/>
          <c:tx>
            <c:strRef>
              <c:f>'3'!$C$39</c:f>
              <c:strCache>
                <c:ptCount val="1"/>
                <c:pt idx="0">
                  <c:v>CPI:当月同比</c:v>
                </c:pt>
              </c:strCache>
            </c:strRef>
          </c:tx>
          <c:marker>
            <c:symbol val="none"/>
          </c:marker>
          <c:cat>
            <c:numRef>
              <c:f>'3'!TB3AB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'3'!TB3AC</c:f>
              <c:numCache>
                <c:formatCode>#,##0.00_ </c:formatCode>
                <c:ptCount val="24"/>
                <c:pt idx="0">
                  <c:v>2.5</c:v>
                </c:pt>
                <c:pt idx="1">
                  <c:v>2.7</c:v>
                </c:pt>
                <c:pt idx="2">
                  <c:v>2.5</c:v>
                </c:pt>
                <c:pt idx="3">
                  <c:v>2.8</c:v>
                </c:pt>
                <c:pt idx="4">
                  <c:v>2.1</c:v>
                </c:pt>
                <c:pt idx="5">
                  <c:v>1.6</c:v>
                </c:pt>
                <c:pt idx="6">
                  <c:v>1.8</c:v>
                </c:pt>
                <c:pt idx="7">
                  <c:v>2.1</c:v>
                </c:pt>
                <c:pt idx="8">
                  <c:v>1</c:v>
                </c:pt>
                <c:pt idx="9">
                  <c:v>0.7</c:v>
                </c:pt>
                <c:pt idx="10">
                  <c:v>0.1</c:v>
                </c:pt>
                <c:pt idx="11">
                  <c:v>0.2</c:v>
                </c:pt>
                <c:pt idx="12">
                  <c:v>0</c:v>
                </c:pt>
                <c:pt idx="13">
                  <c:v>-0.3</c:v>
                </c:pt>
                <c:pt idx="14">
                  <c:v>0.1</c:v>
                </c:pt>
                <c:pt idx="15">
                  <c:v>0</c:v>
                </c:pt>
                <c:pt idx="16">
                  <c:v>-0.2</c:v>
                </c:pt>
                <c:pt idx="17">
                  <c:v>-0.5</c:v>
                </c:pt>
                <c:pt idx="18">
                  <c:v>-0.3</c:v>
                </c:pt>
                <c:pt idx="19">
                  <c:v>-0.8</c:v>
                </c:pt>
                <c:pt idx="20">
                  <c:v>0.7</c:v>
                </c:pt>
                <c:pt idx="21">
                  <c:v>0.1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2F-426E-9528-DC449CD90949}"/>
            </c:ext>
          </c:extLst>
        </c:ser>
        <c:ser>
          <c:idx val="0"/>
          <c:order val="2"/>
          <c:tx>
            <c:strRef>
              <c:f>'3'!$E$39</c:f>
              <c:strCache>
                <c:ptCount val="1"/>
                <c:pt idx="0">
                  <c:v>PPI:生产资料:当月同比</c:v>
                </c:pt>
              </c:strCache>
            </c:strRef>
          </c:tx>
          <c:marker>
            <c:symbol val="none"/>
          </c:marker>
          <c:cat>
            <c:numRef>
              <c:f>'3'!TB3AB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'3'!TB3AE</c:f>
              <c:numCache>
                <c:formatCode>#,##0.00_ </c:formatCode>
                <c:ptCount val="24"/>
                <c:pt idx="0">
                  <c:v>7.5</c:v>
                </c:pt>
                <c:pt idx="1">
                  <c:v>5</c:v>
                </c:pt>
                <c:pt idx="2">
                  <c:v>2.4</c:v>
                </c:pt>
                <c:pt idx="3">
                  <c:v>0.6</c:v>
                </c:pt>
                <c:pt idx="4">
                  <c:v>-2.5</c:v>
                </c:pt>
                <c:pt idx="5">
                  <c:v>-2.2999999999999998</c:v>
                </c:pt>
                <c:pt idx="6">
                  <c:v>-1.4</c:v>
                </c:pt>
                <c:pt idx="7">
                  <c:v>-1.4</c:v>
                </c:pt>
                <c:pt idx="8">
                  <c:v>-2</c:v>
                </c:pt>
                <c:pt idx="9">
                  <c:v>-3.4</c:v>
                </c:pt>
                <c:pt idx="10">
                  <c:v>-4.7</c:v>
                </c:pt>
                <c:pt idx="11">
                  <c:v>-5.9</c:v>
                </c:pt>
                <c:pt idx="12">
                  <c:v>-6.8</c:v>
                </c:pt>
                <c:pt idx="13">
                  <c:v>-5.5</c:v>
                </c:pt>
                <c:pt idx="14">
                  <c:v>-3.7</c:v>
                </c:pt>
                <c:pt idx="15">
                  <c:v>-3</c:v>
                </c:pt>
                <c:pt idx="16">
                  <c:v>-3</c:v>
                </c:pt>
                <c:pt idx="17">
                  <c:v>-3.4</c:v>
                </c:pt>
                <c:pt idx="18">
                  <c:v>-3.3</c:v>
                </c:pt>
                <c:pt idx="19">
                  <c:v>-3</c:v>
                </c:pt>
                <c:pt idx="20">
                  <c:v>-3.4</c:v>
                </c:pt>
                <c:pt idx="21">
                  <c:v>-3.5</c:v>
                </c:pt>
                <c:pt idx="22">
                  <c:v>-3.1</c:v>
                </c:pt>
                <c:pt idx="23">
                  <c:v>-1.6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2F-426E-9528-DC449CD9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244960"/>
        <c:axId val="1"/>
      </c:lineChart>
      <c:lineChart>
        <c:grouping val="standard"/>
        <c:varyColors val="0"/>
        <c:ser>
          <c:idx val="1"/>
          <c:order val="1"/>
          <c:tx>
            <c:strRef>
              <c:f>'3'!$D$39</c:f>
              <c:strCache>
                <c:ptCount val="1"/>
                <c:pt idx="0">
                  <c:v>PPI:全部工业品:当月同比</c:v>
                </c:pt>
              </c:strCache>
            </c:strRef>
          </c:tx>
          <c:marker>
            <c:symbol val="none"/>
          </c:marker>
          <c:cat>
            <c:numRef>
              <c:f>'3'!TB3AB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'3'!TB3AD</c:f>
              <c:numCache>
                <c:formatCode>#,##0.00_ </c:formatCode>
                <c:ptCount val="24"/>
                <c:pt idx="0">
                  <c:v>6.1</c:v>
                </c:pt>
                <c:pt idx="1">
                  <c:v>4.2</c:v>
                </c:pt>
                <c:pt idx="2">
                  <c:v>2.2999999999999998</c:v>
                </c:pt>
                <c:pt idx="3">
                  <c:v>0.9</c:v>
                </c:pt>
                <c:pt idx="4">
                  <c:v>-1.3</c:v>
                </c:pt>
                <c:pt idx="5">
                  <c:v>-1.3</c:v>
                </c:pt>
                <c:pt idx="6">
                  <c:v>-0.7</c:v>
                </c:pt>
                <c:pt idx="7">
                  <c:v>-0.8</c:v>
                </c:pt>
                <c:pt idx="8">
                  <c:v>-1.4</c:v>
                </c:pt>
                <c:pt idx="9">
                  <c:v>-2.5</c:v>
                </c:pt>
                <c:pt idx="10">
                  <c:v>-3.6</c:v>
                </c:pt>
                <c:pt idx="11">
                  <c:v>-4.5999999999999996</c:v>
                </c:pt>
                <c:pt idx="12">
                  <c:v>-5.4</c:v>
                </c:pt>
                <c:pt idx="13">
                  <c:v>-4.4000000000000004</c:v>
                </c:pt>
                <c:pt idx="14">
                  <c:v>-3</c:v>
                </c:pt>
                <c:pt idx="15">
                  <c:v>-2.5</c:v>
                </c:pt>
                <c:pt idx="16">
                  <c:v>-2.6</c:v>
                </c:pt>
                <c:pt idx="17">
                  <c:v>-3</c:v>
                </c:pt>
                <c:pt idx="18">
                  <c:v>-2.7</c:v>
                </c:pt>
                <c:pt idx="19">
                  <c:v>-2.5</c:v>
                </c:pt>
                <c:pt idx="20">
                  <c:v>-2.7</c:v>
                </c:pt>
                <c:pt idx="21">
                  <c:v>-2.8</c:v>
                </c:pt>
                <c:pt idx="22">
                  <c:v>-2.5</c:v>
                </c:pt>
                <c:pt idx="23">
                  <c:v>-1.4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62F-426E-9528-DC449CD90949}"/>
            </c:ext>
          </c:extLst>
        </c:ser>
        <c:ser>
          <c:idx val="3"/>
          <c:order val="3"/>
          <c:tx>
            <c:strRef>
              <c:f>'3'!$F$39</c:f>
              <c:strCache>
                <c:ptCount val="1"/>
                <c:pt idx="0">
                  <c:v>PPI:生活资料:当月同比</c:v>
                </c:pt>
              </c:strCache>
            </c:strRef>
          </c:tx>
          <c:marker>
            <c:symbol val="none"/>
          </c:marker>
          <c:cat>
            <c:numRef>
              <c:f>'3'!TB3AB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'3'!TB3AF</c:f>
              <c:numCache>
                <c:formatCode>#,##0.00_ </c:formatCode>
                <c:ptCount val="24"/>
                <c:pt idx="0">
                  <c:v>1.7</c:v>
                </c:pt>
                <c:pt idx="1">
                  <c:v>1.7</c:v>
                </c:pt>
                <c:pt idx="2">
                  <c:v>1.6</c:v>
                </c:pt>
                <c:pt idx="3">
                  <c:v>1.8</c:v>
                </c:pt>
                <c:pt idx="4">
                  <c:v>2.2000000000000002</c:v>
                </c:pt>
                <c:pt idx="5">
                  <c:v>2</c:v>
                </c:pt>
                <c:pt idx="6">
                  <c:v>1.8</c:v>
                </c:pt>
                <c:pt idx="7">
                  <c:v>1.5</c:v>
                </c:pt>
                <c:pt idx="8">
                  <c:v>1.1000000000000001</c:v>
                </c:pt>
                <c:pt idx="9">
                  <c:v>0.9</c:v>
                </c:pt>
                <c:pt idx="10">
                  <c:v>0.4</c:v>
                </c:pt>
                <c:pt idx="11">
                  <c:v>-0.1</c:v>
                </c:pt>
                <c:pt idx="12">
                  <c:v>-0.5</c:v>
                </c:pt>
                <c:pt idx="13">
                  <c:v>-0.4</c:v>
                </c:pt>
                <c:pt idx="14">
                  <c:v>-0.2</c:v>
                </c:pt>
                <c:pt idx="15">
                  <c:v>-0.3</c:v>
                </c:pt>
                <c:pt idx="16">
                  <c:v>-0.9</c:v>
                </c:pt>
                <c:pt idx="17">
                  <c:v>-1.2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-0.9</c:v>
                </c:pt>
                <c:pt idx="21">
                  <c:v>-1</c:v>
                </c:pt>
                <c:pt idx="22">
                  <c:v>-0.9</c:v>
                </c:pt>
                <c:pt idx="23">
                  <c:v>-0.8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2F-426E-9528-DC449CD9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955244960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nextTo"/>
        <c:crossAx val="1"/>
        <c:crossesAt val="-10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1.8698592710040936E-2"/>
              <c:y val="4.7427127164659973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955244960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4"/>
        <c:crossesAt val="0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91042093287827075"/>
              <c:y val="4.9249677123692867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3"/>
        <c:crosses val="max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8.8105667678912147E-2"/>
          <c:y val="0.84079650893064251"/>
          <c:w val="0.8627900352046437"/>
          <c:h val="0.13625289955926698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 altLang="zh-CN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CPI</a:t>
            </a:r>
            <a:r>
              <a: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与</a:t>
            </a:r>
            <a:r>
              <a:rPr lang="en-US" altLang="zh-CN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M1-M2</a:t>
            </a:r>
            <a:endParaRPr lang="zh-CN" altLang="en-US" sz="1400" b="1" i="0" u="none" strike="noStrike" kern="1200" baseline="0">
              <a:solidFill>
                <a:schemeClr val="accent1"/>
              </a:solidFill>
              <a:latin typeface="微软雅黑" pitchFamily="34" charset="-122"/>
              <a:ea typeface="微软雅黑" pitchFamily="34" charset="-122"/>
              <a:cs typeface="+mn-cs"/>
            </a:endParaRPr>
          </a:p>
        </c:rich>
      </c:tx>
      <c:layout>
        <c:manualLayout>
          <c:xMode val="edge"/>
          <c:yMode val="edge"/>
          <c:x val="0.43112771313142167"/>
          <c:y val="1.711786026746656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48122866894198"/>
          <c:y val="0.12433862433862433"/>
          <c:w val="0.78498293515358364"/>
          <c:h val="0.53174603174603174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'3'!$J$39</c:f>
              <c:strCache>
                <c:ptCount val="1"/>
                <c:pt idx="0">
                  <c:v>M0</c:v>
                </c:pt>
              </c:strCache>
            </c:strRef>
          </c:tx>
          <c:invertIfNegative val="0"/>
          <c:cat>
            <c:numRef>
              <c:f>'3'!TB3BI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'3'!TB3BJ</c:f>
              <c:numCache>
                <c:formatCode>#,##0.00_ </c:formatCode>
                <c:ptCount val="24"/>
                <c:pt idx="0">
                  <c:v>96011.17</c:v>
                </c:pt>
                <c:pt idx="1">
                  <c:v>96509.19</c:v>
                </c:pt>
                <c:pt idx="2">
                  <c:v>97231.030000000013</c:v>
                </c:pt>
                <c:pt idx="3">
                  <c:v>98672.060000000012</c:v>
                </c:pt>
                <c:pt idx="4">
                  <c:v>98416.71</c:v>
                </c:pt>
                <c:pt idx="5">
                  <c:v>99740.12</c:v>
                </c:pt>
                <c:pt idx="6">
                  <c:v>104706.03000000001</c:v>
                </c:pt>
                <c:pt idx="7">
                  <c:v>114601.3</c:v>
                </c:pt>
                <c:pt idx="8">
                  <c:v>107602.58</c:v>
                </c:pt>
                <c:pt idx="9">
                  <c:v>105591.3</c:v>
                </c:pt>
                <c:pt idx="10">
                  <c:v>105904.46</c:v>
                </c:pt>
                <c:pt idx="11">
                  <c:v>104756.70999999999</c:v>
                </c:pt>
                <c:pt idx="12">
                  <c:v>105419.20000000001</c:v>
                </c:pt>
                <c:pt idx="13">
                  <c:v>106129.68000000001</c:v>
                </c:pt>
                <c:pt idx="14">
                  <c:v>106515.36</c:v>
                </c:pt>
                <c:pt idx="15">
                  <c:v>109253.21999999999</c:v>
                </c:pt>
                <c:pt idx="16">
                  <c:v>108565.35</c:v>
                </c:pt>
                <c:pt idx="17">
                  <c:v>110225.18000000001</c:v>
                </c:pt>
                <c:pt idx="18">
                  <c:v>113444.64</c:v>
                </c:pt>
                <c:pt idx="19">
                  <c:v>121398.54000000001</c:v>
                </c:pt>
                <c:pt idx="20">
                  <c:v>121009.93000000001</c:v>
                </c:pt>
                <c:pt idx="21">
                  <c:v>117210.5</c:v>
                </c:pt>
                <c:pt idx="22">
                  <c:v>117310.55</c:v>
                </c:pt>
                <c:pt idx="23">
                  <c:v>117062.71999999999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FE-4E22-99D6-25DDF2F1538D}"/>
            </c:ext>
          </c:extLst>
        </c:ser>
        <c:ser>
          <c:idx val="1"/>
          <c:order val="1"/>
          <c:tx>
            <c:strRef>
              <c:f>'3'!$K$39</c:f>
              <c:strCache>
                <c:ptCount val="1"/>
                <c:pt idx="0">
                  <c:v>M1</c:v>
                </c:pt>
              </c:strCache>
            </c:strRef>
          </c:tx>
          <c:invertIfNegative val="0"/>
          <c:cat>
            <c:numRef>
              <c:f>'3'!TB3BI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'3'!TB3BK</c:f>
              <c:numCache>
                <c:formatCode>#,##0.00_ </c:formatCode>
                <c:ptCount val="24"/>
                <c:pt idx="0">
                  <c:v>674374.81</c:v>
                </c:pt>
                <c:pt idx="1">
                  <c:v>661832.32999999996</c:v>
                </c:pt>
                <c:pt idx="2">
                  <c:v>664604.85</c:v>
                </c:pt>
                <c:pt idx="3">
                  <c:v>664535.17000000004</c:v>
                </c:pt>
                <c:pt idx="4">
                  <c:v>662140.99</c:v>
                </c:pt>
                <c:pt idx="5">
                  <c:v>667042.61</c:v>
                </c:pt>
                <c:pt idx="6">
                  <c:v>671674.76</c:v>
                </c:pt>
                <c:pt idx="7">
                  <c:v>655214.16</c:v>
                </c:pt>
                <c:pt idx="8">
                  <c:v>657938.73999999987</c:v>
                </c:pt>
                <c:pt idx="9">
                  <c:v>678059.63</c:v>
                </c:pt>
                <c:pt idx="10">
                  <c:v>669761.54999999993</c:v>
                </c:pt>
                <c:pt idx="11">
                  <c:v>675252.98</c:v>
                </c:pt>
                <c:pt idx="12">
                  <c:v>695595.48</c:v>
                </c:pt>
                <c:pt idx="13">
                  <c:v>677218.91999999993</c:v>
                </c:pt>
                <c:pt idx="14">
                  <c:v>679588.35</c:v>
                </c:pt>
                <c:pt idx="15">
                  <c:v>678443.65</c:v>
                </c:pt>
                <c:pt idx="16">
                  <c:v>674696.07</c:v>
                </c:pt>
                <c:pt idx="17">
                  <c:v>675903.41</c:v>
                </c:pt>
                <c:pt idx="18">
                  <c:v>680542.52</c:v>
                </c:pt>
                <c:pt idx="19">
                  <c:v>694197.88</c:v>
                </c:pt>
                <c:pt idx="20">
                  <c:v>665916.09</c:v>
                </c:pt>
                <c:pt idx="21">
                  <c:v>685808.9</c:v>
                </c:pt>
                <c:pt idx="22">
                  <c:v>660065.69000000006</c:v>
                </c:pt>
                <c:pt idx="23">
                  <c:v>646842.47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FE-4E22-99D6-25DDF2F1538D}"/>
            </c:ext>
          </c:extLst>
        </c:ser>
        <c:ser>
          <c:idx val="0"/>
          <c:order val="2"/>
          <c:tx>
            <c:strRef>
              <c:f>'3'!$L$39</c:f>
              <c:strCache>
                <c:ptCount val="1"/>
                <c:pt idx="0">
                  <c:v>M2</c:v>
                </c:pt>
              </c:strCache>
            </c:strRef>
          </c:tx>
          <c:invertIfNegative val="0"/>
          <c:cat>
            <c:numRef>
              <c:f>'3'!TB3BI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'3'!TB3BL</c:f>
              <c:numCache>
                <c:formatCode>#,##0.00_ </c:formatCode>
                <c:ptCount val="24"/>
                <c:pt idx="0">
                  <c:v>2581451.2000000002</c:v>
                </c:pt>
                <c:pt idx="1">
                  <c:v>2578078.5699999998</c:v>
                </c:pt>
                <c:pt idx="2">
                  <c:v>2595068.27</c:v>
                </c:pt>
                <c:pt idx="3">
                  <c:v>2626600.92</c:v>
                </c:pt>
                <c:pt idx="4">
                  <c:v>2612914.5699999998</c:v>
                </c:pt>
                <c:pt idx="5">
                  <c:v>2647008.48</c:v>
                </c:pt>
                <c:pt idx="6">
                  <c:v>2664320.84</c:v>
                </c:pt>
                <c:pt idx="7">
                  <c:v>2738072.06</c:v>
                </c:pt>
                <c:pt idx="8">
                  <c:v>2755249.23</c:v>
                </c:pt>
                <c:pt idx="9">
                  <c:v>2814566.31</c:v>
                </c:pt>
                <c:pt idx="10">
                  <c:v>2808469.34</c:v>
                </c:pt>
                <c:pt idx="11">
                  <c:v>2820504.68</c:v>
                </c:pt>
                <c:pt idx="12">
                  <c:v>2873023.83</c:v>
                </c:pt>
                <c:pt idx="13">
                  <c:v>2854031.56</c:v>
                </c:pt>
                <c:pt idx="14">
                  <c:v>2869343.25</c:v>
                </c:pt>
                <c:pt idx="15">
                  <c:v>2896659.11</c:v>
                </c:pt>
                <c:pt idx="16">
                  <c:v>2882276.07</c:v>
                </c:pt>
                <c:pt idx="17">
                  <c:v>2912014.22</c:v>
                </c:pt>
                <c:pt idx="18">
                  <c:v>2922713.33</c:v>
                </c:pt>
                <c:pt idx="19">
                  <c:v>2976250.2</c:v>
                </c:pt>
                <c:pt idx="20">
                  <c:v>2995572.97</c:v>
                </c:pt>
                <c:pt idx="21">
                  <c:v>3047952.16</c:v>
                </c:pt>
                <c:pt idx="22">
                  <c:v>3011941.98</c:v>
                </c:pt>
                <c:pt idx="23">
                  <c:v>3018506.73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FE-4E22-99D6-25DDF2F15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20373264"/>
        <c:axId val="1"/>
      </c:barChart>
      <c:lineChart>
        <c:grouping val="standard"/>
        <c:varyColors val="0"/>
        <c:ser>
          <c:idx val="3"/>
          <c:order val="3"/>
          <c:tx>
            <c:strRef>
              <c:f>'3'!$M$39</c:f>
              <c:strCache>
                <c:ptCount val="1"/>
                <c:pt idx="0">
                  <c:v>M1-M2:同比(右轴)</c:v>
                </c:pt>
              </c:strCache>
            </c:strRef>
          </c:tx>
          <c:marker>
            <c:symbol val="none"/>
          </c:marker>
          <c:cat>
            <c:numRef>
              <c:f>'3'!TB3BI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'3'!TB3BM</c:f>
              <c:numCache>
                <c:formatCode>#,##0.00_ </c:formatCode>
                <c:ptCount val="24"/>
                <c:pt idx="0">
                  <c:v>-5.6</c:v>
                </c:pt>
                <c:pt idx="1">
                  <c:v>-5.3</c:v>
                </c:pt>
                <c:pt idx="2">
                  <c:v>-6.1</c:v>
                </c:pt>
                <c:pt idx="3">
                  <c:v>-5.7</c:v>
                </c:pt>
                <c:pt idx="4">
                  <c:v>-6</c:v>
                </c:pt>
                <c:pt idx="5">
                  <c:v>-7.8</c:v>
                </c:pt>
                <c:pt idx="6">
                  <c:v>-8.1</c:v>
                </c:pt>
                <c:pt idx="7">
                  <c:v>-5.9</c:v>
                </c:pt>
                <c:pt idx="8">
                  <c:v>-7.1</c:v>
                </c:pt>
                <c:pt idx="9">
                  <c:v>-7.6</c:v>
                </c:pt>
                <c:pt idx="10">
                  <c:v>-7.1</c:v>
                </c:pt>
                <c:pt idx="11">
                  <c:v>-6.9</c:v>
                </c:pt>
                <c:pt idx="12">
                  <c:v>-8.1999999999999993</c:v>
                </c:pt>
                <c:pt idx="13">
                  <c:v>-8.4</c:v>
                </c:pt>
                <c:pt idx="14">
                  <c:v>-8.4</c:v>
                </c:pt>
                <c:pt idx="15">
                  <c:v>-8.1999999999999993</c:v>
                </c:pt>
                <c:pt idx="16">
                  <c:v>-8.4</c:v>
                </c:pt>
                <c:pt idx="17">
                  <c:v>-8.6999999999999993</c:v>
                </c:pt>
                <c:pt idx="18">
                  <c:v>-8.4</c:v>
                </c:pt>
                <c:pt idx="19">
                  <c:v>-2.8</c:v>
                </c:pt>
                <c:pt idx="20">
                  <c:v>-7.5</c:v>
                </c:pt>
                <c:pt idx="21">
                  <c:v>-7.2</c:v>
                </c:pt>
                <c:pt idx="22">
                  <c:v>-8.6</c:v>
                </c:pt>
                <c:pt idx="23">
                  <c:v>-11.2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FE-4E22-99D6-25DDF2F1538D}"/>
            </c:ext>
          </c:extLst>
        </c:ser>
        <c:ser>
          <c:idx val="4"/>
          <c:order val="4"/>
          <c:tx>
            <c:strRef>
              <c:f>'3'!$N$39</c:f>
              <c:strCache>
                <c:ptCount val="1"/>
                <c:pt idx="0">
                  <c:v>CPI:当月同比(右轴)</c:v>
                </c:pt>
              </c:strCache>
            </c:strRef>
          </c:tx>
          <c:marker>
            <c:symbol val="none"/>
          </c:marker>
          <c:cat>
            <c:numRef>
              <c:f>'3'!TB3BI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'3'!TB3BN</c:f>
              <c:numCache>
                <c:formatCode>#,##0.00_ </c:formatCode>
                <c:ptCount val="24"/>
                <c:pt idx="0">
                  <c:v>2.5</c:v>
                </c:pt>
                <c:pt idx="1">
                  <c:v>2.7</c:v>
                </c:pt>
                <c:pt idx="2">
                  <c:v>2.5</c:v>
                </c:pt>
                <c:pt idx="3">
                  <c:v>2.8</c:v>
                </c:pt>
                <c:pt idx="4">
                  <c:v>2.1</c:v>
                </c:pt>
                <c:pt idx="5">
                  <c:v>1.6</c:v>
                </c:pt>
                <c:pt idx="6">
                  <c:v>1.8</c:v>
                </c:pt>
                <c:pt idx="7">
                  <c:v>2.1</c:v>
                </c:pt>
                <c:pt idx="8">
                  <c:v>1</c:v>
                </c:pt>
                <c:pt idx="9">
                  <c:v>0.7</c:v>
                </c:pt>
                <c:pt idx="10">
                  <c:v>0.1</c:v>
                </c:pt>
                <c:pt idx="11">
                  <c:v>0.2</c:v>
                </c:pt>
                <c:pt idx="12">
                  <c:v>0</c:v>
                </c:pt>
                <c:pt idx="13">
                  <c:v>-0.3</c:v>
                </c:pt>
                <c:pt idx="14">
                  <c:v>0.1</c:v>
                </c:pt>
                <c:pt idx="15">
                  <c:v>0</c:v>
                </c:pt>
                <c:pt idx="16">
                  <c:v>-0.2</c:v>
                </c:pt>
                <c:pt idx="17">
                  <c:v>-0.5</c:v>
                </c:pt>
                <c:pt idx="18">
                  <c:v>-0.3</c:v>
                </c:pt>
                <c:pt idx="19">
                  <c:v>-0.8</c:v>
                </c:pt>
                <c:pt idx="20">
                  <c:v>0.7</c:v>
                </c:pt>
                <c:pt idx="21">
                  <c:v>0.1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FE-4E22-99D6-25DDF2F15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020373264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nextTo"/>
        <c:crossAx val="1"/>
        <c:crossesAt val="-200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（亿元）</a:t>
                </a:r>
              </a:p>
            </c:rich>
          </c:tx>
          <c:layout>
            <c:manualLayout>
              <c:xMode val="edge"/>
              <c:yMode val="edge"/>
              <c:x val="2.9921080684027126E-2"/>
              <c:y val="5.3431654376536269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102037326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90117617550365925"/>
              <c:y val="5.3617186740546323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3"/>
        <c:crosses val="max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81508156190375"/>
          <c:y val="0.83433237511977676"/>
          <c:w val="0.78671002302186621"/>
          <c:h val="0.14327514616228532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defRPr>
            </a:pPr>
            <a:r>
              <a: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热钱估算（新增外汇储备法）</a:t>
            </a:r>
          </a:p>
        </c:rich>
      </c:tx>
      <c:layout>
        <c:manualLayout>
          <c:xMode val="edge"/>
          <c:yMode val="edge"/>
          <c:x val="0.32552453127659381"/>
          <c:y val="2.7254926467524892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993174061433447"/>
          <c:y val="0.12433862433862433"/>
          <c:w val="0.83788395904436863"/>
          <c:h val="0.58465608465608465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'4'!$E$39</c:f>
              <c:strCache>
                <c:ptCount val="1"/>
                <c:pt idx="0">
                  <c:v>实际利用外资金额</c:v>
                </c:pt>
              </c:strCache>
            </c:strRef>
          </c:tx>
          <c:invertIfNegative val="0"/>
          <c:cat>
            <c:numRef>
              <c:f>'4'!TB4AB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'4'!TB4AE</c:f>
              <c:numCache>
                <c:formatCode>#,##0.0000_ </c:formatCode>
                <c:ptCount val="24"/>
                <c:pt idx="0">
                  <c:v>245.8</c:v>
                </c:pt>
                <c:pt idx="1">
                  <c:v>115.7</c:v>
                </c:pt>
                <c:pt idx="2">
                  <c:v>144.9</c:v>
                </c:pt>
                <c:pt idx="3">
                  <c:v>168.9</c:v>
                </c:pt>
                <c:pt idx="4">
                  <c:v>130.4</c:v>
                </c:pt>
                <c:pt idx="5">
                  <c:v>97.4</c:v>
                </c:pt>
                <c:pt idx="6">
                  <c:v>110.5</c:v>
                </c:pt>
                <c:pt idx="7">
                  <c:v>190.2</c:v>
                </c:pt>
                <c:pt idx="8">
                  <c:v>206.9</c:v>
                </c:pt>
                <c:pt idx="9">
                  <c:v>0</c:v>
                </c:pt>
                <c:pt idx="10">
                  <c:v>0</c:v>
                </c:pt>
                <c:pt idx="11">
                  <c:v>108.5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4-4436-B144-69A948E0741F}"/>
            </c:ext>
          </c:extLst>
        </c:ser>
        <c:ser>
          <c:idx val="1"/>
          <c:order val="2"/>
          <c:tx>
            <c:strRef>
              <c:f>'4'!$D$39</c:f>
              <c:strCache>
                <c:ptCount val="1"/>
                <c:pt idx="0">
                  <c:v>贸易顺差</c:v>
                </c:pt>
              </c:strCache>
            </c:strRef>
          </c:tx>
          <c:invertIfNegative val="0"/>
          <c:cat>
            <c:numRef>
              <c:f>'4'!TB4AB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'4'!TB4AD</c:f>
              <c:numCache>
                <c:formatCode>#,##0.00_ </c:formatCode>
                <c:ptCount val="24"/>
                <c:pt idx="0">
                  <c:v>933.07</c:v>
                </c:pt>
                <c:pt idx="1">
                  <c:v>982.4</c:v>
                </c:pt>
                <c:pt idx="2">
                  <c:v>769.95</c:v>
                </c:pt>
                <c:pt idx="3">
                  <c:v>821.51</c:v>
                </c:pt>
                <c:pt idx="4">
                  <c:v>817.07</c:v>
                </c:pt>
                <c:pt idx="5">
                  <c:v>657.85</c:v>
                </c:pt>
                <c:pt idx="6">
                  <c:v>690.07</c:v>
                </c:pt>
                <c:pt idx="7">
                  <c:v>918.62</c:v>
                </c:pt>
                <c:pt idx="8">
                  <c:v>120.2</c:v>
                </c:pt>
                <c:pt idx="9">
                  <c:v>770.73</c:v>
                </c:pt>
                <c:pt idx="10">
                  <c:v>850.48</c:v>
                </c:pt>
                <c:pt idx="11">
                  <c:v>651.52</c:v>
                </c:pt>
                <c:pt idx="12">
                  <c:v>695.58</c:v>
                </c:pt>
                <c:pt idx="13">
                  <c:v>793.96</c:v>
                </c:pt>
                <c:pt idx="14">
                  <c:v>672.19</c:v>
                </c:pt>
                <c:pt idx="15">
                  <c:v>751.2</c:v>
                </c:pt>
                <c:pt idx="16">
                  <c:v>558.62</c:v>
                </c:pt>
                <c:pt idx="17">
                  <c:v>690.65</c:v>
                </c:pt>
                <c:pt idx="18">
                  <c:v>747.27</c:v>
                </c:pt>
                <c:pt idx="19">
                  <c:v>853.38</c:v>
                </c:pt>
                <c:pt idx="20">
                  <c:v>393.7</c:v>
                </c:pt>
                <c:pt idx="21">
                  <c:v>586</c:v>
                </c:pt>
                <c:pt idx="22">
                  <c:v>723.52</c:v>
                </c:pt>
                <c:pt idx="23">
                  <c:v>826.2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54-4436-B144-69A948E07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59589168"/>
        <c:axId val="1"/>
      </c:barChart>
      <c:lineChart>
        <c:grouping val="standard"/>
        <c:varyColors val="0"/>
        <c:ser>
          <c:idx val="2"/>
          <c:order val="0"/>
          <c:tx>
            <c:strRef>
              <c:f>'4'!$C$39</c:f>
              <c:strCache>
                <c:ptCount val="1"/>
                <c:pt idx="0">
                  <c:v>国家外汇储备增加</c:v>
                </c:pt>
              </c:strCache>
            </c:strRef>
          </c:tx>
          <c:marker>
            <c:symbol val="none"/>
          </c:marker>
          <c:cat>
            <c:numRef>
              <c:f>'4'!TB4AB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'4'!TB4AC</c:f>
              <c:numCache>
                <c:formatCode>#,##0.00_ </c:formatCode>
                <c:ptCount val="24"/>
                <c:pt idx="0">
                  <c:v>-565.080000000003</c:v>
                </c:pt>
                <c:pt idx="1">
                  <c:v>327.99</c:v>
                </c:pt>
                <c:pt idx="2">
                  <c:v>-491.90000000000202</c:v>
                </c:pt>
                <c:pt idx="3">
                  <c:v>-259.259999999998</c:v>
                </c:pt>
                <c:pt idx="4">
                  <c:v>234.71999999999699</c:v>
                </c:pt>
                <c:pt idx="5">
                  <c:v>650.61000000000297</c:v>
                </c:pt>
                <c:pt idx="6">
                  <c:v>102.03</c:v>
                </c:pt>
                <c:pt idx="7">
                  <c:v>567.71</c:v>
                </c:pt>
                <c:pt idx="8">
                  <c:v>-513.08999999999799</c:v>
                </c:pt>
                <c:pt idx="9">
                  <c:v>507.18999999999801</c:v>
                </c:pt>
                <c:pt idx="10">
                  <c:v>208.94</c:v>
                </c:pt>
                <c:pt idx="11">
                  <c:v>-282.58</c:v>
                </c:pt>
                <c:pt idx="12">
                  <c:v>164.9</c:v>
                </c:pt>
                <c:pt idx="13">
                  <c:v>112.72</c:v>
                </c:pt>
                <c:pt idx="14">
                  <c:v>-441.72</c:v>
                </c:pt>
                <c:pt idx="15">
                  <c:v>-450.28000000000299</c:v>
                </c:pt>
                <c:pt idx="16">
                  <c:v>-138.45999999999901</c:v>
                </c:pt>
                <c:pt idx="17">
                  <c:v>705.83000000000197</c:v>
                </c:pt>
                <c:pt idx="18">
                  <c:v>661.70000000000402</c:v>
                </c:pt>
                <c:pt idx="19">
                  <c:v>-186.570000000004</c:v>
                </c:pt>
                <c:pt idx="20">
                  <c:v>64.97</c:v>
                </c:pt>
                <c:pt idx="21">
                  <c:v>198.4</c:v>
                </c:pt>
                <c:pt idx="22">
                  <c:v>-448.26000000000198</c:v>
                </c:pt>
                <c:pt idx="23">
                  <c:v>312.08000000000197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54-4436-B144-69A948E0741F}"/>
            </c:ext>
          </c:extLst>
        </c:ser>
        <c:ser>
          <c:idx val="3"/>
          <c:order val="3"/>
          <c:tx>
            <c:strRef>
              <c:f>'4'!$F$39</c:f>
              <c:strCache>
                <c:ptCount val="1"/>
                <c:pt idx="0">
                  <c:v>热钱估算</c:v>
                </c:pt>
              </c:strCache>
            </c:strRef>
          </c:tx>
          <c:marker>
            <c:symbol val="none"/>
          </c:marker>
          <c:cat>
            <c:numRef>
              <c:f>'4'!TB4AB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'4'!TB4AF</c:f>
              <c:numCache>
                <c:formatCode>#,##0.00_ </c:formatCode>
                <c:ptCount val="24"/>
                <c:pt idx="0">
                  <c:v>-1743.950000000003</c:v>
                </c:pt>
                <c:pt idx="1">
                  <c:v>-770.11</c:v>
                </c:pt>
                <c:pt idx="2">
                  <c:v>-1406.750000000002</c:v>
                </c:pt>
                <c:pt idx="3">
                  <c:v>-1249.669999999998</c:v>
                </c:pt>
                <c:pt idx="4">
                  <c:v>-712.75000000000296</c:v>
                </c:pt>
                <c:pt idx="5">
                  <c:v>-104.639999999997</c:v>
                </c:pt>
                <c:pt idx="6">
                  <c:v>-698.54</c:v>
                </c:pt>
                <c:pt idx="7">
                  <c:v>-541.11</c:v>
                </c:pt>
                <c:pt idx="8">
                  <c:v>-840.18999999999801</c:v>
                </c:pt>
                <c:pt idx="9">
                  <c:v>0</c:v>
                </c:pt>
                <c:pt idx="10">
                  <c:v>0</c:v>
                </c:pt>
                <c:pt idx="11">
                  <c:v>-1042.5999999999999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54-4436-B144-69A948E07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589168"/>
        <c:axId val="1"/>
      </c:lineChart>
      <c:catAx>
        <c:axId val="959589168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low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（亿美元）</a:t>
                </a:r>
              </a:p>
            </c:rich>
          </c:tx>
          <c:layout>
            <c:manualLayout>
              <c:xMode val="edge"/>
              <c:yMode val="edge"/>
              <c:x val="2.097390556555857E-2"/>
              <c:y val="4.7427127164659973E-2"/>
            </c:manualLayout>
          </c:layout>
          <c:overlay val="0"/>
        </c:title>
        <c:numFmt formatCode="#,##0.0000_ " sourceLinked="1"/>
        <c:majorTickMark val="out"/>
        <c:minorTickMark val="none"/>
        <c:tickLblPos val="nextTo"/>
        <c:crossAx val="959589168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0187256456424176"/>
          <c:y val="0.81316776849918815"/>
          <c:w val="0.8651687225103688"/>
          <c:h val="0.16995653321112636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热钱估算（新增外汇占款法）</a:t>
            </a:r>
          </a:p>
        </c:rich>
      </c:tx>
      <c:layout>
        <c:manualLayout>
          <c:xMode val="edge"/>
          <c:yMode val="edge"/>
          <c:x val="0.3640187041466233"/>
          <c:y val="5.7215070338429919E-5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48122866894198"/>
          <c:y val="0.12433862433862433"/>
          <c:w val="0.84300341296928327"/>
          <c:h val="0.49470899470899471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'4'!$L$39</c:f>
              <c:strCache>
                <c:ptCount val="1"/>
                <c:pt idx="0">
                  <c:v>实际利用外资金额</c:v>
                </c:pt>
              </c:strCache>
            </c:strRef>
          </c:tx>
          <c:spPr>
            <a:ln>
              <a:noFill/>
            </a:ln>
          </c:spPr>
          <c:invertIfNegative val="0"/>
          <c:cat>
            <c:numRef>
              <c:f>'4'!TB4BI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'4'!TB4BL</c:f>
              <c:numCache>
                <c:formatCode>#,##0.0000_ </c:formatCode>
                <c:ptCount val="24"/>
                <c:pt idx="0">
                  <c:v>245.8</c:v>
                </c:pt>
                <c:pt idx="1">
                  <c:v>115.7</c:v>
                </c:pt>
                <c:pt idx="2">
                  <c:v>144.9</c:v>
                </c:pt>
                <c:pt idx="3">
                  <c:v>168.9</c:v>
                </c:pt>
                <c:pt idx="4">
                  <c:v>130.4</c:v>
                </c:pt>
                <c:pt idx="5">
                  <c:v>97.4</c:v>
                </c:pt>
                <c:pt idx="6">
                  <c:v>110.5</c:v>
                </c:pt>
                <c:pt idx="7">
                  <c:v>190.2</c:v>
                </c:pt>
                <c:pt idx="8">
                  <c:v>206.9</c:v>
                </c:pt>
                <c:pt idx="9">
                  <c:v>0</c:v>
                </c:pt>
                <c:pt idx="10">
                  <c:v>0</c:v>
                </c:pt>
                <c:pt idx="11">
                  <c:v>108.5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1-41C3-A39F-ECE6DEAFA834}"/>
            </c:ext>
          </c:extLst>
        </c:ser>
        <c:ser>
          <c:idx val="1"/>
          <c:order val="2"/>
          <c:tx>
            <c:strRef>
              <c:f>'4'!$K$39</c:f>
              <c:strCache>
                <c:ptCount val="1"/>
                <c:pt idx="0">
                  <c:v>贸易顺差</c:v>
                </c:pt>
              </c:strCache>
            </c:strRef>
          </c:tx>
          <c:invertIfNegative val="0"/>
          <c:cat>
            <c:numRef>
              <c:f>'4'!TB4BI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'4'!TB4BK</c:f>
              <c:numCache>
                <c:formatCode>#,##0.00_ </c:formatCode>
                <c:ptCount val="24"/>
                <c:pt idx="0">
                  <c:v>933.07</c:v>
                </c:pt>
                <c:pt idx="1">
                  <c:v>982.4</c:v>
                </c:pt>
                <c:pt idx="2">
                  <c:v>769.95</c:v>
                </c:pt>
                <c:pt idx="3">
                  <c:v>821.51</c:v>
                </c:pt>
                <c:pt idx="4">
                  <c:v>817.07</c:v>
                </c:pt>
                <c:pt idx="5">
                  <c:v>657.85</c:v>
                </c:pt>
                <c:pt idx="6">
                  <c:v>690.07</c:v>
                </c:pt>
                <c:pt idx="7">
                  <c:v>918.62</c:v>
                </c:pt>
                <c:pt idx="8">
                  <c:v>120.2</c:v>
                </c:pt>
                <c:pt idx="9">
                  <c:v>770.73</c:v>
                </c:pt>
                <c:pt idx="10">
                  <c:v>850.48</c:v>
                </c:pt>
                <c:pt idx="11">
                  <c:v>651.52</c:v>
                </c:pt>
                <c:pt idx="12">
                  <c:v>695.58</c:v>
                </c:pt>
                <c:pt idx="13">
                  <c:v>793.96</c:v>
                </c:pt>
                <c:pt idx="14">
                  <c:v>672.19</c:v>
                </c:pt>
                <c:pt idx="15">
                  <c:v>751.2</c:v>
                </c:pt>
                <c:pt idx="16">
                  <c:v>558.62</c:v>
                </c:pt>
                <c:pt idx="17">
                  <c:v>690.65</c:v>
                </c:pt>
                <c:pt idx="18">
                  <c:v>747.27</c:v>
                </c:pt>
                <c:pt idx="19">
                  <c:v>853.38</c:v>
                </c:pt>
                <c:pt idx="20">
                  <c:v>393.7</c:v>
                </c:pt>
                <c:pt idx="21">
                  <c:v>586</c:v>
                </c:pt>
                <c:pt idx="22">
                  <c:v>723.52</c:v>
                </c:pt>
                <c:pt idx="23">
                  <c:v>826.2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F1-41C3-A39F-ECE6DEAFA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59591248"/>
        <c:axId val="1"/>
      </c:barChart>
      <c:lineChart>
        <c:grouping val="standard"/>
        <c:varyColors val="0"/>
        <c:ser>
          <c:idx val="2"/>
          <c:order val="0"/>
          <c:tx>
            <c:strRef>
              <c:f>'4'!$J$39</c:f>
              <c:strCache>
                <c:ptCount val="1"/>
                <c:pt idx="0">
                  <c:v>新增外汇占款</c:v>
                </c:pt>
              </c:strCache>
            </c:strRef>
          </c:tx>
          <c:marker>
            <c:symbol val="none"/>
          </c:marker>
          <c:cat>
            <c:numRef>
              <c:f>'4'!TB4BI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'4'!TB4BJ</c:f>
              <c:numCache>
                <c:formatCode>#,##0.00_ 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F1-41C3-A39F-ECE6DEAFA834}"/>
            </c:ext>
          </c:extLst>
        </c:ser>
        <c:ser>
          <c:idx val="3"/>
          <c:order val="3"/>
          <c:tx>
            <c:strRef>
              <c:f>'4'!$M$39</c:f>
              <c:strCache>
                <c:ptCount val="1"/>
                <c:pt idx="0">
                  <c:v>热钱估算</c:v>
                </c:pt>
              </c:strCache>
            </c:strRef>
          </c:tx>
          <c:marker>
            <c:symbol val="none"/>
          </c:marker>
          <c:cat>
            <c:numRef>
              <c:f>'4'!TB4BI</c:f>
              <c:numCache>
                <c:formatCode>yyyy\-mm</c:formatCode>
                <c:ptCount val="24"/>
                <c:pt idx="0">
                  <c:v>44742</c:v>
                </c:pt>
                <c:pt idx="1">
                  <c:v>44773</c:v>
                </c:pt>
                <c:pt idx="2">
                  <c:v>44804</c:v>
                </c:pt>
                <c:pt idx="3">
                  <c:v>44834</c:v>
                </c:pt>
                <c:pt idx="4">
                  <c:v>44865</c:v>
                </c:pt>
                <c:pt idx="5">
                  <c:v>44895</c:v>
                </c:pt>
                <c:pt idx="6">
                  <c:v>44926</c:v>
                </c:pt>
                <c:pt idx="7">
                  <c:v>44957</c:v>
                </c:pt>
                <c:pt idx="8">
                  <c:v>44985</c:v>
                </c:pt>
                <c:pt idx="9">
                  <c:v>45016</c:v>
                </c:pt>
                <c:pt idx="10">
                  <c:v>45046</c:v>
                </c:pt>
                <c:pt idx="11">
                  <c:v>45077</c:v>
                </c:pt>
                <c:pt idx="12">
                  <c:v>45107</c:v>
                </c:pt>
                <c:pt idx="13">
                  <c:v>45138</c:v>
                </c:pt>
                <c:pt idx="14">
                  <c:v>45169</c:v>
                </c:pt>
                <c:pt idx="15">
                  <c:v>45199</c:v>
                </c:pt>
                <c:pt idx="16">
                  <c:v>45230</c:v>
                </c:pt>
                <c:pt idx="17">
                  <c:v>45260</c:v>
                </c:pt>
                <c:pt idx="18">
                  <c:v>45291</c:v>
                </c:pt>
                <c:pt idx="19">
                  <c:v>45322</c:v>
                </c:pt>
                <c:pt idx="20">
                  <c:v>45351</c:v>
                </c:pt>
                <c:pt idx="21">
                  <c:v>45382</c:v>
                </c:pt>
                <c:pt idx="22">
                  <c:v>45412</c:v>
                </c:pt>
                <c:pt idx="23">
                  <c:v>45443</c:v>
                </c:pt>
              </c:numCache>
            </c:numRef>
          </c:cat>
          <c:val>
            <c:numRef>
              <c:f>'4'!TB4BM</c:f>
              <c:numCache>
                <c:formatCode>#,##0.00_ 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F1-41C3-A39F-ECE6DEAFA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591248"/>
        <c:axId val="1"/>
      </c:lineChart>
      <c:catAx>
        <c:axId val="959591248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（亿美元）</a:t>
                </a:r>
              </a:p>
            </c:rich>
          </c:tx>
          <c:layout>
            <c:manualLayout>
              <c:xMode val="edge"/>
              <c:yMode val="edge"/>
              <c:x val="2.0078113102756354E-2"/>
              <c:y val="4.5878431862683831E-2"/>
            </c:manualLayout>
          </c:layout>
          <c:overlay val="0"/>
        </c:title>
        <c:numFmt formatCode="#,##0.0000_ " sourceLinked="1"/>
        <c:majorTickMark val="out"/>
        <c:minorTickMark val="none"/>
        <c:tickLblPos val="nextTo"/>
        <c:crossAx val="959591248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6899429380201195"/>
          <c:y val="0.80476440444944386"/>
          <c:w val="0.78671002302186621"/>
          <c:h val="0.16543598716827057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defRPr>
            </a:pPr>
            <a:r>
              <a: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货币投放与回笼</a:t>
            </a:r>
          </a:p>
        </c:rich>
      </c:tx>
      <c:layout>
        <c:manualLayout>
          <c:xMode val="edge"/>
          <c:yMode val="edge"/>
          <c:x val="0.43233112072595026"/>
          <c:y val="2.7254926467524892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604095563139932"/>
          <c:y val="0.14814814814814814"/>
          <c:w val="0.86177474402730381"/>
          <c:h val="0.49438993273022502"/>
        </c:manualLayout>
      </c:layout>
      <c:barChart>
        <c:barDir val="col"/>
        <c:grouping val="stacked"/>
        <c:varyColors val="0"/>
        <c:ser>
          <c:idx val="1"/>
          <c:order val="2"/>
          <c:tx>
            <c:strRef>
              <c:f>'5'!$E$39</c:f>
              <c:strCache>
                <c:ptCount val="1"/>
                <c:pt idx="0">
                  <c:v>公开市场操作:货币净投放</c:v>
                </c:pt>
              </c:strCache>
            </c:strRef>
          </c:tx>
          <c:invertIfNegative val="0"/>
          <c:cat>
            <c:numRef>
              <c:f>'5'!TB5AB</c:f>
              <c:numCache>
                <c:formatCode>yyyy\-mm\-dd</c:formatCode>
                <c:ptCount val="24"/>
                <c:pt idx="0">
                  <c:v>45289</c:v>
                </c:pt>
                <c:pt idx="1">
                  <c:v>45296</c:v>
                </c:pt>
                <c:pt idx="2">
                  <c:v>45303</c:v>
                </c:pt>
                <c:pt idx="3">
                  <c:v>45310</c:v>
                </c:pt>
                <c:pt idx="4">
                  <c:v>45317</c:v>
                </c:pt>
                <c:pt idx="5">
                  <c:v>45324</c:v>
                </c:pt>
                <c:pt idx="6">
                  <c:v>45331</c:v>
                </c:pt>
                <c:pt idx="7">
                  <c:v>45345</c:v>
                </c:pt>
                <c:pt idx="8">
                  <c:v>45352</c:v>
                </c:pt>
                <c:pt idx="9">
                  <c:v>45359</c:v>
                </c:pt>
                <c:pt idx="10">
                  <c:v>45366</c:v>
                </c:pt>
                <c:pt idx="11">
                  <c:v>45373</c:v>
                </c:pt>
                <c:pt idx="12">
                  <c:v>45380</c:v>
                </c:pt>
                <c:pt idx="13">
                  <c:v>45387</c:v>
                </c:pt>
                <c:pt idx="14">
                  <c:v>45394</c:v>
                </c:pt>
                <c:pt idx="15">
                  <c:v>45401</c:v>
                </c:pt>
                <c:pt idx="16">
                  <c:v>45408</c:v>
                </c:pt>
                <c:pt idx="17">
                  <c:v>45415</c:v>
                </c:pt>
                <c:pt idx="18">
                  <c:v>45422</c:v>
                </c:pt>
                <c:pt idx="19">
                  <c:v>45429</c:v>
                </c:pt>
                <c:pt idx="20">
                  <c:v>45436</c:v>
                </c:pt>
                <c:pt idx="21">
                  <c:v>45443</c:v>
                </c:pt>
                <c:pt idx="22">
                  <c:v>45450</c:v>
                </c:pt>
                <c:pt idx="23">
                  <c:v>45457</c:v>
                </c:pt>
              </c:numCache>
            </c:numRef>
          </c:cat>
          <c:val>
            <c:numRef>
              <c:f>'5'!TB5AE</c:f>
              <c:numCache>
                <c:formatCode>#,##0.00_ </c:formatCode>
                <c:ptCount val="24"/>
                <c:pt idx="0">
                  <c:v>12570</c:v>
                </c:pt>
                <c:pt idx="1">
                  <c:v>-24230</c:v>
                </c:pt>
                <c:pt idx="2">
                  <c:v>-1890</c:v>
                </c:pt>
                <c:pt idx="3">
                  <c:v>13400</c:v>
                </c:pt>
                <c:pt idx="4">
                  <c:v>4100</c:v>
                </c:pt>
                <c:pt idx="5">
                  <c:v>-2300</c:v>
                </c:pt>
                <c:pt idx="6">
                  <c:v>-4170</c:v>
                </c:pt>
                <c:pt idx="7">
                  <c:v>-8410</c:v>
                </c:pt>
                <c:pt idx="8">
                  <c:v>6320</c:v>
                </c:pt>
                <c:pt idx="9">
                  <c:v>-11140</c:v>
                </c:pt>
                <c:pt idx="10">
                  <c:v>-110</c:v>
                </c:pt>
                <c:pt idx="11">
                  <c:v>-170</c:v>
                </c:pt>
                <c:pt idx="12">
                  <c:v>8280</c:v>
                </c:pt>
                <c:pt idx="13">
                  <c:v>-4440</c:v>
                </c:pt>
                <c:pt idx="14">
                  <c:v>-3940</c:v>
                </c:pt>
                <c:pt idx="15">
                  <c:v>-20</c:v>
                </c:pt>
                <c:pt idx="16">
                  <c:v>0</c:v>
                </c:pt>
                <c:pt idx="17">
                  <c:v>4400</c:v>
                </c:pt>
                <c:pt idx="18">
                  <c:v>-4400</c:v>
                </c:pt>
                <c:pt idx="19">
                  <c:v>20</c:v>
                </c:pt>
                <c:pt idx="20">
                  <c:v>-20</c:v>
                </c:pt>
                <c:pt idx="21">
                  <c:v>6040</c:v>
                </c:pt>
                <c:pt idx="22">
                  <c:v>-6040</c:v>
                </c:pt>
                <c:pt idx="23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A-4C4A-9E89-C5CD256C5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55188688"/>
        <c:axId val="1"/>
      </c:barChart>
      <c:lineChart>
        <c:grouping val="standard"/>
        <c:varyColors val="0"/>
        <c:ser>
          <c:idx val="2"/>
          <c:order val="0"/>
          <c:tx>
            <c:strRef>
              <c:f>'5'!$C$39</c:f>
              <c:strCache>
                <c:ptCount val="1"/>
                <c:pt idx="0">
                  <c:v>公开市场操作:货币投放</c:v>
                </c:pt>
              </c:strCache>
            </c:strRef>
          </c:tx>
          <c:marker>
            <c:symbol val="none"/>
          </c:marker>
          <c:cat>
            <c:numRef>
              <c:f>'5'!TB5AB</c:f>
              <c:numCache>
                <c:formatCode>yyyy\-mm\-dd</c:formatCode>
                <c:ptCount val="24"/>
                <c:pt idx="0">
                  <c:v>45289</c:v>
                </c:pt>
                <c:pt idx="1">
                  <c:v>45296</c:v>
                </c:pt>
                <c:pt idx="2">
                  <c:v>45303</c:v>
                </c:pt>
                <c:pt idx="3">
                  <c:v>45310</c:v>
                </c:pt>
                <c:pt idx="4">
                  <c:v>45317</c:v>
                </c:pt>
                <c:pt idx="5">
                  <c:v>45324</c:v>
                </c:pt>
                <c:pt idx="6">
                  <c:v>45331</c:v>
                </c:pt>
                <c:pt idx="7">
                  <c:v>45345</c:v>
                </c:pt>
                <c:pt idx="8">
                  <c:v>45352</c:v>
                </c:pt>
                <c:pt idx="9">
                  <c:v>45359</c:v>
                </c:pt>
                <c:pt idx="10">
                  <c:v>45366</c:v>
                </c:pt>
                <c:pt idx="11">
                  <c:v>45373</c:v>
                </c:pt>
                <c:pt idx="12">
                  <c:v>45380</c:v>
                </c:pt>
                <c:pt idx="13">
                  <c:v>45387</c:v>
                </c:pt>
                <c:pt idx="14">
                  <c:v>45394</c:v>
                </c:pt>
                <c:pt idx="15">
                  <c:v>45401</c:v>
                </c:pt>
                <c:pt idx="16">
                  <c:v>45408</c:v>
                </c:pt>
                <c:pt idx="17">
                  <c:v>45415</c:v>
                </c:pt>
                <c:pt idx="18">
                  <c:v>45422</c:v>
                </c:pt>
                <c:pt idx="19">
                  <c:v>45429</c:v>
                </c:pt>
                <c:pt idx="20">
                  <c:v>45436</c:v>
                </c:pt>
                <c:pt idx="21">
                  <c:v>45443</c:v>
                </c:pt>
                <c:pt idx="22">
                  <c:v>45450</c:v>
                </c:pt>
                <c:pt idx="23">
                  <c:v>45457</c:v>
                </c:pt>
              </c:numCache>
            </c:numRef>
          </c:cat>
          <c:val>
            <c:numRef>
              <c:f>'5'!TB5AC</c:f>
              <c:numCache>
                <c:formatCode>#,##0.00_ </c:formatCode>
                <c:ptCount val="24"/>
                <c:pt idx="0">
                  <c:v>19340</c:v>
                </c:pt>
                <c:pt idx="1">
                  <c:v>2410</c:v>
                </c:pt>
                <c:pt idx="2">
                  <c:v>2270</c:v>
                </c:pt>
                <c:pt idx="3">
                  <c:v>15670</c:v>
                </c:pt>
                <c:pt idx="4">
                  <c:v>19820</c:v>
                </c:pt>
                <c:pt idx="5">
                  <c:v>17470</c:v>
                </c:pt>
                <c:pt idx="6">
                  <c:v>13160</c:v>
                </c:pt>
                <c:pt idx="7">
                  <c:v>5320</c:v>
                </c:pt>
                <c:pt idx="8">
                  <c:v>11690</c:v>
                </c:pt>
                <c:pt idx="9">
                  <c:v>500</c:v>
                </c:pt>
                <c:pt idx="10">
                  <c:v>390</c:v>
                </c:pt>
                <c:pt idx="11">
                  <c:v>220</c:v>
                </c:pt>
                <c:pt idx="12">
                  <c:v>8550</c:v>
                </c:pt>
                <c:pt idx="13">
                  <c:v>60</c:v>
                </c:pt>
                <c:pt idx="14">
                  <c:v>120</c:v>
                </c:pt>
                <c:pt idx="15">
                  <c:v>100</c:v>
                </c:pt>
                <c:pt idx="16">
                  <c:v>150</c:v>
                </c:pt>
                <c:pt idx="17">
                  <c:v>4440</c:v>
                </c:pt>
                <c:pt idx="18">
                  <c:v>100</c:v>
                </c:pt>
                <c:pt idx="19">
                  <c:v>120</c:v>
                </c:pt>
                <c:pt idx="20">
                  <c:v>100</c:v>
                </c:pt>
                <c:pt idx="21">
                  <c:v>6190</c:v>
                </c:pt>
                <c:pt idx="22">
                  <c:v>100</c:v>
                </c:pt>
                <c:pt idx="23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4A-4C4A-9E89-C5CD256C53D4}"/>
            </c:ext>
          </c:extLst>
        </c:ser>
        <c:ser>
          <c:idx val="0"/>
          <c:order val="1"/>
          <c:tx>
            <c:strRef>
              <c:f>'5'!$D$39</c:f>
              <c:strCache>
                <c:ptCount val="1"/>
                <c:pt idx="0">
                  <c:v>公开市场操作:货币回笼</c:v>
                </c:pt>
              </c:strCache>
            </c:strRef>
          </c:tx>
          <c:marker>
            <c:symbol val="none"/>
          </c:marker>
          <c:cat>
            <c:numRef>
              <c:f>'5'!TB5AB</c:f>
              <c:numCache>
                <c:formatCode>yyyy\-mm\-dd</c:formatCode>
                <c:ptCount val="24"/>
                <c:pt idx="0">
                  <c:v>45289</c:v>
                </c:pt>
                <c:pt idx="1">
                  <c:v>45296</c:v>
                </c:pt>
                <c:pt idx="2">
                  <c:v>45303</c:v>
                </c:pt>
                <c:pt idx="3">
                  <c:v>45310</c:v>
                </c:pt>
                <c:pt idx="4">
                  <c:v>45317</c:v>
                </c:pt>
                <c:pt idx="5">
                  <c:v>45324</c:v>
                </c:pt>
                <c:pt idx="6">
                  <c:v>45331</c:v>
                </c:pt>
                <c:pt idx="7">
                  <c:v>45345</c:v>
                </c:pt>
                <c:pt idx="8">
                  <c:v>45352</c:v>
                </c:pt>
                <c:pt idx="9">
                  <c:v>45359</c:v>
                </c:pt>
                <c:pt idx="10">
                  <c:v>45366</c:v>
                </c:pt>
                <c:pt idx="11">
                  <c:v>45373</c:v>
                </c:pt>
                <c:pt idx="12">
                  <c:v>45380</c:v>
                </c:pt>
                <c:pt idx="13">
                  <c:v>45387</c:v>
                </c:pt>
                <c:pt idx="14">
                  <c:v>45394</c:v>
                </c:pt>
                <c:pt idx="15">
                  <c:v>45401</c:v>
                </c:pt>
                <c:pt idx="16">
                  <c:v>45408</c:v>
                </c:pt>
                <c:pt idx="17">
                  <c:v>45415</c:v>
                </c:pt>
                <c:pt idx="18">
                  <c:v>45422</c:v>
                </c:pt>
                <c:pt idx="19">
                  <c:v>45429</c:v>
                </c:pt>
                <c:pt idx="20">
                  <c:v>45436</c:v>
                </c:pt>
                <c:pt idx="21">
                  <c:v>45443</c:v>
                </c:pt>
                <c:pt idx="22">
                  <c:v>45450</c:v>
                </c:pt>
                <c:pt idx="23">
                  <c:v>45457</c:v>
                </c:pt>
              </c:numCache>
            </c:numRef>
          </c:cat>
          <c:val>
            <c:numRef>
              <c:f>'5'!TB5AD</c:f>
              <c:numCache>
                <c:formatCode>#,##0.00_ </c:formatCode>
                <c:ptCount val="24"/>
                <c:pt idx="0">
                  <c:v>6770</c:v>
                </c:pt>
                <c:pt idx="1">
                  <c:v>26640</c:v>
                </c:pt>
                <c:pt idx="2">
                  <c:v>4160</c:v>
                </c:pt>
                <c:pt idx="3">
                  <c:v>2270</c:v>
                </c:pt>
                <c:pt idx="4">
                  <c:v>15720</c:v>
                </c:pt>
                <c:pt idx="5">
                  <c:v>19770</c:v>
                </c:pt>
                <c:pt idx="6">
                  <c:v>17330</c:v>
                </c:pt>
                <c:pt idx="7">
                  <c:v>13730</c:v>
                </c:pt>
                <c:pt idx="8">
                  <c:v>5370</c:v>
                </c:pt>
                <c:pt idx="9">
                  <c:v>11640</c:v>
                </c:pt>
                <c:pt idx="10">
                  <c:v>500</c:v>
                </c:pt>
                <c:pt idx="11">
                  <c:v>390</c:v>
                </c:pt>
                <c:pt idx="12">
                  <c:v>270</c:v>
                </c:pt>
                <c:pt idx="13">
                  <c:v>4500</c:v>
                </c:pt>
                <c:pt idx="14">
                  <c:v>4060</c:v>
                </c:pt>
                <c:pt idx="15">
                  <c:v>120</c:v>
                </c:pt>
                <c:pt idx="16">
                  <c:v>150</c:v>
                </c:pt>
                <c:pt idx="17">
                  <c:v>40</c:v>
                </c:pt>
                <c:pt idx="18">
                  <c:v>4500</c:v>
                </c:pt>
                <c:pt idx="19">
                  <c:v>100</c:v>
                </c:pt>
                <c:pt idx="20">
                  <c:v>120</c:v>
                </c:pt>
                <c:pt idx="21">
                  <c:v>150</c:v>
                </c:pt>
                <c:pt idx="22">
                  <c:v>6140</c:v>
                </c:pt>
                <c:pt idx="2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4A-4C4A-9E89-C5CD256C5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188688"/>
        <c:axId val="1"/>
      </c:lineChart>
      <c:catAx>
        <c:axId val="955188688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low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（亿元）</a:t>
                </a:r>
              </a:p>
            </c:rich>
          </c:tx>
          <c:layout>
            <c:manualLayout>
              <c:xMode val="edge"/>
              <c:yMode val="edge"/>
              <c:x val="2.097390556555857E-2"/>
              <c:y val="6.952658695440847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955188688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0187256456424176"/>
          <c:y val="0.78739074282381372"/>
          <c:w val="0.8651687225103688"/>
          <c:h val="0.16995653321112636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defRPr>
            </a:pPr>
            <a:r>
              <a:rPr lang="en-US" altLang="zh-CN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M0,M1,M2</a:t>
            </a:r>
            <a:r>
              <a: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同比</a:t>
            </a:r>
          </a:p>
        </c:rich>
      </c:tx>
      <c:layout>
        <c:manualLayout>
          <c:xMode val="edge"/>
          <c:yMode val="edge"/>
          <c:x val="0.38725287325432445"/>
          <c:y val="2.56790767803293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286689419795221"/>
          <c:y val="0.12962962962962962"/>
          <c:w val="0.76109215017064846"/>
          <c:h val="0.51587301587301593"/>
        </c:manualLayout>
      </c:layout>
      <c:lineChart>
        <c:grouping val="standard"/>
        <c:varyColors val="0"/>
        <c:ser>
          <c:idx val="1"/>
          <c:order val="1"/>
          <c:tx>
            <c:strRef>
              <c:f>'5'!$K$39</c:f>
              <c:strCache>
                <c:ptCount val="1"/>
                <c:pt idx="0">
                  <c:v>中国:M2:同比</c:v>
                </c:pt>
              </c:strCache>
            </c:strRef>
          </c:tx>
          <c:marker>
            <c:symbol val="none"/>
          </c:marker>
          <c:dLbls>
            <c:dLbl>
              <c:idx val="59"/>
              <c:layout>
                <c:manualLayout>
                  <c:x val="5.4607508532423042E-2"/>
                  <c:y val="-7.364880538158200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5979-4287-ACF6-6074464D5243}"/>
                </c:ext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'5'!TB5BI</c:f>
              <c:numCache>
                <c:formatCode>yyyy\-mm</c:formatCode>
                <c:ptCount val="60"/>
                <c:pt idx="0">
                  <c:v>43646</c:v>
                </c:pt>
                <c:pt idx="1">
                  <c:v>43677</c:v>
                </c:pt>
                <c:pt idx="2">
                  <c:v>43708</c:v>
                </c:pt>
                <c:pt idx="3">
                  <c:v>43738</c:v>
                </c:pt>
                <c:pt idx="4">
                  <c:v>43769</c:v>
                </c:pt>
                <c:pt idx="5">
                  <c:v>43799</c:v>
                </c:pt>
                <c:pt idx="6">
                  <c:v>43830</c:v>
                </c:pt>
                <c:pt idx="7">
                  <c:v>43861</c:v>
                </c:pt>
                <c:pt idx="8">
                  <c:v>43890</c:v>
                </c:pt>
                <c:pt idx="9">
                  <c:v>43921</c:v>
                </c:pt>
                <c:pt idx="10">
                  <c:v>43951</c:v>
                </c:pt>
                <c:pt idx="11">
                  <c:v>43982</c:v>
                </c:pt>
                <c:pt idx="12">
                  <c:v>44012</c:v>
                </c:pt>
                <c:pt idx="13">
                  <c:v>44043</c:v>
                </c:pt>
                <c:pt idx="14">
                  <c:v>44074</c:v>
                </c:pt>
                <c:pt idx="15">
                  <c:v>44104</c:v>
                </c:pt>
                <c:pt idx="16">
                  <c:v>44135</c:v>
                </c:pt>
                <c:pt idx="17">
                  <c:v>44165</c:v>
                </c:pt>
                <c:pt idx="18">
                  <c:v>44196</c:v>
                </c:pt>
                <c:pt idx="19">
                  <c:v>44227</c:v>
                </c:pt>
                <c:pt idx="20">
                  <c:v>44255</c:v>
                </c:pt>
                <c:pt idx="21">
                  <c:v>44286</c:v>
                </c:pt>
                <c:pt idx="22">
                  <c:v>44316</c:v>
                </c:pt>
                <c:pt idx="23">
                  <c:v>44347</c:v>
                </c:pt>
                <c:pt idx="24">
                  <c:v>44377</c:v>
                </c:pt>
                <c:pt idx="25">
                  <c:v>44408</c:v>
                </c:pt>
                <c:pt idx="26">
                  <c:v>44439</c:v>
                </c:pt>
                <c:pt idx="27">
                  <c:v>44469</c:v>
                </c:pt>
                <c:pt idx="28">
                  <c:v>44500</c:v>
                </c:pt>
                <c:pt idx="29">
                  <c:v>44530</c:v>
                </c:pt>
                <c:pt idx="30">
                  <c:v>44561</c:v>
                </c:pt>
                <c:pt idx="31">
                  <c:v>44592</c:v>
                </c:pt>
                <c:pt idx="32">
                  <c:v>44620</c:v>
                </c:pt>
                <c:pt idx="33">
                  <c:v>44651</c:v>
                </c:pt>
                <c:pt idx="34">
                  <c:v>44681</c:v>
                </c:pt>
                <c:pt idx="35">
                  <c:v>44712</c:v>
                </c:pt>
                <c:pt idx="36">
                  <c:v>44742</c:v>
                </c:pt>
                <c:pt idx="37">
                  <c:v>44773</c:v>
                </c:pt>
                <c:pt idx="38">
                  <c:v>44804</c:v>
                </c:pt>
                <c:pt idx="39">
                  <c:v>44834</c:v>
                </c:pt>
                <c:pt idx="40">
                  <c:v>44865</c:v>
                </c:pt>
                <c:pt idx="41">
                  <c:v>44895</c:v>
                </c:pt>
                <c:pt idx="42">
                  <c:v>44926</c:v>
                </c:pt>
                <c:pt idx="43">
                  <c:v>44957</c:v>
                </c:pt>
                <c:pt idx="44">
                  <c:v>44985</c:v>
                </c:pt>
                <c:pt idx="45">
                  <c:v>45016</c:v>
                </c:pt>
                <c:pt idx="46">
                  <c:v>45046</c:v>
                </c:pt>
                <c:pt idx="47">
                  <c:v>45077</c:v>
                </c:pt>
                <c:pt idx="48">
                  <c:v>45107</c:v>
                </c:pt>
                <c:pt idx="49">
                  <c:v>45138</c:v>
                </c:pt>
                <c:pt idx="50">
                  <c:v>45169</c:v>
                </c:pt>
                <c:pt idx="51">
                  <c:v>45199</c:v>
                </c:pt>
                <c:pt idx="52">
                  <c:v>45230</c:v>
                </c:pt>
                <c:pt idx="53">
                  <c:v>45260</c:v>
                </c:pt>
                <c:pt idx="54">
                  <c:v>45291</c:v>
                </c:pt>
                <c:pt idx="55">
                  <c:v>45322</c:v>
                </c:pt>
                <c:pt idx="56">
                  <c:v>45351</c:v>
                </c:pt>
                <c:pt idx="57">
                  <c:v>45382</c:v>
                </c:pt>
                <c:pt idx="58">
                  <c:v>45412</c:v>
                </c:pt>
                <c:pt idx="59">
                  <c:v>45443</c:v>
                </c:pt>
              </c:numCache>
            </c:numRef>
          </c:cat>
          <c:val>
            <c:numRef>
              <c:f>'5'!TB5BK</c:f>
              <c:numCache>
                <c:formatCode>#,##0.00_ </c:formatCode>
                <c:ptCount val="60"/>
                <c:pt idx="0">
                  <c:v>8.5</c:v>
                </c:pt>
                <c:pt idx="1">
                  <c:v>8.1</c:v>
                </c:pt>
                <c:pt idx="2">
                  <c:v>8.1999999999999993</c:v>
                </c:pt>
                <c:pt idx="3">
                  <c:v>8.4</c:v>
                </c:pt>
                <c:pt idx="4">
                  <c:v>8.4</c:v>
                </c:pt>
                <c:pt idx="5">
                  <c:v>8.1999999999999993</c:v>
                </c:pt>
                <c:pt idx="6">
                  <c:v>8.6999999999999993</c:v>
                </c:pt>
                <c:pt idx="7">
                  <c:v>8.4</c:v>
                </c:pt>
                <c:pt idx="8">
                  <c:v>8.8000000000000007</c:v>
                </c:pt>
                <c:pt idx="9">
                  <c:v>10.1</c:v>
                </c:pt>
                <c:pt idx="10">
                  <c:v>11.1</c:v>
                </c:pt>
                <c:pt idx="11">
                  <c:v>11.1</c:v>
                </c:pt>
                <c:pt idx="12">
                  <c:v>11.1</c:v>
                </c:pt>
                <c:pt idx="13">
                  <c:v>10.7</c:v>
                </c:pt>
                <c:pt idx="14">
                  <c:v>10.4</c:v>
                </c:pt>
                <c:pt idx="15">
                  <c:v>10.9</c:v>
                </c:pt>
                <c:pt idx="16">
                  <c:v>10.5</c:v>
                </c:pt>
                <c:pt idx="17">
                  <c:v>10.7</c:v>
                </c:pt>
                <c:pt idx="18">
                  <c:v>10.1</c:v>
                </c:pt>
                <c:pt idx="19">
                  <c:v>9.4</c:v>
                </c:pt>
                <c:pt idx="20">
                  <c:v>10.1</c:v>
                </c:pt>
                <c:pt idx="21">
                  <c:v>9.4</c:v>
                </c:pt>
                <c:pt idx="22">
                  <c:v>8.1</c:v>
                </c:pt>
                <c:pt idx="23">
                  <c:v>8.3000000000000007</c:v>
                </c:pt>
                <c:pt idx="24">
                  <c:v>8.6</c:v>
                </c:pt>
                <c:pt idx="25">
                  <c:v>8.3000000000000007</c:v>
                </c:pt>
                <c:pt idx="26">
                  <c:v>8.1999999999999993</c:v>
                </c:pt>
                <c:pt idx="27">
                  <c:v>8.3000000000000007</c:v>
                </c:pt>
                <c:pt idx="28">
                  <c:v>8.6999999999999993</c:v>
                </c:pt>
                <c:pt idx="29">
                  <c:v>8.5</c:v>
                </c:pt>
                <c:pt idx="30">
                  <c:v>9</c:v>
                </c:pt>
                <c:pt idx="31">
                  <c:v>9.8000000000000007</c:v>
                </c:pt>
                <c:pt idx="32">
                  <c:v>9.1999999999999993</c:v>
                </c:pt>
                <c:pt idx="33">
                  <c:v>9.6999999999999993</c:v>
                </c:pt>
                <c:pt idx="34">
                  <c:v>10.5</c:v>
                </c:pt>
                <c:pt idx="35">
                  <c:v>11.1</c:v>
                </c:pt>
                <c:pt idx="36">
                  <c:v>11.4</c:v>
                </c:pt>
                <c:pt idx="37">
                  <c:v>12</c:v>
                </c:pt>
                <c:pt idx="38">
                  <c:v>12.2</c:v>
                </c:pt>
                <c:pt idx="39">
                  <c:v>12.1</c:v>
                </c:pt>
                <c:pt idx="40">
                  <c:v>11.8</c:v>
                </c:pt>
                <c:pt idx="41">
                  <c:v>12.4</c:v>
                </c:pt>
                <c:pt idx="42">
                  <c:v>11.8</c:v>
                </c:pt>
                <c:pt idx="43">
                  <c:v>12.6</c:v>
                </c:pt>
                <c:pt idx="44">
                  <c:v>12.9</c:v>
                </c:pt>
                <c:pt idx="45">
                  <c:v>12.7</c:v>
                </c:pt>
                <c:pt idx="46">
                  <c:v>12.4</c:v>
                </c:pt>
                <c:pt idx="47">
                  <c:v>11.6</c:v>
                </c:pt>
                <c:pt idx="48">
                  <c:v>11.3</c:v>
                </c:pt>
                <c:pt idx="49">
                  <c:v>10.7</c:v>
                </c:pt>
                <c:pt idx="50">
                  <c:v>10.6</c:v>
                </c:pt>
                <c:pt idx="51">
                  <c:v>10.3</c:v>
                </c:pt>
                <c:pt idx="52">
                  <c:v>10.3</c:v>
                </c:pt>
                <c:pt idx="53">
                  <c:v>10</c:v>
                </c:pt>
                <c:pt idx="54">
                  <c:v>9.6999999999999993</c:v>
                </c:pt>
                <c:pt idx="55">
                  <c:v>8.6999999999999993</c:v>
                </c:pt>
                <c:pt idx="56">
                  <c:v>8.6999999999999993</c:v>
                </c:pt>
                <c:pt idx="57">
                  <c:v>8.3000000000000007</c:v>
                </c:pt>
                <c:pt idx="58">
                  <c:v>7.2</c:v>
                </c:pt>
                <c:pt idx="5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3A-4CEB-84EB-E2069AB396ED}"/>
            </c:ext>
          </c:extLst>
        </c:ser>
        <c:ser>
          <c:idx val="0"/>
          <c:order val="0"/>
          <c:tx>
            <c:strRef>
              <c:f>'5'!$J$39</c:f>
              <c:strCache>
                <c:ptCount val="1"/>
                <c:pt idx="0">
                  <c:v>中国:M1:同比</c:v>
                </c:pt>
              </c:strCache>
            </c:strRef>
          </c:tx>
          <c:marker>
            <c:symbol val="none"/>
          </c:marker>
          <c:dLbls>
            <c:dLbl>
              <c:idx val="59"/>
              <c:layout>
                <c:manualLayout>
                  <c:x val="3.412969283276434E-2"/>
                  <c:y val="-2.2094641614474667E-2"/>
                </c:manualLayout>
              </c:layout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5979-4287-ACF6-6074464D524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numRef>
              <c:f>'5'!TB5BI</c:f>
              <c:numCache>
                <c:formatCode>yyyy\-mm</c:formatCode>
                <c:ptCount val="60"/>
                <c:pt idx="0">
                  <c:v>43646</c:v>
                </c:pt>
                <c:pt idx="1">
                  <c:v>43677</c:v>
                </c:pt>
                <c:pt idx="2">
                  <c:v>43708</c:v>
                </c:pt>
                <c:pt idx="3">
                  <c:v>43738</c:v>
                </c:pt>
                <c:pt idx="4">
                  <c:v>43769</c:v>
                </c:pt>
                <c:pt idx="5">
                  <c:v>43799</c:v>
                </c:pt>
                <c:pt idx="6">
                  <c:v>43830</c:v>
                </c:pt>
                <c:pt idx="7">
                  <c:v>43861</c:v>
                </c:pt>
                <c:pt idx="8">
                  <c:v>43890</c:v>
                </c:pt>
                <c:pt idx="9">
                  <c:v>43921</c:v>
                </c:pt>
                <c:pt idx="10">
                  <c:v>43951</c:v>
                </c:pt>
                <c:pt idx="11">
                  <c:v>43982</c:v>
                </c:pt>
                <c:pt idx="12">
                  <c:v>44012</c:v>
                </c:pt>
                <c:pt idx="13">
                  <c:v>44043</c:v>
                </c:pt>
                <c:pt idx="14">
                  <c:v>44074</c:v>
                </c:pt>
                <c:pt idx="15">
                  <c:v>44104</c:v>
                </c:pt>
                <c:pt idx="16">
                  <c:v>44135</c:v>
                </c:pt>
                <c:pt idx="17">
                  <c:v>44165</c:v>
                </c:pt>
                <c:pt idx="18">
                  <c:v>44196</c:v>
                </c:pt>
                <c:pt idx="19">
                  <c:v>44227</c:v>
                </c:pt>
                <c:pt idx="20">
                  <c:v>44255</c:v>
                </c:pt>
                <c:pt idx="21">
                  <c:v>44286</c:v>
                </c:pt>
                <c:pt idx="22">
                  <c:v>44316</c:v>
                </c:pt>
                <c:pt idx="23">
                  <c:v>44347</c:v>
                </c:pt>
                <c:pt idx="24">
                  <c:v>44377</c:v>
                </c:pt>
                <c:pt idx="25">
                  <c:v>44408</c:v>
                </c:pt>
                <c:pt idx="26">
                  <c:v>44439</c:v>
                </c:pt>
                <c:pt idx="27">
                  <c:v>44469</c:v>
                </c:pt>
                <c:pt idx="28">
                  <c:v>44500</c:v>
                </c:pt>
                <c:pt idx="29">
                  <c:v>44530</c:v>
                </c:pt>
                <c:pt idx="30">
                  <c:v>44561</c:v>
                </c:pt>
                <c:pt idx="31">
                  <c:v>44592</c:v>
                </c:pt>
                <c:pt idx="32">
                  <c:v>44620</c:v>
                </c:pt>
                <c:pt idx="33">
                  <c:v>44651</c:v>
                </c:pt>
                <c:pt idx="34">
                  <c:v>44681</c:v>
                </c:pt>
                <c:pt idx="35">
                  <c:v>44712</c:v>
                </c:pt>
                <c:pt idx="36">
                  <c:v>44742</c:v>
                </c:pt>
                <c:pt idx="37">
                  <c:v>44773</c:v>
                </c:pt>
                <c:pt idx="38">
                  <c:v>44804</c:v>
                </c:pt>
                <c:pt idx="39">
                  <c:v>44834</c:v>
                </c:pt>
                <c:pt idx="40">
                  <c:v>44865</c:v>
                </c:pt>
                <c:pt idx="41">
                  <c:v>44895</c:v>
                </c:pt>
                <c:pt idx="42">
                  <c:v>44926</c:v>
                </c:pt>
                <c:pt idx="43">
                  <c:v>44957</c:v>
                </c:pt>
                <c:pt idx="44">
                  <c:v>44985</c:v>
                </c:pt>
                <c:pt idx="45">
                  <c:v>45016</c:v>
                </c:pt>
                <c:pt idx="46">
                  <c:v>45046</c:v>
                </c:pt>
                <c:pt idx="47">
                  <c:v>45077</c:v>
                </c:pt>
                <c:pt idx="48">
                  <c:v>45107</c:v>
                </c:pt>
                <c:pt idx="49">
                  <c:v>45138</c:v>
                </c:pt>
                <c:pt idx="50">
                  <c:v>45169</c:v>
                </c:pt>
                <c:pt idx="51">
                  <c:v>45199</c:v>
                </c:pt>
                <c:pt idx="52">
                  <c:v>45230</c:v>
                </c:pt>
                <c:pt idx="53">
                  <c:v>45260</c:v>
                </c:pt>
                <c:pt idx="54">
                  <c:v>45291</c:v>
                </c:pt>
                <c:pt idx="55">
                  <c:v>45322</c:v>
                </c:pt>
                <c:pt idx="56">
                  <c:v>45351</c:v>
                </c:pt>
                <c:pt idx="57">
                  <c:v>45382</c:v>
                </c:pt>
                <c:pt idx="58">
                  <c:v>45412</c:v>
                </c:pt>
                <c:pt idx="59">
                  <c:v>45443</c:v>
                </c:pt>
              </c:numCache>
            </c:numRef>
          </c:cat>
          <c:val>
            <c:numRef>
              <c:f>'5'!TB5BJ</c:f>
              <c:numCache>
                <c:formatCode>#,##0.00_ </c:formatCode>
                <c:ptCount val="60"/>
                <c:pt idx="0">
                  <c:v>4.4000000000000004</c:v>
                </c:pt>
                <c:pt idx="1">
                  <c:v>3.1</c:v>
                </c:pt>
                <c:pt idx="2">
                  <c:v>3.4</c:v>
                </c:pt>
                <c:pt idx="3">
                  <c:v>3.4</c:v>
                </c:pt>
                <c:pt idx="4">
                  <c:v>3.3</c:v>
                </c:pt>
                <c:pt idx="5">
                  <c:v>3.5</c:v>
                </c:pt>
                <c:pt idx="6">
                  <c:v>4.4000000000000004</c:v>
                </c:pt>
                <c:pt idx="7">
                  <c:v>0</c:v>
                </c:pt>
                <c:pt idx="8">
                  <c:v>4.8</c:v>
                </c:pt>
                <c:pt idx="9">
                  <c:v>5</c:v>
                </c:pt>
                <c:pt idx="10">
                  <c:v>5.5</c:v>
                </c:pt>
                <c:pt idx="11">
                  <c:v>6.8</c:v>
                </c:pt>
                <c:pt idx="12">
                  <c:v>6.5</c:v>
                </c:pt>
                <c:pt idx="13">
                  <c:v>6.9</c:v>
                </c:pt>
                <c:pt idx="14">
                  <c:v>8</c:v>
                </c:pt>
                <c:pt idx="15">
                  <c:v>8.1</c:v>
                </c:pt>
                <c:pt idx="16">
                  <c:v>9.1</c:v>
                </c:pt>
                <c:pt idx="17">
                  <c:v>10</c:v>
                </c:pt>
                <c:pt idx="18">
                  <c:v>8.6</c:v>
                </c:pt>
                <c:pt idx="19">
                  <c:v>14.7</c:v>
                </c:pt>
                <c:pt idx="20">
                  <c:v>7.4</c:v>
                </c:pt>
                <c:pt idx="21">
                  <c:v>7.1</c:v>
                </c:pt>
                <c:pt idx="22">
                  <c:v>6.2</c:v>
                </c:pt>
                <c:pt idx="23">
                  <c:v>6.1</c:v>
                </c:pt>
                <c:pt idx="24">
                  <c:v>5.5</c:v>
                </c:pt>
                <c:pt idx="25">
                  <c:v>4.9000000000000004</c:v>
                </c:pt>
                <c:pt idx="26">
                  <c:v>4.2</c:v>
                </c:pt>
                <c:pt idx="27">
                  <c:v>3.7</c:v>
                </c:pt>
                <c:pt idx="28">
                  <c:v>2.8</c:v>
                </c:pt>
                <c:pt idx="29">
                  <c:v>3</c:v>
                </c:pt>
                <c:pt idx="30">
                  <c:v>3.5</c:v>
                </c:pt>
                <c:pt idx="31">
                  <c:v>-1.9</c:v>
                </c:pt>
                <c:pt idx="32">
                  <c:v>4.7</c:v>
                </c:pt>
                <c:pt idx="33">
                  <c:v>4.7</c:v>
                </c:pt>
                <c:pt idx="34">
                  <c:v>5.0999999999999996</c:v>
                </c:pt>
                <c:pt idx="35">
                  <c:v>4.5999999999999996</c:v>
                </c:pt>
                <c:pt idx="36">
                  <c:v>5.8</c:v>
                </c:pt>
                <c:pt idx="37">
                  <c:v>6.7</c:v>
                </c:pt>
                <c:pt idx="38">
                  <c:v>6.1</c:v>
                </c:pt>
                <c:pt idx="39">
                  <c:v>6.4</c:v>
                </c:pt>
                <c:pt idx="40">
                  <c:v>5.8</c:v>
                </c:pt>
                <c:pt idx="41">
                  <c:v>4.5999999999999996</c:v>
                </c:pt>
                <c:pt idx="42">
                  <c:v>3.7</c:v>
                </c:pt>
                <c:pt idx="43">
                  <c:v>6.7</c:v>
                </c:pt>
                <c:pt idx="44">
                  <c:v>5.8</c:v>
                </c:pt>
                <c:pt idx="45">
                  <c:v>5.0999999999999996</c:v>
                </c:pt>
                <c:pt idx="46">
                  <c:v>5.3</c:v>
                </c:pt>
                <c:pt idx="47">
                  <c:v>4.7</c:v>
                </c:pt>
                <c:pt idx="48">
                  <c:v>3.1</c:v>
                </c:pt>
                <c:pt idx="49">
                  <c:v>2.2999999999999998</c:v>
                </c:pt>
                <c:pt idx="50">
                  <c:v>2.2000000000000002</c:v>
                </c:pt>
                <c:pt idx="51">
                  <c:v>2.1</c:v>
                </c:pt>
                <c:pt idx="52">
                  <c:v>1.9</c:v>
                </c:pt>
                <c:pt idx="53">
                  <c:v>1.3</c:v>
                </c:pt>
                <c:pt idx="54">
                  <c:v>1.3</c:v>
                </c:pt>
                <c:pt idx="55">
                  <c:v>5.9</c:v>
                </c:pt>
                <c:pt idx="56">
                  <c:v>1.2</c:v>
                </c:pt>
                <c:pt idx="57">
                  <c:v>1.1000000000000001</c:v>
                </c:pt>
                <c:pt idx="58">
                  <c:v>-1.4</c:v>
                </c:pt>
                <c:pt idx="59">
                  <c:v>-4.2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3A-4CEB-84EB-E2069AB39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189104"/>
        <c:axId val="1"/>
      </c:lineChart>
      <c:lineChart>
        <c:grouping val="standard"/>
        <c:varyColors val="0"/>
        <c:ser>
          <c:idx val="2"/>
          <c:order val="2"/>
          <c:tx>
            <c:strRef>
              <c:f>'5'!$L$39</c:f>
              <c:strCache>
                <c:ptCount val="1"/>
                <c:pt idx="0">
                  <c:v>中国:M0:同比</c:v>
                </c:pt>
              </c:strCache>
            </c:strRef>
          </c:tx>
          <c:marker>
            <c:symbol val="none"/>
          </c:marker>
          <c:dLbls>
            <c:dLbl>
              <c:idx val="59"/>
              <c:layout>
                <c:manualLayout>
                  <c:x val="4.3230944254835042E-2"/>
                  <c:y val="-1.10473208072373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5979-4287-ACF6-6074464D5243}"/>
                </c:ext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'5'!TB5BI</c:f>
              <c:numCache>
                <c:formatCode>yyyy\-mm</c:formatCode>
                <c:ptCount val="60"/>
                <c:pt idx="0">
                  <c:v>43646</c:v>
                </c:pt>
                <c:pt idx="1">
                  <c:v>43677</c:v>
                </c:pt>
                <c:pt idx="2">
                  <c:v>43708</c:v>
                </c:pt>
                <c:pt idx="3">
                  <c:v>43738</c:v>
                </c:pt>
                <c:pt idx="4">
                  <c:v>43769</c:v>
                </c:pt>
                <c:pt idx="5">
                  <c:v>43799</c:v>
                </c:pt>
                <c:pt idx="6">
                  <c:v>43830</c:v>
                </c:pt>
                <c:pt idx="7">
                  <c:v>43861</c:v>
                </c:pt>
                <c:pt idx="8">
                  <c:v>43890</c:v>
                </c:pt>
                <c:pt idx="9">
                  <c:v>43921</c:v>
                </c:pt>
                <c:pt idx="10">
                  <c:v>43951</c:v>
                </c:pt>
                <c:pt idx="11">
                  <c:v>43982</c:v>
                </c:pt>
                <c:pt idx="12">
                  <c:v>44012</c:v>
                </c:pt>
                <c:pt idx="13">
                  <c:v>44043</c:v>
                </c:pt>
                <c:pt idx="14">
                  <c:v>44074</c:v>
                </c:pt>
                <c:pt idx="15">
                  <c:v>44104</c:v>
                </c:pt>
                <c:pt idx="16">
                  <c:v>44135</c:v>
                </c:pt>
                <c:pt idx="17">
                  <c:v>44165</c:v>
                </c:pt>
                <c:pt idx="18">
                  <c:v>44196</c:v>
                </c:pt>
                <c:pt idx="19">
                  <c:v>44227</c:v>
                </c:pt>
                <c:pt idx="20">
                  <c:v>44255</c:v>
                </c:pt>
                <c:pt idx="21">
                  <c:v>44286</c:v>
                </c:pt>
                <c:pt idx="22">
                  <c:v>44316</c:v>
                </c:pt>
                <c:pt idx="23">
                  <c:v>44347</c:v>
                </c:pt>
                <c:pt idx="24">
                  <c:v>44377</c:v>
                </c:pt>
                <c:pt idx="25">
                  <c:v>44408</c:v>
                </c:pt>
                <c:pt idx="26">
                  <c:v>44439</c:v>
                </c:pt>
                <c:pt idx="27">
                  <c:v>44469</c:v>
                </c:pt>
                <c:pt idx="28">
                  <c:v>44500</c:v>
                </c:pt>
                <c:pt idx="29">
                  <c:v>44530</c:v>
                </c:pt>
                <c:pt idx="30">
                  <c:v>44561</c:v>
                </c:pt>
                <c:pt idx="31">
                  <c:v>44592</c:v>
                </c:pt>
                <c:pt idx="32">
                  <c:v>44620</c:v>
                </c:pt>
                <c:pt idx="33">
                  <c:v>44651</c:v>
                </c:pt>
                <c:pt idx="34">
                  <c:v>44681</c:v>
                </c:pt>
                <c:pt idx="35">
                  <c:v>44712</c:v>
                </c:pt>
                <c:pt idx="36">
                  <c:v>44742</c:v>
                </c:pt>
                <c:pt idx="37">
                  <c:v>44773</c:v>
                </c:pt>
                <c:pt idx="38">
                  <c:v>44804</c:v>
                </c:pt>
                <c:pt idx="39">
                  <c:v>44834</c:v>
                </c:pt>
                <c:pt idx="40">
                  <c:v>44865</c:v>
                </c:pt>
                <c:pt idx="41">
                  <c:v>44895</c:v>
                </c:pt>
                <c:pt idx="42">
                  <c:v>44926</c:v>
                </c:pt>
                <c:pt idx="43">
                  <c:v>44957</c:v>
                </c:pt>
                <c:pt idx="44">
                  <c:v>44985</c:v>
                </c:pt>
                <c:pt idx="45">
                  <c:v>45016</c:v>
                </c:pt>
                <c:pt idx="46">
                  <c:v>45046</c:v>
                </c:pt>
                <c:pt idx="47">
                  <c:v>45077</c:v>
                </c:pt>
                <c:pt idx="48">
                  <c:v>45107</c:v>
                </c:pt>
                <c:pt idx="49">
                  <c:v>45138</c:v>
                </c:pt>
                <c:pt idx="50">
                  <c:v>45169</c:v>
                </c:pt>
                <c:pt idx="51">
                  <c:v>45199</c:v>
                </c:pt>
                <c:pt idx="52">
                  <c:v>45230</c:v>
                </c:pt>
                <c:pt idx="53">
                  <c:v>45260</c:v>
                </c:pt>
                <c:pt idx="54">
                  <c:v>45291</c:v>
                </c:pt>
                <c:pt idx="55">
                  <c:v>45322</c:v>
                </c:pt>
                <c:pt idx="56">
                  <c:v>45351</c:v>
                </c:pt>
                <c:pt idx="57">
                  <c:v>45382</c:v>
                </c:pt>
                <c:pt idx="58">
                  <c:v>45412</c:v>
                </c:pt>
                <c:pt idx="59">
                  <c:v>45443</c:v>
                </c:pt>
              </c:numCache>
            </c:numRef>
          </c:cat>
          <c:val>
            <c:numRef>
              <c:f>'5'!TB5BL</c:f>
              <c:numCache>
                <c:formatCode>#,##0.00_ </c:formatCode>
                <c:ptCount val="60"/>
                <c:pt idx="0">
                  <c:v>4.3</c:v>
                </c:pt>
                <c:pt idx="1">
                  <c:v>4.5</c:v>
                </c:pt>
                <c:pt idx="2">
                  <c:v>4.8</c:v>
                </c:pt>
                <c:pt idx="3">
                  <c:v>4</c:v>
                </c:pt>
                <c:pt idx="4">
                  <c:v>4.7</c:v>
                </c:pt>
                <c:pt idx="5">
                  <c:v>4.8</c:v>
                </c:pt>
                <c:pt idx="6">
                  <c:v>5.4</c:v>
                </c:pt>
                <c:pt idx="7">
                  <c:v>6.6</c:v>
                </c:pt>
                <c:pt idx="8">
                  <c:v>10.9</c:v>
                </c:pt>
                <c:pt idx="9">
                  <c:v>10.8</c:v>
                </c:pt>
                <c:pt idx="10">
                  <c:v>10.199999999999999</c:v>
                </c:pt>
                <c:pt idx="11">
                  <c:v>9.5</c:v>
                </c:pt>
                <c:pt idx="12">
                  <c:v>9.5</c:v>
                </c:pt>
                <c:pt idx="13">
                  <c:v>9.9</c:v>
                </c:pt>
                <c:pt idx="14">
                  <c:v>9.4</c:v>
                </c:pt>
                <c:pt idx="15">
                  <c:v>11.1</c:v>
                </c:pt>
                <c:pt idx="16">
                  <c:v>10.4</c:v>
                </c:pt>
                <c:pt idx="17">
                  <c:v>10.3</c:v>
                </c:pt>
                <c:pt idx="18">
                  <c:v>9.1999999999999993</c:v>
                </c:pt>
                <c:pt idx="19">
                  <c:v>-3.9</c:v>
                </c:pt>
                <c:pt idx="20">
                  <c:v>4.2</c:v>
                </c:pt>
                <c:pt idx="21">
                  <c:v>4.2</c:v>
                </c:pt>
                <c:pt idx="22">
                  <c:v>5.3</c:v>
                </c:pt>
                <c:pt idx="23">
                  <c:v>5.6</c:v>
                </c:pt>
                <c:pt idx="24">
                  <c:v>6.2</c:v>
                </c:pt>
                <c:pt idx="25">
                  <c:v>6.1</c:v>
                </c:pt>
                <c:pt idx="26">
                  <c:v>6.3</c:v>
                </c:pt>
                <c:pt idx="27">
                  <c:v>5.5</c:v>
                </c:pt>
                <c:pt idx="28">
                  <c:v>6.2</c:v>
                </c:pt>
                <c:pt idx="29">
                  <c:v>7.2</c:v>
                </c:pt>
                <c:pt idx="30">
                  <c:v>7.7</c:v>
                </c:pt>
                <c:pt idx="31">
                  <c:v>18.5</c:v>
                </c:pt>
                <c:pt idx="32">
                  <c:v>5.8</c:v>
                </c:pt>
                <c:pt idx="33">
                  <c:v>10</c:v>
                </c:pt>
                <c:pt idx="34">
                  <c:v>11.5</c:v>
                </c:pt>
                <c:pt idx="35">
                  <c:v>13.5</c:v>
                </c:pt>
                <c:pt idx="36">
                  <c:v>13.9</c:v>
                </c:pt>
                <c:pt idx="37">
                  <c:v>13.9</c:v>
                </c:pt>
                <c:pt idx="38">
                  <c:v>14.3</c:v>
                </c:pt>
                <c:pt idx="39">
                  <c:v>13.6</c:v>
                </c:pt>
                <c:pt idx="40">
                  <c:v>14.4</c:v>
                </c:pt>
                <c:pt idx="41">
                  <c:v>14.1</c:v>
                </c:pt>
                <c:pt idx="42">
                  <c:v>15.3</c:v>
                </c:pt>
                <c:pt idx="43">
                  <c:v>7.9</c:v>
                </c:pt>
                <c:pt idx="44">
                  <c:v>10.6</c:v>
                </c:pt>
                <c:pt idx="45">
                  <c:v>11</c:v>
                </c:pt>
                <c:pt idx="46">
                  <c:v>10.7</c:v>
                </c:pt>
                <c:pt idx="47">
                  <c:v>9.6</c:v>
                </c:pt>
                <c:pt idx="48">
                  <c:v>9.8000000000000007</c:v>
                </c:pt>
                <c:pt idx="49">
                  <c:v>9.9</c:v>
                </c:pt>
                <c:pt idx="50">
                  <c:v>9.5</c:v>
                </c:pt>
                <c:pt idx="51">
                  <c:v>10.7</c:v>
                </c:pt>
                <c:pt idx="52">
                  <c:v>10.199999999999999</c:v>
                </c:pt>
                <c:pt idx="53">
                  <c:v>10.4</c:v>
                </c:pt>
                <c:pt idx="54">
                  <c:v>8.3000000000000007</c:v>
                </c:pt>
                <c:pt idx="55">
                  <c:v>5.9</c:v>
                </c:pt>
                <c:pt idx="56">
                  <c:v>12.5</c:v>
                </c:pt>
                <c:pt idx="57">
                  <c:v>11</c:v>
                </c:pt>
                <c:pt idx="58">
                  <c:v>10.8</c:v>
                </c:pt>
                <c:pt idx="59">
                  <c:v>11.7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ED-4BE3-888A-0A239474D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14640"/>
        <c:axId val="848012560"/>
      </c:lineChart>
      <c:catAx>
        <c:axId val="955189104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low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2.0078113102756354E-2"/>
              <c:y val="4.5878431862683831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955189104"/>
        <c:crosses val="autoZero"/>
        <c:crossBetween val="between"/>
      </c:valAx>
      <c:valAx>
        <c:axId val="848012560"/>
        <c:scaling>
          <c:orientation val="minMax"/>
        </c:scaling>
        <c:delete val="0"/>
        <c:axPos val="r"/>
        <c:numFmt formatCode="#,##0.00_ " sourceLinked="1"/>
        <c:majorTickMark val="out"/>
        <c:minorTickMark val="none"/>
        <c:tickLblPos val="nextTo"/>
        <c:crossAx val="848014640"/>
        <c:crosses val="max"/>
        <c:crossBetween val="between"/>
      </c:valAx>
      <c:catAx>
        <c:axId val="848014640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848012560"/>
        <c:auto val="0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6.1944227961265932E-2"/>
          <c:y val="0.85258930642542319"/>
          <c:w val="0.8429353327421103"/>
          <c:h val="6.2141614474599871E-2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span"/>
    <c:showDLblsOverMax val="0"/>
  </c:chart>
  <c:spPr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defRPr>
            </a:pPr>
            <a:r>
              <a: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rPr>
              <a:t>社融规模与社融同比</a:t>
            </a:r>
          </a:p>
        </c:rich>
      </c:tx>
      <c:layout>
        <c:manualLayout>
          <c:xMode val="edge"/>
          <c:yMode val="edge"/>
          <c:x val="0.35724579649386828"/>
          <c:y val="1.377290651820923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604095563139932"/>
          <c:y val="0.14814814814814814"/>
          <c:w val="0.86177474402730381"/>
          <c:h val="0.49438993273022502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'6'!$D$39</c:f>
              <c:strCache>
                <c:ptCount val="1"/>
                <c:pt idx="0">
                  <c:v>中国:社会融资规模:当月值</c:v>
                </c:pt>
              </c:strCache>
            </c:strRef>
          </c:tx>
          <c:invertIfNegative val="0"/>
          <c:cat>
            <c:numRef>
              <c:f>'6'!TB6AB</c:f>
              <c:numCache>
                <c:formatCode>yyyy\-mm</c:formatCode>
                <c:ptCount val="23"/>
                <c:pt idx="0">
                  <c:v>44773</c:v>
                </c:pt>
                <c:pt idx="1">
                  <c:v>44804</c:v>
                </c:pt>
                <c:pt idx="2">
                  <c:v>44834</c:v>
                </c:pt>
                <c:pt idx="3">
                  <c:v>44865</c:v>
                </c:pt>
                <c:pt idx="4">
                  <c:v>44895</c:v>
                </c:pt>
                <c:pt idx="5">
                  <c:v>44926</c:v>
                </c:pt>
                <c:pt idx="6">
                  <c:v>44957</c:v>
                </c:pt>
                <c:pt idx="7">
                  <c:v>44985</c:v>
                </c:pt>
                <c:pt idx="8">
                  <c:v>45016</c:v>
                </c:pt>
                <c:pt idx="9">
                  <c:v>45046</c:v>
                </c:pt>
                <c:pt idx="10">
                  <c:v>45077</c:v>
                </c:pt>
                <c:pt idx="11">
                  <c:v>45107</c:v>
                </c:pt>
                <c:pt idx="12">
                  <c:v>45138</c:v>
                </c:pt>
                <c:pt idx="13">
                  <c:v>45169</c:v>
                </c:pt>
                <c:pt idx="14">
                  <c:v>45199</c:v>
                </c:pt>
                <c:pt idx="15">
                  <c:v>45230</c:v>
                </c:pt>
                <c:pt idx="16">
                  <c:v>45260</c:v>
                </c:pt>
                <c:pt idx="17">
                  <c:v>45291</c:v>
                </c:pt>
                <c:pt idx="18">
                  <c:v>45322</c:v>
                </c:pt>
                <c:pt idx="19">
                  <c:v>45351</c:v>
                </c:pt>
                <c:pt idx="20">
                  <c:v>45382</c:v>
                </c:pt>
                <c:pt idx="21">
                  <c:v>45412</c:v>
                </c:pt>
                <c:pt idx="22">
                  <c:v>45443</c:v>
                </c:pt>
              </c:numCache>
            </c:numRef>
          </c:cat>
          <c:val>
            <c:numRef>
              <c:f>'6'!TB6AD</c:f>
              <c:numCache>
                <c:formatCode>#,##0.00_ </c:formatCode>
                <c:ptCount val="23"/>
                <c:pt idx="0">
                  <c:v>7785</c:v>
                </c:pt>
                <c:pt idx="1">
                  <c:v>24712</c:v>
                </c:pt>
                <c:pt idx="2">
                  <c:v>35411</c:v>
                </c:pt>
                <c:pt idx="3">
                  <c:v>9134</c:v>
                </c:pt>
                <c:pt idx="4">
                  <c:v>19837</c:v>
                </c:pt>
                <c:pt idx="5">
                  <c:v>13063</c:v>
                </c:pt>
                <c:pt idx="6">
                  <c:v>59956</c:v>
                </c:pt>
                <c:pt idx="7">
                  <c:v>31610</c:v>
                </c:pt>
                <c:pt idx="8">
                  <c:v>53867</c:v>
                </c:pt>
                <c:pt idx="9">
                  <c:v>12249</c:v>
                </c:pt>
                <c:pt idx="10">
                  <c:v>15560</c:v>
                </c:pt>
                <c:pt idx="11">
                  <c:v>42265</c:v>
                </c:pt>
                <c:pt idx="12">
                  <c:v>5366</c:v>
                </c:pt>
                <c:pt idx="13">
                  <c:v>31279</c:v>
                </c:pt>
                <c:pt idx="14">
                  <c:v>41326</c:v>
                </c:pt>
                <c:pt idx="15">
                  <c:v>18441</c:v>
                </c:pt>
                <c:pt idx="16">
                  <c:v>24554</c:v>
                </c:pt>
                <c:pt idx="17">
                  <c:v>19326</c:v>
                </c:pt>
                <c:pt idx="18">
                  <c:v>64734</c:v>
                </c:pt>
                <c:pt idx="19">
                  <c:v>14959</c:v>
                </c:pt>
                <c:pt idx="20">
                  <c:v>48335</c:v>
                </c:pt>
                <c:pt idx="21">
                  <c:v>-720</c:v>
                </c:pt>
                <c:pt idx="22">
                  <c:v>20692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50-4EAF-B2EB-505BB9987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5188688"/>
        <c:axId val="1"/>
      </c:barChart>
      <c:lineChart>
        <c:grouping val="standard"/>
        <c:varyColors val="0"/>
        <c:ser>
          <c:idx val="2"/>
          <c:order val="0"/>
          <c:tx>
            <c:strRef>
              <c:f>'6'!$C$39</c:f>
              <c:strCache>
                <c:ptCount val="1"/>
                <c:pt idx="0">
                  <c:v>中国:社会融资规模存量:同比</c:v>
                </c:pt>
              </c:strCache>
            </c:strRef>
          </c:tx>
          <c:marker>
            <c:symbol val="none"/>
          </c:marker>
          <c:cat>
            <c:numRef>
              <c:f>'6'!TB6AB</c:f>
              <c:numCache>
                <c:formatCode>yyyy\-mm</c:formatCode>
                <c:ptCount val="23"/>
                <c:pt idx="0">
                  <c:v>44773</c:v>
                </c:pt>
                <c:pt idx="1">
                  <c:v>44804</c:v>
                </c:pt>
                <c:pt idx="2">
                  <c:v>44834</c:v>
                </c:pt>
                <c:pt idx="3">
                  <c:v>44865</c:v>
                </c:pt>
                <c:pt idx="4">
                  <c:v>44895</c:v>
                </c:pt>
                <c:pt idx="5">
                  <c:v>44926</c:v>
                </c:pt>
                <c:pt idx="6">
                  <c:v>44957</c:v>
                </c:pt>
                <c:pt idx="7">
                  <c:v>44985</c:v>
                </c:pt>
                <c:pt idx="8">
                  <c:v>45016</c:v>
                </c:pt>
                <c:pt idx="9">
                  <c:v>45046</c:v>
                </c:pt>
                <c:pt idx="10">
                  <c:v>45077</c:v>
                </c:pt>
                <c:pt idx="11">
                  <c:v>45107</c:v>
                </c:pt>
                <c:pt idx="12">
                  <c:v>45138</c:v>
                </c:pt>
                <c:pt idx="13">
                  <c:v>45169</c:v>
                </c:pt>
                <c:pt idx="14">
                  <c:v>45199</c:v>
                </c:pt>
                <c:pt idx="15">
                  <c:v>45230</c:v>
                </c:pt>
                <c:pt idx="16">
                  <c:v>45260</c:v>
                </c:pt>
                <c:pt idx="17">
                  <c:v>45291</c:v>
                </c:pt>
                <c:pt idx="18">
                  <c:v>45322</c:v>
                </c:pt>
                <c:pt idx="19">
                  <c:v>45351</c:v>
                </c:pt>
                <c:pt idx="20">
                  <c:v>45382</c:v>
                </c:pt>
                <c:pt idx="21">
                  <c:v>45412</c:v>
                </c:pt>
                <c:pt idx="22">
                  <c:v>45443</c:v>
                </c:pt>
              </c:numCache>
            </c:numRef>
          </c:cat>
          <c:val>
            <c:numRef>
              <c:f>'6'!TB6AC</c:f>
              <c:numCache>
                <c:formatCode>#,##0.00_ </c:formatCode>
                <c:ptCount val="23"/>
                <c:pt idx="0">
                  <c:v>10.7</c:v>
                </c:pt>
                <c:pt idx="1">
                  <c:v>10.5</c:v>
                </c:pt>
                <c:pt idx="2">
                  <c:v>10.6</c:v>
                </c:pt>
                <c:pt idx="3">
                  <c:v>10.3</c:v>
                </c:pt>
                <c:pt idx="4">
                  <c:v>10</c:v>
                </c:pt>
                <c:pt idx="5">
                  <c:v>9.6</c:v>
                </c:pt>
                <c:pt idx="6">
                  <c:v>9.4</c:v>
                </c:pt>
                <c:pt idx="7">
                  <c:v>9.9</c:v>
                </c:pt>
                <c:pt idx="8">
                  <c:v>10</c:v>
                </c:pt>
                <c:pt idx="9">
                  <c:v>10</c:v>
                </c:pt>
                <c:pt idx="10">
                  <c:v>9.5</c:v>
                </c:pt>
                <c:pt idx="11">
                  <c:v>9</c:v>
                </c:pt>
                <c:pt idx="12">
                  <c:v>8.9</c:v>
                </c:pt>
                <c:pt idx="13">
                  <c:v>9</c:v>
                </c:pt>
                <c:pt idx="14">
                  <c:v>9</c:v>
                </c:pt>
                <c:pt idx="15">
                  <c:v>9.3000000000000007</c:v>
                </c:pt>
                <c:pt idx="16">
                  <c:v>9.4</c:v>
                </c:pt>
                <c:pt idx="17">
                  <c:v>9.5</c:v>
                </c:pt>
                <c:pt idx="18">
                  <c:v>9.5</c:v>
                </c:pt>
                <c:pt idx="19">
                  <c:v>9</c:v>
                </c:pt>
                <c:pt idx="20">
                  <c:v>8.6999999999999993</c:v>
                </c:pt>
                <c:pt idx="21">
                  <c:v>8.3000000000000007</c:v>
                </c:pt>
                <c:pt idx="22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0-4EAF-B2EB-505BB9987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278895"/>
        <c:axId val="1082298447"/>
      </c:lineChart>
      <c:catAx>
        <c:axId val="955188688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low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（亿元）</a:t>
                </a:r>
              </a:p>
            </c:rich>
          </c:tx>
          <c:layout>
            <c:manualLayout>
              <c:xMode val="edge"/>
              <c:yMode val="edge"/>
              <c:x val="2.097390556555857E-2"/>
              <c:y val="6.952658695440847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955188688"/>
        <c:crosses val="autoZero"/>
        <c:crossBetween val="between"/>
      </c:valAx>
      <c:valAx>
        <c:axId val="1082298447"/>
        <c:scaling>
          <c:orientation val="minMax"/>
        </c:scaling>
        <c:delete val="0"/>
        <c:axPos val="r"/>
        <c:title>
          <c:tx>
            <c:rich>
              <a:bodyPr rot="0" vert="horz" anchor="t" anchorCtr="0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91080773606370879"/>
              <c:y val="6.7605833913245192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1082278895"/>
        <c:crosses val="max"/>
        <c:crossBetween val="between"/>
      </c:valAx>
      <c:catAx>
        <c:axId val="1082278895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1082298447"/>
        <c:crosses val="autoZero"/>
        <c:auto val="0"/>
        <c:lblAlgn val="ctr"/>
        <c:lblOffset val="100"/>
        <c:tickLblSkip val="1"/>
        <c:tickMarkSkip val="1"/>
        <c:noMultiLvlLbl val="0"/>
      </c:catAx>
      <c:spPr>
        <a:ln>
          <a:noFill/>
        </a:ln>
      </c:spPr>
    </c:plotArea>
    <c:legend>
      <c:legendPos val="b"/>
      <c:layout>
        <c:manualLayout>
          <c:xMode val="edge"/>
          <c:yMode val="edge"/>
          <c:x val="0.10187256456424176"/>
          <c:y val="0.78739074282381372"/>
          <c:w val="0.8651687225103688"/>
          <c:h val="0.16995653321112636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zero"/>
    <c:showDLblsOverMax val="0"/>
  </c:chart>
  <c:spPr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lang="zh-CN" altLang="en-US" sz="1400" b="1" i="0" u="none" strike="noStrike" kern="1200" baseline="0">
                <a:solidFill>
                  <a:schemeClr val="accent1"/>
                </a:solidFill>
                <a:latin typeface="微软雅黑" pitchFamily="34" charset="-122"/>
                <a:ea typeface="微软雅黑" pitchFamily="34" charset="-122"/>
                <a:cs typeface="+mn-cs"/>
              </a:defRPr>
            </a:pPr>
            <a:r>
              <a:rPr lang="en-US" altLang="zh-CN" sz="1400" b="1" i="0" baseline="0">
                <a:effectLst/>
              </a:rPr>
              <a:t>LPR</a:t>
            </a:r>
            <a:r>
              <a:rPr lang="zh-CN" altLang="zh-CN" sz="1400" b="1" i="0" baseline="0">
                <a:effectLst/>
              </a:rPr>
              <a:t>贷款报价利率</a:t>
            </a:r>
            <a:endParaRPr lang="zh-CN" altLang="zh-CN" sz="1400">
              <a:effectLst/>
            </a:endParaRPr>
          </a:p>
        </c:rich>
      </c:tx>
      <c:layout>
        <c:manualLayout>
          <c:xMode val="edge"/>
          <c:yMode val="edge"/>
          <c:x val="0.38725287325432445"/>
          <c:y val="2.56790767803293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286689419795221"/>
          <c:y val="0.12962962962962962"/>
          <c:w val="0.76109215017064846"/>
          <c:h val="0.51587301587301593"/>
        </c:manualLayout>
      </c:layout>
      <c:lineChart>
        <c:grouping val="standard"/>
        <c:varyColors val="0"/>
        <c:ser>
          <c:idx val="3"/>
          <c:order val="1"/>
          <c:tx>
            <c:strRef>
              <c:f>'6'!$J$39</c:f>
              <c:strCache>
                <c:ptCount val="1"/>
                <c:pt idx="0">
                  <c:v>中国:贷款市场报价利率(LPR):1年</c:v>
                </c:pt>
              </c:strCache>
            </c:strRef>
          </c:tx>
          <c:marker>
            <c:symbol val="none"/>
          </c:marker>
          <c:dLbls>
            <c:dLbl>
              <c:idx val="55"/>
              <c:layout>
                <c:manualLayout>
                  <c:x val="3.3293380989492187E-2"/>
                  <c:y val="5.48590814196241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7CF2-44A0-B6E2-A19055D256CD}"/>
                </c:ext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'6'!TB6BI</c:f>
              <c:numCache>
                <c:formatCode>yyyy\-mm\-dd</c:formatCode>
                <c:ptCount val="56"/>
                <c:pt idx="0">
                  <c:v>43759</c:v>
                </c:pt>
                <c:pt idx="1">
                  <c:v>43789</c:v>
                </c:pt>
                <c:pt idx="2">
                  <c:v>43819</c:v>
                </c:pt>
                <c:pt idx="3">
                  <c:v>43850</c:v>
                </c:pt>
                <c:pt idx="4">
                  <c:v>43881</c:v>
                </c:pt>
                <c:pt idx="5">
                  <c:v>43910</c:v>
                </c:pt>
                <c:pt idx="6">
                  <c:v>43941</c:v>
                </c:pt>
                <c:pt idx="7">
                  <c:v>43971</c:v>
                </c:pt>
                <c:pt idx="8">
                  <c:v>44004</c:v>
                </c:pt>
                <c:pt idx="9">
                  <c:v>44032</c:v>
                </c:pt>
                <c:pt idx="10">
                  <c:v>44063</c:v>
                </c:pt>
                <c:pt idx="11">
                  <c:v>44095</c:v>
                </c:pt>
                <c:pt idx="12">
                  <c:v>44124</c:v>
                </c:pt>
                <c:pt idx="13">
                  <c:v>44155</c:v>
                </c:pt>
                <c:pt idx="14">
                  <c:v>44186</c:v>
                </c:pt>
                <c:pt idx="15">
                  <c:v>44216</c:v>
                </c:pt>
                <c:pt idx="16">
                  <c:v>44247</c:v>
                </c:pt>
                <c:pt idx="17">
                  <c:v>44277</c:v>
                </c:pt>
                <c:pt idx="18">
                  <c:v>44306</c:v>
                </c:pt>
                <c:pt idx="19">
                  <c:v>44336</c:v>
                </c:pt>
                <c:pt idx="20">
                  <c:v>44368</c:v>
                </c:pt>
                <c:pt idx="21">
                  <c:v>44397</c:v>
                </c:pt>
                <c:pt idx="22">
                  <c:v>44428</c:v>
                </c:pt>
                <c:pt idx="23">
                  <c:v>44461</c:v>
                </c:pt>
                <c:pt idx="24">
                  <c:v>44489</c:v>
                </c:pt>
                <c:pt idx="25">
                  <c:v>44522</c:v>
                </c:pt>
                <c:pt idx="26">
                  <c:v>44550</c:v>
                </c:pt>
                <c:pt idx="27">
                  <c:v>44581</c:v>
                </c:pt>
                <c:pt idx="28">
                  <c:v>44613</c:v>
                </c:pt>
                <c:pt idx="29">
                  <c:v>44641</c:v>
                </c:pt>
                <c:pt idx="30">
                  <c:v>44671</c:v>
                </c:pt>
                <c:pt idx="31">
                  <c:v>44701</c:v>
                </c:pt>
                <c:pt idx="32">
                  <c:v>44732</c:v>
                </c:pt>
                <c:pt idx="33">
                  <c:v>44762</c:v>
                </c:pt>
                <c:pt idx="34">
                  <c:v>44795</c:v>
                </c:pt>
                <c:pt idx="35">
                  <c:v>44824</c:v>
                </c:pt>
                <c:pt idx="36">
                  <c:v>44854</c:v>
                </c:pt>
                <c:pt idx="37">
                  <c:v>44886</c:v>
                </c:pt>
                <c:pt idx="38">
                  <c:v>44915</c:v>
                </c:pt>
                <c:pt idx="39">
                  <c:v>44946</c:v>
                </c:pt>
                <c:pt idx="40">
                  <c:v>44977</c:v>
                </c:pt>
                <c:pt idx="41">
                  <c:v>45005</c:v>
                </c:pt>
                <c:pt idx="42">
                  <c:v>45036</c:v>
                </c:pt>
                <c:pt idx="43">
                  <c:v>45068</c:v>
                </c:pt>
                <c:pt idx="44">
                  <c:v>45097</c:v>
                </c:pt>
                <c:pt idx="45">
                  <c:v>45127</c:v>
                </c:pt>
                <c:pt idx="46">
                  <c:v>45159</c:v>
                </c:pt>
                <c:pt idx="47">
                  <c:v>45189</c:v>
                </c:pt>
                <c:pt idx="48">
                  <c:v>45219</c:v>
                </c:pt>
                <c:pt idx="49">
                  <c:v>45250</c:v>
                </c:pt>
                <c:pt idx="50">
                  <c:v>45280</c:v>
                </c:pt>
                <c:pt idx="51">
                  <c:v>45313</c:v>
                </c:pt>
                <c:pt idx="52">
                  <c:v>45342</c:v>
                </c:pt>
                <c:pt idx="53">
                  <c:v>45371</c:v>
                </c:pt>
                <c:pt idx="54">
                  <c:v>45404</c:v>
                </c:pt>
                <c:pt idx="55">
                  <c:v>45432</c:v>
                </c:pt>
              </c:numCache>
            </c:numRef>
          </c:cat>
          <c:val>
            <c:numRef>
              <c:f>'6'!TB6BJ</c:f>
              <c:numCache>
                <c:formatCode>#,##0.00_ </c:formatCode>
                <c:ptCount val="56"/>
                <c:pt idx="0">
                  <c:v>4.2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4.05</c:v>
                </c:pt>
                <c:pt idx="5">
                  <c:v>4.05</c:v>
                </c:pt>
                <c:pt idx="6">
                  <c:v>3.85</c:v>
                </c:pt>
                <c:pt idx="7">
                  <c:v>3.85</c:v>
                </c:pt>
                <c:pt idx="8">
                  <c:v>3.85</c:v>
                </c:pt>
                <c:pt idx="9">
                  <c:v>3.85</c:v>
                </c:pt>
                <c:pt idx="10">
                  <c:v>3.85</c:v>
                </c:pt>
                <c:pt idx="11">
                  <c:v>3.85</c:v>
                </c:pt>
                <c:pt idx="12">
                  <c:v>3.85</c:v>
                </c:pt>
                <c:pt idx="13">
                  <c:v>3.85</c:v>
                </c:pt>
                <c:pt idx="14">
                  <c:v>3.85</c:v>
                </c:pt>
                <c:pt idx="15">
                  <c:v>3.85</c:v>
                </c:pt>
                <c:pt idx="16">
                  <c:v>3.85</c:v>
                </c:pt>
                <c:pt idx="17">
                  <c:v>3.85</c:v>
                </c:pt>
                <c:pt idx="18">
                  <c:v>3.85</c:v>
                </c:pt>
                <c:pt idx="19">
                  <c:v>3.85</c:v>
                </c:pt>
                <c:pt idx="20">
                  <c:v>3.85</c:v>
                </c:pt>
                <c:pt idx="21">
                  <c:v>3.85</c:v>
                </c:pt>
                <c:pt idx="22">
                  <c:v>3.85</c:v>
                </c:pt>
                <c:pt idx="23">
                  <c:v>3.85</c:v>
                </c:pt>
                <c:pt idx="24">
                  <c:v>3.85</c:v>
                </c:pt>
                <c:pt idx="25">
                  <c:v>3.85</c:v>
                </c:pt>
                <c:pt idx="26">
                  <c:v>3.8</c:v>
                </c:pt>
                <c:pt idx="27">
                  <c:v>3.7</c:v>
                </c:pt>
                <c:pt idx="28">
                  <c:v>3.7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3.65</c:v>
                </c:pt>
                <c:pt idx="35">
                  <c:v>3.65</c:v>
                </c:pt>
                <c:pt idx="36">
                  <c:v>3.65</c:v>
                </c:pt>
                <c:pt idx="37">
                  <c:v>3.65</c:v>
                </c:pt>
                <c:pt idx="38">
                  <c:v>3.65</c:v>
                </c:pt>
                <c:pt idx="39">
                  <c:v>3.65</c:v>
                </c:pt>
                <c:pt idx="40">
                  <c:v>3.65</c:v>
                </c:pt>
                <c:pt idx="41">
                  <c:v>3.65</c:v>
                </c:pt>
                <c:pt idx="42">
                  <c:v>3.65</c:v>
                </c:pt>
                <c:pt idx="43">
                  <c:v>3.65</c:v>
                </c:pt>
                <c:pt idx="44">
                  <c:v>3.55</c:v>
                </c:pt>
                <c:pt idx="45">
                  <c:v>3.55</c:v>
                </c:pt>
                <c:pt idx="46">
                  <c:v>3.45</c:v>
                </c:pt>
                <c:pt idx="47">
                  <c:v>3.45</c:v>
                </c:pt>
                <c:pt idx="48">
                  <c:v>3.45</c:v>
                </c:pt>
                <c:pt idx="49">
                  <c:v>3.45</c:v>
                </c:pt>
                <c:pt idx="50">
                  <c:v>3.45</c:v>
                </c:pt>
                <c:pt idx="51">
                  <c:v>3.45</c:v>
                </c:pt>
                <c:pt idx="52">
                  <c:v>3.45</c:v>
                </c:pt>
                <c:pt idx="53">
                  <c:v>3.45</c:v>
                </c:pt>
                <c:pt idx="54">
                  <c:v>3.45</c:v>
                </c:pt>
                <c:pt idx="55">
                  <c:v>3.45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EB-47D8-B80F-2D2F206AE16B}"/>
            </c:ext>
          </c:extLst>
        </c:ser>
        <c:ser>
          <c:idx val="2"/>
          <c:order val="0"/>
          <c:tx>
            <c:strRef>
              <c:f>'6'!$K$39</c:f>
              <c:strCache>
                <c:ptCount val="1"/>
                <c:pt idx="0">
                  <c:v>中国:贷款市场报价利率(LPR):5年</c:v>
                </c:pt>
              </c:strCache>
            </c:strRef>
          </c:tx>
          <c:marker>
            <c:symbol val="none"/>
          </c:marker>
          <c:dLbls>
            <c:dLbl>
              <c:idx val="55"/>
              <c:layout>
                <c:manualLayout>
                  <c:x val="3.101806813397472E-2"/>
                  <c:y val="-8.8756089074460684E-2"/>
                </c:manualLayout>
              </c:layout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7CF2-44A0-B6E2-A19055D256C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'6'!TB6BI</c:f>
              <c:numCache>
                <c:formatCode>yyyy\-mm\-dd</c:formatCode>
                <c:ptCount val="56"/>
                <c:pt idx="0">
                  <c:v>43759</c:v>
                </c:pt>
                <c:pt idx="1">
                  <c:v>43789</c:v>
                </c:pt>
                <c:pt idx="2">
                  <c:v>43819</c:v>
                </c:pt>
                <c:pt idx="3">
                  <c:v>43850</c:v>
                </c:pt>
                <c:pt idx="4">
                  <c:v>43881</c:v>
                </c:pt>
                <c:pt idx="5">
                  <c:v>43910</c:v>
                </c:pt>
                <c:pt idx="6">
                  <c:v>43941</c:v>
                </c:pt>
                <c:pt idx="7">
                  <c:v>43971</c:v>
                </c:pt>
                <c:pt idx="8">
                  <c:v>44004</c:v>
                </c:pt>
                <c:pt idx="9">
                  <c:v>44032</c:v>
                </c:pt>
                <c:pt idx="10">
                  <c:v>44063</c:v>
                </c:pt>
                <c:pt idx="11">
                  <c:v>44095</c:v>
                </c:pt>
                <c:pt idx="12">
                  <c:v>44124</c:v>
                </c:pt>
                <c:pt idx="13">
                  <c:v>44155</c:v>
                </c:pt>
                <c:pt idx="14">
                  <c:v>44186</c:v>
                </c:pt>
                <c:pt idx="15">
                  <c:v>44216</c:v>
                </c:pt>
                <c:pt idx="16">
                  <c:v>44247</c:v>
                </c:pt>
                <c:pt idx="17">
                  <c:v>44277</c:v>
                </c:pt>
                <c:pt idx="18">
                  <c:v>44306</c:v>
                </c:pt>
                <c:pt idx="19">
                  <c:v>44336</c:v>
                </c:pt>
                <c:pt idx="20">
                  <c:v>44368</c:v>
                </c:pt>
                <c:pt idx="21">
                  <c:v>44397</c:v>
                </c:pt>
                <c:pt idx="22">
                  <c:v>44428</c:v>
                </c:pt>
                <c:pt idx="23">
                  <c:v>44461</c:v>
                </c:pt>
                <c:pt idx="24">
                  <c:v>44489</c:v>
                </c:pt>
                <c:pt idx="25">
                  <c:v>44522</c:v>
                </c:pt>
                <c:pt idx="26">
                  <c:v>44550</c:v>
                </c:pt>
                <c:pt idx="27">
                  <c:v>44581</c:v>
                </c:pt>
                <c:pt idx="28">
                  <c:v>44613</c:v>
                </c:pt>
                <c:pt idx="29">
                  <c:v>44641</c:v>
                </c:pt>
                <c:pt idx="30">
                  <c:v>44671</c:v>
                </c:pt>
                <c:pt idx="31">
                  <c:v>44701</c:v>
                </c:pt>
                <c:pt idx="32">
                  <c:v>44732</c:v>
                </c:pt>
                <c:pt idx="33">
                  <c:v>44762</c:v>
                </c:pt>
                <c:pt idx="34">
                  <c:v>44795</c:v>
                </c:pt>
                <c:pt idx="35">
                  <c:v>44824</c:v>
                </c:pt>
                <c:pt idx="36">
                  <c:v>44854</c:v>
                </c:pt>
                <c:pt idx="37">
                  <c:v>44886</c:v>
                </c:pt>
                <c:pt idx="38">
                  <c:v>44915</c:v>
                </c:pt>
                <c:pt idx="39">
                  <c:v>44946</c:v>
                </c:pt>
                <c:pt idx="40">
                  <c:v>44977</c:v>
                </c:pt>
                <c:pt idx="41">
                  <c:v>45005</c:v>
                </c:pt>
                <c:pt idx="42">
                  <c:v>45036</c:v>
                </c:pt>
                <c:pt idx="43">
                  <c:v>45068</c:v>
                </c:pt>
                <c:pt idx="44">
                  <c:v>45097</c:v>
                </c:pt>
                <c:pt idx="45">
                  <c:v>45127</c:v>
                </c:pt>
                <c:pt idx="46">
                  <c:v>45159</c:v>
                </c:pt>
                <c:pt idx="47">
                  <c:v>45189</c:v>
                </c:pt>
                <c:pt idx="48">
                  <c:v>45219</c:v>
                </c:pt>
                <c:pt idx="49">
                  <c:v>45250</c:v>
                </c:pt>
                <c:pt idx="50">
                  <c:v>45280</c:v>
                </c:pt>
                <c:pt idx="51">
                  <c:v>45313</c:v>
                </c:pt>
                <c:pt idx="52">
                  <c:v>45342</c:v>
                </c:pt>
                <c:pt idx="53">
                  <c:v>45371</c:v>
                </c:pt>
                <c:pt idx="54">
                  <c:v>45404</c:v>
                </c:pt>
                <c:pt idx="55">
                  <c:v>45432</c:v>
                </c:pt>
              </c:numCache>
            </c:numRef>
          </c:cat>
          <c:val>
            <c:numRef>
              <c:f>'6'!TB6BK</c:f>
              <c:numCache>
                <c:formatCode>#,##0.00_ </c:formatCode>
                <c:ptCount val="56"/>
                <c:pt idx="0">
                  <c:v>4.8499999999999996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4.75</c:v>
                </c:pt>
                <c:pt idx="5">
                  <c:v>4.75</c:v>
                </c:pt>
                <c:pt idx="6">
                  <c:v>4.6500000000000004</c:v>
                </c:pt>
                <c:pt idx="7">
                  <c:v>4.6500000000000004</c:v>
                </c:pt>
                <c:pt idx="8">
                  <c:v>4.6500000000000004</c:v>
                </c:pt>
                <c:pt idx="9">
                  <c:v>4.6500000000000004</c:v>
                </c:pt>
                <c:pt idx="10">
                  <c:v>4.6500000000000004</c:v>
                </c:pt>
                <c:pt idx="11">
                  <c:v>4.6500000000000004</c:v>
                </c:pt>
                <c:pt idx="12">
                  <c:v>4.6500000000000004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4.6500000000000004</c:v>
                </c:pt>
                <c:pt idx="16">
                  <c:v>4.6500000000000004</c:v>
                </c:pt>
                <c:pt idx="17">
                  <c:v>4.6500000000000004</c:v>
                </c:pt>
                <c:pt idx="18">
                  <c:v>4.6500000000000004</c:v>
                </c:pt>
                <c:pt idx="19">
                  <c:v>4.6500000000000004</c:v>
                </c:pt>
                <c:pt idx="20">
                  <c:v>4.6500000000000004</c:v>
                </c:pt>
                <c:pt idx="21">
                  <c:v>4.6500000000000004</c:v>
                </c:pt>
                <c:pt idx="22">
                  <c:v>4.6500000000000004</c:v>
                </c:pt>
                <c:pt idx="23">
                  <c:v>4.6500000000000004</c:v>
                </c:pt>
                <c:pt idx="24">
                  <c:v>4.6500000000000004</c:v>
                </c:pt>
                <c:pt idx="25">
                  <c:v>4.6500000000000004</c:v>
                </c:pt>
                <c:pt idx="26">
                  <c:v>4.6500000000000004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4.45</c:v>
                </c:pt>
                <c:pt idx="32">
                  <c:v>4.45</c:v>
                </c:pt>
                <c:pt idx="33">
                  <c:v>4.45</c:v>
                </c:pt>
                <c:pt idx="34">
                  <c:v>4.3</c:v>
                </c:pt>
                <c:pt idx="35">
                  <c:v>4.3</c:v>
                </c:pt>
                <c:pt idx="36">
                  <c:v>4.3</c:v>
                </c:pt>
                <c:pt idx="37">
                  <c:v>4.3</c:v>
                </c:pt>
                <c:pt idx="38">
                  <c:v>4.3</c:v>
                </c:pt>
                <c:pt idx="39">
                  <c:v>4.3</c:v>
                </c:pt>
                <c:pt idx="40">
                  <c:v>4.3</c:v>
                </c:pt>
                <c:pt idx="41">
                  <c:v>4.3</c:v>
                </c:pt>
                <c:pt idx="42">
                  <c:v>4.3</c:v>
                </c:pt>
                <c:pt idx="43">
                  <c:v>4.3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4.2</c:v>
                </c:pt>
                <c:pt idx="48">
                  <c:v>4.2</c:v>
                </c:pt>
                <c:pt idx="49">
                  <c:v>4.2</c:v>
                </c:pt>
                <c:pt idx="50">
                  <c:v>4.2</c:v>
                </c:pt>
                <c:pt idx="51">
                  <c:v>4.2</c:v>
                </c:pt>
                <c:pt idx="52">
                  <c:v>3.95</c:v>
                </c:pt>
                <c:pt idx="53">
                  <c:v>3.95</c:v>
                </c:pt>
                <c:pt idx="54">
                  <c:v>3.95</c:v>
                </c:pt>
                <c:pt idx="55">
                  <c:v>3.95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EB-47D8-B80F-2D2F206AE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5189104"/>
        <c:axId val="1"/>
        <c:extLst>
          <c:ext xmlns:c15="http://schemas.microsoft.com/office/drawing/2012/chart" uri="{02D57815-91ED-43cb-92C2-25804820EDAC}">
            <c15:filteredLineSeries>
              <c15:ser>
                <c:idx val="0"/>
                <c:order val="2"/>
                <c:tx>
                  <c:strRef>
                    <c:extLst>
                      <c:ext uri="{02D57815-91ED-43cb-92C2-25804820EDAC}">
                        <c15:formulaRef>
                          <c15:sqref>'6'!$J$39</c15:sqref>
                        </c15:formulaRef>
                      </c:ext>
                    </c:extLst>
                    <c:strCache>
                      <c:ptCount val="1"/>
                      <c:pt idx="0">
                        <c:v>中国:贷款市场报价利率(LPR):1年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'6'!TB6BI</c15:sqref>
                        </c15:formulaRef>
                      </c:ext>
                    </c:extLst>
                    <c:numCache>
                      <c:formatCode>yyyy\-mm\-dd</c:formatCode>
                      <c:ptCount val="56"/>
                      <c:pt idx="0">
                        <c:v>43759</c:v>
                      </c:pt>
                      <c:pt idx="1">
                        <c:v>43789</c:v>
                      </c:pt>
                      <c:pt idx="2">
                        <c:v>43819</c:v>
                      </c:pt>
                      <c:pt idx="3">
                        <c:v>43850</c:v>
                      </c:pt>
                      <c:pt idx="4">
                        <c:v>43881</c:v>
                      </c:pt>
                      <c:pt idx="5">
                        <c:v>43910</c:v>
                      </c:pt>
                      <c:pt idx="6">
                        <c:v>43941</c:v>
                      </c:pt>
                      <c:pt idx="7">
                        <c:v>43971</c:v>
                      </c:pt>
                      <c:pt idx="8">
                        <c:v>44004</c:v>
                      </c:pt>
                      <c:pt idx="9">
                        <c:v>44032</c:v>
                      </c:pt>
                      <c:pt idx="10">
                        <c:v>44063</c:v>
                      </c:pt>
                      <c:pt idx="11">
                        <c:v>44095</c:v>
                      </c:pt>
                      <c:pt idx="12">
                        <c:v>44124</c:v>
                      </c:pt>
                      <c:pt idx="13">
                        <c:v>44155</c:v>
                      </c:pt>
                      <c:pt idx="14">
                        <c:v>44186</c:v>
                      </c:pt>
                      <c:pt idx="15">
                        <c:v>44216</c:v>
                      </c:pt>
                      <c:pt idx="16">
                        <c:v>44247</c:v>
                      </c:pt>
                      <c:pt idx="17">
                        <c:v>44277</c:v>
                      </c:pt>
                      <c:pt idx="18">
                        <c:v>44306</c:v>
                      </c:pt>
                      <c:pt idx="19">
                        <c:v>44336</c:v>
                      </c:pt>
                      <c:pt idx="20">
                        <c:v>44368</c:v>
                      </c:pt>
                      <c:pt idx="21">
                        <c:v>44397</c:v>
                      </c:pt>
                      <c:pt idx="22">
                        <c:v>44428</c:v>
                      </c:pt>
                      <c:pt idx="23">
                        <c:v>44461</c:v>
                      </c:pt>
                      <c:pt idx="24">
                        <c:v>44489</c:v>
                      </c:pt>
                      <c:pt idx="25">
                        <c:v>44522</c:v>
                      </c:pt>
                      <c:pt idx="26">
                        <c:v>44550</c:v>
                      </c:pt>
                      <c:pt idx="27">
                        <c:v>44581</c:v>
                      </c:pt>
                      <c:pt idx="28">
                        <c:v>44613</c:v>
                      </c:pt>
                      <c:pt idx="29">
                        <c:v>44641</c:v>
                      </c:pt>
                      <c:pt idx="30">
                        <c:v>44671</c:v>
                      </c:pt>
                      <c:pt idx="31">
                        <c:v>44701</c:v>
                      </c:pt>
                      <c:pt idx="32">
                        <c:v>44732</c:v>
                      </c:pt>
                      <c:pt idx="33">
                        <c:v>44762</c:v>
                      </c:pt>
                      <c:pt idx="34">
                        <c:v>44795</c:v>
                      </c:pt>
                      <c:pt idx="35">
                        <c:v>44824</c:v>
                      </c:pt>
                      <c:pt idx="36">
                        <c:v>44854</c:v>
                      </c:pt>
                      <c:pt idx="37">
                        <c:v>44886</c:v>
                      </c:pt>
                      <c:pt idx="38">
                        <c:v>44915</c:v>
                      </c:pt>
                      <c:pt idx="39">
                        <c:v>44946</c:v>
                      </c:pt>
                      <c:pt idx="40">
                        <c:v>44977</c:v>
                      </c:pt>
                      <c:pt idx="41">
                        <c:v>45005</c:v>
                      </c:pt>
                      <c:pt idx="42">
                        <c:v>45036</c:v>
                      </c:pt>
                      <c:pt idx="43">
                        <c:v>45068</c:v>
                      </c:pt>
                      <c:pt idx="44">
                        <c:v>45097</c:v>
                      </c:pt>
                      <c:pt idx="45">
                        <c:v>45127</c:v>
                      </c:pt>
                      <c:pt idx="46">
                        <c:v>45159</c:v>
                      </c:pt>
                      <c:pt idx="47">
                        <c:v>45189</c:v>
                      </c:pt>
                      <c:pt idx="48">
                        <c:v>45219</c:v>
                      </c:pt>
                      <c:pt idx="49">
                        <c:v>45250</c:v>
                      </c:pt>
                      <c:pt idx="50">
                        <c:v>45280</c:v>
                      </c:pt>
                      <c:pt idx="51">
                        <c:v>45313</c:v>
                      </c:pt>
                      <c:pt idx="52">
                        <c:v>45342</c:v>
                      </c:pt>
                      <c:pt idx="53">
                        <c:v>45371</c:v>
                      </c:pt>
                      <c:pt idx="54">
                        <c:v>45404</c:v>
                      </c:pt>
                      <c:pt idx="55">
                        <c:v>45432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'6'!TB6BJ</c15:sqref>
                        </c15:formulaRef>
                      </c:ext>
                    </c:extLst>
                    <c:numCache>
                      <c:formatCode>#,##0.00_ </c:formatCode>
                      <c:ptCount val="56"/>
                      <c:pt idx="0">
                        <c:v>4.2</c:v>
                      </c:pt>
                      <c:pt idx="1">
                        <c:v>4.1500000000000004</c:v>
                      </c:pt>
                      <c:pt idx="2">
                        <c:v>4.1500000000000004</c:v>
                      </c:pt>
                      <c:pt idx="3">
                        <c:v>4.1500000000000004</c:v>
                      </c:pt>
                      <c:pt idx="4">
                        <c:v>4.05</c:v>
                      </c:pt>
                      <c:pt idx="5">
                        <c:v>4.05</c:v>
                      </c:pt>
                      <c:pt idx="6">
                        <c:v>3.85</c:v>
                      </c:pt>
                      <c:pt idx="7">
                        <c:v>3.85</c:v>
                      </c:pt>
                      <c:pt idx="8">
                        <c:v>3.85</c:v>
                      </c:pt>
                      <c:pt idx="9">
                        <c:v>3.85</c:v>
                      </c:pt>
                      <c:pt idx="10">
                        <c:v>3.85</c:v>
                      </c:pt>
                      <c:pt idx="11">
                        <c:v>3.85</c:v>
                      </c:pt>
                      <c:pt idx="12">
                        <c:v>3.85</c:v>
                      </c:pt>
                      <c:pt idx="13">
                        <c:v>3.85</c:v>
                      </c:pt>
                      <c:pt idx="14">
                        <c:v>3.85</c:v>
                      </c:pt>
                      <c:pt idx="15">
                        <c:v>3.85</c:v>
                      </c:pt>
                      <c:pt idx="16">
                        <c:v>3.85</c:v>
                      </c:pt>
                      <c:pt idx="17">
                        <c:v>3.85</c:v>
                      </c:pt>
                      <c:pt idx="18">
                        <c:v>3.85</c:v>
                      </c:pt>
                      <c:pt idx="19">
                        <c:v>3.85</c:v>
                      </c:pt>
                      <c:pt idx="20">
                        <c:v>3.85</c:v>
                      </c:pt>
                      <c:pt idx="21">
                        <c:v>3.85</c:v>
                      </c:pt>
                      <c:pt idx="22">
                        <c:v>3.85</c:v>
                      </c:pt>
                      <c:pt idx="23">
                        <c:v>3.85</c:v>
                      </c:pt>
                      <c:pt idx="24">
                        <c:v>3.85</c:v>
                      </c:pt>
                      <c:pt idx="25">
                        <c:v>3.85</c:v>
                      </c:pt>
                      <c:pt idx="26">
                        <c:v>3.8</c:v>
                      </c:pt>
                      <c:pt idx="27">
                        <c:v>3.7</c:v>
                      </c:pt>
                      <c:pt idx="28">
                        <c:v>3.7</c:v>
                      </c:pt>
                      <c:pt idx="29">
                        <c:v>3.7</c:v>
                      </c:pt>
                      <c:pt idx="30">
                        <c:v>3.7</c:v>
                      </c:pt>
                      <c:pt idx="31">
                        <c:v>3.7</c:v>
                      </c:pt>
                      <c:pt idx="32">
                        <c:v>3.7</c:v>
                      </c:pt>
                      <c:pt idx="33">
                        <c:v>3.7</c:v>
                      </c:pt>
                      <c:pt idx="34">
                        <c:v>3.65</c:v>
                      </c:pt>
                      <c:pt idx="35">
                        <c:v>3.65</c:v>
                      </c:pt>
                      <c:pt idx="36">
                        <c:v>3.65</c:v>
                      </c:pt>
                      <c:pt idx="37">
                        <c:v>3.65</c:v>
                      </c:pt>
                      <c:pt idx="38">
                        <c:v>3.65</c:v>
                      </c:pt>
                      <c:pt idx="39">
                        <c:v>3.65</c:v>
                      </c:pt>
                      <c:pt idx="40">
                        <c:v>3.65</c:v>
                      </c:pt>
                      <c:pt idx="41">
                        <c:v>3.65</c:v>
                      </c:pt>
                      <c:pt idx="42">
                        <c:v>3.65</c:v>
                      </c:pt>
                      <c:pt idx="43">
                        <c:v>3.65</c:v>
                      </c:pt>
                      <c:pt idx="44">
                        <c:v>3.55</c:v>
                      </c:pt>
                      <c:pt idx="45">
                        <c:v>3.55</c:v>
                      </c:pt>
                      <c:pt idx="46">
                        <c:v>3.45</c:v>
                      </c:pt>
                      <c:pt idx="47">
                        <c:v>3.45</c:v>
                      </c:pt>
                      <c:pt idx="48">
                        <c:v>3.45</c:v>
                      </c:pt>
                      <c:pt idx="49">
                        <c:v>3.45</c:v>
                      </c:pt>
                      <c:pt idx="50">
                        <c:v>3.45</c:v>
                      </c:pt>
                      <c:pt idx="51">
                        <c:v>3.45</c:v>
                      </c:pt>
                      <c:pt idx="52">
                        <c:v>3.45</c:v>
                      </c:pt>
                      <c:pt idx="53">
                        <c:v>3.45</c:v>
                      </c:pt>
                      <c:pt idx="54">
                        <c:v>3.45</c:v>
                      </c:pt>
                      <c:pt idx="55">
                        <c:v>3.45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CAEB-47D8-B80F-2D2F206AE16B}"/>
                  </c:ext>
                </c:extLst>
              </c15:ser>
            </c15:filteredLineSeries>
            <c15:filteredLine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'6'!$K$39</c15:sqref>
                        </c15:formulaRef>
                      </c:ext>
                    </c:extLst>
                    <c:strCache>
                      <c:ptCount val="1"/>
                      <c:pt idx="0">
                        <c:v>中国:贷款市场报价利率(LPR):5年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'6'!TB6BI</c15:sqref>
                        </c15:formulaRef>
                      </c:ext>
                    </c:extLst>
                    <c:numCache>
                      <c:formatCode>yyyy\-mm\-dd</c:formatCode>
                      <c:ptCount val="56"/>
                      <c:pt idx="0">
                        <c:v>43759</c:v>
                      </c:pt>
                      <c:pt idx="1">
                        <c:v>43789</c:v>
                      </c:pt>
                      <c:pt idx="2">
                        <c:v>43819</c:v>
                      </c:pt>
                      <c:pt idx="3">
                        <c:v>43850</c:v>
                      </c:pt>
                      <c:pt idx="4">
                        <c:v>43881</c:v>
                      </c:pt>
                      <c:pt idx="5">
                        <c:v>43910</c:v>
                      </c:pt>
                      <c:pt idx="6">
                        <c:v>43941</c:v>
                      </c:pt>
                      <c:pt idx="7">
                        <c:v>43971</c:v>
                      </c:pt>
                      <c:pt idx="8">
                        <c:v>44004</c:v>
                      </c:pt>
                      <c:pt idx="9">
                        <c:v>44032</c:v>
                      </c:pt>
                      <c:pt idx="10">
                        <c:v>44063</c:v>
                      </c:pt>
                      <c:pt idx="11">
                        <c:v>44095</c:v>
                      </c:pt>
                      <c:pt idx="12">
                        <c:v>44124</c:v>
                      </c:pt>
                      <c:pt idx="13">
                        <c:v>44155</c:v>
                      </c:pt>
                      <c:pt idx="14">
                        <c:v>44186</c:v>
                      </c:pt>
                      <c:pt idx="15">
                        <c:v>44216</c:v>
                      </c:pt>
                      <c:pt idx="16">
                        <c:v>44247</c:v>
                      </c:pt>
                      <c:pt idx="17">
                        <c:v>44277</c:v>
                      </c:pt>
                      <c:pt idx="18">
                        <c:v>44306</c:v>
                      </c:pt>
                      <c:pt idx="19">
                        <c:v>44336</c:v>
                      </c:pt>
                      <c:pt idx="20">
                        <c:v>44368</c:v>
                      </c:pt>
                      <c:pt idx="21">
                        <c:v>44397</c:v>
                      </c:pt>
                      <c:pt idx="22">
                        <c:v>44428</c:v>
                      </c:pt>
                      <c:pt idx="23">
                        <c:v>44461</c:v>
                      </c:pt>
                      <c:pt idx="24">
                        <c:v>44489</c:v>
                      </c:pt>
                      <c:pt idx="25">
                        <c:v>44522</c:v>
                      </c:pt>
                      <c:pt idx="26">
                        <c:v>44550</c:v>
                      </c:pt>
                      <c:pt idx="27">
                        <c:v>44581</c:v>
                      </c:pt>
                      <c:pt idx="28">
                        <c:v>44613</c:v>
                      </c:pt>
                      <c:pt idx="29">
                        <c:v>44641</c:v>
                      </c:pt>
                      <c:pt idx="30">
                        <c:v>44671</c:v>
                      </c:pt>
                      <c:pt idx="31">
                        <c:v>44701</c:v>
                      </c:pt>
                      <c:pt idx="32">
                        <c:v>44732</c:v>
                      </c:pt>
                      <c:pt idx="33">
                        <c:v>44762</c:v>
                      </c:pt>
                      <c:pt idx="34">
                        <c:v>44795</c:v>
                      </c:pt>
                      <c:pt idx="35">
                        <c:v>44824</c:v>
                      </c:pt>
                      <c:pt idx="36">
                        <c:v>44854</c:v>
                      </c:pt>
                      <c:pt idx="37">
                        <c:v>44886</c:v>
                      </c:pt>
                      <c:pt idx="38">
                        <c:v>44915</c:v>
                      </c:pt>
                      <c:pt idx="39">
                        <c:v>44946</c:v>
                      </c:pt>
                      <c:pt idx="40">
                        <c:v>44977</c:v>
                      </c:pt>
                      <c:pt idx="41">
                        <c:v>45005</c:v>
                      </c:pt>
                      <c:pt idx="42">
                        <c:v>45036</c:v>
                      </c:pt>
                      <c:pt idx="43">
                        <c:v>45068</c:v>
                      </c:pt>
                      <c:pt idx="44">
                        <c:v>45097</c:v>
                      </c:pt>
                      <c:pt idx="45">
                        <c:v>45127</c:v>
                      </c:pt>
                      <c:pt idx="46">
                        <c:v>45159</c:v>
                      </c:pt>
                      <c:pt idx="47">
                        <c:v>45189</c:v>
                      </c:pt>
                      <c:pt idx="48">
                        <c:v>45219</c:v>
                      </c:pt>
                      <c:pt idx="49">
                        <c:v>45250</c:v>
                      </c:pt>
                      <c:pt idx="50">
                        <c:v>45280</c:v>
                      </c:pt>
                      <c:pt idx="51">
                        <c:v>45313</c:v>
                      </c:pt>
                      <c:pt idx="52">
                        <c:v>45342</c:v>
                      </c:pt>
                      <c:pt idx="53">
                        <c:v>45371</c:v>
                      </c:pt>
                      <c:pt idx="54">
                        <c:v>45404</c:v>
                      </c:pt>
                      <c:pt idx="55">
                        <c:v>45432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'6'!TB6BK</c15:sqref>
                        </c15:formulaRef>
                      </c:ext>
                    </c:extLst>
                    <c:numCache>
                      <c:formatCode>#,##0.00_ </c:formatCode>
                      <c:ptCount val="56"/>
                      <c:pt idx="0">
                        <c:v>4.8499999999999996</c:v>
                      </c:pt>
                      <c:pt idx="1">
                        <c:v>4.8</c:v>
                      </c:pt>
                      <c:pt idx="2">
                        <c:v>4.8</c:v>
                      </c:pt>
                      <c:pt idx="3">
                        <c:v>4.8</c:v>
                      </c:pt>
                      <c:pt idx="4">
                        <c:v>4.75</c:v>
                      </c:pt>
                      <c:pt idx="5">
                        <c:v>4.75</c:v>
                      </c:pt>
                      <c:pt idx="6">
                        <c:v>4.6500000000000004</c:v>
                      </c:pt>
                      <c:pt idx="7">
                        <c:v>4.6500000000000004</c:v>
                      </c:pt>
                      <c:pt idx="8">
                        <c:v>4.6500000000000004</c:v>
                      </c:pt>
                      <c:pt idx="9">
                        <c:v>4.6500000000000004</c:v>
                      </c:pt>
                      <c:pt idx="10">
                        <c:v>4.6500000000000004</c:v>
                      </c:pt>
                      <c:pt idx="11">
                        <c:v>4.6500000000000004</c:v>
                      </c:pt>
                      <c:pt idx="12">
                        <c:v>4.6500000000000004</c:v>
                      </c:pt>
                      <c:pt idx="13">
                        <c:v>4.6500000000000004</c:v>
                      </c:pt>
                      <c:pt idx="14">
                        <c:v>4.6500000000000004</c:v>
                      </c:pt>
                      <c:pt idx="15">
                        <c:v>4.6500000000000004</c:v>
                      </c:pt>
                      <c:pt idx="16">
                        <c:v>4.6500000000000004</c:v>
                      </c:pt>
                      <c:pt idx="17">
                        <c:v>4.6500000000000004</c:v>
                      </c:pt>
                      <c:pt idx="18">
                        <c:v>4.6500000000000004</c:v>
                      </c:pt>
                      <c:pt idx="19">
                        <c:v>4.6500000000000004</c:v>
                      </c:pt>
                      <c:pt idx="20">
                        <c:v>4.6500000000000004</c:v>
                      </c:pt>
                      <c:pt idx="21">
                        <c:v>4.6500000000000004</c:v>
                      </c:pt>
                      <c:pt idx="22">
                        <c:v>4.6500000000000004</c:v>
                      </c:pt>
                      <c:pt idx="23">
                        <c:v>4.6500000000000004</c:v>
                      </c:pt>
                      <c:pt idx="24">
                        <c:v>4.6500000000000004</c:v>
                      </c:pt>
                      <c:pt idx="25">
                        <c:v>4.6500000000000004</c:v>
                      </c:pt>
                      <c:pt idx="26">
                        <c:v>4.6500000000000004</c:v>
                      </c:pt>
                      <c:pt idx="27">
                        <c:v>4.5999999999999996</c:v>
                      </c:pt>
                      <c:pt idx="28">
                        <c:v>4.5999999999999996</c:v>
                      </c:pt>
                      <c:pt idx="29">
                        <c:v>4.5999999999999996</c:v>
                      </c:pt>
                      <c:pt idx="30">
                        <c:v>4.5999999999999996</c:v>
                      </c:pt>
                      <c:pt idx="31">
                        <c:v>4.45</c:v>
                      </c:pt>
                      <c:pt idx="32">
                        <c:v>4.45</c:v>
                      </c:pt>
                      <c:pt idx="33">
                        <c:v>4.45</c:v>
                      </c:pt>
                      <c:pt idx="34">
                        <c:v>4.3</c:v>
                      </c:pt>
                      <c:pt idx="35">
                        <c:v>4.3</c:v>
                      </c:pt>
                      <c:pt idx="36">
                        <c:v>4.3</c:v>
                      </c:pt>
                      <c:pt idx="37">
                        <c:v>4.3</c:v>
                      </c:pt>
                      <c:pt idx="38">
                        <c:v>4.3</c:v>
                      </c:pt>
                      <c:pt idx="39">
                        <c:v>4.3</c:v>
                      </c:pt>
                      <c:pt idx="40">
                        <c:v>4.3</c:v>
                      </c:pt>
                      <c:pt idx="41">
                        <c:v>4.3</c:v>
                      </c:pt>
                      <c:pt idx="42">
                        <c:v>4.3</c:v>
                      </c:pt>
                      <c:pt idx="43">
                        <c:v>4.3</c:v>
                      </c:pt>
                      <c:pt idx="44">
                        <c:v>4.2</c:v>
                      </c:pt>
                      <c:pt idx="45">
                        <c:v>4.2</c:v>
                      </c:pt>
                      <c:pt idx="46">
                        <c:v>4.2</c:v>
                      </c:pt>
                      <c:pt idx="47">
                        <c:v>4.2</c:v>
                      </c:pt>
                      <c:pt idx="48">
                        <c:v>4.2</c:v>
                      </c:pt>
                      <c:pt idx="49">
                        <c:v>4.2</c:v>
                      </c:pt>
                      <c:pt idx="50">
                        <c:v>4.2</c:v>
                      </c:pt>
                      <c:pt idx="51">
                        <c:v>4.2</c:v>
                      </c:pt>
                      <c:pt idx="52">
                        <c:v>3.95</c:v>
                      </c:pt>
                      <c:pt idx="53">
                        <c:v>3.95</c:v>
                      </c:pt>
                      <c:pt idx="54">
                        <c:v>3.95</c:v>
                      </c:pt>
                      <c:pt idx="55">
                        <c:v>3.95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AEB-47D8-B80F-2D2F206AE16B}"/>
                  </c:ext>
                </c:extLst>
              </c15:ser>
            </c15:filteredLineSeries>
          </c:ext>
        </c:extLst>
      </c:lineChart>
      <c:catAx>
        <c:axId val="955189104"/>
        <c:scaling>
          <c:orientation val="minMax"/>
        </c:scaling>
        <c:delete val="0"/>
        <c:axPos val="b"/>
        <c:numFmt formatCode="yyyy/mm;@" sourceLinked="0"/>
        <c:majorTickMark val="out"/>
        <c:minorTickMark val="none"/>
        <c:tickLblPos val="low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in val="2.5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2.0078113102756354E-2"/>
              <c:y val="4.5878431862683831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95518910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6.1944227961265932E-2"/>
          <c:y val="0.85258930642542319"/>
          <c:w val="0.82544695564931514"/>
          <c:h val="6.2141614474599871E-2"/>
        </c:manualLayout>
      </c:layout>
      <c:overlay val="0"/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span"/>
    <c:showDLblsOverMax val="0"/>
  </c:chart>
  <c:spPr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21</xdr:row>
      <xdr:rowOff>34529</xdr:rowOff>
    </xdr:from>
    <xdr:to>
      <xdr:col>5</xdr:col>
      <xdr:colOff>0</xdr:colOff>
      <xdr:row>27</xdr:row>
      <xdr:rowOff>5953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3152023F-C74E-4C3B-8E15-FA64FE275C84}"/>
            </a:ext>
          </a:extLst>
        </xdr:cNvPr>
        <xdr:cNvSpPr txBox="1"/>
      </xdr:nvSpPr>
      <xdr:spPr>
        <a:xfrm>
          <a:off x="238125" y="4768454"/>
          <a:ext cx="7277100" cy="11334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   《EDB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宏观图库模板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》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全部采用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EDB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数据制作而成。在登录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EDB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的情况下，可自动更新数据。图形上方按钮可增加或减少统计期，使用者可自行调节以达最佳观测效果。后台宏程序采用相关算法，可根据历史数据长度自动控制最大观察期，以防止数据溢出，确保图形的正确性。</a:t>
          </a:r>
        </a:p>
      </xdr:txBody>
    </xdr:sp>
    <xdr:clientData/>
  </xdr:twoCellAnchor>
  <xdr:oneCellAnchor>
    <xdr:from>
      <xdr:col>0</xdr:col>
      <xdr:colOff>180975</xdr:colOff>
      <xdr:row>0</xdr:row>
      <xdr:rowOff>85725</xdr:rowOff>
    </xdr:from>
    <xdr:ext cx="607152" cy="219075"/>
    <xdr:pic>
      <xdr:nvPicPr>
        <xdr:cNvPr id="7" name="图片 6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11</xdr:row>
      <xdr:rowOff>38100</xdr:rowOff>
    </xdr:from>
    <xdr:to>
      <xdr:col>6</xdr:col>
      <xdr:colOff>904875</xdr:colOff>
      <xdr:row>35</xdr:row>
      <xdr:rowOff>57150</xdr:rowOff>
    </xdr:to>
    <xdr:graphicFrame macro="">
      <xdr:nvGraphicFramePr>
        <xdr:cNvPr id="301678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66675</xdr:colOff>
      <xdr:row>11</xdr:row>
      <xdr:rowOff>47625</xdr:rowOff>
    </xdr:from>
    <xdr:to>
      <xdr:col>13</xdr:col>
      <xdr:colOff>914400</xdr:colOff>
      <xdr:row>35</xdr:row>
      <xdr:rowOff>67425</xdr:rowOff>
    </xdr:to>
    <xdr:graphicFrame macro="">
      <xdr:nvGraphicFramePr>
        <xdr:cNvPr id="301679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01110" name="SpinButtonA" hidden="1">
              <a:extLst>
                <a:ext uri="{63B3BB69-23CF-44E3-9099-C40C66FF867C}">
                  <a14:compatExt spid="_x0000_s30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01196" name="SpinButtonB" hidden="1">
              <a:extLst>
                <a:ext uri="{63B3BB69-23CF-44E3-9099-C40C66FF867C}">
                  <a14:compatExt spid="_x0000_s30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47625</xdr:colOff>
      <xdr:row>0</xdr:row>
      <xdr:rowOff>85725</xdr:rowOff>
    </xdr:from>
    <xdr:ext cx="607152" cy="219075"/>
    <xdr:pic>
      <xdr:nvPicPr>
        <xdr:cNvPr id="8" name="图片 7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11</xdr:row>
      <xdr:rowOff>47625</xdr:rowOff>
    </xdr:from>
    <xdr:to>
      <xdr:col>6</xdr:col>
      <xdr:colOff>904875</xdr:colOff>
      <xdr:row>35</xdr:row>
      <xdr:rowOff>67425</xdr:rowOff>
    </xdr:to>
    <xdr:graphicFrame macro="">
      <xdr:nvGraphicFramePr>
        <xdr:cNvPr id="377246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66675</xdr:colOff>
      <xdr:row>11</xdr:row>
      <xdr:rowOff>47625</xdr:rowOff>
    </xdr:from>
    <xdr:to>
      <xdr:col>13</xdr:col>
      <xdr:colOff>914400</xdr:colOff>
      <xdr:row>35</xdr:row>
      <xdr:rowOff>67425</xdr:rowOff>
    </xdr:to>
    <xdr:graphicFrame macro="">
      <xdr:nvGraphicFramePr>
        <xdr:cNvPr id="377247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76833" name="SpinButtonA" hidden="1">
              <a:extLst>
                <a:ext uri="{63B3BB69-23CF-44E3-9099-C40C66FF867C}">
                  <a14:compatExt spid="_x0000_s37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76834" name="SpinButtonB" hidden="1">
              <a:extLst>
                <a:ext uri="{63B3BB69-23CF-44E3-9099-C40C66FF867C}">
                  <a14:compatExt spid="_x0000_s37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47625</xdr:colOff>
      <xdr:row>0</xdr:row>
      <xdr:rowOff>85725</xdr:rowOff>
    </xdr:from>
    <xdr:ext cx="607152" cy="219075"/>
    <xdr:pic>
      <xdr:nvPicPr>
        <xdr:cNvPr id="8" name="图片 7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11</xdr:row>
      <xdr:rowOff>28575</xdr:rowOff>
    </xdr:from>
    <xdr:to>
      <xdr:col>6</xdr:col>
      <xdr:colOff>914400</xdr:colOff>
      <xdr:row>35</xdr:row>
      <xdr:rowOff>48375</xdr:rowOff>
    </xdr:to>
    <xdr:graphicFrame macro="">
      <xdr:nvGraphicFramePr>
        <xdr:cNvPr id="411009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57150</xdr:colOff>
      <xdr:row>11</xdr:row>
      <xdr:rowOff>38100</xdr:rowOff>
    </xdr:from>
    <xdr:to>
      <xdr:col>13</xdr:col>
      <xdr:colOff>904875</xdr:colOff>
      <xdr:row>35</xdr:row>
      <xdr:rowOff>57900</xdr:rowOff>
    </xdr:to>
    <xdr:graphicFrame macro="">
      <xdr:nvGraphicFramePr>
        <xdr:cNvPr id="411010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410625" name="SpinButtonA" hidden="1">
              <a:extLst>
                <a:ext uri="{63B3BB69-23CF-44E3-9099-C40C66FF867C}">
                  <a14:compatExt spid="_x0000_s410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410626" name="SpinButtonB" hidden="1">
              <a:extLst>
                <a:ext uri="{63B3BB69-23CF-44E3-9099-C40C66FF867C}">
                  <a14:compatExt spid="_x0000_s410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47625</xdr:colOff>
      <xdr:row>0</xdr:row>
      <xdr:rowOff>85725</xdr:rowOff>
    </xdr:from>
    <xdr:ext cx="607152" cy="219075"/>
    <xdr:pic>
      <xdr:nvPicPr>
        <xdr:cNvPr id="8" name="图片 7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11</xdr:row>
      <xdr:rowOff>38100</xdr:rowOff>
    </xdr:from>
    <xdr:to>
      <xdr:col>6</xdr:col>
      <xdr:colOff>904875</xdr:colOff>
      <xdr:row>35</xdr:row>
      <xdr:rowOff>57900</xdr:rowOff>
    </xdr:to>
    <xdr:graphicFrame macro="">
      <xdr:nvGraphicFramePr>
        <xdr:cNvPr id="474457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66675</xdr:colOff>
      <xdr:row>11</xdr:row>
      <xdr:rowOff>57150</xdr:rowOff>
    </xdr:from>
    <xdr:to>
      <xdr:col>13</xdr:col>
      <xdr:colOff>914400</xdr:colOff>
      <xdr:row>35</xdr:row>
      <xdr:rowOff>76950</xdr:rowOff>
    </xdr:to>
    <xdr:graphicFrame macro="">
      <xdr:nvGraphicFramePr>
        <xdr:cNvPr id="474458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474113" name="SpinButtonA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474114" name="SpinButtonB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47625</xdr:colOff>
      <xdr:row>0</xdr:row>
      <xdr:rowOff>85725</xdr:rowOff>
    </xdr:from>
    <xdr:ext cx="607152" cy="219075"/>
    <xdr:pic>
      <xdr:nvPicPr>
        <xdr:cNvPr id="8" name="图片 7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66675</xdr:rowOff>
    </xdr:from>
    <xdr:to>
      <xdr:col>6</xdr:col>
      <xdr:colOff>895350</xdr:colOff>
      <xdr:row>35</xdr:row>
      <xdr:rowOff>86475</xdr:rowOff>
    </xdr:to>
    <xdr:graphicFrame macro="">
      <xdr:nvGraphicFramePr>
        <xdr:cNvPr id="532797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38100</xdr:colOff>
      <xdr:row>11</xdr:row>
      <xdr:rowOff>57150</xdr:rowOff>
    </xdr:from>
    <xdr:to>
      <xdr:col>13</xdr:col>
      <xdr:colOff>885825</xdr:colOff>
      <xdr:row>35</xdr:row>
      <xdr:rowOff>76950</xdr:rowOff>
    </xdr:to>
    <xdr:graphicFrame macro="">
      <xdr:nvGraphicFramePr>
        <xdr:cNvPr id="532798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532481" name="SpinButtonA" hidden="1">
              <a:extLst>
                <a:ext uri="{63B3BB69-23CF-44E3-9099-C40C66FF867C}">
                  <a14:compatExt spid="_x0000_s53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532482" name="SpinButtonB" hidden="1">
              <a:extLst>
                <a:ext uri="{63B3BB69-23CF-44E3-9099-C40C66FF867C}">
                  <a14:compatExt spid="_x0000_s53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47625</xdr:colOff>
      <xdr:row>0</xdr:row>
      <xdr:rowOff>85725</xdr:rowOff>
    </xdr:from>
    <xdr:ext cx="607152" cy="219075"/>
    <xdr:pic>
      <xdr:nvPicPr>
        <xdr:cNvPr id="8" name="图片 7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66675</xdr:rowOff>
    </xdr:from>
    <xdr:to>
      <xdr:col>6</xdr:col>
      <xdr:colOff>895350</xdr:colOff>
      <xdr:row>35</xdr:row>
      <xdr:rowOff>86475</xdr:rowOff>
    </xdr:to>
    <xdr:graphicFrame macro="">
      <xdr:nvGraphicFramePr>
        <xdr:cNvPr id="2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38100</xdr:colOff>
      <xdr:row>11</xdr:row>
      <xdr:rowOff>57150</xdr:rowOff>
    </xdr:from>
    <xdr:to>
      <xdr:col>13</xdr:col>
      <xdr:colOff>885825</xdr:colOff>
      <xdr:row>35</xdr:row>
      <xdr:rowOff>76950</xdr:rowOff>
    </xdr:to>
    <xdr:graphicFrame macro="">
      <xdr:nvGraphicFramePr>
        <xdr:cNvPr id="3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533505" name="SpinButtonA" hidden="1">
              <a:extLst>
                <a:ext uri="{63B3BB69-23CF-44E3-9099-C40C66FF867C}">
                  <a14:compatExt spid="_x0000_s53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533506" name="SpinButtonB" hidden="1">
              <a:extLst>
                <a:ext uri="{63B3BB69-23CF-44E3-9099-C40C66FF867C}">
                  <a14:compatExt spid="_x0000_s53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47625</xdr:colOff>
      <xdr:row>0</xdr:row>
      <xdr:rowOff>85725</xdr:rowOff>
    </xdr:from>
    <xdr:ext cx="607152" cy="219075"/>
    <xdr:pic>
      <xdr:nvPicPr>
        <xdr:cNvPr id="6" name="图片 5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edb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2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2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2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2.xml"/><Relationship Id="rId5" Type="http://schemas.openxmlformats.org/officeDocument/2006/relationships/image" Target="../media/image3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63636D"/>
  </sheetPr>
  <dimension ref="A1:F29"/>
  <sheetViews>
    <sheetView showGridLines="0" tabSelected="1" zoomScaleNormal="100" workbookViewId="0">
      <pane ySplit="1" topLeftCell="A2" activePane="bottomLeft" state="frozen"/>
      <selection pane="bottomLeft" activeCell="A37" sqref="A37"/>
    </sheetView>
  </sheetViews>
  <sheetFormatPr defaultRowHeight="17.25" x14ac:dyDescent="0.3"/>
  <cols>
    <col min="1" max="1" width="2.5" style="82" customWidth="1"/>
    <col min="2" max="2" width="30.625" style="82" customWidth="1"/>
    <col min="3" max="3" width="6" style="82" customWidth="1"/>
    <col min="4" max="4" width="28.875" style="82" customWidth="1"/>
    <col min="5" max="5" width="30.625" style="82" customWidth="1"/>
    <col min="6" max="6" width="2.5" style="82" customWidth="1"/>
    <col min="7" max="7" width="6.375" style="82" customWidth="1"/>
    <col min="8" max="16384" width="9" style="82"/>
  </cols>
  <sheetData>
    <row r="1" spans="1:6" ht="27.75" x14ac:dyDescent="0.3">
      <c r="A1" s="50"/>
      <c r="B1" s="86" t="s">
        <v>62</v>
      </c>
      <c r="C1" s="86"/>
      <c r="D1" s="86"/>
      <c r="E1" s="86"/>
      <c r="F1" s="50"/>
    </row>
    <row r="2" spans="1:6" ht="17.25" customHeight="1" x14ac:dyDescent="0.3">
      <c r="A2" s="83"/>
      <c r="B2" s="84"/>
      <c r="C2" s="84"/>
      <c r="D2" s="84"/>
      <c r="E2" s="84"/>
      <c r="F2" s="83"/>
    </row>
    <row r="3" spans="1:6" ht="17.25" customHeight="1" x14ac:dyDescent="0.3">
      <c r="A3" s="83"/>
      <c r="B3" s="84"/>
      <c r="C3" s="84"/>
      <c r="D3" s="84"/>
      <c r="E3" s="84"/>
      <c r="F3" s="83"/>
    </row>
    <row r="4" spans="1:6" ht="17.25" customHeight="1" x14ac:dyDescent="0.3">
      <c r="A4" s="83"/>
      <c r="B4" s="84"/>
      <c r="C4" s="84"/>
      <c r="D4" s="84"/>
      <c r="E4" s="84"/>
      <c r="F4" s="83"/>
    </row>
    <row r="5" spans="1:6" ht="17.25" customHeight="1" x14ac:dyDescent="0.35">
      <c r="A5" s="83"/>
      <c r="B5" s="84"/>
      <c r="C5" s="87" t="s">
        <v>6</v>
      </c>
      <c r="D5" s="87"/>
      <c r="E5" s="84"/>
      <c r="F5" s="83"/>
    </row>
    <row r="6" spans="1:6" ht="17.25" customHeight="1" x14ac:dyDescent="0.35">
      <c r="A6" s="83"/>
      <c r="B6" s="84"/>
      <c r="C6" s="77"/>
      <c r="D6" s="77"/>
      <c r="E6" s="84"/>
      <c r="F6" s="83"/>
    </row>
    <row r="7" spans="1:6" ht="17.25" customHeight="1" x14ac:dyDescent="0.35">
      <c r="A7" s="83"/>
      <c r="B7" s="84"/>
      <c r="C7" s="78">
        <v>1</v>
      </c>
      <c r="D7" s="79" t="s">
        <v>7</v>
      </c>
      <c r="E7" s="84"/>
      <c r="F7" s="83"/>
    </row>
    <row r="8" spans="1:6" ht="17.25" customHeight="1" x14ac:dyDescent="0.35">
      <c r="A8" s="83"/>
      <c r="B8" s="84"/>
      <c r="C8" s="80">
        <v>2</v>
      </c>
      <c r="D8" s="81" t="s">
        <v>8</v>
      </c>
      <c r="E8" s="84"/>
      <c r="F8" s="83"/>
    </row>
    <row r="9" spans="1:6" ht="17.25" customHeight="1" x14ac:dyDescent="0.35">
      <c r="A9" s="83"/>
      <c r="B9" s="84"/>
      <c r="C9" s="78">
        <v>3</v>
      </c>
      <c r="D9" s="79" t="s">
        <v>9</v>
      </c>
      <c r="E9" s="84"/>
      <c r="F9" s="83"/>
    </row>
    <row r="10" spans="1:6" ht="17.25" customHeight="1" x14ac:dyDescent="0.35">
      <c r="A10" s="83"/>
      <c r="B10" s="84"/>
      <c r="C10" s="80">
        <v>4</v>
      </c>
      <c r="D10" s="81" t="s">
        <v>10</v>
      </c>
      <c r="E10" s="84"/>
      <c r="F10" s="83"/>
    </row>
    <row r="11" spans="1:6" ht="17.25" customHeight="1" x14ac:dyDescent="0.35">
      <c r="A11" s="83"/>
      <c r="B11" s="84"/>
      <c r="C11" s="78">
        <v>5</v>
      </c>
      <c r="D11" s="79" t="s">
        <v>11</v>
      </c>
      <c r="E11" s="84"/>
      <c r="F11" s="83"/>
    </row>
    <row r="12" spans="1:6" ht="17.25" customHeight="1" x14ac:dyDescent="0.35">
      <c r="A12" s="83"/>
      <c r="B12" s="84"/>
      <c r="C12" s="80">
        <v>6</v>
      </c>
      <c r="D12" s="81" t="s">
        <v>50</v>
      </c>
      <c r="E12" s="84"/>
      <c r="F12" s="83"/>
    </row>
    <row r="13" spans="1:6" ht="17.25" customHeight="1" x14ac:dyDescent="0.35">
      <c r="A13" s="83"/>
      <c r="B13" s="84"/>
      <c r="C13" s="78">
        <v>7</v>
      </c>
      <c r="D13" s="79" t="s">
        <v>12</v>
      </c>
      <c r="E13" s="84"/>
      <c r="F13" s="83"/>
    </row>
    <row r="14" spans="1:6" ht="17.25" customHeight="1" x14ac:dyDescent="0.35">
      <c r="A14" s="83"/>
      <c r="B14" s="84"/>
      <c r="C14" s="80">
        <v>8</v>
      </c>
      <c r="D14" s="81" t="s">
        <v>13</v>
      </c>
      <c r="E14" s="84"/>
      <c r="F14" s="83"/>
    </row>
    <row r="15" spans="1:6" ht="17.25" customHeight="1" x14ac:dyDescent="0.35">
      <c r="A15" s="83"/>
      <c r="B15" s="84"/>
      <c r="C15" s="78">
        <v>9</v>
      </c>
      <c r="D15" s="79" t="s">
        <v>14</v>
      </c>
      <c r="E15" s="84"/>
      <c r="F15" s="83"/>
    </row>
    <row r="16" spans="1:6" ht="17.25" customHeight="1" x14ac:dyDescent="0.35">
      <c r="A16" s="83"/>
      <c r="B16" s="84"/>
      <c r="C16" s="80">
        <v>10</v>
      </c>
      <c r="D16" s="81" t="s">
        <v>104</v>
      </c>
      <c r="E16" s="84"/>
      <c r="F16" s="83"/>
    </row>
    <row r="17" spans="1:6" ht="17.25" customHeight="1" x14ac:dyDescent="0.35">
      <c r="A17" s="83"/>
      <c r="B17" s="84"/>
      <c r="C17" s="78">
        <v>11</v>
      </c>
      <c r="D17" s="79" t="s">
        <v>60</v>
      </c>
      <c r="E17" s="84"/>
      <c r="F17" s="83"/>
    </row>
    <row r="18" spans="1:6" ht="17.25" customHeight="1" x14ac:dyDescent="0.35">
      <c r="A18" s="83"/>
      <c r="B18" s="84"/>
      <c r="C18" s="80">
        <v>12</v>
      </c>
      <c r="D18" s="81" t="s">
        <v>55</v>
      </c>
      <c r="E18" s="84"/>
      <c r="F18" s="83"/>
    </row>
    <row r="19" spans="1:6" ht="17.25" customHeight="1" x14ac:dyDescent="0.35">
      <c r="A19" s="83"/>
      <c r="B19" s="84"/>
      <c r="C19" s="78"/>
      <c r="D19" s="79"/>
      <c r="E19" s="84"/>
      <c r="F19" s="83"/>
    </row>
    <row r="20" spans="1:6" ht="17.25" customHeight="1" x14ac:dyDescent="0.3">
      <c r="A20" s="83"/>
      <c r="B20" s="84"/>
      <c r="C20" s="84"/>
      <c r="D20" s="84"/>
      <c r="E20" s="84"/>
      <c r="F20" s="83"/>
    </row>
    <row r="21" spans="1:6" ht="17.25" customHeight="1" x14ac:dyDescent="0.3">
      <c r="A21" s="83"/>
      <c r="B21" s="84" t="s">
        <v>61</v>
      </c>
      <c r="C21" s="85"/>
      <c r="D21" s="85"/>
      <c r="E21" s="85"/>
      <c r="F21" s="83"/>
    </row>
    <row r="22" spans="1:6" ht="17.25" customHeight="1" x14ac:dyDescent="0.3">
      <c r="A22" s="83"/>
      <c r="B22" s="84"/>
      <c r="C22" s="84"/>
      <c r="D22" s="84"/>
      <c r="E22" s="84"/>
      <c r="F22" s="83"/>
    </row>
    <row r="23" spans="1:6" ht="17.25" customHeight="1" x14ac:dyDescent="0.3">
      <c r="A23" s="83"/>
      <c r="B23" s="84"/>
      <c r="C23" s="84"/>
      <c r="D23" s="84"/>
      <c r="E23" s="84"/>
      <c r="F23" s="83"/>
    </row>
    <row r="24" spans="1:6" ht="14.25" customHeight="1" x14ac:dyDescent="0.3">
      <c r="A24" s="83"/>
      <c r="B24" s="84"/>
      <c r="C24" s="84"/>
      <c r="D24" s="84"/>
      <c r="E24" s="84"/>
      <c r="F24" s="83"/>
    </row>
    <row r="25" spans="1:6" ht="14.25" customHeight="1" x14ac:dyDescent="0.3">
      <c r="A25" s="83"/>
      <c r="B25" s="84"/>
      <c r="C25" s="84"/>
      <c r="D25" s="84"/>
      <c r="E25" s="84"/>
      <c r="F25" s="83"/>
    </row>
    <row r="26" spans="1:6" ht="14.25" customHeight="1" x14ac:dyDescent="0.3">
      <c r="A26" s="83"/>
      <c r="B26" s="84"/>
      <c r="C26" s="84"/>
      <c r="D26" s="84"/>
      <c r="E26" s="84"/>
      <c r="F26" s="83"/>
    </row>
    <row r="27" spans="1:6" ht="14.25" customHeight="1" x14ac:dyDescent="0.3">
      <c r="A27" s="83"/>
      <c r="B27" s="84"/>
      <c r="C27" s="84"/>
      <c r="D27" s="84"/>
      <c r="E27" s="84"/>
      <c r="F27" s="83"/>
    </row>
    <row r="28" spans="1:6" ht="14.25" customHeight="1" x14ac:dyDescent="0.3">
      <c r="A28" s="83"/>
      <c r="B28" s="84"/>
      <c r="C28" s="84"/>
      <c r="D28" s="84"/>
      <c r="E28" s="84"/>
      <c r="F28" s="83"/>
    </row>
    <row r="29" spans="1:6" x14ac:dyDescent="0.3">
      <c r="A29" s="83"/>
      <c r="B29" s="83"/>
      <c r="C29" s="83"/>
      <c r="D29" s="83"/>
      <c r="E29" s="83"/>
      <c r="F29" s="83"/>
    </row>
  </sheetData>
  <sheetProtection formatColumns="0" formatRows="0"/>
  <mergeCells count="2">
    <mergeCell ref="B1:E1"/>
    <mergeCell ref="C5:D5"/>
  </mergeCells>
  <phoneticPr fontId="3" type="noConversion"/>
  <hyperlinks>
    <hyperlink ref="D7" location="'1'!A1" display="GDP与三大产业"/>
    <hyperlink ref="D8" location="'1'!A1" display="GDP与财政收支"/>
    <hyperlink ref="D9" location="'2'!A1" display="固定资产投资与信贷规模"/>
    <hyperlink ref="D10" location="'2'!A1" display="CPI与对外贸易"/>
    <hyperlink ref="D12" location="'3'!A1" display="CPI与M1-M2"/>
    <hyperlink ref="D11" location="'3'!A1" display="CPI与PPI"/>
    <hyperlink ref="D13" location="'4'!A1" display="热钱估算（新增外汇储备法）"/>
    <hyperlink ref="D14" location="'4'!A1" display="热钱估算（新增外汇占款法）"/>
    <hyperlink ref="D15" location="'5'!A1" display="货币投放与回笼"/>
    <hyperlink ref="D16" location="'5'!A1" display="央票与证券市场"/>
    <hyperlink ref="D18" location="'6'!A1" display="LPR贷款报价利率"/>
    <hyperlink ref="D17" location="'6'!A1" display="社融规模与社融同比"/>
  </hyperlinks>
  <pageMargins left="0.7" right="0.7" top="0.75" bottom="0.75" header="0.3" footer="0.3"/>
  <pageSetup paperSize="11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63636D"/>
  </sheetPr>
  <dimension ref="A1:Q1114"/>
  <sheetViews>
    <sheetView showGridLines="0" zoomScaleNormal="100" workbookViewId="0"/>
  </sheetViews>
  <sheetFormatPr defaultRowHeight="11.25" x14ac:dyDescent="0.15"/>
  <cols>
    <col min="1" max="1" width="1.625" style="8" customWidth="1"/>
    <col min="2" max="2" width="11.625" style="9" customWidth="1"/>
    <col min="3" max="7" width="12.625" style="9" customWidth="1"/>
    <col min="8" max="8" width="1.625" style="8" customWidth="1"/>
    <col min="9" max="9" width="11.625" style="9" customWidth="1"/>
    <col min="10" max="14" width="12.625" style="9" customWidth="1"/>
    <col min="15" max="15" width="2.5" style="8" customWidth="1"/>
    <col min="16" max="16384" width="9" style="9"/>
  </cols>
  <sheetData>
    <row r="1" spans="1:17" s="2" customFormat="1" ht="27.75" x14ac:dyDescent="0.15">
      <c r="A1" s="49"/>
      <c r="B1" s="49"/>
      <c r="C1" s="86" t="s">
        <v>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49"/>
      <c r="O1" s="49"/>
      <c r="P1" s="1"/>
      <c r="Q1" s="1"/>
    </row>
    <row r="2" spans="1:17" s="2" customFormat="1" ht="12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1"/>
      <c r="Q2" s="1"/>
    </row>
    <row r="3" spans="1:17" s="2" customFormat="1" ht="12" x14ac:dyDescent="0.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1"/>
      <c r="Q3" s="1"/>
    </row>
    <row r="4" spans="1:17" s="2" customFormat="1" ht="12" hidden="1" x14ac:dyDescent="0.15">
      <c r="A4" s="3"/>
      <c r="B4" s="1"/>
      <c r="C4" s="1"/>
      <c r="D4" s="1"/>
      <c r="E4" s="1"/>
      <c r="F4" s="1"/>
      <c r="G4" s="1"/>
      <c r="H4" s="3"/>
      <c r="I4" s="1"/>
      <c r="J4" s="1"/>
      <c r="K4" s="1"/>
      <c r="L4" s="1"/>
      <c r="M4" s="1"/>
      <c r="N4" s="1"/>
      <c r="O4" s="3"/>
      <c r="P4" s="1"/>
      <c r="Q4" s="1"/>
    </row>
    <row r="5" spans="1:17" s="2" customFormat="1" ht="12" hidden="1" x14ac:dyDescent="0.15">
      <c r="A5" s="4"/>
      <c r="H5" s="4"/>
      <c r="O5" s="5"/>
    </row>
    <row r="6" spans="1:17" s="2" customFormat="1" ht="17.25" x14ac:dyDescent="0.3">
      <c r="A6" s="4"/>
      <c r="B6" s="51" t="s">
        <v>15</v>
      </c>
      <c r="C6" s="51"/>
      <c r="D6" s="51"/>
      <c r="E6" s="51"/>
      <c r="F6" s="51"/>
      <c r="G6" s="51"/>
      <c r="H6" s="4"/>
      <c r="I6" s="51" t="s">
        <v>16</v>
      </c>
      <c r="J6" s="51"/>
      <c r="K6" s="51"/>
      <c r="L6" s="51"/>
      <c r="M6" s="51"/>
      <c r="N6" s="51" t="s">
        <v>17</v>
      </c>
      <c r="O6" s="5"/>
    </row>
    <row r="7" spans="1:17" s="7" customFormat="1" ht="16.5" x14ac:dyDescent="0.35">
      <c r="A7" s="6"/>
      <c r="B7" s="52" t="s">
        <v>0</v>
      </c>
      <c r="C7" s="37">
        <f>DATE(YEAR(MAX(B:B)),MONTH(MAX(B:B)),1)</f>
        <v>45352</v>
      </c>
      <c r="D7" s="89"/>
      <c r="E7" s="89"/>
      <c r="F7" s="52" t="s">
        <v>4</v>
      </c>
      <c r="G7" s="37" t="str">
        <f>F9&amp;"个季度"</f>
        <v>24个季度</v>
      </c>
      <c r="H7" s="32"/>
      <c r="I7" s="52" t="s">
        <v>32</v>
      </c>
      <c r="J7" s="37">
        <f>DATE(YEAR(MAX(I:I)),MONTH(MAX(I:I)),1)</f>
        <v>45352</v>
      </c>
      <c r="K7" s="89"/>
      <c r="L7" s="89"/>
      <c r="M7" s="52" t="s">
        <v>33</v>
      </c>
      <c r="N7" s="37" t="str">
        <f>M9&amp;"个季度"</f>
        <v>24个季度</v>
      </c>
      <c r="O7" s="6"/>
    </row>
    <row r="9" spans="1:17" ht="11.25" hidden="1" customHeight="1" x14ac:dyDescent="0.15">
      <c r="B9" s="10" t="s">
        <v>2</v>
      </c>
      <c r="C9" s="9">
        <f>ROW(B39)</f>
        <v>39</v>
      </c>
      <c r="F9" s="9">
        <v>24</v>
      </c>
      <c r="I9" s="10" t="s">
        <v>2</v>
      </c>
      <c r="J9" s="9">
        <f>ROW($I$39)</f>
        <v>39</v>
      </c>
      <c r="M9" s="9">
        <v>24</v>
      </c>
    </row>
    <row r="10" spans="1:17" ht="11.25" hidden="1" customHeight="1" x14ac:dyDescent="0.15">
      <c r="B10" s="10" t="s">
        <v>1</v>
      </c>
      <c r="C10" s="11">
        <f>MATCH(MAX(B:B),B:B)</f>
        <v>206</v>
      </c>
      <c r="I10" s="10" t="s">
        <v>1</v>
      </c>
      <c r="J10" s="11">
        <f>MATCH(MAX(I:I),I:I)</f>
        <v>214</v>
      </c>
    </row>
    <row r="11" spans="1:17" ht="11.25" hidden="1" customHeight="1" x14ac:dyDescent="0.15">
      <c r="B11" s="10" t="s">
        <v>3</v>
      </c>
      <c r="C11" s="11">
        <f>C10-C9</f>
        <v>167</v>
      </c>
      <c r="I11" s="10" t="s">
        <v>3</v>
      </c>
      <c r="J11" s="11">
        <f>J10-J9</f>
        <v>175</v>
      </c>
    </row>
    <row r="21" spans="4:5" x14ac:dyDescent="0.15">
      <c r="D21" s="12"/>
    </row>
    <row r="24" spans="4:5" x14ac:dyDescent="0.15">
      <c r="E24" s="13"/>
    </row>
    <row r="25" spans="4:5" x14ac:dyDescent="0.15">
      <c r="E25" s="13"/>
    </row>
    <row r="26" spans="4:5" x14ac:dyDescent="0.15">
      <c r="E26" s="13"/>
    </row>
    <row r="29" spans="4:5" x14ac:dyDescent="0.15">
      <c r="D29" s="14"/>
    </row>
    <row r="36" spans="1:15" x14ac:dyDescent="0.15">
      <c r="B36" s="14"/>
      <c r="C36" s="15"/>
      <c r="D36" s="16"/>
    </row>
    <row r="37" spans="1:15" ht="18" x14ac:dyDescent="0.35">
      <c r="B37" s="88" t="s">
        <v>29</v>
      </c>
      <c r="C37" s="88"/>
      <c r="D37" s="88"/>
      <c r="E37" s="88"/>
      <c r="F37" s="88"/>
      <c r="G37" s="88"/>
      <c r="H37" s="23"/>
      <c r="I37" s="88" t="s">
        <v>27</v>
      </c>
      <c r="J37" s="88"/>
      <c r="K37" s="88"/>
      <c r="L37" s="88"/>
      <c r="M37" s="88"/>
      <c r="N37" s="88"/>
    </row>
    <row r="38" spans="1:15" ht="14.25" x14ac:dyDescent="0.15">
      <c r="B38" s="48" t="str">
        <f>[1]!edb()</f>
        <v>Wind</v>
      </c>
      <c r="C38" s="15"/>
      <c r="D38" s="16"/>
      <c r="I38" s="18" t="str">
        <f>[1]!edb()</f>
        <v>Wind</v>
      </c>
      <c r="J38"/>
    </row>
    <row r="39" spans="1:15" ht="28.5" x14ac:dyDescent="0.15">
      <c r="B39" s="70" t="s">
        <v>90</v>
      </c>
      <c r="C39" s="70" t="s">
        <v>100</v>
      </c>
      <c r="D39" s="70" t="s">
        <v>101</v>
      </c>
      <c r="E39" s="70" t="s">
        <v>102</v>
      </c>
      <c r="F39" s="70" t="s">
        <v>103</v>
      </c>
      <c r="G39" s="70" t="s">
        <v>54</v>
      </c>
      <c r="H39" s="53"/>
      <c r="I39" s="70" t="s">
        <v>70</v>
      </c>
      <c r="J39" s="70" t="s">
        <v>71</v>
      </c>
      <c r="K39" s="70" t="s">
        <v>72</v>
      </c>
      <c r="L39" s="70" t="s">
        <v>73</v>
      </c>
      <c r="M39" s="70" t="s">
        <v>74</v>
      </c>
      <c r="N39" s="19"/>
    </row>
    <row r="40" spans="1:15" s="36" customFormat="1" ht="12" x14ac:dyDescent="0.2">
      <c r="A40" s="33"/>
      <c r="B40" s="62">
        <v>20089</v>
      </c>
      <c r="C40" s="64">
        <v>4.3</v>
      </c>
      <c r="D40" s="64">
        <v>0</v>
      </c>
      <c r="E40" s="64">
        <v>1.7</v>
      </c>
      <c r="F40" s="64">
        <v>14.8</v>
      </c>
      <c r="G40" s="64">
        <v>-0.3</v>
      </c>
      <c r="H40" s="33"/>
      <c r="I40" s="62">
        <v>19359</v>
      </c>
      <c r="J40" s="64">
        <v>679.1</v>
      </c>
      <c r="K40" s="64">
        <v>0</v>
      </c>
      <c r="L40" s="64">
        <v>0</v>
      </c>
      <c r="M40" s="64">
        <v>0</v>
      </c>
      <c r="N40" s="34"/>
      <c r="O40" s="35"/>
    </row>
    <row r="41" spans="1:15" s="36" customFormat="1" ht="12" x14ac:dyDescent="0.2">
      <c r="A41" s="33"/>
      <c r="B41" s="63">
        <v>20454</v>
      </c>
      <c r="C41" s="65">
        <v>6.9</v>
      </c>
      <c r="D41" s="65">
        <v>0</v>
      </c>
      <c r="E41" s="65">
        <v>7.9</v>
      </c>
      <c r="F41" s="65">
        <v>7.6</v>
      </c>
      <c r="G41" s="65">
        <v>4.8</v>
      </c>
      <c r="H41" s="33"/>
      <c r="I41" s="63">
        <v>19724</v>
      </c>
      <c r="J41" s="65">
        <v>824.4</v>
      </c>
      <c r="K41" s="65">
        <v>0</v>
      </c>
      <c r="L41" s="65">
        <v>0</v>
      </c>
      <c r="M41" s="65">
        <v>0</v>
      </c>
      <c r="N41" s="34"/>
      <c r="O41" s="35"/>
    </row>
    <row r="42" spans="1:15" s="36" customFormat="1" ht="12" x14ac:dyDescent="0.2">
      <c r="A42" s="33"/>
      <c r="B42" s="62">
        <v>20820</v>
      </c>
      <c r="C42" s="64">
        <v>15</v>
      </c>
      <c r="D42" s="64">
        <v>0</v>
      </c>
      <c r="E42" s="64">
        <v>4.7</v>
      </c>
      <c r="F42" s="64">
        <v>34.5</v>
      </c>
      <c r="G42" s="64">
        <v>12.5</v>
      </c>
      <c r="H42" s="33"/>
      <c r="I42" s="62">
        <v>20089</v>
      </c>
      <c r="J42" s="64">
        <v>859.8</v>
      </c>
      <c r="K42" s="64">
        <v>0</v>
      </c>
      <c r="L42" s="64">
        <v>0</v>
      </c>
      <c r="M42" s="64">
        <v>0</v>
      </c>
      <c r="N42" s="34"/>
      <c r="O42" s="35"/>
    </row>
    <row r="43" spans="1:15" s="36" customFormat="1" ht="12" x14ac:dyDescent="0.2">
      <c r="A43" s="33"/>
      <c r="B43" s="63">
        <v>21185</v>
      </c>
      <c r="C43" s="65">
        <v>5.0999999999999996</v>
      </c>
      <c r="D43" s="65">
        <v>0</v>
      </c>
      <c r="E43" s="65">
        <v>3.1</v>
      </c>
      <c r="F43" s="65">
        <v>8.1999999999999993</v>
      </c>
      <c r="G43" s="65">
        <v>4.4000000000000004</v>
      </c>
      <c r="H43" s="33"/>
      <c r="I43" s="63">
        <v>20454</v>
      </c>
      <c r="J43" s="65">
        <v>911.6</v>
      </c>
      <c r="K43" s="65">
        <v>0</v>
      </c>
      <c r="L43" s="65">
        <v>0</v>
      </c>
      <c r="M43" s="65">
        <v>0</v>
      </c>
      <c r="N43" s="34"/>
      <c r="O43" s="35"/>
    </row>
    <row r="44" spans="1:15" s="36" customFormat="1" ht="12" x14ac:dyDescent="0.2">
      <c r="A44" s="33"/>
      <c r="B44" s="62">
        <v>21550</v>
      </c>
      <c r="C44" s="64">
        <v>21.3</v>
      </c>
      <c r="D44" s="64">
        <v>0</v>
      </c>
      <c r="E44" s="64">
        <v>0.4</v>
      </c>
      <c r="F44" s="64">
        <v>53.1</v>
      </c>
      <c r="G44" s="64">
        <v>18</v>
      </c>
      <c r="H44" s="33"/>
      <c r="I44" s="62">
        <v>20820</v>
      </c>
      <c r="J44" s="64">
        <v>1030.7</v>
      </c>
      <c r="K44" s="64">
        <v>0</v>
      </c>
      <c r="L44" s="64">
        <v>0</v>
      </c>
      <c r="M44" s="64">
        <v>0</v>
      </c>
      <c r="N44" s="34"/>
      <c r="O44" s="35"/>
    </row>
    <row r="45" spans="1:15" s="36" customFormat="1" ht="12" x14ac:dyDescent="0.2">
      <c r="A45" s="33"/>
      <c r="B45" s="63">
        <v>21915</v>
      </c>
      <c r="C45" s="65">
        <v>9</v>
      </c>
      <c r="D45" s="65">
        <v>0</v>
      </c>
      <c r="E45" s="65">
        <v>-15.9</v>
      </c>
      <c r="F45" s="65">
        <v>26</v>
      </c>
      <c r="G45" s="65">
        <v>15.5</v>
      </c>
      <c r="H45" s="33"/>
      <c r="I45" s="63">
        <v>21185</v>
      </c>
      <c r="J45" s="65">
        <v>1071.4000000000001</v>
      </c>
      <c r="K45" s="65">
        <v>0</v>
      </c>
      <c r="L45" s="65">
        <v>0</v>
      </c>
      <c r="M45" s="65">
        <v>0</v>
      </c>
      <c r="N45" s="34"/>
      <c r="O45" s="35"/>
    </row>
    <row r="46" spans="1:15" s="36" customFormat="1" ht="12" x14ac:dyDescent="0.2">
      <c r="A46" s="33"/>
      <c r="B46" s="62">
        <v>22281</v>
      </c>
      <c r="C46" s="64">
        <v>0</v>
      </c>
      <c r="D46" s="64">
        <v>0</v>
      </c>
      <c r="E46" s="64">
        <v>-16.399999999999999</v>
      </c>
      <c r="F46" s="64">
        <v>6</v>
      </c>
      <c r="G46" s="64">
        <v>5</v>
      </c>
      <c r="H46" s="33"/>
      <c r="I46" s="62">
        <v>21550</v>
      </c>
      <c r="J46" s="64">
        <v>1312.3</v>
      </c>
      <c r="K46" s="64">
        <v>0</v>
      </c>
      <c r="L46" s="64">
        <v>0</v>
      </c>
      <c r="M46" s="64">
        <v>0</v>
      </c>
      <c r="N46" s="34"/>
      <c r="O46" s="35"/>
    </row>
    <row r="47" spans="1:15" s="36" customFormat="1" ht="12" x14ac:dyDescent="0.2">
      <c r="A47" s="33"/>
      <c r="B47" s="63">
        <v>22646</v>
      </c>
      <c r="C47" s="65">
        <v>-27.3</v>
      </c>
      <c r="D47" s="65">
        <v>0</v>
      </c>
      <c r="E47" s="65">
        <v>1.4</v>
      </c>
      <c r="F47" s="65">
        <v>-41.9</v>
      </c>
      <c r="G47" s="65">
        <v>-25.6</v>
      </c>
      <c r="H47" s="33"/>
      <c r="I47" s="63">
        <v>21915</v>
      </c>
      <c r="J47" s="65">
        <v>1447.5</v>
      </c>
      <c r="K47" s="65">
        <v>0</v>
      </c>
      <c r="L47" s="65">
        <v>0</v>
      </c>
      <c r="M47" s="65">
        <v>0</v>
      </c>
      <c r="N47" s="34"/>
      <c r="O47" s="35"/>
    </row>
    <row r="48" spans="1:15" s="36" customFormat="1" ht="12" x14ac:dyDescent="0.2">
      <c r="A48" s="33"/>
      <c r="B48" s="62">
        <v>23011</v>
      </c>
      <c r="C48" s="64">
        <v>-5.6</v>
      </c>
      <c r="D48" s="64">
        <v>0</v>
      </c>
      <c r="E48" s="64">
        <v>4.5</v>
      </c>
      <c r="F48" s="64">
        <v>-10.6</v>
      </c>
      <c r="G48" s="64">
        <v>-9</v>
      </c>
      <c r="H48" s="33"/>
      <c r="I48" s="62">
        <v>22281</v>
      </c>
      <c r="J48" s="64">
        <v>1470.1</v>
      </c>
      <c r="K48" s="64">
        <v>0</v>
      </c>
      <c r="L48" s="64">
        <v>0</v>
      </c>
      <c r="M48" s="64">
        <v>0</v>
      </c>
      <c r="N48" s="34"/>
      <c r="O48" s="35"/>
    </row>
    <row r="49" spans="1:15" s="36" customFormat="1" ht="12" x14ac:dyDescent="0.2">
      <c r="A49" s="33"/>
      <c r="B49" s="63">
        <v>23376</v>
      </c>
      <c r="C49" s="65">
        <v>10.3</v>
      </c>
      <c r="D49" s="65">
        <v>0</v>
      </c>
      <c r="E49" s="65">
        <v>11.3</v>
      </c>
      <c r="F49" s="65">
        <v>14.5</v>
      </c>
      <c r="G49" s="65">
        <v>4.7</v>
      </c>
      <c r="H49" s="33"/>
      <c r="I49" s="63">
        <v>22646</v>
      </c>
      <c r="J49" s="65">
        <v>1232.3</v>
      </c>
      <c r="K49" s="65">
        <v>0</v>
      </c>
      <c r="L49" s="65">
        <v>0</v>
      </c>
      <c r="M49" s="65">
        <v>0</v>
      </c>
      <c r="N49" s="34"/>
      <c r="O49" s="35"/>
    </row>
    <row r="50" spans="1:15" s="36" customFormat="1" ht="12" x14ac:dyDescent="0.2">
      <c r="A50" s="33"/>
      <c r="B50" s="62">
        <v>23742</v>
      </c>
      <c r="C50" s="64">
        <v>18.2</v>
      </c>
      <c r="D50" s="64">
        <v>0</v>
      </c>
      <c r="E50" s="64">
        <v>12.9</v>
      </c>
      <c r="F50" s="64">
        <v>25.5</v>
      </c>
      <c r="G50" s="64">
        <v>15.4</v>
      </c>
      <c r="H50" s="33"/>
      <c r="I50" s="62">
        <v>23011</v>
      </c>
      <c r="J50" s="64">
        <v>1162.2</v>
      </c>
      <c r="K50" s="64">
        <v>0</v>
      </c>
      <c r="L50" s="64">
        <v>0</v>
      </c>
      <c r="M50" s="64">
        <v>0</v>
      </c>
      <c r="N50" s="34"/>
      <c r="O50" s="35"/>
    </row>
    <row r="51" spans="1:15" s="36" customFormat="1" ht="12" x14ac:dyDescent="0.2">
      <c r="A51" s="33"/>
      <c r="B51" s="63">
        <v>24107</v>
      </c>
      <c r="C51" s="65">
        <v>17</v>
      </c>
      <c r="D51" s="65">
        <v>0</v>
      </c>
      <c r="E51" s="65">
        <v>9.6999999999999993</v>
      </c>
      <c r="F51" s="65">
        <v>24</v>
      </c>
      <c r="G51" s="65">
        <v>15.8</v>
      </c>
      <c r="H51" s="33"/>
      <c r="I51" s="63">
        <v>23376</v>
      </c>
      <c r="J51" s="65">
        <v>1248.3</v>
      </c>
      <c r="K51" s="65">
        <v>0</v>
      </c>
      <c r="L51" s="65">
        <v>0</v>
      </c>
      <c r="M51" s="65">
        <v>0</v>
      </c>
      <c r="N51" s="34"/>
      <c r="O51" s="35"/>
    </row>
    <row r="52" spans="1:15" s="36" customFormat="1" ht="12" x14ac:dyDescent="0.2">
      <c r="A52" s="33"/>
      <c r="B52" s="62">
        <v>24472</v>
      </c>
      <c r="C52" s="64">
        <v>10.7</v>
      </c>
      <c r="D52" s="64">
        <v>0</v>
      </c>
      <c r="E52" s="64">
        <v>7.2</v>
      </c>
      <c r="F52" s="64">
        <v>22.2</v>
      </c>
      <c r="G52" s="64">
        <v>-1.5</v>
      </c>
      <c r="H52" s="33"/>
      <c r="I52" s="62">
        <v>23742</v>
      </c>
      <c r="J52" s="64">
        <v>1469.9</v>
      </c>
      <c r="K52" s="64">
        <v>0</v>
      </c>
      <c r="L52" s="64">
        <v>0</v>
      </c>
      <c r="M52" s="64">
        <v>0</v>
      </c>
      <c r="N52" s="34"/>
      <c r="O52" s="35"/>
    </row>
    <row r="53" spans="1:15" s="36" customFormat="1" ht="12" x14ac:dyDescent="0.2">
      <c r="A53" s="33"/>
      <c r="B53" s="63">
        <v>24837</v>
      </c>
      <c r="C53" s="65">
        <v>-5.7</v>
      </c>
      <c r="D53" s="65">
        <v>0</v>
      </c>
      <c r="E53" s="65">
        <v>1.9</v>
      </c>
      <c r="F53" s="65">
        <v>-14.3</v>
      </c>
      <c r="G53" s="65">
        <v>0.4</v>
      </c>
      <c r="H53" s="33"/>
      <c r="I53" s="63">
        <v>24107</v>
      </c>
      <c r="J53" s="65">
        <v>1734</v>
      </c>
      <c r="K53" s="65">
        <v>0</v>
      </c>
      <c r="L53" s="65">
        <v>0</v>
      </c>
      <c r="M53" s="65">
        <v>0</v>
      </c>
      <c r="N53" s="34"/>
      <c r="O53" s="35"/>
    </row>
    <row r="54" spans="1:15" s="36" customFormat="1" ht="12" x14ac:dyDescent="0.2">
      <c r="A54" s="33"/>
      <c r="B54" s="62">
        <v>25203</v>
      </c>
      <c r="C54" s="64">
        <v>-4.0999999999999996</v>
      </c>
      <c r="D54" s="64">
        <v>0</v>
      </c>
      <c r="E54" s="64">
        <v>-1.6</v>
      </c>
      <c r="F54" s="64">
        <v>-9.1999999999999993</v>
      </c>
      <c r="G54" s="64">
        <v>0.6</v>
      </c>
      <c r="H54" s="33"/>
      <c r="I54" s="62">
        <v>24472</v>
      </c>
      <c r="J54" s="64">
        <v>1888.7</v>
      </c>
      <c r="K54" s="64">
        <v>0</v>
      </c>
      <c r="L54" s="64">
        <v>0</v>
      </c>
      <c r="M54" s="64">
        <v>0</v>
      </c>
      <c r="N54" s="34"/>
      <c r="O54" s="35"/>
    </row>
    <row r="55" spans="1:15" s="36" customFormat="1" ht="12" x14ac:dyDescent="0.2">
      <c r="A55" s="33"/>
      <c r="B55" s="63">
        <v>25568</v>
      </c>
      <c r="C55" s="65">
        <v>16.899999999999999</v>
      </c>
      <c r="D55" s="65">
        <v>0</v>
      </c>
      <c r="E55" s="65">
        <v>0.8</v>
      </c>
      <c r="F55" s="65">
        <v>33</v>
      </c>
      <c r="G55" s="65">
        <v>13.5</v>
      </c>
      <c r="H55" s="33"/>
      <c r="I55" s="63">
        <v>24837</v>
      </c>
      <c r="J55" s="65">
        <v>1794.2</v>
      </c>
      <c r="K55" s="65">
        <v>0</v>
      </c>
      <c r="L55" s="65">
        <v>0</v>
      </c>
      <c r="M55" s="65">
        <v>0</v>
      </c>
      <c r="N55" s="34"/>
      <c r="O55" s="35"/>
    </row>
    <row r="56" spans="1:15" s="36" customFormat="1" ht="12" x14ac:dyDescent="0.2">
      <c r="A56" s="33"/>
      <c r="B56" s="62">
        <v>25933</v>
      </c>
      <c r="C56" s="64">
        <v>19.3</v>
      </c>
      <c r="D56" s="64">
        <v>0</v>
      </c>
      <c r="E56" s="64">
        <v>7.7</v>
      </c>
      <c r="F56" s="64">
        <v>34.6</v>
      </c>
      <c r="G56" s="64">
        <v>7.4</v>
      </c>
      <c r="H56" s="33"/>
      <c r="I56" s="62">
        <v>25203</v>
      </c>
      <c r="J56" s="64">
        <v>1744.1</v>
      </c>
      <c r="K56" s="64">
        <v>0</v>
      </c>
      <c r="L56" s="64">
        <v>0</v>
      </c>
      <c r="M56" s="64">
        <v>0</v>
      </c>
      <c r="N56" s="34"/>
      <c r="O56" s="35"/>
    </row>
    <row r="57" spans="1:15" s="36" customFormat="1" ht="12" x14ac:dyDescent="0.2">
      <c r="A57" s="33"/>
      <c r="B57" s="63">
        <v>26298</v>
      </c>
      <c r="C57" s="65">
        <v>7.1</v>
      </c>
      <c r="D57" s="65">
        <v>0</v>
      </c>
      <c r="E57" s="65">
        <v>1.9</v>
      </c>
      <c r="F57" s="65">
        <v>12.4</v>
      </c>
      <c r="G57" s="65">
        <v>5.8</v>
      </c>
      <c r="H57" s="33"/>
      <c r="I57" s="63">
        <v>25568</v>
      </c>
      <c r="J57" s="65">
        <v>1962.2</v>
      </c>
      <c r="K57" s="65">
        <v>0</v>
      </c>
      <c r="L57" s="65">
        <v>0</v>
      </c>
      <c r="M57" s="65">
        <v>0</v>
      </c>
      <c r="N57" s="34"/>
      <c r="O57" s="35"/>
    </row>
    <row r="58" spans="1:15" s="36" customFormat="1" ht="12" x14ac:dyDescent="0.2">
      <c r="A58" s="33"/>
      <c r="B58" s="62">
        <v>26664</v>
      </c>
      <c r="C58" s="64">
        <v>3.8</v>
      </c>
      <c r="D58" s="64">
        <v>0</v>
      </c>
      <c r="E58" s="64">
        <v>-0.9</v>
      </c>
      <c r="F58" s="64">
        <v>6.7</v>
      </c>
      <c r="G58" s="64">
        <v>5.2</v>
      </c>
      <c r="H58" s="33"/>
      <c r="I58" s="62">
        <v>25933</v>
      </c>
      <c r="J58" s="64">
        <v>2279.6999999999998</v>
      </c>
      <c r="K58" s="64">
        <v>0</v>
      </c>
      <c r="L58" s="64">
        <v>0</v>
      </c>
      <c r="M58" s="64">
        <v>0</v>
      </c>
      <c r="N58" s="34"/>
      <c r="O58" s="35"/>
    </row>
    <row r="59" spans="1:15" s="36" customFormat="1" ht="12" x14ac:dyDescent="0.2">
      <c r="A59" s="33"/>
      <c r="B59" s="63">
        <v>27029</v>
      </c>
      <c r="C59" s="65">
        <v>7.8</v>
      </c>
      <c r="D59" s="65">
        <v>0</v>
      </c>
      <c r="E59" s="65">
        <v>9</v>
      </c>
      <c r="F59" s="65">
        <v>8.3000000000000007</v>
      </c>
      <c r="G59" s="65">
        <v>5.4</v>
      </c>
      <c r="H59" s="33"/>
      <c r="I59" s="63">
        <v>26298</v>
      </c>
      <c r="J59" s="65">
        <v>2456.9</v>
      </c>
      <c r="K59" s="65">
        <v>0</v>
      </c>
      <c r="L59" s="65">
        <v>0</v>
      </c>
      <c r="M59" s="65">
        <v>0</v>
      </c>
      <c r="N59" s="34"/>
      <c r="O59" s="35"/>
    </row>
    <row r="60" spans="1:15" s="36" customFormat="1" ht="12" x14ac:dyDescent="0.2">
      <c r="A60" s="33"/>
      <c r="B60" s="62">
        <v>27394</v>
      </c>
      <c r="C60" s="64">
        <v>2.2999999999999998</v>
      </c>
      <c r="D60" s="64">
        <v>0</v>
      </c>
      <c r="E60" s="64">
        <v>4.0999999999999996</v>
      </c>
      <c r="F60" s="64">
        <v>1.4</v>
      </c>
      <c r="G60" s="64">
        <v>1.7</v>
      </c>
      <c r="H60" s="33"/>
      <c r="I60" s="62">
        <v>26664</v>
      </c>
      <c r="J60" s="64">
        <v>2552.4</v>
      </c>
      <c r="K60" s="64">
        <v>0</v>
      </c>
      <c r="L60" s="64">
        <v>0</v>
      </c>
      <c r="M60" s="64">
        <v>0</v>
      </c>
      <c r="N60" s="34"/>
      <c r="O60" s="35"/>
    </row>
    <row r="61" spans="1:15" s="36" customFormat="1" ht="12" x14ac:dyDescent="0.2">
      <c r="A61" s="33"/>
      <c r="B61" s="63">
        <v>27759</v>
      </c>
      <c r="C61" s="65">
        <v>8.6999999999999993</v>
      </c>
      <c r="D61" s="65">
        <v>0</v>
      </c>
      <c r="E61" s="65">
        <v>2</v>
      </c>
      <c r="F61" s="65">
        <v>15.7</v>
      </c>
      <c r="G61" s="65">
        <v>5.0999999999999996</v>
      </c>
      <c r="H61" s="33"/>
      <c r="I61" s="63">
        <v>27029</v>
      </c>
      <c r="J61" s="65">
        <v>2756.2</v>
      </c>
      <c r="K61" s="65">
        <v>0</v>
      </c>
      <c r="L61" s="65">
        <v>0</v>
      </c>
      <c r="M61" s="65">
        <v>0</v>
      </c>
      <c r="N61" s="34"/>
      <c r="O61" s="35"/>
    </row>
    <row r="62" spans="1:15" s="36" customFormat="1" ht="12" x14ac:dyDescent="0.2">
      <c r="A62" s="33"/>
      <c r="B62" s="62">
        <v>28125</v>
      </c>
      <c r="C62" s="64">
        <v>-1.6</v>
      </c>
      <c r="D62" s="64">
        <v>0</v>
      </c>
      <c r="E62" s="64">
        <v>-1.8</v>
      </c>
      <c r="F62" s="64">
        <v>-2.4</v>
      </c>
      <c r="G62" s="64">
        <v>0.4</v>
      </c>
      <c r="H62" s="33"/>
      <c r="I62" s="62">
        <v>27394</v>
      </c>
      <c r="J62" s="64">
        <v>2827.7</v>
      </c>
      <c r="K62" s="64">
        <v>0</v>
      </c>
      <c r="L62" s="64">
        <v>0</v>
      </c>
      <c r="M62" s="64">
        <v>0</v>
      </c>
      <c r="N62" s="34"/>
      <c r="O62" s="35"/>
    </row>
    <row r="63" spans="1:15" s="36" customFormat="1" ht="12" x14ac:dyDescent="0.2">
      <c r="A63" s="33"/>
      <c r="B63" s="63">
        <v>28490</v>
      </c>
      <c r="C63" s="65">
        <v>7.6</v>
      </c>
      <c r="D63" s="65">
        <v>0</v>
      </c>
      <c r="E63" s="65">
        <v>-2.2000000000000002</v>
      </c>
      <c r="F63" s="65">
        <v>13.2</v>
      </c>
      <c r="G63" s="65">
        <v>9.3000000000000007</v>
      </c>
      <c r="H63" s="33"/>
      <c r="I63" s="63">
        <v>27759</v>
      </c>
      <c r="J63" s="65">
        <v>3039.5</v>
      </c>
      <c r="K63" s="65">
        <v>0</v>
      </c>
      <c r="L63" s="65">
        <v>0</v>
      </c>
      <c r="M63" s="65">
        <v>0</v>
      </c>
      <c r="N63" s="34"/>
      <c r="O63" s="35"/>
    </row>
    <row r="64" spans="1:15" s="36" customFormat="1" ht="12" x14ac:dyDescent="0.2">
      <c r="A64" s="33"/>
      <c r="B64" s="62">
        <v>28855</v>
      </c>
      <c r="C64" s="64">
        <v>11.66559</v>
      </c>
      <c r="D64" s="64">
        <v>0</v>
      </c>
      <c r="E64" s="64">
        <v>4.1434249999999997</v>
      </c>
      <c r="F64" s="64">
        <v>15.023496</v>
      </c>
      <c r="G64" s="64">
        <v>13.602321</v>
      </c>
      <c r="H64" s="33"/>
      <c r="I64" s="62">
        <v>28125</v>
      </c>
      <c r="J64" s="64">
        <v>2988.6</v>
      </c>
      <c r="K64" s="64">
        <v>0</v>
      </c>
      <c r="L64" s="64">
        <v>0</v>
      </c>
      <c r="M64" s="64">
        <v>0</v>
      </c>
      <c r="N64" s="34"/>
      <c r="O64" s="35"/>
    </row>
    <row r="65" spans="1:15" s="36" customFormat="1" ht="12" x14ac:dyDescent="0.2">
      <c r="A65" s="33"/>
      <c r="B65" s="63">
        <v>29220</v>
      </c>
      <c r="C65" s="65">
        <v>7.5913250000000003</v>
      </c>
      <c r="D65" s="65">
        <v>0</v>
      </c>
      <c r="E65" s="65">
        <v>6.1344310000000002</v>
      </c>
      <c r="F65" s="65">
        <v>8.2247000000000003</v>
      </c>
      <c r="G65" s="65">
        <v>7.84619</v>
      </c>
      <c r="H65" s="33"/>
      <c r="I65" s="63">
        <v>28490</v>
      </c>
      <c r="J65" s="65">
        <v>3250</v>
      </c>
      <c r="K65" s="65">
        <v>0</v>
      </c>
      <c r="L65" s="65">
        <v>0</v>
      </c>
      <c r="M65" s="65">
        <v>0</v>
      </c>
      <c r="N65" s="34"/>
      <c r="O65" s="35"/>
    </row>
    <row r="66" spans="1:15" s="36" customFormat="1" ht="12" x14ac:dyDescent="0.2">
      <c r="A66" s="33"/>
      <c r="B66" s="62">
        <v>29586</v>
      </c>
      <c r="C66" s="64">
        <v>7.8341450000000004</v>
      </c>
      <c r="D66" s="64">
        <v>0</v>
      </c>
      <c r="E66" s="64">
        <v>-1.48247</v>
      </c>
      <c r="F66" s="64">
        <v>13.489606999999999</v>
      </c>
      <c r="G66" s="64">
        <v>6.0618109999999996</v>
      </c>
      <c r="H66" s="33"/>
      <c r="I66" s="62">
        <v>28855</v>
      </c>
      <c r="J66" s="64">
        <v>3678.7025199999998</v>
      </c>
      <c r="K66" s="64">
        <v>0</v>
      </c>
      <c r="L66" s="64">
        <v>0</v>
      </c>
      <c r="M66" s="64">
        <v>0</v>
      </c>
      <c r="N66" s="34"/>
      <c r="O66" s="35"/>
    </row>
    <row r="67" spans="1:15" s="36" customFormat="1" ht="12" x14ac:dyDescent="0.2">
      <c r="A67" s="33"/>
      <c r="B67" s="63">
        <v>29951</v>
      </c>
      <c r="C67" s="65">
        <v>5.1127609999999999</v>
      </c>
      <c r="D67" s="65">
        <v>0</v>
      </c>
      <c r="E67" s="65">
        <v>6.9825340000000002</v>
      </c>
      <c r="F67" s="65">
        <v>1.883294</v>
      </c>
      <c r="G67" s="65">
        <v>9.5860570000000003</v>
      </c>
      <c r="H67" s="33"/>
      <c r="I67" s="63">
        <v>29220</v>
      </c>
      <c r="J67" s="65">
        <v>4100.4536719999996</v>
      </c>
      <c r="K67" s="65">
        <v>0</v>
      </c>
      <c r="L67" s="65">
        <v>0</v>
      </c>
      <c r="M67" s="65">
        <v>0</v>
      </c>
      <c r="N67" s="34"/>
      <c r="O67" s="35"/>
    </row>
    <row r="68" spans="1:15" s="36" customFormat="1" ht="12" x14ac:dyDescent="0.2">
      <c r="A68" s="33"/>
      <c r="B68" s="62">
        <v>30316</v>
      </c>
      <c r="C68" s="64">
        <v>9.0171139999999994</v>
      </c>
      <c r="D68" s="64">
        <v>0</v>
      </c>
      <c r="E68" s="64">
        <v>11.528824</v>
      </c>
      <c r="F68" s="64">
        <v>5.5754650000000003</v>
      </c>
      <c r="G68" s="64">
        <v>12.652896999999999</v>
      </c>
      <c r="H68" s="33"/>
      <c r="I68" s="62">
        <v>29586</v>
      </c>
      <c r="J68" s="64">
        <v>4587.5810780000002</v>
      </c>
      <c r="K68" s="64">
        <v>0</v>
      </c>
      <c r="L68" s="64">
        <v>0</v>
      </c>
      <c r="M68" s="64">
        <v>0</v>
      </c>
      <c r="N68" s="34"/>
      <c r="O68" s="35"/>
    </row>
    <row r="69" spans="1:15" s="36" customFormat="1" ht="12" x14ac:dyDescent="0.2">
      <c r="A69" s="33"/>
      <c r="B69" s="63">
        <v>30681</v>
      </c>
      <c r="C69" s="65">
        <v>10.770203</v>
      </c>
      <c r="D69" s="65">
        <v>0</v>
      </c>
      <c r="E69" s="65">
        <v>8.3258930000000007</v>
      </c>
      <c r="F69" s="65">
        <v>10.383894</v>
      </c>
      <c r="G69" s="65">
        <v>14.633497</v>
      </c>
      <c r="H69" s="33"/>
      <c r="I69" s="63">
        <v>29951</v>
      </c>
      <c r="J69" s="65">
        <v>4935.8328369999999</v>
      </c>
      <c r="K69" s="65">
        <v>0</v>
      </c>
      <c r="L69" s="65">
        <v>0</v>
      </c>
      <c r="M69" s="65">
        <v>0</v>
      </c>
      <c r="N69" s="34"/>
      <c r="O69" s="35"/>
    </row>
    <row r="70" spans="1:15" s="36" customFormat="1" ht="12" x14ac:dyDescent="0.2">
      <c r="A70" s="33"/>
      <c r="B70" s="62">
        <v>31047</v>
      </c>
      <c r="C70" s="64">
        <v>15.19154</v>
      </c>
      <c r="D70" s="64">
        <v>0</v>
      </c>
      <c r="E70" s="64">
        <v>12.880613</v>
      </c>
      <c r="F70" s="64">
        <v>14.423463999999999</v>
      </c>
      <c r="G70" s="64">
        <v>19.383465000000001</v>
      </c>
      <c r="H70" s="33"/>
      <c r="I70" s="62">
        <v>30316</v>
      </c>
      <c r="J70" s="64">
        <v>5373.350136</v>
      </c>
      <c r="K70" s="64">
        <v>0</v>
      </c>
      <c r="L70" s="64">
        <v>0</v>
      </c>
      <c r="M70" s="64">
        <v>0</v>
      </c>
      <c r="N70" s="34"/>
      <c r="O70" s="35"/>
    </row>
    <row r="71" spans="1:15" s="36" customFormat="1" ht="12" x14ac:dyDescent="0.2">
      <c r="A71" s="33"/>
      <c r="B71" s="63">
        <v>31412</v>
      </c>
      <c r="C71" s="65">
        <v>13.430678</v>
      </c>
      <c r="D71" s="65">
        <v>0</v>
      </c>
      <c r="E71" s="65">
        <v>1.843879</v>
      </c>
      <c r="F71" s="65">
        <v>18.400176999999999</v>
      </c>
      <c r="G71" s="65">
        <v>18.113689999999998</v>
      </c>
      <c r="H71" s="33"/>
      <c r="I71" s="63">
        <v>30681</v>
      </c>
      <c r="J71" s="65">
        <v>6020.9241009999996</v>
      </c>
      <c r="K71" s="65">
        <v>0</v>
      </c>
      <c r="L71" s="65">
        <v>0</v>
      </c>
      <c r="M71" s="65">
        <v>0</v>
      </c>
      <c r="N71" s="34"/>
      <c r="O71" s="35"/>
    </row>
    <row r="72" spans="1:15" s="36" customFormat="1" ht="12" x14ac:dyDescent="0.2">
      <c r="A72" s="33"/>
      <c r="B72" s="62">
        <v>31777</v>
      </c>
      <c r="C72" s="64">
        <v>8.9499619999999993</v>
      </c>
      <c r="D72" s="64">
        <v>0</v>
      </c>
      <c r="E72" s="64">
        <v>3.3186870000000002</v>
      </c>
      <c r="F72" s="64">
        <v>10.218213</v>
      </c>
      <c r="G72" s="64">
        <v>12.317691</v>
      </c>
      <c r="H72" s="33"/>
      <c r="I72" s="62">
        <v>31047</v>
      </c>
      <c r="J72" s="64">
        <v>7278.5023069999997</v>
      </c>
      <c r="K72" s="64">
        <v>0</v>
      </c>
      <c r="L72" s="64">
        <v>0</v>
      </c>
      <c r="M72" s="64">
        <v>0</v>
      </c>
      <c r="N72" s="34"/>
      <c r="O72" s="35"/>
    </row>
    <row r="73" spans="1:15" s="36" customFormat="1" ht="12" x14ac:dyDescent="0.2">
      <c r="A73" s="33"/>
      <c r="B73" s="63">
        <v>32142</v>
      </c>
      <c r="C73" s="65">
        <v>11.657427999999999</v>
      </c>
      <c r="D73" s="65">
        <v>0</v>
      </c>
      <c r="E73" s="65">
        <v>4.7041849999999998</v>
      </c>
      <c r="F73" s="65">
        <v>13.595371</v>
      </c>
      <c r="G73" s="65">
        <v>14.681682</v>
      </c>
      <c r="H73" s="33"/>
      <c r="I73" s="63">
        <v>31412</v>
      </c>
      <c r="J73" s="65">
        <v>9098.9480270000004</v>
      </c>
      <c r="K73" s="65">
        <v>0</v>
      </c>
      <c r="L73" s="65">
        <v>0</v>
      </c>
      <c r="M73" s="65">
        <v>0</v>
      </c>
      <c r="N73" s="34"/>
      <c r="O73" s="35"/>
    </row>
    <row r="74" spans="1:15" s="36" customFormat="1" ht="12" x14ac:dyDescent="0.2">
      <c r="A74" s="33"/>
      <c r="B74" s="62">
        <v>32508</v>
      </c>
      <c r="C74" s="64">
        <v>11.222595</v>
      </c>
      <c r="D74" s="64">
        <v>0</v>
      </c>
      <c r="E74" s="64">
        <v>2.543933</v>
      </c>
      <c r="F74" s="64">
        <v>14.339172</v>
      </c>
      <c r="G74" s="64">
        <v>13.171604</v>
      </c>
      <c r="H74" s="33"/>
      <c r="I74" s="62">
        <v>31777</v>
      </c>
      <c r="J74" s="64">
        <v>10376.154454</v>
      </c>
      <c r="K74" s="64">
        <v>0</v>
      </c>
      <c r="L74" s="64">
        <v>0</v>
      </c>
      <c r="M74" s="64">
        <v>0</v>
      </c>
      <c r="N74" s="34"/>
      <c r="O74" s="35"/>
    </row>
    <row r="75" spans="1:15" s="36" customFormat="1" ht="12" x14ac:dyDescent="0.2">
      <c r="A75" s="33"/>
      <c r="B75" s="63">
        <v>32873</v>
      </c>
      <c r="C75" s="65">
        <v>4.206334</v>
      </c>
      <c r="D75" s="65">
        <v>0</v>
      </c>
      <c r="E75" s="65">
        <v>3.0750000000000002</v>
      </c>
      <c r="F75" s="65">
        <v>3.7488359999999998</v>
      </c>
      <c r="G75" s="65">
        <v>5.8380890000000001</v>
      </c>
      <c r="H75" s="33"/>
      <c r="I75" s="63">
        <v>32142</v>
      </c>
      <c r="J75" s="65">
        <v>12174.594674</v>
      </c>
      <c r="K75" s="65">
        <v>0</v>
      </c>
      <c r="L75" s="65">
        <v>0</v>
      </c>
      <c r="M75" s="65">
        <v>0</v>
      </c>
      <c r="N75" s="34"/>
      <c r="O75" s="35"/>
    </row>
    <row r="76" spans="1:15" s="36" customFormat="1" ht="12" x14ac:dyDescent="0.2">
      <c r="A76" s="33"/>
      <c r="B76" s="62">
        <v>33238</v>
      </c>
      <c r="C76" s="64">
        <v>3.9202509999999999</v>
      </c>
      <c r="D76" s="64">
        <v>0</v>
      </c>
      <c r="E76" s="64">
        <v>7.3277320000000001</v>
      </c>
      <c r="F76" s="64">
        <v>3.1746690000000002</v>
      </c>
      <c r="G76" s="64">
        <v>2.6687349999999999</v>
      </c>
      <c r="H76" s="33"/>
      <c r="I76" s="62">
        <v>32508</v>
      </c>
      <c r="J76" s="64">
        <v>15180.386477</v>
      </c>
      <c r="K76" s="64">
        <v>0</v>
      </c>
      <c r="L76" s="64">
        <v>0</v>
      </c>
      <c r="M76" s="64">
        <v>0</v>
      </c>
      <c r="N76" s="34"/>
      <c r="O76" s="35"/>
    </row>
    <row r="77" spans="1:15" s="36" customFormat="1" ht="12" x14ac:dyDescent="0.2">
      <c r="A77" s="33"/>
      <c r="B77" s="63">
        <v>33603</v>
      </c>
      <c r="C77" s="65">
        <v>9.2627860000000002</v>
      </c>
      <c r="D77" s="65">
        <v>0</v>
      </c>
      <c r="E77" s="65">
        <v>2.3535300000000001</v>
      </c>
      <c r="F77" s="65">
        <v>13.78537</v>
      </c>
      <c r="G77" s="65">
        <v>9.2042040000000007</v>
      </c>
      <c r="H77" s="33"/>
      <c r="I77" s="63">
        <v>32873</v>
      </c>
      <c r="J77" s="65">
        <v>17179.741735</v>
      </c>
      <c r="K77" s="65">
        <v>0</v>
      </c>
      <c r="L77" s="65">
        <v>0</v>
      </c>
      <c r="M77" s="65">
        <v>0</v>
      </c>
      <c r="N77" s="34"/>
      <c r="O77" s="35"/>
    </row>
    <row r="78" spans="1:15" s="36" customFormat="1" ht="12" x14ac:dyDescent="0.2">
      <c r="A78" s="33"/>
      <c r="B78" s="62">
        <v>33694</v>
      </c>
      <c r="C78" s="64">
        <v>13.6</v>
      </c>
      <c r="D78" s="64">
        <v>13.6</v>
      </c>
      <c r="E78" s="64">
        <v>8.8000000000000007</v>
      </c>
      <c r="F78" s="64">
        <v>18.3</v>
      </c>
      <c r="G78" s="64">
        <v>9.6999999999999993</v>
      </c>
      <c r="H78" s="33"/>
      <c r="I78" s="62">
        <v>32963</v>
      </c>
      <c r="J78" s="64">
        <v>0</v>
      </c>
      <c r="K78" s="64">
        <v>513.9</v>
      </c>
      <c r="L78" s="64">
        <v>497.17</v>
      </c>
      <c r="M78" s="64">
        <v>16.73</v>
      </c>
      <c r="N78" s="34"/>
      <c r="O78" s="35"/>
    </row>
    <row r="79" spans="1:15" s="36" customFormat="1" ht="12" x14ac:dyDescent="0.2">
      <c r="A79" s="33"/>
      <c r="B79" s="63">
        <v>33785</v>
      </c>
      <c r="C79" s="65">
        <v>13.8</v>
      </c>
      <c r="D79" s="65">
        <v>14.1</v>
      </c>
      <c r="E79" s="65">
        <v>7</v>
      </c>
      <c r="F79" s="65">
        <v>19.3</v>
      </c>
      <c r="G79" s="65">
        <v>10.8</v>
      </c>
      <c r="H79" s="33"/>
      <c r="I79" s="63">
        <v>33054</v>
      </c>
      <c r="J79" s="65">
        <v>0</v>
      </c>
      <c r="K79" s="65">
        <v>1219.4000000000001</v>
      </c>
      <c r="L79" s="65">
        <v>1230.3800000000001</v>
      </c>
      <c r="M79" s="65">
        <v>-10.98</v>
      </c>
      <c r="N79" s="34"/>
      <c r="O79" s="35"/>
    </row>
    <row r="80" spans="1:15" s="36" customFormat="1" ht="12" x14ac:dyDescent="0.2">
      <c r="A80" s="33"/>
      <c r="B80" s="62">
        <v>33877</v>
      </c>
      <c r="C80" s="64">
        <v>14.1</v>
      </c>
      <c r="D80" s="64">
        <v>14.6</v>
      </c>
      <c r="E80" s="64">
        <v>5.3</v>
      </c>
      <c r="F80" s="64">
        <v>20</v>
      </c>
      <c r="G80" s="64">
        <v>12.4</v>
      </c>
      <c r="H80" s="33"/>
      <c r="I80" s="62">
        <v>33146</v>
      </c>
      <c r="J80" s="64">
        <v>0</v>
      </c>
      <c r="K80" s="64">
        <v>2062.5700000000002</v>
      </c>
      <c r="L80" s="64">
        <v>2096.77</v>
      </c>
      <c r="M80" s="64">
        <v>-34.200000000000003</v>
      </c>
      <c r="N80" s="34"/>
      <c r="O80" s="35"/>
    </row>
    <row r="81" spans="1:15" s="36" customFormat="1" ht="12" x14ac:dyDescent="0.2">
      <c r="A81" s="33"/>
      <c r="B81" s="63">
        <v>33969</v>
      </c>
      <c r="C81" s="65">
        <v>14.22453</v>
      </c>
      <c r="D81" s="65">
        <v>14.6</v>
      </c>
      <c r="E81" s="65">
        <v>4.6510030000000002</v>
      </c>
      <c r="F81" s="65">
        <v>21.034046</v>
      </c>
      <c r="G81" s="65">
        <v>12.600329</v>
      </c>
      <c r="H81" s="33"/>
      <c r="I81" s="63">
        <v>33238</v>
      </c>
      <c r="J81" s="65">
        <v>18872.868826999998</v>
      </c>
      <c r="K81" s="65">
        <v>2622.01</v>
      </c>
      <c r="L81" s="65">
        <v>3088.59</v>
      </c>
      <c r="M81" s="65">
        <v>-466.58</v>
      </c>
      <c r="N81" s="34"/>
      <c r="O81" s="35"/>
    </row>
    <row r="82" spans="1:15" s="36" customFormat="1" ht="12" x14ac:dyDescent="0.2">
      <c r="A82" s="33"/>
      <c r="B82" s="62">
        <v>34059</v>
      </c>
      <c r="C82" s="64">
        <v>15.3</v>
      </c>
      <c r="D82" s="64">
        <v>15.3</v>
      </c>
      <c r="E82" s="64">
        <v>5</v>
      </c>
      <c r="F82" s="64">
        <v>20.9</v>
      </c>
      <c r="G82" s="64">
        <v>11.9</v>
      </c>
      <c r="H82" s="33"/>
      <c r="I82" s="62">
        <v>33328</v>
      </c>
      <c r="J82" s="64">
        <v>0</v>
      </c>
      <c r="K82" s="64">
        <v>585.80999999999995</v>
      </c>
      <c r="L82" s="64">
        <v>516.16999999999996</v>
      </c>
      <c r="M82" s="64">
        <v>69.64</v>
      </c>
      <c r="N82" s="34"/>
      <c r="O82" s="35"/>
    </row>
    <row r="83" spans="1:15" s="36" customFormat="1" ht="12" x14ac:dyDescent="0.2">
      <c r="A83" s="33"/>
      <c r="B83" s="63">
        <v>34150</v>
      </c>
      <c r="C83" s="65">
        <v>14.3</v>
      </c>
      <c r="D83" s="65">
        <v>13.5</v>
      </c>
      <c r="E83" s="65">
        <v>4.4000000000000004</v>
      </c>
      <c r="F83" s="65">
        <v>20.399999999999999</v>
      </c>
      <c r="G83" s="65">
        <v>11.2</v>
      </c>
      <c r="H83" s="33"/>
      <c r="I83" s="63">
        <v>33419</v>
      </c>
      <c r="J83" s="65">
        <v>0</v>
      </c>
      <c r="K83" s="65">
        <v>1317.27</v>
      </c>
      <c r="L83" s="65">
        <v>1287.44</v>
      </c>
      <c r="M83" s="65">
        <v>29.83</v>
      </c>
      <c r="N83" s="34"/>
      <c r="O83" s="35"/>
    </row>
    <row r="84" spans="1:15" s="36" customFormat="1" ht="12" x14ac:dyDescent="0.2">
      <c r="A84" s="33"/>
      <c r="B84" s="62">
        <v>34242</v>
      </c>
      <c r="C84" s="64">
        <v>13.8</v>
      </c>
      <c r="D84" s="64">
        <v>12.9</v>
      </c>
      <c r="E84" s="64">
        <v>4.3</v>
      </c>
      <c r="F84" s="64">
        <v>19.7</v>
      </c>
      <c r="G84" s="64">
        <v>11.4</v>
      </c>
      <c r="H84" s="33"/>
      <c r="I84" s="62">
        <v>33511</v>
      </c>
      <c r="J84" s="64">
        <v>0</v>
      </c>
      <c r="K84" s="64">
        <v>2190.9899999999998</v>
      </c>
      <c r="L84" s="64">
        <v>2249.3000000000002</v>
      </c>
      <c r="M84" s="64">
        <v>-58.31</v>
      </c>
      <c r="N84" s="34"/>
      <c r="O84" s="35"/>
    </row>
    <row r="85" spans="1:15" s="36" customFormat="1" ht="12" x14ac:dyDescent="0.2">
      <c r="A85" s="33"/>
      <c r="B85" s="63">
        <v>34334</v>
      </c>
      <c r="C85" s="65">
        <v>13.883729000000001</v>
      </c>
      <c r="D85" s="65">
        <v>14.1</v>
      </c>
      <c r="E85" s="65">
        <v>4.6491790000000002</v>
      </c>
      <c r="F85" s="65">
        <v>19.744620000000001</v>
      </c>
      <c r="G85" s="65">
        <v>12.169955</v>
      </c>
      <c r="H85" s="33"/>
      <c r="I85" s="63">
        <v>33603</v>
      </c>
      <c r="J85" s="65">
        <v>22005.628457999999</v>
      </c>
      <c r="K85" s="65">
        <v>2896.54</v>
      </c>
      <c r="L85" s="65">
        <v>3386.61</v>
      </c>
      <c r="M85" s="65">
        <v>-490.07</v>
      </c>
      <c r="N85" s="34"/>
      <c r="O85" s="35"/>
    </row>
    <row r="86" spans="1:15" s="36" customFormat="1" ht="12" x14ac:dyDescent="0.2">
      <c r="A86" s="33"/>
      <c r="B86" s="62">
        <v>34424</v>
      </c>
      <c r="C86" s="64">
        <v>14.1</v>
      </c>
      <c r="D86" s="64">
        <v>14.1</v>
      </c>
      <c r="E86" s="64">
        <v>5.0999999999999996</v>
      </c>
      <c r="F86" s="64">
        <v>18.100000000000001</v>
      </c>
      <c r="G86" s="64">
        <v>11.7</v>
      </c>
      <c r="H86" s="33"/>
      <c r="I86" s="62">
        <v>33694</v>
      </c>
      <c r="J86" s="64">
        <v>5262.8</v>
      </c>
      <c r="K86" s="64">
        <v>681.99</v>
      </c>
      <c r="L86" s="64">
        <v>568.45000000000005</v>
      </c>
      <c r="M86" s="64">
        <v>113.54</v>
      </c>
      <c r="N86" s="34"/>
      <c r="O86" s="35"/>
    </row>
    <row r="87" spans="1:15" s="36" customFormat="1" ht="12" x14ac:dyDescent="0.2">
      <c r="A87" s="33"/>
      <c r="B87" s="63">
        <v>34515</v>
      </c>
      <c r="C87" s="65">
        <v>13.7</v>
      </c>
      <c r="D87" s="65">
        <v>13.3</v>
      </c>
      <c r="E87" s="65">
        <v>4.4000000000000004</v>
      </c>
      <c r="F87" s="65">
        <v>18.399999999999999</v>
      </c>
      <c r="G87" s="65">
        <v>11.3</v>
      </c>
      <c r="H87" s="33"/>
      <c r="I87" s="63">
        <v>33785</v>
      </c>
      <c r="J87" s="65">
        <v>11747.1</v>
      </c>
      <c r="K87" s="65">
        <v>1622.58</v>
      </c>
      <c r="L87" s="65">
        <v>1439.25</v>
      </c>
      <c r="M87" s="65">
        <v>183.33</v>
      </c>
      <c r="N87" s="34"/>
      <c r="O87" s="35"/>
    </row>
    <row r="88" spans="1:15" s="36" customFormat="1" ht="12" x14ac:dyDescent="0.2">
      <c r="A88" s="33"/>
      <c r="B88" s="62">
        <v>34607</v>
      </c>
      <c r="C88" s="64">
        <v>13.5</v>
      </c>
      <c r="D88" s="64">
        <v>13.1</v>
      </c>
      <c r="E88" s="64">
        <v>4.0999999999999996</v>
      </c>
      <c r="F88" s="64">
        <v>18.399999999999999</v>
      </c>
      <c r="G88" s="64">
        <v>11.4</v>
      </c>
      <c r="H88" s="33"/>
      <c r="I88" s="62">
        <v>33877</v>
      </c>
      <c r="J88" s="64">
        <v>18939.8</v>
      </c>
      <c r="K88" s="64">
        <v>2668.49</v>
      </c>
      <c r="L88" s="64">
        <v>2618.86</v>
      </c>
      <c r="M88" s="64">
        <v>49.63</v>
      </c>
      <c r="N88" s="34"/>
      <c r="O88" s="35"/>
    </row>
    <row r="89" spans="1:15" s="36" customFormat="1" ht="12" x14ac:dyDescent="0.2">
      <c r="A89" s="33"/>
      <c r="B89" s="63">
        <v>34699</v>
      </c>
      <c r="C89" s="65">
        <v>13.036807</v>
      </c>
      <c r="D89" s="65">
        <v>12</v>
      </c>
      <c r="E89" s="65">
        <v>3.9455460000000002</v>
      </c>
      <c r="F89" s="65">
        <v>18.141663999999999</v>
      </c>
      <c r="G89" s="65">
        <v>11.36838</v>
      </c>
      <c r="H89" s="33"/>
      <c r="I89" s="63">
        <v>33969</v>
      </c>
      <c r="J89" s="65">
        <v>27194.530900000002</v>
      </c>
      <c r="K89" s="65">
        <v>3280.4</v>
      </c>
      <c r="L89" s="65">
        <v>3742.2</v>
      </c>
      <c r="M89" s="65">
        <v>-461.8</v>
      </c>
      <c r="N89" s="34"/>
      <c r="O89" s="35"/>
    </row>
    <row r="90" spans="1:15" s="36" customFormat="1" ht="12" x14ac:dyDescent="0.2">
      <c r="A90" s="33"/>
      <c r="B90" s="62">
        <v>34789</v>
      </c>
      <c r="C90" s="64">
        <v>11.9</v>
      </c>
      <c r="D90" s="64">
        <v>11.9</v>
      </c>
      <c r="E90" s="64">
        <v>5.4</v>
      </c>
      <c r="F90" s="64">
        <v>14.3</v>
      </c>
      <c r="G90" s="64">
        <v>10.5</v>
      </c>
      <c r="H90" s="33"/>
      <c r="I90" s="62">
        <v>34059</v>
      </c>
      <c r="J90" s="64">
        <v>6834.6</v>
      </c>
      <c r="K90" s="64">
        <v>731.27</v>
      </c>
      <c r="L90" s="64">
        <v>691.31</v>
      </c>
      <c r="M90" s="64">
        <v>39.96</v>
      </c>
      <c r="N90" s="34"/>
      <c r="O90" s="35"/>
    </row>
    <row r="91" spans="1:15" s="36" customFormat="1" ht="12" x14ac:dyDescent="0.2">
      <c r="A91" s="33"/>
      <c r="B91" s="63">
        <v>34880</v>
      </c>
      <c r="C91" s="65">
        <v>11.4</v>
      </c>
      <c r="D91" s="65">
        <v>11</v>
      </c>
      <c r="E91" s="65">
        <v>5.6</v>
      </c>
      <c r="F91" s="65">
        <v>14.2</v>
      </c>
      <c r="G91" s="65">
        <v>9.6999999999999993</v>
      </c>
      <c r="H91" s="33"/>
      <c r="I91" s="63">
        <v>34150</v>
      </c>
      <c r="J91" s="65">
        <v>15191.6</v>
      </c>
      <c r="K91" s="65">
        <v>1238.32</v>
      </c>
      <c r="L91" s="65">
        <v>1618.97</v>
      </c>
      <c r="M91" s="65">
        <v>-380.65</v>
      </c>
      <c r="N91" s="34"/>
      <c r="O91" s="35"/>
    </row>
    <row r="92" spans="1:15" s="36" customFormat="1" ht="12" x14ac:dyDescent="0.2">
      <c r="A92" s="33"/>
      <c r="B92" s="62">
        <v>34972</v>
      </c>
      <c r="C92" s="64">
        <v>11</v>
      </c>
      <c r="D92" s="64">
        <v>10.4</v>
      </c>
      <c r="E92" s="64">
        <v>5.2</v>
      </c>
      <c r="F92" s="64">
        <v>13.9</v>
      </c>
      <c r="G92" s="64">
        <v>9.6</v>
      </c>
      <c r="H92" s="33"/>
      <c r="I92" s="62">
        <v>34242</v>
      </c>
      <c r="J92" s="64">
        <v>24577.4</v>
      </c>
      <c r="K92" s="64">
        <v>1992.94</v>
      </c>
      <c r="L92" s="64">
        <v>2813.47</v>
      </c>
      <c r="M92" s="64">
        <v>-820.53</v>
      </c>
      <c r="N92" s="34"/>
      <c r="O92" s="35"/>
    </row>
    <row r="93" spans="1:15" s="36" customFormat="1" ht="12" x14ac:dyDescent="0.2">
      <c r="A93" s="33"/>
      <c r="B93" s="63">
        <v>35064</v>
      </c>
      <c r="C93" s="65">
        <v>10.953954</v>
      </c>
      <c r="D93" s="65">
        <v>10.8</v>
      </c>
      <c r="E93" s="65">
        <v>4.9426430000000003</v>
      </c>
      <c r="F93" s="65">
        <v>13.82516</v>
      </c>
      <c r="G93" s="65">
        <v>10.082792</v>
      </c>
      <c r="H93" s="33"/>
      <c r="I93" s="63">
        <v>34334</v>
      </c>
      <c r="J93" s="65">
        <v>35673.230358000001</v>
      </c>
      <c r="K93" s="65">
        <v>3881.95</v>
      </c>
      <c r="L93" s="65">
        <v>4642.3</v>
      </c>
      <c r="M93" s="65">
        <v>-760.35</v>
      </c>
      <c r="N93" s="34"/>
      <c r="O93" s="35"/>
    </row>
    <row r="94" spans="1:15" s="36" customFormat="1" ht="12" x14ac:dyDescent="0.2">
      <c r="A94" s="33"/>
      <c r="B94" s="62">
        <v>35155</v>
      </c>
      <c r="C94" s="64">
        <v>10.9</v>
      </c>
      <c r="D94" s="64">
        <v>10.9</v>
      </c>
      <c r="E94" s="64">
        <v>5.2</v>
      </c>
      <c r="F94" s="64">
        <v>12.9</v>
      </c>
      <c r="G94" s="64">
        <v>9.6</v>
      </c>
      <c r="H94" s="33"/>
      <c r="I94" s="62">
        <v>34424</v>
      </c>
      <c r="J94" s="64">
        <v>9375.1</v>
      </c>
      <c r="K94" s="64">
        <v>887.96</v>
      </c>
      <c r="L94" s="64">
        <v>810.31</v>
      </c>
      <c r="M94" s="64">
        <v>77.650000000000006</v>
      </c>
      <c r="N94" s="34"/>
      <c r="O94" s="35"/>
    </row>
    <row r="95" spans="1:15" s="36" customFormat="1" ht="12" x14ac:dyDescent="0.2">
      <c r="A95" s="33"/>
      <c r="B95" s="63">
        <v>35246</v>
      </c>
      <c r="C95" s="65">
        <v>10.1</v>
      </c>
      <c r="D95" s="65">
        <v>9.4</v>
      </c>
      <c r="E95" s="65">
        <v>4.9000000000000004</v>
      </c>
      <c r="F95" s="65">
        <v>11.8</v>
      </c>
      <c r="G95" s="65">
        <v>9.5</v>
      </c>
      <c r="H95" s="33"/>
      <c r="I95" s="63">
        <v>34515</v>
      </c>
      <c r="J95" s="65">
        <v>20856.099999999999</v>
      </c>
      <c r="K95" s="65">
        <v>1979.43</v>
      </c>
      <c r="L95" s="65">
        <v>1973.29</v>
      </c>
      <c r="M95" s="65">
        <v>6.14</v>
      </c>
      <c r="N95" s="34"/>
      <c r="O95" s="35"/>
    </row>
    <row r="96" spans="1:15" s="36" customFormat="1" ht="12" x14ac:dyDescent="0.2">
      <c r="A96" s="33"/>
      <c r="B96" s="62">
        <v>35338</v>
      </c>
      <c r="C96" s="64">
        <v>9.8000000000000007</v>
      </c>
      <c r="D96" s="64">
        <v>9.1999999999999993</v>
      </c>
      <c r="E96" s="64">
        <v>4.8</v>
      </c>
      <c r="F96" s="64">
        <v>11.6</v>
      </c>
      <c r="G96" s="64">
        <v>9.1999999999999993</v>
      </c>
      <c r="H96" s="33"/>
      <c r="I96" s="62">
        <v>34607</v>
      </c>
      <c r="J96" s="64">
        <v>33724.1</v>
      </c>
      <c r="K96" s="64">
        <v>3153.9</v>
      </c>
      <c r="L96" s="64">
        <v>3258.36</v>
      </c>
      <c r="M96" s="64">
        <v>-104.46</v>
      </c>
      <c r="N96" s="34"/>
      <c r="O96" s="35"/>
    </row>
    <row r="97" spans="1:15" s="36" customFormat="1" ht="12" x14ac:dyDescent="0.2">
      <c r="A97" s="33"/>
      <c r="B97" s="63">
        <v>35430</v>
      </c>
      <c r="C97" s="65">
        <v>9.9225569999999994</v>
      </c>
      <c r="D97" s="65">
        <v>10.3</v>
      </c>
      <c r="E97" s="65">
        <v>5.0398940000000003</v>
      </c>
      <c r="F97" s="65">
        <v>12.092198</v>
      </c>
      <c r="G97" s="65">
        <v>9.2155810000000002</v>
      </c>
      <c r="H97" s="33"/>
      <c r="I97" s="63">
        <v>34699</v>
      </c>
      <c r="J97" s="65">
        <v>48637.450334000001</v>
      </c>
      <c r="K97" s="65">
        <v>4194.7</v>
      </c>
      <c r="L97" s="65">
        <v>5792.6</v>
      </c>
      <c r="M97" s="65">
        <v>-1597.9</v>
      </c>
      <c r="N97" s="34"/>
      <c r="O97" s="35"/>
    </row>
    <row r="98" spans="1:15" s="36" customFormat="1" ht="12" x14ac:dyDescent="0.2">
      <c r="A98" s="33"/>
      <c r="B98" s="62">
        <v>35520</v>
      </c>
      <c r="C98" s="64">
        <v>10.1</v>
      </c>
      <c r="D98" s="64">
        <v>10.1</v>
      </c>
      <c r="E98" s="64">
        <v>4.8</v>
      </c>
      <c r="F98" s="64">
        <v>10.199999999999999</v>
      </c>
      <c r="G98" s="64">
        <v>11.5</v>
      </c>
      <c r="H98" s="33"/>
      <c r="I98" s="62">
        <v>34789</v>
      </c>
      <c r="J98" s="64">
        <v>12111.7</v>
      </c>
      <c r="K98" s="64">
        <v>1027.4000000000001</v>
      </c>
      <c r="L98" s="64">
        <v>1029.1099999999999</v>
      </c>
      <c r="M98" s="64">
        <v>-1.71</v>
      </c>
      <c r="N98" s="34"/>
      <c r="O98" s="35"/>
    </row>
    <row r="99" spans="1:15" s="36" customFormat="1" ht="12" x14ac:dyDescent="0.2">
      <c r="A99" s="33"/>
      <c r="B99" s="63">
        <v>35611</v>
      </c>
      <c r="C99" s="65">
        <v>10.1</v>
      </c>
      <c r="D99" s="65">
        <v>10</v>
      </c>
      <c r="E99" s="65">
        <v>4.5999999999999996</v>
      </c>
      <c r="F99" s="65">
        <v>10.7</v>
      </c>
      <c r="G99" s="65">
        <v>11.2</v>
      </c>
      <c r="H99" s="33"/>
      <c r="I99" s="63">
        <v>34880</v>
      </c>
      <c r="J99" s="65">
        <v>26724.6</v>
      </c>
      <c r="K99" s="65">
        <v>2512.1799999999998</v>
      </c>
      <c r="L99" s="65">
        <v>2513.41</v>
      </c>
      <c r="M99" s="65">
        <v>-1.23</v>
      </c>
      <c r="N99" s="34"/>
      <c r="O99" s="35"/>
    </row>
    <row r="100" spans="1:15" s="36" customFormat="1" ht="12" x14ac:dyDescent="0.2">
      <c r="A100" s="33"/>
      <c r="B100" s="62">
        <v>35703</v>
      </c>
      <c r="C100" s="64">
        <v>9.5</v>
      </c>
      <c r="D100" s="64">
        <v>8.6</v>
      </c>
      <c r="E100" s="64">
        <v>3.8</v>
      </c>
      <c r="F100" s="64">
        <v>10.3</v>
      </c>
      <c r="G100" s="64">
        <v>11.1</v>
      </c>
      <c r="H100" s="33"/>
      <c r="I100" s="62">
        <v>34972</v>
      </c>
      <c r="J100" s="64">
        <v>42888.7</v>
      </c>
      <c r="K100" s="64">
        <v>3997.37</v>
      </c>
      <c r="L100" s="64">
        <v>4074.45</v>
      </c>
      <c r="M100" s="64">
        <v>-77.08</v>
      </c>
      <c r="N100" s="34"/>
      <c r="O100" s="35"/>
    </row>
    <row r="101" spans="1:15" s="36" customFormat="1" ht="12" x14ac:dyDescent="0.2">
      <c r="A101" s="33"/>
      <c r="B101" s="63">
        <v>35795</v>
      </c>
      <c r="C101" s="65">
        <v>9.2367799999999995</v>
      </c>
      <c r="D101" s="65">
        <v>8.6</v>
      </c>
      <c r="E101" s="65">
        <v>3.4366400000000001</v>
      </c>
      <c r="F101" s="65">
        <v>10.478031</v>
      </c>
      <c r="G101" s="65">
        <v>10.431251</v>
      </c>
      <c r="H101" s="33"/>
      <c r="I101" s="63">
        <v>35064</v>
      </c>
      <c r="J101" s="65">
        <v>61339.891337000001</v>
      </c>
      <c r="K101" s="65">
        <v>5114.22</v>
      </c>
      <c r="L101" s="65">
        <v>6823.72</v>
      </c>
      <c r="M101" s="65">
        <v>-1709.5</v>
      </c>
      <c r="N101" s="34"/>
      <c r="O101" s="35"/>
    </row>
    <row r="102" spans="1:15" s="36" customFormat="1" ht="12" x14ac:dyDescent="0.2">
      <c r="A102" s="33"/>
      <c r="B102" s="62">
        <v>35885</v>
      </c>
      <c r="C102" s="64">
        <v>7.3</v>
      </c>
      <c r="D102" s="64">
        <v>7.3</v>
      </c>
      <c r="E102" s="64">
        <v>3.5</v>
      </c>
      <c r="F102" s="64">
        <v>7.5</v>
      </c>
      <c r="G102" s="64">
        <v>7.9</v>
      </c>
      <c r="H102" s="33"/>
      <c r="I102" s="62">
        <v>35155</v>
      </c>
      <c r="J102" s="64">
        <v>14628</v>
      </c>
      <c r="K102" s="64">
        <v>1311.41</v>
      </c>
      <c r="L102" s="64">
        <v>1178.6400000000001</v>
      </c>
      <c r="M102" s="64">
        <v>132.77000000000001</v>
      </c>
      <c r="N102" s="34"/>
      <c r="O102" s="35"/>
    </row>
    <row r="103" spans="1:15" s="36" customFormat="1" ht="12" x14ac:dyDescent="0.2">
      <c r="A103" s="33"/>
      <c r="B103" s="63">
        <v>35976</v>
      </c>
      <c r="C103" s="65">
        <v>7.1</v>
      </c>
      <c r="D103" s="65">
        <v>6.9</v>
      </c>
      <c r="E103" s="65">
        <v>2.5</v>
      </c>
      <c r="F103" s="65">
        <v>7.6</v>
      </c>
      <c r="G103" s="65">
        <v>7.9</v>
      </c>
      <c r="H103" s="33"/>
      <c r="I103" s="63">
        <v>35246</v>
      </c>
      <c r="J103" s="65">
        <v>31775.5</v>
      </c>
      <c r="K103" s="65">
        <v>3002.86</v>
      </c>
      <c r="L103" s="65">
        <v>2901.69</v>
      </c>
      <c r="M103" s="65">
        <v>101.17</v>
      </c>
      <c r="N103" s="34"/>
      <c r="O103" s="35"/>
    </row>
    <row r="104" spans="1:15" s="36" customFormat="1" ht="12" x14ac:dyDescent="0.2">
      <c r="A104" s="33"/>
      <c r="B104" s="62">
        <v>36068</v>
      </c>
      <c r="C104" s="64">
        <v>7.3</v>
      </c>
      <c r="D104" s="64">
        <v>7.8</v>
      </c>
      <c r="E104" s="64">
        <v>2.7</v>
      </c>
      <c r="F104" s="64">
        <v>8.1</v>
      </c>
      <c r="G104" s="64">
        <v>8.1</v>
      </c>
      <c r="H104" s="33"/>
      <c r="I104" s="62">
        <v>35338</v>
      </c>
      <c r="J104" s="64">
        <v>50381.3</v>
      </c>
      <c r="K104" s="64">
        <v>4751.33</v>
      </c>
      <c r="L104" s="64">
        <v>4760.07</v>
      </c>
      <c r="M104" s="64">
        <v>-8.74</v>
      </c>
      <c r="N104" s="34"/>
      <c r="O104" s="35"/>
    </row>
    <row r="105" spans="1:15" s="36" customFormat="1" ht="12" x14ac:dyDescent="0.2">
      <c r="A105" s="33"/>
      <c r="B105" s="63">
        <v>36160</v>
      </c>
      <c r="C105" s="65">
        <v>7.8459519999999996</v>
      </c>
      <c r="D105" s="65">
        <v>9.1</v>
      </c>
      <c r="E105" s="65">
        <v>3.432995</v>
      </c>
      <c r="F105" s="65">
        <v>8.9030539999999991</v>
      </c>
      <c r="G105" s="65">
        <v>8.4021650000000001</v>
      </c>
      <c r="H105" s="33"/>
      <c r="I105" s="63">
        <v>35430</v>
      </c>
      <c r="J105" s="65">
        <v>71813.629587000003</v>
      </c>
      <c r="K105" s="65">
        <v>6049.92</v>
      </c>
      <c r="L105" s="65">
        <v>7937.54</v>
      </c>
      <c r="M105" s="65">
        <v>-1887.62</v>
      </c>
      <c r="N105" s="34"/>
      <c r="O105" s="35"/>
    </row>
    <row r="106" spans="1:15" s="36" customFormat="1" ht="12" x14ac:dyDescent="0.2">
      <c r="A106" s="33"/>
      <c r="B106" s="62">
        <v>36250</v>
      </c>
      <c r="C106" s="64">
        <v>8.9</v>
      </c>
      <c r="D106" s="64">
        <v>8.9</v>
      </c>
      <c r="E106" s="64">
        <v>3.7</v>
      </c>
      <c r="F106" s="64">
        <v>9.6</v>
      </c>
      <c r="G106" s="64">
        <v>9.1999999999999993</v>
      </c>
      <c r="H106" s="33"/>
      <c r="I106" s="62">
        <v>35520</v>
      </c>
      <c r="J106" s="64">
        <v>16689.099999999999</v>
      </c>
      <c r="K106" s="64">
        <v>1695.48</v>
      </c>
      <c r="L106" s="64">
        <v>1394.91</v>
      </c>
      <c r="M106" s="64">
        <v>300.57</v>
      </c>
      <c r="N106" s="34"/>
      <c r="O106" s="35"/>
    </row>
    <row r="107" spans="1:15" s="36" customFormat="1" ht="12" x14ac:dyDescent="0.2">
      <c r="A107" s="33"/>
      <c r="B107" s="63">
        <v>36341</v>
      </c>
      <c r="C107" s="65">
        <v>8.3000000000000007</v>
      </c>
      <c r="D107" s="65">
        <v>7.9</v>
      </c>
      <c r="E107" s="65">
        <v>3</v>
      </c>
      <c r="F107" s="65">
        <v>9.1999999999999993</v>
      </c>
      <c r="G107" s="65">
        <v>8.9</v>
      </c>
      <c r="H107" s="33"/>
      <c r="I107" s="63">
        <v>35611</v>
      </c>
      <c r="J107" s="65">
        <v>35852.699999999997</v>
      </c>
      <c r="K107" s="65">
        <v>3901.08</v>
      </c>
      <c r="L107" s="65">
        <v>3512.6</v>
      </c>
      <c r="M107" s="65">
        <v>388.48</v>
      </c>
      <c r="N107" s="34"/>
      <c r="O107" s="35"/>
    </row>
    <row r="108" spans="1:15" s="36" customFormat="1" ht="12" x14ac:dyDescent="0.2">
      <c r="A108" s="33"/>
      <c r="B108" s="62">
        <v>36433</v>
      </c>
      <c r="C108" s="64">
        <v>8.1</v>
      </c>
      <c r="D108" s="64">
        <v>7.6</v>
      </c>
      <c r="E108" s="64">
        <v>3.1</v>
      </c>
      <c r="F108" s="64">
        <v>8.8000000000000007</v>
      </c>
      <c r="G108" s="64">
        <v>9.1</v>
      </c>
      <c r="H108" s="33"/>
      <c r="I108" s="62">
        <v>35703</v>
      </c>
      <c r="J108" s="64">
        <v>56353.599999999999</v>
      </c>
      <c r="K108" s="64">
        <v>5925.36</v>
      </c>
      <c r="L108" s="64">
        <v>5612.65</v>
      </c>
      <c r="M108" s="64">
        <v>312.70999999999998</v>
      </c>
      <c r="N108" s="34"/>
      <c r="O108" s="35"/>
    </row>
    <row r="109" spans="1:15" s="36" customFormat="1" ht="12" x14ac:dyDescent="0.2">
      <c r="A109" s="33"/>
      <c r="B109" s="63">
        <v>36525</v>
      </c>
      <c r="C109" s="65">
        <v>7.6616520000000001</v>
      </c>
      <c r="D109" s="65">
        <v>6.7</v>
      </c>
      <c r="E109" s="65">
        <v>2.7313730000000001</v>
      </c>
      <c r="F109" s="65">
        <v>8.2031480000000006</v>
      </c>
      <c r="G109" s="65">
        <v>9.2491450000000004</v>
      </c>
      <c r="H109" s="33"/>
      <c r="I109" s="63">
        <v>35795</v>
      </c>
      <c r="J109" s="65">
        <v>79715.044492000001</v>
      </c>
      <c r="K109" s="65">
        <v>7455.72</v>
      </c>
      <c r="L109" s="65">
        <v>9233.57</v>
      </c>
      <c r="M109" s="65">
        <v>-1777.85</v>
      </c>
      <c r="N109" s="34"/>
      <c r="O109" s="35"/>
    </row>
    <row r="110" spans="1:15" s="36" customFormat="1" ht="12" x14ac:dyDescent="0.2">
      <c r="A110" s="33"/>
      <c r="B110" s="62">
        <v>36616</v>
      </c>
      <c r="C110" s="64">
        <v>8.6999999999999993</v>
      </c>
      <c r="D110" s="64">
        <v>8.6999999999999993</v>
      </c>
      <c r="E110" s="64">
        <v>2.5</v>
      </c>
      <c r="F110" s="64">
        <v>8.8000000000000007</v>
      </c>
      <c r="G110" s="64">
        <v>9.9</v>
      </c>
      <c r="H110" s="33"/>
      <c r="I110" s="62">
        <v>35885</v>
      </c>
      <c r="J110" s="64">
        <v>18049.099999999999</v>
      </c>
      <c r="K110" s="64">
        <v>1842.71</v>
      </c>
      <c r="L110" s="64">
        <v>1566.49</v>
      </c>
      <c r="M110" s="64">
        <v>276.22000000000003</v>
      </c>
      <c r="N110" s="34"/>
      <c r="O110" s="35"/>
    </row>
    <row r="111" spans="1:15" s="36" customFormat="1" ht="12" x14ac:dyDescent="0.2">
      <c r="A111" s="33"/>
      <c r="B111" s="63">
        <v>36707</v>
      </c>
      <c r="C111" s="65">
        <v>8.9</v>
      </c>
      <c r="D111" s="65">
        <v>9.1</v>
      </c>
      <c r="E111" s="65">
        <v>1.7</v>
      </c>
      <c r="F111" s="65">
        <v>9.5</v>
      </c>
      <c r="G111" s="65">
        <v>10.4</v>
      </c>
      <c r="H111" s="33"/>
      <c r="I111" s="63">
        <v>35976</v>
      </c>
      <c r="J111" s="65">
        <v>38345.699999999997</v>
      </c>
      <c r="K111" s="65">
        <v>4258.17</v>
      </c>
      <c r="L111" s="65">
        <v>4008.79</v>
      </c>
      <c r="M111" s="65">
        <v>249.38</v>
      </c>
      <c r="N111" s="34"/>
      <c r="O111" s="35"/>
    </row>
    <row r="112" spans="1:15" s="36" customFormat="1" ht="12" x14ac:dyDescent="0.2">
      <c r="A112" s="33"/>
      <c r="B112" s="62">
        <v>36799</v>
      </c>
      <c r="C112" s="64">
        <v>8.9</v>
      </c>
      <c r="D112" s="64">
        <v>8.8000000000000007</v>
      </c>
      <c r="E112" s="64">
        <v>2.1</v>
      </c>
      <c r="F112" s="64">
        <v>9.6999999999999993</v>
      </c>
      <c r="G112" s="64">
        <v>10.3</v>
      </c>
      <c r="H112" s="33"/>
      <c r="I112" s="62">
        <v>36068</v>
      </c>
      <c r="J112" s="64">
        <v>60121.3</v>
      </c>
      <c r="K112" s="64">
        <v>6539.51</v>
      </c>
      <c r="L112" s="64">
        <v>6593.52</v>
      </c>
      <c r="M112" s="64">
        <v>-54.01</v>
      </c>
      <c r="N112" s="34"/>
      <c r="O112" s="35"/>
    </row>
    <row r="113" spans="1:15" s="36" customFormat="1" ht="12" x14ac:dyDescent="0.2">
      <c r="A113" s="33"/>
      <c r="B113" s="63">
        <v>36891</v>
      </c>
      <c r="C113" s="65">
        <v>8.4900929999999999</v>
      </c>
      <c r="D113" s="65">
        <v>7.5</v>
      </c>
      <c r="E113" s="65">
        <v>2.3285179999999999</v>
      </c>
      <c r="F113" s="65">
        <v>9.4738410000000002</v>
      </c>
      <c r="G113" s="65">
        <v>9.7763519999999993</v>
      </c>
      <c r="H113" s="33"/>
      <c r="I113" s="63">
        <v>36160</v>
      </c>
      <c r="J113" s="65">
        <v>85195.507089999999</v>
      </c>
      <c r="K113" s="65">
        <v>8317.3700000000008</v>
      </c>
      <c r="L113" s="65">
        <v>10798.17</v>
      </c>
      <c r="M113" s="65">
        <v>-2480.8000000000002</v>
      </c>
      <c r="N113" s="34"/>
      <c r="O113" s="35"/>
    </row>
    <row r="114" spans="1:15" s="36" customFormat="1" ht="12" x14ac:dyDescent="0.2">
      <c r="A114" s="33"/>
      <c r="B114" s="62">
        <v>36981</v>
      </c>
      <c r="C114" s="64">
        <v>9.5</v>
      </c>
      <c r="D114" s="64">
        <v>9.5</v>
      </c>
      <c r="E114" s="64">
        <v>3.4</v>
      </c>
      <c r="F114" s="64">
        <v>9.1999999999999993</v>
      </c>
      <c r="G114" s="64">
        <v>10.9</v>
      </c>
      <c r="H114" s="33"/>
      <c r="I114" s="62">
        <v>36250</v>
      </c>
      <c r="J114" s="64">
        <v>19361.900000000001</v>
      </c>
      <c r="K114" s="64">
        <v>2324.44</v>
      </c>
      <c r="L114" s="64">
        <v>1840.24</v>
      </c>
      <c r="M114" s="64">
        <v>484.2</v>
      </c>
      <c r="N114" s="34"/>
      <c r="O114" s="35"/>
    </row>
    <row r="115" spans="1:15" s="36" customFormat="1" ht="12" x14ac:dyDescent="0.2">
      <c r="A115" s="33"/>
      <c r="B115" s="63">
        <v>37072</v>
      </c>
      <c r="C115" s="65">
        <v>9</v>
      </c>
      <c r="D115" s="65">
        <v>8.6</v>
      </c>
      <c r="E115" s="65">
        <v>2</v>
      </c>
      <c r="F115" s="65">
        <v>9.4</v>
      </c>
      <c r="G115" s="65">
        <v>10.3</v>
      </c>
      <c r="H115" s="33"/>
      <c r="I115" s="63">
        <v>36341</v>
      </c>
      <c r="J115" s="65">
        <v>40929.599999999999</v>
      </c>
      <c r="K115" s="65">
        <v>5294.23</v>
      </c>
      <c r="L115" s="65">
        <v>4648.7700000000004</v>
      </c>
      <c r="M115" s="65">
        <v>645.46</v>
      </c>
      <c r="N115" s="34"/>
      <c r="O115" s="35"/>
    </row>
    <row r="116" spans="1:15" s="36" customFormat="1" ht="12" x14ac:dyDescent="0.2">
      <c r="A116" s="33"/>
      <c r="B116" s="62">
        <v>37164</v>
      </c>
      <c r="C116" s="64">
        <v>8.6999999999999993</v>
      </c>
      <c r="D116" s="64">
        <v>8</v>
      </c>
      <c r="E116" s="64">
        <v>2.6</v>
      </c>
      <c r="F116" s="64">
        <v>8.9</v>
      </c>
      <c r="G116" s="64">
        <v>10.3</v>
      </c>
      <c r="H116" s="33"/>
      <c r="I116" s="62">
        <v>36433</v>
      </c>
      <c r="J116" s="64">
        <v>63980.4</v>
      </c>
      <c r="K116" s="64">
        <v>7911.25</v>
      </c>
      <c r="L116" s="64">
        <v>7721.99</v>
      </c>
      <c r="M116" s="64">
        <v>189.26</v>
      </c>
      <c r="N116" s="34"/>
      <c r="O116" s="35"/>
    </row>
    <row r="117" spans="1:15" s="36" customFormat="1" ht="12" x14ac:dyDescent="0.2">
      <c r="A117" s="33"/>
      <c r="B117" s="63">
        <v>37256</v>
      </c>
      <c r="C117" s="65">
        <v>8.3357329999999994</v>
      </c>
      <c r="D117" s="65">
        <v>7.5</v>
      </c>
      <c r="E117" s="65">
        <v>2.6380710000000001</v>
      </c>
      <c r="F117" s="65">
        <v>8.4912709999999993</v>
      </c>
      <c r="G117" s="65">
        <v>10.259388</v>
      </c>
      <c r="H117" s="33"/>
      <c r="I117" s="63">
        <v>36525</v>
      </c>
      <c r="J117" s="65">
        <v>90564.375776000001</v>
      </c>
      <c r="K117" s="65">
        <v>9828.1200000000008</v>
      </c>
      <c r="L117" s="65">
        <v>13191.91</v>
      </c>
      <c r="M117" s="65">
        <v>-3363.79</v>
      </c>
      <c r="N117" s="34"/>
      <c r="O117" s="35"/>
    </row>
    <row r="118" spans="1:15" s="36" customFormat="1" ht="12" x14ac:dyDescent="0.2">
      <c r="A118" s="33"/>
      <c r="B118" s="62">
        <v>37346</v>
      </c>
      <c r="C118" s="64">
        <v>8.9</v>
      </c>
      <c r="D118" s="64">
        <v>8.9</v>
      </c>
      <c r="E118" s="64">
        <v>2.6</v>
      </c>
      <c r="F118" s="64">
        <v>8.8000000000000007</v>
      </c>
      <c r="G118" s="64">
        <v>10.1</v>
      </c>
      <c r="H118" s="33"/>
      <c r="I118" s="62">
        <v>36616</v>
      </c>
      <c r="J118" s="64">
        <v>21329.9</v>
      </c>
      <c r="K118" s="64">
        <v>2878.43</v>
      </c>
      <c r="L118" s="64">
        <v>2376.4299999999998</v>
      </c>
      <c r="M118" s="64">
        <v>502</v>
      </c>
      <c r="N118" s="34"/>
      <c r="O118" s="35"/>
    </row>
    <row r="119" spans="1:15" s="36" customFormat="1" ht="12" x14ac:dyDescent="0.2">
      <c r="A119" s="33"/>
      <c r="B119" s="63">
        <v>37437</v>
      </c>
      <c r="C119" s="65">
        <v>8.9</v>
      </c>
      <c r="D119" s="65">
        <v>8.8000000000000007</v>
      </c>
      <c r="E119" s="65">
        <v>2</v>
      </c>
      <c r="F119" s="65">
        <v>9.4</v>
      </c>
      <c r="G119" s="65">
        <v>9.9</v>
      </c>
      <c r="H119" s="33"/>
      <c r="I119" s="63">
        <v>36707</v>
      </c>
      <c r="J119" s="65">
        <v>45373.3</v>
      </c>
      <c r="K119" s="65">
        <v>6240.17</v>
      </c>
      <c r="L119" s="65">
        <v>5838.34</v>
      </c>
      <c r="M119" s="65">
        <v>401.83</v>
      </c>
      <c r="N119" s="34"/>
      <c r="O119" s="35"/>
    </row>
    <row r="120" spans="1:15" s="36" customFormat="1" ht="12" x14ac:dyDescent="0.2">
      <c r="A120" s="33"/>
      <c r="B120" s="62">
        <v>37529</v>
      </c>
      <c r="C120" s="64">
        <v>9.1</v>
      </c>
      <c r="D120" s="64">
        <v>9.6</v>
      </c>
      <c r="E120" s="64">
        <v>2.9</v>
      </c>
      <c r="F120" s="64">
        <v>9.8000000000000007</v>
      </c>
      <c r="G120" s="64">
        <v>10.199999999999999</v>
      </c>
      <c r="H120" s="33"/>
      <c r="I120" s="62">
        <v>36799</v>
      </c>
      <c r="J120" s="64">
        <v>71085.899999999994</v>
      </c>
      <c r="K120" s="64">
        <v>9560.56</v>
      </c>
      <c r="L120" s="64">
        <v>9452.81</v>
      </c>
      <c r="M120" s="64">
        <v>107.75</v>
      </c>
      <c r="N120" s="34"/>
      <c r="O120" s="35"/>
    </row>
    <row r="121" spans="1:15" s="36" customFormat="1" ht="12" x14ac:dyDescent="0.2">
      <c r="A121" s="33"/>
      <c r="B121" s="63">
        <v>37621</v>
      </c>
      <c r="C121" s="65">
        <v>9.1336309999999994</v>
      </c>
      <c r="D121" s="65">
        <v>9.1</v>
      </c>
      <c r="E121" s="65">
        <v>2.6999469999999999</v>
      </c>
      <c r="F121" s="65">
        <v>9.8947489999999991</v>
      </c>
      <c r="G121" s="65">
        <v>10.485636</v>
      </c>
      <c r="H121" s="33"/>
      <c r="I121" s="63">
        <v>36891</v>
      </c>
      <c r="J121" s="65">
        <v>100280.139253</v>
      </c>
      <c r="K121" s="65">
        <v>11912.77</v>
      </c>
      <c r="L121" s="65">
        <v>15889.5</v>
      </c>
      <c r="M121" s="65">
        <v>-3976.73</v>
      </c>
      <c r="N121" s="34"/>
      <c r="O121" s="35"/>
    </row>
    <row r="122" spans="1:15" s="36" customFormat="1" ht="12" x14ac:dyDescent="0.2">
      <c r="A122" s="33"/>
      <c r="B122" s="62">
        <v>37711</v>
      </c>
      <c r="C122" s="64">
        <v>11.1</v>
      </c>
      <c r="D122" s="64">
        <v>11.1</v>
      </c>
      <c r="E122" s="64">
        <v>2.8</v>
      </c>
      <c r="F122" s="64">
        <v>13.2</v>
      </c>
      <c r="G122" s="64">
        <v>10.5</v>
      </c>
      <c r="H122" s="33"/>
      <c r="I122" s="62">
        <v>36981</v>
      </c>
      <c r="J122" s="64">
        <v>24086.400000000001</v>
      </c>
      <c r="K122" s="64">
        <v>3682.01</v>
      </c>
      <c r="L122" s="64">
        <v>2832.99</v>
      </c>
      <c r="M122" s="64">
        <v>849.02</v>
      </c>
      <c r="N122" s="34"/>
      <c r="O122" s="35"/>
    </row>
    <row r="123" spans="1:15" s="36" customFormat="1" ht="12" x14ac:dyDescent="0.2">
      <c r="A123" s="33"/>
      <c r="B123" s="63">
        <v>37802</v>
      </c>
      <c r="C123" s="65">
        <v>10.1</v>
      </c>
      <c r="D123" s="65">
        <v>9.1</v>
      </c>
      <c r="E123" s="65">
        <v>2.1</v>
      </c>
      <c r="F123" s="65">
        <v>12.2</v>
      </c>
      <c r="G123" s="65">
        <v>9.6</v>
      </c>
      <c r="H123" s="33"/>
      <c r="I123" s="63">
        <v>37072</v>
      </c>
      <c r="J123" s="65">
        <v>50813</v>
      </c>
      <c r="K123" s="65">
        <v>7872.36</v>
      </c>
      <c r="L123" s="65">
        <v>7044.65</v>
      </c>
      <c r="M123" s="65">
        <v>827.71</v>
      </c>
      <c r="N123" s="34"/>
      <c r="O123" s="35"/>
    </row>
    <row r="124" spans="1:15" s="36" customFormat="1" ht="12" x14ac:dyDescent="0.2">
      <c r="A124" s="33"/>
      <c r="B124" s="62">
        <v>37894</v>
      </c>
      <c r="C124" s="64">
        <v>10</v>
      </c>
      <c r="D124" s="64">
        <v>10</v>
      </c>
      <c r="E124" s="64">
        <v>2.6</v>
      </c>
      <c r="F124" s="64">
        <v>12.5</v>
      </c>
      <c r="G124" s="64">
        <v>9.3000000000000007</v>
      </c>
      <c r="H124" s="33"/>
      <c r="I124" s="62">
        <v>37164</v>
      </c>
      <c r="J124" s="64">
        <v>79146.3</v>
      </c>
      <c r="K124" s="64">
        <v>11872.31</v>
      </c>
      <c r="L124" s="64">
        <v>11479.63</v>
      </c>
      <c r="M124" s="64">
        <v>392.68</v>
      </c>
      <c r="N124" s="34"/>
      <c r="O124" s="35"/>
    </row>
    <row r="125" spans="1:15" s="36" customFormat="1" ht="12" x14ac:dyDescent="0.2">
      <c r="A125" s="33"/>
      <c r="B125" s="63">
        <v>37986</v>
      </c>
      <c r="C125" s="65">
        <v>10.038029999999999</v>
      </c>
      <c r="D125" s="65">
        <v>10</v>
      </c>
      <c r="E125" s="65">
        <v>2.3720560000000002</v>
      </c>
      <c r="F125" s="65">
        <v>12.667236000000001</v>
      </c>
      <c r="G125" s="65">
        <v>9.5398080000000007</v>
      </c>
      <c r="H125" s="33"/>
      <c r="I125" s="63">
        <v>37256</v>
      </c>
      <c r="J125" s="65">
        <v>110863.12304599999</v>
      </c>
      <c r="K125" s="65">
        <v>14667.86</v>
      </c>
      <c r="L125" s="65">
        <v>18902.580000000002</v>
      </c>
      <c r="M125" s="65">
        <v>-4234.72</v>
      </c>
      <c r="N125" s="34"/>
      <c r="O125" s="35"/>
    </row>
    <row r="126" spans="1:15" s="36" customFormat="1" ht="12" x14ac:dyDescent="0.2">
      <c r="A126" s="33"/>
      <c r="B126" s="62">
        <v>38077</v>
      </c>
      <c r="C126" s="64">
        <v>10.6</v>
      </c>
      <c r="D126" s="64">
        <v>10.6</v>
      </c>
      <c r="E126" s="64">
        <v>4.0999999999999996</v>
      </c>
      <c r="F126" s="64">
        <v>12.3</v>
      </c>
      <c r="G126" s="64">
        <v>9.9</v>
      </c>
      <c r="H126" s="33"/>
      <c r="I126" s="62">
        <v>37346</v>
      </c>
      <c r="J126" s="64">
        <v>26295</v>
      </c>
      <c r="K126" s="64">
        <v>3807.8</v>
      </c>
      <c r="L126" s="64">
        <v>3511.35</v>
      </c>
      <c r="M126" s="64">
        <v>296.45</v>
      </c>
      <c r="N126" s="34"/>
      <c r="O126" s="35"/>
    </row>
    <row r="127" spans="1:15" s="36" customFormat="1" ht="12" x14ac:dyDescent="0.2">
      <c r="A127" s="33"/>
      <c r="B127" s="63">
        <v>38168</v>
      </c>
      <c r="C127" s="65">
        <v>11.1</v>
      </c>
      <c r="D127" s="65">
        <v>11.6</v>
      </c>
      <c r="E127" s="65">
        <v>4.5</v>
      </c>
      <c r="F127" s="65">
        <v>12.2</v>
      </c>
      <c r="G127" s="65">
        <v>11.3</v>
      </c>
      <c r="H127" s="33"/>
      <c r="I127" s="63">
        <v>37437</v>
      </c>
      <c r="J127" s="65">
        <v>55489.8</v>
      </c>
      <c r="K127" s="65">
        <v>8599.64</v>
      </c>
      <c r="L127" s="65">
        <v>8297.36</v>
      </c>
      <c r="M127" s="65">
        <v>302.27999999999997</v>
      </c>
      <c r="N127" s="34"/>
      <c r="O127" s="35"/>
    </row>
    <row r="128" spans="1:15" s="36" customFormat="1" ht="12" x14ac:dyDescent="0.2">
      <c r="A128" s="33"/>
      <c r="B128" s="62">
        <v>38260</v>
      </c>
      <c r="C128" s="64">
        <v>10.6</v>
      </c>
      <c r="D128" s="64">
        <v>9.8000000000000007</v>
      </c>
      <c r="E128" s="64">
        <v>5.8</v>
      </c>
      <c r="F128" s="64">
        <v>11.6</v>
      </c>
      <c r="G128" s="64">
        <v>10.8</v>
      </c>
      <c r="H128" s="33"/>
      <c r="I128" s="62">
        <v>37529</v>
      </c>
      <c r="J128" s="64">
        <v>86747.1</v>
      </c>
      <c r="K128" s="64">
        <v>13169.9</v>
      </c>
      <c r="L128" s="64">
        <v>13497.56</v>
      </c>
      <c r="M128" s="64">
        <v>-327.66000000000003</v>
      </c>
      <c r="N128" s="34"/>
      <c r="O128" s="35"/>
    </row>
    <row r="129" spans="1:15" s="36" customFormat="1" ht="12" x14ac:dyDescent="0.2">
      <c r="A129" s="33"/>
      <c r="B129" s="63">
        <v>38352</v>
      </c>
      <c r="C129" s="65">
        <v>10.113621</v>
      </c>
      <c r="D129" s="65">
        <v>8.8000000000000007</v>
      </c>
      <c r="E129" s="65">
        <v>6.1050199999999997</v>
      </c>
      <c r="F129" s="65">
        <v>11.145922000000001</v>
      </c>
      <c r="G129" s="65">
        <v>10.120036000000001</v>
      </c>
      <c r="H129" s="33"/>
      <c r="I129" s="63">
        <v>37621</v>
      </c>
      <c r="J129" s="65">
        <v>121717.424748</v>
      </c>
      <c r="K129" s="65">
        <v>16488.12</v>
      </c>
      <c r="L129" s="65">
        <v>22053.16</v>
      </c>
      <c r="M129" s="65">
        <v>-5565.04</v>
      </c>
      <c r="N129" s="34"/>
      <c r="O129" s="35"/>
    </row>
    <row r="130" spans="1:15" s="36" customFormat="1" ht="12" x14ac:dyDescent="0.2">
      <c r="A130" s="33"/>
      <c r="B130" s="62">
        <v>38442</v>
      </c>
      <c r="C130" s="64">
        <v>11.1</v>
      </c>
      <c r="D130" s="64">
        <v>11.1</v>
      </c>
      <c r="E130" s="64">
        <v>4.7</v>
      </c>
      <c r="F130" s="64">
        <v>11.2</v>
      </c>
      <c r="G130" s="64">
        <v>11.9</v>
      </c>
      <c r="H130" s="33"/>
      <c r="I130" s="62">
        <v>37711</v>
      </c>
      <c r="J130" s="64">
        <v>29825.5</v>
      </c>
      <c r="K130" s="64">
        <v>5205.2</v>
      </c>
      <c r="L130" s="64">
        <v>3892.39</v>
      </c>
      <c r="M130" s="64">
        <v>1312.81</v>
      </c>
      <c r="N130" s="34"/>
      <c r="O130" s="35"/>
    </row>
    <row r="131" spans="1:15" s="36" customFormat="1" ht="12" x14ac:dyDescent="0.2">
      <c r="A131" s="33"/>
      <c r="B131" s="63">
        <v>38533</v>
      </c>
      <c r="C131" s="65">
        <v>11.1</v>
      </c>
      <c r="D131" s="65">
        <v>11.1</v>
      </c>
      <c r="E131" s="65">
        <v>4.9000000000000004</v>
      </c>
      <c r="F131" s="65">
        <v>11.6</v>
      </c>
      <c r="G131" s="65">
        <v>11.7</v>
      </c>
      <c r="H131" s="33"/>
      <c r="I131" s="63">
        <v>37802</v>
      </c>
      <c r="J131" s="65">
        <v>62362.8</v>
      </c>
      <c r="K131" s="65">
        <v>10954.99</v>
      </c>
      <c r="L131" s="65">
        <v>9665.85</v>
      </c>
      <c r="M131" s="65">
        <v>1289.1400000000001</v>
      </c>
      <c r="N131" s="34"/>
      <c r="O131" s="35"/>
    </row>
    <row r="132" spans="1:15" s="36" customFormat="1" ht="12" x14ac:dyDescent="0.2">
      <c r="A132" s="33"/>
      <c r="B132" s="62">
        <v>38625</v>
      </c>
      <c r="C132" s="64">
        <v>11</v>
      </c>
      <c r="D132" s="64">
        <v>10.8</v>
      </c>
      <c r="E132" s="64">
        <v>4.9000000000000004</v>
      </c>
      <c r="F132" s="64">
        <v>11.5</v>
      </c>
      <c r="G132" s="64">
        <v>12</v>
      </c>
      <c r="H132" s="33"/>
      <c r="I132" s="62">
        <v>37894</v>
      </c>
      <c r="J132" s="64">
        <v>97654.7</v>
      </c>
      <c r="K132" s="64">
        <v>16131.85</v>
      </c>
      <c r="L132" s="64">
        <v>15264.89</v>
      </c>
      <c r="M132" s="64">
        <v>866.96</v>
      </c>
      <c r="N132" s="34"/>
      <c r="O132" s="35"/>
    </row>
    <row r="133" spans="1:15" s="36" customFormat="1" ht="12" x14ac:dyDescent="0.2">
      <c r="A133" s="33"/>
      <c r="B133" s="63">
        <v>38717</v>
      </c>
      <c r="C133" s="65">
        <v>11.394591999999999</v>
      </c>
      <c r="D133" s="65">
        <v>12.4</v>
      </c>
      <c r="E133" s="65">
        <v>5.0739140000000003</v>
      </c>
      <c r="F133" s="65">
        <v>12.128391000000001</v>
      </c>
      <c r="G133" s="65">
        <v>12.357949</v>
      </c>
      <c r="H133" s="33"/>
      <c r="I133" s="63">
        <v>37986</v>
      </c>
      <c r="J133" s="65">
        <v>137422.03491799999</v>
      </c>
      <c r="K133" s="65">
        <v>19773.97</v>
      </c>
      <c r="L133" s="65">
        <v>24650.02</v>
      </c>
      <c r="M133" s="65">
        <v>-4876.05</v>
      </c>
      <c r="N133" s="34"/>
      <c r="O133" s="35"/>
    </row>
    <row r="134" spans="1:15" s="36" customFormat="1" ht="12" x14ac:dyDescent="0.2">
      <c r="A134" s="33"/>
      <c r="B134" s="62">
        <v>38807</v>
      </c>
      <c r="C134" s="64">
        <v>12.5</v>
      </c>
      <c r="D134" s="64">
        <v>12.5</v>
      </c>
      <c r="E134" s="64">
        <v>4.4000000000000004</v>
      </c>
      <c r="F134" s="64">
        <v>13.1</v>
      </c>
      <c r="G134" s="64">
        <v>13.1</v>
      </c>
      <c r="H134" s="33"/>
      <c r="I134" s="62">
        <v>38077</v>
      </c>
      <c r="J134" s="64">
        <v>34544.6</v>
      </c>
      <c r="K134" s="64">
        <v>6944.19</v>
      </c>
      <c r="L134" s="64">
        <v>4502</v>
      </c>
      <c r="M134" s="64">
        <v>2442.19</v>
      </c>
      <c r="N134" s="34"/>
      <c r="O134" s="35"/>
    </row>
    <row r="135" spans="1:15" s="36" customFormat="1" ht="12" x14ac:dyDescent="0.2">
      <c r="A135" s="33"/>
      <c r="B135" s="63">
        <v>38898</v>
      </c>
      <c r="C135" s="65">
        <v>13.1</v>
      </c>
      <c r="D135" s="65">
        <v>13.7</v>
      </c>
      <c r="E135" s="65">
        <v>4.8</v>
      </c>
      <c r="F135" s="65">
        <v>14.2</v>
      </c>
      <c r="G135" s="65">
        <v>13.6</v>
      </c>
      <c r="H135" s="33"/>
      <c r="I135" s="63">
        <v>38168</v>
      </c>
      <c r="J135" s="65">
        <v>73245.399999999994</v>
      </c>
      <c r="K135" s="65">
        <v>14306.78</v>
      </c>
      <c r="L135" s="65">
        <v>10802.85</v>
      </c>
      <c r="M135" s="65">
        <v>3503.93</v>
      </c>
      <c r="N135" s="34"/>
      <c r="O135" s="35"/>
    </row>
    <row r="136" spans="1:15" s="36" customFormat="1" ht="12" x14ac:dyDescent="0.2">
      <c r="A136" s="33"/>
      <c r="B136" s="62">
        <v>38990</v>
      </c>
      <c r="C136" s="64">
        <v>12.8</v>
      </c>
      <c r="D136" s="64">
        <v>12.2</v>
      </c>
      <c r="E136" s="64">
        <v>4.7</v>
      </c>
      <c r="F136" s="64">
        <v>13.7</v>
      </c>
      <c r="G136" s="64">
        <v>13.7</v>
      </c>
      <c r="H136" s="33"/>
      <c r="I136" s="62">
        <v>38260</v>
      </c>
      <c r="J136" s="64">
        <v>115100.4</v>
      </c>
      <c r="K136" s="64">
        <v>20359.29</v>
      </c>
      <c r="L136" s="64">
        <v>17144.57</v>
      </c>
      <c r="M136" s="64">
        <v>3214.72</v>
      </c>
      <c r="N136" s="34"/>
      <c r="O136" s="35"/>
    </row>
    <row r="137" spans="1:15" s="36" customFormat="1" ht="12" x14ac:dyDescent="0.2">
      <c r="A137" s="33"/>
      <c r="B137" s="63">
        <v>39082</v>
      </c>
      <c r="C137" s="65">
        <v>12.720955999999999</v>
      </c>
      <c r="D137" s="65">
        <v>12.5</v>
      </c>
      <c r="E137" s="65">
        <v>4.7552779999999997</v>
      </c>
      <c r="F137" s="65">
        <v>13.450696000000001</v>
      </c>
      <c r="G137" s="65">
        <v>14.134209</v>
      </c>
      <c r="H137" s="33"/>
      <c r="I137" s="63">
        <v>38352</v>
      </c>
      <c r="J137" s="65">
        <v>161840.16090700001</v>
      </c>
      <c r="K137" s="65">
        <v>26396.47</v>
      </c>
      <c r="L137" s="65">
        <v>28486.89</v>
      </c>
      <c r="M137" s="65">
        <v>-2090.42</v>
      </c>
      <c r="N137" s="34"/>
      <c r="O137" s="35"/>
    </row>
    <row r="138" spans="1:15" s="36" customFormat="1" ht="12" x14ac:dyDescent="0.2">
      <c r="A138" s="33"/>
      <c r="B138" s="62">
        <v>39172</v>
      </c>
      <c r="C138" s="64">
        <v>13.8</v>
      </c>
      <c r="D138" s="64">
        <v>13.8</v>
      </c>
      <c r="E138" s="64">
        <v>4.0999999999999996</v>
      </c>
      <c r="F138" s="64">
        <v>14.8</v>
      </c>
      <c r="G138" s="64">
        <v>14.1</v>
      </c>
      <c r="H138" s="33"/>
      <c r="I138" s="62">
        <v>38442</v>
      </c>
      <c r="J138" s="64">
        <v>40453.300000000003</v>
      </c>
      <c r="K138" s="64">
        <v>7783.19</v>
      </c>
      <c r="L138" s="64">
        <v>5209.3500000000004</v>
      </c>
      <c r="M138" s="64">
        <v>2573.84</v>
      </c>
      <c r="N138" s="34"/>
      <c r="O138" s="35"/>
    </row>
    <row r="139" spans="1:15" s="36" customFormat="1" ht="12" x14ac:dyDescent="0.2">
      <c r="A139" s="33"/>
      <c r="B139" s="63">
        <v>39263</v>
      </c>
      <c r="C139" s="65">
        <v>14.4</v>
      </c>
      <c r="D139" s="65">
        <v>15</v>
      </c>
      <c r="E139" s="65">
        <v>3.9</v>
      </c>
      <c r="F139" s="65">
        <v>15.6</v>
      </c>
      <c r="G139" s="65">
        <v>15</v>
      </c>
      <c r="H139" s="33"/>
      <c r="I139" s="63">
        <v>38533</v>
      </c>
      <c r="J139" s="65">
        <v>85246.399999999994</v>
      </c>
      <c r="K139" s="65">
        <v>16391.68</v>
      </c>
      <c r="L139" s="65">
        <v>12421.38</v>
      </c>
      <c r="M139" s="65">
        <v>3970.3</v>
      </c>
      <c r="N139" s="34"/>
      <c r="O139" s="35"/>
    </row>
    <row r="140" spans="1:15" s="36" customFormat="1" ht="12" x14ac:dyDescent="0.2">
      <c r="A140" s="33"/>
      <c r="B140" s="62">
        <v>39355</v>
      </c>
      <c r="C140" s="64">
        <v>14.4</v>
      </c>
      <c r="D140" s="64">
        <v>14.3</v>
      </c>
      <c r="E140" s="64">
        <v>4</v>
      </c>
      <c r="F140" s="64">
        <v>15.3</v>
      </c>
      <c r="G140" s="64">
        <v>15.6</v>
      </c>
      <c r="H140" s="33"/>
      <c r="I140" s="62">
        <v>38625</v>
      </c>
      <c r="J140" s="64">
        <v>133294.1</v>
      </c>
      <c r="K140" s="64">
        <v>23768.05</v>
      </c>
      <c r="L140" s="64">
        <v>19949.939999999999</v>
      </c>
      <c r="M140" s="64">
        <v>3818.11</v>
      </c>
      <c r="N140" s="34"/>
      <c r="O140" s="35"/>
    </row>
    <row r="141" spans="1:15" s="36" customFormat="1" ht="12" x14ac:dyDescent="0.2">
      <c r="A141" s="33"/>
      <c r="B141" s="63">
        <v>39447</v>
      </c>
      <c r="C141" s="65">
        <v>14.230861000000001</v>
      </c>
      <c r="D141" s="65">
        <v>13.9</v>
      </c>
      <c r="E141" s="65">
        <v>3.5236499999999999</v>
      </c>
      <c r="F141" s="65">
        <v>15.050713999999999</v>
      </c>
      <c r="G141" s="65">
        <v>16.071494999999999</v>
      </c>
      <c r="H141" s="33"/>
      <c r="I141" s="63">
        <v>38717</v>
      </c>
      <c r="J141" s="65">
        <v>187318.90311799999</v>
      </c>
      <c r="K141" s="65">
        <v>31649.29</v>
      </c>
      <c r="L141" s="65">
        <v>33930.28</v>
      </c>
      <c r="M141" s="65">
        <v>-2280.9899999999998</v>
      </c>
      <c r="N141" s="34"/>
      <c r="O141" s="35"/>
    </row>
    <row r="142" spans="1:15" s="36" customFormat="1" ht="12" x14ac:dyDescent="0.2">
      <c r="A142" s="33"/>
      <c r="B142" s="62">
        <v>39538</v>
      </c>
      <c r="C142" s="64">
        <v>11.5</v>
      </c>
      <c r="D142" s="64">
        <v>11.5</v>
      </c>
      <c r="E142" s="64">
        <v>2.7</v>
      </c>
      <c r="F142" s="64">
        <v>12.7</v>
      </c>
      <c r="G142" s="64">
        <v>11.4</v>
      </c>
      <c r="H142" s="33"/>
      <c r="I142" s="62">
        <v>38807</v>
      </c>
      <c r="J142" s="64">
        <v>47078.9</v>
      </c>
      <c r="K142" s="64">
        <v>9299.9599999999991</v>
      </c>
      <c r="L142" s="64">
        <v>6291.65</v>
      </c>
      <c r="M142" s="64">
        <v>3008.31</v>
      </c>
      <c r="N142" s="34"/>
      <c r="O142" s="35"/>
    </row>
    <row r="143" spans="1:15" s="36" customFormat="1" ht="12" x14ac:dyDescent="0.2">
      <c r="A143" s="33"/>
      <c r="B143" s="63">
        <v>39629</v>
      </c>
      <c r="C143" s="65">
        <v>11.2</v>
      </c>
      <c r="D143" s="65">
        <v>10.9</v>
      </c>
      <c r="E143" s="65">
        <v>3.4</v>
      </c>
      <c r="F143" s="65">
        <v>12.2</v>
      </c>
      <c r="G143" s="65">
        <v>11.5</v>
      </c>
      <c r="H143" s="33"/>
      <c r="I143" s="63">
        <v>38898</v>
      </c>
      <c r="J143" s="65">
        <v>99752.2</v>
      </c>
      <c r="K143" s="65">
        <v>20005.89</v>
      </c>
      <c r="L143" s="65">
        <v>14601.09</v>
      </c>
      <c r="M143" s="65">
        <v>5404.8</v>
      </c>
      <c r="N143" s="34"/>
      <c r="O143" s="35"/>
    </row>
    <row r="144" spans="1:15" s="36" customFormat="1" ht="12" x14ac:dyDescent="0.2">
      <c r="A144" s="33"/>
      <c r="B144" s="62">
        <v>39721</v>
      </c>
      <c r="C144" s="64">
        <v>10.6</v>
      </c>
      <c r="D144" s="64">
        <v>9.5</v>
      </c>
      <c r="E144" s="64">
        <v>4.4000000000000004</v>
      </c>
      <c r="F144" s="64">
        <v>11.1</v>
      </c>
      <c r="G144" s="64">
        <v>11.3</v>
      </c>
      <c r="H144" s="33"/>
      <c r="I144" s="62">
        <v>38990</v>
      </c>
      <c r="J144" s="64">
        <v>155816.79999999999</v>
      </c>
      <c r="K144" s="64">
        <v>29622.31</v>
      </c>
      <c r="L144" s="64">
        <v>23156.95</v>
      </c>
      <c r="M144" s="64">
        <v>6465.36</v>
      </c>
      <c r="N144" s="34"/>
      <c r="O144" s="35"/>
    </row>
    <row r="145" spans="1:15" s="36" customFormat="1" ht="12" x14ac:dyDescent="0.2">
      <c r="A145" s="33"/>
      <c r="B145" s="63">
        <v>39813</v>
      </c>
      <c r="C145" s="65">
        <v>9.6506790000000002</v>
      </c>
      <c r="D145" s="65">
        <v>7.1</v>
      </c>
      <c r="E145" s="65">
        <v>5.1560050000000004</v>
      </c>
      <c r="F145" s="65">
        <v>9.8389900000000008</v>
      </c>
      <c r="G145" s="65">
        <v>10.475841000000001</v>
      </c>
      <c r="H145" s="33"/>
      <c r="I145" s="63">
        <v>39082</v>
      </c>
      <c r="J145" s="65">
        <v>219438.47481700001</v>
      </c>
      <c r="K145" s="65">
        <v>38760.199999999997</v>
      </c>
      <c r="L145" s="65">
        <v>40422.730000000003</v>
      </c>
      <c r="M145" s="65">
        <v>-1662.53</v>
      </c>
      <c r="N145" s="34"/>
      <c r="O145" s="35"/>
    </row>
    <row r="146" spans="1:15" s="36" customFormat="1" ht="12" x14ac:dyDescent="0.2">
      <c r="A146" s="33"/>
      <c r="B146" s="62">
        <v>39903</v>
      </c>
      <c r="C146" s="64">
        <v>6.4</v>
      </c>
      <c r="D146" s="64">
        <v>6.4</v>
      </c>
      <c r="E146" s="64">
        <v>3.8</v>
      </c>
      <c r="F146" s="64">
        <v>5.8</v>
      </c>
      <c r="G146" s="64">
        <v>7.2</v>
      </c>
      <c r="H146" s="33"/>
      <c r="I146" s="62">
        <v>39172</v>
      </c>
      <c r="J146" s="64">
        <v>57159.3</v>
      </c>
      <c r="K146" s="64">
        <v>11783.62</v>
      </c>
      <c r="L146" s="64">
        <v>7288.75</v>
      </c>
      <c r="M146" s="64">
        <v>4494.87</v>
      </c>
      <c r="N146" s="34"/>
      <c r="O146" s="35"/>
    </row>
    <row r="147" spans="1:15" s="36" customFormat="1" ht="12" x14ac:dyDescent="0.2">
      <c r="A147" s="33"/>
      <c r="B147" s="63">
        <v>39994</v>
      </c>
      <c r="C147" s="65">
        <v>7.3</v>
      </c>
      <c r="D147" s="65">
        <v>8.1999999999999993</v>
      </c>
      <c r="E147" s="65">
        <v>3.7</v>
      </c>
      <c r="F147" s="65">
        <v>7.1</v>
      </c>
      <c r="G147" s="65">
        <v>8.1</v>
      </c>
      <c r="H147" s="33"/>
      <c r="I147" s="63">
        <v>39263</v>
      </c>
      <c r="J147" s="65">
        <v>121940.9</v>
      </c>
      <c r="K147" s="65">
        <v>26117.84</v>
      </c>
      <c r="L147" s="65">
        <v>17919.990000000002</v>
      </c>
      <c r="M147" s="65">
        <v>8197.85</v>
      </c>
      <c r="N147" s="34"/>
      <c r="O147" s="35"/>
    </row>
    <row r="148" spans="1:15" s="36" customFormat="1" ht="12" x14ac:dyDescent="0.2">
      <c r="A148" s="33"/>
      <c r="B148" s="62">
        <v>40086</v>
      </c>
      <c r="C148" s="64">
        <v>8.5</v>
      </c>
      <c r="D148" s="64">
        <v>10.6</v>
      </c>
      <c r="E148" s="64">
        <v>3.9</v>
      </c>
      <c r="F148" s="64">
        <v>8.6999999999999993</v>
      </c>
      <c r="G148" s="64">
        <v>9.1</v>
      </c>
      <c r="H148" s="33"/>
      <c r="I148" s="62">
        <v>39355</v>
      </c>
      <c r="J148" s="64">
        <v>191423.1</v>
      </c>
      <c r="K148" s="64">
        <v>38916.9</v>
      </c>
      <c r="L148" s="64">
        <v>29016.33</v>
      </c>
      <c r="M148" s="64">
        <v>9900.57</v>
      </c>
      <c r="N148" s="34"/>
      <c r="O148" s="35"/>
    </row>
    <row r="149" spans="1:15" s="36" customFormat="1" ht="12" x14ac:dyDescent="0.2">
      <c r="A149" s="33"/>
      <c r="B149" s="63">
        <v>40178</v>
      </c>
      <c r="C149" s="65">
        <v>9.3987259999999999</v>
      </c>
      <c r="D149" s="65">
        <v>11.9</v>
      </c>
      <c r="E149" s="65">
        <v>4.0024259999999998</v>
      </c>
      <c r="F149" s="65">
        <v>10.292805</v>
      </c>
      <c r="G149" s="65">
        <v>9.5865860000000005</v>
      </c>
      <c r="H149" s="33"/>
      <c r="I149" s="63">
        <v>39447</v>
      </c>
      <c r="J149" s="65">
        <v>270092.32371800003</v>
      </c>
      <c r="K149" s="65">
        <v>51321.78</v>
      </c>
      <c r="L149" s="65">
        <v>49781.35</v>
      </c>
      <c r="M149" s="65">
        <v>1540.43</v>
      </c>
      <c r="N149" s="34"/>
      <c r="O149" s="35"/>
    </row>
    <row r="150" spans="1:15" s="36" customFormat="1" ht="12" x14ac:dyDescent="0.2">
      <c r="A150" s="33"/>
      <c r="B150" s="62">
        <v>40268</v>
      </c>
      <c r="C150" s="64">
        <v>12.2</v>
      </c>
      <c r="D150" s="64">
        <v>12.2</v>
      </c>
      <c r="E150" s="64">
        <v>3.9</v>
      </c>
      <c r="F150" s="64">
        <v>15.4</v>
      </c>
      <c r="G150" s="64">
        <v>10</v>
      </c>
      <c r="H150" s="33"/>
      <c r="I150" s="62">
        <v>39538</v>
      </c>
      <c r="J150" s="64">
        <v>69373.600000000006</v>
      </c>
      <c r="K150" s="64">
        <v>15971.34</v>
      </c>
      <c r="L150" s="64">
        <v>9506.74</v>
      </c>
      <c r="M150" s="64">
        <v>6464.6</v>
      </c>
      <c r="N150" s="34"/>
      <c r="O150" s="35"/>
    </row>
    <row r="151" spans="1:15" s="36" customFormat="1" ht="12" x14ac:dyDescent="0.2">
      <c r="A151" s="33"/>
      <c r="B151" s="63">
        <v>40359</v>
      </c>
      <c r="C151" s="65">
        <v>11.4</v>
      </c>
      <c r="D151" s="65">
        <v>10.8</v>
      </c>
      <c r="E151" s="65">
        <v>3.7</v>
      </c>
      <c r="F151" s="65">
        <v>14</v>
      </c>
      <c r="G151" s="65">
        <v>9.8000000000000007</v>
      </c>
      <c r="H151" s="33"/>
      <c r="I151" s="63">
        <v>39629</v>
      </c>
      <c r="J151" s="65">
        <v>148085.5</v>
      </c>
      <c r="K151" s="65">
        <v>34808.19</v>
      </c>
      <c r="L151" s="65">
        <v>22882.02</v>
      </c>
      <c r="M151" s="65">
        <v>11926.17</v>
      </c>
      <c r="N151" s="34"/>
      <c r="O151" s="35"/>
    </row>
    <row r="152" spans="1:15" s="36" customFormat="1" ht="12" x14ac:dyDescent="0.2">
      <c r="A152" s="33"/>
      <c r="B152" s="62">
        <v>40451</v>
      </c>
      <c r="C152" s="64">
        <v>10.9</v>
      </c>
      <c r="D152" s="64">
        <v>9.9</v>
      </c>
      <c r="E152" s="64">
        <v>4</v>
      </c>
      <c r="F152" s="64">
        <v>13.1</v>
      </c>
      <c r="G152" s="64">
        <v>9.6999999999999993</v>
      </c>
      <c r="H152" s="33"/>
      <c r="I152" s="62">
        <v>39721</v>
      </c>
      <c r="J152" s="64">
        <v>230545.6</v>
      </c>
      <c r="K152" s="64">
        <v>48946.9</v>
      </c>
      <c r="L152" s="64">
        <v>36428.1</v>
      </c>
      <c r="M152" s="64">
        <v>12518.8</v>
      </c>
      <c r="N152" s="34"/>
      <c r="O152" s="35"/>
    </row>
    <row r="153" spans="1:15" s="36" customFormat="1" ht="12" x14ac:dyDescent="0.2">
      <c r="A153" s="33"/>
      <c r="B153" s="63">
        <v>40543</v>
      </c>
      <c r="C153" s="65">
        <v>10.635871</v>
      </c>
      <c r="D153" s="65">
        <v>9.9</v>
      </c>
      <c r="E153" s="65">
        <v>4.2510700000000003</v>
      </c>
      <c r="F153" s="65">
        <v>12.683596</v>
      </c>
      <c r="G153" s="65">
        <v>9.6689819999999997</v>
      </c>
      <c r="H153" s="33"/>
      <c r="I153" s="63">
        <v>39813</v>
      </c>
      <c r="J153" s="65">
        <v>319244.61277800001</v>
      </c>
      <c r="K153" s="65">
        <v>61316.9</v>
      </c>
      <c r="L153" s="65">
        <v>62427.03</v>
      </c>
      <c r="M153" s="65">
        <v>-1110.1300000000001</v>
      </c>
      <c r="N153" s="34"/>
      <c r="O153" s="35"/>
    </row>
    <row r="154" spans="1:15" s="36" customFormat="1" ht="12" x14ac:dyDescent="0.2">
      <c r="A154" s="33"/>
      <c r="B154" s="62">
        <v>40633</v>
      </c>
      <c r="C154" s="64">
        <v>10.199999999999999</v>
      </c>
      <c r="D154" s="64">
        <v>10.199999999999999</v>
      </c>
      <c r="E154" s="64">
        <v>3.1</v>
      </c>
      <c r="F154" s="64">
        <v>11.3</v>
      </c>
      <c r="G154" s="64">
        <v>9.9</v>
      </c>
      <c r="H154" s="33"/>
      <c r="I154" s="62">
        <v>39903</v>
      </c>
      <c r="J154" s="64">
        <v>73979.199999999997</v>
      </c>
      <c r="K154" s="64">
        <v>14642.05</v>
      </c>
      <c r="L154" s="64">
        <v>12810.92</v>
      </c>
      <c r="M154" s="64">
        <v>1831.13</v>
      </c>
      <c r="N154" s="34"/>
      <c r="O154" s="35"/>
    </row>
    <row r="155" spans="1:15" s="36" customFormat="1" ht="12" x14ac:dyDescent="0.2">
      <c r="A155" s="33"/>
      <c r="B155" s="63">
        <v>40724</v>
      </c>
      <c r="C155" s="65">
        <v>10.1</v>
      </c>
      <c r="D155" s="65">
        <v>10</v>
      </c>
      <c r="E155" s="65">
        <v>2.9</v>
      </c>
      <c r="F155" s="65">
        <v>11.1</v>
      </c>
      <c r="G155" s="65">
        <v>10.1</v>
      </c>
      <c r="H155" s="33"/>
      <c r="I155" s="63">
        <v>39994</v>
      </c>
      <c r="J155" s="65">
        <v>157845</v>
      </c>
      <c r="K155" s="65">
        <v>33976.14</v>
      </c>
      <c r="L155" s="65">
        <v>28902.560000000001</v>
      </c>
      <c r="M155" s="65">
        <v>5073.58</v>
      </c>
      <c r="N155" s="34"/>
      <c r="O155" s="35"/>
    </row>
    <row r="156" spans="1:15" s="36" customFormat="1" ht="12" x14ac:dyDescent="0.2">
      <c r="A156" s="33"/>
      <c r="B156" s="62">
        <v>40816</v>
      </c>
      <c r="C156" s="64">
        <v>9.9</v>
      </c>
      <c r="D156" s="64">
        <v>9.4</v>
      </c>
      <c r="E156" s="64">
        <v>3.5</v>
      </c>
      <c r="F156" s="64">
        <v>11</v>
      </c>
      <c r="G156" s="64">
        <v>9.9</v>
      </c>
      <c r="H156" s="33"/>
      <c r="I156" s="62">
        <v>40086</v>
      </c>
      <c r="J156" s="64">
        <v>247691.9</v>
      </c>
      <c r="K156" s="64">
        <v>51518.87</v>
      </c>
      <c r="L156" s="64">
        <v>45202.78</v>
      </c>
      <c r="M156" s="64">
        <v>6316.09</v>
      </c>
      <c r="N156" s="34"/>
      <c r="O156" s="35"/>
    </row>
    <row r="157" spans="1:15" s="36" customFormat="1" ht="12" x14ac:dyDescent="0.2">
      <c r="A157" s="33"/>
      <c r="B157" s="63">
        <v>40908</v>
      </c>
      <c r="C157" s="65">
        <v>9.5508319999999998</v>
      </c>
      <c r="D157" s="65">
        <v>8.8000000000000007</v>
      </c>
      <c r="E157" s="65">
        <v>4.1742889999999999</v>
      </c>
      <c r="F157" s="65">
        <v>10.688675</v>
      </c>
      <c r="G157" s="65">
        <v>9.4881290000000007</v>
      </c>
      <c r="H157" s="33"/>
      <c r="I157" s="63">
        <v>40178</v>
      </c>
      <c r="J157" s="65">
        <v>348517.74373500003</v>
      </c>
      <c r="K157" s="65">
        <v>68476.88</v>
      </c>
      <c r="L157" s="65">
        <v>75873.64</v>
      </c>
      <c r="M157" s="65">
        <v>-7396.76</v>
      </c>
      <c r="N157" s="34"/>
      <c r="O157" s="35"/>
    </row>
    <row r="158" spans="1:15" s="36" customFormat="1" ht="12" x14ac:dyDescent="0.2">
      <c r="A158" s="33"/>
      <c r="B158" s="62">
        <v>40999</v>
      </c>
      <c r="C158" s="64">
        <v>8.1</v>
      </c>
      <c r="D158" s="64">
        <v>8.1</v>
      </c>
      <c r="E158" s="64">
        <v>3.7</v>
      </c>
      <c r="F158" s="64">
        <v>9.5</v>
      </c>
      <c r="G158" s="64">
        <v>7.3</v>
      </c>
      <c r="H158" s="33"/>
      <c r="I158" s="62">
        <v>40268</v>
      </c>
      <c r="J158" s="64">
        <v>87501.3</v>
      </c>
      <c r="K158" s="64">
        <v>19627.07</v>
      </c>
      <c r="L158" s="64">
        <v>14329.96</v>
      </c>
      <c r="M158" s="64">
        <v>5297.11</v>
      </c>
      <c r="N158" s="34"/>
      <c r="O158" s="35"/>
    </row>
    <row r="159" spans="1:15" s="36" customFormat="1" ht="12" x14ac:dyDescent="0.2">
      <c r="A159" s="33"/>
      <c r="B159" s="63">
        <v>41090</v>
      </c>
      <c r="C159" s="65">
        <v>7.9</v>
      </c>
      <c r="D159" s="65">
        <v>7.7</v>
      </c>
      <c r="E159" s="65">
        <v>4.3</v>
      </c>
      <c r="F159" s="65">
        <v>8.6999999999999993</v>
      </c>
      <c r="G159" s="65">
        <v>7.6</v>
      </c>
      <c r="H159" s="33"/>
      <c r="I159" s="63">
        <v>40359</v>
      </c>
      <c r="J159" s="65">
        <v>186848.7</v>
      </c>
      <c r="K159" s="65">
        <v>43349.79</v>
      </c>
      <c r="L159" s="65">
        <v>33811.360000000001</v>
      </c>
      <c r="M159" s="65">
        <v>9538.43</v>
      </c>
      <c r="N159" s="34"/>
      <c r="O159" s="35"/>
    </row>
    <row r="160" spans="1:15" s="36" customFormat="1" ht="12" x14ac:dyDescent="0.2">
      <c r="A160" s="33"/>
      <c r="B160" s="62">
        <v>41182</v>
      </c>
      <c r="C160" s="64">
        <v>7.8</v>
      </c>
      <c r="D160" s="64">
        <v>7.5</v>
      </c>
      <c r="E160" s="64">
        <v>4.2</v>
      </c>
      <c r="F160" s="64">
        <v>8.3000000000000007</v>
      </c>
      <c r="G160" s="64">
        <v>7.8</v>
      </c>
      <c r="H160" s="33"/>
      <c r="I160" s="62">
        <v>40451</v>
      </c>
      <c r="J160" s="64">
        <v>292812.40000000002</v>
      </c>
      <c r="K160" s="64">
        <v>63039.51</v>
      </c>
      <c r="L160" s="64">
        <v>54504.959999999999</v>
      </c>
      <c r="M160" s="64">
        <v>8534.5499999999993</v>
      </c>
      <c r="N160" s="34"/>
      <c r="O160" s="35"/>
    </row>
    <row r="161" spans="1:15" s="36" customFormat="1" ht="12" x14ac:dyDescent="0.2">
      <c r="A161" s="33"/>
      <c r="B161" s="63">
        <v>41274</v>
      </c>
      <c r="C161" s="65">
        <v>7.8637360000000003</v>
      </c>
      <c r="D161" s="65">
        <v>8.1</v>
      </c>
      <c r="E161" s="65">
        <v>4.4665419999999996</v>
      </c>
      <c r="F161" s="65">
        <v>8.3636400000000002</v>
      </c>
      <c r="G161" s="65">
        <v>8.0140999999999991</v>
      </c>
      <c r="H161" s="33"/>
      <c r="I161" s="63">
        <v>40543</v>
      </c>
      <c r="J161" s="65">
        <v>412119.25579600001</v>
      </c>
      <c r="K161" s="65">
        <v>83080</v>
      </c>
      <c r="L161" s="65">
        <v>89575</v>
      </c>
      <c r="M161" s="65">
        <v>-6495</v>
      </c>
      <c r="N161" s="34"/>
      <c r="O161" s="35"/>
    </row>
    <row r="162" spans="1:15" s="36" customFormat="1" ht="12" x14ac:dyDescent="0.2">
      <c r="A162" s="33"/>
      <c r="B162" s="62">
        <v>41364</v>
      </c>
      <c r="C162" s="64">
        <v>7.9</v>
      </c>
      <c r="D162" s="64">
        <v>7.9</v>
      </c>
      <c r="E162" s="64">
        <v>3</v>
      </c>
      <c r="F162" s="64">
        <v>7.8</v>
      </c>
      <c r="G162" s="64">
        <v>8.4</v>
      </c>
      <c r="H162" s="33"/>
      <c r="I162" s="62">
        <v>40633</v>
      </c>
      <c r="J162" s="64">
        <v>104469.9</v>
      </c>
      <c r="K162" s="64">
        <v>26125.74</v>
      </c>
      <c r="L162" s="64">
        <v>18053.57</v>
      </c>
      <c r="M162" s="64">
        <v>8072.17</v>
      </c>
      <c r="N162" s="34"/>
      <c r="O162" s="35"/>
    </row>
    <row r="163" spans="1:15" s="36" customFormat="1" ht="12" x14ac:dyDescent="0.2">
      <c r="A163" s="33"/>
      <c r="B163" s="63">
        <v>41455</v>
      </c>
      <c r="C163" s="65">
        <v>7.7</v>
      </c>
      <c r="D163" s="65">
        <v>7.6</v>
      </c>
      <c r="E163" s="65">
        <v>2.8</v>
      </c>
      <c r="F163" s="65">
        <v>7.7</v>
      </c>
      <c r="G163" s="65">
        <v>8.3000000000000007</v>
      </c>
      <c r="H163" s="33"/>
      <c r="I163" s="63">
        <v>40724</v>
      </c>
      <c r="J163" s="65">
        <v>223365.8</v>
      </c>
      <c r="K163" s="65">
        <v>56875.82</v>
      </c>
      <c r="L163" s="65">
        <v>44435.14</v>
      </c>
      <c r="M163" s="65">
        <v>12440.68</v>
      </c>
      <c r="N163" s="34"/>
      <c r="O163" s="35"/>
    </row>
    <row r="164" spans="1:15" s="36" customFormat="1" ht="12" x14ac:dyDescent="0.2">
      <c r="A164" s="33"/>
      <c r="B164" s="62">
        <v>41547</v>
      </c>
      <c r="C164" s="64">
        <v>7.8</v>
      </c>
      <c r="D164" s="64">
        <v>7.9</v>
      </c>
      <c r="E164" s="64">
        <v>3.3</v>
      </c>
      <c r="F164" s="64">
        <v>7.9</v>
      </c>
      <c r="G164" s="64">
        <v>8.4</v>
      </c>
      <c r="H164" s="33"/>
      <c r="I164" s="62">
        <v>40816</v>
      </c>
      <c r="J164" s="64">
        <v>349928</v>
      </c>
      <c r="K164" s="64">
        <v>81663.34</v>
      </c>
      <c r="L164" s="64">
        <v>69480.570000000007</v>
      </c>
      <c r="M164" s="64">
        <v>12182.77</v>
      </c>
      <c r="N164" s="34"/>
      <c r="O164" s="35"/>
    </row>
    <row r="165" spans="1:15" s="36" customFormat="1" ht="12" x14ac:dyDescent="0.2">
      <c r="A165" s="33"/>
      <c r="B165" s="63">
        <v>41639</v>
      </c>
      <c r="C165" s="65">
        <v>7.7661499999999997</v>
      </c>
      <c r="D165" s="65">
        <v>7.7</v>
      </c>
      <c r="E165" s="65">
        <v>3.8071999999999999</v>
      </c>
      <c r="F165" s="65">
        <v>7.9872139999999998</v>
      </c>
      <c r="G165" s="65">
        <v>8.2991679999999999</v>
      </c>
      <c r="H165" s="33"/>
      <c r="I165" s="63">
        <v>40908</v>
      </c>
      <c r="J165" s="65">
        <v>487940.18052499997</v>
      </c>
      <c r="K165" s="65">
        <v>103740</v>
      </c>
      <c r="L165" s="65">
        <v>108930</v>
      </c>
      <c r="M165" s="65">
        <v>-5190</v>
      </c>
      <c r="N165" s="34"/>
      <c r="O165" s="35"/>
    </row>
    <row r="166" spans="1:15" s="36" customFormat="1" ht="12" x14ac:dyDescent="0.2">
      <c r="A166" s="33"/>
      <c r="B166" s="62">
        <v>41729</v>
      </c>
      <c r="C166" s="64">
        <v>7.5</v>
      </c>
      <c r="D166" s="64">
        <v>7.5</v>
      </c>
      <c r="E166" s="64">
        <v>3.2</v>
      </c>
      <c r="F166" s="64">
        <v>7.3</v>
      </c>
      <c r="G166" s="64">
        <v>8.1</v>
      </c>
      <c r="H166" s="33"/>
      <c r="I166" s="62">
        <v>40999</v>
      </c>
      <c r="J166" s="64">
        <v>117357.6</v>
      </c>
      <c r="K166" s="64">
        <v>29976.25</v>
      </c>
      <c r="L166" s="64">
        <v>24118.05</v>
      </c>
      <c r="M166" s="64">
        <v>5858.2</v>
      </c>
      <c r="N166" s="34"/>
      <c r="O166" s="35"/>
    </row>
    <row r="167" spans="1:15" s="36" customFormat="1" ht="12" x14ac:dyDescent="0.2">
      <c r="A167" s="33"/>
      <c r="B167" s="63">
        <v>41820</v>
      </c>
      <c r="C167" s="65">
        <v>7.6</v>
      </c>
      <c r="D167" s="65">
        <v>7.6</v>
      </c>
      <c r="E167" s="65">
        <v>3.7</v>
      </c>
      <c r="F167" s="65">
        <v>7.5</v>
      </c>
      <c r="G167" s="65">
        <v>8.1999999999999993</v>
      </c>
      <c r="H167" s="33"/>
      <c r="I167" s="63">
        <v>41090</v>
      </c>
      <c r="J167" s="65">
        <v>248678.3</v>
      </c>
      <c r="K167" s="65">
        <v>63795.3</v>
      </c>
      <c r="L167" s="65">
        <v>53893</v>
      </c>
      <c r="M167" s="65">
        <v>9902.2999999999993</v>
      </c>
      <c r="N167" s="34"/>
      <c r="O167" s="35"/>
    </row>
    <row r="168" spans="1:15" s="36" customFormat="1" ht="12" x14ac:dyDescent="0.2">
      <c r="A168" s="33"/>
      <c r="B168" s="62">
        <v>41912</v>
      </c>
      <c r="C168" s="64">
        <v>7.5</v>
      </c>
      <c r="D168" s="64">
        <v>7.2</v>
      </c>
      <c r="E168" s="64">
        <v>4.0999999999999996</v>
      </c>
      <c r="F168" s="64">
        <v>7.3</v>
      </c>
      <c r="G168" s="64">
        <v>8.1</v>
      </c>
      <c r="H168" s="33"/>
      <c r="I168" s="62">
        <v>41182</v>
      </c>
      <c r="J168" s="64">
        <v>386767.9</v>
      </c>
      <c r="K168" s="64">
        <v>90588.4</v>
      </c>
      <c r="L168" s="64">
        <v>84119.3</v>
      </c>
      <c r="M168" s="64">
        <v>6469.1</v>
      </c>
      <c r="N168" s="34"/>
      <c r="O168" s="35"/>
    </row>
    <row r="169" spans="1:15" s="36" customFormat="1" ht="12" x14ac:dyDescent="0.2">
      <c r="A169" s="33"/>
      <c r="B169" s="63">
        <v>42004</v>
      </c>
      <c r="C169" s="65">
        <v>7.425764</v>
      </c>
      <c r="D169" s="65">
        <v>7.3</v>
      </c>
      <c r="E169" s="65">
        <v>4.0504680000000004</v>
      </c>
      <c r="F169" s="65">
        <v>7.1555650000000002</v>
      </c>
      <c r="G169" s="65">
        <v>8.3418170000000007</v>
      </c>
      <c r="H169" s="33"/>
      <c r="I169" s="63">
        <v>41274</v>
      </c>
      <c r="J169" s="65">
        <v>538579.95346899994</v>
      </c>
      <c r="K169" s="65">
        <v>117209.75</v>
      </c>
      <c r="L169" s="65">
        <v>125712.25</v>
      </c>
      <c r="M169" s="65">
        <v>-8502.5</v>
      </c>
      <c r="N169" s="34"/>
      <c r="O169" s="35"/>
    </row>
    <row r="170" spans="1:15" s="36" customFormat="1" ht="12" x14ac:dyDescent="0.2">
      <c r="A170" s="33"/>
      <c r="B170" s="62">
        <v>42094</v>
      </c>
      <c r="C170" s="64">
        <v>7.1</v>
      </c>
      <c r="D170" s="64">
        <v>7.1</v>
      </c>
      <c r="E170" s="64">
        <v>3.1</v>
      </c>
      <c r="F170" s="64">
        <v>6.2</v>
      </c>
      <c r="G170" s="64">
        <v>8.4</v>
      </c>
      <c r="H170" s="33"/>
      <c r="I170" s="62">
        <v>41364</v>
      </c>
      <c r="J170" s="64">
        <v>129449.60000000001</v>
      </c>
      <c r="K170" s="64">
        <v>32033.89</v>
      </c>
      <c r="L170" s="64">
        <v>27036.74</v>
      </c>
      <c r="M170" s="64">
        <v>4997.1499999999996</v>
      </c>
      <c r="N170" s="34"/>
      <c r="O170" s="35"/>
    </row>
    <row r="171" spans="1:15" s="36" customFormat="1" ht="12" x14ac:dyDescent="0.2">
      <c r="A171" s="33"/>
      <c r="B171" s="63">
        <v>42185</v>
      </c>
      <c r="C171" s="65">
        <v>7.1</v>
      </c>
      <c r="D171" s="65">
        <v>7.1</v>
      </c>
      <c r="E171" s="65">
        <v>3.4</v>
      </c>
      <c r="F171" s="65">
        <v>6</v>
      </c>
      <c r="G171" s="65">
        <v>8.6999999999999993</v>
      </c>
      <c r="H171" s="33"/>
      <c r="I171" s="63">
        <v>41455</v>
      </c>
      <c r="J171" s="65">
        <v>272968.2</v>
      </c>
      <c r="K171" s="65">
        <v>68590.52</v>
      </c>
      <c r="L171" s="65">
        <v>59713.99</v>
      </c>
      <c r="M171" s="65">
        <v>8876.5300000000007</v>
      </c>
      <c r="N171" s="34"/>
      <c r="O171" s="35"/>
    </row>
    <row r="172" spans="1:15" s="36" customFormat="1" ht="12" x14ac:dyDescent="0.2">
      <c r="A172" s="33"/>
      <c r="B172" s="62">
        <v>42277</v>
      </c>
      <c r="C172" s="64">
        <v>7.1</v>
      </c>
      <c r="D172" s="64">
        <v>7</v>
      </c>
      <c r="E172" s="64">
        <v>3.8</v>
      </c>
      <c r="F172" s="64">
        <v>5.9</v>
      </c>
      <c r="G172" s="64">
        <v>8.8000000000000007</v>
      </c>
      <c r="H172" s="33"/>
      <c r="I172" s="62">
        <v>41547</v>
      </c>
      <c r="J172" s="64">
        <v>425190.9</v>
      </c>
      <c r="K172" s="64">
        <v>98389.03</v>
      </c>
      <c r="L172" s="64">
        <v>91532.33</v>
      </c>
      <c r="M172" s="64">
        <v>6856.7</v>
      </c>
      <c r="N172" s="34"/>
      <c r="O172" s="35"/>
    </row>
    <row r="173" spans="1:15" s="36" customFormat="1" ht="12" x14ac:dyDescent="0.2">
      <c r="A173" s="33"/>
      <c r="B173" s="63">
        <v>42369</v>
      </c>
      <c r="C173" s="65">
        <v>7.0413290000000002</v>
      </c>
      <c r="D173" s="65">
        <v>6.9</v>
      </c>
      <c r="E173" s="65">
        <v>3.8985210000000001</v>
      </c>
      <c r="F173" s="65">
        <v>5.9267640000000004</v>
      </c>
      <c r="G173" s="65">
        <v>8.7767099999999996</v>
      </c>
      <c r="H173" s="33"/>
      <c r="I173" s="63">
        <v>41639</v>
      </c>
      <c r="J173" s="65">
        <v>592963.22954900004</v>
      </c>
      <c r="K173" s="65">
        <v>129143</v>
      </c>
      <c r="L173" s="65">
        <v>139744</v>
      </c>
      <c r="M173" s="65">
        <v>-10601</v>
      </c>
      <c r="N173" s="34"/>
      <c r="O173" s="35"/>
    </row>
    <row r="174" spans="1:15" s="36" customFormat="1" ht="12" x14ac:dyDescent="0.2">
      <c r="A174" s="33"/>
      <c r="B174" s="62">
        <v>42460</v>
      </c>
      <c r="C174" s="64">
        <v>6.9</v>
      </c>
      <c r="D174" s="64">
        <v>6.9</v>
      </c>
      <c r="E174" s="64">
        <v>2.9</v>
      </c>
      <c r="F174" s="64">
        <v>5.8</v>
      </c>
      <c r="G174" s="64">
        <v>8</v>
      </c>
      <c r="H174" s="33"/>
      <c r="I174" s="62">
        <v>41729</v>
      </c>
      <c r="J174" s="64">
        <v>140759.79999999999</v>
      </c>
      <c r="K174" s="64">
        <v>35025.730000000003</v>
      </c>
      <c r="L174" s="64">
        <v>30432.47</v>
      </c>
      <c r="M174" s="64">
        <v>4593.26</v>
      </c>
      <c r="N174" s="34"/>
      <c r="O174" s="35"/>
    </row>
    <row r="175" spans="1:15" s="36" customFormat="1" ht="12" x14ac:dyDescent="0.2">
      <c r="A175" s="33"/>
      <c r="B175" s="63">
        <v>42551</v>
      </c>
      <c r="C175" s="65">
        <v>6.9</v>
      </c>
      <c r="D175" s="65">
        <v>6.8</v>
      </c>
      <c r="E175" s="65">
        <v>3</v>
      </c>
      <c r="F175" s="65">
        <v>6</v>
      </c>
      <c r="G175" s="65">
        <v>7.9</v>
      </c>
      <c r="H175" s="33"/>
      <c r="I175" s="63">
        <v>41820</v>
      </c>
      <c r="J175" s="65">
        <v>297249.5</v>
      </c>
      <c r="K175" s="65">
        <v>74638.02</v>
      </c>
      <c r="L175" s="65">
        <v>69154.100000000006</v>
      </c>
      <c r="M175" s="65">
        <v>5483.92</v>
      </c>
      <c r="N175" s="34"/>
      <c r="O175" s="35"/>
    </row>
    <row r="176" spans="1:15" s="36" customFormat="1" ht="12" x14ac:dyDescent="0.2">
      <c r="A176" s="33"/>
      <c r="B176" s="62">
        <v>42643</v>
      </c>
      <c r="C176" s="64">
        <v>6.8</v>
      </c>
      <c r="D176" s="64">
        <v>6.8</v>
      </c>
      <c r="E176" s="64">
        <v>3.5</v>
      </c>
      <c r="F176" s="64">
        <v>6</v>
      </c>
      <c r="G176" s="64">
        <v>8</v>
      </c>
      <c r="H176" s="33"/>
      <c r="I176" s="62">
        <v>41912</v>
      </c>
      <c r="J176" s="64">
        <v>462734.2</v>
      </c>
      <c r="K176" s="64">
        <v>106361.77</v>
      </c>
      <c r="L176" s="64">
        <v>103639.51</v>
      </c>
      <c r="M176" s="64">
        <v>2722.26</v>
      </c>
      <c r="N176" s="34"/>
      <c r="O176" s="35"/>
    </row>
    <row r="177" spans="1:15" s="36" customFormat="1" ht="12" x14ac:dyDescent="0.2">
      <c r="A177" s="33"/>
      <c r="B177" s="63">
        <v>42735</v>
      </c>
      <c r="C177" s="65">
        <v>6.8487619999999998</v>
      </c>
      <c r="D177" s="65">
        <v>6.9</v>
      </c>
      <c r="E177" s="65">
        <v>3.2778139999999998</v>
      </c>
      <c r="F177" s="65">
        <v>6.0314829999999997</v>
      </c>
      <c r="G177" s="65">
        <v>8.0960800000000006</v>
      </c>
      <c r="H177" s="33"/>
      <c r="I177" s="63">
        <v>42004</v>
      </c>
      <c r="J177" s="65">
        <v>643563.104544</v>
      </c>
      <c r="K177" s="65">
        <v>140350</v>
      </c>
      <c r="L177" s="65">
        <v>151662</v>
      </c>
      <c r="M177" s="65">
        <v>-11312</v>
      </c>
      <c r="N177" s="34"/>
      <c r="O177" s="35"/>
    </row>
    <row r="178" spans="1:15" s="36" customFormat="1" ht="12" x14ac:dyDescent="0.2">
      <c r="A178" s="33"/>
      <c r="B178" s="62">
        <v>42825</v>
      </c>
      <c r="C178" s="64">
        <v>7</v>
      </c>
      <c r="D178" s="64">
        <v>7</v>
      </c>
      <c r="E178" s="64">
        <v>3</v>
      </c>
      <c r="F178" s="64">
        <v>6.1</v>
      </c>
      <c r="G178" s="64">
        <v>8</v>
      </c>
      <c r="H178" s="33"/>
      <c r="I178" s="62">
        <v>42094</v>
      </c>
      <c r="J178" s="64">
        <v>151137.9</v>
      </c>
      <c r="K178" s="64">
        <v>36407.120000000003</v>
      </c>
      <c r="L178" s="64">
        <v>32815.269999999997</v>
      </c>
      <c r="M178" s="64">
        <v>3591.85</v>
      </c>
      <c r="N178" s="34"/>
      <c r="O178" s="35"/>
    </row>
    <row r="179" spans="1:15" s="36" customFormat="1" ht="12" x14ac:dyDescent="0.2">
      <c r="A179" s="33"/>
      <c r="B179" s="63">
        <v>42916</v>
      </c>
      <c r="C179" s="65">
        <v>7</v>
      </c>
      <c r="D179" s="65">
        <v>7</v>
      </c>
      <c r="E179" s="65">
        <v>3.5</v>
      </c>
      <c r="F179" s="65">
        <v>6.2</v>
      </c>
      <c r="G179" s="65">
        <v>8</v>
      </c>
      <c r="H179" s="33"/>
      <c r="I179" s="63">
        <v>42185</v>
      </c>
      <c r="J179" s="65">
        <v>319687.59999999998</v>
      </c>
      <c r="K179" s="65">
        <v>79599.94</v>
      </c>
      <c r="L179" s="65">
        <v>77287.94</v>
      </c>
      <c r="M179" s="65">
        <v>2312</v>
      </c>
      <c r="N179" s="34"/>
      <c r="O179" s="35"/>
    </row>
    <row r="180" spans="1:15" s="36" customFormat="1" ht="12" x14ac:dyDescent="0.2">
      <c r="A180" s="33"/>
      <c r="B180" s="62">
        <v>43008</v>
      </c>
      <c r="C180" s="64">
        <v>7</v>
      </c>
      <c r="D180" s="64">
        <v>6.9</v>
      </c>
      <c r="E180" s="64">
        <v>3.7</v>
      </c>
      <c r="F180" s="64">
        <v>6</v>
      </c>
      <c r="G180" s="64">
        <v>8.1999999999999993</v>
      </c>
      <c r="H180" s="33"/>
      <c r="I180" s="62">
        <v>42277</v>
      </c>
      <c r="J180" s="64">
        <v>496285.3</v>
      </c>
      <c r="K180" s="64">
        <v>114412.49</v>
      </c>
      <c r="L180" s="64">
        <v>120662.53</v>
      </c>
      <c r="M180" s="64">
        <v>-6250.04</v>
      </c>
      <c r="N180" s="34"/>
      <c r="O180" s="35"/>
    </row>
    <row r="181" spans="1:15" s="36" customFormat="1" ht="12" x14ac:dyDescent="0.2">
      <c r="A181" s="33"/>
      <c r="B181" s="63">
        <v>43100</v>
      </c>
      <c r="C181" s="65">
        <v>6.9472009999999997</v>
      </c>
      <c r="D181" s="65">
        <v>6.8</v>
      </c>
      <c r="E181" s="65">
        <v>3.9612910000000001</v>
      </c>
      <c r="F181" s="65">
        <v>5.86829</v>
      </c>
      <c r="G181" s="65">
        <v>8.2697730000000007</v>
      </c>
      <c r="H181" s="33"/>
      <c r="I181" s="63">
        <v>42369</v>
      </c>
      <c r="J181" s="65">
        <v>688858.21804900002</v>
      </c>
      <c r="K181" s="65">
        <v>152217</v>
      </c>
      <c r="L181" s="65">
        <v>175768</v>
      </c>
      <c r="M181" s="65">
        <v>-23551</v>
      </c>
      <c r="N181" s="34"/>
      <c r="O181" s="35"/>
    </row>
    <row r="182" spans="1:15" s="36" customFormat="1" ht="12" x14ac:dyDescent="0.2">
      <c r="A182" s="33"/>
      <c r="B182" s="62">
        <v>43190</v>
      </c>
      <c r="C182" s="64">
        <v>6.9</v>
      </c>
      <c r="D182" s="64">
        <v>6.9</v>
      </c>
      <c r="E182" s="64">
        <v>3.2</v>
      </c>
      <c r="F182" s="64">
        <v>6.2</v>
      </c>
      <c r="G182" s="64">
        <v>7.8</v>
      </c>
      <c r="H182" s="33"/>
      <c r="I182" s="62">
        <v>42460</v>
      </c>
      <c r="J182" s="64">
        <v>162410</v>
      </c>
      <c r="K182" s="64">
        <v>38896.04</v>
      </c>
      <c r="L182" s="64">
        <v>37958.31</v>
      </c>
      <c r="M182" s="64">
        <v>937.73</v>
      </c>
      <c r="N182" s="34"/>
      <c r="O182" s="35"/>
    </row>
    <row r="183" spans="1:15" s="36" customFormat="1" ht="12" x14ac:dyDescent="0.2">
      <c r="A183" s="33"/>
      <c r="B183" s="63">
        <v>43281</v>
      </c>
      <c r="C183" s="65">
        <v>6.9</v>
      </c>
      <c r="D183" s="65">
        <v>6.9</v>
      </c>
      <c r="E183" s="65">
        <v>3.3</v>
      </c>
      <c r="F183" s="65">
        <v>6.1</v>
      </c>
      <c r="G183" s="65">
        <v>7.9</v>
      </c>
      <c r="H183" s="33"/>
      <c r="I183" s="63">
        <v>42551</v>
      </c>
      <c r="J183" s="65">
        <v>343818.2</v>
      </c>
      <c r="K183" s="65">
        <v>85513.84</v>
      </c>
      <c r="L183" s="65">
        <v>89165.01</v>
      </c>
      <c r="M183" s="65">
        <v>-3651.17</v>
      </c>
      <c r="N183" s="34"/>
      <c r="O183" s="35"/>
    </row>
    <row r="184" spans="1:15" s="36" customFormat="1" ht="12" x14ac:dyDescent="0.2">
      <c r="A184" s="33"/>
      <c r="B184" s="62">
        <v>43373</v>
      </c>
      <c r="C184" s="64">
        <v>6.8</v>
      </c>
      <c r="D184" s="64">
        <v>6.7</v>
      </c>
      <c r="E184" s="64">
        <v>3.4</v>
      </c>
      <c r="F184" s="64">
        <v>5.8</v>
      </c>
      <c r="G184" s="64">
        <v>8.1</v>
      </c>
      <c r="H184" s="33"/>
      <c r="I184" s="62">
        <v>42643</v>
      </c>
      <c r="J184" s="64">
        <v>534828.9</v>
      </c>
      <c r="K184" s="64">
        <v>121399.95</v>
      </c>
      <c r="L184" s="64">
        <v>135956.23000000001</v>
      </c>
      <c r="M184" s="64">
        <v>-14556.28</v>
      </c>
      <c r="N184" s="34"/>
      <c r="O184" s="35"/>
    </row>
    <row r="185" spans="1:15" s="36" customFormat="1" ht="12" x14ac:dyDescent="0.2">
      <c r="A185" s="33"/>
      <c r="B185" s="63">
        <v>43465</v>
      </c>
      <c r="C185" s="65">
        <v>6.7497740000000004</v>
      </c>
      <c r="D185" s="65">
        <v>6.5</v>
      </c>
      <c r="E185" s="65">
        <v>3.482917</v>
      </c>
      <c r="F185" s="65">
        <v>5.7924069999999999</v>
      </c>
      <c r="G185" s="65">
        <v>7.9835099999999999</v>
      </c>
      <c r="H185" s="33"/>
      <c r="I185" s="63">
        <v>42735</v>
      </c>
      <c r="J185" s="65">
        <v>746395.05948399997</v>
      </c>
      <c r="K185" s="65">
        <v>159552</v>
      </c>
      <c r="L185" s="65">
        <v>187841</v>
      </c>
      <c r="M185" s="65">
        <v>-28289</v>
      </c>
      <c r="N185" s="34"/>
      <c r="O185" s="35"/>
    </row>
    <row r="186" spans="1:15" s="36" customFormat="1" ht="12" x14ac:dyDescent="0.2">
      <c r="A186" s="33"/>
      <c r="B186" s="62">
        <v>43555</v>
      </c>
      <c r="C186" s="64">
        <v>6.3</v>
      </c>
      <c r="D186" s="64">
        <v>6.3</v>
      </c>
      <c r="E186" s="64">
        <v>2.7</v>
      </c>
      <c r="F186" s="64">
        <v>5.3</v>
      </c>
      <c r="G186" s="64">
        <v>7.2</v>
      </c>
      <c r="H186" s="33"/>
      <c r="I186" s="62">
        <v>42825</v>
      </c>
      <c r="J186" s="64">
        <v>181867.7</v>
      </c>
      <c r="K186" s="64">
        <v>44365.98</v>
      </c>
      <c r="L186" s="64">
        <v>45917.16</v>
      </c>
      <c r="M186" s="64">
        <v>-1551.18</v>
      </c>
      <c r="N186" s="34"/>
      <c r="O186" s="35"/>
    </row>
    <row r="187" spans="1:15" s="36" customFormat="1" ht="12" x14ac:dyDescent="0.2">
      <c r="A187" s="33"/>
      <c r="B187" s="63">
        <v>43646</v>
      </c>
      <c r="C187" s="65">
        <v>6.1</v>
      </c>
      <c r="D187" s="65">
        <v>6</v>
      </c>
      <c r="E187" s="65">
        <v>3.1</v>
      </c>
      <c r="F187" s="65">
        <v>5</v>
      </c>
      <c r="G187" s="65">
        <v>7.2</v>
      </c>
      <c r="H187" s="33"/>
      <c r="I187" s="63">
        <v>42916</v>
      </c>
      <c r="J187" s="65">
        <v>383818</v>
      </c>
      <c r="K187" s="65">
        <v>94305.95</v>
      </c>
      <c r="L187" s="65">
        <v>103483.34</v>
      </c>
      <c r="M187" s="65">
        <v>-9177.39</v>
      </c>
      <c r="N187" s="34"/>
      <c r="O187" s="35"/>
    </row>
    <row r="188" spans="1:15" s="36" customFormat="1" ht="12" x14ac:dyDescent="0.2">
      <c r="A188" s="33"/>
      <c r="B188" s="62">
        <v>43738</v>
      </c>
      <c r="C188" s="64">
        <v>6</v>
      </c>
      <c r="D188" s="64">
        <v>5.9</v>
      </c>
      <c r="E188" s="64">
        <v>2.9</v>
      </c>
      <c r="F188" s="64">
        <v>4.8</v>
      </c>
      <c r="G188" s="64">
        <v>7.3</v>
      </c>
      <c r="H188" s="33"/>
      <c r="I188" s="62">
        <v>43008</v>
      </c>
      <c r="J188" s="64">
        <v>596607.30000000005</v>
      </c>
      <c r="K188" s="64">
        <v>134128.9</v>
      </c>
      <c r="L188" s="64">
        <v>151873.06</v>
      </c>
      <c r="M188" s="64">
        <v>-17744.16</v>
      </c>
      <c r="N188" s="34"/>
      <c r="O188" s="35"/>
    </row>
    <row r="189" spans="1:15" s="36" customFormat="1" ht="12" x14ac:dyDescent="0.2">
      <c r="A189" s="33"/>
      <c r="B189" s="63">
        <v>43830</v>
      </c>
      <c r="C189" s="65">
        <v>5.950501</v>
      </c>
      <c r="D189" s="65">
        <v>5.8</v>
      </c>
      <c r="E189" s="65">
        <v>3.076794</v>
      </c>
      <c r="F189" s="65">
        <v>4.8746210000000003</v>
      </c>
      <c r="G189" s="65">
        <v>7.1810999999999998</v>
      </c>
      <c r="H189" s="33"/>
      <c r="I189" s="63">
        <v>43100</v>
      </c>
      <c r="J189" s="65">
        <v>832035.94856000005</v>
      </c>
      <c r="K189" s="65">
        <v>172567</v>
      </c>
      <c r="L189" s="65">
        <v>203330</v>
      </c>
      <c r="M189" s="65">
        <v>-30763</v>
      </c>
      <c r="N189" s="34"/>
      <c r="O189" s="35"/>
    </row>
    <row r="190" spans="1:15" s="36" customFormat="1" ht="12" x14ac:dyDescent="0.2">
      <c r="A190" s="33"/>
      <c r="B190" s="62">
        <v>43921</v>
      </c>
      <c r="C190" s="64">
        <v>-6.9</v>
      </c>
      <c r="D190" s="64">
        <v>-6.9</v>
      </c>
      <c r="E190" s="64">
        <v>-3.1</v>
      </c>
      <c r="F190" s="64">
        <v>-9.6999999999999993</v>
      </c>
      <c r="G190" s="64">
        <v>-5.4</v>
      </c>
      <c r="H190" s="33"/>
      <c r="I190" s="62">
        <v>43190</v>
      </c>
      <c r="J190" s="64">
        <v>202035.7</v>
      </c>
      <c r="K190" s="64">
        <v>50546.41</v>
      </c>
      <c r="L190" s="64">
        <v>50996.99</v>
      </c>
      <c r="M190" s="64">
        <v>-450.58</v>
      </c>
      <c r="N190" s="34"/>
      <c r="O190" s="35"/>
    </row>
    <row r="191" spans="1:15" s="36" customFormat="1" ht="12" x14ac:dyDescent="0.2">
      <c r="A191" s="33"/>
      <c r="B191" s="63">
        <v>44012</v>
      </c>
      <c r="C191" s="65">
        <v>-1.7</v>
      </c>
      <c r="D191" s="65">
        <v>3.1</v>
      </c>
      <c r="E191" s="65">
        <v>1</v>
      </c>
      <c r="F191" s="65">
        <v>-2</v>
      </c>
      <c r="G191" s="65">
        <v>-1.7</v>
      </c>
      <c r="H191" s="33"/>
      <c r="I191" s="63">
        <v>43281</v>
      </c>
      <c r="J191" s="65">
        <v>425997.9</v>
      </c>
      <c r="K191" s="65">
        <v>104330.68</v>
      </c>
      <c r="L191" s="65">
        <v>111592.11</v>
      </c>
      <c r="M191" s="65">
        <v>-7261.43</v>
      </c>
      <c r="N191" s="34"/>
      <c r="O191" s="35"/>
    </row>
    <row r="192" spans="1:15" s="36" customFormat="1" ht="12" x14ac:dyDescent="0.2">
      <c r="A192" s="33"/>
      <c r="B192" s="62">
        <v>44104</v>
      </c>
      <c r="C192" s="64">
        <v>0.6</v>
      </c>
      <c r="D192" s="64">
        <v>4.8</v>
      </c>
      <c r="E192" s="64">
        <v>2.5</v>
      </c>
      <c r="F192" s="64">
        <v>0.8</v>
      </c>
      <c r="G192" s="64">
        <v>0.3</v>
      </c>
      <c r="H192" s="33"/>
      <c r="I192" s="62">
        <v>43373</v>
      </c>
      <c r="J192" s="64">
        <v>660472.19999999995</v>
      </c>
      <c r="K192" s="64">
        <v>145831.32</v>
      </c>
      <c r="L192" s="64">
        <v>163289.49</v>
      </c>
      <c r="M192" s="64">
        <v>-17458.169999999998</v>
      </c>
      <c r="N192" s="34"/>
      <c r="O192" s="35"/>
    </row>
    <row r="193" spans="1:15" s="36" customFormat="1" ht="12" x14ac:dyDescent="0.2">
      <c r="A193" s="33"/>
      <c r="B193" s="63">
        <v>44196</v>
      </c>
      <c r="C193" s="65">
        <v>2.2386379999999999</v>
      </c>
      <c r="D193" s="65">
        <v>6.4</v>
      </c>
      <c r="E193" s="65">
        <v>3.1310850000000001</v>
      </c>
      <c r="F193" s="65">
        <v>2.464251</v>
      </c>
      <c r="G193" s="65">
        <v>1.947122</v>
      </c>
      <c r="H193" s="33"/>
      <c r="I193" s="63">
        <v>43465</v>
      </c>
      <c r="J193" s="65">
        <v>919281.129067</v>
      </c>
      <c r="K193" s="65">
        <v>183352</v>
      </c>
      <c r="L193" s="65">
        <v>220906</v>
      </c>
      <c r="M193" s="65">
        <v>-37554</v>
      </c>
      <c r="N193" s="34"/>
      <c r="O193" s="35"/>
    </row>
    <row r="194" spans="1:15" s="36" customFormat="1" ht="12" x14ac:dyDescent="0.2">
      <c r="A194" s="33"/>
      <c r="B194" s="62">
        <v>44286</v>
      </c>
      <c r="C194" s="64">
        <v>18.7</v>
      </c>
      <c r="D194" s="64">
        <v>18.7</v>
      </c>
      <c r="E194" s="64">
        <v>8.1</v>
      </c>
      <c r="F194" s="64">
        <v>24.9</v>
      </c>
      <c r="G194" s="64">
        <v>15.9</v>
      </c>
      <c r="H194" s="33"/>
      <c r="I194" s="62">
        <v>43555</v>
      </c>
      <c r="J194" s="64">
        <v>217168.3</v>
      </c>
      <c r="K194" s="64">
        <v>53656</v>
      </c>
      <c r="L194" s="64">
        <v>58629</v>
      </c>
      <c r="M194" s="64">
        <v>-4973</v>
      </c>
      <c r="N194" s="34"/>
      <c r="O194" s="35"/>
    </row>
    <row r="195" spans="1:15" s="36" customFormat="1" ht="12" x14ac:dyDescent="0.2">
      <c r="A195" s="33"/>
      <c r="B195" s="63">
        <v>44377</v>
      </c>
      <c r="C195" s="65">
        <v>13</v>
      </c>
      <c r="D195" s="65">
        <v>8.3000000000000007</v>
      </c>
      <c r="E195" s="65">
        <v>7.8</v>
      </c>
      <c r="F195" s="65">
        <v>15.3</v>
      </c>
      <c r="G195" s="65">
        <v>12.1</v>
      </c>
      <c r="H195" s="33"/>
      <c r="I195" s="63">
        <v>43646</v>
      </c>
      <c r="J195" s="65">
        <v>458670.9</v>
      </c>
      <c r="K195" s="65">
        <v>107846</v>
      </c>
      <c r="L195" s="65">
        <v>123538</v>
      </c>
      <c r="M195" s="65">
        <v>-15692</v>
      </c>
      <c r="N195" s="34"/>
      <c r="O195" s="35"/>
    </row>
    <row r="196" spans="1:15" s="36" customFormat="1" ht="12" x14ac:dyDescent="0.2">
      <c r="A196" s="33"/>
      <c r="B196" s="62">
        <v>44469</v>
      </c>
      <c r="C196" s="64">
        <v>10.1</v>
      </c>
      <c r="D196" s="64">
        <v>5.2</v>
      </c>
      <c r="E196" s="64">
        <v>7.5</v>
      </c>
      <c r="F196" s="64">
        <v>11.1</v>
      </c>
      <c r="G196" s="64">
        <v>9.8000000000000007</v>
      </c>
      <c r="H196" s="33"/>
      <c r="I196" s="62">
        <v>43738</v>
      </c>
      <c r="J196" s="64">
        <v>709717.2</v>
      </c>
      <c r="K196" s="64">
        <v>150678</v>
      </c>
      <c r="L196" s="64">
        <v>178612</v>
      </c>
      <c r="M196" s="64">
        <v>-27934</v>
      </c>
      <c r="N196" s="34"/>
      <c r="O196" s="35"/>
    </row>
    <row r="197" spans="1:15" s="36" customFormat="1" ht="12" x14ac:dyDescent="0.2">
      <c r="A197" s="33"/>
      <c r="B197" s="63">
        <v>44561</v>
      </c>
      <c r="C197" s="65">
        <v>8.4484689999999993</v>
      </c>
      <c r="D197" s="65">
        <v>4.3</v>
      </c>
      <c r="E197" s="65">
        <v>7.0737959999999998</v>
      </c>
      <c r="F197" s="65">
        <v>8.6743050000000004</v>
      </c>
      <c r="G197" s="65">
        <v>8.4858709999999995</v>
      </c>
      <c r="H197" s="33"/>
      <c r="I197" s="63">
        <v>43830</v>
      </c>
      <c r="J197" s="65">
        <v>986515.20229199994</v>
      </c>
      <c r="K197" s="65">
        <v>190382</v>
      </c>
      <c r="L197" s="65">
        <v>238874</v>
      </c>
      <c r="M197" s="65">
        <v>-48492</v>
      </c>
      <c r="N197" s="34"/>
      <c r="O197" s="35"/>
    </row>
    <row r="198" spans="1:15" s="36" customFormat="1" ht="12" x14ac:dyDescent="0.2">
      <c r="A198" s="33"/>
      <c r="B198" s="62">
        <v>44651</v>
      </c>
      <c r="C198" s="64">
        <v>4.8</v>
      </c>
      <c r="D198" s="64">
        <v>4.8</v>
      </c>
      <c r="E198" s="64">
        <v>6.1</v>
      </c>
      <c r="F198" s="64">
        <v>4.7</v>
      </c>
      <c r="G198" s="64">
        <v>4.7</v>
      </c>
      <c r="H198" s="33"/>
      <c r="I198" s="62">
        <v>43921</v>
      </c>
      <c r="J198" s="64">
        <v>205244.79999999999</v>
      </c>
      <c r="K198" s="64">
        <v>45984</v>
      </c>
      <c r="L198" s="64">
        <v>55284</v>
      </c>
      <c r="M198" s="64">
        <v>-9300</v>
      </c>
      <c r="N198" s="34"/>
      <c r="O198" s="35"/>
    </row>
    <row r="199" spans="1:15" s="36" customFormat="1" ht="12" x14ac:dyDescent="0.2">
      <c r="A199" s="33"/>
      <c r="B199" s="63">
        <v>44742</v>
      </c>
      <c r="C199" s="65">
        <v>2.5</v>
      </c>
      <c r="D199" s="65">
        <v>0.4</v>
      </c>
      <c r="E199" s="65">
        <v>5.0999999999999996</v>
      </c>
      <c r="F199" s="65">
        <v>2.1</v>
      </c>
      <c r="G199" s="65">
        <v>2.5</v>
      </c>
      <c r="H199" s="33"/>
      <c r="I199" s="63">
        <v>44012</v>
      </c>
      <c r="J199" s="65">
        <v>453592.5</v>
      </c>
      <c r="K199" s="65">
        <v>96176</v>
      </c>
      <c r="L199" s="65">
        <v>116411</v>
      </c>
      <c r="M199" s="65">
        <v>-20235</v>
      </c>
      <c r="N199" s="34"/>
      <c r="O199" s="35"/>
    </row>
    <row r="200" spans="1:15" s="36" customFormat="1" ht="12" x14ac:dyDescent="0.2">
      <c r="A200" s="33"/>
      <c r="B200" s="62">
        <v>44834</v>
      </c>
      <c r="C200" s="64">
        <v>3</v>
      </c>
      <c r="D200" s="64">
        <v>3.9</v>
      </c>
      <c r="E200" s="64">
        <v>4.3</v>
      </c>
      <c r="F200" s="64">
        <v>2.8</v>
      </c>
      <c r="G200" s="64">
        <v>3</v>
      </c>
      <c r="H200" s="33"/>
      <c r="I200" s="62">
        <v>44104</v>
      </c>
      <c r="J200" s="64">
        <v>717948.2</v>
      </c>
      <c r="K200" s="64">
        <v>141002</v>
      </c>
      <c r="L200" s="64">
        <v>175185</v>
      </c>
      <c r="M200" s="64">
        <v>-34183</v>
      </c>
      <c r="N200" s="34"/>
      <c r="O200" s="35"/>
    </row>
    <row r="201" spans="1:15" s="36" customFormat="1" ht="12" x14ac:dyDescent="0.2">
      <c r="A201" s="33"/>
      <c r="B201" s="63">
        <v>44926</v>
      </c>
      <c r="C201" s="65">
        <v>3</v>
      </c>
      <c r="D201" s="65">
        <v>2.9</v>
      </c>
      <c r="E201" s="65">
        <v>4.2</v>
      </c>
      <c r="F201" s="65">
        <v>2.6</v>
      </c>
      <c r="G201" s="65">
        <v>3</v>
      </c>
      <c r="H201" s="33"/>
      <c r="I201" s="63">
        <v>44196</v>
      </c>
      <c r="J201" s="65">
        <v>1013567.002231</v>
      </c>
      <c r="K201" s="65">
        <v>182895</v>
      </c>
      <c r="L201" s="65">
        <v>245588</v>
      </c>
      <c r="M201" s="65">
        <v>-62693</v>
      </c>
      <c r="N201" s="34"/>
      <c r="O201" s="35"/>
    </row>
    <row r="202" spans="1:15" s="36" customFormat="1" ht="12" x14ac:dyDescent="0.2">
      <c r="A202" s="33"/>
      <c r="B202" s="62">
        <v>45016</v>
      </c>
      <c r="C202" s="64">
        <v>4.5</v>
      </c>
      <c r="D202" s="64">
        <v>4.5</v>
      </c>
      <c r="E202" s="64">
        <v>3.7</v>
      </c>
      <c r="F202" s="64">
        <v>3.3</v>
      </c>
      <c r="G202" s="64">
        <v>5.4</v>
      </c>
      <c r="H202" s="33"/>
      <c r="I202" s="62">
        <v>44286</v>
      </c>
      <c r="J202" s="64">
        <v>249200.2</v>
      </c>
      <c r="K202" s="64">
        <v>57115</v>
      </c>
      <c r="L202" s="64">
        <v>58703</v>
      </c>
      <c r="M202" s="64">
        <v>-1588</v>
      </c>
      <c r="N202" s="34"/>
      <c r="O202" s="35"/>
    </row>
    <row r="203" spans="1:15" s="36" customFormat="1" ht="12" x14ac:dyDescent="0.2">
      <c r="A203" s="33"/>
      <c r="B203" s="63">
        <v>45107</v>
      </c>
      <c r="C203" s="65">
        <v>5.5</v>
      </c>
      <c r="D203" s="65">
        <v>6.3</v>
      </c>
      <c r="E203" s="65">
        <v>3.7</v>
      </c>
      <c r="F203" s="65">
        <v>4.3</v>
      </c>
      <c r="G203" s="65">
        <v>6.4</v>
      </c>
      <c r="H203" s="33"/>
      <c r="I203" s="63">
        <v>44377</v>
      </c>
      <c r="J203" s="65">
        <v>532049.4</v>
      </c>
      <c r="K203" s="65">
        <v>117116</v>
      </c>
      <c r="L203" s="65">
        <v>121676</v>
      </c>
      <c r="M203" s="65">
        <v>-4560</v>
      </c>
      <c r="N203" s="34"/>
      <c r="O203" s="35"/>
    </row>
    <row r="204" spans="1:15" s="36" customFormat="1" ht="12" x14ac:dyDescent="0.2">
      <c r="A204" s="33"/>
      <c r="B204" s="62">
        <v>45199</v>
      </c>
      <c r="C204" s="64">
        <v>5.2</v>
      </c>
      <c r="D204" s="64">
        <v>4.9000000000000004</v>
      </c>
      <c r="E204" s="64">
        <v>4</v>
      </c>
      <c r="F204" s="64">
        <v>4.4000000000000004</v>
      </c>
      <c r="G204" s="64">
        <v>6</v>
      </c>
      <c r="H204" s="33"/>
      <c r="I204" s="62">
        <v>44469</v>
      </c>
      <c r="J204" s="64">
        <v>823337.5</v>
      </c>
      <c r="K204" s="64">
        <v>164020</v>
      </c>
      <c r="L204" s="64">
        <v>179293</v>
      </c>
      <c r="M204" s="64">
        <v>-15273</v>
      </c>
      <c r="N204" s="34"/>
      <c r="O204" s="35"/>
    </row>
    <row r="205" spans="1:15" s="36" customFormat="1" ht="12" x14ac:dyDescent="0.2">
      <c r="A205" s="33"/>
      <c r="B205" s="63">
        <v>45291</v>
      </c>
      <c r="C205" s="65">
        <v>5.2</v>
      </c>
      <c r="D205" s="65">
        <v>5.2</v>
      </c>
      <c r="E205" s="65">
        <v>4.0999999999999996</v>
      </c>
      <c r="F205" s="65">
        <v>4.7</v>
      </c>
      <c r="G205" s="65">
        <v>5.8</v>
      </c>
      <c r="H205" s="33"/>
      <c r="I205" s="63">
        <v>44561</v>
      </c>
      <c r="J205" s="65">
        <v>1149236.9786110001</v>
      </c>
      <c r="K205" s="65">
        <v>202539</v>
      </c>
      <c r="L205" s="65">
        <v>246322</v>
      </c>
      <c r="M205" s="65">
        <v>-43783</v>
      </c>
      <c r="N205" s="34"/>
      <c r="O205" s="35"/>
    </row>
    <row r="206" spans="1:15" s="36" customFormat="1" ht="12" x14ac:dyDescent="0.2">
      <c r="A206" s="33"/>
      <c r="B206" s="62">
        <v>45382</v>
      </c>
      <c r="C206" s="64">
        <v>5.3</v>
      </c>
      <c r="D206" s="64">
        <v>5.3</v>
      </c>
      <c r="E206" s="64">
        <v>3.3</v>
      </c>
      <c r="F206" s="64">
        <v>6</v>
      </c>
      <c r="G206" s="64">
        <v>5</v>
      </c>
      <c r="H206" s="33"/>
      <c r="I206" s="62">
        <v>44651</v>
      </c>
      <c r="J206" s="64">
        <v>270344.5</v>
      </c>
      <c r="K206" s="64">
        <v>62037</v>
      </c>
      <c r="L206" s="64">
        <v>63587</v>
      </c>
      <c r="M206" s="64">
        <v>-1550</v>
      </c>
      <c r="N206" s="34"/>
      <c r="O206" s="35"/>
    </row>
    <row r="207" spans="1:15" s="36" customFormat="1" ht="12" x14ac:dyDescent="0.2">
      <c r="A207" s="33"/>
      <c r="B207" s="56"/>
      <c r="C207" s="58"/>
      <c r="D207" s="58"/>
      <c r="E207" s="58"/>
      <c r="F207" s="58"/>
      <c r="G207" s="58"/>
      <c r="H207" s="33"/>
      <c r="I207" s="63">
        <v>44742</v>
      </c>
      <c r="J207" s="65">
        <v>562791.1</v>
      </c>
      <c r="K207" s="65">
        <v>105221</v>
      </c>
      <c r="L207" s="65">
        <v>128887</v>
      </c>
      <c r="M207" s="65">
        <v>-23666</v>
      </c>
      <c r="N207" s="34"/>
      <c r="O207" s="35"/>
    </row>
    <row r="208" spans="1:15" s="36" customFormat="1" ht="12" x14ac:dyDescent="0.2">
      <c r="A208" s="33"/>
      <c r="B208" s="55"/>
      <c r="C208" s="57"/>
      <c r="D208" s="57"/>
      <c r="E208" s="57"/>
      <c r="F208" s="57"/>
      <c r="G208" s="57"/>
      <c r="H208" s="33"/>
      <c r="I208" s="62">
        <v>44834</v>
      </c>
      <c r="J208" s="64">
        <v>870733.2</v>
      </c>
      <c r="K208" s="64">
        <v>153151</v>
      </c>
      <c r="L208" s="64">
        <v>190389</v>
      </c>
      <c r="M208" s="64">
        <v>-37238</v>
      </c>
      <c r="N208" s="34"/>
      <c r="O208" s="35"/>
    </row>
    <row r="209" spans="1:15" s="36" customFormat="1" ht="12" x14ac:dyDescent="0.2">
      <c r="A209" s="33"/>
      <c r="B209" s="56"/>
      <c r="C209" s="58"/>
      <c r="D209" s="58"/>
      <c r="E209" s="58"/>
      <c r="F209" s="58"/>
      <c r="G209" s="58"/>
      <c r="H209" s="33"/>
      <c r="I209" s="63">
        <v>44926</v>
      </c>
      <c r="J209" s="65">
        <v>1204724</v>
      </c>
      <c r="K209" s="65">
        <v>203703</v>
      </c>
      <c r="L209" s="65">
        <v>260609</v>
      </c>
      <c r="M209" s="65">
        <v>-56906</v>
      </c>
      <c r="N209" s="34"/>
      <c r="O209" s="35"/>
    </row>
    <row r="210" spans="1:15" s="36" customFormat="1" ht="12" x14ac:dyDescent="0.2">
      <c r="A210" s="33"/>
      <c r="B210" s="55"/>
      <c r="C210" s="57"/>
      <c r="D210" s="57"/>
      <c r="E210" s="57"/>
      <c r="F210" s="57"/>
      <c r="G210" s="57"/>
      <c r="H210" s="33"/>
      <c r="I210" s="62">
        <v>45016</v>
      </c>
      <c r="J210" s="64">
        <v>284423</v>
      </c>
      <c r="K210" s="64">
        <v>62341</v>
      </c>
      <c r="L210" s="64">
        <v>67915</v>
      </c>
      <c r="M210" s="64">
        <v>-5574</v>
      </c>
      <c r="N210" s="34"/>
      <c r="O210" s="35"/>
    </row>
    <row r="211" spans="1:15" s="36" customFormat="1" ht="12" x14ac:dyDescent="0.2">
      <c r="A211" s="33"/>
      <c r="B211" s="56"/>
      <c r="C211" s="58"/>
      <c r="D211" s="58"/>
      <c r="E211" s="58"/>
      <c r="F211" s="58"/>
      <c r="G211" s="58"/>
      <c r="H211" s="33"/>
      <c r="I211" s="63">
        <v>45107</v>
      </c>
      <c r="J211" s="65">
        <v>592715.6</v>
      </c>
      <c r="K211" s="65">
        <v>119203</v>
      </c>
      <c r="L211" s="65">
        <v>133893</v>
      </c>
      <c r="M211" s="65">
        <v>-14690</v>
      </c>
      <c r="N211" s="34"/>
      <c r="O211" s="35"/>
    </row>
    <row r="212" spans="1:15" s="36" customFormat="1" ht="12" x14ac:dyDescent="0.2">
      <c r="A212" s="33"/>
      <c r="B212" s="55"/>
      <c r="C212" s="57"/>
      <c r="D212" s="57"/>
      <c r="E212" s="57"/>
      <c r="F212" s="57"/>
      <c r="G212" s="57"/>
      <c r="H212" s="33"/>
      <c r="I212" s="62">
        <v>45199</v>
      </c>
      <c r="J212" s="64">
        <v>912692</v>
      </c>
      <c r="K212" s="64">
        <v>166713</v>
      </c>
      <c r="L212" s="64">
        <v>197897</v>
      </c>
      <c r="M212" s="64">
        <v>-31184</v>
      </c>
      <c r="N212" s="34"/>
      <c r="O212" s="35"/>
    </row>
    <row r="213" spans="1:15" s="36" customFormat="1" ht="12" x14ac:dyDescent="0.2">
      <c r="A213" s="33"/>
      <c r="B213" s="56"/>
      <c r="C213" s="58"/>
      <c r="D213" s="58"/>
      <c r="E213" s="58"/>
      <c r="F213" s="58"/>
      <c r="G213" s="58"/>
      <c r="H213" s="33"/>
      <c r="I213" s="63">
        <v>45291</v>
      </c>
      <c r="J213" s="65">
        <v>1260582.1000000001</v>
      </c>
      <c r="K213" s="65">
        <v>216784</v>
      </c>
      <c r="L213" s="65">
        <v>274574</v>
      </c>
      <c r="M213" s="65">
        <v>-57790</v>
      </c>
      <c r="N213" s="34"/>
      <c r="O213" s="35"/>
    </row>
    <row r="214" spans="1:15" s="36" customFormat="1" ht="12" x14ac:dyDescent="0.2">
      <c r="A214" s="33"/>
      <c r="B214" s="55"/>
      <c r="C214" s="57"/>
      <c r="D214" s="57"/>
      <c r="E214" s="57"/>
      <c r="F214" s="57"/>
      <c r="G214" s="57"/>
      <c r="H214" s="33"/>
      <c r="I214" s="62">
        <v>45382</v>
      </c>
      <c r="J214" s="64">
        <v>296299.5</v>
      </c>
      <c r="K214" s="64">
        <v>60877</v>
      </c>
      <c r="L214" s="64">
        <v>69856</v>
      </c>
      <c r="M214" s="64">
        <v>-8979</v>
      </c>
      <c r="N214" s="34"/>
      <c r="O214" s="35"/>
    </row>
    <row r="215" spans="1:15" s="36" customFormat="1" ht="12" x14ac:dyDescent="0.2">
      <c r="A215" s="33"/>
      <c r="B215" s="56"/>
      <c r="C215" s="58"/>
      <c r="D215" s="58"/>
      <c r="E215" s="58"/>
      <c r="F215" s="58"/>
      <c r="G215" s="58"/>
      <c r="H215" s="33"/>
      <c r="I215" s="56"/>
      <c r="J215" s="58"/>
      <c r="K215" s="58"/>
      <c r="L215" s="58"/>
      <c r="M215" s="58"/>
      <c r="N215" s="34"/>
      <c r="O215" s="35"/>
    </row>
    <row r="216" spans="1:15" s="36" customFormat="1" ht="12" x14ac:dyDescent="0.2">
      <c r="A216" s="33"/>
      <c r="B216" s="55"/>
      <c r="C216" s="57"/>
      <c r="D216" s="57"/>
      <c r="E216" s="57"/>
      <c r="F216" s="57"/>
      <c r="G216" s="57"/>
      <c r="H216" s="33"/>
      <c r="I216" s="55"/>
      <c r="J216" s="57"/>
      <c r="K216" s="57"/>
      <c r="L216" s="57"/>
      <c r="M216" s="57"/>
      <c r="N216" s="34"/>
      <c r="O216" s="35"/>
    </row>
    <row r="217" spans="1:15" s="36" customFormat="1" ht="12" x14ac:dyDescent="0.2">
      <c r="A217" s="33"/>
      <c r="B217" s="56"/>
      <c r="C217" s="58"/>
      <c r="D217" s="58"/>
      <c r="E217" s="58"/>
      <c r="F217" s="58"/>
      <c r="G217" s="58"/>
      <c r="H217" s="33"/>
      <c r="I217" s="56"/>
      <c r="J217" s="58"/>
      <c r="K217" s="58"/>
      <c r="L217" s="58"/>
      <c r="M217" s="58"/>
      <c r="N217" s="34"/>
      <c r="O217" s="35"/>
    </row>
    <row r="218" spans="1:15" s="36" customFormat="1" ht="12" x14ac:dyDescent="0.2">
      <c r="A218" s="33"/>
      <c r="B218" s="55"/>
      <c r="C218" s="57"/>
      <c r="D218" s="57"/>
      <c r="E218" s="57"/>
      <c r="F218" s="57"/>
      <c r="G218" s="57"/>
      <c r="H218" s="33"/>
      <c r="I218" s="55"/>
      <c r="J218" s="57"/>
      <c r="K218" s="57"/>
      <c r="L218" s="57"/>
      <c r="M218" s="57"/>
      <c r="N218" s="34"/>
      <c r="O218" s="35"/>
    </row>
    <row r="219" spans="1:15" s="36" customFormat="1" ht="12" x14ac:dyDescent="0.2">
      <c r="A219" s="33"/>
      <c r="B219" s="56"/>
      <c r="C219" s="58"/>
      <c r="D219" s="58"/>
      <c r="E219" s="58"/>
      <c r="F219" s="58"/>
      <c r="G219" s="58"/>
      <c r="H219" s="33"/>
      <c r="I219" s="56"/>
      <c r="J219" s="58"/>
      <c r="K219" s="58"/>
      <c r="L219" s="58"/>
      <c r="M219" s="58"/>
      <c r="N219" s="34"/>
      <c r="O219" s="35"/>
    </row>
    <row r="220" spans="1:15" s="36" customFormat="1" ht="12" x14ac:dyDescent="0.2">
      <c r="A220" s="33"/>
      <c r="B220" s="55"/>
      <c r="C220" s="57"/>
      <c r="D220" s="57"/>
      <c r="E220" s="57"/>
      <c r="F220" s="57"/>
      <c r="G220" s="57"/>
      <c r="H220" s="33"/>
      <c r="I220" s="55"/>
      <c r="J220" s="57"/>
      <c r="K220" s="57"/>
      <c r="L220" s="57"/>
      <c r="M220" s="57"/>
      <c r="N220" s="34"/>
      <c r="O220" s="35"/>
    </row>
    <row r="221" spans="1:15" s="36" customFormat="1" ht="12" x14ac:dyDescent="0.2">
      <c r="A221" s="33"/>
      <c r="B221" s="56"/>
      <c r="C221" s="58"/>
      <c r="D221" s="58"/>
      <c r="E221" s="58"/>
      <c r="F221" s="58"/>
      <c r="G221" s="58"/>
      <c r="H221" s="33"/>
      <c r="I221" s="56"/>
      <c r="J221" s="58"/>
      <c r="K221" s="58"/>
      <c r="L221" s="58"/>
      <c r="M221" s="58"/>
      <c r="N221" s="34"/>
      <c r="O221" s="35"/>
    </row>
    <row r="222" spans="1:15" s="36" customFormat="1" ht="12" x14ac:dyDescent="0.2">
      <c r="A222" s="33"/>
      <c r="B222" s="55"/>
      <c r="C222" s="57"/>
      <c r="D222" s="57"/>
      <c r="E222" s="57"/>
      <c r="F222" s="57"/>
      <c r="G222" s="57"/>
      <c r="H222" s="33"/>
      <c r="I222" s="55"/>
      <c r="J222" s="57"/>
      <c r="K222" s="57"/>
      <c r="L222" s="57"/>
      <c r="M222" s="57"/>
      <c r="N222" s="34"/>
      <c r="O222" s="35"/>
    </row>
    <row r="223" spans="1:15" s="36" customFormat="1" ht="12" x14ac:dyDescent="0.2">
      <c r="A223" s="33"/>
      <c r="B223" s="56"/>
      <c r="C223" s="58"/>
      <c r="D223" s="58"/>
      <c r="E223" s="58"/>
      <c r="F223" s="58"/>
      <c r="G223" s="58"/>
      <c r="H223" s="33"/>
      <c r="I223" s="56"/>
      <c r="J223" s="58"/>
      <c r="K223" s="58"/>
      <c r="L223" s="58"/>
      <c r="M223" s="58"/>
      <c r="N223" s="34"/>
      <c r="O223" s="35"/>
    </row>
    <row r="224" spans="1:15" s="36" customFormat="1" ht="12" x14ac:dyDescent="0.2">
      <c r="A224" s="33"/>
      <c r="B224" s="55"/>
      <c r="C224" s="57"/>
      <c r="D224" s="57"/>
      <c r="E224" s="57"/>
      <c r="F224" s="57"/>
      <c r="G224" s="57"/>
      <c r="H224" s="33"/>
      <c r="I224" s="55"/>
      <c r="J224" s="57"/>
      <c r="K224" s="57"/>
      <c r="L224" s="57"/>
      <c r="M224" s="57"/>
      <c r="N224" s="34"/>
      <c r="O224" s="35"/>
    </row>
    <row r="225" spans="1:15" s="36" customFormat="1" ht="12" x14ac:dyDescent="0.2">
      <c r="A225" s="33"/>
      <c r="B225" s="56"/>
      <c r="C225" s="58"/>
      <c r="D225" s="58"/>
      <c r="E225" s="58"/>
      <c r="F225" s="58"/>
      <c r="G225" s="58"/>
      <c r="H225" s="33"/>
      <c r="I225" s="56"/>
      <c r="J225" s="58"/>
      <c r="K225" s="58"/>
      <c r="L225" s="58"/>
      <c r="M225" s="58"/>
      <c r="N225" s="34"/>
      <c r="O225" s="35"/>
    </row>
    <row r="226" spans="1:15" s="36" customFormat="1" ht="12" x14ac:dyDescent="0.2">
      <c r="A226" s="33"/>
      <c r="B226" s="55"/>
      <c r="C226" s="57"/>
      <c r="D226" s="57"/>
      <c r="E226" s="57"/>
      <c r="F226" s="57"/>
      <c r="G226" s="57"/>
      <c r="H226" s="33"/>
      <c r="I226" s="55"/>
      <c r="J226" s="57"/>
      <c r="K226" s="57"/>
      <c r="L226" s="57"/>
      <c r="M226" s="57"/>
      <c r="N226" s="34"/>
      <c r="O226" s="35"/>
    </row>
    <row r="227" spans="1:15" s="36" customFormat="1" ht="12" x14ac:dyDescent="0.2">
      <c r="A227" s="33"/>
      <c r="B227" s="56"/>
      <c r="C227" s="58"/>
      <c r="D227" s="58"/>
      <c r="E227" s="58"/>
      <c r="F227" s="58"/>
      <c r="G227" s="58"/>
      <c r="H227" s="33"/>
      <c r="I227" s="56"/>
      <c r="J227" s="58"/>
      <c r="K227" s="58"/>
      <c r="L227" s="58"/>
      <c r="M227" s="58"/>
      <c r="N227" s="34"/>
      <c r="O227" s="35"/>
    </row>
    <row r="228" spans="1:15" s="36" customFormat="1" ht="12" x14ac:dyDescent="0.2">
      <c r="A228" s="33"/>
      <c r="B228" s="55"/>
      <c r="C228" s="57"/>
      <c r="D228" s="57"/>
      <c r="E228" s="57"/>
      <c r="F228" s="57"/>
      <c r="G228" s="57"/>
      <c r="H228" s="33"/>
      <c r="I228" s="55"/>
      <c r="J228" s="57"/>
      <c r="K228" s="57"/>
      <c r="L228" s="57"/>
      <c r="M228" s="57"/>
      <c r="N228" s="34"/>
      <c r="O228" s="35"/>
    </row>
    <row r="229" spans="1:15" s="36" customFormat="1" ht="12" x14ac:dyDescent="0.2">
      <c r="A229" s="33"/>
      <c r="B229" s="56"/>
      <c r="C229" s="58"/>
      <c r="D229" s="58"/>
      <c r="E229" s="58"/>
      <c r="F229" s="58"/>
      <c r="G229" s="58"/>
      <c r="H229" s="33"/>
      <c r="I229" s="56"/>
      <c r="J229" s="58"/>
      <c r="K229" s="58"/>
      <c r="L229" s="58"/>
      <c r="M229" s="58"/>
      <c r="N229" s="34"/>
      <c r="O229" s="35"/>
    </row>
    <row r="230" spans="1:15" s="36" customFormat="1" ht="12" x14ac:dyDescent="0.2">
      <c r="A230" s="33"/>
      <c r="B230" s="55"/>
      <c r="C230" s="57"/>
      <c r="D230" s="57"/>
      <c r="E230" s="57"/>
      <c r="F230" s="57"/>
      <c r="G230" s="57"/>
      <c r="H230" s="33"/>
      <c r="I230" s="55"/>
      <c r="J230" s="57"/>
      <c r="K230" s="57"/>
      <c r="L230" s="57"/>
      <c r="M230" s="57"/>
      <c r="N230" s="34"/>
      <c r="O230" s="35"/>
    </row>
    <row r="231" spans="1:15" s="36" customFormat="1" ht="12" x14ac:dyDescent="0.2">
      <c r="A231" s="33"/>
      <c r="B231" s="56"/>
      <c r="C231" s="58"/>
      <c r="D231" s="58"/>
      <c r="E231" s="58"/>
      <c r="F231" s="58"/>
      <c r="G231" s="58"/>
      <c r="H231" s="33"/>
      <c r="I231" s="56"/>
      <c r="J231" s="58"/>
      <c r="K231" s="58"/>
      <c r="L231" s="58"/>
      <c r="M231" s="58"/>
      <c r="N231" s="34"/>
      <c r="O231" s="35"/>
    </row>
    <row r="232" spans="1:15" s="36" customFormat="1" ht="12" x14ac:dyDescent="0.2">
      <c r="A232" s="33"/>
      <c r="B232" s="55"/>
      <c r="C232" s="57"/>
      <c r="D232" s="57"/>
      <c r="E232" s="57"/>
      <c r="F232" s="57"/>
      <c r="G232" s="57"/>
      <c r="H232" s="33"/>
      <c r="I232" s="55"/>
      <c r="J232" s="57"/>
      <c r="K232" s="57"/>
      <c r="L232" s="57"/>
      <c r="M232" s="57"/>
      <c r="N232" s="34"/>
      <c r="O232" s="35"/>
    </row>
    <row r="233" spans="1:15" s="36" customFormat="1" ht="12" x14ac:dyDescent="0.2">
      <c r="A233" s="33"/>
      <c r="B233" s="56"/>
      <c r="C233" s="58"/>
      <c r="D233" s="58"/>
      <c r="E233" s="58"/>
      <c r="F233" s="58"/>
      <c r="G233" s="58"/>
      <c r="H233" s="33"/>
      <c r="I233" s="56"/>
      <c r="J233" s="58"/>
      <c r="K233" s="58"/>
      <c r="L233" s="58"/>
      <c r="M233" s="58"/>
      <c r="N233" s="34"/>
      <c r="O233" s="35"/>
    </row>
    <row r="234" spans="1:15" s="36" customFormat="1" ht="12" x14ac:dyDescent="0.2">
      <c r="A234" s="33"/>
      <c r="B234" s="55"/>
      <c r="C234" s="57"/>
      <c r="D234" s="57"/>
      <c r="E234" s="57"/>
      <c r="F234" s="57"/>
      <c r="G234" s="57"/>
      <c r="H234" s="33"/>
      <c r="I234" s="55"/>
      <c r="J234" s="57"/>
      <c r="K234" s="57"/>
      <c r="L234" s="57"/>
      <c r="M234" s="57"/>
      <c r="N234" s="34"/>
      <c r="O234" s="35"/>
    </row>
    <row r="235" spans="1:15" s="36" customFormat="1" ht="12" x14ac:dyDescent="0.2">
      <c r="A235" s="33"/>
      <c r="B235" s="56"/>
      <c r="C235" s="58"/>
      <c r="D235" s="58"/>
      <c r="E235" s="58"/>
      <c r="F235" s="58"/>
      <c r="G235" s="58"/>
      <c r="H235" s="33"/>
      <c r="I235" s="56"/>
      <c r="J235" s="58"/>
      <c r="K235" s="58"/>
      <c r="L235" s="58"/>
      <c r="M235" s="58"/>
      <c r="N235" s="34"/>
      <c r="O235" s="35"/>
    </row>
    <row r="236" spans="1:15" s="36" customFormat="1" ht="12" x14ac:dyDescent="0.2">
      <c r="A236" s="33"/>
      <c r="B236" s="55"/>
      <c r="C236" s="57"/>
      <c r="D236" s="57"/>
      <c r="E236" s="57"/>
      <c r="F236" s="57"/>
      <c r="G236" s="57"/>
      <c r="H236" s="33"/>
      <c r="I236" s="55"/>
      <c r="J236" s="57"/>
      <c r="K236" s="57"/>
      <c r="L236" s="57"/>
      <c r="M236" s="57"/>
      <c r="N236" s="34"/>
      <c r="O236" s="35"/>
    </row>
    <row r="237" spans="1:15" s="36" customFormat="1" ht="12" x14ac:dyDescent="0.2">
      <c r="A237" s="33"/>
      <c r="B237" s="56"/>
      <c r="C237" s="58"/>
      <c r="D237" s="58"/>
      <c r="E237" s="58"/>
      <c r="F237" s="58"/>
      <c r="G237" s="58"/>
      <c r="H237" s="33"/>
      <c r="I237" s="56"/>
      <c r="J237" s="58"/>
      <c r="K237" s="58"/>
      <c r="L237" s="58"/>
      <c r="M237" s="58"/>
      <c r="N237" s="34"/>
      <c r="O237" s="35"/>
    </row>
    <row r="238" spans="1:15" s="36" customFormat="1" ht="12" x14ac:dyDescent="0.2">
      <c r="A238" s="33"/>
      <c r="B238" s="55"/>
      <c r="C238" s="57"/>
      <c r="D238" s="57"/>
      <c r="E238" s="57"/>
      <c r="F238" s="57"/>
      <c r="G238" s="57"/>
      <c r="H238" s="33"/>
      <c r="I238" s="55"/>
      <c r="J238" s="57"/>
      <c r="K238" s="57"/>
      <c r="L238" s="57"/>
      <c r="M238" s="57"/>
      <c r="N238" s="34"/>
      <c r="O238" s="35"/>
    </row>
    <row r="239" spans="1:15" s="36" customFormat="1" ht="12" x14ac:dyDescent="0.2">
      <c r="A239" s="33"/>
      <c r="B239" s="56"/>
      <c r="C239" s="58"/>
      <c r="D239" s="58"/>
      <c r="E239" s="58"/>
      <c r="F239" s="58"/>
      <c r="G239" s="58"/>
      <c r="H239" s="33"/>
      <c r="I239" s="56"/>
      <c r="J239" s="58"/>
      <c r="K239" s="58"/>
      <c r="L239" s="58"/>
      <c r="M239" s="58"/>
      <c r="N239" s="34"/>
      <c r="O239" s="35"/>
    </row>
    <row r="240" spans="1:15" s="36" customFormat="1" ht="12" x14ac:dyDescent="0.2">
      <c r="A240" s="33"/>
      <c r="B240" s="55"/>
      <c r="C240" s="57"/>
      <c r="D240" s="57"/>
      <c r="E240" s="57"/>
      <c r="F240" s="57"/>
      <c r="G240" s="57"/>
      <c r="H240" s="33"/>
      <c r="I240" s="55"/>
      <c r="J240" s="57"/>
      <c r="K240" s="57"/>
      <c r="L240" s="57"/>
      <c r="M240" s="57"/>
      <c r="N240" s="34"/>
      <c r="O240" s="35"/>
    </row>
    <row r="241" spans="1:15" s="36" customFormat="1" ht="12" x14ac:dyDescent="0.2">
      <c r="A241" s="33"/>
      <c r="B241" s="56"/>
      <c r="C241" s="58"/>
      <c r="D241" s="58"/>
      <c r="E241" s="58"/>
      <c r="F241" s="58"/>
      <c r="G241" s="58"/>
      <c r="H241" s="33"/>
      <c r="I241" s="56"/>
      <c r="J241" s="58"/>
      <c r="K241" s="58"/>
      <c r="L241" s="58"/>
      <c r="M241" s="58"/>
      <c r="N241" s="34"/>
      <c r="O241" s="35"/>
    </row>
    <row r="242" spans="1:15" s="36" customFormat="1" ht="12" x14ac:dyDescent="0.2">
      <c r="A242" s="33"/>
      <c r="B242" s="55"/>
      <c r="C242" s="57"/>
      <c r="D242" s="57"/>
      <c r="E242" s="57"/>
      <c r="F242" s="57"/>
      <c r="G242" s="57"/>
      <c r="H242" s="33"/>
      <c r="I242" s="55"/>
      <c r="J242" s="57"/>
      <c r="K242" s="57"/>
      <c r="L242" s="57"/>
      <c r="M242" s="57"/>
      <c r="N242" s="34"/>
      <c r="O242" s="35"/>
    </row>
    <row r="243" spans="1:15" s="36" customFormat="1" ht="12" x14ac:dyDescent="0.2">
      <c r="A243" s="33"/>
      <c r="B243" s="56"/>
      <c r="C243" s="58"/>
      <c r="D243" s="58"/>
      <c r="E243" s="58"/>
      <c r="F243" s="58"/>
      <c r="G243" s="58"/>
      <c r="H243" s="33"/>
      <c r="I243" s="56"/>
      <c r="J243" s="58"/>
      <c r="K243" s="58"/>
      <c r="L243" s="58"/>
      <c r="M243" s="58"/>
      <c r="N243" s="34"/>
      <c r="O243" s="35"/>
    </row>
    <row r="244" spans="1:15" s="36" customFormat="1" ht="12" x14ac:dyDescent="0.2">
      <c r="A244" s="33"/>
      <c r="B244" s="55"/>
      <c r="C244" s="57"/>
      <c r="D244" s="57"/>
      <c r="E244" s="57"/>
      <c r="F244" s="57"/>
      <c r="G244" s="57"/>
      <c r="H244" s="33"/>
      <c r="I244" s="55"/>
      <c r="J244" s="57"/>
      <c r="K244" s="57"/>
      <c r="L244" s="57"/>
      <c r="M244" s="57"/>
      <c r="N244" s="34"/>
      <c r="O244" s="35"/>
    </row>
    <row r="245" spans="1:15" s="36" customFormat="1" ht="12" x14ac:dyDescent="0.2">
      <c r="A245" s="33"/>
      <c r="B245" s="56"/>
      <c r="C245" s="58"/>
      <c r="D245" s="58"/>
      <c r="E245" s="58"/>
      <c r="F245" s="58"/>
      <c r="G245" s="58"/>
      <c r="H245" s="33"/>
      <c r="I245" s="56"/>
      <c r="J245" s="58"/>
      <c r="K245" s="58"/>
      <c r="L245" s="58"/>
      <c r="M245" s="58"/>
      <c r="N245" s="34"/>
      <c r="O245" s="35"/>
    </row>
    <row r="246" spans="1:15" s="36" customFormat="1" ht="12" x14ac:dyDescent="0.2">
      <c r="A246" s="33"/>
      <c r="B246" s="55"/>
      <c r="C246" s="57"/>
      <c r="D246" s="57"/>
      <c r="E246" s="57"/>
      <c r="F246" s="57"/>
      <c r="G246" s="57"/>
      <c r="H246" s="33"/>
      <c r="I246" s="55"/>
      <c r="J246" s="57"/>
      <c r="K246" s="57"/>
      <c r="L246" s="57"/>
      <c r="M246" s="57"/>
      <c r="N246" s="34"/>
      <c r="O246" s="35"/>
    </row>
    <row r="247" spans="1:15" s="36" customFormat="1" ht="12" x14ac:dyDescent="0.2">
      <c r="A247" s="33"/>
      <c r="B247" s="56"/>
      <c r="C247" s="58"/>
      <c r="D247" s="58"/>
      <c r="E247" s="58"/>
      <c r="F247" s="58"/>
      <c r="G247" s="58"/>
      <c r="H247" s="33"/>
      <c r="I247" s="56"/>
      <c r="J247" s="58"/>
      <c r="K247" s="58"/>
      <c r="L247" s="58"/>
      <c r="M247" s="58"/>
      <c r="N247" s="34"/>
      <c r="O247" s="35"/>
    </row>
    <row r="248" spans="1:15" s="36" customFormat="1" ht="12" x14ac:dyDescent="0.2">
      <c r="A248" s="33"/>
      <c r="B248" s="55"/>
      <c r="C248" s="57"/>
      <c r="D248" s="57"/>
      <c r="E248" s="57"/>
      <c r="F248" s="57"/>
      <c r="G248" s="57"/>
      <c r="H248" s="33"/>
      <c r="I248" s="55"/>
      <c r="J248" s="57"/>
      <c r="K248" s="57"/>
      <c r="L248" s="57"/>
      <c r="M248" s="57"/>
      <c r="N248" s="34"/>
      <c r="O248" s="35"/>
    </row>
    <row r="249" spans="1:15" s="36" customFormat="1" ht="12" x14ac:dyDescent="0.2">
      <c r="A249" s="33"/>
      <c r="B249" s="56"/>
      <c r="C249" s="58"/>
      <c r="D249" s="58"/>
      <c r="E249" s="58"/>
      <c r="F249" s="58"/>
      <c r="G249" s="58"/>
      <c r="H249" s="33"/>
      <c r="I249" s="56"/>
      <c r="J249" s="58"/>
      <c r="K249" s="58"/>
      <c r="L249" s="58"/>
      <c r="M249" s="58"/>
      <c r="N249" s="34"/>
      <c r="O249" s="35"/>
    </row>
    <row r="250" spans="1:15" s="36" customFormat="1" ht="12" x14ac:dyDescent="0.2">
      <c r="A250" s="33"/>
      <c r="B250" s="55"/>
      <c r="C250" s="57"/>
      <c r="D250" s="57"/>
      <c r="E250" s="57"/>
      <c r="F250" s="57"/>
      <c r="G250" s="57"/>
      <c r="H250" s="33"/>
      <c r="I250" s="55"/>
      <c r="J250" s="57"/>
      <c r="K250" s="57"/>
      <c r="L250" s="57"/>
      <c r="M250" s="57"/>
      <c r="N250" s="34"/>
      <c r="O250" s="35"/>
    </row>
    <row r="251" spans="1:15" s="36" customFormat="1" ht="12" x14ac:dyDescent="0.2">
      <c r="A251" s="33"/>
      <c r="B251" s="56"/>
      <c r="C251" s="58"/>
      <c r="D251" s="58"/>
      <c r="E251" s="58"/>
      <c r="F251" s="58"/>
      <c r="G251" s="58"/>
      <c r="H251" s="33"/>
      <c r="I251" s="56"/>
      <c r="J251" s="58"/>
      <c r="K251" s="58"/>
      <c r="L251" s="58"/>
      <c r="M251" s="58"/>
      <c r="N251" s="34"/>
      <c r="O251" s="35"/>
    </row>
    <row r="252" spans="1:15" s="36" customFormat="1" ht="12" x14ac:dyDescent="0.2">
      <c r="A252" s="33"/>
      <c r="B252" s="55"/>
      <c r="C252" s="57"/>
      <c r="D252" s="57"/>
      <c r="E252" s="57"/>
      <c r="F252" s="57"/>
      <c r="G252" s="57"/>
      <c r="H252" s="33"/>
      <c r="I252" s="55"/>
      <c r="J252" s="57"/>
      <c r="K252" s="57"/>
      <c r="L252" s="57"/>
      <c r="M252" s="57"/>
      <c r="N252" s="34"/>
      <c r="O252" s="35"/>
    </row>
    <row r="253" spans="1:15" s="36" customFormat="1" ht="12" x14ac:dyDescent="0.2">
      <c r="A253" s="33"/>
      <c r="B253" s="56"/>
      <c r="C253" s="58"/>
      <c r="D253" s="58"/>
      <c r="E253" s="58"/>
      <c r="F253" s="58"/>
      <c r="G253" s="58"/>
      <c r="H253" s="33"/>
      <c r="I253" s="56"/>
      <c r="J253" s="58"/>
      <c r="K253" s="58"/>
      <c r="L253" s="58"/>
      <c r="M253" s="58"/>
      <c r="N253" s="34"/>
      <c r="O253" s="35"/>
    </row>
    <row r="254" spans="1:15" s="36" customFormat="1" ht="12" x14ac:dyDescent="0.2">
      <c r="A254" s="33"/>
      <c r="B254" s="55"/>
      <c r="C254" s="57"/>
      <c r="D254" s="57"/>
      <c r="E254" s="57"/>
      <c r="F254" s="57"/>
      <c r="G254" s="57"/>
      <c r="H254" s="33"/>
      <c r="I254" s="55"/>
      <c r="J254" s="57"/>
      <c r="K254" s="57"/>
      <c r="L254" s="57"/>
      <c r="M254" s="57"/>
      <c r="N254" s="34"/>
      <c r="O254" s="35"/>
    </row>
    <row r="255" spans="1:15" s="36" customFormat="1" ht="12" x14ac:dyDescent="0.2">
      <c r="A255" s="33"/>
      <c r="B255" s="56"/>
      <c r="C255" s="58"/>
      <c r="D255" s="58"/>
      <c r="E255" s="58"/>
      <c r="F255" s="58"/>
      <c r="G255" s="58"/>
      <c r="H255" s="33"/>
      <c r="I255" s="56"/>
      <c r="J255" s="58"/>
      <c r="K255" s="58"/>
      <c r="L255" s="58"/>
      <c r="M255" s="58"/>
      <c r="N255" s="34"/>
      <c r="O255" s="35"/>
    </row>
    <row r="256" spans="1:15" s="36" customFormat="1" ht="12" x14ac:dyDescent="0.2">
      <c r="A256" s="33"/>
      <c r="B256" s="55"/>
      <c r="C256" s="57"/>
      <c r="D256" s="57"/>
      <c r="E256" s="57"/>
      <c r="F256" s="57"/>
      <c r="G256" s="57"/>
      <c r="H256" s="33"/>
      <c r="I256" s="55"/>
      <c r="J256" s="57"/>
      <c r="K256" s="57"/>
      <c r="L256" s="57"/>
      <c r="M256" s="57"/>
      <c r="N256" s="34"/>
      <c r="O256" s="35"/>
    </row>
    <row r="257" spans="1:15" s="36" customFormat="1" ht="12" x14ac:dyDescent="0.2">
      <c r="A257" s="33"/>
      <c r="B257" s="56"/>
      <c r="C257" s="58"/>
      <c r="D257" s="58"/>
      <c r="E257" s="58"/>
      <c r="F257" s="58"/>
      <c r="G257" s="58"/>
      <c r="H257" s="33"/>
      <c r="I257" s="56"/>
      <c r="J257" s="58"/>
      <c r="K257" s="58"/>
      <c r="L257" s="58"/>
      <c r="M257" s="58"/>
      <c r="N257" s="34"/>
      <c r="O257" s="35"/>
    </row>
    <row r="258" spans="1:15" s="36" customFormat="1" ht="12" x14ac:dyDescent="0.2">
      <c r="A258" s="33"/>
      <c r="B258" s="55"/>
      <c r="C258" s="57"/>
      <c r="D258" s="57"/>
      <c r="E258" s="57"/>
      <c r="F258" s="57"/>
      <c r="G258" s="57"/>
      <c r="H258" s="33"/>
      <c r="I258" s="55"/>
      <c r="J258" s="57"/>
      <c r="K258" s="57"/>
      <c r="L258" s="57"/>
      <c r="M258" s="57"/>
      <c r="N258" s="34"/>
      <c r="O258" s="35"/>
    </row>
    <row r="259" spans="1:15" s="36" customFormat="1" ht="12" x14ac:dyDescent="0.2">
      <c r="A259" s="33"/>
      <c r="B259" s="56"/>
      <c r="C259" s="58"/>
      <c r="D259" s="58"/>
      <c r="E259" s="58"/>
      <c r="F259" s="58"/>
      <c r="G259" s="58"/>
      <c r="H259" s="33"/>
      <c r="I259" s="56"/>
      <c r="J259" s="58"/>
      <c r="K259" s="58"/>
      <c r="L259" s="58"/>
      <c r="M259" s="58"/>
      <c r="N259" s="34"/>
      <c r="O259" s="35"/>
    </row>
    <row r="260" spans="1:15" s="36" customFormat="1" ht="12" x14ac:dyDescent="0.2">
      <c r="A260" s="33"/>
      <c r="B260" s="55"/>
      <c r="C260" s="57"/>
      <c r="D260" s="57"/>
      <c r="E260" s="57"/>
      <c r="F260" s="57"/>
      <c r="G260" s="57"/>
      <c r="H260" s="33"/>
      <c r="I260" s="55"/>
      <c r="J260" s="57"/>
      <c r="K260" s="57"/>
      <c r="L260" s="57"/>
      <c r="M260" s="57"/>
      <c r="N260" s="34"/>
      <c r="O260" s="35"/>
    </row>
    <row r="261" spans="1:15" s="36" customFormat="1" ht="12" x14ac:dyDescent="0.2">
      <c r="A261" s="33"/>
      <c r="B261" s="56"/>
      <c r="C261" s="58"/>
      <c r="D261" s="58"/>
      <c r="E261" s="58"/>
      <c r="F261" s="58"/>
      <c r="G261" s="58"/>
      <c r="H261" s="33"/>
      <c r="I261" s="56"/>
      <c r="J261" s="58"/>
      <c r="K261" s="58"/>
      <c r="L261" s="58"/>
      <c r="M261" s="58"/>
      <c r="N261" s="34"/>
      <c r="O261" s="35"/>
    </row>
    <row r="262" spans="1:15" s="36" customFormat="1" ht="12" x14ac:dyDescent="0.2">
      <c r="A262" s="33"/>
      <c r="B262" s="55"/>
      <c r="C262" s="57"/>
      <c r="D262" s="57"/>
      <c r="E262" s="57"/>
      <c r="F262" s="57"/>
      <c r="G262" s="57"/>
      <c r="H262" s="33"/>
      <c r="I262" s="55"/>
      <c r="J262" s="57"/>
      <c r="K262" s="57"/>
      <c r="L262" s="57"/>
      <c r="M262" s="57"/>
      <c r="N262" s="34"/>
      <c r="O262" s="35"/>
    </row>
    <row r="263" spans="1:15" s="36" customFormat="1" ht="12" x14ac:dyDescent="0.2">
      <c r="A263" s="33"/>
      <c r="B263" s="56"/>
      <c r="C263" s="58"/>
      <c r="D263" s="58"/>
      <c r="E263" s="58"/>
      <c r="F263" s="58"/>
      <c r="G263" s="58"/>
      <c r="H263" s="33"/>
      <c r="I263" s="56"/>
      <c r="J263" s="58"/>
      <c r="K263" s="58"/>
      <c r="L263" s="58"/>
      <c r="M263" s="58"/>
      <c r="N263" s="34"/>
      <c r="O263" s="35"/>
    </row>
    <row r="264" spans="1:15" s="36" customFormat="1" ht="12" x14ac:dyDescent="0.2">
      <c r="A264" s="33"/>
      <c r="B264" s="55"/>
      <c r="C264" s="57"/>
      <c r="D264" s="57"/>
      <c r="E264" s="57"/>
      <c r="F264" s="57"/>
      <c r="G264" s="57"/>
      <c r="H264" s="33"/>
      <c r="I264" s="55"/>
      <c r="J264" s="57"/>
      <c r="K264" s="57"/>
      <c r="L264" s="57"/>
      <c r="M264" s="57"/>
      <c r="N264" s="34"/>
      <c r="O264" s="35"/>
    </row>
    <row r="265" spans="1:15" s="36" customFormat="1" ht="12" x14ac:dyDescent="0.2">
      <c r="A265" s="33"/>
      <c r="B265" s="56"/>
      <c r="C265" s="58"/>
      <c r="D265" s="58"/>
      <c r="E265" s="58"/>
      <c r="F265" s="58"/>
      <c r="G265" s="58"/>
      <c r="H265" s="33"/>
      <c r="I265" s="56"/>
      <c r="J265" s="58"/>
      <c r="K265" s="58"/>
      <c r="L265" s="58"/>
      <c r="M265" s="58"/>
      <c r="N265" s="34"/>
      <c r="O265" s="35"/>
    </row>
    <row r="266" spans="1:15" s="36" customFormat="1" ht="12" x14ac:dyDescent="0.2">
      <c r="A266" s="33"/>
      <c r="B266" s="55"/>
      <c r="C266" s="57"/>
      <c r="D266" s="57"/>
      <c r="E266" s="57"/>
      <c r="F266" s="57"/>
      <c r="G266" s="57"/>
      <c r="H266" s="33"/>
      <c r="I266" s="55"/>
      <c r="J266" s="57"/>
      <c r="K266" s="57"/>
      <c r="L266" s="57"/>
      <c r="M266" s="57"/>
      <c r="N266" s="34"/>
      <c r="O266" s="35"/>
    </row>
    <row r="267" spans="1:15" s="36" customFormat="1" ht="12" x14ac:dyDescent="0.2">
      <c r="A267" s="33"/>
      <c r="B267" s="56"/>
      <c r="C267" s="58"/>
      <c r="D267" s="58"/>
      <c r="E267" s="58"/>
      <c r="F267" s="58"/>
      <c r="G267" s="58"/>
      <c r="H267" s="33"/>
      <c r="I267" s="56"/>
      <c r="J267" s="58"/>
      <c r="K267" s="58"/>
      <c r="L267" s="58"/>
      <c r="M267" s="58"/>
      <c r="N267" s="34"/>
      <c r="O267" s="35"/>
    </row>
    <row r="268" spans="1:15" s="36" customFormat="1" ht="12" x14ac:dyDescent="0.2">
      <c r="A268" s="33"/>
      <c r="B268" s="55"/>
      <c r="C268" s="57"/>
      <c r="D268" s="57"/>
      <c r="E268" s="57"/>
      <c r="F268" s="57"/>
      <c r="G268" s="57"/>
      <c r="H268" s="33"/>
      <c r="I268" s="55"/>
      <c r="J268" s="57"/>
      <c r="K268" s="57"/>
      <c r="L268" s="57"/>
      <c r="M268" s="57"/>
      <c r="N268" s="34"/>
      <c r="O268" s="35"/>
    </row>
    <row r="269" spans="1:15" s="36" customFormat="1" ht="12" x14ac:dyDescent="0.2">
      <c r="A269" s="33"/>
      <c r="B269" s="56"/>
      <c r="C269" s="58"/>
      <c r="D269" s="58"/>
      <c r="E269" s="58"/>
      <c r="F269" s="58"/>
      <c r="G269" s="58"/>
      <c r="H269" s="33"/>
      <c r="I269" s="56"/>
      <c r="J269" s="58"/>
      <c r="K269" s="58"/>
      <c r="L269" s="58"/>
      <c r="M269" s="58"/>
      <c r="N269" s="34"/>
      <c r="O269" s="35"/>
    </row>
    <row r="270" spans="1:15" s="36" customFormat="1" ht="12" x14ac:dyDescent="0.2">
      <c r="A270" s="33"/>
      <c r="B270" s="55"/>
      <c r="C270" s="57"/>
      <c r="D270" s="57"/>
      <c r="E270" s="57"/>
      <c r="F270" s="57"/>
      <c r="G270" s="57"/>
      <c r="H270" s="33"/>
      <c r="I270" s="55"/>
      <c r="J270" s="57"/>
      <c r="K270" s="57"/>
      <c r="L270" s="57"/>
      <c r="M270" s="57"/>
      <c r="N270" s="34"/>
      <c r="O270" s="35"/>
    </row>
    <row r="271" spans="1:15" s="36" customFormat="1" ht="12" x14ac:dyDescent="0.2">
      <c r="A271" s="33"/>
      <c r="B271" s="56"/>
      <c r="C271" s="58"/>
      <c r="D271" s="58"/>
      <c r="E271" s="58"/>
      <c r="F271" s="58"/>
      <c r="G271" s="58"/>
      <c r="H271" s="33"/>
      <c r="I271" s="56"/>
      <c r="J271" s="58"/>
      <c r="K271" s="58"/>
      <c r="L271" s="58"/>
      <c r="M271" s="58"/>
      <c r="N271" s="34"/>
      <c r="O271" s="35"/>
    </row>
    <row r="272" spans="1:15" s="36" customFormat="1" ht="12" x14ac:dyDescent="0.2">
      <c r="A272" s="33"/>
      <c r="B272" s="55"/>
      <c r="C272" s="57"/>
      <c r="D272" s="57"/>
      <c r="E272" s="57"/>
      <c r="F272" s="57"/>
      <c r="G272" s="57"/>
      <c r="H272" s="33"/>
      <c r="I272" s="55"/>
      <c r="J272" s="57"/>
      <c r="K272" s="57"/>
      <c r="L272" s="57"/>
      <c r="M272" s="57"/>
      <c r="N272" s="34"/>
      <c r="O272" s="35"/>
    </row>
    <row r="273" spans="1:15" s="36" customFormat="1" ht="12" x14ac:dyDescent="0.2">
      <c r="A273" s="33"/>
      <c r="B273" s="56"/>
      <c r="C273" s="58"/>
      <c r="D273" s="58"/>
      <c r="E273" s="58"/>
      <c r="F273" s="58"/>
      <c r="G273" s="58"/>
      <c r="H273" s="33"/>
      <c r="I273" s="56"/>
      <c r="J273" s="58"/>
      <c r="K273" s="58"/>
      <c r="L273" s="58"/>
      <c r="M273" s="58"/>
      <c r="N273" s="34"/>
      <c r="O273" s="35"/>
    </row>
    <row r="274" spans="1:15" s="36" customFormat="1" ht="12" x14ac:dyDescent="0.2">
      <c r="A274" s="33"/>
      <c r="B274" s="55"/>
      <c r="C274" s="57"/>
      <c r="D274" s="57"/>
      <c r="E274" s="57"/>
      <c r="F274" s="57"/>
      <c r="G274" s="57"/>
      <c r="H274" s="33"/>
      <c r="I274" s="55"/>
      <c r="J274" s="57"/>
      <c r="K274" s="57"/>
      <c r="L274" s="57"/>
      <c r="M274" s="57"/>
      <c r="N274" s="34"/>
      <c r="O274" s="35"/>
    </row>
    <row r="275" spans="1:15" s="36" customFormat="1" ht="12" x14ac:dyDescent="0.2">
      <c r="A275" s="33"/>
      <c r="B275" s="56"/>
      <c r="C275" s="58"/>
      <c r="D275" s="58"/>
      <c r="E275" s="58"/>
      <c r="F275" s="58"/>
      <c r="G275" s="58"/>
      <c r="H275" s="33"/>
      <c r="I275" s="56"/>
      <c r="J275" s="58"/>
      <c r="K275" s="58"/>
      <c r="L275" s="58"/>
      <c r="M275" s="58"/>
      <c r="N275" s="34"/>
      <c r="O275" s="35"/>
    </row>
    <row r="276" spans="1:15" s="36" customFormat="1" ht="12" x14ac:dyDescent="0.2">
      <c r="A276" s="33"/>
      <c r="B276" s="55"/>
      <c r="C276" s="57"/>
      <c r="D276" s="57"/>
      <c r="E276" s="57"/>
      <c r="F276" s="57"/>
      <c r="G276" s="57"/>
      <c r="H276" s="33"/>
      <c r="I276" s="55"/>
      <c r="J276" s="57"/>
      <c r="K276" s="57"/>
      <c r="L276" s="57"/>
      <c r="M276" s="57"/>
      <c r="N276" s="34"/>
      <c r="O276" s="35"/>
    </row>
    <row r="277" spans="1:15" s="36" customFormat="1" ht="12" x14ac:dyDescent="0.2">
      <c r="A277" s="33"/>
      <c r="B277" s="56"/>
      <c r="C277" s="58"/>
      <c r="D277" s="58"/>
      <c r="E277" s="58"/>
      <c r="F277" s="58"/>
      <c r="G277" s="58"/>
      <c r="H277" s="33"/>
      <c r="I277" s="56"/>
      <c r="J277" s="58"/>
      <c r="K277" s="58"/>
      <c r="L277" s="58"/>
      <c r="M277" s="58"/>
      <c r="N277" s="34"/>
      <c r="O277" s="35"/>
    </row>
    <row r="278" spans="1:15" s="36" customFormat="1" ht="12" x14ac:dyDescent="0.2">
      <c r="A278" s="33"/>
      <c r="B278" s="55"/>
      <c r="C278" s="57"/>
      <c r="D278" s="57"/>
      <c r="E278" s="57"/>
      <c r="F278" s="57"/>
      <c r="G278" s="57"/>
      <c r="H278" s="33"/>
      <c r="I278" s="55"/>
      <c r="J278" s="57"/>
      <c r="K278" s="57"/>
      <c r="L278" s="57"/>
      <c r="M278" s="57"/>
      <c r="N278" s="34"/>
      <c r="O278" s="35"/>
    </row>
    <row r="279" spans="1:15" s="36" customFormat="1" ht="12" x14ac:dyDescent="0.2">
      <c r="A279" s="33"/>
      <c r="B279" s="56"/>
      <c r="C279" s="58"/>
      <c r="D279" s="58"/>
      <c r="E279" s="58"/>
      <c r="F279" s="58"/>
      <c r="G279" s="58"/>
      <c r="H279" s="33"/>
      <c r="I279" s="56"/>
      <c r="J279" s="58"/>
      <c r="K279" s="58"/>
      <c r="L279" s="58"/>
      <c r="M279" s="58"/>
      <c r="N279" s="34"/>
      <c r="O279" s="35"/>
    </row>
    <row r="280" spans="1:15" s="36" customFormat="1" ht="12" x14ac:dyDescent="0.2">
      <c r="A280" s="33"/>
      <c r="B280" s="55"/>
      <c r="C280" s="57"/>
      <c r="D280" s="57"/>
      <c r="E280" s="57"/>
      <c r="F280" s="57"/>
      <c r="G280" s="57"/>
      <c r="H280" s="33"/>
      <c r="I280" s="55"/>
      <c r="J280" s="57"/>
      <c r="K280" s="57"/>
      <c r="L280" s="57"/>
      <c r="M280" s="57"/>
      <c r="N280" s="34"/>
      <c r="O280" s="35"/>
    </row>
    <row r="281" spans="1:15" s="36" customFormat="1" ht="12" x14ac:dyDescent="0.2">
      <c r="A281" s="33"/>
      <c r="B281" s="56"/>
      <c r="C281" s="58"/>
      <c r="D281" s="58"/>
      <c r="E281" s="58"/>
      <c r="F281" s="58"/>
      <c r="G281" s="58"/>
      <c r="H281" s="33"/>
      <c r="I281" s="56"/>
      <c r="J281" s="58"/>
      <c r="K281" s="58"/>
      <c r="L281" s="58"/>
      <c r="M281" s="58"/>
      <c r="N281" s="34"/>
      <c r="O281" s="35"/>
    </row>
    <row r="282" spans="1:15" s="36" customFormat="1" ht="12" x14ac:dyDescent="0.2">
      <c r="A282" s="33"/>
      <c r="B282" s="55"/>
      <c r="C282" s="57"/>
      <c r="D282" s="57"/>
      <c r="E282" s="57"/>
      <c r="F282" s="57"/>
      <c r="G282" s="57"/>
      <c r="H282" s="33"/>
      <c r="I282" s="55"/>
      <c r="J282" s="57"/>
      <c r="K282" s="57"/>
      <c r="L282" s="57"/>
      <c r="M282" s="57"/>
      <c r="N282" s="34"/>
      <c r="O282" s="35"/>
    </row>
    <row r="283" spans="1:15" s="36" customFormat="1" ht="12" x14ac:dyDescent="0.2">
      <c r="A283" s="33"/>
      <c r="B283" s="56"/>
      <c r="C283" s="58"/>
      <c r="D283" s="58"/>
      <c r="E283" s="58"/>
      <c r="F283" s="58"/>
      <c r="G283" s="58"/>
      <c r="H283" s="33"/>
      <c r="I283" s="56"/>
      <c r="J283" s="58"/>
      <c r="K283" s="58"/>
      <c r="L283" s="58"/>
      <c r="M283" s="58"/>
      <c r="N283" s="34"/>
      <c r="O283" s="35"/>
    </row>
    <row r="284" spans="1:15" s="36" customFormat="1" ht="12" x14ac:dyDescent="0.2">
      <c r="A284" s="33"/>
      <c r="B284" s="55"/>
      <c r="C284" s="57"/>
      <c r="D284" s="57"/>
      <c r="E284" s="57"/>
      <c r="F284" s="57"/>
      <c r="G284" s="57"/>
      <c r="H284" s="33"/>
      <c r="I284" s="55"/>
      <c r="J284" s="57"/>
      <c r="K284" s="57"/>
      <c r="L284" s="57"/>
      <c r="M284" s="57"/>
      <c r="N284" s="34"/>
      <c r="O284" s="35"/>
    </row>
    <row r="285" spans="1:15" s="36" customFormat="1" ht="12" x14ac:dyDescent="0.2">
      <c r="A285" s="33"/>
      <c r="B285" s="56"/>
      <c r="C285" s="58"/>
      <c r="D285" s="58"/>
      <c r="E285" s="58"/>
      <c r="F285" s="58"/>
      <c r="G285" s="58"/>
      <c r="H285" s="33"/>
      <c r="I285" s="56"/>
      <c r="J285" s="58"/>
      <c r="K285" s="58"/>
      <c r="L285" s="58"/>
      <c r="M285" s="58"/>
      <c r="N285" s="34"/>
      <c r="O285" s="35"/>
    </row>
    <row r="286" spans="1:15" s="36" customFormat="1" ht="12" x14ac:dyDescent="0.2">
      <c r="A286" s="33"/>
      <c r="B286" s="55"/>
      <c r="C286" s="57"/>
      <c r="D286" s="57"/>
      <c r="E286" s="57"/>
      <c r="F286" s="57"/>
      <c r="G286" s="57"/>
      <c r="H286" s="33"/>
      <c r="I286" s="55"/>
      <c r="J286" s="57"/>
      <c r="K286" s="57"/>
      <c r="L286" s="57"/>
      <c r="M286" s="57"/>
      <c r="N286" s="34"/>
      <c r="O286" s="35"/>
    </row>
    <row r="287" spans="1:15" s="36" customFormat="1" ht="12" x14ac:dyDescent="0.2">
      <c r="A287" s="33"/>
      <c r="B287" s="56"/>
      <c r="C287" s="58"/>
      <c r="D287" s="58"/>
      <c r="E287" s="58"/>
      <c r="F287" s="58"/>
      <c r="G287" s="58"/>
      <c r="H287" s="33"/>
      <c r="I287" s="56"/>
      <c r="J287" s="58"/>
      <c r="K287" s="58"/>
      <c r="L287" s="58"/>
      <c r="M287" s="58"/>
      <c r="N287" s="34"/>
      <c r="O287" s="35"/>
    </row>
    <row r="288" spans="1:15" s="36" customFormat="1" ht="12" x14ac:dyDescent="0.2">
      <c r="A288" s="33"/>
      <c r="B288" s="55"/>
      <c r="C288" s="57"/>
      <c r="D288" s="57"/>
      <c r="E288" s="57"/>
      <c r="F288" s="57"/>
      <c r="G288" s="57"/>
      <c r="H288" s="33"/>
      <c r="I288" s="55"/>
      <c r="J288" s="57"/>
      <c r="K288" s="57"/>
      <c r="L288" s="57"/>
      <c r="M288" s="57"/>
      <c r="N288" s="34"/>
      <c r="O288" s="35"/>
    </row>
    <row r="289" spans="1:15" s="36" customFormat="1" ht="12" x14ac:dyDescent="0.2">
      <c r="A289" s="33"/>
      <c r="B289" s="56"/>
      <c r="C289" s="58"/>
      <c r="D289" s="58"/>
      <c r="E289" s="58"/>
      <c r="F289" s="58"/>
      <c r="G289" s="58"/>
      <c r="H289" s="33"/>
      <c r="I289" s="56"/>
      <c r="J289" s="58"/>
      <c r="K289" s="58"/>
      <c r="L289" s="58"/>
      <c r="M289" s="58"/>
      <c r="N289" s="34"/>
      <c r="O289" s="35"/>
    </row>
    <row r="290" spans="1:15" s="36" customFormat="1" ht="12" x14ac:dyDescent="0.2">
      <c r="A290" s="33"/>
      <c r="B290" s="55"/>
      <c r="C290" s="57"/>
      <c r="D290" s="57"/>
      <c r="E290" s="57"/>
      <c r="F290" s="57"/>
      <c r="G290" s="57"/>
      <c r="H290" s="33"/>
      <c r="I290" s="55"/>
      <c r="J290" s="57"/>
      <c r="K290" s="57"/>
      <c r="L290" s="57"/>
      <c r="M290" s="57"/>
      <c r="N290" s="34"/>
      <c r="O290" s="35"/>
    </row>
    <row r="291" spans="1:15" s="36" customFormat="1" ht="12" x14ac:dyDescent="0.2">
      <c r="A291" s="33"/>
      <c r="B291" s="56"/>
      <c r="C291" s="58"/>
      <c r="D291" s="58"/>
      <c r="E291" s="58"/>
      <c r="F291" s="58"/>
      <c r="G291" s="58"/>
      <c r="H291" s="33"/>
      <c r="I291" s="56"/>
      <c r="J291" s="58"/>
      <c r="K291" s="58"/>
      <c r="L291" s="58"/>
      <c r="M291" s="58"/>
      <c r="N291" s="34"/>
      <c r="O291" s="35"/>
    </row>
    <row r="292" spans="1:15" s="36" customFormat="1" ht="12" x14ac:dyDescent="0.2">
      <c r="A292" s="33"/>
      <c r="B292" s="55"/>
      <c r="C292" s="57"/>
      <c r="D292" s="57"/>
      <c r="E292" s="57"/>
      <c r="F292" s="57"/>
      <c r="G292" s="57"/>
      <c r="H292" s="33"/>
      <c r="I292" s="55"/>
      <c r="J292" s="57"/>
      <c r="K292" s="57"/>
      <c r="L292" s="57"/>
      <c r="M292" s="57"/>
      <c r="N292" s="34"/>
      <c r="O292" s="35"/>
    </row>
    <row r="293" spans="1:15" s="36" customFormat="1" ht="12" x14ac:dyDescent="0.2">
      <c r="A293" s="33"/>
      <c r="B293" s="56"/>
      <c r="C293" s="58"/>
      <c r="D293" s="58"/>
      <c r="E293" s="58"/>
      <c r="F293" s="58"/>
      <c r="G293" s="58"/>
      <c r="H293" s="33"/>
      <c r="I293" s="56"/>
      <c r="J293" s="58"/>
      <c r="K293" s="58"/>
      <c r="L293" s="58"/>
      <c r="M293" s="58"/>
      <c r="N293" s="34"/>
      <c r="O293" s="35"/>
    </row>
    <row r="294" spans="1:15" s="36" customFormat="1" ht="12" x14ac:dyDescent="0.2">
      <c r="A294" s="33"/>
      <c r="B294" s="55"/>
      <c r="C294" s="57"/>
      <c r="D294" s="57"/>
      <c r="E294" s="57"/>
      <c r="F294" s="57"/>
      <c r="G294" s="57"/>
      <c r="H294" s="33"/>
      <c r="I294" s="55"/>
      <c r="J294" s="57"/>
      <c r="K294" s="57"/>
      <c r="L294" s="57"/>
      <c r="M294" s="57"/>
      <c r="N294" s="34"/>
      <c r="O294" s="35"/>
    </row>
    <row r="295" spans="1:15" s="36" customFormat="1" ht="12" x14ac:dyDescent="0.2">
      <c r="A295" s="33"/>
      <c r="B295" s="56"/>
      <c r="C295" s="58"/>
      <c r="D295" s="58"/>
      <c r="E295" s="58"/>
      <c r="F295" s="58"/>
      <c r="G295" s="58"/>
      <c r="H295" s="33"/>
      <c r="I295" s="56"/>
      <c r="J295" s="58"/>
      <c r="K295" s="58"/>
      <c r="L295" s="58"/>
      <c r="M295" s="58"/>
      <c r="N295" s="34"/>
      <c r="O295" s="35"/>
    </row>
    <row r="296" spans="1:15" s="36" customFormat="1" ht="12" x14ac:dyDescent="0.2">
      <c r="A296" s="33"/>
      <c r="B296" s="55"/>
      <c r="C296" s="57"/>
      <c r="D296" s="57"/>
      <c r="E296" s="57"/>
      <c r="F296" s="57"/>
      <c r="G296" s="57"/>
      <c r="H296" s="33"/>
      <c r="I296" s="55"/>
      <c r="J296" s="57"/>
      <c r="K296" s="57"/>
      <c r="L296" s="57"/>
      <c r="M296" s="57"/>
      <c r="N296" s="34"/>
      <c r="O296" s="35"/>
    </row>
    <row r="297" spans="1:15" s="36" customFormat="1" ht="12" x14ac:dyDescent="0.2">
      <c r="A297" s="33"/>
      <c r="B297" s="56"/>
      <c r="C297" s="58"/>
      <c r="D297" s="58"/>
      <c r="E297" s="58"/>
      <c r="F297" s="58"/>
      <c r="G297" s="58"/>
      <c r="H297" s="33"/>
      <c r="I297" s="56"/>
      <c r="J297" s="58"/>
      <c r="K297" s="58"/>
      <c r="L297" s="58"/>
      <c r="M297" s="58"/>
      <c r="N297" s="34"/>
      <c r="O297" s="35"/>
    </row>
    <row r="298" spans="1:15" s="36" customFormat="1" ht="12" x14ac:dyDescent="0.2">
      <c r="A298" s="33"/>
      <c r="B298" s="55"/>
      <c r="C298" s="57"/>
      <c r="D298" s="57"/>
      <c r="E298" s="57"/>
      <c r="F298" s="57"/>
      <c r="G298" s="57"/>
      <c r="H298" s="33"/>
      <c r="I298" s="55"/>
      <c r="J298" s="57"/>
      <c r="K298" s="57"/>
      <c r="L298" s="57"/>
      <c r="M298" s="57"/>
      <c r="N298" s="34"/>
      <c r="O298" s="35"/>
    </row>
    <row r="299" spans="1:15" s="36" customFormat="1" ht="12" x14ac:dyDescent="0.2">
      <c r="A299" s="33"/>
      <c r="B299" s="56"/>
      <c r="C299" s="58"/>
      <c r="D299" s="58"/>
      <c r="E299" s="58"/>
      <c r="F299" s="58"/>
      <c r="G299" s="58"/>
      <c r="H299" s="33"/>
      <c r="I299" s="56"/>
      <c r="J299" s="58"/>
      <c r="K299" s="58"/>
      <c r="L299" s="58"/>
      <c r="M299" s="58"/>
      <c r="N299" s="34"/>
      <c r="O299" s="35"/>
    </row>
    <row r="300" spans="1:15" s="36" customFormat="1" ht="12" x14ac:dyDescent="0.2">
      <c r="A300" s="33"/>
      <c r="B300" s="55"/>
      <c r="C300" s="57"/>
      <c r="D300" s="57"/>
      <c r="E300" s="57"/>
      <c r="F300" s="57"/>
      <c r="G300" s="57"/>
      <c r="H300" s="33"/>
      <c r="I300" s="55"/>
      <c r="J300" s="57"/>
      <c r="K300" s="57"/>
      <c r="L300" s="57"/>
      <c r="M300" s="57"/>
      <c r="N300" s="34"/>
      <c r="O300" s="35"/>
    </row>
    <row r="301" spans="1:15" s="36" customFormat="1" ht="12" x14ac:dyDescent="0.2">
      <c r="A301" s="33"/>
      <c r="B301" s="56"/>
      <c r="C301" s="58"/>
      <c r="D301" s="58"/>
      <c r="E301" s="58"/>
      <c r="F301" s="58"/>
      <c r="G301" s="58"/>
      <c r="H301" s="33"/>
      <c r="I301" s="56"/>
      <c r="J301" s="58"/>
      <c r="K301" s="58"/>
      <c r="L301" s="58"/>
      <c r="M301" s="58"/>
      <c r="N301" s="34"/>
      <c r="O301" s="35"/>
    </row>
    <row r="302" spans="1:15" s="36" customFormat="1" ht="12" x14ac:dyDescent="0.2">
      <c r="A302" s="33"/>
      <c r="B302" s="55"/>
      <c r="C302" s="57"/>
      <c r="D302" s="57"/>
      <c r="E302" s="57"/>
      <c r="F302" s="57"/>
      <c r="G302" s="57"/>
      <c r="H302" s="33"/>
      <c r="I302" s="55"/>
      <c r="J302" s="57"/>
      <c r="K302" s="57"/>
      <c r="L302" s="57"/>
      <c r="M302" s="57"/>
      <c r="N302" s="34"/>
      <c r="O302" s="35"/>
    </row>
    <row r="303" spans="1:15" s="36" customFormat="1" ht="12" x14ac:dyDescent="0.2">
      <c r="A303" s="33"/>
      <c r="B303" s="56"/>
      <c r="C303" s="58"/>
      <c r="D303" s="58"/>
      <c r="E303" s="58"/>
      <c r="F303" s="58"/>
      <c r="G303" s="58"/>
      <c r="H303" s="33"/>
      <c r="I303" s="56"/>
      <c r="J303" s="58"/>
      <c r="K303" s="58"/>
      <c r="L303" s="58"/>
      <c r="M303" s="58"/>
      <c r="N303" s="34"/>
      <c r="O303" s="35"/>
    </row>
    <row r="304" spans="1:15" s="36" customFormat="1" ht="12" x14ac:dyDescent="0.2">
      <c r="A304" s="33"/>
      <c r="B304" s="55"/>
      <c r="C304" s="57"/>
      <c r="D304" s="57"/>
      <c r="E304" s="57"/>
      <c r="F304" s="57"/>
      <c r="G304" s="57"/>
      <c r="H304" s="33"/>
      <c r="I304" s="55"/>
      <c r="J304" s="57"/>
      <c r="K304" s="57"/>
      <c r="L304" s="57"/>
      <c r="M304" s="57"/>
      <c r="N304" s="34"/>
      <c r="O304" s="35"/>
    </row>
    <row r="305" spans="1:15" s="36" customFormat="1" ht="12" x14ac:dyDescent="0.2">
      <c r="A305" s="33"/>
      <c r="B305" s="56"/>
      <c r="C305" s="58"/>
      <c r="D305" s="58"/>
      <c r="E305" s="58"/>
      <c r="F305" s="58"/>
      <c r="G305" s="58"/>
      <c r="H305" s="33"/>
      <c r="I305" s="56"/>
      <c r="J305" s="58"/>
      <c r="K305" s="58"/>
      <c r="L305" s="58"/>
      <c r="M305" s="58"/>
      <c r="N305" s="34"/>
      <c r="O305" s="35"/>
    </row>
    <row r="306" spans="1:15" s="36" customFormat="1" ht="12" x14ac:dyDescent="0.2">
      <c r="A306" s="33"/>
      <c r="B306" s="55"/>
      <c r="C306" s="57"/>
      <c r="D306" s="57"/>
      <c r="E306" s="57"/>
      <c r="F306" s="57"/>
      <c r="G306" s="57"/>
      <c r="H306" s="33"/>
      <c r="I306" s="55"/>
      <c r="J306" s="57"/>
      <c r="K306" s="57"/>
      <c r="L306" s="57"/>
      <c r="M306" s="57"/>
      <c r="N306" s="34"/>
      <c r="O306" s="35"/>
    </row>
    <row r="307" spans="1:15" s="36" customFormat="1" ht="12" x14ac:dyDescent="0.2">
      <c r="A307" s="33"/>
      <c r="B307" s="56"/>
      <c r="C307" s="58"/>
      <c r="D307" s="58"/>
      <c r="E307" s="58"/>
      <c r="F307" s="58"/>
      <c r="G307" s="58"/>
      <c r="H307" s="33"/>
      <c r="I307" s="56"/>
      <c r="J307" s="58"/>
      <c r="K307" s="58"/>
      <c r="L307" s="58"/>
      <c r="M307" s="58"/>
      <c r="N307" s="34"/>
      <c r="O307" s="35"/>
    </row>
    <row r="308" spans="1:15" s="36" customFormat="1" ht="12" x14ac:dyDescent="0.2">
      <c r="A308" s="33"/>
      <c r="B308" s="55"/>
      <c r="C308" s="57"/>
      <c r="D308" s="57"/>
      <c r="E308" s="57"/>
      <c r="F308" s="57"/>
      <c r="G308" s="57"/>
      <c r="H308" s="33"/>
      <c r="I308" s="55"/>
      <c r="J308" s="57"/>
      <c r="K308" s="57"/>
      <c r="L308" s="57"/>
      <c r="M308" s="57"/>
      <c r="N308" s="34"/>
      <c r="O308" s="35"/>
    </row>
    <row r="309" spans="1:15" s="36" customFormat="1" ht="12" x14ac:dyDescent="0.2">
      <c r="A309" s="33"/>
      <c r="B309" s="56"/>
      <c r="C309" s="58"/>
      <c r="D309" s="58"/>
      <c r="E309" s="58"/>
      <c r="F309" s="58"/>
      <c r="G309" s="58"/>
      <c r="H309" s="33"/>
      <c r="I309" s="56"/>
      <c r="J309" s="58"/>
      <c r="K309" s="58"/>
      <c r="L309" s="58"/>
      <c r="M309" s="58"/>
      <c r="N309" s="34"/>
      <c r="O309" s="35"/>
    </row>
    <row r="310" spans="1:15" s="36" customFormat="1" ht="12" x14ac:dyDescent="0.2">
      <c r="A310" s="33"/>
      <c r="B310" s="55"/>
      <c r="C310" s="57"/>
      <c r="D310" s="57"/>
      <c r="E310" s="57"/>
      <c r="F310" s="57"/>
      <c r="G310" s="57"/>
      <c r="H310" s="33"/>
      <c r="I310" s="55"/>
      <c r="J310" s="57"/>
      <c r="K310" s="57"/>
      <c r="L310" s="57"/>
      <c r="M310" s="57"/>
      <c r="N310" s="34"/>
      <c r="O310" s="35"/>
    </row>
    <row r="311" spans="1:15" s="36" customFormat="1" ht="12" x14ac:dyDescent="0.2">
      <c r="A311" s="33"/>
      <c r="B311" s="56"/>
      <c r="C311" s="58"/>
      <c r="D311" s="58"/>
      <c r="E311" s="58"/>
      <c r="F311" s="58"/>
      <c r="G311" s="58"/>
      <c r="H311" s="33"/>
      <c r="I311" s="56"/>
      <c r="J311" s="58"/>
      <c r="K311" s="58"/>
      <c r="L311" s="58"/>
      <c r="M311" s="58"/>
      <c r="N311" s="34"/>
      <c r="O311" s="35"/>
    </row>
    <row r="312" spans="1:15" s="36" customFormat="1" ht="12" x14ac:dyDescent="0.2">
      <c r="A312" s="33"/>
      <c r="B312" s="55"/>
      <c r="C312" s="57"/>
      <c r="D312" s="57"/>
      <c r="E312" s="57"/>
      <c r="F312" s="57"/>
      <c r="G312" s="57"/>
      <c r="H312" s="33"/>
      <c r="I312" s="55"/>
      <c r="J312" s="57"/>
      <c r="K312" s="57"/>
      <c r="L312" s="57"/>
      <c r="M312" s="57"/>
      <c r="N312" s="34"/>
      <c r="O312" s="35"/>
    </row>
    <row r="313" spans="1:15" s="36" customFormat="1" ht="12" x14ac:dyDescent="0.2">
      <c r="A313" s="33"/>
      <c r="B313" s="56"/>
      <c r="C313" s="58"/>
      <c r="D313" s="58"/>
      <c r="E313" s="58"/>
      <c r="F313" s="58"/>
      <c r="G313" s="58"/>
      <c r="H313" s="33"/>
      <c r="I313" s="56"/>
      <c r="J313" s="58"/>
      <c r="K313" s="58"/>
      <c r="L313" s="58"/>
      <c r="M313" s="58"/>
      <c r="N313" s="34"/>
      <c r="O313" s="35"/>
    </row>
    <row r="314" spans="1:15" s="36" customFormat="1" ht="12" x14ac:dyDescent="0.2">
      <c r="A314" s="33"/>
      <c r="B314" s="55"/>
      <c r="C314" s="57"/>
      <c r="D314" s="57"/>
      <c r="E314" s="57"/>
      <c r="F314" s="57"/>
      <c r="G314" s="57"/>
      <c r="H314" s="33"/>
      <c r="I314" s="55"/>
      <c r="J314" s="57"/>
      <c r="K314" s="57"/>
      <c r="L314" s="57"/>
      <c r="M314" s="57"/>
      <c r="N314" s="34"/>
      <c r="O314" s="35"/>
    </row>
    <row r="315" spans="1:15" s="36" customFormat="1" ht="12" x14ac:dyDescent="0.2">
      <c r="A315" s="33"/>
      <c r="B315" s="56"/>
      <c r="C315" s="58"/>
      <c r="D315" s="58"/>
      <c r="E315" s="58"/>
      <c r="F315" s="58"/>
      <c r="G315" s="58"/>
      <c r="H315" s="33"/>
      <c r="I315" s="56"/>
      <c r="J315" s="58"/>
      <c r="K315" s="58"/>
      <c r="L315" s="58"/>
      <c r="M315" s="58"/>
      <c r="N315" s="34"/>
      <c r="O315" s="35"/>
    </row>
    <row r="316" spans="1:15" s="36" customFormat="1" ht="12" x14ac:dyDescent="0.2">
      <c r="A316" s="33"/>
      <c r="B316" s="55"/>
      <c r="C316" s="57"/>
      <c r="D316" s="57"/>
      <c r="E316" s="57"/>
      <c r="F316" s="57"/>
      <c r="G316" s="57"/>
      <c r="H316" s="33"/>
      <c r="I316" s="55"/>
      <c r="J316" s="57"/>
      <c r="K316" s="57"/>
      <c r="L316" s="57"/>
      <c r="M316" s="57"/>
      <c r="N316" s="34"/>
      <c r="O316" s="35"/>
    </row>
    <row r="317" spans="1:15" s="36" customFormat="1" ht="12" x14ac:dyDescent="0.2">
      <c r="A317" s="33"/>
      <c r="B317" s="56"/>
      <c r="C317" s="58"/>
      <c r="D317" s="58"/>
      <c r="E317" s="58"/>
      <c r="F317" s="58"/>
      <c r="G317" s="58"/>
      <c r="H317" s="33"/>
      <c r="I317" s="56"/>
      <c r="J317" s="58"/>
      <c r="K317" s="58"/>
      <c r="L317" s="58"/>
      <c r="M317" s="58"/>
      <c r="N317" s="34"/>
      <c r="O317" s="35"/>
    </row>
    <row r="318" spans="1:15" s="36" customFormat="1" ht="12" x14ac:dyDescent="0.2">
      <c r="A318" s="33"/>
      <c r="B318" s="55"/>
      <c r="C318" s="57"/>
      <c r="D318" s="57"/>
      <c r="E318" s="57"/>
      <c r="F318" s="57"/>
      <c r="G318" s="57"/>
      <c r="H318" s="33"/>
      <c r="I318" s="55"/>
      <c r="J318" s="57"/>
      <c r="K318" s="57"/>
      <c r="L318" s="57"/>
      <c r="M318" s="57"/>
      <c r="N318" s="34"/>
      <c r="O318" s="35"/>
    </row>
    <row r="319" spans="1:15" s="36" customFormat="1" ht="12" x14ac:dyDescent="0.2">
      <c r="A319" s="33"/>
      <c r="B319" s="56"/>
      <c r="C319" s="58"/>
      <c r="D319" s="58"/>
      <c r="E319" s="58"/>
      <c r="F319" s="58"/>
      <c r="G319" s="58"/>
      <c r="H319" s="33"/>
      <c r="I319" s="56"/>
      <c r="J319" s="58"/>
      <c r="K319" s="58"/>
      <c r="L319" s="58"/>
      <c r="M319" s="58"/>
      <c r="N319" s="34"/>
      <c r="O319" s="35"/>
    </row>
    <row r="320" spans="1:15" s="36" customFormat="1" ht="12" x14ac:dyDescent="0.2">
      <c r="A320" s="33"/>
      <c r="B320" s="55"/>
      <c r="C320" s="57"/>
      <c r="D320" s="57"/>
      <c r="E320" s="57"/>
      <c r="F320" s="57"/>
      <c r="G320" s="57"/>
      <c r="H320" s="33"/>
      <c r="I320" s="55"/>
      <c r="J320" s="57"/>
      <c r="K320" s="57"/>
      <c r="L320" s="57"/>
      <c r="M320" s="57"/>
      <c r="N320" s="34"/>
      <c r="O320" s="35"/>
    </row>
    <row r="321" spans="1:15" s="36" customFormat="1" ht="12" x14ac:dyDescent="0.2">
      <c r="A321" s="33"/>
      <c r="B321" s="56"/>
      <c r="C321" s="58"/>
      <c r="D321" s="58"/>
      <c r="E321" s="58"/>
      <c r="F321" s="58"/>
      <c r="G321" s="58"/>
      <c r="H321" s="33"/>
      <c r="I321" s="56"/>
      <c r="J321" s="58"/>
      <c r="K321" s="58"/>
      <c r="L321" s="58"/>
      <c r="M321" s="58"/>
      <c r="N321" s="34"/>
      <c r="O321" s="35"/>
    </row>
    <row r="322" spans="1:15" s="36" customFormat="1" ht="12" x14ac:dyDescent="0.2">
      <c r="A322" s="33"/>
      <c r="B322" s="55"/>
      <c r="C322" s="57"/>
      <c r="D322" s="57"/>
      <c r="E322" s="57"/>
      <c r="F322" s="57"/>
      <c r="G322" s="57"/>
      <c r="H322" s="33"/>
      <c r="I322" s="55"/>
      <c r="J322" s="57"/>
      <c r="K322" s="57"/>
      <c r="L322" s="57"/>
      <c r="M322" s="57"/>
      <c r="N322" s="34"/>
      <c r="O322" s="35"/>
    </row>
    <row r="323" spans="1:15" s="36" customFormat="1" ht="12" x14ac:dyDescent="0.2">
      <c r="A323" s="33"/>
      <c r="B323" s="56"/>
      <c r="C323" s="58"/>
      <c r="D323" s="58"/>
      <c r="E323" s="58"/>
      <c r="F323" s="58"/>
      <c r="G323" s="58"/>
      <c r="H323" s="33"/>
      <c r="I323" s="56"/>
      <c r="J323" s="58"/>
      <c r="K323" s="58"/>
      <c r="L323" s="58"/>
      <c r="M323" s="58"/>
      <c r="N323" s="34"/>
      <c r="O323" s="35"/>
    </row>
    <row r="324" spans="1:15" s="36" customFormat="1" ht="12" x14ac:dyDescent="0.2">
      <c r="A324" s="33"/>
      <c r="B324" s="55"/>
      <c r="C324" s="57"/>
      <c r="D324" s="57"/>
      <c r="E324" s="57"/>
      <c r="F324" s="57"/>
      <c r="G324" s="57"/>
      <c r="H324" s="33"/>
      <c r="I324" s="55"/>
      <c r="J324" s="57"/>
      <c r="K324" s="57"/>
      <c r="L324" s="57"/>
      <c r="M324" s="57"/>
      <c r="N324" s="34"/>
      <c r="O324" s="35"/>
    </row>
    <row r="325" spans="1:15" s="36" customFormat="1" ht="12" x14ac:dyDescent="0.2">
      <c r="A325" s="33"/>
      <c r="B325" s="56"/>
      <c r="C325" s="58"/>
      <c r="D325" s="58"/>
      <c r="E325" s="58"/>
      <c r="F325" s="58"/>
      <c r="G325" s="58"/>
      <c r="H325" s="33"/>
      <c r="I325" s="56"/>
      <c r="J325" s="58"/>
      <c r="K325" s="58"/>
      <c r="L325" s="58"/>
      <c r="M325" s="58"/>
      <c r="N325" s="34"/>
      <c r="O325" s="35"/>
    </row>
    <row r="326" spans="1:15" ht="12" x14ac:dyDescent="0.2">
      <c r="B326" s="55"/>
      <c r="C326" s="57"/>
      <c r="D326" s="57"/>
      <c r="E326" s="57"/>
      <c r="F326" s="57"/>
      <c r="G326" s="57"/>
      <c r="I326" s="55"/>
      <c r="J326" s="57"/>
      <c r="K326" s="57"/>
      <c r="L326" s="57"/>
      <c r="M326" s="57"/>
      <c r="N326" s="15"/>
      <c r="O326" s="21"/>
    </row>
    <row r="327" spans="1:15" ht="12" x14ac:dyDescent="0.2">
      <c r="B327" s="56"/>
      <c r="C327" s="58"/>
      <c r="D327" s="58"/>
      <c r="E327" s="58"/>
      <c r="F327" s="58"/>
      <c r="G327" s="58"/>
      <c r="I327" s="56"/>
      <c r="J327" s="58"/>
      <c r="K327" s="58"/>
      <c r="L327" s="58"/>
      <c r="M327" s="58"/>
      <c r="N327" s="15"/>
      <c r="O327" s="21"/>
    </row>
    <row r="328" spans="1:15" ht="12" x14ac:dyDescent="0.2">
      <c r="B328" s="55"/>
      <c r="C328" s="57"/>
      <c r="D328" s="57"/>
      <c r="E328" s="57"/>
      <c r="F328" s="57"/>
      <c r="G328" s="57"/>
      <c r="I328" s="55"/>
      <c r="J328" s="57"/>
      <c r="K328" s="57"/>
      <c r="L328" s="57"/>
      <c r="M328" s="57"/>
    </row>
    <row r="329" spans="1:15" ht="12" x14ac:dyDescent="0.2">
      <c r="B329" s="56"/>
      <c r="C329" s="58"/>
      <c r="D329" s="58"/>
      <c r="E329" s="58"/>
      <c r="F329" s="58"/>
      <c r="G329" s="58"/>
      <c r="I329" s="56"/>
      <c r="J329" s="58"/>
      <c r="K329" s="58"/>
      <c r="L329" s="58"/>
      <c r="M329" s="58"/>
    </row>
    <row r="330" spans="1:15" ht="12" x14ac:dyDescent="0.2">
      <c r="B330" s="55"/>
      <c r="C330" s="57"/>
      <c r="D330" s="57"/>
      <c r="E330" s="57"/>
      <c r="F330" s="57"/>
      <c r="G330" s="57"/>
      <c r="I330" s="55"/>
      <c r="J330" s="57"/>
      <c r="K330" s="57"/>
      <c r="L330" s="57"/>
      <c r="M330" s="57"/>
    </row>
    <row r="331" spans="1:15" ht="12" x14ac:dyDescent="0.2">
      <c r="B331" s="56"/>
      <c r="C331" s="58"/>
      <c r="D331" s="58"/>
      <c r="E331" s="58"/>
      <c r="F331" s="58"/>
      <c r="G331" s="58"/>
      <c r="I331" s="56"/>
      <c r="J331" s="58"/>
      <c r="K331" s="58"/>
      <c r="L331" s="58"/>
      <c r="M331" s="58"/>
    </row>
    <row r="332" spans="1:15" ht="12" x14ac:dyDescent="0.2">
      <c r="B332" s="55"/>
      <c r="C332" s="57"/>
      <c r="D332" s="57"/>
      <c r="E332" s="57"/>
      <c r="F332" s="57"/>
      <c r="G332" s="57"/>
      <c r="I332" s="55"/>
      <c r="J332" s="57"/>
      <c r="K332" s="57"/>
      <c r="L332" s="57"/>
      <c r="M332" s="57"/>
    </row>
    <row r="333" spans="1:15" ht="12" x14ac:dyDescent="0.2">
      <c r="B333" s="56"/>
      <c r="C333" s="58"/>
      <c r="D333" s="58"/>
      <c r="E333" s="58"/>
      <c r="F333" s="58"/>
      <c r="G333" s="58"/>
      <c r="I333" s="56"/>
      <c r="J333" s="58"/>
      <c r="K333" s="58"/>
      <c r="L333" s="58"/>
      <c r="M333" s="58"/>
    </row>
    <row r="334" spans="1:15" ht="12" x14ac:dyDescent="0.2">
      <c r="B334" s="55"/>
      <c r="C334" s="57"/>
      <c r="D334" s="57"/>
      <c r="E334" s="57"/>
      <c r="F334" s="57"/>
      <c r="G334" s="57"/>
      <c r="I334" s="55"/>
      <c r="J334" s="57"/>
      <c r="K334" s="57"/>
      <c r="L334" s="57"/>
      <c r="M334" s="57"/>
    </row>
    <row r="335" spans="1:15" ht="12" x14ac:dyDescent="0.2">
      <c r="B335" s="56"/>
      <c r="C335" s="58"/>
      <c r="D335" s="58"/>
      <c r="E335" s="58"/>
      <c r="F335" s="58"/>
      <c r="G335" s="58"/>
      <c r="I335" s="56"/>
      <c r="J335" s="58"/>
      <c r="K335" s="58"/>
      <c r="L335" s="58"/>
      <c r="M335" s="58"/>
    </row>
    <row r="336" spans="1:15" ht="12" x14ac:dyDescent="0.2">
      <c r="B336" s="55"/>
      <c r="C336" s="57"/>
      <c r="D336" s="57"/>
      <c r="E336" s="57"/>
      <c r="F336" s="57"/>
      <c r="G336" s="57"/>
      <c r="I336" s="55"/>
      <c r="J336" s="57"/>
      <c r="K336" s="57"/>
      <c r="L336" s="57"/>
      <c r="M336" s="57"/>
    </row>
    <row r="337" spans="2:13" ht="12" x14ac:dyDescent="0.2">
      <c r="B337" s="56"/>
      <c r="C337" s="58"/>
      <c r="D337" s="58"/>
      <c r="E337" s="58"/>
      <c r="F337" s="58"/>
      <c r="G337" s="58"/>
      <c r="I337" s="56"/>
      <c r="J337" s="58"/>
      <c r="K337" s="58"/>
      <c r="L337" s="58"/>
      <c r="M337" s="58"/>
    </row>
    <row r="338" spans="2:13" ht="12" x14ac:dyDescent="0.2">
      <c r="B338" s="55"/>
      <c r="C338" s="57"/>
      <c r="D338" s="57"/>
      <c r="E338" s="57"/>
      <c r="F338" s="57"/>
      <c r="G338" s="57"/>
      <c r="I338" s="55"/>
      <c r="J338" s="57"/>
      <c r="K338" s="57"/>
      <c r="L338" s="57"/>
      <c r="M338" s="57"/>
    </row>
    <row r="339" spans="2:13" ht="12" x14ac:dyDescent="0.2">
      <c r="B339" s="56"/>
      <c r="C339" s="58"/>
      <c r="D339" s="58"/>
      <c r="E339" s="58"/>
      <c r="F339" s="58"/>
      <c r="G339" s="58"/>
      <c r="I339" s="56"/>
      <c r="J339" s="58"/>
      <c r="K339" s="58"/>
      <c r="L339" s="58"/>
      <c r="M339" s="58"/>
    </row>
    <row r="340" spans="2:13" ht="12" x14ac:dyDescent="0.2">
      <c r="B340" s="55"/>
      <c r="C340" s="57"/>
      <c r="D340" s="57"/>
      <c r="E340" s="57"/>
      <c r="F340" s="57"/>
      <c r="G340" s="57"/>
      <c r="I340" s="55"/>
      <c r="J340" s="57"/>
      <c r="K340" s="57"/>
      <c r="L340" s="57"/>
      <c r="M340" s="57"/>
    </row>
    <row r="341" spans="2:13" ht="12" x14ac:dyDescent="0.2">
      <c r="B341" s="56"/>
      <c r="C341" s="58"/>
      <c r="D341" s="58"/>
      <c r="E341" s="58"/>
      <c r="F341" s="58"/>
      <c r="G341" s="58"/>
      <c r="I341" s="56"/>
      <c r="J341" s="58"/>
      <c r="K341" s="58"/>
      <c r="L341" s="58"/>
      <c r="M341" s="58"/>
    </row>
    <row r="342" spans="2:13" ht="12" x14ac:dyDescent="0.2">
      <c r="B342" s="55"/>
      <c r="C342" s="57"/>
      <c r="D342" s="57"/>
      <c r="E342" s="57"/>
      <c r="F342" s="57"/>
      <c r="G342" s="57"/>
      <c r="I342" s="55"/>
      <c r="J342" s="57"/>
      <c r="K342" s="57"/>
      <c r="L342" s="57"/>
      <c r="M342" s="57"/>
    </row>
    <row r="343" spans="2:13" ht="12" x14ac:dyDescent="0.2">
      <c r="B343" s="56"/>
      <c r="C343" s="58"/>
      <c r="D343" s="58"/>
      <c r="E343" s="58"/>
      <c r="F343" s="58"/>
      <c r="G343" s="58"/>
      <c r="I343" s="56"/>
      <c r="J343" s="58"/>
      <c r="K343" s="58"/>
      <c r="L343" s="58"/>
      <c r="M343" s="58"/>
    </row>
    <row r="344" spans="2:13" ht="12" x14ac:dyDescent="0.2">
      <c r="B344" s="55"/>
      <c r="C344" s="57"/>
      <c r="D344" s="57"/>
      <c r="E344" s="57"/>
      <c r="F344" s="57"/>
      <c r="G344" s="57"/>
      <c r="I344" s="55"/>
      <c r="J344" s="57"/>
      <c r="K344" s="57"/>
      <c r="L344" s="57"/>
      <c r="M344" s="57"/>
    </row>
    <row r="345" spans="2:13" ht="12" x14ac:dyDescent="0.2">
      <c r="B345" s="56"/>
      <c r="C345" s="58"/>
      <c r="D345" s="58"/>
      <c r="E345" s="58"/>
      <c r="F345" s="58"/>
      <c r="G345" s="58"/>
      <c r="I345" s="56"/>
      <c r="J345" s="58"/>
      <c r="K345" s="58"/>
      <c r="L345" s="58"/>
      <c r="M345" s="58"/>
    </row>
    <row r="346" spans="2:13" ht="12" x14ac:dyDescent="0.2">
      <c r="B346" s="55"/>
      <c r="C346" s="57"/>
      <c r="D346" s="57"/>
      <c r="E346" s="57"/>
      <c r="F346" s="57"/>
      <c r="G346" s="57"/>
      <c r="I346" s="55"/>
      <c r="J346" s="57"/>
      <c r="K346" s="57"/>
      <c r="L346" s="57"/>
      <c r="M346" s="57"/>
    </row>
    <row r="347" spans="2:13" ht="12" x14ac:dyDescent="0.2">
      <c r="B347" s="56"/>
      <c r="C347" s="58"/>
      <c r="D347" s="58"/>
      <c r="E347" s="58"/>
      <c r="F347" s="58"/>
      <c r="G347" s="58"/>
      <c r="I347" s="56"/>
      <c r="J347" s="58"/>
      <c r="K347" s="58"/>
      <c r="L347" s="58"/>
      <c r="M347" s="58"/>
    </row>
    <row r="348" spans="2:13" ht="12" x14ac:dyDescent="0.2">
      <c r="B348" s="55"/>
      <c r="C348" s="57"/>
      <c r="D348" s="57"/>
      <c r="E348" s="57"/>
      <c r="F348" s="57"/>
      <c r="G348" s="57"/>
      <c r="I348" s="55"/>
      <c r="J348" s="57"/>
      <c r="K348" s="57"/>
      <c r="L348" s="57"/>
      <c r="M348" s="57"/>
    </row>
    <row r="349" spans="2:13" ht="12" x14ac:dyDescent="0.2">
      <c r="B349" s="56"/>
      <c r="C349" s="58"/>
      <c r="D349" s="58"/>
      <c r="E349" s="58"/>
      <c r="F349" s="58"/>
      <c r="G349" s="58"/>
      <c r="I349" s="56"/>
      <c r="J349" s="58"/>
      <c r="K349" s="58"/>
      <c r="L349" s="58"/>
      <c r="M349" s="58"/>
    </row>
    <row r="350" spans="2:13" ht="12" x14ac:dyDescent="0.2">
      <c r="B350" s="55"/>
      <c r="C350" s="57"/>
      <c r="D350" s="57"/>
      <c r="E350" s="57"/>
      <c r="F350" s="57"/>
      <c r="G350" s="57"/>
      <c r="I350" s="55"/>
      <c r="J350" s="57"/>
      <c r="K350" s="57"/>
      <c r="L350" s="57"/>
      <c r="M350" s="57"/>
    </row>
    <row r="351" spans="2:13" ht="12" x14ac:dyDescent="0.2">
      <c r="B351" s="56"/>
      <c r="C351" s="58"/>
      <c r="D351" s="58"/>
      <c r="E351" s="58"/>
      <c r="F351" s="58"/>
      <c r="G351" s="58"/>
      <c r="I351" s="56"/>
      <c r="J351" s="58"/>
      <c r="K351" s="58"/>
      <c r="L351" s="58"/>
      <c r="M351" s="58"/>
    </row>
    <row r="352" spans="2:13" ht="12" x14ac:dyDescent="0.2">
      <c r="B352" s="55"/>
      <c r="C352" s="57"/>
      <c r="D352" s="57"/>
      <c r="E352" s="57"/>
      <c r="F352" s="57"/>
      <c r="G352" s="57"/>
      <c r="I352" s="55"/>
      <c r="J352" s="57"/>
      <c r="K352" s="57"/>
      <c r="L352" s="57"/>
      <c r="M352" s="57"/>
    </row>
    <row r="353" spans="2:13" ht="12" x14ac:dyDescent="0.2">
      <c r="B353" s="56"/>
      <c r="C353" s="58"/>
      <c r="D353" s="58"/>
      <c r="E353" s="58"/>
      <c r="F353" s="58"/>
      <c r="G353" s="58"/>
      <c r="I353" s="56"/>
      <c r="J353" s="58"/>
      <c r="K353" s="58"/>
      <c r="L353" s="58"/>
      <c r="M353" s="58"/>
    </row>
    <row r="354" spans="2:13" ht="12" x14ac:dyDescent="0.2">
      <c r="B354" s="55"/>
      <c r="C354" s="57"/>
      <c r="D354" s="57"/>
      <c r="E354" s="57"/>
      <c r="F354" s="57"/>
      <c r="G354" s="57"/>
      <c r="I354" s="55"/>
      <c r="J354" s="57"/>
      <c r="K354" s="57"/>
      <c r="L354" s="57"/>
      <c r="M354" s="57"/>
    </row>
    <row r="355" spans="2:13" ht="12" x14ac:dyDescent="0.2">
      <c r="B355" s="56"/>
      <c r="C355" s="58"/>
      <c r="D355" s="58"/>
      <c r="E355" s="58"/>
      <c r="F355" s="58"/>
      <c r="G355" s="58"/>
      <c r="I355" s="56"/>
      <c r="J355" s="58"/>
      <c r="K355" s="58"/>
      <c r="L355" s="58"/>
      <c r="M355" s="58"/>
    </row>
    <row r="356" spans="2:13" ht="12" x14ac:dyDescent="0.2">
      <c r="B356" s="55"/>
      <c r="C356" s="57"/>
      <c r="D356" s="57"/>
      <c r="E356" s="57"/>
      <c r="F356" s="57"/>
      <c r="G356" s="57"/>
      <c r="I356" s="55"/>
      <c r="J356" s="57"/>
      <c r="K356" s="57"/>
      <c r="L356" s="57"/>
      <c r="M356" s="57"/>
    </row>
    <row r="357" spans="2:13" ht="12" x14ac:dyDescent="0.2">
      <c r="B357" s="56"/>
      <c r="C357" s="58"/>
      <c r="D357" s="58"/>
      <c r="E357" s="58"/>
      <c r="F357" s="58"/>
      <c r="G357" s="58"/>
      <c r="I357" s="56"/>
      <c r="J357" s="58"/>
      <c r="K357" s="58"/>
      <c r="L357" s="58"/>
      <c r="M357" s="58"/>
    </row>
    <row r="358" spans="2:13" ht="12" x14ac:dyDescent="0.2">
      <c r="B358" s="55"/>
      <c r="C358" s="57"/>
      <c r="D358" s="57"/>
      <c r="E358" s="57"/>
      <c r="F358" s="57"/>
      <c r="G358" s="57"/>
      <c r="I358" s="55"/>
      <c r="J358" s="57"/>
      <c r="K358" s="57"/>
      <c r="L358" s="57"/>
      <c r="M358" s="57"/>
    </row>
    <row r="359" spans="2:13" ht="12" x14ac:dyDescent="0.2">
      <c r="B359" s="56"/>
      <c r="C359" s="58"/>
      <c r="D359" s="58"/>
      <c r="E359" s="58"/>
      <c r="F359" s="58"/>
      <c r="G359" s="58"/>
      <c r="I359" s="56"/>
      <c r="J359" s="58"/>
      <c r="K359" s="58"/>
      <c r="L359" s="58"/>
      <c r="M359" s="58"/>
    </row>
    <row r="360" spans="2:13" ht="12" x14ac:dyDescent="0.2">
      <c r="B360" s="55"/>
      <c r="C360" s="57"/>
      <c r="D360" s="57"/>
      <c r="E360" s="57"/>
      <c r="F360" s="57"/>
      <c r="G360" s="57"/>
      <c r="I360" s="55"/>
      <c r="J360" s="57"/>
      <c r="K360" s="57"/>
      <c r="L360" s="57"/>
      <c r="M360" s="57"/>
    </row>
    <row r="361" spans="2:13" ht="12" x14ac:dyDescent="0.2">
      <c r="B361" s="56"/>
      <c r="C361" s="58"/>
      <c r="D361" s="58"/>
      <c r="E361" s="58"/>
      <c r="F361" s="58"/>
      <c r="G361" s="58"/>
      <c r="I361" s="56"/>
      <c r="J361" s="58"/>
      <c r="K361" s="58"/>
      <c r="L361" s="58"/>
      <c r="M361" s="58"/>
    </row>
    <row r="362" spans="2:13" ht="12" x14ac:dyDescent="0.2">
      <c r="B362" s="55"/>
      <c r="C362" s="57"/>
      <c r="D362" s="57"/>
      <c r="E362" s="57"/>
      <c r="F362" s="57"/>
      <c r="G362" s="57"/>
      <c r="I362" s="55"/>
      <c r="J362" s="57"/>
      <c r="K362" s="57"/>
      <c r="L362" s="57"/>
      <c r="M362" s="57"/>
    </row>
    <row r="363" spans="2:13" ht="12" x14ac:dyDescent="0.2">
      <c r="B363" s="56"/>
      <c r="C363" s="58"/>
      <c r="D363" s="58"/>
      <c r="E363" s="58"/>
      <c r="F363" s="58"/>
      <c r="G363" s="58"/>
      <c r="I363" s="56"/>
      <c r="J363" s="58"/>
      <c r="K363" s="58"/>
      <c r="L363" s="58"/>
      <c r="M363" s="58"/>
    </row>
    <row r="364" spans="2:13" ht="12" x14ac:dyDescent="0.2">
      <c r="B364" s="55"/>
      <c r="C364" s="57"/>
      <c r="D364" s="57"/>
      <c r="E364" s="57"/>
      <c r="F364" s="57"/>
      <c r="G364" s="57"/>
      <c r="I364" s="55"/>
      <c r="J364" s="57"/>
      <c r="K364" s="57"/>
      <c r="L364" s="57"/>
      <c r="M364" s="57"/>
    </row>
    <row r="365" spans="2:13" ht="12" x14ac:dyDescent="0.2">
      <c r="B365" s="56"/>
      <c r="C365" s="58"/>
      <c r="D365" s="58"/>
      <c r="E365" s="58"/>
      <c r="F365" s="58"/>
      <c r="G365" s="58"/>
      <c r="I365" s="56"/>
      <c r="J365" s="58"/>
      <c r="K365" s="58"/>
      <c r="L365" s="58"/>
      <c r="M365" s="58"/>
    </row>
    <row r="366" spans="2:13" ht="12" x14ac:dyDescent="0.2">
      <c r="B366" s="55"/>
      <c r="C366" s="57"/>
      <c r="D366" s="57"/>
      <c r="E366" s="57"/>
      <c r="F366" s="57"/>
      <c r="G366" s="57"/>
      <c r="I366" s="55"/>
      <c r="J366" s="57"/>
      <c r="K366" s="57"/>
      <c r="L366" s="57"/>
      <c r="M366" s="57"/>
    </row>
    <row r="367" spans="2:13" ht="12" x14ac:dyDescent="0.2">
      <c r="B367" s="56"/>
      <c r="C367" s="58"/>
      <c r="D367" s="58"/>
      <c r="E367" s="58"/>
      <c r="F367" s="58"/>
      <c r="G367" s="58"/>
      <c r="I367" s="56"/>
      <c r="J367" s="58"/>
      <c r="K367" s="58"/>
      <c r="L367" s="58"/>
      <c r="M367" s="58"/>
    </row>
    <row r="368" spans="2:13" ht="12" x14ac:dyDescent="0.2">
      <c r="B368" s="55"/>
      <c r="C368" s="57"/>
      <c r="D368" s="57"/>
      <c r="E368" s="57"/>
      <c r="F368" s="57"/>
      <c r="G368" s="57"/>
      <c r="I368" s="55"/>
      <c r="J368" s="57"/>
      <c r="K368" s="57"/>
      <c r="L368" s="57"/>
      <c r="M368" s="57"/>
    </row>
    <row r="369" spans="2:13" ht="12" x14ac:dyDescent="0.2">
      <c r="B369" s="56"/>
      <c r="C369" s="58"/>
      <c r="D369" s="58"/>
      <c r="E369" s="58"/>
      <c r="F369" s="58"/>
      <c r="G369" s="58"/>
      <c r="I369" s="56"/>
      <c r="J369" s="58"/>
      <c r="K369" s="58"/>
      <c r="L369" s="58"/>
      <c r="M369" s="58"/>
    </row>
    <row r="370" spans="2:13" ht="12" x14ac:dyDescent="0.2">
      <c r="B370" s="55"/>
      <c r="C370" s="57"/>
      <c r="D370" s="57"/>
      <c r="E370" s="57"/>
      <c r="F370" s="57"/>
      <c r="G370" s="57"/>
      <c r="I370" s="55"/>
      <c r="J370" s="57"/>
      <c r="K370" s="57"/>
      <c r="L370" s="57"/>
      <c r="M370" s="57"/>
    </row>
    <row r="371" spans="2:13" ht="12" x14ac:dyDescent="0.2">
      <c r="B371" s="56"/>
      <c r="C371" s="58"/>
      <c r="D371" s="58"/>
      <c r="E371" s="58"/>
      <c r="F371" s="58"/>
      <c r="G371" s="58"/>
      <c r="I371" s="56"/>
      <c r="J371" s="58"/>
      <c r="K371" s="58"/>
      <c r="L371" s="58"/>
      <c r="M371" s="58"/>
    </row>
    <row r="372" spans="2:13" ht="12" x14ac:dyDescent="0.2">
      <c r="B372" s="55"/>
      <c r="C372" s="57"/>
      <c r="D372" s="57"/>
      <c r="E372" s="57"/>
      <c r="F372" s="57"/>
      <c r="G372" s="57"/>
      <c r="I372" s="55"/>
      <c r="J372" s="57"/>
      <c r="K372" s="57"/>
      <c r="L372" s="57"/>
      <c r="M372" s="57"/>
    </row>
    <row r="373" spans="2:13" ht="12" x14ac:dyDescent="0.2">
      <c r="B373" s="56"/>
      <c r="C373" s="58"/>
      <c r="D373" s="58"/>
      <c r="E373" s="58"/>
      <c r="F373" s="58"/>
      <c r="G373" s="58"/>
      <c r="I373" s="56"/>
      <c r="J373" s="58"/>
      <c r="K373" s="58"/>
      <c r="L373" s="58"/>
      <c r="M373" s="58"/>
    </row>
    <row r="374" spans="2:13" ht="12" x14ac:dyDescent="0.2">
      <c r="B374" s="55"/>
      <c r="C374" s="57"/>
      <c r="D374" s="57"/>
      <c r="E374" s="57"/>
      <c r="F374" s="57"/>
      <c r="G374" s="57"/>
      <c r="I374" s="55"/>
      <c r="J374" s="57"/>
      <c r="K374" s="57"/>
      <c r="L374" s="57"/>
      <c r="M374" s="57"/>
    </row>
    <row r="375" spans="2:13" ht="12" x14ac:dyDescent="0.2">
      <c r="B375" s="56"/>
      <c r="C375" s="58"/>
      <c r="D375" s="58"/>
      <c r="E375" s="58"/>
      <c r="F375" s="58"/>
      <c r="G375" s="58"/>
      <c r="I375" s="56"/>
      <c r="J375" s="58"/>
      <c r="K375" s="58"/>
      <c r="L375" s="58"/>
      <c r="M375" s="58"/>
    </row>
    <row r="376" spans="2:13" ht="12" x14ac:dyDescent="0.2">
      <c r="B376" s="55"/>
      <c r="C376" s="57"/>
      <c r="D376" s="57"/>
      <c r="E376" s="57"/>
      <c r="F376" s="57"/>
      <c r="G376" s="57"/>
      <c r="I376" s="55"/>
      <c r="J376" s="57"/>
      <c r="K376" s="57"/>
      <c r="L376" s="57"/>
      <c r="M376" s="57"/>
    </row>
    <row r="377" spans="2:13" ht="12" x14ac:dyDescent="0.2">
      <c r="B377" s="56"/>
      <c r="C377" s="58"/>
      <c r="D377" s="58"/>
      <c r="E377" s="58"/>
      <c r="F377" s="58"/>
      <c r="G377" s="58"/>
      <c r="I377" s="56"/>
      <c r="J377" s="58"/>
      <c r="K377" s="58"/>
      <c r="L377" s="58"/>
      <c r="M377" s="58"/>
    </row>
    <row r="378" spans="2:13" ht="12" x14ac:dyDescent="0.2">
      <c r="B378" s="55"/>
      <c r="C378" s="57"/>
      <c r="D378" s="57"/>
      <c r="E378" s="57"/>
      <c r="F378" s="57"/>
      <c r="G378" s="57"/>
      <c r="I378" s="55"/>
      <c r="J378" s="57"/>
      <c r="K378" s="57"/>
      <c r="L378" s="57"/>
      <c r="M378" s="57"/>
    </row>
    <row r="379" spans="2:13" ht="12" x14ac:dyDescent="0.2">
      <c r="B379" s="56"/>
      <c r="C379" s="58"/>
      <c r="D379" s="58"/>
      <c r="E379" s="58"/>
      <c r="F379" s="58"/>
      <c r="G379" s="58"/>
      <c r="I379" s="56"/>
      <c r="J379" s="58"/>
      <c r="K379" s="58"/>
      <c r="L379" s="58"/>
      <c r="M379" s="58"/>
    </row>
    <row r="380" spans="2:13" ht="12" x14ac:dyDescent="0.2">
      <c r="B380" s="55"/>
      <c r="C380" s="57"/>
      <c r="D380" s="57"/>
      <c r="E380" s="57"/>
      <c r="F380" s="57"/>
      <c r="G380" s="57"/>
      <c r="I380" s="55"/>
      <c r="J380" s="57"/>
      <c r="K380" s="57"/>
      <c r="L380" s="57"/>
      <c r="M380" s="57"/>
    </row>
    <row r="381" spans="2:13" ht="12" x14ac:dyDescent="0.2">
      <c r="B381" s="56"/>
      <c r="C381" s="58"/>
      <c r="D381" s="58"/>
      <c r="E381" s="58"/>
      <c r="F381" s="58"/>
      <c r="G381" s="58"/>
      <c r="I381" s="56"/>
      <c r="J381" s="58"/>
      <c r="K381" s="58"/>
      <c r="L381" s="58"/>
      <c r="M381" s="58"/>
    </row>
    <row r="382" spans="2:13" ht="12" x14ac:dyDescent="0.2">
      <c r="B382" s="55"/>
      <c r="C382" s="57"/>
      <c r="D382" s="57"/>
      <c r="E382" s="57"/>
      <c r="F382" s="57"/>
      <c r="G382" s="57"/>
      <c r="I382" s="55"/>
      <c r="J382" s="57"/>
      <c r="K382" s="57"/>
      <c r="L382" s="57"/>
      <c r="M382" s="57"/>
    </row>
    <row r="383" spans="2:13" ht="12" x14ac:dyDescent="0.2">
      <c r="B383" s="56"/>
      <c r="C383" s="58"/>
      <c r="D383" s="58"/>
      <c r="E383" s="58"/>
      <c r="F383" s="58"/>
      <c r="G383" s="58"/>
      <c r="I383" s="56"/>
      <c r="J383" s="58"/>
      <c r="K383" s="58"/>
      <c r="L383" s="58"/>
      <c r="M383" s="58"/>
    </row>
    <row r="384" spans="2:13" ht="12" x14ac:dyDescent="0.2">
      <c r="B384" s="55"/>
      <c r="C384" s="57"/>
      <c r="D384" s="57"/>
      <c r="E384" s="57"/>
      <c r="F384" s="57"/>
      <c r="G384" s="57"/>
      <c r="I384" s="55"/>
      <c r="J384" s="57"/>
      <c r="K384" s="57"/>
      <c r="L384" s="57"/>
      <c r="M384" s="57"/>
    </row>
    <row r="385" spans="2:13" ht="12" x14ac:dyDescent="0.2">
      <c r="B385" s="56"/>
      <c r="C385" s="58"/>
      <c r="D385" s="58"/>
      <c r="E385" s="58"/>
      <c r="F385" s="58"/>
      <c r="G385" s="58"/>
      <c r="I385" s="56"/>
      <c r="J385" s="58"/>
      <c r="K385" s="58"/>
      <c r="L385" s="58"/>
      <c r="M385" s="58"/>
    </row>
    <row r="386" spans="2:13" ht="12" x14ac:dyDescent="0.2">
      <c r="B386" s="55"/>
      <c r="C386" s="57"/>
      <c r="D386" s="57"/>
      <c r="E386" s="57"/>
      <c r="F386" s="57"/>
      <c r="G386" s="57"/>
      <c r="I386" s="55"/>
      <c r="J386" s="57"/>
      <c r="K386" s="57"/>
      <c r="L386" s="57"/>
      <c r="M386" s="57"/>
    </row>
    <row r="387" spans="2:13" ht="12" x14ac:dyDescent="0.2">
      <c r="B387" s="56"/>
      <c r="C387" s="58"/>
      <c r="D387" s="58"/>
      <c r="E387" s="58"/>
      <c r="F387" s="58"/>
      <c r="G387" s="58"/>
      <c r="I387" s="56"/>
      <c r="J387" s="58"/>
      <c r="K387" s="58"/>
      <c r="L387" s="58"/>
      <c r="M387" s="58"/>
    </row>
    <row r="388" spans="2:13" ht="12" x14ac:dyDescent="0.2">
      <c r="B388" s="55"/>
      <c r="C388" s="57"/>
      <c r="D388" s="57"/>
      <c r="E388" s="57"/>
      <c r="F388" s="57"/>
      <c r="G388" s="57"/>
      <c r="I388" s="55"/>
      <c r="J388" s="57"/>
      <c r="K388" s="57"/>
      <c r="L388" s="57"/>
      <c r="M388" s="57"/>
    </row>
    <row r="389" spans="2:13" ht="12" x14ac:dyDescent="0.2">
      <c r="B389" s="56"/>
      <c r="C389" s="58"/>
      <c r="D389" s="58"/>
      <c r="E389" s="58"/>
      <c r="F389" s="58"/>
      <c r="G389" s="58"/>
      <c r="I389" s="56"/>
      <c r="J389" s="58"/>
      <c r="K389" s="58"/>
      <c r="L389" s="58"/>
      <c r="M389" s="58"/>
    </row>
    <row r="390" spans="2:13" ht="12" x14ac:dyDescent="0.2">
      <c r="B390" s="55"/>
      <c r="C390" s="57"/>
      <c r="D390" s="57"/>
      <c r="E390" s="57"/>
      <c r="F390" s="57"/>
      <c r="G390" s="57"/>
      <c r="I390" s="55"/>
      <c r="J390" s="57"/>
      <c r="K390" s="57"/>
      <c r="L390" s="57"/>
      <c r="M390" s="57"/>
    </row>
    <row r="391" spans="2:13" ht="12" x14ac:dyDescent="0.2">
      <c r="B391" s="56"/>
      <c r="C391" s="58"/>
      <c r="D391" s="58"/>
      <c r="E391" s="58"/>
      <c r="F391" s="58"/>
      <c r="G391" s="58"/>
      <c r="I391" s="56"/>
      <c r="J391" s="58"/>
      <c r="K391" s="58"/>
      <c r="L391" s="58"/>
      <c r="M391" s="58"/>
    </row>
    <row r="392" spans="2:13" ht="12" x14ac:dyDescent="0.2">
      <c r="B392" s="55"/>
      <c r="C392" s="57"/>
      <c r="D392" s="57"/>
      <c r="E392" s="57"/>
      <c r="F392" s="57"/>
      <c r="G392" s="57"/>
      <c r="I392" s="55"/>
      <c r="J392" s="57"/>
      <c r="K392" s="57"/>
      <c r="L392" s="57"/>
      <c r="M392" s="57"/>
    </row>
    <row r="393" spans="2:13" ht="12" x14ac:dyDescent="0.2">
      <c r="B393" s="56"/>
      <c r="C393" s="58"/>
      <c r="D393" s="58"/>
      <c r="E393" s="58"/>
      <c r="F393" s="58"/>
      <c r="G393" s="58"/>
      <c r="I393" s="56"/>
      <c r="J393" s="58"/>
      <c r="K393" s="58"/>
      <c r="L393" s="58"/>
      <c r="M393" s="58"/>
    </row>
    <row r="394" spans="2:13" ht="12" x14ac:dyDescent="0.2">
      <c r="B394" s="55"/>
      <c r="C394" s="57"/>
      <c r="D394" s="57"/>
      <c r="E394" s="57"/>
      <c r="F394" s="57"/>
      <c r="G394" s="57"/>
      <c r="I394" s="55"/>
      <c r="J394" s="57"/>
      <c r="K394" s="57"/>
      <c r="L394" s="57"/>
      <c r="M394" s="57"/>
    </row>
    <row r="395" spans="2:13" ht="12" x14ac:dyDescent="0.2">
      <c r="B395" s="56"/>
      <c r="C395" s="58"/>
      <c r="D395" s="58"/>
      <c r="E395" s="58"/>
      <c r="F395" s="58"/>
      <c r="G395" s="58"/>
      <c r="I395" s="56"/>
      <c r="J395" s="58"/>
      <c r="K395" s="58"/>
      <c r="L395" s="58"/>
      <c r="M395" s="58"/>
    </row>
    <row r="396" spans="2:13" ht="12" x14ac:dyDescent="0.2">
      <c r="B396" s="55"/>
      <c r="C396" s="57"/>
      <c r="D396" s="57"/>
      <c r="E396" s="57"/>
      <c r="F396" s="57"/>
      <c r="G396" s="57"/>
      <c r="I396" s="55"/>
      <c r="J396" s="57"/>
      <c r="K396" s="57"/>
      <c r="L396" s="57"/>
      <c r="M396" s="57"/>
    </row>
    <row r="397" spans="2:13" ht="12" x14ac:dyDescent="0.2">
      <c r="B397" s="56"/>
      <c r="C397" s="58"/>
      <c r="D397" s="58"/>
      <c r="E397" s="58"/>
      <c r="F397" s="58"/>
      <c r="G397" s="58"/>
      <c r="I397" s="56"/>
      <c r="J397" s="58"/>
      <c r="K397" s="58"/>
      <c r="L397" s="58"/>
      <c r="M397" s="58"/>
    </row>
    <row r="398" spans="2:13" ht="12" x14ac:dyDescent="0.2">
      <c r="B398" s="55"/>
      <c r="C398" s="57"/>
      <c r="D398" s="57"/>
      <c r="E398" s="57"/>
      <c r="F398" s="57"/>
      <c r="G398" s="57"/>
      <c r="I398" s="55"/>
      <c r="J398" s="57"/>
      <c r="K398" s="57"/>
      <c r="L398" s="57"/>
      <c r="M398" s="57"/>
    </row>
    <row r="399" spans="2:13" ht="12" x14ac:dyDescent="0.2">
      <c r="B399" s="56"/>
      <c r="C399" s="58"/>
      <c r="D399" s="58"/>
      <c r="E399" s="58"/>
      <c r="F399" s="58"/>
      <c r="G399" s="58"/>
      <c r="I399" s="56"/>
      <c r="J399" s="58"/>
      <c r="K399" s="58"/>
      <c r="L399" s="58"/>
      <c r="M399" s="58"/>
    </row>
    <row r="400" spans="2:13" ht="12" x14ac:dyDescent="0.2">
      <c r="B400" s="55"/>
      <c r="C400" s="57"/>
      <c r="D400" s="57"/>
      <c r="E400" s="57"/>
      <c r="F400" s="57"/>
      <c r="G400" s="57"/>
      <c r="I400" s="55"/>
      <c r="J400" s="57"/>
      <c r="K400" s="57"/>
      <c r="L400" s="57"/>
      <c r="M400" s="57"/>
    </row>
    <row r="401" spans="2:13" ht="12" x14ac:dyDescent="0.2">
      <c r="B401" s="56"/>
      <c r="C401" s="58"/>
      <c r="D401" s="58"/>
      <c r="E401" s="58"/>
      <c r="F401" s="58"/>
      <c r="G401" s="58"/>
      <c r="I401" s="56"/>
      <c r="J401" s="58"/>
      <c r="K401" s="58"/>
      <c r="L401" s="58"/>
      <c r="M401" s="58"/>
    </row>
    <row r="402" spans="2:13" ht="12" x14ac:dyDescent="0.2">
      <c r="B402" s="55"/>
      <c r="C402" s="57"/>
      <c r="D402" s="57"/>
      <c r="E402" s="57"/>
      <c r="F402" s="57"/>
      <c r="G402" s="57"/>
      <c r="I402" s="55"/>
      <c r="J402" s="57"/>
      <c r="K402" s="57"/>
      <c r="L402" s="57"/>
      <c r="M402" s="57"/>
    </row>
    <row r="403" spans="2:13" ht="12" x14ac:dyDescent="0.2">
      <c r="B403" s="56"/>
      <c r="C403" s="58"/>
      <c r="D403" s="58"/>
      <c r="E403" s="58"/>
      <c r="F403" s="58"/>
      <c r="G403" s="58"/>
      <c r="I403" s="56"/>
      <c r="J403" s="58"/>
      <c r="K403" s="58"/>
      <c r="L403" s="58"/>
      <c r="M403" s="58"/>
    </row>
    <row r="404" spans="2:13" ht="12" x14ac:dyDescent="0.2">
      <c r="B404" s="55"/>
      <c r="C404" s="57"/>
      <c r="D404" s="57"/>
      <c r="E404" s="57"/>
      <c r="F404" s="57"/>
      <c r="G404" s="57"/>
      <c r="I404" s="55"/>
      <c r="J404" s="57"/>
      <c r="K404" s="57"/>
      <c r="L404" s="57"/>
      <c r="M404" s="57"/>
    </row>
    <row r="405" spans="2:13" ht="12" x14ac:dyDescent="0.2">
      <c r="B405" s="56"/>
      <c r="C405" s="58"/>
      <c r="D405" s="58"/>
      <c r="E405" s="58"/>
      <c r="F405" s="58"/>
      <c r="G405" s="58"/>
      <c r="I405" s="56"/>
      <c r="J405" s="58"/>
      <c r="K405" s="58"/>
      <c r="L405" s="58"/>
      <c r="M405" s="58"/>
    </row>
    <row r="406" spans="2:13" ht="12" x14ac:dyDescent="0.2">
      <c r="B406" s="55"/>
      <c r="C406" s="57"/>
      <c r="D406" s="57"/>
      <c r="E406" s="57"/>
      <c r="F406" s="57"/>
      <c r="G406" s="57"/>
      <c r="I406" s="55"/>
      <c r="J406" s="57"/>
      <c r="K406" s="57"/>
      <c r="L406" s="57"/>
      <c r="M406" s="57"/>
    </row>
    <row r="407" spans="2:13" ht="12" x14ac:dyDescent="0.2">
      <c r="B407" s="56"/>
      <c r="C407" s="58"/>
      <c r="D407" s="58"/>
      <c r="E407" s="58"/>
      <c r="F407" s="58"/>
      <c r="G407" s="58"/>
      <c r="I407" s="56"/>
      <c r="J407" s="58"/>
      <c r="K407" s="58"/>
      <c r="L407" s="58"/>
      <c r="M407" s="58"/>
    </row>
    <row r="408" spans="2:13" ht="12" x14ac:dyDescent="0.2">
      <c r="B408" s="55"/>
      <c r="C408" s="57"/>
      <c r="D408" s="57"/>
      <c r="E408" s="57"/>
      <c r="F408" s="57"/>
      <c r="G408" s="57"/>
      <c r="I408" s="55"/>
      <c r="J408" s="57"/>
      <c r="K408" s="57"/>
      <c r="L408" s="57"/>
      <c r="M408" s="57"/>
    </row>
    <row r="409" spans="2:13" ht="12" x14ac:dyDescent="0.2">
      <c r="B409" s="56"/>
      <c r="C409" s="58"/>
      <c r="D409" s="58"/>
      <c r="E409" s="58"/>
      <c r="F409" s="58"/>
      <c r="G409" s="58"/>
      <c r="I409" s="56"/>
      <c r="J409" s="58"/>
      <c r="K409" s="58"/>
      <c r="L409" s="58"/>
      <c r="M409" s="58"/>
    </row>
    <row r="410" spans="2:13" ht="12" x14ac:dyDescent="0.2">
      <c r="B410" s="55"/>
      <c r="C410" s="57"/>
      <c r="D410" s="57"/>
      <c r="E410" s="57"/>
      <c r="F410" s="57"/>
      <c r="G410" s="57"/>
      <c r="I410" s="55"/>
      <c r="J410" s="57"/>
      <c r="K410" s="57"/>
      <c r="L410" s="57"/>
      <c r="M410" s="57"/>
    </row>
    <row r="411" spans="2:13" ht="12" x14ac:dyDescent="0.2">
      <c r="B411" s="56"/>
      <c r="C411" s="58"/>
      <c r="D411" s="58"/>
      <c r="E411" s="58"/>
      <c r="F411" s="58"/>
      <c r="G411" s="58"/>
      <c r="I411" s="56"/>
      <c r="J411" s="58"/>
      <c r="K411" s="58"/>
      <c r="L411" s="58"/>
      <c r="M411" s="58"/>
    </row>
    <row r="412" spans="2:13" ht="12" x14ac:dyDescent="0.2">
      <c r="B412" s="55"/>
      <c r="C412" s="57"/>
      <c r="D412" s="57"/>
      <c r="E412" s="57"/>
      <c r="F412" s="57"/>
      <c r="G412" s="57"/>
      <c r="I412" s="55"/>
      <c r="J412" s="57"/>
      <c r="K412" s="57"/>
      <c r="L412" s="57"/>
      <c r="M412" s="57"/>
    </row>
    <row r="413" spans="2:13" ht="12" x14ac:dyDescent="0.2">
      <c r="B413" s="56"/>
      <c r="C413" s="58"/>
      <c r="D413" s="58"/>
      <c r="E413" s="58"/>
      <c r="F413" s="58"/>
      <c r="G413" s="58"/>
      <c r="I413" s="56"/>
      <c r="J413" s="58"/>
      <c r="K413" s="58"/>
      <c r="L413" s="58"/>
      <c r="M413" s="58"/>
    </row>
    <row r="414" spans="2:13" ht="12" x14ac:dyDescent="0.2">
      <c r="B414" s="55"/>
      <c r="C414" s="57"/>
      <c r="D414" s="57"/>
      <c r="E414" s="57"/>
      <c r="F414" s="57"/>
      <c r="G414" s="57"/>
      <c r="I414" s="55"/>
      <c r="J414" s="57"/>
      <c r="K414" s="57"/>
      <c r="L414" s="57"/>
      <c r="M414" s="57"/>
    </row>
    <row r="415" spans="2:13" ht="12" x14ac:dyDescent="0.2">
      <c r="B415" s="56"/>
      <c r="C415" s="58"/>
      <c r="D415" s="58"/>
      <c r="E415" s="58"/>
      <c r="F415" s="58"/>
      <c r="G415" s="58"/>
      <c r="I415" s="56"/>
      <c r="J415" s="58"/>
      <c r="K415" s="58"/>
      <c r="L415" s="58"/>
      <c r="M415" s="58"/>
    </row>
    <row r="416" spans="2:13" ht="12" x14ac:dyDescent="0.2">
      <c r="B416" s="55"/>
      <c r="C416" s="57"/>
      <c r="D416" s="57"/>
      <c r="E416" s="57"/>
      <c r="F416" s="57"/>
      <c r="G416" s="57"/>
      <c r="I416" s="55"/>
      <c r="J416" s="57"/>
      <c r="K416" s="57"/>
      <c r="L416" s="57"/>
      <c r="M416" s="57"/>
    </row>
    <row r="417" spans="2:13" ht="12" x14ac:dyDescent="0.2">
      <c r="B417" s="56"/>
      <c r="C417" s="58"/>
      <c r="D417" s="58"/>
      <c r="E417" s="58"/>
      <c r="F417" s="58"/>
      <c r="G417" s="58"/>
      <c r="I417" s="56"/>
      <c r="J417" s="58"/>
      <c r="K417" s="58"/>
      <c r="L417" s="58"/>
      <c r="M417" s="58"/>
    </row>
    <row r="418" spans="2:13" ht="12" x14ac:dyDescent="0.2">
      <c r="B418" s="55"/>
      <c r="C418" s="57"/>
      <c r="D418" s="57"/>
      <c r="E418" s="57"/>
      <c r="F418" s="57"/>
      <c r="G418" s="57"/>
      <c r="I418" s="55"/>
      <c r="J418" s="57"/>
      <c r="K418" s="57"/>
      <c r="L418" s="57"/>
      <c r="M418" s="57"/>
    </row>
    <row r="419" spans="2:13" ht="12" x14ac:dyDescent="0.2">
      <c r="B419" s="56"/>
      <c r="C419" s="58"/>
      <c r="D419" s="58"/>
      <c r="E419" s="58"/>
      <c r="F419" s="58"/>
      <c r="G419" s="58"/>
      <c r="I419" s="56"/>
      <c r="J419" s="58"/>
      <c r="K419" s="58"/>
      <c r="L419" s="58"/>
      <c r="M419" s="58"/>
    </row>
    <row r="420" spans="2:13" ht="12" x14ac:dyDescent="0.2">
      <c r="B420" s="55"/>
      <c r="C420" s="57"/>
      <c r="D420" s="57"/>
      <c r="E420" s="57"/>
      <c r="F420" s="57"/>
      <c r="G420" s="57"/>
      <c r="I420" s="55"/>
      <c r="J420" s="57"/>
      <c r="K420" s="57"/>
      <c r="L420" s="57"/>
      <c r="M420" s="57"/>
    </row>
    <row r="421" spans="2:13" ht="12" x14ac:dyDescent="0.2">
      <c r="B421" s="56"/>
      <c r="C421" s="58"/>
      <c r="D421" s="58"/>
      <c r="E421" s="58"/>
      <c r="F421" s="58"/>
      <c r="G421" s="58"/>
      <c r="I421" s="56"/>
      <c r="J421" s="58"/>
      <c r="K421" s="58"/>
      <c r="L421" s="58"/>
      <c r="M421" s="58"/>
    </row>
    <row r="422" spans="2:13" ht="12" x14ac:dyDescent="0.2">
      <c r="B422" s="55"/>
      <c r="C422" s="57"/>
      <c r="D422" s="57"/>
      <c r="E422" s="57"/>
      <c r="F422" s="57"/>
      <c r="G422" s="57"/>
      <c r="I422" s="55"/>
      <c r="J422" s="57"/>
      <c r="K422" s="57"/>
      <c r="L422" s="57"/>
      <c r="M422" s="57"/>
    </row>
    <row r="423" spans="2:13" ht="12" x14ac:dyDescent="0.2">
      <c r="B423" s="56"/>
      <c r="C423" s="58"/>
      <c r="D423" s="58"/>
      <c r="E423" s="58"/>
      <c r="F423" s="58"/>
      <c r="G423" s="58"/>
      <c r="I423" s="56"/>
      <c r="J423" s="58"/>
      <c r="K423" s="58"/>
      <c r="L423" s="58"/>
      <c r="M423" s="58"/>
    </row>
    <row r="424" spans="2:13" ht="12" x14ac:dyDescent="0.2">
      <c r="B424" s="55"/>
      <c r="C424" s="57"/>
      <c r="D424" s="57"/>
      <c r="E424" s="57"/>
      <c r="F424" s="57"/>
      <c r="G424" s="57"/>
      <c r="I424" s="55"/>
      <c r="J424" s="57"/>
      <c r="K424" s="57"/>
      <c r="L424" s="57"/>
      <c r="M424" s="57"/>
    </row>
    <row r="425" spans="2:13" ht="12" x14ac:dyDescent="0.2">
      <c r="B425" s="56"/>
      <c r="C425" s="58"/>
      <c r="D425" s="58"/>
      <c r="E425" s="58"/>
      <c r="F425" s="58"/>
      <c r="G425" s="58"/>
      <c r="I425" s="56"/>
      <c r="J425" s="58"/>
      <c r="K425" s="58"/>
      <c r="L425" s="58"/>
      <c r="M425" s="58"/>
    </row>
    <row r="426" spans="2:13" ht="12" x14ac:dyDescent="0.2">
      <c r="B426" s="55"/>
      <c r="C426" s="57"/>
      <c r="D426" s="57"/>
      <c r="E426" s="57"/>
      <c r="F426" s="57"/>
      <c r="G426" s="57"/>
      <c r="I426" s="55"/>
      <c r="J426" s="57"/>
      <c r="K426" s="57"/>
      <c r="L426" s="57"/>
      <c r="M426" s="57"/>
    </row>
    <row r="427" spans="2:13" ht="12" x14ac:dyDescent="0.2">
      <c r="B427" s="56"/>
      <c r="C427" s="58"/>
      <c r="D427" s="58"/>
      <c r="E427" s="58"/>
      <c r="F427" s="58"/>
      <c r="G427" s="58"/>
      <c r="I427" s="56"/>
      <c r="J427" s="58"/>
      <c r="K427" s="58"/>
      <c r="L427" s="58"/>
      <c r="M427" s="58"/>
    </row>
    <row r="428" spans="2:13" ht="12" x14ac:dyDescent="0.2">
      <c r="B428" s="55"/>
      <c r="C428" s="57"/>
      <c r="D428" s="57"/>
      <c r="E428" s="57"/>
      <c r="F428" s="57"/>
      <c r="G428" s="57"/>
      <c r="I428" s="55"/>
      <c r="J428" s="57"/>
      <c r="K428" s="57"/>
      <c r="L428" s="57"/>
      <c r="M428" s="57"/>
    </row>
    <row r="429" spans="2:13" ht="12" x14ac:dyDescent="0.2">
      <c r="B429" s="56"/>
      <c r="C429" s="58"/>
      <c r="D429" s="58"/>
      <c r="E429" s="58"/>
      <c r="F429" s="58"/>
      <c r="G429" s="58"/>
      <c r="I429" s="56"/>
      <c r="J429" s="58"/>
      <c r="K429" s="58"/>
      <c r="L429" s="58"/>
      <c r="M429" s="58"/>
    </row>
    <row r="430" spans="2:13" ht="12" x14ac:dyDescent="0.2">
      <c r="B430" s="55"/>
      <c r="C430" s="57"/>
      <c r="D430" s="57"/>
      <c r="E430" s="57"/>
      <c r="F430" s="57"/>
      <c r="G430" s="57"/>
      <c r="I430" s="55"/>
      <c r="J430" s="57"/>
      <c r="K430" s="57"/>
      <c r="L430" s="57"/>
      <c r="M430" s="57"/>
    </row>
    <row r="431" spans="2:13" ht="12" x14ac:dyDescent="0.2">
      <c r="B431" s="56"/>
      <c r="C431" s="58"/>
      <c r="D431" s="58"/>
      <c r="E431" s="58"/>
      <c r="F431" s="58"/>
      <c r="G431" s="58"/>
      <c r="I431" s="56"/>
      <c r="J431" s="58"/>
      <c r="K431" s="58"/>
      <c r="L431" s="58"/>
      <c r="M431" s="58"/>
    </row>
    <row r="432" spans="2:13" ht="12" x14ac:dyDescent="0.2">
      <c r="B432" s="55"/>
      <c r="C432" s="57"/>
      <c r="D432" s="57"/>
      <c r="E432" s="57"/>
      <c r="F432" s="57"/>
      <c r="G432" s="57"/>
      <c r="I432" s="55"/>
      <c r="J432" s="57"/>
      <c r="K432" s="57"/>
      <c r="L432" s="57"/>
      <c r="M432" s="57"/>
    </row>
    <row r="433" spans="2:13" ht="12" x14ac:dyDescent="0.2">
      <c r="B433" s="56"/>
      <c r="C433" s="58"/>
      <c r="D433" s="58"/>
      <c r="E433" s="58"/>
      <c r="F433" s="58"/>
      <c r="G433" s="58"/>
      <c r="I433" s="56"/>
      <c r="J433" s="58"/>
      <c r="K433" s="58"/>
      <c r="L433" s="58"/>
      <c r="M433" s="58"/>
    </row>
    <row r="434" spans="2:13" ht="12" x14ac:dyDescent="0.2">
      <c r="B434" s="55"/>
      <c r="C434" s="57"/>
      <c r="D434" s="57"/>
      <c r="E434" s="57"/>
      <c r="F434" s="57"/>
      <c r="G434" s="57"/>
      <c r="I434" s="55"/>
      <c r="J434" s="57"/>
      <c r="K434" s="57"/>
      <c r="L434" s="57"/>
      <c r="M434" s="57"/>
    </row>
    <row r="435" spans="2:13" ht="12" x14ac:dyDescent="0.2">
      <c r="B435" s="56"/>
      <c r="C435" s="58"/>
      <c r="D435" s="58"/>
      <c r="E435" s="58"/>
      <c r="F435" s="58"/>
      <c r="G435" s="58"/>
      <c r="I435" s="56"/>
      <c r="J435" s="58"/>
      <c r="K435" s="58"/>
      <c r="L435" s="58"/>
      <c r="M435" s="58"/>
    </row>
    <row r="436" spans="2:13" ht="12" x14ac:dyDescent="0.2">
      <c r="B436" s="55"/>
      <c r="C436" s="57"/>
      <c r="D436" s="57"/>
      <c r="E436" s="57"/>
      <c r="F436" s="57"/>
      <c r="G436" s="57"/>
      <c r="I436" s="55"/>
      <c r="J436" s="57"/>
      <c r="K436" s="57"/>
      <c r="L436" s="57"/>
      <c r="M436" s="57"/>
    </row>
    <row r="437" spans="2:13" ht="12" x14ac:dyDescent="0.2">
      <c r="B437" s="56"/>
      <c r="C437" s="58"/>
      <c r="D437" s="58"/>
      <c r="E437" s="58"/>
      <c r="F437" s="58"/>
      <c r="G437" s="58"/>
      <c r="I437" s="56"/>
      <c r="J437" s="58"/>
      <c r="K437" s="58"/>
      <c r="L437" s="58"/>
      <c r="M437" s="58"/>
    </row>
    <row r="438" spans="2:13" ht="12" x14ac:dyDescent="0.2">
      <c r="B438" s="55"/>
      <c r="C438" s="57"/>
      <c r="D438" s="57"/>
      <c r="E438" s="57"/>
      <c r="F438" s="57"/>
      <c r="G438" s="57"/>
      <c r="I438" s="55"/>
      <c r="J438" s="57"/>
      <c r="K438" s="57"/>
      <c r="L438" s="57"/>
      <c r="M438" s="57"/>
    </row>
    <row r="439" spans="2:13" ht="12" x14ac:dyDescent="0.2">
      <c r="B439" s="56"/>
      <c r="C439" s="58"/>
      <c r="D439" s="58"/>
      <c r="E439" s="58"/>
      <c r="F439" s="58"/>
      <c r="G439" s="58"/>
      <c r="I439" s="56"/>
      <c r="J439" s="58"/>
      <c r="K439" s="58"/>
      <c r="L439" s="58"/>
      <c r="M439" s="58"/>
    </row>
    <row r="440" spans="2:13" ht="12" x14ac:dyDescent="0.2">
      <c r="B440" s="55"/>
      <c r="C440" s="57"/>
      <c r="D440" s="57"/>
      <c r="E440" s="57"/>
      <c r="F440" s="57"/>
      <c r="G440" s="57"/>
      <c r="I440" s="55"/>
      <c r="J440" s="57"/>
      <c r="K440" s="57"/>
      <c r="L440" s="57"/>
      <c r="M440" s="57"/>
    </row>
    <row r="441" spans="2:13" ht="12" x14ac:dyDescent="0.2">
      <c r="B441" s="56"/>
      <c r="C441" s="58"/>
      <c r="D441" s="58"/>
      <c r="E441" s="58"/>
      <c r="F441" s="58"/>
      <c r="G441" s="58"/>
      <c r="I441" s="56"/>
      <c r="J441" s="58"/>
      <c r="K441" s="58"/>
      <c r="L441" s="58"/>
      <c r="M441" s="58"/>
    </row>
    <row r="442" spans="2:13" ht="12" x14ac:dyDescent="0.2">
      <c r="B442" s="55"/>
      <c r="C442" s="57"/>
      <c r="D442" s="57"/>
      <c r="E442" s="57"/>
      <c r="F442" s="57"/>
      <c r="G442" s="57"/>
      <c r="I442" s="55"/>
      <c r="J442" s="57"/>
      <c r="K442" s="57"/>
      <c r="L442" s="57"/>
      <c r="M442" s="57"/>
    </row>
    <row r="443" spans="2:13" ht="12" x14ac:dyDescent="0.2">
      <c r="B443" s="56"/>
      <c r="C443" s="58"/>
      <c r="D443" s="58"/>
      <c r="E443" s="58"/>
      <c r="F443" s="58"/>
      <c r="G443" s="58"/>
      <c r="I443" s="56"/>
      <c r="J443" s="58"/>
      <c r="K443" s="58"/>
      <c r="L443" s="58"/>
      <c r="M443" s="58"/>
    </row>
    <row r="444" spans="2:13" ht="12" x14ac:dyDescent="0.2">
      <c r="B444" s="55"/>
      <c r="C444" s="57"/>
      <c r="D444" s="57"/>
      <c r="E444" s="57"/>
      <c r="F444" s="57"/>
      <c r="G444" s="57"/>
      <c r="I444" s="55"/>
      <c r="J444" s="57"/>
      <c r="K444" s="57"/>
      <c r="L444" s="57"/>
      <c r="M444" s="57"/>
    </row>
    <row r="445" spans="2:13" ht="12" x14ac:dyDescent="0.2">
      <c r="B445" s="56"/>
      <c r="C445" s="58"/>
      <c r="D445" s="58"/>
      <c r="E445" s="58"/>
      <c r="F445" s="58"/>
      <c r="G445" s="58"/>
      <c r="I445" s="56"/>
      <c r="J445" s="58"/>
      <c r="K445" s="58"/>
      <c r="L445" s="58"/>
      <c r="M445" s="58"/>
    </row>
    <row r="446" spans="2:13" ht="12" x14ac:dyDescent="0.2">
      <c r="B446" s="55"/>
      <c r="C446" s="57"/>
      <c r="D446" s="57"/>
      <c r="E446" s="57"/>
      <c r="F446" s="57"/>
      <c r="G446" s="57"/>
      <c r="I446" s="55"/>
      <c r="J446" s="57"/>
      <c r="K446" s="57"/>
      <c r="L446" s="57"/>
      <c r="M446" s="57"/>
    </row>
    <row r="447" spans="2:13" ht="12" x14ac:dyDescent="0.2">
      <c r="B447" s="56"/>
      <c r="C447" s="58"/>
      <c r="D447" s="58"/>
      <c r="E447" s="58"/>
      <c r="F447" s="58"/>
      <c r="G447" s="58"/>
      <c r="I447" s="56"/>
      <c r="J447" s="58"/>
      <c r="K447" s="58"/>
      <c r="L447" s="58"/>
      <c r="M447" s="58"/>
    </row>
    <row r="448" spans="2:13" ht="12" x14ac:dyDescent="0.2">
      <c r="B448" s="55"/>
      <c r="C448" s="57"/>
      <c r="D448" s="57"/>
      <c r="E448" s="57"/>
      <c r="F448" s="57"/>
      <c r="G448" s="57"/>
      <c r="I448" s="55"/>
      <c r="J448" s="57"/>
      <c r="K448" s="57"/>
      <c r="L448" s="57"/>
      <c r="M448" s="57"/>
    </row>
    <row r="449" spans="2:13" ht="12" x14ac:dyDescent="0.2">
      <c r="B449" s="56"/>
      <c r="C449" s="58"/>
      <c r="D449" s="58"/>
      <c r="E449" s="58"/>
      <c r="F449" s="58"/>
      <c r="G449" s="58"/>
      <c r="I449" s="56"/>
      <c r="J449" s="58"/>
      <c r="K449" s="58"/>
      <c r="L449" s="58"/>
      <c r="M449" s="58"/>
    </row>
    <row r="450" spans="2:13" ht="12" x14ac:dyDescent="0.2">
      <c r="B450" s="55"/>
      <c r="C450" s="57"/>
      <c r="D450" s="57"/>
      <c r="E450" s="57"/>
      <c r="F450" s="57"/>
      <c r="G450" s="57"/>
      <c r="I450" s="55"/>
      <c r="J450" s="57"/>
      <c r="K450" s="57"/>
      <c r="L450" s="57"/>
      <c r="M450" s="57"/>
    </row>
    <row r="451" spans="2:13" ht="12" x14ac:dyDescent="0.2">
      <c r="B451" s="56"/>
      <c r="C451" s="58"/>
      <c r="D451" s="58"/>
      <c r="E451" s="58"/>
      <c r="F451" s="58"/>
      <c r="G451" s="58"/>
      <c r="I451" s="56"/>
      <c r="J451" s="58"/>
      <c r="K451" s="58"/>
      <c r="L451" s="58"/>
      <c r="M451" s="58"/>
    </row>
    <row r="452" spans="2:13" ht="12" x14ac:dyDescent="0.2">
      <c r="B452" s="55"/>
      <c r="C452" s="57"/>
      <c r="D452" s="57"/>
      <c r="E452" s="57"/>
      <c r="F452" s="57"/>
      <c r="G452" s="57"/>
      <c r="I452" s="55"/>
      <c r="J452" s="57"/>
      <c r="K452" s="57"/>
      <c r="L452" s="57"/>
      <c r="M452" s="57"/>
    </row>
    <row r="453" spans="2:13" ht="12" x14ac:dyDescent="0.2">
      <c r="B453" s="56"/>
      <c r="C453" s="58"/>
      <c r="D453" s="58"/>
      <c r="E453" s="58"/>
      <c r="F453" s="58"/>
      <c r="G453" s="58"/>
      <c r="I453" s="56"/>
      <c r="J453" s="58"/>
      <c r="K453" s="58"/>
      <c r="L453" s="58"/>
      <c r="M453" s="58"/>
    </row>
    <row r="454" spans="2:13" ht="12" x14ac:dyDescent="0.2">
      <c r="B454" s="55"/>
      <c r="C454" s="57"/>
      <c r="D454" s="57"/>
      <c r="E454" s="57"/>
      <c r="F454" s="57"/>
      <c r="G454" s="57"/>
      <c r="I454" s="55"/>
      <c r="J454" s="57"/>
      <c r="K454" s="57"/>
      <c r="L454" s="57"/>
      <c r="M454" s="57"/>
    </row>
    <row r="455" spans="2:13" ht="12" x14ac:dyDescent="0.2">
      <c r="B455" s="56"/>
      <c r="C455" s="58"/>
      <c r="D455" s="58"/>
      <c r="E455" s="58"/>
      <c r="F455" s="58"/>
      <c r="G455" s="58"/>
      <c r="I455" s="56"/>
      <c r="J455" s="58"/>
      <c r="K455" s="58"/>
      <c r="L455" s="58"/>
      <c r="M455" s="58"/>
    </row>
    <row r="456" spans="2:13" ht="12" x14ac:dyDescent="0.2">
      <c r="B456" s="55"/>
      <c r="C456" s="57"/>
      <c r="D456" s="57"/>
      <c r="E456" s="57"/>
      <c r="F456" s="57"/>
      <c r="G456" s="57"/>
      <c r="I456" s="55"/>
      <c r="J456" s="57"/>
      <c r="K456" s="57"/>
      <c r="L456" s="57"/>
      <c r="M456" s="57"/>
    </row>
    <row r="457" spans="2:13" ht="12" x14ac:dyDescent="0.2">
      <c r="B457" s="56"/>
      <c r="C457" s="58"/>
      <c r="D457" s="58"/>
      <c r="E457" s="58"/>
      <c r="F457" s="58"/>
      <c r="G457" s="58"/>
      <c r="I457" s="56"/>
      <c r="J457" s="58"/>
      <c r="K457" s="58"/>
      <c r="L457" s="58"/>
      <c r="M457" s="58"/>
    </row>
    <row r="458" spans="2:13" ht="12" x14ac:dyDescent="0.2">
      <c r="B458" s="55"/>
      <c r="C458" s="57"/>
      <c r="D458" s="57"/>
      <c r="E458" s="57"/>
      <c r="F458" s="57"/>
      <c r="G458" s="57"/>
      <c r="I458" s="55"/>
      <c r="J458" s="57"/>
      <c r="K458" s="57"/>
      <c r="L458" s="57"/>
      <c r="M458" s="57"/>
    </row>
    <row r="459" spans="2:13" ht="12" x14ac:dyDescent="0.2">
      <c r="B459" s="56"/>
      <c r="C459" s="58"/>
      <c r="D459" s="58"/>
      <c r="E459" s="58"/>
      <c r="F459" s="58"/>
      <c r="G459" s="58"/>
      <c r="I459" s="56"/>
      <c r="J459" s="58"/>
      <c r="K459" s="58"/>
      <c r="L459" s="58"/>
      <c r="M459" s="58"/>
    </row>
    <row r="460" spans="2:13" ht="12" x14ac:dyDescent="0.2">
      <c r="B460" s="55"/>
      <c r="C460" s="57"/>
      <c r="D460" s="57"/>
      <c r="E460" s="57"/>
      <c r="F460" s="57"/>
      <c r="G460" s="57"/>
      <c r="I460" s="55"/>
      <c r="J460" s="57"/>
      <c r="K460" s="57"/>
      <c r="L460" s="57"/>
      <c r="M460" s="57"/>
    </row>
    <row r="461" spans="2:13" ht="12" x14ac:dyDescent="0.2">
      <c r="B461" s="56"/>
      <c r="C461" s="58"/>
      <c r="D461" s="58"/>
      <c r="E461" s="58"/>
      <c r="F461" s="58"/>
      <c r="G461" s="58"/>
      <c r="I461" s="56"/>
      <c r="J461" s="58"/>
      <c r="K461" s="58"/>
      <c r="L461" s="58"/>
      <c r="M461" s="58"/>
    </row>
    <row r="462" spans="2:13" ht="12" x14ac:dyDescent="0.2">
      <c r="B462" s="55"/>
      <c r="C462" s="57"/>
      <c r="D462" s="57"/>
      <c r="E462" s="57"/>
      <c r="F462" s="57"/>
      <c r="G462" s="57"/>
      <c r="I462" s="55"/>
      <c r="J462" s="57"/>
      <c r="K462" s="57"/>
      <c r="L462" s="57"/>
      <c r="M462" s="57"/>
    </row>
    <row r="463" spans="2:13" ht="12" x14ac:dyDescent="0.2">
      <c r="B463" s="56"/>
      <c r="C463" s="58"/>
      <c r="D463" s="58"/>
      <c r="E463" s="58"/>
      <c r="F463" s="58"/>
      <c r="G463" s="58"/>
      <c r="I463" s="56"/>
      <c r="J463" s="58"/>
      <c r="K463" s="58"/>
      <c r="L463" s="58"/>
      <c r="M463" s="58"/>
    </row>
    <row r="464" spans="2:13" ht="12" x14ac:dyDescent="0.2">
      <c r="B464" s="55"/>
      <c r="C464" s="57"/>
      <c r="D464" s="57"/>
      <c r="E464" s="57"/>
      <c r="F464" s="57"/>
      <c r="G464" s="57"/>
      <c r="I464" s="55"/>
      <c r="J464" s="57"/>
      <c r="K464" s="57"/>
      <c r="L464" s="57"/>
      <c r="M464" s="57"/>
    </row>
    <row r="465" spans="2:13" ht="12" x14ac:dyDescent="0.2">
      <c r="B465" s="56"/>
      <c r="C465" s="58"/>
      <c r="D465" s="58"/>
      <c r="E465" s="58"/>
      <c r="F465" s="58"/>
      <c r="G465" s="58"/>
      <c r="I465" s="56"/>
      <c r="J465" s="58"/>
      <c r="K465" s="58"/>
      <c r="L465" s="58"/>
      <c r="M465" s="58"/>
    </row>
    <row r="466" spans="2:13" ht="12" x14ac:dyDescent="0.2">
      <c r="B466" s="55"/>
      <c r="C466" s="57"/>
      <c r="D466" s="57"/>
      <c r="E466" s="57"/>
      <c r="F466" s="57"/>
      <c r="G466" s="57"/>
      <c r="I466" s="55"/>
      <c r="J466" s="57"/>
      <c r="K466" s="57"/>
      <c r="L466" s="57"/>
      <c r="M466" s="57"/>
    </row>
    <row r="467" spans="2:13" ht="12" x14ac:dyDescent="0.2">
      <c r="B467" s="56"/>
      <c r="C467" s="58"/>
      <c r="D467" s="58"/>
      <c r="E467" s="58"/>
      <c r="F467" s="58"/>
      <c r="G467" s="58"/>
      <c r="I467" s="56"/>
      <c r="J467" s="58"/>
      <c r="K467" s="58"/>
      <c r="L467" s="58"/>
      <c r="M467" s="58"/>
    </row>
    <row r="468" spans="2:13" ht="12" x14ac:dyDescent="0.2">
      <c r="B468" s="55"/>
      <c r="C468" s="57"/>
      <c r="D468" s="57"/>
      <c r="E468" s="57"/>
      <c r="F468" s="57"/>
      <c r="G468" s="57"/>
      <c r="I468" s="55"/>
      <c r="J468" s="57"/>
      <c r="K468" s="57"/>
      <c r="L468" s="57"/>
      <c r="M468" s="57"/>
    </row>
    <row r="469" spans="2:13" ht="12" x14ac:dyDescent="0.2">
      <c r="B469" s="56"/>
      <c r="C469" s="58"/>
      <c r="D469" s="58"/>
      <c r="E469" s="58"/>
      <c r="F469" s="58"/>
      <c r="G469" s="58"/>
      <c r="I469" s="56"/>
      <c r="J469" s="58"/>
      <c r="K469" s="58"/>
      <c r="L469" s="58"/>
      <c r="M469" s="58"/>
    </row>
    <row r="470" spans="2:13" ht="12" x14ac:dyDescent="0.2">
      <c r="B470" s="55"/>
      <c r="C470" s="57"/>
      <c r="D470" s="57"/>
      <c r="E470" s="57"/>
      <c r="F470" s="57"/>
      <c r="G470" s="57"/>
      <c r="I470" s="55"/>
      <c r="J470" s="57"/>
      <c r="K470" s="57"/>
      <c r="L470" s="57"/>
      <c r="M470" s="57"/>
    </row>
    <row r="471" spans="2:13" ht="12" x14ac:dyDescent="0.2">
      <c r="B471" s="56"/>
      <c r="C471" s="58"/>
      <c r="D471" s="58"/>
      <c r="E471" s="58"/>
      <c r="F471" s="58"/>
      <c r="G471" s="58"/>
      <c r="I471" s="56"/>
      <c r="J471" s="58"/>
      <c r="K471" s="58"/>
      <c r="L471" s="58"/>
      <c r="M471" s="58"/>
    </row>
    <row r="472" spans="2:13" ht="12" x14ac:dyDescent="0.2">
      <c r="B472" s="55"/>
      <c r="C472" s="57"/>
      <c r="D472" s="57"/>
      <c r="E472" s="57"/>
      <c r="F472" s="57"/>
      <c r="G472" s="57"/>
      <c r="I472" s="55"/>
      <c r="J472" s="57"/>
      <c r="K472" s="57"/>
      <c r="L472" s="57"/>
      <c r="M472" s="57"/>
    </row>
    <row r="473" spans="2:13" ht="12" x14ac:dyDescent="0.2">
      <c r="B473" s="56"/>
      <c r="C473" s="58"/>
      <c r="D473" s="58"/>
      <c r="E473" s="58"/>
      <c r="F473" s="58"/>
      <c r="G473" s="58"/>
      <c r="I473" s="56"/>
      <c r="J473" s="58"/>
      <c r="K473" s="58"/>
      <c r="L473" s="58"/>
      <c r="M473" s="58"/>
    </row>
    <row r="474" spans="2:13" ht="12" x14ac:dyDescent="0.2">
      <c r="B474" s="55"/>
      <c r="C474" s="57"/>
      <c r="D474" s="57"/>
      <c r="E474" s="57"/>
      <c r="F474" s="57"/>
      <c r="G474" s="57"/>
      <c r="I474" s="55"/>
      <c r="J474" s="57"/>
      <c r="K474" s="57"/>
      <c r="L474" s="57"/>
      <c r="M474" s="57"/>
    </row>
    <row r="475" spans="2:13" ht="12" x14ac:dyDescent="0.2">
      <c r="B475" s="56"/>
      <c r="C475" s="58"/>
      <c r="D475" s="58"/>
      <c r="E475" s="58"/>
      <c r="F475" s="58"/>
      <c r="G475" s="58"/>
      <c r="I475" s="56"/>
      <c r="J475" s="58"/>
      <c r="K475" s="58"/>
      <c r="L475" s="58"/>
      <c r="M475" s="58"/>
    </row>
    <row r="476" spans="2:13" ht="12" x14ac:dyDescent="0.2">
      <c r="B476" s="55"/>
      <c r="C476" s="57"/>
      <c r="D476" s="57"/>
      <c r="E476" s="57"/>
      <c r="F476" s="57"/>
      <c r="G476" s="57"/>
      <c r="I476" s="55"/>
      <c r="J476" s="57"/>
      <c r="K476" s="57"/>
      <c r="L476" s="57"/>
      <c r="M476" s="57"/>
    </row>
    <row r="477" spans="2:13" ht="12" x14ac:dyDescent="0.2">
      <c r="B477" s="56"/>
      <c r="C477" s="58"/>
      <c r="D477" s="58"/>
      <c r="E477" s="58"/>
      <c r="F477" s="58"/>
      <c r="G477" s="58"/>
      <c r="I477" s="56"/>
      <c r="J477" s="58"/>
      <c r="K477" s="58"/>
      <c r="L477" s="58"/>
      <c r="M477" s="58"/>
    </row>
    <row r="478" spans="2:13" ht="12" x14ac:dyDescent="0.2">
      <c r="B478" s="55"/>
      <c r="C478" s="57"/>
      <c r="D478" s="57"/>
      <c r="E478" s="57"/>
      <c r="F478" s="57"/>
      <c r="G478" s="57"/>
      <c r="I478" s="55"/>
      <c r="J478" s="57"/>
      <c r="K478" s="57"/>
      <c r="L478" s="57"/>
      <c r="M478" s="57"/>
    </row>
    <row r="479" spans="2:13" ht="12" x14ac:dyDescent="0.2">
      <c r="B479" s="56"/>
      <c r="C479" s="58"/>
      <c r="D479" s="58"/>
      <c r="E479" s="58"/>
      <c r="F479" s="58"/>
      <c r="G479" s="58"/>
      <c r="I479" s="56"/>
      <c r="J479" s="58"/>
      <c r="K479" s="58"/>
      <c r="L479" s="58"/>
      <c r="M479" s="58"/>
    </row>
    <row r="480" spans="2:13" ht="12" x14ac:dyDescent="0.2">
      <c r="B480" s="55"/>
      <c r="C480" s="57"/>
      <c r="D480" s="57"/>
      <c r="E480" s="57"/>
      <c r="F480" s="57"/>
      <c r="G480" s="57"/>
      <c r="I480" s="55"/>
      <c r="J480" s="57"/>
      <c r="K480" s="57"/>
      <c r="L480" s="57"/>
      <c r="M480" s="57"/>
    </row>
    <row r="481" spans="2:13" ht="12" x14ac:dyDescent="0.2">
      <c r="B481" s="56"/>
      <c r="C481" s="58"/>
      <c r="D481" s="58"/>
      <c r="E481" s="58"/>
      <c r="F481" s="58"/>
      <c r="G481" s="58"/>
      <c r="I481" s="56"/>
      <c r="J481" s="58"/>
      <c r="K481" s="58"/>
      <c r="L481" s="58"/>
      <c r="M481" s="58"/>
    </row>
    <row r="482" spans="2:13" ht="12" x14ac:dyDescent="0.2">
      <c r="B482" s="55"/>
      <c r="C482" s="57"/>
      <c r="D482" s="57"/>
      <c r="E482" s="57"/>
      <c r="F482" s="57"/>
      <c r="G482" s="57"/>
      <c r="I482" s="55"/>
      <c r="J482" s="57"/>
      <c r="K482" s="57"/>
      <c r="L482" s="57"/>
      <c r="M482" s="57"/>
    </row>
    <row r="483" spans="2:13" ht="12" x14ac:dyDescent="0.2">
      <c r="B483" s="56"/>
      <c r="C483" s="58"/>
      <c r="D483" s="58"/>
      <c r="E483" s="58"/>
      <c r="F483" s="58"/>
      <c r="G483" s="58"/>
      <c r="I483" s="56"/>
      <c r="J483" s="58"/>
      <c r="K483" s="58"/>
      <c r="L483" s="58"/>
      <c r="M483" s="58"/>
    </row>
    <row r="484" spans="2:13" ht="12" x14ac:dyDescent="0.2">
      <c r="B484" s="55"/>
      <c r="C484" s="57"/>
      <c r="D484" s="57"/>
      <c r="E484" s="57"/>
      <c r="F484" s="57"/>
      <c r="G484" s="57"/>
      <c r="I484" s="55"/>
      <c r="J484" s="57"/>
      <c r="K484" s="57"/>
      <c r="L484" s="57"/>
      <c r="M484" s="57"/>
    </row>
    <row r="485" spans="2:13" ht="12" x14ac:dyDescent="0.2">
      <c r="B485" s="56"/>
      <c r="C485" s="58"/>
      <c r="D485" s="58"/>
      <c r="E485" s="58"/>
      <c r="F485" s="58"/>
      <c r="G485" s="58"/>
      <c r="I485" s="56"/>
      <c r="J485" s="58"/>
      <c r="K485" s="58"/>
      <c r="L485" s="58"/>
      <c r="M485" s="58"/>
    </row>
    <row r="486" spans="2:13" ht="12" x14ac:dyDescent="0.2">
      <c r="B486" s="55"/>
      <c r="C486" s="57"/>
      <c r="D486" s="57"/>
      <c r="E486" s="57"/>
      <c r="F486" s="57"/>
      <c r="G486" s="57"/>
      <c r="I486" s="55"/>
      <c r="J486" s="57"/>
      <c r="K486" s="57"/>
      <c r="L486" s="57"/>
      <c r="M486" s="57"/>
    </row>
    <row r="487" spans="2:13" ht="12" x14ac:dyDescent="0.2">
      <c r="B487" s="56"/>
      <c r="C487" s="58"/>
      <c r="D487" s="58"/>
      <c r="E487" s="58"/>
      <c r="F487" s="58"/>
      <c r="G487" s="58"/>
      <c r="I487" s="56"/>
      <c r="J487" s="58"/>
      <c r="K487" s="58"/>
      <c r="L487" s="58"/>
      <c r="M487" s="58"/>
    </row>
    <row r="488" spans="2:13" ht="12" x14ac:dyDescent="0.2">
      <c r="B488" s="55"/>
      <c r="C488" s="57"/>
      <c r="D488" s="57"/>
      <c r="E488" s="57"/>
      <c r="F488" s="57"/>
      <c r="G488" s="57"/>
      <c r="I488" s="55"/>
      <c r="J488" s="57"/>
      <c r="K488" s="57"/>
      <c r="L488" s="57"/>
      <c r="M488" s="57"/>
    </row>
    <row r="489" spans="2:13" ht="12" x14ac:dyDescent="0.2">
      <c r="B489" s="56"/>
      <c r="C489" s="58"/>
      <c r="D489" s="58"/>
      <c r="E489" s="58"/>
      <c r="F489" s="58"/>
      <c r="G489" s="58"/>
      <c r="I489" s="56"/>
      <c r="J489" s="58"/>
      <c r="K489" s="58"/>
      <c r="L489" s="58"/>
      <c r="M489" s="58"/>
    </row>
    <row r="490" spans="2:13" ht="12" x14ac:dyDescent="0.2">
      <c r="B490" s="55"/>
      <c r="C490" s="57"/>
      <c r="D490" s="57"/>
      <c r="E490" s="57"/>
      <c r="F490" s="57"/>
      <c r="G490" s="57"/>
      <c r="I490" s="55"/>
      <c r="J490" s="57"/>
      <c r="K490" s="57"/>
      <c r="L490" s="57"/>
      <c r="M490" s="57"/>
    </row>
    <row r="491" spans="2:13" ht="12" x14ac:dyDescent="0.2">
      <c r="B491" s="56"/>
      <c r="C491" s="58"/>
      <c r="D491" s="58"/>
      <c r="E491" s="58"/>
      <c r="F491" s="58"/>
      <c r="G491" s="58"/>
      <c r="I491" s="56"/>
      <c r="J491" s="58"/>
      <c r="K491" s="58"/>
      <c r="L491" s="58"/>
      <c r="M491" s="58"/>
    </row>
    <row r="492" spans="2:13" ht="12" x14ac:dyDescent="0.2">
      <c r="B492" s="55"/>
      <c r="C492" s="57"/>
      <c r="D492" s="57"/>
      <c r="E492" s="57"/>
      <c r="F492" s="57"/>
      <c r="G492" s="57"/>
      <c r="I492" s="55"/>
      <c r="J492" s="57"/>
      <c r="K492" s="57"/>
      <c r="L492" s="57"/>
      <c r="M492" s="57"/>
    </row>
    <row r="493" spans="2:13" ht="12" x14ac:dyDescent="0.2">
      <c r="B493" s="56"/>
      <c r="C493" s="58"/>
      <c r="D493" s="58"/>
      <c r="E493" s="58"/>
      <c r="F493" s="58"/>
      <c r="G493" s="58"/>
      <c r="I493" s="56"/>
      <c r="J493" s="58"/>
      <c r="K493" s="58"/>
      <c r="L493" s="58"/>
      <c r="M493" s="58"/>
    </row>
    <row r="494" spans="2:13" ht="12" x14ac:dyDescent="0.2">
      <c r="B494" s="55"/>
      <c r="C494" s="57"/>
      <c r="D494" s="57"/>
      <c r="E494" s="57"/>
      <c r="F494" s="57"/>
      <c r="G494" s="57"/>
      <c r="I494" s="55"/>
      <c r="J494" s="57"/>
      <c r="K494" s="57"/>
      <c r="L494" s="57"/>
      <c r="M494" s="57"/>
    </row>
    <row r="495" spans="2:13" ht="12" x14ac:dyDescent="0.2">
      <c r="B495" s="56"/>
      <c r="C495" s="58"/>
      <c r="D495" s="58"/>
      <c r="E495" s="58"/>
      <c r="F495" s="58"/>
      <c r="G495" s="58"/>
      <c r="I495" s="56"/>
      <c r="J495" s="58"/>
      <c r="K495" s="58"/>
      <c r="L495" s="58"/>
      <c r="M495" s="58"/>
    </row>
    <row r="496" spans="2:13" ht="12" x14ac:dyDescent="0.2">
      <c r="B496" s="55"/>
      <c r="C496" s="57"/>
      <c r="D496" s="57"/>
      <c r="E496" s="57"/>
      <c r="F496" s="57"/>
      <c r="G496" s="57"/>
      <c r="I496" s="55"/>
      <c r="J496" s="57"/>
      <c r="K496" s="57"/>
      <c r="L496" s="57"/>
      <c r="M496" s="57"/>
    </row>
    <row r="497" spans="2:13" ht="12" x14ac:dyDescent="0.2">
      <c r="B497" s="56"/>
      <c r="C497" s="58"/>
      <c r="D497" s="58"/>
      <c r="E497" s="58"/>
      <c r="F497" s="58"/>
      <c r="G497" s="58"/>
      <c r="I497" s="56"/>
      <c r="J497" s="58"/>
      <c r="K497" s="58"/>
      <c r="L497" s="58"/>
      <c r="M497" s="58"/>
    </row>
    <row r="498" spans="2:13" ht="12" x14ac:dyDescent="0.2">
      <c r="B498" s="55"/>
      <c r="C498" s="57"/>
      <c r="D498" s="57"/>
      <c r="E498" s="57"/>
      <c r="F498" s="57"/>
      <c r="G498" s="57"/>
      <c r="I498" s="55"/>
      <c r="J498" s="57"/>
      <c r="K498" s="57"/>
      <c r="L498" s="57"/>
      <c r="M498" s="57"/>
    </row>
    <row r="499" spans="2:13" ht="12" x14ac:dyDescent="0.2">
      <c r="B499" s="56"/>
      <c r="C499" s="58"/>
      <c r="D499" s="58"/>
      <c r="E499" s="58"/>
      <c r="F499" s="58"/>
      <c r="G499" s="58"/>
      <c r="I499" s="56"/>
      <c r="J499" s="58"/>
      <c r="K499" s="58"/>
      <c r="L499" s="58"/>
      <c r="M499" s="58"/>
    </row>
    <row r="500" spans="2:13" ht="12" x14ac:dyDescent="0.2">
      <c r="B500" s="55"/>
      <c r="C500" s="57"/>
      <c r="D500" s="57"/>
      <c r="E500" s="57"/>
      <c r="F500" s="57"/>
      <c r="G500" s="57"/>
      <c r="I500" s="55"/>
      <c r="J500" s="57"/>
      <c r="K500" s="57"/>
      <c r="L500" s="57"/>
      <c r="M500" s="57"/>
    </row>
    <row r="501" spans="2:13" ht="12" x14ac:dyDescent="0.2">
      <c r="B501" s="56"/>
      <c r="C501" s="58"/>
      <c r="D501" s="58"/>
      <c r="E501" s="58"/>
      <c r="F501" s="58"/>
      <c r="G501" s="58"/>
      <c r="I501" s="56"/>
      <c r="J501" s="58"/>
      <c r="K501" s="58"/>
      <c r="L501" s="58"/>
      <c r="M501" s="58"/>
    </row>
    <row r="502" spans="2:13" ht="12" x14ac:dyDescent="0.2">
      <c r="B502" s="55"/>
      <c r="C502" s="57"/>
      <c r="D502" s="57"/>
      <c r="E502" s="57"/>
      <c r="F502" s="57"/>
      <c r="G502" s="57"/>
      <c r="I502" s="55"/>
      <c r="J502" s="57"/>
      <c r="K502" s="57"/>
      <c r="L502" s="57"/>
      <c r="M502" s="57"/>
    </row>
    <row r="503" spans="2:13" ht="12" x14ac:dyDescent="0.2">
      <c r="B503" s="56"/>
      <c r="C503" s="58"/>
      <c r="D503" s="58"/>
      <c r="E503" s="58"/>
      <c r="F503" s="58"/>
      <c r="G503" s="58"/>
      <c r="I503" s="56"/>
      <c r="J503" s="58"/>
      <c r="K503" s="58"/>
      <c r="L503" s="58"/>
      <c r="M503" s="58"/>
    </row>
    <row r="504" spans="2:13" ht="12" x14ac:dyDescent="0.2">
      <c r="B504" s="55"/>
      <c r="C504" s="57"/>
      <c r="D504" s="57"/>
      <c r="E504" s="57"/>
      <c r="F504" s="57"/>
      <c r="G504" s="57"/>
      <c r="I504" s="55"/>
      <c r="J504" s="57"/>
      <c r="K504" s="57"/>
      <c r="L504" s="57"/>
      <c r="M504" s="57"/>
    </row>
    <row r="505" spans="2:13" ht="12" x14ac:dyDescent="0.2">
      <c r="B505" s="56"/>
      <c r="C505" s="58"/>
      <c r="D505" s="58"/>
      <c r="E505" s="58"/>
      <c r="F505" s="58"/>
      <c r="G505" s="58"/>
      <c r="I505" s="56"/>
      <c r="J505" s="58"/>
      <c r="K505" s="58"/>
      <c r="L505" s="58"/>
      <c r="M505" s="58"/>
    </row>
    <row r="506" spans="2:13" ht="12" x14ac:dyDescent="0.2">
      <c r="B506" s="55"/>
      <c r="C506" s="57"/>
      <c r="D506" s="57"/>
      <c r="E506" s="57"/>
      <c r="F506" s="57"/>
      <c r="G506" s="57"/>
      <c r="I506" s="55"/>
      <c r="J506" s="57"/>
      <c r="K506" s="57"/>
      <c r="L506" s="57"/>
      <c r="M506" s="57"/>
    </row>
    <row r="507" spans="2:13" ht="12" x14ac:dyDescent="0.2">
      <c r="B507" s="56"/>
      <c r="C507" s="58"/>
      <c r="D507" s="58"/>
      <c r="E507" s="58"/>
      <c r="F507" s="58"/>
      <c r="G507" s="58"/>
      <c r="I507" s="56"/>
      <c r="J507" s="58"/>
      <c r="K507" s="58"/>
      <c r="L507" s="58"/>
      <c r="M507" s="58"/>
    </row>
    <row r="508" spans="2:13" ht="12" x14ac:dyDescent="0.2">
      <c r="B508" s="55"/>
      <c r="C508" s="57"/>
      <c r="D508" s="57"/>
      <c r="E508" s="57"/>
      <c r="F508" s="57"/>
      <c r="G508" s="57"/>
      <c r="I508" s="55"/>
      <c r="J508" s="57"/>
      <c r="K508" s="57"/>
      <c r="L508" s="57"/>
      <c r="M508" s="57"/>
    </row>
    <row r="509" spans="2:13" ht="12" x14ac:dyDescent="0.2">
      <c r="B509" s="56"/>
      <c r="C509" s="58"/>
      <c r="D509" s="58"/>
      <c r="E509" s="58"/>
      <c r="F509" s="58"/>
      <c r="G509" s="58"/>
      <c r="I509" s="56"/>
      <c r="J509" s="58"/>
      <c r="K509" s="58"/>
      <c r="L509" s="58"/>
      <c r="M509" s="58"/>
    </row>
    <row r="510" spans="2:13" ht="12" x14ac:dyDescent="0.2">
      <c r="B510" s="55"/>
      <c r="C510" s="57"/>
      <c r="D510" s="57"/>
      <c r="E510" s="57"/>
      <c r="F510" s="57"/>
      <c r="G510" s="57"/>
      <c r="I510" s="55"/>
      <c r="J510" s="57"/>
      <c r="K510" s="57"/>
      <c r="L510" s="57"/>
      <c r="M510" s="57"/>
    </row>
    <row r="511" spans="2:13" ht="12" x14ac:dyDescent="0.2">
      <c r="B511" s="56"/>
      <c r="C511" s="58"/>
      <c r="D511" s="58"/>
      <c r="E511" s="58"/>
      <c r="F511" s="58"/>
      <c r="G511" s="58"/>
      <c r="I511" s="56"/>
      <c r="J511" s="58"/>
      <c r="K511" s="58"/>
      <c r="L511" s="58"/>
      <c r="M511" s="58"/>
    </row>
    <row r="512" spans="2:13" ht="12" x14ac:dyDescent="0.2">
      <c r="B512" s="55"/>
      <c r="C512" s="57"/>
      <c r="D512" s="57"/>
      <c r="E512" s="57"/>
      <c r="F512" s="57"/>
      <c r="G512" s="57"/>
      <c r="I512" s="55"/>
      <c r="J512" s="57"/>
      <c r="K512" s="57"/>
      <c r="L512" s="57"/>
      <c r="M512" s="57"/>
    </row>
    <row r="513" spans="2:13" ht="12" x14ac:dyDescent="0.2">
      <c r="B513" s="56"/>
      <c r="C513" s="58"/>
      <c r="D513" s="58"/>
      <c r="E513" s="58"/>
      <c r="F513" s="58"/>
      <c r="G513" s="58"/>
      <c r="I513" s="56"/>
      <c r="J513" s="58"/>
      <c r="K513" s="58"/>
      <c r="L513" s="58"/>
      <c r="M513" s="58"/>
    </row>
    <row r="514" spans="2:13" ht="12" x14ac:dyDescent="0.2">
      <c r="B514" s="55"/>
      <c r="C514" s="57"/>
      <c r="D514" s="57"/>
      <c r="E514" s="57"/>
      <c r="F514" s="57"/>
      <c r="G514" s="57"/>
      <c r="I514" s="55"/>
      <c r="J514" s="57"/>
      <c r="K514" s="57"/>
      <c r="L514" s="57"/>
      <c r="M514" s="57"/>
    </row>
    <row r="515" spans="2:13" ht="12" x14ac:dyDescent="0.2">
      <c r="B515" s="56"/>
      <c r="C515" s="58"/>
      <c r="D515" s="58"/>
      <c r="E515" s="58"/>
      <c r="F515" s="58"/>
      <c r="G515" s="58"/>
      <c r="I515" s="56"/>
      <c r="J515" s="58"/>
      <c r="K515" s="58"/>
      <c r="L515" s="58"/>
      <c r="M515" s="58"/>
    </row>
    <row r="516" spans="2:13" ht="12" x14ac:dyDescent="0.2">
      <c r="B516" s="55"/>
      <c r="C516" s="57"/>
      <c r="D516" s="57"/>
      <c r="E516" s="57"/>
      <c r="F516" s="57"/>
      <c r="G516" s="57"/>
      <c r="I516" s="55"/>
      <c r="J516" s="57"/>
      <c r="K516" s="57"/>
      <c r="L516" s="57"/>
      <c r="M516" s="57"/>
    </row>
    <row r="517" spans="2:13" ht="12" x14ac:dyDescent="0.2">
      <c r="B517" s="56"/>
      <c r="C517" s="58"/>
      <c r="D517" s="58"/>
      <c r="E517" s="58"/>
      <c r="F517" s="58"/>
      <c r="G517" s="58"/>
      <c r="I517" s="56"/>
      <c r="J517" s="58"/>
      <c r="K517" s="58"/>
      <c r="L517" s="58"/>
      <c r="M517" s="58"/>
    </row>
    <row r="518" spans="2:13" ht="12" x14ac:dyDescent="0.2">
      <c r="B518" s="55"/>
      <c r="C518" s="57"/>
      <c r="D518" s="57"/>
      <c r="E518" s="57"/>
      <c r="F518" s="57"/>
      <c r="G518" s="57"/>
      <c r="I518" s="55"/>
      <c r="J518" s="57"/>
      <c r="K518" s="57"/>
      <c r="L518" s="57"/>
      <c r="M518" s="57"/>
    </row>
    <row r="519" spans="2:13" ht="12" x14ac:dyDescent="0.2">
      <c r="B519" s="56"/>
      <c r="C519" s="58"/>
      <c r="D519" s="58"/>
      <c r="E519" s="58"/>
      <c r="F519" s="58"/>
      <c r="G519" s="58"/>
      <c r="I519" s="56"/>
      <c r="J519" s="58"/>
      <c r="K519" s="58"/>
      <c r="L519" s="58"/>
      <c r="M519" s="58"/>
    </row>
    <row r="520" spans="2:13" ht="12" x14ac:dyDescent="0.2">
      <c r="B520" s="55"/>
      <c r="C520" s="57"/>
      <c r="D520" s="57"/>
      <c r="E520" s="57"/>
      <c r="F520" s="57"/>
      <c r="G520" s="57"/>
      <c r="I520" s="55"/>
      <c r="J520" s="57"/>
      <c r="K520" s="57"/>
      <c r="L520" s="57"/>
      <c r="M520" s="57"/>
    </row>
    <row r="521" spans="2:13" ht="12" x14ac:dyDescent="0.2">
      <c r="B521" s="56"/>
      <c r="C521" s="58"/>
      <c r="D521" s="58"/>
      <c r="E521" s="58"/>
      <c r="F521" s="58"/>
      <c r="G521" s="58"/>
      <c r="I521" s="56"/>
      <c r="J521" s="58"/>
      <c r="K521" s="58"/>
      <c r="L521" s="58"/>
      <c r="M521" s="58"/>
    </row>
    <row r="522" spans="2:13" ht="12" x14ac:dyDescent="0.2">
      <c r="B522" s="55"/>
      <c r="C522" s="57"/>
      <c r="D522" s="57"/>
      <c r="E522" s="57"/>
      <c r="F522" s="57"/>
      <c r="G522" s="57"/>
      <c r="I522" s="55"/>
      <c r="J522" s="57"/>
      <c r="K522" s="57"/>
      <c r="L522" s="57"/>
      <c r="M522" s="57"/>
    </row>
    <row r="523" spans="2:13" ht="12" x14ac:dyDescent="0.2">
      <c r="B523" s="56"/>
      <c r="C523" s="58"/>
      <c r="D523" s="58"/>
      <c r="E523" s="58"/>
      <c r="F523" s="58"/>
      <c r="G523" s="58"/>
      <c r="I523" s="56"/>
      <c r="J523" s="58"/>
      <c r="K523" s="58"/>
      <c r="L523" s="58"/>
      <c r="M523" s="58"/>
    </row>
    <row r="524" spans="2:13" ht="12" x14ac:dyDescent="0.2">
      <c r="B524" s="55"/>
      <c r="C524" s="57"/>
      <c r="D524" s="57"/>
      <c r="E524" s="57"/>
      <c r="F524" s="57"/>
      <c r="G524" s="57"/>
      <c r="I524" s="55"/>
      <c r="J524" s="57"/>
      <c r="K524" s="57"/>
      <c r="L524" s="57"/>
      <c r="M524" s="57"/>
    </row>
    <row r="525" spans="2:13" ht="12" x14ac:dyDescent="0.2">
      <c r="B525" s="56"/>
      <c r="C525" s="58"/>
      <c r="D525" s="58"/>
      <c r="E525" s="58"/>
      <c r="F525" s="58"/>
      <c r="G525" s="58"/>
      <c r="I525" s="56"/>
      <c r="J525" s="58"/>
      <c r="K525" s="58"/>
      <c r="L525" s="58"/>
      <c r="M525" s="58"/>
    </row>
    <row r="526" spans="2:13" ht="12" x14ac:dyDescent="0.2">
      <c r="B526" s="55"/>
      <c r="C526" s="57"/>
      <c r="D526" s="57"/>
      <c r="E526" s="57"/>
      <c r="F526" s="57"/>
      <c r="G526" s="57"/>
      <c r="I526" s="55"/>
      <c r="J526" s="57"/>
      <c r="K526" s="57"/>
      <c r="L526" s="57"/>
      <c r="M526" s="57"/>
    </row>
    <row r="527" spans="2:13" ht="12" x14ac:dyDescent="0.2">
      <c r="B527" s="56"/>
      <c r="C527" s="58"/>
      <c r="D527" s="58"/>
      <c r="E527" s="58"/>
      <c r="F527" s="58"/>
      <c r="G527" s="58"/>
      <c r="I527" s="56"/>
      <c r="J527" s="58"/>
      <c r="K527" s="58"/>
      <c r="L527" s="58"/>
      <c r="M527" s="58"/>
    </row>
    <row r="528" spans="2:13" ht="12" x14ac:dyDescent="0.2">
      <c r="B528" s="55"/>
      <c r="C528" s="57"/>
      <c r="D528" s="57"/>
      <c r="E528" s="57"/>
      <c r="F528" s="57"/>
      <c r="G528" s="57"/>
      <c r="I528" s="55"/>
      <c r="J528" s="57"/>
      <c r="K528" s="57"/>
      <c r="L528" s="57"/>
      <c r="M528" s="57"/>
    </row>
    <row r="529" spans="2:13" ht="12" x14ac:dyDescent="0.2">
      <c r="B529" s="56"/>
      <c r="C529" s="58"/>
      <c r="D529" s="58"/>
      <c r="E529" s="58"/>
      <c r="F529" s="58"/>
      <c r="G529" s="58"/>
      <c r="I529" s="56"/>
      <c r="J529" s="58"/>
      <c r="K529" s="58"/>
      <c r="L529" s="58"/>
      <c r="M529" s="58"/>
    </row>
    <row r="530" spans="2:13" ht="12" x14ac:dyDescent="0.2">
      <c r="B530" s="55"/>
      <c r="C530" s="57"/>
      <c r="D530" s="57"/>
      <c r="E530" s="57"/>
      <c r="F530" s="57"/>
      <c r="G530" s="57"/>
      <c r="I530" s="55"/>
      <c r="J530" s="57"/>
      <c r="K530" s="57"/>
      <c r="L530" s="57"/>
      <c r="M530" s="57"/>
    </row>
    <row r="531" spans="2:13" ht="12" x14ac:dyDescent="0.2">
      <c r="B531" s="56"/>
      <c r="C531" s="58"/>
      <c r="D531" s="58"/>
      <c r="E531" s="58"/>
      <c r="F531" s="58"/>
      <c r="G531" s="58"/>
      <c r="I531" s="56"/>
      <c r="J531" s="58"/>
      <c r="K531" s="58"/>
      <c r="L531" s="58"/>
      <c r="M531" s="58"/>
    </row>
    <row r="532" spans="2:13" ht="12" x14ac:dyDescent="0.2">
      <c r="B532" s="55"/>
      <c r="C532" s="57"/>
      <c r="D532" s="57"/>
      <c r="E532" s="57"/>
      <c r="F532" s="57"/>
      <c r="G532" s="57"/>
      <c r="I532" s="55"/>
      <c r="J532" s="57"/>
      <c r="K532" s="57"/>
      <c r="L532" s="57"/>
      <c r="M532" s="57"/>
    </row>
    <row r="533" spans="2:13" ht="12" x14ac:dyDescent="0.2">
      <c r="B533" s="56"/>
      <c r="C533" s="58"/>
      <c r="D533" s="58"/>
      <c r="E533" s="58"/>
      <c r="F533" s="58"/>
      <c r="G533" s="58"/>
      <c r="I533" s="56"/>
      <c r="J533" s="58"/>
      <c r="K533" s="58"/>
      <c r="L533" s="58"/>
      <c r="M533" s="58"/>
    </row>
    <row r="534" spans="2:13" ht="12" x14ac:dyDescent="0.2">
      <c r="B534" s="55"/>
      <c r="C534" s="57"/>
      <c r="D534" s="57"/>
      <c r="E534" s="57"/>
      <c r="F534" s="57"/>
      <c r="G534" s="57"/>
      <c r="I534" s="55"/>
      <c r="J534" s="57"/>
      <c r="K534" s="57"/>
      <c r="L534" s="57"/>
      <c r="M534" s="57"/>
    </row>
    <row r="535" spans="2:13" ht="12" x14ac:dyDescent="0.2">
      <c r="B535" s="56"/>
      <c r="C535" s="58"/>
      <c r="D535" s="58"/>
      <c r="E535" s="58"/>
      <c r="F535" s="58"/>
      <c r="G535" s="58"/>
      <c r="I535" s="56"/>
      <c r="J535" s="58"/>
      <c r="K535" s="58"/>
      <c r="L535" s="58"/>
      <c r="M535" s="58"/>
    </row>
    <row r="536" spans="2:13" ht="12" x14ac:dyDescent="0.2">
      <c r="B536" s="55"/>
      <c r="C536" s="57"/>
      <c r="D536" s="57"/>
      <c r="E536" s="57"/>
      <c r="F536" s="57"/>
      <c r="G536" s="57"/>
      <c r="I536" s="55"/>
      <c r="J536" s="57"/>
      <c r="K536" s="57"/>
      <c r="L536" s="57"/>
      <c r="M536" s="57"/>
    </row>
    <row r="537" spans="2:13" ht="12" x14ac:dyDescent="0.2">
      <c r="B537" s="56"/>
      <c r="C537" s="58"/>
      <c r="D537" s="58"/>
      <c r="E537" s="58"/>
      <c r="F537" s="58"/>
      <c r="G537" s="58"/>
      <c r="I537" s="56"/>
      <c r="J537" s="58"/>
      <c r="K537" s="58"/>
      <c r="L537" s="58"/>
      <c r="M537" s="58"/>
    </row>
    <row r="538" spans="2:13" ht="12" x14ac:dyDescent="0.2">
      <c r="B538" s="55"/>
      <c r="C538" s="57"/>
      <c r="D538" s="57"/>
      <c r="E538" s="57"/>
      <c r="F538" s="57"/>
      <c r="G538" s="57"/>
      <c r="I538" s="55"/>
      <c r="J538" s="57"/>
      <c r="K538" s="57"/>
      <c r="L538" s="57"/>
      <c r="M538" s="57"/>
    </row>
    <row r="539" spans="2:13" ht="12" x14ac:dyDescent="0.2">
      <c r="B539" s="56"/>
      <c r="C539" s="58"/>
      <c r="D539" s="58"/>
      <c r="E539" s="58"/>
      <c r="F539" s="58"/>
      <c r="G539" s="58"/>
      <c r="I539" s="56"/>
      <c r="J539" s="58"/>
      <c r="K539" s="58"/>
      <c r="L539" s="58"/>
      <c r="M539" s="58"/>
    </row>
    <row r="540" spans="2:13" ht="12" x14ac:dyDescent="0.2">
      <c r="B540" s="55"/>
      <c r="C540" s="57"/>
      <c r="D540" s="57"/>
      <c r="E540" s="57"/>
      <c r="F540" s="57"/>
      <c r="G540" s="57"/>
      <c r="I540" s="55"/>
      <c r="J540" s="57"/>
      <c r="K540" s="57"/>
      <c r="L540" s="57"/>
      <c r="M540" s="57"/>
    </row>
    <row r="541" spans="2:13" ht="12" x14ac:dyDescent="0.2">
      <c r="B541" s="56"/>
      <c r="C541" s="58"/>
      <c r="D541" s="58"/>
      <c r="E541" s="58"/>
      <c r="F541" s="58"/>
      <c r="G541" s="58"/>
      <c r="I541" s="56"/>
      <c r="J541" s="58"/>
      <c r="K541" s="58"/>
      <c r="L541" s="58"/>
      <c r="M541" s="58"/>
    </row>
    <row r="542" spans="2:13" ht="12" x14ac:dyDescent="0.2">
      <c r="B542" s="55"/>
      <c r="C542" s="57"/>
      <c r="D542" s="57"/>
      <c r="E542" s="57"/>
      <c r="F542" s="57"/>
      <c r="G542" s="57"/>
      <c r="I542" s="55"/>
      <c r="J542" s="57"/>
      <c r="K542" s="57"/>
      <c r="L542" s="57"/>
      <c r="M542" s="57"/>
    </row>
    <row r="543" spans="2:13" ht="12" x14ac:dyDescent="0.2">
      <c r="B543" s="56"/>
      <c r="C543" s="58"/>
      <c r="D543" s="58"/>
      <c r="E543" s="58"/>
      <c r="F543" s="58"/>
      <c r="G543" s="58"/>
      <c r="I543" s="56"/>
      <c r="J543" s="58"/>
      <c r="K543" s="58"/>
      <c r="L543" s="58"/>
      <c r="M543" s="58"/>
    </row>
    <row r="544" spans="2:13" ht="12" x14ac:dyDescent="0.2">
      <c r="B544" s="55"/>
      <c r="C544" s="57"/>
      <c r="D544" s="57"/>
      <c r="E544" s="57"/>
      <c r="F544" s="57"/>
      <c r="G544" s="57"/>
      <c r="I544" s="55"/>
      <c r="J544" s="57"/>
      <c r="K544" s="57"/>
      <c r="L544" s="57"/>
      <c r="M544" s="57"/>
    </row>
    <row r="545" spans="2:13" ht="12" x14ac:dyDescent="0.2">
      <c r="B545" s="56"/>
      <c r="C545" s="58"/>
      <c r="D545" s="58"/>
      <c r="E545" s="58"/>
      <c r="F545" s="58"/>
      <c r="G545" s="58"/>
      <c r="I545" s="56"/>
      <c r="J545" s="58"/>
      <c r="K545" s="58"/>
      <c r="L545" s="58"/>
      <c r="M545" s="58"/>
    </row>
    <row r="546" spans="2:13" ht="12" x14ac:dyDescent="0.2">
      <c r="B546" s="55"/>
      <c r="C546" s="57"/>
      <c r="D546" s="57"/>
      <c r="E546" s="57"/>
      <c r="F546" s="57"/>
      <c r="G546" s="57"/>
      <c r="I546" s="55"/>
      <c r="J546" s="57"/>
      <c r="K546" s="57"/>
      <c r="L546" s="57"/>
      <c r="M546" s="57"/>
    </row>
    <row r="547" spans="2:13" ht="12" x14ac:dyDescent="0.2">
      <c r="B547" s="56"/>
      <c r="C547" s="58"/>
      <c r="D547" s="58"/>
      <c r="E547" s="58"/>
      <c r="F547" s="58"/>
      <c r="G547" s="58"/>
      <c r="I547" s="56"/>
      <c r="J547" s="58"/>
      <c r="K547" s="58"/>
      <c r="L547" s="58"/>
      <c r="M547" s="58"/>
    </row>
    <row r="548" spans="2:13" ht="12" x14ac:dyDescent="0.2">
      <c r="B548" s="55"/>
      <c r="C548" s="57"/>
      <c r="D548" s="57"/>
      <c r="E548" s="57"/>
      <c r="F548" s="57"/>
      <c r="G548" s="57"/>
      <c r="I548" s="55"/>
      <c r="J548" s="57"/>
      <c r="K548" s="57"/>
      <c r="L548" s="57"/>
      <c r="M548" s="57"/>
    </row>
    <row r="549" spans="2:13" ht="12" x14ac:dyDescent="0.2">
      <c r="B549" s="56"/>
      <c r="C549" s="58"/>
      <c r="D549" s="58"/>
      <c r="E549" s="58"/>
      <c r="F549" s="58"/>
      <c r="G549" s="58"/>
      <c r="I549" s="56"/>
      <c r="J549" s="58"/>
      <c r="K549" s="58"/>
      <c r="L549" s="58"/>
      <c r="M549" s="58"/>
    </row>
    <row r="550" spans="2:13" ht="12" x14ac:dyDescent="0.2">
      <c r="B550" s="55"/>
      <c r="C550" s="57"/>
      <c r="D550" s="57"/>
      <c r="E550" s="57"/>
      <c r="F550" s="57"/>
      <c r="G550" s="57"/>
      <c r="I550" s="55"/>
      <c r="J550" s="57"/>
      <c r="K550" s="57"/>
      <c r="L550" s="57"/>
      <c r="M550" s="57"/>
    </row>
    <row r="551" spans="2:13" ht="12" x14ac:dyDescent="0.2">
      <c r="B551" s="56"/>
      <c r="C551" s="58"/>
      <c r="D551" s="58"/>
      <c r="E551" s="58"/>
      <c r="F551" s="58"/>
      <c r="G551" s="58"/>
      <c r="I551" s="56"/>
      <c r="J551" s="58"/>
      <c r="K551" s="58"/>
      <c r="L551" s="58"/>
      <c r="M551" s="58"/>
    </row>
    <row r="552" spans="2:13" ht="12" x14ac:dyDescent="0.2">
      <c r="B552" s="55"/>
      <c r="C552" s="57"/>
      <c r="D552" s="57"/>
      <c r="E552" s="57"/>
      <c r="F552" s="57"/>
      <c r="G552" s="57"/>
      <c r="I552" s="55"/>
      <c r="J552" s="57"/>
      <c r="K552" s="57"/>
      <c r="L552" s="57"/>
      <c r="M552" s="57"/>
    </row>
    <row r="553" spans="2:13" ht="12" x14ac:dyDescent="0.2">
      <c r="B553" s="56"/>
      <c r="C553" s="58"/>
      <c r="D553" s="58"/>
      <c r="E553" s="58"/>
      <c r="F553" s="58"/>
      <c r="G553" s="58"/>
      <c r="I553" s="56"/>
      <c r="J553" s="58"/>
      <c r="K553" s="58"/>
      <c r="L553" s="58"/>
      <c r="M553" s="58"/>
    </row>
    <row r="554" spans="2:13" ht="12" x14ac:dyDescent="0.2">
      <c r="B554" s="55"/>
      <c r="C554" s="57"/>
      <c r="D554" s="57"/>
      <c r="E554" s="57"/>
      <c r="F554" s="57"/>
      <c r="G554" s="57"/>
      <c r="I554" s="55"/>
      <c r="J554" s="57"/>
      <c r="K554" s="57"/>
      <c r="L554" s="57"/>
      <c r="M554" s="57"/>
    </row>
    <row r="555" spans="2:13" ht="12" x14ac:dyDescent="0.2">
      <c r="B555" s="56"/>
      <c r="C555" s="58"/>
      <c r="D555" s="58"/>
      <c r="E555" s="58"/>
      <c r="F555" s="58"/>
      <c r="G555" s="58"/>
      <c r="I555" s="56"/>
      <c r="J555" s="58"/>
      <c r="K555" s="58"/>
      <c r="L555" s="58"/>
      <c r="M555" s="58"/>
    </row>
    <row r="556" spans="2:13" ht="12" x14ac:dyDescent="0.2">
      <c r="B556" s="55"/>
      <c r="C556" s="57"/>
      <c r="D556" s="57"/>
      <c r="E556" s="57"/>
      <c r="F556" s="57"/>
      <c r="G556" s="57"/>
      <c r="I556" s="55"/>
      <c r="J556" s="57"/>
      <c r="K556" s="57"/>
      <c r="L556" s="57"/>
      <c r="M556" s="57"/>
    </row>
    <row r="557" spans="2:13" ht="12" x14ac:dyDescent="0.2">
      <c r="B557" s="56"/>
      <c r="C557" s="58"/>
      <c r="D557" s="58"/>
      <c r="E557" s="58"/>
      <c r="F557" s="58"/>
      <c r="G557" s="58"/>
      <c r="I557" s="56"/>
      <c r="J557" s="58"/>
      <c r="K557" s="58"/>
      <c r="L557" s="58"/>
      <c r="M557" s="58"/>
    </row>
    <row r="558" spans="2:13" ht="12" x14ac:dyDescent="0.2">
      <c r="B558" s="55"/>
      <c r="C558" s="57"/>
      <c r="D558" s="57"/>
      <c r="E558" s="57"/>
      <c r="F558" s="57"/>
      <c r="G558" s="57"/>
      <c r="I558" s="55"/>
      <c r="J558" s="57"/>
      <c r="K558" s="57"/>
      <c r="L558" s="57"/>
      <c r="M558" s="57"/>
    </row>
    <row r="559" spans="2:13" ht="12" x14ac:dyDescent="0.2">
      <c r="B559" s="56"/>
      <c r="C559" s="58"/>
      <c r="D559" s="58"/>
      <c r="E559" s="58"/>
      <c r="F559" s="58"/>
      <c r="G559" s="58"/>
      <c r="I559" s="56"/>
      <c r="J559" s="58"/>
      <c r="K559" s="58"/>
      <c r="L559" s="58"/>
      <c r="M559" s="58"/>
    </row>
    <row r="560" spans="2:13" ht="12" x14ac:dyDescent="0.2">
      <c r="B560" s="55"/>
      <c r="C560" s="57"/>
      <c r="D560" s="57"/>
      <c r="E560" s="57"/>
      <c r="F560" s="57"/>
      <c r="G560" s="57"/>
      <c r="I560" s="55"/>
      <c r="J560" s="57"/>
      <c r="K560" s="57"/>
      <c r="L560" s="57"/>
      <c r="M560" s="57"/>
    </row>
    <row r="561" spans="2:13" ht="12" x14ac:dyDescent="0.2">
      <c r="B561" s="56"/>
      <c r="C561" s="58"/>
      <c r="D561" s="58"/>
      <c r="E561" s="58"/>
      <c r="F561" s="58"/>
      <c r="G561" s="58"/>
      <c r="I561" s="56"/>
      <c r="J561" s="58"/>
      <c r="K561" s="58"/>
      <c r="L561" s="58"/>
      <c r="M561" s="58"/>
    </row>
    <row r="562" spans="2:13" ht="12" x14ac:dyDescent="0.2">
      <c r="B562" s="55"/>
      <c r="C562" s="57"/>
      <c r="D562" s="57"/>
      <c r="E562" s="57"/>
      <c r="F562" s="57"/>
      <c r="G562" s="57"/>
      <c r="I562" s="55"/>
      <c r="J562" s="57"/>
      <c r="K562" s="57"/>
      <c r="L562" s="57"/>
      <c r="M562" s="57"/>
    </row>
    <row r="563" spans="2:13" ht="12" x14ac:dyDescent="0.2">
      <c r="B563" s="56"/>
      <c r="C563" s="58"/>
      <c r="D563" s="58"/>
      <c r="E563" s="58"/>
      <c r="F563" s="58"/>
      <c r="G563" s="58"/>
      <c r="I563" s="56"/>
      <c r="J563" s="58"/>
      <c r="K563" s="58"/>
      <c r="L563" s="58"/>
      <c r="M563" s="58"/>
    </row>
    <row r="564" spans="2:13" ht="12" x14ac:dyDescent="0.2">
      <c r="B564" s="55"/>
      <c r="C564" s="57"/>
      <c r="D564" s="57"/>
      <c r="E564" s="57"/>
      <c r="F564" s="57"/>
      <c r="G564" s="57"/>
      <c r="I564" s="55"/>
      <c r="J564" s="57"/>
      <c r="K564" s="57"/>
      <c r="L564" s="57"/>
      <c r="M564" s="57"/>
    </row>
    <row r="565" spans="2:13" ht="12" x14ac:dyDescent="0.2">
      <c r="B565" s="56"/>
      <c r="C565" s="58"/>
      <c r="D565" s="58"/>
      <c r="E565" s="58"/>
      <c r="F565" s="58"/>
      <c r="G565" s="58"/>
      <c r="I565" s="56"/>
      <c r="J565" s="58"/>
      <c r="K565" s="58"/>
      <c r="L565" s="58"/>
      <c r="M565" s="58"/>
    </row>
    <row r="566" spans="2:13" ht="12" x14ac:dyDescent="0.2">
      <c r="B566" s="55"/>
      <c r="C566" s="57"/>
      <c r="D566" s="57"/>
      <c r="E566" s="57"/>
      <c r="F566" s="57"/>
      <c r="G566" s="57"/>
      <c r="I566" s="55"/>
      <c r="J566" s="57"/>
      <c r="K566" s="57"/>
      <c r="L566" s="57"/>
      <c r="M566" s="57"/>
    </row>
    <row r="567" spans="2:13" ht="12" x14ac:dyDescent="0.2">
      <c r="B567" s="56"/>
      <c r="C567" s="58"/>
      <c r="D567" s="58"/>
      <c r="E567" s="58"/>
      <c r="F567" s="58"/>
      <c r="G567" s="58"/>
      <c r="I567" s="56"/>
      <c r="J567" s="58"/>
      <c r="K567" s="58"/>
      <c r="L567" s="58"/>
      <c r="M567" s="58"/>
    </row>
    <row r="568" spans="2:13" ht="12" x14ac:dyDescent="0.2">
      <c r="B568" s="55"/>
      <c r="C568" s="57"/>
      <c r="D568" s="57"/>
      <c r="E568" s="57"/>
      <c r="F568" s="57"/>
      <c r="G568" s="57"/>
      <c r="I568" s="55"/>
      <c r="J568" s="57"/>
      <c r="K568" s="57"/>
      <c r="L568" s="57"/>
      <c r="M568" s="57"/>
    </row>
    <row r="569" spans="2:13" ht="12" x14ac:dyDescent="0.2">
      <c r="B569" s="56"/>
      <c r="C569" s="58"/>
      <c r="D569" s="58"/>
      <c r="E569" s="58"/>
      <c r="F569" s="58"/>
      <c r="G569" s="58"/>
      <c r="I569" s="56"/>
      <c r="J569" s="58"/>
      <c r="K569" s="58"/>
      <c r="L569" s="58"/>
      <c r="M569" s="58"/>
    </row>
    <row r="570" spans="2:13" ht="12" x14ac:dyDescent="0.2">
      <c r="B570" s="55"/>
      <c r="C570" s="57"/>
      <c r="D570" s="57"/>
      <c r="E570" s="57"/>
      <c r="F570" s="57"/>
      <c r="G570" s="57"/>
      <c r="I570" s="55"/>
      <c r="J570" s="57"/>
      <c r="K570" s="57"/>
      <c r="L570" s="57"/>
      <c r="M570" s="57"/>
    </row>
    <row r="571" spans="2:13" ht="12" x14ac:dyDescent="0.2">
      <c r="B571" s="56"/>
      <c r="C571" s="58"/>
      <c r="D571" s="58"/>
      <c r="E571" s="58"/>
      <c r="F571" s="58"/>
      <c r="G571" s="58"/>
      <c r="I571" s="56"/>
      <c r="J571" s="58"/>
      <c r="K571" s="58"/>
      <c r="L571" s="58"/>
      <c r="M571" s="58"/>
    </row>
    <row r="572" spans="2:13" ht="12" x14ac:dyDescent="0.2">
      <c r="B572" s="55"/>
      <c r="C572" s="57"/>
      <c r="D572" s="57"/>
      <c r="E572" s="57"/>
      <c r="F572" s="57"/>
      <c r="G572" s="57"/>
      <c r="I572" s="55"/>
      <c r="J572" s="57"/>
      <c r="K572" s="57"/>
      <c r="L572" s="57"/>
      <c r="M572" s="57"/>
    </row>
    <row r="573" spans="2:13" ht="12" x14ac:dyDescent="0.2">
      <c r="B573" s="56"/>
      <c r="C573" s="58"/>
      <c r="D573" s="58"/>
      <c r="E573" s="58"/>
      <c r="F573" s="58"/>
      <c r="G573" s="58"/>
      <c r="I573" s="56"/>
      <c r="J573" s="58"/>
      <c r="K573" s="58"/>
      <c r="L573" s="58"/>
      <c r="M573" s="58"/>
    </row>
    <row r="574" spans="2:13" ht="12" x14ac:dyDescent="0.2">
      <c r="B574" s="55"/>
      <c r="C574" s="57"/>
      <c r="D574" s="57"/>
      <c r="E574" s="57"/>
      <c r="F574" s="57"/>
      <c r="G574" s="57"/>
      <c r="I574" s="55"/>
      <c r="J574" s="57"/>
      <c r="K574" s="57"/>
      <c r="L574" s="57"/>
      <c r="M574" s="57"/>
    </row>
    <row r="575" spans="2:13" ht="12" x14ac:dyDescent="0.2">
      <c r="B575" s="56"/>
      <c r="C575" s="58"/>
      <c r="D575" s="58"/>
      <c r="E575" s="58"/>
      <c r="F575" s="58"/>
      <c r="G575" s="58"/>
      <c r="I575" s="56"/>
      <c r="J575" s="58"/>
      <c r="K575" s="58"/>
      <c r="L575" s="58"/>
      <c r="M575" s="58"/>
    </row>
    <row r="576" spans="2:13" ht="12" x14ac:dyDescent="0.2">
      <c r="B576" s="55"/>
      <c r="C576" s="57"/>
      <c r="D576" s="57"/>
      <c r="E576" s="57"/>
      <c r="F576" s="57"/>
      <c r="G576" s="57"/>
      <c r="I576" s="55"/>
      <c r="J576" s="57"/>
      <c r="K576" s="57"/>
      <c r="L576" s="57"/>
      <c r="M576" s="57"/>
    </row>
    <row r="577" spans="2:13" ht="12" x14ac:dyDescent="0.2">
      <c r="B577" s="56"/>
      <c r="C577" s="58"/>
      <c r="D577" s="58"/>
      <c r="E577" s="58"/>
      <c r="F577" s="58"/>
      <c r="G577" s="58"/>
      <c r="I577" s="56"/>
      <c r="J577" s="58"/>
      <c r="K577" s="58"/>
      <c r="L577" s="58"/>
      <c r="M577" s="58"/>
    </row>
    <row r="578" spans="2:13" ht="12" x14ac:dyDescent="0.2">
      <c r="B578" s="55"/>
      <c r="C578" s="57"/>
      <c r="D578" s="57"/>
      <c r="E578" s="57"/>
      <c r="F578" s="57"/>
      <c r="G578" s="57"/>
      <c r="I578" s="55"/>
      <c r="J578" s="57"/>
      <c r="K578" s="57"/>
      <c r="L578" s="57"/>
      <c r="M578" s="57"/>
    </row>
    <row r="579" spans="2:13" ht="12" x14ac:dyDescent="0.2">
      <c r="B579" s="56"/>
      <c r="C579" s="58"/>
      <c r="D579" s="58"/>
      <c r="E579" s="58"/>
      <c r="F579" s="58"/>
      <c r="G579" s="58"/>
      <c r="I579" s="56"/>
      <c r="J579" s="58"/>
      <c r="K579" s="58"/>
      <c r="L579" s="58"/>
      <c r="M579" s="58"/>
    </row>
    <row r="580" spans="2:13" ht="12" x14ac:dyDescent="0.2">
      <c r="B580" s="55"/>
      <c r="C580" s="57"/>
      <c r="D580" s="57"/>
      <c r="E580" s="57"/>
      <c r="F580" s="57"/>
      <c r="G580" s="57"/>
      <c r="I580" s="55"/>
      <c r="J580" s="57"/>
      <c r="K580" s="57"/>
      <c r="L580" s="57"/>
      <c r="M580" s="57"/>
    </row>
    <row r="581" spans="2:13" ht="12" x14ac:dyDescent="0.2">
      <c r="B581" s="56"/>
      <c r="C581" s="58"/>
      <c r="D581" s="58"/>
      <c r="E581" s="58"/>
      <c r="F581" s="58"/>
      <c r="G581" s="58"/>
      <c r="I581" s="56"/>
      <c r="J581" s="58"/>
      <c r="K581" s="58"/>
      <c r="L581" s="58"/>
      <c r="M581" s="58"/>
    </row>
    <row r="582" spans="2:13" ht="12" x14ac:dyDescent="0.2">
      <c r="B582" s="55"/>
      <c r="C582" s="57"/>
      <c r="D582" s="57"/>
      <c r="E582" s="57"/>
      <c r="F582" s="57"/>
      <c r="G582" s="57"/>
      <c r="I582" s="55"/>
      <c r="J582" s="57"/>
      <c r="K582" s="57"/>
      <c r="L582" s="57"/>
      <c r="M582" s="57"/>
    </row>
    <row r="583" spans="2:13" ht="12" x14ac:dyDescent="0.2">
      <c r="B583" s="56"/>
      <c r="C583" s="58"/>
      <c r="D583" s="58"/>
      <c r="E583" s="58"/>
      <c r="F583" s="58"/>
      <c r="G583" s="58"/>
      <c r="I583" s="56"/>
      <c r="J583" s="58"/>
      <c r="K583" s="58"/>
      <c r="L583" s="58"/>
      <c r="M583" s="58"/>
    </row>
    <row r="584" spans="2:13" ht="12" x14ac:dyDescent="0.2">
      <c r="B584" s="55"/>
      <c r="C584" s="57"/>
      <c r="D584" s="57"/>
      <c r="E584" s="57"/>
      <c r="F584" s="57"/>
      <c r="G584" s="57"/>
      <c r="I584" s="55"/>
      <c r="J584" s="57"/>
      <c r="K584" s="57"/>
      <c r="L584" s="57"/>
      <c r="M584" s="57"/>
    </row>
    <row r="585" spans="2:13" ht="12" x14ac:dyDescent="0.2">
      <c r="B585" s="56"/>
      <c r="C585" s="58"/>
      <c r="D585" s="58"/>
      <c r="E585" s="58"/>
      <c r="F585" s="58"/>
      <c r="G585" s="58"/>
      <c r="I585" s="56"/>
      <c r="J585" s="58"/>
      <c r="K585" s="58"/>
      <c r="L585" s="58"/>
      <c r="M585" s="58"/>
    </row>
    <row r="586" spans="2:13" ht="12" x14ac:dyDescent="0.2">
      <c r="B586" s="55"/>
      <c r="C586" s="57"/>
      <c r="D586" s="57"/>
      <c r="E586" s="57"/>
      <c r="F586" s="57"/>
      <c r="G586" s="57"/>
      <c r="I586" s="55"/>
      <c r="J586" s="57"/>
      <c r="K586" s="57"/>
      <c r="L586" s="57"/>
      <c r="M586" s="57"/>
    </row>
    <row r="587" spans="2:13" ht="12" x14ac:dyDescent="0.2">
      <c r="B587" s="56"/>
      <c r="C587" s="58"/>
      <c r="D587" s="58"/>
      <c r="E587" s="58"/>
      <c r="F587" s="58"/>
      <c r="G587" s="58"/>
      <c r="I587" s="56"/>
      <c r="J587" s="58"/>
      <c r="K587" s="58"/>
      <c r="L587" s="58"/>
      <c r="M587" s="58"/>
    </row>
    <row r="588" spans="2:13" ht="12" x14ac:dyDescent="0.2">
      <c r="B588" s="55"/>
      <c r="C588" s="57"/>
      <c r="D588" s="57"/>
      <c r="E588" s="57"/>
      <c r="F588" s="57"/>
      <c r="G588" s="57"/>
      <c r="I588" s="55"/>
      <c r="J588" s="57"/>
      <c r="K588" s="57"/>
      <c r="L588" s="57"/>
      <c r="M588" s="57"/>
    </row>
    <row r="589" spans="2:13" ht="12" x14ac:dyDescent="0.2">
      <c r="B589" s="56"/>
      <c r="C589" s="58"/>
      <c r="D589" s="58"/>
      <c r="E589" s="58"/>
      <c r="F589" s="58"/>
      <c r="G589" s="58"/>
      <c r="I589" s="56"/>
      <c r="J589" s="58"/>
      <c r="K589" s="58"/>
      <c r="L589" s="58"/>
      <c r="M589" s="58"/>
    </row>
    <row r="590" spans="2:13" ht="12" x14ac:dyDescent="0.2">
      <c r="B590" s="55"/>
      <c r="C590" s="57"/>
      <c r="D590" s="57"/>
      <c r="E590" s="57"/>
      <c r="F590" s="57"/>
      <c r="G590" s="57"/>
      <c r="I590" s="55"/>
      <c r="J590" s="57"/>
      <c r="K590" s="57"/>
      <c r="L590" s="57"/>
      <c r="M590" s="57"/>
    </row>
    <row r="591" spans="2:13" ht="12" x14ac:dyDescent="0.2">
      <c r="B591" s="56"/>
      <c r="C591" s="58"/>
      <c r="D591" s="58"/>
      <c r="E591" s="58"/>
      <c r="F591" s="58"/>
      <c r="G591" s="58"/>
      <c r="I591" s="56"/>
      <c r="J591" s="58"/>
      <c r="K591" s="58"/>
      <c r="L591" s="58"/>
      <c r="M591" s="58"/>
    </row>
    <row r="592" spans="2:13" ht="12" x14ac:dyDescent="0.2">
      <c r="B592" s="55"/>
      <c r="C592" s="57"/>
      <c r="D592" s="57"/>
      <c r="E592" s="57"/>
      <c r="F592" s="57"/>
      <c r="G592" s="57"/>
      <c r="I592" s="55"/>
      <c r="J592" s="57"/>
      <c r="K592" s="57"/>
      <c r="L592" s="57"/>
      <c r="M592" s="57"/>
    </row>
    <row r="593" spans="2:13" ht="12" x14ac:dyDescent="0.2">
      <c r="B593" s="56"/>
      <c r="C593" s="58"/>
      <c r="D593" s="58"/>
      <c r="E593" s="58"/>
      <c r="F593" s="58"/>
      <c r="G593" s="58"/>
      <c r="I593" s="56"/>
      <c r="J593" s="58"/>
      <c r="K593" s="58"/>
      <c r="L593" s="58"/>
      <c r="M593" s="58"/>
    </row>
    <row r="594" spans="2:13" ht="12" x14ac:dyDescent="0.2">
      <c r="B594" s="55"/>
      <c r="C594" s="57"/>
      <c r="D594" s="57"/>
      <c r="E594" s="57"/>
      <c r="F594" s="57"/>
      <c r="G594" s="57"/>
      <c r="I594" s="55"/>
      <c r="J594" s="57"/>
      <c r="K594" s="57"/>
      <c r="L594" s="57"/>
      <c r="M594" s="57"/>
    </row>
    <row r="595" spans="2:13" ht="12" x14ac:dyDescent="0.2">
      <c r="B595" s="56"/>
      <c r="C595" s="58"/>
      <c r="D595" s="58"/>
      <c r="E595" s="58"/>
      <c r="F595" s="58"/>
      <c r="G595" s="58"/>
      <c r="I595" s="56"/>
      <c r="J595" s="58"/>
      <c r="K595" s="58"/>
      <c r="L595" s="58"/>
      <c r="M595" s="58"/>
    </row>
    <row r="596" spans="2:13" ht="12" x14ac:dyDescent="0.2">
      <c r="B596" s="55"/>
      <c r="C596" s="57"/>
      <c r="D596" s="57"/>
      <c r="E596" s="57"/>
      <c r="F596" s="57"/>
      <c r="G596" s="57"/>
      <c r="I596" s="55"/>
      <c r="J596" s="57"/>
      <c r="K596" s="57"/>
      <c r="L596" s="57"/>
      <c r="M596" s="57"/>
    </row>
    <row r="597" spans="2:13" ht="12" x14ac:dyDescent="0.2">
      <c r="B597" s="56"/>
      <c r="C597" s="58"/>
      <c r="D597" s="58"/>
      <c r="E597" s="58"/>
      <c r="F597" s="58"/>
      <c r="G597" s="58"/>
      <c r="I597" s="56"/>
      <c r="J597" s="58"/>
      <c r="K597" s="58"/>
      <c r="L597" s="58"/>
      <c r="M597" s="58"/>
    </row>
    <row r="598" spans="2:13" ht="12" x14ac:dyDescent="0.2">
      <c r="B598" s="55"/>
      <c r="C598" s="57"/>
      <c r="D598" s="57"/>
      <c r="E598" s="57"/>
      <c r="F598" s="57"/>
      <c r="G598" s="57"/>
      <c r="I598" s="55"/>
      <c r="J598" s="57"/>
      <c r="K598" s="57"/>
      <c r="L598" s="57"/>
      <c r="M598" s="57"/>
    </row>
    <row r="599" spans="2:13" ht="12" x14ac:dyDescent="0.2">
      <c r="B599" s="56"/>
      <c r="C599" s="58"/>
      <c r="D599" s="58"/>
      <c r="E599" s="58"/>
      <c r="F599" s="58"/>
      <c r="G599" s="58"/>
      <c r="I599" s="56"/>
      <c r="J599" s="58"/>
      <c r="K599" s="58"/>
      <c r="L599" s="58"/>
      <c r="M599" s="58"/>
    </row>
    <row r="600" spans="2:13" ht="12" x14ac:dyDescent="0.2">
      <c r="B600" s="55"/>
      <c r="C600" s="57"/>
      <c r="D600" s="57"/>
      <c r="E600" s="57"/>
      <c r="F600" s="57"/>
      <c r="G600" s="57"/>
      <c r="I600" s="55"/>
      <c r="J600" s="57"/>
      <c r="K600" s="57"/>
      <c r="L600" s="57"/>
      <c r="M600" s="57"/>
    </row>
    <row r="601" spans="2:13" ht="12" x14ac:dyDescent="0.2">
      <c r="B601" s="56"/>
      <c r="C601" s="58"/>
      <c r="D601" s="58"/>
      <c r="E601" s="58"/>
      <c r="F601" s="58"/>
      <c r="G601" s="58"/>
      <c r="I601" s="56"/>
      <c r="J601" s="58"/>
      <c r="K601" s="58"/>
      <c r="L601" s="58"/>
      <c r="M601" s="58"/>
    </row>
    <row r="602" spans="2:13" ht="12" x14ac:dyDescent="0.2">
      <c r="B602" s="55"/>
      <c r="C602" s="57"/>
      <c r="D602" s="57"/>
      <c r="E602" s="57"/>
      <c r="F602" s="57"/>
      <c r="G602" s="57"/>
      <c r="I602" s="55"/>
      <c r="J602" s="57"/>
      <c r="K602" s="57"/>
      <c r="L602" s="57"/>
      <c r="M602" s="57"/>
    </row>
    <row r="603" spans="2:13" ht="12" x14ac:dyDescent="0.2">
      <c r="B603" s="56"/>
      <c r="C603" s="58"/>
      <c r="D603" s="58"/>
      <c r="E603" s="58"/>
      <c r="F603" s="58"/>
      <c r="G603" s="58"/>
      <c r="I603" s="56"/>
      <c r="J603" s="58"/>
      <c r="K603" s="58"/>
      <c r="L603" s="58"/>
      <c r="M603" s="58"/>
    </row>
    <row r="604" spans="2:13" ht="12" x14ac:dyDescent="0.2">
      <c r="B604" s="55"/>
      <c r="C604" s="57"/>
      <c r="D604" s="57"/>
      <c r="E604" s="57"/>
      <c r="F604" s="57"/>
      <c r="G604" s="57"/>
      <c r="I604" s="55"/>
      <c r="J604" s="57"/>
      <c r="K604" s="57"/>
      <c r="L604" s="57"/>
      <c r="M604" s="57"/>
    </row>
    <row r="605" spans="2:13" ht="12" x14ac:dyDescent="0.2">
      <c r="B605" s="56"/>
      <c r="C605" s="58"/>
      <c r="D605" s="58"/>
      <c r="E605" s="58"/>
      <c r="F605" s="58"/>
      <c r="G605" s="58"/>
      <c r="I605" s="56"/>
      <c r="J605" s="58"/>
      <c r="K605" s="58"/>
      <c r="L605" s="58"/>
      <c r="M605" s="58"/>
    </row>
    <row r="606" spans="2:13" ht="12" x14ac:dyDescent="0.2">
      <c r="B606" s="55"/>
      <c r="C606" s="57"/>
      <c r="D606" s="57"/>
      <c r="E606" s="57"/>
      <c r="F606" s="57"/>
      <c r="G606" s="57"/>
      <c r="I606" s="55"/>
      <c r="J606" s="57"/>
      <c r="K606" s="57"/>
      <c r="L606" s="57"/>
      <c r="M606" s="57"/>
    </row>
    <row r="607" spans="2:13" ht="12" x14ac:dyDescent="0.2">
      <c r="B607" s="56"/>
      <c r="C607" s="58"/>
      <c r="D607" s="58"/>
      <c r="E607" s="58"/>
      <c r="F607" s="58"/>
      <c r="G607" s="58"/>
      <c r="I607" s="56"/>
      <c r="J607" s="58"/>
      <c r="K607" s="58"/>
      <c r="L607" s="58"/>
      <c r="M607" s="58"/>
    </row>
    <row r="608" spans="2:13" ht="12" x14ac:dyDescent="0.2">
      <c r="B608" s="55"/>
      <c r="C608" s="57"/>
      <c r="D608" s="57"/>
      <c r="E608" s="57"/>
      <c r="F608" s="57"/>
      <c r="G608" s="57"/>
      <c r="I608" s="55"/>
      <c r="J608" s="57"/>
      <c r="K608" s="57"/>
      <c r="L608" s="57"/>
      <c r="M608" s="57"/>
    </row>
    <row r="609" spans="2:13" ht="12" x14ac:dyDescent="0.2">
      <c r="B609" s="56"/>
      <c r="C609" s="58"/>
      <c r="D609" s="58"/>
      <c r="E609" s="58"/>
      <c r="F609" s="58"/>
      <c r="G609" s="58"/>
      <c r="I609" s="56"/>
      <c r="J609" s="58"/>
      <c r="K609" s="58"/>
      <c r="L609" s="58"/>
      <c r="M609" s="58"/>
    </row>
    <row r="610" spans="2:13" ht="12" x14ac:dyDescent="0.2">
      <c r="B610" s="55"/>
      <c r="C610" s="57"/>
      <c r="D610" s="57"/>
      <c r="E610" s="57"/>
      <c r="F610" s="57"/>
      <c r="G610" s="57"/>
      <c r="I610" s="55"/>
      <c r="J610" s="57"/>
      <c r="K610" s="57"/>
      <c r="L610" s="57"/>
      <c r="M610" s="57"/>
    </row>
    <row r="611" spans="2:13" ht="12" x14ac:dyDescent="0.2">
      <c r="B611" s="56"/>
      <c r="C611" s="58"/>
      <c r="D611" s="58"/>
      <c r="E611" s="58"/>
      <c r="F611" s="58"/>
      <c r="G611" s="58"/>
      <c r="I611" s="56"/>
      <c r="J611" s="58"/>
      <c r="K611" s="58"/>
      <c r="L611" s="58"/>
      <c r="M611" s="58"/>
    </row>
    <row r="612" spans="2:13" ht="12" x14ac:dyDescent="0.2">
      <c r="B612" s="55"/>
      <c r="C612" s="57"/>
      <c r="D612" s="57"/>
      <c r="E612" s="57"/>
      <c r="F612" s="57"/>
      <c r="G612" s="57"/>
      <c r="I612" s="55"/>
      <c r="J612" s="57"/>
      <c r="K612" s="57"/>
      <c r="L612" s="57"/>
      <c r="M612" s="57"/>
    </row>
    <row r="613" spans="2:13" ht="12" x14ac:dyDescent="0.2">
      <c r="B613" s="56"/>
      <c r="C613" s="58"/>
      <c r="D613" s="58"/>
      <c r="E613" s="58"/>
      <c r="F613" s="58"/>
      <c r="G613" s="58"/>
      <c r="I613" s="56"/>
      <c r="J613" s="58"/>
      <c r="K613" s="58"/>
      <c r="L613" s="58"/>
      <c r="M613" s="58"/>
    </row>
    <row r="614" spans="2:13" ht="12" x14ac:dyDescent="0.2">
      <c r="B614" s="55"/>
      <c r="C614" s="57"/>
      <c r="D614" s="57"/>
      <c r="E614" s="57"/>
      <c r="F614" s="57"/>
      <c r="G614" s="57"/>
      <c r="I614" s="55"/>
      <c r="J614" s="57"/>
      <c r="K614" s="57"/>
      <c r="L614" s="57"/>
      <c r="M614" s="57"/>
    </row>
    <row r="615" spans="2:13" ht="12" x14ac:dyDescent="0.2">
      <c r="B615" s="56"/>
      <c r="C615" s="58"/>
      <c r="D615" s="58"/>
      <c r="E615" s="58"/>
      <c r="F615" s="58"/>
      <c r="G615" s="58"/>
      <c r="I615" s="56"/>
      <c r="J615" s="58"/>
      <c r="K615" s="58"/>
      <c r="L615" s="58"/>
      <c r="M615" s="58"/>
    </row>
    <row r="616" spans="2:13" ht="12" x14ac:dyDescent="0.2">
      <c r="B616" s="55"/>
      <c r="C616" s="57"/>
      <c r="D616" s="57"/>
      <c r="E616" s="57"/>
      <c r="F616" s="57"/>
      <c r="G616" s="57"/>
      <c r="I616" s="55"/>
      <c r="J616" s="57"/>
      <c r="K616" s="57"/>
      <c r="L616" s="57"/>
      <c r="M616" s="57"/>
    </row>
    <row r="617" spans="2:13" ht="12" x14ac:dyDescent="0.2">
      <c r="B617" s="56"/>
      <c r="C617" s="58"/>
      <c r="D617" s="58"/>
      <c r="E617" s="58"/>
      <c r="F617" s="58"/>
      <c r="G617" s="58"/>
      <c r="I617" s="56"/>
      <c r="J617" s="58"/>
      <c r="K617" s="58"/>
      <c r="L617" s="58"/>
      <c r="M617" s="58"/>
    </row>
    <row r="618" spans="2:13" ht="12" x14ac:dyDescent="0.2">
      <c r="B618" s="55"/>
      <c r="C618" s="57"/>
      <c r="D618" s="57"/>
      <c r="E618" s="57"/>
      <c r="F618" s="57"/>
      <c r="G618" s="57"/>
      <c r="I618" s="55"/>
      <c r="J618" s="57"/>
      <c r="K618" s="57"/>
      <c r="L618" s="57"/>
      <c r="M618" s="57"/>
    </row>
    <row r="619" spans="2:13" ht="12" x14ac:dyDescent="0.2">
      <c r="B619" s="56"/>
      <c r="C619" s="58"/>
      <c r="D619" s="58"/>
      <c r="E619" s="58"/>
      <c r="F619" s="58"/>
      <c r="G619" s="58"/>
      <c r="I619" s="56"/>
      <c r="J619" s="58"/>
      <c r="K619" s="58"/>
      <c r="L619" s="58"/>
      <c r="M619" s="58"/>
    </row>
    <row r="620" spans="2:13" ht="12" x14ac:dyDescent="0.2">
      <c r="B620" s="55"/>
      <c r="C620" s="57"/>
      <c r="D620" s="57"/>
      <c r="E620" s="57"/>
      <c r="F620" s="57"/>
      <c r="G620" s="57"/>
      <c r="I620" s="55"/>
      <c r="J620" s="57"/>
      <c r="K620" s="57"/>
      <c r="L620" s="57"/>
      <c r="M620" s="57"/>
    </row>
    <row r="621" spans="2:13" ht="12" x14ac:dyDescent="0.2">
      <c r="B621" s="56"/>
      <c r="C621" s="58"/>
      <c r="D621" s="58"/>
      <c r="E621" s="58"/>
      <c r="F621" s="58"/>
      <c r="G621" s="58"/>
      <c r="I621" s="56"/>
      <c r="J621" s="58"/>
      <c r="K621" s="58"/>
      <c r="L621" s="58"/>
      <c r="M621" s="58"/>
    </row>
    <row r="622" spans="2:13" ht="12" x14ac:dyDescent="0.2">
      <c r="B622" s="55"/>
      <c r="C622" s="57"/>
      <c r="D622" s="57"/>
      <c r="E622" s="57"/>
      <c r="F622" s="57"/>
      <c r="G622" s="57"/>
      <c r="I622" s="55"/>
      <c r="J622" s="57"/>
      <c r="K622" s="57"/>
      <c r="L622" s="57"/>
      <c r="M622" s="57"/>
    </row>
    <row r="623" spans="2:13" ht="12" x14ac:dyDescent="0.2">
      <c r="B623" s="56"/>
      <c r="C623" s="58"/>
      <c r="D623" s="58"/>
      <c r="E623" s="58"/>
      <c r="F623" s="58"/>
      <c r="G623" s="58"/>
      <c r="I623" s="56"/>
      <c r="J623" s="58"/>
      <c r="K623" s="58"/>
      <c r="L623" s="58"/>
      <c r="M623" s="58"/>
    </row>
    <row r="624" spans="2:13" ht="12" x14ac:dyDescent="0.2">
      <c r="B624" s="55"/>
      <c r="C624" s="57"/>
      <c r="D624" s="57"/>
      <c r="E624" s="57"/>
      <c r="F624" s="57"/>
      <c r="G624" s="57"/>
      <c r="I624" s="55"/>
      <c r="J624" s="57"/>
      <c r="K624" s="57"/>
      <c r="L624" s="57"/>
      <c r="M624" s="57"/>
    </row>
    <row r="625" spans="2:13" ht="12" x14ac:dyDescent="0.2">
      <c r="B625" s="56"/>
      <c r="C625" s="58"/>
      <c r="D625" s="58"/>
      <c r="E625" s="58"/>
      <c r="F625" s="58"/>
      <c r="G625" s="58"/>
      <c r="I625" s="56"/>
      <c r="J625" s="58"/>
      <c r="K625" s="58"/>
      <c r="L625" s="58"/>
      <c r="M625" s="58"/>
    </row>
    <row r="626" spans="2:13" ht="12" x14ac:dyDescent="0.2">
      <c r="B626" s="55"/>
      <c r="C626" s="57"/>
      <c r="D626" s="57"/>
      <c r="E626" s="57"/>
      <c r="F626" s="57"/>
      <c r="G626" s="57"/>
      <c r="I626" s="55"/>
      <c r="J626" s="57"/>
      <c r="K626" s="57"/>
      <c r="L626" s="57"/>
      <c r="M626" s="57"/>
    </row>
    <row r="627" spans="2:13" ht="12" x14ac:dyDescent="0.2">
      <c r="B627" s="56"/>
      <c r="C627" s="58"/>
      <c r="D627" s="58"/>
      <c r="E627" s="58"/>
      <c r="F627" s="58"/>
      <c r="G627" s="58"/>
      <c r="I627" s="56"/>
      <c r="J627" s="58"/>
      <c r="K627" s="58"/>
      <c r="L627" s="58"/>
      <c r="M627" s="58"/>
    </row>
    <row r="628" spans="2:13" ht="12" x14ac:dyDescent="0.2">
      <c r="B628" s="55"/>
      <c r="C628" s="57"/>
      <c r="D628" s="57"/>
      <c r="E628" s="57"/>
      <c r="F628" s="57"/>
      <c r="G628" s="57"/>
      <c r="I628" s="55"/>
      <c r="J628" s="57"/>
      <c r="K628" s="57"/>
      <c r="L628" s="57"/>
      <c r="M628" s="57"/>
    </row>
    <row r="629" spans="2:13" ht="12" x14ac:dyDescent="0.2">
      <c r="B629" s="56"/>
      <c r="C629" s="58"/>
      <c r="D629" s="58"/>
      <c r="E629" s="58"/>
      <c r="F629" s="58"/>
      <c r="G629" s="58"/>
      <c r="I629" s="56"/>
      <c r="J629" s="58"/>
      <c r="K629" s="58"/>
      <c r="L629" s="58"/>
      <c r="M629" s="58"/>
    </row>
    <row r="630" spans="2:13" ht="12" x14ac:dyDescent="0.2">
      <c r="B630" s="55"/>
      <c r="C630" s="57"/>
      <c r="D630" s="57"/>
      <c r="E630" s="57"/>
      <c r="F630" s="57"/>
      <c r="G630" s="57"/>
      <c r="I630" s="55"/>
      <c r="J630" s="57"/>
      <c r="K630" s="57"/>
      <c r="L630" s="57"/>
      <c r="M630" s="57"/>
    </row>
    <row r="631" spans="2:13" ht="12" x14ac:dyDescent="0.2">
      <c r="B631" s="56"/>
      <c r="C631" s="58"/>
      <c r="D631" s="58"/>
      <c r="E631" s="58"/>
      <c r="F631" s="58"/>
      <c r="G631" s="58"/>
      <c r="I631" s="56"/>
      <c r="J631" s="58"/>
      <c r="K631" s="58"/>
      <c r="L631" s="58"/>
      <c r="M631" s="58"/>
    </row>
    <row r="632" spans="2:13" ht="12" x14ac:dyDescent="0.2">
      <c r="B632" s="55"/>
      <c r="C632" s="57"/>
      <c r="D632" s="57"/>
      <c r="E632" s="57"/>
      <c r="F632" s="57"/>
      <c r="G632" s="57"/>
      <c r="I632" s="55"/>
      <c r="J632" s="57"/>
      <c r="K632" s="57"/>
      <c r="L632" s="57"/>
      <c r="M632" s="57"/>
    </row>
    <row r="633" spans="2:13" ht="12" x14ac:dyDescent="0.2">
      <c r="B633" s="56"/>
      <c r="C633" s="58"/>
      <c r="D633" s="58"/>
      <c r="E633" s="58"/>
      <c r="F633" s="58"/>
      <c r="G633" s="58"/>
      <c r="I633" s="56"/>
      <c r="J633" s="58"/>
      <c r="K633" s="58"/>
      <c r="L633" s="58"/>
      <c r="M633" s="58"/>
    </row>
    <row r="634" spans="2:13" ht="12" x14ac:dyDescent="0.2">
      <c r="B634" s="55"/>
      <c r="C634" s="57"/>
      <c r="D634" s="57"/>
      <c r="E634" s="57"/>
      <c r="F634" s="57"/>
      <c r="G634" s="57"/>
      <c r="I634" s="55"/>
      <c r="J634" s="57"/>
      <c r="K634" s="57"/>
      <c r="L634" s="57"/>
      <c r="M634" s="57"/>
    </row>
    <row r="635" spans="2:13" ht="12" x14ac:dyDescent="0.2">
      <c r="B635" s="56"/>
      <c r="C635" s="58"/>
      <c r="D635" s="58"/>
      <c r="E635" s="58"/>
      <c r="F635" s="58"/>
      <c r="G635" s="58"/>
      <c r="I635" s="56"/>
      <c r="J635" s="58"/>
      <c r="K635" s="58"/>
      <c r="L635" s="58"/>
      <c r="M635" s="58"/>
    </row>
    <row r="636" spans="2:13" ht="12" x14ac:dyDescent="0.2">
      <c r="B636" s="55"/>
      <c r="C636" s="57"/>
      <c r="D636" s="57"/>
      <c r="E636" s="57"/>
      <c r="F636" s="57"/>
      <c r="G636" s="57"/>
      <c r="I636" s="55"/>
      <c r="J636" s="57"/>
      <c r="K636" s="57"/>
      <c r="L636" s="57"/>
      <c r="M636" s="57"/>
    </row>
    <row r="637" spans="2:13" ht="12" x14ac:dyDescent="0.2">
      <c r="B637" s="56"/>
      <c r="C637" s="58"/>
      <c r="D637" s="58"/>
      <c r="E637" s="58"/>
      <c r="F637" s="58"/>
      <c r="G637" s="58"/>
      <c r="I637" s="56"/>
      <c r="J637" s="58"/>
      <c r="K637" s="58"/>
      <c r="L637" s="58"/>
      <c r="M637" s="58"/>
    </row>
    <row r="638" spans="2:13" ht="12" x14ac:dyDescent="0.2">
      <c r="B638" s="55"/>
      <c r="C638" s="57"/>
      <c r="D638" s="57"/>
      <c r="E638" s="57"/>
      <c r="F638" s="57"/>
      <c r="G638" s="57"/>
      <c r="I638" s="55"/>
      <c r="J638" s="57"/>
      <c r="K638" s="57"/>
      <c r="L638" s="57"/>
      <c r="M638" s="57"/>
    </row>
    <row r="639" spans="2:13" ht="12" x14ac:dyDescent="0.2">
      <c r="B639" s="56"/>
      <c r="C639" s="58"/>
      <c r="D639" s="58"/>
      <c r="E639" s="58"/>
      <c r="F639" s="58"/>
      <c r="G639" s="58"/>
      <c r="I639" s="56"/>
      <c r="J639" s="58"/>
      <c r="K639" s="58"/>
      <c r="L639" s="58"/>
      <c r="M639" s="58"/>
    </row>
    <row r="640" spans="2:13" ht="12" x14ac:dyDescent="0.2">
      <c r="B640" s="55"/>
      <c r="C640" s="57"/>
      <c r="D640" s="57"/>
      <c r="E640" s="57"/>
      <c r="F640" s="57"/>
      <c r="G640" s="57"/>
      <c r="I640" s="55"/>
      <c r="J640" s="57"/>
      <c r="K640" s="57"/>
      <c r="L640" s="57"/>
      <c r="M640" s="57"/>
    </row>
    <row r="641" spans="2:13" ht="12" x14ac:dyDescent="0.2">
      <c r="B641" s="56"/>
      <c r="C641" s="58"/>
      <c r="D641" s="58"/>
      <c r="E641" s="58"/>
      <c r="F641" s="58"/>
      <c r="G641" s="58"/>
      <c r="I641" s="56"/>
      <c r="J641" s="58"/>
      <c r="K641" s="58"/>
      <c r="L641" s="58"/>
      <c r="M641" s="58"/>
    </row>
    <row r="642" spans="2:13" ht="12" x14ac:dyDescent="0.2">
      <c r="B642" s="55"/>
      <c r="C642" s="57"/>
      <c r="D642" s="57"/>
      <c r="E642" s="57"/>
      <c r="F642" s="57"/>
      <c r="G642" s="57"/>
      <c r="I642" s="55"/>
      <c r="J642" s="57"/>
      <c r="K642" s="57"/>
      <c r="L642" s="57"/>
      <c r="M642" s="57"/>
    </row>
    <row r="643" spans="2:13" ht="12" x14ac:dyDescent="0.2">
      <c r="B643" s="56"/>
      <c r="C643" s="58"/>
      <c r="D643" s="58"/>
      <c r="E643" s="58"/>
      <c r="F643" s="58"/>
      <c r="G643" s="58"/>
      <c r="I643" s="56"/>
      <c r="J643" s="58"/>
      <c r="K643" s="58"/>
      <c r="L643" s="58"/>
      <c r="M643" s="58"/>
    </row>
    <row r="644" spans="2:13" ht="12" x14ac:dyDescent="0.2">
      <c r="B644" s="55"/>
      <c r="C644" s="57"/>
      <c r="D644" s="57"/>
      <c r="E644" s="57"/>
      <c r="F644" s="57"/>
      <c r="G644" s="57"/>
      <c r="I644" s="55"/>
      <c r="J644" s="57"/>
      <c r="K644" s="57"/>
      <c r="L644" s="57"/>
      <c r="M644" s="57"/>
    </row>
    <row r="645" spans="2:13" ht="12" x14ac:dyDescent="0.2">
      <c r="B645" s="56"/>
      <c r="C645" s="58"/>
      <c r="D645" s="58"/>
      <c r="E645" s="58"/>
      <c r="F645" s="58"/>
      <c r="G645" s="58"/>
      <c r="I645" s="56"/>
      <c r="J645" s="58"/>
      <c r="K645" s="58"/>
      <c r="L645" s="58"/>
      <c r="M645" s="58"/>
    </row>
    <row r="646" spans="2:13" ht="12" x14ac:dyDescent="0.2">
      <c r="B646" s="55"/>
      <c r="C646" s="57"/>
      <c r="D646" s="57"/>
      <c r="E646" s="57"/>
      <c r="F646" s="57"/>
      <c r="G646" s="57"/>
      <c r="I646" s="55"/>
      <c r="J646" s="57"/>
      <c r="K646" s="57"/>
      <c r="L646" s="57"/>
      <c r="M646" s="57"/>
    </row>
    <row r="647" spans="2:13" ht="12" x14ac:dyDescent="0.2">
      <c r="B647" s="56"/>
      <c r="C647" s="58"/>
      <c r="D647" s="58"/>
      <c r="E647" s="58"/>
      <c r="F647" s="58"/>
      <c r="G647" s="58"/>
      <c r="I647" s="56"/>
      <c r="J647" s="58"/>
      <c r="K647" s="58"/>
      <c r="L647" s="58"/>
      <c r="M647" s="58"/>
    </row>
    <row r="648" spans="2:13" ht="12" x14ac:dyDescent="0.2">
      <c r="B648" s="55"/>
      <c r="C648" s="57"/>
      <c r="D648" s="57"/>
      <c r="E648" s="57"/>
      <c r="F648" s="57"/>
      <c r="G648" s="57"/>
      <c r="I648" s="55"/>
      <c r="J648" s="57"/>
      <c r="K648" s="57"/>
      <c r="L648" s="57"/>
      <c r="M648" s="57"/>
    </row>
    <row r="649" spans="2:13" ht="12" x14ac:dyDescent="0.2">
      <c r="B649" s="56"/>
      <c r="C649" s="58"/>
      <c r="D649" s="58"/>
      <c r="E649" s="58"/>
      <c r="F649" s="58"/>
      <c r="G649" s="58"/>
      <c r="I649" s="56"/>
      <c r="J649" s="58"/>
      <c r="K649" s="58"/>
      <c r="L649" s="58"/>
      <c r="M649" s="58"/>
    </row>
    <row r="650" spans="2:13" ht="12" x14ac:dyDescent="0.2">
      <c r="B650" s="55"/>
      <c r="C650" s="57"/>
      <c r="D650" s="57"/>
      <c r="E650" s="57"/>
      <c r="F650" s="57"/>
      <c r="G650" s="57"/>
      <c r="I650" s="55"/>
      <c r="J650" s="57"/>
      <c r="K650" s="57"/>
      <c r="L650" s="57"/>
      <c r="M650" s="57"/>
    </row>
    <row r="651" spans="2:13" ht="12" x14ac:dyDescent="0.2">
      <c r="B651" s="56"/>
      <c r="C651" s="58"/>
      <c r="D651" s="58"/>
      <c r="E651" s="58"/>
      <c r="F651" s="58"/>
      <c r="G651" s="58"/>
      <c r="I651" s="56"/>
      <c r="J651" s="58"/>
      <c r="K651" s="58"/>
      <c r="L651" s="58"/>
      <c r="M651" s="58"/>
    </row>
    <row r="652" spans="2:13" ht="12" x14ac:dyDescent="0.2">
      <c r="B652" s="55"/>
      <c r="C652" s="57"/>
      <c r="D652" s="57"/>
      <c r="E652" s="57"/>
      <c r="F652" s="57"/>
      <c r="G652" s="57"/>
      <c r="I652" s="55"/>
      <c r="J652" s="57"/>
      <c r="K652" s="57"/>
      <c r="L652" s="57"/>
      <c r="M652" s="57"/>
    </row>
    <row r="653" spans="2:13" ht="12" x14ac:dyDescent="0.2">
      <c r="B653" s="56"/>
      <c r="C653" s="58"/>
      <c r="D653" s="58"/>
      <c r="E653" s="58"/>
      <c r="F653" s="58"/>
      <c r="G653" s="58"/>
      <c r="I653" s="56"/>
      <c r="J653" s="58"/>
      <c r="K653" s="58"/>
      <c r="L653" s="58"/>
      <c r="M653" s="58"/>
    </row>
    <row r="654" spans="2:13" ht="12" x14ac:dyDescent="0.2">
      <c r="B654" s="55"/>
      <c r="C654" s="57"/>
      <c r="D654" s="57"/>
      <c r="E654" s="57"/>
      <c r="F654" s="57"/>
      <c r="G654" s="57"/>
      <c r="I654" s="55"/>
      <c r="J654" s="57"/>
      <c r="K654" s="57"/>
      <c r="L654" s="57"/>
      <c r="M654" s="57"/>
    </row>
    <row r="655" spans="2:13" ht="12" x14ac:dyDescent="0.2">
      <c r="B655" s="56"/>
      <c r="C655" s="58"/>
      <c r="D655" s="58"/>
      <c r="E655" s="58"/>
      <c r="F655" s="58"/>
      <c r="G655" s="58"/>
      <c r="I655" s="56"/>
      <c r="J655" s="58"/>
      <c r="K655" s="58"/>
      <c r="L655" s="58"/>
      <c r="M655" s="58"/>
    </row>
    <row r="656" spans="2:13" ht="12" x14ac:dyDescent="0.2">
      <c r="B656" s="55"/>
      <c r="C656" s="57"/>
      <c r="D656" s="57"/>
      <c r="E656" s="57"/>
      <c r="F656" s="57"/>
      <c r="G656" s="57"/>
      <c r="I656" s="55"/>
      <c r="J656" s="57"/>
      <c r="K656" s="57"/>
      <c r="L656" s="57"/>
      <c r="M656" s="57"/>
    </row>
    <row r="657" spans="2:13" ht="12" x14ac:dyDescent="0.2">
      <c r="B657" s="56"/>
      <c r="C657" s="58"/>
      <c r="D657" s="58"/>
      <c r="E657" s="58"/>
      <c r="F657" s="58"/>
      <c r="G657" s="58"/>
      <c r="I657" s="56"/>
      <c r="J657" s="58"/>
      <c r="K657" s="58"/>
      <c r="L657" s="58"/>
      <c r="M657" s="58"/>
    </row>
    <row r="658" spans="2:13" ht="12" x14ac:dyDescent="0.2">
      <c r="B658" s="55"/>
      <c r="C658" s="57"/>
      <c r="D658" s="57"/>
      <c r="E658" s="57"/>
      <c r="F658" s="57"/>
      <c r="G658" s="57"/>
      <c r="I658" s="55"/>
      <c r="J658" s="57"/>
      <c r="K658" s="57"/>
      <c r="L658" s="57"/>
      <c r="M658" s="57"/>
    </row>
    <row r="659" spans="2:13" ht="12" x14ac:dyDescent="0.2">
      <c r="B659" s="56"/>
      <c r="C659" s="58"/>
      <c r="D659" s="58"/>
      <c r="E659" s="58"/>
      <c r="F659" s="58"/>
      <c r="G659" s="58"/>
      <c r="I659" s="56"/>
      <c r="J659" s="58"/>
      <c r="K659" s="58"/>
      <c r="L659" s="58"/>
      <c r="M659" s="58"/>
    </row>
    <row r="660" spans="2:13" ht="12" x14ac:dyDescent="0.2">
      <c r="B660" s="55"/>
      <c r="C660" s="57"/>
      <c r="D660" s="57"/>
      <c r="E660" s="57"/>
      <c r="F660" s="57"/>
      <c r="G660" s="57"/>
      <c r="I660" s="55"/>
      <c r="J660" s="57"/>
      <c r="K660" s="57"/>
      <c r="L660" s="57"/>
      <c r="M660" s="57"/>
    </row>
    <row r="661" spans="2:13" ht="12" x14ac:dyDescent="0.2">
      <c r="B661" s="56"/>
      <c r="C661" s="58"/>
      <c r="D661" s="58"/>
      <c r="E661" s="58"/>
      <c r="F661" s="58"/>
      <c r="G661" s="58"/>
      <c r="I661" s="56"/>
      <c r="J661" s="58"/>
      <c r="K661" s="58"/>
      <c r="L661" s="58"/>
      <c r="M661" s="58"/>
    </row>
    <row r="662" spans="2:13" ht="12" x14ac:dyDescent="0.2">
      <c r="B662" s="55"/>
      <c r="C662" s="57"/>
      <c r="D662" s="57"/>
      <c r="E662" s="57"/>
      <c r="F662" s="57"/>
      <c r="G662" s="57"/>
      <c r="I662" s="55"/>
      <c r="J662" s="57"/>
      <c r="K662" s="57"/>
      <c r="L662" s="57"/>
      <c r="M662" s="57"/>
    </row>
    <row r="663" spans="2:13" ht="12" x14ac:dyDescent="0.2">
      <c r="B663" s="56"/>
      <c r="C663" s="58"/>
      <c r="D663" s="58"/>
      <c r="E663" s="58"/>
      <c r="F663" s="58"/>
      <c r="G663" s="58"/>
      <c r="I663" s="56"/>
      <c r="J663" s="58"/>
      <c r="K663" s="58"/>
      <c r="L663" s="58"/>
      <c r="M663" s="58"/>
    </row>
    <row r="664" spans="2:13" ht="12" x14ac:dyDescent="0.2">
      <c r="B664" s="55"/>
      <c r="C664" s="57"/>
      <c r="D664" s="57"/>
      <c r="E664" s="57"/>
      <c r="F664" s="57"/>
      <c r="G664" s="57"/>
      <c r="I664" s="55"/>
      <c r="J664" s="57"/>
      <c r="K664" s="57"/>
      <c r="L664" s="57"/>
      <c r="M664" s="57"/>
    </row>
    <row r="665" spans="2:13" ht="12" x14ac:dyDescent="0.2">
      <c r="B665" s="56"/>
      <c r="C665" s="58"/>
      <c r="D665" s="58"/>
      <c r="E665" s="58"/>
      <c r="F665" s="58"/>
      <c r="G665" s="58"/>
      <c r="I665" s="56"/>
      <c r="J665" s="58"/>
      <c r="K665" s="58"/>
      <c r="L665" s="58"/>
      <c r="M665" s="58"/>
    </row>
    <row r="666" spans="2:13" ht="12" x14ac:dyDescent="0.2">
      <c r="B666" s="55"/>
      <c r="C666" s="57"/>
      <c r="D666" s="57"/>
      <c r="E666" s="57"/>
      <c r="F666" s="57"/>
      <c r="G666" s="57"/>
      <c r="I666" s="55"/>
      <c r="J666" s="57"/>
      <c r="K666" s="57"/>
      <c r="L666" s="57"/>
      <c r="M666" s="57"/>
    </row>
    <row r="667" spans="2:13" ht="12" x14ac:dyDescent="0.2">
      <c r="B667" s="56"/>
      <c r="C667" s="58"/>
      <c r="D667" s="58"/>
      <c r="E667" s="58"/>
      <c r="F667" s="58"/>
      <c r="G667" s="58"/>
      <c r="I667" s="56"/>
      <c r="J667" s="58"/>
      <c r="K667" s="58"/>
      <c r="L667" s="58"/>
      <c r="M667" s="58"/>
    </row>
    <row r="668" spans="2:13" ht="12" x14ac:dyDescent="0.2">
      <c r="B668" s="55"/>
      <c r="C668" s="57"/>
      <c r="D668" s="57"/>
      <c r="E668" s="57"/>
      <c r="F668" s="57"/>
      <c r="G668" s="57"/>
      <c r="I668" s="55"/>
      <c r="J668" s="57"/>
      <c r="K668" s="57"/>
      <c r="L668" s="57"/>
      <c r="M668" s="57"/>
    </row>
    <row r="669" spans="2:13" ht="12" x14ac:dyDescent="0.2">
      <c r="B669" s="56"/>
      <c r="C669" s="58"/>
      <c r="D669" s="58"/>
      <c r="E669" s="58"/>
      <c r="F669" s="58"/>
      <c r="G669" s="58"/>
      <c r="I669" s="56"/>
      <c r="J669" s="58"/>
      <c r="K669" s="58"/>
      <c r="L669" s="58"/>
      <c r="M669" s="58"/>
    </row>
    <row r="670" spans="2:13" ht="12" x14ac:dyDescent="0.2">
      <c r="B670" s="55"/>
      <c r="C670" s="57"/>
      <c r="D670" s="57"/>
      <c r="E670" s="57"/>
      <c r="F670" s="57"/>
      <c r="G670" s="57"/>
      <c r="I670" s="55"/>
      <c r="J670" s="57"/>
      <c r="K670" s="57"/>
      <c r="L670" s="57"/>
      <c r="M670" s="57"/>
    </row>
    <row r="671" spans="2:13" ht="12" x14ac:dyDescent="0.2">
      <c r="B671" s="56"/>
      <c r="C671" s="58"/>
      <c r="D671" s="58"/>
      <c r="E671" s="58"/>
      <c r="F671" s="58"/>
      <c r="G671" s="58"/>
      <c r="I671" s="56"/>
      <c r="J671" s="58"/>
      <c r="K671" s="58"/>
      <c r="L671" s="58"/>
      <c r="M671" s="58"/>
    </row>
    <row r="672" spans="2:13" ht="12" x14ac:dyDescent="0.2">
      <c r="B672" s="55"/>
      <c r="C672" s="57"/>
      <c r="D672" s="57"/>
      <c r="E672" s="57"/>
      <c r="F672" s="57"/>
      <c r="G672" s="57"/>
      <c r="I672" s="55"/>
      <c r="J672" s="57"/>
      <c r="K672" s="57"/>
      <c r="L672" s="57"/>
      <c r="M672" s="57"/>
    </row>
    <row r="673" spans="2:13" ht="12" x14ac:dyDescent="0.2">
      <c r="B673" s="56"/>
      <c r="C673" s="58"/>
      <c r="D673" s="58"/>
      <c r="E673" s="58"/>
      <c r="F673" s="58"/>
      <c r="G673" s="58"/>
      <c r="I673" s="56"/>
      <c r="J673" s="58"/>
      <c r="K673" s="58"/>
      <c r="L673" s="58"/>
      <c r="M673" s="58"/>
    </row>
    <row r="674" spans="2:13" ht="12" x14ac:dyDescent="0.2">
      <c r="B674" s="55"/>
      <c r="C674" s="57"/>
      <c r="D674" s="57"/>
      <c r="E674" s="57"/>
      <c r="F674" s="57"/>
      <c r="G674" s="57"/>
      <c r="I674" s="55"/>
      <c r="J674" s="57"/>
      <c r="K674" s="57"/>
      <c r="L674" s="57"/>
      <c r="M674" s="57"/>
    </row>
    <row r="675" spans="2:13" ht="12" x14ac:dyDescent="0.2">
      <c r="B675" s="56"/>
      <c r="C675" s="58"/>
      <c r="D675" s="58"/>
      <c r="E675" s="58"/>
      <c r="F675" s="58"/>
      <c r="G675" s="58"/>
      <c r="I675" s="56"/>
      <c r="J675" s="58"/>
      <c r="K675" s="58"/>
      <c r="L675" s="58"/>
      <c r="M675" s="58"/>
    </row>
    <row r="676" spans="2:13" ht="12" x14ac:dyDescent="0.2">
      <c r="B676" s="55"/>
      <c r="C676" s="57"/>
      <c r="D676" s="57"/>
      <c r="E676" s="57"/>
      <c r="F676" s="57"/>
      <c r="G676" s="57"/>
      <c r="I676" s="55"/>
      <c r="J676" s="57"/>
      <c r="K676" s="57"/>
      <c r="L676" s="57"/>
      <c r="M676" s="57"/>
    </row>
    <row r="677" spans="2:13" ht="12" x14ac:dyDescent="0.2">
      <c r="B677" s="56"/>
      <c r="C677" s="58"/>
      <c r="D677" s="58"/>
      <c r="E677" s="58"/>
      <c r="F677" s="58"/>
      <c r="G677" s="58"/>
      <c r="I677" s="56"/>
      <c r="J677" s="58"/>
      <c r="K677" s="58"/>
      <c r="L677" s="58"/>
      <c r="M677" s="58"/>
    </row>
    <row r="678" spans="2:13" ht="12" x14ac:dyDescent="0.2">
      <c r="B678" s="55"/>
      <c r="C678" s="57"/>
      <c r="D678" s="57"/>
      <c r="E678" s="57"/>
      <c r="F678" s="57"/>
      <c r="G678" s="57"/>
      <c r="I678" s="55"/>
      <c r="J678" s="57"/>
      <c r="K678" s="57"/>
      <c r="L678" s="57"/>
      <c r="M678" s="57"/>
    </row>
    <row r="679" spans="2:13" ht="12" x14ac:dyDescent="0.2">
      <c r="B679" s="56"/>
      <c r="C679" s="58"/>
      <c r="D679" s="58"/>
      <c r="E679" s="58"/>
      <c r="F679" s="58"/>
      <c r="G679" s="58"/>
      <c r="I679" s="56"/>
      <c r="J679" s="58"/>
      <c r="K679" s="58"/>
      <c r="L679" s="58"/>
      <c r="M679" s="58"/>
    </row>
    <row r="680" spans="2:13" ht="12" x14ac:dyDescent="0.2">
      <c r="B680" s="55"/>
      <c r="C680" s="57"/>
      <c r="D680" s="57"/>
      <c r="E680" s="57"/>
      <c r="F680" s="57"/>
      <c r="G680" s="57"/>
      <c r="I680" s="55"/>
      <c r="J680" s="57"/>
      <c r="K680" s="57"/>
      <c r="L680" s="57"/>
      <c r="M680" s="57"/>
    </row>
    <row r="681" spans="2:13" ht="12" x14ac:dyDescent="0.2">
      <c r="B681" s="56"/>
      <c r="C681" s="58"/>
      <c r="D681" s="58"/>
      <c r="E681" s="58"/>
      <c r="F681" s="58"/>
      <c r="G681" s="58"/>
      <c r="I681" s="56"/>
      <c r="J681" s="58"/>
      <c r="K681" s="58"/>
      <c r="L681" s="58"/>
      <c r="M681" s="58"/>
    </row>
    <row r="682" spans="2:13" ht="12" x14ac:dyDescent="0.2">
      <c r="B682" s="55"/>
      <c r="C682" s="57"/>
      <c r="D682" s="57"/>
      <c r="E682" s="57"/>
      <c r="F682" s="57"/>
      <c r="G682" s="57"/>
      <c r="I682" s="55"/>
      <c r="J682" s="57"/>
      <c r="K682" s="57"/>
      <c r="L682" s="57"/>
      <c r="M682" s="57"/>
    </row>
    <row r="683" spans="2:13" ht="12" x14ac:dyDescent="0.2">
      <c r="B683" s="56"/>
      <c r="C683" s="58"/>
      <c r="D683" s="58"/>
      <c r="E683" s="58"/>
      <c r="F683" s="58"/>
      <c r="G683" s="58"/>
      <c r="I683" s="56"/>
      <c r="J683" s="58"/>
      <c r="K683" s="58"/>
      <c r="L683" s="58"/>
      <c r="M683" s="58"/>
    </row>
    <row r="684" spans="2:13" ht="12" x14ac:dyDescent="0.2">
      <c r="B684" s="55"/>
      <c r="C684" s="57"/>
      <c r="D684" s="57"/>
      <c r="E684" s="57"/>
      <c r="F684" s="57"/>
      <c r="G684" s="57"/>
      <c r="I684" s="55"/>
      <c r="J684" s="57"/>
      <c r="K684" s="57"/>
      <c r="L684" s="57"/>
      <c r="M684" s="57"/>
    </row>
    <row r="685" spans="2:13" ht="12" x14ac:dyDescent="0.2">
      <c r="B685" s="56"/>
      <c r="C685" s="58"/>
      <c r="D685" s="58"/>
      <c r="E685" s="58"/>
      <c r="F685" s="58"/>
      <c r="G685" s="58"/>
      <c r="I685" s="56"/>
      <c r="J685" s="58"/>
      <c r="K685" s="58"/>
      <c r="L685" s="58"/>
      <c r="M685" s="58"/>
    </row>
    <row r="686" spans="2:13" ht="12" x14ac:dyDescent="0.2">
      <c r="B686" s="55"/>
      <c r="C686" s="57"/>
      <c r="D686" s="57"/>
      <c r="E686" s="57"/>
      <c r="F686" s="57"/>
      <c r="G686" s="57"/>
      <c r="I686" s="55"/>
      <c r="J686" s="57"/>
      <c r="K686" s="57"/>
      <c r="L686" s="57"/>
      <c r="M686" s="57"/>
    </row>
    <row r="687" spans="2:13" ht="12" x14ac:dyDescent="0.2">
      <c r="B687" s="56"/>
      <c r="C687" s="58"/>
      <c r="D687" s="58"/>
      <c r="E687" s="58"/>
      <c r="F687" s="58"/>
      <c r="G687" s="58"/>
      <c r="I687" s="56"/>
      <c r="J687" s="58"/>
      <c r="K687" s="58"/>
      <c r="L687" s="58"/>
      <c r="M687" s="58"/>
    </row>
    <row r="688" spans="2:13" ht="12" x14ac:dyDescent="0.2">
      <c r="B688" s="55"/>
      <c r="C688" s="57"/>
      <c r="D688" s="57"/>
      <c r="E688" s="57"/>
      <c r="F688" s="57"/>
      <c r="G688" s="57"/>
      <c r="I688" s="55"/>
      <c r="J688" s="57"/>
      <c r="K688" s="57"/>
      <c r="L688" s="57"/>
      <c r="M688" s="57"/>
    </row>
    <row r="689" spans="2:13" ht="12" x14ac:dyDescent="0.2">
      <c r="B689" s="56"/>
      <c r="C689" s="58"/>
      <c r="D689" s="58"/>
      <c r="E689" s="58"/>
      <c r="F689" s="58"/>
      <c r="G689" s="58"/>
      <c r="I689" s="56"/>
      <c r="J689" s="58"/>
      <c r="K689" s="58"/>
      <c r="L689" s="58"/>
      <c r="M689" s="58"/>
    </row>
    <row r="690" spans="2:13" ht="12" x14ac:dyDescent="0.2">
      <c r="B690" s="55"/>
      <c r="C690" s="57"/>
      <c r="D690" s="57"/>
      <c r="E690" s="57"/>
      <c r="F690" s="57"/>
      <c r="G690" s="57"/>
      <c r="I690" s="55"/>
      <c r="J690" s="57"/>
      <c r="K690" s="57"/>
      <c r="L690" s="57"/>
      <c r="M690" s="57"/>
    </row>
    <row r="691" spans="2:13" ht="12" x14ac:dyDescent="0.2">
      <c r="B691" s="56"/>
      <c r="C691" s="58"/>
      <c r="D691" s="58"/>
      <c r="E691" s="58"/>
      <c r="F691" s="58"/>
      <c r="G691" s="58"/>
      <c r="I691" s="56"/>
      <c r="J691" s="58"/>
      <c r="K691" s="58"/>
      <c r="L691" s="58"/>
      <c r="M691" s="58"/>
    </row>
    <row r="692" spans="2:13" ht="12" x14ac:dyDescent="0.2">
      <c r="B692" s="55"/>
      <c r="C692" s="57"/>
      <c r="D692" s="57"/>
      <c r="E692" s="57"/>
      <c r="F692" s="57"/>
      <c r="G692" s="57"/>
      <c r="I692" s="55"/>
      <c r="J692" s="57"/>
      <c r="K692" s="57"/>
      <c r="L692" s="57"/>
      <c r="M692" s="57"/>
    </row>
    <row r="693" spans="2:13" ht="12" x14ac:dyDescent="0.2">
      <c r="B693" s="56"/>
      <c r="C693" s="58"/>
      <c r="D693" s="58"/>
      <c r="E693" s="58"/>
      <c r="F693" s="58"/>
      <c r="G693" s="58"/>
      <c r="I693" s="56"/>
      <c r="J693" s="58"/>
      <c r="K693" s="58"/>
      <c r="L693" s="58"/>
      <c r="M693" s="58"/>
    </row>
    <row r="694" spans="2:13" ht="12" x14ac:dyDescent="0.2">
      <c r="B694" s="55"/>
      <c r="C694" s="57"/>
      <c r="D694" s="57"/>
      <c r="E694" s="57"/>
      <c r="F694" s="57"/>
      <c r="G694" s="57"/>
      <c r="I694" s="55"/>
      <c r="J694" s="57"/>
      <c r="K694" s="57"/>
      <c r="L694" s="57"/>
      <c r="M694" s="57"/>
    </row>
    <row r="695" spans="2:13" ht="12" x14ac:dyDescent="0.2">
      <c r="B695" s="56"/>
      <c r="C695" s="58"/>
      <c r="D695" s="58"/>
      <c r="E695" s="58"/>
      <c r="F695" s="58"/>
      <c r="G695" s="58"/>
      <c r="I695" s="56"/>
      <c r="J695" s="58"/>
      <c r="K695" s="58"/>
      <c r="L695" s="58"/>
      <c r="M695" s="58"/>
    </row>
    <row r="696" spans="2:13" ht="12" x14ac:dyDescent="0.2">
      <c r="B696" s="55"/>
      <c r="C696" s="57"/>
      <c r="D696" s="57"/>
      <c r="E696" s="57"/>
      <c r="F696" s="57"/>
      <c r="G696" s="57"/>
      <c r="I696" s="55"/>
      <c r="J696" s="57"/>
      <c r="K696" s="57"/>
      <c r="L696" s="57"/>
      <c r="M696" s="57"/>
    </row>
    <row r="697" spans="2:13" ht="12" x14ac:dyDescent="0.2">
      <c r="B697" s="56"/>
      <c r="C697" s="58"/>
      <c r="D697" s="58"/>
      <c r="E697" s="58"/>
      <c r="F697" s="58"/>
      <c r="G697" s="58"/>
      <c r="I697" s="56"/>
      <c r="J697" s="58"/>
      <c r="K697" s="58"/>
      <c r="L697" s="58"/>
      <c r="M697" s="58"/>
    </row>
    <row r="698" spans="2:13" ht="12" x14ac:dyDescent="0.2">
      <c r="B698" s="55"/>
      <c r="C698" s="57"/>
      <c r="D698" s="57"/>
      <c r="E698" s="57"/>
      <c r="F698" s="57"/>
      <c r="G698" s="57"/>
      <c r="I698" s="55"/>
      <c r="J698" s="57"/>
      <c r="K698" s="57"/>
      <c r="L698" s="57"/>
      <c r="M698" s="57"/>
    </row>
    <row r="699" spans="2:13" ht="12" x14ac:dyDescent="0.2">
      <c r="B699" s="56"/>
      <c r="C699" s="58"/>
      <c r="D699" s="58"/>
      <c r="E699" s="58"/>
      <c r="F699" s="58"/>
      <c r="G699" s="58"/>
      <c r="I699" s="56"/>
      <c r="J699" s="58"/>
      <c r="K699" s="58"/>
      <c r="L699" s="58"/>
      <c r="M699" s="58"/>
    </row>
    <row r="700" spans="2:13" ht="12" x14ac:dyDescent="0.2">
      <c r="B700" s="55"/>
      <c r="C700" s="57"/>
      <c r="D700" s="57"/>
      <c r="E700" s="57"/>
      <c r="F700" s="57"/>
      <c r="G700" s="57"/>
      <c r="I700" s="55"/>
      <c r="J700" s="57"/>
      <c r="K700" s="57"/>
      <c r="L700" s="57"/>
      <c r="M700" s="57"/>
    </row>
    <row r="701" spans="2:13" ht="12" x14ac:dyDescent="0.2">
      <c r="B701" s="56"/>
      <c r="C701" s="58"/>
      <c r="D701" s="58"/>
      <c r="E701" s="58"/>
      <c r="F701" s="58"/>
      <c r="G701" s="58"/>
      <c r="I701" s="56"/>
      <c r="J701" s="58"/>
      <c r="K701" s="58"/>
      <c r="L701" s="58"/>
      <c r="M701" s="58"/>
    </row>
    <row r="702" spans="2:13" ht="12" x14ac:dyDescent="0.2">
      <c r="B702" s="55"/>
      <c r="C702" s="57"/>
      <c r="D702" s="57"/>
      <c r="E702" s="57"/>
      <c r="F702" s="57"/>
      <c r="G702" s="57"/>
      <c r="I702" s="55"/>
      <c r="J702" s="57"/>
      <c r="K702" s="57"/>
      <c r="L702" s="57"/>
      <c r="M702" s="57"/>
    </row>
    <row r="703" spans="2:13" ht="12" x14ac:dyDescent="0.2">
      <c r="B703" s="56"/>
      <c r="C703" s="58"/>
      <c r="D703" s="58"/>
      <c r="E703" s="58"/>
      <c r="F703" s="58"/>
      <c r="G703" s="58"/>
      <c r="I703" s="56"/>
      <c r="J703" s="58"/>
      <c r="K703" s="58"/>
      <c r="L703" s="58"/>
      <c r="M703" s="58"/>
    </row>
    <row r="704" spans="2:13" ht="12" x14ac:dyDescent="0.2">
      <c r="B704" s="55"/>
      <c r="C704" s="57"/>
      <c r="D704" s="57"/>
      <c r="E704" s="57"/>
      <c r="F704" s="57"/>
      <c r="G704" s="57"/>
      <c r="I704" s="55"/>
      <c r="J704" s="57"/>
      <c r="K704" s="57"/>
      <c r="L704" s="57"/>
      <c r="M704" s="57"/>
    </row>
    <row r="705" spans="2:13" ht="12" x14ac:dyDescent="0.2">
      <c r="B705" s="56"/>
      <c r="C705" s="58"/>
      <c r="D705" s="58"/>
      <c r="E705" s="58"/>
      <c r="F705" s="58"/>
      <c r="G705" s="58"/>
      <c r="I705" s="56"/>
      <c r="J705" s="58"/>
      <c r="K705" s="58"/>
      <c r="L705" s="58"/>
      <c r="M705" s="58"/>
    </row>
    <row r="706" spans="2:13" ht="12" x14ac:dyDescent="0.2">
      <c r="B706" s="55"/>
      <c r="C706" s="57"/>
      <c r="D706" s="57"/>
      <c r="E706" s="57"/>
      <c r="F706" s="57"/>
      <c r="G706" s="57"/>
      <c r="I706" s="55"/>
      <c r="J706" s="57"/>
      <c r="K706" s="57"/>
      <c r="L706" s="57"/>
      <c r="M706" s="57"/>
    </row>
    <row r="707" spans="2:13" ht="12" x14ac:dyDescent="0.2">
      <c r="B707" s="56"/>
      <c r="C707" s="58"/>
      <c r="D707" s="58"/>
      <c r="E707" s="58"/>
      <c r="F707" s="58"/>
      <c r="G707" s="58"/>
      <c r="I707" s="56"/>
      <c r="J707" s="58"/>
      <c r="K707" s="58"/>
      <c r="L707" s="58"/>
      <c r="M707" s="58"/>
    </row>
    <row r="708" spans="2:13" ht="12" x14ac:dyDescent="0.2">
      <c r="B708" s="55"/>
      <c r="C708" s="57"/>
      <c r="D708" s="57"/>
      <c r="E708" s="57"/>
      <c r="F708" s="57"/>
      <c r="G708" s="57"/>
      <c r="I708" s="55"/>
      <c r="J708" s="57"/>
      <c r="K708" s="57"/>
      <c r="L708" s="57"/>
      <c r="M708" s="57"/>
    </row>
    <row r="709" spans="2:13" ht="12" x14ac:dyDescent="0.2">
      <c r="B709" s="56"/>
      <c r="C709" s="58"/>
      <c r="D709" s="58"/>
      <c r="E709" s="58"/>
      <c r="F709" s="58"/>
      <c r="G709" s="58"/>
      <c r="I709" s="56"/>
      <c r="J709" s="58"/>
      <c r="K709" s="58"/>
      <c r="L709" s="58"/>
      <c r="M709" s="58"/>
    </row>
    <row r="710" spans="2:13" ht="12" x14ac:dyDescent="0.2">
      <c r="B710" s="55"/>
      <c r="C710" s="57"/>
      <c r="D710" s="57"/>
      <c r="E710" s="57"/>
      <c r="F710" s="57"/>
      <c r="G710" s="57"/>
      <c r="I710" s="55"/>
      <c r="J710" s="57"/>
      <c r="K710" s="57"/>
      <c r="L710" s="57"/>
      <c r="M710" s="57"/>
    </row>
    <row r="711" spans="2:13" ht="12" x14ac:dyDescent="0.2">
      <c r="B711" s="56"/>
      <c r="C711" s="58"/>
      <c r="D711" s="58"/>
      <c r="E711" s="58"/>
      <c r="F711" s="58"/>
      <c r="G711" s="58"/>
      <c r="I711" s="56"/>
      <c r="J711" s="58"/>
      <c r="K711" s="58"/>
      <c r="L711" s="58"/>
      <c r="M711" s="58"/>
    </row>
    <row r="712" spans="2:13" ht="12" x14ac:dyDescent="0.2">
      <c r="B712" s="55"/>
      <c r="C712" s="57"/>
      <c r="D712" s="57"/>
      <c r="E712" s="57"/>
      <c r="F712" s="57"/>
      <c r="G712" s="57"/>
      <c r="I712" s="55"/>
      <c r="J712" s="57"/>
      <c r="K712" s="57"/>
      <c r="L712" s="57"/>
      <c r="M712" s="57"/>
    </row>
    <row r="713" spans="2:13" ht="12" x14ac:dyDescent="0.2">
      <c r="B713" s="56"/>
      <c r="C713" s="58"/>
      <c r="D713" s="58"/>
      <c r="E713" s="58"/>
      <c r="F713" s="58"/>
      <c r="G713" s="58"/>
      <c r="I713" s="56"/>
      <c r="J713" s="58"/>
      <c r="K713" s="58"/>
      <c r="L713" s="58"/>
      <c r="M713" s="58"/>
    </row>
    <row r="714" spans="2:13" ht="12" x14ac:dyDescent="0.2">
      <c r="B714" s="55"/>
      <c r="C714" s="57"/>
      <c r="D714" s="57"/>
      <c r="E714" s="57"/>
      <c r="F714" s="57"/>
      <c r="G714" s="57"/>
      <c r="I714" s="55"/>
      <c r="J714" s="57"/>
      <c r="K714" s="57"/>
      <c r="L714" s="57"/>
      <c r="M714" s="57"/>
    </row>
    <row r="715" spans="2:13" ht="12" x14ac:dyDescent="0.2">
      <c r="B715" s="56"/>
      <c r="C715" s="58"/>
      <c r="D715" s="58"/>
      <c r="E715" s="58"/>
      <c r="F715" s="58"/>
      <c r="G715" s="58"/>
      <c r="I715" s="56"/>
      <c r="J715" s="58"/>
      <c r="K715" s="58"/>
      <c r="L715" s="58"/>
      <c r="M715" s="58"/>
    </row>
    <row r="716" spans="2:13" ht="12" x14ac:dyDescent="0.2">
      <c r="B716" s="55"/>
      <c r="C716" s="57"/>
      <c r="D716" s="57"/>
      <c r="E716" s="57"/>
      <c r="F716" s="57"/>
      <c r="G716" s="57"/>
      <c r="I716" s="55"/>
      <c r="J716" s="57"/>
      <c r="K716" s="57"/>
      <c r="L716" s="57"/>
      <c r="M716" s="57"/>
    </row>
    <row r="717" spans="2:13" ht="12" x14ac:dyDescent="0.2">
      <c r="B717" s="56"/>
      <c r="C717" s="58"/>
      <c r="D717" s="58"/>
      <c r="E717" s="58"/>
      <c r="F717" s="58"/>
      <c r="G717" s="58"/>
      <c r="I717" s="56"/>
      <c r="J717" s="58"/>
      <c r="K717" s="58"/>
      <c r="L717" s="58"/>
      <c r="M717" s="58"/>
    </row>
    <row r="718" spans="2:13" ht="12" x14ac:dyDescent="0.2">
      <c r="B718" s="55"/>
      <c r="C718" s="57"/>
      <c r="D718" s="57"/>
      <c r="E718" s="57"/>
      <c r="F718" s="57"/>
      <c r="G718" s="57"/>
      <c r="I718" s="55"/>
      <c r="J718" s="57"/>
      <c r="K718" s="57"/>
      <c r="L718" s="57"/>
      <c r="M718" s="57"/>
    </row>
    <row r="719" spans="2:13" ht="12" x14ac:dyDescent="0.2">
      <c r="B719" s="56"/>
      <c r="C719" s="58"/>
      <c r="D719" s="58"/>
      <c r="E719" s="58"/>
      <c r="F719" s="58"/>
      <c r="G719" s="58"/>
      <c r="I719" s="56"/>
      <c r="J719" s="58"/>
      <c r="K719" s="58"/>
      <c r="L719" s="58"/>
      <c r="M719" s="58"/>
    </row>
    <row r="720" spans="2:13" ht="12" x14ac:dyDescent="0.2">
      <c r="B720" s="55"/>
      <c r="C720" s="57"/>
      <c r="D720" s="57"/>
      <c r="E720" s="57"/>
      <c r="F720" s="57"/>
      <c r="G720" s="57"/>
      <c r="I720" s="55"/>
      <c r="J720" s="57"/>
      <c r="K720" s="57"/>
      <c r="L720" s="57"/>
      <c r="M720" s="57"/>
    </row>
    <row r="721" spans="2:13" ht="12" x14ac:dyDescent="0.2">
      <c r="B721" s="56"/>
      <c r="C721" s="58"/>
      <c r="D721" s="58"/>
      <c r="E721" s="58"/>
      <c r="F721" s="58"/>
      <c r="G721" s="58"/>
      <c r="I721" s="56"/>
      <c r="J721" s="58"/>
      <c r="K721" s="58"/>
      <c r="L721" s="58"/>
      <c r="M721" s="58"/>
    </row>
    <row r="722" spans="2:13" ht="12" x14ac:dyDescent="0.2">
      <c r="B722" s="55"/>
      <c r="C722" s="57"/>
      <c r="D722" s="57"/>
      <c r="E722" s="57"/>
      <c r="F722" s="57"/>
      <c r="G722" s="57"/>
      <c r="I722" s="55"/>
      <c r="J722" s="57"/>
      <c r="K722" s="57"/>
      <c r="L722" s="57"/>
      <c r="M722" s="57"/>
    </row>
    <row r="723" spans="2:13" ht="12" x14ac:dyDescent="0.2">
      <c r="B723" s="56"/>
      <c r="C723" s="58"/>
      <c r="D723" s="58"/>
      <c r="E723" s="58"/>
      <c r="F723" s="58"/>
      <c r="G723" s="58"/>
      <c r="I723" s="56"/>
      <c r="J723" s="58"/>
      <c r="K723" s="58"/>
      <c r="L723" s="58"/>
      <c r="M723" s="58"/>
    </row>
    <row r="724" spans="2:13" ht="12" x14ac:dyDescent="0.2">
      <c r="B724" s="55"/>
      <c r="C724" s="57"/>
      <c r="D724" s="57"/>
      <c r="E724" s="57"/>
      <c r="F724" s="57"/>
      <c r="G724" s="57"/>
      <c r="I724" s="55"/>
      <c r="J724" s="57"/>
      <c r="K724" s="57"/>
      <c r="L724" s="57"/>
      <c r="M724" s="57"/>
    </row>
    <row r="725" spans="2:13" ht="12" x14ac:dyDescent="0.2">
      <c r="B725" s="56"/>
      <c r="C725" s="58"/>
      <c r="D725" s="58"/>
      <c r="E725" s="58"/>
      <c r="F725" s="58"/>
      <c r="G725" s="58"/>
      <c r="I725" s="56"/>
      <c r="J725" s="58"/>
      <c r="K725" s="58"/>
      <c r="L725" s="58"/>
      <c r="M725" s="58"/>
    </row>
    <row r="726" spans="2:13" ht="12" x14ac:dyDescent="0.2">
      <c r="B726" s="55"/>
      <c r="C726" s="57"/>
      <c r="D726" s="57"/>
      <c r="E726" s="57"/>
      <c r="F726" s="57"/>
      <c r="G726" s="57"/>
      <c r="I726" s="55"/>
      <c r="J726" s="57"/>
      <c r="K726" s="57"/>
      <c r="L726" s="57"/>
      <c r="M726" s="57"/>
    </row>
    <row r="727" spans="2:13" ht="12" x14ac:dyDescent="0.2">
      <c r="B727" s="56"/>
      <c r="C727" s="58"/>
      <c r="D727" s="58"/>
      <c r="E727" s="58"/>
      <c r="F727" s="58"/>
      <c r="G727" s="58"/>
      <c r="I727" s="56"/>
      <c r="J727" s="58"/>
      <c r="K727" s="58"/>
      <c r="L727" s="58"/>
      <c r="M727" s="58"/>
    </row>
    <row r="728" spans="2:13" ht="12" x14ac:dyDescent="0.2">
      <c r="B728" s="55"/>
      <c r="C728" s="57"/>
      <c r="D728" s="57"/>
      <c r="E728" s="57"/>
      <c r="F728" s="57"/>
      <c r="G728" s="57"/>
      <c r="I728" s="55"/>
      <c r="J728" s="57"/>
      <c r="K728" s="57"/>
      <c r="L728" s="57"/>
      <c r="M728" s="57"/>
    </row>
    <row r="729" spans="2:13" ht="12" x14ac:dyDescent="0.2">
      <c r="B729" s="56"/>
      <c r="C729" s="58"/>
      <c r="D729" s="58"/>
      <c r="E729" s="58"/>
      <c r="F729" s="58"/>
      <c r="G729" s="58"/>
      <c r="I729" s="56"/>
      <c r="J729" s="58"/>
      <c r="K729" s="58"/>
      <c r="L729" s="58"/>
      <c r="M729" s="58"/>
    </row>
    <row r="730" spans="2:13" ht="12" x14ac:dyDescent="0.2">
      <c r="B730" s="55"/>
      <c r="C730" s="57"/>
      <c r="D730" s="57"/>
      <c r="E730" s="57"/>
      <c r="F730" s="57"/>
      <c r="G730" s="57"/>
      <c r="I730" s="55"/>
      <c r="J730" s="57"/>
      <c r="K730" s="57"/>
      <c r="L730" s="57"/>
      <c r="M730" s="57"/>
    </row>
    <row r="731" spans="2:13" ht="12" x14ac:dyDescent="0.2">
      <c r="B731" s="56"/>
      <c r="C731" s="58"/>
      <c r="D731" s="58"/>
      <c r="E731" s="58"/>
      <c r="F731" s="58"/>
      <c r="G731" s="58"/>
      <c r="I731" s="56"/>
      <c r="J731" s="58"/>
      <c r="K731" s="58"/>
      <c r="L731" s="58"/>
      <c r="M731" s="58"/>
    </row>
    <row r="732" spans="2:13" ht="12" x14ac:dyDescent="0.2">
      <c r="B732" s="55"/>
      <c r="C732" s="57"/>
      <c r="D732" s="57"/>
      <c r="E732" s="57"/>
      <c r="F732" s="57"/>
      <c r="G732" s="57"/>
      <c r="I732" s="55"/>
      <c r="J732" s="57"/>
      <c r="K732" s="57"/>
      <c r="L732" s="57"/>
      <c r="M732" s="57"/>
    </row>
    <row r="733" spans="2:13" ht="12" x14ac:dyDescent="0.2">
      <c r="B733" s="56"/>
      <c r="C733" s="58"/>
      <c r="D733" s="58"/>
      <c r="E733" s="58"/>
      <c r="F733" s="58"/>
      <c r="G733" s="58"/>
      <c r="I733" s="56"/>
      <c r="J733" s="58"/>
      <c r="K733" s="58"/>
      <c r="L733" s="58"/>
      <c r="M733" s="58"/>
    </row>
    <row r="734" spans="2:13" ht="12" x14ac:dyDescent="0.2">
      <c r="B734" s="55"/>
      <c r="C734" s="57"/>
      <c r="D734" s="57"/>
      <c r="E734" s="57"/>
      <c r="F734" s="57"/>
      <c r="G734" s="57"/>
      <c r="I734" s="55"/>
      <c r="J734" s="57"/>
      <c r="K734" s="57"/>
      <c r="L734" s="57"/>
      <c r="M734" s="57"/>
    </row>
    <row r="735" spans="2:13" ht="12" x14ac:dyDescent="0.2">
      <c r="B735" s="56"/>
      <c r="C735" s="58"/>
      <c r="D735" s="58"/>
      <c r="E735" s="58"/>
      <c r="F735" s="58"/>
      <c r="G735" s="58"/>
      <c r="I735" s="56"/>
      <c r="J735" s="58"/>
      <c r="K735" s="58"/>
      <c r="L735" s="58"/>
      <c r="M735" s="58"/>
    </row>
    <row r="736" spans="2:13" ht="12" x14ac:dyDescent="0.2">
      <c r="B736" s="55"/>
      <c r="C736" s="57"/>
      <c r="D736" s="57"/>
      <c r="E736" s="57"/>
      <c r="F736" s="57"/>
      <c r="G736" s="57"/>
      <c r="I736" s="55"/>
      <c r="J736" s="57"/>
      <c r="K736" s="57"/>
      <c r="L736" s="57"/>
      <c r="M736" s="57"/>
    </row>
    <row r="737" spans="2:13" ht="12" x14ac:dyDescent="0.2">
      <c r="B737" s="56"/>
      <c r="C737" s="58"/>
      <c r="D737" s="58"/>
      <c r="E737" s="58"/>
      <c r="F737" s="58"/>
      <c r="G737" s="58"/>
      <c r="I737" s="56"/>
      <c r="J737" s="58"/>
      <c r="K737" s="58"/>
      <c r="L737" s="58"/>
      <c r="M737" s="58"/>
    </row>
    <row r="738" spans="2:13" ht="12" x14ac:dyDescent="0.2">
      <c r="B738" s="55"/>
      <c r="C738" s="57"/>
      <c r="D738" s="57"/>
      <c r="E738" s="57"/>
      <c r="F738" s="57"/>
      <c r="G738" s="57"/>
      <c r="I738" s="55"/>
      <c r="J738" s="57"/>
      <c r="K738" s="57"/>
      <c r="L738" s="57"/>
      <c r="M738" s="57"/>
    </row>
    <row r="739" spans="2:13" ht="12" x14ac:dyDescent="0.2">
      <c r="B739" s="56"/>
      <c r="C739" s="58"/>
      <c r="D739" s="58"/>
      <c r="E739" s="58"/>
      <c r="F739" s="58"/>
      <c r="G739" s="58"/>
      <c r="I739" s="56"/>
      <c r="J739" s="58"/>
      <c r="K739" s="58"/>
      <c r="L739" s="58"/>
      <c r="M739" s="58"/>
    </row>
    <row r="740" spans="2:13" ht="12" x14ac:dyDescent="0.2">
      <c r="B740" s="55"/>
      <c r="C740" s="57"/>
      <c r="D740" s="57"/>
      <c r="E740" s="57"/>
      <c r="F740" s="57"/>
      <c r="G740" s="57"/>
      <c r="I740" s="55"/>
      <c r="J740" s="57"/>
      <c r="K740" s="57"/>
      <c r="L740" s="57"/>
      <c r="M740" s="57"/>
    </row>
    <row r="741" spans="2:13" ht="12" x14ac:dyDescent="0.2">
      <c r="B741" s="56"/>
      <c r="C741" s="58"/>
      <c r="D741" s="58"/>
      <c r="E741" s="58"/>
      <c r="F741" s="58"/>
      <c r="G741" s="58"/>
      <c r="I741" s="56"/>
      <c r="J741" s="58"/>
      <c r="K741" s="58"/>
      <c r="L741" s="58"/>
      <c r="M741" s="58"/>
    </row>
    <row r="742" spans="2:13" ht="12" x14ac:dyDescent="0.2">
      <c r="B742" s="55"/>
      <c r="C742" s="57"/>
      <c r="D742" s="57"/>
      <c r="E742" s="57"/>
      <c r="F742" s="57"/>
      <c r="G742" s="57"/>
      <c r="I742" s="55"/>
      <c r="J742" s="57"/>
      <c r="K742" s="57"/>
      <c r="L742" s="57"/>
      <c r="M742" s="57"/>
    </row>
    <row r="743" spans="2:13" ht="12" x14ac:dyDescent="0.2">
      <c r="B743" s="56"/>
      <c r="C743" s="58"/>
      <c r="D743" s="58"/>
      <c r="E743" s="58"/>
      <c r="F743" s="58"/>
      <c r="G743" s="58"/>
      <c r="I743" s="56"/>
      <c r="J743" s="58"/>
      <c r="K743" s="58"/>
      <c r="L743" s="58"/>
      <c r="M743" s="58"/>
    </row>
    <row r="744" spans="2:13" ht="12" x14ac:dyDescent="0.2">
      <c r="B744" s="55"/>
      <c r="C744" s="57"/>
      <c r="D744" s="57"/>
      <c r="E744" s="57"/>
      <c r="F744" s="57"/>
      <c r="G744" s="57"/>
      <c r="I744" s="55"/>
      <c r="J744" s="57"/>
      <c r="K744" s="57"/>
      <c r="L744" s="57"/>
      <c r="M744" s="57"/>
    </row>
    <row r="745" spans="2:13" ht="12" x14ac:dyDescent="0.2">
      <c r="B745" s="56"/>
      <c r="C745" s="58"/>
      <c r="D745" s="58"/>
      <c r="E745" s="58"/>
      <c r="F745" s="58"/>
      <c r="G745" s="58"/>
      <c r="I745" s="56"/>
      <c r="J745" s="58"/>
      <c r="K745" s="58"/>
      <c r="L745" s="58"/>
      <c r="M745" s="58"/>
    </row>
    <row r="746" spans="2:13" ht="12" x14ac:dyDescent="0.2">
      <c r="B746" s="55"/>
      <c r="C746" s="57"/>
      <c r="D746" s="57"/>
      <c r="E746" s="57"/>
      <c r="F746" s="57"/>
      <c r="G746" s="57"/>
      <c r="I746" s="55"/>
      <c r="J746" s="57"/>
      <c r="K746" s="57"/>
      <c r="L746" s="57"/>
      <c r="M746" s="57"/>
    </row>
    <row r="747" spans="2:13" ht="12" x14ac:dyDescent="0.2">
      <c r="B747" s="56"/>
      <c r="C747" s="58"/>
      <c r="D747" s="58"/>
      <c r="E747" s="58"/>
      <c r="F747" s="58"/>
      <c r="G747" s="58"/>
      <c r="I747" s="56"/>
      <c r="J747" s="58"/>
      <c r="K747" s="58"/>
      <c r="L747" s="58"/>
      <c r="M747" s="58"/>
    </row>
    <row r="748" spans="2:13" ht="12" x14ac:dyDescent="0.2">
      <c r="B748" s="55"/>
      <c r="C748" s="57"/>
      <c r="D748" s="57"/>
      <c r="E748" s="57"/>
      <c r="F748" s="57"/>
      <c r="G748" s="57"/>
      <c r="I748" s="55"/>
      <c r="J748" s="57"/>
      <c r="K748" s="57"/>
      <c r="L748" s="57"/>
      <c r="M748" s="57"/>
    </row>
    <row r="749" spans="2:13" ht="12" x14ac:dyDescent="0.2">
      <c r="B749" s="56"/>
      <c r="C749" s="58"/>
      <c r="D749" s="58"/>
      <c r="E749" s="58"/>
      <c r="F749" s="58"/>
      <c r="G749" s="58"/>
      <c r="I749" s="56"/>
      <c r="J749" s="58"/>
      <c r="K749" s="58"/>
      <c r="L749" s="58"/>
      <c r="M749" s="58"/>
    </row>
    <row r="750" spans="2:13" ht="12" x14ac:dyDescent="0.2">
      <c r="B750" s="55"/>
      <c r="C750" s="57"/>
      <c r="D750" s="57"/>
      <c r="E750" s="57"/>
      <c r="F750" s="57"/>
      <c r="G750" s="57"/>
      <c r="I750" s="55"/>
      <c r="J750" s="57"/>
      <c r="K750" s="57"/>
      <c r="L750" s="57"/>
      <c r="M750" s="57"/>
    </row>
    <row r="751" spans="2:13" ht="12" x14ac:dyDescent="0.2">
      <c r="B751" s="56"/>
      <c r="C751" s="58"/>
      <c r="D751" s="58"/>
      <c r="E751" s="58"/>
      <c r="F751" s="58"/>
      <c r="G751" s="58"/>
      <c r="I751" s="56"/>
      <c r="J751" s="58"/>
      <c r="K751" s="58"/>
      <c r="L751" s="58"/>
      <c r="M751" s="58"/>
    </row>
    <row r="752" spans="2:13" ht="12" x14ac:dyDescent="0.2">
      <c r="B752" s="55"/>
      <c r="C752" s="57"/>
      <c r="D752" s="57"/>
      <c r="E752" s="57"/>
      <c r="F752" s="57"/>
      <c r="G752" s="57"/>
      <c r="I752" s="55"/>
      <c r="J752" s="57"/>
      <c r="K752" s="57"/>
      <c r="L752" s="57"/>
      <c r="M752" s="57"/>
    </row>
    <row r="753" spans="2:13" ht="12" x14ac:dyDescent="0.2">
      <c r="B753" s="56"/>
      <c r="C753" s="58"/>
      <c r="D753" s="58"/>
      <c r="E753" s="58"/>
      <c r="F753" s="58"/>
      <c r="G753" s="58"/>
      <c r="I753" s="56"/>
      <c r="J753" s="58"/>
      <c r="K753" s="58"/>
      <c r="L753" s="58"/>
      <c r="M753" s="58"/>
    </row>
    <row r="754" spans="2:13" ht="12" x14ac:dyDescent="0.2">
      <c r="B754" s="55"/>
      <c r="C754" s="57"/>
      <c r="D754" s="57"/>
      <c r="E754" s="57"/>
      <c r="F754" s="57"/>
      <c r="G754" s="57"/>
      <c r="I754" s="55"/>
      <c r="J754" s="57"/>
      <c r="K754" s="57"/>
      <c r="L754" s="57"/>
      <c r="M754" s="57"/>
    </row>
    <row r="755" spans="2:13" ht="12" x14ac:dyDescent="0.2">
      <c r="B755" s="56"/>
      <c r="C755" s="58"/>
      <c r="D755" s="58"/>
      <c r="E755" s="58"/>
      <c r="F755" s="58"/>
      <c r="G755" s="58"/>
      <c r="I755" s="56"/>
      <c r="J755" s="58"/>
      <c r="K755" s="58"/>
      <c r="L755" s="58"/>
      <c r="M755" s="58"/>
    </row>
    <row r="756" spans="2:13" ht="12" x14ac:dyDescent="0.2">
      <c r="B756" s="55"/>
      <c r="C756" s="57"/>
      <c r="D756" s="57"/>
      <c r="E756" s="57"/>
      <c r="F756" s="57"/>
      <c r="G756" s="57"/>
      <c r="I756" s="55"/>
      <c r="J756" s="57"/>
      <c r="K756" s="57"/>
      <c r="L756" s="57"/>
      <c r="M756" s="57"/>
    </row>
    <row r="757" spans="2:13" ht="12" x14ac:dyDescent="0.2">
      <c r="B757" s="56"/>
      <c r="C757" s="58"/>
      <c r="D757" s="58"/>
      <c r="E757" s="58"/>
      <c r="F757" s="58"/>
      <c r="G757" s="58"/>
      <c r="I757" s="56"/>
      <c r="J757" s="58"/>
      <c r="K757" s="58"/>
      <c r="L757" s="58"/>
      <c r="M757" s="58"/>
    </row>
    <row r="758" spans="2:13" ht="12" x14ac:dyDescent="0.2">
      <c r="B758" s="55"/>
      <c r="C758" s="57"/>
      <c r="D758" s="57"/>
      <c r="E758" s="57"/>
      <c r="F758" s="57"/>
      <c r="G758" s="57"/>
      <c r="I758" s="55"/>
      <c r="J758" s="57"/>
      <c r="K758" s="57"/>
      <c r="L758" s="57"/>
      <c r="M758" s="57"/>
    </row>
    <row r="759" spans="2:13" ht="12" x14ac:dyDescent="0.2">
      <c r="B759" s="56"/>
      <c r="C759" s="58"/>
      <c r="D759" s="58"/>
      <c r="E759" s="58"/>
      <c r="F759" s="58"/>
      <c r="G759" s="58"/>
      <c r="I759" s="56"/>
      <c r="J759" s="58"/>
      <c r="K759" s="58"/>
      <c r="L759" s="58"/>
      <c r="M759" s="58"/>
    </row>
    <row r="760" spans="2:13" ht="12" x14ac:dyDescent="0.2">
      <c r="B760" s="55"/>
      <c r="C760" s="57"/>
      <c r="D760" s="57"/>
      <c r="E760" s="57"/>
      <c r="F760" s="57"/>
      <c r="G760" s="57"/>
      <c r="I760" s="55"/>
      <c r="J760" s="57"/>
      <c r="K760" s="57"/>
      <c r="L760" s="57"/>
      <c r="M760" s="57"/>
    </row>
    <row r="761" spans="2:13" ht="12" x14ac:dyDescent="0.2">
      <c r="B761" s="56"/>
      <c r="C761" s="58"/>
      <c r="D761" s="58"/>
      <c r="E761" s="58"/>
      <c r="F761" s="58"/>
      <c r="G761" s="58"/>
      <c r="I761" s="56"/>
      <c r="J761" s="58"/>
      <c r="K761" s="58"/>
      <c r="L761" s="58"/>
      <c r="M761" s="58"/>
    </row>
    <row r="762" spans="2:13" ht="12" x14ac:dyDescent="0.2">
      <c r="B762" s="55"/>
      <c r="C762" s="57"/>
      <c r="D762" s="57"/>
      <c r="E762" s="57"/>
      <c r="F762" s="57"/>
      <c r="G762" s="57"/>
      <c r="I762" s="55"/>
      <c r="J762" s="57"/>
      <c r="K762" s="57"/>
      <c r="L762" s="57"/>
      <c r="M762" s="57"/>
    </row>
    <row r="763" spans="2:13" ht="12" x14ac:dyDescent="0.2">
      <c r="B763" s="56"/>
      <c r="C763" s="58"/>
      <c r="D763" s="58"/>
      <c r="E763" s="58"/>
      <c r="F763" s="58"/>
      <c r="G763" s="58"/>
      <c r="I763" s="56"/>
      <c r="J763" s="58"/>
      <c r="K763" s="58"/>
      <c r="L763" s="58"/>
      <c r="M763" s="58"/>
    </row>
    <row r="764" spans="2:13" ht="12" x14ac:dyDescent="0.2">
      <c r="B764" s="55"/>
      <c r="C764" s="57"/>
      <c r="D764" s="57"/>
      <c r="E764" s="57"/>
      <c r="F764" s="57"/>
      <c r="G764" s="57"/>
      <c r="I764" s="55"/>
      <c r="J764" s="57"/>
      <c r="K764" s="57"/>
      <c r="L764" s="57"/>
      <c r="M764" s="57"/>
    </row>
    <row r="765" spans="2:13" ht="12" x14ac:dyDescent="0.2">
      <c r="B765" s="56"/>
      <c r="C765" s="58"/>
      <c r="D765" s="58"/>
      <c r="E765" s="58"/>
      <c r="F765" s="58"/>
      <c r="G765" s="58"/>
      <c r="I765" s="56"/>
      <c r="J765" s="58"/>
      <c r="K765" s="58"/>
      <c r="L765" s="58"/>
      <c r="M765" s="58"/>
    </row>
    <row r="766" spans="2:13" ht="12" x14ac:dyDescent="0.2">
      <c r="B766" s="55"/>
      <c r="C766" s="57"/>
      <c r="D766" s="57"/>
      <c r="E766" s="57"/>
      <c r="F766" s="57"/>
      <c r="G766" s="57"/>
      <c r="I766" s="55"/>
      <c r="J766" s="57"/>
      <c r="K766" s="57"/>
      <c r="L766" s="57"/>
      <c r="M766" s="57"/>
    </row>
    <row r="767" spans="2:13" ht="12" x14ac:dyDescent="0.2">
      <c r="B767" s="56"/>
      <c r="C767" s="58"/>
      <c r="D767" s="58"/>
      <c r="E767" s="58"/>
      <c r="F767" s="58"/>
      <c r="G767" s="58"/>
      <c r="I767" s="56"/>
      <c r="J767" s="58"/>
      <c r="K767" s="58"/>
      <c r="L767" s="58"/>
      <c r="M767" s="58"/>
    </row>
    <row r="768" spans="2:13" ht="12" x14ac:dyDescent="0.2">
      <c r="B768" s="55"/>
      <c r="C768" s="57"/>
      <c r="D768" s="57"/>
      <c r="E768" s="57"/>
      <c r="F768" s="57"/>
      <c r="G768" s="57"/>
      <c r="I768" s="55"/>
      <c r="J768" s="57"/>
      <c r="K768" s="57"/>
      <c r="L768" s="57"/>
      <c r="M768" s="57"/>
    </row>
    <row r="769" spans="2:13" ht="12" x14ac:dyDescent="0.2">
      <c r="B769" s="56"/>
      <c r="C769" s="58"/>
      <c r="D769" s="58"/>
      <c r="E769" s="58"/>
      <c r="F769" s="58"/>
      <c r="G769" s="58"/>
      <c r="I769" s="56"/>
      <c r="J769" s="58"/>
      <c r="K769" s="58"/>
      <c r="L769" s="58"/>
      <c r="M769" s="58"/>
    </row>
    <row r="770" spans="2:13" ht="12" x14ac:dyDescent="0.2">
      <c r="B770" s="55"/>
      <c r="C770" s="57"/>
      <c r="D770" s="57"/>
      <c r="E770" s="57"/>
      <c r="F770" s="57"/>
      <c r="G770" s="57"/>
      <c r="I770" s="55"/>
      <c r="J770" s="57"/>
      <c r="K770" s="57"/>
      <c r="L770" s="57"/>
      <c r="M770" s="57"/>
    </row>
    <row r="771" spans="2:13" ht="12" x14ac:dyDescent="0.2">
      <c r="B771" s="56"/>
      <c r="C771" s="58"/>
      <c r="D771" s="58"/>
      <c r="E771" s="58"/>
      <c r="F771" s="58"/>
      <c r="G771" s="58"/>
      <c r="I771" s="56"/>
      <c r="J771" s="58"/>
      <c r="K771" s="58"/>
      <c r="L771" s="58"/>
      <c r="M771" s="58"/>
    </row>
    <row r="772" spans="2:13" ht="12" x14ac:dyDescent="0.2">
      <c r="B772" s="55"/>
      <c r="C772" s="57"/>
      <c r="D772" s="57"/>
      <c r="E772" s="57"/>
      <c r="F772" s="57"/>
      <c r="G772" s="57"/>
      <c r="I772" s="55"/>
      <c r="J772" s="57"/>
      <c r="K772" s="57"/>
      <c r="L772" s="57"/>
      <c r="M772" s="57"/>
    </row>
    <row r="773" spans="2:13" ht="12" x14ac:dyDescent="0.2">
      <c r="B773" s="56"/>
      <c r="C773" s="58"/>
      <c r="D773" s="58"/>
      <c r="E773" s="58"/>
      <c r="F773" s="58"/>
      <c r="G773" s="58"/>
      <c r="I773" s="56"/>
      <c r="J773" s="58"/>
      <c r="K773" s="58"/>
      <c r="L773" s="58"/>
      <c r="M773" s="58"/>
    </row>
    <row r="774" spans="2:13" ht="12" x14ac:dyDescent="0.2">
      <c r="B774" s="55"/>
      <c r="C774" s="57"/>
      <c r="D774" s="57"/>
      <c r="E774" s="57"/>
      <c r="F774" s="57"/>
      <c r="G774" s="57"/>
      <c r="I774" s="55"/>
      <c r="J774" s="57"/>
      <c r="K774" s="57"/>
      <c r="L774" s="57"/>
      <c r="M774" s="57"/>
    </row>
    <row r="775" spans="2:13" ht="12" x14ac:dyDescent="0.2">
      <c r="B775" s="56"/>
      <c r="C775" s="58"/>
      <c r="D775" s="58"/>
      <c r="E775" s="58"/>
      <c r="F775" s="58"/>
      <c r="G775" s="58"/>
      <c r="I775" s="56"/>
      <c r="J775" s="58"/>
      <c r="K775" s="58"/>
      <c r="L775" s="58"/>
      <c r="M775" s="58"/>
    </row>
    <row r="776" spans="2:13" ht="12" x14ac:dyDescent="0.2">
      <c r="B776" s="55"/>
      <c r="C776" s="57"/>
      <c r="D776" s="57"/>
      <c r="E776" s="57"/>
      <c r="F776" s="57"/>
      <c r="G776" s="57"/>
      <c r="I776" s="55"/>
      <c r="J776" s="57"/>
      <c r="K776" s="57"/>
      <c r="L776" s="57"/>
      <c r="M776" s="57"/>
    </row>
    <row r="777" spans="2:13" ht="12" x14ac:dyDescent="0.2">
      <c r="B777" s="56"/>
      <c r="C777" s="58"/>
      <c r="D777" s="58"/>
      <c r="E777" s="58"/>
      <c r="F777" s="58"/>
      <c r="G777" s="58"/>
      <c r="I777" s="56"/>
      <c r="J777" s="58"/>
      <c r="K777" s="58"/>
      <c r="L777" s="58"/>
      <c r="M777" s="58"/>
    </row>
    <row r="778" spans="2:13" ht="12" x14ac:dyDescent="0.2">
      <c r="B778" s="55"/>
      <c r="C778" s="57"/>
      <c r="D778" s="57"/>
      <c r="E778" s="57"/>
      <c r="F778" s="57"/>
      <c r="G778" s="57"/>
      <c r="I778" s="55"/>
      <c r="J778" s="57"/>
      <c r="K778" s="57"/>
      <c r="L778" s="57"/>
      <c r="M778" s="57"/>
    </row>
    <row r="779" spans="2:13" ht="12" x14ac:dyDescent="0.2">
      <c r="B779" s="56"/>
      <c r="C779" s="58"/>
      <c r="D779" s="58"/>
      <c r="E779" s="58"/>
      <c r="F779" s="58"/>
      <c r="G779" s="58"/>
      <c r="I779" s="56"/>
      <c r="J779" s="58"/>
      <c r="K779" s="58"/>
      <c r="L779" s="58"/>
      <c r="M779" s="58"/>
    </row>
    <row r="780" spans="2:13" ht="12" x14ac:dyDescent="0.2">
      <c r="B780" s="55"/>
      <c r="C780" s="57"/>
      <c r="D780" s="57"/>
      <c r="E780" s="57"/>
      <c r="F780" s="57"/>
      <c r="G780" s="57"/>
      <c r="I780" s="55"/>
      <c r="J780" s="57"/>
      <c r="K780" s="57"/>
      <c r="L780" s="57"/>
      <c r="M780" s="57"/>
    </row>
    <row r="781" spans="2:13" ht="12" x14ac:dyDescent="0.2">
      <c r="B781" s="56"/>
      <c r="C781" s="58"/>
      <c r="D781" s="58"/>
      <c r="E781" s="58"/>
      <c r="F781" s="58"/>
      <c r="G781" s="58"/>
      <c r="I781" s="56"/>
      <c r="J781" s="58"/>
      <c r="K781" s="58"/>
      <c r="L781" s="58"/>
      <c r="M781" s="58"/>
    </row>
    <row r="782" spans="2:13" ht="12" x14ac:dyDescent="0.2">
      <c r="B782" s="55"/>
      <c r="C782" s="57"/>
      <c r="D782" s="57"/>
      <c r="E782" s="57"/>
      <c r="F782" s="57"/>
      <c r="G782" s="57"/>
      <c r="I782" s="55"/>
      <c r="J782" s="57"/>
      <c r="K782" s="57"/>
      <c r="L782" s="57"/>
      <c r="M782" s="57"/>
    </row>
    <row r="783" spans="2:13" ht="12" x14ac:dyDescent="0.2">
      <c r="B783" s="56"/>
      <c r="C783" s="58"/>
      <c r="D783" s="58"/>
      <c r="E783" s="58"/>
      <c r="F783" s="58"/>
      <c r="G783" s="58"/>
      <c r="I783" s="56"/>
      <c r="J783" s="58"/>
      <c r="K783" s="58"/>
      <c r="L783" s="58"/>
      <c r="M783" s="58"/>
    </row>
    <row r="784" spans="2:13" ht="12" x14ac:dyDescent="0.2">
      <c r="B784" s="55"/>
      <c r="C784" s="57"/>
      <c r="D784" s="57"/>
      <c r="E784" s="57"/>
      <c r="F784" s="57"/>
      <c r="G784" s="57"/>
      <c r="I784" s="55"/>
      <c r="J784" s="57"/>
      <c r="K784" s="57"/>
      <c r="L784" s="57"/>
      <c r="M784" s="57"/>
    </row>
    <row r="785" spans="2:13" ht="12" x14ac:dyDescent="0.2">
      <c r="B785" s="56"/>
      <c r="C785" s="58"/>
      <c r="D785" s="58"/>
      <c r="E785" s="58"/>
      <c r="F785" s="58"/>
      <c r="G785" s="58"/>
      <c r="I785" s="56"/>
      <c r="J785" s="58"/>
      <c r="K785" s="58"/>
      <c r="L785" s="58"/>
      <c r="M785" s="58"/>
    </row>
    <row r="786" spans="2:13" ht="12" x14ac:dyDescent="0.2">
      <c r="B786" s="55"/>
      <c r="C786" s="57"/>
      <c r="D786" s="57"/>
      <c r="E786" s="57"/>
      <c r="F786" s="57"/>
      <c r="G786" s="57"/>
      <c r="I786" s="55"/>
      <c r="J786" s="57"/>
      <c r="K786" s="57"/>
      <c r="L786" s="57"/>
      <c r="M786" s="57"/>
    </row>
    <row r="787" spans="2:13" ht="12" x14ac:dyDescent="0.2">
      <c r="B787" s="56"/>
      <c r="C787" s="58"/>
      <c r="D787" s="58"/>
      <c r="E787" s="58"/>
      <c r="F787" s="58"/>
      <c r="G787" s="58"/>
      <c r="I787" s="56"/>
      <c r="J787" s="58"/>
      <c r="K787" s="58"/>
      <c r="L787" s="58"/>
      <c r="M787" s="58"/>
    </row>
    <row r="788" spans="2:13" ht="12" x14ac:dyDescent="0.2">
      <c r="B788" s="55"/>
      <c r="C788" s="57"/>
      <c r="D788" s="57"/>
      <c r="E788" s="57"/>
      <c r="F788" s="57"/>
      <c r="G788" s="57"/>
      <c r="I788" s="55"/>
      <c r="J788" s="57"/>
      <c r="K788" s="57"/>
      <c r="L788" s="57"/>
      <c r="M788" s="57"/>
    </row>
    <row r="789" spans="2:13" ht="12" x14ac:dyDescent="0.2">
      <c r="B789" s="56"/>
      <c r="C789" s="58"/>
      <c r="D789" s="58"/>
      <c r="E789" s="58"/>
      <c r="F789" s="58"/>
      <c r="G789" s="58"/>
      <c r="I789" s="56"/>
      <c r="J789" s="58"/>
      <c r="K789" s="58"/>
      <c r="L789" s="58"/>
      <c r="M789" s="58"/>
    </row>
    <row r="790" spans="2:13" ht="12" x14ac:dyDescent="0.2">
      <c r="B790" s="55"/>
      <c r="C790" s="57"/>
      <c r="D790" s="57"/>
      <c r="E790" s="57"/>
      <c r="F790" s="57"/>
      <c r="G790" s="57"/>
      <c r="I790" s="55"/>
      <c r="J790" s="57"/>
      <c r="K790" s="57"/>
      <c r="L790" s="57"/>
      <c r="M790" s="57"/>
    </row>
    <row r="791" spans="2:13" ht="12" x14ac:dyDescent="0.2">
      <c r="B791" s="56"/>
      <c r="C791" s="58"/>
      <c r="D791" s="58"/>
      <c r="E791" s="58"/>
      <c r="F791" s="58"/>
      <c r="G791" s="58"/>
      <c r="I791" s="56"/>
      <c r="J791" s="58"/>
      <c r="K791" s="58"/>
      <c r="L791" s="58"/>
      <c r="M791" s="58"/>
    </row>
    <row r="792" spans="2:13" ht="12" x14ac:dyDescent="0.2">
      <c r="B792" s="55"/>
      <c r="C792" s="57"/>
      <c r="D792" s="57"/>
      <c r="E792" s="57"/>
      <c r="F792" s="57"/>
      <c r="G792" s="57"/>
      <c r="I792" s="55"/>
      <c r="J792" s="57"/>
      <c r="K792" s="57"/>
      <c r="L792" s="57"/>
      <c r="M792" s="57"/>
    </row>
    <row r="793" spans="2:13" ht="12" x14ac:dyDescent="0.2">
      <c r="B793" s="56"/>
      <c r="C793" s="58"/>
      <c r="D793" s="58"/>
      <c r="E793" s="58"/>
      <c r="F793" s="58"/>
      <c r="G793" s="58"/>
      <c r="I793" s="56"/>
      <c r="J793" s="58"/>
      <c r="K793" s="58"/>
      <c r="L793" s="58"/>
      <c r="M793" s="58"/>
    </row>
    <row r="794" spans="2:13" ht="12" x14ac:dyDescent="0.2">
      <c r="B794" s="55"/>
      <c r="C794" s="57"/>
      <c r="D794" s="57"/>
      <c r="E794" s="57"/>
      <c r="F794" s="57"/>
      <c r="G794" s="57"/>
      <c r="I794" s="55"/>
      <c r="J794" s="57"/>
      <c r="K794" s="57"/>
      <c r="L794" s="57"/>
      <c r="M794" s="57"/>
    </row>
    <row r="795" spans="2:13" ht="12" x14ac:dyDescent="0.2">
      <c r="B795" s="56"/>
      <c r="C795" s="58"/>
      <c r="D795" s="58"/>
      <c r="E795" s="58"/>
      <c r="F795" s="58"/>
      <c r="G795" s="58"/>
      <c r="I795" s="56"/>
      <c r="J795" s="58"/>
      <c r="K795" s="58"/>
      <c r="L795" s="58"/>
      <c r="M795" s="58"/>
    </row>
    <row r="796" spans="2:13" ht="12" x14ac:dyDescent="0.2">
      <c r="B796" s="55"/>
      <c r="C796" s="57"/>
      <c r="D796" s="57"/>
      <c r="E796" s="57"/>
      <c r="F796" s="57"/>
      <c r="G796" s="57"/>
      <c r="I796" s="55"/>
      <c r="J796" s="57"/>
      <c r="K796" s="57"/>
      <c r="L796" s="57"/>
      <c r="M796" s="57"/>
    </row>
    <row r="797" spans="2:13" ht="12" x14ac:dyDescent="0.2">
      <c r="B797" s="56"/>
      <c r="C797" s="58"/>
      <c r="D797" s="58"/>
      <c r="E797" s="58"/>
      <c r="F797" s="58"/>
      <c r="G797" s="58"/>
      <c r="I797" s="56"/>
      <c r="J797" s="58"/>
      <c r="K797" s="58"/>
      <c r="L797" s="58"/>
      <c r="M797" s="58"/>
    </row>
    <row r="798" spans="2:13" ht="12" x14ac:dyDescent="0.2">
      <c r="B798" s="55"/>
      <c r="C798" s="57"/>
      <c r="D798" s="57"/>
      <c r="E798" s="57"/>
      <c r="F798" s="57"/>
      <c r="G798" s="57"/>
      <c r="I798" s="55"/>
      <c r="J798" s="57"/>
      <c r="K798" s="57"/>
      <c r="L798" s="57"/>
      <c r="M798" s="57"/>
    </row>
    <row r="799" spans="2:13" ht="12" x14ac:dyDescent="0.2">
      <c r="B799" s="56"/>
      <c r="C799" s="58"/>
      <c r="D799" s="58"/>
      <c r="E799" s="58"/>
      <c r="F799" s="58"/>
      <c r="G799" s="58"/>
      <c r="I799" s="56"/>
      <c r="J799" s="58"/>
      <c r="K799" s="58"/>
      <c r="L799" s="58"/>
      <c r="M799" s="58"/>
    </row>
    <row r="800" spans="2:13" ht="12" x14ac:dyDescent="0.2">
      <c r="B800" s="55"/>
      <c r="C800" s="57"/>
      <c r="D800" s="57"/>
      <c r="E800" s="57"/>
      <c r="F800" s="57"/>
      <c r="G800" s="57"/>
      <c r="I800" s="55"/>
      <c r="J800" s="57"/>
      <c r="K800" s="57"/>
      <c r="L800" s="57"/>
      <c r="M800" s="57"/>
    </row>
    <row r="801" spans="2:13" ht="12" x14ac:dyDescent="0.2">
      <c r="B801" s="56"/>
      <c r="C801" s="58"/>
      <c r="D801" s="58"/>
      <c r="E801" s="58"/>
      <c r="F801" s="58"/>
      <c r="G801" s="58"/>
      <c r="I801" s="56"/>
      <c r="J801" s="58"/>
      <c r="K801" s="58"/>
      <c r="L801" s="58"/>
      <c r="M801" s="58"/>
    </row>
    <row r="802" spans="2:13" ht="12" x14ac:dyDescent="0.2">
      <c r="B802" s="55"/>
      <c r="C802" s="57"/>
      <c r="D802" s="57"/>
      <c r="E802" s="57"/>
      <c r="F802" s="57"/>
      <c r="G802" s="57"/>
      <c r="I802" s="55"/>
      <c r="J802" s="57"/>
      <c r="K802" s="57"/>
      <c r="L802" s="57"/>
      <c r="M802" s="57"/>
    </row>
    <row r="803" spans="2:13" ht="12" x14ac:dyDescent="0.2">
      <c r="B803" s="56"/>
      <c r="C803" s="58"/>
      <c r="D803" s="58"/>
      <c r="E803" s="58"/>
      <c r="F803" s="58"/>
      <c r="G803" s="58"/>
      <c r="I803" s="56"/>
      <c r="J803" s="58"/>
      <c r="K803" s="58"/>
      <c r="L803" s="58"/>
      <c r="M803" s="58"/>
    </row>
    <row r="804" spans="2:13" ht="12" x14ac:dyDescent="0.2">
      <c r="B804" s="55"/>
      <c r="C804" s="57"/>
      <c r="D804" s="57"/>
      <c r="E804" s="57"/>
      <c r="F804" s="57"/>
      <c r="G804" s="57"/>
      <c r="I804" s="55"/>
      <c r="J804" s="57"/>
      <c r="K804" s="57"/>
      <c r="L804" s="57"/>
      <c r="M804" s="57"/>
    </row>
    <row r="805" spans="2:13" ht="12" x14ac:dyDescent="0.2">
      <c r="B805" s="56"/>
      <c r="C805" s="58"/>
      <c r="D805" s="58"/>
      <c r="E805" s="58"/>
      <c r="F805" s="58"/>
      <c r="G805" s="58"/>
      <c r="I805" s="56"/>
      <c r="J805" s="58"/>
      <c r="K805" s="58"/>
      <c r="L805" s="58"/>
      <c r="M805" s="58"/>
    </row>
    <row r="806" spans="2:13" ht="12" x14ac:dyDescent="0.2">
      <c r="B806" s="55"/>
      <c r="C806" s="57"/>
      <c r="D806" s="57"/>
      <c r="E806" s="57"/>
      <c r="F806" s="57"/>
      <c r="G806" s="57"/>
      <c r="I806" s="55"/>
      <c r="J806" s="57"/>
      <c r="K806" s="57"/>
      <c r="L806" s="57"/>
      <c r="M806" s="57"/>
    </row>
    <row r="807" spans="2:13" ht="12" x14ac:dyDescent="0.2">
      <c r="B807" s="56"/>
      <c r="C807" s="58"/>
      <c r="D807" s="58"/>
      <c r="E807" s="58"/>
      <c r="F807" s="58"/>
      <c r="G807" s="58"/>
      <c r="I807" s="56"/>
      <c r="J807" s="58"/>
      <c r="K807" s="58"/>
      <c r="L807" s="58"/>
      <c r="M807" s="58"/>
    </row>
    <row r="808" spans="2:13" ht="12" x14ac:dyDescent="0.2">
      <c r="B808" s="55"/>
      <c r="C808" s="57"/>
      <c r="D808" s="57"/>
      <c r="E808" s="57"/>
      <c r="F808" s="57"/>
      <c r="G808" s="57"/>
      <c r="I808" s="55"/>
      <c r="J808" s="57"/>
      <c r="K808" s="57"/>
      <c r="L808" s="57"/>
      <c r="M808" s="57"/>
    </row>
    <row r="809" spans="2:13" ht="12" x14ac:dyDescent="0.2">
      <c r="B809" s="56"/>
      <c r="C809" s="58"/>
      <c r="D809" s="58"/>
      <c r="E809" s="58"/>
      <c r="F809" s="58"/>
      <c r="G809" s="58"/>
      <c r="I809" s="56"/>
      <c r="J809" s="58"/>
      <c r="K809" s="58"/>
      <c r="L809" s="58"/>
      <c r="M809" s="58"/>
    </row>
    <row r="810" spans="2:13" ht="12" x14ac:dyDescent="0.2">
      <c r="B810" s="55"/>
      <c r="C810" s="57"/>
      <c r="D810" s="57"/>
      <c r="E810" s="57"/>
      <c r="F810" s="57"/>
      <c r="G810" s="57"/>
      <c r="I810" s="55"/>
      <c r="J810" s="57"/>
      <c r="K810" s="57"/>
      <c r="L810" s="57"/>
      <c r="M810" s="57"/>
    </row>
    <row r="811" spans="2:13" ht="12" x14ac:dyDescent="0.2">
      <c r="B811" s="56"/>
      <c r="C811" s="58"/>
      <c r="D811" s="58"/>
      <c r="E811" s="58"/>
      <c r="F811" s="58"/>
      <c r="G811" s="58"/>
      <c r="I811" s="56"/>
      <c r="J811" s="58"/>
      <c r="K811" s="58"/>
      <c r="L811" s="58"/>
      <c r="M811" s="58"/>
    </row>
    <row r="812" spans="2:13" ht="12" x14ac:dyDescent="0.2">
      <c r="B812" s="55"/>
      <c r="C812" s="57"/>
      <c r="D812" s="57"/>
      <c r="E812" s="57"/>
      <c r="F812" s="57"/>
      <c r="G812" s="57"/>
      <c r="I812" s="55"/>
      <c r="J812" s="57"/>
      <c r="K812" s="57"/>
      <c r="L812" s="57"/>
      <c r="M812" s="57"/>
    </row>
    <row r="813" spans="2:13" ht="12" x14ac:dyDescent="0.2">
      <c r="B813" s="56"/>
      <c r="C813" s="58"/>
      <c r="D813" s="58"/>
      <c r="E813" s="58"/>
      <c r="F813" s="58"/>
      <c r="G813" s="58"/>
      <c r="I813" s="56"/>
      <c r="J813" s="58"/>
      <c r="K813" s="58"/>
      <c r="L813" s="58"/>
      <c r="M813" s="58"/>
    </row>
    <row r="814" spans="2:13" ht="12" x14ac:dyDescent="0.2">
      <c r="B814" s="55"/>
      <c r="C814" s="57"/>
      <c r="D814" s="57"/>
      <c r="E814" s="57"/>
      <c r="F814" s="57"/>
      <c r="G814" s="57"/>
      <c r="I814" s="55"/>
      <c r="J814" s="57"/>
      <c r="K814" s="57"/>
      <c r="L814" s="57"/>
      <c r="M814" s="57"/>
    </row>
    <row r="815" spans="2:13" ht="12" x14ac:dyDescent="0.2">
      <c r="B815" s="56"/>
      <c r="C815" s="58"/>
      <c r="D815" s="58"/>
      <c r="E815" s="58"/>
      <c r="F815" s="58"/>
      <c r="G815" s="58"/>
      <c r="I815" s="56"/>
      <c r="J815" s="58"/>
      <c r="K815" s="58"/>
      <c r="L815" s="58"/>
      <c r="M815" s="58"/>
    </row>
    <row r="816" spans="2:13" ht="12" x14ac:dyDescent="0.2">
      <c r="B816" s="55"/>
      <c r="C816" s="57"/>
      <c r="D816" s="57"/>
      <c r="E816" s="57"/>
      <c r="F816" s="57"/>
      <c r="G816" s="57"/>
      <c r="I816" s="55"/>
      <c r="J816" s="57"/>
      <c r="K816" s="57"/>
      <c r="L816" s="57"/>
      <c r="M816" s="57"/>
    </row>
    <row r="817" spans="2:13" ht="12" x14ac:dyDescent="0.2">
      <c r="B817" s="56"/>
      <c r="C817" s="58"/>
      <c r="D817" s="58"/>
      <c r="E817" s="58"/>
      <c r="F817" s="58"/>
      <c r="G817" s="58"/>
      <c r="I817" s="56"/>
      <c r="J817" s="58"/>
      <c r="K817" s="58"/>
      <c r="L817" s="58"/>
      <c r="M817" s="58"/>
    </row>
    <row r="818" spans="2:13" ht="12" x14ac:dyDescent="0.2">
      <c r="B818" s="55"/>
      <c r="C818" s="57"/>
      <c r="D818" s="57"/>
      <c r="E818" s="57"/>
      <c r="F818" s="57"/>
      <c r="G818" s="57"/>
      <c r="I818" s="55"/>
      <c r="J818" s="57"/>
      <c r="K818" s="57"/>
      <c r="L818" s="57"/>
      <c r="M818" s="57"/>
    </row>
    <row r="819" spans="2:13" ht="12" x14ac:dyDescent="0.2">
      <c r="B819" s="56"/>
      <c r="C819" s="58"/>
      <c r="D819" s="58"/>
      <c r="E819" s="58"/>
      <c r="F819" s="58"/>
      <c r="G819" s="58"/>
      <c r="I819" s="56"/>
      <c r="J819" s="58"/>
      <c r="K819" s="58"/>
      <c r="L819" s="58"/>
      <c r="M819" s="58"/>
    </row>
    <row r="820" spans="2:13" ht="12" x14ac:dyDescent="0.2">
      <c r="B820" s="55"/>
      <c r="C820" s="57"/>
      <c r="D820" s="57"/>
      <c r="E820" s="57"/>
      <c r="F820" s="57"/>
      <c r="G820" s="57"/>
      <c r="I820" s="55"/>
      <c r="J820" s="57"/>
      <c r="K820" s="57"/>
      <c r="L820" s="57"/>
      <c r="M820" s="57"/>
    </row>
    <row r="821" spans="2:13" ht="12" x14ac:dyDescent="0.2">
      <c r="B821" s="56"/>
      <c r="C821" s="58"/>
      <c r="D821" s="58"/>
      <c r="E821" s="58"/>
      <c r="F821" s="58"/>
      <c r="G821" s="58"/>
      <c r="I821" s="56"/>
      <c r="J821" s="58"/>
      <c r="K821" s="58"/>
      <c r="L821" s="58"/>
      <c r="M821" s="58"/>
    </row>
    <row r="822" spans="2:13" ht="12" x14ac:dyDescent="0.2">
      <c r="B822" s="55"/>
      <c r="C822" s="57"/>
      <c r="D822" s="57"/>
      <c r="E822" s="57"/>
      <c r="F822" s="57"/>
      <c r="G822" s="57"/>
      <c r="I822" s="55"/>
      <c r="J822" s="57"/>
      <c r="K822" s="57"/>
      <c r="L822" s="57"/>
      <c r="M822" s="57"/>
    </row>
    <row r="823" spans="2:13" ht="12" x14ac:dyDescent="0.2">
      <c r="B823" s="56"/>
      <c r="C823" s="58"/>
      <c r="D823" s="58"/>
      <c r="E823" s="58"/>
      <c r="F823" s="58"/>
      <c r="G823" s="58"/>
      <c r="I823" s="56"/>
      <c r="J823" s="58"/>
      <c r="K823" s="58"/>
      <c r="L823" s="58"/>
      <c r="M823" s="58"/>
    </row>
    <row r="824" spans="2:13" ht="12" x14ac:dyDescent="0.2">
      <c r="B824" s="55"/>
      <c r="C824" s="57"/>
      <c r="D824" s="57"/>
      <c r="E824" s="57"/>
      <c r="F824" s="57"/>
      <c r="G824" s="57"/>
      <c r="I824" s="55"/>
      <c r="J824" s="57"/>
      <c r="K824" s="57"/>
      <c r="L824" s="57"/>
      <c r="M824" s="57"/>
    </row>
    <row r="825" spans="2:13" ht="12" x14ac:dyDescent="0.2">
      <c r="B825" s="56"/>
      <c r="C825" s="58"/>
      <c r="D825" s="58"/>
      <c r="E825" s="58"/>
      <c r="F825" s="58"/>
      <c r="G825" s="58"/>
      <c r="I825" s="56"/>
      <c r="J825" s="58"/>
      <c r="K825" s="58"/>
      <c r="L825" s="58"/>
      <c r="M825" s="58"/>
    </row>
    <row r="826" spans="2:13" ht="12" x14ac:dyDescent="0.2">
      <c r="B826" s="55"/>
      <c r="C826" s="57"/>
      <c r="D826" s="57"/>
      <c r="E826" s="57"/>
      <c r="F826" s="57"/>
      <c r="G826" s="57"/>
      <c r="I826" s="55"/>
      <c r="J826" s="57"/>
      <c r="K826" s="57"/>
      <c r="L826" s="57"/>
      <c r="M826" s="57"/>
    </row>
    <row r="827" spans="2:13" ht="12" x14ac:dyDescent="0.2">
      <c r="B827" s="56"/>
      <c r="C827" s="58"/>
      <c r="D827" s="58"/>
      <c r="E827" s="58"/>
      <c r="F827" s="58"/>
      <c r="G827" s="58"/>
      <c r="I827" s="56"/>
      <c r="J827" s="58"/>
      <c r="K827" s="58"/>
      <c r="L827" s="58"/>
      <c r="M827" s="58"/>
    </row>
    <row r="828" spans="2:13" ht="12" x14ac:dyDescent="0.2">
      <c r="B828" s="55"/>
      <c r="C828" s="57"/>
      <c r="D828" s="57"/>
      <c r="E828" s="57"/>
      <c r="F828" s="57"/>
      <c r="G828" s="57"/>
      <c r="I828" s="55"/>
      <c r="J828" s="57"/>
      <c r="K828" s="57"/>
      <c r="L828" s="57"/>
      <c r="M828" s="57"/>
    </row>
    <row r="829" spans="2:13" ht="12" x14ac:dyDescent="0.2">
      <c r="B829" s="56"/>
      <c r="C829" s="58"/>
      <c r="D829" s="58"/>
      <c r="E829" s="58"/>
      <c r="F829" s="58"/>
      <c r="G829" s="58"/>
      <c r="I829" s="56"/>
      <c r="J829" s="58"/>
      <c r="K829" s="58"/>
      <c r="L829" s="58"/>
      <c r="M829" s="58"/>
    </row>
    <row r="830" spans="2:13" ht="12" x14ac:dyDescent="0.2">
      <c r="B830" s="55"/>
      <c r="C830" s="57"/>
      <c r="D830" s="57"/>
      <c r="E830" s="57"/>
      <c r="F830" s="57"/>
      <c r="G830" s="57"/>
      <c r="I830" s="55"/>
      <c r="J830" s="57"/>
      <c r="K830" s="57"/>
      <c r="L830" s="57"/>
      <c r="M830" s="57"/>
    </row>
    <row r="831" spans="2:13" ht="12" x14ac:dyDescent="0.2">
      <c r="B831" s="56"/>
      <c r="C831" s="58"/>
      <c r="D831" s="58"/>
      <c r="E831" s="58"/>
      <c r="F831" s="58"/>
      <c r="G831" s="58"/>
      <c r="I831" s="56"/>
      <c r="J831" s="58"/>
      <c r="K831" s="58"/>
      <c r="L831" s="58"/>
      <c r="M831" s="58"/>
    </row>
    <row r="832" spans="2:13" ht="12" x14ac:dyDescent="0.2">
      <c r="B832" s="55"/>
      <c r="C832" s="57"/>
      <c r="D832" s="57"/>
      <c r="E832" s="57"/>
      <c r="F832" s="57"/>
      <c r="G832" s="57"/>
      <c r="I832" s="55"/>
      <c r="J832" s="57"/>
      <c r="K832" s="57"/>
      <c r="L832" s="57"/>
      <c r="M832" s="57"/>
    </row>
    <row r="833" spans="2:13" ht="12" x14ac:dyDescent="0.2">
      <c r="B833" s="56"/>
      <c r="C833" s="58"/>
      <c r="D833" s="58"/>
      <c r="E833" s="58"/>
      <c r="F833" s="58"/>
      <c r="G833" s="58"/>
      <c r="I833" s="56"/>
      <c r="J833" s="58"/>
      <c r="K833" s="58"/>
      <c r="L833" s="58"/>
      <c r="M833" s="58"/>
    </row>
    <row r="834" spans="2:13" ht="12" x14ac:dyDescent="0.2">
      <c r="B834" s="55"/>
      <c r="C834" s="57"/>
      <c r="D834" s="57"/>
      <c r="E834" s="57"/>
      <c r="F834" s="57"/>
      <c r="G834" s="57"/>
      <c r="I834" s="55"/>
      <c r="J834" s="57"/>
      <c r="K834" s="57"/>
      <c r="L834" s="57"/>
      <c r="M834" s="57"/>
    </row>
    <row r="835" spans="2:13" ht="12" x14ac:dyDescent="0.2">
      <c r="B835" s="56"/>
      <c r="C835" s="58"/>
      <c r="D835" s="58"/>
      <c r="E835" s="58"/>
      <c r="F835" s="58"/>
      <c r="G835" s="58"/>
      <c r="I835" s="56"/>
      <c r="J835" s="58"/>
      <c r="K835" s="58"/>
      <c r="L835" s="58"/>
      <c r="M835" s="58"/>
    </row>
    <row r="836" spans="2:13" ht="12" x14ac:dyDescent="0.2">
      <c r="B836" s="55"/>
      <c r="C836" s="57"/>
      <c r="D836" s="57"/>
      <c r="E836" s="57"/>
      <c r="F836" s="57"/>
      <c r="G836" s="57"/>
      <c r="I836" s="55"/>
      <c r="J836" s="57"/>
      <c r="K836" s="57"/>
      <c r="L836" s="57"/>
      <c r="M836" s="57"/>
    </row>
    <row r="837" spans="2:13" ht="12" x14ac:dyDescent="0.2">
      <c r="B837" s="56"/>
      <c r="C837" s="58"/>
      <c r="D837" s="58"/>
      <c r="E837" s="58"/>
      <c r="F837" s="58"/>
      <c r="G837" s="58"/>
      <c r="I837" s="56"/>
      <c r="J837" s="58"/>
      <c r="K837" s="58"/>
      <c r="L837" s="58"/>
      <c r="M837" s="58"/>
    </row>
    <row r="838" spans="2:13" ht="12" x14ac:dyDescent="0.2">
      <c r="B838" s="55"/>
      <c r="C838" s="57"/>
      <c r="D838" s="57"/>
      <c r="E838" s="57"/>
      <c r="F838" s="57"/>
      <c r="G838" s="57"/>
      <c r="I838" s="55"/>
      <c r="J838" s="57"/>
      <c r="K838" s="57"/>
      <c r="L838" s="57"/>
      <c r="M838" s="57"/>
    </row>
    <row r="839" spans="2:13" ht="12" x14ac:dyDescent="0.2">
      <c r="B839" s="56"/>
      <c r="C839" s="58"/>
      <c r="D839" s="58"/>
      <c r="E839" s="58"/>
      <c r="F839" s="58"/>
      <c r="G839" s="58"/>
      <c r="I839" s="56"/>
      <c r="J839" s="58"/>
      <c r="K839" s="58"/>
      <c r="L839" s="58"/>
      <c r="M839" s="58"/>
    </row>
    <row r="840" spans="2:13" ht="12" x14ac:dyDescent="0.2">
      <c r="B840" s="55"/>
      <c r="C840" s="57"/>
      <c r="D840" s="57"/>
      <c r="E840" s="57"/>
      <c r="F840" s="57"/>
      <c r="G840" s="57"/>
      <c r="I840" s="55"/>
      <c r="J840" s="57"/>
      <c r="K840" s="57"/>
      <c r="L840" s="57"/>
      <c r="M840" s="57"/>
    </row>
    <row r="841" spans="2:13" ht="12" x14ac:dyDescent="0.2">
      <c r="B841" s="56"/>
      <c r="C841" s="58"/>
      <c r="D841" s="58"/>
      <c r="E841" s="58"/>
      <c r="F841" s="58"/>
      <c r="G841" s="58"/>
      <c r="I841" s="56"/>
      <c r="J841" s="58"/>
      <c r="K841" s="58"/>
      <c r="L841" s="58"/>
      <c r="M841" s="58"/>
    </row>
    <row r="842" spans="2:13" ht="12" x14ac:dyDescent="0.2">
      <c r="B842" s="55"/>
      <c r="C842" s="57"/>
      <c r="D842" s="57"/>
      <c r="E842" s="57"/>
      <c r="F842" s="57"/>
      <c r="G842" s="57"/>
      <c r="I842" s="55"/>
      <c r="J842" s="57"/>
      <c r="K842" s="57"/>
      <c r="L842" s="57"/>
      <c r="M842" s="57"/>
    </row>
    <row r="843" spans="2:13" ht="12" x14ac:dyDescent="0.2">
      <c r="B843" s="56"/>
      <c r="C843" s="58"/>
      <c r="D843" s="58"/>
      <c r="E843" s="58"/>
      <c r="F843" s="58"/>
      <c r="G843" s="58"/>
      <c r="I843" s="56"/>
      <c r="J843" s="58"/>
      <c r="K843" s="58"/>
      <c r="L843" s="58"/>
      <c r="M843" s="58"/>
    </row>
    <row r="844" spans="2:13" ht="12" x14ac:dyDescent="0.2">
      <c r="B844" s="55"/>
      <c r="C844" s="57"/>
      <c r="D844" s="57"/>
      <c r="E844" s="57"/>
      <c r="F844" s="57"/>
      <c r="G844" s="57"/>
      <c r="I844" s="55"/>
      <c r="J844" s="57"/>
      <c r="K844" s="57"/>
      <c r="L844" s="57"/>
      <c r="M844" s="57"/>
    </row>
    <row r="845" spans="2:13" ht="12" x14ac:dyDescent="0.2">
      <c r="B845" s="56"/>
      <c r="C845" s="58"/>
      <c r="D845" s="58"/>
      <c r="E845" s="58"/>
      <c r="F845" s="58"/>
      <c r="G845" s="58"/>
      <c r="I845" s="56"/>
      <c r="J845" s="58"/>
      <c r="K845" s="58"/>
      <c r="L845" s="58"/>
      <c r="M845" s="58"/>
    </row>
    <row r="846" spans="2:13" ht="12" x14ac:dyDescent="0.2">
      <c r="B846" s="55"/>
      <c r="C846" s="57"/>
      <c r="D846" s="57"/>
      <c r="E846" s="57"/>
      <c r="F846" s="57"/>
      <c r="G846" s="57"/>
      <c r="I846" s="55"/>
      <c r="J846" s="57"/>
      <c r="K846" s="57"/>
      <c r="L846" s="57"/>
      <c r="M846" s="57"/>
    </row>
    <row r="847" spans="2:13" ht="12" x14ac:dyDescent="0.2">
      <c r="B847" s="56"/>
      <c r="C847" s="58"/>
      <c r="D847" s="58"/>
      <c r="E847" s="58"/>
      <c r="F847" s="58"/>
      <c r="G847" s="58"/>
      <c r="I847" s="56"/>
      <c r="J847" s="58"/>
      <c r="K847" s="58"/>
      <c r="L847" s="58"/>
      <c r="M847" s="58"/>
    </row>
    <row r="848" spans="2:13" ht="12" x14ac:dyDescent="0.2">
      <c r="B848" s="55"/>
      <c r="C848" s="57"/>
      <c r="D848" s="57"/>
      <c r="E848" s="57"/>
      <c r="F848" s="57"/>
      <c r="G848" s="57"/>
      <c r="I848" s="55"/>
      <c r="J848" s="57"/>
      <c r="K848" s="57"/>
      <c r="L848" s="57"/>
      <c r="M848" s="57"/>
    </row>
    <row r="849" spans="2:13" ht="12" x14ac:dyDescent="0.2">
      <c r="B849" s="56"/>
      <c r="C849" s="58"/>
      <c r="D849" s="58"/>
      <c r="E849" s="58"/>
      <c r="F849" s="58"/>
      <c r="G849" s="58"/>
      <c r="I849" s="56"/>
      <c r="J849" s="58"/>
      <c r="K849" s="58"/>
      <c r="L849" s="58"/>
      <c r="M849" s="58"/>
    </row>
    <row r="850" spans="2:13" ht="12" x14ac:dyDescent="0.2">
      <c r="B850" s="55"/>
      <c r="C850" s="57"/>
      <c r="D850" s="57"/>
      <c r="E850" s="57"/>
      <c r="F850" s="57"/>
      <c r="G850" s="57"/>
      <c r="I850" s="55"/>
      <c r="J850" s="57"/>
      <c r="K850" s="57"/>
      <c r="L850" s="57"/>
      <c r="M850" s="57"/>
    </row>
    <row r="851" spans="2:13" ht="12" x14ac:dyDescent="0.2">
      <c r="B851" s="56"/>
      <c r="C851" s="58"/>
      <c r="D851" s="58"/>
      <c r="E851" s="58"/>
      <c r="F851" s="58"/>
      <c r="G851" s="58"/>
      <c r="I851" s="56"/>
      <c r="J851" s="58"/>
      <c r="K851" s="58"/>
      <c r="L851" s="58"/>
      <c r="M851" s="58"/>
    </row>
    <row r="852" spans="2:13" ht="12" x14ac:dyDescent="0.2">
      <c r="B852" s="55"/>
      <c r="C852" s="57"/>
      <c r="D852" s="57"/>
      <c r="E852" s="57"/>
      <c r="F852" s="57"/>
      <c r="G852" s="57"/>
      <c r="I852" s="55"/>
      <c r="J852" s="57"/>
      <c r="K852" s="57"/>
      <c r="L852" s="57"/>
      <c r="M852" s="57"/>
    </row>
    <row r="853" spans="2:13" ht="12" x14ac:dyDescent="0.2">
      <c r="B853" s="56"/>
      <c r="C853" s="58"/>
      <c r="D853" s="58"/>
      <c r="E853" s="58"/>
      <c r="F853" s="58"/>
      <c r="G853" s="58"/>
      <c r="I853" s="56"/>
      <c r="J853" s="58"/>
      <c r="K853" s="58"/>
      <c r="L853" s="58"/>
      <c r="M853" s="58"/>
    </row>
    <row r="854" spans="2:13" ht="12" x14ac:dyDescent="0.2">
      <c r="B854" s="55"/>
      <c r="C854" s="57"/>
      <c r="D854" s="57"/>
      <c r="E854" s="57"/>
      <c r="F854" s="57"/>
      <c r="G854" s="57"/>
      <c r="I854" s="55"/>
      <c r="J854" s="57"/>
      <c r="K854" s="57"/>
      <c r="L854" s="57"/>
      <c r="M854" s="57"/>
    </row>
    <row r="855" spans="2:13" ht="12" x14ac:dyDescent="0.2">
      <c r="B855" s="56"/>
      <c r="C855" s="58"/>
      <c r="D855" s="58"/>
      <c r="E855" s="58"/>
      <c r="F855" s="58"/>
      <c r="G855" s="58"/>
      <c r="I855" s="56"/>
      <c r="J855" s="58"/>
      <c r="K855" s="58"/>
      <c r="L855" s="58"/>
      <c r="M855" s="58"/>
    </row>
    <row r="856" spans="2:13" ht="12" x14ac:dyDescent="0.2">
      <c r="B856" s="55"/>
      <c r="C856" s="57"/>
      <c r="D856" s="57"/>
      <c r="E856" s="57"/>
      <c r="F856" s="57"/>
      <c r="G856" s="57"/>
      <c r="I856" s="55"/>
      <c r="J856" s="57"/>
      <c r="K856" s="57"/>
      <c r="L856" s="57"/>
      <c r="M856" s="57"/>
    </row>
    <row r="857" spans="2:13" ht="12" x14ac:dyDescent="0.2">
      <c r="B857" s="56"/>
      <c r="C857" s="58"/>
      <c r="D857" s="58"/>
      <c r="E857" s="58"/>
      <c r="F857" s="58"/>
      <c r="G857" s="58"/>
      <c r="I857" s="56"/>
      <c r="J857" s="58"/>
      <c r="K857" s="58"/>
      <c r="L857" s="58"/>
      <c r="M857" s="58"/>
    </row>
    <row r="858" spans="2:13" ht="12" x14ac:dyDescent="0.2">
      <c r="B858" s="55"/>
      <c r="C858" s="57"/>
      <c r="D858" s="57"/>
      <c r="E858" s="57"/>
      <c r="F858" s="57"/>
      <c r="G858" s="57"/>
      <c r="I858" s="55"/>
      <c r="J858" s="57"/>
      <c r="K858" s="57"/>
      <c r="L858" s="57"/>
      <c r="M858" s="57"/>
    </row>
    <row r="859" spans="2:13" ht="12" x14ac:dyDescent="0.2">
      <c r="B859" s="56"/>
      <c r="C859" s="58"/>
      <c r="D859" s="58"/>
      <c r="E859" s="58"/>
      <c r="F859" s="58"/>
      <c r="G859" s="58"/>
      <c r="I859" s="56"/>
      <c r="J859" s="58"/>
      <c r="K859" s="58"/>
      <c r="L859" s="58"/>
      <c r="M859" s="58"/>
    </row>
    <row r="860" spans="2:13" ht="12" x14ac:dyDescent="0.2">
      <c r="B860" s="55"/>
      <c r="C860" s="57"/>
      <c r="D860" s="57"/>
      <c r="E860" s="57"/>
      <c r="F860" s="57"/>
      <c r="G860" s="57"/>
      <c r="I860" s="55"/>
      <c r="J860" s="57"/>
      <c r="K860" s="57"/>
      <c r="L860" s="57"/>
      <c r="M860" s="57"/>
    </row>
    <row r="861" spans="2:13" ht="12" x14ac:dyDescent="0.2">
      <c r="B861" s="56"/>
      <c r="C861" s="58"/>
      <c r="D861" s="58"/>
      <c r="E861" s="58"/>
      <c r="F861" s="58"/>
      <c r="G861" s="58"/>
      <c r="I861" s="56"/>
      <c r="J861" s="58"/>
      <c r="K861" s="58"/>
      <c r="L861" s="58"/>
      <c r="M861" s="58"/>
    </row>
    <row r="862" spans="2:13" ht="12" x14ac:dyDescent="0.2">
      <c r="B862" s="55"/>
      <c r="C862" s="57"/>
      <c r="D862" s="57"/>
      <c r="E862" s="57"/>
      <c r="F862" s="57"/>
      <c r="G862" s="57"/>
      <c r="I862" s="55"/>
      <c r="J862" s="57"/>
      <c r="K862" s="57"/>
      <c r="L862" s="57"/>
      <c r="M862" s="57"/>
    </row>
    <row r="863" spans="2:13" ht="12" x14ac:dyDescent="0.2">
      <c r="B863" s="56"/>
      <c r="C863" s="58"/>
      <c r="D863" s="58"/>
      <c r="E863" s="58"/>
      <c r="F863" s="58"/>
      <c r="G863" s="58"/>
      <c r="I863" s="56"/>
      <c r="J863" s="58"/>
      <c r="K863" s="58"/>
      <c r="L863" s="58"/>
      <c r="M863" s="58"/>
    </row>
    <row r="864" spans="2:13" ht="12" x14ac:dyDescent="0.2">
      <c r="B864" s="55"/>
      <c r="C864" s="57"/>
      <c r="D864" s="57"/>
      <c r="E864" s="57"/>
      <c r="F864" s="57"/>
      <c r="G864" s="57"/>
      <c r="I864" s="55"/>
      <c r="J864" s="57"/>
      <c r="K864" s="57"/>
      <c r="L864" s="57"/>
      <c r="M864" s="57"/>
    </row>
    <row r="865" spans="2:13" ht="12" x14ac:dyDescent="0.2">
      <c r="B865" s="56"/>
      <c r="C865" s="58"/>
      <c r="D865" s="58"/>
      <c r="E865" s="58"/>
      <c r="F865" s="58"/>
      <c r="G865" s="58"/>
      <c r="I865" s="56"/>
      <c r="J865" s="58"/>
      <c r="K865" s="58"/>
      <c r="L865" s="58"/>
      <c r="M865" s="58"/>
    </row>
    <row r="866" spans="2:13" ht="12" x14ac:dyDescent="0.2">
      <c r="B866" s="55"/>
      <c r="C866" s="57"/>
      <c r="D866" s="57"/>
      <c r="E866" s="57"/>
      <c r="F866" s="57"/>
      <c r="G866" s="57"/>
      <c r="I866" s="55"/>
      <c r="J866" s="57"/>
      <c r="K866" s="57"/>
      <c r="L866" s="57"/>
      <c r="M866" s="57"/>
    </row>
    <row r="867" spans="2:13" ht="12" x14ac:dyDescent="0.2">
      <c r="B867" s="56"/>
      <c r="C867" s="58"/>
      <c r="D867" s="58"/>
      <c r="E867" s="58"/>
      <c r="F867" s="58"/>
      <c r="G867" s="58"/>
      <c r="I867" s="56"/>
      <c r="J867" s="58"/>
      <c r="K867" s="58"/>
      <c r="L867" s="58"/>
      <c r="M867" s="58"/>
    </row>
    <row r="868" spans="2:13" ht="12" x14ac:dyDescent="0.2">
      <c r="B868" s="55"/>
      <c r="C868" s="57"/>
      <c r="D868" s="57"/>
      <c r="E868" s="57"/>
      <c r="F868" s="57"/>
      <c r="G868" s="57"/>
      <c r="I868" s="55"/>
      <c r="J868" s="57"/>
      <c r="K868" s="57"/>
      <c r="L868" s="57"/>
      <c r="M868" s="57"/>
    </row>
    <row r="869" spans="2:13" ht="12" x14ac:dyDescent="0.2">
      <c r="B869" s="56"/>
      <c r="C869" s="58"/>
      <c r="D869" s="58"/>
      <c r="E869" s="58"/>
      <c r="F869" s="58"/>
      <c r="G869" s="58"/>
      <c r="I869" s="56"/>
      <c r="J869" s="58"/>
      <c r="K869" s="58"/>
      <c r="L869" s="58"/>
      <c r="M869" s="58"/>
    </row>
    <row r="870" spans="2:13" ht="12" x14ac:dyDescent="0.2">
      <c r="B870" s="55"/>
      <c r="C870" s="57"/>
      <c r="D870" s="57"/>
      <c r="E870" s="57"/>
      <c r="F870" s="57"/>
      <c r="G870" s="57"/>
      <c r="I870" s="55"/>
      <c r="J870" s="57"/>
      <c r="K870" s="57"/>
      <c r="L870" s="57"/>
      <c r="M870" s="57"/>
    </row>
    <row r="871" spans="2:13" ht="12" x14ac:dyDescent="0.2">
      <c r="B871" s="56"/>
      <c r="C871" s="58"/>
      <c r="D871" s="58"/>
      <c r="E871" s="58"/>
      <c r="F871" s="58"/>
      <c r="G871" s="58"/>
      <c r="I871" s="56"/>
      <c r="J871" s="58"/>
      <c r="K871" s="58"/>
      <c r="L871" s="58"/>
      <c r="M871" s="58"/>
    </row>
    <row r="872" spans="2:13" ht="12" x14ac:dyDescent="0.2">
      <c r="B872" s="55"/>
      <c r="C872" s="57"/>
      <c r="D872" s="57"/>
      <c r="E872" s="57"/>
      <c r="F872" s="57"/>
      <c r="G872" s="57"/>
      <c r="I872" s="55"/>
      <c r="J872" s="57"/>
      <c r="K872" s="57"/>
      <c r="L872" s="57"/>
      <c r="M872" s="57"/>
    </row>
    <row r="873" spans="2:13" ht="12" x14ac:dyDescent="0.2">
      <c r="B873" s="56"/>
      <c r="C873" s="58"/>
      <c r="D873" s="58"/>
      <c r="E873" s="58"/>
      <c r="F873" s="58"/>
      <c r="G873" s="58"/>
      <c r="I873" s="56"/>
      <c r="J873" s="58"/>
      <c r="K873" s="58"/>
      <c r="L873" s="58"/>
      <c r="M873" s="58"/>
    </row>
    <row r="874" spans="2:13" ht="12" x14ac:dyDescent="0.2">
      <c r="B874" s="55"/>
      <c r="C874" s="57"/>
      <c r="D874" s="57"/>
      <c r="E874" s="57"/>
      <c r="F874" s="57"/>
      <c r="G874" s="57"/>
      <c r="I874" s="55"/>
      <c r="J874" s="57"/>
      <c r="K874" s="57"/>
      <c r="L874" s="57"/>
      <c r="M874" s="57"/>
    </row>
    <row r="875" spans="2:13" ht="12" x14ac:dyDescent="0.2">
      <c r="B875" s="56"/>
      <c r="C875" s="58"/>
      <c r="D875" s="58"/>
      <c r="E875" s="58"/>
      <c r="F875" s="58"/>
      <c r="G875" s="58"/>
      <c r="I875" s="56"/>
      <c r="J875" s="58"/>
      <c r="K875" s="58"/>
      <c r="L875" s="58"/>
      <c r="M875" s="58"/>
    </row>
    <row r="876" spans="2:13" ht="12" x14ac:dyDescent="0.2">
      <c r="B876" s="55"/>
      <c r="C876" s="57"/>
      <c r="D876" s="57"/>
      <c r="E876" s="57"/>
      <c r="F876" s="57"/>
      <c r="G876" s="57"/>
      <c r="I876" s="55"/>
      <c r="J876" s="57"/>
      <c r="K876" s="57"/>
      <c r="L876" s="57"/>
      <c r="M876" s="57"/>
    </row>
    <row r="877" spans="2:13" ht="12" x14ac:dyDescent="0.2">
      <c r="B877" s="56"/>
      <c r="C877" s="58"/>
      <c r="D877" s="58"/>
      <c r="E877" s="58"/>
      <c r="F877" s="58"/>
      <c r="G877" s="58"/>
      <c r="I877" s="56"/>
      <c r="J877" s="58"/>
      <c r="K877" s="58"/>
      <c r="L877" s="58"/>
      <c r="M877" s="58"/>
    </row>
    <row r="878" spans="2:13" ht="12" x14ac:dyDescent="0.2">
      <c r="B878" s="55"/>
      <c r="C878" s="57"/>
      <c r="D878" s="57"/>
      <c r="E878" s="57"/>
      <c r="F878" s="57"/>
      <c r="G878" s="57"/>
      <c r="I878" s="55"/>
      <c r="J878" s="57"/>
      <c r="K878" s="57"/>
      <c r="L878" s="57"/>
      <c r="M878" s="57"/>
    </row>
    <row r="879" spans="2:13" ht="12" x14ac:dyDescent="0.2">
      <c r="B879" s="56"/>
      <c r="C879" s="58"/>
      <c r="D879" s="58"/>
      <c r="E879" s="58"/>
      <c r="F879" s="58"/>
      <c r="G879" s="58"/>
      <c r="I879" s="56"/>
      <c r="J879" s="58"/>
      <c r="K879" s="58"/>
      <c r="L879" s="58"/>
      <c r="M879" s="58"/>
    </row>
    <row r="880" spans="2:13" ht="12" x14ac:dyDescent="0.2">
      <c r="B880" s="55"/>
      <c r="C880" s="57"/>
      <c r="D880" s="57"/>
      <c r="E880" s="57"/>
      <c r="F880" s="57"/>
      <c r="G880" s="57"/>
      <c r="I880" s="55"/>
      <c r="J880" s="57"/>
      <c r="K880" s="57"/>
      <c r="L880" s="57"/>
      <c r="M880" s="57"/>
    </row>
    <row r="881" spans="2:13" ht="12" x14ac:dyDescent="0.2">
      <c r="B881" s="56"/>
      <c r="C881" s="58"/>
      <c r="D881" s="58"/>
      <c r="E881" s="58"/>
      <c r="F881" s="58"/>
      <c r="G881" s="58"/>
      <c r="I881" s="56"/>
      <c r="J881" s="58"/>
      <c r="K881" s="58"/>
      <c r="L881" s="58"/>
      <c r="M881" s="58"/>
    </row>
    <row r="882" spans="2:13" ht="12" x14ac:dyDescent="0.2">
      <c r="B882" s="55"/>
      <c r="C882" s="57"/>
      <c r="D882" s="57"/>
      <c r="E882" s="57"/>
      <c r="F882" s="57"/>
      <c r="G882" s="57"/>
      <c r="I882" s="55"/>
      <c r="J882" s="57"/>
      <c r="K882" s="57"/>
      <c r="L882" s="57"/>
      <c r="M882" s="57"/>
    </row>
    <row r="883" spans="2:13" ht="12" x14ac:dyDescent="0.2">
      <c r="B883" s="56"/>
      <c r="C883" s="58"/>
      <c r="D883" s="58"/>
      <c r="E883" s="58"/>
      <c r="F883" s="58"/>
      <c r="G883" s="58"/>
      <c r="I883" s="56"/>
      <c r="J883" s="58"/>
      <c r="K883" s="58"/>
      <c r="L883" s="58"/>
      <c r="M883" s="58"/>
    </row>
    <row r="884" spans="2:13" ht="12" x14ac:dyDescent="0.2">
      <c r="B884" s="55"/>
      <c r="C884" s="57"/>
      <c r="D884" s="57"/>
      <c r="E884" s="57"/>
      <c r="F884" s="57"/>
      <c r="G884" s="57"/>
      <c r="I884" s="55"/>
      <c r="J884" s="57"/>
      <c r="K884" s="57"/>
      <c r="L884" s="57"/>
      <c r="M884" s="57"/>
    </row>
    <row r="885" spans="2:13" ht="12" x14ac:dyDescent="0.2">
      <c r="B885" s="56"/>
      <c r="C885" s="58"/>
      <c r="D885" s="58"/>
      <c r="E885" s="58"/>
      <c r="F885" s="58"/>
      <c r="G885" s="58"/>
      <c r="I885" s="56"/>
      <c r="J885" s="58"/>
      <c r="K885" s="58"/>
      <c r="L885" s="58"/>
      <c r="M885" s="58"/>
    </row>
    <row r="886" spans="2:13" ht="12" x14ac:dyDescent="0.2">
      <c r="B886" s="55"/>
      <c r="C886" s="57"/>
      <c r="D886" s="57"/>
      <c r="E886" s="57"/>
      <c r="F886" s="57"/>
      <c r="G886" s="57"/>
      <c r="I886" s="55"/>
      <c r="J886" s="57"/>
      <c r="K886" s="57"/>
      <c r="L886" s="57"/>
      <c r="M886" s="57"/>
    </row>
    <row r="887" spans="2:13" ht="12" x14ac:dyDescent="0.2">
      <c r="B887" s="56"/>
      <c r="C887" s="58"/>
      <c r="D887" s="58"/>
      <c r="E887" s="58"/>
      <c r="F887" s="58"/>
      <c r="G887" s="58"/>
      <c r="I887" s="56"/>
      <c r="J887" s="58"/>
      <c r="K887" s="58"/>
      <c r="L887" s="58"/>
      <c r="M887" s="58"/>
    </row>
    <row r="888" spans="2:13" ht="12" x14ac:dyDescent="0.2">
      <c r="B888" s="55"/>
      <c r="C888" s="57"/>
      <c r="D888" s="57"/>
      <c r="E888" s="57"/>
      <c r="F888" s="57"/>
      <c r="G888" s="57"/>
      <c r="I888" s="55"/>
      <c r="J888" s="57"/>
      <c r="K888" s="57"/>
      <c r="L888" s="57"/>
      <c r="M888" s="57"/>
    </row>
    <row r="889" spans="2:13" ht="12" x14ac:dyDescent="0.2">
      <c r="B889" s="56"/>
      <c r="C889" s="58"/>
      <c r="D889" s="58"/>
      <c r="E889" s="58"/>
      <c r="F889" s="58"/>
      <c r="G889" s="58"/>
      <c r="I889" s="56"/>
      <c r="J889" s="58"/>
      <c r="K889" s="58"/>
      <c r="L889" s="58"/>
      <c r="M889" s="58"/>
    </row>
    <row r="890" spans="2:13" ht="12" x14ac:dyDescent="0.2">
      <c r="B890" s="55"/>
      <c r="C890" s="57"/>
      <c r="D890" s="57"/>
      <c r="E890" s="57"/>
      <c r="F890" s="57"/>
      <c r="G890" s="57"/>
      <c r="I890" s="55"/>
      <c r="J890" s="57"/>
      <c r="K890" s="57"/>
      <c r="L890" s="57"/>
      <c r="M890" s="57"/>
    </row>
    <row r="891" spans="2:13" ht="12" x14ac:dyDescent="0.2">
      <c r="B891" s="56"/>
      <c r="C891" s="58"/>
      <c r="D891" s="58"/>
      <c r="E891" s="58"/>
      <c r="F891" s="58"/>
      <c r="G891" s="58"/>
      <c r="I891" s="56"/>
      <c r="J891" s="58"/>
      <c r="K891" s="58"/>
      <c r="L891" s="58"/>
      <c r="M891" s="58"/>
    </row>
    <row r="892" spans="2:13" ht="12" x14ac:dyDescent="0.2">
      <c r="B892" s="55"/>
      <c r="C892" s="57"/>
      <c r="D892" s="57"/>
      <c r="E892" s="57"/>
      <c r="F892" s="57"/>
      <c r="G892" s="57"/>
      <c r="I892" s="55"/>
      <c r="J892" s="57"/>
      <c r="K892" s="57"/>
      <c r="L892" s="57"/>
      <c r="M892" s="57"/>
    </row>
    <row r="893" spans="2:13" ht="12" x14ac:dyDescent="0.2">
      <c r="B893" s="56"/>
      <c r="C893" s="58"/>
      <c r="D893" s="58"/>
      <c r="E893" s="58"/>
      <c r="F893" s="58"/>
      <c r="G893" s="58"/>
      <c r="I893" s="56"/>
      <c r="J893" s="58"/>
      <c r="K893" s="58"/>
      <c r="L893" s="58"/>
      <c r="M893" s="58"/>
    </row>
    <row r="894" spans="2:13" ht="12" x14ac:dyDescent="0.2">
      <c r="B894" s="55"/>
      <c r="C894" s="57"/>
      <c r="D894" s="57"/>
      <c r="E894" s="57"/>
      <c r="F894" s="57"/>
      <c r="G894" s="57"/>
      <c r="I894" s="55"/>
      <c r="J894" s="57"/>
      <c r="K894" s="57"/>
      <c r="L894" s="57"/>
      <c r="M894" s="57"/>
    </row>
    <row r="895" spans="2:13" ht="12" x14ac:dyDescent="0.2">
      <c r="B895" s="56"/>
      <c r="C895" s="58"/>
      <c r="D895" s="58"/>
      <c r="E895" s="58"/>
      <c r="F895" s="58"/>
      <c r="G895" s="58"/>
      <c r="I895" s="56"/>
      <c r="J895" s="58"/>
      <c r="K895" s="58"/>
      <c r="L895" s="58"/>
      <c r="M895" s="58"/>
    </row>
    <row r="896" spans="2:13" ht="12" x14ac:dyDescent="0.2">
      <c r="B896" s="55"/>
      <c r="C896" s="57"/>
      <c r="D896" s="57"/>
      <c r="E896" s="57"/>
      <c r="F896" s="57"/>
      <c r="G896" s="57"/>
      <c r="I896" s="55"/>
      <c r="J896" s="57"/>
      <c r="K896" s="57"/>
      <c r="L896" s="57"/>
      <c r="M896" s="57"/>
    </row>
    <row r="897" spans="2:13" ht="12" x14ac:dyDescent="0.2">
      <c r="B897" s="56"/>
      <c r="C897" s="58"/>
      <c r="D897" s="58"/>
      <c r="E897" s="58"/>
      <c r="F897" s="58"/>
      <c r="G897" s="58"/>
      <c r="I897" s="56"/>
      <c r="J897" s="58"/>
      <c r="K897" s="58"/>
      <c r="L897" s="58"/>
      <c r="M897" s="58"/>
    </row>
    <row r="898" spans="2:13" ht="12" x14ac:dyDescent="0.2">
      <c r="B898" s="55"/>
      <c r="C898" s="57"/>
      <c r="D898" s="57"/>
      <c r="E898" s="57"/>
      <c r="F898" s="57"/>
      <c r="G898" s="57"/>
      <c r="I898" s="55"/>
      <c r="J898" s="57"/>
      <c r="K898" s="57"/>
      <c r="L898" s="57"/>
      <c r="M898" s="57"/>
    </row>
    <row r="899" spans="2:13" ht="12" x14ac:dyDescent="0.2">
      <c r="B899" s="56"/>
      <c r="C899" s="58"/>
      <c r="D899" s="58"/>
      <c r="E899" s="58"/>
      <c r="F899" s="58"/>
      <c r="G899" s="58"/>
      <c r="I899" s="56"/>
      <c r="J899" s="58"/>
      <c r="K899" s="58"/>
      <c r="L899" s="58"/>
      <c r="M899" s="58"/>
    </row>
    <row r="900" spans="2:13" ht="12" x14ac:dyDescent="0.2">
      <c r="B900" s="55"/>
      <c r="C900" s="57"/>
      <c r="D900" s="57"/>
      <c r="E900" s="57"/>
      <c r="F900" s="57"/>
      <c r="G900" s="57"/>
      <c r="I900" s="55"/>
      <c r="J900" s="57"/>
      <c r="K900" s="57"/>
      <c r="L900" s="57"/>
      <c r="M900" s="57"/>
    </row>
    <row r="901" spans="2:13" ht="12" x14ac:dyDescent="0.2">
      <c r="B901" s="56"/>
      <c r="C901" s="58"/>
      <c r="D901" s="58"/>
      <c r="E901" s="58"/>
      <c r="F901" s="58"/>
      <c r="G901" s="58"/>
      <c r="I901" s="56"/>
      <c r="J901" s="58"/>
      <c r="K901" s="58"/>
      <c r="L901" s="58"/>
      <c r="M901" s="58"/>
    </row>
    <row r="902" spans="2:13" ht="12" x14ac:dyDescent="0.2">
      <c r="B902" s="55"/>
      <c r="C902" s="57"/>
      <c r="D902" s="57"/>
      <c r="E902" s="57"/>
      <c r="F902" s="57"/>
      <c r="G902" s="57"/>
      <c r="I902" s="55"/>
      <c r="J902" s="57"/>
      <c r="K902" s="57"/>
      <c r="L902" s="57"/>
      <c r="M902" s="57"/>
    </row>
    <row r="903" spans="2:13" ht="12" x14ac:dyDescent="0.2">
      <c r="B903" s="56"/>
      <c r="C903" s="58"/>
      <c r="D903" s="58"/>
      <c r="E903" s="58"/>
      <c r="F903" s="58"/>
      <c r="G903" s="58"/>
      <c r="I903" s="56"/>
      <c r="J903" s="58"/>
      <c r="K903" s="58"/>
      <c r="L903" s="58"/>
      <c r="M903" s="58"/>
    </row>
    <row r="904" spans="2:13" ht="12" x14ac:dyDescent="0.2">
      <c r="B904" s="55"/>
      <c r="C904" s="57"/>
      <c r="D904" s="57"/>
      <c r="E904" s="57"/>
      <c r="F904" s="57"/>
      <c r="G904" s="57"/>
      <c r="I904" s="55"/>
      <c r="J904" s="57"/>
      <c r="K904" s="57"/>
      <c r="L904" s="57"/>
      <c r="M904" s="57"/>
    </row>
    <row r="905" spans="2:13" ht="12" x14ac:dyDescent="0.2">
      <c r="B905" s="56"/>
      <c r="C905" s="58"/>
      <c r="D905" s="58"/>
      <c r="E905" s="58"/>
      <c r="F905" s="58"/>
      <c r="G905" s="58"/>
      <c r="I905" s="56"/>
      <c r="J905" s="58"/>
      <c r="K905" s="58"/>
      <c r="L905" s="58"/>
      <c r="M905" s="58"/>
    </row>
    <row r="906" spans="2:13" ht="12" x14ac:dyDescent="0.2">
      <c r="B906" s="55"/>
      <c r="C906" s="57"/>
      <c r="D906" s="57"/>
      <c r="E906" s="57"/>
      <c r="F906" s="57"/>
      <c r="G906" s="57"/>
      <c r="I906" s="55"/>
      <c r="J906" s="57"/>
      <c r="K906" s="57"/>
      <c r="L906" s="57"/>
      <c r="M906" s="57"/>
    </row>
    <row r="907" spans="2:13" ht="12" x14ac:dyDescent="0.2">
      <c r="B907" s="56"/>
      <c r="C907" s="58"/>
      <c r="D907" s="58"/>
      <c r="E907" s="58"/>
      <c r="F907" s="58"/>
      <c r="G907" s="58"/>
      <c r="I907" s="56"/>
      <c r="J907" s="58"/>
      <c r="K907" s="58"/>
      <c r="L907" s="58"/>
      <c r="M907" s="58"/>
    </row>
    <row r="908" spans="2:13" ht="12" x14ac:dyDescent="0.2">
      <c r="B908" s="55"/>
      <c r="C908" s="57"/>
      <c r="D908" s="57"/>
      <c r="E908" s="57"/>
      <c r="F908" s="57"/>
      <c r="G908" s="57"/>
      <c r="I908" s="55"/>
      <c r="J908" s="57"/>
      <c r="K908" s="57"/>
      <c r="L908" s="57"/>
      <c r="M908" s="57"/>
    </row>
    <row r="909" spans="2:13" ht="12" x14ac:dyDescent="0.2">
      <c r="B909" s="56"/>
      <c r="C909" s="58"/>
      <c r="D909" s="58"/>
      <c r="E909" s="58"/>
      <c r="F909" s="58"/>
      <c r="G909" s="58"/>
      <c r="I909" s="56"/>
      <c r="J909" s="58"/>
      <c r="K909" s="58"/>
      <c r="L909" s="58"/>
      <c r="M909" s="58"/>
    </row>
    <row r="910" spans="2:13" ht="12" x14ac:dyDescent="0.2">
      <c r="B910" s="55"/>
      <c r="C910" s="57"/>
      <c r="D910" s="57"/>
      <c r="E910" s="57"/>
      <c r="F910" s="57"/>
      <c r="G910" s="57"/>
      <c r="I910" s="55"/>
      <c r="J910" s="57"/>
      <c r="K910" s="57"/>
      <c r="L910" s="57"/>
      <c r="M910" s="57"/>
    </row>
    <row r="911" spans="2:13" ht="12" x14ac:dyDescent="0.2">
      <c r="B911" s="56"/>
      <c r="C911" s="58"/>
      <c r="D911" s="58"/>
      <c r="E911" s="58"/>
      <c r="F911" s="58"/>
      <c r="G911" s="58"/>
      <c r="I911" s="56"/>
      <c r="J911" s="58"/>
      <c r="K911" s="58"/>
      <c r="L911" s="58"/>
      <c r="M911" s="58"/>
    </row>
    <row r="912" spans="2:13" ht="12" x14ac:dyDescent="0.2">
      <c r="B912" s="55"/>
      <c r="C912" s="57"/>
      <c r="D912" s="57"/>
      <c r="E912" s="57"/>
      <c r="F912" s="57"/>
      <c r="G912" s="57"/>
      <c r="I912" s="55"/>
      <c r="J912" s="57"/>
      <c r="K912" s="57"/>
      <c r="L912" s="57"/>
      <c r="M912" s="57"/>
    </row>
    <row r="913" spans="2:13" ht="12" x14ac:dyDescent="0.2">
      <c r="B913" s="56"/>
      <c r="C913" s="58"/>
      <c r="D913" s="58"/>
      <c r="E913" s="58"/>
      <c r="F913" s="58"/>
      <c r="G913" s="58"/>
      <c r="I913" s="56"/>
      <c r="J913" s="58"/>
      <c r="K913" s="58"/>
      <c r="L913" s="58"/>
      <c r="M913" s="58"/>
    </row>
    <row r="914" spans="2:13" ht="12" x14ac:dyDescent="0.2">
      <c r="B914" s="55"/>
      <c r="C914" s="57"/>
      <c r="D914" s="57"/>
      <c r="E914" s="57"/>
      <c r="F914" s="57"/>
      <c r="G914" s="57"/>
      <c r="I914" s="55"/>
      <c r="J914" s="57"/>
      <c r="K914" s="57"/>
      <c r="L914" s="57"/>
      <c r="M914" s="57"/>
    </row>
    <row r="915" spans="2:13" ht="12" x14ac:dyDescent="0.2">
      <c r="B915" s="56"/>
      <c r="C915" s="58"/>
      <c r="D915" s="58"/>
      <c r="E915" s="58"/>
      <c r="F915" s="58"/>
      <c r="G915" s="58"/>
      <c r="I915" s="56"/>
      <c r="J915" s="58"/>
      <c r="K915" s="58"/>
      <c r="L915" s="58"/>
      <c r="M915" s="58"/>
    </row>
    <row r="916" spans="2:13" ht="12" x14ac:dyDescent="0.2">
      <c r="B916" s="55"/>
      <c r="C916" s="57"/>
      <c r="D916" s="57"/>
      <c r="E916" s="57"/>
      <c r="F916" s="57"/>
      <c r="G916" s="57"/>
      <c r="I916" s="55"/>
      <c r="J916" s="57"/>
      <c r="K916" s="57"/>
      <c r="L916" s="57"/>
      <c r="M916" s="57"/>
    </row>
    <row r="917" spans="2:13" ht="12" x14ac:dyDescent="0.2">
      <c r="B917" s="56"/>
      <c r="C917" s="58"/>
      <c r="D917" s="58"/>
      <c r="E917" s="58"/>
      <c r="F917" s="58"/>
      <c r="G917" s="58"/>
      <c r="I917" s="56"/>
      <c r="J917" s="58"/>
      <c r="K917" s="58"/>
      <c r="L917" s="58"/>
      <c r="M917" s="58"/>
    </row>
    <row r="918" spans="2:13" ht="12" x14ac:dyDescent="0.2">
      <c r="B918" s="55"/>
      <c r="C918" s="57"/>
      <c r="D918" s="57"/>
      <c r="E918" s="57"/>
      <c r="F918" s="57"/>
      <c r="G918" s="57"/>
      <c r="I918" s="55"/>
      <c r="J918" s="57"/>
      <c r="K918" s="57"/>
      <c r="L918" s="57"/>
      <c r="M918" s="57"/>
    </row>
    <row r="919" spans="2:13" ht="12" x14ac:dyDescent="0.2">
      <c r="B919" s="56"/>
      <c r="C919" s="58"/>
      <c r="D919" s="58"/>
      <c r="E919" s="58"/>
      <c r="F919" s="58"/>
      <c r="G919" s="58"/>
      <c r="I919" s="56"/>
      <c r="J919" s="58"/>
      <c r="K919" s="58"/>
      <c r="L919" s="58"/>
      <c r="M919" s="58"/>
    </row>
    <row r="920" spans="2:13" ht="12" x14ac:dyDescent="0.2">
      <c r="B920" s="55"/>
      <c r="C920" s="57"/>
      <c r="D920" s="57"/>
      <c r="E920" s="57"/>
      <c r="F920" s="57"/>
      <c r="G920" s="57"/>
      <c r="I920" s="55"/>
      <c r="J920" s="57"/>
      <c r="K920" s="57"/>
      <c r="L920" s="57"/>
      <c r="M920" s="57"/>
    </row>
    <row r="921" spans="2:13" ht="12" x14ac:dyDescent="0.2">
      <c r="B921" s="56"/>
      <c r="C921" s="58"/>
      <c r="D921" s="58"/>
      <c r="E921" s="58"/>
      <c r="F921" s="58"/>
      <c r="G921" s="58"/>
      <c r="I921" s="56"/>
      <c r="J921" s="58"/>
      <c r="K921" s="58"/>
      <c r="L921" s="58"/>
      <c r="M921" s="58"/>
    </row>
    <row r="922" spans="2:13" ht="12" x14ac:dyDescent="0.2">
      <c r="B922" s="55"/>
      <c r="C922" s="57"/>
      <c r="D922" s="57"/>
      <c r="E922" s="57"/>
      <c r="F922" s="57"/>
      <c r="G922" s="57"/>
      <c r="I922" s="55"/>
      <c r="J922" s="57"/>
      <c r="K922" s="57"/>
      <c r="L922" s="57"/>
      <c r="M922" s="57"/>
    </row>
    <row r="923" spans="2:13" ht="12" x14ac:dyDescent="0.2">
      <c r="B923" s="56"/>
      <c r="C923" s="58"/>
      <c r="D923" s="58"/>
      <c r="E923" s="58"/>
      <c r="F923" s="58"/>
      <c r="G923" s="58"/>
      <c r="I923" s="56"/>
      <c r="J923" s="58"/>
      <c r="K923" s="58"/>
      <c r="L923" s="58"/>
      <c r="M923" s="58"/>
    </row>
    <row r="924" spans="2:13" ht="12" x14ac:dyDescent="0.2">
      <c r="B924" s="55"/>
      <c r="C924" s="57"/>
      <c r="D924" s="57"/>
      <c r="E924" s="57"/>
      <c r="F924" s="57"/>
      <c r="G924" s="57"/>
      <c r="I924" s="55"/>
      <c r="J924" s="57"/>
      <c r="K924" s="57"/>
      <c r="L924" s="57"/>
      <c r="M924" s="57"/>
    </row>
    <row r="925" spans="2:13" ht="12" x14ac:dyDescent="0.2">
      <c r="B925" s="56"/>
      <c r="C925" s="58"/>
      <c r="D925" s="58"/>
      <c r="E925" s="58"/>
      <c r="F925" s="58"/>
      <c r="G925" s="58"/>
      <c r="I925" s="56"/>
      <c r="J925" s="58"/>
      <c r="K925" s="58"/>
      <c r="L925" s="58"/>
      <c r="M925" s="58"/>
    </row>
    <row r="926" spans="2:13" ht="12" x14ac:dyDescent="0.2">
      <c r="B926" s="55"/>
      <c r="C926" s="57"/>
      <c r="D926" s="57"/>
      <c r="E926" s="57"/>
      <c r="F926" s="57"/>
      <c r="G926" s="57"/>
      <c r="I926" s="55"/>
      <c r="J926" s="57"/>
      <c r="K926" s="57"/>
      <c r="L926" s="57"/>
      <c r="M926" s="57"/>
    </row>
    <row r="927" spans="2:13" ht="12" x14ac:dyDescent="0.2">
      <c r="B927" s="56"/>
      <c r="C927" s="58"/>
      <c r="D927" s="58"/>
      <c r="E927" s="58"/>
      <c r="F927" s="58"/>
      <c r="G927" s="58"/>
      <c r="I927" s="56"/>
      <c r="J927" s="58"/>
      <c r="K927" s="58"/>
      <c r="L927" s="58"/>
      <c r="M927" s="58"/>
    </row>
    <row r="928" spans="2:13" ht="12" x14ac:dyDescent="0.2">
      <c r="B928" s="55"/>
      <c r="C928" s="57"/>
      <c r="D928" s="57"/>
      <c r="E928" s="57"/>
      <c r="F928" s="57"/>
      <c r="G928" s="57"/>
      <c r="I928" s="55"/>
      <c r="J928" s="57"/>
      <c r="K928" s="57"/>
      <c r="L928" s="57"/>
      <c r="M928" s="57"/>
    </row>
    <row r="929" spans="2:13" ht="12" x14ac:dyDescent="0.2">
      <c r="B929" s="56"/>
      <c r="C929" s="58"/>
      <c r="D929" s="58"/>
      <c r="E929" s="58"/>
      <c r="F929" s="58"/>
      <c r="G929" s="58"/>
      <c r="I929" s="56"/>
      <c r="J929" s="58"/>
      <c r="K929" s="58"/>
      <c r="L929" s="58"/>
      <c r="M929" s="58"/>
    </row>
    <row r="930" spans="2:13" ht="12" x14ac:dyDescent="0.2">
      <c r="B930" s="55"/>
      <c r="C930" s="57"/>
      <c r="D930" s="57"/>
      <c r="E930" s="57"/>
      <c r="F930" s="57"/>
      <c r="G930" s="57"/>
      <c r="I930" s="55"/>
      <c r="J930" s="57"/>
      <c r="K930" s="57"/>
      <c r="L930" s="57"/>
      <c r="M930" s="57"/>
    </row>
    <row r="931" spans="2:13" ht="12" x14ac:dyDescent="0.2">
      <c r="B931" s="56"/>
      <c r="C931" s="58"/>
      <c r="D931" s="58"/>
      <c r="E931" s="58"/>
      <c r="F931" s="58"/>
      <c r="G931" s="58"/>
      <c r="I931" s="56"/>
      <c r="J931" s="58"/>
      <c r="K931" s="58"/>
      <c r="L931" s="58"/>
      <c r="M931" s="58"/>
    </row>
    <row r="932" spans="2:13" ht="12" x14ac:dyDescent="0.2">
      <c r="B932" s="55"/>
      <c r="C932" s="57"/>
      <c r="D932" s="57"/>
      <c r="E932" s="57"/>
      <c r="F932" s="57"/>
      <c r="G932" s="57"/>
      <c r="I932" s="55"/>
      <c r="J932" s="57"/>
      <c r="K932" s="57"/>
      <c r="L932" s="57"/>
      <c r="M932" s="57"/>
    </row>
    <row r="933" spans="2:13" ht="12" x14ac:dyDescent="0.2">
      <c r="B933" s="56"/>
      <c r="C933" s="58"/>
      <c r="D933" s="58"/>
      <c r="E933" s="58"/>
      <c r="F933" s="58"/>
      <c r="G933" s="58"/>
      <c r="I933" s="56"/>
      <c r="J933" s="58"/>
      <c r="K933" s="58"/>
      <c r="L933" s="58"/>
      <c r="M933" s="58"/>
    </row>
    <row r="934" spans="2:13" ht="12" x14ac:dyDescent="0.2">
      <c r="B934" s="55"/>
      <c r="C934" s="57"/>
      <c r="D934" s="57"/>
      <c r="E934" s="57"/>
      <c r="F934" s="57"/>
      <c r="G934" s="57"/>
      <c r="I934" s="55"/>
      <c r="J934" s="57"/>
      <c r="K934" s="57"/>
      <c r="L934" s="57"/>
      <c r="M934" s="57"/>
    </row>
    <row r="935" spans="2:13" ht="12" x14ac:dyDescent="0.2">
      <c r="B935" s="56"/>
      <c r="C935" s="58"/>
      <c r="D935" s="58"/>
      <c r="E935" s="58"/>
      <c r="F935" s="58"/>
      <c r="G935" s="58"/>
      <c r="I935" s="56"/>
      <c r="J935" s="58"/>
      <c r="K935" s="58"/>
      <c r="L935" s="58"/>
      <c r="M935" s="58"/>
    </row>
    <row r="936" spans="2:13" ht="12" x14ac:dyDescent="0.2">
      <c r="B936" s="55"/>
      <c r="C936" s="57"/>
      <c r="D936" s="57"/>
      <c r="E936" s="57"/>
      <c r="F936" s="57"/>
      <c r="G936" s="57"/>
      <c r="I936" s="55"/>
      <c r="J936" s="57"/>
      <c r="K936" s="57"/>
      <c r="L936" s="57"/>
      <c r="M936" s="57"/>
    </row>
    <row r="937" spans="2:13" ht="12" x14ac:dyDescent="0.2">
      <c r="B937" s="56"/>
      <c r="C937" s="58"/>
      <c r="D937" s="58"/>
      <c r="E937" s="58"/>
      <c r="F937" s="58"/>
      <c r="G937" s="58"/>
      <c r="I937" s="56"/>
      <c r="J937" s="58"/>
      <c r="K937" s="58"/>
      <c r="L937" s="58"/>
      <c r="M937" s="58"/>
    </row>
    <row r="938" spans="2:13" ht="12" x14ac:dyDescent="0.2">
      <c r="B938" s="55"/>
      <c r="C938" s="57"/>
      <c r="D938" s="57"/>
      <c r="E938" s="57"/>
      <c r="F938" s="57"/>
      <c r="G938" s="57"/>
      <c r="I938" s="55"/>
      <c r="J938" s="57"/>
      <c r="K938" s="57"/>
      <c r="L938" s="57"/>
      <c r="M938" s="57"/>
    </row>
    <row r="939" spans="2:13" ht="12" x14ac:dyDescent="0.2">
      <c r="B939" s="56"/>
      <c r="C939" s="58"/>
      <c r="D939" s="58"/>
      <c r="E939" s="58"/>
      <c r="F939" s="58"/>
      <c r="G939" s="58"/>
      <c r="I939" s="56"/>
      <c r="J939" s="58"/>
      <c r="K939" s="58"/>
      <c r="L939" s="58"/>
      <c r="M939" s="58"/>
    </row>
    <row r="940" spans="2:13" ht="12" x14ac:dyDescent="0.2">
      <c r="B940" s="55"/>
      <c r="C940" s="57"/>
      <c r="D940" s="57"/>
      <c r="E940" s="57"/>
      <c r="F940" s="57"/>
      <c r="G940" s="57"/>
      <c r="I940" s="55"/>
      <c r="J940" s="57"/>
      <c r="K940" s="57"/>
      <c r="L940" s="57"/>
      <c r="M940" s="57"/>
    </row>
    <row r="941" spans="2:13" ht="12" x14ac:dyDescent="0.2">
      <c r="B941" s="56"/>
      <c r="C941" s="58"/>
      <c r="D941" s="58"/>
      <c r="E941" s="58"/>
      <c r="F941" s="58"/>
      <c r="G941" s="58"/>
      <c r="I941" s="56"/>
      <c r="J941" s="58"/>
      <c r="K941" s="58"/>
      <c r="L941" s="58"/>
      <c r="M941" s="58"/>
    </row>
    <row r="942" spans="2:13" ht="12" x14ac:dyDescent="0.2">
      <c r="B942" s="55"/>
      <c r="C942" s="57"/>
      <c r="D942" s="57"/>
      <c r="E942" s="57"/>
      <c r="F942" s="57"/>
      <c r="G942" s="57"/>
      <c r="I942" s="55"/>
      <c r="J942" s="57"/>
      <c r="K942" s="57"/>
      <c r="L942" s="57"/>
      <c r="M942" s="57"/>
    </row>
    <row r="943" spans="2:13" ht="12" x14ac:dyDescent="0.2">
      <c r="B943" s="56"/>
      <c r="C943" s="58"/>
      <c r="D943" s="58"/>
      <c r="E943" s="58"/>
      <c r="F943" s="58"/>
      <c r="G943" s="58"/>
      <c r="I943" s="56"/>
      <c r="J943" s="58"/>
      <c r="K943" s="58"/>
      <c r="L943" s="58"/>
      <c r="M943" s="58"/>
    </row>
    <row r="944" spans="2:13" ht="12" x14ac:dyDescent="0.2">
      <c r="B944" s="55"/>
      <c r="C944" s="57"/>
      <c r="D944" s="57"/>
      <c r="E944" s="57"/>
      <c r="F944" s="57"/>
      <c r="G944" s="57"/>
      <c r="I944" s="55"/>
      <c r="J944" s="57"/>
      <c r="K944" s="57"/>
      <c r="L944" s="57"/>
      <c r="M944" s="57"/>
    </row>
    <row r="945" spans="2:13" ht="12" x14ac:dyDescent="0.2">
      <c r="B945" s="56"/>
      <c r="C945" s="58"/>
      <c r="D945" s="58"/>
      <c r="E945" s="58"/>
      <c r="F945" s="58"/>
      <c r="G945" s="58"/>
      <c r="I945" s="56"/>
      <c r="J945" s="58"/>
      <c r="K945" s="58"/>
      <c r="L945" s="58"/>
      <c r="M945" s="58"/>
    </row>
    <row r="946" spans="2:13" ht="12" x14ac:dyDescent="0.2">
      <c r="B946" s="55"/>
      <c r="C946" s="57"/>
      <c r="D946" s="57"/>
      <c r="E946" s="57"/>
      <c r="F946" s="57"/>
      <c r="G946" s="57"/>
      <c r="I946" s="55"/>
      <c r="J946" s="57"/>
      <c r="K946" s="57"/>
      <c r="L946" s="57"/>
      <c r="M946" s="57"/>
    </row>
    <row r="947" spans="2:13" ht="12" x14ac:dyDescent="0.2">
      <c r="B947" s="56"/>
      <c r="C947" s="58"/>
      <c r="D947" s="58"/>
      <c r="E947" s="58"/>
      <c r="F947" s="58"/>
      <c r="G947" s="58"/>
      <c r="I947" s="56"/>
      <c r="J947" s="58"/>
      <c r="K947" s="58"/>
      <c r="L947" s="58"/>
      <c r="M947" s="58"/>
    </row>
    <row r="948" spans="2:13" ht="12" x14ac:dyDescent="0.2">
      <c r="B948" s="55"/>
      <c r="C948" s="57"/>
      <c r="D948" s="57"/>
      <c r="E948" s="57"/>
      <c r="F948" s="57"/>
      <c r="G948" s="57"/>
      <c r="I948" s="55"/>
      <c r="J948" s="57"/>
      <c r="K948" s="57"/>
      <c r="L948" s="57"/>
      <c r="M948" s="57"/>
    </row>
    <row r="949" spans="2:13" ht="12" x14ac:dyDescent="0.2">
      <c r="B949" s="56"/>
      <c r="C949" s="58"/>
      <c r="D949" s="58"/>
      <c r="E949" s="58"/>
      <c r="F949" s="58"/>
      <c r="G949" s="58"/>
      <c r="I949" s="56"/>
      <c r="J949" s="58"/>
      <c r="K949" s="58"/>
      <c r="L949" s="58"/>
      <c r="M949" s="58"/>
    </row>
    <row r="950" spans="2:13" ht="12" x14ac:dyDescent="0.2">
      <c r="B950" s="55"/>
      <c r="C950" s="57"/>
      <c r="D950" s="57"/>
      <c r="E950" s="57"/>
      <c r="F950" s="57"/>
      <c r="G950" s="57"/>
      <c r="I950" s="55"/>
      <c r="J950" s="57"/>
      <c r="K950" s="57"/>
      <c r="L950" s="57"/>
      <c r="M950" s="57"/>
    </row>
    <row r="951" spans="2:13" ht="12" x14ac:dyDescent="0.2">
      <c r="B951" s="56"/>
      <c r="C951" s="58"/>
      <c r="D951" s="58"/>
      <c r="E951" s="58"/>
      <c r="F951" s="58"/>
      <c r="G951" s="58"/>
      <c r="I951" s="56"/>
      <c r="J951" s="58"/>
      <c r="K951" s="58"/>
      <c r="L951" s="58"/>
      <c r="M951" s="58"/>
    </row>
    <row r="952" spans="2:13" ht="12" x14ac:dyDescent="0.2">
      <c r="B952" s="55"/>
      <c r="C952" s="57"/>
      <c r="D952" s="57"/>
      <c r="E952" s="57"/>
      <c r="F952" s="57"/>
      <c r="G952" s="57"/>
      <c r="I952" s="55"/>
      <c r="J952" s="57"/>
      <c r="K952" s="57"/>
      <c r="L952" s="57"/>
      <c r="M952" s="57"/>
    </row>
    <row r="953" spans="2:13" ht="12" x14ac:dyDescent="0.2">
      <c r="B953" s="56"/>
      <c r="C953" s="58"/>
      <c r="D953" s="58"/>
      <c r="E953" s="58"/>
      <c r="F953" s="58"/>
      <c r="G953" s="58"/>
      <c r="I953" s="56"/>
      <c r="J953" s="58"/>
      <c r="K953" s="58"/>
      <c r="L953" s="58"/>
      <c r="M953" s="58"/>
    </row>
    <row r="954" spans="2:13" ht="12" x14ac:dyDescent="0.2">
      <c r="B954" s="55"/>
      <c r="C954" s="57"/>
      <c r="D954" s="57"/>
      <c r="E954" s="57"/>
      <c r="F954" s="57"/>
      <c r="G954" s="57"/>
      <c r="I954" s="55"/>
      <c r="J954" s="57"/>
      <c r="K954" s="57"/>
      <c r="L954" s="57"/>
      <c r="M954" s="57"/>
    </row>
    <row r="955" spans="2:13" ht="12" x14ac:dyDescent="0.2">
      <c r="B955" s="56"/>
      <c r="C955" s="58"/>
      <c r="D955" s="58"/>
      <c r="E955" s="58"/>
      <c r="F955" s="58"/>
      <c r="G955" s="58"/>
      <c r="I955" s="56"/>
      <c r="J955" s="58"/>
      <c r="K955" s="58"/>
      <c r="L955" s="58"/>
      <c r="M955" s="58"/>
    </row>
    <row r="956" spans="2:13" ht="12" x14ac:dyDescent="0.2">
      <c r="B956" s="55"/>
      <c r="C956" s="57"/>
      <c r="D956" s="57"/>
      <c r="E956" s="57"/>
      <c r="F956" s="57"/>
      <c r="G956" s="57"/>
      <c r="I956" s="55"/>
      <c r="J956" s="57"/>
      <c r="K956" s="57"/>
      <c r="L956" s="57"/>
      <c r="M956" s="57"/>
    </row>
    <row r="957" spans="2:13" ht="12" x14ac:dyDescent="0.2">
      <c r="B957" s="56"/>
      <c r="C957" s="58"/>
      <c r="D957" s="58"/>
      <c r="E957" s="58"/>
      <c r="F957" s="58"/>
      <c r="G957" s="58"/>
      <c r="I957" s="56"/>
      <c r="J957" s="58"/>
      <c r="K957" s="58"/>
      <c r="L957" s="58"/>
      <c r="M957" s="58"/>
    </row>
    <row r="958" spans="2:13" ht="12" x14ac:dyDescent="0.2">
      <c r="B958" s="55"/>
      <c r="C958" s="57"/>
      <c r="D958" s="57"/>
      <c r="E958" s="57"/>
      <c r="F958" s="57"/>
      <c r="G958" s="57"/>
      <c r="I958" s="55"/>
      <c r="J958" s="57"/>
      <c r="K958" s="57"/>
      <c r="L958" s="57"/>
      <c r="M958" s="57"/>
    </row>
    <row r="959" spans="2:13" ht="12" x14ac:dyDescent="0.2">
      <c r="B959" s="56"/>
      <c r="C959" s="58"/>
      <c r="D959" s="58"/>
      <c r="E959" s="58"/>
      <c r="F959" s="58"/>
      <c r="G959" s="58"/>
      <c r="I959" s="56"/>
      <c r="J959" s="58"/>
      <c r="K959" s="58"/>
      <c r="L959" s="58"/>
      <c r="M959" s="58"/>
    </row>
    <row r="960" spans="2:13" ht="12" x14ac:dyDescent="0.2">
      <c r="B960" s="55"/>
      <c r="C960" s="57"/>
      <c r="D960" s="57"/>
      <c r="E960" s="57"/>
      <c r="F960" s="57"/>
      <c r="G960" s="57"/>
      <c r="I960" s="55"/>
      <c r="J960" s="57"/>
      <c r="K960" s="57"/>
      <c r="L960" s="57"/>
      <c r="M960" s="57"/>
    </row>
    <row r="961" spans="2:13" ht="12" x14ac:dyDescent="0.2">
      <c r="B961" s="56"/>
      <c r="C961" s="58"/>
      <c r="D961" s="58"/>
      <c r="E961" s="58"/>
      <c r="F961" s="58"/>
      <c r="G961" s="58"/>
      <c r="I961" s="56"/>
      <c r="J961" s="58"/>
      <c r="K961" s="58"/>
      <c r="L961" s="58"/>
      <c r="M961" s="58"/>
    </row>
    <row r="962" spans="2:13" ht="12" x14ac:dyDescent="0.2">
      <c r="B962" s="55"/>
      <c r="C962" s="57"/>
      <c r="D962" s="57"/>
      <c r="E962" s="57"/>
      <c r="F962" s="57"/>
      <c r="G962" s="57"/>
      <c r="I962" s="55"/>
      <c r="J962" s="57"/>
      <c r="K962" s="57"/>
      <c r="L962" s="57"/>
      <c r="M962" s="57"/>
    </row>
    <row r="963" spans="2:13" ht="12" x14ac:dyDescent="0.2">
      <c r="B963" s="56"/>
      <c r="C963" s="58"/>
      <c r="D963" s="58"/>
      <c r="E963" s="58"/>
      <c r="F963" s="58"/>
      <c r="G963" s="58"/>
      <c r="I963" s="56"/>
      <c r="J963" s="58"/>
      <c r="K963" s="58"/>
      <c r="L963" s="58"/>
      <c r="M963" s="58"/>
    </row>
    <row r="964" spans="2:13" ht="12" x14ac:dyDescent="0.2">
      <c r="B964" s="55"/>
      <c r="C964" s="57"/>
      <c r="D964" s="57"/>
      <c r="E964" s="57"/>
      <c r="F964" s="57"/>
      <c r="G964" s="57"/>
      <c r="I964" s="55"/>
      <c r="J964" s="57"/>
      <c r="K964" s="57"/>
      <c r="L964" s="57"/>
      <c r="M964" s="57"/>
    </row>
    <row r="965" spans="2:13" ht="12" x14ac:dyDescent="0.2">
      <c r="B965" s="56"/>
      <c r="C965" s="58"/>
      <c r="D965" s="58"/>
      <c r="E965" s="58"/>
      <c r="F965" s="58"/>
      <c r="G965" s="58"/>
      <c r="I965" s="56"/>
      <c r="J965" s="58"/>
      <c r="K965" s="58"/>
      <c r="L965" s="58"/>
      <c r="M965" s="58"/>
    </row>
    <row r="966" spans="2:13" ht="12" x14ac:dyDescent="0.2">
      <c r="B966" s="55"/>
      <c r="C966" s="57"/>
      <c r="D966" s="57"/>
      <c r="E966" s="57"/>
      <c r="F966" s="57"/>
      <c r="G966" s="57"/>
      <c r="I966" s="55"/>
      <c r="J966" s="57"/>
      <c r="K966" s="57"/>
      <c r="L966" s="57"/>
      <c r="M966" s="57"/>
    </row>
    <row r="967" spans="2:13" ht="12" x14ac:dyDescent="0.2">
      <c r="B967" s="56"/>
      <c r="C967" s="58"/>
      <c r="D967" s="58"/>
      <c r="E967" s="58"/>
      <c r="F967" s="58"/>
      <c r="G967" s="58"/>
      <c r="I967" s="56"/>
      <c r="J967" s="58"/>
      <c r="K967" s="58"/>
      <c r="L967" s="58"/>
      <c r="M967" s="58"/>
    </row>
    <row r="968" spans="2:13" ht="12" x14ac:dyDescent="0.2">
      <c r="B968" s="55"/>
      <c r="C968" s="57"/>
      <c r="D968" s="57"/>
      <c r="E968" s="57"/>
      <c r="F968" s="57"/>
      <c r="G968" s="57"/>
      <c r="I968" s="55"/>
      <c r="J968" s="57"/>
      <c r="K968" s="57"/>
      <c r="L968" s="57"/>
      <c r="M968" s="57"/>
    </row>
    <row r="969" spans="2:13" ht="12" x14ac:dyDescent="0.2">
      <c r="B969" s="56"/>
      <c r="C969" s="58"/>
      <c r="D969" s="58"/>
      <c r="E969" s="58"/>
      <c r="F969" s="58"/>
      <c r="G969" s="58"/>
      <c r="I969" s="56"/>
      <c r="J969" s="58"/>
      <c r="K969" s="58"/>
      <c r="L969" s="58"/>
      <c r="M969" s="58"/>
    </row>
    <row r="970" spans="2:13" ht="12" x14ac:dyDescent="0.2">
      <c r="B970" s="55"/>
      <c r="C970" s="57"/>
      <c r="D970" s="57"/>
      <c r="E970" s="57"/>
      <c r="F970" s="57"/>
      <c r="G970" s="57"/>
      <c r="I970" s="55"/>
      <c r="J970" s="57"/>
      <c r="K970" s="57"/>
      <c r="L970" s="57"/>
      <c r="M970" s="57"/>
    </row>
    <row r="971" spans="2:13" ht="12" x14ac:dyDescent="0.2">
      <c r="B971" s="56"/>
      <c r="C971" s="58"/>
      <c r="D971" s="58"/>
      <c r="E971" s="58"/>
      <c r="F971" s="58"/>
      <c r="G971" s="58"/>
      <c r="I971" s="56"/>
      <c r="J971" s="58"/>
      <c r="K971" s="58"/>
      <c r="L971" s="58"/>
      <c r="M971" s="58"/>
    </row>
    <row r="972" spans="2:13" ht="12" x14ac:dyDescent="0.2">
      <c r="B972" s="55"/>
      <c r="C972" s="57"/>
      <c r="D972" s="57"/>
      <c r="E972" s="57"/>
      <c r="F972" s="57"/>
      <c r="G972" s="57"/>
      <c r="I972" s="55"/>
      <c r="J972" s="57"/>
      <c r="K972" s="57"/>
      <c r="L972" s="57"/>
      <c r="M972" s="57"/>
    </row>
    <row r="973" spans="2:13" ht="12" x14ac:dyDescent="0.2">
      <c r="B973" s="56"/>
      <c r="C973" s="58"/>
      <c r="D973" s="58"/>
      <c r="E973" s="58"/>
      <c r="F973" s="58"/>
      <c r="G973" s="58"/>
      <c r="I973" s="56"/>
      <c r="J973" s="58"/>
      <c r="K973" s="58"/>
      <c r="L973" s="58"/>
      <c r="M973" s="58"/>
    </row>
    <row r="974" spans="2:13" ht="12" x14ac:dyDescent="0.2">
      <c r="B974" s="55"/>
      <c r="C974" s="57"/>
      <c r="D974" s="57"/>
      <c r="E974" s="57"/>
      <c r="F974" s="57"/>
      <c r="G974" s="57"/>
      <c r="I974" s="55"/>
      <c r="J974" s="57"/>
      <c r="K974" s="57"/>
      <c r="L974" s="57"/>
      <c r="M974" s="57"/>
    </row>
    <row r="975" spans="2:13" ht="12" x14ac:dyDescent="0.2">
      <c r="B975" s="56"/>
      <c r="C975" s="58"/>
      <c r="D975" s="58"/>
      <c r="E975" s="58"/>
      <c r="F975" s="58"/>
      <c r="G975" s="58"/>
      <c r="I975" s="56"/>
      <c r="J975" s="58"/>
      <c r="K975" s="58"/>
      <c r="L975" s="58"/>
      <c r="M975" s="58"/>
    </row>
    <row r="976" spans="2:13" ht="12" x14ac:dyDescent="0.2">
      <c r="B976" s="55"/>
      <c r="C976" s="57"/>
      <c r="D976" s="57"/>
      <c r="E976" s="57"/>
      <c r="F976" s="57"/>
      <c r="G976" s="57"/>
      <c r="I976" s="55"/>
      <c r="J976" s="57"/>
      <c r="K976" s="57"/>
      <c r="L976" s="57"/>
      <c r="M976" s="57"/>
    </row>
    <row r="977" spans="2:13" ht="12" x14ac:dyDescent="0.2">
      <c r="B977" s="56"/>
      <c r="C977" s="58"/>
      <c r="D977" s="58"/>
      <c r="E977" s="58"/>
      <c r="F977" s="58"/>
      <c r="G977" s="58"/>
      <c r="I977" s="56"/>
      <c r="J977" s="58"/>
      <c r="K977" s="58"/>
      <c r="L977" s="58"/>
      <c r="M977" s="58"/>
    </row>
    <row r="978" spans="2:13" ht="12" x14ac:dyDescent="0.2">
      <c r="B978" s="55"/>
      <c r="C978" s="57"/>
      <c r="D978" s="57"/>
      <c r="E978" s="57"/>
      <c r="F978" s="57"/>
      <c r="G978" s="57"/>
      <c r="I978" s="55"/>
      <c r="J978" s="57"/>
      <c r="K978" s="57"/>
      <c r="L978" s="57"/>
      <c r="M978" s="57"/>
    </row>
    <row r="979" spans="2:13" ht="12" x14ac:dyDescent="0.2">
      <c r="B979" s="56"/>
      <c r="C979" s="58"/>
      <c r="D979" s="58"/>
      <c r="E979" s="58"/>
      <c r="F979" s="58"/>
      <c r="G979" s="58"/>
      <c r="I979" s="56"/>
      <c r="J979" s="58"/>
      <c r="K979" s="58"/>
      <c r="L979" s="58"/>
      <c r="M979" s="58"/>
    </row>
    <row r="980" spans="2:13" ht="12" x14ac:dyDescent="0.2">
      <c r="B980" s="55"/>
      <c r="C980" s="57"/>
      <c r="D980" s="57"/>
      <c r="E980" s="57"/>
      <c r="F980" s="57"/>
      <c r="G980" s="57"/>
      <c r="I980" s="55"/>
      <c r="J980" s="57"/>
      <c r="K980" s="57"/>
      <c r="L980" s="57"/>
      <c r="M980" s="57"/>
    </row>
    <row r="981" spans="2:13" ht="12" x14ac:dyDescent="0.2">
      <c r="B981" s="56"/>
      <c r="C981" s="58"/>
      <c r="D981" s="58"/>
      <c r="E981" s="58"/>
      <c r="F981" s="58"/>
      <c r="G981" s="58"/>
      <c r="I981" s="56"/>
      <c r="J981" s="58"/>
      <c r="K981" s="58"/>
      <c r="L981" s="58"/>
      <c r="M981" s="58"/>
    </row>
    <row r="982" spans="2:13" ht="12" x14ac:dyDescent="0.2">
      <c r="B982" s="55"/>
      <c r="C982" s="57"/>
      <c r="D982" s="57"/>
      <c r="E982" s="57"/>
      <c r="F982" s="57"/>
      <c r="G982" s="57"/>
      <c r="I982" s="55"/>
      <c r="J982" s="57"/>
      <c r="K982" s="57"/>
      <c r="L982" s="57"/>
      <c r="M982" s="57"/>
    </row>
    <row r="983" spans="2:13" ht="12" x14ac:dyDescent="0.2">
      <c r="B983" s="56"/>
      <c r="C983" s="58"/>
      <c r="D983" s="58"/>
      <c r="E983" s="58"/>
      <c r="F983" s="58"/>
      <c r="G983" s="58"/>
      <c r="I983" s="56"/>
      <c r="J983" s="58"/>
      <c r="K983" s="58"/>
      <c r="L983" s="58"/>
      <c r="M983" s="58"/>
    </row>
    <row r="984" spans="2:13" ht="12" x14ac:dyDescent="0.2">
      <c r="B984" s="55"/>
      <c r="C984" s="57"/>
      <c r="D984" s="57"/>
      <c r="E984" s="57"/>
      <c r="F984" s="57"/>
      <c r="G984" s="57"/>
      <c r="I984" s="55"/>
      <c r="J984" s="57"/>
      <c r="K984" s="57"/>
      <c r="L984" s="57"/>
      <c r="M984" s="57"/>
    </row>
    <row r="985" spans="2:13" ht="12" x14ac:dyDescent="0.2">
      <c r="B985" s="56"/>
      <c r="C985" s="58"/>
      <c r="D985" s="58"/>
      <c r="E985" s="58"/>
      <c r="F985" s="58"/>
      <c r="G985" s="58"/>
      <c r="I985" s="56"/>
      <c r="J985" s="58"/>
      <c r="K985" s="58"/>
      <c r="L985" s="58"/>
      <c r="M985" s="58"/>
    </row>
    <row r="986" spans="2:13" ht="12" x14ac:dyDescent="0.2">
      <c r="B986" s="55"/>
      <c r="C986" s="57"/>
      <c r="D986" s="57"/>
      <c r="E986" s="57"/>
      <c r="F986" s="57"/>
      <c r="G986" s="57"/>
      <c r="I986" s="55"/>
      <c r="J986" s="57"/>
      <c r="K986" s="57"/>
      <c r="L986" s="57"/>
      <c r="M986" s="57"/>
    </row>
    <row r="987" spans="2:13" ht="12" x14ac:dyDescent="0.2">
      <c r="B987" s="56"/>
      <c r="C987" s="58"/>
      <c r="D987" s="58"/>
      <c r="E987" s="58"/>
      <c r="F987" s="58"/>
      <c r="G987" s="58"/>
      <c r="I987" s="56"/>
      <c r="J987" s="58"/>
      <c r="K987" s="58"/>
      <c r="L987" s="58"/>
      <c r="M987" s="58"/>
    </row>
    <row r="988" spans="2:13" ht="12" x14ac:dyDescent="0.2">
      <c r="B988" s="55"/>
      <c r="C988" s="57"/>
      <c r="D988" s="57"/>
      <c r="E988" s="57"/>
      <c r="F988" s="57"/>
      <c r="G988" s="57"/>
      <c r="I988" s="55"/>
      <c r="J988" s="57"/>
      <c r="K988" s="57"/>
      <c r="L988" s="57"/>
      <c r="M988" s="57"/>
    </row>
    <row r="989" spans="2:13" ht="12" x14ac:dyDescent="0.2">
      <c r="B989" s="56"/>
      <c r="C989" s="58"/>
      <c r="D989" s="58"/>
      <c r="E989" s="58"/>
      <c r="F989" s="58"/>
      <c r="G989" s="58"/>
      <c r="I989" s="56"/>
      <c r="J989" s="58"/>
      <c r="K989" s="58"/>
      <c r="L989" s="58"/>
      <c r="M989" s="58"/>
    </row>
    <row r="990" spans="2:13" ht="12" x14ac:dyDescent="0.2">
      <c r="B990" s="55"/>
      <c r="C990" s="57"/>
      <c r="D990" s="57"/>
      <c r="E990" s="57"/>
      <c r="F990" s="57"/>
      <c r="G990" s="57"/>
      <c r="I990" s="55"/>
      <c r="J990" s="57"/>
      <c r="K990" s="57"/>
      <c r="L990" s="57"/>
      <c r="M990" s="57"/>
    </row>
    <row r="991" spans="2:13" ht="12" x14ac:dyDescent="0.2">
      <c r="B991" s="56"/>
      <c r="C991" s="58"/>
      <c r="D991" s="58"/>
      <c r="E991" s="58"/>
      <c r="F991" s="58"/>
      <c r="G991" s="58"/>
      <c r="I991" s="56"/>
      <c r="J991" s="58"/>
      <c r="K991" s="58"/>
      <c r="L991" s="58"/>
      <c r="M991" s="58"/>
    </row>
    <row r="992" spans="2:13" ht="12" x14ac:dyDescent="0.2">
      <c r="B992" s="55"/>
      <c r="C992" s="57"/>
      <c r="D992" s="57"/>
      <c r="E992" s="57"/>
      <c r="F992" s="57"/>
      <c r="G992" s="57"/>
      <c r="I992" s="55"/>
      <c r="J992" s="57"/>
      <c r="K992" s="57"/>
      <c r="L992" s="57"/>
      <c r="M992" s="57"/>
    </row>
    <row r="993" spans="2:13" ht="12" x14ac:dyDescent="0.2">
      <c r="B993" s="56"/>
      <c r="C993" s="58"/>
      <c r="D993" s="58"/>
      <c r="E993" s="58"/>
      <c r="F993" s="58"/>
      <c r="G993" s="58"/>
      <c r="I993" s="56"/>
      <c r="J993" s="58"/>
      <c r="K993" s="58"/>
      <c r="L993" s="58"/>
      <c r="M993" s="58"/>
    </row>
    <row r="994" spans="2:13" ht="12" x14ac:dyDescent="0.2">
      <c r="B994" s="55"/>
      <c r="C994" s="57"/>
      <c r="D994" s="57"/>
      <c r="E994" s="57"/>
      <c r="F994" s="57"/>
      <c r="G994" s="57"/>
      <c r="I994" s="55"/>
      <c r="J994" s="57"/>
      <c r="K994" s="57"/>
      <c r="L994" s="57"/>
      <c r="M994" s="57"/>
    </row>
    <row r="995" spans="2:13" ht="12" x14ac:dyDescent="0.2">
      <c r="B995" s="56"/>
      <c r="C995" s="58"/>
      <c r="D995" s="58"/>
      <c r="E995" s="58"/>
      <c r="F995" s="58"/>
      <c r="G995" s="58"/>
      <c r="I995" s="56"/>
      <c r="J995" s="58"/>
      <c r="K995" s="58"/>
      <c r="L995" s="58"/>
      <c r="M995" s="58"/>
    </row>
    <row r="996" spans="2:13" ht="12" x14ac:dyDescent="0.2">
      <c r="B996" s="55"/>
      <c r="C996" s="57"/>
      <c r="D996" s="57"/>
      <c r="E996" s="57"/>
      <c r="F996" s="57"/>
      <c r="G996" s="57"/>
      <c r="I996" s="55"/>
      <c r="J996" s="57"/>
      <c r="K996" s="57"/>
      <c r="L996" s="57"/>
      <c r="M996" s="57"/>
    </row>
    <row r="997" spans="2:13" ht="12" x14ac:dyDescent="0.2">
      <c r="B997" s="56"/>
      <c r="C997" s="58"/>
      <c r="D997" s="58"/>
      <c r="E997" s="58"/>
      <c r="F997" s="58"/>
      <c r="G997" s="58"/>
      <c r="I997" s="56"/>
      <c r="J997" s="58"/>
      <c r="K997" s="58"/>
      <c r="L997" s="58"/>
      <c r="M997" s="58"/>
    </row>
    <row r="998" spans="2:13" ht="12" x14ac:dyDescent="0.2">
      <c r="B998" s="55"/>
      <c r="C998" s="57"/>
      <c r="D998" s="57"/>
      <c r="E998" s="57"/>
      <c r="F998" s="57"/>
      <c r="G998" s="57"/>
      <c r="I998" s="55"/>
      <c r="J998" s="57"/>
      <c r="K998" s="57"/>
      <c r="L998" s="57"/>
      <c r="M998" s="57"/>
    </row>
    <row r="999" spans="2:13" ht="12" x14ac:dyDescent="0.2">
      <c r="B999" s="56"/>
      <c r="C999" s="58"/>
      <c r="D999" s="58"/>
      <c r="E999" s="58"/>
      <c r="F999" s="58"/>
      <c r="G999" s="58"/>
      <c r="I999" s="56"/>
      <c r="J999" s="58"/>
      <c r="K999" s="58"/>
      <c r="L999" s="58"/>
      <c r="M999" s="58"/>
    </row>
    <row r="1000" spans="2:13" ht="12" x14ac:dyDescent="0.2">
      <c r="B1000" s="55"/>
      <c r="C1000" s="57"/>
      <c r="D1000" s="57"/>
      <c r="E1000" s="57"/>
      <c r="F1000" s="57"/>
      <c r="G1000" s="57"/>
      <c r="I1000" s="55"/>
      <c r="J1000" s="57"/>
      <c r="K1000" s="57"/>
      <c r="L1000" s="57"/>
      <c r="M1000" s="57"/>
    </row>
    <row r="1001" spans="2:13" ht="12" x14ac:dyDescent="0.2">
      <c r="B1001" s="56"/>
      <c r="C1001" s="58"/>
      <c r="D1001" s="58"/>
      <c r="E1001" s="58"/>
      <c r="F1001" s="58"/>
      <c r="G1001" s="58"/>
      <c r="I1001" s="56"/>
      <c r="J1001" s="58"/>
      <c r="K1001" s="58"/>
      <c r="L1001" s="58"/>
      <c r="M1001" s="58"/>
    </row>
    <row r="1002" spans="2:13" ht="12" x14ac:dyDescent="0.2">
      <c r="B1002" s="55"/>
      <c r="C1002" s="57"/>
      <c r="D1002" s="57"/>
      <c r="E1002" s="57"/>
      <c r="F1002" s="57"/>
      <c r="G1002" s="57"/>
      <c r="I1002" s="55"/>
      <c r="J1002" s="57"/>
      <c r="K1002" s="57"/>
      <c r="L1002" s="57"/>
      <c r="M1002" s="57"/>
    </row>
    <row r="1003" spans="2:13" ht="12" x14ac:dyDescent="0.2">
      <c r="B1003" s="56"/>
      <c r="C1003" s="58"/>
      <c r="D1003" s="58"/>
      <c r="E1003" s="58"/>
      <c r="F1003" s="58"/>
      <c r="G1003" s="58"/>
      <c r="I1003" s="56"/>
      <c r="J1003" s="58"/>
      <c r="K1003" s="58"/>
      <c r="L1003" s="58"/>
      <c r="M1003" s="58"/>
    </row>
    <row r="1004" spans="2:13" ht="12" x14ac:dyDescent="0.2">
      <c r="B1004" s="55"/>
      <c r="C1004" s="57"/>
      <c r="D1004" s="57"/>
      <c r="E1004" s="57"/>
      <c r="F1004" s="57"/>
      <c r="G1004" s="57"/>
      <c r="I1004" s="55"/>
      <c r="J1004" s="57"/>
      <c r="K1004" s="57"/>
      <c r="L1004" s="57"/>
      <c r="M1004" s="57"/>
    </row>
    <row r="1005" spans="2:13" ht="12" x14ac:dyDescent="0.2">
      <c r="B1005" s="56"/>
      <c r="C1005" s="58"/>
      <c r="D1005" s="58"/>
      <c r="E1005" s="58"/>
      <c r="F1005" s="58"/>
      <c r="G1005" s="58"/>
      <c r="I1005" s="56"/>
      <c r="J1005" s="58"/>
      <c r="K1005" s="58"/>
      <c r="L1005" s="58"/>
      <c r="M1005" s="58"/>
    </row>
    <row r="1006" spans="2:13" ht="12" x14ac:dyDescent="0.2">
      <c r="B1006" s="55"/>
      <c r="C1006" s="57"/>
      <c r="D1006" s="57"/>
      <c r="E1006" s="57"/>
      <c r="F1006" s="57"/>
      <c r="G1006" s="57"/>
      <c r="I1006" s="55"/>
      <c r="J1006" s="57"/>
      <c r="K1006" s="57"/>
      <c r="L1006" s="57"/>
      <c r="M1006" s="57"/>
    </row>
    <row r="1007" spans="2:13" ht="12" x14ac:dyDescent="0.2">
      <c r="B1007" s="56"/>
      <c r="C1007" s="58"/>
      <c r="D1007" s="58"/>
      <c r="E1007" s="58"/>
      <c r="F1007" s="58"/>
      <c r="G1007" s="58"/>
      <c r="I1007" s="56"/>
      <c r="J1007" s="58"/>
      <c r="K1007" s="58"/>
      <c r="L1007" s="58"/>
      <c r="M1007" s="58"/>
    </row>
    <row r="1008" spans="2:13" ht="12" x14ac:dyDescent="0.2">
      <c r="B1008" s="55"/>
      <c r="C1008" s="57"/>
      <c r="D1008" s="57"/>
      <c r="E1008" s="57"/>
      <c r="F1008" s="57"/>
      <c r="G1008" s="57"/>
      <c r="I1008" s="55"/>
      <c r="J1008" s="57"/>
      <c r="K1008" s="57"/>
      <c r="L1008" s="57"/>
      <c r="M1008" s="57"/>
    </row>
    <row r="1009" spans="2:13" ht="12" x14ac:dyDescent="0.2">
      <c r="B1009" s="56"/>
      <c r="C1009" s="58"/>
      <c r="D1009" s="58"/>
      <c r="E1009" s="58"/>
      <c r="F1009" s="58"/>
      <c r="G1009" s="58"/>
      <c r="I1009" s="56"/>
      <c r="J1009" s="58"/>
      <c r="K1009" s="58"/>
      <c r="L1009" s="58"/>
      <c r="M1009" s="58"/>
    </row>
    <row r="1010" spans="2:13" ht="12" x14ac:dyDescent="0.2">
      <c r="B1010" s="55"/>
      <c r="C1010" s="57"/>
      <c r="D1010" s="57"/>
      <c r="E1010" s="57"/>
      <c r="F1010" s="57"/>
      <c r="G1010" s="57"/>
      <c r="I1010" s="55"/>
      <c r="J1010" s="57"/>
      <c r="K1010" s="57"/>
      <c r="L1010" s="57"/>
      <c r="M1010" s="57"/>
    </row>
    <row r="1011" spans="2:13" ht="12" x14ac:dyDescent="0.2">
      <c r="B1011" s="56"/>
      <c r="C1011" s="58"/>
      <c r="D1011" s="58"/>
      <c r="E1011" s="58"/>
      <c r="F1011" s="58"/>
      <c r="G1011" s="58"/>
      <c r="I1011" s="56"/>
      <c r="J1011" s="58"/>
      <c r="K1011" s="58"/>
      <c r="L1011" s="58"/>
      <c r="M1011" s="58"/>
    </row>
    <row r="1012" spans="2:13" ht="12" x14ac:dyDescent="0.2">
      <c r="B1012" s="55"/>
      <c r="C1012" s="57"/>
      <c r="D1012" s="57"/>
      <c r="E1012" s="57"/>
      <c r="F1012" s="57"/>
      <c r="G1012" s="57"/>
      <c r="I1012" s="55"/>
      <c r="J1012" s="57"/>
      <c r="K1012" s="57"/>
      <c r="L1012" s="57"/>
      <c r="M1012" s="57"/>
    </row>
    <row r="1013" spans="2:13" ht="12" x14ac:dyDescent="0.2">
      <c r="B1013" s="56"/>
      <c r="C1013" s="58"/>
      <c r="D1013" s="58"/>
      <c r="E1013" s="58"/>
      <c r="F1013" s="58"/>
      <c r="G1013" s="58"/>
      <c r="I1013" s="56"/>
      <c r="J1013" s="58"/>
      <c r="K1013" s="58"/>
      <c r="L1013" s="58"/>
      <c r="M1013" s="58"/>
    </row>
    <row r="1014" spans="2:13" ht="12" x14ac:dyDescent="0.2">
      <c r="B1014" s="55"/>
      <c r="C1014" s="57"/>
      <c r="D1014" s="57"/>
      <c r="E1014" s="57"/>
      <c r="F1014" s="57"/>
      <c r="G1014" s="57"/>
      <c r="I1014" s="55"/>
      <c r="J1014" s="57"/>
      <c r="K1014" s="57"/>
      <c r="L1014" s="57"/>
      <c r="M1014" s="57"/>
    </row>
    <row r="1015" spans="2:13" ht="12" x14ac:dyDescent="0.2">
      <c r="B1015" s="56"/>
      <c r="C1015" s="58"/>
      <c r="D1015" s="58"/>
      <c r="E1015" s="58"/>
      <c r="F1015" s="58"/>
      <c r="G1015" s="58"/>
      <c r="I1015" s="56"/>
      <c r="J1015" s="58"/>
      <c r="K1015" s="58"/>
      <c r="L1015" s="58"/>
      <c r="M1015" s="58"/>
    </row>
    <row r="1016" spans="2:13" ht="12" x14ac:dyDescent="0.2">
      <c r="B1016" s="55"/>
      <c r="C1016" s="57"/>
      <c r="D1016" s="57"/>
      <c r="E1016" s="57"/>
      <c r="F1016" s="57"/>
      <c r="G1016" s="57"/>
      <c r="I1016" s="55"/>
      <c r="J1016" s="57"/>
      <c r="K1016" s="57"/>
      <c r="L1016" s="57"/>
      <c r="M1016" s="57"/>
    </row>
    <row r="1017" spans="2:13" ht="12" x14ac:dyDescent="0.2">
      <c r="B1017" s="56"/>
      <c r="C1017" s="58"/>
      <c r="D1017" s="58"/>
      <c r="E1017" s="58"/>
      <c r="F1017" s="58"/>
      <c r="G1017" s="58"/>
      <c r="I1017" s="56"/>
      <c r="J1017" s="58"/>
      <c r="K1017" s="58"/>
      <c r="L1017" s="58"/>
      <c r="M1017" s="58"/>
    </row>
    <row r="1018" spans="2:13" ht="12" x14ac:dyDescent="0.2">
      <c r="B1018" s="55"/>
      <c r="C1018" s="57"/>
      <c r="D1018" s="57"/>
      <c r="E1018" s="57"/>
      <c r="F1018" s="57"/>
      <c r="G1018" s="57"/>
      <c r="I1018" s="55"/>
      <c r="J1018" s="57"/>
      <c r="K1018" s="57"/>
      <c r="L1018" s="57"/>
      <c r="M1018" s="57"/>
    </row>
    <row r="1019" spans="2:13" ht="12" x14ac:dyDescent="0.2">
      <c r="B1019" s="56"/>
      <c r="C1019" s="58"/>
      <c r="D1019" s="58"/>
      <c r="E1019" s="58"/>
      <c r="F1019" s="58"/>
      <c r="G1019" s="58"/>
      <c r="I1019" s="56"/>
      <c r="J1019" s="58"/>
      <c r="K1019" s="58"/>
      <c r="L1019" s="58"/>
      <c r="M1019" s="58"/>
    </row>
    <row r="1020" spans="2:13" ht="12" x14ac:dyDescent="0.2">
      <c r="B1020" s="55"/>
      <c r="C1020" s="57"/>
      <c r="D1020" s="57"/>
      <c r="E1020" s="57"/>
      <c r="F1020" s="57"/>
      <c r="G1020" s="57"/>
      <c r="I1020" s="55"/>
      <c r="J1020" s="57"/>
      <c r="K1020" s="57"/>
      <c r="L1020" s="57"/>
      <c r="M1020" s="57"/>
    </row>
    <row r="1021" spans="2:13" ht="12" x14ac:dyDescent="0.2">
      <c r="B1021" s="56"/>
      <c r="C1021" s="58"/>
      <c r="D1021" s="58"/>
      <c r="E1021" s="58"/>
      <c r="F1021" s="58"/>
      <c r="G1021" s="58"/>
      <c r="I1021" s="56"/>
      <c r="J1021" s="58"/>
      <c r="K1021" s="58"/>
      <c r="L1021" s="58"/>
      <c r="M1021" s="58"/>
    </row>
    <row r="1022" spans="2:13" ht="12" x14ac:dyDescent="0.2">
      <c r="B1022" s="55"/>
      <c r="C1022" s="57"/>
      <c r="D1022" s="57"/>
      <c r="E1022" s="57"/>
      <c r="F1022" s="57"/>
      <c r="G1022" s="57"/>
      <c r="I1022" s="55"/>
      <c r="J1022" s="57"/>
      <c r="K1022" s="57"/>
      <c r="L1022" s="57"/>
      <c r="M1022" s="57"/>
    </row>
    <row r="1023" spans="2:13" ht="12" x14ac:dyDescent="0.2">
      <c r="B1023" s="56"/>
      <c r="C1023" s="58"/>
      <c r="D1023" s="58"/>
      <c r="E1023" s="58"/>
      <c r="F1023" s="58"/>
      <c r="G1023" s="58"/>
      <c r="I1023" s="56"/>
      <c r="J1023" s="58"/>
      <c r="K1023" s="58"/>
      <c r="L1023" s="58"/>
      <c r="M1023" s="58"/>
    </row>
    <row r="1024" spans="2:13" ht="12" x14ac:dyDescent="0.2">
      <c r="B1024" s="55"/>
      <c r="C1024" s="57"/>
      <c r="D1024" s="57"/>
      <c r="E1024" s="57"/>
      <c r="F1024" s="57"/>
      <c r="G1024" s="57"/>
      <c r="I1024" s="55"/>
      <c r="J1024" s="57"/>
      <c r="K1024" s="57"/>
      <c r="L1024" s="57"/>
      <c r="M1024" s="57"/>
    </row>
    <row r="1025" spans="2:13" ht="12" x14ac:dyDescent="0.2">
      <c r="B1025" s="56"/>
      <c r="C1025" s="58"/>
      <c r="D1025" s="58"/>
      <c r="E1025" s="58"/>
      <c r="F1025" s="58"/>
      <c r="G1025" s="58"/>
      <c r="I1025" s="56"/>
      <c r="J1025" s="58"/>
      <c r="K1025" s="58"/>
      <c r="L1025" s="58"/>
      <c r="M1025" s="58"/>
    </row>
    <row r="1026" spans="2:13" ht="12" x14ac:dyDescent="0.2">
      <c r="B1026" s="55"/>
      <c r="C1026" s="57"/>
      <c r="D1026" s="57"/>
      <c r="E1026" s="57"/>
      <c r="F1026" s="57"/>
      <c r="G1026" s="57"/>
      <c r="I1026" s="55"/>
      <c r="J1026" s="57"/>
      <c r="K1026" s="57"/>
      <c r="L1026" s="57"/>
      <c r="M1026" s="57"/>
    </row>
    <row r="1027" spans="2:13" ht="12" x14ac:dyDescent="0.2">
      <c r="B1027" s="56"/>
      <c r="C1027" s="58"/>
      <c r="D1027" s="58"/>
      <c r="E1027" s="58"/>
      <c r="F1027" s="58"/>
      <c r="G1027" s="58"/>
      <c r="I1027" s="56"/>
      <c r="J1027" s="58"/>
      <c r="K1027" s="58"/>
      <c r="L1027" s="58"/>
      <c r="M1027" s="58"/>
    </row>
    <row r="1028" spans="2:13" ht="12" x14ac:dyDescent="0.2">
      <c r="B1028" s="55"/>
      <c r="C1028" s="57"/>
      <c r="D1028" s="57"/>
      <c r="E1028" s="57"/>
      <c r="F1028" s="57"/>
      <c r="G1028" s="57"/>
      <c r="I1028" s="55"/>
      <c r="J1028" s="57"/>
      <c r="K1028" s="57"/>
      <c r="L1028" s="57"/>
      <c r="M1028" s="57"/>
    </row>
    <row r="1029" spans="2:13" ht="12" x14ac:dyDescent="0.2">
      <c r="B1029" s="56"/>
      <c r="C1029" s="58"/>
      <c r="D1029" s="58"/>
      <c r="E1029" s="58"/>
      <c r="F1029" s="58"/>
      <c r="G1029" s="58"/>
      <c r="I1029" s="56"/>
      <c r="J1029" s="58"/>
      <c r="K1029" s="58"/>
      <c r="L1029" s="58"/>
      <c r="M1029" s="58"/>
    </row>
    <row r="1030" spans="2:13" ht="12" x14ac:dyDescent="0.2">
      <c r="B1030" s="55"/>
      <c r="C1030" s="57"/>
      <c r="D1030" s="57"/>
      <c r="E1030" s="57"/>
      <c r="F1030" s="57"/>
      <c r="G1030" s="57"/>
      <c r="I1030" s="55"/>
      <c r="J1030" s="57"/>
      <c r="K1030" s="57"/>
      <c r="L1030" s="57"/>
      <c r="M1030" s="57"/>
    </row>
    <row r="1031" spans="2:13" ht="12" x14ac:dyDescent="0.2">
      <c r="B1031" s="56"/>
      <c r="C1031" s="58"/>
      <c r="D1031" s="58"/>
      <c r="E1031" s="58"/>
      <c r="F1031" s="58"/>
      <c r="G1031" s="58"/>
      <c r="I1031" s="56"/>
      <c r="J1031" s="58"/>
      <c r="K1031" s="58"/>
      <c r="L1031" s="58"/>
      <c r="M1031" s="58"/>
    </row>
    <row r="1032" spans="2:13" ht="12" x14ac:dyDescent="0.2">
      <c r="B1032" s="55"/>
      <c r="C1032" s="57"/>
      <c r="D1032" s="57"/>
      <c r="E1032" s="57"/>
      <c r="F1032" s="57"/>
      <c r="G1032" s="57"/>
      <c r="I1032" s="55"/>
      <c r="J1032" s="57"/>
      <c r="K1032" s="57"/>
      <c r="L1032" s="57"/>
      <c r="M1032" s="57"/>
    </row>
    <row r="1033" spans="2:13" ht="12" x14ac:dyDescent="0.2">
      <c r="B1033" s="56"/>
      <c r="C1033" s="58"/>
      <c r="D1033" s="58"/>
      <c r="E1033" s="58"/>
      <c r="F1033" s="58"/>
      <c r="G1033" s="58"/>
      <c r="I1033" s="56"/>
      <c r="J1033" s="58"/>
      <c r="K1033" s="58"/>
      <c r="L1033" s="58"/>
      <c r="M1033" s="58"/>
    </row>
    <row r="1034" spans="2:13" ht="12" x14ac:dyDescent="0.2">
      <c r="B1034" s="55"/>
      <c r="C1034" s="57"/>
      <c r="D1034" s="57"/>
      <c r="E1034" s="57"/>
      <c r="F1034" s="57"/>
      <c r="G1034" s="57"/>
      <c r="I1034" s="55"/>
      <c r="J1034" s="57"/>
      <c r="K1034" s="57"/>
      <c r="L1034" s="57"/>
      <c r="M1034" s="57"/>
    </row>
    <row r="1035" spans="2:13" ht="12" x14ac:dyDescent="0.2">
      <c r="B1035" s="56"/>
      <c r="C1035" s="58"/>
      <c r="D1035" s="58"/>
      <c r="E1035" s="58"/>
      <c r="F1035" s="58"/>
      <c r="G1035" s="58"/>
      <c r="I1035" s="56"/>
      <c r="J1035" s="58"/>
      <c r="K1035" s="58"/>
      <c r="L1035" s="58"/>
      <c r="M1035" s="58"/>
    </row>
    <row r="1036" spans="2:13" ht="12" x14ac:dyDescent="0.2">
      <c r="B1036" s="55"/>
      <c r="C1036" s="57"/>
      <c r="D1036" s="57"/>
      <c r="E1036" s="57"/>
      <c r="F1036" s="57"/>
      <c r="G1036" s="57"/>
      <c r="I1036" s="55"/>
      <c r="J1036" s="57"/>
      <c r="K1036" s="57"/>
      <c r="L1036" s="57"/>
      <c r="M1036" s="57"/>
    </row>
    <row r="1037" spans="2:13" ht="12" x14ac:dyDescent="0.2">
      <c r="B1037" s="56"/>
      <c r="C1037" s="58"/>
      <c r="D1037" s="58"/>
      <c r="E1037" s="58"/>
      <c r="F1037" s="58"/>
      <c r="G1037" s="58"/>
      <c r="I1037" s="56"/>
      <c r="J1037" s="58"/>
      <c r="K1037" s="58"/>
      <c r="L1037" s="58"/>
      <c r="M1037" s="58"/>
    </row>
    <row r="1038" spans="2:13" ht="12" x14ac:dyDescent="0.2">
      <c r="B1038" s="55"/>
      <c r="C1038" s="57"/>
      <c r="D1038" s="57"/>
      <c r="E1038" s="57"/>
      <c r="F1038" s="57"/>
      <c r="G1038" s="57"/>
      <c r="I1038" s="55"/>
      <c r="J1038" s="57"/>
      <c r="K1038" s="57"/>
      <c r="L1038" s="57"/>
      <c r="M1038" s="57"/>
    </row>
    <row r="1039" spans="2:13" ht="12" x14ac:dyDescent="0.2">
      <c r="B1039" s="56"/>
      <c r="C1039" s="58"/>
      <c r="D1039" s="58"/>
      <c r="E1039" s="58"/>
      <c r="F1039" s="58"/>
      <c r="G1039" s="58"/>
      <c r="I1039" s="56"/>
      <c r="J1039" s="58"/>
      <c r="K1039" s="58"/>
      <c r="L1039" s="58"/>
      <c r="M1039" s="58"/>
    </row>
    <row r="1040" spans="2:13" ht="12" x14ac:dyDescent="0.2">
      <c r="B1040" s="55"/>
      <c r="C1040" s="57"/>
      <c r="D1040" s="57"/>
      <c r="E1040" s="57"/>
      <c r="F1040" s="57"/>
      <c r="G1040" s="57"/>
      <c r="I1040" s="55"/>
      <c r="J1040" s="57"/>
      <c r="K1040" s="57"/>
      <c r="L1040" s="57"/>
      <c r="M1040" s="57"/>
    </row>
    <row r="1041" spans="2:13" ht="12" x14ac:dyDescent="0.2">
      <c r="B1041" s="56"/>
      <c r="C1041" s="58"/>
      <c r="D1041" s="58"/>
      <c r="E1041" s="58"/>
      <c r="F1041" s="58"/>
      <c r="G1041" s="58"/>
      <c r="I1041" s="56"/>
      <c r="J1041" s="58"/>
      <c r="K1041" s="58"/>
      <c r="L1041" s="58"/>
      <c r="M1041" s="58"/>
    </row>
    <row r="1042" spans="2:13" ht="12" x14ac:dyDescent="0.2">
      <c r="B1042" s="55"/>
      <c r="C1042" s="57"/>
      <c r="D1042" s="57"/>
      <c r="E1042" s="57"/>
      <c r="F1042" s="57"/>
      <c r="G1042" s="57"/>
      <c r="I1042" s="55"/>
      <c r="J1042" s="57"/>
      <c r="K1042" s="57"/>
      <c r="L1042" s="57"/>
      <c r="M1042" s="57"/>
    </row>
    <row r="1043" spans="2:13" ht="12" x14ac:dyDescent="0.2">
      <c r="B1043" s="56"/>
      <c r="C1043" s="58"/>
      <c r="D1043" s="58"/>
      <c r="E1043" s="58"/>
      <c r="F1043" s="58"/>
      <c r="G1043" s="58"/>
      <c r="I1043" s="56"/>
      <c r="J1043" s="58"/>
      <c r="K1043" s="58"/>
      <c r="L1043" s="58"/>
      <c r="M1043" s="58"/>
    </row>
    <row r="1044" spans="2:13" ht="12" x14ac:dyDescent="0.2">
      <c r="B1044" s="55"/>
      <c r="C1044" s="57"/>
      <c r="D1044" s="57"/>
      <c r="E1044" s="57"/>
      <c r="F1044" s="57"/>
      <c r="G1044" s="57"/>
      <c r="I1044" s="55"/>
      <c r="J1044" s="57"/>
      <c r="K1044" s="57"/>
      <c r="L1044" s="57"/>
      <c r="M1044" s="57"/>
    </row>
    <row r="1045" spans="2:13" ht="12" x14ac:dyDescent="0.2">
      <c r="B1045" s="56"/>
      <c r="C1045" s="58"/>
      <c r="D1045" s="58"/>
      <c r="E1045" s="58"/>
      <c r="F1045" s="58"/>
      <c r="G1045" s="58"/>
      <c r="I1045" s="56"/>
      <c r="J1045" s="58"/>
      <c r="K1045" s="58"/>
      <c r="L1045" s="58"/>
      <c r="M1045" s="58"/>
    </row>
    <row r="1046" spans="2:13" ht="12" x14ac:dyDescent="0.2">
      <c r="B1046" s="55"/>
      <c r="C1046" s="57"/>
      <c r="D1046" s="57"/>
      <c r="E1046" s="57"/>
      <c r="F1046" s="57"/>
      <c r="G1046" s="57"/>
      <c r="I1046" s="55"/>
      <c r="J1046" s="57"/>
      <c r="K1046" s="57"/>
      <c r="L1046" s="57"/>
      <c r="M1046" s="57"/>
    </row>
    <row r="1047" spans="2:13" ht="12" x14ac:dyDescent="0.2">
      <c r="B1047" s="56"/>
      <c r="C1047" s="58"/>
      <c r="D1047" s="58"/>
      <c r="E1047" s="58"/>
      <c r="F1047" s="58"/>
      <c r="G1047" s="58"/>
      <c r="I1047" s="56"/>
      <c r="J1047" s="58"/>
      <c r="K1047" s="58"/>
      <c r="L1047" s="58"/>
      <c r="M1047" s="58"/>
    </row>
    <row r="1048" spans="2:13" ht="12" x14ac:dyDescent="0.2">
      <c r="B1048" s="55"/>
      <c r="C1048" s="57"/>
      <c r="D1048" s="57"/>
      <c r="E1048" s="57"/>
      <c r="F1048" s="57"/>
      <c r="G1048" s="57"/>
      <c r="I1048" s="55"/>
      <c r="J1048" s="57"/>
      <c r="K1048" s="57"/>
      <c r="L1048" s="57"/>
      <c r="M1048" s="57"/>
    </row>
    <row r="1049" spans="2:13" ht="12" x14ac:dyDescent="0.2">
      <c r="B1049" s="56"/>
      <c r="C1049" s="58"/>
      <c r="D1049" s="58"/>
      <c r="E1049" s="58"/>
      <c r="F1049" s="58"/>
      <c r="G1049" s="58"/>
      <c r="I1049" s="56"/>
      <c r="J1049" s="58"/>
      <c r="K1049" s="58"/>
      <c r="L1049" s="58"/>
      <c r="M1049" s="58"/>
    </row>
    <row r="1050" spans="2:13" ht="12" x14ac:dyDescent="0.2">
      <c r="B1050" s="55"/>
      <c r="C1050" s="57"/>
      <c r="D1050" s="57"/>
      <c r="E1050" s="57"/>
      <c r="F1050" s="57"/>
      <c r="G1050" s="57"/>
      <c r="I1050" s="55"/>
      <c r="J1050" s="57"/>
      <c r="K1050" s="57"/>
      <c r="L1050" s="57"/>
      <c r="M1050" s="57"/>
    </row>
    <row r="1051" spans="2:13" ht="12" x14ac:dyDescent="0.2">
      <c r="B1051" s="56"/>
      <c r="C1051" s="58"/>
      <c r="D1051" s="58"/>
      <c r="E1051" s="58"/>
      <c r="F1051" s="58"/>
      <c r="G1051" s="58"/>
      <c r="I1051" s="56"/>
      <c r="J1051" s="58"/>
      <c r="K1051" s="58"/>
      <c r="L1051" s="58"/>
      <c r="M1051" s="58"/>
    </row>
    <row r="1052" spans="2:13" ht="12" x14ac:dyDescent="0.2">
      <c r="B1052" s="55"/>
      <c r="C1052" s="57"/>
      <c r="D1052" s="57"/>
      <c r="E1052" s="57"/>
      <c r="F1052" s="57"/>
      <c r="G1052" s="57"/>
      <c r="I1052" s="55"/>
      <c r="J1052" s="57"/>
      <c r="K1052" s="57"/>
      <c r="L1052" s="57"/>
      <c r="M1052" s="57"/>
    </row>
    <row r="1053" spans="2:13" ht="12" x14ac:dyDescent="0.2">
      <c r="B1053" s="56"/>
      <c r="C1053" s="58"/>
      <c r="D1053" s="58"/>
      <c r="E1053" s="58"/>
      <c r="F1053" s="58"/>
      <c r="G1053" s="58"/>
      <c r="I1053" s="56"/>
      <c r="J1053" s="58"/>
      <c r="K1053" s="58"/>
      <c r="L1053" s="58"/>
      <c r="M1053" s="58"/>
    </row>
    <row r="1054" spans="2:13" ht="12" x14ac:dyDescent="0.2">
      <c r="B1054" s="55"/>
      <c r="C1054" s="57"/>
      <c r="D1054" s="57"/>
      <c r="E1054" s="57"/>
      <c r="F1054" s="57"/>
      <c r="G1054" s="57"/>
      <c r="I1054" s="55"/>
      <c r="J1054" s="57"/>
      <c r="K1054" s="57"/>
      <c r="L1054" s="57"/>
      <c r="M1054" s="57"/>
    </row>
    <row r="1055" spans="2:13" ht="12" x14ac:dyDescent="0.2">
      <c r="B1055" s="56"/>
      <c r="C1055" s="58"/>
      <c r="D1055" s="58"/>
      <c r="E1055" s="58"/>
      <c r="F1055" s="58"/>
      <c r="G1055" s="58"/>
      <c r="I1055" s="56"/>
      <c r="J1055" s="58"/>
      <c r="K1055" s="58"/>
      <c r="L1055" s="58"/>
      <c r="M1055" s="58"/>
    </row>
    <row r="1056" spans="2:13" ht="12" x14ac:dyDescent="0.2">
      <c r="B1056" s="55"/>
      <c r="C1056" s="57"/>
      <c r="D1056" s="57"/>
      <c r="E1056" s="57"/>
      <c r="F1056" s="57"/>
      <c r="G1056" s="57"/>
      <c r="I1056" s="55"/>
      <c r="J1056" s="57"/>
      <c r="K1056" s="57"/>
      <c r="L1056" s="57"/>
      <c r="M1056" s="57"/>
    </row>
    <row r="1057" spans="2:13" ht="12" x14ac:dyDescent="0.2">
      <c r="B1057" s="56"/>
      <c r="C1057" s="58"/>
      <c r="D1057" s="58"/>
      <c r="E1057" s="58"/>
      <c r="F1057" s="58"/>
      <c r="G1057" s="58"/>
      <c r="I1057" s="56"/>
      <c r="J1057" s="58"/>
      <c r="K1057" s="58"/>
      <c r="L1057" s="58"/>
      <c r="M1057" s="58"/>
    </row>
    <row r="1058" spans="2:13" ht="12" x14ac:dyDescent="0.2">
      <c r="B1058" s="55"/>
      <c r="C1058" s="57"/>
      <c r="D1058" s="57"/>
      <c r="E1058" s="57"/>
      <c r="F1058" s="57"/>
      <c r="G1058" s="57"/>
      <c r="I1058" s="55"/>
      <c r="J1058" s="57"/>
      <c r="K1058" s="57"/>
      <c r="L1058" s="57"/>
      <c r="M1058" s="57"/>
    </row>
    <row r="1059" spans="2:13" ht="12" x14ac:dyDescent="0.2">
      <c r="B1059" s="56"/>
      <c r="C1059" s="58"/>
      <c r="D1059" s="58"/>
      <c r="E1059" s="58"/>
      <c r="F1059" s="58"/>
      <c r="G1059" s="58"/>
      <c r="I1059" s="56"/>
      <c r="J1059" s="58"/>
      <c r="K1059" s="58"/>
      <c r="L1059" s="58"/>
      <c r="M1059" s="58"/>
    </row>
    <row r="1060" spans="2:13" ht="12" x14ac:dyDescent="0.2">
      <c r="B1060" s="55"/>
      <c r="C1060" s="57"/>
      <c r="D1060" s="57"/>
      <c r="E1060" s="57"/>
      <c r="F1060" s="57"/>
      <c r="G1060" s="57"/>
      <c r="I1060" s="55"/>
      <c r="J1060" s="57"/>
      <c r="K1060" s="57"/>
      <c r="L1060" s="57"/>
      <c r="M1060" s="57"/>
    </row>
    <row r="1061" spans="2:13" ht="12" x14ac:dyDescent="0.2">
      <c r="B1061" s="56"/>
      <c r="C1061" s="58"/>
      <c r="D1061" s="58"/>
      <c r="E1061" s="58"/>
      <c r="F1061" s="58"/>
      <c r="G1061" s="58"/>
      <c r="I1061" s="56"/>
      <c r="J1061" s="58"/>
      <c r="K1061" s="58"/>
      <c r="L1061" s="58"/>
      <c r="M1061" s="58"/>
    </row>
    <row r="1062" spans="2:13" ht="12" x14ac:dyDescent="0.2">
      <c r="B1062" s="55"/>
      <c r="C1062" s="57"/>
      <c r="D1062" s="57"/>
      <c r="E1062" s="57"/>
      <c r="F1062" s="57"/>
      <c r="G1062" s="57"/>
      <c r="I1062" s="55"/>
      <c r="J1062" s="57"/>
      <c r="K1062" s="57"/>
      <c r="L1062" s="57"/>
      <c r="M1062" s="57"/>
    </row>
    <row r="1063" spans="2:13" ht="12" x14ac:dyDescent="0.2">
      <c r="B1063" s="56"/>
      <c r="C1063" s="58"/>
      <c r="D1063" s="58"/>
      <c r="E1063" s="58"/>
      <c r="F1063" s="58"/>
      <c r="G1063" s="58"/>
      <c r="I1063" s="56"/>
      <c r="J1063" s="58"/>
      <c r="K1063" s="58"/>
      <c r="L1063" s="58"/>
      <c r="M1063" s="58"/>
    </row>
    <row r="1064" spans="2:13" ht="12" x14ac:dyDescent="0.2">
      <c r="B1064" s="55"/>
      <c r="C1064" s="57"/>
      <c r="D1064" s="57"/>
      <c r="E1064" s="57"/>
      <c r="F1064" s="57"/>
      <c r="G1064" s="57"/>
      <c r="I1064" s="55"/>
      <c r="J1064" s="57"/>
      <c r="K1064" s="57"/>
      <c r="L1064" s="57"/>
      <c r="M1064" s="57"/>
    </row>
    <row r="1065" spans="2:13" ht="12" x14ac:dyDescent="0.2">
      <c r="B1065" s="56"/>
      <c r="C1065" s="58"/>
      <c r="D1065" s="58"/>
      <c r="E1065" s="58"/>
      <c r="F1065" s="58"/>
      <c r="G1065" s="58"/>
      <c r="I1065" s="56"/>
      <c r="J1065" s="58"/>
      <c r="K1065" s="58"/>
      <c r="L1065" s="58"/>
      <c r="M1065" s="58"/>
    </row>
    <row r="1066" spans="2:13" ht="12" x14ac:dyDescent="0.2">
      <c r="B1066" s="55"/>
      <c r="C1066" s="57"/>
      <c r="D1066" s="57"/>
      <c r="E1066" s="57"/>
      <c r="F1066" s="57"/>
      <c r="G1066" s="57"/>
      <c r="I1066" s="55"/>
      <c r="J1066" s="57"/>
      <c r="K1066" s="57"/>
      <c r="L1066" s="57"/>
      <c r="M1066" s="57"/>
    </row>
    <row r="1067" spans="2:13" ht="12" x14ac:dyDescent="0.2">
      <c r="B1067" s="56"/>
      <c r="C1067" s="58"/>
      <c r="D1067" s="58"/>
      <c r="E1067" s="58"/>
      <c r="F1067" s="58"/>
      <c r="G1067" s="58"/>
      <c r="I1067" s="56"/>
      <c r="J1067" s="58"/>
      <c r="K1067" s="58"/>
      <c r="L1067" s="58"/>
      <c r="M1067" s="58"/>
    </row>
    <row r="1068" spans="2:13" ht="12" x14ac:dyDescent="0.2">
      <c r="B1068" s="55"/>
      <c r="C1068" s="57"/>
      <c r="D1068" s="57"/>
      <c r="E1068" s="57"/>
      <c r="F1068" s="57"/>
      <c r="G1068" s="57"/>
      <c r="I1068" s="55"/>
      <c r="J1068" s="57"/>
      <c r="K1068" s="57"/>
      <c r="L1068" s="57"/>
      <c r="M1068" s="57"/>
    </row>
    <row r="1069" spans="2:13" ht="12" x14ac:dyDescent="0.2">
      <c r="B1069" s="56"/>
      <c r="C1069" s="58"/>
      <c r="D1069" s="58"/>
      <c r="E1069" s="58"/>
      <c r="F1069" s="58"/>
      <c r="G1069" s="58"/>
      <c r="I1069" s="56"/>
      <c r="J1069" s="58"/>
      <c r="K1069" s="58"/>
      <c r="L1069" s="58"/>
      <c r="M1069" s="58"/>
    </row>
    <row r="1070" spans="2:13" ht="12" x14ac:dyDescent="0.2">
      <c r="B1070" s="55"/>
      <c r="C1070" s="57"/>
      <c r="D1070" s="57"/>
      <c r="E1070" s="57"/>
      <c r="F1070" s="57"/>
      <c r="G1070" s="57"/>
      <c r="I1070" s="55"/>
      <c r="J1070" s="57"/>
      <c r="K1070" s="57"/>
      <c r="L1070" s="57"/>
      <c r="M1070" s="57"/>
    </row>
    <row r="1071" spans="2:13" ht="12" x14ac:dyDescent="0.2">
      <c r="B1071" s="56"/>
      <c r="C1071" s="58"/>
      <c r="D1071" s="58"/>
      <c r="E1071" s="58"/>
      <c r="F1071" s="58"/>
      <c r="G1071" s="58"/>
      <c r="I1071" s="56"/>
      <c r="J1071" s="58"/>
      <c r="K1071" s="58"/>
      <c r="L1071" s="58"/>
      <c r="M1071" s="58"/>
    </row>
    <row r="1072" spans="2:13" ht="12" x14ac:dyDescent="0.2">
      <c r="B1072" s="55"/>
      <c r="C1072" s="57"/>
      <c r="D1072" s="57"/>
      <c r="E1072" s="57"/>
      <c r="F1072" s="57"/>
      <c r="G1072" s="57"/>
      <c r="I1072" s="55"/>
      <c r="J1072" s="57"/>
      <c r="K1072" s="57"/>
      <c r="L1072" s="57"/>
      <c r="M1072" s="57"/>
    </row>
    <row r="1073" spans="2:13" ht="12" x14ac:dyDescent="0.2">
      <c r="B1073" s="56"/>
      <c r="C1073" s="58"/>
      <c r="D1073" s="58"/>
      <c r="E1073" s="58"/>
      <c r="F1073" s="58"/>
      <c r="G1073" s="58"/>
      <c r="I1073" s="56"/>
      <c r="J1073" s="58"/>
      <c r="K1073" s="58"/>
      <c r="L1073" s="58"/>
      <c r="M1073" s="58"/>
    </row>
    <row r="1074" spans="2:13" ht="12" x14ac:dyDescent="0.2">
      <c r="B1074" s="55"/>
      <c r="C1074" s="57"/>
      <c r="D1074" s="57"/>
      <c r="E1074" s="57"/>
      <c r="F1074" s="57"/>
      <c r="G1074" s="57"/>
      <c r="I1074" s="55"/>
      <c r="J1074" s="57"/>
      <c r="K1074" s="57"/>
      <c r="L1074" s="57"/>
      <c r="M1074" s="57"/>
    </row>
    <row r="1075" spans="2:13" ht="12" x14ac:dyDescent="0.2">
      <c r="B1075" s="56"/>
      <c r="C1075" s="58"/>
      <c r="D1075" s="58"/>
      <c r="E1075" s="58"/>
      <c r="F1075" s="58"/>
      <c r="G1075" s="58"/>
      <c r="I1075" s="56"/>
      <c r="J1075" s="58"/>
      <c r="K1075" s="58"/>
      <c r="L1075" s="58"/>
      <c r="M1075" s="58"/>
    </row>
    <row r="1076" spans="2:13" ht="12" x14ac:dyDescent="0.2">
      <c r="B1076" s="55"/>
      <c r="C1076" s="57"/>
      <c r="D1076" s="57"/>
      <c r="E1076" s="57"/>
      <c r="F1076" s="57"/>
      <c r="G1076" s="57"/>
      <c r="I1076" s="55"/>
      <c r="J1076" s="57"/>
      <c r="K1076" s="57"/>
      <c r="L1076" s="57"/>
      <c r="M1076" s="57"/>
    </row>
    <row r="1077" spans="2:13" ht="12" x14ac:dyDescent="0.2">
      <c r="B1077" s="56"/>
      <c r="C1077" s="58"/>
      <c r="D1077" s="58"/>
      <c r="E1077" s="58"/>
      <c r="F1077" s="58"/>
      <c r="G1077" s="58"/>
      <c r="I1077" s="56"/>
      <c r="J1077" s="58"/>
      <c r="K1077" s="58"/>
      <c r="L1077" s="58"/>
      <c r="M1077" s="58"/>
    </row>
    <row r="1078" spans="2:13" ht="12" x14ac:dyDescent="0.2">
      <c r="B1078" s="55"/>
      <c r="C1078" s="57"/>
      <c r="D1078" s="57"/>
      <c r="E1078" s="57"/>
      <c r="F1078" s="57"/>
      <c r="G1078" s="57"/>
      <c r="I1078" s="55"/>
      <c r="J1078" s="57"/>
      <c r="K1078" s="57"/>
      <c r="L1078" s="57"/>
      <c r="M1078" s="57"/>
    </row>
    <row r="1079" spans="2:13" ht="12" x14ac:dyDescent="0.2">
      <c r="B1079" s="56"/>
      <c r="C1079" s="58"/>
      <c r="D1079" s="58"/>
      <c r="E1079" s="58"/>
      <c r="F1079" s="58"/>
      <c r="G1079" s="58"/>
      <c r="I1079" s="56"/>
      <c r="J1079" s="58"/>
      <c r="K1079" s="58"/>
      <c r="L1079" s="58"/>
      <c r="M1079" s="58"/>
    </row>
    <row r="1080" spans="2:13" ht="12" x14ac:dyDescent="0.2">
      <c r="B1080" s="55"/>
      <c r="C1080" s="57"/>
      <c r="D1080" s="57"/>
      <c r="E1080" s="57"/>
      <c r="F1080" s="57"/>
      <c r="G1080" s="57"/>
      <c r="I1080" s="55"/>
      <c r="J1080" s="57"/>
      <c r="K1080" s="57"/>
      <c r="L1080" s="57"/>
      <c r="M1080" s="57"/>
    </row>
    <row r="1081" spans="2:13" ht="12" x14ac:dyDescent="0.2">
      <c r="B1081" s="56"/>
      <c r="C1081" s="58"/>
      <c r="D1081" s="58"/>
      <c r="E1081" s="58"/>
      <c r="F1081" s="58"/>
      <c r="G1081" s="58"/>
      <c r="I1081" s="56"/>
      <c r="J1081" s="58"/>
      <c r="K1081" s="58"/>
      <c r="L1081" s="58"/>
      <c r="M1081" s="58"/>
    </row>
    <row r="1082" spans="2:13" ht="12" x14ac:dyDescent="0.2">
      <c r="B1082" s="55"/>
      <c r="C1082" s="57"/>
      <c r="D1082" s="57"/>
      <c r="E1082" s="57"/>
      <c r="F1082" s="57"/>
      <c r="G1082" s="57"/>
      <c r="I1082" s="55"/>
      <c r="J1082" s="57"/>
      <c r="K1082" s="57"/>
      <c r="L1082" s="57"/>
      <c r="M1082" s="57"/>
    </row>
    <row r="1083" spans="2:13" ht="12" x14ac:dyDescent="0.2">
      <c r="B1083" s="56"/>
      <c r="C1083" s="58"/>
      <c r="D1083" s="58"/>
      <c r="E1083" s="58"/>
      <c r="F1083" s="58"/>
      <c r="G1083" s="58"/>
      <c r="I1083" s="56"/>
      <c r="J1083" s="58"/>
      <c r="K1083" s="58"/>
      <c r="L1083" s="58"/>
      <c r="M1083" s="58"/>
    </row>
    <row r="1084" spans="2:13" ht="12" x14ac:dyDescent="0.2">
      <c r="B1084" s="55"/>
      <c r="C1084" s="57"/>
      <c r="D1084" s="57"/>
      <c r="E1084" s="57"/>
      <c r="F1084" s="57"/>
      <c r="G1084" s="57"/>
      <c r="I1084" s="55"/>
      <c r="J1084" s="57"/>
      <c r="K1084" s="57"/>
      <c r="L1084" s="57"/>
      <c r="M1084" s="57"/>
    </row>
    <row r="1085" spans="2:13" ht="12" x14ac:dyDescent="0.2">
      <c r="B1085" s="56"/>
      <c r="C1085" s="58"/>
      <c r="D1085" s="58"/>
      <c r="E1085" s="58"/>
      <c r="F1085" s="58"/>
      <c r="G1085" s="58"/>
      <c r="I1085" s="56"/>
      <c r="J1085" s="58"/>
      <c r="K1085" s="58"/>
      <c r="L1085" s="58"/>
      <c r="M1085" s="58"/>
    </row>
    <row r="1086" spans="2:13" ht="12" x14ac:dyDescent="0.2">
      <c r="B1086" s="55"/>
      <c r="C1086" s="57"/>
      <c r="D1086" s="57"/>
      <c r="E1086" s="57"/>
      <c r="F1086" s="57"/>
      <c r="G1086" s="57"/>
      <c r="I1086" s="55"/>
      <c r="J1086" s="57"/>
      <c r="K1086" s="57"/>
      <c r="L1086" s="57"/>
      <c r="M1086" s="57"/>
    </row>
    <row r="1087" spans="2:13" ht="12" x14ac:dyDescent="0.2">
      <c r="B1087" s="56"/>
      <c r="C1087" s="58"/>
      <c r="D1087" s="58"/>
      <c r="E1087" s="58"/>
      <c r="F1087" s="58"/>
      <c r="G1087" s="58"/>
      <c r="I1087" s="56"/>
      <c r="J1087" s="58"/>
      <c r="K1087" s="58"/>
      <c r="L1087" s="58"/>
      <c r="M1087" s="58"/>
    </row>
    <row r="1088" spans="2:13" ht="12" x14ac:dyDescent="0.2">
      <c r="B1088" s="55"/>
      <c r="C1088" s="57"/>
      <c r="D1088" s="57"/>
      <c r="E1088" s="57"/>
      <c r="F1088" s="57"/>
      <c r="G1088" s="57"/>
      <c r="I1088" s="55"/>
      <c r="J1088" s="57"/>
      <c r="K1088" s="57"/>
      <c r="L1088" s="57"/>
      <c r="M1088" s="57"/>
    </row>
    <row r="1089" spans="2:13" ht="12" x14ac:dyDescent="0.2">
      <c r="B1089" s="56"/>
      <c r="C1089" s="58"/>
      <c r="D1089" s="58"/>
      <c r="E1089" s="58"/>
      <c r="F1089" s="58"/>
      <c r="G1089" s="58"/>
      <c r="I1089" s="56"/>
      <c r="J1089" s="58"/>
      <c r="K1089" s="58"/>
      <c r="L1089" s="58"/>
      <c r="M1089" s="58"/>
    </row>
    <row r="1090" spans="2:13" ht="12" x14ac:dyDescent="0.2">
      <c r="B1090" s="55"/>
      <c r="C1090" s="57"/>
      <c r="D1090" s="57"/>
      <c r="E1090" s="57"/>
      <c r="F1090" s="57"/>
      <c r="G1090" s="57"/>
      <c r="I1090" s="55"/>
      <c r="J1090" s="57"/>
      <c r="K1090" s="57"/>
      <c r="L1090" s="57"/>
      <c r="M1090" s="57"/>
    </row>
    <row r="1091" spans="2:13" ht="12" x14ac:dyDescent="0.2">
      <c r="B1091" s="56"/>
      <c r="C1091" s="58"/>
      <c r="D1091" s="58"/>
      <c r="E1091" s="58"/>
      <c r="F1091" s="58"/>
      <c r="G1091" s="58"/>
      <c r="I1091" s="56"/>
      <c r="J1091" s="58"/>
      <c r="K1091" s="58"/>
      <c r="L1091" s="58"/>
      <c r="M1091" s="58"/>
    </row>
    <row r="1092" spans="2:13" ht="12" x14ac:dyDescent="0.2">
      <c r="B1092" s="55"/>
      <c r="C1092" s="57"/>
      <c r="D1092" s="57"/>
      <c r="E1092" s="57"/>
      <c r="F1092" s="57"/>
      <c r="G1092" s="57"/>
      <c r="I1092" s="55"/>
      <c r="J1092" s="57"/>
      <c r="K1092" s="57"/>
      <c r="L1092" s="57"/>
      <c r="M1092" s="57"/>
    </row>
    <row r="1093" spans="2:13" ht="12" x14ac:dyDescent="0.2">
      <c r="B1093" s="56"/>
      <c r="C1093" s="58"/>
      <c r="D1093" s="58"/>
      <c r="E1093" s="58"/>
      <c r="F1093" s="58"/>
      <c r="G1093" s="58"/>
      <c r="I1093" s="56"/>
      <c r="J1093" s="58"/>
      <c r="K1093" s="58"/>
      <c r="L1093" s="58"/>
      <c r="M1093" s="58"/>
    </row>
    <row r="1094" spans="2:13" ht="12" x14ac:dyDescent="0.2">
      <c r="B1094" s="55"/>
      <c r="C1094" s="57"/>
      <c r="D1094" s="57"/>
      <c r="E1094" s="57"/>
      <c r="F1094" s="57"/>
      <c r="G1094" s="57"/>
      <c r="I1094" s="55"/>
      <c r="J1094" s="57"/>
      <c r="K1094" s="57"/>
      <c r="L1094" s="57"/>
      <c r="M1094" s="57"/>
    </row>
    <row r="1095" spans="2:13" ht="12" x14ac:dyDescent="0.2">
      <c r="B1095" s="56"/>
      <c r="C1095" s="58"/>
      <c r="D1095" s="58"/>
      <c r="E1095" s="58"/>
      <c r="F1095" s="58"/>
      <c r="G1095" s="58"/>
      <c r="I1095" s="56"/>
      <c r="J1095" s="58"/>
      <c r="K1095" s="58"/>
      <c r="L1095" s="58"/>
      <c r="M1095" s="58"/>
    </row>
    <row r="1096" spans="2:13" ht="12" x14ac:dyDescent="0.2">
      <c r="B1096" s="55"/>
      <c r="C1096" s="57"/>
      <c r="D1096" s="57"/>
      <c r="E1096" s="57"/>
      <c r="F1096" s="57"/>
      <c r="G1096" s="57"/>
      <c r="I1096" s="55"/>
      <c r="J1096" s="57"/>
      <c r="K1096" s="57"/>
      <c r="L1096" s="57"/>
      <c r="M1096" s="57"/>
    </row>
    <row r="1097" spans="2:13" ht="12" x14ac:dyDescent="0.2">
      <c r="B1097" s="56"/>
      <c r="C1097" s="58"/>
      <c r="D1097" s="58"/>
      <c r="E1097" s="58"/>
      <c r="F1097" s="58"/>
      <c r="G1097" s="58"/>
      <c r="I1097" s="56"/>
      <c r="J1097" s="58"/>
      <c r="K1097" s="58"/>
      <c r="L1097" s="58"/>
      <c r="M1097" s="58"/>
    </row>
    <row r="1098" spans="2:13" ht="12" x14ac:dyDescent="0.2">
      <c r="B1098" s="55"/>
      <c r="C1098" s="57"/>
      <c r="D1098" s="57"/>
      <c r="E1098" s="57"/>
      <c r="F1098" s="57"/>
      <c r="G1098" s="57"/>
      <c r="I1098" s="55"/>
      <c r="J1098" s="57"/>
      <c r="K1098" s="57"/>
      <c r="L1098" s="57"/>
      <c r="M1098" s="57"/>
    </row>
    <row r="1099" spans="2:13" ht="12" x14ac:dyDescent="0.2">
      <c r="B1099" s="56"/>
      <c r="C1099" s="58"/>
      <c r="D1099" s="58"/>
      <c r="E1099" s="58"/>
      <c r="F1099" s="58"/>
      <c r="G1099" s="58"/>
      <c r="I1099" s="56"/>
      <c r="J1099" s="58"/>
      <c r="K1099" s="58"/>
      <c r="L1099" s="58"/>
      <c r="M1099" s="58"/>
    </row>
    <row r="1100" spans="2:13" ht="12" x14ac:dyDescent="0.2">
      <c r="B1100" s="55"/>
      <c r="C1100" s="57"/>
      <c r="D1100" s="57"/>
      <c r="E1100" s="57"/>
      <c r="F1100" s="57"/>
      <c r="G1100" s="57"/>
      <c r="I1100" s="55"/>
      <c r="J1100" s="57"/>
      <c r="K1100" s="57"/>
      <c r="L1100" s="57"/>
      <c r="M1100" s="57"/>
    </row>
    <row r="1101" spans="2:13" ht="12" x14ac:dyDescent="0.2">
      <c r="B1101" s="56"/>
      <c r="C1101" s="58"/>
      <c r="D1101" s="58"/>
      <c r="E1101" s="58"/>
      <c r="F1101" s="58"/>
      <c r="G1101" s="58"/>
      <c r="I1101" s="56"/>
      <c r="J1101" s="58"/>
      <c r="K1101" s="58"/>
      <c r="L1101" s="58"/>
      <c r="M1101" s="58"/>
    </row>
    <row r="1102" spans="2:13" ht="12" x14ac:dyDescent="0.2">
      <c r="B1102" s="55"/>
      <c r="C1102" s="57"/>
      <c r="D1102" s="57"/>
      <c r="E1102" s="57"/>
      <c r="F1102" s="57"/>
      <c r="G1102" s="57"/>
      <c r="I1102" s="55"/>
      <c r="J1102" s="57"/>
      <c r="K1102" s="57"/>
      <c r="L1102" s="57"/>
      <c r="M1102" s="57"/>
    </row>
    <row r="1103" spans="2:13" ht="12" x14ac:dyDescent="0.2">
      <c r="B1103" s="56"/>
      <c r="C1103" s="58"/>
      <c r="D1103" s="58"/>
      <c r="E1103" s="58"/>
      <c r="F1103" s="58"/>
      <c r="G1103" s="58"/>
      <c r="I1103" s="56"/>
      <c r="J1103" s="58"/>
      <c r="K1103" s="58"/>
      <c r="L1103" s="58"/>
      <c r="M1103" s="58"/>
    </row>
    <row r="1104" spans="2:13" ht="12" x14ac:dyDescent="0.2">
      <c r="B1104" s="55"/>
      <c r="C1104" s="57"/>
      <c r="D1104" s="57"/>
      <c r="E1104" s="57"/>
      <c r="F1104" s="57"/>
      <c r="G1104" s="57"/>
      <c r="I1104" s="55"/>
      <c r="J1104" s="57"/>
      <c r="K1104" s="57"/>
      <c r="L1104" s="57"/>
      <c r="M1104" s="57"/>
    </row>
    <row r="1105" spans="2:13" ht="12" x14ac:dyDescent="0.2">
      <c r="B1105" s="56"/>
      <c r="C1105" s="58"/>
      <c r="D1105" s="58"/>
      <c r="E1105" s="58"/>
      <c r="F1105" s="58"/>
      <c r="G1105" s="58"/>
      <c r="I1105" s="56"/>
      <c r="J1105" s="58"/>
      <c r="K1105" s="58"/>
      <c r="L1105" s="58"/>
      <c r="M1105" s="58"/>
    </row>
    <row r="1106" spans="2:13" ht="12" x14ac:dyDescent="0.2">
      <c r="B1106" s="55"/>
      <c r="C1106" s="57"/>
      <c r="D1106" s="57"/>
      <c r="E1106" s="57"/>
      <c r="F1106" s="57"/>
      <c r="G1106" s="57"/>
      <c r="I1106" s="55"/>
      <c r="J1106" s="57"/>
      <c r="K1106" s="57"/>
      <c r="L1106" s="57"/>
      <c r="M1106" s="57"/>
    </row>
    <row r="1107" spans="2:13" ht="12" x14ac:dyDescent="0.2">
      <c r="B1107" s="56"/>
      <c r="C1107" s="58"/>
      <c r="D1107" s="58"/>
      <c r="E1107" s="58"/>
      <c r="F1107" s="58"/>
      <c r="G1107" s="58"/>
      <c r="I1107" s="56"/>
      <c r="J1107" s="58"/>
      <c r="K1107" s="58"/>
      <c r="L1107" s="58"/>
      <c r="M1107" s="58"/>
    </row>
    <row r="1108" spans="2:13" ht="12" x14ac:dyDescent="0.2">
      <c r="B1108" s="55"/>
      <c r="C1108" s="57"/>
      <c r="D1108" s="57"/>
      <c r="E1108" s="57"/>
      <c r="F1108" s="57"/>
      <c r="G1108" s="57"/>
      <c r="I1108" s="55"/>
      <c r="J1108" s="57"/>
      <c r="K1108" s="57"/>
      <c r="L1108" s="57"/>
      <c r="M1108" s="57"/>
    </row>
    <row r="1109" spans="2:13" ht="12" x14ac:dyDescent="0.2">
      <c r="B1109" s="56"/>
      <c r="C1109" s="58"/>
      <c r="D1109" s="58"/>
      <c r="E1109" s="58"/>
      <c r="F1109" s="58"/>
      <c r="G1109" s="58"/>
      <c r="I1109" s="56"/>
      <c r="J1109" s="58"/>
      <c r="K1109" s="58"/>
      <c r="L1109" s="58"/>
      <c r="M1109" s="58"/>
    </row>
    <row r="1110" spans="2:13" ht="12" x14ac:dyDescent="0.2">
      <c r="B1110" s="55"/>
      <c r="C1110" s="57"/>
      <c r="D1110" s="57"/>
      <c r="E1110" s="57"/>
      <c r="F1110" s="57"/>
      <c r="G1110" s="57"/>
      <c r="I1110" s="55"/>
      <c r="J1110" s="57"/>
      <c r="K1110" s="57"/>
      <c r="L1110" s="57"/>
      <c r="M1110" s="57"/>
    </row>
    <row r="1111" spans="2:13" ht="12" x14ac:dyDescent="0.2">
      <c r="B1111" s="56"/>
      <c r="C1111" s="58"/>
      <c r="D1111" s="58"/>
      <c r="E1111" s="58"/>
      <c r="F1111" s="58"/>
      <c r="G1111" s="58"/>
      <c r="I1111" s="56"/>
      <c r="J1111" s="58"/>
      <c r="K1111" s="58"/>
      <c r="L1111" s="58"/>
      <c r="M1111" s="58"/>
    </row>
    <row r="1112" spans="2:13" ht="12" x14ac:dyDescent="0.2">
      <c r="B1112" s="55"/>
      <c r="C1112" s="57"/>
      <c r="D1112" s="57"/>
      <c r="E1112" s="57"/>
      <c r="F1112" s="57"/>
      <c r="G1112" s="57"/>
      <c r="I1112" s="55"/>
      <c r="J1112" s="57"/>
      <c r="K1112" s="57"/>
      <c r="L1112" s="57"/>
      <c r="M1112" s="57"/>
    </row>
    <row r="1113" spans="2:13" ht="12" x14ac:dyDescent="0.2">
      <c r="B1113" s="56"/>
      <c r="C1113" s="58"/>
      <c r="D1113" s="58"/>
      <c r="E1113" s="58"/>
      <c r="F1113" s="58"/>
      <c r="G1113" s="58"/>
      <c r="I1113" s="56"/>
      <c r="J1113" s="58"/>
      <c r="K1113" s="58"/>
      <c r="L1113" s="58"/>
      <c r="M1113" s="58"/>
    </row>
    <row r="1114" spans="2:13" ht="12" x14ac:dyDescent="0.2">
      <c r="B1114" s="55"/>
      <c r="C1114" s="57"/>
      <c r="D1114" s="57"/>
      <c r="E1114" s="57"/>
      <c r="F1114" s="57"/>
      <c r="I1114" s="55"/>
      <c r="J1114" s="57"/>
      <c r="K1114" s="57"/>
      <c r="L1114" s="57"/>
      <c r="M1114" s="57"/>
    </row>
  </sheetData>
  <sheetProtection formatColumns="0" formatRows="0"/>
  <mergeCells count="5">
    <mergeCell ref="B37:G37"/>
    <mergeCell ref="I37:N37"/>
    <mergeCell ref="D7:E7"/>
    <mergeCell ref="K7:L7"/>
    <mergeCell ref="C1:M1"/>
  </mergeCells>
  <phoneticPr fontId="26" type="noConversion"/>
  <hyperlinks>
    <hyperlink ref="B6" location="目录!A1" display="目录"/>
    <hyperlink ref="I6" location="'2'!A1" display="下一页"/>
    <hyperlink ref="N6" location="目录!A1" display="目录"/>
  </hyperlinks>
  <pageMargins left="0.7" right="0.7" top="0.75" bottom="0.75" header="0.3" footer="0.3"/>
  <pageSetup paperSize="11" orientation="portrait" horizontalDpi="300" verticalDpi="300" r:id="rId1"/>
  <ignoredErrors>
    <ignoredError sqref="C38:H38" unlockedFormula="1"/>
  </ignoredErrors>
  <drawing r:id="rId2"/>
  <legacyDrawing r:id="rId3"/>
  <controls>
    <mc:AlternateContent xmlns:mc="http://schemas.openxmlformats.org/markup-compatibility/2006">
      <mc:Choice Requires="x14">
        <control shapeId="301196" r:id="rId4" name="SpinButtonB">
          <controlPr defaultSize="0" autoLine="0" r:id="rId5">
            <anchor moveWithCells="1" siz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1196" r:id="rId4" name="SpinButtonB"/>
      </mc:Fallback>
    </mc:AlternateContent>
    <mc:AlternateContent xmlns:mc="http://schemas.openxmlformats.org/markup-compatibility/2006">
      <mc:Choice Requires="x14">
        <control shapeId="301110" r:id="rId6" name="SpinButtonA">
          <controlPr defaultSize="0" autoLine="0" r:id="rId5">
            <anchor moveWithCells="1" sizeWithCells="1">
              <from>
                <xdr:col>3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1110" r:id="rId6" name="SpinButton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63636D"/>
  </sheetPr>
  <dimension ref="A1:Q1114"/>
  <sheetViews>
    <sheetView showGridLines="0" zoomScaleNormal="100" workbookViewId="0">
      <selection activeCell="A57" sqref="A57"/>
    </sheetView>
  </sheetViews>
  <sheetFormatPr defaultRowHeight="11.25" x14ac:dyDescent="0.15"/>
  <cols>
    <col min="1" max="1" width="1.625" style="8" customWidth="1"/>
    <col min="2" max="2" width="11.625" style="9" customWidth="1"/>
    <col min="3" max="7" width="12.625" style="9" customWidth="1"/>
    <col min="8" max="8" width="1.625" style="8" customWidth="1"/>
    <col min="9" max="9" width="11.625" style="9" customWidth="1"/>
    <col min="10" max="14" width="12.625" style="9" customWidth="1"/>
    <col min="15" max="15" width="3.5" style="8" customWidth="1"/>
    <col min="16" max="16384" width="9" style="9"/>
  </cols>
  <sheetData>
    <row r="1" spans="1:17" s="2" customFormat="1" ht="27.75" x14ac:dyDescent="0.15">
      <c r="A1" s="49"/>
      <c r="B1" s="49"/>
      <c r="C1" s="86" t="s">
        <v>44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49"/>
      <c r="O1" s="49"/>
      <c r="P1" s="1"/>
      <c r="Q1" s="1"/>
    </row>
    <row r="2" spans="1:17" s="2" customFormat="1" ht="12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1"/>
      <c r="Q2" s="1"/>
    </row>
    <row r="3" spans="1:17" s="2" customFormat="1" ht="12" x14ac:dyDescent="0.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1"/>
      <c r="Q3" s="1"/>
    </row>
    <row r="4" spans="1:17" s="2" customFormat="1" ht="12" hidden="1" x14ac:dyDescent="0.15">
      <c r="A4" s="3"/>
      <c r="B4" s="1"/>
      <c r="C4" s="1"/>
      <c r="D4" s="1"/>
      <c r="E4" s="1"/>
      <c r="F4" s="1"/>
      <c r="G4" s="1"/>
      <c r="H4" s="3"/>
      <c r="I4" s="1"/>
      <c r="J4" s="1"/>
      <c r="K4" s="1"/>
      <c r="L4" s="1"/>
      <c r="M4" s="1"/>
      <c r="N4" s="1"/>
      <c r="O4" s="3"/>
      <c r="P4" s="1"/>
      <c r="Q4" s="1"/>
    </row>
    <row r="5" spans="1:17" s="2" customFormat="1" ht="12" hidden="1" x14ac:dyDescent="0.15">
      <c r="A5" s="4"/>
      <c r="H5" s="4"/>
      <c r="O5" s="5"/>
    </row>
    <row r="6" spans="1:17" s="2" customFormat="1" ht="17.25" x14ac:dyDescent="0.3">
      <c r="A6" s="4"/>
      <c r="B6" s="51" t="s">
        <v>18</v>
      </c>
      <c r="C6" s="51"/>
      <c r="D6" s="51"/>
      <c r="E6" s="51"/>
      <c r="F6" s="51"/>
      <c r="G6" s="51" t="s">
        <v>5</v>
      </c>
      <c r="H6" s="4"/>
      <c r="I6" s="51" t="s">
        <v>19</v>
      </c>
      <c r="J6" s="51"/>
      <c r="K6" s="51"/>
      <c r="L6" s="51"/>
      <c r="M6" s="51"/>
      <c r="N6" s="51" t="s">
        <v>18</v>
      </c>
      <c r="O6" s="5"/>
    </row>
    <row r="7" spans="1:17" s="7" customFormat="1" ht="16.5" x14ac:dyDescent="0.35">
      <c r="A7" s="6"/>
      <c r="B7" s="52" t="s">
        <v>0</v>
      </c>
      <c r="C7" s="37">
        <f>DATE(YEAR(MAX(B:B)),MONTH(MAX(B:B)),1)</f>
        <v>45413</v>
      </c>
      <c r="D7" s="89"/>
      <c r="E7" s="89"/>
      <c r="F7" s="52" t="s">
        <v>4</v>
      </c>
      <c r="G7" s="37" t="str">
        <f>F9&amp;"个月"</f>
        <v>34个月</v>
      </c>
      <c r="H7" s="32"/>
      <c r="I7" s="52" t="s">
        <v>34</v>
      </c>
      <c r="J7" s="37">
        <f>DATE(YEAR(MAX(I:I)),MONTH(MAX(I:I)),1)</f>
        <v>45413</v>
      </c>
      <c r="K7" s="89"/>
      <c r="L7" s="89"/>
      <c r="M7" s="52" t="s">
        <v>35</v>
      </c>
      <c r="N7" s="37" t="str">
        <f>M9&amp;"个月"</f>
        <v>24个月</v>
      </c>
      <c r="O7" s="6"/>
    </row>
    <row r="9" spans="1:17" ht="11.25" hidden="1" customHeight="1" x14ac:dyDescent="0.15">
      <c r="B9" s="10" t="s">
        <v>2</v>
      </c>
      <c r="C9" s="9">
        <f>ROW(B39)</f>
        <v>39</v>
      </c>
      <c r="F9" s="9">
        <v>34</v>
      </c>
      <c r="I9" s="10" t="s">
        <v>2</v>
      </c>
      <c r="J9" s="9">
        <f>ROW(I39)</f>
        <v>39</v>
      </c>
      <c r="M9" s="9">
        <v>24</v>
      </c>
    </row>
    <row r="10" spans="1:17" ht="11.25" hidden="1" customHeight="1" x14ac:dyDescent="0.15">
      <c r="B10" s="10" t="s">
        <v>1</v>
      </c>
      <c r="C10" s="11">
        <f>MATCH(MAX(B:B),B:B)</f>
        <v>448</v>
      </c>
      <c r="I10" s="10" t="s">
        <v>1</v>
      </c>
      <c r="J10" s="11">
        <f>MATCH(MAX(I:I),I:I)</f>
        <v>488</v>
      </c>
    </row>
    <row r="11" spans="1:17" ht="11.25" hidden="1" customHeight="1" x14ac:dyDescent="0.15">
      <c r="B11" s="10" t="s">
        <v>3</v>
      </c>
      <c r="C11" s="11">
        <f>C10-C9</f>
        <v>409</v>
      </c>
      <c r="I11" s="10" t="s">
        <v>3</v>
      </c>
      <c r="J11" s="11">
        <f>J10-J9</f>
        <v>449</v>
      </c>
    </row>
    <row r="21" spans="4:5" x14ac:dyDescent="0.15">
      <c r="D21" s="12"/>
    </row>
    <row r="24" spans="4:5" x14ac:dyDescent="0.15">
      <c r="E24" s="13"/>
    </row>
    <row r="25" spans="4:5" x14ac:dyDescent="0.15">
      <c r="E25" s="13"/>
    </row>
    <row r="26" spans="4:5" x14ac:dyDescent="0.15">
      <c r="E26" s="13"/>
    </row>
    <row r="29" spans="4:5" x14ac:dyDescent="0.15">
      <c r="D29" s="14"/>
    </row>
    <row r="36" spans="1:15" x14ac:dyDescent="0.15">
      <c r="B36" s="14"/>
      <c r="C36" s="15"/>
      <c r="D36" s="16"/>
    </row>
    <row r="37" spans="1:15" ht="18" x14ac:dyDescent="0.35">
      <c r="B37" s="88" t="s">
        <v>28</v>
      </c>
      <c r="C37" s="88"/>
      <c r="D37" s="88"/>
      <c r="E37" s="88"/>
      <c r="F37" s="88"/>
      <c r="G37" s="88"/>
      <c r="H37" s="23"/>
      <c r="I37" s="88" t="s">
        <v>30</v>
      </c>
      <c r="J37" s="88"/>
      <c r="K37" s="88"/>
      <c r="L37" s="88"/>
      <c r="M37" s="88"/>
      <c r="N37" s="88"/>
    </row>
    <row r="38" spans="1:15" ht="14.25" x14ac:dyDescent="0.15">
      <c r="B38" s="17" t="str">
        <f>[1]!edb()</f>
        <v>Wind</v>
      </c>
      <c r="C38"/>
      <c r="D38" s="16"/>
      <c r="I38" s="47" t="str">
        <f>[1]!edb()</f>
        <v>Wind</v>
      </c>
    </row>
    <row r="39" spans="1:15" ht="42.75" x14ac:dyDescent="0.15">
      <c r="B39" s="70" t="s">
        <v>83</v>
      </c>
      <c r="C39" s="70" t="s">
        <v>63</v>
      </c>
      <c r="D39" s="70" t="s">
        <v>84</v>
      </c>
      <c r="E39" s="70" t="s">
        <v>64</v>
      </c>
      <c r="F39" s="70" t="s">
        <v>85</v>
      </c>
      <c r="G39" s="54"/>
      <c r="H39" s="53"/>
      <c r="I39" s="70" t="s">
        <v>49</v>
      </c>
      <c r="J39" s="70" t="s">
        <v>48</v>
      </c>
      <c r="K39" s="70" t="s">
        <v>66</v>
      </c>
      <c r="L39" s="70" t="s">
        <v>68</v>
      </c>
      <c r="M39" s="70" t="s">
        <v>69</v>
      </c>
      <c r="N39" s="19"/>
    </row>
    <row r="40" spans="1:15" s="36" customFormat="1" ht="12" x14ac:dyDescent="0.2">
      <c r="A40" s="33"/>
      <c r="B40" s="62">
        <v>28855</v>
      </c>
      <c r="C40" s="64">
        <v>0</v>
      </c>
      <c r="D40" s="64">
        <v>0</v>
      </c>
      <c r="E40" s="64">
        <v>1890.42</v>
      </c>
      <c r="F40" s="64">
        <v>11.2</v>
      </c>
      <c r="G40" s="34"/>
      <c r="H40" s="33"/>
      <c r="I40" s="62">
        <v>31808</v>
      </c>
      <c r="J40" s="64">
        <v>5.0999999999999996</v>
      </c>
      <c r="K40" s="64">
        <v>0</v>
      </c>
      <c r="L40" s="64">
        <v>0</v>
      </c>
      <c r="M40" s="64">
        <v>0</v>
      </c>
      <c r="N40" s="34"/>
      <c r="O40" s="35"/>
    </row>
    <row r="41" spans="1:15" s="36" customFormat="1" ht="12" x14ac:dyDescent="0.2">
      <c r="A41" s="33"/>
      <c r="B41" s="63">
        <v>29220</v>
      </c>
      <c r="C41" s="65">
        <v>0</v>
      </c>
      <c r="D41" s="65">
        <v>0</v>
      </c>
      <c r="E41" s="65">
        <v>2082.4699999999998</v>
      </c>
      <c r="F41" s="65">
        <v>10.199999999999999</v>
      </c>
      <c r="G41" s="34"/>
      <c r="H41" s="33"/>
      <c r="I41" s="63">
        <v>31836</v>
      </c>
      <c r="J41" s="65">
        <v>5.4</v>
      </c>
      <c r="K41" s="65">
        <v>0</v>
      </c>
      <c r="L41" s="65">
        <v>0</v>
      </c>
      <c r="M41" s="65">
        <v>0</v>
      </c>
      <c r="N41" s="34"/>
      <c r="O41" s="35"/>
    </row>
    <row r="42" spans="1:15" s="36" customFormat="1" ht="12" x14ac:dyDescent="0.2">
      <c r="A42" s="33"/>
      <c r="B42" s="62">
        <v>29586</v>
      </c>
      <c r="C42" s="64">
        <v>0</v>
      </c>
      <c r="D42" s="64">
        <v>0</v>
      </c>
      <c r="E42" s="64">
        <v>2478.08</v>
      </c>
      <c r="F42" s="64">
        <v>19</v>
      </c>
      <c r="G42" s="34"/>
      <c r="H42" s="33"/>
      <c r="I42" s="62">
        <v>31867</v>
      </c>
      <c r="J42" s="64">
        <v>5.8</v>
      </c>
      <c r="K42" s="64">
        <v>0</v>
      </c>
      <c r="L42" s="64">
        <v>0</v>
      </c>
      <c r="M42" s="64">
        <v>0</v>
      </c>
      <c r="N42" s="34"/>
      <c r="O42" s="35"/>
    </row>
    <row r="43" spans="1:15" s="36" customFormat="1" ht="12" x14ac:dyDescent="0.2">
      <c r="A43" s="33"/>
      <c r="B43" s="63">
        <v>29951</v>
      </c>
      <c r="C43" s="65">
        <v>0</v>
      </c>
      <c r="D43" s="65">
        <v>0</v>
      </c>
      <c r="E43" s="65">
        <v>2853.29</v>
      </c>
      <c r="F43" s="65">
        <v>15.1</v>
      </c>
      <c r="G43" s="34"/>
      <c r="H43" s="33"/>
      <c r="I43" s="63">
        <v>31897</v>
      </c>
      <c r="J43" s="65">
        <v>6.7</v>
      </c>
      <c r="K43" s="65">
        <v>0</v>
      </c>
      <c r="L43" s="65">
        <v>0</v>
      </c>
      <c r="M43" s="65">
        <v>0</v>
      </c>
      <c r="N43" s="34"/>
      <c r="O43" s="35"/>
    </row>
    <row r="44" spans="1:15" s="36" customFormat="1" ht="12" x14ac:dyDescent="0.2">
      <c r="A44" s="33"/>
      <c r="B44" s="62">
        <v>30316</v>
      </c>
      <c r="C44" s="64">
        <v>0</v>
      </c>
      <c r="D44" s="64">
        <v>0</v>
      </c>
      <c r="E44" s="64">
        <v>3162.7</v>
      </c>
      <c r="F44" s="64">
        <v>10.8</v>
      </c>
      <c r="G44" s="34"/>
      <c r="H44" s="33"/>
      <c r="I44" s="62">
        <v>31928</v>
      </c>
      <c r="J44" s="64">
        <v>7.6</v>
      </c>
      <c r="K44" s="64">
        <v>0</v>
      </c>
      <c r="L44" s="64">
        <v>0</v>
      </c>
      <c r="M44" s="64">
        <v>0</v>
      </c>
      <c r="N44" s="34"/>
      <c r="O44" s="35"/>
    </row>
    <row r="45" spans="1:15" s="36" customFormat="1" ht="12" x14ac:dyDescent="0.2">
      <c r="A45" s="33"/>
      <c r="B45" s="63">
        <v>30681</v>
      </c>
      <c r="C45" s="65">
        <v>0</v>
      </c>
      <c r="D45" s="65">
        <v>0</v>
      </c>
      <c r="E45" s="65">
        <v>3566.56</v>
      </c>
      <c r="F45" s="65">
        <v>12.8</v>
      </c>
      <c r="G45" s="34"/>
      <c r="H45" s="33"/>
      <c r="I45" s="63">
        <v>31958</v>
      </c>
      <c r="J45" s="65">
        <v>7.8</v>
      </c>
      <c r="K45" s="65">
        <v>0</v>
      </c>
      <c r="L45" s="65">
        <v>0</v>
      </c>
      <c r="M45" s="65">
        <v>0</v>
      </c>
      <c r="N45" s="34"/>
      <c r="O45" s="35"/>
    </row>
    <row r="46" spans="1:15" s="36" customFormat="1" ht="12" x14ac:dyDescent="0.2">
      <c r="A46" s="33"/>
      <c r="B46" s="62">
        <v>31047</v>
      </c>
      <c r="C46" s="64">
        <v>0</v>
      </c>
      <c r="D46" s="64">
        <v>0</v>
      </c>
      <c r="E46" s="64">
        <v>4746.8</v>
      </c>
      <c r="F46" s="64">
        <v>33.1</v>
      </c>
      <c r="G46" s="34"/>
      <c r="H46" s="33"/>
      <c r="I46" s="62">
        <v>31989</v>
      </c>
      <c r="J46" s="64">
        <v>7.8</v>
      </c>
      <c r="K46" s="64">
        <v>0</v>
      </c>
      <c r="L46" s="64">
        <v>0</v>
      </c>
      <c r="M46" s="64">
        <v>0</v>
      </c>
      <c r="N46" s="34"/>
      <c r="O46" s="35"/>
    </row>
    <row r="47" spans="1:15" s="36" customFormat="1" ht="12" x14ac:dyDescent="0.2">
      <c r="A47" s="33"/>
      <c r="B47" s="63">
        <v>31412</v>
      </c>
      <c r="C47" s="65">
        <v>0</v>
      </c>
      <c r="D47" s="65">
        <v>0</v>
      </c>
      <c r="E47" s="65">
        <v>6198.38</v>
      </c>
      <c r="F47" s="65">
        <v>30.6</v>
      </c>
      <c r="G47" s="34"/>
      <c r="H47" s="33"/>
      <c r="I47" s="63">
        <v>32020</v>
      </c>
      <c r="J47" s="65">
        <v>8.1999999999999993</v>
      </c>
      <c r="K47" s="65">
        <v>0</v>
      </c>
      <c r="L47" s="65">
        <v>0</v>
      </c>
      <c r="M47" s="65">
        <v>0</v>
      </c>
      <c r="N47" s="34"/>
      <c r="O47" s="35"/>
    </row>
    <row r="48" spans="1:15" s="36" customFormat="1" ht="12" x14ac:dyDescent="0.2">
      <c r="A48" s="33"/>
      <c r="B48" s="62">
        <v>31777</v>
      </c>
      <c r="C48" s="64">
        <v>0</v>
      </c>
      <c r="D48" s="64">
        <v>0</v>
      </c>
      <c r="E48" s="64">
        <v>8142.72</v>
      </c>
      <c r="F48" s="64">
        <v>31.4</v>
      </c>
      <c r="G48" s="34"/>
      <c r="H48" s="33"/>
      <c r="I48" s="62">
        <v>32050</v>
      </c>
      <c r="J48" s="64">
        <v>7.7</v>
      </c>
      <c r="K48" s="64">
        <v>0</v>
      </c>
      <c r="L48" s="64">
        <v>0</v>
      </c>
      <c r="M48" s="64">
        <v>0</v>
      </c>
      <c r="N48" s="34"/>
      <c r="O48" s="35"/>
    </row>
    <row r="49" spans="1:15" s="36" customFormat="1" ht="12" x14ac:dyDescent="0.2">
      <c r="A49" s="33"/>
      <c r="B49" s="63">
        <v>32142</v>
      </c>
      <c r="C49" s="65">
        <v>0</v>
      </c>
      <c r="D49" s="65">
        <v>0</v>
      </c>
      <c r="E49" s="65">
        <v>9814.09</v>
      </c>
      <c r="F49" s="65">
        <v>20.5</v>
      </c>
      <c r="G49" s="34"/>
      <c r="H49" s="33"/>
      <c r="I49" s="63">
        <v>32081</v>
      </c>
      <c r="J49" s="65">
        <v>7.5</v>
      </c>
      <c r="K49" s="65">
        <v>0</v>
      </c>
      <c r="L49" s="65">
        <v>0</v>
      </c>
      <c r="M49" s="65">
        <v>0</v>
      </c>
      <c r="N49" s="34"/>
      <c r="O49" s="35"/>
    </row>
    <row r="50" spans="1:15" s="36" customFormat="1" ht="12" x14ac:dyDescent="0.2">
      <c r="A50" s="33"/>
      <c r="B50" s="62">
        <v>32508</v>
      </c>
      <c r="C50" s="64">
        <v>0</v>
      </c>
      <c r="D50" s="64">
        <v>0</v>
      </c>
      <c r="E50" s="64">
        <v>11964.25</v>
      </c>
      <c r="F50" s="64">
        <v>21.9</v>
      </c>
      <c r="G50" s="34"/>
      <c r="H50" s="33"/>
      <c r="I50" s="62">
        <v>32111</v>
      </c>
      <c r="J50" s="64">
        <v>8.3000000000000007</v>
      </c>
      <c r="K50" s="64">
        <v>0</v>
      </c>
      <c r="L50" s="64">
        <v>0</v>
      </c>
      <c r="M50" s="64">
        <v>0</v>
      </c>
      <c r="N50" s="34"/>
      <c r="O50" s="35"/>
    </row>
    <row r="51" spans="1:15" s="36" customFormat="1" ht="12" x14ac:dyDescent="0.2">
      <c r="A51" s="33"/>
      <c r="B51" s="63">
        <v>32873</v>
      </c>
      <c r="C51" s="65">
        <v>0</v>
      </c>
      <c r="D51" s="65">
        <v>0</v>
      </c>
      <c r="E51" s="65">
        <v>14248.81</v>
      </c>
      <c r="F51" s="65">
        <v>19.100000000000001</v>
      </c>
      <c r="G51" s="34"/>
      <c r="H51" s="33"/>
      <c r="I51" s="63">
        <v>32142</v>
      </c>
      <c r="J51" s="65">
        <v>8.9</v>
      </c>
      <c r="K51" s="65">
        <v>0</v>
      </c>
      <c r="L51" s="65">
        <v>0</v>
      </c>
      <c r="M51" s="65">
        <v>0</v>
      </c>
      <c r="N51" s="34"/>
      <c r="O51" s="35"/>
    </row>
    <row r="52" spans="1:15" s="36" customFormat="1" ht="12" x14ac:dyDescent="0.2">
      <c r="A52" s="33"/>
      <c r="B52" s="62">
        <v>33238</v>
      </c>
      <c r="C52" s="64">
        <v>0</v>
      </c>
      <c r="D52" s="64">
        <v>0</v>
      </c>
      <c r="E52" s="64">
        <v>17511.02</v>
      </c>
      <c r="F52" s="64">
        <v>22.9</v>
      </c>
      <c r="G52" s="34"/>
      <c r="H52" s="33"/>
      <c r="I52" s="62">
        <v>32173</v>
      </c>
      <c r="J52" s="64">
        <v>9.4</v>
      </c>
      <c r="K52" s="64">
        <v>0</v>
      </c>
      <c r="L52" s="64">
        <v>0</v>
      </c>
      <c r="M52" s="64">
        <v>0</v>
      </c>
      <c r="N52" s="34"/>
      <c r="O52" s="35"/>
    </row>
    <row r="53" spans="1:15" s="36" customFormat="1" ht="12" x14ac:dyDescent="0.2">
      <c r="A53" s="33"/>
      <c r="B53" s="63">
        <v>33419</v>
      </c>
      <c r="C53" s="65">
        <v>0</v>
      </c>
      <c r="D53" s="65">
        <v>0</v>
      </c>
      <c r="E53" s="65">
        <v>17504.009999999998</v>
      </c>
      <c r="F53" s="65">
        <v>0</v>
      </c>
      <c r="G53" s="34"/>
      <c r="H53" s="33"/>
      <c r="I53" s="63">
        <v>32202</v>
      </c>
      <c r="J53" s="65">
        <v>10.4</v>
      </c>
      <c r="K53" s="65">
        <v>0</v>
      </c>
      <c r="L53" s="65">
        <v>0</v>
      </c>
      <c r="M53" s="65">
        <v>0</v>
      </c>
      <c r="N53" s="34"/>
      <c r="O53" s="35"/>
    </row>
    <row r="54" spans="1:15" s="36" customFormat="1" ht="12" x14ac:dyDescent="0.2">
      <c r="A54" s="33"/>
      <c r="B54" s="62">
        <v>33450</v>
      </c>
      <c r="C54" s="64">
        <v>0</v>
      </c>
      <c r="D54" s="64">
        <v>0</v>
      </c>
      <c r="E54" s="64">
        <v>17691.53</v>
      </c>
      <c r="F54" s="64">
        <v>0</v>
      </c>
      <c r="G54" s="34"/>
      <c r="H54" s="33"/>
      <c r="I54" s="62">
        <v>32233</v>
      </c>
      <c r="J54" s="64">
        <v>11.3</v>
      </c>
      <c r="K54" s="64">
        <v>0</v>
      </c>
      <c r="L54" s="64">
        <v>0</v>
      </c>
      <c r="M54" s="64">
        <v>0</v>
      </c>
      <c r="N54" s="34"/>
      <c r="O54" s="35"/>
    </row>
    <row r="55" spans="1:15" s="36" customFormat="1" ht="12" x14ac:dyDescent="0.2">
      <c r="A55" s="33"/>
      <c r="B55" s="63">
        <v>33481</v>
      </c>
      <c r="C55" s="65">
        <v>0</v>
      </c>
      <c r="D55" s="65">
        <v>0</v>
      </c>
      <c r="E55" s="65">
        <v>17953.689999999999</v>
      </c>
      <c r="F55" s="65">
        <v>0</v>
      </c>
      <c r="G55" s="34"/>
      <c r="H55" s="33"/>
      <c r="I55" s="63">
        <v>32263</v>
      </c>
      <c r="J55" s="65">
        <v>12.2</v>
      </c>
      <c r="K55" s="65">
        <v>0</v>
      </c>
      <c r="L55" s="65">
        <v>0</v>
      </c>
      <c r="M55" s="65">
        <v>0</v>
      </c>
      <c r="N55" s="34"/>
      <c r="O55" s="35"/>
    </row>
    <row r="56" spans="1:15" s="36" customFormat="1" ht="12" x14ac:dyDescent="0.2">
      <c r="A56" s="33"/>
      <c r="B56" s="62">
        <v>33511</v>
      </c>
      <c r="C56" s="64">
        <v>0</v>
      </c>
      <c r="D56" s="64">
        <v>0</v>
      </c>
      <c r="E56" s="64">
        <v>18468.22</v>
      </c>
      <c r="F56" s="64">
        <v>0</v>
      </c>
      <c r="G56" s="34"/>
      <c r="H56" s="33"/>
      <c r="I56" s="62">
        <v>32294</v>
      </c>
      <c r="J56" s="64">
        <v>14.2</v>
      </c>
      <c r="K56" s="64">
        <v>0</v>
      </c>
      <c r="L56" s="64">
        <v>0</v>
      </c>
      <c r="M56" s="64">
        <v>0</v>
      </c>
      <c r="N56" s="34"/>
      <c r="O56" s="35"/>
    </row>
    <row r="57" spans="1:15" s="36" customFormat="1" ht="12" x14ac:dyDescent="0.2">
      <c r="A57" s="33"/>
      <c r="B57" s="63">
        <v>33542</v>
      </c>
      <c r="C57" s="65">
        <v>0</v>
      </c>
      <c r="D57" s="65">
        <v>0</v>
      </c>
      <c r="E57" s="65">
        <v>18862.5</v>
      </c>
      <c r="F57" s="65">
        <v>0</v>
      </c>
      <c r="G57" s="34"/>
      <c r="H57" s="33"/>
      <c r="I57" s="63">
        <v>32324</v>
      </c>
      <c r="J57" s="65">
        <v>16.3</v>
      </c>
      <c r="K57" s="65">
        <v>0</v>
      </c>
      <c r="L57" s="65">
        <v>0</v>
      </c>
      <c r="M57" s="65">
        <v>0</v>
      </c>
      <c r="N57" s="34"/>
      <c r="O57" s="35"/>
    </row>
    <row r="58" spans="1:15" s="36" customFormat="1" ht="12" x14ac:dyDescent="0.2">
      <c r="A58" s="33"/>
      <c r="B58" s="62">
        <v>33572</v>
      </c>
      <c r="C58" s="64">
        <v>0</v>
      </c>
      <c r="D58" s="64">
        <v>0</v>
      </c>
      <c r="E58" s="64">
        <v>19268.16</v>
      </c>
      <c r="F58" s="64">
        <v>0</v>
      </c>
      <c r="G58" s="34"/>
      <c r="H58" s="33"/>
      <c r="I58" s="62">
        <v>32355</v>
      </c>
      <c r="J58" s="64">
        <v>19.2</v>
      </c>
      <c r="K58" s="64">
        <v>0</v>
      </c>
      <c r="L58" s="64">
        <v>0</v>
      </c>
      <c r="M58" s="64">
        <v>0</v>
      </c>
      <c r="N58" s="34"/>
      <c r="O58" s="35"/>
    </row>
    <row r="59" spans="1:15" s="36" customFormat="1" ht="12" x14ac:dyDescent="0.2">
      <c r="A59" s="33"/>
      <c r="B59" s="63">
        <v>33603</v>
      </c>
      <c r="C59" s="65">
        <v>0</v>
      </c>
      <c r="D59" s="65">
        <v>0</v>
      </c>
      <c r="E59" s="65">
        <v>21337.8</v>
      </c>
      <c r="F59" s="65">
        <v>20.6</v>
      </c>
      <c r="G59" s="34"/>
      <c r="H59" s="33"/>
      <c r="I59" s="63">
        <v>32386</v>
      </c>
      <c r="J59" s="65">
        <v>23.6</v>
      </c>
      <c r="K59" s="65">
        <v>0</v>
      </c>
      <c r="L59" s="65">
        <v>0</v>
      </c>
      <c r="M59" s="65">
        <v>0</v>
      </c>
      <c r="N59" s="34"/>
      <c r="O59" s="35"/>
    </row>
    <row r="60" spans="1:15" s="36" customFormat="1" ht="12" x14ac:dyDescent="0.2">
      <c r="A60" s="33"/>
      <c r="B60" s="62">
        <v>33634</v>
      </c>
      <c r="C60" s="64">
        <v>0</v>
      </c>
      <c r="D60" s="64">
        <v>0</v>
      </c>
      <c r="E60" s="64">
        <v>19906.66</v>
      </c>
      <c r="F60" s="64">
        <v>0</v>
      </c>
      <c r="G60" s="34"/>
      <c r="H60" s="33"/>
      <c r="I60" s="62">
        <v>32416</v>
      </c>
      <c r="J60" s="64">
        <v>26.4</v>
      </c>
      <c r="K60" s="64">
        <v>0</v>
      </c>
      <c r="L60" s="64">
        <v>0</v>
      </c>
      <c r="M60" s="64">
        <v>0</v>
      </c>
      <c r="N60" s="34"/>
      <c r="O60" s="35"/>
    </row>
    <row r="61" spans="1:15" s="36" customFormat="1" ht="12" x14ac:dyDescent="0.2">
      <c r="A61" s="33"/>
      <c r="B61" s="63">
        <v>33663</v>
      </c>
      <c r="C61" s="65">
        <v>125.82</v>
      </c>
      <c r="D61" s="65">
        <v>56.7</v>
      </c>
      <c r="E61" s="65">
        <v>20005.48</v>
      </c>
      <c r="F61" s="65">
        <v>0</v>
      </c>
      <c r="G61" s="34"/>
      <c r="H61" s="33"/>
      <c r="I61" s="63">
        <v>32447</v>
      </c>
      <c r="J61" s="65">
        <v>27.1</v>
      </c>
      <c r="K61" s="65">
        <v>0</v>
      </c>
      <c r="L61" s="65">
        <v>0</v>
      </c>
      <c r="M61" s="65">
        <v>0</v>
      </c>
      <c r="N61" s="34"/>
      <c r="O61" s="35"/>
    </row>
    <row r="62" spans="1:15" s="36" customFormat="1" ht="12" x14ac:dyDescent="0.2">
      <c r="A62" s="33"/>
      <c r="B62" s="62">
        <v>33694</v>
      </c>
      <c r="C62" s="64">
        <v>315.36</v>
      </c>
      <c r="D62" s="64">
        <v>0</v>
      </c>
      <c r="E62" s="64">
        <v>20381.89</v>
      </c>
      <c r="F62" s="64">
        <v>0</v>
      </c>
      <c r="G62" s="34"/>
      <c r="H62" s="33"/>
      <c r="I62" s="62">
        <v>32477</v>
      </c>
      <c r="J62" s="64">
        <v>26.8</v>
      </c>
      <c r="K62" s="64">
        <v>0</v>
      </c>
      <c r="L62" s="64">
        <v>0</v>
      </c>
      <c r="M62" s="64">
        <v>0</v>
      </c>
      <c r="N62" s="34"/>
      <c r="O62" s="35"/>
    </row>
    <row r="63" spans="1:15" s="36" customFormat="1" ht="12" x14ac:dyDescent="0.2">
      <c r="A63" s="33"/>
      <c r="B63" s="63">
        <v>33724</v>
      </c>
      <c r="C63" s="65">
        <v>523.80999999999995</v>
      </c>
      <c r="D63" s="65">
        <v>0</v>
      </c>
      <c r="E63" s="65">
        <v>20803.32</v>
      </c>
      <c r="F63" s="65">
        <v>0</v>
      </c>
      <c r="G63" s="34"/>
      <c r="H63" s="33"/>
      <c r="I63" s="63">
        <v>32508</v>
      </c>
      <c r="J63" s="65">
        <v>27.9</v>
      </c>
      <c r="K63" s="65">
        <v>0</v>
      </c>
      <c r="L63" s="65">
        <v>0</v>
      </c>
      <c r="M63" s="65">
        <v>0</v>
      </c>
      <c r="N63" s="34"/>
      <c r="O63" s="35"/>
    </row>
    <row r="64" spans="1:15" s="36" customFormat="1" ht="12" x14ac:dyDescent="0.2">
      <c r="A64" s="33"/>
      <c r="B64" s="62">
        <v>33755</v>
      </c>
      <c r="C64" s="64">
        <v>799.11</v>
      </c>
      <c r="D64" s="64">
        <v>0</v>
      </c>
      <c r="E64" s="64">
        <v>21109.51</v>
      </c>
      <c r="F64" s="64">
        <v>0</v>
      </c>
      <c r="G64" s="34"/>
      <c r="H64" s="33"/>
      <c r="I64" s="62">
        <v>32539</v>
      </c>
      <c r="J64" s="64">
        <v>27.4</v>
      </c>
      <c r="K64" s="64">
        <v>0</v>
      </c>
      <c r="L64" s="64">
        <v>0</v>
      </c>
      <c r="M64" s="64">
        <v>0</v>
      </c>
      <c r="N64" s="34"/>
      <c r="O64" s="35"/>
    </row>
    <row r="65" spans="1:15" s="36" customFormat="1" ht="12" x14ac:dyDescent="0.2">
      <c r="A65" s="33"/>
      <c r="B65" s="63">
        <v>33785</v>
      </c>
      <c r="C65" s="65">
        <v>1170.98</v>
      </c>
      <c r="D65" s="65">
        <v>31</v>
      </c>
      <c r="E65" s="65">
        <v>21561.81</v>
      </c>
      <c r="F65" s="65">
        <v>23.2</v>
      </c>
      <c r="G65" s="34"/>
      <c r="H65" s="33"/>
      <c r="I65" s="63">
        <v>32567</v>
      </c>
      <c r="J65" s="65">
        <v>28.4</v>
      </c>
      <c r="K65" s="65">
        <v>0</v>
      </c>
      <c r="L65" s="65">
        <v>0</v>
      </c>
      <c r="M65" s="65">
        <v>0</v>
      </c>
      <c r="N65" s="34"/>
      <c r="O65" s="35"/>
    </row>
    <row r="66" spans="1:15" s="36" customFormat="1" ht="12" x14ac:dyDescent="0.2">
      <c r="A66" s="33"/>
      <c r="B66" s="62">
        <v>33816</v>
      </c>
      <c r="C66" s="64">
        <v>1483.85</v>
      </c>
      <c r="D66" s="64">
        <v>32</v>
      </c>
      <c r="E66" s="64">
        <v>21929.45</v>
      </c>
      <c r="F66" s="64">
        <v>24</v>
      </c>
      <c r="G66" s="34"/>
      <c r="H66" s="33"/>
      <c r="I66" s="62">
        <v>32598</v>
      </c>
      <c r="J66" s="64">
        <v>27.1</v>
      </c>
      <c r="K66" s="64">
        <v>0</v>
      </c>
      <c r="L66" s="64">
        <v>0</v>
      </c>
      <c r="M66" s="64">
        <v>0</v>
      </c>
      <c r="N66" s="34"/>
      <c r="O66" s="35"/>
    </row>
    <row r="67" spans="1:15" s="36" customFormat="1" ht="12" x14ac:dyDescent="0.2">
      <c r="A67" s="33"/>
      <c r="B67" s="63">
        <v>33847</v>
      </c>
      <c r="C67" s="65">
        <v>1814.05</v>
      </c>
      <c r="D67" s="65">
        <v>33</v>
      </c>
      <c r="E67" s="65">
        <v>22282.14</v>
      </c>
      <c r="F67" s="65">
        <v>24.1</v>
      </c>
      <c r="G67" s="34"/>
      <c r="H67" s="33"/>
      <c r="I67" s="63">
        <v>32628</v>
      </c>
      <c r="J67" s="65">
        <v>26.6</v>
      </c>
      <c r="K67" s="65">
        <v>0</v>
      </c>
      <c r="L67" s="65">
        <v>0</v>
      </c>
      <c r="M67" s="65">
        <v>0</v>
      </c>
      <c r="N67" s="34"/>
      <c r="O67" s="35"/>
    </row>
    <row r="68" spans="1:15" s="36" customFormat="1" ht="12" x14ac:dyDescent="0.2">
      <c r="A68" s="33"/>
      <c r="B68" s="62">
        <v>33877</v>
      </c>
      <c r="C68" s="64">
        <v>2192.0700000000002</v>
      </c>
      <c r="D68" s="64">
        <v>33</v>
      </c>
      <c r="E68" s="64">
        <v>22433.75</v>
      </c>
      <c r="F68" s="64">
        <v>21.5</v>
      </c>
      <c r="G68" s="34"/>
      <c r="H68" s="33"/>
      <c r="I68" s="62">
        <v>32659</v>
      </c>
      <c r="J68" s="64">
        <v>24.8</v>
      </c>
      <c r="K68" s="64">
        <v>0</v>
      </c>
      <c r="L68" s="64">
        <v>0</v>
      </c>
      <c r="M68" s="64">
        <v>0</v>
      </c>
      <c r="N68" s="34"/>
      <c r="O68" s="35"/>
    </row>
    <row r="69" spans="1:15" s="36" customFormat="1" ht="12" x14ac:dyDescent="0.2">
      <c r="A69" s="33"/>
      <c r="B69" s="63">
        <v>33908</v>
      </c>
      <c r="C69" s="65">
        <v>2609.35</v>
      </c>
      <c r="D69" s="65">
        <v>33.6</v>
      </c>
      <c r="E69" s="65">
        <v>22867.5</v>
      </c>
      <c r="F69" s="65">
        <v>21.2</v>
      </c>
      <c r="G69" s="34"/>
      <c r="H69" s="33"/>
      <c r="I69" s="63">
        <v>32689</v>
      </c>
      <c r="J69" s="65">
        <v>22.8</v>
      </c>
      <c r="K69" s="65">
        <v>0</v>
      </c>
      <c r="L69" s="65">
        <v>0</v>
      </c>
      <c r="M69" s="65">
        <v>0</v>
      </c>
      <c r="N69" s="34"/>
      <c r="O69" s="35"/>
    </row>
    <row r="70" spans="1:15" s="36" customFormat="1" ht="12" x14ac:dyDescent="0.2">
      <c r="A70" s="33"/>
      <c r="B70" s="62">
        <v>33938</v>
      </c>
      <c r="C70" s="64">
        <v>3064.11</v>
      </c>
      <c r="D70" s="64">
        <v>33.9</v>
      </c>
      <c r="E70" s="64">
        <v>23327.56</v>
      </c>
      <c r="F70" s="64">
        <v>21.1</v>
      </c>
      <c r="G70" s="34"/>
      <c r="H70" s="33"/>
      <c r="I70" s="62">
        <v>32720</v>
      </c>
      <c r="J70" s="64">
        <v>19.399999999999999</v>
      </c>
      <c r="K70" s="64">
        <v>0</v>
      </c>
      <c r="L70" s="64">
        <v>0</v>
      </c>
      <c r="M70" s="64">
        <v>0</v>
      </c>
      <c r="N70" s="34"/>
      <c r="O70" s="35"/>
    </row>
    <row r="71" spans="1:15" s="36" customFormat="1" ht="12" x14ac:dyDescent="0.2">
      <c r="A71" s="33"/>
      <c r="B71" s="63">
        <v>33969</v>
      </c>
      <c r="C71" s="65">
        <v>5854.6045999999997</v>
      </c>
      <c r="D71" s="65">
        <v>36.799999999999997</v>
      </c>
      <c r="E71" s="65">
        <v>26322.9</v>
      </c>
      <c r="F71" s="65">
        <v>21.9</v>
      </c>
      <c r="G71" s="34"/>
      <c r="H71" s="33"/>
      <c r="I71" s="63">
        <v>32751</v>
      </c>
      <c r="J71" s="65">
        <v>15.3</v>
      </c>
      <c r="K71" s="65">
        <v>0</v>
      </c>
      <c r="L71" s="65">
        <v>0</v>
      </c>
      <c r="M71" s="65">
        <v>0</v>
      </c>
      <c r="N71" s="34"/>
      <c r="O71" s="35"/>
    </row>
    <row r="72" spans="1:15" s="36" customFormat="1" ht="12" x14ac:dyDescent="0.2">
      <c r="A72" s="33"/>
      <c r="B72" s="62">
        <v>34000</v>
      </c>
      <c r="C72" s="64">
        <v>0</v>
      </c>
      <c r="D72" s="64">
        <v>0</v>
      </c>
      <c r="E72" s="64">
        <v>24176.7</v>
      </c>
      <c r="F72" s="64">
        <v>21.5</v>
      </c>
      <c r="G72" s="34"/>
      <c r="H72" s="33"/>
      <c r="I72" s="62">
        <v>32781</v>
      </c>
      <c r="J72" s="64">
        <v>11.5</v>
      </c>
      <c r="K72" s="64">
        <v>0</v>
      </c>
      <c r="L72" s="64">
        <v>0</v>
      </c>
      <c r="M72" s="64">
        <v>0</v>
      </c>
      <c r="N72" s="34"/>
      <c r="O72" s="35"/>
    </row>
    <row r="73" spans="1:15" s="36" customFormat="1" ht="12" x14ac:dyDescent="0.2">
      <c r="A73" s="33"/>
      <c r="B73" s="63">
        <v>34028</v>
      </c>
      <c r="C73" s="65">
        <v>227.99</v>
      </c>
      <c r="D73" s="65">
        <v>64.099999999999994</v>
      </c>
      <c r="E73" s="65">
        <v>24505.99</v>
      </c>
      <c r="F73" s="65">
        <v>22.5</v>
      </c>
      <c r="G73" s="34"/>
      <c r="H73" s="33"/>
      <c r="I73" s="63">
        <v>32812</v>
      </c>
      <c r="J73" s="65">
        <v>8.6</v>
      </c>
      <c r="K73" s="65">
        <v>0</v>
      </c>
      <c r="L73" s="65">
        <v>0</v>
      </c>
      <c r="M73" s="65">
        <v>0</v>
      </c>
      <c r="N73" s="34"/>
      <c r="O73" s="35"/>
    </row>
    <row r="74" spans="1:15" s="36" customFormat="1" ht="12" x14ac:dyDescent="0.2">
      <c r="A74" s="33"/>
      <c r="B74" s="62">
        <v>34059</v>
      </c>
      <c r="C74" s="64">
        <v>516.33000000000004</v>
      </c>
      <c r="D74" s="64">
        <v>63.7</v>
      </c>
      <c r="E74" s="64">
        <v>24534.52</v>
      </c>
      <c r="F74" s="64">
        <v>20.399999999999999</v>
      </c>
      <c r="G74" s="34"/>
      <c r="H74" s="33"/>
      <c r="I74" s="62">
        <v>32842</v>
      </c>
      <c r="J74" s="64">
        <v>7.4</v>
      </c>
      <c r="K74" s="64">
        <v>0</v>
      </c>
      <c r="L74" s="64">
        <v>0</v>
      </c>
      <c r="M74" s="64">
        <v>0</v>
      </c>
      <c r="N74" s="34"/>
      <c r="O74" s="35"/>
    </row>
    <row r="75" spans="1:15" s="36" customFormat="1" ht="12" x14ac:dyDescent="0.2">
      <c r="A75" s="33"/>
      <c r="B75" s="63">
        <v>34089</v>
      </c>
      <c r="C75" s="65">
        <v>851.4</v>
      </c>
      <c r="D75" s="65">
        <v>62.5</v>
      </c>
      <c r="E75" s="65">
        <v>24977.45</v>
      </c>
      <c r="F75" s="65">
        <v>20.100000000000001</v>
      </c>
      <c r="G75" s="34"/>
      <c r="H75" s="33"/>
      <c r="I75" s="63">
        <v>32873</v>
      </c>
      <c r="J75" s="65">
        <v>6.6</v>
      </c>
      <c r="K75" s="65">
        <v>0</v>
      </c>
      <c r="L75" s="65">
        <v>0</v>
      </c>
      <c r="M75" s="65">
        <v>0</v>
      </c>
      <c r="N75" s="34"/>
      <c r="O75" s="35"/>
    </row>
    <row r="76" spans="1:15" s="36" customFormat="1" ht="12" x14ac:dyDescent="0.2">
      <c r="A76" s="33"/>
      <c r="B76" s="62">
        <v>34120</v>
      </c>
      <c r="C76" s="64">
        <v>1312.48</v>
      </c>
      <c r="D76" s="64">
        <v>64.2</v>
      </c>
      <c r="E76" s="64">
        <v>25211.69</v>
      </c>
      <c r="F76" s="64">
        <v>19.399999999999999</v>
      </c>
      <c r="G76" s="34"/>
      <c r="H76" s="33"/>
      <c r="I76" s="62">
        <v>32904</v>
      </c>
      <c r="J76" s="64">
        <v>4.3</v>
      </c>
      <c r="K76" s="64">
        <v>0</v>
      </c>
      <c r="L76" s="64">
        <v>0</v>
      </c>
      <c r="M76" s="64">
        <v>0</v>
      </c>
      <c r="N76" s="34"/>
      <c r="O76" s="35"/>
    </row>
    <row r="77" spans="1:15" s="36" customFormat="1" ht="12" x14ac:dyDescent="0.2">
      <c r="A77" s="33"/>
      <c r="B77" s="63">
        <v>34150</v>
      </c>
      <c r="C77" s="65">
        <v>1916.2</v>
      </c>
      <c r="D77" s="65">
        <v>63.6</v>
      </c>
      <c r="E77" s="65">
        <v>25480.29</v>
      </c>
      <c r="F77" s="65">
        <v>18.2</v>
      </c>
      <c r="G77" s="34"/>
      <c r="H77" s="33"/>
      <c r="I77" s="63">
        <v>32932</v>
      </c>
      <c r="J77" s="65">
        <v>4.4000000000000004</v>
      </c>
      <c r="K77" s="65">
        <v>0</v>
      </c>
      <c r="L77" s="65">
        <v>0</v>
      </c>
      <c r="M77" s="65">
        <v>0</v>
      </c>
      <c r="N77" s="34"/>
      <c r="O77" s="35"/>
    </row>
    <row r="78" spans="1:15" s="36" customFormat="1" ht="12" x14ac:dyDescent="0.2">
      <c r="A78" s="33"/>
      <c r="B78" s="62">
        <v>34181</v>
      </c>
      <c r="C78" s="64">
        <v>2432.65</v>
      </c>
      <c r="D78" s="64">
        <v>63.9</v>
      </c>
      <c r="E78" s="64">
        <v>25691.7</v>
      </c>
      <c r="F78" s="64">
        <v>17.2</v>
      </c>
      <c r="G78" s="34"/>
      <c r="H78" s="33"/>
      <c r="I78" s="62">
        <v>32963</v>
      </c>
      <c r="J78" s="64">
        <v>3.4</v>
      </c>
      <c r="K78" s="64">
        <v>0</v>
      </c>
      <c r="L78" s="64">
        <v>0</v>
      </c>
      <c r="M78" s="64">
        <v>0</v>
      </c>
      <c r="N78" s="34"/>
      <c r="O78" s="35"/>
    </row>
    <row r="79" spans="1:15" s="36" customFormat="1" ht="12" x14ac:dyDescent="0.2">
      <c r="A79" s="33"/>
      <c r="B79" s="63">
        <v>34212</v>
      </c>
      <c r="C79" s="65">
        <v>2931.38</v>
      </c>
      <c r="D79" s="65">
        <v>61.6</v>
      </c>
      <c r="E79" s="65">
        <v>26034.58</v>
      </c>
      <c r="F79" s="65">
        <v>16.8</v>
      </c>
      <c r="G79" s="34"/>
      <c r="H79" s="33"/>
      <c r="I79" s="63">
        <v>32993</v>
      </c>
      <c r="J79" s="65">
        <v>3.2</v>
      </c>
      <c r="K79" s="65">
        <v>0</v>
      </c>
      <c r="L79" s="65">
        <v>0</v>
      </c>
      <c r="M79" s="65">
        <v>0</v>
      </c>
      <c r="N79" s="34"/>
      <c r="O79" s="35"/>
    </row>
    <row r="80" spans="1:15" s="36" customFormat="1" ht="12" x14ac:dyDescent="0.2">
      <c r="A80" s="33"/>
      <c r="B80" s="62">
        <v>34242</v>
      </c>
      <c r="C80" s="64">
        <v>3495.53</v>
      </c>
      <c r="D80" s="64">
        <v>59.6</v>
      </c>
      <c r="E80" s="64">
        <v>26607.14</v>
      </c>
      <c r="F80" s="64">
        <v>18.600000000000001</v>
      </c>
      <c r="G80" s="34"/>
      <c r="H80" s="33"/>
      <c r="I80" s="62">
        <v>33024</v>
      </c>
      <c r="J80" s="64">
        <v>2.7</v>
      </c>
      <c r="K80" s="64">
        <v>0</v>
      </c>
      <c r="L80" s="64">
        <v>0</v>
      </c>
      <c r="M80" s="64">
        <v>0</v>
      </c>
      <c r="N80" s="34"/>
      <c r="O80" s="35"/>
    </row>
    <row r="81" spans="1:15" s="36" customFormat="1" ht="12" x14ac:dyDescent="0.2">
      <c r="A81" s="33"/>
      <c r="B81" s="63">
        <v>34273</v>
      </c>
      <c r="C81" s="65">
        <v>4126.0200000000004</v>
      </c>
      <c r="D81" s="65">
        <v>58.2</v>
      </c>
      <c r="E81" s="65">
        <v>27318.94</v>
      </c>
      <c r="F81" s="65">
        <v>19.5</v>
      </c>
      <c r="G81" s="34"/>
      <c r="H81" s="33"/>
      <c r="I81" s="63">
        <v>33054</v>
      </c>
      <c r="J81" s="65">
        <v>1.1000000000000001</v>
      </c>
      <c r="K81" s="65">
        <v>0</v>
      </c>
      <c r="L81" s="65">
        <v>0</v>
      </c>
      <c r="M81" s="65">
        <v>0</v>
      </c>
      <c r="N81" s="34"/>
      <c r="O81" s="35"/>
    </row>
    <row r="82" spans="1:15" s="36" customFormat="1" ht="12" x14ac:dyDescent="0.2">
      <c r="A82" s="33"/>
      <c r="B82" s="62">
        <v>34303</v>
      </c>
      <c r="C82" s="64">
        <v>4820.91</v>
      </c>
      <c r="D82" s="64">
        <v>57.3</v>
      </c>
      <c r="E82" s="64">
        <v>28435.23</v>
      </c>
      <c r="F82" s="64">
        <v>21.9</v>
      </c>
      <c r="G82" s="34"/>
      <c r="H82" s="33"/>
      <c r="I82" s="62">
        <v>33085</v>
      </c>
      <c r="J82" s="64">
        <v>1.1000000000000001</v>
      </c>
      <c r="K82" s="64">
        <v>0</v>
      </c>
      <c r="L82" s="64">
        <v>0</v>
      </c>
      <c r="M82" s="64">
        <v>0</v>
      </c>
      <c r="N82" s="34"/>
      <c r="O82" s="35"/>
    </row>
    <row r="83" spans="1:15" s="36" customFormat="1" ht="12" x14ac:dyDescent="0.2">
      <c r="A83" s="33"/>
      <c r="B83" s="63">
        <v>34334</v>
      </c>
      <c r="C83" s="65">
        <v>9688.9629000000004</v>
      </c>
      <c r="D83" s="65">
        <v>65.5</v>
      </c>
      <c r="E83" s="65">
        <v>32943.1</v>
      </c>
      <c r="F83" s="65">
        <v>28</v>
      </c>
      <c r="G83" s="34"/>
      <c r="H83" s="33"/>
      <c r="I83" s="63">
        <v>33116</v>
      </c>
      <c r="J83" s="65">
        <v>2.5</v>
      </c>
      <c r="K83" s="65">
        <v>0</v>
      </c>
      <c r="L83" s="65">
        <v>0</v>
      </c>
      <c r="M83" s="65">
        <v>0</v>
      </c>
      <c r="N83" s="34"/>
      <c r="O83" s="35"/>
    </row>
    <row r="84" spans="1:15" s="36" customFormat="1" ht="12" x14ac:dyDescent="0.2">
      <c r="A84" s="33"/>
      <c r="B84" s="62">
        <v>34365</v>
      </c>
      <c r="C84" s="64">
        <v>0</v>
      </c>
      <c r="D84" s="64">
        <v>0</v>
      </c>
      <c r="E84" s="64">
        <v>29792.84</v>
      </c>
      <c r="F84" s="64">
        <v>23.2</v>
      </c>
      <c r="G84" s="34"/>
      <c r="H84" s="33"/>
      <c r="I84" s="62">
        <v>33146</v>
      </c>
      <c r="J84" s="64">
        <v>2.9</v>
      </c>
      <c r="K84" s="64">
        <v>0</v>
      </c>
      <c r="L84" s="64">
        <v>0</v>
      </c>
      <c r="M84" s="64">
        <v>0</v>
      </c>
      <c r="N84" s="34"/>
      <c r="O84" s="35"/>
    </row>
    <row r="85" spans="1:15" s="36" customFormat="1" ht="12" x14ac:dyDescent="0.2">
      <c r="A85" s="33"/>
      <c r="B85" s="63">
        <v>34393</v>
      </c>
      <c r="C85" s="65">
        <v>278.88</v>
      </c>
      <c r="D85" s="65">
        <v>39.299999999999997</v>
      </c>
      <c r="E85" s="65">
        <v>29924.78</v>
      </c>
      <c r="F85" s="65">
        <v>22.1</v>
      </c>
      <c r="G85" s="34"/>
      <c r="H85" s="33"/>
      <c r="I85" s="63">
        <v>33177</v>
      </c>
      <c r="J85" s="65">
        <v>3.1</v>
      </c>
      <c r="K85" s="65">
        <v>0</v>
      </c>
      <c r="L85" s="65">
        <v>0</v>
      </c>
      <c r="M85" s="65">
        <v>0</v>
      </c>
      <c r="N85" s="34"/>
      <c r="O85" s="35"/>
    </row>
    <row r="86" spans="1:15" s="36" customFormat="1" ht="12" x14ac:dyDescent="0.2">
      <c r="A86" s="33"/>
      <c r="B86" s="62">
        <v>34424</v>
      </c>
      <c r="C86" s="64">
        <v>676.1</v>
      </c>
      <c r="D86" s="64">
        <v>30.9</v>
      </c>
      <c r="E86" s="64">
        <v>30369.24</v>
      </c>
      <c r="F86" s="64">
        <v>23.8</v>
      </c>
      <c r="G86" s="34"/>
      <c r="H86" s="33"/>
      <c r="I86" s="62">
        <v>33207</v>
      </c>
      <c r="J86" s="64">
        <v>3.7</v>
      </c>
      <c r="K86" s="64">
        <v>0</v>
      </c>
      <c r="L86" s="64">
        <v>0</v>
      </c>
      <c r="M86" s="64">
        <v>0</v>
      </c>
      <c r="N86" s="34"/>
      <c r="O86" s="35"/>
    </row>
    <row r="87" spans="1:15" s="36" customFormat="1" ht="12" x14ac:dyDescent="0.2">
      <c r="A87" s="33"/>
      <c r="B87" s="63">
        <v>34454</v>
      </c>
      <c r="C87" s="65">
        <v>1152.77</v>
      </c>
      <c r="D87" s="65">
        <v>35.4</v>
      </c>
      <c r="E87" s="65">
        <v>30925.55</v>
      </c>
      <c r="F87" s="65">
        <v>23.8</v>
      </c>
      <c r="G87" s="34"/>
      <c r="H87" s="33"/>
      <c r="I87" s="63">
        <v>33238</v>
      </c>
      <c r="J87" s="65">
        <v>4.3</v>
      </c>
      <c r="K87" s="65">
        <v>0</v>
      </c>
      <c r="L87" s="65">
        <v>0</v>
      </c>
      <c r="M87" s="65">
        <v>0</v>
      </c>
      <c r="N87" s="34"/>
      <c r="O87" s="35"/>
    </row>
    <row r="88" spans="1:15" s="36" customFormat="1" ht="12" x14ac:dyDescent="0.2">
      <c r="A88" s="33"/>
      <c r="B88" s="62">
        <v>34485</v>
      </c>
      <c r="C88" s="64">
        <v>1726.61</v>
      </c>
      <c r="D88" s="64">
        <v>31.5</v>
      </c>
      <c r="E88" s="64">
        <v>31481.62</v>
      </c>
      <c r="F88" s="64">
        <v>24.9</v>
      </c>
      <c r="G88" s="34"/>
      <c r="H88" s="33"/>
      <c r="I88" s="62">
        <v>33269</v>
      </c>
      <c r="J88" s="64">
        <v>2.2000000000000002</v>
      </c>
      <c r="K88" s="64">
        <v>0</v>
      </c>
      <c r="L88" s="64">
        <v>0</v>
      </c>
      <c r="M88" s="64">
        <v>0</v>
      </c>
      <c r="N88" s="34"/>
      <c r="O88" s="35"/>
    </row>
    <row r="89" spans="1:15" s="36" customFormat="1" ht="12" x14ac:dyDescent="0.2">
      <c r="A89" s="33"/>
      <c r="B89" s="63">
        <v>34515</v>
      </c>
      <c r="C89" s="65">
        <v>2616.7600000000002</v>
      </c>
      <c r="D89" s="65">
        <v>36.6</v>
      </c>
      <c r="E89" s="65">
        <v>32038.06</v>
      </c>
      <c r="F89" s="65">
        <v>25.7</v>
      </c>
      <c r="G89" s="34"/>
      <c r="H89" s="33"/>
      <c r="I89" s="63">
        <v>33297</v>
      </c>
      <c r="J89" s="65">
        <v>1</v>
      </c>
      <c r="K89" s="65">
        <v>0</v>
      </c>
      <c r="L89" s="65">
        <v>0</v>
      </c>
      <c r="M89" s="65">
        <v>0</v>
      </c>
      <c r="N89" s="34"/>
      <c r="O89" s="35"/>
    </row>
    <row r="90" spans="1:15" s="36" customFormat="1" ht="12" x14ac:dyDescent="0.2">
      <c r="A90" s="33"/>
      <c r="B90" s="62">
        <v>34546</v>
      </c>
      <c r="C90" s="64">
        <v>3488.67</v>
      </c>
      <c r="D90" s="64">
        <v>43.4</v>
      </c>
      <c r="E90" s="64">
        <v>32578.720000000001</v>
      </c>
      <c r="F90" s="64">
        <v>26.8</v>
      </c>
      <c r="G90" s="34"/>
      <c r="H90" s="33"/>
      <c r="I90" s="62">
        <v>33328</v>
      </c>
      <c r="J90" s="64">
        <v>1.6</v>
      </c>
      <c r="K90" s="64">
        <v>0</v>
      </c>
      <c r="L90" s="64">
        <v>0</v>
      </c>
      <c r="M90" s="64">
        <v>0</v>
      </c>
      <c r="N90" s="34"/>
      <c r="O90" s="35"/>
    </row>
    <row r="91" spans="1:15" s="36" customFormat="1" ht="12" x14ac:dyDescent="0.2">
      <c r="A91" s="33"/>
      <c r="B91" s="63">
        <v>34577</v>
      </c>
      <c r="C91" s="65">
        <v>4155.76</v>
      </c>
      <c r="D91" s="65">
        <v>41.8</v>
      </c>
      <c r="E91" s="65">
        <v>33081.71</v>
      </c>
      <c r="F91" s="65">
        <v>27.1</v>
      </c>
      <c r="G91" s="34"/>
      <c r="H91" s="33"/>
      <c r="I91" s="63">
        <v>33358</v>
      </c>
      <c r="J91" s="65">
        <v>1.3</v>
      </c>
      <c r="K91" s="65">
        <v>0</v>
      </c>
      <c r="L91" s="65">
        <v>0</v>
      </c>
      <c r="M91" s="65">
        <v>0</v>
      </c>
      <c r="N91" s="34"/>
      <c r="O91" s="35"/>
    </row>
    <row r="92" spans="1:15" s="36" customFormat="1" ht="12" x14ac:dyDescent="0.2">
      <c r="A92" s="33"/>
      <c r="B92" s="62">
        <v>34607</v>
      </c>
      <c r="C92" s="64">
        <v>4956.1400000000003</v>
      </c>
      <c r="D92" s="64">
        <v>41.8</v>
      </c>
      <c r="E92" s="64">
        <v>33582.32</v>
      </c>
      <c r="F92" s="64">
        <v>26.2</v>
      </c>
      <c r="G92" s="34"/>
      <c r="H92" s="33"/>
      <c r="I92" s="62">
        <v>33389</v>
      </c>
      <c r="J92" s="64">
        <v>3.6</v>
      </c>
      <c r="K92" s="64">
        <v>0</v>
      </c>
      <c r="L92" s="64">
        <v>0</v>
      </c>
      <c r="M92" s="64">
        <v>0</v>
      </c>
      <c r="N92" s="34"/>
      <c r="O92" s="35"/>
    </row>
    <row r="93" spans="1:15" s="36" customFormat="1" ht="12" x14ac:dyDescent="0.2">
      <c r="A93" s="33"/>
      <c r="B93" s="63">
        <v>34638</v>
      </c>
      <c r="C93" s="65">
        <v>5710.47</v>
      </c>
      <c r="D93" s="65">
        <v>38.4</v>
      </c>
      <c r="E93" s="65">
        <v>34266.54</v>
      </c>
      <c r="F93" s="65">
        <v>25.4</v>
      </c>
      <c r="G93" s="34"/>
      <c r="H93" s="33"/>
      <c r="I93" s="63">
        <v>33419</v>
      </c>
      <c r="J93" s="65">
        <v>4.4000000000000004</v>
      </c>
      <c r="K93" s="65">
        <v>0</v>
      </c>
      <c r="L93" s="65">
        <v>0</v>
      </c>
      <c r="M93" s="65">
        <v>0</v>
      </c>
      <c r="N93" s="34"/>
      <c r="O93" s="35"/>
    </row>
    <row r="94" spans="1:15" s="36" customFormat="1" ht="12" x14ac:dyDescent="0.2">
      <c r="A94" s="33"/>
      <c r="B94" s="62">
        <v>34668</v>
      </c>
      <c r="C94" s="64">
        <v>6563.05</v>
      </c>
      <c r="D94" s="64">
        <v>36.1</v>
      </c>
      <c r="E94" s="64">
        <v>34683.72</v>
      </c>
      <c r="F94" s="64">
        <v>22</v>
      </c>
      <c r="G94" s="34"/>
      <c r="H94" s="33"/>
      <c r="I94" s="62">
        <v>33450</v>
      </c>
      <c r="J94" s="64">
        <v>4.7</v>
      </c>
      <c r="K94" s="64">
        <v>0</v>
      </c>
      <c r="L94" s="64">
        <v>0</v>
      </c>
      <c r="M94" s="64">
        <v>0</v>
      </c>
      <c r="N94" s="34"/>
      <c r="O94" s="35"/>
    </row>
    <row r="95" spans="1:15" s="36" customFormat="1" ht="12" x14ac:dyDescent="0.2">
      <c r="A95" s="33"/>
      <c r="B95" s="63">
        <v>34699</v>
      </c>
      <c r="C95" s="65">
        <v>12862.52</v>
      </c>
      <c r="D95" s="65">
        <v>32.799999999999997</v>
      </c>
      <c r="E95" s="65">
        <v>39976</v>
      </c>
      <c r="F95" s="65">
        <v>21.3</v>
      </c>
      <c r="G95" s="34"/>
      <c r="H95" s="33"/>
      <c r="I95" s="63">
        <v>33481</v>
      </c>
      <c r="J95" s="65">
        <v>4.9000000000000004</v>
      </c>
      <c r="K95" s="65">
        <v>0</v>
      </c>
      <c r="L95" s="65">
        <v>0</v>
      </c>
      <c r="M95" s="65">
        <v>0</v>
      </c>
      <c r="N95" s="34"/>
      <c r="O95" s="35"/>
    </row>
    <row r="96" spans="1:15" s="36" customFormat="1" ht="12" x14ac:dyDescent="0.2">
      <c r="A96" s="33"/>
      <c r="B96" s="62">
        <v>34730</v>
      </c>
      <c r="C96" s="64">
        <v>0</v>
      </c>
      <c r="D96" s="64">
        <v>0</v>
      </c>
      <c r="E96" s="64">
        <v>37141.11</v>
      </c>
      <c r="F96" s="64">
        <v>24.7</v>
      </c>
      <c r="G96" s="34"/>
      <c r="H96" s="33"/>
      <c r="I96" s="62">
        <v>33511</v>
      </c>
      <c r="J96" s="64">
        <v>4.5</v>
      </c>
      <c r="K96" s="64">
        <v>0</v>
      </c>
      <c r="L96" s="64">
        <v>0</v>
      </c>
      <c r="M96" s="64">
        <v>0</v>
      </c>
      <c r="N96" s="34"/>
      <c r="O96" s="35"/>
    </row>
    <row r="97" spans="1:15" s="36" customFormat="1" ht="12" x14ac:dyDescent="0.2">
      <c r="A97" s="33"/>
      <c r="B97" s="63">
        <v>34758</v>
      </c>
      <c r="C97" s="65">
        <v>443.67</v>
      </c>
      <c r="D97" s="65">
        <v>31.3</v>
      </c>
      <c r="E97" s="65">
        <v>36393.9</v>
      </c>
      <c r="F97" s="65">
        <v>21.6</v>
      </c>
      <c r="G97" s="34"/>
      <c r="H97" s="33"/>
      <c r="I97" s="63">
        <v>33542</v>
      </c>
      <c r="J97" s="65">
        <v>4.8</v>
      </c>
      <c r="K97" s="65">
        <v>0</v>
      </c>
      <c r="L97" s="65">
        <v>0</v>
      </c>
      <c r="M97" s="65">
        <v>0</v>
      </c>
      <c r="N97" s="34"/>
      <c r="O97" s="35"/>
    </row>
    <row r="98" spans="1:15" s="36" customFormat="1" ht="12" x14ac:dyDescent="0.2">
      <c r="A98" s="33"/>
      <c r="B98" s="62">
        <v>34789</v>
      </c>
      <c r="C98" s="64">
        <v>1117.8499999999999</v>
      </c>
      <c r="D98" s="64">
        <v>37.200000000000003</v>
      </c>
      <c r="E98" s="64">
        <v>37575.82</v>
      </c>
      <c r="F98" s="64">
        <v>23.7</v>
      </c>
      <c r="G98" s="34"/>
      <c r="H98" s="33"/>
      <c r="I98" s="62">
        <v>33572</v>
      </c>
      <c r="J98" s="64">
        <v>4.4000000000000004</v>
      </c>
      <c r="K98" s="64">
        <v>0</v>
      </c>
      <c r="L98" s="64">
        <v>0</v>
      </c>
      <c r="M98" s="64">
        <v>0</v>
      </c>
      <c r="N98" s="34"/>
      <c r="O98" s="35"/>
    </row>
    <row r="99" spans="1:15" s="36" customFormat="1" ht="12" x14ac:dyDescent="0.2">
      <c r="A99" s="33"/>
      <c r="B99" s="63">
        <v>34819</v>
      </c>
      <c r="C99" s="65">
        <v>1799.78</v>
      </c>
      <c r="D99" s="65">
        <v>31.5</v>
      </c>
      <c r="E99" s="65">
        <v>37181.279999999999</v>
      </c>
      <c r="F99" s="65">
        <v>20.2</v>
      </c>
      <c r="G99" s="34"/>
      <c r="H99" s="33"/>
      <c r="I99" s="63">
        <v>33603</v>
      </c>
      <c r="J99" s="65">
        <v>4.5</v>
      </c>
      <c r="K99" s="65">
        <v>0</v>
      </c>
      <c r="L99" s="65">
        <v>0</v>
      </c>
      <c r="M99" s="65">
        <v>0</v>
      </c>
      <c r="N99" s="34"/>
      <c r="O99" s="35"/>
    </row>
    <row r="100" spans="1:15" s="36" customFormat="1" ht="12" x14ac:dyDescent="0.2">
      <c r="A100" s="33"/>
      <c r="B100" s="62">
        <v>34850</v>
      </c>
      <c r="C100" s="64">
        <v>2619.44</v>
      </c>
      <c r="D100" s="64">
        <v>28.1</v>
      </c>
      <c r="E100" s="64">
        <v>37514.25</v>
      </c>
      <c r="F100" s="64">
        <v>19.2</v>
      </c>
      <c r="G100" s="34"/>
      <c r="H100" s="33"/>
      <c r="I100" s="62">
        <v>33634</v>
      </c>
      <c r="J100" s="64">
        <v>5.5</v>
      </c>
      <c r="K100" s="64">
        <v>0</v>
      </c>
      <c r="L100" s="64">
        <v>0</v>
      </c>
      <c r="M100" s="64">
        <v>0</v>
      </c>
      <c r="N100" s="34"/>
      <c r="O100" s="35"/>
    </row>
    <row r="101" spans="1:15" s="36" customFormat="1" ht="12" x14ac:dyDescent="0.2">
      <c r="A101" s="33"/>
      <c r="B101" s="63">
        <v>34880</v>
      </c>
      <c r="C101" s="65">
        <v>3763.75</v>
      </c>
      <c r="D101" s="65">
        <v>25.5</v>
      </c>
      <c r="E101" s="65">
        <v>37748.519999999997</v>
      </c>
      <c r="F101" s="65">
        <v>17.8</v>
      </c>
      <c r="G101" s="34"/>
      <c r="H101" s="33"/>
      <c r="I101" s="63">
        <v>33663</v>
      </c>
      <c r="J101" s="65">
        <v>5.3</v>
      </c>
      <c r="K101" s="65">
        <v>0</v>
      </c>
      <c r="L101" s="65">
        <v>0</v>
      </c>
      <c r="M101" s="65">
        <v>0</v>
      </c>
      <c r="N101" s="34"/>
      <c r="O101" s="35"/>
    </row>
    <row r="102" spans="1:15" s="36" customFormat="1" ht="12" x14ac:dyDescent="0.2">
      <c r="A102" s="33"/>
      <c r="B102" s="62">
        <v>34911</v>
      </c>
      <c r="C102" s="64">
        <v>4720.13</v>
      </c>
      <c r="D102" s="64">
        <v>14</v>
      </c>
      <c r="E102" s="64">
        <v>38278.129999999997</v>
      </c>
      <c r="F102" s="64">
        <v>17.5</v>
      </c>
      <c r="G102" s="34"/>
      <c r="H102" s="33"/>
      <c r="I102" s="62">
        <v>33694</v>
      </c>
      <c r="J102" s="64">
        <v>5.3</v>
      </c>
      <c r="K102" s="64">
        <v>0</v>
      </c>
      <c r="L102" s="64">
        <v>0</v>
      </c>
      <c r="M102" s="64">
        <v>0</v>
      </c>
      <c r="N102" s="34"/>
      <c r="O102" s="35"/>
    </row>
    <row r="103" spans="1:15" s="36" customFormat="1" ht="12" x14ac:dyDescent="0.2">
      <c r="A103" s="33"/>
      <c r="B103" s="63">
        <v>34942</v>
      </c>
      <c r="C103" s="65">
        <v>5750.89</v>
      </c>
      <c r="D103" s="65">
        <v>16.8</v>
      </c>
      <c r="E103" s="65">
        <v>38880.6</v>
      </c>
      <c r="F103" s="65">
        <v>17.5</v>
      </c>
      <c r="G103" s="34"/>
      <c r="H103" s="33"/>
      <c r="I103" s="63">
        <v>33724</v>
      </c>
      <c r="J103" s="65">
        <v>7.1</v>
      </c>
      <c r="K103" s="65">
        <v>0</v>
      </c>
      <c r="L103" s="65">
        <v>0</v>
      </c>
      <c r="M103" s="65">
        <v>0</v>
      </c>
      <c r="N103" s="34"/>
      <c r="O103" s="35"/>
    </row>
    <row r="104" spans="1:15" s="36" customFormat="1" ht="12" x14ac:dyDescent="0.2">
      <c r="A104" s="33"/>
      <c r="B104" s="62">
        <v>34972</v>
      </c>
      <c r="C104" s="64">
        <v>6891.83</v>
      </c>
      <c r="D104" s="64">
        <v>17.600000000000001</v>
      </c>
      <c r="E104" s="64">
        <v>40916.94</v>
      </c>
      <c r="F104" s="64">
        <v>21.8</v>
      </c>
      <c r="G104" s="34"/>
      <c r="H104" s="33"/>
      <c r="I104" s="62">
        <v>33755</v>
      </c>
      <c r="J104" s="64">
        <v>4.7</v>
      </c>
      <c r="K104" s="64">
        <v>0</v>
      </c>
      <c r="L104" s="64">
        <v>0</v>
      </c>
      <c r="M104" s="64">
        <v>0</v>
      </c>
      <c r="N104" s="34"/>
      <c r="O104" s="35"/>
    </row>
    <row r="105" spans="1:15" s="36" customFormat="1" ht="12" x14ac:dyDescent="0.2">
      <c r="A105" s="33"/>
      <c r="B105" s="63">
        <v>35003</v>
      </c>
      <c r="C105" s="65">
        <v>7963.89</v>
      </c>
      <c r="D105" s="65">
        <v>18</v>
      </c>
      <c r="E105" s="65">
        <v>41800.19</v>
      </c>
      <c r="F105" s="65">
        <v>22</v>
      </c>
      <c r="G105" s="34"/>
      <c r="H105" s="33"/>
      <c r="I105" s="63">
        <v>33785</v>
      </c>
      <c r="J105" s="65">
        <v>4.8</v>
      </c>
      <c r="K105" s="65">
        <v>0</v>
      </c>
      <c r="L105" s="65">
        <v>0</v>
      </c>
      <c r="M105" s="65">
        <v>0</v>
      </c>
      <c r="N105" s="34"/>
      <c r="O105" s="35"/>
    </row>
    <row r="106" spans="1:15" s="36" customFormat="1" ht="12" x14ac:dyDescent="0.2">
      <c r="A106" s="33"/>
      <c r="B106" s="62">
        <v>35033</v>
      </c>
      <c r="C106" s="64">
        <v>9090.65</v>
      </c>
      <c r="D106" s="64">
        <v>17.5</v>
      </c>
      <c r="E106" s="64">
        <v>42710.5</v>
      </c>
      <c r="F106" s="64">
        <v>23.1</v>
      </c>
      <c r="G106" s="34"/>
      <c r="H106" s="33"/>
      <c r="I106" s="62">
        <v>33816</v>
      </c>
      <c r="J106" s="64">
        <v>5.2</v>
      </c>
      <c r="K106" s="64">
        <v>0</v>
      </c>
      <c r="L106" s="64">
        <v>0</v>
      </c>
      <c r="M106" s="64">
        <v>0</v>
      </c>
      <c r="N106" s="34"/>
      <c r="O106" s="35"/>
    </row>
    <row r="107" spans="1:15" s="36" customFormat="1" ht="12" x14ac:dyDescent="0.2">
      <c r="A107" s="33"/>
      <c r="B107" s="63">
        <v>35064</v>
      </c>
      <c r="C107" s="65">
        <v>15643.7</v>
      </c>
      <c r="D107" s="65">
        <v>21.6</v>
      </c>
      <c r="E107" s="65">
        <v>50544.1</v>
      </c>
      <c r="F107" s="65">
        <v>26.4</v>
      </c>
      <c r="G107" s="34"/>
      <c r="H107" s="33"/>
      <c r="I107" s="63">
        <v>33847</v>
      </c>
      <c r="J107" s="65">
        <v>5.8</v>
      </c>
      <c r="K107" s="65">
        <v>0</v>
      </c>
      <c r="L107" s="65">
        <v>0</v>
      </c>
      <c r="M107" s="65">
        <v>0</v>
      </c>
      <c r="N107" s="34"/>
      <c r="O107" s="35"/>
    </row>
    <row r="108" spans="1:15" s="36" customFormat="1" ht="12" x14ac:dyDescent="0.2">
      <c r="A108" s="33"/>
      <c r="B108" s="62">
        <v>35095</v>
      </c>
      <c r="C108" s="64">
        <v>0</v>
      </c>
      <c r="D108" s="64">
        <v>0</v>
      </c>
      <c r="E108" s="64">
        <v>50552.45</v>
      </c>
      <c r="F108" s="64">
        <v>36.1</v>
      </c>
      <c r="G108" s="34"/>
      <c r="H108" s="33"/>
      <c r="I108" s="62">
        <v>33877</v>
      </c>
      <c r="J108" s="64">
        <v>7.5</v>
      </c>
      <c r="K108" s="64">
        <v>0</v>
      </c>
      <c r="L108" s="64">
        <v>0</v>
      </c>
      <c r="M108" s="64">
        <v>0</v>
      </c>
      <c r="N108" s="34"/>
      <c r="O108" s="35"/>
    </row>
    <row r="109" spans="1:15" s="36" customFormat="1" ht="12" x14ac:dyDescent="0.2">
      <c r="A109" s="33"/>
      <c r="B109" s="63">
        <v>35124</v>
      </c>
      <c r="C109" s="65">
        <v>474.94</v>
      </c>
      <c r="D109" s="65">
        <v>7</v>
      </c>
      <c r="E109" s="65">
        <v>51079.56</v>
      </c>
      <c r="F109" s="65">
        <v>40.4</v>
      </c>
      <c r="G109" s="34"/>
      <c r="H109" s="33"/>
      <c r="I109" s="63">
        <v>33908</v>
      </c>
      <c r="J109" s="65">
        <v>7.9</v>
      </c>
      <c r="K109" s="65">
        <v>0</v>
      </c>
      <c r="L109" s="65">
        <v>0</v>
      </c>
      <c r="M109" s="65">
        <v>0</v>
      </c>
      <c r="N109" s="34"/>
      <c r="O109" s="35"/>
    </row>
    <row r="110" spans="1:15" s="36" customFormat="1" ht="12" x14ac:dyDescent="0.2">
      <c r="A110" s="33"/>
      <c r="B110" s="62">
        <v>35155</v>
      </c>
      <c r="C110" s="64">
        <v>1298.71</v>
      </c>
      <c r="D110" s="64">
        <v>16.2</v>
      </c>
      <c r="E110" s="64">
        <v>51901.67</v>
      </c>
      <c r="F110" s="64">
        <v>38.1</v>
      </c>
      <c r="G110" s="34"/>
      <c r="H110" s="33"/>
      <c r="I110" s="62">
        <v>33938</v>
      </c>
      <c r="J110" s="64">
        <v>8.1999999999999993</v>
      </c>
      <c r="K110" s="64">
        <v>0</v>
      </c>
      <c r="L110" s="64">
        <v>0</v>
      </c>
      <c r="M110" s="64">
        <v>0</v>
      </c>
      <c r="N110" s="34"/>
      <c r="O110" s="35"/>
    </row>
    <row r="111" spans="1:15" s="36" customFormat="1" ht="12" x14ac:dyDescent="0.2">
      <c r="A111" s="33"/>
      <c r="B111" s="63">
        <v>35185</v>
      </c>
      <c r="C111" s="65">
        <v>2093.14</v>
      </c>
      <c r="D111" s="65">
        <v>16.3</v>
      </c>
      <c r="E111" s="65">
        <v>52817.41</v>
      </c>
      <c r="F111" s="65">
        <v>42.1</v>
      </c>
      <c r="G111" s="34"/>
      <c r="H111" s="33"/>
      <c r="I111" s="63">
        <v>33969</v>
      </c>
      <c r="J111" s="65">
        <v>8.8000000000000007</v>
      </c>
      <c r="K111" s="65">
        <v>0</v>
      </c>
      <c r="L111" s="65">
        <v>0</v>
      </c>
      <c r="M111" s="65">
        <v>0</v>
      </c>
      <c r="N111" s="34"/>
      <c r="O111" s="35"/>
    </row>
    <row r="112" spans="1:15" s="36" customFormat="1" ht="12" x14ac:dyDescent="0.2">
      <c r="A112" s="33"/>
      <c r="B112" s="62">
        <v>35216</v>
      </c>
      <c r="C112" s="64">
        <v>3126.45</v>
      </c>
      <c r="D112" s="64">
        <v>16.5</v>
      </c>
      <c r="E112" s="64">
        <v>53379.66</v>
      </c>
      <c r="F112" s="64">
        <v>42.3</v>
      </c>
      <c r="G112" s="34"/>
      <c r="H112" s="33"/>
      <c r="I112" s="62">
        <v>34000</v>
      </c>
      <c r="J112" s="64">
        <v>10.3</v>
      </c>
      <c r="K112" s="64">
        <v>0</v>
      </c>
      <c r="L112" s="64">
        <v>0</v>
      </c>
      <c r="M112" s="64">
        <v>0</v>
      </c>
      <c r="N112" s="34"/>
      <c r="O112" s="35"/>
    </row>
    <row r="113" spans="1:15" s="36" customFormat="1" ht="12" x14ac:dyDescent="0.2">
      <c r="A113" s="33"/>
      <c r="B113" s="63">
        <v>35246</v>
      </c>
      <c r="C113" s="65">
        <v>4666.4799999999996</v>
      </c>
      <c r="D113" s="65">
        <v>18.600000000000001</v>
      </c>
      <c r="E113" s="65">
        <v>54381.34</v>
      </c>
      <c r="F113" s="65">
        <v>44.1</v>
      </c>
      <c r="G113" s="34"/>
      <c r="H113" s="33"/>
      <c r="I113" s="63">
        <v>34028</v>
      </c>
      <c r="J113" s="65">
        <v>10.5</v>
      </c>
      <c r="K113" s="65">
        <v>0</v>
      </c>
      <c r="L113" s="65">
        <v>0</v>
      </c>
      <c r="M113" s="65">
        <v>0</v>
      </c>
      <c r="N113" s="34"/>
      <c r="O113" s="35"/>
    </row>
    <row r="114" spans="1:15" s="36" customFormat="1" ht="12" x14ac:dyDescent="0.2">
      <c r="A114" s="33"/>
      <c r="B114" s="62">
        <v>35277</v>
      </c>
      <c r="C114" s="64">
        <v>5860.98</v>
      </c>
      <c r="D114" s="64">
        <v>20.9</v>
      </c>
      <c r="E114" s="64">
        <v>55192.53</v>
      </c>
      <c r="F114" s="64">
        <v>44.2</v>
      </c>
      <c r="G114" s="34"/>
      <c r="H114" s="33"/>
      <c r="I114" s="62">
        <v>34059</v>
      </c>
      <c r="J114" s="64">
        <v>12.2</v>
      </c>
      <c r="K114" s="64">
        <v>0</v>
      </c>
      <c r="L114" s="64">
        <v>0</v>
      </c>
      <c r="M114" s="64">
        <v>0</v>
      </c>
      <c r="N114" s="34"/>
      <c r="O114" s="35"/>
    </row>
    <row r="115" spans="1:15" s="36" customFormat="1" ht="12" x14ac:dyDescent="0.2">
      <c r="A115" s="33"/>
      <c r="B115" s="63">
        <v>35308</v>
      </c>
      <c r="C115" s="65">
        <v>6963.83</v>
      </c>
      <c r="D115" s="65">
        <v>20.2</v>
      </c>
      <c r="E115" s="65">
        <v>56075.7</v>
      </c>
      <c r="F115" s="65">
        <v>44.2</v>
      </c>
      <c r="G115" s="34"/>
      <c r="H115" s="33"/>
      <c r="I115" s="63">
        <v>34089</v>
      </c>
      <c r="J115" s="65">
        <v>12.6</v>
      </c>
      <c r="K115" s="65">
        <v>0</v>
      </c>
      <c r="L115" s="65">
        <v>0</v>
      </c>
      <c r="M115" s="65">
        <v>0</v>
      </c>
      <c r="N115" s="34"/>
      <c r="O115" s="35"/>
    </row>
    <row r="116" spans="1:15" s="36" customFormat="1" ht="12" x14ac:dyDescent="0.2">
      <c r="A116" s="33"/>
      <c r="B116" s="62">
        <v>35338</v>
      </c>
      <c r="C116" s="64">
        <v>8269.4500000000007</v>
      </c>
      <c r="D116" s="64">
        <v>19.3</v>
      </c>
      <c r="E116" s="64">
        <v>56932.63</v>
      </c>
      <c r="F116" s="64">
        <v>39.1</v>
      </c>
      <c r="G116" s="34"/>
      <c r="H116" s="33"/>
      <c r="I116" s="62">
        <v>34120</v>
      </c>
      <c r="J116" s="64">
        <v>14</v>
      </c>
      <c r="K116" s="64">
        <v>0</v>
      </c>
      <c r="L116" s="64">
        <v>0</v>
      </c>
      <c r="M116" s="64">
        <v>0</v>
      </c>
      <c r="N116" s="34"/>
      <c r="O116" s="35"/>
    </row>
    <row r="117" spans="1:15" s="36" customFormat="1" ht="12" x14ac:dyDescent="0.2">
      <c r="A117" s="33"/>
      <c r="B117" s="63">
        <v>35369</v>
      </c>
      <c r="C117" s="65">
        <v>9496.7900000000009</v>
      </c>
      <c r="D117" s="65">
        <v>18.600000000000001</v>
      </c>
      <c r="E117" s="65">
        <v>57959.73</v>
      </c>
      <c r="F117" s="65">
        <v>38.700000000000003</v>
      </c>
      <c r="G117" s="34"/>
      <c r="H117" s="33"/>
      <c r="I117" s="63">
        <v>34150</v>
      </c>
      <c r="J117" s="65">
        <v>15.1</v>
      </c>
      <c r="K117" s="65">
        <v>0</v>
      </c>
      <c r="L117" s="65">
        <v>0</v>
      </c>
      <c r="M117" s="65">
        <v>0</v>
      </c>
      <c r="N117" s="34"/>
      <c r="O117" s="35"/>
    </row>
    <row r="118" spans="1:15" s="36" customFormat="1" ht="12" x14ac:dyDescent="0.2">
      <c r="A118" s="33"/>
      <c r="B118" s="62">
        <v>35399</v>
      </c>
      <c r="C118" s="64">
        <v>10888.58</v>
      </c>
      <c r="D118" s="64">
        <v>19.2</v>
      </c>
      <c r="E118" s="64">
        <v>58765.45</v>
      </c>
      <c r="F118" s="64">
        <v>37.6</v>
      </c>
      <c r="G118" s="34"/>
      <c r="H118" s="33"/>
      <c r="I118" s="62">
        <v>34181</v>
      </c>
      <c r="J118" s="64">
        <v>16.2</v>
      </c>
      <c r="K118" s="64">
        <v>0</v>
      </c>
      <c r="L118" s="64">
        <v>0</v>
      </c>
      <c r="M118" s="64">
        <v>0</v>
      </c>
      <c r="N118" s="34"/>
      <c r="O118" s="35"/>
    </row>
    <row r="119" spans="1:15" s="36" customFormat="1" ht="12" x14ac:dyDescent="0.2">
      <c r="A119" s="33"/>
      <c r="B119" s="63">
        <v>35430</v>
      </c>
      <c r="C119" s="65">
        <v>17567.2</v>
      </c>
      <c r="D119" s="65">
        <v>12.3</v>
      </c>
      <c r="E119" s="65">
        <v>61156.6</v>
      </c>
      <c r="F119" s="65">
        <v>21</v>
      </c>
      <c r="G119" s="34"/>
      <c r="H119" s="33"/>
      <c r="I119" s="63">
        <v>34212</v>
      </c>
      <c r="J119" s="65">
        <v>16</v>
      </c>
      <c r="K119" s="65">
        <v>0</v>
      </c>
      <c r="L119" s="65">
        <v>0</v>
      </c>
      <c r="M119" s="65">
        <v>0</v>
      </c>
      <c r="N119" s="34"/>
      <c r="O119" s="35"/>
    </row>
    <row r="120" spans="1:15" s="36" customFormat="1" ht="12" x14ac:dyDescent="0.2">
      <c r="A120" s="33"/>
      <c r="B120" s="62">
        <v>35461</v>
      </c>
      <c r="C120" s="64">
        <v>0</v>
      </c>
      <c r="D120" s="64">
        <v>0</v>
      </c>
      <c r="E120" s="64">
        <v>64466.47</v>
      </c>
      <c r="F120" s="64">
        <v>27.5</v>
      </c>
      <c r="G120" s="34"/>
      <c r="H120" s="33"/>
      <c r="I120" s="62">
        <v>34242</v>
      </c>
      <c r="J120" s="64">
        <v>15.7</v>
      </c>
      <c r="K120" s="64">
        <v>0</v>
      </c>
      <c r="L120" s="64">
        <v>0</v>
      </c>
      <c r="M120" s="64">
        <v>0</v>
      </c>
      <c r="N120" s="34"/>
      <c r="O120" s="35"/>
    </row>
    <row r="121" spans="1:15" s="36" customFormat="1" ht="12" x14ac:dyDescent="0.2">
      <c r="A121" s="33"/>
      <c r="B121" s="63">
        <v>35489</v>
      </c>
      <c r="C121" s="65">
        <v>588.59</v>
      </c>
      <c r="D121" s="65">
        <v>18.100000000000001</v>
      </c>
      <c r="E121" s="65">
        <v>65012.160000000003</v>
      </c>
      <c r="F121" s="65">
        <v>27.3</v>
      </c>
      <c r="G121" s="34"/>
      <c r="H121" s="33"/>
      <c r="I121" s="63">
        <v>34273</v>
      </c>
      <c r="J121" s="65">
        <v>15.9</v>
      </c>
      <c r="K121" s="65">
        <v>0</v>
      </c>
      <c r="L121" s="65">
        <v>0</v>
      </c>
      <c r="M121" s="65">
        <v>0</v>
      </c>
      <c r="N121" s="34"/>
      <c r="O121" s="35"/>
    </row>
    <row r="122" spans="1:15" s="36" customFormat="1" ht="12" x14ac:dyDescent="0.2">
      <c r="A122" s="33"/>
      <c r="B122" s="62">
        <v>35520</v>
      </c>
      <c r="C122" s="64">
        <v>1478.17</v>
      </c>
      <c r="D122" s="64">
        <v>13.9</v>
      </c>
      <c r="E122" s="64">
        <v>65965.27</v>
      </c>
      <c r="F122" s="64">
        <v>27.1</v>
      </c>
      <c r="G122" s="34"/>
      <c r="H122" s="33"/>
      <c r="I122" s="62">
        <v>34303</v>
      </c>
      <c r="J122" s="64">
        <v>16.7</v>
      </c>
      <c r="K122" s="64">
        <v>0</v>
      </c>
      <c r="L122" s="64">
        <v>0</v>
      </c>
      <c r="M122" s="64">
        <v>0</v>
      </c>
      <c r="N122" s="34"/>
      <c r="O122" s="35"/>
    </row>
    <row r="123" spans="1:15" s="36" customFormat="1" ht="12" x14ac:dyDescent="0.2">
      <c r="A123" s="33"/>
      <c r="B123" s="63">
        <v>35550</v>
      </c>
      <c r="C123" s="65">
        <v>2424.59</v>
      </c>
      <c r="D123" s="65">
        <v>15</v>
      </c>
      <c r="E123" s="65">
        <v>66471.13</v>
      </c>
      <c r="F123" s="65">
        <v>25.9</v>
      </c>
      <c r="G123" s="34"/>
      <c r="H123" s="33"/>
      <c r="I123" s="63">
        <v>34334</v>
      </c>
      <c r="J123" s="65">
        <v>18.8</v>
      </c>
      <c r="K123" s="65">
        <v>0</v>
      </c>
      <c r="L123" s="65">
        <v>0</v>
      </c>
      <c r="M123" s="65">
        <v>0</v>
      </c>
      <c r="N123" s="34"/>
      <c r="O123" s="35"/>
    </row>
    <row r="124" spans="1:15" s="36" customFormat="1" ht="12" x14ac:dyDescent="0.2">
      <c r="A124" s="33"/>
      <c r="B124" s="62">
        <v>35581</v>
      </c>
      <c r="C124" s="64">
        <v>3563.39</v>
      </c>
      <c r="D124" s="64">
        <v>14</v>
      </c>
      <c r="E124" s="64">
        <v>67084.039999999994</v>
      </c>
      <c r="F124" s="64">
        <v>25.7</v>
      </c>
      <c r="G124" s="34"/>
      <c r="H124" s="33"/>
      <c r="I124" s="62">
        <v>34365</v>
      </c>
      <c r="J124" s="64">
        <v>21.1</v>
      </c>
      <c r="K124" s="64">
        <v>0</v>
      </c>
      <c r="L124" s="64">
        <v>0</v>
      </c>
      <c r="M124" s="64">
        <v>0</v>
      </c>
      <c r="N124" s="34"/>
      <c r="O124" s="35"/>
    </row>
    <row r="125" spans="1:15" s="36" customFormat="1" ht="12" x14ac:dyDescent="0.2">
      <c r="A125" s="33"/>
      <c r="B125" s="63">
        <v>35611</v>
      </c>
      <c r="C125" s="65">
        <v>5291.42</v>
      </c>
      <c r="D125" s="65">
        <v>13.8</v>
      </c>
      <c r="E125" s="65">
        <v>68154.77</v>
      </c>
      <c r="F125" s="65">
        <v>25.3</v>
      </c>
      <c r="G125" s="34"/>
      <c r="H125" s="33"/>
      <c r="I125" s="63">
        <v>34393</v>
      </c>
      <c r="J125" s="65">
        <v>23.2</v>
      </c>
      <c r="K125" s="65">
        <v>0</v>
      </c>
      <c r="L125" s="65">
        <v>0</v>
      </c>
      <c r="M125" s="65">
        <v>0</v>
      </c>
      <c r="N125" s="34"/>
      <c r="O125" s="35"/>
    </row>
    <row r="126" spans="1:15" s="36" customFormat="1" ht="12" x14ac:dyDescent="0.2">
      <c r="A126" s="33"/>
      <c r="B126" s="62">
        <v>35642</v>
      </c>
      <c r="C126" s="64">
        <v>6391.95</v>
      </c>
      <c r="D126" s="64">
        <v>10.5</v>
      </c>
      <c r="E126" s="64">
        <v>68713.600000000006</v>
      </c>
      <c r="F126" s="64">
        <v>24.5</v>
      </c>
      <c r="G126" s="34"/>
      <c r="H126" s="33"/>
      <c r="I126" s="62">
        <v>34424</v>
      </c>
      <c r="J126" s="64">
        <v>22.4</v>
      </c>
      <c r="K126" s="64">
        <v>0</v>
      </c>
      <c r="L126" s="64">
        <v>0</v>
      </c>
      <c r="M126" s="64">
        <v>0</v>
      </c>
      <c r="N126" s="34"/>
      <c r="O126" s="35"/>
    </row>
    <row r="127" spans="1:15" s="36" customFormat="1" ht="12" x14ac:dyDescent="0.2">
      <c r="A127" s="33"/>
      <c r="B127" s="63">
        <v>35673</v>
      </c>
      <c r="C127" s="65">
        <v>7644.6</v>
      </c>
      <c r="D127" s="65">
        <v>10.8</v>
      </c>
      <c r="E127" s="65">
        <v>69518.02</v>
      </c>
      <c r="F127" s="65">
        <v>24</v>
      </c>
      <c r="G127" s="34"/>
      <c r="H127" s="33"/>
      <c r="I127" s="63">
        <v>34454</v>
      </c>
      <c r="J127" s="65">
        <v>21.7</v>
      </c>
      <c r="K127" s="65">
        <v>0</v>
      </c>
      <c r="L127" s="65">
        <v>0</v>
      </c>
      <c r="M127" s="65">
        <v>0</v>
      </c>
      <c r="N127" s="34"/>
      <c r="O127" s="35"/>
    </row>
    <row r="128" spans="1:15" s="36" customFormat="1" ht="12" x14ac:dyDescent="0.2">
      <c r="A128" s="33"/>
      <c r="B128" s="62">
        <v>35703</v>
      </c>
      <c r="C128" s="64">
        <v>9081.56</v>
      </c>
      <c r="D128" s="64">
        <v>11.2</v>
      </c>
      <c r="E128" s="64">
        <v>70564.45</v>
      </c>
      <c r="F128" s="64">
        <v>23.9</v>
      </c>
      <c r="G128" s="34"/>
      <c r="H128" s="33"/>
      <c r="I128" s="62">
        <v>34485</v>
      </c>
      <c r="J128" s="64">
        <v>21.3</v>
      </c>
      <c r="K128" s="64">
        <v>0</v>
      </c>
      <c r="L128" s="64">
        <v>0</v>
      </c>
      <c r="M128" s="64">
        <v>0</v>
      </c>
      <c r="N128" s="34"/>
      <c r="O128" s="35"/>
    </row>
    <row r="129" spans="1:15" s="36" customFormat="1" ht="12" x14ac:dyDescent="0.2">
      <c r="A129" s="33"/>
      <c r="B129" s="63">
        <v>35734</v>
      </c>
      <c r="C129" s="65">
        <v>10612.5</v>
      </c>
      <c r="D129" s="65">
        <v>12.1</v>
      </c>
      <c r="E129" s="65">
        <v>71353.52</v>
      </c>
      <c r="F129" s="65">
        <v>23.1</v>
      </c>
      <c r="G129" s="34"/>
      <c r="H129" s="33"/>
      <c r="I129" s="63">
        <v>34515</v>
      </c>
      <c r="J129" s="65">
        <v>22.6</v>
      </c>
      <c r="K129" s="65">
        <v>0</v>
      </c>
      <c r="L129" s="65">
        <v>0</v>
      </c>
      <c r="M129" s="65">
        <v>0</v>
      </c>
      <c r="N129" s="34"/>
      <c r="O129" s="35"/>
    </row>
    <row r="130" spans="1:15" s="36" customFormat="1" ht="12" x14ac:dyDescent="0.2">
      <c r="A130" s="33"/>
      <c r="B130" s="62">
        <v>35764</v>
      </c>
      <c r="C130" s="64">
        <v>12200.76</v>
      </c>
      <c r="D130" s="64">
        <v>12.3</v>
      </c>
      <c r="E130" s="64">
        <v>72221.8</v>
      </c>
      <c r="F130" s="64">
        <v>22.9</v>
      </c>
      <c r="G130" s="34"/>
      <c r="H130" s="33"/>
      <c r="I130" s="62">
        <v>34546</v>
      </c>
      <c r="J130" s="64">
        <v>24</v>
      </c>
      <c r="K130" s="64">
        <v>0</v>
      </c>
      <c r="L130" s="64">
        <v>0</v>
      </c>
      <c r="M130" s="64">
        <v>0</v>
      </c>
      <c r="N130" s="34"/>
      <c r="O130" s="35"/>
    </row>
    <row r="131" spans="1:15" s="36" customFormat="1" ht="12" x14ac:dyDescent="0.2">
      <c r="A131" s="33"/>
      <c r="B131" s="63">
        <v>35795</v>
      </c>
      <c r="C131" s="65">
        <v>19194.2</v>
      </c>
      <c r="D131" s="65">
        <v>9.3000000000000007</v>
      </c>
      <c r="E131" s="65">
        <v>74914.100000000006</v>
      </c>
      <c r="F131" s="65">
        <v>22.5</v>
      </c>
      <c r="G131" s="34"/>
      <c r="H131" s="33"/>
      <c r="I131" s="63">
        <v>34577</v>
      </c>
      <c r="J131" s="65">
        <v>25.8</v>
      </c>
      <c r="K131" s="65">
        <v>0</v>
      </c>
      <c r="L131" s="65">
        <v>0</v>
      </c>
      <c r="M131" s="65">
        <v>0</v>
      </c>
      <c r="N131" s="34"/>
      <c r="O131" s="35"/>
    </row>
    <row r="132" spans="1:15" s="36" customFormat="1" ht="12" x14ac:dyDescent="0.2">
      <c r="A132" s="33"/>
      <c r="B132" s="62">
        <v>35826</v>
      </c>
      <c r="C132" s="64">
        <v>0</v>
      </c>
      <c r="D132" s="64">
        <v>0</v>
      </c>
      <c r="E132" s="64">
        <v>74837.52</v>
      </c>
      <c r="F132" s="64">
        <v>16.100000000000001</v>
      </c>
      <c r="G132" s="34"/>
      <c r="H132" s="33"/>
      <c r="I132" s="62">
        <v>34607</v>
      </c>
      <c r="J132" s="64">
        <v>27.3</v>
      </c>
      <c r="K132" s="64">
        <v>0</v>
      </c>
      <c r="L132" s="64">
        <v>0</v>
      </c>
      <c r="M132" s="64">
        <v>0</v>
      </c>
      <c r="N132" s="34"/>
      <c r="O132" s="35"/>
    </row>
    <row r="133" spans="1:15" s="36" customFormat="1" ht="12" x14ac:dyDescent="0.2">
      <c r="A133" s="33"/>
      <c r="B133" s="63">
        <v>35854</v>
      </c>
      <c r="C133" s="65">
        <v>653.75</v>
      </c>
      <c r="D133" s="65">
        <v>10.199999999999999</v>
      </c>
      <c r="E133" s="65">
        <v>75030.94</v>
      </c>
      <c r="F133" s="65">
        <v>15.4</v>
      </c>
      <c r="G133" s="34"/>
      <c r="H133" s="33"/>
      <c r="I133" s="63">
        <v>34638</v>
      </c>
      <c r="J133" s="65">
        <v>27.7</v>
      </c>
      <c r="K133" s="65">
        <v>0</v>
      </c>
      <c r="L133" s="65">
        <v>0</v>
      </c>
      <c r="M133" s="65">
        <v>0</v>
      </c>
      <c r="N133" s="34"/>
      <c r="O133" s="35"/>
    </row>
    <row r="134" spans="1:15" s="36" customFormat="1" ht="12" x14ac:dyDescent="0.2">
      <c r="A134" s="33"/>
      <c r="B134" s="62">
        <v>35885</v>
      </c>
      <c r="C134" s="64">
        <v>1618.16</v>
      </c>
      <c r="D134" s="64">
        <v>10.3</v>
      </c>
      <c r="E134" s="64">
        <v>75928.91</v>
      </c>
      <c r="F134" s="64">
        <v>15.1</v>
      </c>
      <c r="G134" s="34"/>
      <c r="H134" s="33"/>
      <c r="I134" s="62">
        <v>34668</v>
      </c>
      <c r="J134" s="64">
        <v>27.5</v>
      </c>
      <c r="K134" s="64">
        <v>0</v>
      </c>
      <c r="L134" s="64">
        <v>0</v>
      </c>
      <c r="M134" s="64">
        <v>0</v>
      </c>
      <c r="N134" s="34"/>
      <c r="O134" s="35"/>
    </row>
    <row r="135" spans="1:15" s="36" customFormat="1" ht="12" x14ac:dyDescent="0.2">
      <c r="A135" s="33"/>
      <c r="B135" s="63">
        <v>35915</v>
      </c>
      <c r="C135" s="65">
        <v>2713.38</v>
      </c>
      <c r="D135" s="65">
        <v>12.2</v>
      </c>
      <c r="E135" s="65">
        <v>76570.649999999994</v>
      </c>
      <c r="F135" s="65">
        <v>15.2</v>
      </c>
      <c r="G135" s="34"/>
      <c r="H135" s="33"/>
      <c r="I135" s="63">
        <v>34699</v>
      </c>
      <c r="J135" s="65">
        <v>25.5</v>
      </c>
      <c r="K135" s="65">
        <v>0</v>
      </c>
      <c r="L135" s="65">
        <v>0</v>
      </c>
      <c r="M135" s="65">
        <v>0</v>
      </c>
      <c r="N135" s="34"/>
      <c r="O135" s="35"/>
    </row>
    <row r="136" spans="1:15" s="36" customFormat="1" ht="12" x14ac:dyDescent="0.2">
      <c r="A136" s="33"/>
      <c r="B136" s="62">
        <v>35946</v>
      </c>
      <c r="C136" s="64">
        <v>4005.7</v>
      </c>
      <c r="D136" s="64">
        <v>12.7</v>
      </c>
      <c r="E136" s="64">
        <v>77313.97</v>
      </c>
      <c r="F136" s="64">
        <v>15.2</v>
      </c>
      <c r="G136" s="34"/>
      <c r="H136" s="33"/>
      <c r="I136" s="62">
        <v>34730</v>
      </c>
      <c r="J136" s="64">
        <v>24.1</v>
      </c>
      <c r="K136" s="64">
        <v>88.3</v>
      </c>
      <c r="L136" s="64">
        <v>13.7</v>
      </c>
      <c r="M136" s="64">
        <v>0</v>
      </c>
      <c r="N136" s="34"/>
      <c r="O136" s="35"/>
    </row>
    <row r="137" spans="1:15" s="36" customFormat="1" ht="12" x14ac:dyDescent="0.2">
      <c r="A137" s="33"/>
      <c r="B137" s="63">
        <v>35976</v>
      </c>
      <c r="C137" s="65">
        <v>5827.86</v>
      </c>
      <c r="D137" s="65">
        <v>13.8</v>
      </c>
      <c r="E137" s="65">
        <v>78805.94</v>
      </c>
      <c r="F137" s="65">
        <v>15.6</v>
      </c>
      <c r="G137" s="34"/>
      <c r="H137" s="33"/>
      <c r="I137" s="63">
        <v>34758</v>
      </c>
      <c r="J137" s="65">
        <v>22.4</v>
      </c>
      <c r="K137" s="65">
        <v>55.3</v>
      </c>
      <c r="L137" s="65">
        <v>19.600000000000001</v>
      </c>
      <c r="M137" s="65">
        <v>0</v>
      </c>
      <c r="N137" s="34"/>
      <c r="O137" s="35"/>
    </row>
    <row r="138" spans="1:15" s="36" customFormat="1" ht="12" x14ac:dyDescent="0.2">
      <c r="A138" s="33"/>
      <c r="B138" s="62">
        <v>36007</v>
      </c>
      <c r="C138" s="64">
        <v>7361.84</v>
      </c>
      <c r="D138" s="64">
        <v>15.6</v>
      </c>
      <c r="E138" s="64">
        <v>79562.39</v>
      </c>
      <c r="F138" s="64">
        <v>15.8</v>
      </c>
      <c r="G138" s="34"/>
      <c r="H138" s="33"/>
      <c r="I138" s="62">
        <v>34789</v>
      </c>
      <c r="J138" s="64">
        <v>21.3</v>
      </c>
      <c r="K138" s="64">
        <v>51.7</v>
      </c>
      <c r="L138" s="64">
        <v>17.399999999999999</v>
      </c>
      <c r="M138" s="64">
        <v>0</v>
      </c>
      <c r="N138" s="34"/>
      <c r="O138" s="35"/>
    </row>
    <row r="139" spans="1:15" s="36" customFormat="1" ht="12" x14ac:dyDescent="0.2">
      <c r="A139" s="33"/>
      <c r="B139" s="63">
        <v>36038</v>
      </c>
      <c r="C139" s="65">
        <v>8943.08</v>
      </c>
      <c r="D139" s="65">
        <v>17.399999999999999</v>
      </c>
      <c r="E139" s="65">
        <v>80885</v>
      </c>
      <c r="F139" s="65">
        <v>16.399999999999999</v>
      </c>
      <c r="G139" s="34"/>
      <c r="H139" s="33"/>
      <c r="I139" s="63">
        <v>34819</v>
      </c>
      <c r="J139" s="65">
        <v>20.7</v>
      </c>
      <c r="K139" s="65">
        <v>34.1</v>
      </c>
      <c r="L139" s="65">
        <v>9.1</v>
      </c>
      <c r="M139" s="65">
        <v>0</v>
      </c>
      <c r="N139" s="34"/>
      <c r="O139" s="35"/>
    </row>
    <row r="140" spans="1:15" s="36" customFormat="1" ht="12" x14ac:dyDescent="0.2">
      <c r="A140" s="33"/>
      <c r="B140" s="62">
        <v>36068</v>
      </c>
      <c r="C140" s="64">
        <v>10863.61</v>
      </c>
      <c r="D140" s="64">
        <v>20</v>
      </c>
      <c r="E140" s="64">
        <v>82644.94</v>
      </c>
      <c r="F140" s="64">
        <v>17.100000000000001</v>
      </c>
      <c r="G140" s="34"/>
      <c r="H140" s="33"/>
      <c r="I140" s="62">
        <v>34850</v>
      </c>
      <c r="J140" s="64">
        <v>20.3</v>
      </c>
      <c r="K140" s="64">
        <v>35.799999999999997</v>
      </c>
      <c r="L140" s="64">
        <v>21.7</v>
      </c>
      <c r="M140" s="64">
        <v>0</v>
      </c>
      <c r="N140" s="34"/>
      <c r="O140" s="35"/>
    </row>
    <row r="141" spans="1:15" s="36" customFormat="1" ht="12" x14ac:dyDescent="0.2">
      <c r="A141" s="33"/>
      <c r="B141" s="63">
        <v>36099</v>
      </c>
      <c r="C141" s="65">
        <v>12815.42</v>
      </c>
      <c r="D141" s="65">
        <v>21.2</v>
      </c>
      <c r="E141" s="65">
        <v>83409.039999999994</v>
      </c>
      <c r="F141" s="65">
        <v>16.899999999999999</v>
      </c>
      <c r="G141" s="34"/>
      <c r="H141" s="33"/>
      <c r="I141" s="63">
        <v>34880</v>
      </c>
      <c r="J141" s="65">
        <v>18.2</v>
      </c>
      <c r="K141" s="65">
        <v>28.7</v>
      </c>
      <c r="L141" s="65">
        <v>11.1</v>
      </c>
      <c r="M141" s="65">
        <v>0</v>
      </c>
      <c r="N141" s="34"/>
      <c r="O141" s="35"/>
    </row>
    <row r="142" spans="1:15" s="36" customFormat="1" ht="12" x14ac:dyDescent="0.2">
      <c r="A142" s="33"/>
      <c r="B142" s="62">
        <v>36129</v>
      </c>
      <c r="C142" s="64">
        <v>15035.1</v>
      </c>
      <c r="D142" s="64">
        <v>22.3</v>
      </c>
      <c r="E142" s="64">
        <v>84596.88</v>
      </c>
      <c r="F142" s="64">
        <v>17.100000000000001</v>
      </c>
      <c r="G142" s="34"/>
      <c r="H142" s="33"/>
      <c r="I142" s="62">
        <v>34911</v>
      </c>
      <c r="J142" s="64">
        <v>16.7</v>
      </c>
      <c r="K142" s="64">
        <v>18.600000000000001</v>
      </c>
      <c r="L142" s="64">
        <v>15.6</v>
      </c>
      <c r="M142" s="64">
        <v>0</v>
      </c>
      <c r="N142" s="34"/>
      <c r="O142" s="35"/>
    </row>
    <row r="143" spans="1:15" s="36" customFormat="1" ht="12" x14ac:dyDescent="0.2">
      <c r="A143" s="33"/>
      <c r="B143" s="63">
        <v>36160</v>
      </c>
      <c r="C143" s="65">
        <v>21102.32</v>
      </c>
      <c r="D143" s="65">
        <v>19.5</v>
      </c>
      <c r="E143" s="65">
        <v>86524.1</v>
      </c>
      <c r="F143" s="65">
        <v>15.5</v>
      </c>
      <c r="G143" s="34"/>
      <c r="H143" s="33"/>
      <c r="I143" s="63">
        <v>34942</v>
      </c>
      <c r="J143" s="65">
        <v>14.5</v>
      </c>
      <c r="K143" s="65">
        <v>22.7</v>
      </c>
      <c r="L143" s="65">
        <v>15.4</v>
      </c>
      <c r="M143" s="65">
        <v>439.42857099999998</v>
      </c>
      <c r="N143" s="34"/>
      <c r="O143" s="35"/>
    </row>
    <row r="144" spans="1:15" s="36" customFormat="1" ht="12" x14ac:dyDescent="0.2">
      <c r="A144" s="33"/>
      <c r="B144" s="62">
        <v>36191</v>
      </c>
      <c r="C144" s="64">
        <v>0</v>
      </c>
      <c r="D144" s="64">
        <v>0</v>
      </c>
      <c r="E144" s="64">
        <v>86532.97</v>
      </c>
      <c r="F144" s="64">
        <v>15.6</v>
      </c>
      <c r="G144" s="34"/>
      <c r="H144" s="33"/>
      <c r="I144" s="62">
        <v>34972</v>
      </c>
      <c r="J144" s="64">
        <v>13.2</v>
      </c>
      <c r="K144" s="64">
        <v>18.8</v>
      </c>
      <c r="L144" s="64">
        <v>22.6</v>
      </c>
      <c r="M144" s="64">
        <v>-11.145996999999999</v>
      </c>
      <c r="N144" s="34"/>
      <c r="O144" s="35"/>
    </row>
    <row r="145" spans="1:15" s="36" customFormat="1" ht="12" x14ac:dyDescent="0.2">
      <c r="A145" s="33"/>
      <c r="B145" s="63">
        <v>36219</v>
      </c>
      <c r="C145" s="65">
        <v>845.19</v>
      </c>
      <c r="D145" s="65">
        <v>28.3</v>
      </c>
      <c r="E145" s="65">
        <v>87057.21</v>
      </c>
      <c r="F145" s="65">
        <v>16</v>
      </c>
      <c r="G145" s="34"/>
      <c r="H145" s="33"/>
      <c r="I145" s="63">
        <v>35003</v>
      </c>
      <c r="J145" s="65">
        <v>12.1</v>
      </c>
      <c r="K145" s="65">
        <v>18.3</v>
      </c>
      <c r="L145" s="65">
        <v>16.600000000000001</v>
      </c>
      <c r="M145" s="65">
        <v>32.077294999999999</v>
      </c>
      <c r="N145" s="34"/>
      <c r="O145" s="35"/>
    </row>
    <row r="146" spans="1:15" s="36" customFormat="1" ht="12" x14ac:dyDescent="0.2">
      <c r="A146" s="33"/>
      <c r="B146" s="62">
        <v>36250</v>
      </c>
      <c r="C146" s="64">
        <v>2022.83</v>
      </c>
      <c r="D146" s="64">
        <v>22.7</v>
      </c>
      <c r="E146" s="64">
        <v>87525.58</v>
      </c>
      <c r="F146" s="64">
        <v>15.7</v>
      </c>
      <c r="G146" s="34"/>
      <c r="H146" s="33"/>
      <c r="I146" s="62">
        <v>35033</v>
      </c>
      <c r="J146" s="64">
        <v>11.2</v>
      </c>
      <c r="K146" s="64">
        <v>-3.8</v>
      </c>
      <c r="L146" s="64">
        <v>16.8</v>
      </c>
      <c r="M146" s="64">
        <v>-94.045455000000004</v>
      </c>
      <c r="N146" s="34"/>
      <c r="O146" s="35"/>
    </row>
    <row r="147" spans="1:15" s="36" customFormat="1" ht="12" x14ac:dyDescent="0.2">
      <c r="A147" s="33"/>
      <c r="B147" s="63">
        <v>36280</v>
      </c>
      <c r="C147" s="65">
        <v>3269.99</v>
      </c>
      <c r="D147" s="65">
        <v>18.100000000000001</v>
      </c>
      <c r="E147" s="65">
        <v>88399.85</v>
      </c>
      <c r="F147" s="65">
        <v>15.5</v>
      </c>
      <c r="G147" s="34"/>
      <c r="H147" s="33"/>
      <c r="I147" s="63">
        <v>35064</v>
      </c>
      <c r="J147" s="65">
        <v>10.1</v>
      </c>
      <c r="K147" s="65">
        <v>-6.8</v>
      </c>
      <c r="L147" s="65">
        <v>3.1</v>
      </c>
      <c r="M147" s="65">
        <v>-317.137809</v>
      </c>
      <c r="N147" s="34"/>
      <c r="O147" s="35"/>
    </row>
    <row r="148" spans="1:15" s="36" customFormat="1" ht="12" x14ac:dyDescent="0.2">
      <c r="A148" s="33"/>
      <c r="B148" s="62">
        <v>36311</v>
      </c>
      <c r="C148" s="64">
        <v>4750.25</v>
      </c>
      <c r="D148" s="64">
        <v>17.600000000000001</v>
      </c>
      <c r="E148" s="64">
        <v>89021.35</v>
      </c>
      <c r="F148" s="64">
        <v>15.1</v>
      </c>
      <c r="G148" s="34"/>
      <c r="H148" s="33"/>
      <c r="I148" s="62">
        <v>35095</v>
      </c>
      <c r="J148" s="64">
        <v>9</v>
      </c>
      <c r="K148" s="64">
        <v>-0.1</v>
      </c>
      <c r="L148" s="64">
        <v>55.7</v>
      </c>
      <c r="M148" s="64">
        <v>-135.63731000000001</v>
      </c>
      <c r="N148" s="34"/>
      <c r="O148" s="35"/>
    </row>
    <row r="149" spans="1:15" s="36" customFormat="1" ht="12" x14ac:dyDescent="0.2">
      <c r="A149" s="33"/>
      <c r="B149" s="63">
        <v>36341</v>
      </c>
      <c r="C149" s="65">
        <v>6686.57</v>
      </c>
      <c r="D149" s="65">
        <v>15.1</v>
      </c>
      <c r="E149" s="65">
        <v>90620.29</v>
      </c>
      <c r="F149" s="65">
        <v>15</v>
      </c>
      <c r="G149" s="34"/>
      <c r="H149" s="33"/>
      <c r="I149" s="63">
        <v>35124</v>
      </c>
      <c r="J149" s="65">
        <v>9.3000000000000007</v>
      </c>
      <c r="K149" s="65">
        <v>-2.6</v>
      </c>
      <c r="L149" s="65">
        <v>14.2</v>
      </c>
      <c r="M149" s="65">
        <v>-70.807452999999995</v>
      </c>
      <c r="N149" s="34"/>
      <c r="O149" s="35"/>
    </row>
    <row r="150" spans="1:15" s="36" customFormat="1" ht="12" x14ac:dyDescent="0.2">
      <c r="A150" s="33"/>
      <c r="B150" s="62">
        <v>36372</v>
      </c>
      <c r="C150" s="64">
        <v>8297.64</v>
      </c>
      <c r="D150" s="64">
        <v>12.7</v>
      </c>
      <c r="E150" s="64">
        <v>91157.63</v>
      </c>
      <c r="F150" s="64">
        <v>14.6</v>
      </c>
      <c r="G150" s="34"/>
      <c r="H150" s="33"/>
      <c r="I150" s="62">
        <v>35155</v>
      </c>
      <c r="J150" s="64">
        <v>9.8000000000000007</v>
      </c>
      <c r="K150" s="64">
        <v>-19.2</v>
      </c>
      <c r="L150" s="64">
        <v>8.69</v>
      </c>
      <c r="M150" s="64">
        <v>-127.687049</v>
      </c>
      <c r="N150" s="34"/>
      <c r="O150" s="35"/>
    </row>
    <row r="151" spans="1:15" s="36" customFormat="1" ht="12" x14ac:dyDescent="0.2">
      <c r="A151" s="33"/>
      <c r="B151" s="63">
        <v>36403</v>
      </c>
      <c r="C151" s="65">
        <v>9908.15</v>
      </c>
      <c r="D151" s="65">
        <v>10.4</v>
      </c>
      <c r="E151" s="65">
        <v>92101.23</v>
      </c>
      <c r="F151" s="65">
        <v>13.9</v>
      </c>
      <c r="G151" s="34"/>
      <c r="H151" s="33"/>
      <c r="I151" s="63">
        <v>35185</v>
      </c>
      <c r="J151" s="65">
        <v>9.6999999999999993</v>
      </c>
      <c r="K151" s="65">
        <v>-5</v>
      </c>
      <c r="L151" s="65">
        <v>6.4</v>
      </c>
      <c r="M151" s="65">
        <v>-73.488371999999998</v>
      </c>
      <c r="N151" s="34"/>
      <c r="O151" s="35"/>
    </row>
    <row r="152" spans="1:15" s="36" customFormat="1" ht="12" x14ac:dyDescent="0.2">
      <c r="A152" s="33"/>
      <c r="B152" s="62">
        <v>36433</v>
      </c>
      <c r="C152" s="64">
        <v>11764.17</v>
      </c>
      <c r="D152" s="64">
        <v>8.1</v>
      </c>
      <c r="E152" s="64">
        <v>93390.41</v>
      </c>
      <c r="F152" s="64">
        <v>13</v>
      </c>
      <c r="G152" s="34"/>
      <c r="H152" s="33"/>
      <c r="I152" s="62">
        <v>35216</v>
      </c>
      <c r="J152" s="64">
        <v>8.9</v>
      </c>
      <c r="K152" s="64">
        <v>-5.0999999999999996</v>
      </c>
      <c r="L152" s="64">
        <v>4.46</v>
      </c>
      <c r="M152" s="64">
        <v>-88.772454999999994</v>
      </c>
      <c r="N152" s="34"/>
      <c r="O152" s="35"/>
    </row>
    <row r="153" spans="1:15" s="36" customFormat="1" ht="12" x14ac:dyDescent="0.2">
      <c r="A153" s="33"/>
      <c r="B153" s="63">
        <v>36464</v>
      </c>
      <c r="C153" s="65">
        <v>13746.8</v>
      </c>
      <c r="D153" s="65">
        <v>7</v>
      </c>
      <c r="E153" s="65">
        <v>93866.35</v>
      </c>
      <c r="F153" s="65">
        <v>12.5</v>
      </c>
      <c r="G153" s="34"/>
      <c r="H153" s="33"/>
      <c r="I153" s="63">
        <v>35246</v>
      </c>
      <c r="J153" s="65">
        <v>8.6</v>
      </c>
      <c r="K153" s="65">
        <v>-12.59</v>
      </c>
      <c r="L153" s="65">
        <v>-0.44</v>
      </c>
      <c r="M153" s="65">
        <v>-55.844155999999998</v>
      </c>
      <c r="N153" s="34"/>
      <c r="O153" s="35"/>
    </row>
    <row r="154" spans="1:15" s="36" customFormat="1" ht="12" x14ac:dyDescent="0.2">
      <c r="A154" s="33"/>
      <c r="B154" s="62">
        <v>36494</v>
      </c>
      <c r="C154" s="64">
        <v>16108.32</v>
      </c>
      <c r="D154" s="64">
        <v>6.8</v>
      </c>
      <c r="E154" s="64">
        <v>94929.68</v>
      </c>
      <c r="F154" s="64">
        <v>12.3</v>
      </c>
      <c r="G154" s="34"/>
      <c r="H154" s="33"/>
      <c r="I154" s="62">
        <v>35277</v>
      </c>
      <c r="J154" s="64">
        <v>8.3000000000000007</v>
      </c>
      <c r="K154" s="64">
        <v>1.2</v>
      </c>
      <c r="L154" s="64">
        <v>1.6</v>
      </c>
      <c r="M154" s="64">
        <v>-1.0507880000000001</v>
      </c>
      <c r="N154" s="34"/>
      <c r="O154" s="35"/>
    </row>
    <row r="155" spans="1:15" s="36" customFormat="1" ht="12" x14ac:dyDescent="0.2">
      <c r="A155" s="33"/>
      <c r="B155" s="63">
        <v>36525</v>
      </c>
      <c r="C155" s="65">
        <v>22419.040000000001</v>
      </c>
      <c r="D155" s="65">
        <v>6.3</v>
      </c>
      <c r="E155" s="65">
        <v>93734.3</v>
      </c>
      <c r="F155" s="65">
        <v>12.5</v>
      </c>
      <c r="G155" s="34"/>
      <c r="H155" s="33"/>
      <c r="I155" s="63">
        <v>35308</v>
      </c>
      <c r="J155" s="65">
        <v>8.1</v>
      </c>
      <c r="K155" s="65">
        <v>12.75</v>
      </c>
      <c r="L155" s="65">
        <v>-3.8</v>
      </c>
      <c r="M155" s="65">
        <v>216.73728800000001</v>
      </c>
      <c r="N155" s="34"/>
      <c r="O155" s="35"/>
    </row>
    <row r="156" spans="1:15" s="36" customFormat="1" ht="12" x14ac:dyDescent="0.2">
      <c r="A156" s="33"/>
      <c r="B156" s="62">
        <v>36556</v>
      </c>
      <c r="C156" s="64">
        <v>0</v>
      </c>
      <c r="D156" s="64">
        <v>0</v>
      </c>
      <c r="E156" s="64">
        <v>93838.2</v>
      </c>
      <c r="F156" s="64">
        <v>12.8</v>
      </c>
      <c r="G156" s="34"/>
      <c r="H156" s="33"/>
      <c r="I156" s="62">
        <v>35338</v>
      </c>
      <c r="J156" s="64">
        <v>7.4</v>
      </c>
      <c r="K156" s="64">
        <v>7.96</v>
      </c>
      <c r="L156" s="64">
        <v>-8.8000000000000007</v>
      </c>
      <c r="M156" s="64">
        <v>176.501767</v>
      </c>
      <c r="N156" s="34"/>
      <c r="O156" s="35"/>
    </row>
    <row r="157" spans="1:15" s="36" customFormat="1" ht="12" x14ac:dyDescent="0.2">
      <c r="A157" s="33"/>
      <c r="B157" s="63">
        <v>36585</v>
      </c>
      <c r="C157" s="65">
        <v>954.87</v>
      </c>
      <c r="D157" s="65">
        <v>8.6</v>
      </c>
      <c r="E157" s="65">
        <v>94352.9</v>
      </c>
      <c r="F157" s="65">
        <v>12.7</v>
      </c>
      <c r="G157" s="34"/>
      <c r="H157" s="33"/>
      <c r="I157" s="63">
        <v>35369</v>
      </c>
      <c r="J157" s="65">
        <v>7</v>
      </c>
      <c r="K157" s="65">
        <v>23.3</v>
      </c>
      <c r="L157" s="65">
        <v>3.04</v>
      </c>
      <c r="M157" s="65">
        <v>186.02779799999999</v>
      </c>
      <c r="N157" s="34"/>
      <c r="O157" s="35"/>
    </row>
    <row r="158" spans="1:15" s="36" customFormat="1" ht="12" x14ac:dyDescent="0.2">
      <c r="A158" s="33"/>
      <c r="B158" s="62">
        <v>36616</v>
      </c>
      <c r="C158" s="64">
        <v>2235.36</v>
      </c>
      <c r="D158" s="64">
        <v>8.5</v>
      </c>
      <c r="E158" s="64">
        <v>95776.55</v>
      </c>
      <c r="F158" s="64">
        <v>13.4</v>
      </c>
      <c r="G158" s="34"/>
      <c r="H158" s="33"/>
      <c r="I158" s="62">
        <v>35399</v>
      </c>
      <c r="J158" s="64">
        <v>6.9</v>
      </c>
      <c r="K158" s="64">
        <v>11.8</v>
      </c>
      <c r="L158" s="64">
        <v>-3.53</v>
      </c>
      <c r="M158" s="64">
        <v>1425.9541979999999</v>
      </c>
      <c r="N158" s="34"/>
      <c r="O158" s="35"/>
    </row>
    <row r="159" spans="1:15" s="36" customFormat="1" ht="12" x14ac:dyDescent="0.2">
      <c r="A159" s="33"/>
      <c r="B159" s="63">
        <v>36646</v>
      </c>
      <c r="C159" s="65">
        <v>3611.19</v>
      </c>
      <c r="D159" s="65">
        <v>9.3000000000000007</v>
      </c>
      <c r="E159" s="65">
        <v>96604.65</v>
      </c>
      <c r="F159" s="65">
        <v>13.8</v>
      </c>
      <c r="G159" s="34"/>
      <c r="H159" s="33"/>
      <c r="I159" s="63">
        <v>35430</v>
      </c>
      <c r="J159" s="65">
        <v>7</v>
      </c>
      <c r="K159" s="65">
        <v>6.2</v>
      </c>
      <c r="L159" s="65">
        <v>8.3000000000000007</v>
      </c>
      <c r="M159" s="65">
        <v>-38.486573999999997</v>
      </c>
      <c r="N159" s="34"/>
      <c r="O159" s="35"/>
    </row>
    <row r="160" spans="1:15" s="36" customFormat="1" ht="12" x14ac:dyDescent="0.2">
      <c r="A160" s="33"/>
      <c r="B160" s="62">
        <v>36677</v>
      </c>
      <c r="C160" s="64">
        <v>5232.62</v>
      </c>
      <c r="D160" s="64">
        <v>9.5</v>
      </c>
      <c r="E160" s="64">
        <v>96174.88</v>
      </c>
      <c r="F160" s="64">
        <v>13.9</v>
      </c>
      <c r="G160" s="34"/>
      <c r="H160" s="33"/>
      <c r="I160" s="62">
        <v>35461</v>
      </c>
      <c r="J160" s="64">
        <v>5.9</v>
      </c>
      <c r="K160" s="64">
        <v>27.6</v>
      </c>
      <c r="L160" s="64">
        <v>-1.5</v>
      </c>
      <c r="M160" s="64">
        <v>278.83211699999998</v>
      </c>
      <c r="N160" s="34"/>
      <c r="O160" s="35"/>
    </row>
    <row r="161" spans="1:15" s="36" customFormat="1" ht="12" x14ac:dyDescent="0.2">
      <c r="A161" s="33"/>
      <c r="B161" s="63">
        <v>36707</v>
      </c>
      <c r="C161" s="65">
        <v>7537.61</v>
      </c>
      <c r="D161" s="65">
        <v>12.1</v>
      </c>
      <c r="E161" s="65">
        <v>94847.87</v>
      </c>
      <c r="F161" s="65">
        <v>13.8</v>
      </c>
      <c r="G161" s="34"/>
      <c r="H161" s="33"/>
      <c r="I161" s="63">
        <v>35489</v>
      </c>
      <c r="J161" s="65">
        <v>5.6</v>
      </c>
      <c r="K161" s="65">
        <v>13.8</v>
      </c>
      <c r="L161" s="65">
        <v>-5.0999999999999996</v>
      </c>
      <c r="M161" s="65">
        <v>310.83172100000002</v>
      </c>
      <c r="N161" s="34"/>
      <c r="O161" s="35"/>
    </row>
    <row r="162" spans="1:15" s="36" customFormat="1" ht="12" x14ac:dyDescent="0.2">
      <c r="A162" s="33"/>
      <c r="B162" s="62">
        <v>36738</v>
      </c>
      <c r="C162" s="64">
        <v>9382.52</v>
      </c>
      <c r="D162" s="64">
        <v>12.6</v>
      </c>
      <c r="E162" s="64">
        <v>94362.51</v>
      </c>
      <c r="F162" s="64">
        <v>14.1</v>
      </c>
      <c r="G162" s="34"/>
      <c r="H162" s="33"/>
      <c r="I162" s="62">
        <v>35520</v>
      </c>
      <c r="J162" s="64">
        <v>4</v>
      </c>
      <c r="K162" s="64">
        <v>35</v>
      </c>
      <c r="L162" s="64">
        <v>-0.3</v>
      </c>
      <c r="M162" s="64">
        <v>504.11522600000001</v>
      </c>
      <c r="N162" s="34"/>
      <c r="O162" s="35"/>
    </row>
    <row r="163" spans="1:15" s="36" customFormat="1" ht="12" x14ac:dyDescent="0.2">
      <c r="A163" s="33"/>
      <c r="B163" s="63">
        <v>36769</v>
      </c>
      <c r="C163" s="65">
        <v>11194.68</v>
      </c>
      <c r="D163" s="65">
        <v>12.7</v>
      </c>
      <c r="E163" s="65">
        <v>94874.36</v>
      </c>
      <c r="F163" s="65">
        <v>14</v>
      </c>
      <c r="G163" s="34"/>
      <c r="H163" s="33"/>
      <c r="I163" s="63">
        <v>35550</v>
      </c>
      <c r="J163" s="65">
        <v>3.2</v>
      </c>
      <c r="K163" s="65">
        <v>30</v>
      </c>
      <c r="L163" s="65">
        <v>2.7</v>
      </c>
      <c r="M163" s="65">
        <v>684.42982500000005</v>
      </c>
      <c r="N163" s="34"/>
      <c r="O163" s="35"/>
    </row>
    <row r="164" spans="1:15" s="36" customFormat="1" ht="12" x14ac:dyDescent="0.2">
      <c r="A164" s="33"/>
      <c r="B164" s="62">
        <v>36799</v>
      </c>
      <c r="C164" s="64">
        <v>13470.48</v>
      </c>
      <c r="D164" s="64">
        <v>12.9</v>
      </c>
      <c r="E164" s="64">
        <v>95995.51</v>
      </c>
      <c r="F164" s="64">
        <v>14.1</v>
      </c>
      <c r="G164" s="34"/>
      <c r="H164" s="33"/>
      <c r="I164" s="62">
        <v>35581</v>
      </c>
      <c r="J164" s="64">
        <v>2.8</v>
      </c>
      <c r="K164" s="64">
        <v>24.9</v>
      </c>
      <c r="L164" s="64">
        <v>-3.8</v>
      </c>
      <c r="M164" s="64">
        <v>2322.666667</v>
      </c>
      <c r="N164" s="34"/>
      <c r="O164" s="35"/>
    </row>
    <row r="165" spans="1:15" s="36" customFormat="1" ht="12" x14ac:dyDescent="0.2">
      <c r="A165" s="33"/>
      <c r="B165" s="63">
        <v>36830</v>
      </c>
      <c r="C165" s="65">
        <v>15687.13</v>
      </c>
      <c r="D165" s="65">
        <v>12.6</v>
      </c>
      <c r="E165" s="65">
        <v>96709.81</v>
      </c>
      <c r="F165" s="65">
        <v>14.5</v>
      </c>
      <c r="G165" s="34"/>
      <c r="H165" s="33"/>
      <c r="I165" s="63">
        <v>35611</v>
      </c>
      <c r="J165" s="65">
        <v>2.8</v>
      </c>
      <c r="K165" s="65">
        <v>25.3</v>
      </c>
      <c r="L165" s="65">
        <v>2.8</v>
      </c>
      <c r="M165" s="65">
        <v>205.36764700000001</v>
      </c>
      <c r="N165" s="34"/>
      <c r="O165" s="35"/>
    </row>
    <row r="166" spans="1:15" s="36" customFormat="1" ht="12" x14ac:dyDescent="0.2">
      <c r="A166" s="33"/>
      <c r="B166" s="62">
        <v>36860</v>
      </c>
      <c r="C166" s="64">
        <v>18191.009999999998</v>
      </c>
      <c r="D166" s="64">
        <v>11.7</v>
      </c>
      <c r="E166" s="64">
        <v>98180.28</v>
      </c>
      <c r="F166" s="64">
        <v>14.7</v>
      </c>
      <c r="G166" s="34"/>
      <c r="H166" s="33"/>
      <c r="I166" s="62">
        <v>35642</v>
      </c>
      <c r="J166" s="64">
        <v>2.7</v>
      </c>
      <c r="K166" s="64">
        <v>25.4</v>
      </c>
      <c r="L166" s="64">
        <v>13.5</v>
      </c>
      <c r="M166" s="64">
        <v>144.513274</v>
      </c>
      <c r="N166" s="34"/>
      <c r="O166" s="35"/>
    </row>
    <row r="167" spans="1:15" s="36" customFormat="1" ht="12" x14ac:dyDescent="0.2">
      <c r="A167" s="33"/>
      <c r="B167" s="63">
        <v>36891</v>
      </c>
      <c r="C167" s="65">
        <v>24242.82</v>
      </c>
      <c r="D167" s="65">
        <v>9.6999999999999993</v>
      </c>
      <c r="E167" s="65">
        <v>99371.07</v>
      </c>
      <c r="F167" s="65">
        <v>13.4</v>
      </c>
      <c r="G167" s="34"/>
      <c r="H167" s="33"/>
      <c r="I167" s="63">
        <v>35673</v>
      </c>
      <c r="J167" s="65">
        <v>1.9</v>
      </c>
      <c r="K167" s="65">
        <v>13.4</v>
      </c>
      <c r="L167" s="65">
        <v>-1</v>
      </c>
      <c r="M167" s="65">
        <v>67.224080000000001</v>
      </c>
      <c r="N167" s="34"/>
      <c r="O167" s="35"/>
    </row>
    <row r="168" spans="1:15" s="36" customFormat="1" ht="12" x14ac:dyDescent="0.2">
      <c r="A168" s="33"/>
      <c r="B168" s="62">
        <v>36922</v>
      </c>
      <c r="C168" s="64">
        <v>0</v>
      </c>
      <c r="D168" s="64">
        <v>0</v>
      </c>
      <c r="E168" s="64">
        <v>100687.23</v>
      </c>
      <c r="F168" s="64">
        <v>14.3</v>
      </c>
      <c r="G168" s="34"/>
      <c r="H168" s="33"/>
      <c r="I168" s="62">
        <v>35703</v>
      </c>
      <c r="J168" s="64">
        <v>1.8</v>
      </c>
      <c r="K168" s="64">
        <v>23.4</v>
      </c>
      <c r="L168" s="64">
        <v>11.6</v>
      </c>
      <c r="M168" s="64">
        <v>62.396166000000001</v>
      </c>
      <c r="N168" s="34"/>
      <c r="O168" s="35"/>
    </row>
    <row r="169" spans="1:15" s="36" customFormat="1" ht="12" x14ac:dyDescent="0.2">
      <c r="A169" s="33"/>
      <c r="B169" s="63">
        <v>36950</v>
      </c>
      <c r="C169" s="65">
        <v>1130.73</v>
      </c>
      <c r="D169" s="65">
        <v>16.7</v>
      </c>
      <c r="E169" s="65">
        <v>101425.74</v>
      </c>
      <c r="F169" s="65">
        <v>14.5</v>
      </c>
      <c r="G169" s="34"/>
      <c r="H169" s="33"/>
      <c r="I169" s="63">
        <v>35734</v>
      </c>
      <c r="J169" s="65">
        <v>1.5</v>
      </c>
      <c r="K169" s="65">
        <v>17.100000000000001</v>
      </c>
      <c r="L169" s="65">
        <v>13.9</v>
      </c>
      <c r="M169" s="65">
        <v>26.342711000000001</v>
      </c>
      <c r="N169" s="34"/>
      <c r="O169" s="35"/>
    </row>
    <row r="170" spans="1:15" s="36" customFormat="1" ht="12" x14ac:dyDescent="0.2">
      <c r="A170" s="33"/>
      <c r="B170" s="62">
        <v>36981</v>
      </c>
      <c r="C170" s="64">
        <v>2560.19</v>
      </c>
      <c r="D170" s="64">
        <v>15.1</v>
      </c>
      <c r="E170" s="64">
        <v>102470.64</v>
      </c>
      <c r="F170" s="64">
        <v>13.9</v>
      </c>
      <c r="G170" s="34"/>
      <c r="H170" s="33"/>
      <c r="I170" s="62">
        <v>35764</v>
      </c>
      <c r="J170" s="64">
        <v>1.1000000000000001</v>
      </c>
      <c r="K170" s="64">
        <v>23</v>
      </c>
      <c r="L170" s="64">
        <v>4</v>
      </c>
      <c r="M170" s="64">
        <v>133.21660800000001</v>
      </c>
      <c r="N170" s="34"/>
      <c r="O170" s="35"/>
    </row>
    <row r="171" spans="1:15" s="36" customFormat="1" ht="12" x14ac:dyDescent="0.2">
      <c r="A171" s="33"/>
      <c r="B171" s="63">
        <v>37011</v>
      </c>
      <c r="C171" s="65">
        <v>4235.7299999999996</v>
      </c>
      <c r="D171" s="65">
        <v>16.5</v>
      </c>
      <c r="E171" s="65">
        <v>103491.81</v>
      </c>
      <c r="F171" s="65">
        <v>13.7</v>
      </c>
      <c r="G171" s="34"/>
      <c r="H171" s="33"/>
      <c r="I171" s="63">
        <v>35795</v>
      </c>
      <c r="J171" s="65">
        <v>0.4</v>
      </c>
      <c r="K171" s="65">
        <v>4.7</v>
      </c>
      <c r="L171" s="65">
        <v>-4.7</v>
      </c>
      <c r="M171" s="65">
        <v>106.580494</v>
      </c>
      <c r="N171" s="34"/>
      <c r="O171" s="35"/>
    </row>
    <row r="172" spans="1:15" s="36" customFormat="1" ht="12" x14ac:dyDescent="0.2">
      <c r="A172" s="33"/>
      <c r="B172" s="62">
        <v>37042</v>
      </c>
      <c r="C172" s="64">
        <v>6199.14</v>
      </c>
      <c r="D172" s="64">
        <v>17.600000000000001</v>
      </c>
      <c r="E172" s="64">
        <v>104714.59</v>
      </c>
      <c r="F172" s="64">
        <v>14.1</v>
      </c>
      <c r="G172" s="34"/>
      <c r="H172" s="33"/>
      <c r="I172" s="62">
        <v>35826</v>
      </c>
      <c r="J172" s="64">
        <v>0.3</v>
      </c>
      <c r="K172" s="64">
        <v>8.4</v>
      </c>
      <c r="L172" s="64">
        <v>-12.9</v>
      </c>
      <c r="M172" s="64">
        <v>138.07580200000001</v>
      </c>
      <c r="N172" s="34"/>
      <c r="O172" s="35"/>
    </row>
    <row r="173" spans="1:15" s="36" customFormat="1" ht="12" x14ac:dyDescent="0.2">
      <c r="A173" s="33"/>
      <c r="B173" s="63">
        <v>37072</v>
      </c>
      <c r="C173" s="65">
        <v>8928.0300000000007</v>
      </c>
      <c r="D173" s="65">
        <v>17.899999999999999</v>
      </c>
      <c r="E173" s="65">
        <v>106553.42</v>
      </c>
      <c r="F173" s="65">
        <v>13.7</v>
      </c>
      <c r="G173" s="34"/>
      <c r="H173" s="33"/>
      <c r="I173" s="63">
        <v>35854</v>
      </c>
      <c r="J173" s="65">
        <v>-0.1</v>
      </c>
      <c r="K173" s="65">
        <v>23.5</v>
      </c>
      <c r="L173" s="65">
        <v>16.5</v>
      </c>
      <c r="M173" s="65">
        <v>48.258004</v>
      </c>
      <c r="N173" s="34"/>
      <c r="O173" s="35"/>
    </row>
    <row r="174" spans="1:15" s="36" customFormat="1" ht="12" x14ac:dyDescent="0.2">
      <c r="A174" s="33"/>
      <c r="B174" s="62">
        <v>37103</v>
      </c>
      <c r="C174" s="64">
        <v>11111.13</v>
      </c>
      <c r="D174" s="64">
        <v>18.399999999999999</v>
      </c>
      <c r="E174" s="64">
        <v>107094.17</v>
      </c>
      <c r="F174" s="64">
        <v>13.2</v>
      </c>
      <c r="G174" s="34"/>
      <c r="H174" s="33"/>
      <c r="I174" s="62">
        <v>35885</v>
      </c>
      <c r="J174" s="64">
        <v>0.7</v>
      </c>
      <c r="K174" s="64">
        <v>8.5</v>
      </c>
      <c r="L174" s="64">
        <v>7</v>
      </c>
      <c r="M174" s="64">
        <v>23.998642</v>
      </c>
      <c r="N174" s="34"/>
      <c r="O174" s="35"/>
    </row>
    <row r="175" spans="1:15" s="36" customFormat="1" ht="12" x14ac:dyDescent="0.2">
      <c r="A175" s="33"/>
      <c r="B175" s="63">
        <v>37134</v>
      </c>
      <c r="C175" s="65">
        <v>13311.23</v>
      </c>
      <c r="D175" s="65">
        <v>18.899999999999999</v>
      </c>
      <c r="E175" s="65">
        <v>107614.13</v>
      </c>
      <c r="F175" s="65">
        <v>12.6</v>
      </c>
      <c r="G175" s="34"/>
      <c r="H175" s="33"/>
      <c r="I175" s="63">
        <v>35915</v>
      </c>
      <c r="J175" s="65">
        <v>-0.3</v>
      </c>
      <c r="K175" s="65">
        <v>7.8</v>
      </c>
      <c r="L175" s="65">
        <v>4.2</v>
      </c>
      <c r="M175" s="65">
        <v>20.603857999999999</v>
      </c>
      <c r="N175" s="34"/>
      <c r="O175" s="35"/>
    </row>
    <row r="176" spans="1:15" s="36" customFormat="1" ht="12" x14ac:dyDescent="0.2">
      <c r="A176" s="33"/>
      <c r="B176" s="62">
        <v>37164</v>
      </c>
      <c r="C176" s="64">
        <v>15919.44</v>
      </c>
      <c r="D176" s="64">
        <v>18.2</v>
      </c>
      <c r="E176" s="64">
        <v>108973.24</v>
      </c>
      <c r="F176" s="64">
        <v>12.3</v>
      </c>
      <c r="G176" s="34"/>
      <c r="H176" s="33"/>
      <c r="I176" s="62">
        <v>35946</v>
      </c>
      <c r="J176" s="64">
        <v>-1</v>
      </c>
      <c r="K176" s="64">
        <v>-1.8</v>
      </c>
      <c r="L176" s="64">
        <v>-2.2999999999999998</v>
      </c>
      <c r="M176" s="64">
        <v>0.71546500000000002</v>
      </c>
      <c r="N176" s="34"/>
      <c r="O176" s="35"/>
    </row>
    <row r="177" spans="1:15" s="36" customFormat="1" ht="12" x14ac:dyDescent="0.2">
      <c r="A177" s="33"/>
      <c r="B177" s="63">
        <v>37195</v>
      </c>
      <c r="C177" s="65">
        <v>18423.79</v>
      </c>
      <c r="D177" s="65">
        <v>17.399999999999999</v>
      </c>
      <c r="E177" s="65">
        <v>108989.38</v>
      </c>
      <c r="F177" s="65">
        <v>11.4</v>
      </c>
      <c r="G177" s="34"/>
      <c r="H177" s="33"/>
      <c r="I177" s="63">
        <v>35976</v>
      </c>
      <c r="J177" s="65">
        <v>-1.3</v>
      </c>
      <c r="K177" s="65">
        <v>1.6</v>
      </c>
      <c r="L177" s="65">
        <v>5.3</v>
      </c>
      <c r="M177" s="65">
        <v>-7.9942209999999996</v>
      </c>
      <c r="N177" s="34"/>
      <c r="O177" s="35"/>
    </row>
    <row r="178" spans="1:15" s="36" customFormat="1" ht="12" x14ac:dyDescent="0.2">
      <c r="A178" s="33"/>
      <c r="B178" s="62">
        <v>37225</v>
      </c>
      <c r="C178" s="64">
        <v>21163.72</v>
      </c>
      <c r="D178" s="64">
        <v>16.3</v>
      </c>
      <c r="E178" s="64">
        <v>110090.33</v>
      </c>
      <c r="F178" s="64">
        <v>10.9</v>
      </c>
      <c r="G178" s="34"/>
      <c r="H178" s="33"/>
      <c r="I178" s="62">
        <v>36007</v>
      </c>
      <c r="J178" s="64">
        <v>-1.4</v>
      </c>
      <c r="K178" s="64">
        <v>3.5</v>
      </c>
      <c r="L178" s="64">
        <v>-6.4</v>
      </c>
      <c r="M178" s="64">
        <v>52.189649000000003</v>
      </c>
      <c r="N178" s="34"/>
      <c r="O178" s="35"/>
    </row>
    <row r="179" spans="1:15" s="36" customFormat="1" ht="12" x14ac:dyDescent="0.2">
      <c r="A179" s="33"/>
      <c r="B179" s="63">
        <v>37256</v>
      </c>
      <c r="C179" s="65">
        <v>27826.62</v>
      </c>
      <c r="D179" s="65">
        <v>13.7</v>
      </c>
      <c r="E179" s="65">
        <v>112314.7</v>
      </c>
      <c r="F179" s="65">
        <v>11.6</v>
      </c>
      <c r="G179" s="34"/>
      <c r="H179" s="33"/>
      <c r="I179" s="63">
        <v>36038</v>
      </c>
      <c r="J179" s="65">
        <v>-1.4</v>
      </c>
      <c r="K179" s="65">
        <v>-2.9</v>
      </c>
      <c r="L179" s="65">
        <v>-1.7</v>
      </c>
      <c r="M179" s="65">
        <v>-5.68</v>
      </c>
      <c r="N179" s="34"/>
      <c r="O179" s="35"/>
    </row>
    <row r="180" spans="1:15" s="36" customFormat="1" ht="12" x14ac:dyDescent="0.2">
      <c r="A180" s="33"/>
      <c r="B180" s="62">
        <v>37287</v>
      </c>
      <c r="C180" s="64">
        <v>0</v>
      </c>
      <c r="D180" s="64">
        <v>0</v>
      </c>
      <c r="E180" s="64">
        <v>113194.69</v>
      </c>
      <c r="F180" s="64">
        <v>10.9</v>
      </c>
      <c r="G180" s="34"/>
      <c r="H180" s="33"/>
      <c r="I180" s="62">
        <v>36068</v>
      </c>
      <c r="J180" s="64">
        <v>-1.5</v>
      </c>
      <c r="K180" s="64">
        <v>-6.7</v>
      </c>
      <c r="L180" s="64">
        <v>0.6</v>
      </c>
      <c r="M180" s="64">
        <v>-22.703128</v>
      </c>
      <c r="N180" s="34"/>
      <c r="O180" s="35"/>
    </row>
    <row r="181" spans="1:15" s="36" customFormat="1" ht="12" x14ac:dyDescent="0.2">
      <c r="A181" s="33"/>
      <c r="B181" s="63">
        <v>37315</v>
      </c>
      <c r="C181" s="65">
        <v>1407.99</v>
      </c>
      <c r="D181" s="65">
        <v>24.5</v>
      </c>
      <c r="E181" s="65">
        <v>113709.88</v>
      </c>
      <c r="F181" s="65">
        <v>10.6</v>
      </c>
      <c r="G181" s="34"/>
      <c r="H181" s="33"/>
      <c r="I181" s="63">
        <v>36099</v>
      </c>
      <c r="J181" s="65">
        <v>-1.1000000000000001</v>
      </c>
      <c r="K181" s="65">
        <v>-17.3</v>
      </c>
      <c r="L181" s="65">
        <v>-9.1999999999999993</v>
      </c>
      <c r="M181" s="65">
        <v>-38.016193999999999</v>
      </c>
      <c r="N181" s="34"/>
      <c r="O181" s="35"/>
    </row>
    <row r="182" spans="1:15" s="36" customFormat="1" ht="12" x14ac:dyDescent="0.2">
      <c r="A182" s="33"/>
      <c r="B182" s="62">
        <v>37346</v>
      </c>
      <c r="C182" s="64">
        <v>3263.69</v>
      </c>
      <c r="D182" s="64">
        <v>26.1</v>
      </c>
      <c r="E182" s="64">
        <v>116255</v>
      </c>
      <c r="F182" s="64">
        <v>11.9</v>
      </c>
      <c r="G182" s="34"/>
      <c r="H182" s="33"/>
      <c r="I182" s="62">
        <v>36129</v>
      </c>
      <c r="J182" s="64">
        <v>-1.2</v>
      </c>
      <c r="K182" s="64">
        <v>-9.6999999999999993</v>
      </c>
      <c r="L182" s="64">
        <v>2.1</v>
      </c>
      <c r="M182" s="64">
        <v>-40.712141000000003</v>
      </c>
      <c r="N182" s="34"/>
      <c r="O182" s="35"/>
    </row>
    <row r="183" spans="1:15" s="36" customFormat="1" ht="12" x14ac:dyDescent="0.2">
      <c r="A183" s="33"/>
      <c r="B183" s="63">
        <v>37376</v>
      </c>
      <c r="C183" s="65">
        <v>5416.42</v>
      </c>
      <c r="D183" s="65">
        <v>27.1</v>
      </c>
      <c r="E183" s="65">
        <v>117179.02</v>
      </c>
      <c r="F183" s="65">
        <v>11.6</v>
      </c>
      <c r="G183" s="34"/>
      <c r="H183" s="33"/>
      <c r="I183" s="63">
        <v>36160</v>
      </c>
      <c r="J183" s="65">
        <v>-1</v>
      </c>
      <c r="K183" s="65">
        <v>4.3</v>
      </c>
      <c r="L183" s="65">
        <v>-7.4</v>
      </c>
      <c r="M183" s="65">
        <v>1877.6785709999999</v>
      </c>
      <c r="N183" s="34"/>
      <c r="O183" s="35"/>
    </row>
    <row r="184" spans="1:15" s="36" customFormat="1" ht="12" x14ac:dyDescent="0.2">
      <c r="A184" s="33"/>
      <c r="B184" s="62">
        <v>37407</v>
      </c>
      <c r="C184" s="64">
        <v>7827.64</v>
      </c>
      <c r="D184" s="64">
        <v>25.8</v>
      </c>
      <c r="E184" s="64">
        <v>118286.23</v>
      </c>
      <c r="F184" s="64">
        <v>11.4</v>
      </c>
      <c r="G184" s="34"/>
      <c r="H184" s="33"/>
      <c r="I184" s="62">
        <v>36191</v>
      </c>
      <c r="J184" s="64">
        <v>-1.2</v>
      </c>
      <c r="K184" s="64">
        <v>-11</v>
      </c>
      <c r="L184" s="64">
        <v>13.8</v>
      </c>
      <c r="M184" s="64">
        <v>-63.899093999999998</v>
      </c>
      <c r="N184" s="34"/>
      <c r="O184" s="35"/>
    </row>
    <row r="185" spans="1:15" s="36" customFormat="1" ht="12" x14ac:dyDescent="0.2">
      <c r="A185" s="33"/>
      <c r="B185" s="63">
        <v>37437</v>
      </c>
      <c r="C185" s="65">
        <v>11103.52</v>
      </c>
      <c r="D185" s="65">
        <v>24.4</v>
      </c>
      <c r="E185" s="65">
        <v>121137.64</v>
      </c>
      <c r="F185" s="65">
        <v>12.2</v>
      </c>
      <c r="G185" s="34"/>
      <c r="H185" s="33"/>
      <c r="I185" s="63">
        <v>36219</v>
      </c>
      <c r="J185" s="65">
        <v>-1.3</v>
      </c>
      <c r="K185" s="65">
        <v>-10.3</v>
      </c>
      <c r="L185" s="65">
        <v>-4.3</v>
      </c>
      <c r="M185" s="65">
        <v>-27.818355</v>
      </c>
      <c r="N185" s="34"/>
      <c r="O185" s="35"/>
    </row>
    <row r="186" spans="1:15" s="36" customFormat="1" ht="12" x14ac:dyDescent="0.2">
      <c r="A186" s="33"/>
      <c r="B186" s="62">
        <v>37468</v>
      </c>
      <c r="C186" s="64">
        <v>13793.67</v>
      </c>
      <c r="D186" s="64">
        <v>24.1</v>
      </c>
      <c r="E186" s="64">
        <v>121754.4</v>
      </c>
      <c r="F186" s="64">
        <v>12.2</v>
      </c>
      <c r="G186" s="34"/>
      <c r="H186" s="33"/>
      <c r="I186" s="62">
        <v>36250</v>
      </c>
      <c r="J186" s="64">
        <v>-1.8</v>
      </c>
      <c r="K186" s="64">
        <v>-4</v>
      </c>
      <c r="L186" s="64">
        <v>22</v>
      </c>
      <c r="M186" s="64">
        <v>-87.818231999999995</v>
      </c>
      <c r="N186" s="34"/>
      <c r="O186" s="35"/>
    </row>
    <row r="187" spans="1:15" s="36" customFormat="1" ht="12" x14ac:dyDescent="0.2">
      <c r="A187" s="33"/>
      <c r="B187" s="63">
        <v>37499</v>
      </c>
      <c r="C187" s="65">
        <v>16535</v>
      </c>
      <c r="D187" s="65">
        <v>24.2</v>
      </c>
      <c r="E187" s="65">
        <v>123483.62</v>
      </c>
      <c r="F187" s="65">
        <v>13.3</v>
      </c>
      <c r="G187" s="34"/>
      <c r="H187" s="33"/>
      <c r="I187" s="63">
        <v>36280</v>
      </c>
      <c r="J187" s="65">
        <v>-2.2000000000000002</v>
      </c>
      <c r="K187" s="65">
        <v>-7.4</v>
      </c>
      <c r="L187" s="65">
        <v>18.600000000000001</v>
      </c>
      <c r="M187" s="65">
        <v>-77.770050999999995</v>
      </c>
      <c r="N187" s="34"/>
      <c r="O187" s="35"/>
    </row>
    <row r="188" spans="1:15" s="36" customFormat="1" ht="12" x14ac:dyDescent="0.2">
      <c r="A188" s="33"/>
      <c r="B188" s="62">
        <v>37529</v>
      </c>
      <c r="C188" s="64">
        <v>19788.13</v>
      </c>
      <c r="D188" s="64">
        <v>24.3</v>
      </c>
      <c r="E188" s="64">
        <v>126366.74</v>
      </c>
      <c r="F188" s="64">
        <v>14.2</v>
      </c>
      <c r="G188" s="34"/>
      <c r="H188" s="33"/>
      <c r="I188" s="62">
        <v>36311</v>
      </c>
      <c r="J188" s="64">
        <v>-2.2000000000000002</v>
      </c>
      <c r="K188" s="64">
        <v>4.0999999999999996</v>
      </c>
      <c r="L188" s="64">
        <v>21.5</v>
      </c>
      <c r="M188" s="64">
        <v>-49.043716000000003</v>
      </c>
      <c r="N188" s="34"/>
      <c r="O188" s="35"/>
    </row>
    <row r="189" spans="1:15" s="36" customFormat="1" ht="12" x14ac:dyDescent="0.2">
      <c r="A189" s="33"/>
      <c r="B189" s="63">
        <v>37560</v>
      </c>
      <c r="C189" s="65">
        <v>22869.16</v>
      </c>
      <c r="D189" s="65">
        <v>24.1</v>
      </c>
      <c r="E189" s="65">
        <v>127089.14</v>
      </c>
      <c r="F189" s="65">
        <v>15.4</v>
      </c>
      <c r="G189" s="34"/>
      <c r="H189" s="33"/>
      <c r="I189" s="63">
        <v>36341</v>
      </c>
      <c r="J189" s="65">
        <v>-2.1</v>
      </c>
      <c r="K189" s="65">
        <v>-1.6</v>
      </c>
      <c r="L189" s="65">
        <v>22.6</v>
      </c>
      <c r="M189" s="65">
        <v>-79.246270999999993</v>
      </c>
      <c r="N189" s="34"/>
      <c r="O189" s="35"/>
    </row>
    <row r="190" spans="1:15" s="36" customFormat="1" ht="12" x14ac:dyDescent="0.2">
      <c r="A190" s="33"/>
      <c r="B190" s="62">
        <v>37590</v>
      </c>
      <c r="C190" s="64">
        <v>26118.54</v>
      </c>
      <c r="D190" s="64">
        <v>23.4</v>
      </c>
      <c r="E190" s="64">
        <v>128627.75</v>
      </c>
      <c r="F190" s="64">
        <v>15.7</v>
      </c>
      <c r="G190" s="34"/>
      <c r="H190" s="33"/>
      <c r="I190" s="62">
        <v>36372</v>
      </c>
      <c r="J190" s="64">
        <v>-1.4</v>
      </c>
      <c r="K190" s="64">
        <v>7.3</v>
      </c>
      <c r="L190" s="64">
        <v>16.7</v>
      </c>
      <c r="M190" s="64">
        <v>-19.120094999999999</v>
      </c>
      <c r="N190" s="34"/>
      <c r="O190" s="35"/>
    </row>
    <row r="191" spans="1:15" s="36" customFormat="1" ht="12" x14ac:dyDescent="0.2">
      <c r="A191" s="33"/>
      <c r="B191" s="63">
        <v>37621</v>
      </c>
      <c r="C191" s="65">
        <v>32941.760000000002</v>
      </c>
      <c r="D191" s="65">
        <v>17.399999999999999</v>
      </c>
      <c r="E191" s="65">
        <v>131293.93</v>
      </c>
      <c r="F191" s="65">
        <v>15.8</v>
      </c>
      <c r="G191" s="34"/>
      <c r="H191" s="33"/>
      <c r="I191" s="63">
        <v>36403</v>
      </c>
      <c r="J191" s="65">
        <v>-1.3</v>
      </c>
      <c r="K191" s="65">
        <v>17.7</v>
      </c>
      <c r="L191" s="65">
        <v>23.9</v>
      </c>
      <c r="M191" s="65">
        <v>3.3715009999999999</v>
      </c>
      <c r="N191" s="34"/>
      <c r="O191" s="35"/>
    </row>
    <row r="192" spans="1:15" s="36" customFormat="1" ht="12" x14ac:dyDescent="0.2">
      <c r="A192" s="33"/>
      <c r="B192" s="62">
        <v>37652</v>
      </c>
      <c r="C192" s="64">
        <v>0</v>
      </c>
      <c r="D192" s="64">
        <v>0</v>
      </c>
      <c r="E192" s="64">
        <v>134615.13</v>
      </c>
      <c r="F192" s="64">
        <v>18.88</v>
      </c>
      <c r="G192" s="34"/>
      <c r="H192" s="33"/>
      <c r="I192" s="62">
        <v>36433</v>
      </c>
      <c r="J192" s="64">
        <v>-0.8</v>
      </c>
      <c r="K192" s="64">
        <v>20.2</v>
      </c>
      <c r="L192" s="64">
        <v>32.5</v>
      </c>
      <c r="M192" s="64">
        <v>-15.831</v>
      </c>
      <c r="N192" s="34"/>
      <c r="O192" s="35"/>
    </row>
    <row r="193" spans="1:15" s="36" customFormat="1" ht="12" x14ac:dyDescent="0.2">
      <c r="A193" s="33"/>
      <c r="B193" s="63">
        <v>37680</v>
      </c>
      <c r="C193" s="65">
        <v>1936.44</v>
      </c>
      <c r="D193" s="65">
        <v>32.799999999999997</v>
      </c>
      <c r="E193" s="65">
        <v>135714.13</v>
      </c>
      <c r="F193" s="65">
        <v>19.350000000000001</v>
      </c>
      <c r="G193" s="34"/>
      <c r="H193" s="33"/>
      <c r="I193" s="63">
        <v>36464</v>
      </c>
      <c r="J193" s="65">
        <v>-0.6</v>
      </c>
      <c r="K193" s="65">
        <v>23.8</v>
      </c>
      <c r="L193" s="65">
        <v>18.2</v>
      </c>
      <c r="M193" s="65">
        <v>44.937949000000003</v>
      </c>
      <c r="N193" s="34"/>
      <c r="O193" s="35"/>
    </row>
    <row r="194" spans="1:15" s="36" customFormat="1" ht="12" x14ac:dyDescent="0.2">
      <c r="A194" s="33"/>
      <c r="B194" s="62">
        <v>37711</v>
      </c>
      <c r="C194" s="64">
        <v>4478.58</v>
      </c>
      <c r="D194" s="64">
        <v>31.6</v>
      </c>
      <c r="E194" s="64">
        <v>139436.56</v>
      </c>
      <c r="F194" s="64">
        <v>19.899999999999999</v>
      </c>
      <c r="G194" s="34"/>
      <c r="H194" s="33"/>
      <c r="I194" s="62">
        <v>36494</v>
      </c>
      <c r="J194" s="64">
        <v>-0.9</v>
      </c>
      <c r="K194" s="64">
        <v>28.8</v>
      </c>
      <c r="L194" s="64">
        <v>36.799999999999997</v>
      </c>
      <c r="M194" s="64">
        <v>-7.0911720000000003</v>
      </c>
      <c r="N194" s="34"/>
      <c r="O194" s="35"/>
    </row>
    <row r="195" spans="1:15" s="36" customFormat="1" ht="12" x14ac:dyDescent="0.2">
      <c r="A195" s="33"/>
      <c r="B195" s="63">
        <v>37741</v>
      </c>
      <c r="C195" s="65">
        <v>7264.89</v>
      </c>
      <c r="D195" s="65">
        <v>30.5</v>
      </c>
      <c r="E195" s="65">
        <v>141377.15</v>
      </c>
      <c r="F195" s="65">
        <v>20.65</v>
      </c>
      <c r="G195" s="34"/>
      <c r="H195" s="33"/>
      <c r="I195" s="63">
        <v>36525</v>
      </c>
      <c r="J195" s="65">
        <v>-1</v>
      </c>
      <c r="K195" s="65">
        <v>2.1</v>
      </c>
      <c r="L195" s="65">
        <v>-1.1000000000000001</v>
      </c>
      <c r="M195" s="65">
        <v>27.178329999999999</v>
      </c>
      <c r="N195" s="34"/>
      <c r="O195" s="35"/>
    </row>
    <row r="196" spans="1:15" s="36" customFormat="1" ht="12" x14ac:dyDescent="0.2">
      <c r="A196" s="33"/>
      <c r="B196" s="62">
        <v>37772</v>
      </c>
      <c r="C196" s="64">
        <v>10577.8</v>
      </c>
      <c r="D196" s="64">
        <v>31.7</v>
      </c>
      <c r="E196" s="64">
        <v>143908.41</v>
      </c>
      <c r="F196" s="64">
        <v>21.66</v>
      </c>
      <c r="G196" s="34"/>
      <c r="H196" s="33"/>
      <c r="I196" s="62">
        <v>36556</v>
      </c>
      <c r="J196" s="64">
        <v>-0.2</v>
      </c>
      <c r="K196" s="64">
        <v>47.6</v>
      </c>
      <c r="L196" s="64">
        <v>54.2</v>
      </c>
      <c r="M196" s="64">
        <v>3.3242880000000001</v>
      </c>
      <c r="N196" s="34"/>
      <c r="O196" s="35"/>
    </row>
    <row r="197" spans="1:15" s="36" customFormat="1" ht="12" x14ac:dyDescent="0.2">
      <c r="A197" s="33"/>
      <c r="B197" s="63">
        <v>37802</v>
      </c>
      <c r="C197" s="65">
        <v>15072.64</v>
      </c>
      <c r="D197" s="65">
        <v>32.799999999999997</v>
      </c>
      <c r="E197" s="65">
        <v>149156.56</v>
      </c>
      <c r="F197" s="65">
        <v>23.1</v>
      </c>
      <c r="G197" s="34"/>
      <c r="H197" s="33"/>
      <c r="I197" s="63">
        <v>36585</v>
      </c>
      <c r="J197" s="65">
        <v>0.7</v>
      </c>
      <c r="K197" s="65">
        <v>34.5</v>
      </c>
      <c r="L197" s="65">
        <v>54.1</v>
      </c>
      <c r="M197" s="65">
        <v>-40.519137999999998</v>
      </c>
      <c r="N197" s="34"/>
      <c r="O197" s="35"/>
    </row>
    <row r="198" spans="1:15" s="36" customFormat="1" ht="12" x14ac:dyDescent="0.2">
      <c r="A198" s="33"/>
      <c r="B198" s="62">
        <v>37833</v>
      </c>
      <c r="C198" s="64">
        <v>18753.330000000002</v>
      </c>
      <c r="D198" s="64">
        <v>32.700000000000003</v>
      </c>
      <c r="E198" s="64">
        <v>150216.81</v>
      </c>
      <c r="F198" s="64">
        <v>23.38</v>
      </c>
      <c r="G198" s="34"/>
      <c r="H198" s="33"/>
      <c r="I198" s="62">
        <v>36616</v>
      </c>
      <c r="J198" s="64">
        <v>-0.2</v>
      </c>
      <c r="K198" s="64">
        <v>35.9</v>
      </c>
      <c r="L198" s="64">
        <v>23.9</v>
      </c>
      <c r="M198" s="64">
        <v>424.26966299999998</v>
      </c>
      <c r="N198" s="34"/>
      <c r="O198" s="35"/>
    </row>
    <row r="199" spans="1:15" s="36" customFormat="1" ht="12" x14ac:dyDescent="0.2">
      <c r="A199" s="33"/>
      <c r="B199" s="63">
        <v>37864</v>
      </c>
      <c r="C199" s="65">
        <v>22365</v>
      </c>
      <c r="D199" s="65">
        <v>32.4</v>
      </c>
      <c r="E199" s="65">
        <v>153025.17000000001</v>
      </c>
      <c r="F199" s="65">
        <v>23.9</v>
      </c>
      <c r="G199" s="34"/>
      <c r="H199" s="33"/>
      <c r="I199" s="63">
        <v>36646</v>
      </c>
      <c r="J199" s="65">
        <v>-0.3</v>
      </c>
      <c r="K199" s="65">
        <v>38.799999999999997</v>
      </c>
      <c r="L199" s="65">
        <v>32.799999999999997</v>
      </c>
      <c r="M199" s="65">
        <v>125.02606900000001</v>
      </c>
      <c r="N199" s="34"/>
      <c r="O199" s="35"/>
    </row>
    <row r="200" spans="1:15" s="36" customFormat="1" ht="12" x14ac:dyDescent="0.2">
      <c r="A200" s="33"/>
      <c r="B200" s="62">
        <v>37894</v>
      </c>
      <c r="C200" s="64">
        <v>26512.58</v>
      </c>
      <c r="D200" s="64">
        <v>31.4</v>
      </c>
      <c r="E200" s="64">
        <v>156059.89000000001</v>
      </c>
      <c r="F200" s="64">
        <v>23.5</v>
      </c>
      <c r="G200" s="34"/>
      <c r="H200" s="33"/>
      <c r="I200" s="62">
        <v>36677</v>
      </c>
      <c r="J200" s="64">
        <v>0.1</v>
      </c>
      <c r="K200" s="64">
        <v>29.6</v>
      </c>
      <c r="L200" s="64">
        <v>24.3</v>
      </c>
      <c r="M200" s="64">
        <v>68.739946000000003</v>
      </c>
      <c r="N200" s="34"/>
      <c r="O200" s="35"/>
    </row>
    <row r="201" spans="1:15" s="36" customFormat="1" ht="12" x14ac:dyDescent="0.2">
      <c r="A201" s="33"/>
      <c r="B201" s="63">
        <v>37925</v>
      </c>
      <c r="C201" s="65">
        <v>30466.52</v>
      </c>
      <c r="D201" s="65">
        <v>30.2</v>
      </c>
      <c r="E201" s="65">
        <v>156676.17000000001</v>
      </c>
      <c r="F201" s="65">
        <v>23.28</v>
      </c>
      <c r="G201" s="34"/>
      <c r="H201" s="33"/>
      <c r="I201" s="63">
        <v>36707</v>
      </c>
      <c r="J201" s="65">
        <v>0.5</v>
      </c>
      <c r="K201" s="65">
        <v>45</v>
      </c>
      <c r="L201" s="65">
        <v>39.799999999999997</v>
      </c>
      <c r="M201" s="65">
        <v>140.22698600000001</v>
      </c>
      <c r="N201" s="34"/>
      <c r="O201" s="35"/>
    </row>
    <row r="202" spans="1:15" s="36" customFormat="1" ht="12" x14ac:dyDescent="0.2">
      <c r="A202" s="33"/>
      <c r="B202" s="62">
        <v>37955</v>
      </c>
      <c r="C202" s="64">
        <v>34618.03</v>
      </c>
      <c r="D202" s="64">
        <v>29.6</v>
      </c>
      <c r="E202" s="64">
        <v>157701.12</v>
      </c>
      <c r="F202" s="64">
        <v>22.6</v>
      </c>
      <c r="G202" s="34"/>
      <c r="H202" s="33"/>
      <c r="I202" s="62">
        <v>36738</v>
      </c>
      <c r="J202" s="64">
        <v>0.5</v>
      </c>
      <c r="K202" s="64">
        <v>24</v>
      </c>
      <c r="L202" s="64">
        <v>40.1</v>
      </c>
      <c r="M202" s="64">
        <v>-41.576006999999997</v>
      </c>
      <c r="N202" s="34"/>
      <c r="O202" s="35"/>
    </row>
    <row r="203" spans="1:15" s="36" customFormat="1" ht="12" x14ac:dyDescent="0.2">
      <c r="A203" s="33"/>
      <c r="B203" s="63">
        <v>37986</v>
      </c>
      <c r="C203" s="65">
        <v>42643.42</v>
      </c>
      <c r="D203" s="65">
        <v>28.4</v>
      </c>
      <c r="E203" s="65">
        <v>158996.23000000001</v>
      </c>
      <c r="F203" s="65">
        <v>21.1</v>
      </c>
      <c r="G203" s="34"/>
      <c r="H203" s="33"/>
      <c r="I203" s="63">
        <v>36769</v>
      </c>
      <c r="J203" s="65">
        <v>0.3</v>
      </c>
      <c r="K203" s="65">
        <v>27.3</v>
      </c>
      <c r="L203" s="65">
        <v>54.6</v>
      </c>
      <c r="M203" s="65">
        <v>-47.897435999999999</v>
      </c>
      <c r="N203" s="34"/>
      <c r="O203" s="35"/>
    </row>
    <row r="204" spans="1:15" s="36" customFormat="1" ht="12" x14ac:dyDescent="0.2">
      <c r="A204" s="33"/>
      <c r="B204" s="62">
        <v>38017</v>
      </c>
      <c r="C204" s="64">
        <v>0</v>
      </c>
      <c r="D204" s="64">
        <v>0</v>
      </c>
      <c r="E204" s="64">
        <v>161730.64000000001</v>
      </c>
      <c r="F204" s="64">
        <v>20.12</v>
      </c>
      <c r="G204" s="34"/>
      <c r="H204" s="33"/>
      <c r="I204" s="62">
        <v>36799</v>
      </c>
      <c r="J204" s="64">
        <v>0</v>
      </c>
      <c r="K204" s="64">
        <v>23.7</v>
      </c>
      <c r="L204" s="64">
        <v>35.700000000000003</v>
      </c>
      <c r="M204" s="64">
        <v>-31.418203999999999</v>
      </c>
      <c r="N204" s="34"/>
      <c r="O204" s="35"/>
    </row>
    <row r="205" spans="1:15" s="36" customFormat="1" ht="12" x14ac:dyDescent="0.2">
      <c r="A205" s="33"/>
      <c r="B205" s="63">
        <v>38046</v>
      </c>
      <c r="C205" s="65">
        <v>3287.03</v>
      </c>
      <c r="D205" s="65">
        <v>53</v>
      </c>
      <c r="E205" s="65">
        <v>163810.60999999999</v>
      </c>
      <c r="F205" s="65">
        <v>20.7</v>
      </c>
      <c r="G205" s="34"/>
      <c r="H205" s="33"/>
      <c r="I205" s="63">
        <v>36830</v>
      </c>
      <c r="J205" s="65">
        <v>0</v>
      </c>
      <c r="K205" s="65">
        <v>24.9</v>
      </c>
      <c r="L205" s="65">
        <v>37.4</v>
      </c>
      <c r="M205" s="65">
        <v>-13.767462999999999</v>
      </c>
      <c r="N205" s="34"/>
      <c r="O205" s="35"/>
    </row>
    <row r="206" spans="1:15" s="36" customFormat="1" ht="12" x14ac:dyDescent="0.2">
      <c r="A206" s="33"/>
      <c r="B206" s="62">
        <v>38077</v>
      </c>
      <c r="C206" s="64">
        <v>7058.48</v>
      </c>
      <c r="D206" s="64">
        <v>47.8</v>
      </c>
      <c r="E206" s="64">
        <v>167442.53</v>
      </c>
      <c r="F206" s="64">
        <v>20.100000000000001</v>
      </c>
      <c r="G206" s="34"/>
      <c r="H206" s="33"/>
      <c r="I206" s="62">
        <v>36860</v>
      </c>
      <c r="J206" s="64">
        <v>1.3</v>
      </c>
      <c r="K206" s="64">
        <v>13.7</v>
      </c>
      <c r="L206" s="64">
        <v>28</v>
      </c>
      <c r="M206" s="64">
        <v>-80.295950000000005</v>
      </c>
      <c r="N206" s="34"/>
      <c r="O206" s="35"/>
    </row>
    <row r="207" spans="1:15" s="36" customFormat="1" ht="12" x14ac:dyDescent="0.2">
      <c r="A207" s="33"/>
      <c r="B207" s="63">
        <v>38107</v>
      </c>
      <c r="C207" s="65">
        <v>11047.44</v>
      </c>
      <c r="D207" s="65">
        <v>42.8</v>
      </c>
      <c r="E207" s="65">
        <v>169434.99</v>
      </c>
      <c r="F207" s="65">
        <v>19.899999999999999</v>
      </c>
      <c r="G207" s="34"/>
      <c r="H207" s="33"/>
      <c r="I207" s="63">
        <v>36891</v>
      </c>
      <c r="J207" s="65">
        <v>1.5</v>
      </c>
      <c r="K207" s="65">
        <v>8.5</v>
      </c>
      <c r="L207" s="65">
        <v>22.9</v>
      </c>
      <c r="M207" s="65">
        <v>-79.694710999999998</v>
      </c>
      <c r="N207" s="34"/>
      <c r="O207" s="35"/>
    </row>
    <row r="208" spans="1:15" s="36" customFormat="1" ht="12" x14ac:dyDescent="0.2">
      <c r="A208" s="33"/>
      <c r="B208" s="62">
        <v>38138</v>
      </c>
      <c r="C208" s="64">
        <v>15437.2</v>
      </c>
      <c r="D208" s="64">
        <v>34.799999999999997</v>
      </c>
      <c r="E208" s="64">
        <v>170566.13</v>
      </c>
      <c r="F208" s="64">
        <v>18.600000000000001</v>
      </c>
      <c r="G208" s="34"/>
      <c r="H208" s="33"/>
      <c r="I208" s="62">
        <v>36922</v>
      </c>
      <c r="J208" s="64">
        <v>1.2</v>
      </c>
      <c r="K208" s="64">
        <v>0.1</v>
      </c>
      <c r="L208" s="64">
        <v>1.9</v>
      </c>
      <c r="M208" s="64">
        <v>-18.319106999999999</v>
      </c>
      <c r="N208" s="34"/>
      <c r="O208" s="35"/>
    </row>
    <row r="209" spans="1:15" s="36" customFormat="1" ht="12" x14ac:dyDescent="0.2">
      <c r="A209" s="33"/>
      <c r="B209" s="63">
        <v>38168</v>
      </c>
      <c r="C209" s="65">
        <v>21843.97</v>
      </c>
      <c r="D209" s="65">
        <v>31</v>
      </c>
      <c r="E209" s="65">
        <v>169905.22</v>
      </c>
      <c r="F209" s="65">
        <v>16.3</v>
      </c>
      <c r="G209" s="34"/>
      <c r="H209" s="33"/>
      <c r="I209" s="63">
        <v>36950</v>
      </c>
      <c r="J209" s="65">
        <v>0</v>
      </c>
      <c r="K209" s="65">
        <v>28.4</v>
      </c>
      <c r="L209" s="65">
        <v>35.799999999999997</v>
      </c>
      <c r="M209" s="65">
        <v>-45.414200999999998</v>
      </c>
      <c r="N209" s="34"/>
      <c r="O209" s="35"/>
    </row>
    <row r="210" spans="1:15" s="36" customFormat="1" ht="12" x14ac:dyDescent="0.2">
      <c r="A210" s="33"/>
      <c r="B210" s="62">
        <v>38199</v>
      </c>
      <c r="C210" s="64">
        <v>27115.8</v>
      </c>
      <c r="D210" s="64">
        <v>31.1</v>
      </c>
      <c r="E210" s="64">
        <v>169884.39</v>
      </c>
      <c r="F210" s="64">
        <v>15.5</v>
      </c>
      <c r="G210" s="34"/>
      <c r="H210" s="33"/>
      <c r="I210" s="62">
        <v>36981</v>
      </c>
      <c r="J210" s="64">
        <v>0.8</v>
      </c>
      <c r="K210" s="64">
        <v>14.3</v>
      </c>
      <c r="L210" s="64">
        <v>16.5</v>
      </c>
      <c r="M210" s="64">
        <v>-2.9147020000000001</v>
      </c>
      <c r="N210" s="34"/>
      <c r="O210" s="35"/>
    </row>
    <row r="211" spans="1:15" s="36" customFormat="1" ht="12" x14ac:dyDescent="0.2">
      <c r="A211" s="33"/>
      <c r="B211" s="63">
        <v>38230</v>
      </c>
      <c r="C211" s="65">
        <v>32185.95</v>
      </c>
      <c r="D211" s="65">
        <v>30.3</v>
      </c>
      <c r="E211" s="65">
        <v>171040.15</v>
      </c>
      <c r="F211" s="65">
        <v>14.1</v>
      </c>
      <c r="G211" s="34"/>
      <c r="H211" s="33"/>
      <c r="I211" s="63">
        <v>37011</v>
      </c>
      <c r="J211" s="65">
        <v>1.6</v>
      </c>
      <c r="K211" s="65">
        <v>11.1</v>
      </c>
      <c r="L211" s="65">
        <v>19.100000000000001</v>
      </c>
      <c r="M211" s="65">
        <v>-57.367933000000001</v>
      </c>
      <c r="N211" s="34"/>
      <c r="O211" s="35"/>
    </row>
    <row r="212" spans="1:15" s="36" customFormat="1" ht="12" x14ac:dyDescent="0.2">
      <c r="A212" s="33"/>
      <c r="B212" s="62">
        <v>38260</v>
      </c>
      <c r="C212" s="64">
        <v>38028.339999999997</v>
      </c>
      <c r="D212" s="64">
        <v>29.9</v>
      </c>
      <c r="E212" s="64">
        <v>173473.07</v>
      </c>
      <c r="F212" s="64">
        <v>13.6</v>
      </c>
      <c r="G212" s="34"/>
      <c r="H212" s="33"/>
      <c r="I212" s="62">
        <v>37042</v>
      </c>
      <c r="J212" s="64">
        <v>1.7</v>
      </c>
      <c r="K212" s="64">
        <v>3.5</v>
      </c>
      <c r="L212" s="64">
        <v>10.9</v>
      </c>
      <c r="M212" s="64">
        <v>-36.510962999999997</v>
      </c>
      <c r="N212" s="34"/>
      <c r="O212" s="35"/>
    </row>
    <row r="213" spans="1:15" s="36" customFormat="1" ht="12" x14ac:dyDescent="0.2">
      <c r="A213" s="33"/>
      <c r="B213" s="63">
        <v>38291</v>
      </c>
      <c r="C213" s="65">
        <v>43556.28</v>
      </c>
      <c r="D213" s="65">
        <v>29.5</v>
      </c>
      <c r="E213" s="65">
        <v>173728.97</v>
      </c>
      <c r="F213" s="65">
        <v>13.3</v>
      </c>
      <c r="G213" s="34"/>
      <c r="H213" s="33"/>
      <c r="I213" s="63">
        <v>37072</v>
      </c>
      <c r="J213" s="65">
        <v>1.4</v>
      </c>
      <c r="K213" s="65">
        <v>-0.6</v>
      </c>
      <c r="L213" s="65">
        <v>4.8</v>
      </c>
      <c r="M213" s="65">
        <v>-58.110236</v>
      </c>
      <c r="N213" s="34"/>
      <c r="O213" s="35"/>
    </row>
    <row r="214" spans="1:15" s="36" customFormat="1" ht="12" x14ac:dyDescent="0.2">
      <c r="A214" s="33"/>
      <c r="B214" s="62">
        <v>38321</v>
      </c>
      <c r="C214" s="64">
        <v>49274.32</v>
      </c>
      <c r="D214" s="64">
        <v>28.9</v>
      </c>
      <c r="E214" s="64">
        <v>175224.01</v>
      </c>
      <c r="F214" s="64">
        <v>13.5</v>
      </c>
      <c r="G214" s="34"/>
      <c r="H214" s="33"/>
      <c r="I214" s="62">
        <v>37103</v>
      </c>
      <c r="J214" s="64">
        <v>1.5</v>
      </c>
      <c r="K214" s="64">
        <v>6.2</v>
      </c>
      <c r="L214" s="64">
        <v>7.5</v>
      </c>
      <c r="M214" s="64">
        <v>-6.441872</v>
      </c>
      <c r="N214" s="34"/>
      <c r="O214" s="35"/>
    </row>
    <row r="215" spans="1:15" s="36" customFormat="1" ht="12" x14ac:dyDescent="0.2">
      <c r="A215" s="33"/>
      <c r="B215" s="63">
        <v>38352</v>
      </c>
      <c r="C215" s="65">
        <v>58620.28</v>
      </c>
      <c r="D215" s="65">
        <v>27.6</v>
      </c>
      <c r="E215" s="65">
        <v>177363.49</v>
      </c>
      <c r="F215" s="65">
        <v>14.5</v>
      </c>
      <c r="G215" s="34"/>
      <c r="H215" s="33"/>
      <c r="I215" s="63">
        <v>37134</v>
      </c>
      <c r="J215" s="65">
        <v>1</v>
      </c>
      <c r="K215" s="65">
        <v>0.9</v>
      </c>
      <c r="L215" s="65">
        <v>6.7</v>
      </c>
      <c r="M215" s="65">
        <v>-46.417323000000003</v>
      </c>
      <c r="N215" s="34"/>
      <c r="O215" s="35"/>
    </row>
    <row r="216" spans="1:15" s="36" customFormat="1" ht="12" x14ac:dyDescent="0.2">
      <c r="A216" s="33"/>
      <c r="B216" s="62">
        <v>38383</v>
      </c>
      <c r="C216" s="64">
        <v>0</v>
      </c>
      <c r="D216" s="64">
        <v>0</v>
      </c>
      <c r="E216" s="64">
        <v>181082.96</v>
      </c>
      <c r="F216" s="64">
        <v>14.2</v>
      </c>
      <c r="G216" s="34"/>
      <c r="H216" s="33"/>
      <c r="I216" s="62">
        <v>37164</v>
      </c>
      <c r="J216" s="64">
        <v>-0.1</v>
      </c>
      <c r="K216" s="64">
        <v>4.4000000000000004</v>
      </c>
      <c r="L216" s="64">
        <v>5.5</v>
      </c>
      <c r="M216" s="64">
        <v>-5.5555560000000002</v>
      </c>
      <c r="N216" s="34"/>
      <c r="O216" s="35"/>
    </row>
    <row r="217" spans="1:15" s="36" customFormat="1" ht="12" x14ac:dyDescent="0.2">
      <c r="A217" s="33"/>
      <c r="B217" s="63">
        <v>38411</v>
      </c>
      <c r="C217" s="65">
        <v>4221.78</v>
      </c>
      <c r="D217" s="65">
        <v>24.5</v>
      </c>
      <c r="E217" s="65">
        <v>182042.3</v>
      </c>
      <c r="F217" s="65">
        <v>13.4</v>
      </c>
      <c r="G217" s="34"/>
      <c r="H217" s="33"/>
      <c r="I217" s="63">
        <v>37195</v>
      </c>
      <c r="J217" s="65">
        <v>0.2</v>
      </c>
      <c r="K217" s="65">
        <v>0.1</v>
      </c>
      <c r="L217" s="65">
        <v>-0.2</v>
      </c>
      <c r="M217" s="65">
        <v>1.6200680000000001</v>
      </c>
      <c r="N217" s="34"/>
      <c r="O217" s="35"/>
    </row>
    <row r="218" spans="1:15" s="36" customFormat="1" ht="12" x14ac:dyDescent="0.2">
      <c r="A218" s="33"/>
      <c r="B218" s="62">
        <v>38442</v>
      </c>
      <c r="C218" s="64">
        <v>9036.68</v>
      </c>
      <c r="D218" s="64">
        <v>25.3</v>
      </c>
      <c r="E218" s="64">
        <v>185461.32</v>
      </c>
      <c r="F218" s="64">
        <v>13</v>
      </c>
      <c r="G218" s="34"/>
      <c r="H218" s="33"/>
      <c r="I218" s="62">
        <v>37225</v>
      </c>
      <c r="J218" s="64">
        <v>-0.3</v>
      </c>
      <c r="K218" s="64">
        <v>8.4</v>
      </c>
      <c r="L218" s="64">
        <v>-3.7</v>
      </c>
      <c r="M218" s="64">
        <v>523.517787</v>
      </c>
      <c r="N218" s="34"/>
      <c r="O218" s="35"/>
    </row>
    <row r="219" spans="1:15" s="36" customFormat="1" ht="12" x14ac:dyDescent="0.2">
      <c r="A219" s="33"/>
      <c r="B219" s="63">
        <v>38472</v>
      </c>
      <c r="C219" s="65">
        <v>14024.67</v>
      </c>
      <c r="D219" s="65">
        <v>25.7</v>
      </c>
      <c r="E219" s="65">
        <v>186889.1</v>
      </c>
      <c r="F219" s="65">
        <v>12.5</v>
      </c>
      <c r="G219" s="34"/>
      <c r="H219" s="33"/>
      <c r="I219" s="63">
        <v>37256</v>
      </c>
      <c r="J219" s="65">
        <v>-0.3</v>
      </c>
      <c r="K219" s="65">
        <v>11.5</v>
      </c>
      <c r="L219" s="65">
        <v>4.5999999999999996</v>
      </c>
      <c r="M219" s="65">
        <v>269.40559400000001</v>
      </c>
      <c r="N219" s="34"/>
      <c r="O219" s="35"/>
    </row>
    <row r="220" spans="1:15" s="36" customFormat="1" ht="12" x14ac:dyDescent="0.2">
      <c r="A220" s="33"/>
      <c r="B220" s="62">
        <v>38503</v>
      </c>
      <c r="C220" s="64">
        <v>19719.32</v>
      </c>
      <c r="D220" s="64">
        <v>26.4</v>
      </c>
      <c r="E220" s="64">
        <v>186274.1</v>
      </c>
      <c r="F220" s="64">
        <v>12.4</v>
      </c>
      <c r="G220" s="34"/>
      <c r="H220" s="33"/>
      <c r="I220" s="62">
        <v>37287</v>
      </c>
      <c r="J220" s="64">
        <v>-1</v>
      </c>
      <c r="K220" s="64">
        <v>29.2</v>
      </c>
      <c r="L220" s="64">
        <v>21.9</v>
      </c>
      <c r="M220" s="64">
        <v>119.694534</v>
      </c>
      <c r="N220" s="34"/>
      <c r="O220" s="35"/>
    </row>
    <row r="221" spans="1:15" s="36" customFormat="1" ht="12" x14ac:dyDescent="0.2">
      <c r="A221" s="33"/>
      <c r="B221" s="63">
        <v>38533</v>
      </c>
      <c r="C221" s="65">
        <v>27967</v>
      </c>
      <c r="D221" s="65">
        <v>27.1</v>
      </c>
      <c r="E221" s="65">
        <v>186178.7</v>
      </c>
      <c r="F221" s="65">
        <v>13.3</v>
      </c>
      <c r="G221" s="34"/>
      <c r="H221" s="33"/>
      <c r="I221" s="63">
        <v>37315</v>
      </c>
      <c r="J221" s="65">
        <v>0</v>
      </c>
      <c r="K221" s="65">
        <v>1.8</v>
      </c>
      <c r="L221" s="65">
        <v>-12.7</v>
      </c>
      <c r="M221" s="65">
        <v>337.26287300000001</v>
      </c>
      <c r="N221" s="34"/>
      <c r="O221" s="35"/>
    </row>
    <row r="222" spans="1:15" s="36" customFormat="1" ht="12" x14ac:dyDescent="0.2">
      <c r="A222" s="33"/>
      <c r="B222" s="62">
        <v>38564</v>
      </c>
      <c r="C222" s="64">
        <v>34637.160000000003</v>
      </c>
      <c r="D222" s="64">
        <v>27.2</v>
      </c>
      <c r="E222" s="64">
        <v>185859.75</v>
      </c>
      <c r="F222" s="64">
        <v>13.1</v>
      </c>
      <c r="G222" s="34"/>
      <c r="H222" s="33"/>
      <c r="I222" s="62">
        <v>37346</v>
      </c>
      <c r="J222" s="64">
        <v>-0.8</v>
      </c>
      <c r="K222" s="64">
        <v>3.4</v>
      </c>
      <c r="L222" s="64">
        <v>8.5</v>
      </c>
      <c r="M222" s="64">
        <v>-42.119205000000001</v>
      </c>
      <c r="N222" s="34"/>
      <c r="O222" s="35"/>
    </row>
    <row r="223" spans="1:15" s="36" customFormat="1" ht="12" x14ac:dyDescent="0.2">
      <c r="A223" s="33"/>
      <c r="B223" s="63">
        <v>38595</v>
      </c>
      <c r="C223" s="65">
        <v>41150.9</v>
      </c>
      <c r="D223" s="65">
        <v>27.4</v>
      </c>
      <c r="E223" s="65">
        <v>187756.6</v>
      </c>
      <c r="F223" s="65">
        <v>13.4</v>
      </c>
      <c r="G223" s="34"/>
      <c r="H223" s="33"/>
      <c r="I223" s="63">
        <v>37376</v>
      </c>
      <c r="J223" s="65">
        <v>-1.3</v>
      </c>
      <c r="K223" s="65">
        <v>17.2</v>
      </c>
      <c r="L223" s="65">
        <v>17.8</v>
      </c>
      <c r="M223" s="65">
        <v>6.5217390000000002</v>
      </c>
      <c r="N223" s="34"/>
      <c r="O223" s="35"/>
    </row>
    <row r="224" spans="1:15" s="36" customFormat="1" ht="12" x14ac:dyDescent="0.2">
      <c r="A224" s="33"/>
      <c r="B224" s="62">
        <v>38625</v>
      </c>
      <c r="C224" s="64">
        <v>48741.49</v>
      </c>
      <c r="D224" s="64">
        <v>27.7</v>
      </c>
      <c r="E224" s="64">
        <v>190941.9</v>
      </c>
      <c r="F224" s="64">
        <v>13.8</v>
      </c>
      <c r="G224" s="34"/>
      <c r="H224" s="33"/>
      <c r="I224" s="62">
        <v>37407</v>
      </c>
      <c r="J224" s="64">
        <v>-1.1000000000000001</v>
      </c>
      <c r="K224" s="64">
        <v>18.399999999999999</v>
      </c>
      <c r="L224" s="64">
        <v>19.3</v>
      </c>
      <c r="M224" s="64">
        <v>10.560561</v>
      </c>
      <c r="N224" s="34"/>
      <c r="O224" s="35"/>
    </row>
    <row r="225" spans="1:15" s="36" customFormat="1" ht="12" x14ac:dyDescent="0.2">
      <c r="A225" s="33"/>
      <c r="B225" s="63">
        <v>38656</v>
      </c>
      <c r="C225" s="65">
        <v>55792.12</v>
      </c>
      <c r="D225" s="65">
        <v>27.6</v>
      </c>
      <c r="E225" s="65">
        <v>191168.27</v>
      </c>
      <c r="F225" s="65">
        <v>13.8</v>
      </c>
      <c r="G225" s="34"/>
      <c r="H225" s="33"/>
      <c r="I225" s="63">
        <v>37437</v>
      </c>
      <c r="J225" s="65">
        <v>-0.8</v>
      </c>
      <c r="K225" s="65">
        <v>17.8</v>
      </c>
      <c r="L225" s="65">
        <v>8.6</v>
      </c>
      <c r="M225" s="65">
        <v>265.91478699999999</v>
      </c>
      <c r="N225" s="34"/>
      <c r="O225" s="35"/>
    </row>
    <row r="226" spans="1:15" s="36" customFormat="1" ht="12" x14ac:dyDescent="0.2">
      <c r="A226" s="33"/>
      <c r="B226" s="62">
        <v>38686</v>
      </c>
      <c r="C226" s="64">
        <v>63259.85</v>
      </c>
      <c r="D226" s="64">
        <v>27.8</v>
      </c>
      <c r="E226" s="64">
        <v>193416.93</v>
      </c>
      <c r="F226" s="64">
        <v>14.1</v>
      </c>
      <c r="G226" s="34"/>
      <c r="H226" s="33"/>
      <c r="I226" s="62">
        <v>37468</v>
      </c>
      <c r="J226" s="64">
        <v>-0.9</v>
      </c>
      <c r="K226" s="64">
        <v>28.1</v>
      </c>
      <c r="L226" s="64">
        <v>28.9</v>
      </c>
      <c r="M226" s="64">
        <v>19.419042000000001</v>
      </c>
      <c r="N226" s="34"/>
      <c r="O226" s="35"/>
    </row>
    <row r="227" spans="1:15" s="36" customFormat="1" ht="12" x14ac:dyDescent="0.2">
      <c r="A227" s="33"/>
      <c r="B227" s="63">
        <v>38717</v>
      </c>
      <c r="C227" s="65">
        <v>75096.479999999996</v>
      </c>
      <c r="D227" s="65">
        <v>27.2</v>
      </c>
      <c r="E227" s="65">
        <v>194690.39</v>
      </c>
      <c r="F227" s="65">
        <v>12.98</v>
      </c>
      <c r="G227" s="34"/>
      <c r="H227" s="33"/>
      <c r="I227" s="63">
        <v>37499</v>
      </c>
      <c r="J227" s="65">
        <v>-0.7</v>
      </c>
      <c r="K227" s="65">
        <v>25</v>
      </c>
      <c r="L227" s="65">
        <v>23</v>
      </c>
      <c r="M227" s="65">
        <v>61.645848999999998</v>
      </c>
      <c r="N227" s="34"/>
      <c r="O227" s="35"/>
    </row>
    <row r="228" spans="1:15" s="36" customFormat="1" ht="12" x14ac:dyDescent="0.2">
      <c r="A228" s="33"/>
      <c r="B228" s="62">
        <v>38748</v>
      </c>
      <c r="C228" s="64">
        <v>0</v>
      </c>
      <c r="D228" s="64">
        <v>0</v>
      </c>
      <c r="E228" s="64">
        <v>199492.05</v>
      </c>
      <c r="F228" s="64">
        <v>13.8</v>
      </c>
      <c r="G228" s="34"/>
      <c r="H228" s="33"/>
      <c r="I228" s="62">
        <v>37529</v>
      </c>
      <c r="J228" s="64">
        <v>-0.7</v>
      </c>
      <c r="K228" s="64">
        <v>33.1</v>
      </c>
      <c r="L228" s="64">
        <v>36.4</v>
      </c>
      <c r="M228" s="64">
        <v>-1.1671339999999999</v>
      </c>
      <c r="N228" s="34"/>
      <c r="O228" s="35"/>
    </row>
    <row r="229" spans="1:15" s="36" customFormat="1" ht="12" x14ac:dyDescent="0.2">
      <c r="A229" s="33"/>
      <c r="B229" s="63">
        <v>38776</v>
      </c>
      <c r="C229" s="65">
        <v>5294.1</v>
      </c>
      <c r="D229" s="65">
        <v>26.6</v>
      </c>
      <c r="E229" s="65">
        <v>201020.25</v>
      </c>
      <c r="F229" s="65">
        <v>14.1</v>
      </c>
      <c r="G229" s="34"/>
      <c r="H229" s="33"/>
      <c r="I229" s="63">
        <v>37560</v>
      </c>
      <c r="J229" s="65">
        <v>-0.8</v>
      </c>
      <c r="K229" s="65">
        <v>31.5</v>
      </c>
      <c r="L229" s="65">
        <v>33.4</v>
      </c>
      <c r="M229" s="65">
        <v>22.036512999999999</v>
      </c>
      <c r="N229" s="34"/>
      <c r="O229" s="35"/>
    </row>
    <row r="230" spans="1:15" s="36" customFormat="1" ht="12" x14ac:dyDescent="0.2">
      <c r="A230" s="33"/>
      <c r="B230" s="62">
        <v>38807</v>
      </c>
      <c r="C230" s="64">
        <v>11608.4</v>
      </c>
      <c r="D230" s="64">
        <v>29.8</v>
      </c>
      <c r="E230" s="64">
        <v>206394.59</v>
      </c>
      <c r="F230" s="64">
        <v>14.7</v>
      </c>
      <c r="G230" s="34"/>
      <c r="H230" s="33"/>
      <c r="I230" s="62">
        <v>37590</v>
      </c>
      <c r="J230" s="64">
        <v>-0.7</v>
      </c>
      <c r="K230" s="64">
        <v>30</v>
      </c>
      <c r="L230" s="64">
        <v>37.9</v>
      </c>
      <c r="M230" s="64">
        <v>-21.838352</v>
      </c>
      <c r="N230" s="34"/>
      <c r="O230" s="35"/>
    </row>
    <row r="231" spans="1:15" s="36" customFormat="1" ht="12" x14ac:dyDescent="0.2">
      <c r="A231" s="33"/>
      <c r="B231" s="63">
        <v>38837</v>
      </c>
      <c r="C231" s="65">
        <v>18005.66</v>
      </c>
      <c r="D231" s="65">
        <v>29.6</v>
      </c>
      <c r="E231" s="65">
        <v>209555.78</v>
      </c>
      <c r="F231" s="65">
        <v>15.5</v>
      </c>
      <c r="G231" s="34"/>
      <c r="H231" s="33"/>
      <c r="I231" s="63">
        <v>37621</v>
      </c>
      <c r="J231" s="65">
        <v>-0.4</v>
      </c>
      <c r="K231" s="65">
        <v>30.2</v>
      </c>
      <c r="L231" s="65">
        <v>28.4</v>
      </c>
      <c r="M231" s="65">
        <v>49.455750000000002</v>
      </c>
      <c r="N231" s="34"/>
      <c r="O231" s="35"/>
    </row>
    <row r="232" spans="1:15" s="36" customFormat="1" ht="12" x14ac:dyDescent="0.2">
      <c r="A232" s="33"/>
      <c r="B232" s="62">
        <v>38868</v>
      </c>
      <c r="C232" s="64">
        <v>25443.47</v>
      </c>
      <c r="D232" s="64">
        <v>30.3</v>
      </c>
      <c r="E232" s="64">
        <v>211649.97</v>
      </c>
      <c r="F232" s="64">
        <v>16</v>
      </c>
      <c r="G232" s="34"/>
      <c r="H232" s="33"/>
      <c r="I232" s="62">
        <v>37652</v>
      </c>
      <c r="J232" s="64">
        <v>0.4</v>
      </c>
      <c r="K232" s="64">
        <v>37.299999999999997</v>
      </c>
      <c r="L232" s="64">
        <v>63.4</v>
      </c>
      <c r="M232" s="64">
        <v>-145.371387</v>
      </c>
      <c r="N232" s="34"/>
      <c r="O232" s="35"/>
    </row>
    <row r="233" spans="1:15" s="36" customFormat="1" ht="12" x14ac:dyDescent="0.2">
      <c r="A233" s="33"/>
      <c r="B233" s="63">
        <v>38898</v>
      </c>
      <c r="C233" s="65">
        <v>36368.35</v>
      </c>
      <c r="D233" s="65">
        <v>31.3</v>
      </c>
      <c r="E233" s="65">
        <v>215302.59</v>
      </c>
      <c r="F233" s="65">
        <v>15.24</v>
      </c>
      <c r="G233" s="34"/>
      <c r="H233" s="33"/>
      <c r="I233" s="63">
        <v>37680</v>
      </c>
      <c r="J233" s="65">
        <v>0.2</v>
      </c>
      <c r="K233" s="65">
        <v>27.8</v>
      </c>
      <c r="L233" s="65">
        <v>49.4</v>
      </c>
      <c r="M233" s="65">
        <v>-79.051750999999996</v>
      </c>
      <c r="N233" s="34"/>
      <c r="O233" s="35"/>
    </row>
    <row r="234" spans="1:15" s="36" customFormat="1" ht="12" x14ac:dyDescent="0.2">
      <c r="A234" s="33"/>
      <c r="B234" s="62">
        <v>38929</v>
      </c>
      <c r="C234" s="64">
        <v>44771.01</v>
      </c>
      <c r="D234" s="64">
        <v>30.5</v>
      </c>
      <c r="E234" s="64">
        <v>216935.55</v>
      </c>
      <c r="F234" s="64">
        <v>16.3</v>
      </c>
      <c r="G234" s="34"/>
      <c r="H234" s="33"/>
      <c r="I234" s="62">
        <v>37711</v>
      </c>
      <c r="J234" s="64">
        <v>0.9</v>
      </c>
      <c r="K234" s="64">
        <v>34.700000000000003</v>
      </c>
      <c r="L234" s="64">
        <v>45.1</v>
      </c>
      <c r="M234" s="64">
        <v>-134.93516399999999</v>
      </c>
      <c r="N234" s="34"/>
      <c r="O234" s="35"/>
    </row>
    <row r="235" spans="1:15" s="36" customFormat="1" ht="12" x14ac:dyDescent="0.2">
      <c r="A235" s="33"/>
      <c r="B235" s="63">
        <v>38960</v>
      </c>
      <c r="C235" s="65">
        <v>52593.66</v>
      </c>
      <c r="D235" s="65">
        <v>29.1</v>
      </c>
      <c r="E235" s="65">
        <v>218836.14</v>
      </c>
      <c r="F235" s="65">
        <v>16.100000000000001</v>
      </c>
      <c r="G235" s="34"/>
      <c r="H235" s="33"/>
      <c r="I235" s="63">
        <v>37741</v>
      </c>
      <c r="J235" s="65">
        <v>1</v>
      </c>
      <c r="K235" s="65">
        <v>33.299999999999997</v>
      </c>
      <c r="L235" s="65">
        <v>34.4</v>
      </c>
      <c r="M235" s="65">
        <v>3.4693879999999999</v>
      </c>
      <c r="N235" s="34"/>
      <c r="O235" s="35"/>
    </row>
    <row r="236" spans="1:15" s="36" customFormat="1" ht="12" x14ac:dyDescent="0.2">
      <c r="A236" s="33"/>
      <c r="B236" s="62">
        <v>38990</v>
      </c>
      <c r="C236" s="64">
        <v>61880.12</v>
      </c>
      <c r="D236" s="64">
        <v>28.2</v>
      </c>
      <c r="E236" s="64">
        <v>221035.86</v>
      </c>
      <c r="F236" s="64">
        <v>15.23</v>
      </c>
      <c r="G236" s="34"/>
      <c r="H236" s="33"/>
      <c r="I236" s="62">
        <v>37772</v>
      </c>
      <c r="J236" s="64">
        <v>0.7</v>
      </c>
      <c r="K236" s="64">
        <v>37.299999999999997</v>
      </c>
      <c r="L236" s="64">
        <v>40.9</v>
      </c>
      <c r="M236" s="64">
        <v>0.95065599999999995</v>
      </c>
      <c r="N236" s="34"/>
      <c r="O236" s="35"/>
    </row>
    <row r="237" spans="1:15" s="36" customFormat="1" ht="12" x14ac:dyDescent="0.2">
      <c r="A237" s="33"/>
      <c r="B237" s="63">
        <v>39021</v>
      </c>
      <c r="C237" s="65">
        <v>70070.52</v>
      </c>
      <c r="D237" s="65">
        <v>26.8</v>
      </c>
      <c r="E237" s="65">
        <v>221205.32</v>
      </c>
      <c r="F237" s="65">
        <v>15.2</v>
      </c>
      <c r="G237" s="34"/>
      <c r="H237" s="33"/>
      <c r="I237" s="63">
        <v>37802</v>
      </c>
      <c r="J237" s="65">
        <v>0.3</v>
      </c>
      <c r="K237" s="65">
        <v>32.6</v>
      </c>
      <c r="L237" s="65">
        <v>40.1</v>
      </c>
      <c r="M237" s="65">
        <v>-26.712329</v>
      </c>
      <c r="N237" s="34"/>
      <c r="O237" s="35"/>
    </row>
    <row r="238" spans="1:15" s="36" customFormat="1" ht="12" x14ac:dyDescent="0.2">
      <c r="A238" s="33"/>
      <c r="B238" s="62">
        <v>39051</v>
      </c>
      <c r="C238" s="64">
        <v>79312.100000000006</v>
      </c>
      <c r="D238" s="64">
        <v>26.6</v>
      </c>
      <c r="E238" s="64">
        <v>223141.55</v>
      </c>
      <c r="F238" s="64">
        <v>14.8</v>
      </c>
      <c r="G238" s="34"/>
      <c r="H238" s="33"/>
      <c r="I238" s="62">
        <v>37833</v>
      </c>
      <c r="J238" s="64">
        <v>0.5</v>
      </c>
      <c r="K238" s="64">
        <v>30.6</v>
      </c>
      <c r="L238" s="64">
        <v>35.299999999999997</v>
      </c>
      <c r="M238" s="64">
        <v>-28.108108000000001</v>
      </c>
      <c r="N238" s="34"/>
      <c r="O238" s="35"/>
    </row>
    <row r="239" spans="1:15" s="36" customFormat="1" ht="12" x14ac:dyDescent="0.2">
      <c r="A239" s="33"/>
      <c r="B239" s="63">
        <v>39082</v>
      </c>
      <c r="C239" s="65">
        <v>93472.36</v>
      </c>
      <c r="D239" s="65">
        <v>24.3</v>
      </c>
      <c r="E239" s="65">
        <v>225285.28</v>
      </c>
      <c r="F239" s="65">
        <v>15.07</v>
      </c>
      <c r="G239" s="34"/>
      <c r="H239" s="33"/>
      <c r="I239" s="63">
        <v>37864</v>
      </c>
      <c r="J239" s="65">
        <v>0.9</v>
      </c>
      <c r="K239" s="65">
        <v>27.2</v>
      </c>
      <c r="L239" s="65">
        <v>27.3</v>
      </c>
      <c r="M239" s="65">
        <v>27</v>
      </c>
      <c r="N239" s="34"/>
      <c r="O239" s="35"/>
    </row>
    <row r="240" spans="1:15" s="36" customFormat="1" ht="12" x14ac:dyDescent="0.2">
      <c r="A240" s="33"/>
      <c r="B240" s="62">
        <v>39113</v>
      </c>
      <c r="C240" s="64">
        <v>0</v>
      </c>
      <c r="D240" s="64">
        <v>0</v>
      </c>
      <c r="E240" s="64">
        <v>231031.18</v>
      </c>
      <c r="F240" s="64">
        <v>16</v>
      </c>
      <c r="G240" s="34"/>
      <c r="H240" s="33"/>
      <c r="I240" s="62">
        <v>37894</v>
      </c>
      <c r="J240" s="64">
        <v>1.1000000000000001</v>
      </c>
      <c r="K240" s="64">
        <v>31.3</v>
      </c>
      <c r="L240" s="64">
        <v>39.9</v>
      </c>
      <c r="M240" s="64">
        <v>-86.301370000000006</v>
      </c>
      <c r="N240" s="34"/>
      <c r="O240" s="35"/>
    </row>
    <row r="241" spans="1:15" s="36" customFormat="1" ht="12" x14ac:dyDescent="0.2">
      <c r="A241" s="33"/>
      <c r="B241" s="63">
        <v>39141</v>
      </c>
      <c r="C241" s="65">
        <v>6535.01</v>
      </c>
      <c r="D241" s="65">
        <v>23.4</v>
      </c>
      <c r="E241" s="65">
        <v>235168.74</v>
      </c>
      <c r="F241" s="65">
        <v>17.2</v>
      </c>
      <c r="G241" s="34"/>
      <c r="H241" s="33"/>
      <c r="I241" s="63">
        <v>37925</v>
      </c>
      <c r="J241" s="65">
        <v>1.8</v>
      </c>
      <c r="K241" s="65">
        <v>36.700000000000003</v>
      </c>
      <c r="L241" s="65">
        <v>39.700000000000003</v>
      </c>
      <c r="M241" s="65">
        <v>20.817530999999999</v>
      </c>
      <c r="N241" s="34"/>
      <c r="O241" s="35"/>
    </row>
    <row r="242" spans="1:15" s="36" customFormat="1" ht="12" x14ac:dyDescent="0.2">
      <c r="A242" s="33"/>
      <c r="B242" s="62">
        <v>39172</v>
      </c>
      <c r="C242" s="64">
        <v>14543.61</v>
      </c>
      <c r="D242" s="64">
        <v>25.3</v>
      </c>
      <c r="E242" s="64">
        <v>239585.58</v>
      </c>
      <c r="F242" s="64">
        <v>16.25</v>
      </c>
      <c r="G242" s="34"/>
      <c r="H242" s="33"/>
      <c r="I242" s="62">
        <v>37955</v>
      </c>
      <c r="J242" s="64">
        <v>3</v>
      </c>
      <c r="K242" s="64">
        <v>33.799999999999997</v>
      </c>
      <c r="L242" s="64">
        <v>28.5</v>
      </c>
      <c r="M242" s="64">
        <v>97.445255000000003</v>
      </c>
      <c r="N242" s="34"/>
      <c r="O242" s="35"/>
    </row>
    <row r="243" spans="1:15" s="36" customFormat="1" ht="12" x14ac:dyDescent="0.2">
      <c r="A243" s="33"/>
      <c r="B243" s="63">
        <v>39202</v>
      </c>
      <c r="C243" s="65">
        <v>22594.41</v>
      </c>
      <c r="D243" s="65">
        <v>25.5</v>
      </c>
      <c r="E243" s="65">
        <v>243805.22</v>
      </c>
      <c r="F243" s="65">
        <v>16.5</v>
      </c>
      <c r="G243" s="34"/>
      <c r="H243" s="33"/>
      <c r="I243" s="63">
        <v>37986</v>
      </c>
      <c r="J243" s="65">
        <v>3.2</v>
      </c>
      <c r="K243" s="65">
        <v>50.7</v>
      </c>
      <c r="L243" s="65">
        <v>47.4</v>
      </c>
      <c r="M243" s="65">
        <v>81.127296000000001</v>
      </c>
      <c r="N243" s="34"/>
      <c r="O243" s="35"/>
    </row>
    <row r="244" spans="1:15" s="36" customFormat="1" ht="12" x14ac:dyDescent="0.2">
      <c r="A244" s="33"/>
      <c r="B244" s="62">
        <v>39233</v>
      </c>
      <c r="C244" s="64">
        <v>32044.78</v>
      </c>
      <c r="D244" s="64">
        <v>25.9</v>
      </c>
      <c r="E244" s="64">
        <v>246277.96</v>
      </c>
      <c r="F244" s="64">
        <v>16.52</v>
      </c>
      <c r="G244" s="34"/>
      <c r="H244" s="33"/>
      <c r="I244" s="62">
        <v>38017</v>
      </c>
      <c r="J244" s="64">
        <v>3.2</v>
      </c>
      <c r="K244" s="64">
        <v>19.8</v>
      </c>
      <c r="L244" s="64">
        <v>15.2</v>
      </c>
      <c r="M244" s="64">
        <v>98.145161000000002</v>
      </c>
      <c r="N244" s="34"/>
      <c r="O244" s="35"/>
    </row>
    <row r="245" spans="1:15" s="36" customFormat="1" ht="12" x14ac:dyDescent="0.2">
      <c r="A245" s="33"/>
      <c r="B245" s="63">
        <v>39263</v>
      </c>
      <c r="C245" s="65">
        <v>46077.82</v>
      </c>
      <c r="D245" s="65">
        <v>26.7</v>
      </c>
      <c r="E245" s="65">
        <v>250792.59</v>
      </c>
      <c r="F245" s="65">
        <v>16.48</v>
      </c>
      <c r="G245" s="34"/>
      <c r="H245" s="33"/>
      <c r="I245" s="63">
        <v>38046</v>
      </c>
      <c r="J245" s="65">
        <v>2.1</v>
      </c>
      <c r="K245" s="65">
        <v>39.5</v>
      </c>
      <c r="L245" s="65">
        <v>77</v>
      </c>
      <c r="M245" s="65">
        <v>-1264.4970410000001</v>
      </c>
      <c r="N245" s="34"/>
      <c r="O245" s="35"/>
    </row>
    <row r="246" spans="1:15" s="36" customFormat="1" ht="12" x14ac:dyDescent="0.2">
      <c r="A246" s="33"/>
      <c r="B246" s="62">
        <v>39294</v>
      </c>
      <c r="C246" s="64">
        <v>56697.83</v>
      </c>
      <c r="D246" s="64">
        <v>26.6</v>
      </c>
      <c r="E246" s="64">
        <v>253106.67</v>
      </c>
      <c r="F246" s="64">
        <v>16.63</v>
      </c>
      <c r="G246" s="34"/>
      <c r="H246" s="33"/>
      <c r="I246" s="62">
        <v>38077</v>
      </c>
      <c r="J246" s="64">
        <v>3</v>
      </c>
      <c r="K246" s="64">
        <v>42.9</v>
      </c>
      <c r="L246" s="64">
        <v>42.8</v>
      </c>
      <c r="M246" s="64">
        <v>-17.903929999999999</v>
      </c>
      <c r="N246" s="34"/>
      <c r="O246" s="35"/>
    </row>
    <row r="247" spans="1:15" s="36" customFormat="1" ht="12" x14ac:dyDescent="0.2">
      <c r="A247" s="33"/>
      <c r="B247" s="63">
        <v>39325</v>
      </c>
      <c r="C247" s="65">
        <v>66659</v>
      </c>
      <c r="D247" s="65">
        <v>26.7</v>
      </c>
      <c r="E247" s="65">
        <v>256135.41</v>
      </c>
      <c r="F247" s="65">
        <v>17.02</v>
      </c>
      <c r="G247" s="34"/>
      <c r="H247" s="33"/>
      <c r="I247" s="63">
        <v>38107</v>
      </c>
      <c r="J247" s="65">
        <v>3.8</v>
      </c>
      <c r="K247" s="65">
        <v>32.4</v>
      </c>
      <c r="L247" s="65">
        <v>42.9</v>
      </c>
      <c r="M247" s="65">
        <v>-322.38658800000002</v>
      </c>
      <c r="N247" s="34"/>
      <c r="O247" s="35"/>
    </row>
    <row r="248" spans="1:15" s="36" customFormat="1" ht="12" x14ac:dyDescent="0.2">
      <c r="A248" s="33"/>
      <c r="B248" s="62">
        <v>39355</v>
      </c>
      <c r="C248" s="64">
        <v>78246.78</v>
      </c>
      <c r="D248" s="64">
        <v>26.4</v>
      </c>
      <c r="E248" s="64">
        <v>258970.33</v>
      </c>
      <c r="F248" s="64">
        <v>17.13</v>
      </c>
      <c r="G248" s="34"/>
      <c r="H248" s="33"/>
      <c r="I248" s="62">
        <v>38138</v>
      </c>
      <c r="J248" s="64">
        <v>4.4000000000000004</v>
      </c>
      <c r="K248" s="64">
        <v>32.799999999999997</v>
      </c>
      <c r="L248" s="64">
        <v>35.4</v>
      </c>
      <c r="M248" s="64">
        <v>-5.6502239999999997</v>
      </c>
      <c r="N248" s="34"/>
      <c r="O248" s="35"/>
    </row>
    <row r="249" spans="1:15" s="36" customFormat="1" ht="12" x14ac:dyDescent="0.2">
      <c r="A249" s="33"/>
      <c r="B249" s="63">
        <v>39386</v>
      </c>
      <c r="C249" s="65">
        <v>88953.32</v>
      </c>
      <c r="D249" s="65">
        <v>26.9</v>
      </c>
      <c r="E249" s="65">
        <v>260331.44</v>
      </c>
      <c r="F249" s="65">
        <v>17.66</v>
      </c>
      <c r="G249" s="34"/>
      <c r="H249" s="33"/>
      <c r="I249" s="63">
        <v>38168</v>
      </c>
      <c r="J249" s="65">
        <v>5</v>
      </c>
      <c r="K249" s="65">
        <v>46.5</v>
      </c>
      <c r="L249" s="65">
        <v>50.5</v>
      </c>
      <c r="M249" s="65">
        <v>-13.878505000000001</v>
      </c>
      <c r="N249" s="34"/>
      <c r="O249" s="35"/>
    </row>
    <row r="250" spans="1:15" s="36" customFormat="1" ht="12" x14ac:dyDescent="0.2">
      <c r="A250" s="33"/>
      <c r="B250" s="62">
        <v>39416</v>
      </c>
      <c r="C250" s="64">
        <v>100604.61</v>
      </c>
      <c r="D250" s="64">
        <v>26.8</v>
      </c>
      <c r="E250" s="64">
        <v>261205.4</v>
      </c>
      <c r="F250" s="64">
        <v>17.03</v>
      </c>
      <c r="G250" s="34"/>
      <c r="H250" s="33"/>
      <c r="I250" s="62">
        <v>38199</v>
      </c>
      <c r="J250" s="64">
        <v>5.3</v>
      </c>
      <c r="K250" s="64">
        <v>33.9</v>
      </c>
      <c r="L250" s="64">
        <v>34.200000000000003</v>
      </c>
      <c r="M250" s="64">
        <v>27.380952000000001</v>
      </c>
      <c r="N250" s="34"/>
      <c r="O250" s="35"/>
    </row>
    <row r="251" spans="1:15" s="36" customFormat="1" ht="12" x14ac:dyDescent="0.2">
      <c r="A251" s="33"/>
      <c r="B251" s="63">
        <v>39447</v>
      </c>
      <c r="C251" s="65">
        <v>117413.91</v>
      </c>
      <c r="D251" s="65">
        <v>25.8</v>
      </c>
      <c r="E251" s="65">
        <v>261690.88</v>
      </c>
      <c r="F251" s="65">
        <v>16.100000000000001</v>
      </c>
      <c r="G251" s="34"/>
      <c r="H251" s="33"/>
      <c r="I251" s="63">
        <v>38230</v>
      </c>
      <c r="J251" s="65">
        <v>5.3</v>
      </c>
      <c r="K251" s="65">
        <v>37.5</v>
      </c>
      <c r="L251" s="65">
        <v>35.6</v>
      </c>
      <c r="M251" s="65">
        <v>60.701503000000002</v>
      </c>
      <c r="N251" s="34"/>
      <c r="O251" s="35"/>
    </row>
    <row r="252" spans="1:15" s="36" customFormat="1" ht="12" x14ac:dyDescent="0.2">
      <c r="A252" s="33"/>
      <c r="B252" s="62">
        <v>39478</v>
      </c>
      <c r="C252" s="64">
        <v>0</v>
      </c>
      <c r="D252" s="64">
        <v>0</v>
      </c>
      <c r="E252" s="64">
        <v>269695.58</v>
      </c>
      <c r="F252" s="64">
        <v>16.739999999999998</v>
      </c>
      <c r="G252" s="34"/>
      <c r="H252" s="33"/>
      <c r="I252" s="62">
        <v>38260</v>
      </c>
      <c r="J252" s="64">
        <v>5.2</v>
      </c>
      <c r="K252" s="64">
        <v>33.1</v>
      </c>
      <c r="L252" s="64">
        <v>22.1</v>
      </c>
      <c r="M252" s="64">
        <v>1621.37931</v>
      </c>
      <c r="N252" s="34"/>
      <c r="O252" s="35"/>
    </row>
    <row r="253" spans="1:15" s="36" customFormat="1" ht="12" x14ac:dyDescent="0.2">
      <c r="A253" s="33"/>
      <c r="B253" s="63">
        <v>39507</v>
      </c>
      <c r="C253" s="65">
        <v>8121.29</v>
      </c>
      <c r="D253" s="65">
        <v>24.3</v>
      </c>
      <c r="E253" s="65">
        <v>272165.99</v>
      </c>
      <c r="F253" s="65">
        <v>15.73</v>
      </c>
      <c r="G253" s="34"/>
      <c r="H253" s="33"/>
      <c r="I253" s="63">
        <v>38291</v>
      </c>
      <c r="J253" s="65">
        <v>4.3</v>
      </c>
      <c r="K253" s="65">
        <v>28.5</v>
      </c>
      <c r="L253" s="65">
        <v>29.3</v>
      </c>
      <c r="M253" s="65">
        <v>23.700731999999999</v>
      </c>
      <c r="N253" s="34"/>
      <c r="O253" s="35"/>
    </row>
    <row r="254" spans="1:15" s="36" customFormat="1" ht="12" x14ac:dyDescent="0.2">
      <c r="A254" s="33"/>
      <c r="B254" s="62">
        <v>39538</v>
      </c>
      <c r="C254" s="64">
        <v>18316.939999999999</v>
      </c>
      <c r="D254" s="64">
        <v>25.9</v>
      </c>
      <c r="E254" s="64">
        <v>275000.21000000002</v>
      </c>
      <c r="F254" s="64">
        <v>14.78</v>
      </c>
      <c r="G254" s="34"/>
      <c r="H254" s="33"/>
      <c r="I254" s="62">
        <v>38321</v>
      </c>
      <c r="J254" s="64">
        <v>2.8</v>
      </c>
      <c r="K254" s="64">
        <v>45.9</v>
      </c>
      <c r="L254" s="64">
        <v>38.5</v>
      </c>
      <c r="M254" s="64">
        <v>103.224481</v>
      </c>
      <c r="N254" s="34"/>
      <c r="O254" s="35"/>
    </row>
    <row r="255" spans="1:15" s="36" customFormat="1" ht="12" x14ac:dyDescent="0.2">
      <c r="A255" s="33"/>
      <c r="B255" s="63">
        <v>39568</v>
      </c>
      <c r="C255" s="65">
        <v>28410.07</v>
      </c>
      <c r="D255" s="65">
        <v>25.7</v>
      </c>
      <c r="E255" s="65">
        <v>279690.15999999997</v>
      </c>
      <c r="F255" s="65">
        <v>14.7</v>
      </c>
      <c r="G255" s="34"/>
      <c r="H255" s="33"/>
      <c r="I255" s="63">
        <v>38352</v>
      </c>
      <c r="J255" s="65">
        <v>2.4</v>
      </c>
      <c r="K255" s="65">
        <v>32.700000000000003</v>
      </c>
      <c r="L255" s="65">
        <v>24.6</v>
      </c>
      <c r="M255" s="65">
        <v>93.636364</v>
      </c>
      <c r="N255" s="34"/>
      <c r="O255" s="35"/>
    </row>
    <row r="256" spans="1:15" s="36" customFormat="1" ht="12" x14ac:dyDescent="0.2">
      <c r="A256" s="33"/>
      <c r="B256" s="62">
        <v>39599</v>
      </c>
      <c r="C256" s="64">
        <v>40264.199999999997</v>
      </c>
      <c r="D256" s="64">
        <v>25.6</v>
      </c>
      <c r="E256" s="64">
        <v>282875.17</v>
      </c>
      <c r="F256" s="64">
        <v>14.86</v>
      </c>
      <c r="G256" s="34"/>
      <c r="H256" s="33"/>
      <c r="I256" s="62">
        <v>38383</v>
      </c>
      <c r="J256" s="64">
        <v>1.9</v>
      </c>
      <c r="K256" s="64">
        <v>42.1</v>
      </c>
      <c r="L256" s="64">
        <v>23.9</v>
      </c>
      <c r="M256" s="64">
        <v>28334.782609000002</v>
      </c>
      <c r="N256" s="34"/>
      <c r="O256" s="35"/>
    </row>
    <row r="257" spans="1:15" s="36" customFormat="1" ht="12" x14ac:dyDescent="0.2">
      <c r="A257" s="33"/>
      <c r="B257" s="63">
        <v>39629</v>
      </c>
      <c r="C257" s="65">
        <v>58435.98</v>
      </c>
      <c r="D257" s="65">
        <v>26.8</v>
      </c>
      <c r="E257" s="65">
        <v>286199.38</v>
      </c>
      <c r="F257" s="65">
        <v>14.12</v>
      </c>
      <c r="G257" s="34"/>
      <c r="H257" s="33"/>
      <c r="I257" s="63">
        <v>38411</v>
      </c>
      <c r="J257" s="65">
        <v>3.9</v>
      </c>
      <c r="K257" s="65">
        <v>30</v>
      </c>
      <c r="L257" s="65">
        <v>-5</v>
      </c>
      <c r="M257" s="65">
        <v>155.34806900000001</v>
      </c>
      <c r="N257" s="34"/>
      <c r="O257" s="35"/>
    </row>
    <row r="258" spans="1:15" s="36" customFormat="1" ht="12" x14ac:dyDescent="0.2">
      <c r="A258" s="33"/>
      <c r="B258" s="62">
        <v>39660</v>
      </c>
      <c r="C258" s="64">
        <v>72160.08</v>
      </c>
      <c r="D258" s="64">
        <v>27.3</v>
      </c>
      <c r="E258" s="64">
        <v>290016.98</v>
      </c>
      <c r="F258" s="64">
        <v>14.58</v>
      </c>
      <c r="G258" s="34"/>
      <c r="H258" s="33"/>
      <c r="I258" s="62">
        <v>38442</v>
      </c>
      <c r="J258" s="64">
        <v>2.7</v>
      </c>
      <c r="K258" s="64">
        <v>32.799999999999997</v>
      </c>
      <c r="L258" s="64">
        <v>18.600000000000001</v>
      </c>
      <c r="M258" s="64">
        <v>1161.666667</v>
      </c>
      <c r="N258" s="34"/>
      <c r="O258" s="35"/>
    </row>
    <row r="259" spans="1:15" s="36" customFormat="1" ht="12" x14ac:dyDescent="0.2">
      <c r="A259" s="33"/>
      <c r="B259" s="63">
        <v>39691</v>
      </c>
      <c r="C259" s="65">
        <v>84919.69</v>
      </c>
      <c r="D259" s="65">
        <v>27.4</v>
      </c>
      <c r="E259" s="65">
        <v>292732.36</v>
      </c>
      <c r="F259" s="65">
        <v>14.29</v>
      </c>
      <c r="G259" s="34"/>
      <c r="H259" s="33"/>
      <c r="I259" s="63">
        <v>38472</v>
      </c>
      <c r="J259" s="65">
        <v>1.8</v>
      </c>
      <c r="K259" s="65">
        <v>31.9</v>
      </c>
      <c r="L259" s="65">
        <v>16.2</v>
      </c>
      <c r="M259" s="65">
        <v>303.592018</v>
      </c>
      <c r="N259" s="34"/>
      <c r="O259" s="35"/>
    </row>
    <row r="260" spans="1:15" s="36" customFormat="1" ht="12" x14ac:dyDescent="0.2">
      <c r="A260" s="33"/>
      <c r="B260" s="62">
        <v>39721</v>
      </c>
      <c r="C260" s="64">
        <v>99870.71</v>
      </c>
      <c r="D260" s="64">
        <v>27.6</v>
      </c>
      <c r="E260" s="64">
        <v>296477.09000000003</v>
      </c>
      <c r="F260" s="64">
        <v>14.48</v>
      </c>
      <c r="G260" s="34"/>
      <c r="H260" s="33"/>
      <c r="I260" s="62">
        <v>38503</v>
      </c>
      <c r="J260" s="64">
        <v>1.8</v>
      </c>
      <c r="K260" s="64">
        <v>30.3</v>
      </c>
      <c r="L260" s="64">
        <v>15</v>
      </c>
      <c r="M260" s="64">
        <v>327.18631199999999</v>
      </c>
      <c r="N260" s="34"/>
      <c r="O260" s="35"/>
    </row>
    <row r="261" spans="1:15" s="36" customFormat="1" ht="12" x14ac:dyDescent="0.2">
      <c r="A261" s="33"/>
      <c r="B261" s="63">
        <v>39752</v>
      </c>
      <c r="C261" s="65">
        <v>113189.07</v>
      </c>
      <c r="D261" s="65">
        <v>27.2</v>
      </c>
      <c r="E261" s="65">
        <v>298295.65000000002</v>
      </c>
      <c r="F261" s="65">
        <v>14.58</v>
      </c>
      <c r="G261" s="34"/>
      <c r="H261" s="33"/>
      <c r="I261" s="63">
        <v>38533</v>
      </c>
      <c r="J261" s="65">
        <v>1.6</v>
      </c>
      <c r="K261" s="65">
        <v>30.6</v>
      </c>
      <c r="L261" s="65">
        <v>15.1</v>
      </c>
      <c r="M261" s="65">
        <v>425.12208399999997</v>
      </c>
      <c r="N261" s="34"/>
      <c r="O261" s="35"/>
    </row>
    <row r="262" spans="1:15" s="36" customFormat="1" ht="12" x14ac:dyDescent="0.2">
      <c r="A262" s="33"/>
      <c r="B262" s="62">
        <v>39782</v>
      </c>
      <c r="C262" s="64">
        <v>127614.14</v>
      </c>
      <c r="D262" s="64">
        <v>26.8</v>
      </c>
      <c r="E262" s="64">
        <v>295749.55</v>
      </c>
      <c r="F262" s="64">
        <v>16.03</v>
      </c>
      <c r="G262" s="34"/>
      <c r="H262" s="33"/>
      <c r="I262" s="62">
        <v>38564</v>
      </c>
      <c r="J262" s="64">
        <v>1.8</v>
      </c>
      <c r="K262" s="64">
        <v>28.7</v>
      </c>
      <c r="L262" s="64">
        <v>12.4</v>
      </c>
      <c r="M262" s="64">
        <v>418.69158900000002</v>
      </c>
      <c r="N262" s="34"/>
      <c r="O262" s="35"/>
    </row>
    <row r="263" spans="1:15" s="36" customFormat="1" ht="12" x14ac:dyDescent="0.2">
      <c r="A263" s="33"/>
      <c r="B263" s="63">
        <v>39813</v>
      </c>
      <c r="C263" s="65">
        <v>148167.25</v>
      </c>
      <c r="D263" s="65">
        <v>26.6</v>
      </c>
      <c r="E263" s="65">
        <v>303394.64</v>
      </c>
      <c r="F263" s="65">
        <v>18.760000000000002</v>
      </c>
      <c r="G263" s="34"/>
      <c r="H263" s="33"/>
      <c r="I263" s="63">
        <v>38595</v>
      </c>
      <c r="J263" s="65">
        <v>1.3</v>
      </c>
      <c r="K263" s="65">
        <v>33.200000000000003</v>
      </c>
      <c r="L263" s="65">
        <v>23.5</v>
      </c>
      <c r="M263" s="65">
        <v>135.92427599999999</v>
      </c>
      <c r="N263" s="34"/>
      <c r="O263" s="35"/>
    </row>
    <row r="264" spans="1:15" s="36" customFormat="1" ht="12" x14ac:dyDescent="0.2">
      <c r="A264" s="33"/>
      <c r="B264" s="62">
        <v>39844</v>
      </c>
      <c r="C264" s="64">
        <v>0</v>
      </c>
      <c r="D264" s="64">
        <v>0</v>
      </c>
      <c r="E264" s="64">
        <v>319921.84000000003</v>
      </c>
      <c r="F264" s="64">
        <v>21.33</v>
      </c>
      <c r="G264" s="34"/>
      <c r="H264" s="33"/>
      <c r="I264" s="62">
        <v>38625</v>
      </c>
      <c r="J264" s="64">
        <v>0.9</v>
      </c>
      <c r="K264" s="64">
        <v>25.9</v>
      </c>
      <c r="L264" s="64">
        <v>23.5</v>
      </c>
      <c r="M264" s="64">
        <v>51.642628000000002</v>
      </c>
      <c r="N264" s="34"/>
      <c r="O264" s="35"/>
    </row>
    <row r="265" spans="1:15" s="36" customFormat="1" ht="12" x14ac:dyDescent="0.2">
      <c r="A265" s="33"/>
      <c r="B265" s="63">
        <v>39872</v>
      </c>
      <c r="C265" s="65">
        <v>10275.790000000001</v>
      </c>
      <c r="D265" s="65">
        <v>26.5</v>
      </c>
      <c r="E265" s="65">
        <v>330637.71000000002</v>
      </c>
      <c r="F265" s="65">
        <v>24.17</v>
      </c>
      <c r="G265" s="34"/>
      <c r="H265" s="33"/>
      <c r="I265" s="63">
        <v>38656</v>
      </c>
      <c r="J265" s="65">
        <v>1.2</v>
      </c>
      <c r="K265" s="65">
        <v>29.7</v>
      </c>
      <c r="L265" s="65">
        <v>23.4</v>
      </c>
      <c r="M265" s="65">
        <v>69.406457000000003</v>
      </c>
      <c r="N265" s="34"/>
      <c r="O265" s="35"/>
    </row>
    <row r="266" spans="1:15" s="36" customFormat="1" ht="12" x14ac:dyDescent="0.2">
      <c r="A266" s="33"/>
      <c r="B266" s="62">
        <v>39903</v>
      </c>
      <c r="C266" s="64">
        <v>23562</v>
      </c>
      <c r="D266" s="64">
        <v>28.6</v>
      </c>
      <c r="E266" s="64">
        <v>349554.82</v>
      </c>
      <c r="F266" s="64">
        <v>29.78</v>
      </c>
      <c r="G266" s="34"/>
      <c r="H266" s="33"/>
      <c r="I266" s="62">
        <v>38686</v>
      </c>
      <c r="J266" s="64">
        <v>1.3</v>
      </c>
      <c r="K266" s="64">
        <v>18.600000000000001</v>
      </c>
      <c r="L266" s="64">
        <v>21</v>
      </c>
      <c r="M266" s="64">
        <v>6.4274889999999996</v>
      </c>
      <c r="N266" s="34"/>
      <c r="O266" s="35"/>
    </row>
    <row r="267" spans="1:15" s="36" customFormat="1" ht="12" x14ac:dyDescent="0.2">
      <c r="A267" s="33"/>
      <c r="B267" s="63">
        <v>39933</v>
      </c>
      <c r="C267" s="65">
        <v>37082.300000000003</v>
      </c>
      <c r="D267" s="65">
        <v>30.5</v>
      </c>
      <c r="E267" s="65">
        <v>355472.82</v>
      </c>
      <c r="F267" s="65">
        <v>29.72</v>
      </c>
      <c r="G267" s="34"/>
      <c r="H267" s="33"/>
      <c r="I267" s="63">
        <v>38717</v>
      </c>
      <c r="J267" s="65">
        <v>1.6</v>
      </c>
      <c r="K267" s="65">
        <v>18.2</v>
      </c>
      <c r="L267" s="65">
        <v>22.2</v>
      </c>
      <c r="M267" s="65">
        <v>-0.59588300000000005</v>
      </c>
      <c r="N267" s="34"/>
      <c r="O267" s="35"/>
    </row>
    <row r="268" spans="1:15" s="36" customFormat="1" ht="12" x14ac:dyDescent="0.2">
      <c r="A268" s="33"/>
      <c r="B268" s="62">
        <v>39964</v>
      </c>
      <c r="C268" s="64">
        <v>53520.32</v>
      </c>
      <c r="D268" s="64">
        <v>32.9</v>
      </c>
      <c r="E268" s="64">
        <v>362141.69</v>
      </c>
      <c r="F268" s="64">
        <v>30.6</v>
      </c>
      <c r="G268" s="34"/>
      <c r="H268" s="33"/>
      <c r="I268" s="62">
        <v>38748</v>
      </c>
      <c r="J268" s="64">
        <v>1.9</v>
      </c>
      <c r="K268" s="64">
        <v>28.1</v>
      </c>
      <c r="L268" s="64">
        <v>25.4</v>
      </c>
      <c r="M268" s="64">
        <v>46.165691000000002</v>
      </c>
      <c r="N268" s="34"/>
      <c r="O268" s="35"/>
    </row>
    <row r="269" spans="1:15" s="36" customFormat="1" ht="12" x14ac:dyDescent="0.2">
      <c r="A269" s="33"/>
      <c r="B269" s="63">
        <v>39994</v>
      </c>
      <c r="C269" s="65">
        <v>78098.350000000006</v>
      </c>
      <c r="D269" s="65">
        <v>33.6</v>
      </c>
      <c r="E269" s="65">
        <v>377446.12</v>
      </c>
      <c r="F269" s="65">
        <v>34.44</v>
      </c>
      <c r="G269" s="34"/>
      <c r="H269" s="33"/>
      <c r="I269" s="63">
        <v>38776</v>
      </c>
      <c r="J269" s="65">
        <v>0.9</v>
      </c>
      <c r="K269" s="65">
        <v>22.2</v>
      </c>
      <c r="L269" s="65">
        <v>29.5</v>
      </c>
      <c r="M269" s="65">
        <v>-44.365389</v>
      </c>
      <c r="N269" s="34"/>
      <c r="O269" s="35"/>
    </row>
    <row r="270" spans="1:15" s="36" customFormat="1" ht="12" x14ac:dyDescent="0.2">
      <c r="A270" s="33"/>
      <c r="B270" s="62">
        <v>40025</v>
      </c>
      <c r="C270" s="64">
        <v>95932.01</v>
      </c>
      <c r="D270" s="64">
        <v>32.9</v>
      </c>
      <c r="E270" s="64">
        <v>381137.61</v>
      </c>
      <c r="F270" s="64">
        <v>33.9</v>
      </c>
      <c r="G270" s="34"/>
      <c r="H270" s="33"/>
      <c r="I270" s="62">
        <v>38807</v>
      </c>
      <c r="J270" s="64">
        <v>0.8</v>
      </c>
      <c r="K270" s="64">
        <v>28.3</v>
      </c>
      <c r="L270" s="64">
        <v>21.1</v>
      </c>
      <c r="M270" s="64">
        <v>95.168323999999998</v>
      </c>
      <c r="N270" s="34"/>
      <c r="O270" s="35"/>
    </row>
    <row r="271" spans="1:15" s="36" customFormat="1" ht="12" x14ac:dyDescent="0.2">
      <c r="A271" s="33"/>
      <c r="B271" s="63">
        <v>40056</v>
      </c>
      <c r="C271" s="65">
        <v>112984.79</v>
      </c>
      <c r="D271" s="65">
        <v>33</v>
      </c>
      <c r="E271" s="65">
        <v>385241.19</v>
      </c>
      <c r="F271" s="65">
        <v>34.11</v>
      </c>
      <c r="H271" s="33"/>
      <c r="I271" s="63">
        <v>38837</v>
      </c>
      <c r="J271" s="65">
        <v>1.2</v>
      </c>
      <c r="K271" s="65">
        <v>23.9</v>
      </c>
      <c r="L271" s="65">
        <v>15.3</v>
      </c>
      <c r="M271" s="65">
        <v>127.771727</v>
      </c>
      <c r="N271" s="34"/>
      <c r="O271" s="35"/>
    </row>
    <row r="272" spans="1:15" s="36" customFormat="1" ht="12" x14ac:dyDescent="0.2">
      <c r="A272" s="33"/>
      <c r="B272" s="62">
        <v>40086</v>
      </c>
      <c r="C272" s="64">
        <v>133176.6</v>
      </c>
      <c r="D272" s="64">
        <v>33.299999999999997</v>
      </c>
      <c r="E272" s="64">
        <v>390407.85</v>
      </c>
      <c r="F272" s="64">
        <v>34.159999999999997</v>
      </c>
      <c r="H272" s="33"/>
      <c r="I272" s="62">
        <v>38868</v>
      </c>
      <c r="J272" s="64">
        <v>1.4</v>
      </c>
      <c r="K272" s="64">
        <v>25.1</v>
      </c>
      <c r="L272" s="64">
        <v>21.7</v>
      </c>
      <c r="M272" s="64">
        <v>44.681798000000001</v>
      </c>
      <c r="N272" s="34"/>
      <c r="O272" s="35"/>
    </row>
    <row r="273" spans="1:15" s="36" customFormat="1" ht="12" x14ac:dyDescent="0.2">
      <c r="A273" s="33"/>
      <c r="B273" s="63">
        <v>40117</v>
      </c>
      <c r="C273" s="65">
        <v>150709.76000000001</v>
      </c>
      <c r="D273" s="65">
        <v>33.1</v>
      </c>
      <c r="E273" s="65">
        <v>392937.64</v>
      </c>
      <c r="F273" s="65">
        <v>34.19</v>
      </c>
      <c r="H273" s="33"/>
      <c r="I273" s="63">
        <v>38898</v>
      </c>
      <c r="J273" s="65">
        <v>1.5</v>
      </c>
      <c r="K273" s="65">
        <v>23.3</v>
      </c>
      <c r="L273" s="65">
        <v>18.899999999999999</v>
      </c>
      <c r="M273" s="65">
        <v>49.855342</v>
      </c>
      <c r="N273" s="34"/>
      <c r="O273" s="35"/>
    </row>
    <row r="274" spans="1:15" s="36" customFormat="1" ht="12" x14ac:dyDescent="0.2">
      <c r="A274" s="33"/>
      <c r="B274" s="62">
        <v>40147</v>
      </c>
      <c r="C274" s="64">
        <v>168634.2</v>
      </c>
      <c r="D274" s="64">
        <v>32.1</v>
      </c>
      <c r="E274" s="64">
        <v>395885.31</v>
      </c>
      <c r="F274" s="64">
        <v>33.79</v>
      </c>
      <c r="H274" s="33"/>
      <c r="I274" s="62">
        <v>38929</v>
      </c>
      <c r="J274" s="64">
        <v>1</v>
      </c>
      <c r="K274" s="64">
        <v>22.6</v>
      </c>
      <c r="L274" s="64">
        <v>19.7</v>
      </c>
      <c r="M274" s="64">
        <v>38.672356999999998</v>
      </c>
      <c r="N274" s="34"/>
      <c r="O274" s="35"/>
    </row>
    <row r="275" spans="1:15" s="36" customFormat="1" ht="12" x14ac:dyDescent="0.2">
      <c r="A275" s="33"/>
      <c r="B275" s="63">
        <v>40178</v>
      </c>
      <c r="C275" s="65">
        <v>194138.62</v>
      </c>
      <c r="D275" s="65">
        <v>30.4</v>
      </c>
      <c r="E275" s="65">
        <v>399684.82</v>
      </c>
      <c r="F275" s="65">
        <v>31.74</v>
      </c>
      <c r="H275" s="33"/>
      <c r="I275" s="63">
        <v>38960</v>
      </c>
      <c r="J275" s="65">
        <v>1.3</v>
      </c>
      <c r="K275" s="65">
        <v>32.799999999999997</v>
      </c>
      <c r="L275" s="65">
        <v>24.6</v>
      </c>
      <c r="M275" s="65">
        <v>77.437931000000006</v>
      </c>
      <c r="N275" s="34"/>
      <c r="O275" s="35"/>
    </row>
    <row r="276" spans="1:15" s="36" customFormat="1" ht="12" x14ac:dyDescent="0.2">
      <c r="A276" s="33"/>
      <c r="B276" s="62">
        <v>40209</v>
      </c>
      <c r="C276" s="64">
        <v>0</v>
      </c>
      <c r="D276" s="64">
        <v>0</v>
      </c>
      <c r="E276" s="64">
        <v>413679.6</v>
      </c>
      <c r="F276" s="64">
        <v>29.31</v>
      </c>
      <c r="H276" s="33"/>
      <c r="I276" s="62">
        <v>38990</v>
      </c>
      <c r="J276" s="64">
        <v>1.5</v>
      </c>
      <c r="K276" s="64">
        <v>30.6</v>
      </c>
      <c r="L276" s="64">
        <v>22</v>
      </c>
      <c r="M276" s="64">
        <v>102.113606</v>
      </c>
      <c r="N276" s="34"/>
      <c r="O276" s="35"/>
    </row>
    <row r="277" spans="1:15" s="36" customFormat="1" ht="12" x14ac:dyDescent="0.2">
      <c r="A277" s="33"/>
      <c r="B277" s="63">
        <v>40237</v>
      </c>
      <c r="C277" s="65">
        <v>13014.03</v>
      </c>
      <c r="D277" s="65">
        <v>26.6</v>
      </c>
      <c r="E277" s="65">
        <v>420678.38</v>
      </c>
      <c r="F277" s="65">
        <v>27.23</v>
      </c>
      <c r="H277" s="33"/>
      <c r="I277" s="63">
        <v>39021</v>
      </c>
      <c r="J277" s="65">
        <v>1.4</v>
      </c>
      <c r="K277" s="65">
        <v>29.6</v>
      </c>
      <c r="L277" s="65">
        <v>14.7</v>
      </c>
      <c r="M277" s="65">
        <v>98.310586000000001</v>
      </c>
      <c r="N277" s="34"/>
      <c r="O277" s="35"/>
    </row>
    <row r="278" spans="1:15" s="36" customFormat="1" ht="12" x14ac:dyDescent="0.2">
      <c r="A278" s="33"/>
      <c r="B278" s="62">
        <v>40268</v>
      </c>
      <c r="C278" s="64">
        <v>29792.68</v>
      </c>
      <c r="D278" s="64">
        <v>26.4</v>
      </c>
      <c r="E278" s="64">
        <v>425785.27</v>
      </c>
      <c r="F278" s="64">
        <v>21.81</v>
      </c>
      <c r="H278" s="33"/>
      <c r="I278" s="62">
        <v>39051</v>
      </c>
      <c r="J278" s="64">
        <v>1.9</v>
      </c>
      <c r="K278" s="64">
        <v>32.799999999999997</v>
      </c>
      <c r="L278" s="64">
        <v>18.3</v>
      </c>
      <c r="M278" s="64">
        <v>117.719115</v>
      </c>
      <c r="N278" s="34"/>
      <c r="O278" s="35"/>
    </row>
    <row r="279" spans="1:15" s="36" customFormat="1" ht="12" x14ac:dyDescent="0.2">
      <c r="A279" s="33"/>
      <c r="B279" s="63">
        <v>40298</v>
      </c>
      <c r="C279" s="65">
        <v>46742.75</v>
      </c>
      <c r="D279" s="65">
        <v>26.1</v>
      </c>
      <c r="E279" s="65">
        <v>433525.27</v>
      </c>
      <c r="F279" s="65">
        <v>21.96</v>
      </c>
      <c r="H279" s="33"/>
      <c r="I279" s="63">
        <v>39082</v>
      </c>
      <c r="J279" s="65">
        <v>2.8</v>
      </c>
      <c r="K279" s="65">
        <v>24.8</v>
      </c>
      <c r="L279" s="65">
        <v>13.5</v>
      </c>
      <c r="M279" s="65">
        <v>90.708447000000007</v>
      </c>
      <c r="N279" s="34"/>
      <c r="O279" s="35"/>
    </row>
    <row r="280" spans="1:15" s="36" customFormat="1" ht="12" x14ac:dyDescent="0.2">
      <c r="A280" s="33"/>
      <c r="B280" s="62">
        <v>40329</v>
      </c>
      <c r="C280" s="64">
        <v>67358.3</v>
      </c>
      <c r="D280" s="64">
        <v>25.9</v>
      </c>
      <c r="E280" s="64">
        <v>440018.15</v>
      </c>
      <c r="F280" s="64">
        <v>21.5</v>
      </c>
      <c r="H280" s="33"/>
      <c r="I280" s="62">
        <v>39113</v>
      </c>
      <c r="J280" s="64">
        <v>2.2000000000000002</v>
      </c>
      <c r="K280" s="64">
        <v>33.24</v>
      </c>
      <c r="L280" s="64">
        <v>27.44</v>
      </c>
      <c r="M280" s="64">
        <v>67.172355999999994</v>
      </c>
      <c r="N280" s="34"/>
      <c r="O280" s="35"/>
    </row>
    <row r="281" spans="1:15" s="36" customFormat="1" ht="12" x14ac:dyDescent="0.2">
      <c r="A281" s="33"/>
      <c r="B281" s="63">
        <v>40359</v>
      </c>
      <c r="C281" s="65">
        <v>98047.38</v>
      </c>
      <c r="D281" s="65">
        <v>25.5</v>
      </c>
      <c r="E281" s="65">
        <v>446045.62</v>
      </c>
      <c r="F281" s="65">
        <v>18.2</v>
      </c>
      <c r="H281" s="33"/>
      <c r="I281" s="63">
        <v>39141</v>
      </c>
      <c r="J281" s="65">
        <v>2.7</v>
      </c>
      <c r="K281" s="65">
        <v>51.82</v>
      </c>
      <c r="L281" s="65">
        <v>12.91</v>
      </c>
      <c r="M281" s="65">
        <v>881.47689800000001</v>
      </c>
      <c r="N281" s="34"/>
      <c r="O281" s="35"/>
    </row>
    <row r="282" spans="1:15" s="36" customFormat="1" ht="12" x14ac:dyDescent="0.2">
      <c r="A282" s="33"/>
      <c r="B282" s="62">
        <v>40390</v>
      </c>
      <c r="C282" s="64">
        <v>119866.25</v>
      </c>
      <c r="D282" s="64">
        <v>24.9</v>
      </c>
      <c r="E282" s="64">
        <v>451372.55</v>
      </c>
      <c r="F282" s="64">
        <v>18.399999999999999</v>
      </c>
      <c r="H282" s="33"/>
      <c r="I282" s="62">
        <v>39172</v>
      </c>
      <c r="J282" s="64">
        <v>3.3</v>
      </c>
      <c r="K282" s="64">
        <v>7.09</v>
      </c>
      <c r="L282" s="64">
        <v>14.7</v>
      </c>
      <c r="M282" s="64">
        <v>-38.421664</v>
      </c>
      <c r="N282" s="34"/>
      <c r="O282" s="35"/>
    </row>
    <row r="283" spans="1:15" s="36" customFormat="1" ht="12" x14ac:dyDescent="0.2">
      <c r="A283" s="33"/>
      <c r="B283" s="63">
        <v>40421</v>
      </c>
      <c r="C283" s="65">
        <v>140997.74</v>
      </c>
      <c r="D283" s="65">
        <v>24.8</v>
      </c>
      <c r="E283" s="65">
        <v>456818.62</v>
      </c>
      <c r="F283" s="65">
        <v>18.600000000000001</v>
      </c>
      <c r="H283" s="33"/>
      <c r="I283" s="63">
        <v>39202</v>
      </c>
      <c r="J283" s="65">
        <v>3</v>
      </c>
      <c r="K283" s="65">
        <v>26.7</v>
      </c>
      <c r="L283" s="65">
        <v>21.46</v>
      </c>
      <c r="M283" s="65">
        <v>60.026775999999998</v>
      </c>
      <c r="N283" s="34"/>
      <c r="O283" s="35"/>
    </row>
    <row r="284" spans="1:15" s="36" customFormat="1" ht="12" x14ac:dyDescent="0.2">
      <c r="A284" s="33"/>
      <c r="B284" s="62">
        <v>40451</v>
      </c>
      <c r="C284" s="64">
        <v>165869.57999999999</v>
      </c>
      <c r="D284" s="64">
        <v>24.5</v>
      </c>
      <c r="E284" s="64">
        <v>462822.64</v>
      </c>
      <c r="F284" s="64">
        <v>18.5</v>
      </c>
      <c r="H284" s="33"/>
      <c r="I284" s="62">
        <v>39233</v>
      </c>
      <c r="J284" s="64">
        <v>3.4</v>
      </c>
      <c r="K284" s="64">
        <v>28.67</v>
      </c>
      <c r="L284" s="64">
        <v>19.190000000000001</v>
      </c>
      <c r="M284" s="64">
        <v>72.485388999999998</v>
      </c>
      <c r="N284" s="34"/>
      <c r="O284" s="35"/>
    </row>
    <row r="285" spans="1:15" s="36" customFormat="1" ht="12" x14ac:dyDescent="0.2">
      <c r="A285" s="33"/>
      <c r="B285" s="63">
        <v>40482</v>
      </c>
      <c r="C285" s="65">
        <v>187556.1</v>
      </c>
      <c r="D285" s="65">
        <v>24.4</v>
      </c>
      <c r="E285" s="65">
        <v>468699.94</v>
      </c>
      <c r="F285" s="65">
        <v>19.3</v>
      </c>
      <c r="H285" s="33"/>
      <c r="I285" s="63">
        <v>39263</v>
      </c>
      <c r="J285" s="65">
        <v>4.4000000000000004</v>
      </c>
      <c r="K285" s="65">
        <v>27.16</v>
      </c>
      <c r="L285" s="65">
        <v>14.46</v>
      </c>
      <c r="M285" s="65">
        <v>85.651245000000003</v>
      </c>
      <c r="N285" s="34"/>
      <c r="O285" s="35"/>
    </row>
    <row r="286" spans="1:15" s="36" customFormat="1" ht="12" x14ac:dyDescent="0.2">
      <c r="A286" s="33"/>
      <c r="B286" s="62">
        <v>40512</v>
      </c>
      <c r="C286" s="64">
        <v>210697.86</v>
      </c>
      <c r="D286" s="64">
        <v>24.9</v>
      </c>
      <c r="E286" s="64">
        <v>474389.23</v>
      </c>
      <c r="F286" s="64">
        <v>19.8</v>
      </c>
      <c r="H286" s="33"/>
      <c r="I286" s="62">
        <v>39294</v>
      </c>
      <c r="J286" s="64">
        <v>5.6</v>
      </c>
      <c r="K286" s="64">
        <v>34.22</v>
      </c>
      <c r="L286" s="64">
        <v>26.83</v>
      </c>
      <c r="M286" s="64">
        <v>67.428023999999994</v>
      </c>
      <c r="N286" s="34"/>
      <c r="O286" s="35"/>
    </row>
    <row r="287" spans="1:15" s="36" customFormat="1" ht="12" x14ac:dyDescent="0.2">
      <c r="A287" s="33"/>
      <c r="B287" s="63">
        <v>40543</v>
      </c>
      <c r="C287" s="65">
        <v>241414.93</v>
      </c>
      <c r="D287" s="65">
        <v>24.5</v>
      </c>
      <c r="E287" s="65">
        <v>479195.55</v>
      </c>
      <c r="F287" s="65">
        <v>19.899999999999999</v>
      </c>
      <c r="H287" s="33"/>
      <c r="I287" s="63">
        <v>39325</v>
      </c>
      <c r="J287" s="65">
        <v>6.5</v>
      </c>
      <c r="K287" s="65">
        <v>22.76</v>
      </c>
      <c r="L287" s="65">
        <v>19.809999999999999</v>
      </c>
      <c r="M287" s="65">
        <v>34.071078999999997</v>
      </c>
      <c r="N287" s="34"/>
      <c r="O287" s="35"/>
    </row>
    <row r="288" spans="1:15" s="36" customFormat="1" ht="12" x14ac:dyDescent="0.2">
      <c r="A288" s="33"/>
      <c r="B288" s="62">
        <v>40574</v>
      </c>
      <c r="C288" s="64">
        <v>0</v>
      </c>
      <c r="D288" s="64">
        <v>0</v>
      </c>
      <c r="E288" s="64">
        <v>483493.87</v>
      </c>
      <c r="F288" s="64">
        <v>18.5</v>
      </c>
      <c r="H288" s="33"/>
      <c r="I288" s="62">
        <v>39355</v>
      </c>
      <c r="J288" s="64">
        <v>6.2</v>
      </c>
      <c r="K288" s="64">
        <v>22.6</v>
      </c>
      <c r="L288" s="64">
        <v>15.62</v>
      </c>
      <c r="M288" s="64">
        <v>57.437908</v>
      </c>
      <c r="N288" s="34"/>
      <c r="O288" s="35"/>
    </row>
    <row r="289" spans="1:15" s="36" customFormat="1" ht="12" x14ac:dyDescent="0.2">
      <c r="A289" s="33"/>
      <c r="B289" s="63">
        <v>40602</v>
      </c>
      <c r="C289" s="65">
        <v>17444.16</v>
      </c>
      <c r="D289" s="65">
        <v>24.9</v>
      </c>
      <c r="E289" s="65">
        <v>488870.98</v>
      </c>
      <c r="F289" s="65">
        <v>17.7</v>
      </c>
      <c r="H289" s="33"/>
      <c r="I289" s="63">
        <v>39386</v>
      </c>
      <c r="J289" s="65">
        <v>6.5</v>
      </c>
      <c r="K289" s="65">
        <v>22.26</v>
      </c>
      <c r="L289" s="65">
        <v>25.27</v>
      </c>
      <c r="M289" s="65">
        <v>14.138235</v>
      </c>
      <c r="N289" s="34"/>
      <c r="O289" s="35"/>
    </row>
    <row r="290" spans="1:15" s="36" customFormat="1" ht="12" x14ac:dyDescent="0.2">
      <c r="A290" s="33"/>
      <c r="B290" s="62">
        <v>40633</v>
      </c>
      <c r="C290" s="64">
        <v>39464.910000000003</v>
      </c>
      <c r="D290" s="64">
        <v>25</v>
      </c>
      <c r="E290" s="64">
        <v>494740.7</v>
      </c>
      <c r="F290" s="64">
        <v>17.899999999999999</v>
      </c>
      <c r="H290" s="33"/>
      <c r="I290" s="62">
        <v>39416</v>
      </c>
      <c r="J290" s="64">
        <v>6.9</v>
      </c>
      <c r="K290" s="64">
        <v>22.68</v>
      </c>
      <c r="L290" s="64">
        <v>25.06</v>
      </c>
      <c r="M290" s="64">
        <v>15.095079999999999</v>
      </c>
      <c r="N290" s="34"/>
      <c r="O290" s="35"/>
    </row>
    <row r="291" spans="1:15" s="36" customFormat="1" ht="12" x14ac:dyDescent="0.2">
      <c r="A291" s="33"/>
      <c r="B291" s="63">
        <v>40663</v>
      </c>
      <c r="C291" s="65">
        <v>62716.23</v>
      </c>
      <c r="D291" s="65">
        <v>25.4</v>
      </c>
      <c r="E291" s="65">
        <v>502170.76</v>
      </c>
      <c r="F291" s="65">
        <v>17.5</v>
      </c>
      <c r="H291" s="33"/>
      <c r="I291" s="63">
        <v>39447</v>
      </c>
      <c r="J291" s="65">
        <v>6.5</v>
      </c>
      <c r="K291" s="65">
        <v>21.59</v>
      </c>
      <c r="L291" s="65">
        <v>25.48</v>
      </c>
      <c r="M291" s="65">
        <v>8.0582940000000001</v>
      </c>
      <c r="N291" s="34"/>
      <c r="O291" s="35"/>
    </row>
    <row r="292" spans="1:15" s="36" customFormat="1" ht="12" x14ac:dyDescent="0.2">
      <c r="A292" s="33"/>
      <c r="B292" s="62">
        <v>40694</v>
      </c>
      <c r="C292" s="64">
        <v>90254.51</v>
      </c>
      <c r="D292" s="64">
        <v>25.8</v>
      </c>
      <c r="E292" s="64">
        <v>507686.31</v>
      </c>
      <c r="F292" s="64">
        <v>17.100000000000001</v>
      </c>
      <c r="H292" s="33"/>
      <c r="I292" s="62">
        <v>39478</v>
      </c>
      <c r="J292" s="64">
        <v>7.1</v>
      </c>
      <c r="K292" s="64">
        <v>26.75</v>
      </c>
      <c r="L292" s="64">
        <v>27.65</v>
      </c>
      <c r="M292" s="64">
        <v>22.731283000000001</v>
      </c>
      <c r="N292" s="34"/>
      <c r="O292" s="35"/>
    </row>
    <row r="293" spans="1:15" s="36" customFormat="1" ht="12" x14ac:dyDescent="0.2">
      <c r="A293" s="33"/>
      <c r="B293" s="63">
        <v>40724</v>
      </c>
      <c r="C293" s="65">
        <v>124566.68</v>
      </c>
      <c r="D293" s="65">
        <v>25.6</v>
      </c>
      <c r="E293" s="65">
        <v>514025.54</v>
      </c>
      <c r="F293" s="65">
        <v>16.899999999999999</v>
      </c>
      <c r="H293" s="33"/>
      <c r="I293" s="63">
        <v>39507</v>
      </c>
      <c r="J293" s="65">
        <v>8.6999999999999993</v>
      </c>
      <c r="K293" s="65">
        <v>6.34</v>
      </c>
      <c r="L293" s="65">
        <v>35.619999999999997</v>
      </c>
      <c r="M293" s="65">
        <v>-65.470135999999997</v>
      </c>
      <c r="N293" s="34"/>
      <c r="O293" s="35"/>
    </row>
    <row r="294" spans="1:15" s="36" customFormat="1" ht="12" x14ac:dyDescent="0.2">
      <c r="A294" s="33"/>
      <c r="B294" s="62">
        <v>40755</v>
      </c>
      <c r="C294" s="64">
        <v>152419.85999999999</v>
      </c>
      <c r="D294" s="64">
        <v>25.4</v>
      </c>
      <c r="E294" s="64">
        <v>518941.36</v>
      </c>
      <c r="F294" s="64">
        <v>16.600000000000001</v>
      </c>
      <c r="H294" s="33"/>
      <c r="I294" s="62">
        <v>39538</v>
      </c>
      <c r="J294" s="64">
        <v>8.3000000000000007</v>
      </c>
      <c r="K294" s="64">
        <v>30.42</v>
      </c>
      <c r="L294" s="64">
        <v>25.01</v>
      </c>
      <c r="M294" s="64">
        <v>90.609578999999997</v>
      </c>
      <c r="N294" s="34"/>
      <c r="O294" s="35"/>
    </row>
    <row r="295" spans="1:15" s="36" customFormat="1" ht="12" x14ac:dyDescent="0.2">
      <c r="A295" s="33"/>
      <c r="B295" s="63">
        <v>40786</v>
      </c>
      <c r="C295" s="65">
        <v>180607.62</v>
      </c>
      <c r="D295" s="65">
        <v>25</v>
      </c>
      <c r="E295" s="65">
        <v>524425.79</v>
      </c>
      <c r="F295" s="65">
        <v>16.399999999999999</v>
      </c>
      <c r="H295" s="33"/>
      <c r="I295" s="63">
        <v>39568</v>
      </c>
      <c r="J295" s="65">
        <v>8.5</v>
      </c>
      <c r="K295" s="65">
        <v>22.06</v>
      </c>
      <c r="L295" s="65">
        <v>26.79</v>
      </c>
      <c r="M295" s="65">
        <v>-0.73502999999999996</v>
      </c>
      <c r="N295" s="34"/>
      <c r="O295" s="35"/>
    </row>
    <row r="296" spans="1:15" s="36" customFormat="1" ht="12" x14ac:dyDescent="0.2">
      <c r="A296" s="33"/>
      <c r="B296" s="62">
        <v>40816</v>
      </c>
      <c r="C296" s="64">
        <v>212273.99</v>
      </c>
      <c r="D296" s="64">
        <v>24.9</v>
      </c>
      <c r="E296" s="64">
        <v>529118.34</v>
      </c>
      <c r="F296" s="64">
        <v>15.9</v>
      </c>
      <c r="H296" s="33"/>
      <c r="I296" s="62">
        <v>39599</v>
      </c>
      <c r="J296" s="64">
        <v>7.7</v>
      </c>
      <c r="K296" s="64">
        <v>28.3</v>
      </c>
      <c r="L296" s="64">
        <v>40.67</v>
      </c>
      <c r="M296" s="64">
        <v>-11.199287</v>
      </c>
      <c r="N296" s="34"/>
      <c r="O296" s="35"/>
    </row>
    <row r="297" spans="1:15" s="36" customFormat="1" ht="12" x14ac:dyDescent="0.2">
      <c r="A297" s="33"/>
      <c r="B297" s="63">
        <v>40847</v>
      </c>
      <c r="C297" s="65">
        <v>241365.09</v>
      </c>
      <c r="D297" s="65">
        <v>24.9</v>
      </c>
      <c r="E297" s="65">
        <v>534986.76</v>
      </c>
      <c r="F297" s="65">
        <v>15.8</v>
      </c>
      <c r="H297" s="33"/>
      <c r="I297" s="63">
        <v>39629</v>
      </c>
      <c r="J297" s="65">
        <v>7.1</v>
      </c>
      <c r="K297" s="65">
        <v>17.34</v>
      </c>
      <c r="L297" s="65">
        <v>31.36</v>
      </c>
      <c r="M297" s="65">
        <v>-22.473538000000001</v>
      </c>
      <c r="N297" s="34"/>
      <c r="O297" s="35"/>
    </row>
    <row r="298" spans="1:15" s="36" customFormat="1" ht="12" x14ac:dyDescent="0.2">
      <c r="A298" s="33"/>
      <c r="B298" s="62">
        <v>40877</v>
      </c>
      <c r="C298" s="64">
        <v>269452.12</v>
      </c>
      <c r="D298" s="64">
        <v>24.5</v>
      </c>
      <c r="E298" s="64">
        <v>540616.19999999995</v>
      </c>
      <c r="F298" s="64">
        <v>15.6</v>
      </c>
      <c r="H298" s="33"/>
      <c r="I298" s="62">
        <v>39660</v>
      </c>
      <c r="J298" s="64">
        <v>6.3</v>
      </c>
      <c r="K298" s="64">
        <v>26.9</v>
      </c>
      <c r="L298" s="64">
        <v>33.67</v>
      </c>
      <c r="M298" s="64">
        <v>3.8475679999999999</v>
      </c>
      <c r="N298" s="34"/>
      <c r="O298" s="35"/>
    </row>
    <row r="299" spans="1:15" s="36" customFormat="1" ht="12" x14ac:dyDescent="0.2">
      <c r="A299" s="33"/>
      <c r="B299" s="63">
        <v>40908</v>
      </c>
      <c r="C299" s="65">
        <v>301932.84999999998</v>
      </c>
      <c r="D299" s="65">
        <v>23.8</v>
      </c>
      <c r="E299" s="65">
        <v>547946.68999999994</v>
      </c>
      <c r="F299" s="65">
        <v>15.8</v>
      </c>
      <c r="H299" s="33"/>
      <c r="I299" s="63">
        <v>39691</v>
      </c>
      <c r="J299" s="65">
        <v>4.9000000000000004</v>
      </c>
      <c r="K299" s="65">
        <v>21.51</v>
      </c>
      <c r="L299" s="65">
        <v>22.93</v>
      </c>
      <c r="M299" s="65">
        <v>16.619047999999999</v>
      </c>
      <c r="N299" s="34"/>
      <c r="O299" s="35"/>
    </row>
    <row r="300" spans="1:15" s="36" customFormat="1" ht="12" x14ac:dyDescent="0.2">
      <c r="A300" s="33"/>
      <c r="B300" s="62">
        <v>40939</v>
      </c>
      <c r="C300" s="64">
        <v>0</v>
      </c>
      <c r="D300" s="64">
        <v>0</v>
      </c>
      <c r="E300" s="64">
        <v>555253.05000000005</v>
      </c>
      <c r="F300" s="64">
        <v>15</v>
      </c>
      <c r="H300" s="33"/>
      <c r="I300" s="62">
        <v>39721</v>
      </c>
      <c r="J300" s="64">
        <v>4.5999999999999996</v>
      </c>
      <c r="K300" s="64">
        <v>21.72</v>
      </c>
      <c r="L300" s="64">
        <v>20.99</v>
      </c>
      <c r="M300" s="64">
        <v>24.406343</v>
      </c>
      <c r="N300" s="34"/>
      <c r="O300" s="35"/>
    </row>
    <row r="301" spans="1:15" s="36" customFormat="1" ht="12" x14ac:dyDescent="0.2">
      <c r="A301" s="33"/>
      <c r="B301" s="63">
        <v>40968</v>
      </c>
      <c r="C301" s="65">
        <v>21188.825199999999</v>
      </c>
      <c r="D301" s="65">
        <v>21.5</v>
      </c>
      <c r="E301" s="65">
        <v>562360.4</v>
      </c>
      <c r="F301" s="65">
        <v>15.2</v>
      </c>
      <c r="H301" s="33"/>
      <c r="I301" s="63">
        <v>39752</v>
      </c>
      <c r="J301" s="65">
        <v>4</v>
      </c>
      <c r="K301" s="65">
        <v>19.29</v>
      </c>
      <c r="L301" s="65">
        <v>15.15</v>
      </c>
      <c r="M301" s="65">
        <v>31.568498000000002</v>
      </c>
      <c r="N301" s="34"/>
      <c r="O301" s="35"/>
    </row>
    <row r="302" spans="1:15" s="36" customFormat="1" ht="12" x14ac:dyDescent="0.2">
      <c r="A302" s="33"/>
      <c r="B302" s="62">
        <v>40999</v>
      </c>
      <c r="C302" s="64">
        <v>47865.397700000001</v>
      </c>
      <c r="D302" s="64">
        <v>20.9</v>
      </c>
      <c r="E302" s="64">
        <v>572474.81999999995</v>
      </c>
      <c r="F302" s="64">
        <v>15.7</v>
      </c>
      <c r="H302" s="33"/>
      <c r="I302" s="62">
        <v>39782</v>
      </c>
      <c r="J302" s="64">
        <v>2.4</v>
      </c>
      <c r="K302" s="64">
        <v>-2.2200000000000002</v>
      </c>
      <c r="L302" s="64">
        <v>-18.14</v>
      </c>
      <c r="M302" s="64">
        <v>52.821250999999997</v>
      </c>
      <c r="N302" s="34"/>
      <c r="O302" s="35"/>
    </row>
    <row r="303" spans="1:15" s="36" customFormat="1" ht="12" x14ac:dyDescent="0.2">
      <c r="A303" s="33"/>
      <c r="B303" s="63">
        <v>41029</v>
      </c>
      <c r="C303" s="65">
        <v>75591.600399999996</v>
      </c>
      <c r="D303" s="65">
        <v>20.2</v>
      </c>
      <c r="E303" s="65">
        <v>579292.11</v>
      </c>
      <c r="F303" s="65">
        <v>15.4</v>
      </c>
      <c r="H303" s="33"/>
      <c r="I303" s="63">
        <v>39813</v>
      </c>
      <c r="J303" s="65">
        <v>1.2</v>
      </c>
      <c r="K303" s="65">
        <v>-2.93</v>
      </c>
      <c r="L303" s="65">
        <v>-21.45</v>
      </c>
      <c r="M303" s="65">
        <v>71.929129000000003</v>
      </c>
      <c r="N303" s="34"/>
      <c r="O303" s="35"/>
    </row>
    <row r="304" spans="1:15" s="36" customFormat="1" ht="12" x14ac:dyDescent="0.2">
      <c r="A304" s="33"/>
      <c r="B304" s="62">
        <v>41060</v>
      </c>
      <c r="C304" s="64">
        <v>108924.21090000001</v>
      </c>
      <c r="D304" s="64">
        <v>20.100000000000001</v>
      </c>
      <c r="E304" s="64">
        <v>587224.43000000005</v>
      </c>
      <c r="F304" s="64">
        <v>15.7</v>
      </c>
      <c r="H304" s="33"/>
      <c r="I304" s="62">
        <v>39844</v>
      </c>
      <c r="J304" s="64">
        <v>1</v>
      </c>
      <c r="K304" s="64">
        <v>-17.559999999999999</v>
      </c>
      <c r="L304" s="64">
        <v>-43.1</v>
      </c>
      <c r="M304" s="64">
        <v>100.83696999999999</v>
      </c>
      <c r="N304" s="34"/>
      <c r="O304" s="35"/>
    </row>
    <row r="305" spans="1:15" s="36" customFormat="1" ht="12" x14ac:dyDescent="0.2">
      <c r="A305" s="33"/>
      <c r="B305" s="63">
        <v>41090</v>
      </c>
      <c r="C305" s="65">
        <v>150710.06349999999</v>
      </c>
      <c r="D305" s="65">
        <v>20.399999999999999</v>
      </c>
      <c r="E305" s="65">
        <v>596422.59</v>
      </c>
      <c r="F305" s="65">
        <v>16</v>
      </c>
      <c r="H305" s="33"/>
      <c r="I305" s="63">
        <v>39872</v>
      </c>
      <c r="J305" s="65">
        <v>-1.6</v>
      </c>
      <c r="K305" s="65">
        <v>-25.75</v>
      </c>
      <c r="L305" s="65">
        <v>-24.12</v>
      </c>
      <c r="M305" s="65">
        <v>-41.485087999999998</v>
      </c>
      <c r="N305" s="34"/>
      <c r="O305" s="35"/>
    </row>
    <row r="306" spans="1:15" s="36" customFormat="1" ht="12" x14ac:dyDescent="0.2">
      <c r="A306" s="33"/>
      <c r="B306" s="62">
        <v>41121</v>
      </c>
      <c r="C306" s="64">
        <v>184311.78450000001</v>
      </c>
      <c r="D306" s="64">
        <v>20.399999999999999</v>
      </c>
      <c r="E306" s="64">
        <v>601823.80000000005</v>
      </c>
      <c r="F306" s="64">
        <v>16</v>
      </c>
      <c r="H306" s="33"/>
      <c r="I306" s="62">
        <v>39903</v>
      </c>
      <c r="J306" s="64">
        <v>-1.2</v>
      </c>
      <c r="K306" s="64">
        <v>-17.23</v>
      </c>
      <c r="L306" s="64">
        <v>-25.05</v>
      </c>
      <c r="M306" s="64">
        <v>39.861418</v>
      </c>
      <c r="N306" s="34"/>
      <c r="O306" s="35"/>
    </row>
    <row r="307" spans="1:15" s="36" customFormat="1" ht="12" x14ac:dyDescent="0.2">
      <c r="A307" s="33"/>
      <c r="B307" s="63">
        <v>41152</v>
      </c>
      <c r="C307" s="65">
        <v>217958.07190000001</v>
      </c>
      <c r="D307" s="65">
        <v>20.2</v>
      </c>
      <c r="E307" s="65">
        <v>608863.25</v>
      </c>
      <c r="F307" s="65">
        <v>16.100000000000001</v>
      </c>
      <c r="H307" s="33"/>
      <c r="I307" s="63">
        <v>39933</v>
      </c>
      <c r="J307" s="65">
        <v>-1.5</v>
      </c>
      <c r="K307" s="65">
        <v>-22.76</v>
      </c>
      <c r="L307" s="65">
        <v>-22.86</v>
      </c>
      <c r="M307" s="65">
        <v>-22.099813000000001</v>
      </c>
      <c r="N307" s="34"/>
      <c r="O307" s="35"/>
    </row>
    <row r="308" spans="1:15" s="36" customFormat="1" ht="12" x14ac:dyDescent="0.2">
      <c r="A308" s="33"/>
      <c r="B308" s="62">
        <v>41182</v>
      </c>
      <c r="C308" s="64">
        <v>256932.89490000001</v>
      </c>
      <c r="D308" s="64">
        <v>20.5</v>
      </c>
      <c r="E308" s="64">
        <v>615089.48</v>
      </c>
      <c r="F308" s="64">
        <v>16.3</v>
      </c>
      <c r="H308" s="33"/>
      <c r="I308" s="62">
        <v>39964</v>
      </c>
      <c r="J308" s="64">
        <v>-1.4</v>
      </c>
      <c r="K308" s="64">
        <v>-26.51</v>
      </c>
      <c r="L308" s="64">
        <v>-24.92</v>
      </c>
      <c r="M308" s="64">
        <v>-34.561703000000001</v>
      </c>
      <c r="N308" s="34"/>
      <c r="O308" s="35"/>
    </row>
    <row r="309" spans="1:15" s="36" customFormat="1" ht="12" x14ac:dyDescent="0.2">
      <c r="A309" s="33"/>
      <c r="B309" s="63">
        <v>41213</v>
      </c>
      <c r="C309" s="65">
        <v>292541.9951</v>
      </c>
      <c r="D309" s="65">
        <v>20.7</v>
      </c>
      <c r="E309" s="65">
        <v>620143.18999999994</v>
      </c>
      <c r="F309" s="65">
        <v>15.9</v>
      </c>
      <c r="H309" s="33"/>
      <c r="I309" s="63">
        <v>39994</v>
      </c>
      <c r="J309" s="65">
        <v>-1.7</v>
      </c>
      <c r="K309" s="65">
        <v>-21.32</v>
      </c>
      <c r="L309" s="65">
        <v>-12.88</v>
      </c>
      <c r="M309" s="65">
        <v>-61.928714999999997</v>
      </c>
      <c r="N309" s="34"/>
      <c r="O309" s="35"/>
    </row>
    <row r="310" spans="1:15" s="36" customFormat="1" ht="12" x14ac:dyDescent="0.2">
      <c r="A310" s="33"/>
      <c r="B310" s="62">
        <v>41243</v>
      </c>
      <c r="C310" s="64">
        <v>326236.17330000002</v>
      </c>
      <c r="D310" s="64">
        <v>20.7</v>
      </c>
      <c r="E310" s="64">
        <v>625363.56000000006</v>
      </c>
      <c r="F310" s="64">
        <v>15.7</v>
      </c>
      <c r="H310" s="33"/>
      <c r="I310" s="62">
        <v>40025</v>
      </c>
      <c r="J310" s="64">
        <v>-1.8</v>
      </c>
      <c r="K310" s="64">
        <v>-22.98</v>
      </c>
      <c r="L310" s="64">
        <v>-14.6</v>
      </c>
      <c r="M310" s="64">
        <v>-59.724679999999999</v>
      </c>
      <c r="N310" s="34"/>
      <c r="O310" s="35"/>
    </row>
    <row r="311" spans="1:15" s="36" customFormat="1" ht="12" x14ac:dyDescent="0.2">
      <c r="A311" s="33"/>
      <c r="B311" s="63">
        <v>41274</v>
      </c>
      <c r="C311" s="65">
        <v>364835.07</v>
      </c>
      <c r="D311" s="65">
        <v>20.6</v>
      </c>
      <c r="E311" s="65">
        <v>629909.64</v>
      </c>
      <c r="F311" s="65">
        <v>15</v>
      </c>
      <c r="H311" s="33"/>
      <c r="I311" s="63">
        <v>40056</v>
      </c>
      <c r="J311" s="65">
        <v>-1.2</v>
      </c>
      <c r="K311" s="65">
        <v>-23.43</v>
      </c>
      <c r="L311" s="65">
        <v>-16.75</v>
      </c>
      <c r="M311" s="65">
        <v>-47.529603999999999</v>
      </c>
      <c r="N311" s="34"/>
      <c r="O311" s="35"/>
    </row>
    <row r="312" spans="1:15" s="36" customFormat="1" ht="12" x14ac:dyDescent="0.2">
      <c r="A312" s="33"/>
      <c r="B312" s="62">
        <v>41305</v>
      </c>
      <c r="C312" s="64">
        <v>0</v>
      </c>
      <c r="D312" s="64">
        <v>0</v>
      </c>
      <c r="E312" s="64">
        <v>640766.52</v>
      </c>
      <c r="F312" s="64">
        <v>15.4</v>
      </c>
      <c r="H312" s="33"/>
      <c r="I312" s="62">
        <v>40086</v>
      </c>
      <c r="J312" s="64">
        <v>-0.8</v>
      </c>
      <c r="K312" s="64">
        <v>-15.28</v>
      </c>
      <c r="L312" s="64">
        <v>-3.36</v>
      </c>
      <c r="M312" s="64">
        <v>-57.733507000000003</v>
      </c>
      <c r="N312" s="34"/>
      <c r="O312" s="35"/>
    </row>
    <row r="313" spans="1:15" s="36" customFormat="1" ht="12" x14ac:dyDescent="0.2">
      <c r="A313" s="33"/>
      <c r="B313" s="63">
        <v>41333</v>
      </c>
      <c r="C313" s="65">
        <v>25675.9182</v>
      </c>
      <c r="D313" s="65">
        <v>21.2</v>
      </c>
      <c r="E313" s="65">
        <v>646966.4</v>
      </c>
      <c r="F313" s="65">
        <v>15</v>
      </c>
      <c r="H313" s="33"/>
      <c r="I313" s="63">
        <v>40117</v>
      </c>
      <c r="J313" s="65">
        <v>-0.5</v>
      </c>
      <c r="K313" s="65">
        <v>-13.92</v>
      </c>
      <c r="L313" s="65">
        <v>-6.36</v>
      </c>
      <c r="M313" s="65">
        <v>-33.506594999999997</v>
      </c>
      <c r="N313" s="34"/>
      <c r="O313" s="35"/>
    </row>
    <row r="314" spans="1:15" s="36" customFormat="1" ht="12" x14ac:dyDescent="0.2">
      <c r="A314" s="33"/>
      <c r="B314" s="62">
        <v>41364</v>
      </c>
      <c r="C314" s="64">
        <v>58092.275900000001</v>
      </c>
      <c r="D314" s="64">
        <v>20.9</v>
      </c>
      <c r="E314" s="64">
        <v>657591.81999999995</v>
      </c>
      <c r="F314" s="64">
        <v>14.9</v>
      </c>
      <c r="H314" s="33"/>
      <c r="I314" s="62">
        <v>40147</v>
      </c>
      <c r="J314" s="64">
        <v>0.6</v>
      </c>
      <c r="K314" s="64">
        <v>-1.1499999999999999</v>
      </c>
      <c r="L314" s="64">
        <v>26.83</v>
      </c>
      <c r="M314" s="64">
        <v>-52.965680999999996</v>
      </c>
      <c r="N314" s="34"/>
      <c r="O314" s="35"/>
    </row>
    <row r="315" spans="1:15" s="36" customFormat="1" ht="12" x14ac:dyDescent="0.2">
      <c r="A315" s="33"/>
      <c r="B315" s="63">
        <v>41394</v>
      </c>
      <c r="C315" s="65">
        <v>91319.177299999996</v>
      </c>
      <c r="D315" s="65">
        <v>20.6</v>
      </c>
      <c r="E315" s="65">
        <v>665514.79</v>
      </c>
      <c r="F315" s="65">
        <v>14.9</v>
      </c>
      <c r="H315" s="33"/>
      <c r="I315" s="63">
        <v>40178</v>
      </c>
      <c r="J315" s="65">
        <v>1.9</v>
      </c>
      <c r="K315" s="65">
        <v>17.73</v>
      </c>
      <c r="L315" s="65">
        <v>55.94</v>
      </c>
      <c r="M315" s="65">
        <v>-52.854469000000002</v>
      </c>
      <c r="N315" s="34"/>
      <c r="O315" s="35"/>
    </row>
    <row r="316" spans="1:15" s="36" customFormat="1" ht="12" x14ac:dyDescent="0.2">
      <c r="A316" s="33"/>
      <c r="B316" s="62">
        <v>41425</v>
      </c>
      <c r="C316" s="64">
        <v>131210.6495</v>
      </c>
      <c r="D316" s="64">
        <v>20.399999999999999</v>
      </c>
      <c r="E316" s="64">
        <v>672208.97</v>
      </c>
      <c r="F316" s="64">
        <v>14.5</v>
      </c>
      <c r="H316" s="33"/>
      <c r="I316" s="62">
        <v>40209</v>
      </c>
      <c r="J316" s="64">
        <v>1.5</v>
      </c>
      <c r="K316" s="64">
        <v>21</v>
      </c>
      <c r="L316" s="64">
        <v>85.96</v>
      </c>
      <c r="M316" s="64">
        <v>-64.308542000000003</v>
      </c>
      <c r="N316" s="34"/>
      <c r="O316" s="35"/>
    </row>
    <row r="317" spans="1:15" s="36" customFormat="1" ht="12" x14ac:dyDescent="0.2">
      <c r="A317" s="33"/>
      <c r="B317" s="63">
        <v>41455</v>
      </c>
      <c r="C317" s="65">
        <v>181317.6</v>
      </c>
      <c r="D317" s="65">
        <v>20.100000000000001</v>
      </c>
      <c r="E317" s="65">
        <v>680837.17</v>
      </c>
      <c r="F317" s="65">
        <v>14.2</v>
      </c>
      <c r="H317" s="33"/>
      <c r="I317" s="63">
        <v>40237</v>
      </c>
      <c r="J317" s="65">
        <v>2.7</v>
      </c>
      <c r="K317" s="65">
        <v>45.63</v>
      </c>
      <c r="L317" s="65">
        <v>45.07</v>
      </c>
      <c r="M317" s="65">
        <v>52.631579000000002</v>
      </c>
      <c r="N317" s="34"/>
      <c r="O317" s="35"/>
    </row>
    <row r="318" spans="1:15" s="36" customFormat="1" ht="12" x14ac:dyDescent="0.2">
      <c r="A318" s="33"/>
      <c r="B318" s="62">
        <v>41486</v>
      </c>
      <c r="C318" s="64">
        <v>221722.23199999999</v>
      </c>
      <c r="D318" s="64">
        <v>20.100000000000001</v>
      </c>
      <c r="E318" s="64">
        <v>687834.5</v>
      </c>
      <c r="F318" s="64">
        <v>14.3</v>
      </c>
      <c r="H318" s="33"/>
      <c r="I318" s="62">
        <v>40268</v>
      </c>
      <c r="J318" s="64">
        <v>2.4</v>
      </c>
      <c r="K318" s="64">
        <v>24.21</v>
      </c>
      <c r="L318" s="64">
        <v>66.27</v>
      </c>
      <c r="M318" s="64">
        <v>-140.33100999999999</v>
      </c>
      <c r="N318" s="34"/>
      <c r="O318" s="35"/>
    </row>
    <row r="319" spans="1:15" s="36" customFormat="1" ht="12" x14ac:dyDescent="0.2">
      <c r="A319" s="33"/>
      <c r="B319" s="63">
        <v>41517</v>
      </c>
      <c r="C319" s="65">
        <v>262578.08130000002</v>
      </c>
      <c r="D319" s="65">
        <v>20.3</v>
      </c>
      <c r="E319" s="65">
        <v>694962.17</v>
      </c>
      <c r="F319" s="65">
        <v>14.1</v>
      </c>
      <c r="H319" s="33"/>
      <c r="I319" s="63">
        <v>40298</v>
      </c>
      <c r="J319" s="65">
        <v>2.8</v>
      </c>
      <c r="K319" s="65">
        <v>30.38</v>
      </c>
      <c r="L319" s="65">
        <v>49.96</v>
      </c>
      <c r="M319" s="65">
        <v>-89.103555</v>
      </c>
      <c r="N319" s="34"/>
      <c r="O319" s="35"/>
    </row>
    <row r="320" spans="1:15" s="36" customFormat="1" ht="12" x14ac:dyDescent="0.2">
      <c r="A320" s="33"/>
      <c r="B320" s="62">
        <v>41547</v>
      </c>
      <c r="C320" s="64">
        <v>309207.57390000002</v>
      </c>
      <c r="D320" s="64">
        <v>20.2</v>
      </c>
      <c r="E320" s="64">
        <v>702832.25</v>
      </c>
      <c r="F320" s="64">
        <v>14.3</v>
      </c>
      <c r="H320" s="33"/>
      <c r="I320" s="62">
        <v>40329</v>
      </c>
      <c r="J320" s="64">
        <v>3.1</v>
      </c>
      <c r="K320" s="64">
        <v>48.44</v>
      </c>
      <c r="L320" s="64">
        <v>48.3</v>
      </c>
      <c r="M320" s="64">
        <v>49.217430999999998</v>
      </c>
      <c r="N320" s="34"/>
      <c r="O320" s="35"/>
    </row>
    <row r="321" spans="1:15" s="36" customFormat="1" ht="12" x14ac:dyDescent="0.2">
      <c r="A321" s="33"/>
      <c r="B321" s="63">
        <v>41578</v>
      </c>
      <c r="C321" s="65">
        <v>351669.24920000002</v>
      </c>
      <c r="D321" s="65">
        <v>20.100000000000001</v>
      </c>
      <c r="E321" s="65">
        <v>707891.86</v>
      </c>
      <c r="F321" s="65">
        <v>14.2</v>
      </c>
      <c r="H321" s="33"/>
      <c r="I321" s="63">
        <v>40359</v>
      </c>
      <c r="J321" s="65">
        <v>2.9</v>
      </c>
      <c r="K321" s="65">
        <v>43.87</v>
      </c>
      <c r="L321" s="65">
        <v>33.869999999999997</v>
      </c>
      <c r="M321" s="65">
        <v>154.007802</v>
      </c>
      <c r="N321" s="34"/>
      <c r="O321" s="35"/>
    </row>
    <row r="322" spans="1:15" s="36" customFormat="1" ht="12" x14ac:dyDescent="0.2">
      <c r="A322" s="33"/>
      <c r="B322" s="62">
        <v>41608</v>
      </c>
      <c r="C322" s="64">
        <v>391282.527</v>
      </c>
      <c r="D322" s="64">
        <v>19.899999999999999</v>
      </c>
      <c r="E322" s="64">
        <v>714137.43</v>
      </c>
      <c r="F322" s="64">
        <v>14.2</v>
      </c>
      <c r="H322" s="33"/>
      <c r="I322" s="62">
        <v>40390</v>
      </c>
      <c r="J322" s="64">
        <v>3.3</v>
      </c>
      <c r="K322" s="64">
        <v>37.99</v>
      </c>
      <c r="L322" s="64">
        <v>22.85</v>
      </c>
      <c r="M322" s="64">
        <v>178.75</v>
      </c>
      <c r="N322" s="34"/>
      <c r="O322" s="35"/>
    </row>
    <row r="323" spans="1:15" s="36" customFormat="1" ht="12" x14ac:dyDescent="0.2">
      <c r="A323" s="33"/>
      <c r="B323" s="63">
        <v>41639</v>
      </c>
      <c r="C323" s="65">
        <v>436527.7</v>
      </c>
      <c r="D323" s="65">
        <v>19.600000000000001</v>
      </c>
      <c r="E323" s="65">
        <v>718961.46</v>
      </c>
      <c r="F323" s="65">
        <v>14.1</v>
      </c>
      <c r="H323" s="33"/>
      <c r="I323" s="63">
        <v>40421</v>
      </c>
      <c r="J323" s="65">
        <v>3.5</v>
      </c>
      <c r="K323" s="65">
        <v>34.32</v>
      </c>
      <c r="L323" s="65">
        <v>35.4</v>
      </c>
      <c r="M323" s="65">
        <v>28.119326000000001</v>
      </c>
      <c r="N323" s="34"/>
      <c r="O323" s="35"/>
    </row>
    <row r="324" spans="1:15" s="36" customFormat="1" ht="12" x14ac:dyDescent="0.2">
      <c r="A324" s="33"/>
      <c r="B324" s="62">
        <v>41670</v>
      </c>
      <c r="C324" s="64">
        <v>0</v>
      </c>
      <c r="D324" s="64">
        <v>0</v>
      </c>
      <c r="E324" s="64">
        <v>732144.36</v>
      </c>
      <c r="F324" s="64">
        <v>14.3</v>
      </c>
      <c r="H324" s="33"/>
      <c r="I324" s="62">
        <v>40451</v>
      </c>
      <c r="J324" s="64">
        <v>3.6</v>
      </c>
      <c r="K324" s="64">
        <v>25.08</v>
      </c>
      <c r="L324" s="64">
        <v>24.38</v>
      </c>
      <c r="M324" s="64">
        <v>30.767409000000001</v>
      </c>
      <c r="N324" s="34"/>
      <c r="O324" s="35"/>
    </row>
    <row r="325" spans="1:15" s="36" customFormat="1" ht="12" x14ac:dyDescent="0.2">
      <c r="A325" s="33"/>
      <c r="B325" s="63">
        <v>41698</v>
      </c>
      <c r="C325" s="65">
        <v>30283.029399999999</v>
      </c>
      <c r="D325" s="65">
        <v>17.899999999999999</v>
      </c>
      <c r="E325" s="65">
        <v>738592.59</v>
      </c>
      <c r="F325" s="65">
        <v>14.2</v>
      </c>
      <c r="H325" s="33"/>
      <c r="I325" s="63">
        <v>40482</v>
      </c>
      <c r="J325" s="65">
        <v>4.4000000000000004</v>
      </c>
      <c r="K325" s="65">
        <v>22.84</v>
      </c>
      <c r="L325" s="65">
        <v>25.63</v>
      </c>
      <c r="M325" s="65">
        <v>12.658652999999999</v>
      </c>
      <c r="N325" s="34"/>
      <c r="O325" s="35"/>
    </row>
    <row r="326" spans="1:15" s="36" customFormat="1" ht="12" x14ac:dyDescent="0.2">
      <c r="A326" s="33"/>
      <c r="B326" s="62">
        <v>41729</v>
      </c>
      <c r="C326" s="64">
        <v>68321.714500000002</v>
      </c>
      <c r="D326" s="64">
        <v>17.600000000000001</v>
      </c>
      <c r="E326" s="64">
        <v>749089.78</v>
      </c>
      <c r="F326" s="64">
        <v>13.9</v>
      </c>
      <c r="G326" s="34"/>
      <c r="H326" s="33"/>
      <c r="I326" s="62">
        <v>40512</v>
      </c>
      <c r="J326" s="64">
        <v>5.0999999999999996</v>
      </c>
      <c r="K326" s="64">
        <v>34.86</v>
      </c>
      <c r="L326" s="64">
        <v>38.33</v>
      </c>
      <c r="M326" s="64">
        <v>17.534794999999999</v>
      </c>
      <c r="N326" s="34"/>
      <c r="O326" s="35"/>
    </row>
    <row r="327" spans="1:15" s="36" customFormat="1" ht="12" x14ac:dyDescent="0.2">
      <c r="A327" s="33"/>
      <c r="B327" s="63">
        <v>41759</v>
      </c>
      <c r="C327" s="65">
        <v>107077.8331</v>
      </c>
      <c r="D327" s="65">
        <v>17.3</v>
      </c>
      <c r="E327" s="65">
        <v>756835.15</v>
      </c>
      <c r="F327" s="65">
        <v>13.7</v>
      </c>
      <c r="G327" s="34"/>
      <c r="H327" s="33"/>
      <c r="I327" s="63">
        <v>40543</v>
      </c>
      <c r="J327" s="65">
        <v>4.5999999999999996</v>
      </c>
      <c r="K327" s="65">
        <v>17.87</v>
      </c>
      <c r="L327" s="65">
        <v>25.94</v>
      </c>
      <c r="M327" s="65">
        <v>-31.444728000000001</v>
      </c>
      <c r="N327" s="34"/>
      <c r="O327" s="35"/>
    </row>
    <row r="328" spans="1:15" s="36" customFormat="1" ht="12" x14ac:dyDescent="0.2">
      <c r="A328" s="33"/>
      <c r="B328" s="62">
        <v>41790</v>
      </c>
      <c r="C328" s="64">
        <v>153716.48610000001</v>
      </c>
      <c r="D328" s="64">
        <v>17.2</v>
      </c>
      <c r="E328" s="64">
        <v>765543.54</v>
      </c>
      <c r="F328" s="64">
        <v>13.9</v>
      </c>
      <c r="G328" s="34"/>
      <c r="H328" s="33"/>
      <c r="I328" s="62">
        <v>40574</v>
      </c>
      <c r="J328" s="64">
        <v>4.9000000000000004</v>
      </c>
      <c r="K328" s="64">
        <v>37.64</v>
      </c>
      <c r="L328" s="64">
        <v>51.7</v>
      </c>
      <c r="M328" s="64">
        <v>-58.581662000000001</v>
      </c>
      <c r="N328" s="34"/>
      <c r="O328" s="35"/>
    </row>
    <row r="329" spans="1:15" s="36" customFormat="1" ht="12" x14ac:dyDescent="0.2">
      <c r="A329" s="33"/>
      <c r="B329" s="63">
        <v>41820</v>
      </c>
      <c r="C329" s="65">
        <v>212770.4486</v>
      </c>
      <c r="D329" s="65">
        <v>17.3</v>
      </c>
      <c r="E329" s="65">
        <v>776336.66</v>
      </c>
      <c r="F329" s="65">
        <v>14</v>
      </c>
      <c r="G329" s="34"/>
      <c r="H329" s="33"/>
      <c r="I329" s="63">
        <v>40602</v>
      </c>
      <c r="J329" s="65">
        <v>4.944</v>
      </c>
      <c r="K329" s="65">
        <v>2.35</v>
      </c>
      <c r="L329" s="65">
        <v>20</v>
      </c>
      <c r="M329" s="65">
        <v>-207.30543800000001</v>
      </c>
      <c r="N329" s="34"/>
      <c r="O329" s="35"/>
    </row>
    <row r="330" spans="1:15" s="36" customFormat="1" ht="12" x14ac:dyDescent="0.2">
      <c r="A330" s="33"/>
      <c r="B330" s="62">
        <v>41851</v>
      </c>
      <c r="C330" s="64">
        <v>259492.91310000001</v>
      </c>
      <c r="D330" s="64">
        <v>17</v>
      </c>
      <c r="E330" s="64">
        <v>780188.63</v>
      </c>
      <c r="F330" s="64">
        <v>13.4</v>
      </c>
      <c r="G330" s="34"/>
      <c r="H330" s="33"/>
      <c r="I330" s="62">
        <v>40633</v>
      </c>
      <c r="J330" s="64">
        <v>5.383</v>
      </c>
      <c r="K330" s="64">
        <v>35.76</v>
      </c>
      <c r="L330" s="64">
        <v>27.5</v>
      </c>
      <c r="M330" s="64">
        <v>97.435204999999996</v>
      </c>
      <c r="N330" s="34"/>
      <c r="O330" s="35"/>
    </row>
    <row r="331" spans="1:15" s="36" customFormat="1" ht="12" x14ac:dyDescent="0.2">
      <c r="A331" s="33"/>
      <c r="B331" s="63">
        <v>41882</v>
      </c>
      <c r="C331" s="65">
        <v>305786.48139999999</v>
      </c>
      <c r="D331" s="65">
        <v>16.5</v>
      </c>
      <c r="E331" s="65">
        <v>787214.13</v>
      </c>
      <c r="F331" s="65">
        <v>13.3</v>
      </c>
      <c r="G331" s="34"/>
      <c r="H331" s="33"/>
      <c r="I331" s="63">
        <v>40663</v>
      </c>
      <c r="J331" s="65">
        <v>5.3440000000000003</v>
      </c>
      <c r="K331" s="65">
        <v>29.82</v>
      </c>
      <c r="L331" s="65">
        <v>21.89</v>
      </c>
      <c r="M331" s="65">
        <v>695.88652500000001</v>
      </c>
      <c r="N331" s="34"/>
      <c r="O331" s="35"/>
    </row>
    <row r="332" spans="1:15" s="36" customFormat="1" ht="12" x14ac:dyDescent="0.2">
      <c r="A332" s="33"/>
      <c r="B332" s="62">
        <v>41912</v>
      </c>
      <c r="C332" s="64">
        <v>357787.18430000002</v>
      </c>
      <c r="D332" s="64">
        <v>16.100000000000001</v>
      </c>
      <c r="E332" s="64">
        <v>795786.02</v>
      </c>
      <c r="F332" s="64">
        <v>13.2</v>
      </c>
      <c r="G332" s="34"/>
      <c r="H332" s="33"/>
      <c r="I332" s="62">
        <v>40694</v>
      </c>
      <c r="J332" s="64">
        <v>5.5149999999999997</v>
      </c>
      <c r="K332" s="64">
        <v>19.28</v>
      </c>
      <c r="L332" s="64">
        <v>28.44</v>
      </c>
      <c r="M332" s="64">
        <v>-33.523574000000004</v>
      </c>
      <c r="N332" s="34"/>
      <c r="O332" s="35"/>
    </row>
    <row r="333" spans="1:15" s="36" customFormat="1" ht="12" x14ac:dyDescent="0.2">
      <c r="A333" s="33"/>
      <c r="B333" s="63">
        <v>41943</v>
      </c>
      <c r="C333" s="65">
        <v>406160.60399999999</v>
      </c>
      <c r="D333" s="65">
        <v>15.9</v>
      </c>
      <c r="E333" s="65">
        <v>801269.48</v>
      </c>
      <c r="F333" s="65">
        <v>13.2</v>
      </c>
      <c r="G333" s="34"/>
      <c r="H333" s="33"/>
      <c r="I333" s="63">
        <v>40724</v>
      </c>
      <c r="J333" s="65">
        <v>6.3550000000000004</v>
      </c>
      <c r="K333" s="65">
        <v>17.88</v>
      </c>
      <c r="L333" s="65">
        <v>19.25</v>
      </c>
      <c r="M333" s="65">
        <v>9.9425340000000002</v>
      </c>
      <c r="N333" s="34"/>
      <c r="O333" s="35"/>
    </row>
    <row r="334" spans="1:15" s="36" customFormat="1" ht="12" x14ac:dyDescent="0.2">
      <c r="A334" s="33"/>
      <c r="B334" s="62">
        <v>41973</v>
      </c>
      <c r="C334" s="64">
        <v>451067.57799999998</v>
      </c>
      <c r="D334" s="64">
        <v>15.8</v>
      </c>
      <c r="E334" s="64">
        <v>809796.94</v>
      </c>
      <c r="F334" s="64">
        <v>13.4</v>
      </c>
      <c r="G334" s="34"/>
      <c r="H334" s="33"/>
      <c r="I334" s="62">
        <v>40755</v>
      </c>
      <c r="J334" s="64">
        <v>6.4509999999999996</v>
      </c>
      <c r="K334" s="64">
        <v>20.43</v>
      </c>
      <c r="L334" s="64">
        <v>24.06</v>
      </c>
      <c r="M334" s="64">
        <v>5.5773539999999997</v>
      </c>
      <c r="N334" s="34"/>
      <c r="O334" s="35"/>
    </row>
    <row r="335" spans="1:15" s="36" customFormat="1" ht="12" x14ac:dyDescent="0.2">
      <c r="A335" s="33"/>
      <c r="B335" s="63">
        <v>42004</v>
      </c>
      <c r="C335" s="65">
        <v>502004.9</v>
      </c>
      <c r="D335" s="65">
        <v>15.7</v>
      </c>
      <c r="E335" s="65">
        <v>816770.01</v>
      </c>
      <c r="F335" s="65">
        <v>13.6</v>
      </c>
      <c r="G335" s="34"/>
      <c r="H335" s="33"/>
      <c r="I335" s="63">
        <v>40786</v>
      </c>
      <c r="J335" s="65">
        <v>6.1509999999999998</v>
      </c>
      <c r="K335" s="65">
        <v>24.42</v>
      </c>
      <c r="L335" s="65">
        <v>30.05</v>
      </c>
      <c r="M335" s="65">
        <v>-9.6223930000000006</v>
      </c>
      <c r="N335" s="34"/>
      <c r="O335" s="35"/>
    </row>
    <row r="336" spans="1:15" s="36" customFormat="1" ht="12" x14ac:dyDescent="0.2">
      <c r="A336" s="33"/>
      <c r="B336" s="62">
        <v>42035</v>
      </c>
      <c r="C336" s="64">
        <v>0</v>
      </c>
      <c r="D336" s="64">
        <v>0</v>
      </c>
      <c r="E336" s="64">
        <v>836985.96</v>
      </c>
      <c r="F336" s="64">
        <v>13.9</v>
      </c>
      <c r="G336" s="34"/>
      <c r="H336" s="33"/>
      <c r="I336" s="62">
        <v>40816</v>
      </c>
      <c r="J336" s="64">
        <v>6.0670000000000002</v>
      </c>
      <c r="K336" s="64">
        <v>17.010000000000002</v>
      </c>
      <c r="L336" s="64">
        <v>20.75</v>
      </c>
      <c r="M336" s="64">
        <v>-11.936242999999999</v>
      </c>
      <c r="N336" s="34"/>
      <c r="O336" s="35"/>
    </row>
    <row r="337" spans="1:15" s="36" customFormat="1" ht="12" x14ac:dyDescent="0.2">
      <c r="A337" s="33"/>
      <c r="B337" s="63">
        <v>42063</v>
      </c>
      <c r="C337" s="65">
        <v>34477.412900000003</v>
      </c>
      <c r="D337" s="65">
        <v>13.9</v>
      </c>
      <c r="E337" s="65">
        <v>847224.57</v>
      </c>
      <c r="F337" s="65">
        <v>14.3</v>
      </c>
      <c r="G337" s="34"/>
      <c r="H337" s="33"/>
      <c r="I337" s="63">
        <v>40847</v>
      </c>
      <c r="J337" s="65">
        <v>5.4950000000000001</v>
      </c>
      <c r="K337" s="65">
        <v>15.77</v>
      </c>
      <c r="L337" s="65">
        <v>28.51</v>
      </c>
      <c r="M337" s="65">
        <v>-36.081474</v>
      </c>
      <c r="N337" s="34"/>
      <c r="O337" s="35"/>
    </row>
    <row r="338" spans="1:15" s="36" customFormat="1" ht="12" x14ac:dyDescent="0.2">
      <c r="A338" s="33"/>
      <c r="B338" s="62">
        <v>42094</v>
      </c>
      <c r="C338" s="64">
        <v>77511.253599999996</v>
      </c>
      <c r="D338" s="64">
        <v>13.5</v>
      </c>
      <c r="E338" s="64">
        <v>859069.21</v>
      </c>
      <c r="F338" s="64">
        <v>14</v>
      </c>
      <c r="G338" s="34"/>
      <c r="H338" s="33"/>
      <c r="I338" s="62">
        <v>40877</v>
      </c>
      <c r="J338" s="64">
        <v>4.2249999999999996</v>
      </c>
      <c r="K338" s="64">
        <v>13.77</v>
      </c>
      <c r="L338" s="64">
        <v>21.94</v>
      </c>
      <c r="M338" s="64">
        <v>-34.224454999999999</v>
      </c>
      <c r="N338" s="34"/>
      <c r="O338" s="35"/>
    </row>
    <row r="339" spans="1:15" s="36" customFormat="1" ht="12" x14ac:dyDescent="0.2">
      <c r="A339" s="33"/>
      <c r="B339" s="63">
        <v>42124</v>
      </c>
      <c r="C339" s="65">
        <v>119978.50410000001</v>
      </c>
      <c r="D339" s="65">
        <v>12</v>
      </c>
      <c r="E339" s="65">
        <v>866148.47</v>
      </c>
      <c r="F339" s="65">
        <v>14.1</v>
      </c>
      <c r="G339" s="34"/>
      <c r="H339" s="33"/>
      <c r="I339" s="63">
        <v>40908</v>
      </c>
      <c r="J339" s="65">
        <v>4.07</v>
      </c>
      <c r="K339" s="65">
        <v>13.32</v>
      </c>
      <c r="L339" s="65">
        <v>11.78</v>
      </c>
      <c r="M339" s="65">
        <v>30.552029999999998</v>
      </c>
      <c r="N339" s="34"/>
      <c r="O339" s="35"/>
    </row>
    <row r="340" spans="1:15" s="36" customFormat="1" ht="12" x14ac:dyDescent="0.2">
      <c r="A340" s="33"/>
      <c r="B340" s="62">
        <v>42155</v>
      </c>
      <c r="C340" s="64">
        <v>171245.4032</v>
      </c>
      <c r="D340" s="64">
        <v>11.4</v>
      </c>
      <c r="E340" s="64">
        <v>875156.04</v>
      </c>
      <c r="F340" s="64">
        <v>14</v>
      </c>
      <c r="G340" s="34"/>
      <c r="H340" s="33"/>
      <c r="I340" s="62">
        <v>40939</v>
      </c>
      <c r="J340" s="64">
        <v>4.5</v>
      </c>
      <c r="K340" s="64">
        <v>-0.55000000000000004</v>
      </c>
      <c r="L340" s="64">
        <v>-15.23</v>
      </c>
      <c r="M340" s="64">
        <v>367.20857799999999</v>
      </c>
      <c r="N340" s="34"/>
      <c r="O340" s="35"/>
    </row>
    <row r="341" spans="1:15" s="36" customFormat="1" ht="12" x14ac:dyDescent="0.2">
      <c r="A341" s="33"/>
      <c r="B341" s="63">
        <v>42185</v>
      </c>
      <c r="C341" s="65">
        <v>237131.86610000001</v>
      </c>
      <c r="D341" s="65">
        <v>11.4</v>
      </c>
      <c r="E341" s="65">
        <v>887946.89</v>
      </c>
      <c r="F341" s="65">
        <v>13.4</v>
      </c>
      <c r="G341" s="34"/>
      <c r="H341" s="33"/>
      <c r="I341" s="63">
        <v>40968</v>
      </c>
      <c r="J341" s="65">
        <v>3.2</v>
      </c>
      <c r="K341" s="65">
        <v>18.34</v>
      </c>
      <c r="L341" s="65">
        <v>40.03</v>
      </c>
      <c r="M341" s="65">
        <v>-306.47783600000002</v>
      </c>
      <c r="N341" s="34"/>
      <c r="O341" s="35"/>
    </row>
    <row r="342" spans="1:15" s="36" customFormat="1" ht="12" x14ac:dyDescent="0.2">
      <c r="A342" s="33"/>
      <c r="B342" s="62">
        <v>42216</v>
      </c>
      <c r="C342" s="64">
        <v>288468.50449999998</v>
      </c>
      <c r="D342" s="64">
        <v>11.2</v>
      </c>
      <c r="E342" s="64">
        <v>902728.12</v>
      </c>
      <c r="F342" s="64">
        <v>15.5</v>
      </c>
      <c r="G342" s="34"/>
      <c r="H342" s="33"/>
      <c r="I342" s="62">
        <v>40999</v>
      </c>
      <c r="J342" s="64">
        <v>3.6</v>
      </c>
      <c r="K342" s="64">
        <v>8.84</v>
      </c>
      <c r="L342" s="64">
        <v>5.3</v>
      </c>
      <c r="M342" s="64">
        <v>2827.8947370000001</v>
      </c>
      <c r="N342" s="34"/>
      <c r="O342" s="35"/>
    </row>
    <row r="343" spans="1:15" s="36" customFormat="1" ht="12" x14ac:dyDescent="0.2">
      <c r="A343" s="33"/>
      <c r="B343" s="63">
        <v>42247</v>
      </c>
      <c r="C343" s="65">
        <v>338977.36129999999</v>
      </c>
      <c r="D343" s="65">
        <v>10.9</v>
      </c>
      <c r="E343" s="65">
        <v>910824.05</v>
      </c>
      <c r="F343" s="65">
        <v>15.4</v>
      </c>
      <c r="G343" s="34"/>
      <c r="H343" s="33"/>
      <c r="I343" s="63">
        <v>41029</v>
      </c>
      <c r="J343" s="65">
        <v>3.4</v>
      </c>
      <c r="K343" s="65">
        <v>4.84</v>
      </c>
      <c r="L343" s="65">
        <v>0.14000000000000001</v>
      </c>
      <c r="M343" s="65">
        <v>65.344858000000002</v>
      </c>
      <c r="N343" s="34"/>
      <c r="O343" s="35"/>
    </row>
    <row r="344" spans="1:15" s="36" customFormat="1" ht="12" x14ac:dyDescent="0.2">
      <c r="A344" s="33"/>
      <c r="B344" s="62">
        <v>42277</v>
      </c>
      <c r="C344" s="64">
        <v>394531.03779999999</v>
      </c>
      <c r="D344" s="64">
        <v>10.3</v>
      </c>
      <c r="E344" s="64">
        <v>921337.19</v>
      </c>
      <c r="F344" s="64">
        <v>15.4</v>
      </c>
      <c r="G344" s="34"/>
      <c r="H344" s="33"/>
      <c r="I344" s="62">
        <v>41060</v>
      </c>
      <c r="J344" s="64">
        <v>3</v>
      </c>
      <c r="K344" s="64">
        <v>15.27</v>
      </c>
      <c r="L344" s="64">
        <v>12.99</v>
      </c>
      <c r="M344" s="64">
        <v>40.652796000000002</v>
      </c>
      <c r="N344" s="34"/>
      <c r="O344" s="35"/>
    </row>
    <row r="345" spans="1:15" s="36" customFormat="1" ht="12" x14ac:dyDescent="0.2">
      <c r="A345" s="33"/>
      <c r="B345" s="63">
        <v>42308</v>
      </c>
      <c r="C345" s="65">
        <v>447424.88140000001</v>
      </c>
      <c r="D345" s="65">
        <v>10.199999999999999</v>
      </c>
      <c r="E345" s="65">
        <v>926473.22</v>
      </c>
      <c r="F345" s="65">
        <v>15.4</v>
      </c>
      <c r="G345" s="34"/>
      <c r="H345" s="33"/>
      <c r="I345" s="63">
        <v>41090</v>
      </c>
      <c r="J345" s="65">
        <v>2.2000000000000002</v>
      </c>
      <c r="K345" s="65">
        <v>11.08</v>
      </c>
      <c r="L345" s="65">
        <v>6.07</v>
      </c>
      <c r="M345" s="65">
        <v>42.608029999999999</v>
      </c>
      <c r="N345" s="34"/>
      <c r="O345" s="35"/>
    </row>
    <row r="346" spans="1:15" s="36" customFormat="1" ht="12" x14ac:dyDescent="0.2">
      <c r="A346" s="33"/>
      <c r="B346" s="62">
        <v>42338</v>
      </c>
      <c r="C346" s="64">
        <v>497182.15</v>
      </c>
      <c r="D346" s="64">
        <v>10.199999999999999</v>
      </c>
      <c r="E346" s="64">
        <v>933562.66</v>
      </c>
      <c r="F346" s="64">
        <v>14.9</v>
      </c>
      <c r="G346" s="34"/>
      <c r="H346" s="33"/>
      <c r="I346" s="62">
        <v>41121</v>
      </c>
      <c r="J346" s="64">
        <v>1.8</v>
      </c>
      <c r="K346" s="64">
        <v>1.01</v>
      </c>
      <c r="L346" s="64">
        <v>4.55</v>
      </c>
      <c r="M346" s="64">
        <v>-16.043934</v>
      </c>
      <c r="N346" s="34"/>
      <c r="O346" s="35"/>
    </row>
    <row r="347" spans="1:15" s="36" customFormat="1" ht="12" x14ac:dyDescent="0.2">
      <c r="A347" s="33"/>
      <c r="B347" s="63">
        <v>42369</v>
      </c>
      <c r="C347" s="65">
        <v>551590.03830000001</v>
      </c>
      <c r="D347" s="65">
        <v>10</v>
      </c>
      <c r="E347" s="65">
        <v>939540.16</v>
      </c>
      <c r="F347" s="65">
        <v>14.3</v>
      </c>
      <c r="G347" s="34"/>
      <c r="H347" s="33"/>
      <c r="I347" s="63">
        <v>41152</v>
      </c>
      <c r="J347" s="65">
        <v>2</v>
      </c>
      <c r="K347" s="65">
        <v>2.67</v>
      </c>
      <c r="L347" s="65">
        <v>-2.5299999999999998</v>
      </c>
      <c r="M347" s="65">
        <v>47.958554999999997</v>
      </c>
      <c r="N347" s="34"/>
      <c r="O347" s="35"/>
    </row>
    <row r="348" spans="1:15" s="36" customFormat="1" ht="12" x14ac:dyDescent="0.2">
      <c r="A348" s="33"/>
      <c r="B348" s="62">
        <v>42400</v>
      </c>
      <c r="C348" s="64">
        <v>0</v>
      </c>
      <c r="D348" s="64">
        <v>0</v>
      </c>
      <c r="E348" s="64">
        <v>964617.65</v>
      </c>
      <c r="F348" s="64">
        <v>15.3</v>
      </c>
      <c r="G348" s="34"/>
      <c r="H348" s="33"/>
      <c r="I348" s="62">
        <v>41182</v>
      </c>
      <c r="J348" s="64">
        <v>1.9</v>
      </c>
      <c r="K348" s="64">
        <v>9.75</v>
      </c>
      <c r="L348" s="64">
        <v>2.36</v>
      </c>
      <c r="M348" s="64">
        <v>88.290141000000006</v>
      </c>
      <c r="N348" s="34"/>
      <c r="O348" s="35"/>
    </row>
    <row r="349" spans="1:15" s="36" customFormat="1" ht="12" x14ac:dyDescent="0.2">
      <c r="A349" s="33"/>
      <c r="B349" s="63">
        <v>42429</v>
      </c>
      <c r="C349" s="65">
        <v>38007.796799999996</v>
      </c>
      <c r="D349" s="65">
        <v>10.199999999999999</v>
      </c>
      <c r="E349" s="65">
        <v>971884.02</v>
      </c>
      <c r="F349" s="65">
        <v>14.7</v>
      </c>
      <c r="G349" s="34"/>
      <c r="H349" s="33"/>
      <c r="I349" s="63">
        <v>41213</v>
      </c>
      <c r="J349" s="65">
        <v>1.7</v>
      </c>
      <c r="K349" s="65">
        <v>11.54</v>
      </c>
      <c r="L349" s="65">
        <v>2.2999999999999998</v>
      </c>
      <c r="M349" s="65">
        <v>87.171705000000003</v>
      </c>
      <c r="N349" s="34"/>
      <c r="O349" s="35"/>
    </row>
    <row r="350" spans="1:15" s="36" customFormat="1" ht="12" x14ac:dyDescent="0.2">
      <c r="A350" s="33"/>
      <c r="B350" s="62">
        <v>42460</v>
      </c>
      <c r="C350" s="64">
        <v>85842.833199999994</v>
      </c>
      <c r="D350" s="64">
        <v>10.7</v>
      </c>
      <c r="E350" s="64">
        <v>985613.17</v>
      </c>
      <c r="F350" s="64">
        <v>14.7</v>
      </c>
      <c r="G350" s="34"/>
      <c r="H350" s="33"/>
      <c r="I350" s="62">
        <v>41243</v>
      </c>
      <c r="J350" s="64">
        <v>2</v>
      </c>
      <c r="K350" s="64">
        <v>2.84</v>
      </c>
      <c r="L350" s="64">
        <v>0.09</v>
      </c>
      <c r="M350" s="64">
        <v>32.849153999999999</v>
      </c>
      <c r="N350" s="34"/>
      <c r="O350" s="35"/>
    </row>
    <row r="351" spans="1:15" s="36" customFormat="1" ht="12" x14ac:dyDescent="0.2">
      <c r="A351" s="33"/>
      <c r="B351" s="63">
        <v>42490</v>
      </c>
      <c r="C351" s="65">
        <v>132591.95250000001</v>
      </c>
      <c r="D351" s="65">
        <v>10.5</v>
      </c>
      <c r="E351" s="65">
        <v>991169.46</v>
      </c>
      <c r="F351" s="65">
        <v>14.4</v>
      </c>
      <c r="G351" s="34"/>
      <c r="H351" s="33"/>
      <c r="I351" s="63">
        <v>41274</v>
      </c>
      <c r="J351" s="65">
        <v>2.5</v>
      </c>
      <c r="K351" s="65">
        <v>14.02</v>
      </c>
      <c r="L351" s="65">
        <v>6.3</v>
      </c>
      <c r="M351" s="65">
        <v>88.280680000000004</v>
      </c>
      <c r="N351" s="34"/>
      <c r="O351" s="35"/>
    </row>
    <row r="352" spans="1:15" s="36" customFormat="1" ht="12" x14ac:dyDescent="0.2">
      <c r="A352" s="33"/>
      <c r="B352" s="62">
        <v>42521</v>
      </c>
      <c r="C352" s="64">
        <v>187670.98199999999</v>
      </c>
      <c r="D352" s="64">
        <v>9.6</v>
      </c>
      <c r="E352" s="64">
        <v>1001024.76</v>
      </c>
      <c r="F352" s="64">
        <v>14.4</v>
      </c>
      <c r="G352" s="34"/>
      <c r="H352" s="33"/>
      <c r="I352" s="62">
        <v>41305</v>
      </c>
      <c r="J352" s="64">
        <v>2.0305</v>
      </c>
      <c r="K352" s="64">
        <v>24.97</v>
      </c>
      <c r="L352" s="64">
        <v>29.59</v>
      </c>
      <c r="M352" s="64">
        <v>3.9794179999999999</v>
      </c>
      <c r="N352" s="34"/>
      <c r="O352" s="35"/>
    </row>
    <row r="353" spans="1:15" s="36" customFormat="1" ht="12" x14ac:dyDescent="0.2">
      <c r="A353" s="33"/>
      <c r="B353" s="63">
        <v>42551</v>
      </c>
      <c r="C353" s="65">
        <v>258359.9564</v>
      </c>
      <c r="D353" s="65">
        <v>9</v>
      </c>
      <c r="E353" s="65">
        <v>1014859.39</v>
      </c>
      <c r="F353" s="65">
        <v>14.3</v>
      </c>
      <c r="G353" s="34"/>
      <c r="H353" s="33"/>
      <c r="I353" s="63">
        <v>41333</v>
      </c>
      <c r="J353" s="65">
        <v>3.2198000000000002</v>
      </c>
      <c r="K353" s="65">
        <v>21.76</v>
      </c>
      <c r="L353" s="65">
        <v>-15.02</v>
      </c>
      <c r="M353" s="65">
        <v>146.50646800000001</v>
      </c>
      <c r="N353" s="34"/>
      <c r="O353" s="35"/>
    </row>
    <row r="354" spans="1:15" s="36" customFormat="1" ht="12" x14ac:dyDescent="0.2">
      <c r="A354" s="33"/>
      <c r="B354" s="62">
        <v>42582</v>
      </c>
      <c r="C354" s="64">
        <v>311694.33309999999</v>
      </c>
      <c r="D354" s="64">
        <v>8.1</v>
      </c>
      <c r="E354" s="64">
        <v>1019495.06</v>
      </c>
      <c r="F354" s="64">
        <v>12.9</v>
      </c>
      <c r="G354" s="34"/>
      <c r="H354" s="33"/>
      <c r="I354" s="62">
        <v>41364</v>
      </c>
      <c r="J354" s="64">
        <v>2.0695999999999999</v>
      </c>
      <c r="K354" s="64">
        <v>9.98</v>
      </c>
      <c r="L354" s="64">
        <v>14.1</v>
      </c>
      <c r="M354" s="64">
        <v>-117.48022400000001</v>
      </c>
      <c r="N354" s="34"/>
      <c r="O354" s="35"/>
    </row>
    <row r="355" spans="1:15" s="36" customFormat="1" ht="12" x14ac:dyDescent="0.2">
      <c r="A355" s="33"/>
      <c r="B355" s="63">
        <v>42613</v>
      </c>
      <c r="C355" s="65">
        <v>366339.18680000002</v>
      </c>
      <c r="D355" s="65">
        <v>8.1</v>
      </c>
      <c r="E355" s="65">
        <v>1028981.69</v>
      </c>
      <c r="F355" s="65">
        <v>13</v>
      </c>
      <c r="G355" s="34"/>
      <c r="H355" s="33"/>
      <c r="I355" s="63">
        <v>41394</v>
      </c>
      <c r="J355" s="65">
        <v>2.3860999999999999</v>
      </c>
      <c r="K355" s="65">
        <v>14.59</v>
      </c>
      <c r="L355" s="65">
        <v>16.600000000000001</v>
      </c>
      <c r="M355" s="65">
        <v>-1.040151</v>
      </c>
      <c r="N355" s="34"/>
      <c r="O355" s="35"/>
    </row>
    <row r="356" spans="1:15" s="36" customFormat="1" ht="12" x14ac:dyDescent="0.2">
      <c r="A356" s="33"/>
      <c r="B356" s="62">
        <v>42643</v>
      </c>
      <c r="C356" s="64">
        <v>426906.44099999999</v>
      </c>
      <c r="D356" s="64">
        <v>8.1999999999999993</v>
      </c>
      <c r="E356" s="64">
        <v>1041137.89</v>
      </c>
      <c r="F356" s="64">
        <v>13</v>
      </c>
      <c r="G356" s="34"/>
      <c r="H356" s="33"/>
      <c r="I356" s="62">
        <v>41425</v>
      </c>
      <c r="J356" s="64">
        <v>2.0981000000000001</v>
      </c>
      <c r="K356" s="64">
        <v>0.91</v>
      </c>
      <c r="L356" s="64">
        <v>-0.51</v>
      </c>
      <c r="M356" s="64">
        <v>13.604619</v>
      </c>
      <c r="N356" s="34"/>
      <c r="O356" s="35"/>
    </row>
    <row r="357" spans="1:15" s="36" customFormat="1" ht="12" x14ac:dyDescent="0.2">
      <c r="A357" s="33"/>
      <c r="B357" s="63">
        <v>42674</v>
      </c>
      <c r="C357" s="65">
        <v>484429.01770000003</v>
      </c>
      <c r="D357" s="65">
        <v>8.3000000000000007</v>
      </c>
      <c r="E357" s="65">
        <v>1047650.47</v>
      </c>
      <c r="F357" s="65">
        <v>13.1</v>
      </c>
      <c r="G357" s="34"/>
      <c r="H357" s="33"/>
      <c r="I357" s="63">
        <v>41455</v>
      </c>
      <c r="J357" s="65">
        <v>2.6684000000000001</v>
      </c>
      <c r="K357" s="65">
        <v>-3.11</v>
      </c>
      <c r="L357" s="65">
        <v>-0.82</v>
      </c>
      <c r="M357" s="65">
        <v>-13.845618999999999</v>
      </c>
      <c r="N357" s="34"/>
      <c r="O357" s="35"/>
    </row>
    <row r="358" spans="1:15" s="36" customFormat="1" ht="12" x14ac:dyDescent="0.2">
      <c r="A358" s="33"/>
      <c r="B358" s="62">
        <v>42704</v>
      </c>
      <c r="C358" s="64">
        <v>538547.98</v>
      </c>
      <c r="D358" s="64">
        <v>8.3000000000000007</v>
      </c>
      <c r="E358" s="64">
        <v>1055596.1399999999</v>
      </c>
      <c r="F358" s="64">
        <v>13.1</v>
      </c>
      <c r="G358" s="34"/>
      <c r="H358" s="33"/>
      <c r="I358" s="62">
        <v>41486</v>
      </c>
      <c r="J358" s="64">
        <v>2.6741000000000001</v>
      </c>
      <c r="K358" s="64">
        <v>5.09</v>
      </c>
      <c r="L358" s="64">
        <v>10.91</v>
      </c>
      <c r="M358" s="64">
        <v>-29.813051000000002</v>
      </c>
      <c r="N358" s="34"/>
      <c r="O358" s="35"/>
    </row>
    <row r="359" spans="1:15" s="36" customFormat="1" ht="12" x14ac:dyDescent="0.2">
      <c r="A359" s="33"/>
      <c r="B359" s="63">
        <v>42735</v>
      </c>
      <c r="C359" s="65">
        <v>596500.75199999998</v>
      </c>
      <c r="D359" s="65">
        <v>8.1</v>
      </c>
      <c r="E359" s="65">
        <v>1066040.06</v>
      </c>
      <c r="F359" s="65">
        <v>13.5</v>
      </c>
      <c r="G359" s="34"/>
      <c r="H359" s="33"/>
      <c r="I359" s="63">
        <v>41517</v>
      </c>
      <c r="J359" s="65">
        <v>2.5666000000000002</v>
      </c>
      <c r="K359" s="65">
        <v>7.1</v>
      </c>
      <c r="L359" s="65">
        <v>7.2</v>
      </c>
      <c r="M359" s="65">
        <v>6.4917860000000003</v>
      </c>
      <c r="N359" s="34"/>
      <c r="O359" s="35"/>
    </row>
    <row r="360" spans="1:15" s="36" customFormat="1" ht="12" x14ac:dyDescent="0.2">
      <c r="A360" s="33"/>
      <c r="B360" s="62">
        <v>42766</v>
      </c>
      <c r="C360" s="64">
        <v>0</v>
      </c>
      <c r="D360" s="64">
        <v>0</v>
      </c>
      <c r="E360" s="64">
        <v>1086366.6499999999</v>
      </c>
      <c r="F360" s="64">
        <v>12.6</v>
      </c>
      <c r="G360" s="34"/>
      <c r="H360" s="33"/>
      <c r="I360" s="62">
        <v>41547</v>
      </c>
      <c r="J360" s="64">
        <v>3.0518999999999998</v>
      </c>
      <c r="K360" s="64">
        <v>-0.43</v>
      </c>
      <c r="L360" s="64">
        <v>7.51</v>
      </c>
      <c r="M360" s="64">
        <v>-46.282406000000002</v>
      </c>
      <c r="N360" s="34"/>
      <c r="O360" s="35"/>
    </row>
    <row r="361" spans="1:15" s="36" customFormat="1" ht="12" x14ac:dyDescent="0.2">
      <c r="A361" s="33"/>
      <c r="B361" s="63">
        <v>42794</v>
      </c>
      <c r="C361" s="65">
        <v>41377.888400000003</v>
      </c>
      <c r="D361" s="65">
        <v>8.9</v>
      </c>
      <c r="E361" s="65">
        <v>1098023.51</v>
      </c>
      <c r="F361" s="65">
        <v>13</v>
      </c>
      <c r="G361" s="34"/>
      <c r="H361" s="33"/>
      <c r="I361" s="63">
        <v>41578</v>
      </c>
      <c r="J361" s="65">
        <v>3.2058</v>
      </c>
      <c r="K361" s="65">
        <v>5.57</v>
      </c>
      <c r="L361" s="65">
        <v>7.54</v>
      </c>
      <c r="M361" s="65">
        <v>-3.2273149999999999</v>
      </c>
      <c r="N361" s="34"/>
      <c r="O361" s="35"/>
    </row>
    <row r="362" spans="1:15" s="36" customFormat="1" ht="12" x14ac:dyDescent="0.2">
      <c r="A362" s="33"/>
      <c r="B362" s="62">
        <v>42825</v>
      </c>
      <c r="C362" s="64">
        <v>93777.055699999997</v>
      </c>
      <c r="D362" s="64">
        <v>9.1999999999999993</v>
      </c>
      <c r="E362" s="64">
        <v>1108256</v>
      </c>
      <c r="F362" s="64">
        <v>12.4</v>
      </c>
      <c r="G362" s="34"/>
      <c r="H362" s="33"/>
      <c r="I362" s="62">
        <v>41608</v>
      </c>
      <c r="J362" s="64">
        <v>3.0179999999999998</v>
      </c>
      <c r="K362" s="64">
        <v>12.68</v>
      </c>
      <c r="L362" s="64">
        <v>5.3</v>
      </c>
      <c r="M362" s="64">
        <v>73.261126000000004</v>
      </c>
      <c r="N362" s="34"/>
      <c r="O362" s="35"/>
    </row>
    <row r="363" spans="1:15" s="36" customFormat="1" ht="12" x14ac:dyDescent="0.2">
      <c r="A363" s="33"/>
      <c r="B363" s="63">
        <v>42855</v>
      </c>
      <c r="C363" s="65">
        <v>144326.84229999999</v>
      </c>
      <c r="D363" s="65">
        <v>8.9</v>
      </c>
      <c r="E363" s="65">
        <v>1119233.6200000001</v>
      </c>
      <c r="F363" s="65">
        <v>12.9</v>
      </c>
      <c r="G363" s="34"/>
      <c r="H363" s="33"/>
      <c r="I363" s="63">
        <v>41639</v>
      </c>
      <c r="J363" s="65">
        <v>2.4986999999999999</v>
      </c>
      <c r="K363" s="65">
        <v>4.1500000000000004</v>
      </c>
      <c r="L363" s="65">
        <v>8.34</v>
      </c>
      <c r="M363" s="65">
        <v>-18.592495</v>
      </c>
      <c r="N363" s="34"/>
      <c r="O363" s="35"/>
    </row>
    <row r="364" spans="1:15" s="36" customFormat="1" ht="12" x14ac:dyDescent="0.2">
      <c r="A364" s="33"/>
      <c r="B364" s="62">
        <v>42886</v>
      </c>
      <c r="C364" s="64">
        <v>203718.26680000001</v>
      </c>
      <c r="D364" s="64">
        <v>8.6</v>
      </c>
      <c r="E364" s="64">
        <v>1130352.83</v>
      </c>
      <c r="F364" s="64">
        <v>12.9</v>
      </c>
      <c r="G364" s="34"/>
      <c r="H364" s="33"/>
      <c r="I364" s="62">
        <v>41670</v>
      </c>
      <c r="J364" s="64">
        <v>2.4861</v>
      </c>
      <c r="K364" s="64">
        <v>10.54</v>
      </c>
      <c r="L364" s="64">
        <v>9.93</v>
      </c>
      <c r="M364" s="64">
        <v>14.004272</v>
      </c>
      <c r="N364" s="34"/>
      <c r="O364" s="35"/>
    </row>
    <row r="365" spans="1:15" s="36" customFormat="1" ht="12" x14ac:dyDescent="0.2">
      <c r="A365" s="33"/>
      <c r="B365" s="63">
        <v>42916</v>
      </c>
      <c r="C365" s="65">
        <v>280604.82919999998</v>
      </c>
      <c r="D365" s="65">
        <v>8.6</v>
      </c>
      <c r="E365" s="65">
        <v>1145720.82</v>
      </c>
      <c r="F365" s="65">
        <v>12.9</v>
      </c>
      <c r="G365" s="34"/>
      <c r="H365" s="33"/>
      <c r="I365" s="63">
        <v>41698</v>
      </c>
      <c r="J365" s="65">
        <v>1.9511000000000001</v>
      </c>
      <c r="K365" s="65">
        <v>-18.13</v>
      </c>
      <c r="L365" s="65">
        <v>9.81</v>
      </c>
      <c r="M365" s="65">
        <v>-251.64261200000001</v>
      </c>
      <c r="N365" s="34"/>
      <c r="O365" s="35"/>
    </row>
    <row r="366" spans="1:15" s="36" customFormat="1" ht="12" x14ac:dyDescent="0.2">
      <c r="A366" s="33"/>
      <c r="B366" s="62">
        <v>42947</v>
      </c>
      <c r="C366" s="64">
        <v>337409.48609999998</v>
      </c>
      <c r="D366" s="64">
        <v>8.3000000000000007</v>
      </c>
      <c r="E366" s="64">
        <v>1153975.8999999999</v>
      </c>
      <c r="F366" s="64">
        <v>13.2</v>
      </c>
      <c r="G366" s="34"/>
      <c r="H366" s="33"/>
      <c r="I366" s="62">
        <v>41729</v>
      </c>
      <c r="J366" s="64">
        <v>2.3847999999999998</v>
      </c>
      <c r="K366" s="64">
        <v>-6.64</v>
      </c>
      <c r="L366" s="64">
        <v>-11.47</v>
      </c>
      <c r="M366" s="64">
        <v>981.30794700000001</v>
      </c>
      <c r="N366" s="34"/>
      <c r="O366" s="35"/>
    </row>
    <row r="367" spans="1:15" s="36" customFormat="1" ht="12" x14ac:dyDescent="0.2">
      <c r="A367" s="33"/>
      <c r="B367" s="63">
        <v>42978</v>
      </c>
      <c r="C367" s="65">
        <v>394150.13</v>
      </c>
      <c r="D367" s="65">
        <v>7.8</v>
      </c>
      <c r="E367" s="65">
        <v>1164895.8400000001</v>
      </c>
      <c r="F367" s="65">
        <v>13.2</v>
      </c>
      <c r="G367" s="34"/>
      <c r="H367" s="33"/>
      <c r="I367" s="63">
        <v>41759</v>
      </c>
      <c r="J367" s="65">
        <v>1.8013999999999999</v>
      </c>
      <c r="K367" s="65">
        <v>0.81</v>
      </c>
      <c r="L367" s="65">
        <v>0.72</v>
      </c>
      <c r="M367" s="65">
        <v>1.642849</v>
      </c>
      <c r="N367" s="34"/>
      <c r="O367" s="35"/>
    </row>
    <row r="368" spans="1:15" s="36" customFormat="1" ht="12" x14ac:dyDescent="0.2">
      <c r="A368" s="33"/>
      <c r="B368" s="62">
        <v>43008</v>
      </c>
      <c r="C368" s="64">
        <v>458478.17849999998</v>
      </c>
      <c r="D368" s="64">
        <v>7.5</v>
      </c>
      <c r="E368" s="64">
        <v>1177617.3500000001</v>
      </c>
      <c r="F368" s="64">
        <v>13.1</v>
      </c>
      <c r="G368" s="34"/>
      <c r="H368" s="33"/>
      <c r="I368" s="62">
        <v>41790</v>
      </c>
      <c r="J368" s="64">
        <v>2.4773000000000001</v>
      </c>
      <c r="K368" s="64">
        <v>7.07</v>
      </c>
      <c r="L368" s="64">
        <v>-1.64</v>
      </c>
      <c r="M368" s="64">
        <v>75.416961000000001</v>
      </c>
      <c r="N368" s="34"/>
      <c r="O368" s="35"/>
    </row>
    <row r="369" spans="1:15" s="36" customFormat="1" ht="12" x14ac:dyDescent="0.2">
      <c r="A369" s="33"/>
      <c r="B369" s="63">
        <v>43039</v>
      </c>
      <c r="C369" s="65">
        <v>517817.97889999999</v>
      </c>
      <c r="D369" s="65">
        <v>7.3</v>
      </c>
      <c r="E369" s="65">
        <v>1184249.28</v>
      </c>
      <c r="F369" s="65">
        <v>13</v>
      </c>
      <c r="G369" s="34"/>
      <c r="H369" s="33"/>
      <c r="I369" s="63">
        <v>41820</v>
      </c>
      <c r="J369" s="65">
        <v>2.3361000000000001</v>
      </c>
      <c r="K369" s="65">
        <v>7.19</v>
      </c>
      <c r="L369" s="65">
        <v>5.37</v>
      </c>
      <c r="M369" s="65">
        <v>16.969854000000002</v>
      </c>
      <c r="N369" s="34"/>
      <c r="O369" s="35"/>
    </row>
    <row r="370" spans="1:15" s="36" customFormat="1" ht="12" x14ac:dyDescent="0.2">
      <c r="A370" s="33"/>
      <c r="B370" s="62">
        <v>43069</v>
      </c>
      <c r="C370" s="64">
        <v>575057.05000000005</v>
      </c>
      <c r="D370" s="64">
        <v>7.2</v>
      </c>
      <c r="E370" s="64">
        <v>1195476.5900000001</v>
      </c>
      <c r="F370" s="64">
        <v>13.3</v>
      </c>
      <c r="G370" s="34"/>
      <c r="H370" s="33"/>
      <c r="I370" s="62">
        <v>41851</v>
      </c>
      <c r="J370" s="64">
        <v>2.2852000000000001</v>
      </c>
      <c r="K370" s="64">
        <v>14.43</v>
      </c>
      <c r="L370" s="64">
        <v>-1.64</v>
      </c>
      <c r="M370" s="64">
        <v>166.65722500000001</v>
      </c>
      <c r="N370" s="34"/>
      <c r="O370" s="35"/>
    </row>
    <row r="371" spans="1:15" s="36" customFormat="1" ht="12" x14ac:dyDescent="0.2">
      <c r="A371" s="33"/>
      <c r="B371" s="63">
        <v>43100</v>
      </c>
      <c r="C371" s="65">
        <v>631683.96369999996</v>
      </c>
      <c r="D371" s="65">
        <v>7.2</v>
      </c>
      <c r="E371" s="65">
        <v>1201320.99</v>
      </c>
      <c r="F371" s="65">
        <v>12.7</v>
      </c>
      <c r="G371" s="34"/>
      <c r="H371" s="33"/>
      <c r="I371" s="63">
        <v>41882</v>
      </c>
      <c r="J371" s="65">
        <v>1.9908999999999999</v>
      </c>
      <c r="K371" s="65">
        <v>9.36</v>
      </c>
      <c r="L371" s="65">
        <v>-2.41</v>
      </c>
      <c r="M371" s="65">
        <v>77.286886999999993</v>
      </c>
      <c r="N371" s="34"/>
      <c r="O371" s="35"/>
    </row>
    <row r="372" spans="1:15" s="36" customFormat="1" ht="12" x14ac:dyDescent="0.2">
      <c r="A372" s="33"/>
      <c r="B372" s="62">
        <v>43131</v>
      </c>
      <c r="C372" s="64">
        <v>0</v>
      </c>
      <c r="D372" s="64">
        <v>0</v>
      </c>
      <c r="E372" s="64">
        <v>1230255.1299999999</v>
      </c>
      <c r="F372" s="64">
        <v>13.2</v>
      </c>
      <c r="G372" s="34"/>
      <c r="H372" s="33"/>
      <c r="I372" s="62">
        <v>41912</v>
      </c>
      <c r="J372" s="64">
        <v>1.6274999999999999</v>
      </c>
      <c r="K372" s="64">
        <v>15.24</v>
      </c>
      <c r="L372" s="64">
        <v>6.91</v>
      </c>
      <c r="M372" s="64">
        <v>111.57262900000001</v>
      </c>
      <c r="N372" s="34"/>
      <c r="O372" s="35"/>
    </row>
    <row r="373" spans="1:15" s="36" customFormat="1" ht="12" x14ac:dyDescent="0.2">
      <c r="A373" s="33"/>
      <c r="B373" s="63">
        <v>43159</v>
      </c>
      <c r="C373" s="65">
        <v>44626</v>
      </c>
      <c r="D373" s="65">
        <v>7.9</v>
      </c>
      <c r="E373" s="65">
        <v>1238648.54</v>
      </c>
      <c r="F373" s="65">
        <v>12.8</v>
      </c>
      <c r="G373" s="34"/>
      <c r="H373" s="33"/>
      <c r="I373" s="63">
        <v>41943</v>
      </c>
      <c r="J373" s="65">
        <v>1.6011</v>
      </c>
      <c r="K373" s="65">
        <v>11.59</v>
      </c>
      <c r="L373" s="65">
        <v>4.42</v>
      </c>
      <c r="M373" s="65">
        <v>47.251136000000002</v>
      </c>
      <c r="N373" s="34"/>
      <c r="O373" s="35"/>
    </row>
    <row r="374" spans="1:15" s="36" customFormat="1" ht="12" x14ac:dyDescent="0.2">
      <c r="A374" s="33"/>
      <c r="B374" s="62">
        <v>43190</v>
      </c>
      <c r="C374" s="64">
        <v>100763</v>
      </c>
      <c r="D374" s="64">
        <v>7.5</v>
      </c>
      <c r="E374" s="64">
        <v>1249814.08</v>
      </c>
      <c r="F374" s="64">
        <v>12.8</v>
      </c>
      <c r="G374" s="34"/>
      <c r="H374" s="33"/>
      <c r="I374" s="62">
        <v>41973</v>
      </c>
      <c r="J374" s="64">
        <v>1.4393</v>
      </c>
      <c r="K374" s="64">
        <v>4.6900000000000004</v>
      </c>
      <c r="L374" s="64">
        <v>-6.85</v>
      </c>
      <c r="M374" s="64">
        <v>62.250940999999997</v>
      </c>
      <c r="N374" s="34"/>
      <c r="O374" s="35"/>
    </row>
    <row r="375" spans="1:15" s="36" customFormat="1" ht="12" x14ac:dyDescent="0.2">
      <c r="A375" s="33"/>
      <c r="B375" s="63">
        <v>43220</v>
      </c>
      <c r="C375" s="65">
        <v>154358</v>
      </c>
      <c r="D375" s="65">
        <v>7</v>
      </c>
      <c r="E375" s="65">
        <v>1261588.6499999999</v>
      </c>
      <c r="F375" s="65">
        <v>12.7</v>
      </c>
      <c r="G375" s="34"/>
      <c r="H375" s="33"/>
      <c r="I375" s="63">
        <v>42004</v>
      </c>
      <c r="J375" s="65">
        <v>1.5056</v>
      </c>
      <c r="K375" s="65">
        <v>9.67</v>
      </c>
      <c r="L375" s="65">
        <v>-2.54</v>
      </c>
      <c r="M375" s="65">
        <v>97.852153999999999</v>
      </c>
      <c r="N375" s="34"/>
      <c r="O375" s="35"/>
    </row>
    <row r="376" spans="1:15" s="36" customFormat="1" ht="12" x14ac:dyDescent="0.2">
      <c r="A376" s="33"/>
      <c r="B376" s="62">
        <v>43251</v>
      </c>
      <c r="C376" s="64">
        <v>216043</v>
      </c>
      <c r="D376" s="64">
        <v>6.1</v>
      </c>
      <c r="E376" s="64">
        <v>1273112.43</v>
      </c>
      <c r="F376" s="64">
        <v>12.6</v>
      </c>
      <c r="G376" s="34"/>
      <c r="H376" s="33"/>
      <c r="I376" s="62">
        <v>42035</v>
      </c>
      <c r="J376" s="64">
        <v>0.76380000000000003</v>
      </c>
      <c r="K376" s="64">
        <v>-3.46</v>
      </c>
      <c r="L376" s="64">
        <v>-19.690000000000001</v>
      </c>
      <c r="M376" s="64">
        <v>85.227523000000005</v>
      </c>
      <c r="N376" s="34"/>
      <c r="O376" s="35"/>
    </row>
    <row r="377" spans="1:15" s="36" customFormat="1" ht="12" x14ac:dyDescent="0.2">
      <c r="A377" s="33"/>
      <c r="B377" s="63">
        <v>43281</v>
      </c>
      <c r="C377" s="65">
        <v>297316</v>
      </c>
      <c r="D377" s="65">
        <v>6</v>
      </c>
      <c r="E377" s="65">
        <v>1291534.1599999999</v>
      </c>
      <c r="F377" s="65">
        <v>12.7</v>
      </c>
      <c r="G377" s="34"/>
      <c r="H377" s="33"/>
      <c r="I377" s="63">
        <v>42063</v>
      </c>
      <c r="J377" s="65">
        <v>1.4311</v>
      </c>
      <c r="K377" s="65">
        <v>48.13</v>
      </c>
      <c r="L377" s="65">
        <v>-20.59</v>
      </c>
      <c r="M377" s="65">
        <v>367.89924400000001</v>
      </c>
      <c r="N377" s="34"/>
      <c r="O377" s="35"/>
    </row>
    <row r="378" spans="1:15" s="36" customFormat="1" ht="12" x14ac:dyDescent="0.2">
      <c r="A378" s="33"/>
      <c r="B378" s="62">
        <v>43312</v>
      </c>
      <c r="C378" s="64">
        <v>355798</v>
      </c>
      <c r="D378" s="64">
        <v>5.5</v>
      </c>
      <c r="E378" s="64">
        <v>1306067.3799999999</v>
      </c>
      <c r="F378" s="64">
        <v>13.2</v>
      </c>
      <c r="G378" s="34"/>
      <c r="H378" s="33"/>
      <c r="I378" s="62">
        <v>42094</v>
      </c>
      <c r="J378" s="64">
        <v>1.3757999999999999</v>
      </c>
      <c r="K378" s="64">
        <v>-15.16</v>
      </c>
      <c r="L378" s="64">
        <v>-12.53</v>
      </c>
      <c r="M378" s="64">
        <v>-68.489037999999994</v>
      </c>
      <c r="N378" s="34"/>
      <c r="O378" s="35"/>
    </row>
    <row r="379" spans="1:15" s="36" customFormat="1" ht="12" x14ac:dyDescent="0.2">
      <c r="A379" s="33"/>
      <c r="B379" s="63">
        <v>43343</v>
      </c>
      <c r="C379" s="65">
        <v>415158</v>
      </c>
      <c r="D379" s="65">
        <v>5.3</v>
      </c>
      <c r="E379" s="65">
        <v>1318821.67</v>
      </c>
      <c r="F379" s="65">
        <v>13.2</v>
      </c>
      <c r="G379" s="34"/>
      <c r="H379" s="33"/>
      <c r="I379" s="63">
        <v>42124</v>
      </c>
      <c r="J379" s="65">
        <v>1.5091000000000001</v>
      </c>
      <c r="K379" s="65">
        <v>-6.66</v>
      </c>
      <c r="L379" s="65">
        <v>-15.95</v>
      </c>
      <c r="M379" s="65">
        <v>77.893992999999995</v>
      </c>
      <c r="N379" s="34"/>
      <c r="O379" s="35"/>
    </row>
    <row r="380" spans="1:15" s="36" customFormat="1" ht="12" x14ac:dyDescent="0.2">
      <c r="A380" s="33"/>
      <c r="B380" s="62">
        <v>43373</v>
      </c>
      <c r="C380" s="64">
        <v>483442</v>
      </c>
      <c r="D380" s="64">
        <v>5.4</v>
      </c>
      <c r="E380" s="64">
        <v>1332662.8799999999</v>
      </c>
      <c r="F380" s="64">
        <v>13.2</v>
      </c>
      <c r="G380" s="34"/>
      <c r="H380" s="33"/>
      <c r="I380" s="62">
        <v>42155</v>
      </c>
      <c r="J380" s="64">
        <v>1.2307999999999999</v>
      </c>
      <c r="K380" s="64">
        <v>-3.47</v>
      </c>
      <c r="L380" s="64">
        <v>-17.39</v>
      </c>
      <c r="M380" s="64">
        <v>57.713940999999998</v>
      </c>
      <c r="N380" s="34"/>
      <c r="O380" s="35"/>
    </row>
    <row r="381" spans="1:15" s="36" customFormat="1" ht="12" x14ac:dyDescent="0.2">
      <c r="A381" s="33"/>
      <c r="B381" s="63">
        <v>43404</v>
      </c>
      <c r="C381" s="65">
        <v>547567</v>
      </c>
      <c r="D381" s="65">
        <v>5.7</v>
      </c>
      <c r="E381" s="65">
        <v>1339633.1399999999</v>
      </c>
      <c r="F381" s="65">
        <v>13.1</v>
      </c>
      <c r="G381" s="34"/>
      <c r="H381" s="33"/>
      <c r="I381" s="63">
        <v>42185</v>
      </c>
      <c r="J381" s="65">
        <v>1.3909</v>
      </c>
      <c r="K381" s="65">
        <v>1.49</v>
      </c>
      <c r="L381" s="65">
        <v>-6.79</v>
      </c>
      <c r="M381" s="65">
        <v>41.712890000000002</v>
      </c>
      <c r="N381" s="34"/>
      <c r="O381" s="35"/>
    </row>
    <row r="382" spans="1:15" s="36" customFormat="1" ht="12" x14ac:dyDescent="0.2">
      <c r="A382" s="33"/>
      <c r="B382" s="62">
        <v>43434</v>
      </c>
      <c r="C382" s="64">
        <v>609267</v>
      </c>
      <c r="D382" s="64">
        <v>5.9</v>
      </c>
      <c r="E382" s="64">
        <v>1352127.25</v>
      </c>
      <c r="F382" s="64">
        <v>13.1</v>
      </c>
      <c r="G382" s="34"/>
      <c r="H382" s="33"/>
      <c r="I382" s="62">
        <v>42216</v>
      </c>
      <c r="J382" s="64">
        <v>1.6473</v>
      </c>
      <c r="K382" s="64">
        <v>-9.1999999999999993</v>
      </c>
      <c r="L382" s="64">
        <v>-8.52</v>
      </c>
      <c r="M382" s="64">
        <v>-11.579986999999999</v>
      </c>
      <c r="N382" s="34"/>
      <c r="O382" s="35"/>
    </row>
    <row r="383" spans="1:15" s="36" customFormat="1" ht="12" x14ac:dyDescent="0.2">
      <c r="A383" s="33"/>
      <c r="B383" s="63">
        <v>43465</v>
      </c>
      <c r="C383" s="65">
        <v>635636</v>
      </c>
      <c r="D383" s="65">
        <v>5.9</v>
      </c>
      <c r="E383" s="65">
        <v>1362966.65</v>
      </c>
      <c r="F383" s="65">
        <v>13.5</v>
      </c>
      <c r="G383" s="34"/>
      <c r="H383" s="33"/>
      <c r="I383" s="63">
        <v>42247</v>
      </c>
      <c r="J383" s="65">
        <v>1.9554</v>
      </c>
      <c r="K383" s="65">
        <v>-5.84</v>
      </c>
      <c r="L383" s="65">
        <v>-13.87</v>
      </c>
      <c r="M383" s="65">
        <v>19.672882000000001</v>
      </c>
      <c r="N383" s="34"/>
      <c r="O383" s="35"/>
    </row>
    <row r="384" spans="1:15" s="36" customFormat="1" ht="12" x14ac:dyDescent="0.2">
      <c r="A384" s="33"/>
      <c r="B384" s="62">
        <v>43496</v>
      </c>
      <c r="C384" s="64">
        <v>0</v>
      </c>
      <c r="D384" s="64">
        <v>0</v>
      </c>
      <c r="E384" s="64">
        <v>1395256.12</v>
      </c>
      <c r="F384" s="64">
        <v>13.4</v>
      </c>
      <c r="G384" s="34"/>
      <c r="H384" s="33"/>
      <c r="I384" s="62">
        <v>42277</v>
      </c>
      <c r="J384" s="64">
        <v>1.5955999999999999</v>
      </c>
      <c r="K384" s="64">
        <v>-4.05</v>
      </c>
      <c r="L384" s="64">
        <v>-20.309999999999999</v>
      </c>
      <c r="M384" s="64">
        <v>90.961933000000002</v>
      </c>
      <c r="N384" s="34"/>
      <c r="O384" s="35"/>
    </row>
    <row r="385" spans="1:15" s="36" customFormat="1" ht="12" x14ac:dyDescent="0.2">
      <c r="A385" s="33"/>
      <c r="B385" s="63">
        <v>43524</v>
      </c>
      <c r="C385" s="65">
        <v>44849</v>
      </c>
      <c r="D385" s="65">
        <v>6.1</v>
      </c>
      <c r="E385" s="65">
        <v>1404113.93</v>
      </c>
      <c r="F385" s="65">
        <v>13.4</v>
      </c>
      <c r="G385" s="34"/>
      <c r="H385" s="33"/>
      <c r="I385" s="63">
        <v>42308</v>
      </c>
      <c r="J385" s="65">
        <v>1.2674000000000001</v>
      </c>
      <c r="K385" s="65">
        <v>-7.05</v>
      </c>
      <c r="L385" s="65">
        <v>-18.73</v>
      </c>
      <c r="M385" s="65">
        <v>34.107326</v>
      </c>
      <c r="N385" s="34"/>
      <c r="O385" s="35"/>
    </row>
    <row r="386" spans="1:15" s="36" customFormat="1" ht="12" x14ac:dyDescent="0.2">
      <c r="A386" s="33"/>
      <c r="B386" s="62">
        <v>43555</v>
      </c>
      <c r="C386" s="64">
        <v>101871</v>
      </c>
      <c r="D386" s="64">
        <v>6.3</v>
      </c>
      <c r="E386" s="64">
        <v>1421057.41</v>
      </c>
      <c r="F386" s="64">
        <v>13.7</v>
      </c>
      <c r="G386" s="34"/>
      <c r="H386" s="33"/>
      <c r="I386" s="62">
        <v>42338</v>
      </c>
      <c r="J386" s="64">
        <v>1.4856</v>
      </c>
      <c r="K386" s="64">
        <v>-7.08</v>
      </c>
      <c r="L386" s="64">
        <v>-9.0399999999999991</v>
      </c>
      <c r="M386" s="64">
        <v>-1.4390149999999999</v>
      </c>
      <c r="N386" s="34"/>
      <c r="O386" s="35"/>
    </row>
    <row r="387" spans="1:15" s="36" customFormat="1" ht="12" x14ac:dyDescent="0.2">
      <c r="A387" s="33"/>
      <c r="B387" s="63">
        <v>43585</v>
      </c>
      <c r="C387" s="65">
        <v>155747</v>
      </c>
      <c r="D387" s="65">
        <v>6.1</v>
      </c>
      <c r="E387" s="65">
        <v>1431217.673</v>
      </c>
      <c r="F387" s="65">
        <v>13.5</v>
      </c>
      <c r="G387" s="34"/>
      <c r="H387" s="33"/>
      <c r="I387" s="63">
        <v>42369</v>
      </c>
      <c r="J387" s="65">
        <v>1.6</v>
      </c>
      <c r="K387" s="65">
        <v>-1.89</v>
      </c>
      <c r="L387" s="65">
        <v>-7.89</v>
      </c>
      <c r="M387" s="65">
        <v>19.461569000000001</v>
      </c>
      <c r="N387" s="34"/>
      <c r="O387" s="35"/>
    </row>
    <row r="388" spans="1:15" s="36" customFormat="1" ht="12" x14ac:dyDescent="0.2">
      <c r="A388" s="33"/>
      <c r="B388" s="62">
        <v>43616</v>
      </c>
      <c r="C388" s="64">
        <v>217555</v>
      </c>
      <c r="D388" s="64">
        <v>5.6</v>
      </c>
      <c r="E388" s="64">
        <v>1443054.9750000001</v>
      </c>
      <c r="F388" s="64">
        <v>13.4</v>
      </c>
      <c r="G388" s="34"/>
      <c r="H388" s="33"/>
      <c r="I388" s="62">
        <v>42400</v>
      </c>
      <c r="J388" s="64">
        <v>1.8</v>
      </c>
      <c r="K388" s="64">
        <v>-15.25</v>
      </c>
      <c r="L388" s="64">
        <v>-19.93</v>
      </c>
      <c r="M388" s="64">
        <v>-4.1520849999999996</v>
      </c>
      <c r="N388" s="34"/>
      <c r="O388" s="35"/>
    </row>
    <row r="389" spans="1:15" s="36" customFormat="1" ht="12" x14ac:dyDescent="0.2">
      <c r="A389" s="33"/>
      <c r="B389" s="63">
        <v>43646</v>
      </c>
      <c r="C389" s="65">
        <v>299100</v>
      </c>
      <c r="D389" s="65">
        <v>5.8</v>
      </c>
      <c r="E389" s="65">
        <v>1459691.47</v>
      </c>
      <c r="F389" s="65">
        <v>13</v>
      </c>
      <c r="G389" s="34"/>
      <c r="H389" s="33"/>
      <c r="I389" s="63">
        <v>42429</v>
      </c>
      <c r="J389" s="65">
        <v>2.2999999999999998</v>
      </c>
      <c r="K389" s="65">
        <v>-27.96</v>
      </c>
      <c r="L389" s="65">
        <v>-13.76</v>
      </c>
      <c r="M389" s="65">
        <v>-53.443463000000001</v>
      </c>
      <c r="N389" s="34"/>
      <c r="O389" s="35"/>
    </row>
    <row r="390" spans="1:15" s="36" customFormat="1" ht="12" x14ac:dyDescent="0.2">
      <c r="A390" s="33"/>
      <c r="B390" s="62">
        <v>43677</v>
      </c>
      <c r="C390" s="64">
        <v>348892</v>
      </c>
      <c r="D390" s="64">
        <v>5.7</v>
      </c>
      <c r="E390" s="64">
        <v>1470249.1839999999</v>
      </c>
      <c r="F390" s="64">
        <v>12.6</v>
      </c>
      <c r="G390" s="34"/>
      <c r="H390" s="33"/>
      <c r="I390" s="62">
        <v>42460</v>
      </c>
      <c r="J390" s="64">
        <v>2.3013910000000002</v>
      </c>
      <c r="K390" s="64">
        <v>7.53</v>
      </c>
      <c r="L390" s="64">
        <v>-8.14</v>
      </c>
      <c r="M390" s="64">
        <v>890.06414800000005</v>
      </c>
      <c r="N390" s="34"/>
      <c r="O390" s="35"/>
    </row>
    <row r="391" spans="1:15" s="36" customFormat="1" ht="12" x14ac:dyDescent="0.2">
      <c r="A391" s="33"/>
      <c r="B391" s="63">
        <v>43708</v>
      </c>
      <c r="C391" s="65">
        <v>400628</v>
      </c>
      <c r="D391" s="65">
        <v>5.5</v>
      </c>
      <c r="E391" s="65">
        <v>1482337.851</v>
      </c>
      <c r="F391" s="65">
        <v>12.4</v>
      </c>
      <c r="G391" s="34"/>
      <c r="H391" s="33"/>
      <c r="I391" s="63">
        <v>42490</v>
      </c>
      <c r="J391" s="65">
        <v>2.3278650000000001</v>
      </c>
      <c r="K391" s="65">
        <v>-5.24</v>
      </c>
      <c r="L391" s="65">
        <v>-11.12</v>
      </c>
      <c r="M391" s="65">
        <v>20.053142000000001</v>
      </c>
      <c r="N391" s="34"/>
      <c r="O391" s="35"/>
    </row>
    <row r="392" spans="1:15" s="36" customFormat="1" ht="12" x14ac:dyDescent="0.2">
      <c r="A392" s="33"/>
      <c r="B392" s="62">
        <v>43738</v>
      </c>
      <c r="C392" s="64">
        <v>461204</v>
      </c>
      <c r="D392" s="64">
        <v>5.4</v>
      </c>
      <c r="E392" s="64">
        <v>1499247.4550000001</v>
      </c>
      <c r="F392" s="64">
        <v>12.5</v>
      </c>
      <c r="G392" s="34"/>
      <c r="H392" s="33"/>
      <c r="I392" s="62">
        <v>42521</v>
      </c>
      <c r="J392" s="64">
        <v>2.038999</v>
      </c>
      <c r="K392" s="64">
        <v>-6.93</v>
      </c>
      <c r="L392" s="64">
        <v>-0.59</v>
      </c>
      <c r="M392" s="64">
        <v>-21.541497</v>
      </c>
      <c r="N392" s="34"/>
      <c r="O392" s="35"/>
    </row>
    <row r="393" spans="1:15" s="36" customFormat="1" ht="12" x14ac:dyDescent="0.2">
      <c r="A393" s="33"/>
      <c r="B393" s="63">
        <v>43769</v>
      </c>
      <c r="C393" s="65">
        <v>510880</v>
      </c>
      <c r="D393" s="65">
        <v>5.2</v>
      </c>
      <c r="E393" s="65">
        <v>1505860.723</v>
      </c>
      <c r="F393" s="65">
        <v>12.4</v>
      </c>
      <c r="G393" s="34"/>
      <c r="H393" s="33"/>
      <c r="I393" s="63">
        <v>42551</v>
      </c>
      <c r="J393" s="65">
        <v>1.8795029999999999</v>
      </c>
      <c r="K393" s="65">
        <v>-6.83</v>
      </c>
      <c r="L393" s="65">
        <v>-9.06</v>
      </c>
      <c r="M393" s="65">
        <v>0.31879600000000002</v>
      </c>
      <c r="N393" s="34"/>
      <c r="O393" s="35"/>
    </row>
    <row r="394" spans="1:15" s="36" customFormat="1" ht="12" x14ac:dyDescent="0.2">
      <c r="A394" s="33"/>
      <c r="B394" s="62">
        <v>43799</v>
      </c>
      <c r="C394" s="64">
        <v>533718</v>
      </c>
      <c r="D394" s="64">
        <v>5.2</v>
      </c>
      <c r="E394" s="64">
        <v>1519741.233</v>
      </c>
      <c r="F394" s="64">
        <v>12.4</v>
      </c>
      <c r="G394" s="34"/>
      <c r="H394" s="33"/>
      <c r="I394" s="62">
        <v>42582</v>
      </c>
      <c r="J394" s="64">
        <v>1.7651129999999999</v>
      </c>
      <c r="K394" s="64">
        <v>-6.47</v>
      </c>
      <c r="L394" s="64">
        <v>-12.54</v>
      </c>
      <c r="M394" s="64">
        <v>15.470825</v>
      </c>
      <c r="N394" s="34"/>
      <c r="O394" s="35"/>
    </row>
    <row r="395" spans="1:15" s="36" customFormat="1" ht="12" x14ac:dyDescent="0.2">
      <c r="A395" s="33"/>
      <c r="B395" s="63">
        <v>43830</v>
      </c>
      <c r="C395" s="65">
        <v>551478</v>
      </c>
      <c r="D395" s="65">
        <v>5.4</v>
      </c>
      <c r="E395" s="65">
        <v>1531123.2</v>
      </c>
      <c r="F395" s="65">
        <v>12.3</v>
      </c>
      <c r="G395" s="34"/>
      <c r="H395" s="33"/>
      <c r="I395" s="63">
        <v>42613</v>
      </c>
      <c r="J395" s="65">
        <v>1.3397730000000001</v>
      </c>
      <c r="K395" s="65">
        <v>-3.74</v>
      </c>
      <c r="L395" s="65">
        <v>1.66</v>
      </c>
      <c r="M395" s="65">
        <v>-16.069459999999999</v>
      </c>
      <c r="N395" s="34"/>
      <c r="O395" s="35"/>
    </row>
    <row r="396" spans="1:15" s="36" customFormat="1" ht="12" x14ac:dyDescent="0.2">
      <c r="A396" s="33"/>
      <c r="B396" s="62">
        <v>43861</v>
      </c>
      <c r="C396" s="64">
        <v>0</v>
      </c>
      <c r="D396" s="64">
        <v>0</v>
      </c>
      <c r="E396" s="64">
        <v>1564498.05</v>
      </c>
      <c r="F396" s="64">
        <v>12.1</v>
      </c>
      <c r="G396" s="34"/>
      <c r="H396" s="33"/>
      <c r="I396" s="62">
        <v>42643</v>
      </c>
      <c r="J396" s="64">
        <v>1.920226</v>
      </c>
      <c r="K396" s="64">
        <v>-10.48</v>
      </c>
      <c r="L396" s="64">
        <v>-1.59</v>
      </c>
      <c r="M396" s="64">
        <v>-32.170399000000003</v>
      </c>
      <c r="N396" s="34"/>
      <c r="O396" s="35"/>
    </row>
    <row r="397" spans="1:15" s="36" customFormat="1" ht="12" x14ac:dyDescent="0.2">
      <c r="A397" s="33"/>
      <c r="B397" s="63">
        <v>43890</v>
      </c>
      <c r="C397" s="65">
        <v>33323</v>
      </c>
      <c r="D397" s="65">
        <v>-24.5</v>
      </c>
      <c r="E397" s="65">
        <v>1573554.86</v>
      </c>
      <c r="F397" s="65">
        <v>12.1</v>
      </c>
      <c r="G397" s="34"/>
      <c r="H397" s="33"/>
      <c r="I397" s="63">
        <v>42674</v>
      </c>
      <c r="J397" s="65">
        <v>2.0959469999999998</v>
      </c>
      <c r="K397" s="65">
        <v>-7.99</v>
      </c>
      <c r="L397" s="65">
        <v>-1.7</v>
      </c>
      <c r="M397" s="65">
        <v>-21.409524000000001</v>
      </c>
      <c r="N397" s="34"/>
      <c r="O397" s="35"/>
    </row>
    <row r="398" spans="1:15" s="36" customFormat="1" ht="12" x14ac:dyDescent="0.2">
      <c r="A398" s="33"/>
      <c r="B398" s="62">
        <v>43921</v>
      </c>
      <c r="C398" s="64">
        <v>84145</v>
      </c>
      <c r="D398" s="64">
        <v>-16.100000000000001</v>
      </c>
      <c r="E398" s="64">
        <v>1602089.22</v>
      </c>
      <c r="F398" s="64">
        <v>12.7</v>
      </c>
      <c r="G398" s="34"/>
      <c r="H398" s="33"/>
      <c r="I398" s="62">
        <v>42704</v>
      </c>
      <c r="J398" s="64">
        <v>2.2522579999999999</v>
      </c>
      <c r="K398" s="64">
        <v>-1.54</v>
      </c>
      <c r="L398" s="64">
        <v>5.51</v>
      </c>
      <c r="M398" s="64">
        <v>-20.180192999999999</v>
      </c>
      <c r="N398" s="34"/>
      <c r="O398" s="35"/>
    </row>
    <row r="399" spans="1:15" s="36" customFormat="1" ht="12" x14ac:dyDescent="0.2">
      <c r="A399" s="33"/>
      <c r="B399" s="63">
        <v>43951</v>
      </c>
      <c r="C399" s="65">
        <v>136824</v>
      </c>
      <c r="D399" s="65">
        <v>-10.3</v>
      </c>
      <c r="E399" s="65">
        <v>1619066.91</v>
      </c>
      <c r="F399" s="65">
        <v>13.1</v>
      </c>
      <c r="G399" s="34"/>
      <c r="H399" s="33"/>
      <c r="I399" s="63">
        <v>42735</v>
      </c>
      <c r="J399" s="65">
        <v>2.0765449999999999</v>
      </c>
      <c r="K399" s="65">
        <v>-6.29</v>
      </c>
      <c r="L399" s="65">
        <v>3.65</v>
      </c>
      <c r="M399" s="65">
        <v>-33.547150000000002</v>
      </c>
      <c r="N399" s="34"/>
      <c r="O399" s="35"/>
    </row>
    <row r="400" spans="1:15" s="36" customFormat="1" ht="12" x14ac:dyDescent="0.2">
      <c r="A400" s="33"/>
      <c r="B400" s="62">
        <v>43982</v>
      </c>
      <c r="C400" s="64">
        <v>199194</v>
      </c>
      <c r="D400" s="64">
        <v>-6.3</v>
      </c>
      <c r="E400" s="64">
        <v>1633888.15</v>
      </c>
      <c r="F400" s="64">
        <v>13.2</v>
      </c>
      <c r="G400" s="34"/>
      <c r="H400" s="33"/>
      <c r="I400" s="62">
        <v>42766</v>
      </c>
      <c r="J400" s="64">
        <v>2.5490550000000001</v>
      </c>
      <c r="K400" s="64">
        <v>6.42</v>
      </c>
      <c r="L400" s="64">
        <v>16.93</v>
      </c>
      <c r="M400" s="64">
        <v>-14.379410999999999</v>
      </c>
      <c r="N400" s="34"/>
      <c r="O400" s="35"/>
    </row>
    <row r="401" spans="1:15" s="36" customFormat="1" ht="12" x14ac:dyDescent="0.2">
      <c r="A401" s="33"/>
      <c r="B401" s="63">
        <v>44012</v>
      </c>
      <c r="C401" s="65">
        <v>281603</v>
      </c>
      <c r="D401" s="65">
        <v>-3.1</v>
      </c>
      <c r="E401" s="65">
        <v>1651998.58</v>
      </c>
      <c r="F401" s="65">
        <v>13.2</v>
      </c>
      <c r="G401" s="34"/>
      <c r="H401" s="33"/>
      <c r="I401" s="63">
        <v>42794</v>
      </c>
      <c r="J401" s="65">
        <v>0.8</v>
      </c>
      <c r="K401" s="65">
        <v>-2.35</v>
      </c>
      <c r="L401" s="65">
        <v>38.72</v>
      </c>
      <c r="M401" s="65">
        <v>-138.86097799999999</v>
      </c>
      <c r="N401" s="34"/>
      <c r="O401" s="35"/>
    </row>
    <row r="402" spans="1:15" s="36" customFormat="1" ht="12" x14ac:dyDescent="0.2">
      <c r="A402" s="33"/>
      <c r="B402" s="62">
        <v>44043</v>
      </c>
      <c r="C402" s="64">
        <v>329214</v>
      </c>
      <c r="D402" s="64">
        <v>-1.6</v>
      </c>
      <c r="E402" s="64">
        <v>1661925.21</v>
      </c>
      <c r="F402" s="64">
        <v>13</v>
      </c>
      <c r="G402" s="34"/>
      <c r="H402" s="33"/>
      <c r="I402" s="62">
        <v>42825</v>
      </c>
      <c r="J402" s="64">
        <v>0.9</v>
      </c>
      <c r="K402" s="64">
        <v>15.57</v>
      </c>
      <c r="L402" s="64">
        <v>20.239999999999998</v>
      </c>
      <c r="M402" s="64">
        <v>-8.8453379999999999</v>
      </c>
      <c r="N402" s="34"/>
      <c r="O402" s="35"/>
    </row>
    <row r="403" spans="1:15" s="36" customFormat="1" ht="12" x14ac:dyDescent="0.2">
      <c r="A403" s="33"/>
      <c r="B403" s="63">
        <v>44074</v>
      </c>
      <c r="C403" s="65">
        <v>378834</v>
      </c>
      <c r="D403" s="65">
        <v>-0.3</v>
      </c>
      <c r="E403" s="65">
        <v>1674708.18</v>
      </c>
      <c r="F403" s="65">
        <v>13</v>
      </c>
      <c r="G403" s="34"/>
      <c r="H403" s="33"/>
      <c r="I403" s="63">
        <v>42855</v>
      </c>
      <c r="J403" s="65">
        <v>1.2</v>
      </c>
      <c r="K403" s="65">
        <v>6.64</v>
      </c>
      <c r="L403" s="65">
        <v>11.37</v>
      </c>
      <c r="M403" s="65">
        <v>-8.3982030000000005</v>
      </c>
      <c r="N403" s="34"/>
      <c r="O403" s="35"/>
    </row>
    <row r="404" spans="1:15" s="36" customFormat="1" ht="12" x14ac:dyDescent="0.2">
      <c r="A404" s="33"/>
      <c r="B404" s="62">
        <v>44104</v>
      </c>
      <c r="C404" s="64">
        <v>436530</v>
      </c>
      <c r="D404" s="64">
        <v>0.8</v>
      </c>
      <c r="E404" s="64">
        <v>1693665.4</v>
      </c>
      <c r="F404" s="64">
        <v>13</v>
      </c>
      <c r="G404" s="34"/>
      <c r="H404" s="33"/>
      <c r="I404" s="62">
        <v>42886</v>
      </c>
      <c r="J404" s="64">
        <v>1.5</v>
      </c>
      <c r="K404" s="64">
        <v>7.61</v>
      </c>
      <c r="L404" s="64">
        <v>13.98</v>
      </c>
      <c r="M404" s="64">
        <v>-10.970858</v>
      </c>
      <c r="N404" s="34"/>
      <c r="O404" s="35"/>
    </row>
    <row r="405" spans="1:15" s="36" customFormat="1" ht="12" x14ac:dyDescent="0.2">
      <c r="A405" s="33"/>
      <c r="B405" s="63">
        <v>44135</v>
      </c>
      <c r="C405" s="65">
        <v>483292</v>
      </c>
      <c r="D405" s="65">
        <v>1.8</v>
      </c>
      <c r="E405" s="65">
        <v>1700563.15</v>
      </c>
      <c r="F405" s="65">
        <v>12.9</v>
      </c>
      <c r="G405" s="34"/>
      <c r="H405" s="33"/>
      <c r="I405" s="63">
        <v>42916</v>
      </c>
      <c r="J405" s="65">
        <v>1.5</v>
      </c>
      <c r="K405" s="65">
        <v>10.28</v>
      </c>
      <c r="L405" s="65">
        <v>16.97</v>
      </c>
      <c r="M405" s="65">
        <v>-9.0958009999999998</v>
      </c>
      <c r="N405" s="34"/>
      <c r="O405" s="35"/>
    </row>
    <row r="406" spans="1:15" s="36" customFormat="1" ht="12" x14ac:dyDescent="0.2">
      <c r="A406" s="33"/>
      <c r="B406" s="62">
        <v>44165</v>
      </c>
      <c r="C406" s="64">
        <v>499560</v>
      </c>
      <c r="D406" s="64">
        <v>2.6</v>
      </c>
      <c r="E406" s="64">
        <v>1714899.83</v>
      </c>
      <c r="F406" s="64">
        <v>12.8</v>
      </c>
      <c r="G406" s="34"/>
      <c r="H406" s="33"/>
      <c r="I406" s="62">
        <v>42947</v>
      </c>
      <c r="J406" s="64">
        <v>1.4</v>
      </c>
      <c r="K406" s="64">
        <v>6.34</v>
      </c>
      <c r="L406" s="64">
        <v>11.3</v>
      </c>
      <c r="M406" s="64">
        <v>-7.2332809999999998</v>
      </c>
      <c r="N406" s="34"/>
      <c r="O406" s="35"/>
    </row>
    <row r="407" spans="1:15" s="36" customFormat="1" ht="12" x14ac:dyDescent="0.2">
      <c r="A407" s="33"/>
      <c r="B407" s="63">
        <v>44196</v>
      </c>
      <c r="C407" s="65">
        <v>518907</v>
      </c>
      <c r="D407" s="65">
        <v>2.9</v>
      </c>
      <c r="E407" s="65">
        <v>1727452.07</v>
      </c>
      <c r="F407" s="65">
        <v>12.8</v>
      </c>
      <c r="G407" s="34"/>
      <c r="H407" s="33"/>
      <c r="I407" s="63">
        <v>42978</v>
      </c>
      <c r="J407" s="65">
        <v>1.8</v>
      </c>
      <c r="K407" s="65">
        <v>4.88</v>
      </c>
      <c r="L407" s="65">
        <v>13.88</v>
      </c>
      <c r="M407" s="65">
        <v>-20.062470999999999</v>
      </c>
      <c r="N407" s="34"/>
      <c r="O407" s="35"/>
    </row>
    <row r="408" spans="1:15" s="36" customFormat="1" ht="12" x14ac:dyDescent="0.2">
      <c r="A408" s="33"/>
      <c r="B408" s="62">
        <v>44227</v>
      </c>
      <c r="C408" s="64">
        <v>0</v>
      </c>
      <c r="D408" s="64">
        <v>0</v>
      </c>
      <c r="E408" s="64">
        <v>1763234.93</v>
      </c>
      <c r="F408" s="64">
        <v>12.7</v>
      </c>
      <c r="G408" s="34"/>
      <c r="H408" s="33"/>
      <c r="I408" s="62">
        <v>43008</v>
      </c>
      <c r="J408" s="64">
        <v>1.6</v>
      </c>
      <c r="K408" s="64">
        <v>7.91</v>
      </c>
      <c r="L408" s="64">
        <v>19.27</v>
      </c>
      <c r="M408" s="64">
        <v>-32.288240000000002</v>
      </c>
      <c r="N408" s="34"/>
      <c r="O408" s="35"/>
    </row>
    <row r="409" spans="1:15" s="36" customFormat="1" ht="12" x14ac:dyDescent="0.2">
      <c r="A409" s="33"/>
      <c r="B409" s="63">
        <v>44255</v>
      </c>
      <c r="C409" s="65">
        <v>45236</v>
      </c>
      <c r="D409" s="65">
        <v>35</v>
      </c>
      <c r="E409" s="65">
        <v>1776828.68</v>
      </c>
      <c r="F409" s="65">
        <v>12.9</v>
      </c>
      <c r="G409" s="34"/>
      <c r="H409" s="33"/>
      <c r="I409" s="63">
        <v>43039</v>
      </c>
      <c r="J409" s="65">
        <v>1.9</v>
      </c>
      <c r="K409" s="65">
        <v>6.26</v>
      </c>
      <c r="L409" s="65">
        <v>17.36</v>
      </c>
      <c r="M409" s="65">
        <v>-23.390650999999998</v>
      </c>
      <c r="N409" s="34"/>
      <c r="O409" s="35"/>
    </row>
    <row r="410" spans="1:15" s="36" customFormat="1" ht="12" x14ac:dyDescent="0.2">
      <c r="A410" s="33"/>
      <c r="B410" s="62">
        <v>44286</v>
      </c>
      <c r="C410" s="64">
        <v>95994</v>
      </c>
      <c r="D410" s="64">
        <v>25.6</v>
      </c>
      <c r="E410" s="64">
        <v>1804131.37</v>
      </c>
      <c r="F410" s="64">
        <v>12.6</v>
      </c>
      <c r="G410" s="34"/>
      <c r="H410" s="33"/>
      <c r="I410" s="62">
        <v>43069</v>
      </c>
      <c r="J410" s="64">
        <v>1.7</v>
      </c>
      <c r="K410" s="64">
        <v>11.51</v>
      </c>
      <c r="L410" s="64">
        <v>17.899999999999999</v>
      </c>
      <c r="M410" s="64">
        <v>-10.795045999999999</v>
      </c>
      <c r="N410" s="34"/>
      <c r="O410" s="35"/>
    </row>
    <row r="411" spans="1:15" s="36" customFormat="1" ht="12" x14ac:dyDescent="0.2">
      <c r="A411" s="33"/>
      <c r="B411" s="63">
        <v>44316</v>
      </c>
      <c r="C411" s="65">
        <v>143804</v>
      </c>
      <c r="D411" s="65">
        <v>19.899999999999999</v>
      </c>
      <c r="E411" s="65">
        <v>1818816.61</v>
      </c>
      <c r="F411" s="65">
        <v>12.3</v>
      </c>
      <c r="G411" s="34"/>
      <c r="H411" s="33"/>
      <c r="I411" s="63">
        <v>43100</v>
      </c>
      <c r="J411" s="65">
        <v>1.8</v>
      </c>
      <c r="K411" s="65">
        <v>10.73</v>
      </c>
      <c r="L411" s="65">
        <v>4.84</v>
      </c>
      <c r="M411" s="65">
        <v>35.894869999999997</v>
      </c>
      <c r="N411" s="34"/>
      <c r="O411" s="35"/>
    </row>
    <row r="412" spans="1:15" s="36" customFormat="1" ht="12" x14ac:dyDescent="0.2">
      <c r="A412" s="33"/>
      <c r="B412" s="62">
        <v>44347</v>
      </c>
      <c r="C412" s="64">
        <v>193917</v>
      </c>
      <c r="D412" s="64">
        <v>15.4</v>
      </c>
      <c r="E412" s="64">
        <v>1833780.32</v>
      </c>
      <c r="F412" s="64">
        <v>12.2</v>
      </c>
      <c r="G412" s="34"/>
      <c r="H412" s="33"/>
      <c r="I412" s="62">
        <v>43131</v>
      </c>
      <c r="J412" s="64">
        <v>1.5</v>
      </c>
      <c r="K412" s="64">
        <v>10.65</v>
      </c>
      <c r="L412" s="64">
        <v>37.659999999999997</v>
      </c>
      <c r="M412" s="64">
        <v>-62.366210000000002</v>
      </c>
      <c r="N412" s="34"/>
      <c r="O412" s="35"/>
    </row>
    <row r="413" spans="1:15" s="36" customFormat="1" ht="12" x14ac:dyDescent="0.2">
      <c r="A413" s="33"/>
      <c r="B413" s="63">
        <v>44377</v>
      </c>
      <c r="C413" s="65">
        <v>255900</v>
      </c>
      <c r="D413" s="65">
        <v>12.6</v>
      </c>
      <c r="E413" s="65">
        <v>1854976.71</v>
      </c>
      <c r="F413" s="65">
        <v>12.3</v>
      </c>
      <c r="G413" s="34"/>
      <c r="H413" s="33"/>
      <c r="I413" s="63">
        <v>43159</v>
      </c>
      <c r="J413" s="65">
        <v>2.9</v>
      </c>
      <c r="K413" s="65">
        <v>43.5</v>
      </c>
      <c r="L413" s="65">
        <v>6.59</v>
      </c>
      <c r="M413" s="65">
        <v>394.39619699999997</v>
      </c>
      <c r="N413" s="34"/>
      <c r="O413" s="35"/>
    </row>
    <row r="414" spans="1:15" s="36" customFormat="1" ht="12" x14ac:dyDescent="0.2">
      <c r="A414" s="33"/>
      <c r="B414" s="62">
        <v>44408</v>
      </c>
      <c r="C414" s="64">
        <v>302533</v>
      </c>
      <c r="D414" s="64">
        <v>10.3</v>
      </c>
      <c r="E414" s="64">
        <v>1865808.38</v>
      </c>
      <c r="F414" s="64">
        <v>12.3</v>
      </c>
      <c r="G414" s="34"/>
      <c r="H414" s="33"/>
      <c r="I414" s="62">
        <v>43190</v>
      </c>
      <c r="J414" s="64">
        <v>2.1</v>
      </c>
      <c r="K414" s="64">
        <v>-2.98</v>
      </c>
      <c r="L414" s="64">
        <v>14.79</v>
      </c>
      <c r="M414" s="64">
        <v>-125.516361</v>
      </c>
      <c r="N414" s="34"/>
      <c r="O414" s="35"/>
    </row>
    <row r="415" spans="1:15" s="36" customFormat="1" ht="12" x14ac:dyDescent="0.2">
      <c r="A415" s="33"/>
      <c r="B415" s="63">
        <v>44439</v>
      </c>
      <c r="C415" s="65">
        <v>346913</v>
      </c>
      <c r="D415" s="65">
        <v>8.9</v>
      </c>
      <c r="E415" s="65">
        <v>1877960.82</v>
      </c>
      <c r="F415" s="65">
        <v>12.1</v>
      </c>
      <c r="G415" s="34"/>
      <c r="H415" s="33"/>
      <c r="I415" s="63">
        <v>43220</v>
      </c>
      <c r="J415" s="65">
        <v>1.8</v>
      </c>
      <c r="K415" s="65">
        <v>11.91</v>
      </c>
      <c r="L415" s="65">
        <v>22.28</v>
      </c>
      <c r="M415" s="65">
        <v>-28.196209</v>
      </c>
      <c r="N415" s="34"/>
      <c r="O415" s="35"/>
    </row>
    <row r="416" spans="1:15" s="36" customFormat="1" ht="12" x14ac:dyDescent="0.2">
      <c r="A416" s="33"/>
      <c r="B416" s="62">
        <v>44469</v>
      </c>
      <c r="C416" s="64">
        <v>397827</v>
      </c>
      <c r="D416" s="64">
        <v>7.3</v>
      </c>
      <c r="E416" s="64">
        <v>1894591.04</v>
      </c>
      <c r="F416" s="64">
        <v>11.9</v>
      </c>
      <c r="G416" s="34"/>
      <c r="H416" s="33"/>
      <c r="I416" s="62">
        <v>43251</v>
      </c>
      <c r="J416" s="64">
        <v>1.8</v>
      </c>
      <c r="K416" s="64">
        <v>11.9</v>
      </c>
      <c r="L416" s="64">
        <v>26.15</v>
      </c>
      <c r="M416" s="64">
        <v>-41.349598</v>
      </c>
      <c r="N416" s="34"/>
      <c r="O416" s="35"/>
    </row>
    <row r="417" spans="1:15" s="36" customFormat="1" ht="12" x14ac:dyDescent="0.2">
      <c r="A417" s="33"/>
      <c r="B417" s="63">
        <v>44500</v>
      </c>
      <c r="C417" s="65">
        <v>445823</v>
      </c>
      <c r="D417" s="65">
        <v>6.1</v>
      </c>
      <c r="E417" s="65">
        <v>1902852.75</v>
      </c>
      <c r="F417" s="65">
        <v>11.9</v>
      </c>
      <c r="G417" s="34"/>
      <c r="H417" s="33"/>
      <c r="I417" s="63">
        <v>43281</v>
      </c>
      <c r="J417" s="65">
        <v>1.9</v>
      </c>
      <c r="K417" s="65">
        <v>10.7</v>
      </c>
      <c r="L417" s="65">
        <v>13.78</v>
      </c>
      <c r="M417" s="65">
        <v>-0.75695100000000004</v>
      </c>
      <c r="N417" s="34"/>
      <c r="O417" s="35"/>
    </row>
    <row r="418" spans="1:15" s="36" customFormat="1" ht="12" x14ac:dyDescent="0.2">
      <c r="A418" s="33"/>
      <c r="B418" s="62">
        <v>44530</v>
      </c>
      <c r="C418" s="64">
        <v>494082</v>
      </c>
      <c r="D418" s="64">
        <v>5.2</v>
      </c>
      <c r="E418" s="64">
        <v>1915584.74</v>
      </c>
      <c r="F418" s="64">
        <v>11.7</v>
      </c>
      <c r="G418" s="34"/>
      <c r="H418" s="33"/>
      <c r="I418" s="62">
        <v>43312</v>
      </c>
      <c r="J418" s="64">
        <v>2.1</v>
      </c>
      <c r="K418" s="64">
        <v>11.6</v>
      </c>
      <c r="L418" s="64">
        <v>26.92</v>
      </c>
      <c r="M418" s="64">
        <v>-38.711260000000003</v>
      </c>
      <c r="N418" s="34"/>
      <c r="O418" s="35"/>
    </row>
    <row r="419" spans="1:15" s="36" customFormat="1" ht="12" x14ac:dyDescent="0.2">
      <c r="A419" s="33"/>
      <c r="B419" s="63">
        <v>44561</v>
      </c>
      <c r="C419" s="65">
        <v>544547</v>
      </c>
      <c r="D419" s="65">
        <v>4.9000000000000004</v>
      </c>
      <c r="E419" s="65">
        <v>1926902.81</v>
      </c>
      <c r="F419" s="65">
        <v>11.6</v>
      </c>
      <c r="G419" s="34"/>
      <c r="H419" s="33"/>
      <c r="I419" s="63">
        <v>43343</v>
      </c>
      <c r="J419" s="65">
        <v>2.2999999999999998</v>
      </c>
      <c r="K419" s="65">
        <v>9.5500000000000007</v>
      </c>
      <c r="L419" s="65">
        <v>20.67</v>
      </c>
      <c r="M419" s="65">
        <v>-34.333016999999998</v>
      </c>
      <c r="N419" s="34"/>
      <c r="O419" s="35"/>
    </row>
    <row r="420" spans="1:15" s="36" customFormat="1" ht="12" x14ac:dyDescent="0.2">
      <c r="A420" s="33"/>
      <c r="B420" s="62">
        <v>44592</v>
      </c>
      <c r="C420" s="64">
        <v>0</v>
      </c>
      <c r="D420" s="64">
        <v>0</v>
      </c>
      <c r="E420" s="64">
        <v>1966521.17</v>
      </c>
      <c r="F420" s="64">
        <v>11.5</v>
      </c>
      <c r="G420" s="34"/>
      <c r="H420" s="33"/>
      <c r="I420" s="62">
        <v>43373</v>
      </c>
      <c r="J420" s="64">
        <v>2.5</v>
      </c>
      <c r="K420" s="64">
        <v>13.87</v>
      </c>
      <c r="L420" s="64">
        <v>14.4</v>
      </c>
      <c r="M420" s="64">
        <v>10.545733</v>
      </c>
      <c r="N420" s="34"/>
      <c r="O420" s="35"/>
    </row>
    <row r="421" spans="1:15" s="36" customFormat="1" ht="12" x14ac:dyDescent="0.2">
      <c r="A421" s="33"/>
      <c r="B421" s="63">
        <v>44620</v>
      </c>
      <c r="C421" s="65">
        <v>50763</v>
      </c>
      <c r="D421" s="65">
        <v>12.2</v>
      </c>
      <c r="E421" s="65">
        <v>1978857.03</v>
      </c>
      <c r="F421" s="65">
        <v>11.4</v>
      </c>
      <c r="G421" s="34"/>
      <c r="H421" s="33"/>
      <c r="I421" s="63">
        <v>43404</v>
      </c>
      <c r="J421" s="65">
        <v>2.5</v>
      </c>
      <c r="K421" s="65">
        <v>14.29</v>
      </c>
      <c r="L421" s="65">
        <v>20.38</v>
      </c>
      <c r="M421" s="65">
        <v>-10.637145</v>
      </c>
      <c r="N421" s="34"/>
      <c r="O421" s="35"/>
    </row>
    <row r="422" spans="1:15" s="36" customFormat="1" ht="12" x14ac:dyDescent="0.2">
      <c r="A422" s="33"/>
      <c r="B422" s="62">
        <v>44651</v>
      </c>
      <c r="C422" s="64">
        <v>104872</v>
      </c>
      <c r="D422" s="64">
        <v>9.3000000000000007</v>
      </c>
      <c r="E422" s="64">
        <v>2010110.55</v>
      </c>
      <c r="F422" s="64">
        <v>11.4</v>
      </c>
      <c r="G422" s="34"/>
      <c r="H422" s="33"/>
      <c r="I422" s="62">
        <v>43434</v>
      </c>
      <c r="J422" s="64">
        <v>2.2000000000000002</v>
      </c>
      <c r="K422" s="64">
        <v>3.92</v>
      </c>
      <c r="L422" s="64">
        <v>2.84</v>
      </c>
      <c r="M422" s="64">
        <v>8.9142139999999994</v>
      </c>
      <c r="N422" s="34"/>
      <c r="O422" s="35"/>
    </row>
    <row r="423" spans="1:15" s="36" customFormat="1" ht="12" x14ac:dyDescent="0.2">
      <c r="A423" s="33"/>
      <c r="B423" s="63">
        <v>44681</v>
      </c>
      <c r="C423" s="65">
        <v>153544</v>
      </c>
      <c r="D423" s="65">
        <v>6.8</v>
      </c>
      <c r="E423" s="65">
        <v>2016564.32</v>
      </c>
      <c r="F423" s="65">
        <v>10.9</v>
      </c>
      <c r="G423" s="34"/>
      <c r="H423" s="33"/>
      <c r="I423" s="63">
        <v>43465</v>
      </c>
      <c r="J423" s="65">
        <v>1.9</v>
      </c>
      <c r="K423" s="65">
        <v>-4.6100000000000003</v>
      </c>
      <c r="L423" s="65">
        <v>-7.67</v>
      </c>
      <c r="M423" s="65">
        <v>5.47818</v>
      </c>
      <c r="N423" s="34"/>
      <c r="O423" s="35"/>
    </row>
    <row r="424" spans="1:15" s="36" customFormat="1" ht="12" x14ac:dyDescent="0.2">
      <c r="A424" s="33"/>
      <c r="B424" s="62">
        <v>44712</v>
      </c>
      <c r="C424" s="64">
        <v>205964</v>
      </c>
      <c r="D424" s="64">
        <v>6.2</v>
      </c>
      <c r="E424" s="64">
        <v>2035448.45</v>
      </c>
      <c r="F424" s="64">
        <v>11</v>
      </c>
      <c r="G424" s="34"/>
      <c r="H424" s="33"/>
      <c r="I424" s="62">
        <v>43496</v>
      </c>
      <c r="J424" s="64">
        <v>1.7</v>
      </c>
      <c r="K424" s="64">
        <v>9.2899999999999991</v>
      </c>
      <c r="L424" s="64">
        <v>-0.82</v>
      </c>
      <c r="M424" s="64">
        <v>109.279983</v>
      </c>
      <c r="N424" s="34"/>
      <c r="O424" s="35"/>
    </row>
    <row r="425" spans="1:15" s="36" customFormat="1" ht="12" x14ac:dyDescent="0.2">
      <c r="A425" s="33"/>
      <c r="B425" s="63">
        <v>44742</v>
      </c>
      <c r="C425" s="65">
        <v>271430</v>
      </c>
      <c r="D425" s="65">
        <v>6.1</v>
      </c>
      <c r="E425" s="65">
        <v>2063511.81</v>
      </c>
      <c r="F425" s="65">
        <v>11.2</v>
      </c>
      <c r="G425" s="34"/>
      <c r="H425" s="33"/>
      <c r="I425" s="63">
        <v>43524</v>
      </c>
      <c r="J425" s="65">
        <v>1.5</v>
      </c>
      <c r="K425" s="65">
        <v>-20.65</v>
      </c>
      <c r="L425" s="65">
        <v>-4.32</v>
      </c>
      <c r="M425" s="65">
        <v>-90.811700000000002</v>
      </c>
      <c r="N425" s="34"/>
      <c r="O425" s="35"/>
    </row>
    <row r="426" spans="1:15" s="36" customFormat="1" ht="12" x14ac:dyDescent="0.2">
      <c r="A426" s="33"/>
      <c r="B426" s="62">
        <v>44773</v>
      </c>
      <c r="C426" s="64">
        <v>319812</v>
      </c>
      <c r="D426" s="64">
        <v>5.7</v>
      </c>
      <c r="E426" s="64">
        <v>2070301.63</v>
      </c>
      <c r="F426" s="64">
        <v>11</v>
      </c>
      <c r="G426" s="34"/>
      <c r="H426" s="33"/>
      <c r="I426" s="62">
        <v>43555</v>
      </c>
      <c r="J426" s="64">
        <v>2.2999999999999998</v>
      </c>
      <c r="K426" s="64">
        <v>13.99</v>
      </c>
      <c r="L426" s="64">
        <v>-7.14</v>
      </c>
      <c r="M426" s="64">
        <v>641.37038299999995</v>
      </c>
      <c r="N426" s="34"/>
      <c r="O426" s="35"/>
    </row>
    <row r="427" spans="1:15" s="36" customFormat="1" ht="12" x14ac:dyDescent="0.2">
      <c r="A427" s="33"/>
      <c r="B427" s="63">
        <v>44804</v>
      </c>
      <c r="C427" s="65">
        <v>367106</v>
      </c>
      <c r="D427" s="65">
        <v>5.8</v>
      </c>
      <c r="E427" s="65">
        <v>2082843.52</v>
      </c>
      <c r="F427" s="65">
        <v>10.9</v>
      </c>
      <c r="G427" s="34"/>
      <c r="H427" s="33"/>
      <c r="I427" s="63">
        <v>43585</v>
      </c>
      <c r="J427" s="65">
        <v>2.5</v>
      </c>
      <c r="K427" s="65">
        <v>-2.68</v>
      </c>
      <c r="L427" s="65">
        <v>4.5199999999999996</v>
      </c>
      <c r="M427" s="65">
        <v>-50.131594</v>
      </c>
      <c r="N427" s="34"/>
      <c r="O427" s="35"/>
    </row>
    <row r="428" spans="1:15" s="36" customFormat="1" ht="12" x14ac:dyDescent="0.2">
      <c r="A428" s="33"/>
      <c r="B428" s="62">
        <v>44834</v>
      </c>
      <c r="C428" s="64">
        <v>421412</v>
      </c>
      <c r="D428" s="64">
        <v>5.9</v>
      </c>
      <c r="E428" s="64">
        <v>2107581.92</v>
      </c>
      <c r="F428" s="64">
        <v>11.2</v>
      </c>
      <c r="G428" s="34"/>
      <c r="H428" s="33"/>
      <c r="I428" s="62">
        <v>43616</v>
      </c>
      <c r="J428" s="64">
        <v>2.7</v>
      </c>
      <c r="K428" s="64">
        <v>1.1000000000000001</v>
      </c>
      <c r="L428" s="64">
        <v>-8.19</v>
      </c>
      <c r="M428" s="64">
        <v>75.720692</v>
      </c>
      <c r="N428" s="34"/>
      <c r="O428" s="35"/>
    </row>
    <row r="429" spans="1:15" s="36" customFormat="1" ht="12" x14ac:dyDescent="0.2">
      <c r="A429" s="33"/>
      <c r="B429" s="63">
        <v>44865</v>
      </c>
      <c r="C429" s="65">
        <v>471459</v>
      </c>
      <c r="D429" s="65">
        <v>5.8</v>
      </c>
      <c r="E429" s="65">
        <v>2113733.7000000002</v>
      </c>
      <c r="F429" s="65">
        <v>11.1</v>
      </c>
      <c r="G429" s="34"/>
      <c r="H429" s="33"/>
      <c r="I429" s="63">
        <v>43646</v>
      </c>
      <c r="J429" s="65">
        <v>2.7</v>
      </c>
      <c r="K429" s="65">
        <v>-1.45</v>
      </c>
      <c r="L429" s="65">
        <v>-6.8</v>
      </c>
      <c r="M429" s="65">
        <v>21.373393</v>
      </c>
      <c r="N429" s="34"/>
      <c r="O429" s="35"/>
    </row>
    <row r="430" spans="1:15" s="36" customFormat="1" ht="12" x14ac:dyDescent="0.2">
      <c r="A430" s="33"/>
      <c r="B430" s="62">
        <v>44895</v>
      </c>
      <c r="C430" s="64">
        <v>520043</v>
      </c>
      <c r="D430" s="64">
        <v>5.3</v>
      </c>
      <c r="E430" s="64">
        <v>2125869.63</v>
      </c>
      <c r="F430" s="64">
        <v>11</v>
      </c>
      <c r="G430" s="34"/>
      <c r="H430" s="33"/>
      <c r="I430" s="62">
        <v>43677</v>
      </c>
      <c r="J430" s="64">
        <v>2.8</v>
      </c>
      <c r="K430" s="64">
        <v>3.44</v>
      </c>
      <c r="L430" s="64">
        <v>-4.9000000000000004</v>
      </c>
      <c r="M430" s="64">
        <v>60.124417999999999</v>
      </c>
      <c r="N430" s="34"/>
      <c r="O430" s="35"/>
    </row>
    <row r="431" spans="1:15" s="36" customFormat="1" ht="12" x14ac:dyDescent="0.2">
      <c r="A431" s="33"/>
      <c r="B431" s="63">
        <v>44926</v>
      </c>
      <c r="C431" s="65">
        <v>572138</v>
      </c>
      <c r="D431" s="65">
        <v>5.0999999999999996</v>
      </c>
      <c r="E431" s="65">
        <v>2139852.67</v>
      </c>
      <c r="F431" s="65">
        <v>11.1</v>
      </c>
      <c r="G431" s="34"/>
      <c r="H431" s="33"/>
      <c r="I431" s="63">
        <v>43708</v>
      </c>
      <c r="J431" s="65">
        <v>2.8</v>
      </c>
      <c r="K431" s="65">
        <v>-0.96</v>
      </c>
      <c r="L431" s="65">
        <v>-5.5</v>
      </c>
      <c r="M431" s="65">
        <v>32.015059000000001</v>
      </c>
      <c r="N431" s="34"/>
      <c r="O431" s="35"/>
    </row>
    <row r="432" spans="1:15" s="36" customFormat="1" ht="12" x14ac:dyDescent="0.2">
      <c r="A432" s="33"/>
      <c r="B432" s="62">
        <v>44957</v>
      </c>
      <c r="C432" s="64">
        <v>0</v>
      </c>
      <c r="D432" s="64">
        <v>0</v>
      </c>
      <c r="E432" s="64">
        <v>2197455.14</v>
      </c>
      <c r="F432" s="64">
        <v>11.3</v>
      </c>
      <c r="G432" s="34"/>
      <c r="H432" s="33"/>
      <c r="I432" s="62">
        <v>43738</v>
      </c>
      <c r="J432" s="64">
        <v>3</v>
      </c>
      <c r="K432" s="64">
        <v>-3.19</v>
      </c>
      <c r="L432" s="64">
        <v>-8.1999999999999993</v>
      </c>
      <c r="M432" s="64">
        <v>29.127977999999999</v>
      </c>
      <c r="N432" s="34"/>
      <c r="O432" s="35"/>
    </row>
    <row r="433" spans="1:15" s="36" customFormat="1" ht="12" x14ac:dyDescent="0.2">
      <c r="A433" s="33"/>
      <c r="B433" s="63">
        <v>44985</v>
      </c>
      <c r="C433" s="65">
        <v>53577</v>
      </c>
      <c r="D433" s="65">
        <v>5.5</v>
      </c>
      <c r="E433" s="65">
        <v>2215575.67</v>
      </c>
      <c r="F433" s="65">
        <v>11.6</v>
      </c>
      <c r="G433" s="34"/>
      <c r="H433" s="33"/>
      <c r="I433" s="63">
        <v>43769</v>
      </c>
      <c r="J433" s="65">
        <v>3.8</v>
      </c>
      <c r="K433" s="65">
        <v>-0.83</v>
      </c>
      <c r="L433" s="65">
        <v>-6.11</v>
      </c>
      <c r="M433" s="65">
        <v>28.307151000000001</v>
      </c>
      <c r="N433" s="34"/>
      <c r="O433" s="35"/>
    </row>
    <row r="434" spans="1:15" s="36" customFormat="1" ht="12" x14ac:dyDescent="0.2">
      <c r="A434" s="33"/>
      <c r="B434" s="62">
        <v>45016</v>
      </c>
      <c r="C434" s="64">
        <v>107282</v>
      </c>
      <c r="D434" s="64">
        <v>5.0999999999999996</v>
      </c>
      <c r="E434" s="64">
        <v>2254455.1</v>
      </c>
      <c r="F434" s="64">
        <v>11.8</v>
      </c>
      <c r="G434" s="34"/>
      <c r="H434" s="33"/>
      <c r="I434" s="62">
        <v>43799</v>
      </c>
      <c r="J434" s="64">
        <v>4.5</v>
      </c>
      <c r="K434" s="64">
        <v>-1.27</v>
      </c>
      <c r="L434" s="64">
        <v>1</v>
      </c>
      <c r="M434" s="64">
        <v>-11.187557999999999</v>
      </c>
      <c r="N434" s="34"/>
      <c r="O434" s="35"/>
    </row>
    <row r="435" spans="1:15" s="36" customFormat="1" ht="12" x14ac:dyDescent="0.2">
      <c r="A435" s="33"/>
      <c r="B435" s="63">
        <v>45046</v>
      </c>
      <c r="C435" s="65">
        <v>147482</v>
      </c>
      <c r="D435" s="65">
        <v>4.7</v>
      </c>
      <c r="E435" s="65">
        <v>2261643.4700000002</v>
      </c>
      <c r="F435" s="65">
        <v>11.8</v>
      </c>
      <c r="G435" s="34"/>
      <c r="H435" s="33"/>
      <c r="I435" s="63">
        <v>43830</v>
      </c>
      <c r="J435" s="65">
        <v>4.5</v>
      </c>
      <c r="K435" s="65">
        <v>8.0500000000000007</v>
      </c>
      <c r="L435" s="65">
        <v>16.670000000000002</v>
      </c>
      <c r="M435" s="65">
        <v>-16.816901000000001</v>
      </c>
      <c r="N435" s="34"/>
      <c r="O435" s="35"/>
    </row>
    <row r="436" spans="1:15" s="36" customFormat="1" ht="12" x14ac:dyDescent="0.2">
      <c r="A436" s="33"/>
      <c r="B436" s="62">
        <v>45077</v>
      </c>
      <c r="C436" s="64">
        <v>188815</v>
      </c>
      <c r="D436" s="64">
        <v>4</v>
      </c>
      <c r="E436" s="64">
        <v>2275271.41</v>
      </c>
      <c r="F436" s="64">
        <v>11.4</v>
      </c>
      <c r="G436" s="34"/>
      <c r="H436" s="33"/>
      <c r="I436" s="62">
        <v>43861</v>
      </c>
      <c r="J436" s="64">
        <v>5.4</v>
      </c>
      <c r="K436" s="64">
        <v>-2.94</v>
      </c>
      <c r="L436" s="64">
        <v>-12.66</v>
      </c>
      <c r="M436" s="64">
        <v>42.592205999999997</v>
      </c>
      <c r="N436" s="34"/>
      <c r="O436" s="35"/>
    </row>
    <row r="437" spans="1:15" s="36" customFormat="1" ht="12" x14ac:dyDescent="0.2">
      <c r="A437" s="33"/>
      <c r="B437" s="63">
        <v>45107</v>
      </c>
      <c r="C437" s="65">
        <v>243113</v>
      </c>
      <c r="D437" s="65">
        <v>3.8</v>
      </c>
      <c r="E437" s="65">
        <v>2305766.69</v>
      </c>
      <c r="F437" s="65">
        <v>11.3</v>
      </c>
      <c r="G437" s="34"/>
      <c r="H437" s="33"/>
      <c r="I437" s="63">
        <v>43890</v>
      </c>
      <c r="J437" s="65">
        <v>5.2</v>
      </c>
      <c r="K437" s="65">
        <v>-40.61</v>
      </c>
      <c r="L437" s="65">
        <v>7.56</v>
      </c>
      <c r="M437" s="65">
        <v>-2195.0321049999998</v>
      </c>
      <c r="N437" s="34"/>
      <c r="O437" s="35"/>
    </row>
    <row r="438" spans="1:15" s="36" customFormat="1" ht="12" x14ac:dyDescent="0.2">
      <c r="A438" s="33"/>
      <c r="B438" s="62">
        <v>45138</v>
      </c>
      <c r="C438" s="64">
        <v>285898</v>
      </c>
      <c r="D438" s="64">
        <v>3.4</v>
      </c>
      <c r="E438" s="64">
        <v>2309226.1800000002</v>
      </c>
      <c r="F438" s="64">
        <v>11.1</v>
      </c>
      <c r="G438" s="34"/>
      <c r="H438" s="33"/>
      <c r="I438" s="62">
        <v>43921</v>
      </c>
      <c r="J438" s="64">
        <v>4.3</v>
      </c>
      <c r="K438" s="64">
        <v>-6.89</v>
      </c>
      <c r="L438" s="64">
        <v>-1.36</v>
      </c>
      <c r="M438" s="64">
        <v>-36.337552000000002</v>
      </c>
      <c r="N438" s="34"/>
      <c r="O438" s="35"/>
    </row>
    <row r="439" spans="1:15" s="36" customFormat="1" ht="12" x14ac:dyDescent="0.2">
      <c r="A439" s="33"/>
      <c r="B439" s="63">
        <v>45169</v>
      </c>
      <c r="C439" s="65">
        <v>327042</v>
      </c>
      <c r="D439" s="65">
        <v>3.2</v>
      </c>
      <c r="E439" s="65">
        <v>2322806.64</v>
      </c>
      <c r="F439" s="65">
        <v>11.1</v>
      </c>
      <c r="G439" s="34"/>
      <c r="H439" s="33"/>
      <c r="I439" s="63">
        <v>43951</v>
      </c>
      <c r="J439" s="65">
        <v>3.3</v>
      </c>
      <c r="K439" s="65">
        <v>3.04</v>
      </c>
      <c r="L439" s="65">
        <v>-14.39</v>
      </c>
      <c r="M439" s="65">
        <v>243.71271200000001</v>
      </c>
      <c r="N439" s="34"/>
      <c r="O439" s="35"/>
    </row>
    <row r="440" spans="1:15" s="36" customFormat="1" ht="12" x14ac:dyDescent="0.2">
      <c r="A440" s="33"/>
      <c r="B440" s="62">
        <v>45199</v>
      </c>
      <c r="C440" s="64">
        <v>375035</v>
      </c>
      <c r="D440" s="64">
        <v>3.1</v>
      </c>
      <c r="E440" s="64">
        <v>2345924.92</v>
      </c>
      <c r="F440" s="64">
        <v>10.9</v>
      </c>
      <c r="G440" s="34"/>
      <c r="H440" s="33"/>
      <c r="I440" s="62">
        <v>43982</v>
      </c>
      <c r="J440" s="64">
        <v>2.4</v>
      </c>
      <c r="K440" s="64">
        <v>-3.5</v>
      </c>
      <c r="L440" s="64">
        <v>-16.18</v>
      </c>
      <c r="M440" s="64">
        <v>49.755741999999998</v>
      </c>
      <c r="N440" s="34"/>
      <c r="O440" s="35"/>
    </row>
    <row r="441" spans="1:15" s="36" customFormat="1" ht="12" x14ac:dyDescent="0.2">
      <c r="A441" s="33"/>
      <c r="B441" s="63">
        <v>45230</v>
      </c>
      <c r="C441" s="65">
        <v>419409</v>
      </c>
      <c r="D441" s="65">
        <v>2.9</v>
      </c>
      <c r="E441" s="65">
        <v>2353309.12</v>
      </c>
      <c r="F441" s="65">
        <v>10.9</v>
      </c>
      <c r="G441" s="34"/>
      <c r="H441" s="33"/>
      <c r="I441" s="63">
        <v>44012</v>
      </c>
      <c r="J441" s="65">
        <v>2.5</v>
      </c>
      <c r="K441" s="65">
        <v>0.18</v>
      </c>
      <c r="L441" s="65">
        <v>3.29</v>
      </c>
      <c r="M441" s="65">
        <v>-10.008258</v>
      </c>
      <c r="N441" s="34"/>
      <c r="O441" s="35"/>
    </row>
    <row r="442" spans="1:15" s="36" customFormat="1" ht="12" x14ac:dyDescent="0.2">
      <c r="A442" s="33"/>
      <c r="B442" s="62">
        <v>45260</v>
      </c>
      <c r="C442" s="64">
        <v>460814</v>
      </c>
      <c r="D442" s="64">
        <v>2.9</v>
      </c>
      <c r="E442" s="64">
        <v>2364196.44</v>
      </c>
      <c r="F442" s="64">
        <v>10.8</v>
      </c>
      <c r="G442" s="34"/>
      <c r="H442" s="33"/>
      <c r="I442" s="62">
        <v>44043</v>
      </c>
      <c r="J442" s="64">
        <v>2.7</v>
      </c>
      <c r="K442" s="64">
        <v>6.79</v>
      </c>
      <c r="L442" s="64">
        <v>-0.69</v>
      </c>
      <c r="M442" s="64">
        <v>37.019198000000003</v>
      </c>
      <c r="N442" s="34"/>
      <c r="O442" s="35"/>
    </row>
    <row r="443" spans="1:15" s="36" customFormat="1" ht="12" x14ac:dyDescent="0.2">
      <c r="A443" s="33"/>
      <c r="B443" s="63">
        <v>45291</v>
      </c>
      <c r="C443" s="65">
        <v>503036</v>
      </c>
      <c r="D443" s="65">
        <v>3</v>
      </c>
      <c r="E443" s="65">
        <v>2375905.37</v>
      </c>
      <c r="F443" s="65">
        <v>10.6</v>
      </c>
      <c r="G443" s="34"/>
      <c r="H443" s="33"/>
      <c r="I443" s="63">
        <v>44074</v>
      </c>
      <c r="J443" s="65">
        <v>2.4</v>
      </c>
      <c r="K443" s="65">
        <v>9.08</v>
      </c>
      <c r="L443" s="65">
        <v>-1.6</v>
      </c>
      <c r="M443" s="65">
        <v>64.480355000000003</v>
      </c>
      <c r="N443" s="34"/>
      <c r="O443" s="35"/>
    </row>
    <row r="444" spans="1:15" s="36" customFormat="1" ht="12" x14ac:dyDescent="0.2">
      <c r="A444" s="33"/>
      <c r="B444" s="62">
        <v>45322</v>
      </c>
      <c r="C444" s="64">
        <v>0</v>
      </c>
      <c r="D444" s="64">
        <v>0</v>
      </c>
      <c r="E444" s="64">
        <v>2425047.89</v>
      </c>
      <c r="F444" s="64">
        <v>10.4</v>
      </c>
      <c r="G444" s="34"/>
      <c r="H444" s="33"/>
      <c r="I444" s="62">
        <v>44104</v>
      </c>
      <c r="J444" s="64">
        <v>1.7</v>
      </c>
      <c r="K444" s="64">
        <v>9.35</v>
      </c>
      <c r="L444" s="64">
        <v>13.47</v>
      </c>
      <c r="M444" s="64">
        <v>-9.5552480000000006</v>
      </c>
      <c r="N444" s="34"/>
      <c r="O444" s="35"/>
    </row>
    <row r="445" spans="1:15" s="36" customFormat="1" ht="12" x14ac:dyDescent="0.2">
      <c r="A445" s="33"/>
      <c r="B445" s="63">
        <v>45351</v>
      </c>
      <c r="C445" s="65">
        <v>50847</v>
      </c>
      <c r="D445" s="65">
        <v>4.2</v>
      </c>
      <c r="E445" s="65">
        <v>2439604.04</v>
      </c>
      <c r="F445" s="65">
        <v>10.1</v>
      </c>
      <c r="G445" s="34"/>
      <c r="H445" s="33"/>
      <c r="I445" s="63">
        <v>44135</v>
      </c>
      <c r="J445" s="65">
        <v>0.5</v>
      </c>
      <c r="K445" s="65">
        <v>10.92</v>
      </c>
      <c r="L445" s="65">
        <v>4.83</v>
      </c>
      <c r="M445" s="65">
        <v>35.487378</v>
      </c>
      <c r="N445" s="34"/>
      <c r="O445" s="35"/>
    </row>
    <row r="446" spans="1:15" s="36" customFormat="1" ht="12" x14ac:dyDescent="0.2">
      <c r="A446" s="33"/>
      <c r="B446" s="62">
        <v>45382</v>
      </c>
      <c r="C446" s="64">
        <v>100042</v>
      </c>
      <c r="D446" s="64">
        <v>4.5</v>
      </c>
      <c r="E446" s="64">
        <v>2470492.81</v>
      </c>
      <c r="F446" s="64">
        <v>9.6</v>
      </c>
      <c r="G446" s="34"/>
      <c r="H446" s="33"/>
      <c r="I446" s="62">
        <v>44165</v>
      </c>
      <c r="J446" s="64">
        <v>-0.5</v>
      </c>
      <c r="K446" s="64">
        <v>20.53</v>
      </c>
      <c r="L446" s="64">
        <v>4.5599999999999996</v>
      </c>
      <c r="M446" s="64">
        <v>99.722939999999994</v>
      </c>
      <c r="N446" s="34"/>
      <c r="O446" s="35"/>
    </row>
    <row r="447" spans="1:15" s="36" customFormat="1" ht="12" x14ac:dyDescent="0.2">
      <c r="A447" s="33"/>
      <c r="B447" s="63">
        <v>45412</v>
      </c>
      <c r="C447" s="65">
        <v>143401</v>
      </c>
      <c r="D447" s="65">
        <v>4.2</v>
      </c>
      <c r="E447" s="65">
        <v>2477817.7200000002</v>
      </c>
      <c r="F447" s="65">
        <v>9.6</v>
      </c>
      <c r="G447" s="34"/>
      <c r="H447" s="33"/>
      <c r="I447" s="63">
        <v>44196</v>
      </c>
      <c r="J447" s="65">
        <v>0.2</v>
      </c>
      <c r="K447" s="65">
        <v>18.04</v>
      </c>
      <c r="L447" s="65">
        <v>7.58</v>
      </c>
      <c r="M447" s="65">
        <v>60.408906000000002</v>
      </c>
      <c r="N447" s="34"/>
      <c r="O447" s="35"/>
    </row>
    <row r="448" spans="1:15" s="36" customFormat="1" ht="12" x14ac:dyDescent="0.2">
      <c r="A448" s="33"/>
      <c r="B448" s="62">
        <v>45443</v>
      </c>
      <c r="C448" s="64">
        <v>0</v>
      </c>
      <c r="D448" s="64">
        <v>0</v>
      </c>
      <c r="E448" s="64">
        <v>2487300</v>
      </c>
      <c r="F448" s="64">
        <v>9.3000000000000007</v>
      </c>
      <c r="G448" s="34"/>
      <c r="H448" s="33"/>
      <c r="I448" s="62">
        <v>44227</v>
      </c>
      <c r="J448" s="64">
        <v>-0.3</v>
      </c>
      <c r="K448" s="64">
        <v>24.48</v>
      </c>
      <c r="L448" s="64">
        <v>28.71</v>
      </c>
      <c r="M448" s="64">
        <v>12.329193</v>
      </c>
      <c r="N448" s="34"/>
      <c r="O448" s="35"/>
    </row>
    <row r="449" spans="1:15" s="36" customFormat="1" ht="12" x14ac:dyDescent="0.2">
      <c r="A449" s="33"/>
      <c r="B449" s="56"/>
      <c r="C449" s="58"/>
      <c r="D449" s="58"/>
      <c r="E449" s="58"/>
      <c r="F449" s="58"/>
      <c r="G449" s="34"/>
      <c r="H449" s="33"/>
      <c r="I449" s="63">
        <v>44255</v>
      </c>
      <c r="J449" s="65">
        <v>-0.2</v>
      </c>
      <c r="K449" s="65">
        <v>154.28</v>
      </c>
      <c r="L449" s="65">
        <v>18.97</v>
      </c>
      <c r="M449" s="65">
        <v>156.47019</v>
      </c>
      <c r="N449" s="34"/>
      <c r="O449" s="35"/>
    </row>
    <row r="450" spans="1:15" s="36" customFormat="1" ht="12" x14ac:dyDescent="0.2">
      <c r="A450" s="33"/>
      <c r="B450" s="55"/>
      <c r="C450" s="57"/>
      <c r="D450" s="57"/>
      <c r="E450" s="57"/>
      <c r="F450" s="57"/>
      <c r="G450" s="34"/>
      <c r="H450" s="33"/>
      <c r="I450" s="62">
        <v>44286</v>
      </c>
      <c r="J450" s="64">
        <v>0.4</v>
      </c>
      <c r="K450" s="64">
        <v>30.32</v>
      </c>
      <c r="L450" s="64">
        <v>39.119999999999997</v>
      </c>
      <c r="M450" s="64">
        <v>-42.150333000000003</v>
      </c>
      <c r="N450" s="34"/>
      <c r="O450" s="35"/>
    </row>
    <row r="451" spans="1:15" s="36" customFormat="1" ht="12" x14ac:dyDescent="0.2">
      <c r="A451" s="33"/>
      <c r="B451" s="56"/>
      <c r="C451" s="58"/>
      <c r="D451" s="58"/>
      <c r="E451" s="58"/>
      <c r="F451" s="58"/>
      <c r="G451" s="34"/>
      <c r="H451" s="33"/>
      <c r="I451" s="63">
        <v>44316</v>
      </c>
      <c r="J451" s="65">
        <v>0.9</v>
      </c>
      <c r="K451" s="65">
        <v>31.89</v>
      </c>
      <c r="L451" s="65">
        <v>44.05</v>
      </c>
      <c r="M451" s="65">
        <v>-9.9339069999999996</v>
      </c>
      <c r="N451" s="34"/>
      <c r="O451" s="35"/>
    </row>
    <row r="452" spans="1:15" s="36" customFormat="1" ht="12" x14ac:dyDescent="0.2">
      <c r="A452" s="33"/>
      <c r="B452" s="55"/>
      <c r="C452" s="57"/>
      <c r="D452" s="57"/>
      <c r="E452" s="57"/>
      <c r="F452" s="57"/>
      <c r="G452" s="34"/>
      <c r="H452" s="33"/>
      <c r="I452" s="62">
        <v>44347</v>
      </c>
      <c r="J452" s="64">
        <v>1.3</v>
      </c>
      <c r="K452" s="64">
        <v>27.52</v>
      </c>
      <c r="L452" s="64">
        <v>52.19</v>
      </c>
      <c r="M452" s="64">
        <v>-30.481847999999999</v>
      </c>
      <c r="N452" s="34"/>
      <c r="O452" s="35"/>
    </row>
    <row r="453" spans="1:15" s="36" customFormat="1" ht="12" x14ac:dyDescent="0.2">
      <c r="A453" s="33"/>
      <c r="B453" s="56"/>
      <c r="C453" s="58"/>
      <c r="D453" s="58"/>
      <c r="E453" s="58"/>
      <c r="F453" s="58"/>
      <c r="G453" s="34"/>
      <c r="H453" s="33"/>
      <c r="I453" s="63">
        <v>44377</v>
      </c>
      <c r="J453" s="65">
        <v>1.1000000000000001</v>
      </c>
      <c r="K453" s="65">
        <v>31.69</v>
      </c>
      <c r="L453" s="65">
        <v>37.28</v>
      </c>
      <c r="M453" s="65">
        <v>10.651298000000001</v>
      </c>
      <c r="N453" s="34"/>
      <c r="O453" s="35"/>
    </row>
    <row r="454" spans="1:15" s="36" customFormat="1" ht="12" x14ac:dyDescent="0.2">
      <c r="A454" s="33"/>
      <c r="B454" s="55"/>
      <c r="C454" s="57"/>
      <c r="D454" s="57"/>
      <c r="E454" s="57"/>
      <c r="F454" s="57"/>
      <c r="G454" s="34"/>
      <c r="H454" s="33"/>
      <c r="I454" s="62">
        <v>44408</v>
      </c>
      <c r="J454" s="64">
        <v>1</v>
      </c>
      <c r="K454" s="64">
        <v>18.760000000000002</v>
      </c>
      <c r="L454" s="64">
        <v>28.27</v>
      </c>
      <c r="M454" s="64">
        <v>-9.0682980000000004</v>
      </c>
      <c r="N454" s="34"/>
      <c r="O454" s="35"/>
    </row>
    <row r="455" spans="1:15" s="36" customFormat="1" ht="12" x14ac:dyDescent="0.2">
      <c r="A455" s="33"/>
      <c r="B455" s="56"/>
      <c r="C455" s="58"/>
      <c r="D455" s="58"/>
      <c r="E455" s="58"/>
      <c r="F455" s="58"/>
      <c r="G455" s="34"/>
      <c r="H455" s="33"/>
      <c r="I455" s="63">
        <v>44439</v>
      </c>
      <c r="J455" s="65">
        <v>0.8</v>
      </c>
      <c r="K455" s="65">
        <v>25.09</v>
      </c>
      <c r="L455" s="65">
        <v>32.409999999999997</v>
      </c>
      <c r="M455" s="65">
        <v>2.3537240000000001</v>
      </c>
      <c r="N455" s="34"/>
      <c r="O455" s="35"/>
    </row>
    <row r="456" spans="1:15" s="36" customFormat="1" ht="12" x14ac:dyDescent="0.2">
      <c r="A456" s="33"/>
      <c r="B456" s="55"/>
      <c r="C456" s="57"/>
      <c r="D456" s="57"/>
      <c r="E456" s="57"/>
      <c r="F456" s="57"/>
      <c r="G456" s="34"/>
      <c r="H456" s="33"/>
      <c r="I456" s="62">
        <v>44469</v>
      </c>
      <c r="J456" s="64">
        <v>0.7</v>
      </c>
      <c r="K456" s="64">
        <v>27.7</v>
      </c>
      <c r="L456" s="64">
        <v>16.670000000000002</v>
      </c>
      <c r="M456" s="64">
        <v>91.084766999999999</v>
      </c>
      <c r="N456" s="34"/>
      <c r="O456" s="35"/>
    </row>
    <row r="457" spans="1:15" ht="12" x14ac:dyDescent="0.2">
      <c r="B457" s="56"/>
      <c r="C457" s="58"/>
      <c r="D457" s="58"/>
      <c r="E457" s="58"/>
      <c r="F457" s="58"/>
      <c r="I457" s="63">
        <v>44500</v>
      </c>
      <c r="J457" s="65">
        <v>1.5</v>
      </c>
      <c r="K457" s="65">
        <v>26.62</v>
      </c>
      <c r="L457" s="65">
        <v>20.010000000000002</v>
      </c>
      <c r="M457" s="65">
        <v>47.248874999999998</v>
      </c>
    </row>
    <row r="458" spans="1:15" ht="12" x14ac:dyDescent="0.2">
      <c r="B458" s="55"/>
      <c r="C458" s="57"/>
      <c r="D458" s="57"/>
      <c r="E458" s="57"/>
      <c r="F458" s="57"/>
      <c r="I458" s="62">
        <v>44530</v>
      </c>
      <c r="J458" s="64">
        <v>2.2999999999999998</v>
      </c>
      <c r="K458" s="64">
        <v>21.49</v>
      </c>
      <c r="L458" s="64">
        <v>31.32</v>
      </c>
      <c r="M458" s="64">
        <v>-4.0189089999999998</v>
      </c>
    </row>
    <row r="459" spans="1:15" ht="12" x14ac:dyDescent="0.2">
      <c r="B459" s="56"/>
      <c r="C459" s="58"/>
      <c r="D459" s="58"/>
      <c r="E459" s="58"/>
      <c r="F459" s="58"/>
      <c r="I459" s="63">
        <v>44561</v>
      </c>
      <c r="J459" s="65">
        <v>1.5</v>
      </c>
      <c r="K459" s="65">
        <v>20.58</v>
      </c>
      <c r="L459" s="65">
        <v>19.7</v>
      </c>
      <c r="M459" s="65">
        <v>22.981923999999999</v>
      </c>
    </row>
    <row r="460" spans="1:15" ht="12" x14ac:dyDescent="0.2">
      <c r="B460" s="55"/>
      <c r="C460" s="57"/>
      <c r="D460" s="57"/>
      <c r="E460" s="57"/>
      <c r="F460" s="57"/>
      <c r="I460" s="62">
        <v>44592</v>
      </c>
      <c r="J460" s="64">
        <v>0.9</v>
      </c>
      <c r="K460" s="64">
        <v>22.74</v>
      </c>
      <c r="L460" s="64">
        <v>20.79</v>
      </c>
      <c r="M460" s="64">
        <v>29.148143000000001</v>
      </c>
    </row>
    <row r="461" spans="1:15" ht="12" x14ac:dyDescent="0.2">
      <c r="B461" s="56"/>
      <c r="C461" s="58"/>
      <c r="D461" s="58"/>
      <c r="E461" s="58"/>
      <c r="F461" s="58"/>
      <c r="I461" s="63">
        <v>44620</v>
      </c>
      <c r="J461" s="65">
        <v>0.9</v>
      </c>
      <c r="K461" s="65">
        <v>5.09</v>
      </c>
      <c r="L461" s="65">
        <v>11.36</v>
      </c>
      <c r="M461" s="65">
        <v>-25.226382999999998</v>
      </c>
    </row>
    <row r="462" spans="1:15" ht="12" x14ac:dyDescent="0.2">
      <c r="B462" s="55"/>
      <c r="C462" s="57"/>
      <c r="D462" s="57"/>
      <c r="E462" s="57"/>
      <c r="F462" s="57"/>
      <c r="I462" s="62">
        <v>44651</v>
      </c>
      <c r="J462" s="64">
        <v>1.5</v>
      </c>
      <c r="K462" s="64">
        <v>13.44</v>
      </c>
      <c r="L462" s="64">
        <v>0.45</v>
      </c>
      <c r="M462" s="64">
        <v>270.95740999999998</v>
      </c>
    </row>
    <row r="463" spans="1:15" ht="12" x14ac:dyDescent="0.2">
      <c r="B463" s="56"/>
      <c r="C463" s="58"/>
      <c r="D463" s="58"/>
      <c r="E463" s="58"/>
      <c r="F463" s="58"/>
      <c r="I463" s="63">
        <v>44681</v>
      </c>
      <c r="J463" s="65">
        <v>2.1</v>
      </c>
      <c r="K463" s="65">
        <v>2.23</v>
      </c>
      <c r="L463" s="65">
        <v>0.02</v>
      </c>
      <c r="M463" s="65">
        <v>14.375014999999999</v>
      </c>
    </row>
    <row r="464" spans="1:15" ht="12" x14ac:dyDescent="0.2">
      <c r="B464" s="55"/>
      <c r="C464" s="57"/>
      <c r="D464" s="57"/>
      <c r="E464" s="57"/>
      <c r="F464" s="57"/>
      <c r="I464" s="62">
        <v>44712</v>
      </c>
      <c r="J464" s="64">
        <v>2.1</v>
      </c>
      <c r="K464" s="64">
        <v>15.45</v>
      </c>
      <c r="L464" s="64">
        <v>3.35</v>
      </c>
      <c r="M464" s="64">
        <v>77.684137000000007</v>
      </c>
    </row>
    <row r="465" spans="2:13" ht="12" x14ac:dyDescent="0.2">
      <c r="B465" s="56"/>
      <c r="C465" s="58"/>
      <c r="D465" s="58"/>
      <c r="E465" s="58"/>
      <c r="F465" s="58"/>
      <c r="I465" s="63">
        <v>44742</v>
      </c>
      <c r="J465" s="65">
        <v>2.5</v>
      </c>
      <c r="K465" s="65">
        <v>15.38</v>
      </c>
      <c r="L465" s="65">
        <v>-0.33</v>
      </c>
      <c r="M465" s="65">
        <v>88.731567999999996</v>
      </c>
    </row>
    <row r="466" spans="2:13" ht="12" x14ac:dyDescent="0.2">
      <c r="B466" s="55"/>
      <c r="C466" s="57"/>
      <c r="D466" s="57"/>
      <c r="E466" s="57"/>
      <c r="F466" s="57"/>
      <c r="I466" s="62">
        <v>44773</v>
      </c>
      <c r="J466" s="64">
        <v>2.7</v>
      </c>
      <c r="K466" s="64">
        <v>16.420000000000002</v>
      </c>
      <c r="L466" s="64">
        <v>1.23</v>
      </c>
      <c r="M466" s="64">
        <v>79.139313999999999</v>
      </c>
    </row>
    <row r="467" spans="2:13" ht="12" x14ac:dyDescent="0.2">
      <c r="B467" s="56"/>
      <c r="C467" s="58"/>
      <c r="D467" s="58"/>
      <c r="E467" s="58"/>
      <c r="F467" s="58"/>
      <c r="I467" s="63">
        <v>44804</v>
      </c>
      <c r="J467" s="65">
        <v>2.5</v>
      </c>
      <c r="K467" s="65">
        <v>5.87</v>
      </c>
      <c r="L467" s="65">
        <v>-0.56999999999999995</v>
      </c>
      <c r="M467" s="65">
        <v>31.739242000000001</v>
      </c>
    </row>
    <row r="468" spans="2:13" ht="12" x14ac:dyDescent="0.2">
      <c r="B468" s="55"/>
      <c r="C468" s="57"/>
      <c r="D468" s="57"/>
      <c r="E468" s="57"/>
      <c r="F468" s="57"/>
      <c r="I468" s="62">
        <v>44834</v>
      </c>
      <c r="J468" s="64">
        <v>2.8</v>
      </c>
      <c r="K468" s="64">
        <v>4.45</v>
      </c>
      <c r="L468" s="64">
        <v>-0.45</v>
      </c>
      <c r="M468" s="64">
        <v>21.638508999999999</v>
      </c>
    </row>
    <row r="469" spans="2:13" ht="12" x14ac:dyDescent="0.2">
      <c r="B469" s="56"/>
      <c r="C469" s="58"/>
      <c r="D469" s="58"/>
      <c r="E469" s="58"/>
      <c r="F469" s="58"/>
      <c r="I469" s="63">
        <v>44865</v>
      </c>
      <c r="J469" s="65">
        <v>2.1</v>
      </c>
      <c r="K469" s="65">
        <v>-1.84</v>
      </c>
      <c r="L469" s="65">
        <v>-1.31</v>
      </c>
      <c r="M469" s="65">
        <v>-3.1976399999999998</v>
      </c>
    </row>
    <row r="470" spans="2:13" ht="12" x14ac:dyDescent="0.2">
      <c r="B470" s="55"/>
      <c r="C470" s="57"/>
      <c r="D470" s="57"/>
      <c r="E470" s="57"/>
      <c r="F470" s="57"/>
      <c r="I470" s="62">
        <v>44895</v>
      </c>
      <c r="J470" s="64">
        <v>1.6</v>
      </c>
      <c r="K470" s="64">
        <v>-10.38</v>
      </c>
      <c r="L470" s="64">
        <v>-11.14</v>
      </c>
      <c r="M470" s="64">
        <v>-7.6896089999999999</v>
      </c>
    </row>
    <row r="471" spans="2:13" ht="12" x14ac:dyDescent="0.2">
      <c r="B471" s="56"/>
      <c r="C471" s="58"/>
      <c r="D471" s="58"/>
      <c r="E471" s="58"/>
      <c r="F471" s="58"/>
      <c r="I471" s="63">
        <v>44926</v>
      </c>
      <c r="J471" s="65">
        <v>1.8</v>
      </c>
      <c r="K471" s="65">
        <v>-12.59</v>
      </c>
      <c r="L471" s="65">
        <v>-7.53</v>
      </c>
      <c r="M471" s="65">
        <v>-25.964509</v>
      </c>
    </row>
    <row r="472" spans="2:13" ht="12" x14ac:dyDescent="0.2">
      <c r="B472" s="55"/>
      <c r="C472" s="57"/>
      <c r="D472" s="57"/>
      <c r="E472" s="57"/>
      <c r="F472" s="57"/>
      <c r="I472" s="62">
        <v>44957</v>
      </c>
      <c r="J472" s="64">
        <v>2.1</v>
      </c>
      <c r="K472" s="64">
        <v>-12.023126</v>
      </c>
      <c r="L472" s="64">
        <v>-21.078237999999999</v>
      </c>
      <c r="M472" s="64">
        <v>15.832345999999999</v>
      </c>
    </row>
    <row r="473" spans="2:13" ht="12" x14ac:dyDescent="0.2">
      <c r="B473" s="56"/>
      <c r="C473" s="58"/>
      <c r="D473" s="58"/>
      <c r="E473" s="58"/>
      <c r="F473" s="58"/>
      <c r="I473" s="63">
        <v>44985</v>
      </c>
      <c r="J473" s="65">
        <v>1</v>
      </c>
      <c r="K473" s="65">
        <v>-2.86551</v>
      </c>
      <c r="L473" s="65">
        <v>4.2418620000000002</v>
      </c>
      <c r="M473" s="65">
        <v>-54.080072999999999</v>
      </c>
    </row>
    <row r="474" spans="2:13" ht="12" x14ac:dyDescent="0.2">
      <c r="B474" s="55"/>
      <c r="C474" s="57"/>
      <c r="D474" s="57"/>
      <c r="E474" s="57"/>
      <c r="F474" s="57"/>
      <c r="I474" s="62">
        <v>45016</v>
      </c>
      <c r="J474" s="64">
        <v>0.7</v>
      </c>
      <c r="K474" s="64">
        <v>10.84</v>
      </c>
      <c r="L474" s="64">
        <v>-2.0181119999999999</v>
      </c>
      <c r="M474" s="64">
        <v>79.854386000000005</v>
      </c>
    </row>
    <row r="475" spans="2:13" ht="12" x14ac:dyDescent="0.2">
      <c r="B475" s="56"/>
      <c r="C475" s="58"/>
      <c r="D475" s="58"/>
      <c r="E475" s="58"/>
      <c r="F475" s="58"/>
      <c r="I475" s="63">
        <v>45046</v>
      </c>
      <c r="J475" s="65">
        <v>0.1</v>
      </c>
      <c r="K475" s="65">
        <v>7.1057569999999997</v>
      </c>
      <c r="L475" s="65">
        <v>-8.8223140000000004</v>
      </c>
      <c r="M475" s="65">
        <v>83.724698000000004</v>
      </c>
    </row>
    <row r="476" spans="2:13" ht="12" x14ac:dyDescent="0.2">
      <c r="B476" s="55"/>
      <c r="C476" s="57"/>
      <c r="D476" s="57"/>
      <c r="E476" s="57"/>
      <c r="F476" s="57"/>
      <c r="I476" s="62">
        <v>45077</v>
      </c>
      <c r="J476" s="64">
        <v>0.2</v>
      </c>
      <c r="K476" s="64">
        <v>-7.5617229999999998</v>
      </c>
      <c r="L476" s="64">
        <v>-5.2768600000000001</v>
      </c>
      <c r="M476" s="64">
        <v>-14.398707</v>
      </c>
    </row>
    <row r="477" spans="2:13" ht="12" x14ac:dyDescent="0.2">
      <c r="B477" s="56"/>
      <c r="C477" s="58"/>
      <c r="D477" s="58"/>
      <c r="E477" s="58"/>
      <c r="F477" s="58"/>
      <c r="I477" s="63">
        <v>45107</v>
      </c>
      <c r="J477" s="65">
        <v>0</v>
      </c>
      <c r="K477" s="65">
        <v>-12.377592</v>
      </c>
      <c r="L477" s="65">
        <v>-7.0756189999999997</v>
      </c>
      <c r="M477" s="65">
        <v>-25.452538000000001</v>
      </c>
    </row>
    <row r="478" spans="2:13" ht="12" x14ac:dyDescent="0.2">
      <c r="B478" s="55"/>
      <c r="C478" s="57"/>
      <c r="D478" s="57"/>
      <c r="E478" s="57"/>
      <c r="F478" s="57"/>
      <c r="I478" s="62">
        <v>45138</v>
      </c>
      <c r="J478" s="64">
        <v>-0.3</v>
      </c>
      <c r="K478" s="64">
        <v>-14.256266999999999</v>
      </c>
      <c r="L478" s="64">
        <v>-12.145377999999999</v>
      </c>
      <c r="M478" s="64">
        <v>-19.181595999999999</v>
      </c>
    </row>
    <row r="479" spans="2:13" ht="12" x14ac:dyDescent="0.2">
      <c r="B479" s="56"/>
      <c r="C479" s="58"/>
      <c r="D479" s="58"/>
      <c r="E479" s="58"/>
      <c r="F479" s="58"/>
      <c r="I479" s="63">
        <v>45169</v>
      </c>
      <c r="J479" s="65">
        <v>0.1</v>
      </c>
      <c r="K479" s="65">
        <v>-8.552899</v>
      </c>
      <c r="L479" s="65">
        <v>-7.1861930000000003</v>
      </c>
      <c r="M479" s="65">
        <v>-12.696928</v>
      </c>
    </row>
    <row r="480" spans="2:13" ht="12" x14ac:dyDescent="0.2">
      <c r="B480" s="55"/>
      <c r="C480" s="57"/>
      <c r="D480" s="57"/>
      <c r="E480" s="57"/>
      <c r="F480" s="57"/>
      <c r="I480" s="62">
        <v>45199</v>
      </c>
      <c r="J480" s="64">
        <v>0</v>
      </c>
      <c r="K480" s="64">
        <v>-6.8469689999999996</v>
      </c>
      <c r="L480" s="64">
        <v>-6.2513769999999997</v>
      </c>
      <c r="M480" s="64">
        <v>-8.5586300000000008</v>
      </c>
    </row>
    <row r="481" spans="2:13" ht="12" x14ac:dyDescent="0.2">
      <c r="B481" s="56"/>
      <c r="C481" s="58"/>
      <c r="D481" s="58"/>
      <c r="E481" s="58"/>
      <c r="F481" s="58"/>
      <c r="I481" s="63">
        <v>45230</v>
      </c>
      <c r="J481" s="65">
        <v>-0.2</v>
      </c>
      <c r="K481" s="65">
        <v>-6.6127640000000003</v>
      </c>
      <c r="L481" s="65">
        <v>3.0343640000000001</v>
      </c>
      <c r="M481" s="65">
        <v>-31.631316999999999</v>
      </c>
    </row>
    <row r="482" spans="2:13" ht="12" x14ac:dyDescent="0.2">
      <c r="B482" s="55"/>
      <c r="C482" s="57"/>
      <c r="D482" s="57"/>
      <c r="E482" s="57"/>
      <c r="F482" s="57"/>
      <c r="I482" s="62">
        <v>45260</v>
      </c>
      <c r="J482" s="64">
        <v>-0.5</v>
      </c>
      <c r="K482" s="64">
        <v>0.69301299999999999</v>
      </c>
      <c r="L482" s="64">
        <v>-0.56353399999999998</v>
      </c>
      <c r="M482" s="64">
        <v>4.9859390000000001</v>
      </c>
    </row>
    <row r="483" spans="2:13" ht="12" x14ac:dyDescent="0.2">
      <c r="B483" s="56"/>
      <c r="C483" s="58"/>
      <c r="D483" s="58"/>
      <c r="E483" s="58"/>
      <c r="F483" s="58"/>
      <c r="I483" s="63">
        <v>45291</v>
      </c>
      <c r="J483" s="65">
        <v>-0.3</v>
      </c>
      <c r="K483" s="65">
        <v>2.1475240000000002</v>
      </c>
      <c r="L483" s="65">
        <v>0.287854</v>
      </c>
      <c r="M483" s="65">
        <v>8.2890139999999999</v>
      </c>
    </row>
    <row r="484" spans="2:13" ht="12" x14ac:dyDescent="0.2">
      <c r="B484" s="55"/>
      <c r="C484" s="57"/>
      <c r="D484" s="57"/>
      <c r="E484" s="57"/>
      <c r="F484" s="57"/>
      <c r="I484" s="62">
        <v>45322</v>
      </c>
      <c r="J484" s="64">
        <v>-0.8</v>
      </c>
      <c r="K484" s="64">
        <v>8.1</v>
      </c>
      <c r="L484" s="64">
        <v>15.4</v>
      </c>
      <c r="M484" s="64">
        <v>-7.1019569999999996</v>
      </c>
    </row>
    <row r="485" spans="2:13" ht="12" x14ac:dyDescent="0.2">
      <c r="B485" s="56"/>
      <c r="C485" s="58"/>
      <c r="D485" s="58"/>
      <c r="E485" s="58"/>
      <c r="F485" s="58"/>
      <c r="I485" s="63">
        <v>45351</v>
      </c>
      <c r="J485" s="65">
        <v>0.7</v>
      </c>
      <c r="K485" s="65">
        <v>5.4</v>
      </c>
      <c r="L485" s="65">
        <v>-8.1</v>
      </c>
      <c r="M485" s="65">
        <v>227.53743800000001</v>
      </c>
    </row>
    <row r="486" spans="2:13" ht="12" x14ac:dyDescent="0.2">
      <c r="B486" s="55"/>
      <c r="C486" s="57"/>
      <c r="D486" s="57"/>
      <c r="E486" s="57"/>
      <c r="F486" s="57"/>
      <c r="I486" s="62">
        <v>45382</v>
      </c>
      <c r="J486" s="64">
        <v>0.1</v>
      </c>
      <c r="K486" s="64">
        <v>-7.5</v>
      </c>
      <c r="L486" s="64">
        <v>-1.9</v>
      </c>
      <c r="M486" s="64">
        <v>-23.968185999999999</v>
      </c>
    </row>
    <row r="487" spans="2:13" ht="12" x14ac:dyDescent="0.2">
      <c r="B487" s="56"/>
      <c r="C487" s="58"/>
      <c r="D487" s="58"/>
      <c r="E487" s="58"/>
      <c r="F487" s="58"/>
      <c r="I487" s="63">
        <v>45412</v>
      </c>
      <c r="J487" s="65">
        <v>0.3</v>
      </c>
      <c r="K487" s="65">
        <v>1.5</v>
      </c>
      <c r="L487" s="65">
        <v>8.4</v>
      </c>
      <c r="M487" s="65">
        <v>-14.928041</v>
      </c>
    </row>
    <row r="488" spans="2:13" ht="12" x14ac:dyDescent="0.2">
      <c r="B488" s="55"/>
      <c r="C488" s="57"/>
      <c r="D488" s="57"/>
      <c r="E488" s="57"/>
      <c r="F488" s="57"/>
      <c r="I488" s="62">
        <v>45443</v>
      </c>
      <c r="J488" s="64">
        <v>0.3</v>
      </c>
      <c r="K488" s="64">
        <v>7.6</v>
      </c>
      <c r="L488" s="64">
        <v>1.8</v>
      </c>
      <c r="M488" s="64">
        <v>26.811149</v>
      </c>
    </row>
    <row r="489" spans="2:13" ht="12" x14ac:dyDescent="0.2">
      <c r="B489" s="56"/>
      <c r="C489" s="58"/>
      <c r="D489" s="58"/>
      <c r="E489" s="58"/>
      <c r="F489" s="58"/>
      <c r="I489" s="56"/>
      <c r="J489" s="58"/>
      <c r="K489" s="58"/>
      <c r="L489" s="58"/>
      <c r="M489" s="58"/>
    </row>
    <row r="490" spans="2:13" ht="12" x14ac:dyDescent="0.2">
      <c r="B490" s="55"/>
      <c r="C490" s="57"/>
      <c r="D490" s="57"/>
      <c r="E490" s="57"/>
      <c r="F490" s="57"/>
      <c r="I490" s="55"/>
      <c r="J490" s="57"/>
      <c r="K490" s="57"/>
      <c r="L490" s="57"/>
      <c r="M490" s="57"/>
    </row>
    <row r="491" spans="2:13" ht="12" x14ac:dyDescent="0.2">
      <c r="B491" s="56"/>
      <c r="C491" s="58"/>
      <c r="D491" s="58"/>
      <c r="E491" s="58"/>
      <c r="F491" s="58"/>
      <c r="I491" s="56"/>
      <c r="J491" s="58"/>
      <c r="K491" s="58"/>
      <c r="L491" s="58"/>
      <c r="M491" s="58"/>
    </row>
    <row r="492" spans="2:13" ht="12" x14ac:dyDescent="0.2">
      <c r="B492" s="55"/>
      <c r="C492" s="57"/>
      <c r="D492" s="57"/>
      <c r="E492" s="57"/>
      <c r="F492" s="57"/>
      <c r="I492" s="55"/>
      <c r="J492" s="57"/>
      <c r="K492" s="57"/>
      <c r="L492" s="57"/>
      <c r="M492" s="57"/>
    </row>
    <row r="493" spans="2:13" ht="12" x14ac:dyDescent="0.2">
      <c r="B493" s="56"/>
      <c r="C493" s="58"/>
      <c r="D493" s="58"/>
      <c r="E493" s="58"/>
      <c r="F493" s="58"/>
      <c r="I493" s="56"/>
      <c r="J493" s="58"/>
      <c r="K493" s="58"/>
      <c r="L493" s="58"/>
      <c r="M493" s="58"/>
    </row>
    <row r="494" spans="2:13" ht="12" x14ac:dyDescent="0.2">
      <c r="B494" s="55"/>
      <c r="C494" s="57"/>
      <c r="D494" s="57"/>
      <c r="E494" s="57"/>
      <c r="F494" s="57"/>
      <c r="I494" s="55"/>
      <c r="J494" s="57"/>
      <c r="K494" s="57"/>
      <c r="L494" s="57"/>
      <c r="M494" s="57"/>
    </row>
    <row r="495" spans="2:13" ht="12" x14ac:dyDescent="0.2">
      <c r="B495" s="56"/>
      <c r="C495" s="58"/>
      <c r="D495" s="58"/>
      <c r="E495" s="58"/>
      <c r="F495" s="58"/>
      <c r="I495" s="56"/>
      <c r="J495" s="58"/>
      <c r="K495" s="58"/>
      <c r="L495" s="58"/>
      <c r="M495" s="58"/>
    </row>
    <row r="496" spans="2:13" ht="12" x14ac:dyDescent="0.2">
      <c r="B496" s="55"/>
      <c r="C496" s="57"/>
      <c r="D496" s="57"/>
      <c r="E496" s="57"/>
      <c r="F496" s="57"/>
      <c r="I496" s="55"/>
      <c r="J496" s="57"/>
      <c r="K496" s="57"/>
      <c r="L496" s="57"/>
      <c r="M496" s="57"/>
    </row>
    <row r="497" spans="2:13" ht="12" x14ac:dyDescent="0.2">
      <c r="B497" s="56"/>
      <c r="C497" s="58"/>
      <c r="D497" s="58"/>
      <c r="E497" s="58"/>
      <c r="F497" s="58"/>
      <c r="I497" s="56"/>
      <c r="J497" s="58"/>
      <c r="K497" s="58"/>
      <c r="L497" s="58"/>
      <c r="M497" s="58"/>
    </row>
    <row r="498" spans="2:13" ht="12" x14ac:dyDescent="0.2">
      <c r="B498" s="55"/>
      <c r="C498" s="57"/>
      <c r="D498" s="57"/>
      <c r="E498" s="57"/>
      <c r="F498" s="57"/>
      <c r="I498" s="55"/>
      <c r="J498" s="57"/>
      <c r="K498" s="57"/>
      <c r="L498" s="57"/>
      <c r="M498" s="57"/>
    </row>
    <row r="499" spans="2:13" ht="12" x14ac:dyDescent="0.2">
      <c r="B499" s="56"/>
      <c r="C499" s="58"/>
      <c r="D499" s="58"/>
      <c r="E499" s="58"/>
      <c r="F499" s="58"/>
      <c r="I499" s="56"/>
      <c r="J499" s="58"/>
      <c r="K499" s="58"/>
      <c r="L499" s="58"/>
      <c r="M499" s="58"/>
    </row>
    <row r="500" spans="2:13" ht="12" x14ac:dyDescent="0.2">
      <c r="B500" s="55"/>
      <c r="C500" s="57"/>
      <c r="D500" s="57"/>
      <c r="E500" s="57"/>
      <c r="F500" s="57"/>
      <c r="I500" s="55"/>
      <c r="J500" s="57"/>
      <c r="K500" s="57"/>
      <c r="L500" s="57"/>
      <c r="M500" s="57"/>
    </row>
    <row r="501" spans="2:13" ht="12" x14ac:dyDescent="0.2">
      <c r="B501" s="56"/>
      <c r="C501" s="58"/>
      <c r="D501" s="58"/>
      <c r="E501" s="58"/>
      <c r="F501" s="58"/>
      <c r="I501" s="56"/>
      <c r="J501" s="58"/>
      <c r="K501" s="58"/>
      <c r="L501" s="58"/>
      <c r="M501" s="58"/>
    </row>
    <row r="502" spans="2:13" ht="12" x14ac:dyDescent="0.2">
      <c r="B502" s="55"/>
      <c r="C502" s="57"/>
      <c r="D502" s="57"/>
      <c r="E502" s="57"/>
      <c r="F502" s="57"/>
      <c r="I502" s="55"/>
      <c r="J502" s="57"/>
      <c r="K502" s="57"/>
      <c r="L502" s="57"/>
      <c r="M502" s="57"/>
    </row>
    <row r="503" spans="2:13" ht="12" x14ac:dyDescent="0.2">
      <c r="B503" s="56"/>
      <c r="C503" s="58"/>
      <c r="D503" s="58"/>
      <c r="E503" s="58"/>
      <c r="F503" s="58"/>
      <c r="I503" s="56"/>
      <c r="J503" s="58"/>
      <c r="K503" s="58"/>
      <c r="L503" s="58"/>
      <c r="M503" s="58"/>
    </row>
    <row r="504" spans="2:13" ht="12" x14ac:dyDescent="0.2">
      <c r="B504" s="55"/>
      <c r="C504" s="57"/>
      <c r="D504" s="57"/>
      <c r="E504" s="57"/>
      <c r="F504" s="57"/>
      <c r="I504" s="55"/>
      <c r="J504" s="57"/>
      <c r="K504" s="57"/>
      <c r="L504" s="57"/>
      <c r="M504" s="57"/>
    </row>
    <row r="505" spans="2:13" ht="12" x14ac:dyDescent="0.2">
      <c r="B505" s="56"/>
      <c r="C505" s="58"/>
      <c r="D505" s="58"/>
      <c r="E505" s="58"/>
      <c r="F505" s="58"/>
      <c r="I505" s="56"/>
      <c r="J505" s="58"/>
      <c r="K505" s="58"/>
      <c r="L505" s="58"/>
      <c r="M505" s="58"/>
    </row>
    <row r="506" spans="2:13" ht="12" x14ac:dyDescent="0.2">
      <c r="B506" s="55"/>
      <c r="C506" s="57"/>
      <c r="D506" s="57"/>
      <c r="E506" s="57"/>
      <c r="F506" s="57"/>
      <c r="I506" s="55"/>
      <c r="J506" s="57"/>
      <c r="K506" s="57"/>
      <c r="L506" s="57"/>
      <c r="M506" s="57"/>
    </row>
    <row r="507" spans="2:13" ht="12" x14ac:dyDescent="0.2">
      <c r="B507" s="56"/>
      <c r="C507" s="58"/>
      <c r="D507" s="58"/>
      <c r="E507" s="58"/>
      <c r="F507" s="58"/>
      <c r="I507" s="56"/>
      <c r="J507" s="58"/>
      <c r="K507" s="58"/>
      <c r="L507" s="58"/>
      <c r="M507" s="58"/>
    </row>
    <row r="508" spans="2:13" ht="12" x14ac:dyDescent="0.2">
      <c r="B508" s="55"/>
      <c r="C508" s="57"/>
      <c r="D508" s="57"/>
      <c r="E508" s="57"/>
      <c r="F508" s="57"/>
      <c r="I508" s="55"/>
      <c r="J508" s="57"/>
      <c r="K508" s="57"/>
      <c r="L508" s="57"/>
      <c r="M508" s="57"/>
    </row>
    <row r="509" spans="2:13" ht="12" x14ac:dyDescent="0.2">
      <c r="B509" s="56"/>
      <c r="C509" s="58"/>
      <c r="D509" s="58"/>
      <c r="E509" s="58"/>
      <c r="F509" s="58"/>
      <c r="I509" s="56"/>
      <c r="J509" s="58"/>
      <c r="K509" s="58"/>
      <c r="L509" s="58"/>
      <c r="M509" s="58"/>
    </row>
    <row r="510" spans="2:13" ht="12" x14ac:dyDescent="0.2">
      <c r="B510" s="55"/>
      <c r="C510" s="57"/>
      <c r="D510" s="57"/>
      <c r="E510" s="57"/>
      <c r="F510" s="57"/>
      <c r="I510" s="55"/>
      <c r="J510" s="57"/>
      <c r="K510" s="57"/>
      <c r="L510" s="57"/>
      <c r="M510" s="57"/>
    </row>
    <row r="511" spans="2:13" ht="12" x14ac:dyDescent="0.2">
      <c r="B511" s="56"/>
      <c r="C511" s="58"/>
      <c r="D511" s="58"/>
      <c r="E511" s="58"/>
      <c r="F511" s="58"/>
      <c r="I511" s="56"/>
      <c r="J511" s="58"/>
      <c r="K511" s="58"/>
      <c r="L511" s="58"/>
      <c r="M511" s="58"/>
    </row>
    <row r="512" spans="2:13" ht="12" x14ac:dyDescent="0.2">
      <c r="B512" s="55"/>
      <c r="C512" s="57"/>
      <c r="D512" s="57"/>
      <c r="E512" s="57"/>
      <c r="F512" s="57"/>
      <c r="I512" s="55"/>
      <c r="J512" s="57"/>
      <c r="K512" s="57"/>
      <c r="L512" s="57"/>
      <c r="M512" s="57"/>
    </row>
    <row r="513" spans="2:13" ht="12" x14ac:dyDescent="0.2">
      <c r="B513" s="56"/>
      <c r="C513" s="58"/>
      <c r="D513" s="58"/>
      <c r="E513" s="58"/>
      <c r="F513" s="58"/>
      <c r="I513" s="56"/>
      <c r="J513" s="58"/>
      <c r="K513" s="58"/>
      <c r="L513" s="58"/>
      <c r="M513" s="58"/>
    </row>
    <row r="514" spans="2:13" ht="12" x14ac:dyDescent="0.2">
      <c r="B514" s="55"/>
      <c r="C514" s="57"/>
      <c r="D514" s="57"/>
      <c r="E514" s="57"/>
      <c r="F514" s="57"/>
      <c r="I514" s="55"/>
      <c r="J514" s="57"/>
      <c r="K514" s="57"/>
      <c r="L514" s="57"/>
      <c r="M514" s="57"/>
    </row>
    <row r="515" spans="2:13" ht="12" x14ac:dyDescent="0.2">
      <c r="B515" s="56"/>
      <c r="C515" s="58"/>
      <c r="D515" s="58"/>
      <c r="E515" s="58"/>
      <c r="F515" s="58"/>
      <c r="I515" s="56"/>
      <c r="J515" s="58"/>
      <c r="K515" s="58"/>
      <c r="L515" s="58"/>
      <c r="M515" s="58"/>
    </row>
    <row r="516" spans="2:13" ht="12" x14ac:dyDescent="0.2">
      <c r="B516" s="55"/>
      <c r="C516" s="57"/>
      <c r="D516" s="57"/>
      <c r="E516" s="57"/>
      <c r="F516" s="57"/>
      <c r="I516" s="55"/>
      <c r="J516" s="57"/>
      <c r="K516" s="57"/>
      <c r="L516" s="57"/>
      <c r="M516" s="57"/>
    </row>
    <row r="517" spans="2:13" ht="12" x14ac:dyDescent="0.2">
      <c r="B517" s="56"/>
      <c r="C517" s="58"/>
      <c r="D517" s="58"/>
      <c r="E517" s="58"/>
      <c r="F517" s="58"/>
      <c r="I517" s="56"/>
      <c r="J517" s="58"/>
      <c r="K517" s="58"/>
      <c r="L517" s="58"/>
      <c r="M517" s="58"/>
    </row>
    <row r="518" spans="2:13" ht="12" x14ac:dyDescent="0.2">
      <c r="B518" s="55"/>
      <c r="C518" s="57"/>
      <c r="D518" s="57"/>
      <c r="E518" s="57"/>
      <c r="F518" s="57"/>
      <c r="I518" s="55"/>
      <c r="J518" s="57"/>
      <c r="K518" s="57"/>
      <c r="L518" s="57"/>
      <c r="M518" s="57"/>
    </row>
    <row r="519" spans="2:13" ht="12" x14ac:dyDescent="0.2">
      <c r="B519" s="56"/>
      <c r="C519" s="58"/>
      <c r="D519" s="58"/>
      <c r="E519" s="58"/>
      <c r="F519" s="58"/>
      <c r="I519" s="56"/>
      <c r="J519" s="58"/>
      <c r="K519" s="58"/>
      <c r="L519" s="58"/>
      <c r="M519" s="58"/>
    </row>
    <row r="520" spans="2:13" ht="12" x14ac:dyDescent="0.2">
      <c r="B520" s="55"/>
      <c r="C520" s="57"/>
      <c r="D520" s="57"/>
      <c r="E520" s="57"/>
      <c r="F520" s="57"/>
      <c r="I520" s="55"/>
      <c r="J520" s="57"/>
      <c r="K520" s="57"/>
      <c r="L520" s="57"/>
      <c r="M520" s="57"/>
    </row>
    <row r="521" spans="2:13" ht="12" x14ac:dyDescent="0.2">
      <c r="B521" s="56"/>
      <c r="C521" s="58"/>
      <c r="D521" s="58"/>
      <c r="E521" s="58"/>
      <c r="F521" s="58"/>
      <c r="I521" s="56"/>
      <c r="J521" s="58"/>
      <c r="K521" s="58"/>
      <c r="L521" s="58"/>
      <c r="M521" s="58"/>
    </row>
    <row r="522" spans="2:13" ht="12" x14ac:dyDescent="0.2">
      <c r="B522" s="55"/>
      <c r="C522" s="57"/>
      <c r="D522" s="57"/>
      <c r="E522" s="57"/>
      <c r="F522" s="57"/>
      <c r="I522" s="55"/>
      <c r="J522" s="57"/>
      <c r="K522" s="57"/>
      <c r="L522" s="57"/>
      <c r="M522" s="57"/>
    </row>
    <row r="523" spans="2:13" ht="12" x14ac:dyDescent="0.2">
      <c r="B523" s="56"/>
      <c r="C523" s="58"/>
      <c r="D523" s="58"/>
      <c r="E523" s="58"/>
      <c r="F523" s="58"/>
      <c r="I523" s="56"/>
      <c r="J523" s="58"/>
      <c r="K523" s="58"/>
      <c r="L523" s="58"/>
      <c r="M523" s="58"/>
    </row>
    <row r="524" spans="2:13" ht="12" x14ac:dyDescent="0.2">
      <c r="B524" s="55"/>
      <c r="C524" s="57"/>
      <c r="D524" s="57"/>
      <c r="E524" s="57"/>
      <c r="F524" s="57"/>
      <c r="I524" s="55"/>
      <c r="J524" s="57"/>
      <c r="K524" s="57"/>
      <c r="L524" s="57"/>
      <c r="M524" s="57"/>
    </row>
    <row r="525" spans="2:13" ht="12" x14ac:dyDescent="0.2">
      <c r="B525" s="56"/>
      <c r="C525" s="58"/>
      <c r="D525" s="58"/>
      <c r="E525" s="58"/>
      <c r="F525" s="58"/>
      <c r="I525" s="56"/>
      <c r="J525" s="58"/>
      <c r="K525" s="58"/>
      <c r="L525" s="58"/>
      <c r="M525" s="58"/>
    </row>
    <row r="526" spans="2:13" ht="12" x14ac:dyDescent="0.2">
      <c r="B526" s="55"/>
      <c r="C526" s="57"/>
      <c r="D526" s="57"/>
      <c r="E526" s="57"/>
      <c r="F526" s="57"/>
      <c r="I526" s="55"/>
      <c r="J526" s="57"/>
      <c r="K526" s="57"/>
      <c r="L526" s="57"/>
      <c r="M526" s="57"/>
    </row>
    <row r="527" spans="2:13" ht="12" x14ac:dyDescent="0.2">
      <c r="B527" s="56"/>
      <c r="C527" s="58"/>
      <c r="D527" s="58"/>
      <c r="E527" s="58"/>
      <c r="F527" s="58"/>
      <c r="I527" s="56"/>
      <c r="J527" s="58"/>
      <c r="K527" s="58"/>
      <c r="L527" s="58"/>
      <c r="M527" s="58"/>
    </row>
    <row r="528" spans="2:13" ht="12" x14ac:dyDescent="0.2">
      <c r="B528" s="55"/>
      <c r="C528" s="57"/>
      <c r="D528" s="57"/>
      <c r="E528" s="57"/>
      <c r="F528" s="57"/>
      <c r="I528" s="55"/>
      <c r="J528" s="57"/>
      <c r="K528" s="57"/>
      <c r="L528" s="57"/>
      <c r="M528" s="57"/>
    </row>
    <row r="529" spans="2:13" ht="12" x14ac:dyDescent="0.2">
      <c r="B529" s="56"/>
      <c r="C529" s="58"/>
      <c r="D529" s="58"/>
      <c r="E529" s="58"/>
      <c r="F529" s="58"/>
      <c r="I529" s="56"/>
      <c r="J529" s="58"/>
      <c r="K529" s="58"/>
      <c r="L529" s="58"/>
      <c r="M529" s="58"/>
    </row>
    <row r="530" spans="2:13" ht="12" x14ac:dyDescent="0.2">
      <c r="B530" s="55"/>
      <c r="C530" s="57"/>
      <c r="D530" s="57"/>
      <c r="E530" s="57"/>
      <c r="F530" s="57"/>
      <c r="I530" s="55"/>
      <c r="J530" s="57"/>
      <c r="K530" s="57"/>
      <c r="L530" s="57"/>
      <c r="M530" s="57"/>
    </row>
    <row r="531" spans="2:13" ht="12" x14ac:dyDescent="0.2">
      <c r="B531" s="56"/>
      <c r="C531" s="58"/>
      <c r="D531" s="58"/>
      <c r="E531" s="58"/>
      <c r="F531" s="58"/>
      <c r="I531" s="56"/>
      <c r="J531" s="58"/>
      <c r="K531" s="58"/>
      <c r="L531" s="58"/>
      <c r="M531" s="58"/>
    </row>
    <row r="532" spans="2:13" ht="12" x14ac:dyDescent="0.2">
      <c r="B532" s="55"/>
      <c r="C532" s="57"/>
      <c r="D532" s="57"/>
      <c r="E532" s="57"/>
      <c r="F532" s="57"/>
      <c r="I532" s="55"/>
      <c r="J532" s="57"/>
      <c r="K532" s="57"/>
      <c r="L532" s="57"/>
      <c r="M532" s="57"/>
    </row>
    <row r="533" spans="2:13" ht="12" x14ac:dyDescent="0.2">
      <c r="B533" s="56"/>
      <c r="C533" s="58"/>
      <c r="D533" s="58"/>
      <c r="E533" s="58"/>
      <c r="F533" s="58"/>
      <c r="I533" s="56"/>
      <c r="J533" s="58"/>
      <c r="K533" s="58"/>
      <c r="L533" s="58"/>
      <c r="M533" s="58"/>
    </row>
    <row r="534" spans="2:13" ht="12" x14ac:dyDescent="0.2">
      <c r="B534" s="55"/>
      <c r="C534" s="57"/>
      <c r="D534" s="57"/>
      <c r="E534" s="57"/>
      <c r="F534" s="57"/>
      <c r="I534" s="55"/>
      <c r="J534" s="57"/>
      <c r="K534" s="57"/>
      <c r="L534" s="57"/>
      <c r="M534" s="57"/>
    </row>
    <row r="535" spans="2:13" ht="12" x14ac:dyDescent="0.2">
      <c r="B535" s="56"/>
      <c r="C535" s="58"/>
      <c r="D535" s="58"/>
      <c r="E535" s="58"/>
      <c r="F535" s="58"/>
      <c r="I535" s="56"/>
      <c r="J535" s="58"/>
      <c r="K535" s="58"/>
      <c r="L535" s="58"/>
      <c r="M535" s="58"/>
    </row>
    <row r="536" spans="2:13" ht="12" x14ac:dyDescent="0.2">
      <c r="B536" s="55"/>
      <c r="C536" s="57"/>
      <c r="D536" s="57"/>
      <c r="E536" s="57"/>
      <c r="F536" s="57"/>
      <c r="I536" s="55"/>
      <c r="J536" s="57"/>
      <c r="K536" s="57"/>
      <c r="L536" s="57"/>
      <c r="M536" s="57"/>
    </row>
    <row r="537" spans="2:13" ht="12" x14ac:dyDescent="0.2">
      <c r="B537" s="56"/>
      <c r="C537" s="58"/>
      <c r="D537" s="58"/>
      <c r="E537" s="58"/>
      <c r="F537" s="58"/>
      <c r="I537" s="56"/>
      <c r="J537" s="58"/>
      <c r="K537" s="58"/>
      <c r="L537" s="58"/>
      <c r="M537" s="58"/>
    </row>
    <row r="538" spans="2:13" ht="12" x14ac:dyDescent="0.2">
      <c r="B538" s="55"/>
      <c r="C538" s="57"/>
      <c r="D538" s="57"/>
      <c r="E538" s="57"/>
      <c r="F538" s="57"/>
      <c r="I538" s="55"/>
      <c r="J538" s="57"/>
      <c r="K538" s="57"/>
      <c r="L538" s="57"/>
      <c r="M538" s="57"/>
    </row>
    <row r="539" spans="2:13" ht="12" x14ac:dyDescent="0.2">
      <c r="B539" s="56"/>
      <c r="C539" s="58"/>
      <c r="D539" s="58"/>
      <c r="E539" s="58"/>
      <c r="F539" s="58"/>
      <c r="I539" s="56"/>
      <c r="J539" s="58"/>
      <c r="K539" s="58"/>
      <c r="L539" s="58"/>
      <c r="M539" s="58"/>
    </row>
    <row r="540" spans="2:13" ht="12" x14ac:dyDescent="0.2">
      <c r="B540" s="55"/>
      <c r="C540" s="57"/>
      <c r="D540" s="57"/>
      <c r="E540" s="57"/>
      <c r="F540" s="57"/>
      <c r="I540" s="55"/>
      <c r="J540" s="57"/>
      <c r="K540" s="57"/>
      <c r="L540" s="57"/>
      <c r="M540" s="57"/>
    </row>
    <row r="541" spans="2:13" ht="12" x14ac:dyDescent="0.2">
      <c r="B541" s="56"/>
      <c r="C541" s="58"/>
      <c r="D541" s="58"/>
      <c r="E541" s="58"/>
      <c r="F541" s="58"/>
      <c r="I541" s="56"/>
      <c r="J541" s="58"/>
      <c r="K541" s="58"/>
      <c r="L541" s="58"/>
      <c r="M541" s="58"/>
    </row>
    <row r="542" spans="2:13" ht="12" x14ac:dyDescent="0.2">
      <c r="B542" s="55"/>
      <c r="C542" s="57"/>
      <c r="D542" s="57"/>
      <c r="E542" s="57"/>
      <c r="F542" s="57"/>
      <c r="I542" s="55"/>
      <c r="J542" s="57"/>
      <c r="K542" s="57"/>
      <c r="L542" s="57"/>
      <c r="M542" s="57"/>
    </row>
    <row r="543" spans="2:13" ht="12" x14ac:dyDescent="0.2">
      <c r="B543" s="56"/>
      <c r="C543" s="58"/>
      <c r="D543" s="58"/>
      <c r="E543" s="58"/>
      <c r="F543" s="58"/>
      <c r="I543" s="56"/>
      <c r="J543" s="58"/>
      <c r="K543" s="58"/>
      <c r="L543" s="58"/>
      <c r="M543" s="58"/>
    </row>
    <row r="544" spans="2:13" ht="12" x14ac:dyDescent="0.2">
      <c r="B544" s="55"/>
      <c r="C544" s="57"/>
      <c r="D544" s="57"/>
      <c r="E544" s="57"/>
      <c r="F544" s="57"/>
      <c r="I544" s="55"/>
      <c r="J544" s="57"/>
      <c r="K544" s="57"/>
      <c r="L544" s="57"/>
      <c r="M544" s="57"/>
    </row>
    <row r="545" spans="2:13" ht="12" x14ac:dyDescent="0.2">
      <c r="B545" s="56"/>
      <c r="C545" s="58"/>
      <c r="D545" s="58"/>
      <c r="E545" s="58"/>
      <c r="F545" s="58"/>
      <c r="I545" s="56"/>
      <c r="J545" s="58"/>
      <c r="K545" s="58"/>
      <c r="L545" s="58"/>
      <c r="M545" s="58"/>
    </row>
    <row r="546" spans="2:13" ht="12" x14ac:dyDescent="0.2">
      <c r="B546" s="55"/>
      <c r="C546" s="57"/>
      <c r="D546" s="57"/>
      <c r="E546" s="57"/>
      <c r="F546" s="57"/>
      <c r="I546" s="55"/>
      <c r="J546" s="57"/>
      <c r="K546" s="57"/>
      <c r="L546" s="57"/>
      <c r="M546" s="57"/>
    </row>
    <row r="547" spans="2:13" ht="12" x14ac:dyDescent="0.2">
      <c r="B547" s="56"/>
      <c r="C547" s="58"/>
      <c r="D547" s="58"/>
      <c r="E547" s="58"/>
      <c r="F547" s="58"/>
      <c r="I547" s="56"/>
      <c r="J547" s="58"/>
      <c r="K547" s="58"/>
      <c r="L547" s="58"/>
      <c r="M547" s="58"/>
    </row>
    <row r="548" spans="2:13" ht="12" x14ac:dyDescent="0.2">
      <c r="B548" s="55"/>
      <c r="C548" s="57"/>
      <c r="D548" s="57"/>
      <c r="E548" s="57"/>
      <c r="F548" s="57"/>
      <c r="I548" s="55"/>
      <c r="J548" s="57"/>
      <c r="K548" s="57"/>
      <c r="L548" s="57"/>
      <c r="M548" s="57"/>
    </row>
    <row r="549" spans="2:13" ht="12" x14ac:dyDescent="0.2">
      <c r="B549" s="56"/>
      <c r="C549" s="58"/>
      <c r="D549" s="58"/>
      <c r="E549" s="58"/>
      <c r="F549" s="58"/>
      <c r="I549" s="56"/>
      <c r="J549" s="58"/>
      <c r="K549" s="58"/>
      <c r="L549" s="58"/>
      <c r="M549" s="58"/>
    </row>
    <row r="550" spans="2:13" ht="12" x14ac:dyDescent="0.2">
      <c r="B550" s="55"/>
      <c r="C550" s="57"/>
      <c r="D550" s="57"/>
      <c r="E550" s="57"/>
      <c r="F550" s="57"/>
      <c r="I550" s="55"/>
      <c r="J550" s="57"/>
      <c r="K550" s="57"/>
      <c r="L550" s="57"/>
      <c r="M550" s="57"/>
    </row>
    <row r="551" spans="2:13" ht="12" x14ac:dyDescent="0.2">
      <c r="B551" s="56"/>
      <c r="C551" s="58"/>
      <c r="D551" s="58"/>
      <c r="E551" s="58"/>
      <c r="F551" s="58"/>
      <c r="I551" s="56"/>
      <c r="J551" s="58"/>
      <c r="K551" s="58"/>
      <c r="L551" s="58"/>
      <c r="M551" s="58"/>
    </row>
    <row r="552" spans="2:13" ht="12" x14ac:dyDescent="0.2">
      <c r="B552" s="55"/>
      <c r="C552" s="57"/>
      <c r="D552" s="57"/>
      <c r="E552" s="57"/>
      <c r="F552" s="57"/>
      <c r="I552" s="55"/>
      <c r="J552" s="57"/>
      <c r="K552" s="57"/>
      <c r="L552" s="57"/>
      <c r="M552" s="57"/>
    </row>
    <row r="553" spans="2:13" ht="12" x14ac:dyDescent="0.2">
      <c r="B553" s="56"/>
      <c r="C553" s="58"/>
      <c r="D553" s="58"/>
      <c r="E553" s="58"/>
      <c r="F553" s="58"/>
      <c r="I553" s="56"/>
      <c r="J553" s="58"/>
      <c r="K553" s="58"/>
      <c r="L553" s="58"/>
      <c r="M553" s="58"/>
    </row>
    <row r="554" spans="2:13" ht="12" x14ac:dyDescent="0.2">
      <c r="B554" s="55"/>
      <c r="C554" s="57"/>
      <c r="D554" s="57"/>
      <c r="E554" s="57"/>
      <c r="F554" s="57"/>
      <c r="I554" s="55"/>
      <c r="J554" s="57"/>
      <c r="K554" s="57"/>
      <c r="L554" s="57"/>
      <c r="M554" s="57"/>
    </row>
    <row r="555" spans="2:13" ht="12" x14ac:dyDescent="0.2">
      <c r="B555" s="56"/>
      <c r="C555" s="58"/>
      <c r="D555" s="58"/>
      <c r="E555" s="58"/>
      <c r="F555" s="58"/>
      <c r="I555" s="56"/>
      <c r="J555" s="58"/>
      <c r="K555" s="58"/>
      <c r="L555" s="58"/>
      <c r="M555" s="58"/>
    </row>
    <row r="556" spans="2:13" ht="12" x14ac:dyDescent="0.2">
      <c r="B556" s="55"/>
      <c r="C556" s="57"/>
      <c r="D556" s="57"/>
      <c r="E556" s="57"/>
      <c r="F556" s="57"/>
      <c r="I556" s="55"/>
      <c r="J556" s="57"/>
      <c r="K556" s="57"/>
      <c r="L556" s="57"/>
      <c r="M556" s="57"/>
    </row>
    <row r="557" spans="2:13" ht="12" x14ac:dyDescent="0.2">
      <c r="B557" s="56"/>
      <c r="C557" s="58"/>
      <c r="D557" s="58"/>
      <c r="E557" s="58"/>
      <c r="F557" s="58"/>
      <c r="I557" s="56"/>
      <c r="J557" s="58"/>
      <c r="K557" s="58"/>
      <c r="L557" s="58"/>
      <c r="M557" s="58"/>
    </row>
    <row r="558" spans="2:13" ht="12" x14ac:dyDescent="0.2">
      <c r="B558" s="55"/>
      <c r="C558" s="57"/>
      <c r="D558" s="57"/>
      <c r="E558" s="57"/>
      <c r="F558" s="57"/>
      <c r="I558" s="55"/>
      <c r="J558" s="57"/>
      <c r="K558" s="57"/>
      <c r="L558" s="57"/>
      <c r="M558" s="57"/>
    </row>
    <row r="559" spans="2:13" ht="12" x14ac:dyDescent="0.2">
      <c r="B559" s="56"/>
      <c r="C559" s="58"/>
      <c r="D559" s="58"/>
      <c r="E559" s="58"/>
      <c r="F559" s="58"/>
      <c r="I559" s="56"/>
      <c r="J559" s="58"/>
      <c r="K559" s="58"/>
      <c r="L559" s="58"/>
      <c r="M559" s="58"/>
    </row>
    <row r="560" spans="2:13" ht="12" x14ac:dyDescent="0.2">
      <c r="B560" s="55"/>
      <c r="C560" s="57"/>
      <c r="D560" s="57"/>
      <c r="E560" s="57"/>
      <c r="F560" s="57"/>
      <c r="I560" s="55"/>
      <c r="J560" s="57"/>
      <c r="K560" s="57"/>
      <c r="L560" s="57"/>
      <c r="M560" s="57"/>
    </row>
    <row r="561" spans="2:13" ht="12" x14ac:dyDescent="0.2">
      <c r="B561" s="56"/>
      <c r="C561" s="58"/>
      <c r="D561" s="58"/>
      <c r="E561" s="58"/>
      <c r="F561" s="58"/>
      <c r="I561" s="56"/>
      <c r="J561" s="58"/>
      <c r="K561" s="58"/>
      <c r="L561" s="58"/>
      <c r="M561" s="58"/>
    </row>
    <row r="562" spans="2:13" ht="12" x14ac:dyDescent="0.2">
      <c r="B562" s="55"/>
      <c r="C562" s="57"/>
      <c r="D562" s="57"/>
      <c r="E562" s="57"/>
      <c r="F562" s="57"/>
      <c r="I562" s="55"/>
      <c r="J562" s="57"/>
      <c r="K562" s="57"/>
      <c r="L562" s="57"/>
      <c r="M562" s="57"/>
    </row>
    <row r="563" spans="2:13" ht="12" x14ac:dyDescent="0.2">
      <c r="B563" s="56"/>
      <c r="C563" s="58"/>
      <c r="D563" s="58"/>
      <c r="E563" s="58"/>
      <c r="F563" s="58"/>
      <c r="I563" s="56"/>
      <c r="J563" s="58"/>
      <c r="K563" s="58"/>
      <c r="L563" s="58"/>
      <c r="M563" s="58"/>
    </row>
    <row r="564" spans="2:13" ht="12" x14ac:dyDescent="0.2">
      <c r="B564" s="55"/>
      <c r="C564" s="57"/>
      <c r="D564" s="57"/>
      <c r="E564" s="57"/>
      <c r="F564" s="57"/>
      <c r="I564" s="55"/>
      <c r="J564" s="57"/>
      <c r="K564" s="57"/>
      <c r="L564" s="57"/>
      <c r="M564" s="57"/>
    </row>
    <row r="565" spans="2:13" ht="12" x14ac:dyDescent="0.2">
      <c r="B565" s="56"/>
      <c r="C565" s="58"/>
      <c r="D565" s="58"/>
      <c r="E565" s="58"/>
      <c r="F565" s="58"/>
      <c r="I565" s="56"/>
      <c r="J565" s="58"/>
      <c r="K565" s="58"/>
      <c r="L565" s="58"/>
      <c r="M565" s="58"/>
    </row>
    <row r="566" spans="2:13" ht="12" x14ac:dyDescent="0.2">
      <c r="B566" s="55"/>
      <c r="C566" s="57"/>
      <c r="D566" s="57"/>
      <c r="E566" s="57"/>
      <c r="F566" s="57"/>
      <c r="I566" s="55"/>
      <c r="J566" s="57"/>
      <c r="K566" s="57"/>
      <c r="L566" s="57"/>
      <c r="M566" s="57"/>
    </row>
    <row r="567" spans="2:13" ht="12" x14ac:dyDescent="0.2">
      <c r="B567" s="56"/>
      <c r="C567" s="58"/>
      <c r="D567" s="58"/>
      <c r="E567" s="58"/>
      <c r="F567" s="58"/>
      <c r="I567" s="56"/>
      <c r="J567" s="58"/>
      <c r="K567" s="58"/>
      <c r="L567" s="58"/>
      <c r="M567" s="58"/>
    </row>
    <row r="568" spans="2:13" ht="12" x14ac:dyDescent="0.2">
      <c r="B568" s="55"/>
      <c r="C568" s="57"/>
      <c r="D568" s="57"/>
      <c r="E568" s="57"/>
      <c r="F568" s="57"/>
      <c r="I568" s="55"/>
      <c r="J568" s="57"/>
      <c r="K568" s="57"/>
      <c r="L568" s="57"/>
      <c r="M568" s="57"/>
    </row>
    <row r="569" spans="2:13" ht="12" x14ac:dyDescent="0.2">
      <c r="B569" s="56"/>
      <c r="C569" s="58"/>
      <c r="D569" s="58"/>
      <c r="E569" s="58"/>
      <c r="F569" s="58"/>
      <c r="I569" s="56"/>
      <c r="J569" s="58"/>
      <c r="K569" s="58"/>
      <c r="L569" s="58"/>
      <c r="M569" s="58"/>
    </row>
    <row r="570" spans="2:13" ht="12" x14ac:dyDescent="0.2">
      <c r="B570" s="55"/>
      <c r="C570" s="57"/>
      <c r="D570" s="57"/>
      <c r="E570" s="57"/>
      <c r="F570" s="57"/>
      <c r="I570" s="55"/>
      <c r="J570" s="57"/>
      <c r="K570" s="57"/>
      <c r="L570" s="57"/>
      <c r="M570" s="57"/>
    </row>
    <row r="571" spans="2:13" ht="12" x14ac:dyDescent="0.2">
      <c r="B571" s="56"/>
      <c r="C571" s="58"/>
      <c r="D571" s="58"/>
      <c r="E571" s="58"/>
      <c r="F571" s="58"/>
      <c r="I571" s="56"/>
      <c r="J571" s="58"/>
      <c r="K571" s="58"/>
      <c r="L571" s="58"/>
      <c r="M571" s="58"/>
    </row>
    <row r="572" spans="2:13" ht="12" x14ac:dyDescent="0.2">
      <c r="B572" s="55"/>
      <c r="C572" s="57"/>
      <c r="D572" s="57"/>
      <c r="E572" s="57"/>
      <c r="F572" s="57"/>
      <c r="I572" s="55"/>
      <c r="J572" s="57"/>
      <c r="K572" s="57"/>
      <c r="L572" s="57"/>
      <c r="M572" s="57"/>
    </row>
    <row r="573" spans="2:13" ht="12" x14ac:dyDescent="0.2">
      <c r="B573" s="56"/>
      <c r="C573" s="58"/>
      <c r="D573" s="58"/>
      <c r="E573" s="58"/>
      <c r="F573" s="58"/>
      <c r="I573" s="56"/>
      <c r="J573" s="58"/>
      <c r="K573" s="58"/>
      <c r="L573" s="58"/>
      <c r="M573" s="58"/>
    </row>
    <row r="574" spans="2:13" ht="12" x14ac:dyDescent="0.2">
      <c r="B574" s="55"/>
      <c r="C574" s="57"/>
      <c r="D574" s="57"/>
      <c r="E574" s="57"/>
      <c r="F574" s="57"/>
      <c r="I574" s="55"/>
      <c r="J574" s="57"/>
      <c r="K574" s="57"/>
      <c r="L574" s="57"/>
      <c r="M574" s="57"/>
    </row>
    <row r="575" spans="2:13" ht="12" x14ac:dyDescent="0.2">
      <c r="B575" s="56"/>
      <c r="C575" s="58"/>
      <c r="D575" s="58"/>
      <c r="E575" s="58"/>
      <c r="F575" s="58"/>
      <c r="I575" s="56"/>
      <c r="J575" s="58"/>
      <c r="K575" s="58"/>
      <c r="L575" s="58"/>
      <c r="M575" s="58"/>
    </row>
    <row r="576" spans="2:13" ht="12" x14ac:dyDescent="0.2">
      <c r="B576" s="55"/>
      <c r="C576" s="57"/>
      <c r="D576" s="57"/>
      <c r="E576" s="57"/>
      <c r="F576" s="57"/>
      <c r="I576" s="55"/>
      <c r="J576" s="57"/>
      <c r="K576" s="57"/>
      <c r="L576" s="57"/>
      <c r="M576" s="57"/>
    </row>
    <row r="577" spans="2:13" ht="12" x14ac:dyDescent="0.2">
      <c r="B577" s="56"/>
      <c r="C577" s="58"/>
      <c r="D577" s="58"/>
      <c r="E577" s="58"/>
      <c r="F577" s="58"/>
      <c r="I577" s="56"/>
      <c r="J577" s="58"/>
      <c r="K577" s="58"/>
      <c r="L577" s="58"/>
      <c r="M577" s="58"/>
    </row>
    <row r="578" spans="2:13" ht="12" x14ac:dyDescent="0.2">
      <c r="B578" s="55"/>
      <c r="C578" s="57"/>
      <c r="D578" s="57"/>
      <c r="E578" s="57"/>
      <c r="F578" s="57"/>
      <c r="I578" s="55"/>
      <c r="J578" s="57"/>
      <c r="K578" s="57"/>
      <c r="L578" s="57"/>
      <c r="M578" s="57"/>
    </row>
    <row r="579" spans="2:13" ht="12" x14ac:dyDescent="0.2">
      <c r="B579" s="56"/>
      <c r="C579" s="58"/>
      <c r="D579" s="58"/>
      <c r="E579" s="58"/>
      <c r="F579" s="58"/>
      <c r="I579" s="56"/>
      <c r="J579" s="58"/>
      <c r="K579" s="58"/>
      <c r="L579" s="58"/>
      <c r="M579" s="58"/>
    </row>
    <row r="580" spans="2:13" ht="12" x14ac:dyDescent="0.2">
      <c r="B580" s="55"/>
      <c r="C580" s="57"/>
      <c r="D580" s="57"/>
      <c r="E580" s="57"/>
      <c r="F580" s="57"/>
      <c r="I580" s="55"/>
      <c r="J580" s="57"/>
      <c r="K580" s="57"/>
      <c r="L580" s="57"/>
      <c r="M580" s="57"/>
    </row>
    <row r="581" spans="2:13" ht="12" x14ac:dyDescent="0.2">
      <c r="B581" s="56"/>
      <c r="C581" s="58"/>
      <c r="D581" s="58"/>
      <c r="E581" s="58"/>
      <c r="F581" s="58"/>
      <c r="I581" s="56"/>
      <c r="J581" s="58"/>
      <c r="K581" s="58"/>
      <c r="L581" s="58"/>
      <c r="M581" s="58"/>
    </row>
    <row r="582" spans="2:13" ht="12" x14ac:dyDescent="0.2">
      <c r="B582" s="55"/>
      <c r="C582" s="57"/>
      <c r="D582" s="57"/>
      <c r="E582" s="57"/>
      <c r="F582" s="57"/>
      <c r="I582" s="55"/>
      <c r="J582" s="57"/>
      <c r="K582" s="57"/>
      <c r="L582" s="57"/>
      <c r="M582" s="57"/>
    </row>
    <row r="583" spans="2:13" ht="12" x14ac:dyDescent="0.2">
      <c r="B583" s="56"/>
      <c r="C583" s="58"/>
      <c r="D583" s="58"/>
      <c r="E583" s="58"/>
      <c r="F583" s="58"/>
      <c r="I583" s="56"/>
      <c r="J583" s="58"/>
      <c r="K583" s="58"/>
      <c r="L583" s="58"/>
      <c r="M583" s="58"/>
    </row>
    <row r="584" spans="2:13" ht="12" x14ac:dyDescent="0.2">
      <c r="B584" s="55"/>
      <c r="C584" s="57"/>
      <c r="D584" s="57"/>
      <c r="E584" s="57"/>
      <c r="F584" s="57"/>
      <c r="I584" s="55"/>
      <c r="J584" s="57"/>
      <c r="K584" s="57"/>
      <c r="L584" s="57"/>
      <c r="M584" s="57"/>
    </row>
    <row r="585" spans="2:13" ht="12" x14ac:dyDescent="0.2">
      <c r="B585" s="56"/>
      <c r="C585" s="58"/>
      <c r="D585" s="58"/>
      <c r="E585" s="58"/>
      <c r="F585" s="58"/>
      <c r="I585" s="56"/>
      <c r="J585" s="58"/>
      <c r="K585" s="58"/>
      <c r="L585" s="58"/>
      <c r="M585" s="58"/>
    </row>
    <row r="586" spans="2:13" ht="12" x14ac:dyDescent="0.2">
      <c r="B586" s="55"/>
      <c r="C586" s="57"/>
      <c r="D586" s="57"/>
      <c r="E586" s="57"/>
      <c r="F586" s="57"/>
      <c r="I586" s="55"/>
      <c r="J586" s="57"/>
      <c r="K586" s="57"/>
      <c r="L586" s="57"/>
      <c r="M586" s="57"/>
    </row>
    <row r="587" spans="2:13" ht="12" x14ac:dyDescent="0.2">
      <c r="B587" s="56"/>
      <c r="C587" s="58"/>
      <c r="D587" s="58"/>
      <c r="E587" s="58"/>
      <c r="F587" s="58"/>
      <c r="I587" s="56"/>
      <c r="J587" s="58"/>
      <c r="K587" s="58"/>
      <c r="L587" s="58"/>
      <c r="M587" s="58"/>
    </row>
    <row r="588" spans="2:13" ht="12" x14ac:dyDescent="0.2">
      <c r="B588" s="55"/>
      <c r="C588" s="57"/>
      <c r="D588" s="57"/>
      <c r="E588" s="57"/>
      <c r="F588" s="57"/>
      <c r="I588" s="55"/>
      <c r="J588" s="57"/>
      <c r="K588" s="57"/>
      <c r="L588" s="57"/>
      <c r="M588" s="57"/>
    </row>
    <row r="589" spans="2:13" ht="12" x14ac:dyDescent="0.2">
      <c r="B589" s="56"/>
      <c r="C589" s="58"/>
      <c r="D589" s="58"/>
      <c r="E589" s="58"/>
      <c r="F589" s="58"/>
      <c r="I589" s="56"/>
      <c r="J589" s="58"/>
      <c r="K589" s="58"/>
      <c r="L589" s="58"/>
      <c r="M589" s="58"/>
    </row>
    <row r="590" spans="2:13" ht="12" x14ac:dyDescent="0.2">
      <c r="B590" s="55"/>
      <c r="C590" s="57"/>
      <c r="D590" s="57"/>
      <c r="E590" s="57"/>
      <c r="F590" s="57"/>
      <c r="I590" s="55"/>
      <c r="J590" s="57"/>
      <c r="K590" s="57"/>
      <c r="L590" s="57"/>
      <c r="M590" s="57"/>
    </row>
    <row r="591" spans="2:13" ht="12" x14ac:dyDescent="0.2">
      <c r="B591" s="56"/>
      <c r="C591" s="58"/>
      <c r="D591" s="58"/>
      <c r="E591" s="58"/>
      <c r="F591" s="58"/>
      <c r="I591" s="56"/>
      <c r="J591" s="58"/>
      <c r="K591" s="58"/>
      <c r="L591" s="58"/>
      <c r="M591" s="58"/>
    </row>
    <row r="592" spans="2:13" ht="12" x14ac:dyDescent="0.2">
      <c r="B592" s="55"/>
      <c r="C592" s="57"/>
      <c r="D592" s="57"/>
      <c r="E592" s="57"/>
      <c r="F592" s="57"/>
      <c r="I592" s="55"/>
      <c r="J592" s="57"/>
      <c r="K592" s="57"/>
      <c r="L592" s="57"/>
      <c r="M592" s="57"/>
    </row>
    <row r="593" spans="2:13" ht="12" x14ac:dyDescent="0.2">
      <c r="B593" s="56"/>
      <c r="C593" s="58"/>
      <c r="D593" s="58"/>
      <c r="E593" s="58"/>
      <c r="F593" s="58"/>
      <c r="I593" s="56"/>
      <c r="J593" s="58"/>
      <c r="K593" s="58"/>
      <c r="L593" s="58"/>
      <c r="M593" s="58"/>
    </row>
    <row r="594" spans="2:13" ht="12" x14ac:dyDescent="0.2">
      <c r="B594" s="55"/>
      <c r="C594" s="57"/>
      <c r="D594" s="57"/>
      <c r="E594" s="57"/>
      <c r="F594" s="57"/>
      <c r="I594" s="55"/>
      <c r="J594" s="57"/>
      <c r="K594" s="57"/>
      <c r="L594" s="57"/>
      <c r="M594" s="57"/>
    </row>
    <row r="595" spans="2:13" ht="12" x14ac:dyDescent="0.2">
      <c r="B595" s="56"/>
      <c r="C595" s="58"/>
      <c r="D595" s="58"/>
      <c r="E595" s="58"/>
      <c r="F595" s="58"/>
      <c r="I595" s="56"/>
      <c r="J595" s="58"/>
      <c r="K595" s="58"/>
      <c r="L595" s="58"/>
      <c r="M595" s="58"/>
    </row>
    <row r="596" spans="2:13" ht="12" x14ac:dyDescent="0.2">
      <c r="B596" s="55"/>
      <c r="C596" s="57"/>
      <c r="D596" s="57"/>
      <c r="E596" s="57"/>
      <c r="F596" s="57"/>
      <c r="I596" s="55"/>
      <c r="J596" s="57"/>
      <c r="K596" s="57"/>
      <c r="L596" s="57"/>
      <c r="M596" s="57"/>
    </row>
    <row r="597" spans="2:13" ht="12" x14ac:dyDescent="0.2">
      <c r="B597" s="56"/>
      <c r="C597" s="58"/>
      <c r="D597" s="58"/>
      <c r="E597" s="58"/>
      <c r="F597" s="58"/>
      <c r="I597" s="56"/>
      <c r="J597" s="58"/>
      <c r="K597" s="58"/>
      <c r="L597" s="58"/>
      <c r="M597" s="58"/>
    </row>
    <row r="598" spans="2:13" ht="12" x14ac:dyDescent="0.2">
      <c r="B598" s="55"/>
      <c r="C598" s="57"/>
      <c r="D598" s="57"/>
      <c r="E598" s="57"/>
      <c r="F598" s="57"/>
      <c r="I598" s="55"/>
      <c r="J598" s="57"/>
      <c r="K598" s="57"/>
      <c r="L598" s="57"/>
      <c r="M598" s="57"/>
    </row>
    <row r="599" spans="2:13" ht="12" x14ac:dyDescent="0.2">
      <c r="B599" s="56"/>
      <c r="C599" s="58"/>
      <c r="D599" s="58"/>
      <c r="E599" s="58"/>
      <c r="F599" s="58"/>
      <c r="I599" s="56"/>
      <c r="J599" s="58"/>
      <c r="K599" s="58"/>
      <c r="L599" s="58"/>
      <c r="M599" s="58"/>
    </row>
    <row r="600" spans="2:13" ht="12" x14ac:dyDescent="0.2">
      <c r="B600" s="55"/>
      <c r="C600" s="57"/>
      <c r="D600" s="57"/>
      <c r="E600" s="57"/>
      <c r="F600" s="57"/>
      <c r="I600" s="55"/>
      <c r="J600" s="57"/>
      <c r="K600" s="57"/>
      <c r="L600" s="57"/>
      <c r="M600" s="57"/>
    </row>
    <row r="601" spans="2:13" ht="12" x14ac:dyDescent="0.2">
      <c r="B601" s="56"/>
      <c r="C601" s="58"/>
      <c r="D601" s="58"/>
      <c r="E601" s="58"/>
      <c r="F601" s="58"/>
      <c r="I601" s="56"/>
      <c r="J601" s="58"/>
      <c r="K601" s="58"/>
      <c r="L601" s="58"/>
      <c r="M601" s="58"/>
    </row>
    <row r="602" spans="2:13" ht="12" x14ac:dyDescent="0.2">
      <c r="B602" s="55"/>
      <c r="C602" s="57"/>
      <c r="D602" s="57"/>
      <c r="E602" s="57"/>
      <c r="F602" s="57"/>
      <c r="I602" s="55"/>
      <c r="J602" s="57"/>
      <c r="K602" s="57"/>
      <c r="L602" s="57"/>
      <c r="M602" s="57"/>
    </row>
    <row r="603" spans="2:13" ht="12" x14ac:dyDescent="0.2">
      <c r="B603" s="56"/>
      <c r="C603" s="58"/>
      <c r="D603" s="58"/>
      <c r="E603" s="58"/>
      <c r="F603" s="58"/>
      <c r="I603" s="56"/>
      <c r="J603" s="58"/>
      <c r="K603" s="58"/>
      <c r="L603" s="58"/>
      <c r="M603" s="58"/>
    </row>
    <row r="604" spans="2:13" ht="12" x14ac:dyDescent="0.2">
      <c r="B604" s="55"/>
      <c r="C604" s="57"/>
      <c r="D604" s="57"/>
      <c r="E604" s="57"/>
      <c r="F604" s="57"/>
      <c r="I604" s="55"/>
      <c r="J604" s="57"/>
      <c r="K604" s="57"/>
      <c r="L604" s="57"/>
      <c r="M604" s="57"/>
    </row>
    <row r="605" spans="2:13" ht="12" x14ac:dyDescent="0.2">
      <c r="B605" s="56"/>
      <c r="C605" s="58"/>
      <c r="D605" s="58"/>
      <c r="E605" s="58"/>
      <c r="F605" s="58"/>
      <c r="I605" s="56"/>
      <c r="J605" s="58"/>
      <c r="K605" s="58"/>
      <c r="L605" s="58"/>
      <c r="M605" s="58"/>
    </row>
    <row r="606" spans="2:13" ht="12" x14ac:dyDescent="0.2">
      <c r="B606" s="55"/>
      <c r="C606" s="57"/>
      <c r="D606" s="57"/>
      <c r="E606" s="57"/>
      <c r="F606" s="57"/>
      <c r="I606" s="55"/>
      <c r="J606" s="57"/>
      <c r="K606" s="57"/>
      <c r="L606" s="57"/>
      <c r="M606" s="57"/>
    </row>
    <row r="607" spans="2:13" ht="12" x14ac:dyDescent="0.2">
      <c r="B607" s="56"/>
      <c r="C607" s="58"/>
      <c r="D607" s="58"/>
      <c r="E607" s="58"/>
      <c r="F607" s="58"/>
      <c r="I607" s="56"/>
      <c r="J607" s="58"/>
      <c r="K607" s="58"/>
      <c r="L607" s="58"/>
      <c r="M607" s="58"/>
    </row>
    <row r="608" spans="2:13" ht="12" x14ac:dyDescent="0.2">
      <c r="B608" s="55"/>
      <c r="C608" s="57"/>
      <c r="D608" s="57"/>
      <c r="E608" s="57"/>
      <c r="F608" s="57"/>
      <c r="I608" s="55"/>
      <c r="J608" s="57"/>
      <c r="K608" s="57"/>
      <c r="L608" s="57"/>
      <c r="M608" s="57"/>
    </row>
    <row r="609" spans="2:13" ht="12" x14ac:dyDescent="0.2">
      <c r="B609" s="56"/>
      <c r="C609" s="58"/>
      <c r="D609" s="58"/>
      <c r="E609" s="58"/>
      <c r="F609" s="58"/>
      <c r="I609" s="56"/>
      <c r="J609" s="58"/>
      <c r="K609" s="58"/>
      <c r="L609" s="58"/>
      <c r="M609" s="58"/>
    </row>
    <row r="610" spans="2:13" ht="12" x14ac:dyDescent="0.2">
      <c r="B610" s="55"/>
      <c r="C610" s="57"/>
      <c r="D610" s="57"/>
      <c r="E610" s="57"/>
      <c r="F610" s="57"/>
      <c r="I610" s="55"/>
      <c r="J610" s="57"/>
      <c r="K610" s="57"/>
      <c r="L610" s="57"/>
      <c r="M610" s="57"/>
    </row>
    <row r="611" spans="2:13" ht="12" x14ac:dyDescent="0.2">
      <c r="B611" s="56"/>
      <c r="C611" s="58"/>
      <c r="D611" s="58"/>
      <c r="E611" s="58"/>
      <c r="F611" s="58"/>
      <c r="I611" s="56"/>
      <c r="J611" s="58"/>
      <c r="K611" s="58"/>
      <c r="L611" s="58"/>
      <c r="M611" s="58"/>
    </row>
    <row r="612" spans="2:13" ht="12" x14ac:dyDescent="0.2">
      <c r="B612" s="55"/>
      <c r="C612" s="57"/>
      <c r="D612" s="57"/>
      <c r="E612" s="57"/>
      <c r="F612" s="57"/>
      <c r="I612" s="55"/>
      <c r="J612" s="57"/>
      <c r="K612" s="57"/>
      <c r="L612" s="57"/>
      <c r="M612" s="57"/>
    </row>
    <row r="613" spans="2:13" ht="12" x14ac:dyDescent="0.2">
      <c r="B613" s="56"/>
      <c r="C613" s="58"/>
      <c r="D613" s="58"/>
      <c r="E613" s="58"/>
      <c r="F613" s="58"/>
      <c r="I613" s="56"/>
      <c r="J613" s="58"/>
      <c r="K613" s="58"/>
      <c r="L613" s="58"/>
      <c r="M613" s="58"/>
    </row>
    <row r="614" spans="2:13" ht="12" x14ac:dyDescent="0.2">
      <c r="B614" s="55"/>
      <c r="C614" s="57"/>
      <c r="D614" s="57"/>
      <c r="E614" s="57"/>
      <c r="F614" s="57"/>
      <c r="I614" s="55"/>
      <c r="J614" s="57"/>
      <c r="K614" s="57"/>
      <c r="L614" s="57"/>
      <c r="M614" s="57"/>
    </row>
    <row r="615" spans="2:13" ht="12" x14ac:dyDescent="0.2">
      <c r="B615" s="56"/>
      <c r="C615" s="58"/>
      <c r="D615" s="58"/>
      <c r="E615" s="58"/>
      <c r="F615" s="58"/>
      <c r="I615" s="56"/>
      <c r="J615" s="58"/>
      <c r="K615" s="58"/>
      <c r="L615" s="58"/>
      <c r="M615" s="58"/>
    </row>
    <row r="616" spans="2:13" ht="12" x14ac:dyDescent="0.2">
      <c r="B616" s="55"/>
      <c r="C616" s="57"/>
      <c r="D616" s="57"/>
      <c r="E616" s="57"/>
      <c r="F616" s="57"/>
      <c r="I616" s="55"/>
      <c r="J616" s="57"/>
      <c r="K616" s="57"/>
      <c r="L616" s="57"/>
      <c r="M616" s="57"/>
    </row>
    <row r="617" spans="2:13" ht="12" x14ac:dyDescent="0.2">
      <c r="B617" s="56"/>
      <c r="C617" s="58"/>
      <c r="D617" s="58"/>
      <c r="E617" s="58"/>
      <c r="F617" s="58"/>
      <c r="I617" s="56"/>
      <c r="J617" s="58"/>
      <c r="K617" s="58"/>
      <c r="L617" s="58"/>
      <c r="M617" s="58"/>
    </row>
    <row r="618" spans="2:13" ht="12" x14ac:dyDescent="0.2">
      <c r="B618" s="55"/>
      <c r="C618" s="57"/>
      <c r="D618" s="57"/>
      <c r="E618" s="57"/>
      <c r="F618" s="57"/>
      <c r="I618" s="55"/>
      <c r="J618" s="57"/>
      <c r="K618" s="57"/>
      <c r="L618" s="57"/>
      <c r="M618" s="57"/>
    </row>
    <row r="619" spans="2:13" ht="12" x14ac:dyDescent="0.2">
      <c r="B619" s="56"/>
      <c r="C619" s="58"/>
      <c r="D619" s="58"/>
      <c r="E619" s="58"/>
      <c r="F619" s="58"/>
      <c r="I619" s="56"/>
      <c r="J619" s="58"/>
      <c r="K619" s="58"/>
      <c r="L619" s="58"/>
      <c r="M619" s="58"/>
    </row>
    <row r="620" spans="2:13" ht="12" x14ac:dyDescent="0.2">
      <c r="B620" s="55"/>
      <c r="C620" s="57"/>
      <c r="D620" s="57"/>
      <c r="E620" s="57"/>
      <c r="F620" s="57"/>
      <c r="I620" s="55"/>
      <c r="J620" s="57"/>
      <c r="K620" s="57"/>
      <c r="L620" s="57"/>
      <c r="M620" s="57"/>
    </row>
    <row r="621" spans="2:13" ht="12" x14ac:dyDescent="0.2">
      <c r="B621" s="56"/>
      <c r="C621" s="58"/>
      <c r="D621" s="58"/>
      <c r="E621" s="58"/>
      <c r="F621" s="58"/>
      <c r="I621" s="56"/>
      <c r="J621" s="58"/>
      <c r="K621" s="58"/>
      <c r="L621" s="58"/>
      <c r="M621" s="58"/>
    </row>
    <row r="622" spans="2:13" ht="12" x14ac:dyDescent="0.2">
      <c r="B622" s="55"/>
      <c r="C622" s="57"/>
      <c r="D622" s="57"/>
      <c r="E622" s="57"/>
      <c r="F622" s="57"/>
      <c r="I622" s="55"/>
      <c r="J622" s="57"/>
      <c r="K622" s="57"/>
      <c r="L622" s="57"/>
      <c r="M622" s="57"/>
    </row>
    <row r="623" spans="2:13" ht="12" x14ac:dyDescent="0.2">
      <c r="B623" s="56"/>
      <c r="C623" s="58"/>
      <c r="D623" s="58"/>
      <c r="E623" s="58"/>
      <c r="F623" s="58"/>
      <c r="I623" s="56"/>
      <c r="J623" s="58"/>
      <c r="K623" s="58"/>
      <c r="L623" s="58"/>
      <c r="M623" s="58"/>
    </row>
    <row r="624" spans="2:13" ht="12" x14ac:dyDescent="0.2">
      <c r="B624" s="55"/>
      <c r="C624" s="57"/>
      <c r="D624" s="57"/>
      <c r="E624" s="57"/>
      <c r="F624" s="57"/>
      <c r="I624" s="55"/>
      <c r="J624" s="57"/>
      <c r="K624" s="57"/>
      <c r="L624" s="57"/>
      <c r="M624" s="57"/>
    </row>
    <row r="625" spans="2:13" ht="12" x14ac:dyDescent="0.2">
      <c r="B625" s="56"/>
      <c r="C625" s="58"/>
      <c r="D625" s="58"/>
      <c r="E625" s="58"/>
      <c r="F625" s="58"/>
      <c r="I625" s="56"/>
      <c r="J625" s="58"/>
      <c r="K625" s="58"/>
      <c r="L625" s="58"/>
      <c r="M625" s="58"/>
    </row>
    <row r="626" spans="2:13" ht="12" x14ac:dyDescent="0.2">
      <c r="B626" s="55"/>
      <c r="C626" s="57"/>
      <c r="D626" s="57"/>
      <c r="E626" s="57"/>
      <c r="F626" s="57"/>
      <c r="I626" s="55"/>
      <c r="J626" s="57"/>
      <c r="K626" s="57"/>
      <c r="L626" s="57"/>
      <c r="M626" s="57"/>
    </row>
    <row r="627" spans="2:13" ht="12" x14ac:dyDescent="0.2">
      <c r="B627" s="56"/>
      <c r="C627" s="58"/>
      <c r="D627" s="58"/>
      <c r="E627" s="58"/>
      <c r="F627" s="58"/>
      <c r="I627" s="56"/>
      <c r="J627" s="58"/>
      <c r="K627" s="58"/>
      <c r="L627" s="58"/>
      <c r="M627" s="58"/>
    </row>
    <row r="628" spans="2:13" ht="12" x14ac:dyDescent="0.2">
      <c r="B628" s="55"/>
      <c r="C628" s="57"/>
      <c r="D628" s="57"/>
      <c r="E628" s="57"/>
      <c r="F628" s="57"/>
      <c r="I628" s="55"/>
      <c r="J628" s="57"/>
      <c r="K628" s="57"/>
      <c r="L628" s="57"/>
      <c r="M628" s="57"/>
    </row>
    <row r="629" spans="2:13" ht="12" x14ac:dyDescent="0.2">
      <c r="B629" s="56"/>
      <c r="C629" s="58"/>
      <c r="D629" s="58"/>
      <c r="E629" s="58"/>
      <c r="F629" s="58"/>
      <c r="I629" s="56"/>
      <c r="J629" s="58"/>
      <c r="K629" s="58"/>
      <c r="L629" s="58"/>
      <c r="M629" s="58"/>
    </row>
    <row r="630" spans="2:13" ht="12" x14ac:dyDescent="0.2">
      <c r="B630" s="55"/>
      <c r="C630" s="57"/>
      <c r="D630" s="57"/>
      <c r="E630" s="57"/>
      <c r="F630" s="57"/>
      <c r="I630" s="55"/>
      <c r="J630" s="57"/>
      <c r="K630" s="57"/>
      <c r="L630" s="57"/>
      <c r="M630" s="57"/>
    </row>
    <row r="631" spans="2:13" ht="12" x14ac:dyDescent="0.2">
      <c r="B631" s="56"/>
      <c r="C631" s="58"/>
      <c r="D631" s="58"/>
      <c r="E631" s="58"/>
      <c r="F631" s="58"/>
      <c r="I631" s="56"/>
      <c r="J631" s="58"/>
      <c r="K631" s="58"/>
      <c r="L631" s="58"/>
      <c r="M631" s="58"/>
    </row>
    <row r="632" spans="2:13" ht="12" x14ac:dyDescent="0.2">
      <c r="B632" s="55"/>
      <c r="C632" s="57"/>
      <c r="D632" s="57"/>
      <c r="E632" s="57"/>
      <c r="F632" s="57"/>
      <c r="I632" s="55"/>
      <c r="J632" s="57"/>
      <c r="K632" s="57"/>
      <c r="L632" s="57"/>
      <c r="M632" s="57"/>
    </row>
    <row r="633" spans="2:13" ht="12" x14ac:dyDescent="0.2">
      <c r="B633" s="56"/>
      <c r="C633" s="58"/>
      <c r="D633" s="58"/>
      <c r="E633" s="58"/>
      <c r="F633" s="58"/>
      <c r="I633" s="56"/>
      <c r="J633" s="58"/>
      <c r="K633" s="58"/>
      <c r="L633" s="58"/>
      <c r="M633" s="58"/>
    </row>
    <row r="634" spans="2:13" ht="12" x14ac:dyDescent="0.2">
      <c r="B634" s="55"/>
      <c r="C634" s="57"/>
      <c r="D634" s="57"/>
      <c r="E634" s="57"/>
      <c r="F634" s="57"/>
      <c r="I634" s="55"/>
      <c r="J634" s="57"/>
      <c r="K634" s="57"/>
      <c r="L634" s="57"/>
      <c r="M634" s="57"/>
    </row>
    <row r="635" spans="2:13" ht="12" x14ac:dyDescent="0.2">
      <c r="B635" s="56"/>
      <c r="C635" s="58"/>
      <c r="D635" s="58"/>
      <c r="E635" s="58"/>
      <c r="F635" s="58"/>
      <c r="I635" s="56"/>
      <c r="J635" s="58"/>
      <c r="K635" s="58"/>
      <c r="L635" s="58"/>
      <c r="M635" s="58"/>
    </row>
    <row r="636" spans="2:13" ht="12" x14ac:dyDescent="0.2">
      <c r="B636" s="55"/>
      <c r="C636" s="57"/>
      <c r="D636" s="57"/>
      <c r="E636" s="57"/>
      <c r="F636" s="57"/>
      <c r="I636" s="55"/>
      <c r="J636" s="57"/>
      <c r="K636" s="57"/>
      <c r="L636" s="57"/>
      <c r="M636" s="57"/>
    </row>
    <row r="637" spans="2:13" ht="12" x14ac:dyDescent="0.2">
      <c r="B637" s="56"/>
      <c r="C637" s="58"/>
      <c r="D637" s="58"/>
      <c r="E637" s="58"/>
      <c r="F637" s="58"/>
      <c r="I637" s="56"/>
      <c r="J637" s="58"/>
      <c r="K637" s="58"/>
      <c r="L637" s="58"/>
      <c r="M637" s="58"/>
    </row>
    <row r="638" spans="2:13" ht="12" x14ac:dyDescent="0.2">
      <c r="B638" s="55"/>
      <c r="C638" s="57"/>
      <c r="D638" s="57"/>
      <c r="E638" s="57"/>
      <c r="F638" s="57"/>
      <c r="I638" s="55"/>
      <c r="J638" s="57"/>
      <c r="K638" s="57"/>
      <c r="L638" s="57"/>
      <c r="M638" s="57"/>
    </row>
    <row r="639" spans="2:13" ht="12" x14ac:dyDescent="0.2">
      <c r="B639" s="56"/>
      <c r="C639" s="58"/>
      <c r="D639" s="58"/>
      <c r="E639" s="58"/>
      <c r="F639" s="58"/>
      <c r="I639" s="56"/>
      <c r="J639" s="58"/>
      <c r="K639" s="58"/>
      <c r="L639" s="58"/>
      <c r="M639" s="58"/>
    </row>
    <row r="640" spans="2:13" ht="12" x14ac:dyDescent="0.2">
      <c r="B640" s="55"/>
      <c r="C640" s="57"/>
      <c r="D640" s="57"/>
      <c r="E640" s="57"/>
      <c r="F640" s="57"/>
      <c r="I640" s="55"/>
      <c r="J640" s="57"/>
      <c r="K640" s="57"/>
      <c r="L640" s="57"/>
      <c r="M640" s="57"/>
    </row>
    <row r="641" spans="2:13" ht="12" x14ac:dyDescent="0.2">
      <c r="B641" s="56"/>
      <c r="C641" s="58"/>
      <c r="D641" s="58"/>
      <c r="E641" s="58"/>
      <c r="F641" s="58"/>
      <c r="I641" s="56"/>
      <c r="J641" s="58"/>
      <c r="K641" s="58"/>
      <c r="L641" s="58"/>
      <c r="M641" s="58"/>
    </row>
    <row r="642" spans="2:13" ht="12" x14ac:dyDescent="0.2">
      <c r="B642" s="55"/>
      <c r="C642" s="57"/>
      <c r="D642" s="57"/>
      <c r="E642" s="57"/>
      <c r="F642" s="57"/>
      <c r="I642" s="55"/>
      <c r="J642" s="57"/>
      <c r="K642" s="57"/>
      <c r="L642" s="57"/>
      <c r="M642" s="57"/>
    </row>
    <row r="643" spans="2:13" ht="12" x14ac:dyDescent="0.2">
      <c r="B643" s="56"/>
      <c r="C643" s="58"/>
      <c r="D643" s="58"/>
      <c r="E643" s="58"/>
      <c r="F643" s="58"/>
      <c r="I643" s="56"/>
      <c r="J643" s="58"/>
      <c r="K643" s="58"/>
      <c r="L643" s="58"/>
      <c r="M643" s="58"/>
    </row>
    <row r="644" spans="2:13" ht="12" x14ac:dyDescent="0.2">
      <c r="B644" s="55"/>
      <c r="C644" s="57"/>
      <c r="D644" s="57"/>
      <c r="E644" s="57"/>
      <c r="F644" s="57"/>
      <c r="I644" s="55"/>
      <c r="J644" s="57"/>
      <c r="K644" s="57"/>
      <c r="L644" s="57"/>
      <c r="M644" s="57"/>
    </row>
    <row r="645" spans="2:13" ht="12" x14ac:dyDescent="0.2">
      <c r="B645" s="56"/>
      <c r="C645" s="58"/>
      <c r="D645" s="58"/>
      <c r="E645" s="58"/>
      <c r="F645" s="58"/>
      <c r="I645" s="56"/>
      <c r="J645" s="58"/>
      <c r="K645" s="58"/>
      <c r="L645" s="58"/>
      <c r="M645" s="58"/>
    </row>
    <row r="646" spans="2:13" ht="12" x14ac:dyDescent="0.2">
      <c r="B646" s="55"/>
      <c r="C646" s="57"/>
      <c r="D646" s="57"/>
      <c r="E646" s="57"/>
      <c r="F646" s="57"/>
      <c r="I646" s="55"/>
      <c r="J646" s="57"/>
      <c r="K646" s="57"/>
      <c r="L646" s="57"/>
      <c r="M646" s="57"/>
    </row>
    <row r="647" spans="2:13" ht="12" x14ac:dyDescent="0.2">
      <c r="B647" s="56"/>
      <c r="C647" s="58"/>
      <c r="D647" s="58"/>
      <c r="E647" s="58"/>
      <c r="F647" s="58"/>
      <c r="I647" s="56"/>
      <c r="J647" s="58"/>
      <c r="K647" s="58"/>
      <c r="L647" s="58"/>
      <c r="M647" s="58"/>
    </row>
    <row r="648" spans="2:13" ht="12" x14ac:dyDescent="0.2">
      <c r="B648" s="55"/>
      <c r="C648" s="57"/>
      <c r="D648" s="57"/>
      <c r="E648" s="57"/>
      <c r="F648" s="57"/>
      <c r="I648" s="55"/>
      <c r="J648" s="57"/>
      <c r="K648" s="57"/>
      <c r="L648" s="57"/>
      <c r="M648" s="57"/>
    </row>
    <row r="649" spans="2:13" ht="12" x14ac:dyDescent="0.2">
      <c r="B649" s="56"/>
      <c r="C649" s="58"/>
      <c r="D649" s="58"/>
      <c r="E649" s="58"/>
      <c r="F649" s="58"/>
      <c r="I649" s="56"/>
      <c r="J649" s="58"/>
      <c r="K649" s="58"/>
      <c r="L649" s="58"/>
      <c r="M649" s="58"/>
    </row>
    <row r="650" spans="2:13" ht="12" x14ac:dyDescent="0.2">
      <c r="B650" s="55"/>
      <c r="C650" s="57"/>
      <c r="D650" s="57"/>
      <c r="E650" s="57"/>
      <c r="F650" s="57"/>
      <c r="I650" s="55"/>
      <c r="J650" s="57"/>
      <c r="K650" s="57"/>
      <c r="L650" s="57"/>
      <c r="M650" s="57"/>
    </row>
    <row r="651" spans="2:13" ht="12" x14ac:dyDescent="0.2">
      <c r="B651" s="56"/>
      <c r="C651" s="58"/>
      <c r="D651" s="58"/>
      <c r="E651" s="58"/>
      <c r="F651" s="58"/>
      <c r="I651" s="56"/>
      <c r="J651" s="58"/>
      <c r="K651" s="58"/>
      <c r="L651" s="58"/>
      <c r="M651" s="58"/>
    </row>
    <row r="652" spans="2:13" ht="12" x14ac:dyDescent="0.2">
      <c r="B652" s="55"/>
      <c r="C652" s="57"/>
      <c r="D652" s="57"/>
      <c r="E652" s="57"/>
      <c r="F652" s="57"/>
      <c r="I652" s="55"/>
      <c r="J652" s="57"/>
      <c r="K652" s="57"/>
      <c r="L652" s="57"/>
      <c r="M652" s="57"/>
    </row>
    <row r="653" spans="2:13" ht="12" x14ac:dyDescent="0.2">
      <c r="B653" s="56"/>
      <c r="C653" s="58"/>
      <c r="D653" s="58"/>
      <c r="E653" s="58"/>
      <c r="F653" s="58"/>
      <c r="I653" s="56"/>
      <c r="J653" s="58"/>
      <c r="K653" s="58"/>
      <c r="L653" s="58"/>
      <c r="M653" s="58"/>
    </row>
    <row r="654" spans="2:13" ht="12" x14ac:dyDescent="0.2">
      <c r="B654" s="55"/>
      <c r="C654" s="57"/>
      <c r="D654" s="57"/>
      <c r="E654" s="57"/>
      <c r="F654" s="57"/>
      <c r="I654" s="55"/>
      <c r="J654" s="57"/>
      <c r="K654" s="57"/>
      <c r="L654" s="57"/>
      <c r="M654" s="57"/>
    </row>
    <row r="655" spans="2:13" ht="12" x14ac:dyDescent="0.2">
      <c r="B655" s="56"/>
      <c r="C655" s="58"/>
      <c r="D655" s="58"/>
      <c r="E655" s="58"/>
      <c r="F655" s="58"/>
      <c r="I655" s="56"/>
      <c r="J655" s="58"/>
      <c r="K655" s="58"/>
      <c r="L655" s="58"/>
      <c r="M655" s="58"/>
    </row>
    <row r="656" spans="2:13" ht="12" x14ac:dyDescent="0.2">
      <c r="B656" s="55"/>
      <c r="C656" s="57"/>
      <c r="D656" s="57"/>
      <c r="E656" s="57"/>
      <c r="F656" s="57"/>
      <c r="I656" s="55"/>
      <c r="J656" s="57"/>
      <c r="K656" s="57"/>
      <c r="L656" s="57"/>
      <c r="M656" s="57"/>
    </row>
    <row r="657" spans="2:13" ht="12" x14ac:dyDescent="0.2">
      <c r="B657" s="56"/>
      <c r="C657" s="58"/>
      <c r="D657" s="58"/>
      <c r="E657" s="58"/>
      <c r="F657" s="58"/>
      <c r="I657" s="56"/>
      <c r="J657" s="58"/>
      <c r="K657" s="58"/>
      <c r="L657" s="58"/>
      <c r="M657" s="58"/>
    </row>
    <row r="658" spans="2:13" ht="12" x14ac:dyDescent="0.2">
      <c r="B658" s="55"/>
      <c r="C658" s="57"/>
      <c r="D658" s="57"/>
      <c r="E658" s="57"/>
      <c r="F658" s="57"/>
      <c r="I658" s="55"/>
      <c r="J658" s="57"/>
      <c r="K658" s="57"/>
      <c r="L658" s="57"/>
      <c r="M658" s="57"/>
    </row>
    <row r="659" spans="2:13" ht="12" x14ac:dyDescent="0.2">
      <c r="B659" s="56"/>
      <c r="C659" s="58"/>
      <c r="D659" s="58"/>
      <c r="E659" s="58"/>
      <c r="F659" s="58"/>
      <c r="I659" s="56"/>
      <c r="J659" s="58"/>
      <c r="K659" s="58"/>
      <c r="L659" s="58"/>
      <c r="M659" s="58"/>
    </row>
    <row r="660" spans="2:13" ht="12" x14ac:dyDescent="0.2">
      <c r="B660" s="55"/>
      <c r="C660" s="57"/>
      <c r="D660" s="57"/>
      <c r="E660" s="57"/>
      <c r="F660" s="57"/>
      <c r="I660" s="55"/>
      <c r="J660" s="57"/>
      <c r="K660" s="57"/>
      <c r="L660" s="57"/>
      <c r="M660" s="57"/>
    </row>
    <row r="661" spans="2:13" ht="12" x14ac:dyDescent="0.2">
      <c r="B661" s="56"/>
      <c r="C661" s="58"/>
      <c r="D661" s="58"/>
      <c r="E661" s="58"/>
      <c r="F661" s="58"/>
      <c r="I661" s="56"/>
      <c r="J661" s="58"/>
      <c r="K661" s="58"/>
      <c r="L661" s="58"/>
      <c r="M661" s="58"/>
    </row>
    <row r="662" spans="2:13" ht="12" x14ac:dyDescent="0.2">
      <c r="B662" s="55"/>
      <c r="C662" s="57"/>
      <c r="D662" s="57"/>
      <c r="E662" s="57"/>
      <c r="F662" s="57"/>
      <c r="I662" s="55"/>
      <c r="J662" s="57"/>
      <c r="K662" s="57"/>
      <c r="L662" s="57"/>
      <c r="M662" s="57"/>
    </row>
    <row r="663" spans="2:13" ht="12" x14ac:dyDescent="0.2">
      <c r="B663" s="56"/>
      <c r="C663" s="58"/>
      <c r="D663" s="58"/>
      <c r="E663" s="58"/>
      <c r="F663" s="58"/>
      <c r="I663" s="56"/>
      <c r="J663" s="58"/>
      <c r="K663" s="58"/>
      <c r="L663" s="58"/>
      <c r="M663" s="58"/>
    </row>
    <row r="664" spans="2:13" ht="12" x14ac:dyDescent="0.2">
      <c r="B664" s="55"/>
      <c r="C664" s="57"/>
      <c r="D664" s="57"/>
      <c r="E664" s="57"/>
      <c r="F664" s="57"/>
      <c r="I664" s="55"/>
      <c r="J664" s="57"/>
      <c r="K664" s="57"/>
      <c r="L664" s="57"/>
      <c r="M664" s="57"/>
    </row>
    <row r="665" spans="2:13" ht="12" x14ac:dyDescent="0.2">
      <c r="B665" s="56"/>
      <c r="C665" s="58"/>
      <c r="D665" s="58"/>
      <c r="E665" s="58"/>
      <c r="F665" s="58"/>
      <c r="I665" s="56"/>
      <c r="J665" s="58"/>
      <c r="K665" s="58"/>
      <c r="L665" s="58"/>
      <c r="M665" s="58"/>
    </row>
    <row r="666" spans="2:13" ht="12" x14ac:dyDescent="0.2">
      <c r="B666" s="55"/>
      <c r="C666" s="57"/>
      <c r="D666" s="57"/>
      <c r="E666" s="57"/>
      <c r="F666" s="57"/>
      <c r="I666" s="55"/>
      <c r="J666" s="57"/>
      <c r="K666" s="57"/>
      <c r="L666" s="57"/>
      <c r="M666" s="57"/>
    </row>
    <row r="667" spans="2:13" ht="12" x14ac:dyDescent="0.2">
      <c r="B667" s="56"/>
      <c r="C667" s="58"/>
      <c r="D667" s="58"/>
      <c r="E667" s="58"/>
      <c r="F667" s="58"/>
      <c r="I667" s="56"/>
      <c r="J667" s="58"/>
      <c r="K667" s="58"/>
      <c r="L667" s="58"/>
      <c r="M667" s="58"/>
    </row>
    <row r="668" spans="2:13" ht="12" x14ac:dyDescent="0.2">
      <c r="B668" s="55"/>
      <c r="C668" s="57"/>
      <c r="D668" s="57"/>
      <c r="E668" s="57"/>
      <c r="F668" s="57"/>
      <c r="I668" s="55"/>
      <c r="J668" s="57"/>
      <c r="K668" s="57"/>
      <c r="L668" s="57"/>
      <c r="M668" s="57"/>
    </row>
    <row r="669" spans="2:13" ht="12" x14ac:dyDescent="0.2">
      <c r="B669" s="56"/>
      <c r="C669" s="58"/>
      <c r="D669" s="58"/>
      <c r="E669" s="58"/>
      <c r="F669" s="58"/>
      <c r="I669" s="56"/>
      <c r="J669" s="58"/>
      <c r="K669" s="58"/>
      <c r="L669" s="58"/>
      <c r="M669" s="58"/>
    </row>
    <row r="670" spans="2:13" ht="12" x14ac:dyDescent="0.2">
      <c r="B670" s="55"/>
      <c r="C670" s="57"/>
      <c r="D670" s="57"/>
      <c r="E670" s="57"/>
      <c r="F670" s="57"/>
      <c r="I670" s="55"/>
      <c r="J670" s="57"/>
      <c r="K670" s="57"/>
      <c r="L670" s="57"/>
      <c r="M670" s="57"/>
    </row>
    <row r="671" spans="2:13" ht="12" x14ac:dyDescent="0.2">
      <c r="B671" s="56"/>
      <c r="C671" s="58"/>
      <c r="D671" s="58"/>
      <c r="E671" s="58"/>
      <c r="F671" s="58"/>
      <c r="I671" s="56"/>
      <c r="J671" s="58"/>
      <c r="K671" s="58"/>
      <c r="L671" s="58"/>
      <c r="M671" s="58"/>
    </row>
    <row r="672" spans="2:13" ht="12" x14ac:dyDescent="0.2">
      <c r="B672" s="55"/>
      <c r="C672" s="57"/>
      <c r="D672" s="57"/>
      <c r="E672" s="57"/>
      <c r="F672" s="57"/>
      <c r="I672" s="55"/>
      <c r="J672" s="57"/>
      <c r="K672" s="57"/>
      <c r="L672" s="57"/>
      <c r="M672" s="57"/>
    </row>
    <row r="673" spans="2:13" ht="12" x14ac:dyDescent="0.2">
      <c r="B673" s="56"/>
      <c r="C673" s="58"/>
      <c r="D673" s="58"/>
      <c r="E673" s="58"/>
      <c r="F673" s="58"/>
      <c r="I673" s="56"/>
      <c r="J673" s="58"/>
      <c r="K673" s="58"/>
      <c r="L673" s="58"/>
      <c r="M673" s="58"/>
    </row>
    <row r="674" spans="2:13" ht="12" x14ac:dyDescent="0.2">
      <c r="B674" s="55"/>
      <c r="C674" s="57"/>
      <c r="D674" s="57"/>
      <c r="E674" s="57"/>
      <c r="F674" s="57"/>
      <c r="I674" s="55"/>
      <c r="J674" s="57"/>
      <c r="K674" s="57"/>
      <c r="L674" s="57"/>
      <c r="M674" s="57"/>
    </row>
    <row r="675" spans="2:13" ht="12" x14ac:dyDescent="0.2">
      <c r="B675" s="56"/>
      <c r="C675" s="58"/>
      <c r="D675" s="58"/>
      <c r="E675" s="58"/>
      <c r="F675" s="58"/>
      <c r="I675" s="56"/>
      <c r="J675" s="58"/>
      <c r="K675" s="58"/>
      <c r="L675" s="58"/>
      <c r="M675" s="58"/>
    </row>
    <row r="676" spans="2:13" ht="12" x14ac:dyDescent="0.2">
      <c r="B676" s="55"/>
      <c r="C676" s="57"/>
      <c r="D676" s="57"/>
      <c r="E676" s="57"/>
      <c r="F676" s="57"/>
      <c r="I676" s="55"/>
      <c r="J676" s="57"/>
      <c r="K676" s="57"/>
      <c r="L676" s="57"/>
      <c r="M676" s="57"/>
    </row>
    <row r="677" spans="2:13" ht="12" x14ac:dyDescent="0.2">
      <c r="B677" s="56"/>
      <c r="C677" s="58"/>
      <c r="D677" s="58"/>
      <c r="E677" s="58"/>
      <c r="F677" s="58"/>
      <c r="I677" s="56"/>
      <c r="J677" s="58"/>
      <c r="K677" s="58"/>
      <c r="L677" s="58"/>
      <c r="M677" s="58"/>
    </row>
    <row r="678" spans="2:13" ht="12" x14ac:dyDescent="0.2">
      <c r="B678" s="55"/>
      <c r="C678" s="57"/>
      <c r="D678" s="57"/>
      <c r="E678" s="57"/>
      <c r="F678" s="57"/>
      <c r="I678" s="55"/>
      <c r="J678" s="57"/>
      <c r="K678" s="57"/>
      <c r="L678" s="57"/>
      <c r="M678" s="57"/>
    </row>
    <row r="679" spans="2:13" ht="12" x14ac:dyDescent="0.2">
      <c r="B679" s="56"/>
      <c r="C679" s="58"/>
      <c r="D679" s="58"/>
      <c r="E679" s="58"/>
      <c r="F679" s="58"/>
      <c r="I679" s="56"/>
      <c r="J679" s="58"/>
      <c r="K679" s="58"/>
      <c r="L679" s="58"/>
      <c r="M679" s="58"/>
    </row>
    <row r="680" spans="2:13" ht="12" x14ac:dyDescent="0.2">
      <c r="B680" s="55"/>
      <c r="C680" s="57"/>
      <c r="D680" s="57"/>
      <c r="E680" s="57"/>
      <c r="F680" s="57"/>
      <c r="I680" s="55"/>
      <c r="J680" s="57"/>
      <c r="K680" s="57"/>
      <c r="L680" s="57"/>
      <c r="M680" s="57"/>
    </row>
    <row r="681" spans="2:13" ht="12" x14ac:dyDescent="0.2">
      <c r="B681" s="56"/>
      <c r="C681" s="58"/>
      <c r="D681" s="58"/>
      <c r="E681" s="58"/>
      <c r="F681" s="58"/>
      <c r="I681" s="56"/>
      <c r="J681" s="58"/>
      <c r="K681" s="58"/>
      <c r="L681" s="58"/>
      <c r="M681" s="58"/>
    </row>
    <row r="682" spans="2:13" ht="12" x14ac:dyDescent="0.2">
      <c r="B682" s="55"/>
      <c r="C682" s="57"/>
      <c r="D682" s="57"/>
      <c r="E682" s="57"/>
      <c r="F682" s="57"/>
      <c r="I682" s="55"/>
      <c r="J682" s="57"/>
      <c r="K682" s="57"/>
      <c r="L682" s="57"/>
      <c r="M682" s="57"/>
    </row>
    <row r="683" spans="2:13" ht="12" x14ac:dyDescent="0.2">
      <c r="B683" s="56"/>
      <c r="C683" s="58"/>
      <c r="D683" s="58"/>
      <c r="E683" s="58"/>
      <c r="F683" s="58"/>
      <c r="I683" s="56"/>
      <c r="J683" s="58"/>
      <c r="K683" s="58"/>
      <c r="L683" s="58"/>
      <c r="M683" s="58"/>
    </row>
    <row r="684" spans="2:13" ht="12" x14ac:dyDescent="0.2">
      <c r="B684" s="55"/>
      <c r="C684" s="57"/>
      <c r="D684" s="57"/>
      <c r="E684" s="57"/>
      <c r="F684" s="57"/>
      <c r="I684" s="55"/>
      <c r="J684" s="57"/>
      <c r="K684" s="57"/>
      <c r="L684" s="57"/>
      <c r="M684" s="57"/>
    </row>
    <row r="685" spans="2:13" ht="12" x14ac:dyDescent="0.2">
      <c r="B685" s="56"/>
      <c r="C685" s="58"/>
      <c r="D685" s="58"/>
      <c r="E685" s="58"/>
      <c r="F685" s="58"/>
      <c r="I685" s="56"/>
      <c r="J685" s="58"/>
      <c r="K685" s="58"/>
      <c r="L685" s="58"/>
      <c r="M685" s="58"/>
    </row>
    <row r="686" spans="2:13" ht="12" x14ac:dyDescent="0.2">
      <c r="B686" s="55"/>
      <c r="C686" s="57"/>
      <c r="D686" s="57"/>
      <c r="E686" s="57"/>
      <c r="F686" s="57"/>
      <c r="I686" s="55"/>
      <c r="J686" s="57"/>
      <c r="K686" s="57"/>
      <c r="L686" s="57"/>
      <c r="M686" s="57"/>
    </row>
    <row r="687" spans="2:13" ht="12" x14ac:dyDescent="0.2">
      <c r="B687" s="56"/>
      <c r="C687" s="58"/>
      <c r="D687" s="58"/>
      <c r="E687" s="58"/>
      <c r="F687" s="58"/>
      <c r="I687" s="56"/>
      <c r="J687" s="58"/>
      <c r="K687" s="58"/>
      <c r="L687" s="58"/>
      <c r="M687" s="58"/>
    </row>
    <row r="688" spans="2:13" ht="12" x14ac:dyDescent="0.2">
      <c r="B688" s="55"/>
      <c r="C688" s="57"/>
      <c r="D688" s="57"/>
      <c r="E688" s="57"/>
      <c r="F688" s="57"/>
      <c r="I688" s="55"/>
      <c r="J688" s="57"/>
      <c r="K688" s="57"/>
      <c r="L688" s="57"/>
      <c r="M688" s="57"/>
    </row>
    <row r="689" spans="2:13" ht="12" x14ac:dyDescent="0.2">
      <c r="B689" s="56"/>
      <c r="C689" s="58"/>
      <c r="D689" s="58"/>
      <c r="E689" s="58"/>
      <c r="F689" s="58"/>
      <c r="I689" s="56"/>
      <c r="J689" s="58"/>
      <c r="K689" s="58"/>
      <c r="L689" s="58"/>
      <c r="M689" s="58"/>
    </row>
    <row r="690" spans="2:13" ht="12" x14ac:dyDescent="0.2">
      <c r="B690" s="55"/>
      <c r="C690" s="57"/>
      <c r="D690" s="57"/>
      <c r="E690" s="57"/>
      <c r="F690" s="57"/>
      <c r="I690" s="55"/>
      <c r="J690" s="57"/>
      <c r="K690" s="57"/>
      <c r="L690" s="57"/>
      <c r="M690" s="57"/>
    </row>
    <row r="691" spans="2:13" ht="12" x14ac:dyDescent="0.2">
      <c r="B691" s="56"/>
      <c r="C691" s="58"/>
      <c r="D691" s="58"/>
      <c r="E691" s="58"/>
      <c r="F691" s="58"/>
      <c r="I691" s="56"/>
      <c r="J691" s="58"/>
      <c r="K691" s="58"/>
      <c r="L691" s="58"/>
      <c r="M691" s="58"/>
    </row>
    <row r="692" spans="2:13" ht="12" x14ac:dyDescent="0.2">
      <c r="B692" s="55"/>
      <c r="C692" s="57"/>
      <c r="D692" s="57"/>
      <c r="E692" s="57"/>
      <c r="F692" s="57"/>
      <c r="I692" s="55"/>
      <c r="J692" s="57"/>
      <c r="K692" s="57"/>
      <c r="L692" s="57"/>
      <c r="M692" s="57"/>
    </row>
    <row r="693" spans="2:13" ht="12" x14ac:dyDescent="0.2">
      <c r="B693" s="56"/>
      <c r="C693" s="58"/>
      <c r="D693" s="58"/>
      <c r="E693" s="58"/>
      <c r="F693" s="58"/>
      <c r="I693" s="56"/>
      <c r="J693" s="58"/>
      <c r="K693" s="58"/>
      <c r="L693" s="58"/>
      <c r="M693" s="58"/>
    </row>
    <row r="694" spans="2:13" ht="12" x14ac:dyDescent="0.2">
      <c r="B694" s="55"/>
      <c r="C694" s="57"/>
      <c r="D694" s="57"/>
      <c r="E694" s="57"/>
      <c r="F694" s="57"/>
      <c r="I694" s="55"/>
      <c r="J694" s="57"/>
      <c r="K694" s="57"/>
      <c r="L694" s="57"/>
      <c r="M694" s="57"/>
    </row>
    <row r="695" spans="2:13" ht="12" x14ac:dyDescent="0.2">
      <c r="B695" s="56"/>
      <c r="C695" s="58"/>
      <c r="D695" s="58"/>
      <c r="E695" s="58"/>
      <c r="F695" s="58"/>
      <c r="I695" s="56"/>
      <c r="J695" s="58"/>
      <c r="K695" s="58"/>
      <c r="L695" s="58"/>
      <c r="M695" s="58"/>
    </row>
    <row r="696" spans="2:13" ht="12" x14ac:dyDescent="0.2">
      <c r="B696" s="55"/>
      <c r="C696" s="57"/>
      <c r="D696" s="57"/>
      <c r="E696" s="57"/>
      <c r="F696" s="57"/>
      <c r="I696" s="55"/>
      <c r="J696" s="57"/>
      <c r="K696" s="57"/>
      <c r="L696" s="57"/>
      <c r="M696" s="57"/>
    </row>
    <row r="697" spans="2:13" ht="12" x14ac:dyDescent="0.2">
      <c r="B697" s="56"/>
      <c r="C697" s="58"/>
      <c r="D697" s="58"/>
      <c r="E697" s="58"/>
      <c r="F697" s="58"/>
      <c r="I697" s="56"/>
      <c r="J697" s="58"/>
      <c r="K697" s="58"/>
      <c r="L697" s="58"/>
      <c r="M697" s="58"/>
    </row>
    <row r="698" spans="2:13" ht="12" x14ac:dyDescent="0.2">
      <c r="B698" s="55"/>
      <c r="C698" s="57"/>
      <c r="D698" s="57"/>
      <c r="E698" s="57"/>
      <c r="F698" s="57"/>
      <c r="I698" s="55"/>
      <c r="J698" s="57"/>
      <c r="K698" s="57"/>
      <c r="L698" s="57"/>
      <c r="M698" s="57"/>
    </row>
    <row r="699" spans="2:13" ht="12" x14ac:dyDescent="0.2">
      <c r="B699" s="56"/>
      <c r="C699" s="58"/>
      <c r="D699" s="58"/>
      <c r="E699" s="58"/>
      <c r="F699" s="58"/>
      <c r="I699" s="56"/>
      <c r="J699" s="58"/>
      <c r="K699" s="58"/>
      <c r="L699" s="58"/>
      <c r="M699" s="58"/>
    </row>
    <row r="700" spans="2:13" ht="12" x14ac:dyDescent="0.2">
      <c r="B700" s="55"/>
      <c r="C700" s="57"/>
      <c r="D700" s="57"/>
      <c r="E700" s="57"/>
      <c r="F700" s="57"/>
      <c r="I700" s="55"/>
      <c r="J700" s="57"/>
      <c r="K700" s="57"/>
      <c r="L700" s="57"/>
      <c r="M700" s="57"/>
    </row>
    <row r="701" spans="2:13" ht="12" x14ac:dyDescent="0.2">
      <c r="B701" s="56"/>
      <c r="C701" s="58"/>
      <c r="D701" s="58"/>
      <c r="E701" s="58"/>
      <c r="F701" s="58"/>
      <c r="I701" s="56"/>
      <c r="J701" s="58"/>
      <c r="K701" s="58"/>
      <c r="L701" s="58"/>
      <c r="M701" s="58"/>
    </row>
    <row r="702" spans="2:13" ht="12" x14ac:dyDescent="0.2">
      <c r="B702" s="55"/>
      <c r="C702" s="57"/>
      <c r="D702" s="57"/>
      <c r="E702" s="57"/>
      <c r="F702" s="57"/>
      <c r="I702" s="55"/>
      <c r="J702" s="57"/>
      <c r="K702" s="57"/>
      <c r="L702" s="57"/>
      <c r="M702" s="57"/>
    </row>
    <row r="703" spans="2:13" ht="12" x14ac:dyDescent="0.2">
      <c r="B703" s="56"/>
      <c r="C703" s="58"/>
      <c r="D703" s="58"/>
      <c r="E703" s="58"/>
      <c r="F703" s="58"/>
      <c r="I703" s="56"/>
      <c r="J703" s="58"/>
      <c r="K703" s="58"/>
      <c r="L703" s="58"/>
      <c r="M703" s="58"/>
    </row>
    <row r="704" spans="2:13" ht="12" x14ac:dyDescent="0.2">
      <c r="B704" s="55"/>
      <c r="C704" s="57"/>
      <c r="D704" s="57"/>
      <c r="E704" s="57"/>
      <c r="F704" s="57"/>
      <c r="I704" s="55"/>
      <c r="J704" s="57"/>
      <c r="K704" s="57"/>
      <c r="L704" s="57"/>
      <c r="M704" s="57"/>
    </row>
    <row r="705" spans="2:13" ht="12" x14ac:dyDescent="0.2">
      <c r="B705" s="56"/>
      <c r="C705" s="58"/>
      <c r="D705" s="58"/>
      <c r="E705" s="58"/>
      <c r="F705" s="58"/>
      <c r="I705" s="56"/>
      <c r="J705" s="58"/>
      <c r="K705" s="58"/>
      <c r="L705" s="58"/>
      <c r="M705" s="58"/>
    </row>
    <row r="706" spans="2:13" ht="12" x14ac:dyDescent="0.2">
      <c r="B706" s="55"/>
      <c r="C706" s="57"/>
      <c r="D706" s="57"/>
      <c r="E706" s="57"/>
      <c r="F706" s="57"/>
      <c r="I706" s="55"/>
      <c r="J706" s="57"/>
      <c r="K706" s="57"/>
      <c r="L706" s="57"/>
      <c r="M706" s="57"/>
    </row>
    <row r="707" spans="2:13" ht="12" x14ac:dyDescent="0.2">
      <c r="B707" s="56"/>
      <c r="C707" s="58"/>
      <c r="D707" s="58"/>
      <c r="E707" s="58"/>
      <c r="F707" s="58"/>
      <c r="I707" s="56"/>
      <c r="J707" s="58"/>
      <c r="K707" s="58"/>
      <c r="L707" s="58"/>
      <c r="M707" s="58"/>
    </row>
    <row r="708" spans="2:13" ht="12" x14ac:dyDescent="0.2">
      <c r="B708" s="55"/>
      <c r="C708" s="57"/>
      <c r="D708" s="57"/>
      <c r="E708" s="57"/>
      <c r="F708" s="57"/>
      <c r="I708" s="55"/>
      <c r="J708" s="57"/>
      <c r="K708" s="57"/>
      <c r="L708" s="57"/>
      <c r="M708" s="57"/>
    </row>
    <row r="709" spans="2:13" ht="12" x14ac:dyDescent="0.2">
      <c r="B709" s="56"/>
      <c r="C709" s="58"/>
      <c r="D709" s="58"/>
      <c r="E709" s="58"/>
      <c r="F709" s="58"/>
      <c r="I709" s="56"/>
      <c r="J709" s="58"/>
      <c r="K709" s="58"/>
      <c r="L709" s="58"/>
      <c r="M709" s="58"/>
    </row>
    <row r="710" spans="2:13" ht="12" x14ac:dyDescent="0.2">
      <c r="B710" s="55"/>
      <c r="C710" s="57"/>
      <c r="D710" s="57"/>
      <c r="E710" s="57"/>
      <c r="F710" s="57"/>
      <c r="I710" s="55"/>
      <c r="J710" s="57"/>
      <c r="K710" s="57"/>
      <c r="L710" s="57"/>
      <c r="M710" s="57"/>
    </row>
    <row r="711" spans="2:13" ht="12" x14ac:dyDescent="0.2">
      <c r="B711" s="56"/>
      <c r="C711" s="58"/>
      <c r="D711" s="58"/>
      <c r="E711" s="58"/>
      <c r="F711" s="58"/>
      <c r="I711" s="56"/>
      <c r="J711" s="58"/>
      <c r="K711" s="58"/>
      <c r="L711" s="58"/>
      <c r="M711" s="58"/>
    </row>
    <row r="712" spans="2:13" ht="12" x14ac:dyDescent="0.2">
      <c r="B712" s="55"/>
      <c r="C712" s="57"/>
      <c r="D712" s="57"/>
      <c r="E712" s="57"/>
      <c r="F712" s="57"/>
      <c r="I712" s="55"/>
      <c r="J712" s="57"/>
      <c r="K712" s="57"/>
      <c r="L712" s="57"/>
      <c r="M712" s="57"/>
    </row>
    <row r="713" spans="2:13" ht="12" x14ac:dyDescent="0.2">
      <c r="B713" s="56"/>
      <c r="C713" s="58"/>
      <c r="D713" s="58"/>
      <c r="E713" s="58"/>
      <c r="F713" s="58"/>
      <c r="I713" s="56"/>
      <c r="J713" s="58"/>
      <c r="K713" s="58"/>
      <c r="L713" s="58"/>
      <c r="M713" s="58"/>
    </row>
    <row r="714" spans="2:13" ht="12" x14ac:dyDescent="0.2">
      <c r="B714" s="55"/>
      <c r="C714" s="57"/>
      <c r="D714" s="57"/>
      <c r="E714" s="57"/>
      <c r="F714" s="57"/>
      <c r="I714" s="55"/>
      <c r="J714" s="57"/>
      <c r="K714" s="57"/>
      <c r="L714" s="57"/>
      <c r="M714" s="57"/>
    </row>
    <row r="715" spans="2:13" ht="12" x14ac:dyDescent="0.2">
      <c r="B715" s="56"/>
      <c r="C715" s="58"/>
      <c r="D715" s="58"/>
      <c r="E715" s="58"/>
      <c r="F715" s="58"/>
      <c r="I715" s="56"/>
      <c r="J715" s="58"/>
      <c r="K715" s="58"/>
      <c r="L715" s="58"/>
      <c r="M715" s="58"/>
    </row>
    <row r="716" spans="2:13" ht="12" x14ac:dyDescent="0.2">
      <c r="B716" s="55"/>
      <c r="C716" s="57"/>
      <c r="D716" s="57"/>
      <c r="E716" s="57"/>
      <c r="F716" s="57"/>
      <c r="I716" s="55"/>
      <c r="J716" s="57"/>
      <c r="K716" s="57"/>
      <c r="L716" s="57"/>
      <c r="M716" s="57"/>
    </row>
    <row r="717" spans="2:13" ht="12" x14ac:dyDescent="0.2">
      <c r="B717" s="56"/>
      <c r="C717" s="58"/>
      <c r="D717" s="58"/>
      <c r="E717" s="58"/>
      <c r="F717" s="58"/>
      <c r="I717" s="56"/>
      <c r="J717" s="58"/>
      <c r="K717" s="58"/>
      <c r="L717" s="58"/>
      <c r="M717" s="58"/>
    </row>
    <row r="718" spans="2:13" ht="12" x14ac:dyDescent="0.2">
      <c r="B718" s="55"/>
      <c r="C718" s="57"/>
      <c r="D718" s="57"/>
      <c r="E718" s="57"/>
      <c r="F718" s="57"/>
      <c r="I718" s="55"/>
      <c r="J718" s="57"/>
      <c r="K718" s="57"/>
      <c r="L718" s="57"/>
      <c r="M718" s="57"/>
    </row>
    <row r="719" spans="2:13" ht="12" x14ac:dyDescent="0.2">
      <c r="B719" s="56"/>
      <c r="C719" s="58"/>
      <c r="D719" s="58"/>
      <c r="E719" s="58"/>
      <c r="F719" s="58"/>
      <c r="I719" s="56"/>
      <c r="J719" s="58"/>
      <c r="K719" s="58"/>
      <c r="L719" s="58"/>
      <c r="M719" s="58"/>
    </row>
    <row r="720" spans="2:13" ht="12" x14ac:dyDescent="0.2">
      <c r="B720" s="55"/>
      <c r="C720" s="57"/>
      <c r="D720" s="57"/>
      <c r="E720" s="57"/>
      <c r="F720" s="57"/>
      <c r="I720" s="55"/>
      <c r="J720" s="57"/>
      <c r="K720" s="57"/>
      <c r="L720" s="57"/>
      <c r="M720" s="57"/>
    </row>
    <row r="721" spans="2:13" ht="12" x14ac:dyDescent="0.2">
      <c r="B721" s="56"/>
      <c r="C721" s="58"/>
      <c r="D721" s="58"/>
      <c r="E721" s="58"/>
      <c r="F721" s="58"/>
      <c r="I721" s="56"/>
      <c r="J721" s="58"/>
      <c r="K721" s="58"/>
      <c r="L721" s="58"/>
      <c r="M721" s="58"/>
    </row>
    <row r="722" spans="2:13" ht="12" x14ac:dyDescent="0.2">
      <c r="B722" s="55"/>
      <c r="C722" s="57"/>
      <c r="D722" s="57"/>
      <c r="E722" s="57"/>
      <c r="F722" s="57"/>
      <c r="I722" s="55"/>
      <c r="J722" s="57"/>
      <c r="K722" s="57"/>
      <c r="L722" s="57"/>
      <c r="M722" s="57"/>
    </row>
    <row r="723" spans="2:13" ht="12" x14ac:dyDescent="0.2">
      <c r="B723" s="56"/>
      <c r="C723" s="58"/>
      <c r="D723" s="58"/>
      <c r="E723" s="58"/>
      <c r="F723" s="58"/>
      <c r="I723" s="56"/>
      <c r="J723" s="58"/>
      <c r="K723" s="58"/>
      <c r="L723" s="58"/>
      <c r="M723" s="58"/>
    </row>
    <row r="724" spans="2:13" ht="12" x14ac:dyDescent="0.2">
      <c r="B724" s="55"/>
      <c r="C724" s="57"/>
      <c r="D724" s="57"/>
      <c r="E724" s="57"/>
      <c r="F724" s="57"/>
      <c r="I724" s="55"/>
      <c r="J724" s="57"/>
      <c r="K724" s="57"/>
      <c r="L724" s="57"/>
      <c r="M724" s="57"/>
    </row>
    <row r="725" spans="2:13" ht="12" x14ac:dyDescent="0.2">
      <c r="B725" s="56"/>
      <c r="C725" s="58"/>
      <c r="D725" s="58"/>
      <c r="E725" s="58"/>
      <c r="F725" s="58"/>
      <c r="I725" s="56"/>
      <c r="J725" s="58"/>
      <c r="K725" s="58"/>
      <c r="L725" s="58"/>
      <c r="M725" s="58"/>
    </row>
    <row r="726" spans="2:13" ht="12" x14ac:dyDescent="0.2">
      <c r="B726" s="55"/>
      <c r="C726" s="57"/>
      <c r="D726" s="57"/>
      <c r="E726" s="57"/>
      <c r="F726" s="57"/>
      <c r="I726" s="55"/>
      <c r="J726" s="57"/>
      <c r="K726" s="57"/>
      <c r="L726" s="57"/>
      <c r="M726" s="57"/>
    </row>
    <row r="727" spans="2:13" ht="12" x14ac:dyDescent="0.2">
      <c r="B727" s="56"/>
      <c r="C727" s="58"/>
      <c r="D727" s="58"/>
      <c r="E727" s="58"/>
      <c r="F727" s="58"/>
      <c r="I727" s="56"/>
      <c r="J727" s="58"/>
      <c r="K727" s="58"/>
      <c r="L727" s="58"/>
      <c r="M727" s="58"/>
    </row>
    <row r="728" spans="2:13" ht="12" x14ac:dyDescent="0.2">
      <c r="B728" s="55"/>
      <c r="C728" s="57"/>
      <c r="D728" s="57"/>
      <c r="E728" s="57"/>
      <c r="F728" s="57"/>
      <c r="I728" s="55"/>
      <c r="J728" s="57"/>
      <c r="K728" s="57"/>
      <c r="L728" s="57"/>
      <c r="M728" s="57"/>
    </row>
    <row r="729" spans="2:13" ht="12" x14ac:dyDescent="0.2">
      <c r="B729" s="56"/>
      <c r="C729" s="58"/>
      <c r="D729" s="58"/>
      <c r="E729" s="58"/>
      <c r="F729" s="58"/>
      <c r="I729" s="56"/>
      <c r="J729" s="58"/>
      <c r="K729" s="58"/>
      <c r="L729" s="58"/>
      <c r="M729" s="58"/>
    </row>
    <row r="730" spans="2:13" ht="12" x14ac:dyDescent="0.2">
      <c r="B730" s="55"/>
      <c r="C730" s="57"/>
      <c r="D730" s="57"/>
      <c r="E730" s="57"/>
      <c r="F730" s="57"/>
      <c r="I730" s="55"/>
      <c r="J730" s="57"/>
      <c r="K730" s="57"/>
      <c r="L730" s="57"/>
      <c r="M730" s="57"/>
    </row>
    <row r="731" spans="2:13" ht="12" x14ac:dyDescent="0.2">
      <c r="B731" s="56"/>
      <c r="C731" s="58"/>
      <c r="D731" s="58"/>
      <c r="E731" s="58"/>
      <c r="F731" s="58"/>
      <c r="I731" s="56"/>
      <c r="J731" s="58"/>
      <c r="K731" s="58"/>
      <c r="L731" s="58"/>
      <c r="M731" s="58"/>
    </row>
    <row r="732" spans="2:13" ht="12" x14ac:dyDescent="0.2">
      <c r="B732" s="55"/>
      <c r="C732" s="57"/>
      <c r="D732" s="57"/>
      <c r="E732" s="57"/>
      <c r="F732" s="57"/>
      <c r="I732" s="55"/>
      <c r="J732" s="57"/>
      <c r="K732" s="57"/>
      <c r="L732" s="57"/>
      <c r="M732" s="57"/>
    </row>
    <row r="733" spans="2:13" ht="12" x14ac:dyDescent="0.2">
      <c r="B733" s="56"/>
      <c r="C733" s="58"/>
      <c r="D733" s="58"/>
      <c r="E733" s="58"/>
      <c r="F733" s="58"/>
      <c r="I733" s="56"/>
      <c r="J733" s="58"/>
      <c r="K733" s="58"/>
      <c r="L733" s="58"/>
      <c r="M733" s="58"/>
    </row>
    <row r="734" spans="2:13" ht="12" x14ac:dyDescent="0.2">
      <c r="B734" s="55"/>
      <c r="C734" s="57"/>
      <c r="D734" s="57"/>
      <c r="E734" s="57"/>
      <c r="F734" s="57"/>
      <c r="I734" s="55"/>
      <c r="J734" s="57"/>
      <c r="K734" s="57"/>
      <c r="L734" s="57"/>
      <c r="M734" s="57"/>
    </row>
    <row r="735" spans="2:13" ht="12" x14ac:dyDescent="0.2">
      <c r="B735" s="56"/>
      <c r="C735" s="58"/>
      <c r="D735" s="58"/>
      <c r="E735" s="58"/>
      <c r="F735" s="58"/>
      <c r="I735" s="56"/>
      <c r="J735" s="58"/>
      <c r="K735" s="58"/>
      <c r="L735" s="58"/>
      <c r="M735" s="58"/>
    </row>
    <row r="736" spans="2:13" ht="12" x14ac:dyDescent="0.2">
      <c r="B736" s="55"/>
      <c r="C736" s="57"/>
      <c r="D736" s="57"/>
      <c r="E736" s="57"/>
      <c r="F736" s="57"/>
      <c r="I736" s="55"/>
      <c r="J736" s="57"/>
      <c r="K736" s="57"/>
      <c r="L736" s="57"/>
      <c r="M736" s="57"/>
    </row>
    <row r="737" spans="2:13" ht="12" x14ac:dyDescent="0.2">
      <c r="B737" s="56"/>
      <c r="C737" s="58"/>
      <c r="D737" s="58"/>
      <c r="E737" s="58"/>
      <c r="F737" s="58"/>
      <c r="I737" s="56"/>
      <c r="J737" s="58"/>
      <c r="K737" s="58"/>
      <c r="L737" s="58"/>
      <c r="M737" s="58"/>
    </row>
    <row r="738" spans="2:13" ht="12" x14ac:dyDescent="0.2">
      <c r="B738" s="55"/>
      <c r="C738" s="57"/>
      <c r="D738" s="57"/>
      <c r="E738" s="57"/>
      <c r="F738" s="57"/>
      <c r="I738" s="55"/>
      <c r="J738" s="57"/>
      <c r="K738" s="57"/>
      <c r="L738" s="57"/>
      <c r="M738" s="57"/>
    </row>
    <row r="739" spans="2:13" ht="12" x14ac:dyDescent="0.2">
      <c r="B739" s="56"/>
      <c r="C739" s="58"/>
      <c r="D739" s="58"/>
      <c r="E739" s="58"/>
      <c r="F739" s="58"/>
      <c r="I739" s="56"/>
      <c r="J739" s="58"/>
      <c r="K739" s="58"/>
      <c r="L739" s="58"/>
      <c r="M739" s="58"/>
    </row>
    <row r="740" spans="2:13" ht="12" x14ac:dyDescent="0.2">
      <c r="B740" s="55"/>
      <c r="C740" s="57"/>
      <c r="D740" s="57"/>
      <c r="E740" s="57"/>
      <c r="F740" s="57"/>
      <c r="I740" s="55"/>
      <c r="J740" s="57"/>
      <c r="K740" s="57"/>
      <c r="L740" s="57"/>
      <c r="M740" s="57"/>
    </row>
    <row r="741" spans="2:13" ht="12" x14ac:dyDescent="0.2">
      <c r="B741" s="56"/>
      <c r="C741" s="58"/>
      <c r="D741" s="58"/>
      <c r="E741" s="58"/>
      <c r="F741" s="58"/>
      <c r="I741" s="56"/>
      <c r="J741" s="58"/>
      <c r="K741" s="58"/>
      <c r="L741" s="58"/>
      <c r="M741" s="58"/>
    </row>
    <row r="742" spans="2:13" ht="12" x14ac:dyDescent="0.2">
      <c r="B742" s="55"/>
      <c r="C742" s="57"/>
      <c r="D742" s="57"/>
      <c r="E742" s="57"/>
      <c r="F742" s="57"/>
      <c r="I742" s="55"/>
      <c r="J742" s="57"/>
      <c r="K742" s="57"/>
      <c r="L742" s="57"/>
      <c r="M742" s="57"/>
    </row>
    <row r="743" spans="2:13" ht="12" x14ac:dyDescent="0.2">
      <c r="B743" s="56"/>
      <c r="C743" s="58"/>
      <c r="D743" s="58"/>
      <c r="E743" s="58"/>
      <c r="F743" s="58"/>
      <c r="I743" s="56"/>
      <c r="J743" s="58"/>
      <c r="K743" s="58"/>
      <c r="L743" s="58"/>
      <c r="M743" s="58"/>
    </row>
    <row r="744" spans="2:13" ht="12" x14ac:dyDescent="0.2">
      <c r="B744" s="55"/>
      <c r="C744" s="57"/>
      <c r="D744" s="57"/>
      <c r="E744" s="57"/>
      <c r="F744" s="57"/>
      <c r="I744" s="55"/>
      <c r="J744" s="57"/>
      <c r="K744" s="57"/>
      <c r="L744" s="57"/>
      <c r="M744" s="57"/>
    </row>
    <row r="745" spans="2:13" ht="12" x14ac:dyDescent="0.2">
      <c r="B745" s="56"/>
      <c r="C745" s="58"/>
      <c r="D745" s="58"/>
      <c r="E745" s="58"/>
      <c r="F745" s="58"/>
      <c r="I745" s="56"/>
      <c r="J745" s="58"/>
      <c r="K745" s="58"/>
      <c r="L745" s="58"/>
      <c r="M745" s="58"/>
    </row>
    <row r="746" spans="2:13" ht="12" x14ac:dyDescent="0.2">
      <c r="B746" s="55"/>
      <c r="C746" s="57"/>
      <c r="D746" s="57"/>
      <c r="E746" s="57"/>
      <c r="F746" s="57"/>
      <c r="I746" s="55"/>
      <c r="J746" s="57"/>
      <c r="K746" s="57"/>
      <c r="L746" s="57"/>
      <c r="M746" s="57"/>
    </row>
    <row r="747" spans="2:13" ht="12" x14ac:dyDescent="0.2">
      <c r="B747" s="56"/>
      <c r="C747" s="58"/>
      <c r="D747" s="58"/>
      <c r="E747" s="58"/>
      <c r="F747" s="58"/>
      <c r="I747" s="56"/>
      <c r="J747" s="58"/>
      <c r="K747" s="58"/>
      <c r="L747" s="58"/>
      <c r="M747" s="58"/>
    </row>
    <row r="748" spans="2:13" ht="12" x14ac:dyDescent="0.2">
      <c r="B748" s="55"/>
      <c r="C748" s="57"/>
      <c r="D748" s="57"/>
      <c r="E748" s="57"/>
      <c r="F748" s="57"/>
      <c r="I748" s="55"/>
      <c r="J748" s="57"/>
      <c r="K748" s="57"/>
      <c r="L748" s="57"/>
      <c r="M748" s="57"/>
    </row>
    <row r="749" spans="2:13" ht="12" x14ac:dyDescent="0.2">
      <c r="B749" s="56"/>
      <c r="C749" s="58"/>
      <c r="D749" s="58"/>
      <c r="E749" s="58"/>
      <c r="F749" s="58"/>
      <c r="I749" s="56"/>
      <c r="J749" s="58"/>
      <c r="K749" s="58"/>
      <c r="L749" s="58"/>
      <c r="M749" s="58"/>
    </row>
    <row r="750" spans="2:13" ht="12" x14ac:dyDescent="0.2">
      <c r="B750" s="55"/>
      <c r="C750" s="57"/>
      <c r="D750" s="57"/>
      <c r="E750" s="57"/>
      <c r="F750" s="57"/>
      <c r="I750" s="55"/>
      <c r="J750" s="57"/>
      <c r="K750" s="57"/>
      <c r="L750" s="57"/>
      <c r="M750" s="57"/>
    </row>
    <row r="751" spans="2:13" ht="12" x14ac:dyDescent="0.2">
      <c r="B751" s="56"/>
      <c r="C751" s="58"/>
      <c r="D751" s="58"/>
      <c r="E751" s="58"/>
      <c r="F751" s="58"/>
      <c r="I751" s="56"/>
      <c r="J751" s="58"/>
      <c r="K751" s="58"/>
      <c r="L751" s="58"/>
      <c r="M751" s="58"/>
    </row>
    <row r="752" spans="2:13" ht="12" x14ac:dyDescent="0.2">
      <c r="B752" s="55"/>
      <c r="C752" s="57"/>
      <c r="D752" s="57"/>
      <c r="E752" s="57"/>
      <c r="F752" s="57"/>
      <c r="I752" s="55"/>
      <c r="J752" s="57"/>
      <c r="K752" s="57"/>
      <c r="L752" s="57"/>
      <c r="M752" s="57"/>
    </row>
    <row r="753" spans="2:13" ht="12" x14ac:dyDescent="0.2">
      <c r="B753" s="56"/>
      <c r="C753" s="58"/>
      <c r="D753" s="58"/>
      <c r="E753" s="58"/>
      <c r="F753" s="58"/>
      <c r="I753" s="56"/>
      <c r="J753" s="58"/>
      <c r="K753" s="58"/>
      <c r="L753" s="58"/>
      <c r="M753" s="58"/>
    </row>
    <row r="754" spans="2:13" ht="12" x14ac:dyDescent="0.2">
      <c r="B754" s="55"/>
      <c r="C754" s="57"/>
      <c r="D754" s="57"/>
      <c r="E754" s="57"/>
      <c r="F754" s="57"/>
      <c r="I754" s="55"/>
      <c r="J754" s="57"/>
      <c r="K754" s="57"/>
      <c r="L754" s="57"/>
      <c r="M754" s="57"/>
    </row>
    <row r="755" spans="2:13" ht="12" x14ac:dyDescent="0.2">
      <c r="B755" s="56"/>
      <c r="C755" s="58"/>
      <c r="D755" s="58"/>
      <c r="E755" s="58"/>
      <c r="F755" s="58"/>
      <c r="I755" s="56"/>
      <c r="J755" s="58"/>
      <c r="K755" s="58"/>
      <c r="L755" s="58"/>
      <c r="M755" s="58"/>
    </row>
    <row r="756" spans="2:13" ht="12" x14ac:dyDescent="0.2">
      <c r="B756" s="55"/>
      <c r="C756" s="57"/>
      <c r="D756" s="57"/>
      <c r="E756" s="57"/>
      <c r="F756" s="57"/>
      <c r="I756" s="55"/>
      <c r="J756" s="57"/>
      <c r="K756" s="57"/>
      <c r="L756" s="57"/>
      <c r="M756" s="57"/>
    </row>
    <row r="757" spans="2:13" ht="12" x14ac:dyDescent="0.2">
      <c r="B757" s="56"/>
      <c r="C757" s="58"/>
      <c r="D757" s="58"/>
      <c r="E757" s="58"/>
      <c r="F757" s="58"/>
      <c r="I757" s="56"/>
      <c r="J757" s="58"/>
      <c r="K757" s="58"/>
      <c r="L757" s="58"/>
      <c r="M757" s="58"/>
    </row>
    <row r="758" spans="2:13" ht="12" x14ac:dyDescent="0.2">
      <c r="B758" s="55"/>
      <c r="C758" s="57"/>
      <c r="D758" s="57"/>
      <c r="E758" s="57"/>
      <c r="F758" s="57"/>
      <c r="I758" s="55"/>
      <c r="J758" s="57"/>
      <c r="K758" s="57"/>
      <c r="L758" s="57"/>
      <c r="M758" s="57"/>
    </row>
    <row r="759" spans="2:13" ht="12" x14ac:dyDescent="0.2">
      <c r="B759" s="56"/>
      <c r="C759" s="58"/>
      <c r="D759" s="58"/>
      <c r="E759" s="58"/>
      <c r="F759" s="58"/>
      <c r="I759" s="56"/>
      <c r="J759" s="58"/>
      <c r="K759" s="58"/>
      <c r="L759" s="58"/>
      <c r="M759" s="58"/>
    </row>
    <row r="760" spans="2:13" ht="12" x14ac:dyDescent="0.2">
      <c r="B760" s="55"/>
      <c r="C760" s="57"/>
      <c r="D760" s="57"/>
      <c r="E760" s="57"/>
      <c r="F760" s="57"/>
      <c r="I760" s="55"/>
      <c r="J760" s="57"/>
      <c r="K760" s="57"/>
      <c r="L760" s="57"/>
      <c r="M760" s="57"/>
    </row>
    <row r="761" spans="2:13" ht="12" x14ac:dyDescent="0.2">
      <c r="B761" s="56"/>
      <c r="C761" s="58"/>
      <c r="D761" s="58"/>
      <c r="E761" s="58"/>
      <c r="F761" s="58"/>
      <c r="I761" s="56"/>
      <c r="J761" s="58"/>
      <c r="K761" s="58"/>
      <c r="L761" s="58"/>
      <c r="M761" s="58"/>
    </row>
    <row r="762" spans="2:13" ht="12" x14ac:dyDescent="0.2">
      <c r="B762" s="55"/>
      <c r="C762" s="57"/>
      <c r="D762" s="57"/>
      <c r="E762" s="57"/>
      <c r="F762" s="57"/>
      <c r="I762" s="55"/>
      <c r="J762" s="57"/>
      <c r="K762" s="57"/>
      <c r="L762" s="57"/>
      <c r="M762" s="57"/>
    </row>
    <row r="763" spans="2:13" ht="12" x14ac:dyDescent="0.2">
      <c r="B763" s="56"/>
      <c r="C763" s="58"/>
      <c r="D763" s="58"/>
      <c r="E763" s="58"/>
      <c r="F763" s="58"/>
      <c r="I763" s="56"/>
      <c r="J763" s="58"/>
      <c r="K763" s="58"/>
      <c r="L763" s="58"/>
      <c r="M763" s="58"/>
    </row>
    <row r="764" spans="2:13" ht="12" x14ac:dyDescent="0.2">
      <c r="B764" s="55"/>
      <c r="C764" s="57"/>
      <c r="D764" s="57"/>
      <c r="E764" s="57"/>
      <c r="F764" s="57"/>
      <c r="I764" s="55"/>
      <c r="J764" s="57"/>
      <c r="K764" s="57"/>
      <c r="L764" s="57"/>
      <c r="M764" s="57"/>
    </row>
    <row r="765" spans="2:13" ht="12" x14ac:dyDescent="0.2">
      <c r="B765" s="56"/>
      <c r="C765" s="58"/>
      <c r="D765" s="58"/>
      <c r="E765" s="58"/>
      <c r="F765" s="58"/>
      <c r="I765" s="56"/>
      <c r="J765" s="58"/>
      <c r="K765" s="58"/>
      <c r="L765" s="58"/>
      <c r="M765" s="58"/>
    </row>
    <row r="766" spans="2:13" ht="12" x14ac:dyDescent="0.2">
      <c r="B766" s="55"/>
      <c r="C766" s="57"/>
      <c r="D766" s="57"/>
      <c r="E766" s="57"/>
      <c r="F766" s="57"/>
      <c r="I766" s="55"/>
      <c r="J766" s="57"/>
      <c r="K766" s="57"/>
      <c r="L766" s="57"/>
      <c r="M766" s="57"/>
    </row>
    <row r="767" spans="2:13" ht="12" x14ac:dyDescent="0.2">
      <c r="B767" s="56"/>
      <c r="C767" s="58"/>
      <c r="D767" s="58"/>
      <c r="E767" s="58"/>
      <c r="F767" s="58"/>
      <c r="I767" s="56"/>
      <c r="J767" s="58"/>
      <c r="K767" s="58"/>
      <c r="L767" s="58"/>
      <c r="M767" s="58"/>
    </row>
    <row r="768" spans="2:13" ht="12" x14ac:dyDescent="0.2">
      <c r="B768" s="55"/>
      <c r="C768" s="57"/>
      <c r="D768" s="57"/>
      <c r="E768" s="57"/>
      <c r="F768" s="57"/>
      <c r="I768" s="55"/>
      <c r="J768" s="57"/>
      <c r="K768" s="57"/>
      <c r="L768" s="57"/>
      <c r="M768" s="57"/>
    </row>
    <row r="769" spans="2:13" ht="12" x14ac:dyDescent="0.2">
      <c r="B769" s="56"/>
      <c r="C769" s="58"/>
      <c r="D769" s="58"/>
      <c r="E769" s="58"/>
      <c r="F769" s="58"/>
      <c r="I769" s="56"/>
      <c r="J769" s="58"/>
      <c r="K769" s="58"/>
      <c r="L769" s="58"/>
      <c r="M769" s="58"/>
    </row>
    <row r="770" spans="2:13" ht="12" x14ac:dyDescent="0.2">
      <c r="B770" s="55"/>
      <c r="C770" s="57"/>
      <c r="D770" s="57"/>
      <c r="E770" s="57"/>
      <c r="F770" s="57"/>
      <c r="I770" s="55"/>
      <c r="J770" s="57"/>
      <c r="K770" s="57"/>
      <c r="L770" s="57"/>
      <c r="M770" s="57"/>
    </row>
    <row r="771" spans="2:13" ht="12" x14ac:dyDescent="0.2">
      <c r="B771" s="56"/>
      <c r="C771" s="58"/>
      <c r="D771" s="58"/>
      <c r="E771" s="58"/>
      <c r="F771" s="58"/>
      <c r="I771" s="56"/>
      <c r="J771" s="58"/>
      <c r="K771" s="58"/>
      <c r="L771" s="58"/>
      <c r="M771" s="58"/>
    </row>
    <row r="772" spans="2:13" ht="12" x14ac:dyDescent="0.2">
      <c r="B772" s="55"/>
      <c r="C772" s="57"/>
      <c r="D772" s="57"/>
      <c r="E772" s="57"/>
      <c r="F772" s="57"/>
      <c r="I772" s="55"/>
      <c r="J772" s="57"/>
      <c r="K772" s="57"/>
      <c r="L772" s="57"/>
      <c r="M772" s="57"/>
    </row>
    <row r="773" spans="2:13" ht="12" x14ac:dyDescent="0.2">
      <c r="B773" s="56"/>
      <c r="C773" s="58"/>
      <c r="D773" s="58"/>
      <c r="E773" s="58"/>
      <c r="F773" s="58"/>
      <c r="I773" s="56"/>
      <c r="J773" s="58"/>
      <c r="K773" s="58"/>
      <c r="L773" s="58"/>
      <c r="M773" s="58"/>
    </row>
    <row r="774" spans="2:13" ht="12" x14ac:dyDescent="0.2">
      <c r="B774" s="55"/>
      <c r="C774" s="57"/>
      <c r="D774" s="57"/>
      <c r="E774" s="57"/>
      <c r="F774" s="57"/>
      <c r="I774" s="55"/>
      <c r="J774" s="57"/>
      <c r="K774" s="57"/>
      <c r="L774" s="57"/>
      <c r="M774" s="57"/>
    </row>
    <row r="775" spans="2:13" ht="12" x14ac:dyDescent="0.2">
      <c r="B775" s="56"/>
      <c r="C775" s="58"/>
      <c r="D775" s="58"/>
      <c r="E775" s="58"/>
      <c r="F775" s="58"/>
      <c r="I775" s="56"/>
      <c r="J775" s="58"/>
      <c r="K775" s="58"/>
      <c r="L775" s="58"/>
      <c r="M775" s="58"/>
    </row>
    <row r="776" spans="2:13" ht="12" x14ac:dyDescent="0.2">
      <c r="B776" s="55"/>
      <c r="C776" s="57"/>
      <c r="D776" s="57"/>
      <c r="E776" s="57"/>
      <c r="F776" s="57"/>
      <c r="I776" s="55"/>
      <c r="J776" s="57"/>
      <c r="K776" s="57"/>
      <c r="L776" s="57"/>
      <c r="M776" s="57"/>
    </row>
    <row r="777" spans="2:13" ht="12" x14ac:dyDescent="0.2">
      <c r="B777" s="56"/>
      <c r="C777" s="58"/>
      <c r="D777" s="58"/>
      <c r="E777" s="58"/>
      <c r="F777" s="58"/>
      <c r="I777" s="56"/>
      <c r="J777" s="58"/>
      <c r="K777" s="58"/>
      <c r="L777" s="58"/>
      <c r="M777" s="58"/>
    </row>
    <row r="778" spans="2:13" ht="12" x14ac:dyDescent="0.2">
      <c r="B778" s="55"/>
      <c r="C778" s="57"/>
      <c r="D778" s="57"/>
      <c r="E778" s="57"/>
      <c r="F778" s="57"/>
      <c r="I778" s="55"/>
      <c r="J778" s="57"/>
      <c r="K778" s="57"/>
      <c r="L778" s="57"/>
      <c r="M778" s="57"/>
    </row>
    <row r="779" spans="2:13" ht="12" x14ac:dyDescent="0.2">
      <c r="B779" s="56"/>
      <c r="C779" s="58"/>
      <c r="D779" s="58"/>
      <c r="E779" s="58"/>
      <c r="F779" s="58"/>
      <c r="I779" s="56"/>
      <c r="J779" s="58"/>
      <c r="K779" s="58"/>
      <c r="L779" s="58"/>
      <c r="M779" s="58"/>
    </row>
    <row r="780" spans="2:13" ht="12" x14ac:dyDescent="0.2">
      <c r="B780" s="55"/>
      <c r="C780" s="57"/>
      <c r="D780" s="57"/>
      <c r="E780" s="57"/>
      <c r="F780" s="57"/>
      <c r="I780" s="55"/>
      <c r="J780" s="57"/>
      <c r="K780" s="57"/>
      <c r="L780" s="57"/>
      <c r="M780" s="57"/>
    </row>
    <row r="781" spans="2:13" ht="12" x14ac:dyDescent="0.2">
      <c r="B781" s="56"/>
      <c r="C781" s="58"/>
      <c r="D781" s="58"/>
      <c r="E781" s="58"/>
      <c r="F781" s="58"/>
      <c r="I781" s="56"/>
      <c r="J781" s="58"/>
      <c r="K781" s="58"/>
      <c r="L781" s="58"/>
      <c r="M781" s="58"/>
    </row>
    <row r="782" spans="2:13" ht="12" x14ac:dyDescent="0.2">
      <c r="B782" s="55"/>
      <c r="C782" s="57"/>
      <c r="D782" s="57"/>
      <c r="E782" s="57"/>
      <c r="F782" s="57"/>
      <c r="I782" s="55"/>
      <c r="J782" s="57"/>
      <c r="K782" s="57"/>
      <c r="L782" s="57"/>
      <c r="M782" s="57"/>
    </row>
    <row r="783" spans="2:13" ht="12" x14ac:dyDescent="0.2">
      <c r="B783" s="56"/>
      <c r="C783" s="58"/>
      <c r="D783" s="58"/>
      <c r="E783" s="58"/>
      <c r="F783" s="58"/>
      <c r="I783" s="56"/>
      <c r="J783" s="58"/>
      <c r="K783" s="58"/>
      <c r="L783" s="58"/>
      <c r="M783" s="58"/>
    </row>
    <row r="784" spans="2:13" ht="12" x14ac:dyDescent="0.2">
      <c r="B784" s="55"/>
      <c r="C784" s="57"/>
      <c r="D784" s="57"/>
      <c r="E784" s="57"/>
      <c r="F784" s="57"/>
      <c r="I784" s="55"/>
      <c r="J784" s="57"/>
      <c r="K784" s="57"/>
      <c r="L784" s="57"/>
      <c r="M784" s="57"/>
    </row>
    <row r="785" spans="2:13" ht="12" x14ac:dyDescent="0.2">
      <c r="B785" s="56"/>
      <c r="C785" s="58"/>
      <c r="D785" s="58"/>
      <c r="E785" s="58"/>
      <c r="F785" s="58"/>
      <c r="I785" s="56"/>
      <c r="J785" s="58"/>
      <c r="K785" s="58"/>
      <c r="L785" s="58"/>
      <c r="M785" s="58"/>
    </row>
    <row r="786" spans="2:13" ht="12" x14ac:dyDescent="0.2">
      <c r="B786" s="55"/>
      <c r="C786" s="57"/>
      <c r="D786" s="57"/>
      <c r="E786" s="57"/>
      <c r="F786" s="57"/>
      <c r="I786" s="55"/>
      <c r="J786" s="57"/>
      <c r="K786" s="57"/>
      <c r="L786" s="57"/>
      <c r="M786" s="57"/>
    </row>
    <row r="787" spans="2:13" ht="12" x14ac:dyDescent="0.2">
      <c r="B787" s="56"/>
      <c r="C787" s="58"/>
      <c r="D787" s="58"/>
      <c r="E787" s="58"/>
      <c r="F787" s="58"/>
      <c r="I787" s="56"/>
      <c r="J787" s="58"/>
      <c r="K787" s="58"/>
      <c r="L787" s="58"/>
      <c r="M787" s="58"/>
    </row>
    <row r="788" spans="2:13" ht="12" x14ac:dyDescent="0.2">
      <c r="B788" s="55"/>
      <c r="C788" s="57"/>
      <c r="D788" s="57"/>
      <c r="E788" s="57"/>
      <c r="F788" s="57"/>
      <c r="I788" s="55"/>
      <c r="J788" s="57"/>
      <c r="K788" s="57"/>
      <c r="L788" s="57"/>
      <c r="M788" s="57"/>
    </row>
    <row r="789" spans="2:13" ht="12" x14ac:dyDescent="0.2">
      <c r="B789" s="56"/>
      <c r="C789" s="58"/>
      <c r="D789" s="58"/>
      <c r="E789" s="58"/>
      <c r="F789" s="58"/>
      <c r="I789" s="56"/>
      <c r="J789" s="58"/>
      <c r="K789" s="58"/>
      <c r="L789" s="58"/>
      <c r="M789" s="58"/>
    </row>
    <row r="790" spans="2:13" ht="12" x14ac:dyDescent="0.2">
      <c r="B790" s="55"/>
      <c r="C790" s="57"/>
      <c r="D790" s="57"/>
      <c r="E790" s="57"/>
      <c r="F790" s="57"/>
      <c r="I790" s="55"/>
      <c r="J790" s="57"/>
      <c r="K790" s="57"/>
      <c r="L790" s="57"/>
      <c r="M790" s="57"/>
    </row>
    <row r="791" spans="2:13" ht="12" x14ac:dyDescent="0.2">
      <c r="B791" s="56"/>
      <c r="C791" s="58"/>
      <c r="D791" s="58"/>
      <c r="E791" s="58"/>
      <c r="F791" s="58"/>
      <c r="I791" s="56"/>
      <c r="J791" s="58"/>
      <c r="K791" s="58"/>
      <c r="L791" s="58"/>
      <c r="M791" s="58"/>
    </row>
    <row r="792" spans="2:13" ht="12" x14ac:dyDescent="0.2">
      <c r="B792" s="55"/>
      <c r="C792" s="57"/>
      <c r="D792" s="57"/>
      <c r="E792" s="57"/>
      <c r="F792" s="57"/>
      <c r="I792" s="55"/>
      <c r="J792" s="57"/>
      <c r="K792" s="57"/>
      <c r="L792" s="57"/>
      <c r="M792" s="57"/>
    </row>
    <row r="793" spans="2:13" ht="12" x14ac:dyDescent="0.2">
      <c r="B793" s="56"/>
      <c r="C793" s="58"/>
      <c r="D793" s="58"/>
      <c r="E793" s="58"/>
      <c r="F793" s="58"/>
      <c r="I793" s="56"/>
      <c r="J793" s="58"/>
      <c r="K793" s="58"/>
      <c r="L793" s="58"/>
      <c r="M793" s="58"/>
    </row>
    <row r="794" spans="2:13" ht="12" x14ac:dyDescent="0.2">
      <c r="B794" s="55"/>
      <c r="C794" s="57"/>
      <c r="D794" s="57"/>
      <c r="E794" s="57"/>
      <c r="F794" s="57"/>
      <c r="I794" s="55"/>
      <c r="J794" s="57"/>
      <c r="K794" s="57"/>
      <c r="L794" s="57"/>
      <c r="M794" s="57"/>
    </row>
    <row r="795" spans="2:13" ht="12" x14ac:dyDescent="0.2">
      <c r="B795" s="56"/>
      <c r="C795" s="58"/>
      <c r="D795" s="58"/>
      <c r="E795" s="58"/>
      <c r="F795" s="58"/>
      <c r="I795" s="56"/>
      <c r="J795" s="58"/>
      <c r="K795" s="58"/>
      <c r="L795" s="58"/>
      <c r="M795" s="58"/>
    </row>
    <row r="796" spans="2:13" ht="12" x14ac:dyDescent="0.2">
      <c r="B796" s="55"/>
      <c r="C796" s="57"/>
      <c r="D796" s="57"/>
      <c r="E796" s="57"/>
      <c r="F796" s="57"/>
      <c r="I796" s="55"/>
      <c r="J796" s="57"/>
      <c r="K796" s="57"/>
      <c r="L796" s="57"/>
      <c r="M796" s="57"/>
    </row>
    <row r="797" spans="2:13" ht="12" x14ac:dyDescent="0.2">
      <c r="B797" s="56"/>
      <c r="C797" s="58"/>
      <c r="D797" s="58"/>
      <c r="E797" s="58"/>
      <c r="F797" s="58"/>
      <c r="I797" s="56"/>
      <c r="J797" s="58"/>
      <c r="K797" s="58"/>
      <c r="L797" s="58"/>
      <c r="M797" s="58"/>
    </row>
    <row r="798" spans="2:13" ht="12" x14ac:dyDescent="0.2">
      <c r="B798" s="55"/>
      <c r="C798" s="57"/>
      <c r="D798" s="57"/>
      <c r="E798" s="57"/>
      <c r="F798" s="57"/>
      <c r="I798" s="55"/>
      <c r="J798" s="57"/>
      <c r="K798" s="57"/>
      <c r="L798" s="57"/>
      <c r="M798" s="57"/>
    </row>
    <row r="799" spans="2:13" ht="12" x14ac:dyDescent="0.2">
      <c r="B799" s="56"/>
      <c r="C799" s="58"/>
      <c r="D799" s="58"/>
      <c r="E799" s="58"/>
      <c r="F799" s="58"/>
      <c r="I799" s="56"/>
      <c r="J799" s="58"/>
      <c r="K799" s="58"/>
      <c r="L799" s="58"/>
      <c r="M799" s="58"/>
    </row>
    <row r="800" spans="2:13" ht="12" x14ac:dyDescent="0.2">
      <c r="B800" s="55"/>
      <c r="C800" s="57"/>
      <c r="D800" s="57"/>
      <c r="E800" s="57"/>
      <c r="F800" s="57"/>
      <c r="I800" s="55"/>
      <c r="J800" s="57"/>
      <c r="K800" s="57"/>
      <c r="L800" s="57"/>
      <c r="M800" s="57"/>
    </row>
    <row r="801" spans="2:13" ht="12" x14ac:dyDescent="0.2">
      <c r="B801" s="56"/>
      <c r="C801" s="58"/>
      <c r="D801" s="58"/>
      <c r="E801" s="58"/>
      <c r="F801" s="58"/>
      <c r="I801" s="56"/>
      <c r="J801" s="58"/>
      <c r="K801" s="58"/>
      <c r="L801" s="58"/>
      <c r="M801" s="58"/>
    </row>
    <row r="802" spans="2:13" ht="12" x14ac:dyDescent="0.2">
      <c r="B802" s="55"/>
      <c r="C802" s="57"/>
      <c r="D802" s="57"/>
      <c r="E802" s="57"/>
      <c r="F802" s="57"/>
      <c r="I802" s="55"/>
      <c r="J802" s="57"/>
      <c r="K802" s="57"/>
      <c r="L802" s="57"/>
      <c r="M802" s="57"/>
    </row>
    <row r="803" spans="2:13" ht="12" x14ac:dyDescent="0.2">
      <c r="B803" s="56"/>
      <c r="C803" s="58"/>
      <c r="D803" s="58"/>
      <c r="E803" s="58"/>
      <c r="F803" s="58"/>
      <c r="I803" s="56"/>
      <c r="J803" s="58"/>
      <c r="K803" s="58"/>
      <c r="L803" s="58"/>
      <c r="M803" s="58"/>
    </row>
    <row r="804" spans="2:13" ht="12" x14ac:dyDescent="0.2">
      <c r="B804" s="55"/>
      <c r="C804" s="57"/>
      <c r="D804" s="57"/>
      <c r="E804" s="57"/>
      <c r="F804" s="57"/>
      <c r="I804" s="55"/>
      <c r="J804" s="57"/>
      <c r="K804" s="57"/>
      <c r="L804" s="57"/>
      <c r="M804" s="57"/>
    </row>
    <row r="805" spans="2:13" ht="12" x14ac:dyDescent="0.2">
      <c r="B805" s="56"/>
      <c r="C805" s="58"/>
      <c r="D805" s="58"/>
      <c r="E805" s="58"/>
      <c r="F805" s="58"/>
      <c r="I805" s="56"/>
      <c r="J805" s="58"/>
      <c r="K805" s="58"/>
      <c r="L805" s="58"/>
      <c r="M805" s="58"/>
    </row>
    <row r="806" spans="2:13" ht="12" x14ac:dyDescent="0.2">
      <c r="B806" s="55"/>
      <c r="C806" s="57"/>
      <c r="D806" s="57"/>
      <c r="E806" s="57"/>
      <c r="F806" s="57"/>
      <c r="I806" s="55"/>
      <c r="J806" s="57"/>
      <c r="K806" s="57"/>
      <c r="L806" s="57"/>
      <c r="M806" s="57"/>
    </row>
    <row r="807" spans="2:13" ht="12" x14ac:dyDescent="0.2">
      <c r="B807" s="56"/>
      <c r="C807" s="58"/>
      <c r="D807" s="58"/>
      <c r="E807" s="58"/>
      <c r="F807" s="58"/>
      <c r="I807" s="56"/>
      <c r="J807" s="58"/>
      <c r="K807" s="58"/>
      <c r="L807" s="58"/>
      <c r="M807" s="58"/>
    </row>
    <row r="808" spans="2:13" ht="12" x14ac:dyDescent="0.2">
      <c r="B808" s="55"/>
      <c r="C808" s="57"/>
      <c r="D808" s="57"/>
      <c r="E808" s="57"/>
      <c r="F808" s="57"/>
      <c r="I808" s="55"/>
      <c r="J808" s="57"/>
      <c r="K808" s="57"/>
      <c r="L808" s="57"/>
      <c r="M808" s="57"/>
    </row>
    <row r="809" spans="2:13" ht="12" x14ac:dyDescent="0.2">
      <c r="B809" s="56"/>
      <c r="C809" s="58"/>
      <c r="D809" s="58"/>
      <c r="E809" s="58"/>
      <c r="F809" s="58"/>
      <c r="I809" s="56"/>
      <c r="J809" s="58"/>
      <c r="K809" s="58"/>
      <c r="L809" s="58"/>
      <c r="M809" s="58"/>
    </row>
    <row r="810" spans="2:13" ht="12" x14ac:dyDescent="0.2">
      <c r="B810" s="55"/>
      <c r="C810" s="57"/>
      <c r="D810" s="57"/>
      <c r="E810" s="57"/>
      <c r="F810" s="57"/>
      <c r="I810" s="55"/>
      <c r="J810" s="57"/>
      <c r="K810" s="57"/>
      <c r="L810" s="57"/>
      <c r="M810" s="57"/>
    </row>
    <row r="811" spans="2:13" ht="12" x14ac:dyDescent="0.2">
      <c r="B811" s="56"/>
      <c r="C811" s="58"/>
      <c r="D811" s="58"/>
      <c r="E811" s="58"/>
      <c r="F811" s="58"/>
      <c r="I811" s="56"/>
      <c r="J811" s="58"/>
      <c r="K811" s="58"/>
      <c r="L811" s="58"/>
      <c r="M811" s="58"/>
    </row>
    <row r="812" spans="2:13" ht="12" x14ac:dyDescent="0.2">
      <c r="B812" s="55"/>
      <c r="C812" s="57"/>
      <c r="D812" s="57"/>
      <c r="E812" s="57"/>
      <c r="F812" s="57"/>
      <c r="I812" s="55"/>
      <c r="J812" s="57"/>
      <c r="K812" s="57"/>
      <c r="L812" s="57"/>
      <c r="M812" s="57"/>
    </row>
    <row r="813" spans="2:13" ht="12" x14ac:dyDescent="0.2">
      <c r="B813" s="56"/>
      <c r="C813" s="58"/>
      <c r="D813" s="58"/>
      <c r="E813" s="58"/>
      <c r="F813" s="58"/>
      <c r="I813" s="56"/>
      <c r="J813" s="58"/>
      <c r="K813" s="58"/>
      <c r="L813" s="58"/>
      <c r="M813" s="58"/>
    </row>
    <row r="814" spans="2:13" ht="12" x14ac:dyDescent="0.2">
      <c r="B814" s="55"/>
      <c r="C814" s="57"/>
      <c r="D814" s="57"/>
      <c r="E814" s="57"/>
      <c r="F814" s="57"/>
      <c r="I814" s="55"/>
      <c r="J814" s="57"/>
      <c r="K814" s="57"/>
      <c r="L814" s="57"/>
      <c r="M814" s="57"/>
    </row>
    <row r="815" spans="2:13" ht="12" x14ac:dyDescent="0.2">
      <c r="B815" s="56"/>
      <c r="C815" s="58"/>
      <c r="D815" s="58"/>
      <c r="E815" s="58"/>
      <c r="F815" s="58"/>
      <c r="I815" s="56"/>
      <c r="J815" s="58"/>
      <c r="K815" s="58"/>
      <c r="L815" s="58"/>
      <c r="M815" s="58"/>
    </row>
    <row r="816" spans="2:13" ht="12" x14ac:dyDescent="0.2">
      <c r="B816" s="55"/>
      <c r="C816" s="57"/>
      <c r="D816" s="57"/>
      <c r="E816" s="57"/>
      <c r="F816" s="57"/>
      <c r="I816" s="55"/>
      <c r="J816" s="57"/>
      <c r="K816" s="57"/>
      <c r="L816" s="57"/>
      <c r="M816" s="57"/>
    </row>
    <row r="817" spans="2:13" ht="12" x14ac:dyDescent="0.2">
      <c r="B817" s="56"/>
      <c r="C817" s="58"/>
      <c r="D817" s="58"/>
      <c r="E817" s="58"/>
      <c r="F817" s="58"/>
      <c r="I817" s="56"/>
      <c r="J817" s="58"/>
      <c r="K817" s="58"/>
      <c r="L817" s="58"/>
      <c r="M817" s="58"/>
    </row>
    <row r="818" spans="2:13" ht="12" x14ac:dyDescent="0.2">
      <c r="B818" s="55"/>
      <c r="C818" s="57"/>
      <c r="D818" s="57"/>
      <c r="E818" s="57"/>
      <c r="F818" s="57"/>
      <c r="I818" s="55"/>
      <c r="J818" s="57"/>
      <c r="K818" s="57"/>
      <c r="L818" s="57"/>
      <c r="M818" s="57"/>
    </row>
    <row r="819" spans="2:13" ht="12" x14ac:dyDescent="0.2">
      <c r="B819" s="56"/>
      <c r="C819" s="58"/>
      <c r="D819" s="58"/>
      <c r="E819" s="58"/>
      <c r="F819" s="58"/>
      <c r="I819" s="56"/>
      <c r="J819" s="58"/>
      <c r="K819" s="58"/>
      <c r="L819" s="58"/>
      <c r="M819" s="58"/>
    </row>
    <row r="820" spans="2:13" ht="12" x14ac:dyDescent="0.2">
      <c r="B820" s="55"/>
      <c r="C820" s="57"/>
      <c r="D820" s="57"/>
      <c r="E820" s="57"/>
      <c r="F820" s="57"/>
      <c r="I820" s="55"/>
      <c r="J820" s="57"/>
      <c r="K820" s="57"/>
      <c r="L820" s="57"/>
      <c r="M820" s="57"/>
    </row>
    <row r="821" spans="2:13" ht="12" x14ac:dyDescent="0.2">
      <c r="B821" s="56"/>
      <c r="C821" s="58"/>
      <c r="D821" s="58"/>
      <c r="E821" s="58"/>
      <c r="F821" s="58"/>
      <c r="I821" s="56"/>
      <c r="J821" s="58"/>
      <c r="K821" s="58"/>
      <c r="L821" s="58"/>
      <c r="M821" s="58"/>
    </row>
    <row r="822" spans="2:13" ht="12" x14ac:dyDescent="0.2">
      <c r="B822" s="55"/>
      <c r="C822" s="57"/>
      <c r="D822" s="57"/>
      <c r="E822" s="57"/>
      <c r="F822" s="57"/>
      <c r="I822" s="55"/>
      <c r="J822" s="57"/>
      <c r="K822" s="57"/>
      <c r="L822" s="57"/>
      <c r="M822" s="57"/>
    </row>
    <row r="823" spans="2:13" ht="12" x14ac:dyDescent="0.2">
      <c r="B823" s="56"/>
      <c r="C823" s="58"/>
      <c r="D823" s="58"/>
      <c r="E823" s="58"/>
      <c r="F823" s="58"/>
      <c r="I823" s="56"/>
      <c r="J823" s="58"/>
      <c r="K823" s="58"/>
      <c r="L823" s="58"/>
      <c r="M823" s="58"/>
    </row>
    <row r="824" spans="2:13" ht="12" x14ac:dyDescent="0.2">
      <c r="B824" s="55"/>
      <c r="C824" s="57"/>
      <c r="D824" s="57"/>
      <c r="E824" s="57"/>
      <c r="F824" s="57"/>
      <c r="I824" s="55"/>
      <c r="J824" s="57"/>
      <c r="K824" s="57"/>
      <c r="L824" s="57"/>
      <c r="M824" s="57"/>
    </row>
    <row r="825" spans="2:13" ht="12" x14ac:dyDescent="0.2">
      <c r="B825" s="56"/>
      <c r="C825" s="58"/>
      <c r="D825" s="58"/>
      <c r="E825" s="58"/>
      <c r="F825" s="58"/>
      <c r="I825" s="56"/>
      <c r="J825" s="58"/>
      <c r="K825" s="58"/>
      <c r="L825" s="58"/>
      <c r="M825" s="58"/>
    </row>
    <row r="826" spans="2:13" ht="12" x14ac:dyDescent="0.2">
      <c r="B826" s="55"/>
      <c r="C826" s="57"/>
      <c r="D826" s="57"/>
      <c r="E826" s="57"/>
      <c r="F826" s="57"/>
      <c r="I826" s="55"/>
      <c r="J826" s="57"/>
      <c r="K826" s="57"/>
      <c r="L826" s="57"/>
      <c r="M826" s="57"/>
    </row>
    <row r="827" spans="2:13" ht="12" x14ac:dyDescent="0.2">
      <c r="B827" s="56"/>
      <c r="C827" s="58"/>
      <c r="D827" s="58"/>
      <c r="E827" s="58"/>
      <c r="F827" s="58"/>
      <c r="I827" s="56"/>
      <c r="J827" s="58"/>
      <c r="K827" s="58"/>
      <c r="L827" s="58"/>
      <c r="M827" s="58"/>
    </row>
    <row r="828" spans="2:13" ht="12" x14ac:dyDescent="0.2">
      <c r="B828" s="55"/>
      <c r="C828" s="57"/>
      <c r="D828" s="57"/>
      <c r="E828" s="57"/>
      <c r="F828" s="57"/>
      <c r="I828" s="55"/>
      <c r="J828" s="57"/>
      <c r="K828" s="57"/>
      <c r="L828" s="57"/>
      <c r="M828" s="57"/>
    </row>
    <row r="829" spans="2:13" ht="12" x14ac:dyDescent="0.2">
      <c r="B829" s="56"/>
      <c r="C829" s="58"/>
      <c r="D829" s="58"/>
      <c r="E829" s="58"/>
      <c r="F829" s="58"/>
      <c r="I829" s="56"/>
      <c r="J829" s="58"/>
      <c r="K829" s="58"/>
      <c r="L829" s="58"/>
      <c r="M829" s="58"/>
    </row>
    <row r="830" spans="2:13" ht="12" x14ac:dyDescent="0.2">
      <c r="B830" s="55"/>
      <c r="C830" s="57"/>
      <c r="D830" s="57"/>
      <c r="E830" s="57"/>
      <c r="F830" s="57"/>
      <c r="I830" s="55"/>
      <c r="J830" s="57"/>
      <c r="K830" s="57"/>
      <c r="L830" s="57"/>
      <c r="M830" s="57"/>
    </row>
    <row r="831" spans="2:13" ht="12" x14ac:dyDescent="0.2">
      <c r="B831" s="56"/>
      <c r="C831" s="58"/>
      <c r="D831" s="58"/>
      <c r="E831" s="58"/>
      <c r="F831" s="58"/>
      <c r="I831" s="56"/>
      <c r="J831" s="58"/>
      <c r="K831" s="58"/>
      <c r="L831" s="58"/>
      <c r="M831" s="58"/>
    </row>
    <row r="832" spans="2:13" ht="12" x14ac:dyDescent="0.2">
      <c r="B832" s="55"/>
      <c r="C832" s="57"/>
      <c r="D832" s="57"/>
      <c r="E832" s="57"/>
      <c r="F832" s="57"/>
      <c r="I832" s="55"/>
      <c r="J832" s="57"/>
      <c r="K832" s="57"/>
      <c r="L832" s="57"/>
      <c r="M832" s="57"/>
    </row>
    <row r="833" spans="2:13" ht="12" x14ac:dyDescent="0.2">
      <c r="B833" s="56"/>
      <c r="C833" s="58"/>
      <c r="D833" s="58"/>
      <c r="E833" s="58"/>
      <c r="F833" s="58"/>
      <c r="I833" s="56"/>
      <c r="J833" s="58"/>
      <c r="K833" s="58"/>
      <c r="L833" s="58"/>
      <c r="M833" s="58"/>
    </row>
    <row r="834" spans="2:13" ht="12" x14ac:dyDescent="0.2">
      <c r="B834" s="55"/>
      <c r="C834" s="57"/>
      <c r="D834" s="57"/>
      <c r="E834" s="57"/>
      <c r="F834" s="57"/>
      <c r="I834" s="55"/>
      <c r="J834" s="57"/>
      <c r="K834" s="57"/>
      <c r="L834" s="57"/>
      <c r="M834" s="57"/>
    </row>
    <row r="835" spans="2:13" ht="12" x14ac:dyDescent="0.2">
      <c r="B835" s="56"/>
      <c r="C835" s="58"/>
      <c r="D835" s="58"/>
      <c r="E835" s="58"/>
      <c r="F835" s="58"/>
      <c r="I835" s="56"/>
      <c r="J835" s="58"/>
      <c r="K835" s="58"/>
      <c r="L835" s="58"/>
      <c r="M835" s="58"/>
    </row>
    <row r="836" spans="2:13" ht="12" x14ac:dyDescent="0.2">
      <c r="B836" s="55"/>
      <c r="C836" s="57"/>
      <c r="D836" s="57"/>
      <c r="E836" s="57"/>
      <c r="F836" s="57"/>
      <c r="I836" s="55"/>
      <c r="J836" s="57"/>
      <c r="K836" s="57"/>
      <c r="L836" s="57"/>
      <c r="M836" s="57"/>
    </row>
    <row r="837" spans="2:13" ht="12" x14ac:dyDescent="0.2">
      <c r="B837" s="56"/>
      <c r="C837" s="58"/>
      <c r="D837" s="58"/>
      <c r="E837" s="58"/>
      <c r="F837" s="58"/>
      <c r="I837" s="56"/>
      <c r="J837" s="58"/>
      <c r="K837" s="58"/>
      <c r="L837" s="58"/>
      <c r="M837" s="58"/>
    </row>
    <row r="838" spans="2:13" ht="12" x14ac:dyDescent="0.2">
      <c r="B838" s="55"/>
      <c r="C838" s="57"/>
      <c r="D838" s="57"/>
      <c r="E838" s="57"/>
      <c r="F838" s="57"/>
      <c r="I838" s="55"/>
      <c r="J838" s="57"/>
      <c r="K838" s="57"/>
      <c r="L838" s="57"/>
      <c r="M838" s="57"/>
    </row>
    <row r="839" spans="2:13" ht="12" x14ac:dyDescent="0.2">
      <c r="B839" s="56"/>
      <c r="C839" s="58"/>
      <c r="D839" s="58"/>
      <c r="E839" s="58"/>
      <c r="F839" s="58"/>
      <c r="I839" s="56"/>
      <c r="J839" s="58"/>
      <c r="K839" s="58"/>
      <c r="L839" s="58"/>
      <c r="M839" s="58"/>
    </row>
    <row r="840" spans="2:13" ht="12" x14ac:dyDescent="0.2">
      <c r="B840" s="55"/>
      <c r="C840" s="57"/>
      <c r="D840" s="57"/>
      <c r="E840" s="57"/>
      <c r="F840" s="57"/>
      <c r="I840" s="55"/>
      <c r="J840" s="57"/>
      <c r="K840" s="57"/>
      <c r="L840" s="57"/>
      <c r="M840" s="57"/>
    </row>
    <row r="841" spans="2:13" ht="12" x14ac:dyDescent="0.2">
      <c r="B841" s="56"/>
      <c r="C841" s="58"/>
      <c r="D841" s="58"/>
      <c r="E841" s="58"/>
      <c r="F841" s="58"/>
      <c r="I841" s="56"/>
      <c r="J841" s="58"/>
      <c r="K841" s="58"/>
      <c r="L841" s="58"/>
      <c r="M841" s="58"/>
    </row>
    <row r="842" spans="2:13" ht="12" x14ac:dyDescent="0.2">
      <c r="B842" s="55"/>
      <c r="C842" s="57"/>
      <c r="D842" s="57"/>
      <c r="E842" s="57"/>
      <c r="F842" s="57"/>
      <c r="I842" s="55"/>
      <c r="J842" s="57"/>
      <c r="K842" s="57"/>
      <c r="L842" s="57"/>
      <c r="M842" s="57"/>
    </row>
    <row r="843" spans="2:13" ht="12" x14ac:dyDescent="0.2">
      <c r="B843" s="56"/>
      <c r="C843" s="58"/>
      <c r="D843" s="58"/>
      <c r="E843" s="58"/>
      <c r="F843" s="58"/>
      <c r="I843" s="56"/>
      <c r="J843" s="58"/>
      <c r="K843" s="58"/>
      <c r="L843" s="58"/>
      <c r="M843" s="58"/>
    </row>
    <row r="844" spans="2:13" ht="12" x14ac:dyDescent="0.2">
      <c r="B844" s="55"/>
      <c r="C844" s="57"/>
      <c r="D844" s="57"/>
      <c r="E844" s="57"/>
      <c r="F844" s="57"/>
      <c r="I844" s="55"/>
      <c r="J844" s="57"/>
      <c r="K844" s="57"/>
      <c r="L844" s="57"/>
      <c r="M844" s="57"/>
    </row>
    <row r="845" spans="2:13" ht="12" x14ac:dyDescent="0.2">
      <c r="B845" s="56"/>
      <c r="C845" s="58"/>
      <c r="D845" s="58"/>
      <c r="E845" s="58"/>
      <c r="F845" s="58"/>
      <c r="I845" s="56"/>
      <c r="J845" s="58"/>
      <c r="K845" s="58"/>
      <c r="L845" s="58"/>
      <c r="M845" s="58"/>
    </row>
    <row r="846" spans="2:13" ht="12" x14ac:dyDescent="0.2">
      <c r="B846" s="55"/>
      <c r="C846" s="57"/>
      <c r="D846" s="57"/>
      <c r="E846" s="57"/>
      <c r="F846" s="57"/>
      <c r="I846" s="55"/>
      <c r="J846" s="57"/>
      <c r="K846" s="57"/>
      <c r="L846" s="57"/>
      <c r="M846" s="57"/>
    </row>
    <row r="847" spans="2:13" ht="12" x14ac:dyDescent="0.2">
      <c r="B847" s="56"/>
      <c r="C847" s="58"/>
      <c r="D847" s="58"/>
      <c r="E847" s="58"/>
      <c r="F847" s="58"/>
      <c r="I847" s="56"/>
      <c r="J847" s="58"/>
      <c r="K847" s="58"/>
      <c r="L847" s="58"/>
      <c r="M847" s="58"/>
    </row>
    <row r="848" spans="2:13" ht="12" x14ac:dyDescent="0.2">
      <c r="B848" s="55"/>
      <c r="C848" s="57"/>
      <c r="D848" s="57"/>
      <c r="E848" s="57"/>
      <c r="F848" s="57"/>
      <c r="I848" s="55"/>
      <c r="J848" s="57"/>
      <c r="K848" s="57"/>
      <c r="L848" s="57"/>
      <c r="M848" s="57"/>
    </row>
    <row r="849" spans="2:13" ht="12" x14ac:dyDescent="0.2">
      <c r="B849" s="56"/>
      <c r="C849" s="58"/>
      <c r="D849" s="58"/>
      <c r="E849" s="58"/>
      <c r="F849" s="58"/>
      <c r="I849" s="56"/>
      <c r="J849" s="58"/>
      <c r="K849" s="58"/>
      <c r="L849" s="58"/>
      <c r="M849" s="58"/>
    </row>
    <row r="850" spans="2:13" ht="12" x14ac:dyDescent="0.2">
      <c r="B850" s="55"/>
      <c r="C850" s="57"/>
      <c r="D850" s="57"/>
      <c r="E850" s="57"/>
      <c r="F850" s="57"/>
      <c r="I850" s="55"/>
      <c r="J850" s="57"/>
      <c r="K850" s="57"/>
      <c r="L850" s="57"/>
      <c r="M850" s="57"/>
    </row>
    <row r="851" spans="2:13" ht="12" x14ac:dyDescent="0.2">
      <c r="B851" s="56"/>
      <c r="C851" s="58"/>
      <c r="D851" s="58"/>
      <c r="E851" s="58"/>
      <c r="F851" s="58"/>
      <c r="I851" s="56"/>
      <c r="J851" s="58"/>
      <c r="K851" s="58"/>
      <c r="L851" s="58"/>
      <c r="M851" s="58"/>
    </row>
    <row r="852" spans="2:13" ht="12" x14ac:dyDescent="0.2">
      <c r="B852" s="55"/>
      <c r="C852" s="57"/>
      <c r="D852" s="57"/>
      <c r="E852" s="57"/>
      <c r="F852" s="57"/>
      <c r="I852" s="55"/>
      <c r="J852" s="57"/>
      <c r="K852" s="57"/>
      <c r="L852" s="57"/>
      <c r="M852" s="57"/>
    </row>
    <row r="853" spans="2:13" ht="12" x14ac:dyDescent="0.2">
      <c r="B853" s="56"/>
      <c r="C853" s="58"/>
      <c r="D853" s="58"/>
      <c r="E853" s="58"/>
      <c r="F853" s="58"/>
      <c r="I853" s="56"/>
      <c r="J853" s="58"/>
      <c r="K853" s="58"/>
      <c r="L853" s="58"/>
      <c r="M853" s="58"/>
    </row>
    <row r="854" spans="2:13" ht="12" x14ac:dyDescent="0.2">
      <c r="B854" s="55"/>
      <c r="C854" s="57"/>
      <c r="D854" s="57"/>
      <c r="E854" s="57"/>
      <c r="F854" s="57"/>
      <c r="I854" s="55"/>
      <c r="J854" s="57"/>
      <c r="K854" s="57"/>
      <c r="L854" s="57"/>
      <c r="M854" s="57"/>
    </row>
    <row r="855" spans="2:13" ht="12" x14ac:dyDescent="0.2">
      <c r="B855" s="56"/>
      <c r="C855" s="58"/>
      <c r="D855" s="58"/>
      <c r="E855" s="58"/>
      <c r="F855" s="58"/>
      <c r="I855" s="56"/>
      <c r="J855" s="58"/>
      <c r="K855" s="58"/>
      <c r="L855" s="58"/>
      <c r="M855" s="58"/>
    </row>
    <row r="856" spans="2:13" ht="12" x14ac:dyDescent="0.2">
      <c r="B856" s="55"/>
      <c r="C856" s="57"/>
      <c r="D856" s="57"/>
      <c r="E856" s="57"/>
      <c r="F856" s="57"/>
      <c r="I856" s="55"/>
      <c r="J856" s="57"/>
      <c r="K856" s="57"/>
      <c r="L856" s="57"/>
      <c r="M856" s="57"/>
    </row>
    <row r="857" spans="2:13" ht="12" x14ac:dyDescent="0.2">
      <c r="B857" s="56"/>
      <c r="C857" s="58"/>
      <c r="D857" s="58"/>
      <c r="E857" s="58"/>
      <c r="F857" s="58"/>
      <c r="I857" s="56"/>
      <c r="J857" s="58"/>
      <c r="K857" s="58"/>
      <c r="L857" s="58"/>
      <c r="M857" s="58"/>
    </row>
    <row r="858" spans="2:13" ht="12" x14ac:dyDescent="0.2">
      <c r="B858" s="55"/>
      <c r="C858" s="57"/>
      <c r="D858" s="57"/>
      <c r="E858" s="57"/>
      <c r="F858" s="57"/>
      <c r="I858" s="55"/>
      <c r="J858" s="57"/>
      <c r="K858" s="57"/>
      <c r="L858" s="57"/>
      <c r="M858" s="57"/>
    </row>
    <row r="859" spans="2:13" ht="12" x14ac:dyDescent="0.2">
      <c r="B859" s="56"/>
      <c r="C859" s="58"/>
      <c r="D859" s="58"/>
      <c r="E859" s="58"/>
      <c r="F859" s="58"/>
      <c r="I859" s="56"/>
      <c r="J859" s="58"/>
      <c r="K859" s="58"/>
      <c r="L859" s="58"/>
      <c r="M859" s="58"/>
    </row>
    <row r="860" spans="2:13" ht="12" x14ac:dyDescent="0.2">
      <c r="B860" s="55"/>
      <c r="C860" s="57"/>
      <c r="D860" s="57"/>
      <c r="E860" s="57"/>
      <c r="F860" s="57"/>
      <c r="I860" s="55"/>
      <c r="J860" s="57"/>
      <c r="K860" s="57"/>
      <c r="L860" s="57"/>
      <c r="M860" s="57"/>
    </row>
    <row r="861" spans="2:13" ht="12" x14ac:dyDescent="0.2">
      <c r="B861" s="56"/>
      <c r="C861" s="58"/>
      <c r="D861" s="58"/>
      <c r="E861" s="58"/>
      <c r="F861" s="58"/>
      <c r="I861" s="56"/>
      <c r="J861" s="58"/>
      <c r="K861" s="58"/>
      <c r="L861" s="58"/>
      <c r="M861" s="58"/>
    </row>
    <row r="862" spans="2:13" ht="12" x14ac:dyDescent="0.2">
      <c r="B862" s="55"/>
      <c r="C862" s="57"/>
      <c r="D862" s="57"/>
      <c r="E862" s="57"/>
      <c r="F862" s="57"/>
      <c r="I862" s="55"/>
      <c r="J862" s="57"/>
      <c r="K862" s="57"/>
      <c r="L862" s="57"/>
      <c r="M862" s="57"/>
    </row>
    <row r="863" spans="2:13" ht="12" x14ac:dyDescent="0.2">
      <c r="B863" s="56"/>
      <c r="C863" s="58"/>
      <c r="D863" s="58"/>
      <c r="E863" s="58"/>
      <c r="F863" s="58"/>
      <c r="I863" s="56"/>
      <c r="J863" s="58"/>
      <c r="K863" s="58"/>
      <c r="L863" s="58"/>
      <c r="M863" s="58"/>
    </row>
    <row r="864" spans="2:13" ht="12" x14ac:dyDescent="0.2">
      <c r="B864" s="55"/>
      <c r="C864" s="57"/>
      <c r="D864" s="57"/>
      <c r="E864" s="57"/>
      <c r="F864" s="57"/>
      <c r="I864" s="55"/>
      <c r="J864" s="57"/>
      <c r="K864" s="57"/>
      <c r="L864" s="57"/>
      <c r="M864" s="57"/>
    </row>
    <row r="865" spans="2:13" ht="12" x14ac:dyDescent="0.2">
      <c r="B865" s="56"/>
      <c r="C865" s="58"/>
      <c r="D865" s="58"/>
      <c r="E865" s="58"/>
      <c r="F865" s="58"/>
      <c r="I865" s="56"/>
      <c r="J865" s="58"/>
      <c r="K865" s="58"/>
      <c r="L865" s="58"/>
      <c r="M865" s="58"/>
    </row>
    <row r="866" spans="2:13" ht="12" x14ac:dyDescent="0.2">
      <c r="B866" s="55"/>
      <c r="C866" s="57"/>
      <c r="D866" s="57"/>
      <c r="E866" s="57"/>
      <c r="F866" s="57"/>
      <c r="I866" s="55"/>
      <c r="J866" s="57"/>
      <c r="K866" s="57"/>
      <c r="L866" s="57"/>
      <c r="M866" s="57"/>
    </row>
    <row r="867" spans="2:13" ht="12" x14ac:dyDescent="0.2">
      <c r="B867" s="56"/>
      <c r="C867" s="58"/>
      <c r="D867" s="58"/>
      <c r="E867" s="58"/>
      <c r="F867" s="58"/>
      <c r="I867" s="56"/>
      <c r="J867" s="58"/>
      <c r="K867" s="58"/>
      <c r="L867" s="58"/>
      <c r="M867" s="58"/>
    </row>
    <row r="868" spans="2:13" ht="12" x14ac:dyDescent="0.2">
      <c r="B868" s="55"/>
      <c r="C868" s="57"/>
      <c r="D868" s="57"/>
      <c r="E868" s="57"/>
      <c r="F868" s="57"/>
      <c r="I868" s="55"/>
      <c r="J868" s="57"/>
      <c r="K868" s="57"/>
      <c r="L868" s="57"/>
      <c r="M868" s="57"/>
    </row>
    <row r="869" spans="2:13" ht="12" x14ac:dyDescent="0.2">
      <c r="B869" s="56"/>
      <c r="C869" s="58"/>
      <c r="D869" s="58"/>
      <c r="E869" s="58"/>
      <c r="F869" s="58"/>
      <c r="I869" s="56"/>
      <c r="J869" s="58"/>
      <c r="K869" s="58"/>
      <c r="L869" s="58"/>
      <c r="M869" s="58"/>
    </row>
    <row r="870" spans="2:13" ht="12" x14ac:dyDescent="0.2">
      <c r="B870" s="55"/>
      <c r="C870" s="57"/>
      <c r="D870" s="57"/>
      <c r="E870" s="57"/>
      <c r="F870" s="57"/>
      <c r="I870" s="55"/>
      <c r="J870" s="57"/>
      <c r="K870" s="57"/>
      <c r="L870" s="57"/>
      <c r="M870" s="57"/>
    </row>
    <row r="871" spans="2:13" ht="12" x14ac:dyDescent="0.2">
      <c r="B871" s="56"/>
      <c r="C871" s="58"/>
      <c r="D871" s="58"/>
      <c r="E871" s="58"/>
      <c r="F871" s="58"/>
      <c r="I871" s="56"/>
      <c r="J871" s="58"/>
      <c r="K871" s="58"/>
      <c r="L871" s="58"/>
      <c r="M871" s="58"/>
    </row>
    <row r="872" spans="2:13" ht="12" x14ac:dyDescent="0.2">
      <c r="B872" s="55"/>
      <c r="C872" s="57"/>
      <c r="D872" s="57"/>
      <c r="E872" s="57"/>
      <c r="F872" s="57"/>
      <c r="I872" s="55"/>
      <c r="J872" s="57"/>
      <c r="K872" s="57"/>
      <c r="L872" s="57"/>
      <c r="M872" s="57"/>
    </row>
    <row r="873" spans="2:13" ht="12" x14ac:dyDescent="0.2">
      <c r="B873" s="56"/>
      <c r="C873" s="58"/>
      <c r="D873" s="58"/>
      <c r="E873" s="58"/>
      <c r="F873" s="58"/>
      <c r="I873" s="56"/>
      <c r="J873" s="58"/>
      <c r="K873" s="58"/>
      <c r="L873" s="58"/>
      <c r="M873" s="58"/>
    </row>
    <row r="874" spans="2:13" ht="12" x14ac:dyDescent="0.2">
      <c r="B874" s="55"/>
      <c r="C874" s="57"/>
      <c r="D874" s="57"/>
      <c r="E874" s="57"/>
      <c r="F874" s="57"/>
      <c r="I874" s="55"/>
      <c r="J874" s="57"/>
      <c r="K874" s="57"/>
      <c r="L874" s="57"/>
      <c r="M874" s="57"/>
    </row>
    <row r="875" spans="2:13" ht="12" x14ac:dyDescent="0.2">
      <c r="B875" s="56"/>
      <c r="C875" s="58"/>
      <c r="D875" s="58"/>
      <c r="E875" s="58"/>
      <c r="F875" s="58"/>
      <c r="I875" s="56"/>
      <c r="J875" s="58"/>
      <c r="K875" s="58"/>
      <c r="L875" s="58"/>
      <c r="M875" s="58"/>
    </row>
    <row r="876" spans="2:13" ht="12" x14ac:dyDescent="0.2">
      <c r="B876" s="55"/>
      <c r="C876" s="57"/>
      <c r="D876" s="57"/>
      <c r="E876" s="57"/>
      <c r="F876" s="57"/>
      <c r="I876" s="55"/>
      <c r="J876" s="57"/>
      <c r="K876" s="57"/>
      <c r="L876" s="57"/>
      <c r="M876" s="57"/>
    </row>
    <row r="877" spans="2:13" ht="12" x14ac:dyDescent="0.2">
      <c r="B877" s="56"/>
      <c r="C877" s="58"/>
      <c r="D877" s="58"/>
      <c r="E877" s="58"/>
      <c r="F877" s="58"/>
      <c r="I877" s="56"/>
      <c r="J877" s="58"/>
      <c r="K877" s="58"/>
      <c r="L877" s="58"/>
      <c r="M877" s="58"/>
    </row>
    <row r="878" spans="2:13" ht="12" x14ac:dyDescent="0.2">
      <c r="B878" s="55"/>
      <c r="C878" s="57"/>
      <c r="D878" s="57"/>
      <c r="E878" s="57"/>
      <c r="F878" s="57"/>
      <c r="I878" s="55"/>
      <c r="J878" s="57"/>
      <c r="K878" s="57"/>
      <c r="L878" s="57"/>
      <c r="M878" s="57"/>
    </row>
    <row r="879" spans="2:13" ht="12" x14ac:dyDescent="0.2">
      <c r="B879" s="56"/>
      <c r="C879" s="58"/>
      <c r="D879" s="58"/>
      <c r="E879" s="58"/>
      <c r="F879" s="58"/>
      <c r="I879" s="56"/>
      <c r="J879" s="58"/>
      <c r="K879" s="58"/>
      <c r="L879" s="58"/>
      <c r="M879" s="58"/>
    </row>
    <row r="880" spans="2:13" ht="12" x14ac:dyDescent="0.2">
      <c r="B880" s="55"/>
      <c r="C880" s="57"/>
      <c r="D880" s="57"/>
      <c r="E880" s="57"/>
      <c r="F880" s="57"/>
      <c r="I880" s="55"/>
      <c r="J880" s="57"/>
      <c r="K880" s="57"/>
      <c r="L880" s="57"/>
      <c r="M880" s="57"/>
    </row>
    <row r="881" spans="2:13" ht="12" x14ac:dyDescent="0.2">
      <c r="B881" s="56"/>
      <c r="C881" s="58"/>
      <c r="D881" s="58"/>
      <c r="E881" s="58"/>
      <c r="F881" s="58"/>
      <c r="I881" s="56"/>
      <c r="J881" s="58"/>
      <c r="K881" s="58"/>
      <c r="L881" s="58"/>
      <c r="M881" s="58"/>
    </row>
    <row r="882" spans="2:13" ht="12" x14ac:dyDescent="0.2">
      <c r="B882" s="55"/>
      <c r="C882" s="57"/>
      <c r="D882" s="57"/>
      <c r="E882" s="57"/>
      <c r="F882" s="57"/>
      <c r="I882" s="55"/>
      <c r="J882" s="57"/>
      <c r="K882" s="57"/>
      <c r="L882" s="57"/>
      <c r="M882" s="57"/>
    </row>
    <row r="883" spans="2:13" ht="12" x14ac:dyDescent="0.2">
      <c r="B883" s="56"/>
      <c r="C883" s="58"/>
      <c r="D883" s="58"/>
      <c r="E883" s="58"/>
      <c r="F883" s="58"/>
      <c r="I883" s="56"/>
      <c r="J883" s="58"/>
      <c r="K883" s="58"/>
      <c r="L883" s="58"/>
      <c r="M883" s="58"/>
    </row>
    <row r="884" spans="2:13" ht="12" x14ac:dyDescent="0.2">
      <c r="B884" s="55"/>
      <c r="C884" s="57"/>
      <c r="D884" s="57"/>
      <c r="E884" s="57"/>
      <c r="F884" s="57"/>
      <c r="I884" s="55"/>
      <c r="J884" s="57"/>
      <c r="K884" s="57"/>
      <c r="L884" s="57"/>
      <c r="M884" s="57"/>
    </row>
    <row r="885" spans="2:13" ht="12" x14ac:dyDescent="0.2">
      <c r="B885" s="56"/>
      <c r="C885" s="58"/>
      <c r="D885" s="58"/>
      <c r="E885" s="58"/>
      <c r="F885" s="58"/>
      <c r="I885" s="56"/>
      <c r="J885" s="58"/>
      <c r="K885" s="58"/>
      <c r="L885" s="58"/>
      <c r="M885" s="58"/>
    </row>
    <row r="886" spans="2:13" ht="12" x14ac:dyDescent="0.2">
      <c r="B886" s="55"/>
      <c r="C886" s="57"/>
      <c r="D886" s="57"/>
      <c r="E886" s="57"/>
      <c r="F886" s="57"/>
      <c r="I886" s="55"/>
      <c r="J886" s="57"/>
      <c r="K886" s="57"/>
      <c r="L886" s="57"/>
      <c r="M886" s="57"/>
    </row>
    <row r="887" spans="2:13" ht="12" x14ac:dyDescent="0.2">
      <c r="B887" s="56"/>
      <c r="C887" s="58"/>
      <c r="D887" s="58"/>
      <c r="E887" s="58"/>
      <c r="F887" s="58"/>
      <c r="I887" s="56"/>
      <c r="J887" s="58"/>
      <c r="K887" s="58"/>
      <c r="L887" s="58"/>
      <c r="M887" s="58"/>
    </row>
    <row r="888" spans="2:13" ht="12" x14ac:dyDescent="0.2">
      <c r="B888" s="55"/>
      <c r="C888" s="57"/>
      <c r="D888" s="57"/>
      <c r="E888" s="57"/>
      <c r="F888" s="57"/>
      <c r="I888" s="55"/>
      <c r="J888" s="57"/>
      <c r="K888" s="57"/>
      <c r="L888" s="57"/>
      <c r="M888" s="57"/>
    </row>
    <row r="889" spans="2:13" ht="12" x14ac:dyDescent="0.2">
      <c r="B889" s="56"/>
      <c r="C889" s="58"/>
      <c r="D889" s="58"/>
      <c r="E889" s="58"/>
      <c r="F889" s="58"/>
      <c r="I889" s="56"/>
      <c r="J889" s="58"/>
      <c r="K889" s="58"/>
      <c r="L889" s="58"/>
      <c r="M889" s="58"/>
    </row>
    <row r="890" spans="2:13" ht="12" x14ac:dyDescent="0.2">
      <c r="B890" s="55"/>
      <c r="C890" s="57"/>
      <c r="D890" s="57"/>
      <c r="E890" s="57"/>
      <c r="F890" s="57"/>
      <c r="I890" s="55"/>
      <c r="J890" s="57"/>
      <c r="K890" s="57"/>
      <c r="L890" s="57"/>
      <c r="M890" s="57"/>
    </row>
    <row r="891" spans="2:13" ht="12" x14ac:dyDescent="0.2">
      <c r="B891" s="56"/>
      <c r="C891" s="58"/>
      <c r="D891" s="58"/>
      <c r="E891" s="58"/>
      <c r="F891" s="58"/>
      <c r="I891" s="56"/>
      <c r="J891" s="58"/>
      <c r="K891" s="58"/>
      <c r="L891" s="58"/>
      <c r="M891" s="58"/>
    </row>
    <row r="892" spans="2:13" ht="12" x14ac:dyDescent="0.2">
      <c r="B892" s="55"/>
      <c r="C892" s="57"/>
      <c r="D892" s="57"/>
      <c r="E892" s="57"/>
      <c r="F892" s="57"/>
      <c r="I892" s="55"/>
      <c r="J892" s="57"/>
      <c r="K892" s="57"/>
      <c r="L892" s="57"/>
      <c r="M892" s="57"/>
    </row>
    <row r="893" spans="2:13" ht="12" x14ac:dyDescent="0.2">
      <c r="B893" s="56"/>
      <c r="C893" s="58"/>
      <c r="D893" s="58"/>
      <c r="E893" s="58"/>
      <c r="F893" s="58"/>
      <c r="I893" s="56"/>
      <c r="J893" s="58"/>
      <c r="K893" s="58"/>
      <c r="L893" s="58"/>
      <c r="M893" s="58"/>
    </row>
    <row r="894" spans="2:13" ht="12" x14ac:dyDescent="0.2">
      <c r="B894" s="55"/>
      <c r="C894" s="57"/>
      <c r="D894" s="57"/>
      <c r="E894" s="57"/>
      <c r="F894" s="57"/>
      <c r="I894" s="55"/>
      <c r="J894" s="57"/>
      <c r="K894" s="57"/>
      <c r="L894" s="57"/>
      <c r="M894" s="57"/>
    </row>
    <row r="895" spans="2:13" ht="12" x14ac:dyDescent="0.2">
      <c r="B895" s="56"/>
      <c r="C895" s="58"/>
      <c r="D895" s="58"/>
      <c r="E895" s="58"/>
      <c r="F895" s="58"/>
      <c r="I895" s="56"/>
      <c r="J895" s="58"/>
      <c r="K895" s="58"/>
      <c r="L895" s="58"/>
      <c r="M895" s="58"/>
    </row>
    <row r="896" spans="2:13" ht="12" x14ac:dyDescent="0.2">
      <c r="B896" s="55"/>
      <c r="C896" s="57"/>
      <c r="D896" s="57"/>
      <c r="E896" s="57"/>
      <c r="F896" s="57"/>
      <c r="I896" s="55"/>
      <c r="J896" s="57"/>
      <c r="K896" s="57"/>
      <c r="L896" s="57"/>
      <c r="M896" s="57"/>
    </row>
    <row r="897" spans="2:13" ht="12" x14ac:dyDescent="0.2">
      <c r="B897" s="56"/>
      <c r="C897" s="58"/>
      <c r="D897" s="58"/>
      <c r="E897" s="58"/>
      <c r="F897" s="58"/>
      <c r="I897" s="56"/>
      <c r="J897" s="58"/>
      <c r="K897" s="58"/>
      <c r="L897" s="58"/>
      <c r="M897" s="58"/>
    </row>
    <row r="898" spans="2:13" ht="12" x14ac:dyDescent="0.2">
      <c r="B898" s="55"/>
      <c r="C898" s="57"/>
      <c r="D898" s="57"/>
      <c r="E898" s="57"/>
      <c r="F898" s="57"/>
      <c r="I898" s="55"/>
      <c r="J898" s="57"/>
      <c r="K898" s="57"/>
      <c r="L898" s="57"/>
      <c r="M898" s="57"/>
    </row>
    <row r="899" spans="2:13" ht="12" x14ac:dyDescent="0.2">
      <c r="B899" s="56"/>
      <c r="C899" s="58"/>
      <c r="D899" s="58"/>
      <c r="E899" s="58"/>
      <c r="F899" s="58"/>
      <c r="I899" s="56"/>
      <c r="J899" s="58"/>
      <c r="K899" s="58"/>
      <c r="L899" s="58"/>
      <c r="M899" s="58"/>
    </row>
    <row r="900" spans="2:13" ht="12" x14ac:dyDescent="0.2">
      <c r="B900" s="55"/>
      <c r="C900" s="57"/>
      <c r="D900" s="57"/>
      <c r="E900" s="57"/>
      <c r="F900" s="57"/>
      <c r="I900" s="55"/>
      <c r="J900" s="57"/>
      <c r="K900" s="57"/>
      <c r="L900" s="57"/>
      <c r="M900" s="57"/>
    </row>
    <row r="901" spans="2:13" ht="12" x14ac:dyDescent="0.2">
      <c r="B901" s="56"/>
      <c r="C901" s="58"/>
      <c r="D901" s="58"/>
      <c r="E901" s="58"/>
      <c r="F901" s="58"/>
      <c r="I901" s="56"/>
      <c r="J901" s="58"/>
      <c r="K901" s="58"/>
      <c r="L901" s="58"/>
      <c r="M901" s="58"/>
    </row>
    <row r="902" spans="2:13" ht="12" x14ac:dyDescent="0.2">
      <c r="B902" s="55"/>
      <c r="C902" s="57"/>
      <c r="D902" s="57"/>
      <c r="E902" s="57"/>
      <c r="F902" s="57"/>
      <c r="I902" s="55"/>
      <c r="J902" s="57"/>
      <c r="K902" s="57"/>
      <c r="L902" s="57"/>
      <c r="M902" s="57"/>
    </row>
    <row r="903" spans="2:13" ht="12" x14ac:dyDescent="0.2">
      <c r="B903" s="56"/>
      <c r="C903" s="58"/>
      <c r="D903" s="58"/>
      <c r="E903" s="58"/>
      <c r="F903" s="58"/>
      <c r="I903" s="56"/>
      <c r="J903" s="58"/>
      <c r="K903" s="58"/>
      <c r="L903" s="58"/>
      <c r="M903" s="58"/>
    </row>
    <row r="904" spans="2:13" ht="12" x14ac:dyDescent="0.2">
      <c r="B904" s="55"/>
      <c r="C904" s="57"/>
      <c r="D904" s="57"/>
      <c r="E904" s="57"/>
      <c r="F904" s="57"/>
      <c r="I904" s="55"/>
      <c r="J904" s="57"/>
      <c r="K904" s="57"/>
      <c r="L904" s="57"/>
      <c r="M904" s="57"/>
    </row>
    <row r="905" spans="2:13" ht="12" x14ac:dyDescent="0.2">
      <c r="B905" s="56"/>
      <c r="C905" s="58"/>
      <c r="D905" s="58"/>
      <c r="E905" s="58"/>
      <c r="F905" s="58"/>
      <c r="I905" s="56"/>
      <c r="J905" s="58"/>
      <c r="K905" s="58"/>
      <c r="L905" s="58"/>
      <c r="M905" s="58"/>
    </row>
    <row r="906" spans="2:13" ht="12" x14ac:dyDescent="0.2">
      <c r="B906" s="55"/>
      <c r="C906" s="57"/>
      <c r="D906" s="57"/>
      <c r="E906" s="57"/>
      <c r="F906" s="57"/>
      <c r="I906" s="55"/>
      <c r="J906" s="57"/>
      <c r="K906" s="57"/>
      <c r="L906" s="57"/>
      <c r="M906" s="57"/>
    </row>
    <row r="907" spans="2:13" ht="12" x14ac:dyDescent="0.2">
      <c r="B907" s="56"/>
      <c r="C907" s="58"/>
      <c r="D907" s="58"/>
      <c r="E907" s="58"/>
      <c r="F907" s="58"/>
      <c r="I907" s="56"/>
      <c r="J907" s="58"/>
      <c r="K907" s="58"/>
      <c r="L907" s="58"/>
      <c r="M907" s="58"/>
    </row>
    <row r="908" spans="2:13" ht="12" x14ac:dyDescent="0.2">
      <c r="B908" s="55"/>
      <c r="C908" s="57"/>
      <c r="D908" s="57"/>
      <c r="E908" s="57"/>
      <c r="F908" s="57"/>
      <c r="I908" s="55"/>
      <c r="J908" s="57"/>
      <c r="K908" s="57"/>
      <c r="L908" s="57"/>
      <c r="M908" s="57"/>
    </row>
    <row r="909" spans="2:13" ht="12" x14ac:dyDescent="0.2">
      <c r="B909" s="56"/>
      <c r="C909" s="58"/>
      <c r="D909" s="58"/>
      <c r="E909" s="58"/>
      <c r="F909" s="58"/>
      <c r="I909" s="56"/>
      <c r="J909" s="58"/>
      <c r="K909" s="58"/>
      <c r="L909" s="58"/>
      <c r="M909" s="58"/>
    </row>
    <row r="910" spans="2:13" ht="12" x14ac:dyDescent="0.2">
      <c r="B910" s="55"/>
      <c r="C910" s="57"/>
      <c r="D910" s="57"/>
      <c r="E910" s="57"/>
      <c r="F910" s="57"/>
      <c r="I910" s="55"/>
      <c r="J910" s="57"/>
      <c r="K910" s="57"/>
      <c r="L910" s="57"/>
      <c r="M910" s="57"/>
    </row>
    <row r="911" spans="2:13" ht="12" x14ac:dyDescent="0.2">
      <c r="B911" s="56"/>
      <c r="C911" s="58"/>
      <c r="D911" s="58"/>
      <c r="E911" s="58"/>
      <c r="F911" s="58"/>
      <c r="I911" s="56"/>
      <c r="J911" s="58"/>
      <c r="K911" s="58"/>
      <c r="L911" s="58"/>
      <c r="M911" s="58"/>
    </row>
    <row r="912" spans="2:13" ht="12" x14ac:dyDescent="0.2">
      <c r="B912" s="55"/>
      <c r="C912" s="57"/>
      <c r="D912" s="57"/>
      <c r="E912" s="57"/>
      <c r="F912" s="57"/>
      <c r="I912" s="55"/>
      <c r="J912" s="57"/>
      <c r="K912" s="57"/>
      <c r="L912" s="57"/>
      <c r="M912" s="57"/>
    </row>
    <row r="913" spans="2:13" ht="12" x14ac:dyDescent="0.2">
      <c r="B913" s="56"/>
      <c r="C913" s="58"/>
      <c r="D913" s="58"/>
      <c r="E913" s="58"/>
      <c r="F913" s="58"/>
      <c r="I913" s="56"/>
      <c r="J913" s="58"/>
      <c r="K913" s="58"/>
      <c r="L913" s="58"/>
      <c r="M913" s="58"/>
    </row>
    <row r="914" spans="2:13" ht="12" x14ac:dyDescent="0.2">
      <c r="B914" s="55"/>
      <c r="C914" s="57"/>
      <c r="D914" s="57"/>
      <c r="E914" s="57"/>
      <c r="F914" s="57"/>
      <c r="I914" s="55"/>
      <c r="J914" s="57"/>
      <c r="K914" s="57"/>
      <c r="L914" s="57"/>
      <c r="M914" s="57"/>
    </row>
    <row r="915" spans="2:13" ht="12" x14ac:dyDescent="0.2">
      <c r="B915" s="56"/>
      <c r="C915" s="58"/>
      <c r="D915" s="58"/>
      <c r="E915" s="58"/>
      <c r="F915" s="58"/>
      <c r="I915" s="56"/>
      <c r="J915" s="58"/>
      <c r="K915" s="58"/>
      <c r="L915" s="58"/>
      <c r="M915" s="58"/>
    </row>
    <row r="916" spans="2:13" ht="12" x14ac:dyDescent="0.2">
      <c r="B916" s="55"/>
      <c r="C916" s="57"/>
      <c r="D916" s="57"/>
      <c r="E916" s="57"/>
      <c r="F916" s="57"/>
      <c r="I916" s="55"/>
      <c r="J916" s="57"/>
      <c r="K916" s="57"/>
      <c r="L916" s="57"/>
      <c r="M916" s="57"/>
    </row>
    <row r="917" spans="2:13" ht="12" x14ac:dyDescent="0.2">
      <c r="B917" s="56"/>
      <c r="C917" s="58"/>
      <c r="D917" s="58"/>
      <c r="E917" s="58"/>
      <c r="F917" s="58"/>
      <c r="I917" s="56"/>
      <c r="J917" s="58"/>
      <c r="K917" s="58"/>
      <c r="L917" s="58"/>
      <c r="M917" s="58"/>
    </row>
    <row r="918" spans="2:13" ht="12" x14ac:dyDescent="0.2">
      <c r="B918" s="55"/>
      <c r="C918" s="57"/>
      <c r="D918" s="57"/>
      <c r="E918" s="57"/>
      <c r="F918" s="57"/>
      <c r="I918" s="55"/>
      <c r="J918" s="57"/>
      <c r="K918" s="57"/>
      <c r="L918" s="57"/>
      <c r="M918" s="57"/>
    </row>
    <row r="919" spans="2:13" ht="12" x14ac:dyDescent="0.2">
      <c r="B919" s="56"/>
      <c r="C919" s="58"/>
      <c r="D919" s="58"/>
      <c r="E919" s="58"/>
      <c r="F919" s="58"/>
      <c r="I919" s="56"/>
      <c r="J919" s="58"/>
      <c r="K919" s="58"/>
      <c r="L919" s="58"/>
      <c r="M919" s="58"/>
    </row>
    <row r="920" spans="2:13" ht="12" x14ac:dyDescent="0.2">
      <c r="B920" s="55"/>
      <c r="C920" s="57"/>
      <c r="D920" s="57"/>
      <c r="E920" s="57"/>
      <c r="F920" s="57"/>
      <c r="I920" s="55"/>
      <c r="J920" s="57"/>
      <c r="K920" s="57"/>
      <c r="L920" s="57"/>
      <c r="M920" s="57"/>
    </row>
    <row r="921" spans="2:13" ht="12" x14ac:dyDescent="0.2">
      <c r="B921" s="56"/>
      <c r="C921" s="58"/>
      <c r="D921" s="58"/>
      <c r="E921" s="58"/>
      <c r="F921" s="58"/>
      <c r="I921" s="56"/>
      <c r="J921" s="58"/>
      <c r="K921" s="58"/>
      <c r="L921" s="58"/>
      <c r="M921" s="58"/>
    </row>
    <row r="922" spans="2:13" ht="12" x14ac:dyDescent="0.2">
      <c r="B922" s="55"/>
      <c r="C922" s="57"/>
      <c r="D922" s="57"/>
      <c r="E922" s="57"/>
      <c r="F922" s="57"/>
      <c r="I922" s="55"/>
      <c r="J922" s="57"/>
      <c r="K922" s="57"/>
      <c r="L922" s="57"/>
      <c r="M922" s="57"/>
    </row>
    <row r="923" spans="2:13" ht="12" x14ac:dyDescent="0.2">
      <c r="B923" s="56"/>
      <c r="C923" s="58"/>
      <c r="D923" s="58"/>
      <c r="E923" s="58"/>
      <c r="F923" s="58"/>
      <c r="I923" s="56"/>
      <c r="J923" s="58"/>
      <c r="K923" s="58"/>
      <c r="L923" s="58"/>
      <c r="M923" s="58"/>
    </row>
    <row r="924" spans="2:13" ht="12" x14ac:dyDescent="0.2">
      <c r="B924" s="55"/>
      <c r="C924" s="57"/>
      <c r="D924" s="57"/>
      <c r="E924" s="57"/>
      <c r="F924" s="57"/>
      <c r="I924" s="55"/>
      <c r="J924" s="57"/>
      <c r="K924" s="57"/>
      <c r="L924" s="57"/>
      <c r="M924" s="57"/>
    </row>
    <row r="925" spans="2:13" ht="12" x14ac:dyDescent="0.2">
      <c r="B925" s="56"/>
      <c r="C925" s="58"/>
      <c r="D925" s="58"/>
      <c r="E925" s="58"/>
      <c r="F925" s="58"/>
      <c r="I925" s="56"/>
      <c r="J925" s="58"/>
      <c r="K925" s="58"/>
      <c r="L925" s="58"/>
      <c r="M925" s="58"/>
    </row>
    <row r="926" spans="2:13" ht="12" x14ac:dyDescent="0.2">
      <c r="B926" s="55"/>
      <c r="C926" s="57"/>
      <c r="D926" s="57"/>
      <c r="E926" s="57"/>
      <c r="F926" s="57"/>
      <c r="I926" s="55"/>
      <c r="J926" s="57"/>
      <c r="K926" s="57"/>
      <c r="L926" s="57"/>
      <c r="M926" s="57"/>
    </row>
    <row r="927" spans="2:13" ht="12" x14ac:dyDescent="0.2">
      <c r="B927" s="56"/>
      <c r="C927" s="58"/>
      <c r="D927" s="58"/>
      <c r="E927" s="58"/>
      <c r="F927" s="58"/>
      <c r="I927" s="56"/>
      <c r="J927" s="58"/>
      <c r="K927" s="58"/>
      <c r="L927" s="58"/>
      <c r="M927" s="58"/>
    </row>
    <row r="928" spans="2:13" ht="12" x14ac:dyDescent="0.2">
      <c r="B928" s="55"/>
      <c r="C928" s="57"/>
      <c r="D928" s="57"/>
      <c r="E928" s="57"/>
      <c r="F928" s="57"/>
      <c r="I928" s="55"/>
      <c r="J928" s="57"/>
      <c r="K928" s="57"/>
      <c r="L928" s="57"/>
      <c r="M928" s="57"/>
    </row>
    <row r="929" spans="2:13" ht="12" x14ac:dyDescent="0.2">
      <c r="B929" s="56"/>
      <c r="C929" s="58"/>
      <c r="D929" s="58"/>
      <c r="E929" s="58"/>
      <c r="F929" s="58"/>
      <c r="I929" s="56"/>
      <c r="J929" s="58"/>
      <c r="K929" s="58"/>
      <c r="L929" s="58"/>
      <c r="M929" s="58"/>
    </row>
    <row r="930" spans="2:13" ht="12" x14ac:dyDescent="0.2">
      <c r="B930" s="55"/>
      <c r="C930" s="57"/>
      <c r="D930" s="57"/>
      <c r="E930" s="57"/>
      <c r="F930" s="57"/>
      <c r="I930" s="55"/>
      <c r="J930" s="57"/>
      <c r="K930" s="57"/>
      <c r="L930" s="57"/>
      <c r="M930" s="57"/>
    </row>
    <row r="931" spans="2:13" ht="12" x14ac:dyDescent="0.2">
      <c r="B931" s="56"/>
      <c r="C931" s="58"/>
      <c r="D931" s="58"/>
      <c r="E931" s="58"/>
      <c r="F931" s="58"/>
      <c r="I931" s="56"/>
      <c r="J931" s="58"/>
      <c r="K931" s="58"/>
      <c r="L931" s="58"/>
      <c r="M931" s="58"/>
    </row>
    <row r="932" spans="2:13" ht="12" x14ac:dyDescent="0.2">
      <c r="B932" s="55"/>
      <c r="C932" s="57"/>
      <c r="D932" s="57"/>
      <c r="E932" s="57"/>
      <c r="F932" s="57"/>
      <c r="I932" s="55"/>
      <c r="J932" s="57"/>
      <c r="K932" s="57"/>
      <c r="L932" s="57"/>
      <c r="M932" s="57"/>
    </row>
    <row r="933" spans="2:13" ht="12" x14ac:dyDescent="0.2">
      <c r="B933" s="56"/>
      <c r="C933" s="58"/>
      <c r="D933" s="58"/>
      <c r="E933" s="58"/>
      <c r="F933" s="58"/>
      <c r="I933" s="56"/>
      <c r="J933" s="58"/>
      <c r="K933" s="58"/>
      <c r="L933" s="58"/>
      <c r="M933" s="58"/>
    </row>
    <row r="934" spans="2:13" ht="12" x14ac:dyDescent="0.2">
      <c r="B934" s="55"/>
      <c r="C934" s="57"/>
      <c r="D934" s="57"/>
      <c r="E934" s="57"/>
      <c r="F934" s="57"/>
      <c r="I934" s="55"/>
      <c r="J934" s="57"/>
      <c r="K934" s="57"/>
      <c r="L934" s="57"/>
      <c r="M934" s="57"/>
    </row>
    <row r="935" spans="2:13" ht="12" x14ac:dyDescent="0.2">
      <c r="B935" s="56"/>
      <c r="C935" s="58"/>
      <c r="D935" s="58"/>
      <c r="E935" s="58"/>
      <c r="F935" s="58"/>
      <c r="I935" s="56"/>
      <c r="J935" s="58"/>
      <c r="K935" s="58"/>
      <c r="L935" s="58"/>
      <c r="M935" s="58"/>
    </row>
    <row r="936" spans="2:13" ht="12" x14ac:dyDescent="0.2">
      <c r="B936" s="55"/>
      <c r="C936" s="57"/>
      <c r="D936" s="57"/>
      <c r="E936" s="57"/>
      <c r="F936" s="57"/>
      <c r="I936" s="55"/>
      <c r="J936" s="57"/>
      <c r="K936" s="57"/>
      <c r="L936" s="57"/>
      <c r="M936" s="57"/>
    </row>
    <row r="937" spans="2:13" ht="12" x14ac:dyDescent="0.2">
      <c r="B937" s="56"/>
      <c r="C937" s="58"/>
      <c r="D937" s="58"/>
      <c r="E937" s="58"/>
      <c r="F937" s="58"/>
      <c r="I937" s="56"/>
      <c r="J937" s="58"/>
      <c r="K937" s="58"/>
      <c r="L937" s="58"/>
      <c r="M937" s="58"/>
    </row>
    <row r="938" spans="2:13" ht="12" x14ac:dyDescent="0.2">
      <c r="B938" s="55"/>
      <c r="C938" s="57"/>
      <c r="D938" s="57"/>
      <c r="E938" s="57"/>
      <c r="F938" s="57"/>
      <c r="I938" s="55"/>
      <c r="J938" s="57"/>
      <c r="K938" s="57"/>
      <c r="L938" s="57"/>
      <c r="M938" s="57"/>
    </row>
    <row r="939" spans="2:13" ht="12" x14ac:dyDescent="0.2">
      <c r="B939" s="56"/>
      <c r="C939" s="58"/>
      <c r="D939" s="58"/>
      <c r="E939" s="58"/>
      <c r="F939" s="58"/>
      <c r="I939" s="56"/>
      <c r="J939" s="58"/>
      <c r="K939" s="58"/>
      <c r="L939" s="58"/>
      <c r="M939" s="58"/>
    </row>
    <row r="940" spans="2:13" ht="12" x14ac:dyDescent="0.2">
      <c r="B940" s="55"/>
      <c r="C940" s="57"/>
      <c r="D940" s="57"/>
      <c r="E940" s="57"/>
      <c r="F940" s="57"/>
      <c r="I940" s="55"/>
      <c r="J940" s="57"/>
      <c r="K940" s="57"/>
      <c r="L940" s="57"/>
      <c r="M940" s="57"/>
    </row>
    <row r="941" spans="2:13" ht="12" x14ac:dyDescent="0.2">
      <c r="B941" s="56"/>
      <c r="C941" s="58"/>
      <c r="D941" s="58"/>
      <c r="E941" s="58"/>
      <c r="F941" s="58"/>
      <c r="I941" s="56"/>
      <c r="J941" s="58"/>
      <c r="K941" s="58"/>
      <c r="L941" s="58"/>
      <c r="M941" s="58"/>
    </row>
    <row r="942" spans="2:13" ht="12" x14ac:dyDescent="0.2">
      <c r="B942" s="55"/>
      <c r="C942" s="57"/>
      <c r="D942" s="57"/>
      <c r="E942" s="57"/>
      <c r="F942" s="57"/>
      <c r="I942" s="55"/>
      <c r="J942" s="57"/>
      <c r="K942" s="57"/>
      <c r="L942" s="57"/>
      <c r="M942" s="57"/>
    </row>
    <row r="943" spans="2:13" ht="12" x14ac:dyDescent="0.2">
      <c r="B943" s="56"/>
      <c r="C943" s="58"/>
      <c r="D943" s="58"/>
      <c r="E943" s="58"/>
      <c r="F943" s="58"/>
      <c r="I943" s="56"/>
      <c r="J943" s="58"/>
      <c r="K943" s="58"/>
      <c r="L943" s="58"/>
      <c r="M943" s="58"/>
    </row>
    <row r="944" spans="2:13" ht="12" x14ac:dyDescent="0.2">
      <c r="B944" s="55"/>
      <c r="C944" s="57"/>
      <c r="D944" s="57"/>
      <c r="E944" s="57"/>
      <c r="F944" s="57"/>
      <c r="I944" s="55"/>
      <c r="J944" s="57"/>
      <c r="K944" s="57"/>
      <c r="L944" s="57"/>
      <c r="M944" s="57"/>
    </row>
    <row r="945" spans="2:13" ht="12" x14ac:dyDescent="0.2">
      <c r="B945" s="56"/>
      <c r="C945" s="58"/>
      <c r="D945" s="58"/>
      <c r="E945" s="58"/>
      <c r="F945" s="58"/>
      <c r="I945" s="56"/>
      <c r="J945" s="58"/>
      <c r="K945" s="58"/>
      <c r="L945" s="58"/>
      <c r="M945" s="58"/>
    </row>
    <row r="946" spans="2:13" ht="12" x14ac:dyDescent="0.2">
      <c r="B946" s="55"/>
      <c r="C946" s="57"/>
      <c r="D946" s="57"/>
      <c r="E946" s="57"/>
      <c r="F946" s="57"/>
      <c r="I946" s="55"/>
      <c r="J946" s="57"/>
      <c r="K946" s="57"/>
      <c r="L946" s="57"/>
      <c r="M946" s="57"/>
    </row>
    <row r="947" spans="2:13" ht="12" x14ac:dyDescent="0.2">
      <c r="B947" s="56"/>
      <c r="C947" s="58"/>
      <c r="D947" s="58"/>
      <c r="E947" s="58"/>
      <c r="F947" s="58"/>
      <c r="I947" s="56"/>
      <c r="J947" s="58"/>
      <c r="K947" s="58"/>
      <c r="L947" s="58"/>
      <c r="M947" s="58"/>
    </row>
    <row r="948" spans="2:13" ht="12" x14ac:dyDescent="0.2">
      <c r="B948" s="55"/>
      <c r="C948" s="57"/>
      <c r="D948" s="57"/>
      <c r="E948" s="57"/>
      <c r="F948" s="57"/>
      <c r="I948" s="55"/>
      <c r="J948" s="57"/>
      <c r="K948" s="57"/>
      <c r="L948" s="57"/>
      <c r="M948" s="57"/>
    </row>
    <row r="949" spans="2:13" ht="12" x14ac:dyDescent="0.2">
      <c r="B949" s="56"/>
      <c r="C949" s="58"/>
      <c r="D949" s="58"/>
      <c r="E949" s="58"/>
      <c r="F949" s="58"/>
      <c r="I949" s="56"/>
      <c r="J949" s="58"/>
      <c r="K949" s="58"/>
      <c r="L949" s="58"/>
      <c r="M949" s="58"/>
    </row>
    <row r="950" spans="2:13" ht="12" x14ac:dyDescent="0.2">
      <c r="B950" s="55"/>
      <c r="C950" s="57"/>
      <c r="D950" s="57"/>
      <c r="E950" s="57"/>
      <c r="F950" s="57"/>
      <c r="I950" s="55"/>
      <c r="J950" s="57"/>
      <c r="K950" s="57"/>
      <c r="L950" s="57"/>
      <c r="M950" s="57"/>
    </row>
    <row r="951" spans="2:13" ht="12" x14ac:dyDescent="0.2">
      <c r="B951" s="56"/>
      <c r="C951" s="58"/>
      <c r="D951" s="58"/>
      <c r="E951" s="58"/>
      <c r="F951" s="58"/>
      <c r="I951" s="56"/>
      <c r="J951" s="58"/>
      <c r="K951" s="58"/>
      <c r="L951" s="58"/>
      <c r="M951" s="58"/>
    </row>
    <row r="952" spans="2:13" ht="12" x14ac:dyDescent="0.2">
      <c r="B952" s="55"/>
      <c r="C952" s="57"/>
      <c r="D952" s="57"/>
      <c r="E952" s="57"/>
      <c r="F952" s="57"/>
      <c r="I952" s="55"/>
      <c r="J952" s="57"/>
      <c r="K952" s="57"/>
      <c r="L952" s="57"/>
      <c r="M952" s="57"/>
    </row>
    <row r="953" spans="2:13" ht="12" x14ac:dyDescent="0.2">
      <c r="B953" s="56"/>
      <c r="C953" s="58"/>
      <c r="D953" s="58"/>
      <c r="E953" s="58"/>
      <c r="F953" s="58"/>
      <c r="I953" s="56"/>
      <c r="J953" s="58"/>
      <c r="K953" s="58"/>
      <c r="L953" s="58"/>
      <c r="M953" s="58"/>
    </row>
    <row r="954" spans="2:13" ht="12" x14ac:dyDescent="0.2">
      <c r="B954" s="55"/>
      <c r="C954" s="57"/>
      <c r="D954" s="57"/>
      <c r="E954" s="57"/>
      <c r="F954" s="57"/>
      <c r="I954" s="55"/>
      <c r="J954" s="57"/>
      <c r="K954" s="57"/>
      <c r="L954" s="57"/>
      <c r="M954" s="57"/>
    </row>
    <row r="955" spans="2:13" ht="12" x14ac:dyDescent="0.2">
      <c r="B955" s="56"/>
      <c r="C955" s="58"/>
      <c r="D955" s="58"/>
      <c r="E955" s="58"/>
      <c r="F955" s="58"/>
      <c r="I955" s="56"/>
      <c r="J955" s="58"/>
      <c r="K955" s="58"/>
      <c r="L955" s="58"/>
      <c r="M955" s="58"/>
    </row>
    <row r="956" spans="2:13" ht="12" x14ac:dyDescent="0.2">
      <c r="B956" s="55"/>
      <c r="C956" s="57"/>
      <c r="D956" s="57"/>
      <c r="E956" s="57"/>
      <c r="F956" s="57"/>
      <c r="I956" s="55"/>
      <c r="J956" s="57"/>
      <c r="K956" s="57"/>
      <c r="L956" s="57"/>
      <c r="M956" s="57"/>
    </row>
    <row r="957" spans="2:13" ht="12" x14ac:dyDescent="0.2">
      <c r="B957" s="56"/>
      <c r="C957" s="58"/>
      <c r="D957" s="58"/>
      <c r="E957" s="58"/>
      <c r="F957" s="58"/>
      <c r="I957" s="56"/>
      <c r="J957" s="58"/>
      <c r="K957" s="58"/>
      <c r="L957" s="58"/>
      <c r="M957" s="58"/>
    </row>
    <row r="958" spans="2:13" ht="12" x14ac:dyDescent="0.2">
      <c r="B958" s="55"/>
      <c r="C958" s="57"/>
      <c r="D958" s="57"/>
      <c r="E958" s="57"/>
      <c r="F958" s="57"/>
      <c r="I958" s="55"/>
      <c r="J958" s="57"/>
      <c r="K958" s="57"/>
      <c r="L958" s="57"/>
      <c r="M958" s="57"/>
    </row>
    <row r="959" spans="2:13" ht="12" x14ac:dyDescent="0.2">
      <c r="B959" s="56"/>
      <c r="C959" s="58"/>
      <c r="D959" s="58"/>
      <c r="E959" s="58"/>
      <c r="F959" s="58"/>
      <c r="I959" s="56"/>
      <c r="J959" s="58"/>
      <c r="K959" s="58"/>
      <c r="L959" s="58"/>
      <c r="M959" s="58"/>
    </row>
    <row r="960" spans="2:13" ht="12" x14ac:dyDescent="0.2">
      <c r="B960" s="55"/>
      <c r="C960" s="57"/>
      <c r="D960" s="57"/>
      <c r="E960" s="57"/>
      <c r="F960" s="57"/>
      <c r="I960" s="55"/>
      <c r="J960" s="57"/>
      <c r="K960" s="57"/>
      <c r="L960" s="57"/>
      <c r="M960" s="57"/>
    </row>
    <row r="961" spans="2:13" ht="12" x14ac:dyDescent="0.2">
      <c r="B961" s="56"/>
      <c r="C961" s="58"/>
      <c r="D961" s="58"/>
      <c r="E961" s="58"/>
      <c r="F961" s="58"/>
      <c r="I961" s="56"/>
      <c r="J961" s="58"/>
      <c r="K961" s="58"/>
      <c r="L961" s="58"/>
      <c r="M961" s="58"/>
    </row>
    <row r="962" spans="2:13" ht="12" x14ac:dyDescent="0.2">
      <c r="B962" s="55"/>
      <c r="C962" s="57"/>
      <c r="D962" s="57"/>
      <c r="E962" s="57"/>
      <c r="F962" s="57"/>
      <c r="I962" s="55"/>
      <c r="J962" s="57"/>
      <c r="K962" s="57"/>
      <c r="L962" s="57"/>
      <c r="M962" s="57"/>
    </row>
    <row r="963" spans="2:13" ht="12" x14ac:dyDescent="0.2">
      <c r="B963" s="56"/>
      <c r="C963" s="58"/>
      <c r="D963" s="58"/>
      <c r="E963" s="58"/>
      <c r="F963" s="58"/>
      <c r="I963" s="56"/>
      <c r="J963" s="58"/>
      <c r="K963" s="58"/>
      <c r="L963" s="58"/>
      <c r="M963" s="58"/>
    </row>
    <row r="964" spans="2:13" ht="12" x14ac:dyDescent="0.2">
      <c r="B964" s="55"/>
      <c r="C964" s="57"/>
      <c r="D964" s="57"/>
      <c r="E964" s="57"/>
      <c r="F964" s="57"/>
      <c r="I964" s="55"/>
      <c r="J964" s="57"/>
      <c r="K964" s="57"/>
      <c r="L964" s="57"/>
      <c r="M964" s="57"/>
    </row>
    <row r="965" spans="2:13" ht="12" x14ac:dyDescent="0.2">
      <c r="B965" s="56"/>
      <c r="C965" s="58"/>
      <c r="D965" s="58"/>
      <c r="E965" s="58"/>
      <c r="F965" s="58"/>
      <c r="I965" s="56"/>
      <c r="J965" s="58"/>
      <c r="K965" s="58"/>
      <c r="L965" s="58"/>
      <c r="M965" s="58"/>
    </row>
    <row r="966" spans="2:13" ht="12" x14ac:dyDescent="0.2">
      <c r="B966" s="55"/>
      <c r="C966" s="57"/>
      <c r="D966" s="57"/>
      <c r="E966" s="57"/>
      <c r="F966" s="57"/>
      <c r="I966" s="55"/>
      <c r="J966" s="57"/>
      <c r="K966" s="57"/>
      <c r="L966" s="57"/>
      <c r="M966" s="57"/>
    </row>
    <row r="967" spans="2:13" ht="12" x14ac:dyDescent="0.2">
      <c r="B967" s="56"/>
      <c r="C967" s="58"/>
      <c r="D967" s="58"/>
      <c r="E967" s="58"/>
      <c r="F967" s="58"/>
      <c r="I967" s="56"/>
      <c r="J967" s="58"/>
      <c r="K967" s="58"/>
      <c r="L967" s="58"/>
      <c r="M967" s="58"/>
    </row>
    <row r="968" spans="2:13" ht="12" x14ac:dyDescent="0.2">
      <c r="B968" s="55"/>
      <c r="C968" s="57"/>
      <c r="D968" s="57"/>
      <c r="E968" s="57"/>
      <c r="F968" s="57"/>
      <c r="I968" s="55"/>
      <c r="J968" s="57"/>
      <c r="K968" s="57"/>
      <c r="L968" s="57"/>
      <c r="M968" s="57"/>
    </row>
    <row r="969" spans="2:13" ht="12" x14ac:dyDescent="0.2">
      <c r="B969" s="56"/>
      <c r="C969" s="58"/>
      <c r="D969" s="58"/>
      <c r="E969" s="58"/>
      <c r="F969" s="58"/>
      <c r="I969" s="56"/>
      <c r="J969" s="58"/>
      <c r="K969" s="58"/>
      <c r="L969" s="58"/>
      <c r="M969" s="58"/>
    </row>
    <row r="970" spans="2:13" ht="12" x14ac:dyDescent="0.2">
      <c r="B970" s="55"/>
      <c r="C970" s="57"/>
      <c r="D970" s="57"/>
      <c r="E970" s="57"/>
      <c r="F970" s="57"/>
      <c r="I970" s="55"/>
      <c r="J970" s="57"/>
      <c r="K970" s="57"/>
      <c r="L970" s="57"/>
      <c r="M970" s="57"/>
    </row>
    <row r="971" spans="2:13" ht="12" x14ac:dyDescent="0.2">
      <c r="B971" s="56"/>
      <c r="C971" s="58"/>
      <c r="D971" s="58"/>
      <c r="E971" s="58"/>
      <c r="F971" s="58"/>
      <c r="I971" s="56"/>
      <c r="J971" s="58"/>
      <c r="K971" s="58"/>
      <c r="L971" s="58"/>
      <c r="M971" s="58"/>
    </row>
    <row r="972" spans="2:13" ht="12" x14ac:dyDescent="0.2">
      <c r="B972" s="55"/>
      <c r="C972" s="57"/>
      <c r="D972" s="57"/>
      <c r="E972" s="57"/>
      <c r="F972" s="57"/>
      <c r="I972" s="55"/>
      <c r="J972" s="57"/>
      <c r="K972" s="57"/>
      <c r="L972" s="57"/>
      <c r="M972" s="57"/>
    </row>
    <row r="973" spans="2:13" ht="12" x14ac:dyDescent="0.2">
      <c r="B973" s="56"/>
      <c r="C973" s="58"/>
      <c r="D973" s="58"/>
      <c r="E973" s="58"/>
      <c r="F973" s="58"/>
      <c r="I973" s="56"/>
      <c r="J973" s="58"/>
      <c r="K973" s="58"/>
      <c r="L973" s="58"/>
      <c r="M973" s="58"/>
    </row>
    <row r="974" spans="2:13" ht="12" x14ac:dyDescent="0.2">
      <c r="B974" s="55"/>
      <c r="C974" s="57"/>
      <c r="D974" s="57"/>
      <c r="E974" s="57"/>
      <c r="F974" s="57"/>
      <c r="I974" s="55"/>
      <c r="J974" s="57"/>
      <c r="K974" s="57"/>
      <c r="L974" s="57"/>
      <c r="M974" s="57"/>
    </row>
    <row r="975" spans="2:13" ht="12" x14ac:dyDescent="0.2">
      <c r="B975" s="56"/>
      <c r="C975" s="58"/>
      <c r="D975" s="58"/>
      <c r="E975" s="58"/>
      <c r="F975" s="58"/>
      <c r="I975" s="56"/>
      <c r="J975" s="58"/>
      <c r="K975" s="58"/>
      <c r="L975" s="58"/>
      <c r="M975" s="58"/>
    </row>
    <row r="976" spans="2:13" ht="12" x14ac:dyDescent="0.2">
      <c r="B976" s="55"/>
      <c r="C976" s="57"/>
      <c r="D976" s="57"/>
      <c r="E976" s="57"/>
      <c r="F976" s="57"/>
      <c r="I976" s="55"/>
      <c r="J976" s="57"/>
      <c r="K976" s="57"/>
      <c r="L976" s="57"/>
      <c r="M976" s="57"/>
    </row>
    <row r="977" spans="2:13" ht="12" x14ac:dyDescent="0.2">
      <c r="B977" s="56"/>
      <c r="C977" s="58"/>
      <c r="D977" s="58"/>
      <c r="E977" s="58"/>
      <c r="F977" s="58"/>
      <c r="I977" s="56"/>
      <c r="J977" s="58"/>
      <c r="K977" s="58"/>
      <c r="L977" s="58"/>
      <c r="M977" s="58"/>
    </row>
    <row r="978" spans="2:13" ht="12" x14ac:dyDescent="0.2">
      <c r="B978" s="55"/>
      <c r="C978" s="57"/>
      <c r="D978" s="57"/>
      <c r="E978" s="57"/>
      <c r="F978" s="57"/>
      <c r="I978" s="55"/>
      <c r="J978" s="57"/>
      <c r="K978" s="57"/>
      <c r="L978" s="57"/>
      <c r="M978" s="57"/>
    </row>
    <row r="979" spans="2:13" ht="12" x14ac:dyDescent="0.2">
      <c r="B979" s="56"/>
      <c r="C979" s="58"/>
      <c r="D979" s="58"/>
      <c r="E979" s="58"/>
      <c r="F979" s="58"/>
      <c r="I979" s="56"/>
      <c r="J979" s="58"/>
      <c r="K979" s="58"/>
      <c r="L979" s="58"/>
      <c r="M979" s="58"/>
    </row>
    <row r="980" spans="2:13" ht="12" x14ac:dyDescent="0.2">
      <c r="B980" s="55"/>
      <c r="C980" s="57"/>
      <c r="D980" s="57"/>
      <c r="E980" s="57"/>
      <c r="F980" s="57"/>
      <c r="I980" s="55"/>
      <c r="J980" s="57"/>
      <c r="K980" s="57"/>
      <c r="L980" s="57"/>
      <c r="M980" s="57"/>
    </row>
    <row r="981" spans="2:13" ht="12" x14ac:dyDescent="0.2">
      <c r="B981" s="56"/>
      <c r="C981" s="58"/>
      <c r="D981" s="58"/>
      <c r="E981" s="58"/>
      <c r="F981" s="58"/>
      <c r="I981" s="56"/>
      <c r="J981" s="58"/>
      <c r="K981" s="58"/>
      <c r="L981" s="58"/>
      <c r="M981" s="58"/>
    </row>
    <row r="982" spans="2:13" ht="12" x14ac:dyDescent="0.2">
      <c r="B982" s="55"/>
      <c r="C982" s="57"/>
      <c r="D982" s="57"/>
      <c r="E982" s="57"/>
      <c r="F982" s="57"/>
      <c r="I982" s="55"/>
      <c r="J982" s="57"/>
      <c r="K982" s="57"/>
      <c r="L982" s="57"/>
      <c r="M982" s="57"/>
    </row>
    <row r="983" spans="2:13" ht="12" x14ac:dyDescent="0.2">
      <c r="B983" s="56"/>
      <c r="C983" s="58"/>
      <c r="D983" s="58"/>
      <c r="E983" s="58"/>
      <c r="F983" s="58"/>
      <c r="I983" s="56"/>
      <c r="J983" s="58"/>
      <c r="K983" s="58"/>
      <c r="L983" s="58"/>
      <c r="M983" s="58"/>
    </row>
    <row r="984" spans="2:13" ht="12" x14ac:dyDescent="0.2">
      <c r="B984" s="55"/>
      <c r="C984" s="57"/>
      <c r="D984" s="57"/>
      <c r="E984" s="57"/>
      <c r="F984" s="57"/>
      <c r="I984" s="55"/>
      <c r="J984" s="57"/>
      <c r="K984" s="57"/>
      <c r="L984" s="57"/>
      <c r="M984" s="57"/>
    </row>
    <row r="985" spans="2:13" ht="12" x14ac:dyDescent="0.2">
      <c r="B985" s="56"/>
      <c r="C985" s="58"/>
      <c r="D985" s="58"/>
      <c r="E985" s="58"/>
      <c r="F985" s="58"/>
      <c r="I985" s="56"/>
      <c r="J985" s="58"/>
      <c r="K985" s="58"/>
      <c r="L985" s="58"/>
      <c r="M985" s="58"/>
    </row>
    <row r="986" spans="2:13" ht="12" x14ac:dyDescent="0.2">
      <c r="B986" s="55"/>
      <c r="C986" s="57"/>
      <c r="D986" s="57"/>
      <c r="E986" s="57"/>
      <c r="F986" s="57"/>
      <c r="I986" s="55"/>
      <c r="J986" s="57"/>
      <c r="K986" s="57"/>
      <c r="L986" s="57"/>
      <c r="M986" s="57"/>
    </row>
    <row r="987" spans="2:13" ht="12" x14ac:dyDescent="0.2">
      <c r="B987" s="56"/>
      <c r="C987" s="58"/>
      <c r="D987" s="58"/>
      <c r="E987" s="58"/>
      <c r="F987" s="58"/>
      <c r="I987" s="56"/>
      <c r="J987" s="58"/>
      <c r="K987" s="58"/>
      <c r="L987" s="58"/>
      <c r="M987" s="58"/>
    </row>
    <row r="988" spans="2:13" ht="12" x14ac:dyDescent="0.2">
      <c r="B988" s="55"/>
      <c r="C988" s="57"/>
      <c r="D988" s="57"/>
      <c r="E988" s="57"/>
      <c r="F988" s="57"/>
      <c r="I988" s="55"/>
      <c r="J988" s="57"/>
      <c r="K988" s="57"/>
      <c r="L988" s="57"/>
      <c r="M988" s="57"/>
    </row>
    <row r="989" spans="2:13" ht="12" x14ac:dyDescent="0.2">
      <c r="B989" s="56"/>
      <c r="C989" s="58"/>
      <c r="D989" s="58"/>
      <c r="E989" s="58"/>
      <c r="F989" s="58"/>
      <c r="I989" s="56"/>
      <c r="J989" s="58"/>
      <c r="K989" s="58"/>
      <c r="L989" s="58"/>
      <c r="M989" s="58"/>
    </row>
    <row r="990" spans="2:13" ht="12" x14ac:dyDescent="0.2">
      <c r="B990" s="55"/>
      <c r="C990" s="57"/>
      <c r="D990" s="57"/>
      <c r="E990" s="57"/>
      <c r="F990" s="57"/>
      <c r="I990" s="55"/>
      <c r="J990" s="57"/>
      <c r="K990" s="57"/>
      <c r="L990" s="57"/>
      <c r="M990" s="57"/>
    </row>
    <row r="991" spans="2:13" ht="12" x14ac:dyDescent="0.2">
      <c r="B991" s="56"/>
      <c r="C991" s="58"/>
      <c r="D991" s="58"/>
      <c r="E991" s="58"/>
      <c r="F991" s="58"/>
      <c r="I991" s="56"/>
      <c r="J991" s="58"/>
      <c r="K991" s="58"/>
      <c r="L991" s="58"/>
      <c r="M991" s="58"/>
    </row>
    <row r="992" spans="2:13" ht="12" x14ac:dyDescent="0.2">
      <c r="B992" s="55"/>
      <c r="C992" s="57"/>
      <c r="D992" s="57"/>
      <c r="E992" s="57"/>
      <c r="F992" s="57"/>
      <c r="I992" s="55"/>
      <c r="J992" s="57"/>
      <c r="K992" s="57"/>
      <c r="L992" s="57"/>
      <c r="M992" s="57"/>
    </row>
    <row r="993" spans="2:13" ht="12" x14ac:dyDescent="0.2">
      <c r="B993" s="56"/>
      <c r="C993" s="58"/>
      <c r="D993" s="58"/>
      <c r="E993" s="58"/>
      <c r="F993" s="58"/>
      <c r="I993" s="56"/>
      <c r="J993" s="58"/>
      <c r="K993" s="58"/>
      <c r="L993" s="58"/>
      <c r="M993" s="58"/>
    </row>
    <row r="994" spans="2:13" ht="12" x14ac:dyDescent="0.2">
      <c r="B994" s="55"/>
      <c r="C994" s="57"/>
      <c r="D994" s="57"/>
      <c r="E994" s="57"/>
      <c r="F994" s="57"/>
      <c r="I994" s="55"/>
      <c r="J994" s="57"/>
      <c r="K994" s="57"/>
      <c r="L994" s="57"/>
      <c r="M994" s="57"/>
    </row>
    <row r="995" spans="2:13" ht="12" x14ac:dyDescent="0.2">
      <c r="B995" s="56"/>
      <c r="C995" s="58"/>
      <c r="D995" s="58"/>
      <c r="E995" s="58"/>
      <c r="F995" s="58"/>
      <c r="I995" s="56"/>
      <c r="J995" s="58"/>
      <c r="K995" s="58"/>
      <c r="L995" s="58"/>
      <c r="M995" s="58"/>
    </row>
    <row r="996" spans="2:13" ht="12" x14ac:dyDescent="0.2">
      <c r="B996" s="55"/>
      <c r="C996" s="57"/>
      <c r="D996" s="57"/>
      <c r="E996" s="57"/>
      <c r="F996" s="57"/>
      <c r="I996" s="55"/>
      <c r="J996" s="57"/>
      <c r="K996" s="57"/>
      <c r="L996" s="57"/>
      <c r="M996" s="57"/>
    </row>
    <row r="997" spans="2:13" ht="12" x14ac:dyDescent="0.2">
      <c r="B997" s="56"/>
      <c r="C997" s="58"/>
      <c r="D997" s="58"/>
      <c r="E997" s="58"/>
      <c r="F997" s="58"/>
      <c r="I997" s="56"/>
      <c r="J997" s="58"/>
      <c r="K997" s="58"/>
      <c r="L997" s="58"/>
      <c r="M997" s="58"/>
    </row>
    <row r="998" spans="2:13" ht="12" x14ac:dyDescent="0.2">
      <c r="B998" s="55"/>
      <c r="C998" s="57"/>
      <c r="D998" s="57"/>
      <c r="E998" s="57"/>
      <c r="F998" s="57"/>
      <c r="I998" s="55"/>
      <c r="J998" s="57"/>
      <c r="K998" s="57"/>
      <c r="L998" s="57"/>
      <c r="M998" s="57"/>
    </row>
    <row r="999" spans="2:13" ht="12" x14ac:dyDescent="0.2">
      <c r="B999" s="56"/>
      <c r="C999" s="58"/>
      <c r="D999" s="58"/>
      <c r="E999" s="58"/>
      <c r="F999" s="58"/>
      <c r="I999" s="56"/>
      <c r="J999" s="58"/>
      <c r="K999" s="58"/>
      <c r="L999" s="58"/>
      <c r="M999" s="58"/>
    </row>
    <row r="1000" spans="2:13" ht="12" x14ac:dyDescent="0.2">
      <c r="B1000" s="55"/>
      <c r="C1000" s="57"/>
      <c r="D1000" s="57"/>
      <c r="E1000" s="57"/>
      <c r="F1000" s="57"/>
      <c r="I1000" s="55"/>
      <c r="J1000" s="57"/>
      <c r="K1000" s="57"/>
      <c r="L1000" s="57"/>
      <c r="M1000" s="57"/>
    </row>
    <row r="1001" spans="2:13" ht="12" x14ac:dyDescent="0.2">
      <c r="B1001" s="56"/>
      <c r="C1001" s="58"/>
      <c r="D1001" s="58"/>
      <c r="E1001" s="58"/>
      <c r="F1001" s="58"/>
      <c r="I1001" s="56"/>
      <c r="J1001" s="58"/>
      <c r="K1001" s="58"/>
      <c r="L1001" s="58"/>
      <c r="M1001" s="58"/>
    </row>
    <row r="1002" spans="2:13" ht="12" x14ac:dyDescent="0.2">
      <c r="B1002" s="55"/>
      <c r="C1002" s="57"/>
      <c r="D1002" s="57"/>
      <c r="E1002" s="57"/>
      <c r="F1002" s="57"/>
      <c r="I1002" s="55"/>
      <c r="J1002" s="57"/>
      <c r="K1002" s="57"/>
      <c r="L1002" s="57"/>
      <c r="M1002" s="57"/>
    </row>
    <row r="1003" spans="2:13" ht="12" x14ac:dyDescent="0.2">
      <c r="B1003" s="56"/>
      <c r="C1003" s="58"/>
      <c r="D1003" s="58"/>
      <c r="E1003" s="58"/>
      <c r="F1003" s="58"/>
      <c r="I1003" s="56"/>
      <c r="J1003" s="58"/>
      <c r="K1003" s="58"/>
      <c r="L1003" s="58"/>
      <c r="M1003" s="58"/>
    </row>
    <row r="1004" spans="2:13" ht="12" x14ac:dyDescent="0.2">
      <c r="B1004" s="55"/>
      <c r="C1004" s="57"/>
      <c r="D1004" s="57"/>
      <c r="E1004" s="57"/>
      <c r="F1004" s="57"/>
      <c r="I1004" s="55"/>
      <c r="J1004" s="57"/>
      <c r="K1004" s="57"/>
      <c r="L1004" s="57"/>
      <c r="M1004" s="57"/>
    </row>
    <row r="1005" spans="2:13" ht="12" x14ac:dyDescent="0.2">
      <c r="B1005" s="56"/>
      <c r="C1005" s="58"/>
      <c r="D1005" s="58"/>
      <c r="E1005" s="58"/>
      <c r="F1005" s="58"/>
      <c r="I1005" s="56"/>
      <c r="J1005" s="58"/>
      <c r="K1005" s="58"/>
      <c r="L1005" s="58"/>
      <c r="M1005" s="58"/>
    </row>
    <row r="1006" spans="2:13" ht="12" x14ac:dyDescent="0.2">
      <c r="B1006" s="55"/>
      <c r="C1006" s="57"/>
      <c r="D1006" s="57"/>
      <c r="E1006" s="57"/>
      <c r="F1006" s="57"/>
      <c r="I1006" s="55"/>
      <c r="J1006" s="57"/>
      <c r="K1006" s="57"/>
      <c r="L1006" s="57"/>
      <c r="M1006" s="57"/>
    </row>
    <row r="1007" spans="2:13" ht="12" x14ac:dyDescent="0.2">
      <c r="B1007" s="56"/>
      <c r="C1007" s="58"/>
      <c r="D1007" s="58"/>
      <c r="E1007" s="58"/>
      <c r="F1007" s="58"/>
      <c r="I1007" s="56"/>
      <c r="J1007" s="58"/>
      <c r="K1007" s="58"/>
      <c r="L1007" s="58"/>
      <c r="M1007" s="58"/>
    </row>
    <row r="1008" spans="2:13" ht="12" x14ac:dyDescent="0.2">
      <c r="B1008" s="55"/>
      <c r="C1008" s="57"/>
      <c r="D1008" s="57"/>
      <c r="E1008" s="57"/>
      <c r="F1008" s="57"/>
      <c r="I1008" s="55"/>
      <c r="J1008" s="57"/>
      <c r="K1008" s="57"/>
      <c r="L1008" s="57"/>
      <c r="M1008" s="57"/>
    </row>
    <row r="1009" spans="2:13" ht="12" x14ac:dyDescent="0.2">
      <c r="B1009" s="56"/>
      <c r="C1009" s="58"/>
      <c r="D1009" s="58"/>
      <c r="E1009" s="58"/>
      <c r="F1009" s="58"/>
      <c r="I1009" s="56"/>
      <c r="J1009" s="58"/>
      <c r="K1009" s="58"/>
      <c r="L1009" s="58"/>
      <c r="M1009" s="58"/>
    </row>
    <row r="1010" spans="2:13" ht="12" x14ac:dyDescent="0.2">
      <c r="B1010" s="55"/>
      <c r="C1010" s="57"/>
      <c r="D1010" s="57"/>
      <c r="E1010" s="57"/>
      <c r="F1010" s="57"/>
      <c r="I1010" s="55"/>
      <c r="J1010" s="57"/>
      <c r="K1010" s="57"/>
      <c r="L1010" s="57"/>
      <c r="M1010" s="57"/>
    </row>
    <row r="1011" spans="2:13" ht="12" x14ac:dyDescent="0.2">
      <c r="B1011" s="56"/>
      <c r="C1011" s="58"/>
      <c r="D1011" s="58"/>
      <c r="E1011" s="58"/>
      <c r="F1011" s="58"/>
      <c r="I1011" s="56"/>
      <c r="J1011" s="58"/>
      <c r="K1011" s="58"/>
      <c r="L1011" s="58"/>
      <c r="M1011" s="58"/>
    </row>
    <row r="1012" spans="2:13" ht="12" x14ac:dyDescent="0.2">
      <c r="B1012" s="55"/>
      <c r="C1012" s="57"/>
      <c r="D1012" s="57"/>
      <c r="E1012" s="57"/>
      <c r="F1012" s="57"/>
      <c r="I1012" s="55"/>
      <c r="J1012" s="57"/>
      <c r="K1012" s="57"/>
      <c r="L1012" s="57"/>
      <c r="M1012" s="57"/>
    </row>
    <row r="1013" spans="2:13" ht="12" x14ac:dyDescent="0.2">
      <c r="B1013" s="56"/>
      <c r="C1013" s="58"/>
      <c r="D1013" s="58"/>
      <c r="E1013" s="58"/>
      <c r="F1013" s="58"/>
      <c r="I1013" s="56"/>
      <c r="J1013" s="58"/>
      <c r="K1013" s="58"/>
      <c r="L1013" s="58"/>
      <c r="M1013" s="58"/>
    </row>
    <row r="1014" spans="2:13" ht="12" x14ac:dyDescent="0.2">
      <c r="B1014" s="55"/>
      <c r="C1014" s="57"/>
      <c r="D1014" s="57"/>
      <c r="E1014" s="57"/>
      <c r="F1014" s="57"/>
      <c r="I1014" s="55"/>
      <c r="J1014" s="57"/>
      <c r="K1014" s="57"/>
      <c r="L1014" s="57"/>
      <c r="M1014" s="57"/>
    </row>
    <row r="1015" spans="2:13" ht="12" x14ac:dyDescent="0.2">
      <c r="B1015" s="56"/>
      <c r="C1015" s="58"/>
      <c r="D1015" s="58"/>
      <c r="E1015" s="58"/>
      <c r="F1015" s="58"/>
      <c r="I1015" s="56"/>
      <c r="J1015" s="58"/>
      <c r="K1015" s="58"/>
      <c r="L1015" s="58"/>
      <c r="M1015" s="58"/>
    </row>
    <row r="1016" spans="2:13" ht="12" x14ac:dyDescent="0.2">
      <c r="B1016" s="55"/>
      <c r="C1016" s="57"/>
      <c r="D1016" s="57"/>
      <c r="E1016" s="57"/>
      <c r="F1016" s="57"/>
      <c r="I1016" s="55"/>
      <c r="J1016" s="57"/>
      <c r="K1016" s="57"/>
      <c r="L1016" s="57"/>
      <c r="M1016" s="57"/>
    </row>
    <row r="1017" spans="2:13" ht="12" x14ac:dyDescent="0.2">
      <c r="B1017" s="56"/>
      <c r="C1017" s="58"/>
      <c r="D1017" s="58"/>
      <c r="E1017" s="58"/>
      <c r="F1017" s="58"/>
      <c r="I1017" s="56"/>
      <c r="J1017" s="58"/>
      <c r="K1017" s="58"/>
      <c r="L1017" s="58"/>
      <c r="M1017" s="58"/>
    </row>
    <row r="1018" spans="2:13" ht="12" x14ac:dyDescent="0.2">
      <c r="B1018" s="55"/>
      <c r="C1018" s="57"/>
      <c r="D1018" s="57"/>
      <c r="E1018" s="57"/>
      <c r="F1018" s="57"/>
      <c r="I1018" s="55"/>
      <c r="J1018" s="57"/>
      <c r="K1018" s="57"/>
      <c r="L1018" s="57"/>
      <c r="M1018" s="57"/>
    </row>
    <row r="1019" spans="2:13" ht="12" x14ac:dyDescent="0.2">
      <c r="B1019" s="56"/>
      <c r="C1019" s="58"/>
      <c r="D1019" s="58"/>
      <c r="E1019" s="58"/>
      <c r="F1019" s="58"/>
      <c r="I1019" s="56"/>
      <c r="J1019" s="58"/>
      <c r="K1019" s="58"/>
      <c r="L1019" s="58"/>
      <c r="M1019" s="58"/>
    </row>
    <row r="1020" spans="2:13" ht="12" x14ac:dyDescent="0.2">
      <c r="B1020" s="55"/>
      <c r="C1020" s="57"/>
      <c r="D1020" s="57"/>
      <c r="E1020" s="57"/>
      <c r="F1020" s="57"/>
      <c r="I1020" s="55"/>
      <c r="J1020" s="57"/>
      <c r="K1020" s="57"/>
      <c r="L1020" s="57"/>
      <c r="M1020" s="57"/>
    </row>
    <row r="1021" spans="2:13" ht="12" x14ac:dyDescent="0.2">
      <c r="B1021" s="56"/>
      <c r="C1021" s="58"/>
      <c r="D1021" s="58"/>
      <c r="E1021" s="58"/>
      <c r="F1021" s="58"/>
      <c r="I1021" s="56"/>
      <c r="J1021" s="58"/>
      <c r="K1021" s="58"/>
      <c r="L1021" s="58"/>
      <c r="M1021" s="58"/>
    </row>
    <row r="1022" spans="2:13" ht="12" x14ac:dyDescent="0.2">
      <c r="B1022" s="55"/>
      <c r="C1022" s="57"/>
      <c r="D1022" s="57"/>
      <c r="E1022" s="57"/>
      <c r="F1022" s="57"/>
      <c r="I1022" s="55"/>
      <c r="J1022" s="57"/>
      <c r="K1022" s="57"/>
      <c r="L1022" s="57"/>
      <c r="M1022" s="57"/>
    </row>
    <row r="1023" spans="2:13" ht="12" x14ac:dyDescent="0.2">
      <c r="B1023" s="56"/>
      <c r="C1023" s="58"/>
      <c r="D1023" s="58"/>
      <c r="E1023" s="58"/>
      <c r="F1023" s="58"/>
      <c r="I1023" s="56"/>
      <c r="J1023" s="58"/>
      <c r="K1023" s="58"/>
      <c r="L1023" s="58"/>
      <c r="M1023" s="58"/>
    </row>
    <row r="1024" spans="2:13" ht="12" x14ac:dyDescent="0.2">
      <c r="B1024" s="55"/>
      <c r="C1024" s="57"/>
      <c r="D1024" s="57"/>
      <c r="E1024" s="57"/>
      <c r="F1024" s="57"/>
      <c r="I1024" s="55"/>
      <c r="J1024" s="57"/>
      <c r="K1024" s="57"/>
      <c r="L1024" s="57"/>
      <c r="M1024" s="57"/>
    </row>
    <row r="1025" spans="2:13" ht="12" x14ac:dyDescent="0.2">
      <c r="B1025" s="56"/>
      <c r="C1025" s="58"/>
      <c r="D1025" s="58"/>
      <c r="E1025" s="58"/>
      <c r="F1025" s="58"/>
      <c r="I1025" s="56"/>
      <c r="J1025" s="58"/>
      <c r="K1025" s="58"/>
      <c r="L1025" s="58"/>
      <c r="M1025" s="58"/>
    </row>
    <row r="1026" spans="2:13" ht="12" x14ac:dyDescent="0.2">
      <c r="B1026" s="55"/>
      <c r="C1026" s="57"/>
      <c r="D1026" s="57"/>
      <c r="E1026" s="57"/>
      <c r="F1026" s="57"/>
      <c r="I1026" s="55"/>
      <c r="J1026" s="57"/>
      <c r="K1026" s="57"/>
      <c r="L1026" s="57"/>
      <c r="M1026" s="57"/>
    </row>
    <row r="1027" spans="2:13" ht="12" x14ac:dyDescent="0.2">
      <c r="B1027" s="56"/>
      <c r="C1027" s="58"/>
      <c r="D1027" s="58"/>
      <c r="E1027" s="58"/>
      <c r="F1027" s="58"/>
      <c r="I1027" s="56"/>
      <c r="J1027" s="58"/>
      <c r="K1027" s="58"/>
      <c r="L1027" s="58"/>
      <c r="M1027" s="58"/>
    </row>
    <row r="1028" spans="2:13" ht="12" x14ac:dyDescent="0.2">
      <c r="B1028" s="55"/>
      <c r="C1028" s="57"/>
      <c r="D1028" s="57"/>
      <c r="E1028" s="57"/>
      <c r="F1028" s="57"/>
      <c r="I1028" s="55"/>
      <c r="J1028" s="57"/>
      <c r="K1028" s="57"/>
      <c r="L1028" s="57"/>
      <c r="M1028" s="57"/>
    </row>
    <row r="1029" spans="2:13" ht="12" x14ac:dyDescent="0.2">
      <c r="B1029" s="56"/>
      <c r="C1029" s="58"/>
      <c r="D1029" s="58"/>
      <c r="E1029" s="58"/>
      <c r="F1029" s="58"/>
      <c r="I1029" s="56"/>
      <c r="J1029" s="58"/>
      <c r="K1029" s="58"/>
      <c r="L1029" s="58"/>
      <c r="M1029" s="58"/>
    </row>
    <row r="1030" spans="2:13" ht="12" x14ac:dyDescent="0.2">
      <c r="B1030" s="55"/>
      <c r="C1030" s="57"/>
      <c r="D1030" s="57"/>
      <c r="E1030" s="57"/>
      <c r="F1030" s="57"/>
      <c r="I1030" s="55"/>
      <c r="J1030" s="57"/>
      <c r="K1030" s="57"/>
      <c r="L1030" s="57"/>
      <c r="M1030" s="57"/>
    </row>
    <row r="1031" spans="2:13" ht="12" x14ac:dyDescent="0.2">
      <c r="B1031" s="56"/>
      <c r="C1031" s="58"/>
      <c r="D1031" s="58"/>
      <c r="E1031" s="58"/>
      <c r="F1031" s="58"/>
      <c r="I1031" s="56"/>
      <c r="J1031" s="58"/>
      <c r="K1031" s="58"/>
      <c r="L1031" s="58"/>
      <c r="M1031" s="58"/>
    </row>
    <row r="1032" spans="2:13" ht="12" x14ac:dyDescent="0.2">
      <c r="B1032" s="55"/>
      <c r="C1032" s="57"/>
      <c r="D1032" s="57"/>
      <c r="E1032" s="57"/>
      <c r="F1032" s="57"/>
      <c r="I1032" s="55"/>
      <c r="J1032" s="57"/>
      <c r="K1032" s="57"/>
      <c r="L1032" s="57"/>
      <c r="M1032" s="57"/>
    </row>
    <row r="1033" spans="2:13" ht="12" x14ac:dyDescent="0.2">
      <c r="B1033" s="56"/>
      <c r="C1033" s="58"/>
      <c r="D1033" s="58"/>
      <c r="E1033" s="58"/>
      <c r="F1033" s="58"/>
      <c r="I1033" s="56"/>
      <c r="J1033" s="58"/>
      <c r="K1033" s="58"/>
      <c r="L1033" s="58"/>
      <c r="M1033" s="58"/>
    </row>
    <row r="1034" spans="2:13" ht="12" x14ac:dyDescent="0.2">
      <c r="B1034" s="55"/>
      <c r="C1034" s="57"/>
      <c r="D1034" s="57"/>
      <c r="E1034" s="57"/>
      <c r="F1034" s="57"/>
      <c r="I1034" s="55"/>
      <c r="J1034" s="57"/>
      <c r="K1034" s="57"/>
      <c r="L1034" s="57"/>
      <c r="M1034" s="57"/>
    </row>
    <row r="1035" spans="2:13" ht="12" x14ac:dyDescent="0.2">
      <c r="B1035" s="56"/>
      <c r="C1035" s="58"/>
      <c r="D1035" s="58"/>
      <c r="E1035" s="58"/>
      <c r="F1035" s="58"/>
      <c r="I1035" s="56"/>
      <c r="J1035" s="58"/>
      <c r="K1035" s="58"/>
      <c r="L1035" s="58"/>
      <c r="M1035" s="58"/>
    </row>
    <row r="1036" spans="2:13" ht="12" x14ac:dyDescent="0.2">
      <c r="B1036" s="55"/>
      <c r="C1036" s="57"/>
      <c r="D1036" s="57"/>
      <c r="E1036" s="57"/>
      <c r="F1036" s="57"/>
      <c r="I1036" s="55"/>
      <c r="J1036" s="57"/>
      <c r="K1036" s="57"/>
      <c r="L1036" s="57"/>
      <c r="M1036" s="57"/>
    </row>
    <row r="1037" spans="2:13" ht="12" x14ac:dyDescent="0.2">
      <c r="B1037" s="56"/>
      <c r="C1037" s="58"/>
      <c r="D1037" s="58"/>
      <c r="E1037" s="58"/>
      <c r="F1037" s="58"/>
      <c r="I1037" s="56"/>
      <c r="J1037" s="58"/>
      <c r="K1037" s="58"/>
      <c r="L1037" s="58"/>
      <c r="M1037" s="58"/>
    </row>
    <row r="1038" spans="2:13" ht="12" x14ac:dyDescent="0.2">
      <c r="B1038" s="55"/>
      <c r="C1038" s="57"/>
      <c r="D1038" s="57"/>
      <c r="E1038" s="57"/>
      <c r="F1038" s="57"/>
      <c r="I1038" s="55"/>
      <c r="J1038" s="57"/>
      <c r="K1038" s="57"/>
      <c r="L1038" s="57"/>
      <c r="M1038" s="57"/>
    </row>
    <row r="1039" spans="2:13" ht="12" x14ac:dyDescent="0.2">
      <c r="B1039" s="56"/>
      <c r="C1039" s="58"/>
      <c r="D1039" s="58"/>
      <c r="E1039" s="58"/>
      <c r="F1039" s="58"/>
      <c r="I1039" s="56"/>
      <c r="J1039" s="58"/>
      <c r="K1039" s="58"/>
      <c r="L1039" s="58"/>
      <c r="M1039" s="58"/>
    </row>
    <row r="1040" spans="2:13" ht="12" x14ac:dyDescent="0.2">
      <c r="B1040" s="55"/>
      <c r="C1040" s="57"/>
      <c r="D1040" s="57"/>
      <c r="E1040" s="57"/>
      <c r="F1040" s="57"/>
      <c r="I1040" s="55"/>
      <c r="J1040" s="57"/>
      <c r="K1040" s="57"/>
      <c r="L1040" s="57"/>
      <c r="M1040" s="57"/>
    </row>
    <row r="1041" spans="2:13" ht="12" x14ac:dyDescent="0.2">
      <c r="B1041" s="56"/>
      <c r="C1041" s="58"/>
      <c r="D1041" s="58"/>
      <c r="E1041" s="58"/>
      <c r="F1041" s="58"/>
      <c r="I1041" s="56"/>
      <c r="J1041" s="58"/>
      <c r="K1041" s="58"/>
      <c r="L1041" s="58"/>
      <c r="M1041" s="58"/>
    </row>
    <row r="1042" spans="2:13" ht="12" x14ac:dyDescent="0.2">
      <c r="B1042" s="55"/>
      <c r="C1042" s="57"/>
      <c r="D1042" s="57"/>
      <c r="E1042" s="57"/>
      <c r="F1042" s="57"/>
      <c r="I1042" s="55"/>
      <c r="J1042" s="57"/>
      <c r="K1042" s="57"/>
      <c r="L1042" s="57"/>
      <c r="M1042" s="57"/>
    </row>
    <row r="1043" spans="2:13" ht="12" x14ac:dyDescent="0.2">
      <c r="B1043" s="56"/>
      <c r="C1043" s="58"/>
      <c r="D1043" s="58"/>
      <c r="E1043" s="58"/>
      <c r="F1043" s="58"/>
      <c r="I1043" s="56"/>
      <c r="J1043" s="58"/>
      <c r="K1043" s="58"/>
      <c r="L1043" s="58"/>
      <c r="M1043" s="58"/>
    </row>
    <row r="1044" spans="2:13" ht="12" x14ac:dyDescent="0.2">
      <c r="B1044" s="55"/>
      <c r="C1044" s="57"/>
      <c r="D1044" s="57"/>
      <c r="E1044" s="57"/>
      <c r="F1044" s="57"/>
      <c r="I1044" s="55"/>
      <c r="J1044" s="57"/>
      <c r="K1044" s="57"/>
      <c r="L1044" s="57"/>
      <c r="M1044" s="57"/>
    </row>
    <row r="1045" spans="2:13" ht="12" x14ac:dyDescent="0.2">
      <c r="B1045" s="56"/>
      <c r="C1045" s="58"/>
      <c r="D1045" s="58"/>
      <c r="E1045" s="58"/>
      <c r="F1045" s="58"/>
      <c r="I1045" s="56"/>
      <c r="J1045" s="58"/>
      <c r="K1045" s="58"/>
      <c r="L1045" s="58"/>
      <c r="M1045" s="58"/>
    </row>
    <row r="1046" spans="2:13" ht="12" x14ac:dyDescent="0.2">
      <c r="B1046" s="55"/>
      <c r="C1046" s="57"/>
      <c r="D1046" s="57"/>
      <c r="E1046" s="57"/>
      <c r="F1046" s="57"/>
      <c r="I1046" s="55"/>
      <c r="J1046" s="57"/>
      <c r="K1046" s="57"/>
      <c r="L1046" s="57"/>
      <c r="M1046" s="57"/>
    </row>
    <row r="1047" spans="2:13" ht="12" x14ac:dyDescent="0.2">
      <c r="B1047" s="56"/>
      <c r="C1047" s="58"/>
      <c r="D1047" s="58"/>
      <c r="E1047" s="58"/>
      <c r="F1047" s="58"/>
      <c r="I1047" s="56"/>
      <c r="J1047" s="58"/>
      <c r="K1047" s="58"/>
      <c r="L1047" s="58"/>
      <c r="M1047" s="58"/>
    </row>
    <row r="1048" spans="2:13" ht="12" x14ac:dyDescent="0.2">
      <c r="B1048" s="55"/>
      <c r="C1048" s="57"/>
      <c r="D1048" s="57"/>
      <c r="E1048" s="57"/>
      <c r="F1048" s="57"/>
      <c r="I1048" s="55"/>
      <c r="J1048" s="57"/>
      <c r="K1048" s="57"/>
      <c r="L1048" s="57"/>
      <c r="M1048" s="57"/>
    </row>
    <row r="1049" spans="2:13" ht="12" x14ac:dyDescent="0.2">
      <c r="B1049" s="56"/>
      <c r="C1049" s="58"/>
      <c r="D1049" s="58"/>
      <c r="E1049" s="58"/>
      <c r="F1049" s="58"/>
      <c r="I1049" s="56"/>
      <c r="J1049" s="58"/>
      <c r="K1049" s="58"/>
      <c r="L1049" s="58"/>
      <c r="M1049" s="58"/>
    </row>
    <row r="1050" spans="2:13" ht="12" x14ac:dyDescent="0.2">
      <c r="B1050" s="55"/>
      <c r="C1050" s="57"/>
      <c r="D1050" s="57"/>
      <c r="E1050" s="57"/>
      <c r="F1050" s="57"/>
      <c r="I1050" s="55"/>
      <c r="J1050" s="57"/>
      <c r="K1050" s="57"/>
      <c r="L1050" s="57"/>
      <c r="M1050" s="57"/>
    </row>
    <row r="1051" spans="2:13" ht="12" x14ac:dyDescent="0.2">
      <c r="B1051" s="56"/>
      <c r="C1051" s="58"/>
      <c r="D1051" s="58"/>
      <c r="E1051" s="58"/>
      <c r="F1051" s="58"/>
      <c r="I1051" s="56"/>
      <c r="J1051" s="58"/>
      <c r="K1051" s="58"/>
      <c r="L1051" s="58"/>
      <c r="M1051" s="58"/>
    </row>
    <row r="1052" spans="2:13" ht="12" x14ac:dyDescent="0.2">
      <c r="B1052" s="55"/>
      <c r="C1052" s="57"/>
      <c r="D1052" s="57"/>
      <c r="E1052" s="57"/>
      <c r="F1052" s="57"/>
      <c r="I1052" s="55"/>
      <c r="J1052" s="57"/>
      <c r="K1052" s="57"/>
      <c r="L1052" s="57"/>
      <c r="M1052" s="57"/>
    </row>
    <row r="1053" spans="2:13" ht="12" x14ac:dyDescent="0.2">
      <c r="B1053" s="56"/>
      <c r="C1053" s="58"/>
      <c r="D1053" s="58"/>
      <c r="E1053" s="58"/>
      <c r="F1053" s="58"/>
      <c r="I1053" s="56"/>
      <c r="J1053" s="58"/>
      <c r="K1053" s="58"/>
      <c r="L1053" s="58"/>
      <c r="M1053" s="58"/>
    </row>
    <row r="1054" spans="2:13" ht="12" x14ac:dyDescent="0.2">
      <c r="B1054" s="55"/>
      <c r="C1054" s="57"/>
      <c r="D1054" s="57"/>
      <c r="E1054" s="57"/>
      <c r="F1054" s="57"/>
      <c r="I1054" s="55"/>
      <c r="J1054" s="57"/>
      <c r="K1054" s="57"/>
      <c r="L1054" s="57"/>
      <c r="M1054" s="57"/>
    </row>
    <row r="1055" spans="2:13" ht="12" x14ac:dyDescent="0.2">
      <c r="B1055" s="56"/>
      <c r="C1055" s="58"/>
      <c r="D1055" s="58"/>
      <c r="E1055" s="58"/>
      <c r="F1055" s="58"/>
      <c r="I1055" s="56"/>
      <c r="J1055" s="58"/>
      <c r="K1055" s="58"/>
      <c r="L1055" s="58"/>
      <c r="M1055" s="58"/>
    </row>
    <row r="1056" spans="2:13" ht="12" x14ac:dyDescent="0.2">
      <c r="B1056" s="55"/>
      <c r="C1056" s="57"/>
      <c r="D1056" s="57"/>
      <c r="E1056" s="57"/>
      <c r="F1056" s="57"/>
      <c r="I1056" s="55"/>
      <c r="J1056" s="57"/>
      <c r="K1056" s="57"/>
      <c r="L1056" s="57"/>
      <c r="M1056" s="57"/>
    </row>
    <row r="1057" spans="2:13" ht="12" x14ac:dyDescent="0.2">
      <c r="B1057" s="56"/>
      <c r="C1057" s="58"/>
      <c r="D1057" s="58"/>
      <c r="E1057" s="58"/>
      <c r="F1057" s="58"/>
      <c r="I1057" s="56"/>
      <c r="J1057" s="58"/>
      <c r="K1057" s="58"/>
      <c r="L1057" s="58"/>
      <c r="M1057" s="58"/>
    </row>
    <row r="1058" spans="2:13" ht="12" x14ac:dyDescent="0.2">
      <c r="B1058" s="55"/>
      <c r="C1058" s="57"/>
      <c r="D1058" s="57"/>
      <c r="E1058" s="57"/>
      <c r="F1058" s="57"/>
      <c r="I1058" s="55"/>
      <c r="J1058" s="57"/>
      <c r="K1058" s="57"/>
      <c r="L1058" s="57"/>
      <c r="M1058" s="57"/>
    </row>
    <row r="1059" spans="2:13" ht="12" x14ac:dyDescent="0.2">
      <c r="B1059" s="56"/>
      <c r="C1059" s="58"/>
      <c r="D1059" s="58"/>
      <c r="E1059" s="58"/>
      <c r="F1059" s="58"/>
      <c r="I1059" s="56"/>
      <c r="J1059" s="58"/>
      <c r="K1059" s="58"/>
      <c r="L1059" s="58"/>
      <c r="M1059" s="58"/>
    </row>
    <row r="1060" spans="2:13" ht="12" x14ac:dyDescent="0.2">
      <c r="B1060" s="55"/>
      <c r="C1060" s="57"/>
      <c r="D1060" s="57"/>
      <c r="E1060" s="57"/>
      <c r="F1060" s="57"/>
      <c r="I1060" s="55"/>
      <c r="J1060" s="57"/>
      <c r="K1060" s="57"/>
      <c r="L1060" s="57"/>
      <c r="M1060" s="57"/>
    </row>
    <row r="1061" spans="2:13" ht="12" x14ac:dyDescent="0.2">
      <c r="B1061" s="56"/>
      <c r="C1061" s="58"/>
      <c r="D1061" s="58"/>
      <c r="E1061" s="58"/>
      <c r="F1061" s="58"/>
      <c r="I1061" s="56"/>
      <c r="J1061" s="58"/>
      <c r="K1061" s="58"/>
      <c r="L1061" s="58"/>
      <c r="M1061" s="58"/>
    </row>
    <row r="1062" spans="2:13" ht="12" x14ac:dyDescent="0.2">
      <c r="B1062" s="55"/>
      <c r="C1062" s="57"/>
      <c r="D1062" s="57"/>
      <c r="E1062" s="57"/>
      <c r="F1062" s="57"/>
      <c r="I1062" s="55"/>
      <c r="J1062" s="57"/>
      <c r="K1062" s="57"/>
      <c r="L1062" s="57"/>
      <c r="M1062" s="57"/>
    </row>
    <row r="1063" spans="2:13" ht="12" x14ac:dyDescent="0.2">
      <c r="B1063" s="56"/>
      <c r="C1063" s="58"/>
      <c r="D1063" s="58"/>
      <c r="E1063" s="58"/>
      <c r="F1063" s="58"/>
      <c r="I1063" s="56"/>
      <c r="J1063" s="58"/>
      <c r="K1063" s="58"/>
      <c r="L1063" s="58"/>
      <c r="M1063" s="58"/>
    </row>
    <row r="1064" spans="2:13" ht="12" x14ac:dyDescent="0.2">
      <c r="B1064" s="55"/>
      <c r="C1064" s="57"/>
      <c r="D1064" s="57"/>
      <c r="E1064" s="57"/>
      <c r="F1064" s="57"/>
      <c r="I1064" s="55"/>
      <c r="J1064" s="57"/>
      <c r="K1064" s="57"/>
      <c r="L1064" s="57"/>
      <c r="M1064" s="57"/>
    </row>
    <row r="1065" spans="2:13" ht="12" x14ac:dyDescent="0.2">
      <c r="B1065" s="56"/>
      <c r="C1065" s="58"/>
      <c r="D1065" s="58"/>
      <c r="E1065" s="58"/>
      <c r="F1065" s="58"/>
      <c r="I1065" s="56"/>
      <c r="J1065" s="58"/>
      <c r="K1065" s="58"/>
      <c r="L1065" s="58"/>
      <c r="M1065" s="58"/>
    </row>
    <row r="1066" spans="2:13" ht="12" x14ac:dyDescent="0.2">
      <c r="B1066" s="55"/>
      <c r="C1066" s="57"/>
      <c r="D1066" s="57"/>
      <c r="E1066" s="57"/>
      <c r="F1066" s="57"/>
      <c r="I1066" s="55"/>
      <c r="J1066" s="57"/>
      <c r="K1066" s="57"/>
      <c r="L1066" s="57"/>
      <c r="M1066" s="57"/>
    </row>
    <row r="1067" spans="2:13" ht="12" x14ac:dyDescent="0.2">
      <c r="B1067" s="56"/>
      <c r="C1067" s="58"/>
      <c r="D1067" s="58"/>
      <c r="E1067" s="58"/>
      <c r="F1067" s="58"/>
      <c r="I1067" s="56"/>
      <c r="J1067" s="58"/>
      <c r="K1067" s="58"/>
      <c r="L1067" s="58"/>
      <c r="M1067" s="58"/>
    </row>
    <row r="1068" spans="2:13" ht="12" x14ac:dyDescent="0.2">
      <c r="B1068" s="55"/>
      <c r="C1068" s="57"/>
      <c r="D1068" s="57"/>
      <c r="E1068" s="57"/>
      <c r="F1068" s="57"/>
      <c r="I1068" s="55"/>
      <c r="J1068" s="57"/>
      <c r="K1068" s="57"/>
      <c r="L1068" s="57"/>
      <c r="M1068" s="57"/>
    </row>
    <row r="1069" spans="2:13" ht="12" x14ac:dyDescent="0.2">
      <c r="B1069" s="56"/>
      <c r="C1069" s="58"/>
      <c r="D1069" s="58"/>
      <c r="E1069" s="58"/>
      <c r="F1069" s="58"/>
      <c r="I1069" s="56"/>
      <c r="J1069" s="58"/>
      <c r="K1069" s="58"/>
      <c r="L1069" s="58"/>
      <c r="M1069" s="58"/>
    </row>
    <row r="1070" spans="2:13" ht="12" x14ac:dyDescent="0.2">
      <c r="B1070" s="55"/>
      <c r="C1070" s="57"/>
      <c r="D1070" s="57"/>
      <c r="E1070" s="57"/>
      <c r="F1070" s="57"/>
      <c r="I1070" s="55"/>
      <c r="J1070" s="57"/>
      <c r="K1070" s="57"/>
      <c r="L1070" s="57"/>
      <c r="M1070" s="57"/>
    </row>
    <row r="1071" spans="2:13" ht="12" x14ac:dyDescent="0.2">
      <c r="B1071" s="56"/>
      <c r="C1071" s="58"/>
      <c r="D1071" s="58"/>
      <c r="E1071" s="58"/>
      <c r="F1071" s="58"/>
      <c r="I1071" s="56"/>
      <c r="J1071" s="58"/>
      <c r="K1071" s="58"/>
      <c r="L1071" s="58"/>
      <c r="M1071" s="58"/>
    </row>
    <row r="1072" spans="2:13" ht="12" x14ac:dyDescent="0.2">
      <c r="B1072" s="55"/>
      <c r="C1072" s="57"/>
      <c r="D1072" s="57"/>
      <c r="E1072" s="57"/>
      <c r="F1072" s="57"/>
      <c r="I1072" s="55"/>
      <c r="J1072" s="57"/>
      <c r="K1072" s="57"/>
      <c r="L1072" s="57"/>
      <c r="M1072" s="57"/>
    </row>
    <row r="1073" spans="2:13" ht="12" x14ac:dyDescent="0.2">
      <c r="B1073" s="56"/>
      <c r="C1073" s="58"/>
      <c r="D1073" s="58"/>
      <c r="E1073" s="58"/>
      <c r="F1073" s="58"/>
      <c r="I1073" s="56"/>
      <c r="J1073" s="58"/>
      <c r="K1073" s="58"/>
      <c r="L1073" s="58"/>
      <c r="M1073" s="58"/>
    </row>
    <row r="1074" spans="2:13" ht="12" x14ac:dyDescent="0.2">
      <c r="B1074" s="55"/>
      <c r="C1074" s="57"/>
      <c r="D1074" s="57"/>
      <c r="E1074" s="57"/>
      <c r="F1074" s="57"/>
      <c r="I1074" s="55"/>
      <c r="J1074" s="57"/>
      <c r="K1074" s="57"/>
      <c r="L1074" s="57"/>
      <c r="M1074" s="57"/>
    </row>
    <row r="1075" spans="2:13" ht="12" x14ac:dyDescent="0.2">
      <c r="B1075" s="56"/>
      <c r="C1075" s="58"/>
      <c r="D1075" s="58"/>
      <c r="E1075" s="58"/>
      <c r="F1075" s="58"/>
      <c r="I1075" s="56"/>
      <c r="J1075" s="58"/>
      <c r="K1075" s="58"/>
      <c r="L1075" s="58"/>
      <c r="M1075" s="58"/>
    </row>
    <row r="1076" spans="2:13" ht="12" x14ac:dyDescent="0.2">
      <c r="B1076" s="55"/>
      <c r="C1076" s="57"/>
      <c r="D1076" s="57"/>
      <c r="E1076" s="57"/>
      <c r="F1076" s="57"/>
      <c r="I1076" s="55"/>
      <c r="J1076" s="57"/>
      <c r="K1076" s="57"/>
      <c r="L1076" s="57"/>
      <c r="M1076" s="57"/>
    </row>
    <row r="1077" spans="2:13" ht="12" x14ac:dyDescent="0.2">
      <c r="B1077" s="56"/>
      <c r="C1077" s="58"/>
      <c r="D1077" s="58"/>
      <c r="E1077" s="58"/>
      <c r="F1077" s="58"/>
      <c r="I1077" s="56"/>
      <c r="J1077" s="58"/>
      <c r="K1077" s="58"/>
      <c r="L1077" s="58"/>
      <c r="M1077" s="58"/>
    </row>
    <row r="1078" spans="2:13" ht="12" x14ac:dyDescent="0.2">
      <c r="B1078" s="55"/>
      <c r="C1078" s="57"/>
      <c r="D1078" s="57"/>
      <c r="E1078" s="57"/>
      <c r="F1078" s="57"/>
      <c r="I1078" s="55"/>
      <c r="J1078" s="57"/>
      <c r="K1078" s="57"/>
      <c r="L1078" s="57"/>
      <c r="M1078" s="57"/>
    </row>
    <row r="1079" spans="2:13" ht="12" x14ac:dyDescent="0.2">
      <c r="B1079" s="56"/>
      <c r="C1079" s="58"/>
      <c r="D1079" s="58"/>
      <c r="E1079" s="58"/>
      <c r="F1079" s="58"/>
      <c r="I1079" s="56"/>
      <c r="J1079" s="58"/>
      <c r="K1079" s="58"/>
      <c r="L1079" s="58"/>
      <c r="M1079" s="58"/>
    </row>
    <row r="1080" spans="2:13" ht="12" x14ac:dyDescent="0.2">
      <c r="B1080" s="55"/>
      <c r="C1080" s="57"/>
      <c r="D1080" s="57"/>
      <c r="E1080" s="57"/>
      <c r="F1080" s="57"/>
      <c r="I1080" s="55"/>
      <c r="J1080" s="57"/>
      <c r="K1080" s="57"/>
      <c r="L1080" s="57"/>
      <c r="M1080" s="57"/>
    </row>
    <row r="1081" spans="2:13" ht="12" x14ac:dyDescent="0.2">
      <c r="B1081" s="56"/>
      <c r="C1081" s="58"/>
      <c r="D1081" s="58"/>
      <c r="E1081" s="58"/>
      <c r="F1081" s="58"/>
      <c r="I1081" s="56"/>
      <c r="J1081" s="58"/>
      <c r="K1081" s="58"/>
      <c r="L1081" s="58"/>
      <c r="M1081" s="58"/>
    </row>
    <row r="1082" spans="2:13" ht="12" x14ac:dyDescent="0.2">
      <c r="B1082" s="55"/>
      <c r="C1082" s="57"/>
      <c r="D1082" s="57"/>
      <c r="E1082" s="57"/>
      <c r="F1082" s="57"/>
      <c r="I1082" s="55"/>
      <c r="J1082" s="57"/>
      <c r="K1082" s="57"/>
      <c r="L1082" s="57"/>
      <c r="M1082" s="57"/>
    </row>
    <row r="1083" spans="2:13" ht="12" x14ac:dyDescent="0.2">
      <c r="B1083" s="56"/>
      <c r="C1083" s="58"/>
      <c r="D1083" s="58"/>
      <c r="E1083" s="58"/>
      <c r="F1083" s="58"/>
      <c r="I1083" s="56"/>
      <c r="J1083" s="58"/>
      <c r="K1083" s="58"/>
      <c r="L1083" s="58"/>
      <c r="M1083" s="58"/>
    </row>
    <row r="1084" spans="2:13" ht="12" x14ac:dyDescent="0.2">
      <c r="B1084" s="55"/>
      <c r="C1084" s="57"/>
      <c r="D1084" s="57"/>
      <c r="E1084" s="57"/>
      <c r="F1084" s="57"/>
      <c r="I1084" s="55"/>
      <c r="J1084" s="57"/>
      <c r="K1084" s="57"/>
      <c r="L1084" s="57"/>
      <c r="M1084" s="57"/>
    </row>
    <row r="1085" spans="2:13" ht="12" x14ac:dyDescent="0.2">
      <c r="B1085" s="56"/>
      <c r="C1085" s="58"/>
      <c r="D1085" s="58"/>
      <c r="E1085" s="58"/>
      <c r="F1085" s="58"/>
      <c r="I1085" s="56"/>
      <c r="J1085" s="58"/>
      <c r="K1085" s="58"/>
      <c r="L1085" s="58"/>
      <c r="M1085" s="58"/>
    </row>
    <row r="1086" spans="2:13" ht="12" x14ac:dyDescent="0.2">
      <c r="B1086" s="55"/>
      <c r="C1086" s="57"/>
      <c r="D1086" s="57"/>
      <c r="E1086" s="57"/>
      <c r="F1086" s="57"/>
      <c r="I1086" s="55"/>
      <c r="J1086" s="57"/>
      <c r="K1086" s="57"/>
      <c r="L1086" s="57"/>
      <c r="M1086" s="57"/>
    </row>
    <row r="1087" spans="2:13" ht="12" x14ac:dyDescent="0.2">
      <c r="B1087" s="56"/>
      <c r="C1087" s="58"/>
      <c r="D1087" s="58"/>
      <c r="E1087" s="58"/>
      <c r="F1087" s="58"/>
      <c r="I1087" s="56"/>
      <c r="J1087" s="58"/>
      <c r="K1087" s="58"/>
      <c r="L1087" s="58"/>
      <c r="M1087" s="58"/>
    </row>
    <row r="1088" spans="2:13" ht="12" x14ac:dyDescent="0.2">
      <c r="B1088" s="55"/>
      <c r="C1088" s="57"/>
      <c r="D1088" s="57"/>
      <c r="E1088" s="57"/>
      <c r="F1088" s="57"/>
      <c r="I1088" s="55"/>
      <c r="J1088" s="57"/>
      <c r="K1088" s="57"/>
      <c r="L1088" s="57"/>
      <c r="M1088" s="57"/>
    </row>
    <row r="1089" spans="2:13" ht="12" x14ac:dyDescent="0.2">
      <c r="B1089" s="56"/>
      <c r="C1089" s="58"/>
      <c r="D1089" s="58"/>
      <c r="E1089" s="58"/>
      <c r="F1089" s="58"/>
      <c r="I1089" s="56"/>
      <c r="J1089" s="58"/>
      <c r="K1089" s="58"/>
      <c r="L1089" s="58"/>
      <c r="M1089" s="58"/>
    </row>
    <row r="1090" spans="2:13" ht="12" x14ac:dyDescent="0.2">
      <c r="B1090" s="55"/>
      <c r="C1090" s="57"/>
      <c r="D1090" s="57"/>
      <c r="E1090" s="57"/>
      <c r="F1090" s="57"/>
      <c r="I1090" s="55"/>
      <c r="J1090" s="57"/>
      <c r="K1090" s="57"/>
      <c r="L1090" s="57"/>
      <c r="M1090" s="57"/>
    </row>
    <row r="1091" spans="2:13" ht="12" x14ac:dyDescent="0.2">
      <c r="B1091" s="56"/>
      <c r="C1091" s="58"/>
      <c r="D1091" s="58"/>
      <c r="E1091" s="58"/>
      <c r="F1091" s="58"/>
      <c r="I1091" s="56"/>
      <c r="J1091" s="58"/>
      <c r="K1091" s="58"/>
      <c r="L1091" s="58"/>
      <c r="M1091" s="58"/>
    </row>
    <row r="1092" spans="2:13" ht="12" x14ac:dyDescent="0.2">
      <c r="B1092" s="55"/>
      <c r="C1092" s="57"/>
      <c r="D1092" s="57"/>
      <c r="E1092" s="57"/>
      <c r="F1092" s="57"/>
      <c r="I1092" s="55"/>
      <c r="J1092" s="57"/>
      <c r="K1092" s="57"/>
      <c r="L1092" s="57"/>
      <c r="M1092" s="57"/>
    </row>
    <row r="1093" spans="2:13" ht="12" x14ac:dyDescent="0.2">
      <c r="B1093" s="56"/>
      <c r="C1093" s="58"/>
      <c r="D1093" s="58"/>
      <c r="E1093" s="58"/>
      <c r="F1093" s="58"/>
      <c r="I1093" s="56"/>
      <c r="J1093" s="58"/>
      <c r="K1093" s="58"/>
      <c r="L1093" s="58"/>
      <c r="M1093" s="58"/>
    </row>
    <row r="1094" spans="2:13" ht="12" x14ac:dyDescent="0.2">
      <c r="B1094" s="55"/>
      <c r="C1094" s="57"/>
      <c r="D1094" s="57"/>
      <c r="E1094" s="57"/>
      <c r="F1094" s="57"/>
      <c r="I1094" s="55"/>
      <c r="J1094" s="57"/>
      <c r="K1094" s="57"/>
      <c r="L1094" s="57"/>
      <c r="M1094" s="57"/>
    </row>
    <row r="1095" spans="2:13" ht="12" x14ac:dyDescent="0.2">
      <c r="B1095" s="56"/>
      <c r="C1095" s="58"/>
      <c r="D1095" s="58"/>
      <c r="E1095" s="58"/>
      <c r="F1095" s="58"/>
      <c r="I1095" s="56"/>
      <c r="J1095" s="58"/>
      <c r="K1095" s="58"/>
      <c r="L1095" s="58"/>
      <c r="M1095" s="58"/>
    </row>
    <row r="1096" spans="2:13" ht="12" x14ac:dyDescent="0.2">
      <c r="B1096" s="55"/>
      <c r="C1096" s="57"/>
      <c r="D1096" s="57"/>
      <c r="E1096" s="57"/>
      <c r="F1096" s="57"/>
      <c r="I1096" s="55"/>
      <c r="J1096" s="57"/>
      <c r="K1096" s="57"/>
      <c r="L1096" s="57"/>
      <c r="M1096" s="57"/>
    </row>
    <row r="1097" spans="2:13" ht="12" x14ac:dyDescent="0.2">
      <c r="B1097" s="56"/>
      <c r="C1097" s="58"/>
      <c r="D1097" s="58"/>
      <c r="E1097" s="58"/>
      <c r="F1097" s="58"/>
      <c r="I1097" s="56"/>
      <c r="J1097" s="58"/>
      <c r="K1097" s="58"/>
      <c r="L1097" s="58"/>
      <c r="M1097" s="58"/>
    </row>
    <row r="1098" spans="2:13" ht="12" x14ac:dyDescent="0.2">
      <c r="B1098" s="55"/>
      <c r="C1098" s="57"/>
      <c r="D1098" s="57"/>
      <c r="E1098" s="57"/>
      <c r="F1098" s="57"/>
      <c r="I1098" s="55"/>
      <c r="J1098" s="57"/>
      <c r="K1098" s="57"/>
      <c r="L1098" s="57"/>
      <c r="M1098" s="57"/>
    </row>
    <row r="1099" spans="2:13" ht="12" x14ac:dyDescent="0.2">
      <c r="B1099" s="56"/>
      <c r="C1099" s="58"/>
      <c r="D1099" s="58"/>
      <c r="E1099" s="58"/>
      <c r="F1099" s="58"/>
      <c r="I1099" s="56"/>
      <c r="J1099" s="58"/>
      <c r="K1099" s="58"/>
      <c r="L1099" s="58"/>
      <c r="M1099" s="58"/>
    </row>
    <row r="1100" spans="2:13" ht="12" x14ac:dyDescent="0.2">
      <c r="B1100" s="55"/>
      <c r="C1100" s="57"/>
      <c r="D1100" s="57"/>
      <c r="E1100" s="57"/>
      <c r="F1100" s="57"/>
      <c r="I1100" s="55"/>
      <c r="J1100" s="57"/>
      <c r="K1100" s="57"/>
      <c r="L1100" s="57"/>
      <c r="M1100" s="57"/>
    </row>
    <row r="1101" spans="2:13" ht="12" x14ac:dyDescent="0.2">
      <c r="B1101" s="56"/>
      <c r="C1101" s="58"/>
      <c r="D1101" s="58"/>
      <c r="E1101" s="58"/>
      <c r="F1101" s="58"/>
      <c r="I1101" s="56"/>
      <c r="J1101" s="58"/>
      <c r="K1101" s="58"/>
      <c r="L1101" s="58"/>
      <c r="M1101" s="58"/>
    </row>
    <row r="1102" spans="2:13" ht="12" x14ac:dyDescent="0.2">
      <c r="B1102" s="55"/>
      <c r="C1102" s="57"/>
      <c r="D1102" s="57"/>
      <c r="E1102" s="57"/>
      <c r="F1102" s="57"/>
      <c r="I1102" s="55"/>
      <c r="J1102" s="57"/>
      <c r="K1102" s="57"/>
      <c r="L1102" s="57"/>
      <c r="M1102" s="57"/>
    </row>
    <row r="1103" spans="2:13" ht="12" x14ac:dyDescent="0.2">
      <c r="B1103" s="56"/>
      <c r="C1103" s="58"/>
      <c r="D1103" s="58"/>
      <c r="E1103" s="58"/>
      <c r="F1103" s="58"/>
      <c r="I1103" s="56"/>
      <c r="J1103" s="58"/>
      <c r="K1103" s="58"/>
      <c r="L1103" s="58"/>
      <c r="M1103" s="58"/>
    </row>
    <row r="1104" spans="2:13" ht="12" x14ac:dyDescent="0.2">
      <c r="B1104" s="55"/>
      <c r="C1104" s="57"/>
      <c r="D1104" s="57"/>
      <c r="E1104" s="57"/>
      <c r="F1104" s="57"/>
      <c r="I1104" s="55"/>
      <c r="J1104" s="57"/>
      <c r="K1104" s="57"/>
      <c r="L1104" s="57"/>
      <c r="M1104" s="57"/>
    </row>
    <row r="1105" spans="2:13" ht="12" x14ac:dyDescent="0.2">
      <c r="B1105" s="56"/>
      <c r="C1105" s="58"/>
      <c r="D1105" s="58"/>
      <c r="E1105" s="58"/>
      <c r="F1105" s="58"/>
      <c r="I1105" s="56"/>
      <c r="J1105" s="58"/>
      <c r="K1105" s="58"/>
      <c r="L1105" s="58"/>
      <c r="M1105" s="58"/>
    </row>
    <row r="1106" spans="2:13" ht="12" x14ac:dyDescent="0.2">
      <c r="B1106" s="55"/>
      <c r="C1106" s="57"/>
      <c r="D1106" s="57"/>
      <c r="E1106" s="57"/>
      <c r="F1106" s="57"/>
      <c r="I1106" s="55"/>
      <c r="J1106" s="57"/>
      <c r="K1106" s="57"/>
      <c r="L1106" s="57"/>
      <c r="M1106" s="57"/>
    </row>
    <row r="1107" spans="2:13" ht="12" x14ac:dyDescent="0.2">
      <c r="B1107" s="56"/>
      <c r="C1107" s="58"/>
      <c r="D1107" s="58"/>
      <c r="E1107" s="58"/>
      <c r="F1107" s="58"/>
      <c r="I1107" s="56"/>
      <c r="J1107" s="58"/>
      <c r="K1107" s="58"/>
      <c r="L1107" s="58"/>
      <c r="M1107" s="58"/>
    </row>
    <row r="1108" spans="2:13" ht="12" x14ac:dyDescent="0.2">
      <c r="B1108" s="55"/>
      <c r="C1108" s="57"/>
      <c r="D1108" s="57"/>
      <c r="E1108" s="57"/>
      <c r="F1108" s="57"/>
      <c r="I1108" s="55"/>
      <c r="J1108" s="57"/>
      <c r="K1108" s="57"/>
      <c r="L1108" s="57"/>
      <c r="M1108" s="57"/>
    </row>
    <row r="1109" spans="2:13" ht="12" x14ac:dyDescent="0.2">
      <c r="B1109" s="56"/>
      <c r="C1109" s="58"/>
      <c r="D1109" s="58"/>
      <c r="E1109" s="58"/>
      <c r="F1109" s="58"/>
      <c r="I1109" s="56"/>
      <c r="J1109" s="58"/>
      <c r="K1109" s="58"/>
      <c r="L1109" s="58"/>
      <c r="M1109" s="58"/>
    </row>
    <row r="1110" spans="2:13" ht="12" x14ac:dyDescent="0.2">
      <c r="B1110" s="55"/>
      <c r="C1110" s="57"/>
      <c r="D1110" s="57"/>
      <c r="E1110" s="57"/>
      <c r="F1110" s="57"/>
      <c r="I1110" s="55"/>
      <c r="J1110" s="57"/>
      <c r="K1110" s="57"/>
      <c r="L1110" s="57"/>
      <c r="M1110" s="57"/>
    </row>
    <row r="1111" spans="2:13" ht="12" x14ac:dyDescent="0.2">
      <c r="B1111" s="56"/>
      <c r="C1111" s="58"/>
      <c r="D1111" s="58"/>
      <c r="E1111" s="58"/>
      <c r="F1111" s="58"/>
      <c r="I1111" s="56"/>
      <c r="J1111" s="58"/>
      <c r="K1111" s="58"/>
      <c r="L1111" s="58"/>
      <c r="M1111" s="58"/>
    </row>
    <row r="1112" spans="2:13" ht="12" x14ac:dyDescent="0.2">
      <c r="B1112" s="55"/>
      <c r="C1112" s="57"/>
      <c r="D1112" s="57"/>
      <c r="E1112" s="57"/>
      <c r="F1112" s="57"/>
      <c r="I1112" s="55"/>
      <c r="J1112" s="57"/>
      <c r="K1112" s="57"/>
      <c r="L1112" s="57"/>
      <c r="M1112" s="57"/>
    </row>
    <row r="1113" spans="2:13" ht="12" x14ac:dyDescent="0.2">
      <c r="B1113" s="56"/>
      <c r="C1113" s="58"/>
      <c r="D1113" s="58"/>
      <c r="E1113" s="58"/>
      <c r="F1113" s="58"/>
      <c r="I1113" s="56"/>
      <c r="J1113" s="58"/>
      <c r="K1113" s="58"/>
      <c r="L1113" s="58"/>
      <c r="M1113" s="58"/>
    </row>
    <row r="1114" spans="2:13" ht="12" x14ac:dyDescent="0.2">
      <c r="B1114" s="55"/>
      <c r="C1114" s="57"/>
      <c r="D1114" s="57"/>
      <c r="E1114" s="57"/>
      <c r="F1114" s="57"/>
      <c r="I1114" s="55"/>
      <c r="J1114" s="57"/>
      <c r="K1114" s="57"/>
      <c r="L1114" s="57"/>
      <c r="M1114" s="57"/>
    </row>
  </sheetData>
  <sheetProtection formatColumns="0" formatRows="0"/>
  <mergeCells count="5">
    <mergeCell ref="B37:G37"/>
    <mergeCell ref="I37:N37"/>
    <mergeCell ref="K7:L7"/>
    <mergeCell ref="D7:E7"/>
    <mergeCell ref="C1:M1"/>
  </mergeCells>
  <phoneticPr fontId="3" type="noConversion"/>
  <hyperlinks>
    <hyperlink ref="B6" location="目录!A1" display="目录"/>
    <hyperlink ref="G6" location="'1'!A1" display="上一页"/>
    <hyperlink ref="I6" location="'3'!A1" display="下一页"/>
    <hyperlink ref="N6" location="目录!A1" display="目录"/>
  </hyperlinks>
  <pageMargins left="0.7" right="0.7" top="0.75" bottom="0.75" header="0.3" footer="0.3"/>
  <pageSetup paperSize="11" orientation="portrait" horizontalDpi="300" verticalDpi="300" r:id="rId1"/>
  <ignoredErrors>
    <ignoredError sqref="C38:H38" unlockedFormula="1"/>
  </ignoredErrors>
  <drawing r:id="rId2"/>
  <legacyDrawing r:id="rId3"/>
  <controls>
    <mc:AlternateContent xmlns:mc="http://schemas.openxmlformats.org/markup-compatibility/2006">
      <mc:Choice Requires="x14">
        <control shapeId="376834" r:id="rId4" name="SpinButtonB">
          <controlPr defaultSize="0" autoLine="0" autoPict="0" r:id="rId5">
            <anchor moveWithCells="1" siz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76834" r:id="rId4" name="SpinButtonB"/>
      </mc:Fallback>
    </mc:AlternateContent>
    <mc:AlternateContent xmlns:mc="http://schemas.openxmlformats.org/markup-compatibility/2006">
      <mc:Choice Requires="x14">
        <control shapeId="376833" r:id="rId6" name="SpinButtonA">
          <controlPr defaultSize="0" autoLine="0" r:id="rId5">
            <anchor moveWithCells="1" sizeWithCells="1">
              <from>
                <xdr:col>3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76833" r:id="rId6" name="SpinButton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63636D"/>
  </sheetPr>
  <dimension ref="A1:Q1114"/>
  <sheetViews>
    <sheetView showGridLines="0" zoomScaleNormal="100" workbookViewId="0">
      <selection activeCell="A53" sqref="A53"/>
    </sheetView>
  </sheetViews>
  <sheetFormatPr defaultRowHeight="11.25" x14ac:dyDescent="0.15"/>
  <cols>
    <col min="1" max="1" width="1.625" style="8" customWidth="1"/>
    <col min="2" max="2" width="11.625" style="14" customWidth="1"/>
    <col min="3" max="7" width="12.625" style="9" customWidth="1"/>
    <col min="8" max="8" width="1.625" style="8" customWidth="1"/>
    <col min="9" max="9" width="11.625" style="14" customWidth="1"/>
    <col min="10" max="14" width="12.625" style="9" customWidth="1"/>
    <col min="15" max="15" width="2.5" style="8" customWidth="1"/>
    <col min="16" max="16384" width="9" style="9"/>
  </cols>
  <sheetData>
    <row r="1" spans="1:17" s="2" customFormat="1" ht="27.75" x14ac:dyDescent="0.15">
      <c r="A1" s="49"/>
      <c r="B1" s="49"/>
      <c r="C1" s="86" t="s">
        <v>45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49"/>
      <c r="O1" s="49"/>
      <c r="P1" s="1"/>
      <c r="Q1" s="1"/>
    </row>
    <row r="2" spans="1:17" s="2" customFormat="1" ht="12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1"/>
      <c r="Q2" s="1"/>
    </row>
    <row r="3" spans="1:17" s="2" customFormat="1" ht="12" x14ac:dyDescent="0.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1"/>
      <c r="Q3" s="1"/>
    </row>
    <row r="4" spans="1:17" s="2" customFormat="1" ht="12" hidden="1" x14ac:dyDescent="0.15">
      <c r="A4" s="3"/>
      <c r="B4" s="38"/>
      <c r="C4" s="1"/>
      <c r="D4" s="1"/>
      <c r="E4" s="1"/>
      <c r="F4" s="1"/>
      <c r="G4" s="1"/>
      <c r="H4" s="3"/>
      <c r="I4" s="38"/>
      <c r="J4" s="1"/>
      <c r="K4" s="1"/>
      <c r="L4" s="1"/>
      <c r="M4" s="1"/>
      <c r="N4" s="1"/>
      <c r="O4" s="3"/>
      <c r="P4" s="1"/>
      <c r="Q4" s="1"/>
    </row>
    <row r="5" spans="1:17" s="2" customFormat="1" ht="12" hidden="1" x14ac:dyDescent="0.15">
      <c r="A5" s="4"/>
      <c r="B5" s="39"/>
      <c r="H5" s="4"/>
      <c r="I5" s="39"/>
      <c r="O5" s="5"/>
    </row>
    <row r="6" spans="1:17" s="2" customFormat="1" ht="17.25" x14ac:dyDescent="0.3">
      <c r="A6" s="4"/>
      <c r="B6" s="51" t="s">
        <v>20</v>
      </c>
      <c r="C6" s="51"/>
      <c r="D6" s="51"/>
      <c r="E6" s="51"/>
      <c r="F6" s="51"/>
      <c r="G6" s="51" t="s">
        <v>21</v>
      </c>
      <c r="H6" s="4"/>
      <c r="I6" s="51" t="s">
        <v>19</v>
      </c>
      <c r="J6" s="51"/>
      <c r="K6" s="51"/>
      <c r="L6" s="51"/>
      <c r="M6" s="51"/>
      <c r="N6" s="51" t="s">
        <v>20</v>
      </c>
      <c r="O6" s="5"/>
    </row>
    <row r="7" spans="1:17" s="7" customFormat="1" ht="16.5" x14ac:dyDescent="0.35">
      <c r="A7" s="6"/>
      <c r="B7" s="52" t="s">
        <v>0</v>
      </c>
      <c r="C7" s="37">
        <f>DATE(YEAR(MAX(B:B)),MONTH(MAX(B:B)),1)</f>
        <v>45413</v>
      </c>
      <c r="D7" s="89"/>
      <c r="E7" s="89"/>
      <c r="F7" s="52" t="s">
        <v>4</v>
      </c>
      <c r="G7" s="37" t="str">
        <f>F9&amp;"个月"</f>
        <v>24个月</v>
      </c>
      <c r="H7" s="32"/>
      <c r="I7" s="52" t="s">
        <v>0</v>
      </c>
      <c r="J7" s="37">
        <f>DATE(YEAR(MAX(I:I)),MONTH(MAX(I:I)),1)</f>
        <v>45413</v>
      </c>
      <c r="K7" s="89"/>
      <c r="L7" s="89"/>
      <c r="M7" s="52" t="s">
        <v>4</v>
      </c>
      <c r="N7" s="37" t="str">
        <f>M9&amp;"个月"</f>
        <v>24个月</v>
      </c>
      <c r="O7" s="6"/>
    </row>
    <row r="9" spans="1:17" ht="11.25" hidden="1" customHeight="1" x14ac:dyDescent="0.15">
      <c r="B9" s="40" t="s">
        <v>2</v>
      </c>
      <c r="C9" s="9">
        <f>ROW(B39)</f>
        <v>39</v>
      </c>
      <c r="F9" s="9">
        <v>24</v>
      </c>
      <c r="I9" s="40" t="s">
        <v>2</v>
      </c>
      <c r="J9" s="9">
        <f>ROW(I39)</f>
        <v>39</v>
      </c>
      <c r="M9" s="9">
        <v>24</v>
      </c>
    </row>
    <row r="10" spans="1:17" ht="11.25" hidden="1" customHeight="1" x14ac:dyDescent="0.15">
      <c r="B10" s="40" t="s">
        <v>1</v>
      </c>
      <c r="C10" s="11">
        <f>MATCH(MAX(B:B),B:B)</f>
        <v>488</v>
      </c>
      <c r="I10" s="40" t="s">
        <v>1</v>
      </c>
      <c r="J10" s="11">
        <f>MATCH(MAX(I:I),I:I)</f>
        <v>497</v>
      </c>
    </row>
    <row r="11" spans="1:17" ht="11.25" hidden="1" customHeight="1" x14ac:dyDescent="0.15">
      <c r="B11" s="40" t="s">
        <v>3</v>
      </c>
      <c r="C11" s="11">
        <f>C10-C9</f>
        <v>449</v>
      </c>
      <c r="I11" s="40" t="s">
        <v>3</v>
      </c>
      <c r="J11" s="11">
        <f>J10-J9</f>
        <v>458</v>
      </c>
    </row>
    <row r="21" spans="4:5" x14ac:dyDescent="0.15">
      <c r="D21" s="12"/>
    </row>
    <row r="24" spans="4:5" x14ac:dyDescent="0.15">
      <c r="E24" s="13"/>
    </row>
    <row r="25" spans="4:5" x14ac:dyDescent="0.15">
      <c r="E25" s="13"/>
    </row>
    <row r="26" spans="4:5" x14ac:dyDescent="0.15">
      <c r="E26" s="13"/>
    </row>
    <row r="29" spans="4:5" x14ac:dyDescent="0.15">
      <c r="D29" s="14"/>
    </row>
    <row r="36" spans="1:15" x14ac:dyDescent="0.15">
      <c r="C36" s="15"/>
      <c r="D36" s="16"/>
    </row>
    <row r="37" spans="1:15" ht="18" x14ac:dyDescent="0.35">
      <c r="B37" s="88" t="s">
        <v>31</v>
      </c>
      <c r="C37" s="88"/>
      <c r="D37" s="88"/>
      <c r="E37" s="88"/>
      <c r="F37" s="88"/>
      <c r="G37" s="88"/>
      <c r="H37" s="23"/>
      <c r="I37" s="88" t="s">
        <v>28</v>
      </c>
      <c r="J37" s="88"/>
      <c r="K37" s="88"/>
      <c r="L37" s="88"/>
      <c r="M37" s="88"/>
      <c r="N37" s="88"/>
    </row>
    <row r="38" spans="1:15" ht="14.25" x14ac:dyDescent="0.15">
      <c r="B38" s="20" t="str">
        <f>[1]!edb()</f>
        <v>Wind</v>
      </c>
      <c r="C38"/>
      <c r="D38" s="16"/>
      <c r="I38" s="17" t="str">
        <f>[1]!edb()</f>
        <v>Wind</v>
      </c>
      <c r="J38"/>
    </row>
    <row r="39" spans="1:15" ht="28.5" x14ac:dyDescent="0.15">
      <c r="B39" s="70" t="s">
        <v>90</v>
      </c>
      <c r="C39" s="70" t="s">
        <v>95</v>
      </c>
      <c r="D39" s="70" t="s">
        <v>96</v>
      </c>
      <c r="E39" s="70" t="s">
        <v>97</v>
      </c>
      <c r="F39" s="70" t="s">
        <v>98</v>
      </c>
      <c r="G39" s="70" t="s">
        <v>99</v>
      </c>
      <c r="H39" s="53"/>
      <c r="I39" s="70" t="s">
        <v>90</v>
      </c>
      <c r="J39" s="70" t="s">
        <v>65</v>
      </c>
      <c r="K39" s="70" t="s">
        <v>91</v>
      </c>
      <c r="L39" s="70" t="s">
        <v>92</v>
      </c>
      <c r="M39" s="70" t="s">
        <v>93</v>
      </c>
      <c r="N39" s="71" t="s">
        <v>94</v>
      </c>
    </row>
    <row r="40" spans="1:15" s="36" customFormat="1" ht="12" x14ac:dyDescent="0.2">
      <c r="A40" s="33"/>
      <c r="B40" s="62">
        <v>31808</v>
      </c>
      <c r="C40" s="64">
        <v>5.0999999999999996</v>
      </c>
      <c r="D40" s="64">
        <v>0</v>
      </c>
      <c r="E40" s="64">
        <v>0</v>
      </c>
      <c r="F40" s="64">
        <v>0</v>
      </c>
      <c r="G40" s="64">
        <v>0</v>
      </c>
      <c r="H40" s="33"/>
      <c r="I40" s="62">
        <v>28855</v>
      </c>
      <c r="J40" s="64">
        <v>212</v>
      </c>
      <c r="K40" s="64">
        <v>0</v>
      </c>
      <c r="L40" s="64">
        <v>0</v>
      </c>
      <c r="M40" s="64">
        <v>0</v>
      </c>
      <c r="N40" s="64">
        <v>0</v>
      </c>
      <c r="O40" s="35"/>
    </row>
    <row r="41" spans="1:15" s="36" customFormat="1" ht="12" x14ac:dyDescent="0.2">
      <c r="A41" s="33"/>
      <c r="B41" s="63">
        <v>31836</v>
      </c>
      <c r="C41" s="65">
        <v>5.4</v>
      </c>
      <c r="D41" s="65">
        <v>0</v>
      </c>
      <c r="E41" s="65">
        <v>0</v>
      </c>
      <c r="F41" s="65">
        <v>0</v>
      </c>
      <c r="G41" s="65">
        <v>0</v>
      </c>
      <c r="H41" s="33"/>
      <c r="I41" s="63">
        <v>29220</v>
      </c>
      <c r="J41" s="65">
        <v>267.7</v>
      </c>
      <c r="K41" s="65">
        <v>0</v>
      </c>
      <c r="L41" s="65">
        <v>0</v>
      </c>
      <c r="M41" s="65">
        <v>0</v>
      </c>
      <c r="N41" s="65">
        <v>0</v>
      </c>
      <c r="O41" s="35"/>
    </row>
    <row r="42" spans="1:15" s="36" customFormat="1" ht="12" x14ac:dyDescent="0.2">
      <c r="A42" s="33"/>
      <c r="B42" s="62">
        <v>31867</v>
      </c>
      <c r="C42" s="64">
        <v>5.8</v>
      </c>
      <c r="D42" s="64">
        <v>0</v>
      </c>
      <c r="E42" s="64">
        <v>0</v>
      </c>
      <c r="F42" s="64">
        <v>0</v>
      </c>
      <c r="G42" s="64">
        <v>0</v>
      </c>
      <c r="H42" s="33"/>
      <c r="I42" s="62">
        <v>29586</v>
      </c>
      <c r="J42" s="64">
        <v>346.2</v>
      </c>
      <c r="K42" s="64">
        <v>0</v>
      </c>
      <c r="L42" s="64">
        <v>0</v>
      </c>
      <c r="M42" s="64">
        <v>0</v>
      </c>
      <c r="N42" s="64">
        <v>0</v>
      </c>
      <c r="O42" s="35"/>
    </row>
    <row r="43" spans="1:15" s="36" customFormat="1" ht="12" x14ac:dyDescent="0.2">
      <c r="A43" s="33"/>
      <c r="B43" s="63">
        <v>31897</v>
      </c>
      <c r="C43" s="65">
        <v>6.7</v>
      </c>
      <c r="D43" s="65">
        <v>0</v>
      </c>
      <c r="E43" s="65">
        <v>0</v>
      </c>
      <c r="F43" s="65">
        <v>0</v>
      </c>
      <c r="G43" s="65">
        <v>0</v>
      </c>
      <c r="H43" s="33"/>
      <c r="I43" s="63">
        <v>29951</v>
      </c>
      <c r="J43" s="65">
        <v>396.3</v>
      </c>
      <c r="K43" s="65">
        <v>0</v>
      </c>
      <c r="L43" s="65">
        <v>0</v>
      </c>
      <c r="M43" s="65">
        <v>0</v>
      </c>
      <c r="N43" s="65">
        <v>0</v>
      </c>
      <c r="O43" s="35"/>
    </row>
    <row r="44" spans="1:15" s="36" customFormat="1" ht="12" x14ac:dyDescent="0.2">
      <c r="A44" s="33"/>
      <c r="B44" s="62">
        <v>31928</v>
      </c>
      <c r="C44" s="64">
        <v>7.6</v>
      </c>
      <c r="D44" s="64">
        <v>0</v>
      </c>
      <c r="E44" s="64">
        <v>0</v>
      </c>
      <c r="F44" s="64">
        <v>0</v>
      </c>
      <c r="G44" s="64">
        <v>0</v>
      </c>
      <c r="H44" s="33"/>
      <c r="I44" s="62">
        <v>30316</v>
      </c>
      <c r="J44" s="64">
        <v>439.1</v>
      </c>
      <c r="K44" s="64">
        <v>0</v>
      </c>
      <c r="L44" s="64">
        <v>0</v>
      </c>
      <c r="M44" s="64">
        <v>0</v>
      </c>
      <c r="N44" s="64">
        <v>0</v>
      </c>
      <c r="O44" s="35"/>
    </row>
    <row r="45" spans="1:15" s="36" customFormat="1" ht="12" x14ac:dyDescent="0.2">
      <c r="A45" s="33"/>
      <c r="B45" s="63">
        <v>31958</v>
      </c>
      <c r="C45" s="65">
        <v>7.8</v>
      </c>
      <c r="D45" s="65">
        <v>0</v>
      </c>
      <c r="E45" s="65">
        <v>0</v>
      </c>
      <c r="F45" s="65">
        <v>0</v>
      </c>
      <c r="G45" s="65">
        <v>0</v>
      </c>
      <c r="H45" s="33"/>
      <c r="I45" s="63">
        <v>30681</v>
      </c>
      <c r="J45" s="65">
        <v>529.80000000000007</v>
      </c>
      <c r="K45" s="65">
        <v>0</v>
      </c>
      <c r="L45" s="65">
        <v>0</v>
      </c>
      <c r="M45" s="65">
        <v>0</v>
      </c>
      <c r="N45" s="65">
        <v>0</v>
      </c>
      <c r="O45" s="35"/>
    </row>
    <row r="46" spans="1:15" s="36" customFormat="1" ht="12" x14ac:dyDescent="0.2">
      <c r="A46" s="33"/>
      <c r="B46" s="62">
        <v>31989</v>
      </c>
      <c r="C46" s="64">
        <v>7.8</v>
      </c>
      <c r="D46" s="64">
        <v>0</v>
      </c>
      <c r="E46" s="64">
        <v>0</v>
      </c>
      <c r="F46" s="64">
        <v>0</v>
      </c>
      <c r="G46" s="64">
        <v>0</v>
      </c>
      <c r="H46" s="33"/>
      <c r="I46" s="62">
        <v>31047</v>
      </c>
      <c r="J46" s="64">
        <v>792.09999999999991</v>
      </c>
      <c r="K46" s="64">
        <v>0</v>
      </c>
      <c r="L46" s="64">
        <v>0</v>
      </c>
      <c r="M46" s="64">
        <v>0</v>
      </c>
      <c r="N46" s="64">
        <v>0</v>
      </c>
      <c r="O46" s="35"/>
    </row>
    <row r="47" spans="1:15" s="36" customFormat="1" ht="12" x14ac:dyDescent="0.2">
      <c r="A47" s="33"/>
      <c r="B47" s="63">
        <v>32020</v>
      </c>
      <c r="C47" s="65">
        <v>8.1999999999999993</v>
      </c>
      <c r="D47" s="65">
        <v>0</v>
      </c>
      <c r="E47" s="65">
        <v>0</v>
      </c>
      <c r="F47" s="65">
        <v>0</v>
      </c>
      <c r="G47" s="65">
        <v>0</v>
      </c>
      <c r="H47" s="33"/>
      <c r="I47" s="63">
        <v>31412</v>
      </c>
      <c r="J47" s="65">
        <v>987.8</v>
      </c>
      <c r="K47" s="65">
        <v>3340.8999999999996</v>
      </c>
      <c r="L47" s="65">
        <v>5198.8999999999996</v>
      </c>
      <c r="M47" s="65">
        <v>0</v>
      </c>
      <c r="N47" s="65">
        <v>0</v>
      </c>
      <c r="O47" s="35"/>
    </row>
    <row r="48" spans="1:15" s="36" customFormat="1" ht="12" x14ac:dyDescent="0.2">
      <c r="A48" s="33"/>
      <c r="B48" s="62">
        <v>32050</v>
      </c>
      <c r="C48" s="64">
        <v>7.7</v>
      </c>
      <c r="D48" s="64">
        <v>0</v>
      </c>
      <c r="E48" s="64">
        <v>0</v>
      </c>
      <c r="F48" s="64">
        <v>0</v>
      </c>
      <c r="G48" s="64">
        <v>0</v>
      </c>
      <c r="H48" s="33"/>
      <c r="I48" s="62">
        <v>31777</v>
      </c>
      <c r="J48" s="64">
        <v>1218.4000000000001</v>
      </c>
      <c r="K48" s="64">
        <v>4232.2</v>
      </c>
      <c r="L48" s="64">
        <v>6720.9000000000005</v>
      </c>
      <c r="M48" s="64">
        <v>-2.6</v>
      </c>
      <c r="N48" s="64">
        <v>0</v>
      </c>
      <c r="O48" s="35"/>
    </row>
    <row r="49" spans="1:15" s="36" customFormat="1" ht="12" x14ac:dyDescent="0.2">
      <c r="A49" s="33"/>
      <c r="B49" s="63">
        <v>32081</v>
      </c>
      <c r="C49" s="65">
        <v>7.5</v>
      </c>
      <c r="D49" s="65">
        <v>0</v>
      </c>
      <c r="E49" s="65">
        <v>0</v>
      </c>
      <c r="F49" s="65">
        <v>0</v>
      </c>
      <c r="G49" s="65">
        <v>0</v>
      </c>
      <c r="H49" s="33"/>
      <c r="I49" s="63">
        <v>31808</v>
      </c>
      <c r="J49" s="65">
        <v>0</v>
      </c>
      <c r="K49" s="65">
        <v>0</v>
      </c>
      <c r="L49" s="65">
        <v>0</v>
      </c>
      <c r="M49" s="65">
        <v>0</v>
      </c>
      <c r="N49" s="65">
        <v>5.0999999999999996</v>
      </c>
      <c r="O49" s="35"/>
    </row>
    <row r="50" spans="1:15" s="36" customFormat="1" ht="12" x14ac:dyDescent="0.2">
      <c r="A50" s="33"/>
      <c r="B50" s="62">
        <v>32111</v>
      </c>
      <c r="C50" s="64">
        <v>8.3000000000000007</v>
      </c>
      <c r="D50" s="64">
        <v>0</v>
      </c>
      <c r="E50" s="64">
        <v>0</v>
      </c>
      <c r="F50" s="64">
        <v>0</v>
      </c>
      <c r="G50" s="64">
        <v>0</v>
      </c>
      <c r="H50" s="33"/>
      <c r="I50" s="62">
        <v>31836</v>
      </c>
      <c r="J50" s="64">
        <v>0</v>
      </c>
      <c r="K50" s="64">
        <v>0</v>
      </c>
      <c r="L50" s="64">
        <v>0</v>
      </c>
      <c r="M50" s="64">
        <v>0</v>
      </c>
      <c r="N50" s="64">
        <v>5.4</v>
      </c>
      <c r="O50" s="35"/>
    </row>
    <row r="51" spans="1:15" s="36" customFormat="1" ht="12" x14ac:dyDescent="0.2">
      <c r="A51" s="33"/>
      <c r="B51" s="63">
        <v>32142</v>
      </c>
      <c r="C51" s="65">
        <v>8.9</v>
      </c>
      <c r="D51" s="65">
        <v>0</v>
      </c>
      <c r="E51" s="65">
        <v>0</v>
      </c>
      <c r="F51" s="65">
        <v>0</v>
      </c>
      <c r="G51" s="65">
        <v>0</v>
      </c>
      <c r="H51" s="33"/>
      <c r="I51" s="63">
        <v>31867</v>
      </c>
      <c r="J51" s="65">
        <v>0</v>
      </c>
      <c r="K51" s="65">
        <v>0</v>
      </c>
      <c r="L51" s="65">
        <v>0</v>
      </c>
      <c r="M51" s="65">
        <v>0</v>
      </c>
      <c r="N51" s="65">
        <v>5.8</v>
      </c>
      <c r="O51" s="35"/>
    </row>
    <row r="52" spans="1:15" s="36" customFormat="1" ht="12" x14ac:dyDescent="0.2">
      <c r="A52" s="33"/>
      <c r="B52" s="62">
        <v>32173</v>
      </c>
      <c r="C52" s="64">
        <v>9.4</v>
      </c>
      <c r="D52" s="64">
        <v>0</v>
      </c>
      <c r="E52" s="64">
        <v>0</v>
      </c>
      <c r="F52" s="64">
        <v>0</v>
      </c>
      <c r="G52" s="64">
        <v>0</v>
      </c>
      <c r="H52" s="33"/>
      <c r="I52" s="62">
        <v>31897</v>
      </c>
      <c r="J52" s="64">
        <v>0</v>
      </c>
      <c r="K52" s="64">
        <v>0</v>
      </c>
      <c r="L52" s="64">
        <v>0</v>
      </c>
      <c r="M52" s="64">
        <v>0</v>
      </c>
      <c r="N52" s="64">
        <v>6.7</v>
      </c>
      <c r="O52" s="35"/>
    </row>
    <row r="53" spans="1:15" s="36" customFormat="1" ht="12" x14ac:dyDescent="0.2">
      <c r="A53" s="33"/>
      <c r="B53" s="63">
        <v>32202</v>
      </c>
      <c r="C53" s="65">
        <v>10.4</v>
      </c>
      <c r="D53" s="65">
        <v>0</v>
      </c>
      <c r="E53" s="65">
        <v>0</v>
      </c>
      <c r="F53" s="65">
        <v>0</v>
      </c>
      <c r="G53" s="65">
        <v>0</v>
      </c>
      <c r="H53" s="33"/>
      <c r="I53" s="63">
        <v>31928</v>
      </c>
      <c r="J53" s="65">
        <v>0</v>
      </c>
      <c r="K53" s="65">
        <v>0</v>
      </c>
      <c r="L53" s="65">
        <v>0</v>
      </c>
      <c r="M53" s="65">
        <v>0</v>
      </c>
      <c r="N53" s="65">
        <v>7.6</v>
      </c>
      <c r="O53" s="35"/>
    </row>
    <row r="54" spans="1:15" s="36" customFormat="1" ht="12" x14ac:dyDescent="0.2">
      <c r="A54" s="33"/>
      <c r="B54" s="62">
        <v>32233</v>
      </c>
      <c r="C54" s="64">
        <v>11.3</v>
      </c>
      <c r="D54" s="64">
        <v>0</v>
      </c>
      <c r="E54" s="64">
        <v>0</v>
      </c>
      <c r="F54" s="64">
        <v>0</v>
      </c>
      <c r="G54" s="64">
        <v>0</v>
      </c>
      <c r="H54" s="33"/>
      <c r="I54" s="62">
        <v>31958</v>
      </c>
      <c r="J54" s="64">
        <v>0</v>
      </c>
      <c r="K54" s="64">
        <v>0</v>
      </c>
      <c r="L54" s="64">
        <v>0</v>
      </c>
      <c r="M54" s="64">
        <v>0</v>
      </c>
      <c r="N54" s="64">
        <v>7.8</v>
      </c>
      <c r="O54" s="35"/>
    </row>
    <row r="55" spans="1:15" s="36" customFormat="1" ht="12" x14ac:dyDescent="0.2">
      <c r="A55" s="33"/>
      <c r="B55" s="63">
        <v>32263</v>
      </c>
      <c r="C55" s="65">
        <v>12.2</v>
      </c>
      <c r="D55" s="65">
        <v>0</v>
      </c>
      <c r="E55" s="65">
        <v>0</v>
      </c>
      <c r="F55" s="65">
        <v>0</v>
      </c>
      <c r="G55" s="65">
        <v>0</v>
      </c>
      <c r="H55" s="33"/>
      <c r="I55" s="63">
        <v>31989</v>
      </c>
      <c r="J55" s="65">
        <v>0</v>
      </c>
      <c r="K55" s="65">
        <v>0</v>
      </c>
      <c r="L55" s="65">
        <v>0</v>
      </c>
      <c r="M55" s="65">
        <v>0</v>
      </c>
      <c r="N55" s="65">
        <v>7.8</v>
      </c>
      <c r="O55" s="35"/>
    </row>
    <row r="56" spans="1:15" s="36" customFormat="1" ht="12" x14ac:dyDescent="0.2">
      <c r="A56" s="33"/>
      <c r="B56" s="62">
        <v>32294</v>
      </c>
      <c r="C56" s="64">
        <v>14.2</v>
      </c>
      <c r="D56" s="64">
        <v>0</v>
      </c>
      <c r="E56" s="64">
        <v>0</v>
      </c>
      <c r="F56" s="64">
        <v>0</v>
      </c>
      <c r="G56" s="64">
        <v>0</v>
      </c>
      <c r="H56" s="33"/>
      <c r="I56" s="62">
        <v>32020</v>
      </c>
      <c r="J56" s="64">
        <v>0</v>
      </c>
      <c r="K56" s="64">
        <v>0</v>
      </c>
      <c r="L56" s="64">
        <v>0</v>
      </c>
      <c r="M56" s="64">
        <v>0</v>
      </c>
      <c r="N56" s="64">
        <v>8.1999999999999993</v>
      </c>
      <c r="O56" s="35"/>
    </row>
    <row r="57" spans="1:15" s="36" customFormat="1" ht="12" x14ac:dyDescent="0.2">
      <c r="A57" s="33"/>
      <c r="B57" s="63">
        <v>32324</v>
      </c>
      <c r="C57" s="65">
        <v>16.3</v>
      </c>
      <c r="D57" s="65">
        <v>0</v>
      </c>
      <c r="E57" s="65">
        <v>0</v>
      </c>
      <c r="F57" s="65">
        <v>0</v>
      </c>
      <c r="G57" s="65">
        <v>0</v>
      </c>
      <c r="H57" s="33"/>
      <c r="I57" s="63">
        <v>32050</v>
      </c>
      <c r="J57" s="65">
        <v>0</v>
      </c>
      <c r="K57" s="65">
        <v>0</v>
      </c>
      <c r="L57" s="65">
        <v>0</v>
      </c>
      <c r="M57" s="65">
        <v>0</v>
      </c>
      <c r="N57" s="65">
        <v>7.7</v>
      </c>
      <c r="O57" s="35"/>
    </row>
    <row r="58" spans="1:15" s="36" customFormat="1" ht="12" x14ac:dyDescent="0.2">
      <c r="A58" s="33"/>
      <c r="B58" s="62">
        <v>32355</v>
      </c>
      <c r="C58" s="64">
        <v>19.2</v>
      </c>
      <c r="D58" s="64">
        <v>0</v>
      </c>
      <c r="E58" s="64">
        <v>0</v>
      </c>
      <c r="F58" s="64">
        <v>0</v>
      </c>
      <c r="G58" s="64">
        <v>0</v>
      </c>
      <c r="H58" s="33"/>
      <c r="I58" s="62">
        <v>32081</v>
      </c>
      <c r="J58" s="64">
        <v>0</v>
      </c>
      <c r="K58" s="64">
        <v>0</v>
      </c>
      <c r="L58" s="64">
        <v>0</v>
      </c>
      <c r="M58" s="64">
        <v>0</v>
      </c>
      <c r="N58" s="64">
        <v>7.5</v>
      </c>
      <c r="O58" s="35"/>
    </row>
    <row r="59" spans="1:15" s="36" customFormat="1" ht="12" x14ac:dyDescent="0.2">
      <c r="A59" s="33"/>
      <c r="B59" s="63">
        <v>32386</v>
      </c>
      <c r="C59" s="65">
        <v>23.6</v>
      </c>
      <c r="D59" s="65">
        <v>0</v>
      </c>
      <c r="E59" s="65">
        <v>0</v>
      </c>
      <c r="F59" s="65">
        <v>0</v>
      </c>
      <c r="G59" s="65">
        <v>0</v>
      </c>
      <c r="H59" s="33"/>
      <c r="I59" s="63">
        <v>32111</v>
      </c>
      <c r="J59" s="65">
        <v>0</v>
      </c>
      <c r="K59" s="65">
        <v>0</v>
      </c>
      <c r="L59" s="65">
        <v>0</v>
      </c>
      <c r="M59" s="65">
        <v>0</v>
      </c>
      <c r="N59" s="65">
        <v>8.3000000000000007</v>
      </c>
      <c r="O59" s="35"/>
    </row>
    <row r="60" spans="1:15" s="36" customFormat="1" ht="12" x14ac:dyDescent="0.2">
      <c r="A60" s="33"/>
      <c r="B60" s="62">
        <v>32416</v>
      </c>
      <c r="C60" s="64">
        <v>26.4</v>
      </c>
      <c r="D60" s="64">
        <v>0</v>
      </c>
      <c r="E60" s="64">
        <v>0</v>
      </c>
      <c r="F60" s="64">
        <v>0</v>
      </c>
      <c r="G60" s="64">
        <v>0</v>
      </c>
      <c r="H60" s="33"/>
      <c r="I60" s="62">
        <v>32142</v>
      </c>
      <c r="J60" s="64">
        <v>1454.5</v>
      </c>
      <c r="K60" s="64">
        <v>4948.5999999999995</v>
      </c>
      <c r="L60" s="64">
        <v>8330.9</v>
      </c>
      <c r="M60" s="64">
        <v>-7.1</v>
      </c>
      <c r="N60" s="64">
        <v>8.9</v>
      </c>
      <c r="O60" s="35"/>
    </row>
    <row r="61" spans="1:15" s="36" customFormat="1" ht="12" x14ac:dyDescent="0.2">
      <c r="A61" s="33"/>
      <c r="B61" s="63">
        <v>32447</v>
      </c>
      <c r="C61" s="65">
        <v>27.1</v>
      </c>
      <c r="D61" s="65">
        <v>0</v>
      </c>
      <c r="E61" s="65">
        <v>0</v>
      </c>
      <c r="F61" s="65">
        <v>0</v>
      </c>
      <c r="G61" s="65">
        <v>0</v>
      </c>
      <c r="H61" s="33"/>
      <c r="I61" s="63">
        <v>32173</v>
      </c>
      <c r="J61" s="65">
        <v>0</v>
      </c>
      <c r="K61" s="65">
        <v>0</v>
      </c>
      <c r="L61" s="65">
        <v>0</v>
      </c>
      <c r="M61" s="65">
        <v>0</v>
      </c>
      <c r="N61" s="65">
        <v>9.4</v>
      </c>
      <c r="O61" s="35"/>
    </row>
    <row r="62" spans="1:15" s="36" customFormat="1" ht="12" x14ac:dyDescent="0.2">
      <c r="A62" s="33"/>
      <c r="B62" s="62">
        <v>32477</v>
      </c>
      <c r="C62" s="64">
        <v>26.8</v>
      </c>
      <c r="D62" s="64">
        <v>0</v>
      </c>
      <c r="E62" s="64">
        <v>0</v>
      </c>
      <c r="F62" s="64">
        <v>0</v>
      </c>
      <c r="G62" s="64">
        <v>0</v>
      </c>
      <c r="H62" s="33"/>
      <c r="I62" s="62">
        <v>32202</v>
      </c>
      <c r="J62" s="64">
        <v>0</v>
      </c>
      <c r="K62" s="64">
        <v>0</v>
      </c>
      <c r="L62" s="64">
        <v>0</v>
      </c>
      <c r="M62" s="64">
        <v>0</v>
      </c>
      <c r="N62" s="64">
        <v>10.4</v>
      </c>
      <c r="O62" s="35"/>
    </row>
    <row r="63" spans="1:15" s="36" customFormat="1" ht="12" x14ac:dyDescent="0.2">
      <c r="A63" s="33"/>
      <c r="B63" s="63">
        <v>32508</v>
      </c>
      <c r="C63" s="65">
        <v>27.9</v>
      </c>
      <c r="D63" s="65">
        <v>0</v>
      </c>
      <c r="E63" s="65">
        <v>0</v>
      </c>
      <c r="F63" s="65">
        <v>0</v>
      </c>
      <c r="G63" s="65">
        <v>0</v>
      </c>
      <c r="H63" s="33"/>
      <c r="I63" s="63">
        <v>32233</v>
      </c>
      <c r="J63" s="65">
        <v>0</v>
      </c>
      <c r="K63" s="65">
        <v>0</v>
      </c>
      <c r="L63" s="65">
        <v>0</v>
      </c>
      <c r="M63" s="65">
        <v>0</v>
      </c>
      <c r="N63" s="65">
        <v>11.3</v>
      </c>
      <c r="O63" s="35"/>
    </row>
    <row r="64" spans="1:15" s="36" customFormat="1" ht="12" x14ac:dyDescent="0.2">
      <c r="A64" s="33"/>
      <c r="B64" s="62">
        <v>32539</v>
      </c>
      <c r="C64" s="64">
        <v>27.4</v>
      </c>
      <c r="D64" s="64">
        <v>0</v>
      </c>
      <c r="E64" s="64">
        <v>0</v>
      </c>
      <c r="F64" s="64">
        <v>0</v>
      </c>
      <c r="G64" s="64">
        <v>0</v>
      </c>
      <c r="H64" s="33"/>
      <c r="I64" s="62">
        <v>32263</v>
      </c>
      <c r="J64" s="64">
        <v>0</v>
      </c>
      <c r="K64" s="64">
        <v>0</v>
      </c>
      <c r="L64" s="64">
        <v>0</v>
      </c>
      <c r="M64" s="64">
        <v>0</v>
      </c>
      <c r="N64" s="64">
        <v>12.2</v>
      </c>
      <c r="O64" s="35"/>
    </row>
    <row r="65" spans="1:15" s="36" customFormat="1" ht="12" x14ac:dyDescent="0.2">
      <c r="A65" s="33"/>
      <c r="B65" s="63">
        <v>32567</v>
      </c>
      <c r="C65" s="65">
        <v>28.4</v>
      </c>
      <c r="D65" s="65">
        <v>0</v>
      </c>
      <c r="E65" s="65">
        <v>0</v>
      </c>
      <c r="F65" s="65">
        <v>0</v>
      </c>
      <c r="G65" s="65">
        <v>0</v>
      </c>
      <c r="H65" s="33"/>
      <c r="I65" s="63">
        <v>32294</v>
      </c>
      <c r="J65" s="65">
        <v>0</v>
      </c>
      <c r="K65" s="65">
        <v>0</v>
      </c>
      <c r="L65" s="65">
        <v>0</v>
      </c>
      <c r="M65" s="65">
        <v>0</v>
      </c>
      <c r="N65" s="65">
        <v>14.2</v>
      </c>
      <c r="O65" s="35"/>
    </row>
    <row r="66" spans="1:15" s="36" customFormat="1" ht="12" x14ac:dyDescent="0.2">
      <c r="A66" s="33"/>
      <c r="B66" s="62">
        <v>32598</v>
      </c>
      <c r="C66" s="64">
        <v>27.1</v>
      </c>
      <c r="D66" s="64">
        <v>0</v>
      </c>
      <c r="E66" s="64">
        <v>0</v>
      </c>
      <c r="F66" s="64">
        <v>0</v>
      </c>
      <c r="G66" s="64">
        <v>0</v>
      </c>
      <c r="H66" s="33"/>
      <c r="I66" s="62">
        <v>32324</v>
      </c>
      <c r="J66" s="64">
        <v>0</v>
      </c>
      <c r="K66" s="64">
        <v>0</v>
      </c>
      <c r="L66" s="64">
        <v>0</v>
      </c>
      <c r="M66" s="64">
        <v>0</v>
      </c>
      <c r="N66" s="64">
        <v>16.3</v>
      </c>
      <c r="O66" s="35"/>
    </row>
    <row r="67" spans="1:15" s="36" customFormat="1" ht="12" x14ac:dyDescent="0.2">
      <c r="A67" s="33"/>
      <c r="B67" s="63">
        <v>32628</v>
      </c>
      <c r="C67" s="65">
        <v>26.6</v>
      </c>
      <c r="D67" s="65">
        <v>0</v>
      </c>
      <c r="E67" s="65">
        <v>0</v>
      </c>
      <c r="F67" s="65">
        <v>0</v>
      </c>
      <c r="G67" s="65">
        <v>0</v>
      </c>
      <c r="H67" s="33"/>
      <c r="I67" s="63">
        <v>32355</v>
      </c>
      <c r="J67" s="65">
        <v>0</v>
      </c>
      <c r="K67" s="65">
        <v>0</v>
      </c>
      <c r="L67" s="65">
        <v>0</v>
      </c>
      <c r="M67" s="65">
        <v>0</v>
      </c>
      <c r="N67" s="65">
        <v>19.2</v>
      </c>
      <c r="O67" s="35"/>
    </row>
    <row r="68" spans="1:15" s="36" customFormat="1" ht="12" x14ac:dyDescent="0.2">
      <c r="A68" s="33"/>
      <c r="B68" s="62">
        <v>32659</v>
      </c>
      <c r="C68" s="64">
        <v>24.8</v>
      </c>
      <c r="D68" s="64">
        <v>0</v>
      </c>
      <c r="E68" s="64">
        <v>0</v>
      </c>
      <c r="F68" s="64">
        <v>0</v>
      </c>
      <c r="G68" s="64">
        <v>0</v>
      </c>
      <c r="H68" s="33"/>
      <c r="I68" s="62">
        <v>32386</v>
      </c>
      <c r="J68" s="64">
        <v>0</v>
      </c>
      <c r="K68" s="64">
        <v>0</v>
      </c>
      <c r="L68" s="64">
        <v>0</v>
      </c>
      <c r="M68" s="64">
        <v>0</v>
      </c>
      <c r="N68" s="64">
        <v>23.6</v>
      </c>
      <c r="O68" s="35"/>
    </row>
    <row r="69" spans="1:15" s="36" customFormat="1" ht="12" x14ac:dyDescent="0.2">
      <c r="A69" s="33"/>
      <c r="B69" s="63">
        <v>32689</v>
      </c>
      <c r="C69" s="65">
        <v>22.8</v>
      </c>
      <c r="D69" s="65">
        <v>0</v>
      </c>
      <c r="E69" s="65">
        <v>0</v>
      </c>
      <c r="F69" s="65">
        <v>0</v>
      </c>
      <c r="G69" s="65">
        <v>0</v>
      </c>
      <c r="H69" s="33"/>
      <c r="I69" s="63">
        <v>32416</v>
      </c>
      <c r="J69" s="65">
        <v>0</v>
      </c>
      <c r="K69" s="65">
        <v>0</v>
      </c>
      <c r="L69" s="65">
        <v>0</v>
      </c>
      <c r="M69" s="65">
        <v>0</v>
      </c>
      <c r="N69" s="65">
        <v>26.4</v>
      </c>
      <c r="O69" s="35"/>
    </row>
    <row r="70" spans="1:15" s="36" customFormat="1" ht="12" x14ac:dyDescent="0.2">
      <c r="A70" s="33"/>
      <c r="B70" s="62">
        <v>32720</v>
      </c>
      <c r="C70" s="64">
        <v>19.399999999999999</v>
      </c>
      <c r="D70" s="64">
        <v>0</v>
      </c>
      <c r="E70" s="64">
        <v>0</v>
      </c>
      <c r="F70" s="64">
        <v>0</v>
      </c>
      <c r="G70" s="64">
        <v>0</v>
      </c>
      <c r="H70" s="33"/>
      <c r="I70" s="62">
        <v>32447</v>
      </c>
      <c r="J70" s="64">
        <v>0</v>
      </c>
      <c r="K70" s="64">
        <v>0</v>
      </c>
      <c r="L70" s="64">
        <v>0</v>
      </c>
      <c r="M70" s="64">
        <v>0</v>
      </c>
      <c r="N70" s="64">
        <v>27.1</v>
      </c>
      <c r="O70" s="35"/>
    </row>
    <row r="71" spans="1:15" s="36" customFormat="1" ht="12" x14ac:dyDescent="0.2">
      <c r="A71" s="33"/>
      <c r="B71" s="63">
        <v>32751</v>
      </c>
      <c r="C71" s="65">
        <v>15.3</v>
      </c>
      <c r="D71" s="65">
        <v>0</v>
      </c>
      <c r="E71" s="65">
        <v>0</v>
      </c>
      <c r="F71" s="65">
        <v>0</v>
      </c>
      <c r="G71" s="65">
        <v>0</v>
      </c>
      <c r="H71" s="33"/>
      <c r="I71" s="63">
        <v>32477</v>
      </c>
      <c r="J71" s="65">
        <v>0</v>
      </c>
      <c r="K71" s="65">
        <v>0</v>
      </c>
      <c r="L71" s="65">
        <v>0</v>
      </c>
      <c r="M71" s="65">
        <v>0</v>
      </c>
      <c r="N71" s="65">
        <v>26.8</v>
      </c>
      <c r="O71" s="35"/>
    </row>
    <row r="72" spans="1:15" s="36" customFormat="1" ht="12" x14ac:dyDescent="0.2">
      <c r="A72" s="33"/>
      <c r="B72" s="62">
        <v>32781</v>
      </c>
      <c r="C72" s="64">
        <v>11.5</v>
      </c>
      <c r="D72" s="64">
        <v>0</v>
      </c>
      <c r="E72" s="64">
        <v>0</v>
      </c>
      <c r="F72" s="64">
        <v>0</v>
      </c>
      <c r="G72" s="64">
        <v>0</v>
      </c>
      <c r="H72" s="33"/>
      <c r="I72" s="62">
        <v>32508</v>
      </c>
      <c r="J72" s="64">
        <v>2134</v>
      </c>
      <c r="K72" s="64">
        <v>5985.9000000000005</v>
      </c>
      <c r="L72" s="64">
        <v>10099.799999999999</v>
      </c>
      <c r="M72" s="64">
        <v>-0.2</v>
      </c>
      <c r="N72" s="64">
        <v>27.9</v>
      </c>
      <c r="O72" s="35"/>
    </row>
    <row r="73" spans="1:15" s="36" customFormat="1" ht="12" x14ac:dyDescent="0.2">
      <c r="A73" s="33"/>
      <c r="B73" s="63">
        <v>32812</v>
      </c>
      <c r="C73" s="65">
        <v>8.6</v>
      </c>
      <c r="D73" s="65">
        <v>0</v>
      </c>
      <c r="E73" s="65">
        <v>0</v>
      </c>
      <c r="F73" s="65">
        <v>0</v>
      </c>
      <c r="G73" s="65">
        <v>0</v>
      </c>
      <c r="H73" s="33"/>
      <c r="I73" s="63">
        <v>32539</v>
      </c>
      <c r="J73" s="65">
        <v>0</v>
      </c>
      <c r="K73" s="65">
        <v>0</v>
      </c>
      <c r="L73" s="65">
        <v>0</v>
      </c>
      <c r="M73" s="65">
        <v>0</v>
      </c>
      <c r="N73" s="65">
        <v>27.4</v>
      </c>
      <c r="O73" s="35"/>
    </row>
    <row r="74" spans="1:15" s="36" customFormat="1" ht="12" x14ac:dyDescent="0.2">
      <c r="A74" s="33"/>
      <c r="B74" s="62">
        <v>32842</v>
      </c>
      <c r="C74" s="64">
        <v>7.4</v>
      </c>
      <c r="D74" s="64">
        <v>0</v>
      </c>
      <c r="E74" s="64">
        <v>0</v>
      </c>
      <c r="F74" s="64">
        <v>0</v>
      </c>
      <c r="G74" s="64">
        <v>0</v>
      </c>
      <c r="H74" s="33"/>
      <c r="I74" s="62">
        <v>32567</v>
      </c>
      <c r="J74" s="64">
        <v>0</v>
      </c>
      <c r="K74" s="64">
        <v>0</v>
      </c>
      <c r="L74" s="64">
        <v>0</v>
      </c>
      <c r="M74" s="64">
        <v>0</v>
      </c>
      <c r="N74" s="64">
        <v>28.4</v>
      </c>
      <c r="O74" s="35"/>
    </row>
    <row r="75" spans="1:15" s="36" customFormat="1" ht="12" x14ac:dyDescent="0.2">
      <c r="A75" s="33"/>
      <c r="B75" s="63">
        <v>32873</v>
      </c>
      <c r="C75" s="65">
        <v>6.6</v>
      </c>
      <c r="D75" s="65">
        <v>0</v>
      </c>
      <c r="E75" s="65">
        <v>0</v>
      </c>
      <c r="F75" s="65">
        <v>0</v>
      </c>
      <c r="G75" s="65">
        <v>0</v>
      </c>
      <c r="H75" s="33"/>
      <c r="I75" s="63">
        <v>32598</v>
      </c>
      <c r="J75" s="65">
        <v>0</v>
      </c>
      <c r="K75" s="65">
        <v>0</v>
      </c>
      <c r="L75" s="65">
        <v>0</v>
      </c>
      <c r="M75" s="65">
        <v>0</v>
      </c>
      <c r="N75" s="65">
        <v>27.1</v>
      </c>
      <c r="O75" s="35"/>
    </row>
    <row r="76" spans="1:15" s="36" customFormat="1" ht="12" x14ac:dyDescent="0.2">
      <c r="A76" s="33"/>
      <c r="B76" s="62">
        <v>32904</v>
      </c>
      <c r="C76" s="64">
        <v>4.3</v>
      </c>
      <c r="D76" s="64">
        <v>0</v>
      </c>
      <c r="E76" s="64">
        <v>0</v>
      </c>
      <c r="F76" s="64">
        <v>0</v>
      </c>
      <c r="G76" s="64">
        <v>0</v>
      </c>
      <c r="H76" s="33"/>
      <c r="I76" s="62">
        <v>32628</v>
      </c>
      <c r="J76" s="64">
        <v>0</v>
      </c>
      <c r="K76" s="64">
        <v>0</v>
      </c>
      <c r="L76" s="64">
        <v>0</v>
      </c>
      <c r="M76" s="64">
        <v>0</v>
      </c>
      <c r="N76" s="64">
        <v>26.6</v>
      </c>
      <c r="O76" s="35"/>
    </row>
    <row r="77" spans="1:15" s="36" customFormat="1" ht="12" x14ac:dyDescent="0.2">
      <c r="A77" s="33"/>
      <c r="B77" s="63">
        <v>32932</v>
      </c>
      <c r="C77" s="65">
        <v>4.4000000000000004</v>
      </c>
      <c r="D77" s="65">
        <v>0</v>
      </c>
      <c r="E77" s="65">
        <v>0</v>
      </c>
      <c r="F77" s="65">
        <v>0</v>
      </c>
      <c r="G77" s="65">
        <v>0</v>
      </c>
      <c r="H77" s="33"/>
      <c r="I77" s="63">
        <v>32659</v>
      </c>
      <c r="J77" s="65">
        <v>0</v>
      </c>
      <c r="K77" s="65">
        <v>0</v>
      </c>
      <c r="L77" s="65">
        <v>0</v>
      </c>
      <c r="M77" s="65">
        <v>0</v>
      </c>
      <c r="N77" s="65">
        <v>24.8</v>
      </c>
      <c r="O77" s="35"/>
    </row>
    <row r="78" spans="1:15" s="36" customFormat="1" ht="12" x14ac:dyDescent="0.2">
      <c r="A78" s="33"/>
      <c r="B78" s="62">
        <v>32963</v>
      </c>
      <c r="C78" s="64">
        <v>3.4</v>
      </c>
      <c r="D78" s="64">
        <v>0</v>
      </c>
      <c r="E78" s="64">
        <v>0</v>
      </c>
      <c r="F78" s="64">
        <v>0</v>
      </c>
      <c r="G78" s="64">
        <v>0</v>
      </c>
      <c r="H78" s="33"/>
      <c r="I78" s="62">
        <v>32689</v>
      </c>
      <c r="J78" s="64">
        <v>0</v>
      </c>
      <c r="K78" s="64">
        <v>0</v>
      </c>
      <c r="L78" s="64">
        <v>0</v>
      </c>
      <c r="M78" s="64">
        <v>0</v>
      </c>
      <c r="N78" s="64">
        <v>22.8</v>
      </c>
      <c r="O78" s="35"/>
    </row>
    <row r="79" spans="1:15" s="36" customFormat="1" ht="12" x14ac:dyDescent="0.2">
      <c r="A79" s="33"/>
      <c r="B79" s="63">
        <v>32993</v>
      </c>
      <c r="C79" s="65">
        <v>3.2</v>
      </c>
      <c r="D79" s="65">
        <v>0</v>
      </c>
      <c r="E79" s="65">
        <v>0</v>
      </c>
      <c r="F79" s="65">
        <v>0</v>
      </c>
      <c r="G79" s="65">
        <v>0</v>
      </c>
      <c r="H79" s="33"/>
      <c r="I79" s="63">
        <v>32720</v>
      </c>
      <c r="J79" s="65">
        <v>0</v>
      </c>
      <c r="K79" s="65">
        <v>0</v>
      </c>
      <c r="L79" s="65">
        <v>0</v>
      </c>
      <c r="M79" s="65">
        <v>0</v>
      </c>
      <c r="N79" s="65">
        <v>19.399999999999999</v>
      </c>
      <c r="O79" s="35"/>
    </row>
    <row r="80" spans="1:15" s="36" customFormat="1" ht="12" x14ac:dyDescent="0.2">
      <c r="A80" s="33"/>
      <c r="B80" s="62">
        <v>33024</v>
      </c>
      <c r="C80" s="64">
        <v>2.7</v>
      </c>
      <c r="D80" s="64">
        <v>0</v>
      </c>
      <c r="E80" s="64">
        <v>0</v>
      </c>
      <c r="F80" s="64">
        <v>0</v>
      </c>
      <c r="G80" s="64">
        <v>0</v>
      </c>
      <c r="H80" s="33"/>
      <c r="I80" s="62">
        <v>32751</v>
      </c>
      <c r="J80" s="64">
        <v>0</v>
      </c>
      <c r="K80" s="64">
        <v>0</v>
      </c>
      <c r="L80" s="64">
        <v>0</v>
      </c>
      <c r="M80" s="64">
        <v>0</v>
      </c>
      <c r="N80" s="64">
        <v>15.3</v>
      </c>
      <c r="O80" s="35"/>
    </row>
    <row r="81" spans="1:15" s="36" customFormat="1" ht="12" x14ac:dyDescent="0.2">
      <c r="A81" s="33"/>
      <c r="B81" s="63">
        <v>33054</v>
      </c>
      <c r="C81" s="65">
        <v>1.1000000000000001</v>
      </c>
      <c r="D81" s="65">
        <v>0</v>
      </c>
      <c r="E81" s="65">
        <v>0</v>
      </c>
      <c r="F81" s="65">
        <v>0</v>
      </c>
      <c r="G81" s="65">
        <v>0</v>
      </c>
      <c r="H81" s="33"/>
      <c r="I81" s="63">
        <v>32781</v>
      </c>
      <c r="J81" s="65">
        <v>0</v>
      </c>
      <c r="K81" s="65">
        <v>0</v>
      </c>
      <c r="L81" s="65">
        <v>0</v>
      </c>
      <c r="M81" s="65">
        <v>0</v>
      </c>
      <c r="N81" s="65">
        <v>11.5</v>
      </c>
      <c r="O81" s="35"/>
    </row>
    <row r="82" spans="1:15" s="36" customFormat="1" ht="12" x14ac:dyDescent="0.2">
      <c r="A82" s="33"/>
      <c r="B82" s="62">
        <v>33085</v>
      </c>
      <c r="C82" s="64">
        <v>1.1000000000000001</v>
      </c>
      <c r="D82" s="64">
        <v>0</v>
      </c>
      <c r="E82" s="64">
        <v>0</v>
      </c>
      <c r="F82" s="64">
        <v>0</v>
      </c>
      <c r="G82" s="64">
        <v>0</v>
      </c>
      <c r="H82" s="33"/>
      <c r="I82" s="62">
        <v>32812</v>
      </c>
      <c r="J82" s="64">
        <v>0</v>
      </c>
      <c r="K82" s="64">
        <v>0</v>
      </c>
      <c r="L82" s="64">
        <v>0</v>
      </c>
      <c r="M82" s="64">
        <v>0</v>
      </c>
      <c r="N82" s="64">
        <v>8.6</v>
      </c>
      <c r="O82" s="35"/>
    </row>
    <row r="83" spans="1:15" s="36" customFormat="1" ht="12" x14ac:dyDescent="0.2">
      <c r="A83" s="33"/>
      <c r="B83" s="63">
        <v>33116</v>
      </c>
      <c r="C83" s="65">
        <v>2.5</v>
      </c>
      <c r="D83" s="65">
        <v>0</v>
      </c>
      <c r="E83" s="65">
        <v>0</v>
      </c>
      <c r="F83" s="65">
        <v>0</v>
      </c>
      <c r="G83" s="65">
        <v>0</v>
      </c>
      <c r="H83" s="33"/>
      <c r="I83" s="63">
        <v>32842</v>
      </c>
      <c r="J83" s="65">
        <v>0</v>
      </c>
      <c r="K83" s="65">
        <v>0</v>
      </c>
      <c r="L83" s="65">
        <v>0</v>
      </c>
      <c r="M83" s="65">
        <v>0</v>
      </c>
      <c r="N83" s="65">
        <v>7.4</v>
      </c>
      <c r="O83" s="35"/>
    </row>
    <row r="84" spans="1:15" s="36" customFormat="1" ht="12" x14ac:dyDescent="0.2">
      <c r="A84" s="33"/>
      <c r="B84" s="62">
        <v>33146</v>
      </c>
      <c r="C84" s="64">
        <v>2.9</v>
      </c>
      <c r="D84" s="64">
        <v>0</v>
      </c>
      <c r="E84" s="64">
        <v>0</v>
      </c>
      <c r="F84" s="64">
        <v>0</v>
      </c>
      <c r="G84" s="64">
        <v>0</v>
      </c>
      <c r="H84" s="33"/>
      <c r="I84" s="62">
        <v>32873</v>
      </c>
      <c r="J84" s="64">
        <v>2344</v>
      </c>
      <c r="K84" s="64">
        <v>6382.2000000000007</v>
      </c>
      <c r="L84" s="64">
        <v>11949.6</v>
      </c>
      <c r="M84" s="64">
        <v>-11.7</v>
      </c>
      <c r="N84" s="64">
        <v>6.6</v>
      </c>
      <c r="O84" s="35"/>
    </row>
    <row r="85" spans="1:15" s="36" customFormat="1" ht="12" x14ac:dyDescent="0.2">
      <c r="A85" s="33"/>
      <c r="B85" s="63">
        <v>33177</v>
      </c>
      <c r="C85" s="65">
        <v>3.1</v>
      </c>
      <c r="D85" s="65">
        <v>0</v>
      </c>
      <c r="E85" s="65">
        <v>0</v>
      </c>
      <c r="F85" s="65">
        <v>0</v>
      </c>
      <c r="G85" s="65">
        <v>0</v>
      </c>
      <c r="H85" s="33"/>
      <c r="I85" s="63">
        <v>32904</v>
      </c>
      <c r="J85" s="65">
        <v>0</v>
      </c>
      <c r="K85" s="65">
        <v>0</v>
      </c>
      <c r="L85" s="65">
        <v>0</v>
      </c>
      <c r="M85" s="65">
        <v>0</v>
      </c>
      <c r="N85" s="65">
        <v>4.3</v>
      </c>
      <c r="O85" s="35"/>
    </row>
    <row r="86" spans="1:15" s="36" customFormat="1" ht="12" x14ac:dyDescent="0.2">
      <c r="A86" s="33"/>
      <c r="B86" s="62">
        <v>33207</v>
      </c>
      <c r="C86" s="64">
        <v>3.7</v>
      </c>
      <c r="D86" s="64">
        <v>0</v>
      </c>
      <c r="E86" s="64">
        <v>0</v>
      </c>
      <c r="F86" s="64">
        <v>0</v>
      </c>
      <c r="G86" s="64">
        <v>0</v>
      </c>
      <c r="H86" s="33"/>
      <c r="I86" s="62">
        <v>32932</v>
      </c>
      <c r="J86" s="64">
        <v>0</v>
      </c>
      <c r="K86" s="64">
        <v>0</v>
      </c>
      <c r="L86" s="64">
        <v>0</v>
      </c>
      <c r="M86" s="64">
        <v>0</v>
      </c>
      <c r="N86" s="64">
        <v>4.4000000000000004</v>
      </c>
      <c r="O86" s="35"/>
    </row>
    <row r="87" spans="1:15" s="36" customFormat="1" ht="12" x14ac:dyDescent="0.2">
      <c r="A87" s="33"/>
      <c r="B87" s="63">
        <v>33238</v>
      </c>
      <c r="C87" s="65">
        <v>4.3</v>
      </c>
      <c r="D87" s="65">
        <v>0</v>
      </c>
      <c r="E87" s="65">
        <v>0</v>
      </c>
      <c r="F87" s="65">
        <v>0</v>
      </c>
      <c r="G87" s="65">
        <v>0</v>
      </c>
      <c r="H87" s="33"/>
      <c r="I87" s="63">
        <v>32963</v>
      </c>
      <c r="J87" s="65">
        <v>0</v>
      </c>
      <c r="K87" s="65">
        <v>0</v>
      </c>
      <c r="L87" s="65">
        <v>0</v>
      </c>
      <c r="M87" s="65">
        <v>0</v>
      </c>
      <c r="N87" s="65">
        <v>3.4</v>
      </c>
      <c r="O87" s="35"/>
    </row>
    <row r="88" spans="1:15" s="36" customFormat="1" ht="12" x14ac:dyDescent="0.2">
      <c r="A88" s="33"/>
      <c r="B88" s="62">
        <v>33269</v>
      </c>
      <c r="C88" s="64">
        <v>2.2000000000000002</v>
      </c>
      <c r="D88" s="64">
        <v>0</v>
      </c>
      <c r="E88" s="64">
        <v>0</v>
      </c>
      <c r="F88" s="64">
        <v>0</v>
      </c>
      <c r="G88" s="64">
        <v>0</v>
      </c>
      <c r="H88" s="33"/>
      <c r="I88" s="62">
        <v>32993</v>
      </c>
      <c r="J88" s="64">
        <v>0</v>
      </c>
      <c r="K88" s="64">
        <v>0</v>
      </c>
      <c r="L88" s="64">
        <v>0</v>
      </c>
      <c r="M88" s="64">
        <v>0</v>
      </c>
      <c r="N88" s="64">
        <v>3.2</v>
      </c>
      <c r="O88" s="35"/>
    </row>
    <row r="89" spans="1:15" s="36" customFormat="1" ht="12" x14ac:dyDescent="0.2">
      <c r="A89" s="33"/>
      <c r="B89" s="63">
        <v>33297</v>
      </c>
      <c r="C89" s="65">
        <v>1</v>
      </c>
      <c r="D89" s="65">
        <v>0</v>
      </c>
      <c r="E89" s="65">
        <v>0</v>
      </c>
      <c r="F89" s="65">
        <v>0</v>
      </c>
      <c r="G89" s="65">
        <v>0</v>
      </c>
      <c r="H89" s="33"/>
      <c r="I89" s="63">
        <v>33024</v>
      </c>
      <c r="J89" s="65">
        <v>0</v>
      </c>
      <c r="K89" s="65">
        <v>0</v>
      </c>
      <c r="L89" s="65">
        <v>0</v>
      </c>
      <c r="M89" s="65">
        <v>0</v>
      </c>
      <c r="N89" s="65">
        <v>2.7</v>
      </c>
      <c r="O89" s="35"/>
    </row>
    <row r="90" spans="1:15" s="36" customFormat="1" ht="12" x14ac:dyDescent="0.2">
      <c r="A90" s="33"/>
      <c r="B90" s="62">
        <v>33328</v>
      </c>
      <c r="C90" s="64">
        <v>1.6</v>
      </c>
      <c r="D90" s="64">
        <v>0</v>
      </c>
      <c r="E90" s="64">
        <v>0</v>
      </c>
      <c r="F90" s="64">
        <v>0</v>
      </c>
      <c r="G90" s="64">
        <v>0</v>
      </c>
      <c r="H90" s="33"/>
      <c r="I90" s="62">
        <v>33054</v>
      </c>
      <c r="J90" s="64">
        <v>0</v>
      </c>
      <c r="K90" s="64">
        <v>0</v>
      </c>
      <c r="L90" s="64">
        <v>0</v>
      </c>
      <c r="M90" s="64">
        <v>0</v>
      </c>
      <c r="N90" s="64">
        <v>1.1000000000000001</v>
      </c>
      <c r="O90" s="35"/>
    </row>
    <row r="91" spans="1:15" s="36" customFormat="1" ht="12" x14ac:dyDescent="0.2">
      <c r="A91" s="33"/>
      <c r="B91" s="63">
        <v>33358</v>
      </c>
      <c r="C91" s="65">
        <v>1.3</v>
      </c>
      <c r="D91" s="65">
        <v>0</v>
      </c>
      <c r="E91" s="65">
        <v>0</v>
      </c>
      <c r="F91" s="65">
        <v>0</v>
      </c>
      <c r="G91" s="65">
        <v>0</v>
      </c>
      <c r="H91" s="33"/>
      <c r="I91" s="63">
        <v>33085</v>
      </c>
      <c r="J91" s="65">
        <v>0</v>
      </c>
      <c r="K91" s="65">
        <v>0</v>
      </c>
      <c r="L91" s="65">
        <v>0</v>
      </c>
      <c r="M91" s="65">
        <v>0</v>
      </c>
      <c r="N91" s="65">
        <v>1.1000000000000001</v>
      </c>
      <c r="O91" s="35"/>
    </row>
    <row r="92" spans="1:15" s="36" customFormat="1" ht="12" x14ac:dyDescent="0.2">
      <c r="A92" s="33"/>
      <c r="B92" s="62">
        <v>33389</v>
      </c>
      <c r="C92" s="64">
        <v>3.6</v>
      </c>
      <c r="D92" s="64">
        <v>0</v>
      </c>
      <c r="E92" s="64">
        <v>0</v>
      </c>
      <c r="F92" s="64">
        <v>0</v>
      </c>
      <c r="G92" s="64">
        <v>0</v>
      </c>
      <c r="H92" s="33"/>
      <c r="I92" s="62">
        <v>33116</v>
      </c>
      <c r="J92" s="64">
        <v>0</v>
      </c>
      <c r="K92" s="64">
        <v>0</v>
      </c>
      <c r="L92" s="64">
        <v>0</v>
      </c>
      <c r="M92" s="64">
        <v>0</v>
      </c>
      <c r="N92" s="64">
        <v>2.5</v>
      </c>
      <c r="O92" s="35"/>
    </row>
    <row r="93" spans="1:15" s="36" customFormat="1" ht="12" x14ac:dyDescent="0.2">
      <c r="A93" s="33"/>
      <c r="B93" s="63">
        <v>33419</v>
      </c>
      <c r="C93" s="65">
        <v>4.4000000000000004</v>
      </c>
      <c r="D93" s="65">
        <v>0</v>
      </c>
      <c r="E93" s="65">
        <v>0</v>
      </c>
      <c r="F93" s="65">
        <v>0</v>
      </c>
      <c r="G93" s="65">
        <v>0</v>
      </c>
      <c r="H93" s="33"/>
      <c r="I93" s="63">
        <v>33146</v>
      </c>
      <c r="J93" s="65">
        <v>0</v>
      </c>
      <c r="K93" s="65">
        <v>0</v>
      </c>
      <c r="L93" s="65">
        <v>0</v>
      </c>
      <c r="M93" s="65">
        <v>0</v>
      </c>
      <c r="N93" s="65">
        <v>2.9</v>
      </c>
      <c r="O93" s="35"/>
    </row>
    <row r="94" spans="1:15" s="36" customFormat="1" ht="12" x14ac:dyDescent="0.2">
      <c r="A94" s="33"/>
      <c r="B94" s="62">
        <v>33450</v>
      </c>
      <c r="C94" s="64">
        <v>4.7</v>
      </c>
      <c r="D94" s="64">
        <v>0</v>
      </c>
      <c r="E94" s="64">
        <v>0</v>
      </c>
      <c r="F94" s="64">
        <v>0</v>
      </c>
      <c r="G94" s="64">
        <v>0</v>
      </c>
      <c r="H94" s="33"/>
      <c r="I94" s="62">
        <v>33177</v>
      </c>
      <c r="J94" s="64">
        <v>0</v>
      </c>
      <c r="K94" s="64">
        <v>0</v>
      </c>
      <c r="L94" s="64">
        <v>0</v>
      </c>
      <c r="M94" s="64">
        <v>0</v>
      </c>
      <c r="N94" s="64">
        <v>3.1</v>
      </c>
      <c r="O94" s="35"/>
    </row>
    <row r="95" spans="1:15" s="36" customFormat="1" ht="12" x14ac:dyDescent="0.2">
      <c r="A95" s="33"/>
      <c r="B95" s="63">
        <v>33481</v>
      </c>
      <c r="C95" s="65">
        <v>4.9000000000000004</v>
      </c>
      <c r="D95" s="65">
        <v>0</v>
      </c>
      <c r="E95" s="65">
        <v>0</v>
      </c>
      <c r="F95" s="65">
        <v>0</v>
      </c>
      <c r="G95" s="65">
        <v>0</v>
      </c>
      <c r="H95" s="33"/>
      <c r="I95" s="63">
        <v>33207</v>
      </c>
      <c r="J95" s="65">
        <v>0</v>
      </c>
      <c r="K95" s="65">
        <v>0</v>
      </c>
      <c r="L95" s="65">
        <v>0</v>
      </c>
      <c r="M95" s="65">
        <v>0</v>
      </c>
      <c r="N95" s="65">
        <v>3.7</v>
      </c>
      <c r="O95" s="35"/>
    </row>
    <row r="96" spans="1:15" s="36" customFormat="1" ht="12" x14ac:dyDescent="0.2">
      <c r="A96" s="33"/>
      <c r="B96" s="62">
        <v>33511</v>
      </c>
      <c r="C96" s="64">
        <v>4.5</v>
      </c>
      <c r="D96" s="64">
        <v>0</v>
      </c>
      <c r="E96" s="64">
        <v>0</v>
      </c>
      <c r="F96" s="64">
        <v>0</v>
      </c>
      <c r="G96" s="64">
        <v>0</v>
      </c>
      <c r="H96" s="33"/>
      <c r="I96" s="62">
        <v>33238</v>
      </c>
      <c r="J96" s="64">
        <v>2644.3999999999996</v>
      </c>
      <c r="K96" s="64">
        <v>6950.7</v>
      </c>
      <c r="L96" s="64">
        <v>15293.400000000001</v>
      </c>
      <c r="M96" s="64">
        <v>-8.8000000000000007</v>
      </c>
      <c r="N96" s="64">
        <v>4.3</v>
      </c>
      <c r="O96" s="35"/>
    </row>
    <row r="97" spans="1:15" s="36" customFormat="1" ht="12" x14ac:dyDescent="0.2">
      <c r="A97" s="33"/>
      <c r="B97" s="63">
        <v>33542</v>
      </c>
      <c r="C97" s="65">
        <v>4.8</v>
      </c>
      <c r="D97" s="65">
        <v>0</v>
      </c>
      <c r="E97" s="65">
        <v>0</v>
      </c>
      <c r="F97" s="65">
        <v>0</v>
      </c>
      <c r="G97" s="65">
        <v>0</v>
      </c>
      <c r="H97" s="33"/>
      <c r="I97" s="63">
        <v>33269</v>
      </c>
      <c r="J97" s="65">
        <v>0</v>
      </c>
      <c r="K97" s="65">
        <v>0</v>
      </c>
      <c r="L97" s="65">
        <v>0</v>
      </c>
      <c r="M97" s="65">
        <v>0</v>
      </c>
      <c r="N97" s="65">
        <v>2.2000000000000002</v>
      </c>
      <c r="O97" s="35"/>
    </row>
    <row r="98" spans="1:15" s="36" customFormat="1" ht="12" x14ac:dyDescent="0.2">
      <c r="A98" s="33"/>
      <c r="B98" s="62">
        <v>33572</v>
      </c>
      <c r="C98" s="64">
        <v>4.4000000000000004</v>
      </c>
      <c r="D98" s="64">
        <v>0</v>
      </c>
      <c r="E98" s="64">
        <v>0</v>
      </c>
      <c r="F98" s="64">
        <v>0</v>
      </c>
      <c r="G98" s="64">
        <v>0</v>
      </c>
      <c r="H98" s="33"/>
      <c r="I98" s="62">
        <v>33297</v>
      </c>
      <c r="J98" s="64">
        <v>0</v>
      </c>
      <c r="K98" s="64">
        <v>0</v>
      </c>
      <c r="L98" s="64">
        <v>0</v>
      </c>
      <c r="M98" s="64">
        <v>0</v>
      </c>
      <c r="N98" s="64">
        <v>1</v>
      </c>
      <c r="O98" s="35"/>
    </row>
    <row r="99" spans="1:15" s="36" customFormat="1" ht="12" x14ac:dyDescent="0.2">
      <c r="A99" s="33"/>
      <c r="B99" s="63">
        <v>33603</v>
      </c>
      <c r="C99" s="65">
        <v>4.5</v>
      </c>
      <c r="D99" s="65">
        <v>0</v>
      </c>
      <c r="E99" s="65">
        <v>0</v>
      </c>
      <c r="F99" s="65">
        <v>0</v>
      </c>
      <c r="G99" s="65">
        <v>0</v>
      </c>
      <c r="H99" s="33"/>
      <c r="I99" s="63">
        <v>33328</v>
      </c>
      <c r="J99" s="65">
        <v>0</v>
      </c>
      <c r="K99" s="65">
        <v>0</v>
      </c>
      <c r="L99" s="65">
        <v>0</v>
      </c>
      <c r="M99" s="65">
        <v>0</v>
      </c>
      <c r="N99" s="65">
        <v>1.6</v>
      </c>
      <c r="O99" s="35"/>
    </row>
    <row r="100" spans="1:15" s="36" customFormat="1" ht="12" x14ac:dyDescent="0.2">
      <c r="A100" s="33"/>
      <c r="B100" s="62">
        <v>33634</v>
      </c>
      <c r="C100" s="64">
        <v>5.5</v>
      </c>
      <c r="D100" s="64">
        <v>0</v>
      </c>
      <c r="E100" s="64">
        <v>0</v>
      </c>
      <c r="F100" s="64">
        <v>0</v>
      </c>
      <c r="G100" s="64">
        <v>0</v>
      </c>
      <c r="H100" s="33"/>
      <c r="I100" s="62">
        <v>33358</v>
      </c>
      <c r="J100" s="64">
        <v>0</v>
      </c>
      <c r="K100" s="64">
        <v>0</v>
      </c>
      <c r="L100" s="64">
        <v>0</v>
      </c>
      <c r="M100" s="64">
        <v>0</v>
      </c>
      <c r="N100" s="64">
        <v>1.3</v>
      </c>
      <c r="O100" s="35"/>
    </row>
    <row r="101" spans="1:15" s="36" customFormat="1" ht="12" x14ac:dyDescent="0.2">
      <c r="A101" s="33"/>
      <c r="B101" s="63">
        <v>33663</v>
      </c>
      <c r="C101" s="65">
        <v>5.3</v>
      </c>
      <c r="D101" s="65">
        <v>0</v>
      </c>
      <c r="E101" s="65">
        <v>0</v>
      </c>
      <c r="F101" s="65">
        <v>0</v>
      </c>
      <c r="G101" s="65">
        <v>0</v>
      </c>
      <c r="H101" s="33"/>
      <c r="I101" s="63">
        <v>33389</v>
      </c>
      <c r="J101" s="65">
        <v>0</v>
      </c>
      <c r="K101" s="65">
        <v>0</v>
      </c>
      <c r="L101" s="65">
        <v>0</v>
      </c>
      <c r="M101" s="65">
        <v>0</v>
      </c>
      <c r="N101" s="65">
        <v>3.6</v>
      </c>
      <c r="O101" s="35"/>
    </row>
    <row r="102" spans="1:15" s="36" customFormat="1" ht="12" x14ac:dyDescent="0.2">
      <c r="A102" s="33"/>
      <c r="B102" s="62">
        <v>33694</v>
      </c>
      <c r="C102" s="64">
        <v>5.3</v>
      </c>
      <c r="D102" s="64">
        <v>0</v>
      </c>
      <c r="E102" s="64">
        <v>0</v>
      </c>
      <c r="F102" s="64">
        <v>0</v>
      </c>
      <c r="G102" s="64">
        <v>0</v>
      </c>
      <c r="H102" s="33"/>
      <c r="I102" s="62">
        <v>33419</v>
      </c>
      <c r="J102" s="64">
        <v>0</v>
      </c>
      <c r="K102" s="64">
        <v>0</v>
      </c>
      <c r="L102" s="64">
        <v>0</v>
      </c>
      <c r="M102" s="64">
        <v>0</v>
      </c>
      <c r="N102" s="64">
        <v>4.4000000000000004</v>
      </c>
      <c r="O102" s="35"/>
    </row>
    <row r="103" spans="1:15" s="36" customFormat="1" ht="12" x14ac:dyDescent="0.2">
      <c r="A103" s="33"/>
      <c r="B103" s="63">
        <v>33724</v>
      </c>
      <c r="C103" s="65">
        <v>7.1</v>
      </c>
      <c r="D103" s="65">
        <v>0</v>
      </c>
      <c r="E103" s="65">
        <v>0</v>
      </c>
      <c r="F103" s="65">
        <v>0</v>
      </c>
      <c r="G103" s="65">
        <v>0</v>
      </c>
      <c r="H103" s="33"/>
      <c r="I103" s="63">
        <v>33450</v>
      </c>
      <c r="J103" s="65">
        <v>0</v>
      </c>
      <c r="K103" s="65">
        <v>0</v>
      </c>
      <c r="L103" s="65">
        <v>0</v>
      </c>
      <c r="M103" s="65">
        <v>0</v>
      </c>
      <c r="N103" s="65">
        <v>4.7</v>
      </c>
      <c r="O103" s="35"/>
    </row>
    <row r="104" spans="1:15" s="36" customFormat="1" ht="12" x14ac:dyDescent="0.2">
      <c r="A104" s="33"/>
      <c r="B104" s="62">
        <v>33755</v>
      </c>
      <c r="C104" s="64">
        <v>4.7</v>
      </c>
      <c r="D104" s="64">
        <v>0</v>
      </c>
      <c r="E104" s="64">
        <v>0</v>
      </c>
      <c r="F104" s="64">
        <v>0</v>
      </c>
      <c r="G104" s="64">
        <v>0</v>
      </c>
      <c r="H104" s="33"/>
      <c r="I104" s="62">
        <v>33481</v>
      </c>
      <c r="J104" s="64">
        <v>0</v>
      </c>
      <c r="K104" s="64">
        <v>0</v>
      </c>
      <c r="L104" s="64">
        <v>0</v>
      </c>
      <c r="M104" s="64">
        <v>0</v>
      </c>
      <c r="N104" s="64">
        <v>4.9000000000000004</v>
      </c>
      <c r="O104" s="35"/>
    </row>
    <row r="105" spans="1:15" s="36" customFormat="1" ht="12" x14ac:dyDescent="0.2">
      <c r="A105" s="33"/>
      <c r="B105" s="63">
        <v>33785</v>
      </c>
      <c r="C105" s="65">
        <v>4.8</v>
      </c>
      <c r="D105" s="65">
        <v>0</v>
      </c>
      <c r="E105" s="65">
        <v>0</v>
      </c>
      <c r="F105" s="65">
        <v>0</v>
      </c>
      <c r="G105" s="65">
        <v>0</v>
      </c>
      <c r="H105" s="33"/>
      <c r="I105" s="63">
        <v>33511</v>
      </c>
      <c r="J105" s="65">
        <v>0</v>
      </c>
      <c r="K105" s="65">
        <v>0</v>
      </c>
      <c r="L105" s="65">
        <v>0</v>
      </c>
      <c r="M105" s="65">
        <v>0</v>
      </c>
      <c r="N105" s="65">
        <v>4.5</v>
      </c>
      <c r="O105" s="35"/>
    </row>
    <row r="106" spans="1:15" s="36" customFormat="1" ht="12" x14ac:dyDescent="0.2">
      <c r="A106" s="33"/>
      <c r="B106" s="62">
        <v>33816</v>
      </c>
      <c r="C106" s="64">
        <v>5.2</v>
      </c>
      <c r="D106" s="64">
        <v>0</v>
      </c>
      <c r="E106" s="64">
        <v>0</v>
      </c>
      <c r="F106" s="64">
        <v>0</v>
      </c>
      <c r="G106" s="64">
        <v>0</v>
      </c>
      <c r="H106" s="33"/>
      <c r="I106" s="62">
        <v>33542</v>
      </c>
      <c r="J106" s="64">
        <v>0</v>
      </c>
      <c r="K106" s="64">
        <v>0</v>
      </c>
      <c r="L106" s="64">
        <v>0</v>
      </c>
      <c r="M106" s="64">
        <v>0</v>
      </c>
      <c r="N106" s="64">
        <v>4.8</v>
      </c>
      <c r="O106" s="35"/>
    </row>
    <row r="107" spans="1:15" s="36" customFormat="1" ht="12" x14ac:dyDescent="0.2">
      <c r="A107" s="33"/>
      <c r="B107" s="63">
        <v>33847</v>
      </c>
      <c r="C107" s="65">
        <v>5.8</v>
      </c>
      <c r="D107" s="65">
        <v>0</v>
      </c>
      <c r="E107" s="65">
        <v>0</v>
      </c>
      <c r="F107" s="65">
        <v>0</v>
      </c>
      <c r="G107" s="65">
        <v>0</v>
      </c>
      <c r="H107" s="33"/>
      <c r="I107" s="63">
        <v>33572</v>
      </c>
      <c r="J107" s="65">
        <v>0</v>
      </c>
      <c r="K107" s="65">
        <v>0</v>
      </c>
      <c r="L107" s="65">
        <v>0</v>
      </c>
      <c r="M107" s="65">
        <v>0</v>
      </c>
      <c r="N107" s="65">
        <v>4.4000000000000004</v>
      </c>
      <c r="O107" s="35"/>
    </row>
    <row r="108" spans="1:15" s="36" customFormat="1" ht="12" x14ac:dyDescent="0.2">
      <c r="A108" s="33"/>
      <c r="B108" s="62">
        <v>33877</v>
      </c>
      <c r="C108" s="64">
        <v>7.5</v>
      </c>
      <c r="D108" s="64">
        <v>0</v>
      </c>
      <c r="E108" s="64">
        <v>0</v>
      </c>
      <c r="F108" s="64">
        <v>0</v>
      </c>
      <c r="G108" s="64">
        <v>0</v>
      </c>
      <c r="H108" s="33"/>
      <c r="I108" s="62">
        <v>33603</v>
      </c>
      <c r="J108" s="64">
        <v>3177.7999999999997</v>
      </c>
      <c r="K108" s="64">
        <v>8633.3000000000011</v>
      </c>
      <c r="L108" s="64">
        <v>19349.900000000001</v>
      </c>
      <c r="M108" s="64">
        <v>-2.2999999999999998</v>
      </c>
      <c r="N108" s="64">
        <v>4.5</v>
      </c>
      <c r="O108" s="35"/>
    </row>
    <row r="109" spans="1:15" s="36" customFormat="1" ht="12" x14ac:dyDescent="0.2">
      <c r="A109" s="33"/>
      <c r="B109" s="63">
        <v>33908</v>
      </c>
      <c r="C109" s="65">
        <v>7.9</v>
      </c>
      <c r="D109" s="65">
        <v>0</v>
      </c>
      <c r="E109" s="65">
        <v>0</v>
      </c>
      <c r="F109" s="65">
        <v>0</v>
      </c>
      <c r="G109" s="65">
        <v>0</v>
      </c>
      <c r="H109" s="33"/>
      <c r="I109" s="63">
        <v>33634</v>
      </c>
      <c r="J109" s="65">
        <v>0</v>
      </c>
      <c r="K109" s="65">
        <v>0</v>
      </c>
      <c r="L109" s="65">
        <v>0</v>
      </c>
      <c r="M109" s="65">
        <v>0</v>
      </c>
      <c r="N109" s="65">
        <v>5.5</v>
      </c>
      <c r="O109" s="35"/>
    </row>
    <row r="110" spans="1:15" s="36" customFormat="1" ht="12" x14ac:dyDescent="0.2">
      <c r="A110" s="33"/>
      <c r="B110" s="62">
        <v>33938</v>
      </c>
      <c r="C110" s="64">
        <v>8.1999999999999993</v>
      </c>
      <c r="D110" s="64">
        <v>0</v>
      </c>
      <c r="E110" s="64">
        <v>0</v>
      </c>
      <c r="F110" s="64">
        <v>0</v>
      </c>
      <c r="G110" s="64">
        <v>0</v>
      </c>
      <c r="H110" s="33"/>
      <c r="I110" s="62">
        <v>33663</v>
      </c>
      <c r="J110" s="64">
        <v>0</v>
      </c>
      <c r="K110" s="64">
        <v>0</v>
      </c>
      <c r="L110" s="64">
        <v>0</v>
      </c>
      <c r="M110" s="64">
        <v>0</v>
      </c>
      <c r="N110" s="64">
        <v>5.3</v>
      </c>
      <c r="O110" s="35"/>
    </row>
    <row r="111" spans="1:15" s="36" customFormat="1" ht="12" x14ac:dyDescent="0.2">
      <c r="A111" s="33"/>
      <c r="B111" s="63">
        <v>33969</v>
      </c>
      <c r="C111" s="65">
        <v>8.8000000000000007</v>
      </c>
      <c r="D111" s="65">
        <v>0</v>
      </c>
      <c r="E111" s="65">
        <v>0</v>
      </c>
      <c r="F111" s="65">
        <v>0</v>
      </c>
      <c r="G111" s="65">
        <v>0</v>
      </c>
      <c r="H111" s="33"/>
      <c r="I111" s="63">
        <v>33694</v>
      </c>
      <c r="J111" s="65">
        <v>0</v>
      </c>
      <c r="K111" s="65">
        <v>0</v>
      </c>
      <c r="L111" s="65">
        <v>0</v>
      </c>
      <c r="M111" s="65">
        <v>0</v>
      </c>
      <c r="N111" s="65">
        <v>5.3</v>
      </c>
      <c r="O111" s="35"/>
    </row>
    <row r="112" spans="1:15" s="36" customFormat="1" ht="12" x14ac:dyDescent="0.2">
      <c r="A112" s="33"/>
      <c r="B112" s="62">
        <v>34000</v>
      </c>
      <c r="C112" s="64">
        <v>10.3</v>
      </c>
      <c r="D112" s="64">
        <v>0</v>
      </c>
      <c r="E112" s="64">
        <v>0</v>
      </c>
      <c r="F112" s="64">
        <v>0</v>
      </c>
      <c r="G112" s="64">
        <v>0</v>
      </c>
      <c r="H112" s="33"/>
      <c r="I112" s="62">
        <v>33724</v>
      </c>
      <c r="J112" s="64">
        <v>0</v>
      </c>
      <c r="K112" s="64">
        <v>0</v>
      </c>
      <c r="L112" s="64">
        <v>0</v>
      </c>
      <c r="M112" s="64">
        <v>0</v>
      </c>
      <c r="N112" s="64">
        <v>7.1</v>
      </c>
      <c r="O112" s="35"/>
    </row>
    <row r="113" spans="1:15" s="36" customFormat="1" ht="12" x14ac:dyDescent="0.2">
      <c r="A113" s="33"/>
      <c r="B113" s="63">
        <v>34028</v>
      </c>
      <c r="C113" s="65">
        <v>10.5</v>
      </c>
      <c r="D113" s="65">
        <v>0</v>
      </c>
      <c r="E113" s="65">
        <v>0</v>
      </c>
      <c r="F113" s="65">
        <v>0</v>
      </c>
      <c r="G113" s="65">
        <v>0</v>
      </c>
      <c r="H113" s="33"/>
      <c r="I113" s="63">
        <v>33755</v>
      </c>
      <c r="J113" s="65">
        <v>0</v>
      </c>
      <c r="K113" s="65">
        <v>0</v>
      </c>
      <c r="L113" s="65">
        <v>0</v>
      </c>
      <c r="M113" s="65">
        <v>0</v>
      </c>
      <c r="N113" s="65">
        <v>4.7</v>
      </c>
      <c r="O113" s="35"/>
    </row>
    <row r="114" spans="1:15" s="36" customFormat="1" ht="12" x14ac:dyDescent="0.2">
      <c r="A114" s="33"/>
      <c r="B114" s="62">
        <v>34059</v>
      </c>
      <c r="C114" s="64">
        <v>12.2</v>
      </c>
      <c r="D114" s="64">
        <v>0</v>
      </c>
      <c r="E114" s="64">
        <v>0</v>
      </c>
      <c r="F114" s="64">
        <v>0</v>
      </c>
      <c r="G114" s="64">
        <v>0</v>
      </c>
      <c r="H114" s="33"/>
      <c r="I114" s="62">
        <v>33785</v>
      </c>
      <c r="J114" s="64">
        <v>0</v>
      </c>
      <c r="K114" s="64">
        <v>0</v>
      </c>
      <c r="L114" s="64">
        <v>0</v>
      </c>
      <c r="M114" s="64">
        <v>0</v>
      </c>
      <c r="N114" s="64">
        <v>4.8</v>
      </c>
      <c r="O114" s="35"/>
    </row>
    <row r="115" spans="1:15" s="36" customFormat="1" ht="12" x14ac:dyDescent="0.2">
      <c r="A115" s="33"/>
      <c r="B115" s="63">
        <v>34089</v>
      </c>
      <c r="C115" s="65">
        <v>12.6</v>
      </c>
      <c r="D115" s="65">
        <v>0</v>
      </c>
      <c r="E115" s="65">
        <v>0</v>
      </c>
      <c r="F115" s="65">
        <v>0</v>
      </c>
      <c r="G115" s="65">
        <v>0</v>
      </c>
      <c r="H115" s="33"/>
      <c r="I115" s="63">
        <v>33816</v>
      </c>
      <c r="J115" s="65">
        <v>0</v>
      </c>
      <c r="K115" s="65">
        <v>0</v>
      </c>
      <c r="L115" s="65">
        <v>0</v>
      </c>
      <c r="M115" s="65">
        <v>0</v>
      </c>
      <c r="N115" s="65">
        <v>5.2</v>
      </c>
      <c r="O115" s="35"/>
    </row>
    <row r="116" spans="1:15" s="36" customFormat="1" ht="12" x14ac:dyDescent="0.2">
      <c r="A116" s="33"/>
      <c r="B116" s="62">
        <v>34120</v>
      </c>
      <c r="C116" s="64">
        <v>14</v>
      </c>
      <c r="D116" s="64">
        <v>0</v>
      </c>
      <c r="E116" s="64">
        <v>0</v>
      </c>
      <c r="F116" s="64">
        <v>0</v>
      </c>
      <c r="G116" s="64">
        <v>0</v>
      </c>
      <c r="H116" s="33"/>
      <c r="I116" s="62">
        <v>33847</v>
      </c>
      <c r="J116" s="64">
        <v>0</v>
      </c>
      <c r="K116" s="64">
        <v>0</v>
      </c>
      <c r="L116" s="64">
        <v>0</v>
      </c>
      <c r="M116" s="64">
        <v>0</v>
      </c>
      <c r="N116" s="64">
        <v>5.8</v>
      </c>
      <c r="O116" s="35"/>
    </row>
    <row r="117" spans="1:15" s="36" customFormat="1" ht="12" x14ac:dyDescent="0.2">
      <c r="A117" s="33"/>
      <c r="B117" s="63">
        <v>34150</v>
      </c>
      <c r="C117" s="65">
        <v>15.1</v>
      </c>
      <c r="D117" s="65">
        <v>0</v>
      </c>
      <c r="E117" s="65">
        <v>0</v>
      </c>
      <c r="F117" s="65">
        <v>0</v>
      </c>
      <c r="G117" s="65">
        <v>0</v>
      </c>
      <c r="H117" s="33"/>
      <c r="I117" s="63">
        <v>33877</v>
      </c>
      <c r="J117" s="65">
        <v>0</v>
      </c>
      <c r="K117" s="65">
        <v>0</v>
      </c>
      <c r="L117" s="65">
        <v>0</v>
      </c>
      <c r="M117" s="65">
        <v>0</v>
      </c>
      <c r="N117" s="65">
        <v>7.5</v>
      </c>
      <c r="O117" s="35"/>
    </row>
    <row r="118" spans="1:15" s="36" customFormat="1" ht="12" x14ac:dyDescent="0.2">
      <c r="A118" s="33"/>
      <c r="B118" s="62">
        <v>34181</v>
      </c>
      <c r="C118" s="64">
        <v>16.2</v>
      </c>
      <c r="D118" s="64">
        <v>0</v>
      </c>
      <c r="E118" s="64">
        <v>0</v>
      </c>
      <c r="F118" s="64">
        <v>0</v>
      </c>
      <c r="G118" s="64">
        <v>0</v>
      </c>
      <c r="H118" s="33"/>
      <c r="I118" s="62">
        <v>33908</v>
      </c>
      <c r="J118" s="64">
        <v>0</v>
      </c>
      <c r="K118" s="64">
        <v>0</v>
      </c>
      <c r="L118" s="64">
        <v>0</v>
      </c>
      <c r="M118" s="64">
        <v>0</v>
      </c>
      <c r="N118" s="64">
        <v>7.9</v>
      </c>
      <c r="O118" s="35"/>
    </row>
    <row r="119" spans="1:15" s="36" customFormat="1" ht="12" x14ac:dyDescent="0.2">
      <c r="A119" s="33"/>
      <c r="B119" s="63">
        <v>34212</v>
      </c>
      <c r="C119" s="65">
        <v>16</v>
      </c>
      <c r="D119" s="65">
        <v>0</v>
      </c>
      <c r="E119" s="65">
        <v>0</v>
      </c>
      <c r="F119" s="65">
        <v>0</v>
      </c>
      <c r="G119" s="65">
        <v>0</v>
      </c>
      <c r="H119" s="33"/>
      <c r="I119" s="63">
        <v>33938</v>
      </c>
      <c r="J119" s="65">
        <v>0</v>
      </c>
      <c r="K119" s="65">
        <v>0</v>
      </c>
      <c r="L119" s="65">
        <v>0</v>
      </c>
      <c r="M119" s="65">
        <v>0</v>
      </c>
      <c r="N119" s="65">
        <v>8.1999999999999993</v>
      </c>
      <c r="O119" s="35"/>
    </row>
    <row r="120" spans="1:15" s="36" customFormat="1" ht="12" x14ac:dyDescent="0.2">
      <c r="A120" s="33"/>
      <c r="B120" s="62">
        <v>34242</v>
      </c>
      <c r="C120" s="64">
        <v>15.7</v>
      </c>
      <c r="D120" s="64">
        <v>0</v>
      </c>
      <c r="E120" s="64">
        <v>0</v>
      </c>
      <c r="F120" s="64">
        <v>0</v>
      </c>
      <c r="G120" s="64">
        <v>0</v>
      </c>
      <c r="H120" s="33"/>
      <c r="I120" s="62">
        <v>33969</v>
      </c>
      <c r="J120" s="64">
        <v>4336</v>
      </c>
      <c r="K120" s="64">
        <v>11731.5</v>
      </c>
      <c r="L120" s="64">
        <v>25402.2</v>
      </c>
      <c r="M120" s="64">
        <v>4.5999999999999996</v>
      </c>
      <c r="N120" s="64">
        <v>8.8000000000000007</v>
      </c>
      <c r="O120" s="35"/>
    </row>
    <row r="121" spans="1:15" s="36" customFormat="1" ht="12" x14ac:dyDescent="0.2">
      <c r="A121" s="33"/>
      <c r="B121" s="63">
        <v>34273</v>
      </c>
      <c r="C121" s="65">
        <v>15.9</v>
      </c>
      <c r="D121" s="65">
        <v>0</v>
      </c>
      <c r="E121" s="65">
        <v>0</v>
      </c>
      <c r="F121" s="65">
        <v>0</v>
      </c>
      <c r="G121" s="65">
        <v>0</v>
      </c>
      <c r="H121" s="33"/>
      <c r="I121" s="63">
        <v>34000</v>
      </c>
      <c r="J121" s="65">
        <v>0</v>
      </c>
      <c r="K121" s="65">
        <v>0</v>
      </c>
      <c r="L121" s="65">
        <v>0</v>
      </c>
      <c r="M121" s="65">
        <v>0</v>
      </c>
      <c r="N121" s="65">
        <v>10.3</v>
      </c>
      <c r="O121" s="35"/>
    </row>
    <row r="122" spans="1:15" s="36" customFormat="1" ht="12" x14ac:dyDescent="0.2">
      <c r="A122" s="33"/>
      <c r="B122" s="62">
        <v>34303</v>
      </c>
      <c r="C122" s="64">
        <v>16.7</v>
      </c>
      <c r="D122" s="64">
        <v>0</v>
      </c>
      <c r="E122" s="64">
        <v>0</v>
      </c>
      <c r="F122" s="64">
        <v>0</v>
      </c>
      <c r="G122" s="64">
        <v>0</v>
      </c>
      <c r="H122" s="33"/>
      <c r="I122" s="62">
        <v>34028</v>
      </c>
      <c r="J122" s="64">
        <v>0</v>
      </c>
      <c r="K122" s="64">
        <v>0</v>
      </c>
      <c r="L122" s="64">
        <v>0</v>
      </c>
      <c r="M122" s="64">
        <v>0</v>
      </c>
      <c r="N122" s="64">
        <v>10.5</v>
      </c>
      <c r="O122" s="35"/>
    </row>
    <row r="123" spans="1:15" s="36" customFormat="1" ht="12" x14ac:dyDescent="0.2">
      <c r="A123" s="33"/>
      <c r="B123" s="63">
        <v>34334</v>
      </c>
      <c r="C123" s="65">
        <v>18.8</v>
      </c>
      <c r="D123" s="65">
        <v>0</v>
      </c>
      <c r="E123" s="65">
        <v>0</v>
      </c>
      <c r="F123" s="65">
        <v>0</v>
      </c>
      <c r="G123" s="65">
        <v>0</v>
      </c>
      <c r="H123" s="33"/>
      <c r="I123" s="63">
        <v>34059</v>
      </c>
      <c r="J123" s="65">
        <v>0</v>
      </c>
      <c r="K123" s="65">
        <v>0</v>
      </c>
      <c r="L123" s="65">
        <v>0</v>
      </c>
      <c r="M123" s="65">
        <v>0</v>
      </c>
      <c r="N123" s="65">
        <v>12.2</v>
      </c>
      <c r="O123" s="35"/>
    </row>
    <row r="124" spans="1:15" s="36" customFormat="1" ht="12" x14ac:dyDescent="0.2">
      <c r="A124" s="33"/>
      <c r="B124" s="62">
        <v>34365</v>
      </c>
      <c r="C124" s="64">
        <v>21.1</v>
      </c>
      <c r="D124" s="64">
        <v>0</v>
      </c>
      <c r="E124" s="64">
        <v>0</v>
      </c>
      <c r="F124" s="64">
        <v>0</v>
      </c>
      <c r="G124" s="64">
        <v>0</v>
      </c>
      <c r="H124" s="33"/>
      <c r="I124" s="62">
        <v>34089</v>
      </c>
      <c r="J124" s="64">
        <v>0</v>
      </c>
      <c r="K124" s="64">
        <v>0</v>
      </c>
      <c r="L124" s="64">
        <v>0</v>
      </c>
      <c r="M124" s="64">
        <v>0</v>
      </c>
      <c r="N124" s="64">
        <v>12.6</v>
      </c>
      <c r="O124" s="35"/>
    </row>
    <row r="125" spans="1:15" s="36" customFormat="1" ht="12" x14ac:dyDescent="0.2">
      <c r="A125" s="33"/>
      <c r="B125" s="63">
        <v>34393</v>
      </c>
      <c r="C125" s="65">
        <v>23.2</v>
      </c>
      <c r="D125" s="65">
        <v>0</v>
      </c>
      <c r="E125" s="65">
        <v>0</v>
      </c>
      <c r="F125" s="65">
        <v>0</v>
      </c>
      <c r="G125" s="65">
        <v>0</v>
      </c>
      <c r="H125" s="33"/>
      <c r="I125" s="63">
        <v>34120</v>
      </c>
      <c r="J125" s="65">
        <v>0</v>
      </c>
      <c r="K125" s="65">
        <v>0</v>
      </c>
      <c r="L125" s="65">
        <v>0</v>
      </c>
      <c r="M125" s="65">
        <v>0</v>
      </c>
      <c r="N125" s="65">
        <v>14</v>
      </c>
      <c r="O125" s="35"/>
    </row>
    <row r="126" spans="1:15" s="36" customFormat="1" ht="12" x14ac:dyDescent="0.2">
      <c r="A126" s="33"/>
      <c r="B126" s="62">
        <v>34424</v>
      </c>
      <c r="C126" s="64">
        <v>22.4</v>
      </c>
      <c r="D126" s="64">
        <v>0</v>
      </c>
      <c r="E126" s="64">
        <v>0</v>
      </c>
      <c r="F126" s="64">
        <v>0</v>
      </c>
      <c r="G126" s="64">
        <v>0</v>
      </c>
      <c r="H126" s="33"/>
      <c r="I126" s="62">
        <v>34150</v>
      </c>
      <c r="J126" s="64">
        <v>0</v>
      </c>
      <c r="K126" s="64">
        <v>0</v>
      </c>
      <c r="L126" s="64">
        <v>0</v>
      </c>
      <c r="M126" s="64">
        <v>0</v>
      </c>
      <c r="N126" s="64">
        <v>15.1</v>
      </c>
      <c r="O126" s="35"/>
    </row>
    <row r="127" spans="1:15" s="36" customFormat="1" ht="12" x14ac:dyDescent="0.2">
      <c r="A127" s="33"/>
      <c r="B127" s="63">
        <v>34454</v>
      </c>
      <c r="C127" s="65">
        <v>21.7</v>
      </c>
      <c r="D127" s="65">
        <v>0</v>
      </c>
      <c r="E127" s="65">
        <v>0</v>
      </c>
      <c r="F127" s="65">
        <v>0</v>
      </c>
      <c r="G127" s="65">
        <v>0</v>
      </c>
      <c r="H127" s="33"/>
      <c r="I127" s="63">
        <v>34181</v>
      </c>
      <c r="J127" s="65">
        <v>0</v>
      </c>
      <c r="K127" s="65">
        <v>0</v>
      </c>
      <c r="L127" s="65">
        <v>0</v>
      </c>
      <c r="M127" s="65">
        <v>0</v>
      </c>
      <c r="N127" s="65">
        <v>16.2</v>
      </c>
      <c r="O127" s="35"/>
    </row>
    <row r="128" spans="1:15" s="36" customFormat="1" ht="12" x14ac:dyDescent="0.2">
      <c r="A128" s="33"/>
      <c r="B128" s="62">
        <v>34485</v>
      </c>
      <c r="C128" s="64">
        <v>21.3</v>
      </c>
      <c r="D128" s="64">
        <v>0</v>
      </c>
      <c r="E128" s="64">
        <v>0</v>
      </c>
      <c r="F128" s="64">
        <v>0</v>
      </c>
      <c r="G128" s="64">
        <v>0</v>
      </c>
      <c r="H128" s="33"/>
      <c r="I128" s="62">
        <v>34212</v>
      </c>
      <c r="J128" s="64">
        <v>0</v>
      </c>
      <c r="K128" s="64">
        <v>0</v>
      </c>
      <c r="L128" s="64">
        <v>0</v>
      </c>
      <c r="M128" s="64">
        <v>0</v>
      </c>
      <c r="N128" s="64">
        <v>16</v>
      </c>
      <c r="O128" s="35"/>
    </row>
    <row r="129" spans="1:15" s="36" customFormat="1" ht="12" x14ac:dyDescent="0.2">
      <c r="A129" s="33"/>
      <c r="B129" s="63">
        <v>34515</v>
      </c>
      <c r="C129" s="65">
        <v>22.6</v>
      </c>
      <c r="D129" s="65">
        <v>0</v>
      </c>
      <c r="E129" s="65">
        <v>0</v>
      </c>
      <c r="F129" s="65">
        <v>0</v>
      </c>
      <c r="G129" s="65">
        <v>0</v>
      </c>
      <c r="H129" s="33"/>
      <c r="I129" s="63">
        <v>34242</v>
      </c>
      <c r="J129" s="65">
        <v>0</v>
      </c>
      <c r="K129" s="65">
        <v>0</v>
      </c>
      <c r="L129" s="65">
        <v>0</v>
      </c>
      <c r="M129" s="65">
        <v>0</v>
      </c>
      <c r="N129" s="65">
        <v>15.7</v>
      </c>
      <c r="O129" s="35"/>
    </row>
    <row r="130" spans="1:15" s="36" customFormat="1" ht="12" x14ac:dyDescent="0.2">
      <c r="A130" s="33"/>
      <c r="B130" s="62">
        <v>34546</v>
      </c>
      <c r="C130" s="64">
        <v>24</v>
      </c>
      <c r="D130" s="64">
        <v>0</v>
      </c>
      <c r="E130" s="64">
        <v>0</v>
      </c>
      <c r="F130" s="64">
        <v>0</v>
      </c>
      <c r="G130" s="64">
        <v>0</v>
      </c>
      <c r="H130" s="33"/>
      <c r="I130" s="62">
        <v>34273</v>
      </c>
      <c r="J130" s="64">
        <v>0</v>
      </c>
      <c r="K130" s="64">
        <v>0</v>
      </c>
      <c r="L130" s="64">
        <v>0</v>
      </c>
      <c r="M130" s="64">
        <v>0</v>
      </c>
      <c r="N130" s="64">
        <v>15.9</v>
      </c>
      <c r="O130" s="35"/>
    </row>
    <row r="131" spans="1:15" s="36" customFormat="1" ht="12" x14ac:dyDescent="0.2">
      <c r="A131" s="33"/>
      <c r="B131" s="63">
        <v>34577</v>
      </c>
      <c r="C131" s="65">
        <v>25.8</v>
      </c>
      <c r="D131" s="65">
        <v>0</v>
      </c>
      <c r="E131" s="65">
        <v>0</v>
      </c>
      <c r="F131" s="65">
        <v>0</v>
      </c>
      <c r="G131" s="65">
        <v>0</v>
      </c>
      <c r="H131" s="33"/>
      <c r="I131" s="63">
        <v>34303</v>
      </c>
      <c r="J131" s="65">
        <v>0</v>
      </c>
      <c r="K131" s="65">
        <v>0</v>
      </c>
      <c r="L131" s="65">
        <v>0</v>
      </c>
      <c r="M131" s="65">
        <v>0</v>
      </c>
      <c r="N131" s="65">
        <v>16.7</v>
      </c>
      <c r="O131" s="35"/>
    </row>
    <row r="132" spans="1:15" s="36" customFormat="1" ht="12" x14ac:dyDescent="0.2">
      <c r="A132" s="33"/>
      <c r="B132" s="62">
        <v>34607</v>
      </c>
      <c r="C132" s="64">
        <v>27.3</v>
      </c>
      <c r="D132" s="64">
        <v>0</v>
      </c>
      <c r="E132" s="64">
        <v>0</v>
      </c>
      <c r="F132" s="64">
        <v>0</v>
      </c>
      <c r="G132" s="64">
        <v>0</v>
      </c>
      <c r="H132" s="33"/>
      <c r="I132" s="62">
        <v>34334</v>
      </c>
      <c r="J132" s="64">
        <v>5864.7</v>
      </c>
      <c r="K132" s="64">
        <v>16280.400000000001</v>
      </c>
      <c r="L132" s="64">
        <v>34879.800000000003</v>
      </c>
      <c r="M132" s="64">
        <v>1.5</v>
      </c>
      <c r="N132" s="64">
        <v>18.8</v>
      </c>
      <c r="O132" s="35"/>
    </row>
    <row r="133" spans="1:15" s="36" customFormat="1" ht="12" x14ac:dyDescent="0.2">
      <c r="A133" s="33"/>
      <c r="B133" s="63">
        <v>34638</v>
      </c>
      <c r="C133" s="65">
        <v>27.7</v>
      </c>
      <c r="D133" s="65">
        <v>0</v>
      </c>
      <c r="E133" s="65">
        <v>0</v>
      </c>
      <c r="F133" s="65">
        <v>0</v>
      </c>
      <c r="G133" s="65">
        <v>0</v>
      </c>
      <c r="H133" s="33"/>
      <c r="I133" s="63">
        <v>34365</v>
      </c>
      <c r="J133" s="65">
        <v>0</v>
      </c>
      <c r="K133" s="65">
        <v>0</v>
      </c>
      <c r="L133" s="65">
        <v>0</v>
      </c>
      <c r="M133" s="65">
        <v>0</v>
      </c>
      <c r="N133" s="65">
        <v>21.1</v>
      </c>
      <c r="O133" s="35"/>
    </row>
    <row r="134" spans="1:15" s="36" customFormat="1" ht="12" x14ac:dyDescent="0.2">
      <c r="A134" s="33"/>
      <c r="B134" s="62">
        <v>34668</v>
      </c>
      <c r="C134" s="64">
        <v>27.5</v>
      </c>
      <c r="D134" s="64">
        <v>0</v>
      </c>
      <c r="E134" s="64">
        <v>0</v>
      </c>
      <c r="F134" s="64">
        <v>0</v>
      </c>
      <c r="G134" s="64">
        <v>0</v>
      </c>
      <c r="H134" s="33"/>
      <c r="I134" s="62">
        <v>34393</v>
      </c>
      <c r="J134" s="64">
        <v>0</v>
      </c>
      <c r="K134" s="64">
        <v>0</v>
      </c>
      <c r="L134" s="64">
        <v>0</v>
      </c>
      <c r="M134" s="64">
        <v>0</v>
      </c>
      <c r="N134" s="64">
        <v>23.2</v>
      </c>
      <c r="O134" s="35"/>
    </row>
    <row r="135" spans="1:15" s="36" customFormat="1" ht="12" x14ac:dyDescent="0.2">
      <c r="A135" s="33"/>
      <c r="B135" s="63">
        <v>34699</v>
      </c>
      <c r="C135" s="65">
        <v>25.5</v>
      </c>
      <c r="D135" s="65">
        <v>0</v>
      </c>
      <c r="E135" s="65">
        <v>0</v>
      </c>
      <c r="F135" s="65">
        <v>0</v>
      </c>
      <c r="G135" s="65">
        <v>0</v>
      </c>
      <c r="H135" s="33"/>
      <c r="I135" s="63">
        <v>34424</v>
      </c>
      <c r="J135" s="65">
        <v>0</v>
      </c>
      <c r="K135" s="65">
        <v>0</v>
      </c>
      <c r="L135" s="65">
        <v>0</v>
      </c>
      <c r="M135" s="65">
        <v>0</v>
      </c>
      <c r="N135" s="65">
        <v>22.4</v>
      </c>
      <c r="O135" s="35"/>
    </row>
    <row r="136" spans="1:15" s="36" customFormat="1" ht="12" x14ac:dyDescent="0.2">
      <c r="A136" s="33"/>
      <c r="B136" s="62">
        <v>34730</v>
      </c>
      <c r="C136" s="64">
        <v>24.1</v>
      </c>
      <c r="D136" s="64">
        <v>0</v>
      </c>
      <c r="E136" s="64">
        <v>0</v>
      </c>
      <c r="F136" s="64">
        <v>0</v>
      </c>
      <c r="G136" s="64">
        <v>0</v>
      </c>
      <c r="H136" s="33"/>
      <c r="I136" s="62">
        <v>34454</v>
      </c>
      <c r="J136" s="64">
        <v>0</v>
      </c>
      <c r="K136" s="64">
        <v>0</v>
      </c>
      <c r="L136" s="64">
        <v>0</v>
      </c>
      <c r="M136" s="64">
        <v>0</v>
      </c>
      <c r="N136" s="64">
        <v>21.7</v>
      </c>
      <c r="O136" s="35"/>
    </row>
    <row r="137" spans="1:15" s="36" customFormat="1" ht="12" x14ac:dyDescent="0.2">
      <c r="A137" s="33"/>
      <c r="B137" s="63">
        <v>34758</v>
      </c>
      <c r="C137" s="65">
        <v>22.4</v>
      </c>
      <c r="D137" s="65">
        <v>0</v>
      </c>
      <c r="E137" s="65">
        <v>0</v>
      </c>
      <c r="F137" s="65">
        <v>0</v>
      </c>
      <c r="G137" s="65">
        <v>0</v>
      </c>
      <c r="H137" s="33"/>
      <c r="I137" s="63">
        <v>34485</v>
      </c>
      <c r="J137" s="65">
        <v>0</v>
      </c>
      <c r="K137" s="65">
        <v>0</v>
      </c>
      <c r="L137" s="65">
        <v>0</v>
      </c>
      <c r="M137" s="65">
        <v>0</v>
      </c>
      <c r="N137" s="65">
        <v>21.3</v>
      </c>
      <c r="O137" s="35"/>
    </row>
    <row r="138" spans="1:15" s="36" customFormat="1" ht="12" x14ac:dyDescent="0.2">
      <c r="A138" s="33"/>
      <c r="B138" s="62">
        <v>34789</v>
      </c>
      <c r="C138" s="64">
        <v>21.3</v>
      </c>
      <c r="D138" s="64">
        <v>0</v>
      </c>
      <c r="E138" s="64">
        <v>0</v>
      </c>
      <c r="F138" s="64">
        <v>0</v>
      </c>
      <c r="G138" s="64">
        <v>0</v>
      </c>
      <c r="H138" s="33"/>
      <c r="I138" s="62">
        <v>34515</v>
      </c>
      <c r="J138" s="64">
        <v>0</v>
      </c>
      <c r="K138" s="64">
        <v>0</v>
      </c>
      <c r="L138" s="64">
        <v>0</v>
      </c>
      <c r="M138" s="64">
        <v>0</v>
      </c>
      <c r="N138" s="64">
        <v>22.6</v>
      </c>
      <c r="O138" s="35"/>
    </row>
    <row r="139" spans="1:15" s="36" customFormat="1" ht="12" x14ac:dyDescent="0.2">
      <c r="A139" s="33"/>
      <c r="B139" s="63">
        <v>34819</v>
      </c>
      <c r="C139" s="65">
        <v>20.7</v>
      </c>
      <c r="D139" s="65">
        <v>0</v>
      </c>
      <c r="E139" s="65">
        <v>0</v>
      </c>
      <c r="F139" s="65">
        <v>0</v>
      </c>
      <c r="G139" s="65">
        <v>0</v>
      </c>
      <c r="H139" s="33"/>
      <c r="I139" s="63">
        <v>34546</v>
      </c>
      <c r="J139" s="65">
        <v>0</v>
      </c>
      <c r="K139" s="65">
        <v>0</v>
      </c>
      <c r="L139" s="65">
        <v>0</v>
      </c>
      <c r="M139" s="65">
        <v>0</v>
      </c>
      <c r="N139" s="65">
        <v>24</v>
      </c>
      <c r="O139" s="35"/>
    </row>
    <row r="140" spans="1:15" s="36" customFormat="1" ht="12" x14ac:dyDescent="0.2">
      <c r="A140" s="33"/>
      <c r="B140" s="62">
        <v>34850</v>
      </c>
      <c r="C140" s="64">
        <v>20.3</v>
      </c>
      <c r="D140" s="64">
        <v>0</v>
      </c>
      <c r="E140" s="64">
        <v>0</v>
      </c>
      <c r="F140" s="64">
        <v>0</v>
      </c>
      <c r="G140" s="64">
        <v>0</v>
      </c>
      <c r="H140" s="33"/>
      <c r="I140" s="62">
        <v>34577</v>
      </c>
      <c r="J140" s="64">
        <v>0</v>
      </c>
      <c r="K140" s="64">
        <v>0</v>
      </c>
      <c r="L140" s="64">
        <v>0</v>
      </c>
      <c r="M140" s="64">
        <v>0</v>
      </c>
      <c r="N140" s="64">
        <v>25.8</v>
      </c>
      <c r="O140" s="35"/>
    </row>
    <row r="141" spans="1:15" s="36" customFormat="1" ht="12" x14ac:dyDescent="0.2">
      <c r="A141" s="33"/>
      <c r="B141" s="63">
        <v>34880</v>
      </c>
      <c r="C141" s="65">
        <v>18.2</v>
      </c>
      <c r="D141" s="65">
        <v>0</v>
      </c>
      <c r="E141" s="65">
        <v>0</v>
      </c>
      <c r="F141" s="65">
        <v>0</v>
      </c>
      <c r="G141" s="65">
        <v>0</v>
      </c>
      <c r="H141" s="33"/>
      <c r="I141" s="63">
        <v>34607</v>
      </c>
      <c r="J141" s="65">
        <v>0</v>
      </c>
      <c r="K141" s="65">
        <v>0</v>
      </c>
      <c r="L141" s="65">
        <v>0</v>
      </c>
      <c r="M141" s="65">
        <v>0</v>
      </c>
      <c r="N141" s="65">
        <v>27.3</v>
      </c>
      <c r="O141" s="35"/>
    </row>
    <row r="142" spans="1:15" s="36" customFormat="1" ht="12" x14ac:dyDescent="0.2">
      <c r="A142" s="33"/>
      <c r="B142" s="62">
        <v>34911</v>
      </c>
      <c r="C142" s="64">
        <v>16.7</v>
      </c>
      <c r="D142" s="64">
        <v>0</v>
      </c>
      <c r="E142" s="64">
        <v>0</v>
      </c>
      <c r="F142" s="64">
        <v>0</v>
      </c>
      <c r="G142" s="64">
        <v>0</v>
      </c>
      <c r="H142" s="33"/>
      <c r="I142" s="62">
        <v>34638</v>
      </c>
      <c r="J142" s="64">
        <v>0</v>
      </c>
      <c r="K142" s="64">
        <v>0</v>
      </c>
      <c r="L142" s="64">
        <v>0</v>
      </c>
      <c r="M142" s="64">
        <v>0</v>
      </c>
      <c r="N142" s="64">
        <v>27.7</v>
      </c>
      <c r="O142" s="35"/>
    </row>
    <row r="143" spans="1:15" s="36" customFormat="1" ht="12" x14ac:dyDescent="0.2">
      <c r="A143" s="33"/>
      <c r="B143" s="63">
        <v>34942</v>
      </c>
      <c r="C143" s="65">
        <v>14.5</v>
      </c>
      <c r="D143" s="65">
        <v>0</v>
      </c>
      <c r="E143" s="65">
        <v>0</v>
      </c>
      <c r="F143" s="65">
        <v>0</v>
      </c>
      <c r="G143" s="65">
        <v>0</v>
      </c>
      <c r="H143" s="33"/>
      <c r="I143" s="63">
        <v>34668</v>
      </c>
      <c r="J143" s="65">
        <v>0</v>
      </c>
      <c r="K143" s="65">
        <v>0</v>
      </c>
      <c r="L143" s="65">
        <v>0</v>
      </c>
      <c r="M143" s="65">
        <v>0</v>
      </c>
      <c r="N143" s="65">
        <v>27.5</v>
      </c>
      <c r="O143" s="35"/>
    </row>
    <row r="144" spans="1:15" s="36" customFormat="1" ht="12" x14ac:dyDescent="0.2">
      <c r="A144" s="33"/>
      <c r="B144" s="62">
        <v>34972</v>
      </c>
      <c r="C144" s="64">
        <v>13.2</v>
      </c>
      <c r="D144" s="64">
        <v>0</v>
      </c>
      <c r="E144" s="64">
        <v>0</v>
      </c>
      <c r="F144" s="64">
        <v>0</v>
      </c>
      <c r="G144" s="64">
        <v>0</v>
      </c>
      <c r="H144" s="33"/>
      <c r="I144" s="62">
        <v>34699</v>
      </c>
      <c r="J144" s="64">
        <v>7288.5999999999995</v>
      </c>
      <c r="K144" s="64">
        <v>20540.7</v>
      </c>
      <c r="L144" s="64">
        <v>46923.5</v>
      </c>
      <c r="M144" s="64">
        <v>-8.3000000000000007</v>
      </c>
      <c r="N144" s="64">
        <v>25.5</v>
      </c>
      <c r="O144" s="35"/>
    </row>
    <row r="145" spans="1:15" s="36" customFormat="1" ht="12" x14ac:dyDescent="0.2">
      <c r="A145" s="33"/>
      <c r="B145" s="63">
        <v>35003</v>
      </c>
      <c r="C145" s="65">
        <v>12.1</v>
      </c>
      <c r="D145" s="65">
        <v>0</v>
      </c>
      <c r="E145" s="65">
        <v>0</v>
      </c>
      <c r="F145" s="65">
        <v>0</v>
      </c>
      <c r="G145" s="65">
        <v>0</v>
      </c>
      <c r="H145" s="33"/>
      <c r="I145" s="63">
        <v>34730</v>
      </c>
      <c r="J145" s="65">
        <v>0</v>
      </c>
      <c r="K145" s="65">
        <v>0</v>
      </c>
      <c r="L145" s="65">
        <v>0</v>
      </c>
      <c r="M145" s="65">
        <v>0</v>
      </c>
      <c r="N145" s="65">
        <v>24.1</v>
      </c>
      <c r="O145" s="35"/>
    </row>
    <row r="146" spans="1:15" s="36" customFormat="1" ht="12" x14ac:dyDescent="0.2">
      <c r="A146" s="33"/>
      <c r="B146" s="62">
        <v>35033</v>
      </c>
      <c r="C146" s="64">
        <v>11.2</v>
      </c>
      <c r="D146" s="64">
        <v>0</v>
      </c>
      <c r="E146" s="64">
        <v>0</v>
      </c>
      <c r="F146" s="64">
        <v>0</v>
      </c>
      <c r="G146" s="64">
        <v>0</v>
      </c>
      <c r="H146" s="33"/>
      <c r="I146" s="62">
        <v>34758</v>
      </c>
      <c r="J146" s="64">
        <v>0</v>
      </c>
      <c r="K146" s="64">
        <v>0</v>
      </c>
      <c r="L146" s="64">
        <v>0</v>
      </c>
      <c r="M146" s="64">
        <v>0</v>
      </c>
      <c r="N146" s="64">
        <v>22.4</v>
      </c>
      <c r="O146" s="35"/>
    </row>
    <row r="147" spans="1:15" s="36" customFormat="1" ht="12" x14ac:dyDescent="0.2">
      <c r="A147" s="33"/>
      <c r="B147" s="63">
        <v>35064</v>
      </c>
      <c r="C147" s="65">
        <v>10.1</v>
      </c>
      <c r="D147" s="65">
        <v>0</v>
      </c>
      <c r="E147" s="65">
        <v>0</v>
      </c>
      <c r="F147" s="65">
        <v>0</v>
      </c>
      <c r="G147" s="65">
        <v>0</v>
      </c>
      <c r="H147" s="33"/>
      <c r="I147" s="63">
        <v>34789</v>
      </c>
      <c r="J147" s="65">
        <v>0</v>
      </c>
      <c r="K147" s="65">
        <v>0</v>
      </c>
      <c r="L147" s="65">
        <v>0</v>
      </c>
      <c r="M147" s="65">
        <v>0</v>
      </c>
      <c r="N147" s="65">
        <v>21.3</v>
      </c>
      <c r="O147" s="35"/>
    </row>
    <row r="148" spans="1:15" s="36" customFormat="1" ht="12" x14ac:dyDescent="0.2">
      <c r="A148" s="33"/>
      <c r="B148" s="62">
        <v>35095</v>
      </c>
      <c r="C148" s="64">
        <v>9</v>
      </c>
      <c r="D148" s="64">
        <v>0</v>
      </c>
      <c r="E148" s="64">
        <v>0</v>
      </c>
      <c r="F148" s="64">
        <v>0</v>
      </c>
      <c r="G148" s="64">
        <v>0</v>
      </c>
      <c r="H148" s="33"/>
      <c r="I148" s="62">
        <v>34819</v>
      </c>
      <c r="J148" s="64">
        <v>0</v>
      </c>
      <c r="K148" s="64">
        <v>0</v>
      </c>
      <c r="L148" s="64">
        <v>0</v>
      </c>
      <c r="M148" s="64">
        <v>0</v>
      </c>
      <c r="N148" s="64">
        <v>20.7</v>
      </c>
      <c r="O148" s="35"/>
    </row>
    <row r="149" spans="1:15" s="36" customFormat="1" ht="12" x14ac:dyDescent="0.2">
      <c r="A149" s="33"/>
      <c r="B149" s="63">
        <v>35124</v>
      </c>
      <c r="C149" s="65">
        <v>9.3000000000000007</v>
      </c>
      <c r="D149" s="65">
        <v>0</v>
      </c>
      <c r="E149" s="65">
        <v>0</v>
      </c>
      <c r="F149" s="65">
        <v>0</v>
      </c>
      <c r="G149" s="65">
        <v>0</v>
      </c>
      <c r="H149" s="33"/>
      <c r="I149" s="63">
        <v>34850</v>
      </c>
      <c r="J149" s="65">
        <v>0</v>
      </c>
      <c r="K149" s="65">
        <v>0</v>
      </c>
      <c r="L149" s="65">
        <v>0</v>
      </c>
      <c r="M149" s="65">
        <v>0</v>
      </c>
      <c r="N149" s="65">
        <v>20.3</v>
      </c>
      <c r="O149" s="35"/>
    </row>
    <row r="150" spans="1:15" s="36" customFormat="1" ht="12" x14ac:dyDescent="0.2">
      <c r="A150" s="33"/>
      <c r="B150" s="62">
        <v>35155</v>
      </c>
      <c r="C150" s="64">
        <v>9.8000000000000007</v>
      </c>
      <c r="D150" s="64">
        <v>0</v>
      </c>
      <c r="E150" s="64">
        <v>0</v>
      </c>
      <c r="F150" s="64">
        <v>0</v>
      </c>
      <c r="G150" s="64">
        <v>0</v>
      </c>
      <c r="H150" s="33"/>
      <c r="I150" s="62">
        <v>34880</v>
      </c>
      <c r="J150" s="64">
        <v>0</v>
      </c>
      <c r="K150" s="64">
        <v>0</v>
      </c>
      <c r="L150" s="64">
        <v>0</v>
      </c>
      <c r="M150" s="64">
        <v>0</v>
      </c>
      <c r="N150" s="64">
        <v>18.2</v>
      </c>
      <c r="O150" s="35"/>
    </row>
    <row r="151" spans="1:15" s="36" customFormat="1" ht="12" x14ac:dyDescent="0.2">
      <c r="A151" s="33"/>
      <c r="B151" s="63">
        <v>35185</v>
      </c>
      <c r="C151" s="65">
        <v>9.6999999999999993</v>
      </c>
      <c r="D151" s="65">
        <v>0</v>
      </c>
      <c r="E151" s="65">
        <v>0</v>
      </c>
      <c r="F151" s="65">
        <v>0</v>
      </c>
      <c r="G151" s="65">
        <v>0</v>
      </c>
      <c r="H151" s="33"/>
      <c r="I151" s="63">
        <v>34911</v>
      </c>
      <c r="J151" s="65">
        <v>0</v>
      </c>
      <c r="K151" s="65">
        <v>0</v>
      </c>
      <c r="L151" s="65">
        <v>0</v>
      </c>
      <c r="M151" s="65">
        <v>0</v>
      </c>
      <c r="N151" s="65">
        <v>16.7</v>
      </c>
      <c r="O151" s="35"/>
    </row>
    <row r="152" spans="1:15" s="36" customFormat="1" ht="12" x14ac:dyDescent="0.2">
      <c r="A152" s="33"/>
      <c r="B152" s="62">
        <v>35216</v>
      </c>
      <c r="C152" s="64">
        <v>8.9</v>
      </c>
      <c r="D152" s="64">
        <v>0</v>
      </c>
      <c r="E152" s="64">
        <v>0</v>
      </c>
      <c r="F152" s="64">
        <v>0</v>
      </c>
      <c r="G152" s="64">
        <v>0</v>
      </c>
      <c r="H152" s="33"/>
      <c r="I152" s="62">
        <v>34942</v>
      </c>
      <c r="J152" s="64">
        <v>0</v>
      </c>
      <c r="K152" s="64">
        <v>0</v>
      </c>
      <c r="L152" s="64">
        <v>0</v>
      </c>
      <c r="M152" s="64">
        <v>0</v>
      </c>
      <c r="N152" s="64">
        <v>14.5</v>
      </c>
      <c r="O152" s="35"/>
    </row>
    <row r="153" spans="1:15" s="36" customFormat="1" ht="12" x14ac:dyDescent="0.2">
      <c r="A153" s="33"/>
      <c r="B153" s="63">
        <v>35246</v>
      </c>
      <c r="C153" s="65">
        <v>8.6</v>
      </c>
      <c r="D153" s="65">
        <v>0</v>
      </c>
      <c r="E153" s="65">
        <v>0</v>
      </c>
      <c r="F153" s="65">
        <v>0</v>
      </c>
      <c r="G153" s="65">
        <v>0</v>
      </c>
      <c r="H153" s="33"/>
      <c r="I153" s="63">
        <v>34972</v>
      </c>
      <c r="J153" s="65">
        <v>0</v>
      </c>
      <c r="K153" s="65">
        <v>0</v>
      </c>
      <c r="L153" s="65">
        <v>0</v>
      </c>
      <c r="M153" s="65">
        <v>0</v>
      </c>
      <c r="N153" s="65">
        <v>13.2</v>
      </c>
      <c r="O153" s="35"/>
    </row>
    <row r="154" spans="1:15" s="36" customFormat="1" ht="12" x14ac:dyDescent="0.2">
      <c r="A154" s="33"/>
      <c r="B154" s="62">
        <v>35277</v>
      </c>
      <c r="C154" s="64">
        <v>8.3000000000000007</v>
      </c>
      <c r="D154" s="64">
        <v>0</v>
      </c>
      <c r="E154" s="64">
        <v>0</v>
      </c>
      <c r="F154" s="64">
        <v>0</v>
      </c>
      <c r="G154" s="64">
        <v>0</v>
      </c>
      <c r="H154" s="33"/>
      <c r="I154" s="62">
        <v>35003</v>
      </c>
      <c r="J154" s="64">
        <v>0</v>
      </c>
      <c r="K154" s="64">
        <v>0</v>
      </c>
      <c r="L154" s="64">
        <v>0</v>
      </c>
      <c r="M154" s="64">
        <v>0</v>
      </c>
      <c r="N154" s="64">
        <v>12.1</v>
      </c>
      <c r="O154" s="35"/>
    </row>
    <row r="155" spans="1:15" s="36" customFormat="1" ht="12" x14ac:dyDescent="0.2">
      <c r="A155" s="33"/>
      <c r="B155" s="63">
        <v>35308</v>
      </c>
      <c r="C155" s="65">
        <v>8.1</v>
      </c>
      <c r="D155" s="65">
        <v>0</v>
      </c>
      <c r="E155" s="65">
        <v>0</v>
      </c>
      <c r="F155" s="65">
        <v>0</v>
      </c>
      <c r="G155" s="65">
        <v>0</v>
      </c>
      <c r="H155" s="33"/>
      <c r="I155" s="63">
        <v>35033</v>
      </c>
      <c r="J155" s="65">
        <v>0</v>
      </c>
      <c r="K155" s="65">
        <v>0</v>
      </c>
      <c r="L155" s="65">
        <v>0</v>
      </c>
      <c r="M155" s="65">
        <v>0</v>
      </c>
      <c r="N155" s="65">
        <v>11.2</v>
      </c>
      <c r="O155" s="35"/>
    </row>
    <row r="156" spans="1:15" s="36" customFormat="1" ht="12" x14ac:dyDescent="0.2">
      <c r="A156" s="33"/>
      <c r="B156" s="62">
        <v>35338</v>
      </c>
      <c r="C156" s="64">
        <v>7.4</v>
      </c>
      <c r="D156" s="64">
        <v>0</v>
      </c>
      <c r="E156" s="64">
        <v>0</v>
      </c>
      <c r="F156" s="64">
        <v>0</v>
      </c>
      <c r="G156" s="64">
        <v>0</v>
      </c>
      <c r="H156" s="33"/>
      <c r="I156" s="62">
        <v>35064</v>
      </c>
      <c r="J156" s="64">
        <v>7885.3</v>
      </c>
      <c r="K156" s="64">
        <v>23987.1</v>
      </c>
      <c r="L156" s="64">
        <v>60750.5</v>
      </c>
      <c r="M156" s="64">
        <v>-12.7</v>
      </c>
      <c r="N156" s="64">
        <v>10.1</v>
      </c>
      <c r="O156" s="35"/>
    </row>
    <row r="157" spans="1:15" s="36" customFormat="1" ht="12" x14ac:dyDescent="0.2">
      <c r="A157" s="33"/>
      <c r="B157" s="63">
        <v>35369</v>
      </c>
      <c r="C157" s="65">
        <v>7</v>
      </c>
      <c r="D157" s="65">
        <v>0.34</v>
      </c>
      <c r="E157" s="65">
        <v>0.82</v>
      </c>
      <c r="F157" s="65">
        <v>-0.37</v>
      </c>
      <c r="G157" s="65">
        <v>6.66</v>
      </c>
      <c r="H157" s="33"/>
      <c r="I157" s="63">
        <v>35095</v>
      </c>
      <c r="J157" s="65">
        <v>8600.4500000000007</v>
      </c>
      <c r="K157" s="65">
        <v>25195</v>
      </c>
      <c r="L157" s="65">
        <v>58401</v>
      </c>
      <c r="M157" s="65">
        <v>-14.5</v>
      </c>
      <c r="N157" s="65">
        <v>9</v>
      </c>
      <c r="O157" s="35"/>
    </row>
    <row r="158" spans="1:15" s="36" customFormat="1" ht="12" x14ac:dyDescent="0.2">
      <c r="A158" s="33"/>
      <c r="B158" s="62">
        <v>35399</v>
      </c>
      <c r="C158" s="64">
        <v>6.9</v>
      </c>
      <c r="D158" s="64">
        <v>0.04</v>
      </c>
      <c r="E158" s="64">
        <v>0.67</v>
      </c>
      <c r="F158" s="64">
        <v>-0.86</v>
      </c>
      <c r="G158" s="64">
        <v>6.86</v>
      </c>
      <c r="H158" s="33"/>
      <c r="I158" s="62">
        <v>35124</v>
      </c>
      <c r="J158" s="64">
        <v>9300.83</v>
      </c>
      <c r="K158" s="64">
        <v>25255</v>
      </c>
      <c r="L158" s="64">
        <v>63778</v>
      </c>
      <c r="M158" s="64">
        <v>-10.6</v>
      </c>
      <c r="N158" s="64">
        <v>9.3000000000000007</v>
      </c>
      <c r="O158" s="35"/>
    </row>
    <row r="159" spans="1:15" s="36" customFormat="1" ht="12" x14ac:dyDescent="0.2">
      <c r="A159" s="33"/>
      <c r="B159" s="63">
        <v>35430</v>
      </c>
      <c r="C159" s="65">
        <v>7</v>
      </c>
      <c r="D159" s="65">
        <v>0.43</v>
      </c>
      <c r="E159" s="65">
        <v>1.05</v>
      </c>
      <c r="F159" s="65">
        <v>-0.47</v>
      </c>
      <c r="G159" s="65">
        <v>6.57</v>
      </c>
      <c r="H159" s="33"/>
      <c r="I159" s="63">
        <v>35155</v>
      </c>
      <c r="J159" s="65">
        <v>8169.05</v>
      </c>
      <c r="K159" s="65">
        <v>23909</v>
      </c>
      <c r="L159" s="65">
        <v>64510.999999999993</v>
      </c>
      <c r="M159" s="65">
        <v>-14.5</v>
      </c>
      <c r="N159" s="65">
        <v>9.8000000000000007</v>
      </c>
      <c r="O159" s="35"/>
    </row>
    <row r="160" spans="1:15" s="36" customFormat="1" ht="12" x14ac:dyDescent="0.2">
      <c r="A160" s="33"/>
      <c r="B160" s="62">
        <v>35461</v>
      </c>
      <c r="C160" s="64">
        <v>5.9</v>
      </c>
      <c r="D160" s="64">
        <v>0.12</v>
      </c>
      <c r="E160" s="64">
        <v>0.61</v>
      </c>
      <c r="F160" s="64">
        <v>-0.59</v>
      </c>
      <c r="G160" s="64">
        <v>5.78</v>
      </c>
      <c r="H160" s="33"/>
      <c r="I160" s="62">
        <v>35185</v>
      </c>
      <c r="J160" s="64">
        <v>7894.9400000000005</v>
      </c>
      <c r="K160" s="64">
        <v>24145</v>
      </c>
      <c r="L160" s="64">
        <v>65723</v>
      </c>
      <c r="M160" s="64">
        <v>-14.8</v>
      </c>
      <c r="N160" s="64">
        <v>9.6999999999999993</v>
      </c>
      <c r="O160" s="35"/>
    </row>
    <row r="161" spans="1:15" s="36" customFormat="1" ht="12" x14ac:dyDescent="0.2">
      <c r="A161" s="33"/>
      <c r="B161" s="63">
        <v>35489</v>
      </c>
      <c r="C161" s="65">
        <v>5.6</v>
      </c>
      <c r="D161" s="65">
        <v>0.44</v>
      </c>
      <c r="E161" s="65">
        <v>0.94</v>
      </c>
      <c r="F161" s="65">
        <v>-0.3</v>
      </c>
      <c r="G161" s="65">
        <v>5.16</v>
      </c>
      <c r="H161" s="33"/>
      <c r="I161" s="63">
        <v>35216</v>
      </c>
      <c r="J161" s="65">
        <v>7705.52</v>
      </c>
      <c r="K161" s="65">
        <v>24463</v>
      </c>
      <c r="L161" s="65">
        <v>66880</v>
      </c>
      <c r="M161" s="65">
        <v>-13.9</v>
      </c>
      <c r="N161" s="65">
        <v>8.9</v>
      </c>
      <c r="O161" s="35"/>
    </row>
    <row r="162" spans="1:15" s="36" customFormat="1" ht="12" x14ac:dyDescent="0.2">
      <c r="A162" s="33"/>
      <c r="B162" s="62">
        <v>35520</v>
      </c>
      <c r="C162" s="64">
        <v>4</v>
      </c>
      <c r="D162" s="64">
        <v>0.47</v>
      </c>
      <c r="E162" s="64">
        <v>0.74</v>
      </c>
      <c r="F162" s="64">
        <v>7.0000000000000007E-2</v>
      </c>
      <c r="G162" s="64">
        <v>3.53</v>
      </c>
      <c r="H162" s="33"/>
      <c r="I162" s="62">
        <v>35246</v>
      </c>
      <c r="J162" s="64">
        <v>7665.69</v>
      </c>
      <c r="K162" s="64">
        <v>24600</v>
      </c>
      <c r="L162" s="64">
        <v>68132</v>
      </c>
      <c r="M162" s="64">
        <v>-13.2</v>
      </c>
      <c r="N162" s="64">
        <v>8.6</v>
      </c>
      <c r="O162" s="35"/>
    </row>
    <row r="163" spans="1:15" s="36" customFormat="1" ht="12" x14ac:dyDescent="0.2">
      <c r="A163" s="33"/>
      <c r="B163" s="63">
        <v>35550</v>
      </c>
      <c r="C163" s="65">
        <v>3.2</v>
      </c>
      <c r="D163" s="65">
        <v>0.06</v>
      </c>
      <c r="E163" s="65">
        <v>0.32</v>
      </c>
      <c r="F163" s="65">
        <v>-0.38</v>
      </c>
      <c r="G163" s="65">
        <v>3.14</v>
      </c>
      <c r="H163" s="33"/>
      <c r="I163" s="63">
        <v>35277</v>
      </c>
      <c r="J163" s="65">
        <v>7809.31</v>
      </c>
      <c r="K163" s="65">
        <v>25078</v>
      </c>
      <c r="L163" s="65">
        <v>69346</v>
      </c>
      <c r="M163" s="65">
        <v>-11.8</v>
      </c>
      <c r="N163" s="65">
        <v>8.3000000000000007</v>
      </c>
      <c r="O163" s="35"/>
    </row>
    <row r="164" spans="1:15" s="36" customFormat="1" ht="12" x14ac:dyDescent="0.2">
      <c r="A164" s="33"/>
      <c r="B164" s="62">
        <v>35581</v>
      </c>
      <c r="C164" s="64">
        <v>2.8</v>
      </c>
      <c r="D164" s="64">
        <v>7.0000000000000007E-2</v>
      </c>
      <c r="E164" s="64">
        <v>0.2</v>
      </c>
      <c r="F164" s="64">
        <v>-0.15</v>
      </c>
      <c r="G164" s="64">
        <v>2.73</v>
      </c>
      <c r="H164" s="33"/>
      <c r="I164" s="62">
        <v>35308</v>
      </c>
      <c r="J164" s="64">
        <v>8093.3499999999995</v>
      </c>
      <c r="K164" s="64">
        <v>26955.88</v>
      </c>
      <c r="L164" s="64">
        <v>72309</v>
      </c>
      <c r="M164" s="64">
        <v>-12.4</v>
      </c>
      <c r="N164" s="64">
        <v>8.1</v>
      </c>
      <c r="O164" s="35"/>
    </row>
    <row r="165" spans="1:15" s="36" customFormat="1" ht="12" x14ac:dyDescent="0.2">
      <c r="A165" s="33"/>
      <c r="B165" s="63">
        <v>35611</v>
      </c>
      <c r="C165" s="65">
        <v>2.8</v>
      </c>
      <c r="D165" s="65">
        <v>-0.37</v>
      </c>
      <c r="E165" s="65">
        <v>-0.37</v>
      </c>
      <c r="F165" s="65">
        <v>-0.39</v>
      </c>
      <c r="G165" s="65">
        <v>3.17</v>
      </c>
      <c r="H165" s="33"/>
      <c r="I165" s="63">
        <v>35338</v>
      </c>
      <c r="J165" s="65">
        <v>8409</v>
      </c>
      <c r="K165" s="65">
        <v>26230</v>
      </c>
      <c r="L165" s="65">
        <v>69643</v>
      </c>
      <c r="M165" s="65">
        <v>-10.5</v>
      </c>
      <c r="N165" s="65">
        <v>7.4</v>
      </c>
      <c r="O165" s="35"/>
    </row>
    <row r="166" spans="1:15" s="36" customFormat="1" ht="12" x14ac:dyDescent="0.2">
      <c r="A166" s="33"/>
      <c r="B166" s="62">
        <v>35642</v>
      </c>
      <c r="C166" s="64">
        <v>2.7</v>
      </c>
      <c r="D166" s="64">
        <v>-0.65</v>
      </c>
      <c r="E166" s="64">
        <v>-0.16</v>
      </c>
      <c r="F166" s="64">
        <v>-1.6</v>
      </c>
      <c r="G166" s="64">
        <v>3.35</v>
      </c>
      <c r="H166" s="33"/>
      <c r="I166" s="62">
        <v>35369</v>
      </c>
      <c r="J166" s="64">
        <v>8404.75</v>
      </c>
      <c r="K166" s="64">
        <v>26798.199999999997</v>
      </c>
      <c r="L166" s="64">
        <v>73152.2</v>
      </c>
      <c r="M166" s="64">
        <v>-9.3000000000000007</v>
      </c>
      <c r="N166" s="64">
        <v>7</v>
      </c>
      <c r="O166" s="35"/>
    </row>
    <row r="167" spans="1:15" s="36" customFormat="1" ht="12" x14ac:dyDescent="0.2">
      <c r="A167" s="33"/>
      <c r="B167" s="63">
        <v>35673</v>
      </c>
      <c r="C167" s="65">
        <v>1.9</v>
      </c>
      <c r="D167" s="65">
        <v>-0.89</v>
      </c>
      <c r="E167" s="65">
        <v>-0.77</v>
      </c>
      <c r="F167" s="65">
        <v>-1.1100000000000001</v>
      </c>
      <c r="G167" s="65">
        <v>2.79</v>
      </c>
      <c r="H167" s="33"/>
      <c r="I167" s="63">
        <v>35399</v>
      </c>
      <c r="J167" s="65">
        <v>8704.56</v>
      </c>
      <c r="K167" s="65">
        <v>27421.999999999996</v>
      </c>
      <c r="L167" s="65">
        <v>74142</v>
      </c>
      <c r="M167" s="65">
        <v>-8</v>
      </c>
      <c r="N167" s="65">
        <v>6.9</v>
      </c>
      <c r="O167" s="35"/>
    </row>
    <row r="168" spans="1:15" s="36" customFormat="1" ht="12" x14ac:dyDescent="0.2">
      <c r="A168" s="33"/>
      <c r="B168" s="62">
        <v>35703</v>
      </c>
      <c r="C168" s="64">
        <v>1.8</v>
      </c>
      <c r="D168" s="64">
        <v>-0.95</v>
      </c>
      <c r="E168" s="64">
        <v>-0.73</v>
      </c>
      <c r="F168" s="64">
        <v>-1.31</v>
      </c>
      <c r="G168" s="64">
        <v>2.75</v>
      </c>
      <c r="H168" s="33"/>
      <c r="I168" s="62">
        <v>35430</v>
      </c>
      <c r="J168" s="64">
        <v>8802</v>
      </c>
      <c r="K168" s="64">
        <v>29893</v>
      </c>
      <c r="L168" s="64">
        <v>77265</v>
      </c>
      <c r="M168" s="64">
        <v>-6.4</v>
      </c>
      <c r="N168" s="64">
        <v>7</v>
      </c>
      <c r="O168" s="35"/>
    </row>
    <row r="169" spans="1:15" s="36" customFormat="1" ht="12" x14ac:dyDescent="0.2">
      <c r="A169" s="33"/>
      <c r="B169" s="63">
        <v>35734</v>
      </c>
      <c r="C169" s="65">
        <v>1.5</v>
      </c>
      <c r="D169" s="65">
        <v>-0.92</v>
      </c>
      <c r="E169" s="65">
        <v>-0.75</v>
      </c>
      <c r="F169" s="65">
        <v>-1.23</v>
      </c>
      <c r="G169" s="65">
        <v>2.42</v>
      </c>
      <c r="H169" s="33"/>
      <c r="I169" s="63">
        <v>35461</v>
      </c>
      <c r="J169" s="65">
        <v>11493</v>
      </c>
      <c r="K169" s="65">
        <v>30573</v>
      </c>
      <c r="L169" s="65">
        <v>78648</v>
      </c>
      <c r="M169" s="65">
        <v>-2.6</v>
      </c>
      <c r="N169" s="65">
        <v>5.9</v>
      </c>
      <c r="O169" s="35"/>
    </row>
    <row r="170" spans="1:15" s="36" customFormat="1" ht="12" x14ac:dyDescent="0.2">
      <c r="A170" s="33"/>
      <c r="B170" s="62">
        <v>35764</v>
      </c>
      <c r="C170" s="64">
        <v>1.1000000000000001</v>
      </c>
      <c r="D170" s="64">
        <v>-0.61</v>
      </c>
      <c r="E170" s="64">
        <v>-0.35</v>
      </c>
      <c r="F170" s="64">
        <v>-1.0900000000000001</v>
      </c>
      <c r="G170" s="64">
        <v>1.71</v>
      </c>
      <c r="H170" s="33"/>
      <c r="I170" s="62">
        <v>35489</v>
      </c>
      <c r="J170" s="64">
        <v>10080</v>
      </c>
      <c r="K170" s="64">
        <v>29103</v>
      </c>
      <c r="L170" s="64">
        <v>78998</v>
      </c>
      <c r="M170" s="64">
        <v>-5.7</v>
      </c>
      <c r="N170" s="64">
        <v>5.6</v>
      </c>
      <c r="O170" s="35"/>
    </row>
    <row r="171" spans="1:15" s="36" customFormat="1" ht="12" x14ac:dyDescent="0.2">
      <c r="A171" s="33"/>
      <c r="B171" s="63">
        <v>35795</v>
      </c>
      <c r="C171" s="65">
        <v>0.4</v>
      </c>
      <c r="D171" s="65">
        <v>-0.92</v>
      </c>
      <c r="E171" s="65">
        <v>-0.57999999999999996</v>
      </c>
      <c r="F171" s="65">
        <v>-1.54</v>
      </c>
      <c r="G171" s="65">
        <v>1.32</v>
      </c>
      <c r="H171" s="33"/>
      <c r="I171" s="63">
        <v>35520</v>
      </c>
      <c r="J171" s="65">
        <v>9282</v>
      </c>
      <c r="K171" s="65">
        <v>29058</v>
      </c>
      <c r="L171" s="65">
        <v>79889</v>
      </c>
      <c r="M171" s="65">
        <v>-2.2000000000000002</v>
      </c>
      <c r="N171" s="65">
        <v>4</v>
      </c>
      <c r="O171" s="35"/>
    </row>
    <row r="172" spans="1:15" s="36" customFormat="1" ht="12" x14ac:dyDescent="0.2">
      <c r="A172" s="33"/>
      <c r="B172" s="62">
        <v>35826</v>
      </c>
      <c r="C172" s="64">
        <v>0.3</v>
      </c>
      <c r="D172" s="64">
        <v>-1.32</v>
      </c>
      <c r="E172" s="64">
        <v>-1.57</v>
      </c>
      <c r="F172" s="64">
        <v>-0.89</v>
      </c>
      <c r="G172" s="64">
        <v>1.62</v>
      </c>
      <c r="H172" s="33"/>
      <c r="I172" s="62">
        <v>35550</v>
      </c>
      <c r="J172" s="64">
        <v>9277</v>
      </c>
      <c r="K172" s="64">
        <v>29991</v>
      </c>
      <c r="L172" s="64">
        <v>80818</v>
      </c>
      <c r="M172" s="64">
        <v>-1.9</v>
      </c>
      <c r="N172" s="64">
        <v>3.2</v>
      </c>
      <c r="O172" s="35"/>
    </row>
    <row r="173" spans="1:15" s="36" customFormat="1" ht="12" x14ac:dyDescent="0.2">
      <c r="A173" s="33"/>
      <c r="B173" s="63">
        <v>35854</v>
      </c>
      <c r="C173" s="65">
        <v>-0.1</v>
      </c>
      <c r="D173" s="65">
        <v>-2.65</v>
      </c>
      <c r="E173" s="65">
        <v>-2.71</v>
      </c>
      <c r="F173" s="65">
        <v>-2.54</v>
      </c>
      <c r="G173" s="65">
        <v>2.5499999999999998</v>
      </c>
      <c r="H173" s="33"/>
      <c r="I173" s="63">
        <v>35581</v>
      </c>
      <c r="J173" s="65">
        <v>9066</v>
      </c>
      <c r="K173" s="65">
        <v>30274.999999999996</v>
      </c>
      <c r="L173" s="65">
        <v>81151</v>
      </c>
      <c r="M173" s="65">
        <v>-0.8</v>
      </c>
      <c r="N173" s="65">
        <v>2.8</v>
      </c>
      <c r="O173" s="35"/>
    </row>
    <row r="174" spans="1:15" s="36" customFormat="1" ht="12" x14ac:dyDescent="0.2">
      <c r="A174" s="33"/>
      <c r="B174" s="62">
        <v>35885</v>
      </c>
      <c r="C174" s="64">
        <v>0.7</v>
      </c>
      <c r="D174" s="64">
        <v>-3.2</v>
      </c>
      <c r="E174" s="64">
        <v>-3.55</v>
      </c>
      <c r="F174" s="64">
        <v>-2.57</v>
      </c>
      <c r="G174" s="64">
        <v>3.9</v>
      </c>
      <c r="H174" s="33"/>
      <c r="I174" s="62">
        <v>35611</v>
      </c>
      <c r="J174" s="64">
        <v>9122</v>
      </c>
      <c r="K174" s="64">
        <v>31074.730000000003</v>
      </c>
      <c r="L174" s="64">
        <v>82789</v>
      </c>
      <c r="M174" s="64">
        <v>1.5</v>
      </c>
      <c r="N174" s="64">
        <v>2.8</v>
      </c>
      <c r="O174" s="35"/>
    </row>
    <row r="175" spans="1:15" s="36" customFormat="1" ht="12" x14ac:dyDescent="0.2">
      <c r="A175" s="33"/>
      <c r="B175" s="63">
        <v>35915</v>
      </c>
      <c r="C175" s="65">
        <v>-0.3</v>
      </c>
      <c r="D175" s="65">
        <v>-3.69</v>
      </c>
      <c r="E175" s="65">
        <v>-3.81</v>
      </c>
      <c r="F175" s="65">
        <v>-3.46</v>
      </c>
      <c r="G175" s="65">
        <v>3.39</v>
      </c>
      <c r="H175" s="33"/>
      <c r="I175" s="63">
        <v>35642</v>
      </c>
      <c r="J175" s="65">
        <v>9127</v>
      </c>
      <c r="K175" s="65">
        <v>31099.999999999996</v>
      </c>
      <c r="L175" s="65">
        <v>83460</v>
      </c>
      <c r="M175" s="65">
        <v>0.3</v>
      </c>
      <c r="N175" s="65">
        <v>2.7</v>
      </c>
      <c r="O175" s="35"/>
    </row>
    <row r="176" spans="1:15" s="36" customFormat="1" ht="12" x14ac:dyDescent="0.2">
      <c r="A176" s="33"/>
      <c r="B176" s="62">
        <v>35946</v>
      </c>
      <c r="C176" s="64">
        <v>-1</v>
      </c>
      <c r="D176" s="64">
        <v>-4.47</v>
      </c>
      <c r="E176" s="64">
        <v>-5.42</v>
      </c>
      <c r="F176" s="64">
        <v>-2.82</v>
      </c>
      <c r="G176" s="64">
        <v>3.47</v>
      </c>
      <c r="H176" s="33"/>
      <c r="I176" s="62">
        <v>35673</v>
      </c>
      <c r="J176" s="64">
        <v>9327</v>
      </c>
      <c r="K176" s="64">
        <v>31594.99</v>
      </c>
      <c r="L176" s="64">
        <v>84746</v>
      </c>
      <c r="M176" s="64">
        <v>0</v>
      </c>
      <c r="N176" s="64">
        <v>1.9</v>
      </c>
      <c r="O176" s="35"/>
    </row>
    <row r="177" spans="1:15" s="36" customFormat="1" ht="12" x14ac:dyDescent="0.2">
      <c r="A177" s="33"/>
      <c r="B177" s="63">
        <v>35976</v>
      </c>
      <c r="C177" s="65">
        <v>-1.3</v>
      </c>
      <c r="D177" s="65">
        <v>-4.88</v>
      </c>
      <c r="E177" s="65">
        <v>-5.36</v>
      </c>
      <c r="F177" s="65">
        <v>-4.03</v>
      </c>
      <c r="G177" s="65">
        <v>3.58</v>
      </c>
      <c r="H177" s="33"/>
      <c r="I177" s="63">
        <v>35703</v>
      </c>
      <c r="J177" s="65">
        <v>9426</v>
      </c>
      <c r="K177" s="65">
        <v>32245</v>
      </c>
      <c r="L177" s="65">
        <v>85892</v>
      </c>
      <c r="M177" s="65">
        <v>0.2</v>
      </c>
      <c r="N177" s="65">
        <v>1.8</v>
      </c>
      <c r="O177" s="35"/>
    </row>
    <row r="178" spans="1:15" s="36" customFormat="1" ht="12" x14ac:dyDescent="0.2">
      <c r="A178" s="33"/>
      <c r="B178" s="62">
        <v>36007</v>
      </c>
      <c r="C178" s="64">
        <v>-1.4</v>
      </c>
      <c r="D178" s="64">
        <v>-4.96</v>
      </c>
      <c r="E178" s="64">
        <v>-5.51</v>
      </c>
      <c r="F178" s="64">
        <v>-3.98</v>
      </c>
      <c r="G178" s="64">
        <v>3.56</v>
      </c>
      <c r="H178" s="33"/>
      <c r="I178" s="62">
        <v>35734</v>
      </c>
      <c r="J178" s="64">
        <v>9489</v>
      </c>
      <c r="K178" s="64">
        <v>32422</v>
      </c>
      <c r="L178" s="64">
        <v>86644</v>
      </c>
      <c r="M178" s="64">
        <v>-0.6</v>
      </c>
      <c r="N178" s="64">
        <v>1.5</v>
      </c>
      <c r="O178" s="35"/>
    </row>
    <row r="179" spans="1:15" s="36" customFormat="1" ht="12" x14ac:dyDescent="0.2">
      <c r="A179" s="33"/>
      <c r="B179" s="63">
        <v>36038</v>
      </c>
      <c r="C179" s="65">
        <v>-1.4</v>
      </c>
      <c r="D179" s="65">
        <v>-5.54</v>
      </c>
      <c r="E179" s="65">
        <v>-6</v>
      </c>
      <c r="F179" s="65">
        <v>-4.7</v>
      </c>
      <c r="G179" s="65">
        <v>4.1399999999999997</v>
      </c>
      <c r="H179" s="33"/>
      <c r="I179" s="63">
        <v>35764</v>
      </c>
      <c r="J179" s="65">
        <v>9784.58</v>
      </c>
      <c r="K179" s="65">
        <v>32909</v>
      </c>
      <c r="L179" s="65">
        <v>87590</v>
      </c>
      <c r="M179" s="65">
        <v>-1.2</v>
      </c>
      <c r="N179" s="65">
        <v>1.1000000000000001</v>
      </c>
      <c r="O179" s="35"/>
    </row>
    <row r="180" spans="1:15" s="36" customFormat="1" ht="12" x14ac:dyDescent="0.2">
      <c r="A180" s="33"/>
      <c r="B180" s="62">
        <v>36068</v>
      </c>
      <c r="C180" s="64">
        <v>-1.5</v>
      </c>
      <c r="D180" s="64">
        <v>-4.1900000000000004</v>
      </c>
      <c r="E180" s="64">
        <v>-6.06</v>
      </c>
      <c r="F180" s="64">
        <v>-0.88</v>
      </c>
      <c r="G180" s="64">
        <v>2.69</v>
      </c>
      <c r="H180" s="33"/>
      <c r="I180" s="62">
        <v>35795</v>
      </c>
      <c r="J180" s="64">
        <v>10177.61</v>
      </c>
      <c r="K180" s="64">
        <v>34826</v>
      </c>
      <c r="L180" s="64">
        <v>90631.83</v>
      </c>
      <c r="M180" s="64">
        <v>-0.8</v>
      </c>
      <c r="N180" s="64">
        <v>0.4</v>
      </c>
      <c r="O180" s="35"/>
    </row>
    <row r="181" spans="1:15" s="36" customFormat="1" ht="12" x14ac:dyDescent="0.2">
      <c r="A181" s="33"/>
      <c r="B181" s="63">
        <v>36099</v>
      </c>
      <c r="C181" s="65">
        <v>-1.1000000000000001</v>
      </c>
      <c r="D181" s="65">
        <v>-5.38</v>
      </c>
      <c r="E181" s="65">
        <v>-6.22</v>
      </c>
      <c r="F181" s="65">
        <v>-3.89</v>
      </c>
      <c r="G181" s="65">
        <v>4.28</v>
      </c>
      <c r="H181" s="33"/>
      <c r="I181" s="63">
        <v>35826</v>
      </c>
      <c r="J181" s="65">
        <v>13108.380000000001</v>
      </c>
      <c r="K181" s="65">
        <v>35585.57</v>
      </c>
      <c r="L181" s="65">
        <v>92180</v>
      </c>
      <c r="M181" s="65">
        <v>-2.8</v>
      </c>
      <c r="N181" s="65">
        <v>0.3</v>
      </c>
      <c r="O181" s="35"/>
    </row>
    <row r="182" spans="1:15" s="36" customFormat="1" ht="12" x14ac:dyDescent="0.2">
      <c r="A182" s="33"/>
      <c r="B182" s="62">
        <v>36129</v>
      </c>
      <c r="C182" s="64">
        <v>-1.2</v>
      </c>
      <c r="D182" s="64">
        <v>-5.68</v>
      </c>
      <c r="E182" s="64">
        <v>-6.17</v>
      </c>
      <c r="F182" s="64">
        <v>-4.79</v>
      </c>
      <c r="G182" s="64">
        <v>4.4800000000000004</v>
      </c>
      <c r="H182" s="33"/>
      <c r="I182" s="62">
        <v>35854</v>
      </c>
      <c r="J182" s="64">
        <v>10886.06</v>
      </c>
      <c r="K182" s="64">
        <v>33395</v>
      </c>
      <c r="L182" s="64">
        <v>92024</v>
      </c>
      <c r="M182" s="64">
        <v>-4.3</v>
      </c>
      <c r="N182" s="64">
        <v>-0.1</v>
      </c>
      <c r="O182" s="35"/>
    </row>
    <row r="183" spans="1:15" s="36" customFormat="1" ht="12" x14ac:dyDescent="0.2">
      <c r="A183" s="33"/>
      <c r="B183" s="63">
        <v>36160</v>
      </c>
      <c r="C183" s="65">
        <v>-1</v>
      </c>
      <c r="D183" s="65">
        <v>-5.38</v>
      </c>
      <c r="E183" s="65">
        <v>-6.16</v>
      </c>
      <c r="F183" s="65">
        <v>-3.98</v>
      </c>
      <c r="G183" s="65">
        <v>4.38</v>
      </c>
      <c r="H183" s="33"/>
      <c r="I183" s="63">
        <v>35885</v>
      </c>
      <c r="J183" s="65">
        <v>10201.040000000001</v>
      </c>
      <c r="K183" s="65">
        <v>33110</v>
      </c>
      <c r="L183" s="65">
        <v>92015</v>
      </c>
      <c r="M183" s="65">
        <v>-3.6</v>
      </c>
      <c r="N183" s="65">
        <v>0.7</v>
      </c>
      <c r="O183" s="35"/>
    </row>
    <row r="184" spans="1:15" s="36" customFormat="1" ht="12" x14ac:dyDescent="0.2">
      <c r="A184" s="33"/>
      <c r="B184" s="62">
        <v>36191</v>
      </c>
      <c r="C184" s="64">
        <v>-1.2</v>
      </c>
      <c r="D184" s="64">
        <v>-4.92</v>
      </c>
      <c r="E184" s="64">
        <v>-5.23</v>
      </c>
      <c r="F184" s="64">
        <v>-4.3600000000000003</v>
      </c>
      <c r="G184" s="64">
        <v>3.72</v>
      </c>
      <c r="H184" s="33"/>
      <c r="I184" s="62">
        <v>35915</v>
      </c>
      <c r="J184" s="64">
        <v>10173</v>
      </c>
      <c r="K184" s="64">
        <v>33360</v>
      </c>
      <c r="L184" s="64">
        <v>92662</v>
      </c>
      <c r="M184" s="64">
        <v>-3.4</v>
      </c>
      <c r="N184" s="64">
        <v>-0.3</v>
      </c>
      <c r="O184" s="35"/>
    </row>
    <row r="185" spans="1:15" s="36" customFormat="1" ht="12" x14ac:dyDescent="0.2">
      <c r="A185" s="33"/>
      <c r="B185" s="63">
        <v>36219</v>
      </c>
      <c r="C185" s="65">
        <v>-1.3</v>
      </c>
      <c r="D185" s="65">
        <v>-4.8899999999999997</v>
      </c>
      <c r="E185" s="65">
        <v>-5.31</v>
      </c>
      <c r="F185" s="65">
        <v>-4.1500000000000004</v>
      </c>
      <c r="G185" s="65">
        <v>3.59</v>
      </c>
      <c r="H185" s="33"/>
      <c r="I185" s="63">
        <v>35946</v>
      </c>
      <c r="J185" s="65">
        <v>9984.4</v>
      </c>
      <c r="K185" s="65">
        <v>33553</v>
      </c>
      <c r="L185" s="65">
        <v>93936</v>
      </c>
      <c r="M185" s="65">
        <v>-4.7</v>
      </c>
      <c r="N185" s="65">
        <v>-1</v>
      </c>
      <c r="O185" s="35"/>
    </row>
    <row r="186" spans="1:15" s="36" customFormat="1" ht="12" x14ac:dyDescent="0.2">
      <c r="A186" s="33"/>
      <c r="B186" s="62">
        <v>36250</v>
      </c>
      <c r="C186" s="64">
        <v>-1.8</v>
      </c>
      <c r="D186" s="64">
        <v>-4.62</v>
      </c>
      <c r="E186" s="64">
        <v>-4.68</v>
      </c>
      <c r="F186" s="64">
        <v>-4.5</v>
      </c>
      <c r="G186" s="64">
        <v>2.82</v>
      </c>
      <c r="H186" s="33"/>
      <c r="I186" s="62">
        <v>35976</v>
      </c>
      <c r="J186" s="64">
        <v>9720.44</v>
      </c>
      <c r="K186" s="64">
        <v>33776</v>
      </c>
      <c r="L186" s="64">
        <v>94658</v>
      </c>
      <c r="M186" s="64">
        <v>-5.9</v>
      </c>
      <c r="N186" s="64">
        <v>-1.3</v>
      </c>
      <c r="O186" s="35"/>
    </row>
    <row r="187" spans="1:15" s="36" customFormat="1" ht="12" x14ac:dyDescent="0.2">
      <c r="A187" s="33"/>
      <c r="B187" s="63">
        <v>36280</v>
      </c>
      <c r="C187" s="65">
        <v>-2.2000000000000002</v>
      </c>
      <c r="D187" s="65">
        <v>-3.86</v>
      </c>
      <c r="E187" s="65">
        <v>-3.73</v>
      </c>
      <c r="F187" s="65">
        <v>-4.09</v>
      </c>
      <c r="G187" s="65">
        <v>1.66</v>
      </c>
      <c r="H187" s="33"/>
      <c r="I187" s="63">
        <v>36007</v>
      </c>
      <c r="J187" s="65">
        <v>10037.4</v>
      </c>
      <c r="K187" s="65">
        <v>34356</v>
      </c>
      <c r="L187" s="65">
        <v>96314</v>
      </c>
      <c r="M187" s="65">
        <v>-5</v>
      </c>
      <c r="N187" s="65">
        <v>-1.4</v>
      </c>
      <c r="O187" s="35"/>
    </row>
    <row r="188" spans="1:15" s="36" customFormat="1" ht="12" x14ac:dyDescent="0.2">
      <c r="A188" s="33"/>
      <c r="B188" s="62">
        <v>36311</v>
      </c>
      <c r="C188" s="64">
        <v>-2.2000000000000002</v>
      </c>
      <c r="D188" s="64">
        <v>-3.42</v>
      </c>
      <c r="E188" s="64">
        <v>-3.27</v>
      </c>
      <c r="F188" s="64">
        <v>-3.7</v>
      </c>
      <c r="G188" s="64">
        <v>1.22</v>
      </c>
      <c r="H188" s="33"/>
      <c r="I188" s="62">
        <v>36038</v>
      </c>
      <c r="J188" s="64">
        <v>10129.07</v>
      </c>
      <c r="K188" s="64">
        <v>35050</v>
      </c>
      <c r="L188" s="64">
        <v>97299</v>
      </c>
      <c r="M188" s="64">
        <v>-4.0999999999999996</v>
      </c>
      <c r="N188" s="64">
        <v>-1.4</v>
      </c>
      <c r="O188" s="35"/>
    </row>
    <row r="189" spans="1:15" s="36" customFormat="1" ht="12" x14ac:dyDescent="0.2">
      <c r="A189" s="33"/>
      <c r="B189" s="63">
        <v>36341</v>
      </c>
      <c r="C189" s="65">
        <v>-2.1</v>
      </c>
      <c r="D189" s="65">
        <v>-3.6</v>
      </c>
      <c r="E189" s="65">
        <v>-3.01</v>
      </c>
      <c r="F189" s="65">
        <v>-4.67</v>
      </c>
      <c r="G189" s="65">
        <v>1.5</v>
      </c>
      <c r="H189" s="33"/>
      <c r="I189" s="63">
        <v>36068</v>
      </c>
      <c r="J189" s="65">
        <v>10528</v>
      </c>
      <c r="K189" s="65">
        <v>36501</v>
      </c>
      <c r="L189" s="65">
        <v>99795</v>
      </c>
      <c r="M189" s="65">
        <v>-2.8</v>
      </c>
      <c r="N189" s="65">
        <v>-1.5</v>
      </c>
      <c r="O189" s="35"/>
    </row>
    <row r="190" spans="1:15" s="36" customFormat="1" ht="12" x14ac:dyDescent="0.2">
      <c r="A190" s="33"/>
      <c r="B190" s="62">
        <v>36372</v>
      </c>
      <c r="C190" s="64">
        <v>-1.4</v>
      </c>
      <c r="D190" s="64">
        <v>-2.5099999999999998</v>
      </c>
      <c r="E190" s="64">
        <v>-1.98</v>
      </c>
      <c r="F190" s="64">
        <v>-3.45</v>
      </c>
      <c r="G190" s="64">
        <v>1.1100000000000001</v>
      </c>
      <c r="H190" s="33"/>
      <c r="I190" s="62">
        <v>36099</v>
      </c>
      <c r="J190" s="64">
        <v>10501</v>
      </c>
      <c r="K190" s="64">
        <v>36785</v>
      </c>
      <c r="L190" s="64">
        <v>100862.99999999999</v>
      </c>
      <c r="M190" s="64">
        <v>-2.8</v>
      </c>
      <c r="N190" s="64">
        <v>-1.1000000000000001</v>
      </c>
      <c r="O190" s="35"/>
    </row>
    <row r="191" spans="1:15" s="36" customFormat="1" ht="12" x14ac:dyDescent="0.2">
      <c r="A191" s="33"/>
      <c r="B191" s="63">
        <v>36403</v>
      </c>
      <c r="C191" s="65">
        <v>-1.3</v>
      </c>
      <c r="D191" s="65">
        <v>-2.2999999999999998</v>
      </c>
      <c r="E191" s="65">
        <v>-1.42</v>
      </c>
      <c r="F191" s="65">
        <v>-3.91</v>
      </c>
      <c r="G191" s="65">
        <v>1</v>
      </c>
      <c r="H191" s="33"/>
      <c r="I191" s="63">
        <v>36129</v>
      </c>
      <c r="J191" s="65">
        <v>10671</v>
      </c>
      <c r="K191" s="65">
        <v>37414</v>
      </c>
      <c r="L191" s="65">
        <v>102229.00000000001</v>
      </c>
      <c r="M191" s="65">
        <v>-3</v>
      </c>
      <c r="N191" s="65">
        <v>-1.2</v>
      </c>
      <c r="O191" s="35"/>
    </row>
    <row r="192" spans="1:15" s="36" customFormat="1" ht="12" x14ac:dyDescent="0.2">
      <c r="A192" s="33"/>
      <c r="B192" s="62">
        <v>36433</v>
      </c>
      <c r="C192" s="64">
        <v>-0.8</v>
      </c>
      <c r="D192" s="64">
        <v>-2.1</v>
      </c>
      <c r="E192" s="64">
        <v>-0.99</v>
      </c>
      <c r="F192" s="64">
        <v>-4.1100000000000003</v>
      </c>
      <c r="G192" s="64">
        <v>1.3</v>
      </c>
      <c r="H192" s="33"/>
      <c r="I192" s="62">
        <v>36160</v>
      </c>
      <c r="J192" s="64">
        <v>11204.2</v>
      </c>
      <c r="K192" s="64">
        <v>38953.699999999997</v>
      </c>
      <c r="L192" s="64">
        <v>104498.5</v>
      </c>
      <c r="M192" s="64">
        <v>-3.4</v>
      </c>
      <c r="N192" s="64">
        <v>-1</v>
      </c>
      <c r="O192" s="35"/>
    </row>
    <row r="193" spans="1:15" s="36" customFormat="1" ht="12" x14ac:dyDescent="0.2">
      <c r="A193" s="33"/>
      <c r="B193" s="63">
        <v>36464</v>
      </c>
      <c r="C193" s="65">
        <v>-0.6</v>
      </c>
      <c r="D193" s="65">
        <v>-0.74</v>
      </c>
      <c r="E193" s="65">
        <v>0.54</v>
      </c>
      <c r="F193" s="65">
        <v>-3.07</v>
      </c>
      <c r="G193" s="65">
        <v>0.14000000000000001</v>
      </c>
      <c r="H193" s="33"/>
      <c r="I193" s="63">
        <v>36191</v>
      </c>
      <c r="J193" s="65">
        <v>11997</v>
      </c>
      <c r="K193" s="65">
        <v>39011</v>
      </c>
      <c r="L193" s="65">
        <v>105500</v>
      </c>
      <c r="M193" s="65">
        <v>-4.8</v>
      </c>
      <c r="N193" s="65">
        <v>-1.2</v>
      </c>
      <c r="O193" s="35"/>
    </row>
    <row r="194" spans="1:15" s="36" customFormat="1" ht="12" x14ac:dyDescent="0.2">
      <c r="A194" s="33"/>
      <c r="B194" s="62">
        <v>36494</v>
      </c>
      <c r="C194" s="64">
        <v>-0.9</v>
      </c>
      <c r="D194" s="64">
        <v>-1.04</v>
      </c>
      <c r="E194" s="64">
        <v>0.66</v>
      </c>
      <c r="F194" s="64">
        <v>-4.0999999999999996</v>
      </c>
      <c r="G194" s="64">
        <v>0.14000000000000001</v>
      </c>
      <c r="H194" s="33"/>
      <c r="I194" s="62">
        <v>36219</v>
      </c>
      <c r="J194" s="64">
        <v>12784</v>
      </c>
      <c r="K194" s="64">
        <v>38749</v>
      </c>
      <c r="L194" s="64">
        <v>107778</v>
      </c>
      <c r="M194" s="64">
        <v>-2</v>
      </c>
      <c r="N194" s="64">
        <v>-1.3</v>
      </c>
      <c r="O194" s="35"/>
    </row>
    <row r="195" spans="1:15" s="36" customFormat="1" ht="12" x14ac:dyDescent="0.2">
      <c r="A195" s="33"/>
      <c r="B195" s="63">
        <v>36525</v>
      </c>
      <c r="C195" s="65">
        <v>-1</v>
      </c>
      <c r="D195" s="65">
        <v>-0.83</v>
      </c>
      <c r="E195" s="65">
        <v>0.98</v>
      </c>
      <c r="F195" s="65">
        <v>-4.12</v>
      </c>
      <c r="G195" s="65">
        <v>-0.17</v>
      </c>
      <c r="H195" s="33"/>
      <c r="I195" s="63">
        <v>36250</v>
      </c>
      <c r="J195" s="65">
        <v>11342</v>
      </c>
      <c r="K195" s="65">
        <v>38054</v>
      </c>
      <c r="L195" s="65">
        <v>108438</v>
      </c>
      <c r="M195" s="65">
        <v>-2.9</v>
      </c>
      <c r="N195" s="65">
        <v>-1.8</v>
      </c>
      <c r="O195" s="35"/>
    </row>
    <row r="196" spans="1:15" s="36" customFormat="1" ht="12" x14ac:dyDescent="0.2">
      <c r="A196" s="33"/>
      <c r="B196" s="62">
        <v>36556</v>
      </c>
      <c r="C196" s="64">
        <v>-0.2</v>
      </c>
      <c r="D196" s="64">
        <v>0.03</v>
      </c>
      <c r="E196" s="64">
        <v>1.96</v>
      </c>
      <c r="F196" s="64">
        <v>-3.46</v>
      </c>
      <c r="G196" s="64">
        <v>-0.23</v>
      </c>
      <c r="H196" s="33"/>
      <c r="I196" s="62">
        <v>36280</v>
      </c>
      <c r="J196" s="64">
        <v>11225</v>
      </c>
      <c r="K196" s="64">
        <v>38053</v>
      </c>
      <c r="L196" s="64">
        <v>109218.00000000001</v>
      </c>
      <c r="M196" s="64">
        <v>-3.8</v>
      </c>
      <c r="N196" s="64">
        <v>-2.2000000000000002</v>
      </c>
      <c r="O196" s="35"/>
    </row>
    <row r="197" spans="1:15" s="36" customFormat="1" ht="12" x14ac:dyDescent="0.2">
      <c r="A197" s="33"/>
      <c r="B197" s="63">
        <v>36585</v>
      </c>
      <c r="C197" s="65">
        <v>0.7</v>
      </c>
      <c r="D197" s="65">
        <v>1.2</v>
      </c>
      <c r="E197" s="65">
        <v>3.06</v>
      </c>
      <c r="F197" s="65">
        <v>-2.65</v>
      </c>
      <c r="G197" s="65">
        <v>-0.5</v>
      </c>
      <c r="H197" s="33"/>
      <c r="I197" s="63">
        <v>36311</v>
      </c>
      <c r="J197" s="65">
        <v>10889</v>
      </c>
      <c r="K197" s="65">
        <v>38004</v>
      </c>
      <c r="L197" s="65">
        <v>110061</v>
      </c>
      <c r="M197" s="65">
        <v>-3.9</v>
      </c>
      <c r="N197" s="65">
        <v>-2.2000000000000002</v>
      </c>
      <c r="O197" s="35"/>
    </row>
    <row r="198" spans="1:15" s="36" customFormat="1" ht="12" x14ac:dyDescent="0.2">
      <c r="A198" s="33"/>
      <c r="B198" s="62">
        <v>36616</v>
      </c>
      <c r="C198" s="64">
        <v>-0.2</v>
      </c>
      <c r="D198" s="64">
        <v>1.87</v>
      </c>
      <c r="E198" s="64">
        <v>4.42</v>
      </c>
      <c r="F198" s="64">
        <v>-2.76</v>
      </c>
      <c r="G198" s="64">
        <v>-2.0699999999999998</v>
      </c>
      <c r="H198" s="33"/>
      <c r="I198" s="62">
        <v>36341</v>
      </c>
      <c r="J198" s="64">
        <v>10881</v>
      </c>
      <c r="K198" s="64">
        <v>38822</v>
      </c>
      <c r="L198" s="64">
        <v>111363</v>
      </c>
      <c r="M198" s="64">
        <v>-2.8</v>
      </c>
      <c r="N198" s="64">
        <v>-2.1</v>
      </c>
      <c r="O198" s="35"/>
    </row>
    <row r="199" spans="1:15" s="36" customFormat="1" ht="12" x14ac:dyDescent="0.2">
      <c r="A199" s="33"/>
      <c r="B199" s="63">
        <v>36646</v>
      </c>
      <c r="C199" s="65">
        <v>-0.3</v>
      </c>
      <c r="D199" s="65">
        <v>2.59</v>
      </c>
      <c r="E199" s="65">
        <v>5.32</v>
      </c>
      <c r="F199" s="65">
        <v>-2.38</v>
      </c>
      <c r="G199" s="65">
        <v>-2.89</v>
      </c>
      <c r="H199" s="33"/>
      <c r="I199" s="63">
        <v>36372</v>
      </c>
      <c r="J199" s="65">
        <v>11199</v>
      </c>
      <c r="K199" s="65">
        <v>38991</v>
      </c>
      <c r="L199" s="65">
        <v>111400</v>
      </c>
      <c r="M199" s="65">
        <v>-2.2000000000000002</v>
      </c>
      <c r="N199" s="65">
        <v>-1.4</v>
      </c>
      <c r="O199" s="35"/>
    </row>
    <row r="200" spans="1:15" s="36" customFormat="1" ht="12" x14ac:dyDescent="0.2">
      <c r="A200" s="33"/>
      <c r="B200" s="62">
        <v>36677</v>
      </c>
      <c r="C200" s="64">
        <v>0.1</v>
      </c>
      <c r="D200" s="64">
        <v>0.67</v>
      </c>
      <c r="E200" s="64">
        <v>0.9</v>
      </c>
      <c r="F200" s="64">
        <v>0.25</v>
      </c>
      <c r="G200" s="64">
        <v>-0.56999999999999995</v>
      </c>
      <c r="H200" s="33"/>
      <c r="I200" s="62">
        <v>36403</v>
      </c>
      <c r="J200" s="64">
        <v>11395</v>
      </c>
      <c r="K200" s="64">
        <v>40095</v>
      </c>
      <c r="L200" s="64">
        <v>112827</v>
      </c>
      <c r="M200" s="64">
        <v>-1.6</v>
      </c>
      <c r="N200" s="64">
        <v>-1.3</v>
      </c>
      <c r="O200" s="35"/>
    </row>
    <row r="201" spans="1:15" s="36" customFormat="1" ht="12" x14ac:dyDescent="0.2">
      <c r="A201" s="33"/>
      <c r="B201" s="63">
        <v>36707</v>
      </c>
      <c r="C201" s="65">
        <v>0.5</v>
      </c>
      <c r="D201" s="65">
        <v>2.95</v>
      </c>
      <c r="E201" s="65">
        <v>5.47</v>
      </c>
      <c r="F201" s="65">
        <v>-1.59</v>
      </c>
      <c r="G201" s="65">
        <v>-2.4500000000000002</v>
      </c>
      <c r="H201" s="33"/>
      <c r="I201" s="63">
        <v>36433</v>
      </c>
      <c r="J201" s="65">
        <v>12255</v>
      </c>
      <c r="K201" s="65">
        <v>41914</v>
      </c>
      <c r="L201" s="65">
        <v>115079.00000000001</v>
      </c>
      <c r="M201" s="65">
        <v>-0.5</v>
      </c>
      <c r="N201" s="65">
        <v>-0.8</v>
      </c>
      <c r="O201" s="35"/>
    </row>
    <row r="202" spans="1:15" s="36" customFormat="1" ht="12" x14ac:dyDescent="0.2">
      <c r="A202" s="33"/>
      <c r="B202" s="62">
        <v>36738</v>
      </c>
      <c r="C202" s="64">
        <v>0.5</v>
      </c>
      <c r="D202" s="64">
        <v>4.5</v>
      </c>
      <c r="E202" s="64">
        <v>7.15</v>
      </c>
      <c r="F202" s="64">
        <v>-0.27</v>
      </c>
      <c r="G202" s="64">
        <v>-4</v>
      </c>
      <c r="H202" s="33"/>
      <c r="I202" s="62">
        <v>36464</v>
      </c>
      <c r="J202" s="64">
        <v>12153.999999999998</v>
      </c>
      <c r="K202" s="64">
        <v>42265</v>
      </c>
      <c r="L202" s="64">
        <v>115390</v>
      </c>
      <c r="M202" s="64">
        <v>0.6</v>
      </c>
      <c r="N202" s="64">
        <v>-0.6</v>
      </c>
      <c r="O202" s="35"/>
    </row>
    <row r="203" spans="1:15" s="36" customFormat="1" ht="12" x14ac:dyDescent="0.2">
      <c r="A203" s="33"/>
      <c r="B203" s="63">
        <v>36769</v>
      </c>
      <c r="C203" s="65">
        <v>0.3</v>
      </c>
      <c r="D203" s="65">
        <v>3.92</v>
      </c>
      <c r="E203" s="65">
        <v>6.3</v>
      </c>
      <c r="F203" s="65">
        <v>-2.0499999999999998</v>
      </c>
      <c r="G203" s="65">
        <v>-3.62</v>
      </c>
      <c r="H203" s="33"/>
      <c r="I203" s="63">
        <v>36494</v>
      </c>
      <c r="J203" s="65">
        <v>12483</v>
      </c>
      <c r="K203" s="65">
        <v>43370</v>
      </c>
      <c r="L203" s="65">
        <v>116559</v>
      </c>
      <c r="M203" s="65">
        <v>1.9</v>
      </c>
      <c r="N203" s="65">
        <v>-0.9</v>
      </c>
      <c r="O203" s="35"/>
    </row>
    <row r="204" spans="1:15" s="36" customFormat="1" ht="12" x14ac:dyDescent="0.2">
      <c r="A204" s="33"/>
      <c r="B204" s="62">
        <v>36799</v>
      </c>
      <c r="C204" s="64">
        <v>0</v>
      </c>
      <c r="D204" s="64">
        <v>3.7</v>
      </c>
      <c r="E204" s="64">
        <v>6.36</v>
      </c>
      <c r="F204" s="64">
        <v>-2.75</v>
      </c>
      <c r="G204" s="64">
        <v>-3.7</v>
      </c>
      <c r="H204" s="33"/>
      <c r="I204" s="62">
        <v>36525</v>
      </c>
      <c r="J204" s="64">
        <v>13456.000000000002</v>
      </c>
      <c r="K204" s="64">
        <v>45837</v>
      </c>
      <c r="L204" s="64">
        <v>119898</v>
      </c>
      <c r="M204" s="64">
        <v>3</v>
      </c>
      <c r="N204" s="64">
        <v>-1</v>
      </c>
      <c r="O204" s="35"/>
    </row>
    <row r="205" spans="1:15" s="36" customFormat="1" ht="12" x14ac:dyDescent="0.2">
      <c r="A205" s="33"/>
      <c r="B205" s="63">
        <v>36830</v>
      </c>
      <c r="C205" s="65">
        <v>0</v>
      </c>
      <c r="D205" s="65">
        <v>3.6</v>
      </c>
      <c r="E205" s="65">
        <v>6.12</v>
      </c>
      <c r="F205" s="65">
        <v>-2.46</v>
      </c>
      <c r="G205" s="65">
        <v>-3.6</v>
      </c>
      <c r="H205" s="33"/>
      <c r="I205" s="63">
        <v>36556</v>
      </c>
      <c r="J205" s="65">
        <v>16093.999999999998</v>
      </c>
      <c r="K205" s="65">
        <v>46570</v>
      </c>
      <c r="L205" s="65">
        <v>121220.40000000001</v>
      </c>
      <c r="M205" s="65">
        <v>5.07</v>
      </c>
      <c r="N205" s="65">
        <v>-0.2</v>
      </c>
      <c r="O205" s="35"/>
    </row>
    <row r="206" spans="1:15" s="36" customFormat="1" ht="12" x14ac:dyDescent="0.2">
      <c r="A206" s="33"/>
      <c r="B206" s="62">
        <v>36860</v>
      </c>
      <c r="C206" s="64">
        <v>1.3</v>
      </c>
      <c r="D206" s="64">
        <v>3.5</v>
      </c>
      <c r="E206" s="64">
        <v>5.8</v>
      </c>
      <c r="F206" s="64">
        <v>-2.1</v>
      </c>
      <c r="G206" s="64">
        <v>-2.2000000000000002</v>
      </c>
      <c r="H206" s="33"/>
      <c r="I206" s="62">
        <v>36585</v>
      </c>
      <c r="J206" s="64">
        <v>13982.999999999998</v>
      </c>
      <c r="K206" s="64">
        <v>44679</v>
      </c>
      <c r="L206" s="64">
        <v>121583.40000000001</v>
      </c>
      <c r="M206" s="64">
        <v>1.79</v>
      </c>
      <c r="N206" s="64">
        <v>0.7</v>
      </c>
      <c r="O206" s="35"/>
    </row>
    <row r="207" spans="1:15" s="36" customFormat="1" ht="12" x14ac:dyDescent="0.2">
      <c r="A207" s="33"/>
      <c r="B207" s="63">
        <v>36891</v>
      </c>
      <c r="C207" s="65">
        <v>1.5</v>
      </c>
      <c r="D207" s="65">
        <v>2.8</v>
      </c>
      <c r="E207" s="65">
        <v>4.5999999999999996</v>
      </c>
      <c r="F207" s="65">
        <v>-1.6</v>
      </c>
      <c r="G207" s="65">
        <v>-1.3</v>
      </c>
      <c r="H207" s="33"/>
      <c r="I207" s="63">
        <v>36616</v>
      </c>
      <c r="J207" s="65">
        <v>13235</v>
      </c>
      <c r="K207" s="65">
        <v>45158</v>
      </c>
      <c r="L207" s="65">
        <v>122606.81999999999</v>
      </c>
      <c r="M207" s="65">
        <v>5.32</v>
      </c>
      <c r="N207" s="65">
        <v>-0.2</v>
      </c>
      <c r="O207" s="35"/>
    </row>
    <row r="208" spans="1:15" s="36" customFormat="1" ht="12" x14ac:dyDescent="0.2">
      <c r="A208" s="33"/>
      <c r="B208" s="62">
        <v>36922</v>
      </c>
      <c r="C208" s="64">
        <v>1.2</v>
      </c>
      <c r="D208" s="64">
        <v>1.43</v>
      </c>
      <c r="E208" s="64">
        <v>2.71</v>
      </c>
      <c r="F208" s="64">
        <v>-1.64</v>
      </c>
      <c r="G208" s="64">
        <v>-0.23</v>
      </c>
      <c r="H208" s="33"/>
      <c r="I208" s="62">
        <v>36646</v>
      </c>
      <c r="J208" s="64">
        <v>13676</v>
      </c>
      <c r="K208" s="64">
        <v>46319</v>
      </c>
      <c r="L208" s="64">
        <v>124121.87</v>
      </c>
      <c r="M208" s="64">
        <v>7.24</v>
      </c>
      <c r="N208" s="64">
        <v>-0.3</v>
      </c>
      <c r="O208" s="35"/>
    </row>
    <row r="209" spans="1:15" s="36" customFormat="1" ht="12" x14ac:dyDescent="0.2">
      <c r="A209" s="33"/>
      <c r="B209" s="63">
        <v>36950</v>
      </c>
      <c r="C209" s="65">
        <v>0</v>
      </c>
      <c r="D209" s="65">
        <v>0.9</v>
      </c>
      <c r="E209" s="65">
        <v>1.8</v>
      </c>
      <c r="F209" s="65">
        <v>-1.4</v>
      </c>
      <c r="G209" s="65">
        <v>-0.9</v>
      </c>
      <c r="H209" s="33"/>
      <c r="I209" s="63">
        <v>36677</v>
      </c>
      <c r="J209" s="65">
        <v>13075.000000000002</v>
      </c>
      <c r="K209" s="65">
        <v>46490</v>
      </c>
      <c r="L209" s="65">
        <v>124053.25000000001</v>
      </c>
      <c r="M209" s="65">
        <v>8.2899999999999991</v>
      </c>
      <c r="N209" s="65">
        <v>0.1</v>
      </c>
      <c r="O209" s="35"/>
    </row>
    <row r="210" spans="1:15" s="36" customFormat="1" ht="12" x14ac:dyDescent="0.2">
      <c r="A210" s="33"/>
      <c r="B210" s="62">
        <v>36981</v>
      </c>
      <c r="C210" s="64">
        <v>0.8</v>
      </c>
      <c r="D210" s="64">
        <v>0.2</v>
      </c>
      <c r="E210" s="64">
        <v>1</v>
      </c>
      <c r="F210" s="64">
        <v>-1.7</v>
      </c>
      <c r="G210" s="64">
        <v>0.6</v>
      </c>
      <c r="H210" s="33"/>
      <c r="I210" s="62">
        <v>36707</v>
      </c>
      <c r="J210" s="64">
        <v>13005.999999999998</v>
      </c>
      <c r="K210" s="64">
        <v>48024</v>
      </c>
      <c r="L210" s="64">
        <v>126605.33</v>
      </c>
      <c r="M210" s="64">
        <v>9.31</v>
      </c>
      <c r="N210" s="64">
        <v>0.5</v>
      </c>
      <c r="O210" s="35"/>
    </row>
    <row r="211" spans="1:15" s="36" customFormat="1" ht="12" x14ac:dyDescent="0.2">
      <c r="A211" s="33"/>
      <c r="B211" s="63">
        <v>37011</v>
      </c>
      <c r="C211" s="65">
        <v>1.6</v>
      </c>
      <c r="D211" s="65">
        <v>-0.1</v>
      </c>
      <c r="E211" s="65">
        <v>0.4</v>
      </c>
      <c r="F211" s="65">
        <v>-1.2</v>
      </c>
      <c r="G211" s="65">
        <v>1.7</v>
      </c>
      <c r="H211" s="33"/>
      <c r="I211" s="63">
        <v>36738</v>
      </c>
      <c r="J211" s="65">
        <v>13156</v>
      </c>
      <c r="K211" s="65">
        <v>47803</v>
      </c>
      <c r="L211" s="65">
        <v>126323.92</v>
      </c>
      <c r="M211" s="65">
        <v>7.05</v>
      </c>
      <c r="N211" s="65">
        <v>0.5</v>
      </c>
      <c r="O211" s="35"/>
    </row>
    <row r="212" spans="1:15" s="36" customFormat="1" ht="12" x14ac:dyDescent="0.2">
      <c r="A212" s="33"/>
      <c r="B212" s="62">
        <v>37042</v>
      </c>
      <c r="C212" s="64">
        <v>1.7</v>
      </c>
      <c r="D212" s="64">
        <v>-0.2</v>
      </c>
      <c r="E212" s="64">
        <v>0.1</v>
      </c>
      <c r="F212" s="64">
        <v>-1.1000000000000001</v>
      </c>
      <c r="G212" s="64">
        <v>1.9</v>
      </c>
      <c r="H212" s="33"/>
      <c r="I212" s="62">
        <v>36769</v>
      </c>
      <c r="J212" s="64">
        <v>13379</v>
      </c>
      <c r="K212" s="64">
        <v>48885</v>
      </c>
      <c r="L212" s="64">
        <v>127790.29999999999</v>
      </c>
      <c r="M212" s="64">
        <v>7.08</v>
      </c>
      <c r="N212" s="64">
        <v>0.3</v>
      </c>
      <c r="O212" s="35"/>
    </row>
    <row r="213" spans="1:15" s="36" customFormat="1" ht="12" x14ac:dyDescent="0.2">
      <c r="A213" s="33"/>
      <c r="B213" s="63">
        <v>37072</v>
      </c>
      <c r="C213" s="65">
        <v>1.4</v>
      </c>
      <c r="D213" s="65">
        <v>-0.6</v>
      </c>
      <c r="E213" s="65">
        <v>-0.2</v>
      </c>
      <c r="F213" s="65">
        <v>-1.3</v>
      </c>
      <c r="G213" s="65">
        <v>2</v>
      </c>
      <c r="H213" s="33"/>
      <c r="I213" s="63">
        <v>36799</v>
      </c>
      <c r="J213" s="65">
        <v>13895.000000000002</v>
      </c>
      <c r="K213" s="65">
        <v>50617.000000000007</v>
      </c>
      <c r="L213" s="65">
        <v>130473.84</v>
      </c>
      <c r="M213" s="65">
        <v>5.53</v>
      </c>
      <c r="N213" s="65">
        <v>0</v>
      </c>
      <c r="O213" s="35"/>
    </row>
    <row r="214" spans="1:15" s="36" customFormat="1" ht="12" x14ac:dyDescent="0.2">
      <c r="A214" s="33"/>
      <c r="B214" s="62">
        <v>37103</v>
      </c>
      <c r="C214" s="64">
        <v>1.5</v>
      </c>
      <c r="D214" s="64">
        <v>-1.3</v>
      </c>
      <c r="E214" s="64">
        <v>-1.3</v>
      </c>
      <c r="F214" s="64">
        <v>-1.2</v>
      </c>
      <c r="G214" s="64">
        <v>2.8</v>
      </c>
      <c r="H214" s="33"/>
      <c r="I214" s="62">
        <v>36830</v>
      </c>
      <c r="J214" s="64">
        <v>13589</v>
      </c>
      <c r="K214" s="64">
        <v>49953</v>
      </c>
      <c r="L214" s="64">
        <v>129522.44</v>
      </c>
      <c r="M214" s="64">
        <v>4</v>
      </c>
      <c r="N214" s="64">
        <v>0</v>
      </c>
      <c r="O214" s="35"/>
    </row>
    <row r="215" spans="1:15" s="36" customFormat="1" ht="12" x14ac:dyDescent="0.2">
      <c r="A215" s="33"/>
      <c r="B215" s="63">
        <v>37134</v>
      </c>
      <c r="C215" s="65">
        <v>1</v>
      </c>
      <c r="D215" s="65">
        <v>-2</v>
      </c>
      <c r="E215" s="65">
        <v>-2.2000000000000002</v>
      </c>
      <c r="F215" s="65">
        <v>-1.6</v>
      </c>
      <c r="G215" s="65">
        <v>3</v>
      </c>
      <c r="H215" s="33"/>
      <c r="I215" s="63">
        <v>36860</v>
      </c>
      <c r="J215" s="65">
        <v>13878</v>
      </c>
      <c r="K215" s="65">
        <v>50787</v>
      </c>
      <c r="L215" s="65">
        <v>130994.07</v>
      </c>
      <c r="M215" s="65">
        <v>1.95</v>
      </c>
      <c r="N215" s="65">
        <v>1.3</v>
      </c>
      <c r="O215" s="35"/>
    </row>
    <row r="216" spans="1:15" s="36" customFormat="1" ht="12" x14ac:dyDescent="0.2">
      <c r="A216" s="33"/>
      <c r="B216" s="62">
        <v>37164</v>
      </c>
      <c r="C216" s="64">
        <v>-0.1</v>
      </c>
      <c r="D216" s="64">
        <v>-2.9</v>
      </c>
      <c r="E216" s="64">
        <v>-3.5</v>
      </c>
      <c r="F216" s="64">
        <v>-1.5</v>
      </c>
      <c r="G216" s="64">
        <v>2.8</v>
      </c>
      <c r="H216" s="33"/>
      <c r="I216" s="62">
        <v>36891</v>
      </c>
      <c r="J216" s="64">
        <v>14652.650000000001</v>
      </c>
      <c r="K216" s="64">
        <v>53147.15</v>
      </c>
      <c r="L216" s="64">
        <v>134610.26</v>
      </c>
      <c r="M216" s="64">
        <v>2.0099999999999998</v>
      </c>
      <c r="N216" s="64">
        <v>1.5</v>
      </c>
      <c r="O216" s="35"/>
    </row>
    <row r="217" spans="1:15" s="36" customFormat="1" ht="12" x14ac:dyDescent="0.2">
      <c r="A217" s="33"/>
      <c r="B217" s="63">
        <v>37195</v>
      </c>
      <c r="C217" s="65">
        <v>0.2</v>
      </c>
      <c r="D217" s="65">
        <v>-3.1</v>
      </c>
      <c r="E217" s="65">
        <v>-3.7</v>
      </c>
      <c r="F217" s="65">
        <v>-1.4</v>
      </c>
      <c r="G217" s="65">
        <v>3.3</v>
      </c>
      <c r="H217" s="33"/>
      <c r="I217" s="63">
        <v>36922</v>
      </c>
      <c r="J217" s="65">
        <v>17019</v>
      </c>
      <c r="K217" s="65">
        <v>54405.999999999993</v>
      </c>
      <c r="L217" s="65">
        <v>137543.62999999998</v>
      </c>
      <c r="M217" s="65">
        <v>1.64</v>
      </c>
      <c r="N217" s="65">
        <v>1.2</v>
      </c>
      <c r="O217" s="35"/>
    </row>
    <row r="218" spans="1:15" s="36" customFormat="1" ht="12" x14ac:dyDescent="0.2">
      <c r="A218" s="33"/>
      <c r="B218" s="62">
        <v>37225</v>
      </c>
      <c r="C218" s="64">
        <v>-0.3</v>
      </c>
      <c r="D218" s="64">
        <v>-3.7</v>
      </c>
      <c r="E218" s="64">
        <v>-4.5</v>
      </c>
      <c r="F218" s="64">
        <v>-1.8</v>
      </c>
      <c r="G218" s="64">
        <v>3.4</v>
      </c>
      <c r="H218" s="33"/>
      <c r="I218" s="62">
        <v>36950</v>
      </c>
      <c r="J218" s="64">
        <v>14910</v>
      </c>
      <c r="K218" s="64">
        <v>51998</v>
      </c>
      <c r="L218" s="64">
        <v>136210.17000000001</v>
      </c>
      <c r="M218" s="64">
        <v>1.2</v>
      </c>
      <c r="N218" s="64">
        <v>0</v>
      </c>
      <c r="O218" s="35"/>
    </row>
    <row r="219" spans="1:15" s="36" customFormat="1" ht="12" x14ac:dyDescent="0.2">
      <c r="A219" s="33"/>
      <c r="B219" s="63">
        <v>37256</v>
      </c>
      <c r="C219" s="65">
        <v>-0.3</v>
      </c>
      <c r="D219" s="65">
        <v>-4</v>
      </c>
      <c r="E219" s="65">
        <v>-4.8</v>
      </c>
      <c r="F219" s="65">
        <v>-2</v>
      </c>
      <c r="G219" s="65">
        <v>3.7</v>
      </c>
      <c r="H219" s="33"/>
      <c r="I219" s="63">
        <v>36981</v>
      </c>
      <c r="J219" s="65">
        <v>14362</v>
      </c>
      <c r="K219" s="65">
        <v>53033</v>
      </c>
      <c r="L219" s="65">
        <v>138744.46</v>
      </c>
      <c r="M219" s="65">
        <v>2.57</v>
      </c>
      <c r="N219" s="65">
        <v>0.8</v>
      </c>
      <c r="O219" s="35"/>
    </row>
    <row r="220" spans="1:15" s="36" customFormat="1" ht="12" x14ac:dyDescent="0.2">
      <c r="A220" s="33"/>
      <c r="B220" s="62">
        <v>37287</v>
      </c>
      <c r="C220" s="64">
        <v>-1</v>
      </c>
      <c r="D220" s="64">
        <v>-4.2</v>
      </c>
      <c r="E220" s="64">
        <v>-5</v>
      </c>
      <c r="F220" s="64">
        <v>-2.2999999999999998</v>
      </c>
      <c r="G220" s="64">
        <v>3.2</v>
      </c>
      <c r="H220" s="33"/>
      <c r="I220" s="62">
        <v>37011</v>
      </c>
      <c r="J220" s="64">
        <v>14623</v>
      </c>
      <c r="K220" s="64">
        <v>53261</v>
      </c>
      <c r="L220" s="64">
        <v>139949.85</v>
      </c>
      <c r="M220" s="64">
        <v>1.06</v>
      </c>
      <c r="N220" s="64">
        <v>1.6</v>
      </c>
      <c r="O220" s="35"/>
    </row>
    <row r="221" spans="1:15" s="36" customFormat="1" ht="12" x14ac:dyDescent="0.2">
      <c r="A221" s="33"/>
      <c r="B221" s="63">
        <v>37315</v>
      </c>
      <c r="C221" s="65">
        <v>0</v>
      </c>
      <c r="D221" s="65">
        <v>-4.2</v>
      </c>
      <c r="E221" s="65">
        <v>-4.7</v>
      </c>
      <c r="F221" s="65">
        <v>-2.9</v>
      </c>
      <c r="G221" s="65">
        <v>4.2</v>
      </c>
      <c r="H221" s="33"/>
      <c r="I221" s="63">
        <v>37042</v>
      </c>
      <c r="J221" s="65">
        <v>13942.000000000002</v>
      </c>
      <c r="K221" s="65">
        <v>53423</v>
      </c>
      <c r="L221" s="65">
        <v>139015.84</v>
      </c>
      <c r="M221" s="65">
        <v>0.42</v>
      </c>
      <c r="N221" s="65">
        <v>1.7</v>
      </c>
      <c r="O221" s="35"/>
    </row>
    <row r="222" spans="1:15" s="36" customFormat="1" ht="12" x14ac:dyDescent="0.2">
      <c r="A222" s="33"/>
      <c r="B222" s="62">
        <v>37346</v>
      </c>
      <c r="C222" s="64">
        <v>-0.8</v>
      </c>
      <c r="D222" s="64">
        <v>-4</v>
      </c>
      <c r="E222" s="64">
        <v>-4.5</v>
      </c>
      <c r="F222" s="64">
        <v>-2.7</v>
      </c>
      <c r="G222" s="64">
        <v>3.2</v>
      </c>
      <c r="H222" s="33"/>
      <c r="I222" s="62">
        <v>37072</v>
      </c>
      <c r="J222" s="64">
        <v>13943.44</v>
      </c>
      <c r="K222" s="64">
        <v>55187</v>
      </c>
      <c r="L222" s="64">
        <v>147809.67000000001</v>
      </c>
      <c r="M222" s="64">
        <v>0.6</v>
      </c>
      <c r="N222" s="64">
        <v>1.4</v>
      </c>
      <c r="O222" s="35"/>
    </row>
    <row r="223" spans="1:15" s="36" customFormat="1" ht="12" x14ac:dyDescent="0.2">
      <c r="A223" s="33"/>
      <c r="B223" s="63">
        <v>37376</v>
      </c>
      <c r="C223" s="65">
        <v>-1.3</v>
      </c>
      <c r="D223" s="65">
        <v>-3.06</v>
      </c>
      <c r="E223" s="65">
        <v>-3.38</v>
      </c>
      <c r="F223" s="65">
        <v>-2.29</v>
      </c>
      <c r="G223" s="65">
        <v>1.76</v>
      </c>
      <c r="H223" s="33"/>
      <c r="I223" s="63">
        <v>37103</v>
      </c>
      <c r="J223" s="65">
        <v>14071.999999999998</v>
      </c>
      <c r="K223" s="65">
        <v>53503</v>
      </c>
      <c r="L223" s="65">
        <v>149228.73000000001</v>
      </c>
      <c r="M223" s="65">
        <v>-1.6</v>
      </c>
      <c r="N223" s="65">
        <v>1.5</v>
      </c>
      <c r="O223" s="35"/>
    </row>
    <row r="224" spans="1:15" s="36" customFormat="1" ht="12" x14ac:dyDescent="0.2">
      <c r="A224" s="33"/>
      <c r="B224" s="62">
        <v>37407</v>
      </c>
      <c r="C224" s="64">
        <v>-1.1000000000000001</v>
      </c>
      <c r="D224" s="64">
        <v>-2.63</v>
      </c>
      <c r="E224" s="64">
        <v>-2.74</v>
      </c>
      <c r="F224" s="64">
        <v>-2.35</v>
      </c>
      <c r="G224" s="64">
        <v>1.53</v>
      </c>
      <c r="H224" s="33"/>
      <c r="I224" s="62">
        <v>37134</v>
      </c>
      <c r="J224" s="64">
        <v>14370.000000000002</v>
      </c>
      <c r="K224" s="64">
        <v>55809</v>
      </c>
      <c r="L224" s="64">
        <v>149941.76000000001</v>
      </c>
      <c r="M224" s="64">
        <v>0.6</v>
      </c>
      <c r="N224" s="64">
        <v>1</v>
      </c>
      <c r="O224" s="35"/>
    </row>
    <row r="225" spans="1:15" s="36" customFormat="1" ht="12" x14ac:dyDescent="0.2">
      <c r="A225" s="33"/>
      <c r="B225" s="63">
        <v>37437</v>
      </c>
      <c r="C225" s="65">
        <v>-0.8</v>
      </c>
      <c r="D225" s="65">
        <v>-2.5</v>
      </c>
      <c r="E225" s="65">
        <v>-2.6</v>
      </c>
      <c r="F225" s="65">
        <v>-2.2000000000000002</v>
      </c>
      <c r="G225" s="65">
        <v>1.7</v>
      </c>
      <c r="H225" s="33"/>
      <c r="I225" s="63">
        <v>37164</v>
      </c>
      <c r="J225" s="65">
        <v>15065.000000000002</v>
      </c>
      <c r="K225" s="65">
        <v>56823.000000000007</v>
      </c>
      <c r="L225" s="65">
        <v>151642.63999999998</v>
      </c>
      <c r="M225" s="65">
        <v>-1.3</v>
      </c>
      <c r="N225" s="65">
        <v>-0.1</v>
      </c>
      <c r="O225" s="35"/>
    </row>
    <row r="226" spans="1:15" s="36" customFormat="1" ht="12" x14ac:dyDescent="0.2">
      <c r="A226" s="33"/>
      <c r="B226" s="62">
        <v>37468</v>
      </c>
      <c r="C226" s="64">
        <v>-0.9</v>
      </c>
      <c r="D226" s="64">
        <v>-2.2999999999999998</v>
      </c>
      <c r="E226" s="64">
        <v>-2.6</v>
      </c>
      <c r="F226" s="64">
        <v>-1.8</v>
      </c>
      <c r="G226" s="64">
        <v>1.4</v>
      </c>
      <c r="H226" s="33"/>
      <c r="I226" s="62">
        <v>37195</v>
      </c>
      <c r="J226" s="64">
        <v>14485.000000000002</v>
      </c>
      <c r="K226" s="64">
        <v>56115</v>
      </c>
      <c r="L226" s="64">
        <v>151497.25</v>
      </c>
      <c r="M226" s="64">
        <v>-0.6</v>
      </c>
      <c r="N226" s="64">
        <v>0.2</v>
      </c>
      <c r="O226" s="35"/>
    </row>
    <row r="227" spans="1:15" s="36" customFormat="1" ht="12" x14ac:dyDescent="0.2">
      <c r="A227" s="33"/>
      <c r="B227" s="63">
        <v>37499</v>
      </c>
      <c r="C227" s="65">
        <v>-0.7</v>
      </c>
      <c r="D227" s="65">
        <v>-1.7</v>
      </c>
      <c r="E227" s="65">
        <v>-1.7</v>
      </c>
      <c r="F227" s="65">
        <v>-1.8</v>
      </c>
      <c r="G227" s="65">
        <v>1</v>
      </c>
      <c r="H227" s="33"/>
      <c r="I227" s="63">
        <v>37225</v>
      </c>
      <c r="J227" s="65">
        <v>14780</v>
      </c>
      <c r="K227" s="65">
        <v>56579.999999999993</v>
      </c>
      <c r="L227" s="65">
        <v>154088.33000000002</v>
      </c>
      <c r="M227" s="65">
        <v>-1.8</v>
      </c>
      <c r="N227" s="65">
        <v>-0.3</v>
      </c>
      <c r="O227" s="35"/>
    </row>
    <row r="228" spans="1:15" s="36" customFormat="1" ht="12" x14ac:dyDescent="0.2">
      <c r="A228" s="33"/>
      <c r="B228" s="62">
        <v>37529</v>
      </c>
      <c r="C228" s="64">
        <v>-0.7</v>
      </c>
      <c r="D228" s="64">
        <v>-1.4</v>
      </c>
      <c r="E228" s="64">
        <v>-1.2</v>
      </c>
      <c r="F228" s="64">
        <v>-1.8</v>
      </c>
      <c r="G228" s="64">
        <v>0.7</v>
      </c>
      <c r="H228" s="33"/>
      <c r="I228" s="62">
        <v>37256</v>
      </c>
      <c r="J228" s="64">
        <v>15688.800000000001</v>
      </c>
      <c r="K228" s="64">
        <v>59871.590000000004</v>
      </c>
      <c r="L228" s="64">
        <v>158301.92000000001</v>
      </c>
      <c r="M228" s="64">
        <v>-1.7</v>
      </c>
      <c r="N228" s="64">
        <v>-0.3</v>
      </c>
      <c r="O228" s="35"/>
    </row>
    <row r="229" spans="1:15" s="36" customFormat="1" ht="12" x14ac:dyDescent="0.2">
      <c r="A229" s="33"/>
      <c r="B229" s="63">
        <v>37560</v>
      </c>
      <c r="C229" s="65">
        <v>-0.8</v>
      </c>
      <c r="D229" s="65">
        <v>-1</v>
      </c>
      <c r="E229" s="65">
        <v>-0.6</v>
      </c>
      <c r="F229" s="65">
        <v>-1.9</v>
      </c>
      <c r="G229" s="65">
        <v>0.2</v>
      </c>
      <c r="H229" s="33"/>
      <c r="I229" s="63">
        <v>37287</v>
      </c>
      <c r="J229" s="65">
        <v>16725.89</v>
      </c>
      <c r="K229" s="65">
        <v>60576.06</v>
      </c>
      <c r="L229" s="65">
        <v>159639.26999999999</v>
      </c>
      <c r="M229" s="65">
        <v>-3.6</v>
      </c>
      <c r="N229" s="65">
        <v>-1</v>
      </c>
      <c r="O229" s="35"/>
    </row>
    <row r="230" spans="1:15" s="36" customFormat="1" ht="12" x14ac:dyDescent="0.2">
      <c r="A230" s="33"/>
      <c r="B230" s="62">
        <v>37590</v>
      </c>
      <c r="C230" s="64">
        <v>-0.7</v>
      </c>
      <c r="D230" s="64">
        <v>-0.4</v>
      </c>
      <c r="E230" s="64">
        <v>0.2</v>
      </c>
      <c r="F230" s="64">
        <v>-2</v>
      </c>
      <c r="G230" s="64">
        <v>-0.3</v>
      </c>
      <c r="H230" s="33"/>
      <c r="I230" s="62">
        <v>37315</v>
      </c>
      <c r="J230" s="64">
        <v>16641.55</v>
      </c>
      <c r="K230" s="64">
        <v>58702.87</v>
      </c>
      <c r="L230" s="64">
        <v>160935.59</v>
      </c>
      <c r="M230" s="64">
        <v>-2.1</v>
      </c>
      <c r="N230" s="64">
        <v>0</v>
      </c>
      <c r="O230" s="35"/>
    </row>
    <row r="231" spans="1:15" s="36" customFormat="1" ht="12" x14ac:dyDescent="0.2">
      <c r="A231" s="33"/>
      <c r="B231" s="63">
        <v>37621</v>
      </c>
      <c r="C231" s="65">
        <v>-0.4</v>
      </c>
      <c r="D231" s="65">
        <v>0.4</v>
      </c>
      <c r="E231" s="65">
        <v>1.3</v>
      </c>
      <c r="F231" s="65">
        <v>-1.7</v>
      </c>
      <c r="G231" s="65">
        <v>-0.8</v>
      </c>
      <c r="H231" s="33"/>
      <c r="I231" s="63">
        <v>37346</v>
      </c>
      <c r="J231" s="65">
        <v>15544.63</v>
      </c>
      <c r="K231" s="65">
        <v>59474.83</v>
      </c>
      <c r="L231" s="65">
        <v>164064.57</v>
      </c>
      <c r="M231" s="65">
        <v>-4.3</v>
      </c>
      <c r="N231" s="65">
        <v>-0.8</v>
      </c>
      <c r="O231" s="35"/>
    </row>
    <row r="232" spans="1:15" s="36" customFormat="1" ht="12" x14ac:dyDescent="0.2">
      <c r="A232" s="33"/>
      <c r="B232" s="62">
        <v>37652</v>
      </c>
      <c r="C232" s="64">
        <v>0.4</v>
      </c>
      <c r="D232" s="64">
        <v>2.4</v>
      </c>
      <c r="E232" s="64">
        <v>3.8</v>
      </c>
      <c r="F232" s="64">
        <v>-1.6</v>
      </c>
      <c r="G232" s="64">
        <v>-2</v>
      </c>
      <c r="H232" s="33"/>
      <c r="I232" s="62">
        <v>37376</v>
      </c>
      <c r="J232" s="64">
        <v>15864.18</v>
      </c>
      <c r="K232" s="64">
        <v>60461.310000000005</v>
      </c>
      <c r="L232" s="64">
        <v>164570.56</v>
      </c>
      <c r="M232" s="64">
        <v>-2.6</v>
      </c>
      <c r="N232" s="64">
        <v>-1.3</v>
      </c>
      <c r="O232" s="35"/>
    </row>
    <row r="233" spans="1:15" s="36" customFormat="1" ht="12" x14ac:dyDescent="0.2">
      <c r="A233" s="33"/>
      <c r="B233" s="63">
        <v>37680</v>
      </c>
      <c r="C233" s="65">
        <v>0.2</v>
      </c>
      <c r="D233" s="65">
        <v>4</v>
      </c>
      <c r="E233" s="65">
        <v>5.9</v>
      </c>
      <c r="F233" s="65">
        <v>-1.3</v>
      </c>
      <c r="G233" s="65">
        <v>-3.8</v>
      </c>
      <c r="H233" s="33"/>
      <c r="I233" s="63">
        <v>37407</v>
      </c>
      <c r="J233" s="65">
        <v>15243.07</v>
      </c>
      <c r="K233" s="65">
        <v>61246.86</v>
      </c>
      <c r="L233" s="65">
        <v>166023</v>
      </c>
      <c r="M233" s="65">
        <v>0.6</v>
      </c>
      <c r="N233" s="65">
        <v>-1.1000000000000001</v>
      </c>
      <c r="O233" s="35"/>
    </row>
    <row r="234" spans="1:15" s="36" customFormat="1" ht="12" x14ac:dyDescent="0.2">
      <c r="A234" s="33"/>
      <c r="B234" s="62">
        <v>37711</v>
      </c>
      <c r="C234" s="64">
        <v>0.9</v>
      </c>
      <c r="D234" s="64">
        <v>4.5999999999999996</v>
      </c>
      <c r="E234" s="64">
        <v>6.7</v>
      </c>
      <c r="F234" s="64">
        <v>-1.2</v>
      </c>
      <c r="G234" s="64">
        <v>-3.7</v>
      </c>
      <c r="H234" s="33"/>
      <c r="I234" s="62">
        <v>37437</v>
      </c>
      <c r="J234" s="64">
        <v>15097.35</v>
      </c>
      <c r="K234" s="64">
        <v>63144.000000000007</v>
      </c>
      <c r="L234" s="64">
        <v>169601.24</v>
      </c>
      <c r="M234" s="64">
        <v>-1.9</v>
      </c>
      <c r="N234" s="64">
        <v>-0.8</v>
      </c>
      <c r="O234" s="35"/>
    </row>
    <row r="235" spans="1:15" s="36" customFormat="1" ht="12" x14ac:dyDescent="0.2">
      <c r="A235" s="33"/>
      <c r="B235" s="63">
        <v>37741</v>
      </c>
      <c r="C235" s="65">
        <v>1</v>
      </c>
      <c r="D235" s="65">
        <v>3.6</v>
      </c>
      <c r="E235" s="65">
        <v>5.3</v>
      </c>
      <c r="F235" s="65">
        <v>-1.2</v>
      </c>
      <c r="G235" s="65">
        <v>-2.6</v>
      </c>
      <c r="H235" s="33"/>
      <c r="I235" s="63">
        <v>37468</v>
      </c>
      <c r="J235" s="65">
        <v>15357.66</v>
      </c>
      <c r="K235" s="65">
        <v>63487.779999999992</v>
      </c>
      <c r="L235" s="65">
        <v>170851.13999999998</v>
      </c>
      <c r="M235" s="65">
        <v>2.6</v>
      </c>
      <c r="N235" s="65">
        <v>-0.9</v>
      </c>
      <c r="O235" s="35"/>
    </row>
    <row r="236" spans="1:15" s="36" customFormat="1" ht="12" x14ac:dyDescent="0.2">
      <c r="A236" s="33"/>
      <c r="B236" s="62">
        <v>37772</v>
      </c>
      <c r="C236" s="64">
        <v>0.7</v>
      </c>
      <c r="D236" s="64">
        <v>2</v>
      </c>
      <c r="E236" s="64">
        <v>3.2</v>
      </c>
      <c r="F236" s="64">
        <v>-1.3</v>
      </c>
      <c r="G236" s="64">
        <v>-1.3</v>
      </c>
      <c r="H236" s="33"/>
      <c r="I236" s="62">
        <v>37499</v>
      </c>
      <c r="J236" s="64">
        <v>15712.61</v>
      </c>
      <c r="K236" s="64">
        <v>64868.83</v>
      </c>
      <c r="L236" s="64">
        <v>173250.92</v>
      </c>
      <c r="M236" s="64">
        <v>-0.9</v>
      </c>
      <c r="N236" s="64">
        <v>-0.7</v>
      </c>
      <c r="O236" s="35"/>
    </row>
    <row r="237" spans="1:15" s="36" customFormat="1" ht="12" x14ac:dyDescent="0.2">
      <c r="A237" s="33"/>
      <c r="B237" s="63">
        <v>37802</v>
      </c>
      <c r="C237" s="65">
        <v>0.3</v>
      </c>
      <c r="D237" s="65">
        <v>1.3</v>
      </c>
      <c r="E237" s="65">
        <v>2.2999999999999998</v>
      </c>
      <c r="F237" s="65">
        <v>-1.2</v>
      </c>
      <c r="G237" s="65">
        <v>-1</v>
      </c>
      <c r="H237" s="33"/>
      <c r="I237" s="63">
        <v>37529</v>
      </c>
      <c r="J237" s="65">
        <v>16233.58</v>
      </c>
      <c r="K237" s="65">
        <v>66799.760000000009</v>
      </c>
      <c r="L237" s="65">
        <v>176985.21</v>
      </c>
      <c r="M237" s="65">
        <v>-0.6</v>
      </c>
      <c r="N237" s="65">
        <v>-0.7</v>
      </c>
      <c r="O237" s="35"/>
    </row>
    <row r="238" spans="1:15" s="36" customFormat="1" ht="12" x14ac:dyDescent="0.2">
      <c r="A238" s="33"/>
      <c r="B238" s="62">
        <v>37833</v>
      </c>
      <c r="C238" s="64">
        <v>0.5</v>
      </c>
      <c r="D238" s="64">
        <v>1.4</v>
      </c>
      <c r="E238" s="64">
        <v>2.4</v>
      </c>
      <c r="F238" s="64">
        <v>-1.3</v>
      </c>
      <c r="G238" s="64">
        <v>-0.9</v>
      </c>
      <c r="H238" s="33"/>
      <c r="I238" s="62">
        <v>37560</v>
      </c>
      <c r="J238" s="64">
        <v>16014.660000000002</v>
      </c>
      <c r="K238" s="64">
        <v>67100.25</v>
      </c>
      <c r="L238" s="64">
        <v>177294.15</v>
      </c>
      <c r="M238" s="64">
        <v>0.9</v>
      </c>
      <c r="N238" s="64">
        <v>-0.8</v>
      </c>
      <c r="O238" s="35"/>
    </row>
    <row r="239" spans="1:15" s="36" customFormat="1" ht="12" x14ac:dyDescent="0.2">
      <c r="A239" s="33"/>
      <c r="B239" s="63">
        <v>37864</v>
      </c>
      <c r="C239" s="65">
        <v>0.9</v>
      </c>
      <c r="D239" s="65">
        <v>1.4</v>
      </c>
      <c r="E239" s="65">
        <v>2.4</v>
      </c>
      <c r="F239" s="65">
        <v>-1.4</v>
      </c>
      <c r="G239" s="65">
        <v>-0.5</v>
      </c>
      <c r="H239" s="33"/>
      <c r="I239" s="63">
        <v>37590</v>
      </c>
      <c r="J239" s="65">
        <v>16346.390000000001</v>
      </c>
      <c r="K239" s="65">
        <v>67992.78</v>
      </c>
      <c r="L239" s="65">
        <v>179736.25999999998</v>
      </c>
      <c r="M239" s="65">
        <v>1.9</v>
      </c>
      <c r="N239" s="65">
        <v>-0.7</v>
      </c>
      <c r="O239" s="35"/>
    </row>
    <row r="240" spans="1:15" s="36" customFormat="1" ht="12" x14ac:dyDescent="0.2">
      <c r="A240" s="33"/>
      <c r="B240" s="62">
        <v>37894</v>
      </c>
      <c r="C240" s="64">
        <v>1.1000000000000001</v>
      </c>
      <c r="D240" s="64">
        <v>1.4</v>
      </c>
      <c r="E240" s="64">
        <v>2.4</v>
      </c>
      <c r="F240" s="64">
        <v>-1.3</v>
      </c>
      <c r="G240" s="64">
        <v>-0.3</v>
      </c>
      <c r="H240" s="33"/>
      <c r="I240" s="62">
        <v>37621</v>
      </c>
      <c r="J240" s="64">
        <v>17278.030000000002</v>
      </c>
      <c r="K240" s="64">
        <v>70881.790000000008</v>
      </c>
      <c r="L240" s="64">
        <v>185006.97</v>
      </c>
      <c r="M240" s="64">
        <v>0.04</v>
      </c>
      <c r="N240" s="64">
        <v>-0.4</v>
      </c>
      <c r="O240" s="35"/>
    </row>
    <row r="241" spans="1:15" s="36" customFormat="1" ht="12" x14ac:dyDescent="0.2">
      <c r="A241" s="33"/>
      <c r="B241" s="63">
        <v>37925</v>
      </c>
      <c r="C241" s="65">
        <v>1.8</v>
      </c>
      <c r="D241" s="65">
        <v>1.2</v>
      </c>
      <c r="E241" s="65">
        <v>2.1</v>
      </c>
      <c r="F241" s="65">
        <v>-1.1000000000000001</v>
      </c>
      <c r="G241" s="65">
        <v>0.6</v>
      </c>
      <c r="H241" s="33"/>
      <c r="I241" s="63">
        <v>37652</v>
      </c>
      <c r="J241" s="65">
        <v>21244.73</v>
      </c>
      <c r="K241" s="65">
        <v>72405.66</v>
      </c>
      <c r="L241" s="65">
        <v>190545.05</v>
      </c>
      <c r="M241" s="65">
        <v>0.2</v>
      </c>
      <c r="N241" s="65">
        <v>0.4</v>
      </c>
      <c r="O241" s="35"/>
    </row>
    <row r="242" spans="1:15" s="36" customFormat="1" ht="12" x14ac:dyDescent="0.2">
      <c r="A242" s="33"/>
      <c r="B242" s="62">
        <v>37955</v>
      </c>
      <c r="C242" s="64">
        <v>3</v>
      </c>
      <c r="D242" s="64">
        <v>1.9</v>
      </c>
      <c r="E242" s="64">
        <v>2.7</v>
      </c>
      <c r="F242" s="64">
        <v>-0.3</v>
      </c>
      <c r="G242" s="64">
        <v>1.1000000000000001</v>
      </c>
      <c r="H242" s="33"/>
      <c r="I242" s="62">
        <v>37680</v>
      </c>
      <c r="J242" s="64">
        <v>17937.169999999998</v>
      </c>
      <c r="K242" s="64">
        <v>69756.639999999999</v>
      </c>
      <c r="L242" s="64">
        <v>190108.41</v>
      </c>
      <c r="M242" s="64">
        <v>0.7</v>
      </c>
      <c r="N242" s="64">
        <v>0.2</v>
      </c>
      <c r="O242" s="35"/>
    </row>
    <row r="243" spans="1:15" s="36" customFormat="1" ht="12" x14ac:dyDescent="0.2">
      <c r="A243" s="33"/>
      <c r="B243" s="63">
        <v>37986</v>
      </c>
      <c r="C243" s="65">
        <v>3.2</v>
      </c>
      <c r="D243" s="65">
        <v>3</v>
      </c>
      <c r="E243" s="65">
        <v>4.0999999999999996</v>
      </c>
      <c r="F243" s="65">
        <v>-0.1</v>
      </c>
      <c r="G243" s="65">
        <v>0.2</v>
      </c>
      <c r="H243" s="33"/>
      <c r="I243" s="63">
        <v>37711</v>
      </c>
      <c r="J243" s="65">
        <v>17106.5</v>
      </c>
      <c r="K243" s="65">
        <v>71438.820000000007</v>
      </c>
      <c r="L243" s="65">
        <v>194487.30000000002</v>
      </c>
      <c r="M243" s="65">
        <v>1.58</v>
      </c>
      <c r="N243" s="65">
        <v>0.9</v>
      </c>
      <c r="O243" s="35"/>
    </row>
    <row r="244" spans="1:15" s="36" customFormat="1" ht="12" x14ac:dyDescent="0.2">
      <c r="A244" s="33"/>
      <c r="B244" s="62">
        <v>38017</v>
      </c>
      <c r="C244" s="64">
        <v>3.2</v>
      </c>
      <c r="D244" s="64">
        <v>3.5</v>
      </c>
      <c r="E244" s="64">
        <v>4.5999999999999996</v>
      </c>
      <c r="F244" s="64">
        <v>0.3</v>
      </c>
      <c r="G244" s="64">
        <v>-0.3</v>
      </c>
      <c r="H244" s="33"/>
      <c r="I244" s="62">
        <v>37741</v>
      </c>
      <c r="J244" s="64">
        <v>17441.14</v>
      </c>
      <c r="K244" s="64">
        <v>71321.240000000005</v>
      </c>
      <c r="L244" s="64">
        <v>196130.13000000003</v>
      </c>
      <c r="M244" s="64">
        <v>-1.2</v>
      </c>
      <c r="N244" s="64">
        <v>1</v>
      </c>
      <c r="O244" s="35"/>
    </row>
    <row r="245" spans="1:15" s="36" customFormat="1" ht="12" x14ac:dyDescent="0.2">
      <c r="A245" s="33"/>
      <c r="B245" s="63">
        <v>38046</v>
      </c>
      <c r="C245" s="65">
        <v>2.1</v>
      </c>
      <c r="D245" s="65">
        <v>3.5</v>
      </c>
      <c r="E245" s="65">
        <v>4.5999999999999996</v>
      </c>
      <c r="F245" s="65">
        <v>0.5</v>
      </c>
      <c r="G245" s="65">
        <v>-1.4</v>
      </c>
      <c r="H245" s="33"/>
      <c r="I245" s="63">
        <v>37772</v>
      </c>
      <c r="J245" s="65">
        <v>17115.03</v>
      </c>
      <c r="K245" s="65">
        <v>72777.84</v>
      </c>
      <c r="L245" s="65">
        <v>199505.18999999997</v>
      </c>
      <c r="M245" s="65">
        <v>-1.4</v>
      </c>
      <c r="N245" s="65">
        <v>0.7</v>
      </c>
      <c r="O245" s="35"/>
    </row>
    <row r="246" spans="1:15" s="36" customFormat="1" ht="12" x14ac:dyDescent="0.2">
      <c r="A246" s="33"/>
      <c r="B246" s="62">
        <v>38077</v>
      </c>
      <c r="C246" s="64">
        <v>3</v>
      </c>
      <c r="D246" s="64">
        <v>4</v>
      </c>
      <c r="E246" s="64">
        <v>5.0999999999999996</v>
      </c>
      <c r="F246" s="64">
        <v>1</v>
      </c>
      <c r="G246" s="64">
        <v>-1</v>
      </c>
      <c r="H246" s="33"/>
      <c r="I246" s="62">
        <v>37802</v>
      </c>
      <c r="J246" s="64">
        <v>16956.89</v>
      </c>
      <c r="K246" s="64">
        <v>75923.23000000001</v>
      </c>
      <c r="L246" s="64">
        <v>204907.42</v>
      </c>
      <c r="M246" s="64">
        <v>-0.59</v>
      </c>
      <c r="N246" s="64">
        <v>0.3</v>
      </c>
      <c r="O246" s="35"/>
    </row>
    <row r="247" spans="1:15" s="36" customFormat="1" ht="12" x14ac:dyDescent="0.2">
      <c r="A247" s="33"/>
      <c r="B247" s="63">
        <v>38107</v>
      </c>
      <c r="C247" s="65">
        <v>3.8</v>
      </c>
      <c r="D247" s="65">
        <v>5</v>
      </c>
      <c r="E247" s="65">
        <v>6.2</v>
      </c>
      <c r="F247" s="65">
        <v>1.8</v>
      </c>
      <c r="G247" s="65">
        <v>-1.2</v>
      </c>
      <c r="H247" s="33"/>
      <c r="I247" s="63">
        <v>37833</v>
      </c>
      <c r="J247" s="65">
        <v>17362.13</v>
      </c>
      <c r="K247" s="65">
        <v>76152.76999999999</v>
      </c>
      <c r="L247" s="65">
        <v>206193.07</v>
      </c>
      <c r="M247" s="65">
        <v>-0.7</v>
      </c>
      <c r="N247" s="65">
        <v>0.5</v>
      </c>
      <c r="O247" s="35"/>
    </row>
    <row r="248" spans="1:15" s="36" customFormat="1" ht="12" x14ac:dyDescent="0.2">
      <c r="A248" s="33"/>
      <c r="B248" s="62">
        <v>38138</v>
      </c>
      <c r="C248" s="64">
        <v>4.4000000000000004</v>
      </c>
      <c r="D248" s="64">
        <v>5.7</v>
      </c>
      <c r="E248" s="64">
        <v>7.1</v>
      </c>
      <c r="F248" s="64">
        <v>1.7</v>
      </c>
      <c r="G248" s="64">
        <v>-1.3</v>
      </c>
      <c r="H248" s="33"/>
      <c r="I248" s="62">
        <v>37864</v>
      </c>
      <c r="J248" s="64">
        <v>17606.759999999998</v>
      </c>
      <c r="K248" s="64">
        <v>77032.98</v>
      </c>
      <c r="L248" s="64">
        <v>210591.90000000002</v>
      </c>
      <c r="M248" s="64">
        <v>-2.8</v>
      </c>
      <c r="N248" s="64">
        <v>0.9</v>
      </c>
      <c r="O248" s="35"/>
    </row>
    <row r="249" spans="1:15" s="36" customFormat="1" ht="12" x14ac:dyDescent="0.2">
      <c r="A249" s="33"/>
      <c r="B249" s="63">
        <v>38168</v>
      </c>
      <c r="C249" s="65">
        <v>5</v>
      </c>
      <c r="D249" s="65">
        <v>6.4</v>
      </c>
      <c r="E249" s="65">
        <v>8.1</v>
      </c>
      <c r="F249" s="65">
        <v>1.8</v>
      </c>
      <c r="G249" s="65">
        <v>-1.4</v>
      </c>
      <c r="H249" s="33"/>
      <c r="I249" s="63">
        <v>37894</v>
      </c>
      <c r="J249" s="65">
        <v>18306.36</v>
      </c>
      <c r="K249" s="65">
        <v>79163.88</v>
      </c>
      <c r="L249" s="65">
        <v>213567.13</v>
      </c>
      <c r="M249" s="65">
        <v>-2.16</v>
      </c>
      <c r="N249" s="65">
        <v>1.1000000000000001</v>
      </c>
      <c r="O249" s="35"/>
    </row>
    <row r="250" spans="1:15" s="36" customFormat="1" ht="12" x14ac:dyDescent="0.2">
      <c r="A250" s="33"/>
      <c r="B250" s="62">
        <v>38199</v>
      </c>
      <c r="C250" s="64">
        <v>5.3</v>
      </c>
      <c r="D250" s="64">
        <v>6.4</v>
      </c>
      <c r="E250" s="64">
        <v>8.1999999999999993</v>
      </c>
      <c r="F250" s="64">
        <v>1.4</v>
      </c>
      <c r="G250" s="64">
        <v>-1.1000000000000001</v>
      </c>
      <c r="H250" s="33"/>
      <c r="I250" s="62">
        <v>37925</v>
      </c>
      <c r="J250" s="64">
        <v>18250.669999999998</v>
      </c>
      <c r="K250" s="64">
        <v>80267.100000000006</v>
      </c>
      <c r="L250" s="64">
        <v>214469.36</v>
      </c>
      <c r="M250" s="64">
        <v>-1.35</v>
      </c>
      <c r="N250" s="64">
        <v>1.8</v>
      </c>
      <c r="O250" s="35"/>
    </row>
    <row r="251" spans="1:15" s="36" customFormat="1" ht="12" x14ac:dyDescent="0.2">
      <c r="A251" s="33"/>
      <c r="B251" s="63">
        <v>38230</v>
      </c>
      <c r="C251" s="65">
        <v>5.3</v>
      </c>
      <c r="D251" s="65">
        <v>6.8</v>
      </c>
      <c r="E251" s="65">
        <v>8.6999999999999993</v>
      </c>
      <c r="F251" s="65">
        <v>1.6</v>
      </c>
      <c r="G251" s="65">
        <v>-1.5</v>
      </c>
      <c r="H251" s="33"/>
      <c r="I251" s="63">
        <v>37955</v>
      </c>
      <c r="J251" s="65">
        <v>18439.559999999998</v>
      </c>
      <c r="K251" s="65">
        <v>80814.929999999993</v>
      </c>
      <c r="L251" s="65">
        <v>216351.73</v>
      </c>
      <c r="M251" s="65">
        <v>-1.51</v>
      </c>
      <c r="N251" s="65">
        <v>3</v>
      </c>
      <c r="O251" s="35"/>
    </row>
    <row r="252" spans="1:15" s="36" customFormat="1" ht="12" x14ac:dyDescent="0.2">
      <c r="A252" s="33"/>
      <c r="B252" s="62">
        <v>38260</v>
      </c>
      <c r="C252" s="64">
        <v>5.2</v>
      </c>
      <c r="D252" s="64">
        <v>7.9</v>
      </c>
      <c r="E252" s="64">
        <v>10.199999999999999</v>
      </c>
      <c r="F252" s="64">
        <v>1.7</v>
      </c>
      <c r="G252" s="64">
        <v>-2.7</v>
      </c>
      <c r="H252" s="33"/>
      <c r="I252" s="62">
        <v>37986</v>
      </c>
      <c r="J252" s="64">
        <v>19745.990000000002</v>
      </c>
      <c r="K252" s="64">
        <v>84118.569999999992</v>
      </c>
      <c r="L252" s="64">
        <v>221222.81999999998</v>
      </c>
      <c r="M252" s="64">
        <v>-0.9</v>
      </c>
      <c r="N252" s="64">
        <v>3.2</v>
      </c>
      <c r="O252" s="35"/>
    </row>
    <row r="253" spans="1:15" s="36" customFormat="1" ht="12" x14ac:dyDescent="0.2">
      <c r="A253" s="33"/>
      <c r="B253" s="63">
        <v>38291</v>
      </c>
      <c r="C253" s="65">
        <v>4.3</v>
      </c>
      <c r="D253" s="65">
        <v>8.4</v>
      </c>
      <c r="E253" s="65">
        <v>10.9</v>
      </c>
      <c r="F253" s="65">
        <v>1.7</v>
      </c>
      <c r="G253" s="65">
        <v>-4.0999999999999996</v>
      </c>
      <c r="H253" s="33"/>
      <c r="I253" s="63">
        <v>38017</v>
      </c>
      <c r="J253" s="65">
        <v>22287.43</v>
      </c>
      <c r="K253" s="65">
        <v>83805.899999999994</v>
      </c>
      <c r="L253" s="65">
        <v>225101.93000000002</v>
      </c>
      <c r="M253" s="65">
        <v>-2.4</v>
      </c>
      <c r="N253" s="65">
        <v>3.2</v>
      </c>
      <c r="O253" s="35"/>
    </row>
    <row r="254" spans="1:15" s="36" customFormat="1" ht="12" x14ac:dyDescent="0.2">
      <c r="A254" s="33"/>
      <c r="B254" s="62">
        <v>38321</v>
      </c>
      <c r="C254" s="64">
        <v>2.8</v>
      </c>
      <c r="D254" s="64">
        <v>8.1</v>
      </c>
      <c r="E254" s="64">
        <v>10.7</v>
      </c>
      <c r="F254" s="64">
        <v>0.9</v>
      </c>
      <c r="G254" s="64">
        <v>-5.3</v>
      </c>
      <c r="H254" s="33"/>
      <c r="I254" s="62">
        <v>38046</v>
      </c>
      <c r="J254" s="64">
        <v>19893.439999999999</v>
      </c>
      <c r="K254" s="64">
        <v>83556.430000000008</v>
      </c>
      <c r="L254" s="64">
        <v>227050.72</v>
      </c>
      <c r="M254" s="64">
        <v>0.4</v>
      </c>
      <c r="N254" s="64">
        <v>2.1</v>
      </c>
      <c r="O254" s="35"/>
    </row>
    <row r="255" spans="1:15" s="36" customFormat="1" ht="12" x14ac:dyDescent="0.2">
      <c r="A255" s="33"/>
      <c r="B255" s="63">
        <v>38352</v>
      </c>
      <c r="C255" s="65">
        <v>2.4</v>
      </c>
      <c r="D255" s="65">
        <v>7.1</v>
      </c>
      <c r="E255" s="65">
        <v>9.4</v>
      </c>
      <c r="F255" s="65">
        <v>0.5</v>
      </c>
      <c r="G255" s="65">
        <v>-4.7</v>
      </c>
      <c r="H255" s="33"/>
      <c r="I255" s="63">
        <v>38077</v>
      </c>
      <c r="J255" s="65">
        <v>19297.43</v>
      </c>
      <c r="K255" s="65">
        <v>85815.57</v>
      </c>
      <c r="L255" s="65">
        <v>231654.6</v>
      </c>
      <c r="M255" s="65">
        <v>1</v>
      </c>
      <c r="N255" s="65">
        <v>3</v>
      </c>
      <c r="O255" s="35"/>
    </row>
    <row r="256" spans="1:15" s="36" customFormat="1" ht="12" x14ac:dyDescent="0.2">
      <c r="A256" s="33"/>
      <c r="B256" s="62">
        <v>38383</v>
      </c>
      <c r="C256" s="64">
        <v>1.9</v>
      </c>
      <c r="D256" s="64">
        <v>5.8</v>
      </c>
      <c r="E256" s="64">
        <v>7.8</v>
      </c>
      <c r="F256" s="64">
        <v>0.3</v>
      </c>
      <c r="G256" s="64">
        <v>-3.9</v>
      </c>
      <c r="H256" s="33"/>
      <c r="I256" s="62">
        <v>38107</v>
      </c>
      <c r="J256" s="64">
        <v>19878.399999999998</v>
      </c>
      <c r="K256" s="64">
        <v>85603.64</v>
      </c>
      <c r="L256" s="64">
        <v>233627.86</v>
      </c>
      <c r="M256" s="64">
        <v>0.9</v>
      </c>
      <c r="N256" s="64">
        <v>3.8</v>
      </c>
      <c r="O256" s="35"/>
    </row>
    <row r="257" spans="1:15" s="36" customFormat="1" ht="12" x14ac:dyDescent="0.2">
      <c r="A257" s="33"/>
      <c r="B257" s="63">
        <v>38411</v>
      </c>
      <c r="C257" s="65">
        <v>3.9</v>
      </c>
      <c r="D257" s="65">
        <v>5.38</v>
      </c>
      <c r="E257" s="65">
        <v>7.1</v>
      </c>
      <c r="F257" s="65">
        <v>0.4</v>
      </c>
      <c r="G257" s="65">
        <v>-1.48</v>
      </c>
      <c r="H257" s="33"/>
      <c r="I257" s="63">
        <v>38138</v>
      </c>
      <c r="J257" s="65">
        <v>19048.43</v>
      </c>
      <c r="K257" s="65">
        <v>86780.37</v>
      </c>
      <c r="L257" s="65">
        <v>234842.4</v>
      </c>
      <c r="M257" s="65">
        <v>1.1000000000000001</v>
      </c>
      <c r="N257" s="65">
        <v>4.4000000000000004</v>
      </c>
      <c r="O257" s="35"/>
    </row>
    <row r="258" spans="1:15" s="36" customFormat="1" ht="12" x14ac:dyDescent="0.2">
      <c r="A258" s="33"/>
      <c r="B258" s="62">
        <v>38442</v>
      </c>
      <c r="C258" s="64">
        <v>2.7</v>
      </c>
      <c r="D258" s="64">
        <v>5.6</v>
      </c>
      <c r="E258" s="64">
        <v>7.6</v>
      </c>
      <c r="F258" s="64">
        <v>0.2</v>
      </c>
      <c r="G258" s="64">
        <v>-2.9</v>
      </c>
      <c r="H258" s="33"/>
      <c r="I258" s="62">
        <v>38168</v>
      </c>
      <c r="J258" s="64">
        <v>19017.580000000002</v>
      </c>
      <c r="K258" s="64">
        <v>88627.14</v>
      </c>
      <c r="L258" s="64">
        <v>238427.49</v>
      </c>
      <c r="M258" s="64">
        <v>0</v>
      </c>
      <c r="N258" s="64">
        <v>5</v>
      </c>
      <c r="O258" s="35"/>
    </row>
    <row r="259" spans="1:15" s="36" customFormat="1" ht="12" x14ac:dyDescent="0.2">
      <c r="A259" s="33"/>
      <c r="B259" s="63">
        <v>38472</v>
      </c>
      <c r="C259" s="65">
        <v>1.8</v>
      </c>
      <c r="D259" s="65">
        <v>5.78</v>
      </c>
      <c r="E259" s="65">
        <v>7.9</v>
      </c>
      <c r="F259" s="65">
        <v>-0.2</v>
      </c>
      <c r="G259" s="65">
        <v>-3.98</v>
      </c>
      <c r="H259" s="33"/>
      <c r="I259" s="63">
        <v>38199</v>
      </c>
      <c r="J259" s="65">
        <v>19409.100000000002</v>
      </c>
      <c r="K259" s="65">
        <v>87982.23</v>
      </c>
      <c r="L259" s="65">
        <v>238126.96999999997</v>
      </c>
      <c r="M259" s="65">
        <v>-0.3</v>
      </c>
      <c r="N259" s="65">
        <v>5.3</v>
      </c>
      <c r="O259" s="35"/>
    </row>
    <row r="260" spans="1:15" s="36" customFormat="1" ht="12" x14ac:dyDescent="0.2">
      <c r="A260" s="33"/>
      <c r="B260" s="62">
        <v>38503</v>
      </c>
      <c r="C260" s="64">
        <v>1.8</v>
      </c>
      <c r="D260" s="64">
        <v>5.9</v>
      </c>
      <c r="E260" s="64">
        <v>8.1999999999999993</v>
      </c>
      <c r="F260" s="64">
        <v>-0.3</v>
      </c>
      <c r="G260" s="64">
        <v>-4.0999999999999996</v>
      </c>
      <c r="H260" s="33"/>
      <c r="I260" s="62">
        <v>38230</v>
      </c>
      <c r="J260" s="64">
        <v>19517.939999999999</v>
      </c>
      <c r="K260" s="64">
        <v>89125.33</v>
      </c>
      <c r="L260" s="64">
        <v>239729.19</v>
      </c>
      <c r="M260" s="64">
        <v>1.51</v>
      </c>
      <c r="N260" s="64">
        <v>5.3</v>
      </c>
      <c r="O260" s="35"/>
    </row>
    <row r="261" spans="1:15" s="36" customFormat="1" ht="12" x14ac:dyDescent="0.2">
      <c r="A261" s="33"/>
      <c r="B261" s="63">
        <v>38533</v>
      </c>
      <c r="C261" s="65">
        <v>1.6</v>
      </c>
      <c r="D261" s="65">
        <v>5.2</v>
      </c>
      <c r="E261" s="65">
        <v>7.2</v>
      </c>
      <c r="F261" s="65">
        <v>-0.3</v>
      </c>
      <c r="G261" s="65">
        <v>-3.6</v>
      </c>
      <c r="H261" s="33"/>
      <c r="I261" s="63">
        <v>38260</v>
      </c>
      <c r="J261" s="65">
        <v>20524.169999999998</v>
      </c>
      <c r="K261" s="65">
        <v>90439.05</v>
      </c>
      <c r="L261" s="65">
        <v>243756.88</v>
      </c>
      <c r="M261" s="65">
        <v>-0.24</v>
      </c>
      <c r="N261" s="65">
        <v>5.2</v>
      </c>
      <c r="O261" s="35"/>
    </row>
    <row r="262" spans="1:15" s="36" customFormat="1" ht="12" x14ac:dyDescent="0.2">
      <c r="A262" s="33"/>
      <c r="B262" s="62">
        <v>38564</v>
      </c>
      <c r="C262" s="64">
        <v>1.8</v>
      </c>
      <c r="D262" s="64">
        <v>5.2</v>
      </c>
      <c r="E262" s="64">
        <v>7.1</v>
      </c>
      <c r="F262" s="64">
        <v>-0.2</v>
      </c>
      <c r="G262" s="64">
        <v>-3.4</v>
      </c>
      <c r="H262" s="33"/>
      <c r="I262" s="62">
        <v>38291</v>
      </c>
      <c r="J262" s="64">
        <v>20078.25</v>
      </c>
      <c r="K262" s="64">
        <v>90782.48000000001</v>
      </c>
      <c r="L262" s="64">
        <v>243740.31999999998</v>
      </c>
      <c r="M262" s="64">
        <v>-0.88</v>
      </c>
      <c r="N262" s="64">
        <v>4.3</v>
      </c>
      <c r="O262" s="35"/>
    </row>
    <row r="263" spans="1:15" s="36" customFormat="1" ht="12" x14ac:dyDescent="0.2">
      <c r="A263" s="33"/>
      <c r="B263" s="63">
        <v>38595</v>
      </c>
      <c r="C263" s="65">
        <v>1.3</v>
      </c>
      <c r="D263" s="65">
        <v>5.3</v>
      </c>
      <c r="E263" s="65">
        <v>7.3</v>
      </c>
      <c r="F263" s="65">
        <v>-0.3</v>
      </c>
      <c r="G263" s="65">
        <v>-4</v>
      </c>
      <c r="H263" s="33"/>
      <c r="I263" s="63">
        <v>38321</v>
      </c>
      <c r="J263" s="65">
        <v>20209.25</v>
      </c>
      <c r="K263" s="65">
        <v>92387.12999999999</v>
      </c>
      <c r="L263" s="65">
        <v>247135.58</v>
      </c>
      <c r="M263" s="65">
        <v>-0.2</v>
      </c>
      <c r="N263" s="65">
        <v>2.8</v>
      </c>
      <c r="O263" s="35"/>
    </row>
    <row r="264" spans="1:15" s="36" customFormat="1" ht="12" x14ac:dyDescent="0.2">
      <c r="A264" s="33"/>
      <c r="B264" s="62">
        <v>38625</v>
      </c>
      <c r="C264" s="64">
        <v>0.9</v>
      </c>
      <c r="D264" s="64">
        <v>4.5</v>
      </c>
      <c r="E264" s="64">
        <v>6.2</v>
      </c>
      <c r="F264" s="64">
        <v>-0.4</v>
      </c>
      <c r="G264" s="64">
        <v>-3.6</v>
      </c>
      <c r="H264" s="33"/>
      <c r="I264" s="62">
        <v>38352</v>
      </c>
      <c r="J264" s="64">
        <v>21468.3</v>
      </c>
      <c r="K264" s="64">
        <v>95970.82</v>
      </c>
      <c r="L264" s="64">
        <v>253207.69999999998</v>
      </c>
      <c r="M264" s="64">
        <v>-1</v>
      </c>
      <c r="N264" s="64">
        <v>2.4</v>
      </c>
      <c r="O264" s="35"/>
    </row>
    <row r="265" spans="1:15" s="36" customFormat="1" ht="12" x14ac:dyDescent="0.2">
      <c r="A265" s="33"/>
      <c r="B265" s="63">
        <v>38656</v>
      </c>
      <c r="C265" s="65">
        <v>1.2</v>
      </c>
      <c r="D265" s="65">
        <v>4</v>
      </c>
      <c r="E265" s="65">
        <v>5.6</v>
      </c>
      <c r="F265" s="65">
        <v>-0.5</v>
      </c>
      <c r="G265" s="65">
        <v>-2.8</v>
      </c>
      <c r="H265" s="33"/>
      <c r="I265" s="63">
        <v>38383</v>
      </c>
      <c r="J265" s="65">
        <v>24015.41</v>
      </c>
      <c r="K265" s="65">
        <v>97079.03</v>
      </c>
      <c r="L265" s="65">
        <v>257708.47</v>
      </c>
      <c r="M265" s="65">
        <v>1.19</v>
      </c>
      <c r="N265" s="65">
        <v>1.9</v>
      </c>
      <c r="O265" s="35"/>
    </row>
    <row r="266" spans="1:15" s="36" customFormat="1" ht="12" x14ac:dyDescent="0.2">
      <c r="A266" s="33"/>
      <c r="B266" s="62">
        <v>38686</v>
      </c>
      <c r="C266" s="64">
        <v>1.3</v>
      </c>
      <c r="D266" s="64">
        <v>3.2</v>
      </c>
      <c r="E266" s="64">
        <v>4.5</v>
      </c>
      <c r="F266" s="64">
        <v>-0.5</v>
      </c>
      <c r="G266" s="64">
        <v>-1.9</v>
      </c>
      <c r="H266" s="33"/>
      <c r="I266" s="62">
        <v>38411</v>
      </c>
      <c r="J266" s="64">
        <v>22667.969999999998</v>
      </c>
      <c r="K266" s="64">
        <v>92814.95</v>
      </c>
      <c r="L266" s="64">
        <v>259357.28999999998</v>
      </c>
      <c r="M266" s="64">
        <v>-3.3</v>
      </c>
      <c r="N266" s="64">
        <v>3.9</v>
      </c>
      <c r="O266" s="35"/>
    </row>
    <row r="267" spans="1:15" s="36" customFormat="1" ht="12" x14ac:dyDescent="0.2">
      <c r="A267" s="33"/>
      <c r="B267" s="63">
        <v>38717</v>
      </c>
      <c r="C267" s="65">
        <v>1.6</v>
      </c>
      <c r="D267" s="65">
        <v>3.2</v>
      </c>
      <c r="E267" s="65">
        <v>4.5999999999999996</v>
      </c>
      <c r="F267" s="65">
        <v>-0.5</v>
      </c>
      <c r="G267" s="65">
        <v>-1.6</v>
      </c>
      <c r="H267" s="33"/>
      <c r="I267" s="63">
        <v>38442</v>
      </c>
      <c r="J267" s="65">
        <v>21238.95</v>
      </c>
      <c r="K267" s="65">
        <v>94743.19</v>
      </c>
      <c r="L267" s="65">
        <v>264588.94</v>
      </c>
      <c r="M267" s="65">
        <v>-4.0999999999999996</v>
      </c>
      <c r="N267" s="65">
        <v>2.7</v>
      </c>
      <c r="O267" s="35"/>
    </row>
    <row r="268" spans="1:15" s="36" customFormat="1" ht="12" x14ac:dyDescent="0.2">
      <c r="A268" s="33"/>
      <c r="B268" s="62">
        <v>38748</v>
      </c>
      <c r="C268" s="64">
        <v>1.9</v>
      </c>
      <c r="D268" s="64">
        <v>3.05</v>
      </c>
      <c r="E268" s="64">
        <v>4.17</v>
      </c>
      <c r="F268" s="64">
        <v>-0.26</v>
      </c>
      <c r="G268" s="64">
        <v>-1.1499999999999999</v>
      </c>
      <c r="H268" s="33"/>
      <c r="I268" s="62">
        <v>38472</v>
      </c>
      <c r="J268" s="64">
        <v>21666.560000000001</v>
      </c>
      <c r="K268" s="64">
        <v>94593.72</v>
      </c>
      <c r="L268" s="64">
        <v>266992.65999999997</v>
      </c>
      <c r="M268" s="64">
        <v>-4.0999999999999996</v>
      </c>
      <c r="N268" s="64">
        <v>1.8</v>
      </c>
      <c r="O268" s="35"/>
    </row>
    <row r="269" spans="1:15" s="36" customFormat="1" ht="12" x14ac:dyDescent="0.2">
      <c r="A269" s="33"/>
      <c r="B269" s="63">
        <v>38776</v>
      </c>
      <c r="C269" s="65">
        <v>0.9</v>
      </c>
      <c r="D269" s="65">
        <v>3.01</v>
      </c>
      <c r="E269" s="65">
        <v>4.16</v>
      </c>
      <c r="F269" s="65">
        <v>-0.39</v>
      </c>
      <c r="G269" s="65">
        <v>-2.11</v>
      </c>
      <c r="H269" s="33"/>
      <c r="I269" s="63">
        <v>38503</v>
      </c>
      <c r="J269" s="65">
        <v>20811.59</v>
      </c>
      <c r="K269" s="65">
        <v>95802.01</v>
      </c>
      <c r="L269" s="65">
        <v>269240.49</v>
      </c>
      <c r="M269" s="65">
        <v>-4.2</v>
      </c>
      <c r="N269" s="65">
        <v>1.8</v>
      </c>
      <c r="O269" s="35"/>
    </row>
    <row r="270" spans="1:15" s="36" customFormat="1" ht="12" x14ac:dyDescent="0.2">
      <c r="A270" s="33"/>
      <c r="B270" s="62">
        <v>38807</v>
      </c>
      <c r="C270" s="64">
        <v>0.8</v>
      </c>
      <c r="D270" s="64">
        <v>2.4900000000000002</v>
      </c>
      <c r="E270" s="64">
        <v>3.45</v>
      </c>
      <c r="F270" s="64">
        <v>-0.33</v>
      </c>
      <c r="G270" s="64">
        <v>-1.69</v>
      </c>
      <c r="H270" s="33"/>
      <c r="I270" s="62">
        <v>38533</v>
      </c>
      <c r="J270" s="64">
        <v>20848.760000000002</v>
      </c>
      <c r="K270" s="64">
        <v>98601.250000000015</v>
      </c>
      <c r="L270" s="64">
        <v>275785.52999999997</v>
      </c>
      <c r="M270" s="64">
        <v>-4.42</v>
      </c>
      <c r="N270" s="64">
        <v>1.6</v>
      </c>
      <c r="O270" s="35"/>
    </row>
    <row r="271" spans="1:15" s="36" customFormat="1" ht="12" x14ac:dyDescent="0.2">
      <c r="A271" s="33"/>
      <c r="B271" s="63">
        <v>38837</v>
      </c>
      <c r="C271" s="65">
        <v>1.2</v>
      </c>
      <c r="D271" s="65">
        <v>1.87</v>
      </c>
      <c r="E271" s="65">
        <v>2.64</v>
      </c>
      <c r="F271" s="65">
        <v>-0.39</v>
      </c>
      <c r="G271" s="65">
        <v>-0.67</v>
      </c>
      <c r="H271" s="33"/>
      <c r="I271" s="63">
        <v>38564</v>
      </c>
      <c r="J271" s="65">
        <v>21171.200000000001</v>
      </c>
      <c r="K271" s="65">
        <v>97674.1</v>
      </c>
      <c r="L271" s="65">
        <v>276966.28000000003</v>
      </c>
      <c r="M271" s="65">
        <v>-5.3</v>
      </c>
      <c r="N271" s="65">
        <v>1.8</v>
      </c>
      <c r="O271" s="35"/>
    </row>
    <row r="272" spans="1:15" s="36" customFormat="1" ht="12" x14ac:dyDescent="0.2">
      <c r="A272" s="33"/>
      <c r="B272" s="62">
        <v>38868</v>
      </c>
      <c r="C272" s="64">
        <v>1.4</v>
      </c>
      <c r="D272" s="64">
        <v>2.4300000000000002</v>
      </c>
      <c r="E272" s="64">
        <v>3.39</v>
      </c>
      <c r="F272" s="64">
        <v>-0.39</v>
      </c>
      <c r="G272" s="64">
        <v>-1.03</v>
      </c>
      <c r="H272" s="33"/>
      <c r="I272" s="62">
        <v>38595</v>
      </c>
      <c r="J272" s="64">
        <v>21351.56</v>
      </c>
      <c r="K272" s="64">
        <v>99377.7</v>
      </c>
      <c r="L272" s="64">
        <v>281288.21999999997</v>
      </c>
      <c r="M272" s="64">
        <v>-5.84</v>
      </c>
      <c r="N272" s="64">
        <v>1.3</v>
      </c>
      <c r="O272" s="35"/>
    </row>
    <row r="273" spans="1:15" s="36" customFormat="1" ht="12" x14ac:dyDescent="0.2">
      <c r="A273" s="33"/>
      <c r="B273" s="63">
        <v>38898</v>
      </c>
      <c r="C273" s="65">
        <v>1.5</v>
      </c>
      <c r="D273" s="65">
        <v>3.52</v>
      </c>
      <c r="E273" s="65">
        <v>4.8</v>
      </c>
      <c r="F273" s="65">
        <v>-0.24</v>
      </c>
      <c r="G273" s="65">
        <v>-2.02</v>
      </c>
      <c r="H273" s="33"/>
      <c r="I273" s="63">
        <v>38625</v>
      </c>
      <c r="J273" s="65">
        <v>22272.92</v>
      </c>
      <c r="K273" s="65">
        <v>100964.00000000001</v>
      </c>
      <c r="L273" s="65">
        <v>287438.26999999996</v>
      </c>
      <c r="M273" s="65">
        <v>-6.28</v>
      </c>
      <c r="N273" s="65">
        <v>0.9</v>
      </c>
      <c r="O273" s="35"/>
    </row>
    <row r="274" spans="1:15" s="36" customFormat="1" ht="12" x14ac:dyDescent="0.2">
      <c r="A274" s="33"/>
      <c r="B274" s="62">
        <v>38929</v>
      </c>
      <c r="C274" s="64">
        <v>1</v>
      </c>
      <c r="D274" s="64">
        <v>3.58</v>
      </c>
      <c r="E274" s="64">
        <v>4.8</v>
      </c>
      <c r="F274" s="64">
        <v>0</v>
      </c>
      <c r="G274" s="64">
        <v>-2.58</v>
      </c>
      <c r="H274" s="33"/>
      <c r="I274" s="62">
        <v>38656</v>
      </c>
      <c r="J274" s="64">
        <v>21892.98</v>
      </c>
      <c r="K274" s="64">
        <v>101751.98</v>
      </c>
      <c r="L274" s="64">
        <v>287591.61</v>
      </c>
      <c r="M274" s="64">
        <v>-5.91</v>
      </c>
      <c r="N274" s="64">
        <v>1.2</v>
      </c>
      <c r="O274" s="35"/>
    </row>
    <row r="275" spans="1:15" s="36" customFormat="1" ht="12" x14ac:dyDescent="0.2">
      <c r="A275" s="33"/>
      <c r="B275" s="63">
        <v>38960</v>
      </c>
      <c r="C275" s="65">
        <v>1.3</v>
      </c>
      <c r="D275" s="65">
        <v>3.4</v>
      </c>
      <c r="E275" s="65">
        <v>4.5</v>
      </c>
      <c r="F275" s="65">
        <v>0.3</v>
      </c>
      <c r="G275" s="65">
        <v>-2.1</v>
      </c>
      <c r="H275" s="33"/>
      <c r="I275" s="63">
        <v>38686</v>
      </c>
      <c r="J275" s="65">
        <v>22409.39</v>
      </c>
      <c r="K275" s="65">
        <v>104125.78</v>
      </c>
      <c r="L275" s="65">
        <v>292350.39</v>
      </c>
      <c r="M275" s="65">
        <v>-5.6</v>
      </c>
      <c r="N275" s="65">
        <v>1.3</v>
      </c>
      <c r="O275" s="35"/>
    </row>
    <row r="276" spans="1:15" s="36" customFormat="1" ht="12" x14ac:dyDescent="0.2">
      <c r="A276" s="33"/>
      <c r="B276" s="62">
        <v>38990</v>
      </c>
      <c r="C276" s="64">
        <v>1.5</v>
      </c>
      <c r="D276" s="64">
        <v>3.5</v>
      </c>
      <c r="E276" s="64">
        <v>4.41</v>
      </c>
      <c r="F276" s="64">
        <v>0.62</v>
      </c>
      <c r="G276" s="64">
        <v>-2</v>
      </c>
      <c r="H276" s="33"/>
      <c r="I276" s="62">
        <v>38717</v>
      </c>
      <c r="J276" s="64">
        <v>24031.670000000002</v>
      </c>
      <c r="K276" s="64">
        <v>107278.76000000001</v>
      </c>
      <c r="L276" s="64">
        <v>298755.48</v>
      </c>
      <c r="M276" s="64">
        <v>-5.79</v>
      </c>
      <c r="N276" s="64">
        <v>1.6</v>
      </c>
      <c r="O276" s="35"/>
    </row>
    <row r="277" spans="1:15" s="36" customFormat="1" ht="12" x14ac:dyDescent="0.2">
      <c r="A277" s="33"/>
      <c r="B277" s="63">
        <v>39021</v>
      </c>
      <c r="C277" s="65">
        <v>1.4</v>
      </c>
      <c r="D277" s="65">
        <v>2.9</v>
      </c>
      <c r="E277" s="65">
        <v>3.8</v>
      </c>
      <c r="F277" s="65">
        <v>0.6</v>
      </c>
      <c r="G277" s="65">
        <v>-1.5</v>
      </c>
      <c r="H277" s="33"/>
      <c r="I277" s="63">
        <v>38748</v>
      </c>
      <c r="J277" s="65">
        <v>29310.370000000003</v>
      </c>
      <c r="K277" s="65">
        <v>107250.68</v>
      </c>
      <c r="L277" s="65">
        <v>303571.64999999997</v>
      </c>
      <c r="M277" s="65">
        <v>-8.58</v>
      </c>
      <c r="N277" s="65">
        <v>1.9</v>
      </c>
      <c r="O277" s="35"/>
    </row>
    <row r="278" spans="1:15" s="36" customFormat="1" ht="12" x14ac:dyDescent="0.2">
      <c r="A278" s="33"/>
      <c r="B278" s="62">
        <v>39051</v>
      </c>
      <c r="C278" s="64">
        <v>1.9</v>
      </c>
      <c r="D278" s="64">
        <v>2.78</v>
      </c>
      <c r="E278" s="64">
        <v>3.38</v>
      </c>
      <c r="F278" s="64">
        <v>1</v>
      </c>
      <c r="G278" s="64">
        <v>-0.88</v>
      </c>
      <c r="H278" s="33"/>
      <c r="I278" s="62">
        <v>38776</v>
      </c>
      <c r="J278" s="64">
        <v>24482.019999999997</v>
      </c>
      <c r="K278" s="64">
        <v>104357.08</v>
      </c>
      <c r="L278" s="64">
        <v>304516.27</v>
      </c>
      <c r="M278" s="64">
        <v>-6.4</v>
      </c>
      <c r="N278" s="64">
        <v>0.9</v>
      </c>
      <c r="O278" s="35"/>
    </row>
    <row r="279" spans="1:15" s="36" customFormat="1" ht="12" x14ac:dyDescent="0.2">
      <c r="A279" s="33"/>
      <c r="B279" s="63">
        <v>39082</v>
      </c>
      <c r="C279" s="65">
        <v>2.8</v>
      </c>
      <c r="D279" s="65">
        <v>3.1</v>
      </c>
      <c r="E279" s="65">
        <v>3.6</v>
      </c>
      <c r="F279" s="65">
        <v>1.46</v>
      </c>
      <c r="G279" s="65">
        <v>-0.3</v>
      </c>
      <c r="H279" s="33"/>
      <c r="I279" s="63">
        <v>38807</v>
      </c>
      <c r="J279" s="65">
        <v>23472.03</v>
      </c>
      <c r="K279" s="65">
        <v>106737.08</v>
      </c>
      <c r="L279" s="65">
        <v>310490.65000000002</v>
      </c>
      <c r="M279" s="65">
        <v>-6.1</v>
      </c>
      <c r="N279" s="65">
        <v>0.8</v>
      </c>
      <c r="O279" s="35"/>
    </row>
    <row r="280" spans="1:15" s="36" customFormat="1" ht="12" x14ac:dyDescent="0.2">
      <c r="A280" s="33"/>
      <c r="B280" s="62">
        <v>39113</v>
      </c>
      <c r="C280" s="64">
        <v>2.2000000000000002</v>
      </c>
      <c r="D280" s="64">
        <v>3.3</v>
      </c>
      <c r="E280" s="64">
        <v>3.82</v>
      </c>
      <c r="F280" s="64">
        <v>1.81</v>
      </c>
      <c r="G280" s="64">
        <v>-1.1000000000000001</v>
      </c>
      <c r="H280" s="33"/>
      <c r="I280" s="62">
        <v>38837</v>
      </c>
      <c r="J280" s="64">
        <v>24155.73</v>
      </c>
      <c r="K280" s="64">
        <v>106389.11000000002</v>
      </c>
      <c r="L280" s="64">
        <v>313702.33999999997</v>
      </c>
      <c r="M280" s="64">
        <v>-6.4</v>
      </c>
      <c r="N280" s="64">
        <v>1.2</v>
      </c>
      <c r="O280" s="35"/>
    </row>
    <row r="281" spans="1:15" s="36" customFormat="1" ht="12" x14ac:dyDescent="0.2">
      <c r="A281" s="33"/>
      <c r="B281" s="63">
        <v>39141</v>
      </c>
      <c r="C281" s="65">
        <v>2.7</v>
      </c>
      <c r="D281" s="65">
        <v>2.6</v>
      </c>
      <c r="E281" s="65">
        <v>2.83</v>
      </c>
      <c r="F281" s="65">
        <v>1.91</v>
      </c>
      <c r="G281" s="65">
        <v>0.1</v>
      </c>
      <c r="H281" s="33"/>
      <c r="I281" s="63">
        <v>38868</v>
      </c>
      <c r="J281" s="65">
        <v>23465.32</v>
      </c>
      <c r="K281" s="65">
        <v>109219.22</v>
      </c>
      <c r="L281" s="65">
        <v>316709.81</v>
      </c>
      <c r="M281" s="65">
        <v>-5.09</v>
      </c>
      <c r="N281" s="65">
        <v>1.4</v>
      </c>
      <c r="O281" s="35"/>
    </row>
    <row r="282" spans="1:15" s="36" customFormat="1" ht="12" x14ac:dyDescent="0.2">
      <c r="A282" s="33"/>
      <c r="B282" s="62">
        <v>39172</v>
      </c>
      <c r="C282" s="64">
        <v>3.3</v>
      </c>
      <c r="D282" s="64">
        <v>2.7</v>
      </c>
      <c r="E282" s="64">
        <v>2.93</v>
      </c>
      <c r="F282" s="64">
        <v>1.85</v>
      </c>
      <c r="G282" s="64">
        <v>0.6</v>
      </c>
      <c r="H282" s="33"/>
      <c r="I282" s="62">
        <v>38898</v>
      </c>
      <c r="J282" s="64">
        <v>23469.08</v>
      </c>
      <c r="K282" s="64">
        <v>112342.35999999999</v>
      </c>
      <c r="L282" s="64">
        <v>322756.34999999998</v>
      </c>
      <c r="M282" s="64">
        <v>-4.53</v>
      </c>
      <c r="N282" s="64">
        <v>1.5</v>
      </c>
      <c r="O282" s="35"/>
    </row>
    <row r="283" spans="1:15" s="36" customFormat="1" ht="12" x14ac:dyDescent="0.2">
      <c r="A283" s="33"/>
      <c r="B283" s="63">
        <v>39202</v>
      </c>
      <c r="C283" s="65">
        <v>3</v>
      </c>
      <c r="D283" s="65">
        <v>2.9</v>
      </c>
      <c r="E283" s="65">
        <v>3.13</v>
      </c>
      <c r="F283" s="65">
        <v>2.13</v>
      </c>
      <c r="G283" s="65">
        <v>0.1</v>
      </c>
      <c r="H283" s="33"/>
      <c r="I283" s="63">
        <v>38929</v>
      </c>
      <c r="J283" s="65">
        <v>23752.59</v>
      </c>
      <c r="K283" s="65">
        <v>112653.04</v>
      </c>
      <c r="L283" s="65">
        <v>324010.76</v>
      </c>
      <c r="M283" s="65">
        <v>-3.1</v>
      </c>
      <c r="N283" s="65">
        <v>1</v>
      </c>
      <c r="O283" s="35"/>
    </row>
    <row r="284" spans="1:15" s="36" customFormat="1" ht="12" x14ac:dyDescent="0.2">
      <c r="A284" s="33"/>
      <c r="B284" s="62">
        <v>39233</v>
      </c>
      <c r="C284" s="64">
        <v>3.4</v>
      </c>
      <c r="D284" s="64">
        <v>2.8</v>
      </c>
      <c r="E284" s="64">
        <v>2.87</v>
      </c>
      <c r="F284" s="64">
        <v>2.44</v>
      </c>
      <c r="G284" s="64">
        <v>0.6</v>
      </c>
      <c r="H284" s="33"/>
      <c r="I284" s="62">
        <v>38960</v>
      </c>
      <c r="J284" s="64">
        <v>24185.360000000001</v>
      </c>
      <c r="K284" s="64">
        <v>114845.67</v>
      </c>
      <c r="L284" s="64">
        <v>327885.67</v>
      </c>
      <c r="M284" s="64">
        <v>-2.2999999999999998</v>
      </c>
      <c r="N284" s="64">
        <v>1.3</v>
      </c>
      <c r="O284" s="35"/>
    </row>
    <row r="285" spans="1:15" s="36" customFormat="1" ht="12" x14ac:dyDescent="0.2">
      <c r="A285" s="33"/>
      <c r="B285" s="63">
        <v>39263</v>
      </c>
      <c r="C285" s="65">
        <v>4.4000000000000004</v>
      </c>
      <c r="D285" s="65">
        <v>2.4900000000000002</v>
      </c>
      <c r="E285" s="65">
        <v>2.48</v>
      </c>
      <c r="F285" s="65">
        <v>2.54</v>
      </c>
      <c r="G285" s="65">
        <v>1.91</v>
      </c>
      <c r="H285" s="33"/>
      <c r="I285" s="63">
        <v>38990</v>
      </c>
      <c r="J285" s="65">
        <v>25687.38</v>
      </c>
      <c r="K285" s="65">
        <v>116814.09999999999</v>
      </c>
      <c r="L285" s="65">
        <v>331865.36</v>
      </c>
      <c r="M285" s="65">
        <v>-1.1299999999999999</v>
      </c>
      <c r="N285" s="65">
        <v>1.5</v>
      </c>
      <c r="O285" s="35"/>
    </row>
    <row r="286" spans="1:15" s="36" customFormat="1" ht="12" x14ac:dyDescent="0.2">
      <c r="A286" s="33"/>
      <c r="B286" s="62">
        <v>39294</v>
      </c>
      <c r="C286" s="64">
        <v>5.6</v>
      </c>
      <c r="D286" s="64">
        <v>2.4</v>
      </c>
      <c r="E286" s="64">
        <v>2.2000000000000002</v>
      </c>
      <c r="F286" s="64">
        <v>3.07</v>
      </c>
      <c r="G286" s="64">
        <v>3.2</v>
      </c>
      <c r="H286" s="33"/>
      <c r="I286" s="62">
        <v>39021</v>
      </c>
      <c r="J286" s="64">
        <v>24964.16</v>
      </c>
      <c r="K286" s="64">
        <v>118359.96</v>
      </c>
      <c r="L286" s="64">
        <v>332747.17</v>
      </c>
      <c r="M286" s="64">
        <v>-0.8</v>
      </c>
      <c r="N286" s="64">
        <v>1.4</v>
      </c>
      <c r="O286" s="35"/>
    </row>
    <row r="287" spans="1:15" s="36" customFormat="1" ht="12" x14ac:dyDescent="0.2">
      <c r="A287" s="33"/>
      <c r="B287" s="63">
        <v>39325</v>
      </c>
      <c r="C287" s="65">
        <v>6.5</v>
      </c>
      <c r="D287" s="65">
        <v>2.6</v>
      </c>
      <c r="E287" s="65">
        <v>2.23</v>
      </c>
      <c r="F287" s="65">
        <v>3.53</v>
      </c>
      <c r="G287" s="65">
        <v>3.9</v>
      </c>
      <c r="H287" s="33"/>
      <c r="I287" s="63">
        <v>39051</v>
      </c>
      <c r="J287" s="65">
        <v>25527.25</v>
      </c>
      <c r="K287" s="65">
        <v>121644.95000000001</v>
      </c>
      <c r="L287" s="65">
        <v>337504.14999999997</v>
      </c>
      <c r="M287" s="65">
        <v>0</v>
      </c>
      <c r="N287" s="65">
        <v>1.9</v>
      </c>
      <c r="O287" s="35"/>
    </row>
    <row r="288" spans="1:15" s="36" customFormat="1" ht="12" x14ac:dyDescent="0.2">
      <c r="A288" s="33"/>
      <c r="B288" s="62">
        <v>39355</v>
      </c>
      <c r="C288" s="64">
        <v>6.2</v>
      </c>
      <c r="D288" s="64">
        <v>2.7</v>
      </c>
      <c r="E288" s="64">
        <v>2.5</v>
      </c>
      <c r="F288" s="64">
        <v>3.32</v>
      </c>
      <c r="G288" s="64">
        <v>3.5</v>
      </c>
      <c r="H288" s="33"/>
      <c r="I288" s="62">
        <v>39082</v>
      </c>
      <c r="J288" s="64">
        <v>27072.62</v>
      </c>
      <c r="K288" s="64">
        <v>126028.05</v>
      </c>
      <c r="L288" s="64">
        <v>345577.91</v>
      </c>
      <c r="M288" s="64">
        <v>0.54</v>
      </c>
      <c r="N288" s="64">
        <v>2.8</v>
      </c>
      <c r="O288" s="35"/>
    </row>
    <row r="289" spans="1:15" s="36" customFormat="1" ht="12" x14ac:dyDescent="0.2">
      <c r="A289" s="33"/>
      <c r="B289" s="63">
        <v>39386</v>
      </c>
      <c r="C289" s="65">
        <v>6.5</v>
      </c>
      <c r="D289" s="65">
        <v>3.2</v>
      </c>
      <c r="E289" s="65">
        <v>3.11</v>
      </c>
      <c r="F289" s="65">
        <v>3.5</v>
      </c>
      <c r="G289" s="65">
        <v>3.3</v>
      </c>
      <c r="H289" s="33"/>
      <c r="I289" s="63">
        <v>39113</v>
      </c>
      <c r="J289" s="65">
        <v>27949.13</v>
      </c>
      <c r="K289" s="65">
        <v>128484.06</v>
      </c>
      <c r="L289" s="65">
        <v>351498.77</v>
      </c>
      <c r="M289" s="65">
        <v>4.28</v>
      </c>
      <c r="N289" s="65">
        <v>2.2000000000000002</v>
      </c>
      <c r="O289" s="35"/>
    </row>
    <row r="290" spans="1:15" s="36" customFormat="1" ht="12" x14ac:dyDescent="0.2">
      <c r="A290" s="33"/>
      <c r="B290" s="62">
        <v>39416</v>
      </c>
      <c r="C290" s="64">
        <v>6.9</v>
      </c>
      <c r="D290" s="64">
        <v>4.55</v>
      </c>
      <c r="E290" s="64">
        <v>4.83</v>
      </c>
      <c r="F290" s="64">
        <v>3.72</v>
      </c>
      <c r="G290" s="64">
        <v>2.35</v>
      </c>
      <c r="H290" s="33"/>
      <c r="I290" s="62">
        <v>39141</v>
      </c>
      <c r="J290" s="64">
        <v>30627.930000000004</v>
      </c>
      <c r="K290" s="64">
        <v>126258.08</v>
      </c>
      <c r="L290" s="64">
        <v>358659.25</v>
      </c>
      <c r="M290" s="64">
        <v>3.2</v>
      </c>
      <c r="N290" s="64">
        <v>2.7</v>
      </c>
      <c r="O290" s="35"/>
    </row>
    <row r="291" spans="1:15" s="36" customFormat="1" ht="12" x14ac:dyDescent="0.2">
      <c r="A291" s="33"/>
      <c r="B291" s="63">
        <v>39447</v>
      </c>
      <c r="C291" s="65">
        <v>6.5</v>
      </c>
      <c r="D291" s="65">
        <v>5.43</v>
      </c>
      <c r="E291" s="65">
        <v>6.01</v>
      </c>
      <c r="F291" s="65">
        <v>3.71</v>
      </c>
      <c r="G291" s="65">
        <v>1.07</v>
      </c>
      <c r="H291" s="33"/>
      <c r="I291" s="63">
        <v>39172</v>
      </c>
      <c r="J291" s="65">
        <v>27387.95</v>
      </c>
      <c r="K291" s="65">
        <v>127881.31</v>
      </c>
      <c r="L291" s="65">
        <v>364104.66000000003</v>
      </c>
      <c r="M291" s="65">
        <v>2.5</v>
      </c>
      <c r="N291" s="65">
        <v>3.3</v>
      </c>
      <c r="O291" s="35"/>
    </row>
    <row r="292" spans="1:15" s="36" customFormat="1" ht="12" x14ac:dyDescent="0.2">
      <c r="A292" s="33"/>
      <c r="B292" s="62">
        <v>39478</v>
      </c>
      <c r="C292" s="64">
        <v>7.1</v>
      </c>
      <c r="D292" s="64">
        <v>6.1</v>
      </c>
      <c r="E292" s="64">
        <v>6.53</v>
      </c>
      <c r="F292" s="64">
        <v>4.63</v>
      </c>
      <c r="G292" s="64">
        <v>1</v>
      </c>
      <c r="H292" s="33"/>
      <c r="I292" s="62">
        <v>39202</v>
      </c>
      <c r="J292" s="64">
        <v>27813.88</v>
      </c>
      <c r="K292" s="64">
        <v>127678.32999999999</v>
      </c>
      <c r="L292" s="64">
        <v>367326.45</v>
      </c>
      <c r="M292" s="64">
        <v>2.9</v>
      </c>
      <c r="N292" s="64">
        <v>3</v>
      </c>
      <c r="O292" s="35"/>
    </row>
    <row r="293" spans="1:15" s="36" customFormat="1" ht="12" x14ac:dyDescent="0.2">
      <c r="A293" s="33"/>
      <c r="B293" s="63">
        <v>39507</v>
      </c>
      <c r="C293" s="65">
        <v>8.6999999999999993</v>
      </c>
      <c r="D293" s="65">
        <v>6.62</v>
      </c>
      <c r="E293" s="65">
        <v>7.16</v>
      </c>
      <c r="F293" s="65">
        <v>4.9000000000000004</v>
      </c>
      <c r="G293" s="65">
        <v>2.08</v>
      </c>
      <c r="H293" s="33"/>
      <c r="I293" s="63">
        <v>39233</v>
      </c>
      <c r="J293" s="65">
        <v>26727.969999999998</v>
      </c>
      <c r="K293" s="65">
        <v>130275.8</v>
      </c>
      <c r="L293" s="65">
        <v>369718.15</v>
      </c>
      <c r="M293" s="65">
        <v>2.54</v>
      </c>
      <c r="N293" s="65">
        <v>3.4</v>
      </c>
      <c r="O293" s="35"/>
    </row>
    <row r="294" spans="1:15" s="36" customFormat="1" ht="12" x14ac:dyDescent="0.2">
      <c r="A294" s="33"/>
      <c r="B294" s="62">
        <v>39538</v>
      </c>
      <c r="C294" s="64">
        <v>8.3000000000000007</v>
      </c>
      <c r="D294" s="64">
        <v>7.95</v>
      </c>
      <c r="E294" s="64">
        <v>8.7200000000000006</v>
      </c>
      <c r="F294" s="64">
        <v>5.48</v>
      </c>
      <c r="G294" s="64">
        <v>0.35</v>
      </c>
      <c r="H294" s="33"/>
      <c r="I294" s="62">
        <v>39263</v>
      </c>
      <c r="J294" s="64">
        <v>26881.09</v>
      </c>
      <c r="K294" s="64">
        <v>135847.4</v>
      </c>
      <c r="L294" s="64">
        <v>377832.15</v>
      </c>
      <c r="M294" s="64">
        <v>3.86</v>
      </c>
      <c r="N294" s="64">
        <v>4.4000000000000004</v>
      </c>
      <c r="O294" s="35"/>
    </row>
    <row r="295" spans="1:15" s="36" customFormat="1" ht="12" x14ac:dyDescent="0.2">
      <c r="A295" s="33"/>
      <c r="B295" s="63">
        <v>39568</v>
      </c>
      <c r="C295" s="65">
        <v>8.5</v>
      </c>
      <c r="D295" s="65">
        <v>8.1199999999999992</v>
      </c>
      <c r="E295" s="65">
        <v>8.9600000000000009</v>
      </c>
      <c r="F295" s="65">
        <v>5.41</v>
      </c>
      <c r="G295" s="65">
        <v>0.38</v>
      </c>
      <c r="H295" s="33"/>
      <c r="I295" s="63">
        <v>39294</v>
      </c>
      <c r="J295" s="65">
        <v>27326.26</v>
      </c>
      <c r="K295" s="65">
        <v>136237.43000000002</v>
      </c>
      <c r="L295" s="65">
        <v>383884.88</v>
      </c>
      <c r="M295" s="65">
        <v>2.4</v>
      </c>
      <c r="N295" s="65">
        <v>5.6</v>
      </c>
      <c r="O295" s="35"/>
    </row>
    <row r="296" spans="1:15" s="36" customFormat="1" ht="12" x14ac:dyDescent="0.2">
      <c r="A296" s="33"/>
      <c r="B296" s="62">
        <v>39599</v>
      </c>
      <c r="C296" s="64">
        <v>7.7</v>
      </c>
      <c r="D296" s="64">
        <v>8.2200000000000006</v>
      </c>
      <c r="E296" s="64">
        <v>9.19</v>
      </c>
      <c r="F296" s="64">
        <v>5.1100000000000003</v>
      </c>
      <c r="G296" s="64">
        <v>-0.52</v>
      </c>
      <c r="H296" s="33"/>
      <c r="I296" s="62">
        <v>39325</v>
      </c>
      <c r="J296" s="64">
        <v>27822.390000000003</v>
      </c>
      <c r="K296" s="64">
        <v>140993.21000000002</v>
      </c>
      <c r="L296" s="64">
        <v>387205.03999999992</v>
      </c>
      <c r="M296" s="64">
        <v>4.7</v>
      </c>
      <c r="N296" s="64">
        <v>6.5</v>
      </c>
      <c r="O296" s="35"/>
    </row>
    <row r="297" spans="1:15" s="36" customFormat="1" ht="12" x14ac:dyDescent="0.2">
      <c r="A297" s="33"/>
      <c r="B297" s="63">
        <v>39629</v>
      </c>
      <c r="C297" s="65">
        <v>7.1</v>
      </c>
      <c r="D297" s="65">
        <v>8.84</v>
      </c>
      <c r="E297" s="65">
        <v>10.1</v>
      </c>
      <c r="F297" s="65">
        <v>4.78</v>
      </c>
      <c r="G297" s="65">
        <v>-1.74</v>
      </c>
      <c r="H297" s="33"/>
      <c r="I297" s="63">
        <v>39355</v>
      </c>
      <c r="J297" s="65">
        <v>29030.58</v>
      </c>
      <c r="K297" s="65">
        <v>142591.56999999998</v>
      </c>
      <c r="L297" s="65">
        <v>393098.91</v>
      </c>
      <c r="M297" s="65">
        <v>3.62</v>
      </c>
      <c r="N297" s="65">
        <v>6.2</v>
      </c>
      <c r="O297" s="35"/>
    </row>
    <row r="298" spans="1:15" s="36" customFormat="1" ht="12" x14ac:dyDescent="0.2">
      <c r="A298" s="33"/>
      <c r="B298" s="62">
        <v>39660</v>
      </c>
      <c r="C298" s="64">
        <v>6.3</v>
      </c>
      <c r="D298" s="64">
        <v>10.029999999999999</v>
      </c>
      <c r="E298" s="64">
        <v>11.71</v>
      </c>
      <c r="F298" s="64">
        <v>4.5999999999999996</v>
      </c>
      <c r="G298" s="64">
        <v>-3.73</v>
      </c>
      <c r="H298" s="33"/>
      <c r="I298" s="62">
        <v>39386</v>
      </c>
      <c r="J298" s="64">
        <v>28317.78</v>
      </c>
      <c r="K298" s="64">
        <v>144649.33000000002</v>
      </c>
      <c r="L298" s="64">
        <v>394204.17</v>
      </c>
      <c r="M298" s="64">
        <v>3.74</v>
      </c>
      <c r="N298" s="64">
        <v>6.5</v>
      </c>
      <c r="O298" s="35"/>
    </row>
    <row r="299" spans="1:15" s="36" customFormat="1" ht="12" x14ac:dyDescent="0.2">
      <c r="A299" s="33"/>
      <c r="B299" s="63">
        <v>39691</v>
      </c>
      <c r="C299" s="65">
        <v>4.9000000000000004</v>
      </c>
      <c r="D299" s="65">
        <v>10.06</v>
      </c>
      <c r="E299" s="65">
        <v>11.95</v>
      </c>
      <c r="F299" s="65">
        <v>3.97</v>
      </c>
      <c r="G299" s="65">
        <v>-5.16</v>
      </c>
      <c r="H299" s="33"/>
      <c r="I299" s="63">
        <v>39416</v>
      </c>
      <c r="J299" s="65">
        <v>28987.919999999998</v>
      </c>
      <c r="K299" s="65">
        <v>148009.82</v>
      </c>
      <c r="L299" s="65">
        <v>399757.91</v>
      </c>
      <c r="M299" s="65">
        <v>3.22</v>
      </c>
      <c r="N299" s="65">
        <v>6.9</v>
      </c>
      <c r="O299" s="35"/>
    </row>
    <row r="300" spans="1:15" s="36" customFormat="1" ht="12" x14ac:dyDescent="0.2">
      <c r="A300" s="33"/>
      <c r="B300" s="62">
        <v>39721</v>
      </c>
      <c r="C300" s="64">
        <v>4.5999999999999996</v>
      </c>
      <c r="D300" s="64">
        <v>9.1300000000000008</v>
      </c>
      <c r="E300" s="64">
        <v>10.83</v>
      </c>
      <c r="F300" s="64">
        <v>3.65</v>
      </c>
      <c r="G300" s="64">
        <v>-4.53</v>
      </c>
      <c r="H300" s="33"/>
      <c r="I300" s="62">
        <v>39447</v>
      </c>
      <c r="J300" s="64">
        <v>30334.319999999996</v>
      </c>
      <c r="K300" s="64">
        <v>152519.17000000001</v>
      </c>
      <c r="L300" s="64">
        <v>403401.3</v>
      </c>
      <c r="M300" s="64">
        <v>4.29</v>
      </c>
      <c r="N300" s="64">
        <v>6.5</v>
      </c>
      <c r="O300" s="35"/>
    </row>
    <row r="301" spans="1:15" s="36" customFormat="1" ht="12" x14ac:dyDescent="0.2">
      <c r="A301" s="33"/>
      <c r="B301" s="63">
        <v>39752</v>
      </c>
      <c r="C301" s="65">
        <v>4</v>
      </c>
      <c r="D301" s="65">
        <v>6.59</v>
      </c>
      <c r="E301" s="65">
        <v>7.67</v>
      </c>
      <c r="F301" s="65">
        <v>3.13</v>
      </c>
      <c r="G301" s="65">
        <v>-2.59</v>
      </c>
      <c r="H301" s="33"/>
      <c r="I301" s="63">
        <v>39478</v>
      </c>
      <c r="J301" s="65">
        <v>36673.15</v>
      </c>
      <c r="K301" s="65">
        <v>154872.59</v>
      </c>
      <c r="L301" s="65">
        <v>417846.17000000004</v>
      </c>
      <c r="M301" s="65">
        <v>1.78</v>
      </c>
      <c r="N301" s="65">
        <v>7.1</v>
      </c>
      <c r="O301" s="35"/>
    </row>
    <row r="302" spans="1:15" s="36" customFormat="1" ht="12" x14ac:dyDescent="0.2">
      <c r="A302" s="33"/>
      <c r="B302" s="62">
        <v>39782</v>
      </c>
      <c r="C302" s="64">
        <v>2.4</v>
      </c>
      <c r="D302" s="64">
        <v>1.99</v>
      </c>
      <c r="E302" s="64">
        <v>1.95</v>
      </c>
      <c r="F302" s="64">
        <v>2.12</v>
      </c>
      <c r="G302" s="64">
        <v>0.41</v>
      </c>
      <c r="H302" s="33"/>
      <c r="I302" s="62">
        <v>39507</v>
      </c>
      <c r="J302" s="64">
        <v>32454.47</v>
      </c>
      <c r="K302" s="64">
        <v>150177.88</v>
      </c>
      <c r="L302" s="64">
        <v>421037.83999999991</v>
      </c>
      <c r="M302" s="64">
        <v>1.72</v>
      </c>
      <c r="N302" s="64">
        <v>8.6999999999999993</v>
      </c>
      <c r="O302" s="35"/>
    </row>
    <row r="303" spans="1:15" s="36" customFormat="1" ht="12" x14ac:dyDescent="0.2">
      <c r="A303" s="33"/>
      <c r="B303" s="63">
        <v>39813</v>
      </c>
      <c r="C303" s="65">
        <v>1.2</v>
      </c>
      <c r="D303" s="65">
        <v>-1.1399999999999999</v>
      </c>
      <c r="E303" s="65">
        <v>-1.87</v>
      </c>
      <c r="F303" s="65">
        <v>1.19</v>
      </c>
      <c r="G303" s="65">
        <v>2.34</v>
      </c>
      <c r="H303" s="33"/>
      <c r="I303" s="63">
        <v>39538</v>
      </c>
      <c r="J303" s="65">
        <v>30433.07</v>
      </c>
      <c r="K303" s="65">
        <v>150867.47</v>
      </c>
      <c r="L303" s="65">
        <v>423054.52999999991</v>
      </c>
      <c r="M303" s="65">
        <v>1.96</v>
      </c>
      <c r="N303" s="65">
        <v>8.3000000000000007</v>
      </c>
      <c r="O303" s="35"/>
    </row>
    <row r="304" spans="1:15" s="36" customFormat="1" ht="12" x14ac:dyDescent="0.2">
      <c r="A304" s="33"/>
      <c r="B304" s="62">
        <v>39844</v>
      </c>
      <c r="C304" s="64">
        <v>1</v>
      </c>
      <c r="D304" s="64">
        <v>-3.35</v>
      </c>
      <c r="E304" s="64">
        <v>-4.43</v>
      </c>
      <c r="F304" s="64">
        <v>0.12</v>
      </c>
      <c r="G304" s="64">
        <v>4.3499999999999996</v>
      </c>
      <c r="H304" s="33"/>
      <c r="I304" s="62">
        <v>39568</v>
      </c>
      <c r="J304" s="64">
        <v>30789.61</v>
      </c>
      <c r="K304" s="64">
        <v>151694.91</v>
      </c>
      <c r="L304" s="64">
        <v>429313.72</v>
      </c>
      <c r="M304" s="64">
        <v>2.11</v>
      </c>
      <c r="N304" s="64">
        <v>8.5</v>
      </c>
      <c r="O304" s="35"/>
    </row>
    <row r="305" spans="1:15" s="36" customFormat="1" ht="12" x14ac:dyDescent="0.2">
      <c r="A305" s="33"/>
      <c r="B305" s="63">
        <v>39872</v>
      </c>
      <c r="C305" s="65">
        <v>-1.6</v>
      </c>
      <c r="D305" s="65">
        <v>-4.47</v>
      </c>
      <c r="E305" s="65">
        <v>-5.72</v>
      </c>
      <c r="F305" s="65">
        <v>-0.45</v>
      </c>
      <c r="G305" s="65">
        <v>2.87</v>
      </c>
      <c r="H305" s="33"/>
      <c r="I305" s="63">
        <v>39599</v>
      </c>
      <c r="J305" s="65">
        <v>30169.3</v>
      </c>
      <c r="K305" s="65">
        <v>153344.75</v>
      </c>
      <c r="L305" s="65">
        <v>436221.59999999992</v>
      </c>
      <c r="M305" s="65">
        <v>-0.14000000000000001</v>
      </c>
      <c r="N305" s="65">
        <v>7.7</v>
      </c>
      <c r="O305" s="35"/>
    </row>
    <row r="306" spans="1:15" s="36" customFormat="1" ht="12" x14ac:dyDescent="0.2">
      <c r="A306" s="33"/>
      <c r="B306" s="62">
        <v>39903</v>
      </c>
      <c r="C306" s="64">
        <v>-1.2</v>
      </c>
      <c r="D306" s="64">
        <v>-6</v>
      </c>
      <c r="E306" s="64">
        <v>-7.4</v>
      </c>
      <c r="F306" s="64">
        <v>-1.4</v>
      </c>
      <c r="G306" s="64">
        <v>4.8</v>
      </c>
      <c r="H306" s="33"/>
      <c r="I306" s="62">
        <v>39629</v>
      </c>
      <c r="J306" s="64">
        <v>30181.32</v>
      </c>
      <c r="K306" s="64">
        <v>154820.15</v>
      </c>
      <c r="L306" s="64">
        <v>443141.02</v>
      </c>
      <c r="M306" s="64">
        <v>-3.18</v>
      </c>
      <c r="N306" s="64">
        <v>7.1</v>
      </c>
      <c r="O306" s="35"/>
    </row>
    <row r="307" spans="1:15" s="36" customFormat="1" ht="12" x14ac:dyDescent="0.2">
      <c r="A307" s="33"/>
      <c r="B307" s="63">
        <v>39933</v>
      </c>
      <c r="C307" s="65">
        <v>-1.5</v>
      </c>
      <c r="D307" s="65">
        <v>-6.6</v>
      </c>
      <c r="E307" s="65">
        <v>-8.11</v>
      </c>
      <c r="F307" s="65">
        <v>-1.72</v>
      </c>
      <c r="G307" s="65">
        <v>5.0999999999999996</v>
      </c>
      <c r="H307" s="33"/>
      <c r="I307" s="63">
        <v>39660</v>
      </c>
      <c r="J307" s="65">
        <v>30687.19</v>
      </c>
      <c r="K307" s="65">
        <v>154992.44</v>
      </c>
      <c r="L307" s="65">
        <v>446362.16999999993</v>
      </c>
      <c r="M307" s="65">
        <v>-2.39</v>
      </c>
      <c r="N307" s="65">
        <v>6.3</v>
      </c>
      <c r="O307" s="35"/>
    </row>
    <row r="308" spans="1:15" s="36" customFormat="1" ht="12" x14ac:dyDescent="0.2">
      <c r="A308" s="33"/>
      <c r="B308" s="62">
        <v>39964</v>
      </c>
      <c r="C308" s="64">
        <v>-1.4</v>
      </c>
      <c r="D308" s="64">
        <v>-7.2</v>
      </c>
      <c r="E308" s="64">
        <v>-8.84</v>
      </c>
      <c r="F308" s="64">
        <v>-1.93</v>
      </c>
      <c r="G308" s="64">
        <v>5.8</v>
      </c>
      <c r="H308" s="33"/>
      <c r="I308" s="62">
        <v>39691</v>
      </c>
      <c r="J308" s="64">
        <v>30851.62</v>
      </c>
      <c r="K308" s="64">
        <v>156889.92000000001</v>
      </c>
      <c r="L308" s="64">
        <v>448846.67999999993</v>
      </c>
      <c r="M308" s="64">
        <v>-4.5199999999999996</v>
      </c>
      <c r="N308" s="64">
        <v>4.9000000000000004</v>
      </c>
      <c r="O308" s="35"/>
    </row>
    <row r="309" spans="1:15" s="36" customFormat="1" ht="12" x14ac:dyDescent="0.2">
      <c r="A309" s="33"/>
      <c r="B309" s="63">
        <v>39994</v>
      </c>
      <c r="C309" s="65">
        <v>-1.7</v>
      </c>
      <c r="D309" s="65">
        <v>-7.8</v>
      </c>
      <c r="E309" s="65">
        <v>-9.6</v>
      </c>
      <c r="F309" s="65">
        <v>-2.1</v>
      </c>
      <c r="G309" s="65">
        <v>6.1</v>
      </c>
      <c r="H309" s="33"/>
      <c r="I309" s="63">
        <v>39721</v>
      </c>
      <c r="J309" s="65">
        <v>31724.879999999997</v>
      </c>
      <c r="K309" s="65">
        <v>155748.97</v>
      </c>
      <c r="L309" s="65">
        <v>452898.71</v>
      </c>
      <c r="M309" s="65">
        <v>-5.86</v>
      </c>
      <c r="N309" s="65">
        <v>4.5999999999999996</v>
      </c>
      <c r="O309" s="35"/>
    </row>
    <row r="310" spans="1:15" s="36" customFormat="1" ht="12" x14ac:dyDescent="0.2">
      <c r="A310" s="33"/>
      <c r="B310" s="62">
        <v>40025</v>
      </c>
      <c r="C310" s="64">
        <v>-1.8</v>
      </c>
      <c r="D310" s="64">
        <v>-8.1999999999999993</v>
      </c>
      <c r="E310" s="64">
        <v>-10.1</v>
      </c>
      <c r="F310" s="64">
        <v>-2.2999999999999998</v>
      </c>
      <c r="G310" s="64">
        <v>6.4</v>
      </c>
      <c r="H310" s="33"/>
      <c r="I310" s="62">
        <v>39752</v>
      </c>
      <c r="J310" s="64">
        <v>31317.840000000004</v>
      </c>
      <c r="K310" s="64">
        <v>157194.36000000002</v>
      </c>
      <c r="L310" s="64">
        <v>453133.32</v>
      </c>
      <c r="M310" s="64">
        <v>-6.17</v>
      </c>
      <c r="N310" s="64">
        <v>4</v>
      </c>
      <c r="O310" s="35"/>
    </row>
    <row r="311" spans="1:15" s="36" customFormat="1" ht="12" x14ac:dyDescent="0.2">
      <c r="A311" s="33"/>
      <c r="B311" s="63">
        <v>40056</v>
      </c>
      <c r="C311" s="65">
        <v>-1.2</v>
      </c>
      <c r="D311" s="65">
        <v>-7.86</v>
      </c>
      <c r="E311" s="65">
        <v>-9.75</v>
      </c>
      <c r="F311" s="65">
        <v>-1.86</v>
      </c>
      <c r="G311" s="65">
        <v>6.66</v>
      </c>
      <c r="H311" s="33"/>
      <c r="I311" s="63">
        <v>39782</v>
      </c>
      <c r="J311" s="65">
        <v>31607.360000000001</v>
      </c>
      <c r="K311" s="65">
        <v>157826.63</v>
      </c>
      <c r="L311" s="65">
        <v>458644.66000000003</v>
      </c>
      <c r="M311" s="65">
        <v>-8</v>
      </c>
      <c r="N311" s="65">
        <v>2.4</v>
      </c>
      <c r="O311" s="35"/>
    </row>
    <row r="312" spans="1:15" s="36" customFormat="1" ht="12" x14ac:dyDescent="0.2">
      <c r="A312" s="33"/>
      <c r="B312" s="62">
        <v>40086</v>
      </c>
      <c r="C312" s="64">
        <v>-0.8</v>
      </c>
      <c r="D312" s="64">
        <v>-6.99</v>
      </c>
      <c r="E312" s="64">
        <v>-8.6199999999999992</v>
      </c>
      <c r="F312" s="64">
        <v>-1.8</v>
      </c>
      <c r="G312" s="64">
        <v>6.19</v>
      </c>
      <c r="H312" s="33"/>
      <c r="I312" s="62">
        <v>39813</v>
      </c>
      <c r="J312" s="64">
        <v>34218.959999999999</v>
      </c>
      <c r="K312" s="64">
        <v>166217.13</v>
      </c>
      <c r="L312" s="64">
        <v>475166.6</v>
      </c>
      <c r="M312" s="64">
        <v>-8.76</v>
      </c>
      <c r="N312" s="64">
        <v>1.2</v>
      </c>
      <c r="O312" s="35"/>
    </row>
    <row r="313" spans="1:15" s="36" customFormat="1" ht="12" x14ac:dyDescent="0.2">
      <c r="A313" s="33"/>
      <c r="B313" s="63">
        <v>40117</v>
      </c>
      <c r="C313" s="65">
        <v>-0.5</v>
      </c>
      <c r="D313" s="65">
        <v>-5.85</v>
      </c>
      <c r="E313" s="65">
        <v>-7.23</v>
      </c>
      <c r="F313" s="65">
        <v>-1.44</v>
      </c>
      <c r="G313" s="65">
        <v>5.35</v>
      </c>
      <c r="H313" s="33"/>
      <c r="I313" s="63">
        <v>39844</v>
      </c>
      <c r="J313" s="65">
        <v>41082.369999999995</v>
      </c>
      <c r="K313" s="65">
        <v>165214.34</v>
      </c>
      <c r="L313" s="65">
        <v>496135.31</v>
      </c>
      <c r="M313" s="65">
        <v>-12.11</v>
      </c>
      <c r="N313" s="65">
        <v>1</v>
      </c>
      <c r="O313" s="35"/>
    </row>
    <row r="314" spans="1:15" s="36" customFormat="1" ht="12" x14ac:dyDescent="0.2">
      <c r="A314" s="33"/>
      <c r="B314" s="62">
        <v>40147</v>
      </c>
      <c r="C314" s="64">
        <v>0.6</v>
      </c>
      <c r="D314" s="64">
        <v>-2.08</v>
      </c>
      <c r="E314" s="64">
        <v>-2.67</v>
      </c>
      <c r="F314" s="64">
        <v>-0.22</v>
      </c>
      <c r="G314" s="64">
        <v>2.68</v>
      </c>
      <c r="H314" s="33"/>
      <c r="I314" s="62">
        <v>39872</v>
      </c>
      <c r="J314" s="64">
        <v>35141.64</v>
      </c>
      <c r="K314" s="64">
        <v>166149.59999999998</v>
      </c>
      <c r="L314" s="64">
        <v>506708.06999999995</v>
      </c>
      <c r="M314" s="64">
        <v>-9.61</v>
      </c>
      <c r="N314" s="64">
        <v>-1.6</v>
      </c>
      <c r="O314" s="35"/>
    </row>
    <row r="315" spans="1:15" s="36" customFormat="1" ht="12" x14ac:dyDescent="0.2">
      <c r="A315" s="33"/>
      <c r="B315" s="63">
        <v>40178</v>
      </c>
      <c r="C315" s="65">
        <v>1.9</v>
      </c>
      <c r="D315" s="65">
        <v>1.7</v>
      </c>
      <c r="E315" s="65">
        <v>1.98</v>
      </c>
      <c r="F315" s="65">
        <v>0.8</v>
      </c>
      <c r="G315" s="65">
        <v>0.2</v>
      </c>
      <c r="H315" s="33"/>
      <c r="I315" s="63">
        <v>39903</v>
      </c>
      <c r="J315" s="65">
        <v>33746.42</v>
      </c>
      <c r="K315" s="65">
        <v>176541.13</v>
      </c>
      <c r="L315" s="65">
        <v>530626.71</v>
      </c>
      <c r="M315" s="65">
        <v>-8.4700000000000006</v>
      </c>
      <c r="N315" s="65">
        <v>-1.2</v>
      </c>
      <c r="O315" s="35"/>
    </row>
    <row r="316" spans="1:15" s="36" customFormat="1" ht="12" x14ac:dyDescent="0.2">
      <c r="A316" s="33"/>
      <c r="B316" s="62">
        <v>40209</v>
      </c>
      <c r="C316" s="64">
        <v>1.5</v>
      </c>
      <c r="D316" s="64">
        <v>4.32</v>
      </c>
      <c r="E316" s="64">
        <v>5.49</v>
      </c>
      <c r="F316" s="64">
        <v>0.55000000000000004</v>
      </c>
      <c r="G316" s="64">
        <v>-2.82</v>
      </c>
      <c r="H316" s="33"/>
      <c r="I316" s="62">
        <v>39933</v>
      </c>
      <c r="J316" s="64">
        <v>34257.270000000004</v>
      </c>
      <c r="K316" s="64">
        <v>178213.57</v>
      </c>
      <c r="L316" s="64">
        <v>540481.21</v>
      </c>
      <c r="M316" s="64">
        <v>-8.4099999999999966</v>
      </c>
      <c r="N316" s="64">
        <v>-1.5</v>
      </c>
      <c r="O316" s="35"/>
    </row>
    <row r="317" spans="1:15" s="36" customFormat="1" ht="12" x14ac:dyDescent="0.2">
      <c r="A317" s="33"/>
      <c r="B317" s="63">
        <v>40237</v>
      </c>
      <c r="C317" s="65">
        <v>2.7</v>
      </c>
      <c r="D317" s="65">
        <v>5.39</v>
      </c>
      <c r="E317" s="65">
        <v>6.76</v>
      </c>
      <c r="F317" s="65">
        <v>0.97</v>
      </c>
      <c r="G317" s="65">
        <v>-2.69</v>
      </c>
      <c r="H317" s="33"/>
      <c r="I317" s="63">
        <v>39964</v>
      </c>
      <c r="J317" s="65">
        <v>33559.520000000004</v>
      </c>
      <c r="K317" s="65">
        <v>182025.58000000002</v>
      </c>
      <c r="L317" s="65">
        <v>548263.51</v>
      </c>
      <c r="M317" s="65">
        <v>-7.05</v>
      </c>
      <c r="N317" s="65">
        <v>-1.4</v>
      </c>
      <c r="O317" s="35"/>
    </row>
    <row r="318" spans="1:15" s="36" customFormat="1" ht="12" x14ac:dyDescent="0.2">
      <c r="A318" s="33"/>
      <c r="B318" s="62">
        <v>40268</v>
      </c>
      <c r="C318" s="64">
        <v>2.4</v>
      </c>
      <c r="D318" s="64">
        <v>5.91</v>
      </c>
      <c r="E318" s="64">
        <v>7.38</v>
      </c>
      <c r="F318" s="64">
        <v>1.17</v>
      </c>
      <c r="G318" s="64">
        <v>-3.51</v>
      </c>
      <c r="H318" s="33"/>
      <c r="I318" s="62">
        <v>39994</v>
      </c>
      <c r="J318" s="64">
        <v>33640.979999999996</v>
      </c>
      <c r="K318" s="64">
        <v>193138.15</v>
      </c>
      <c r="L318" s="64">
        <v>568916.19999999995</v>
      </c>
      <c r="M318" s="64">
        <v>-3.6699999999999968</v>
      </c>
      <c r="N318" s="64">
        <v>-1.7</v>
      </c>
      <c r="O318" s="35"/>
    </row>
    <row r="319" spans="1:15" s="36" customFormat="1" ht="12" x14ac:dyDescent="0.2">
      <c r="A319" s="33"/>
      <c r="B319" s="63">
        <v>40298</v>
      </c>
      <c r="C319" s="65">
        <v>2.8</v>
      </c>
      <c r="D319" s="65">
        <v>6.81</v>
      </c>
      <c r="E319" s="65">
        <v>8.5</v>
      </c>
      <c r="F319" s="65">
        <v>1.4</v>
      </c>
      <c r="G319" s="65">
        <v>-4.01</v>
      </c>
      <c r="H319" s="33"/>
      <c r="I319" s="63">
        <v>40025</v>
      </c>
      <c r="J319" s="65">
        <v>34239.300000000003</v>
      </c>
      <c r="K319" s="65">
        <v>195889.27</v>
      </c>
      <c r="L319" s="65">
        <v>573102.85</v>
      </c>
      <c r="M319" s="65">
        <v>-2.0500000000000029</v>
      </c>
      <c r="N319" s="65">
        <v>-1.8</v>
      </c>
      <c r="O319" s="35"/>
    </row>
    <row r="320" spans="1:15" s="36" customFormat="1" ht="12" x14ac:dyDescent="0.2">
      <c r="A320" s="33"/>
      <c r="B320" s="62">
        <v>40329</v>
      </c>
      <c r="C320" s="64">
        <v>3.1</v>
      </c>
      <c r="D320" s="64">
        <v>7.13</v>
      </c>
      <c r="E320" s="64">
        <v>8.7899999999999991</v>
      </c>
      <c r="F320" s="64">
        <v>1.8</v>
      </c>
      <c r="G320" s="64">
        <v>-4.03</v>
      </c>
      <c r="H320" s="33"/>
      <c r="I320" s="62">
        <v>40056</v>
      </c>
      <c r="J320" s="64">
        <v>34406.620000000003</v>
      </c>
      <c r="K320" s="64">
        <v>200394.83</v>
      </c>
      <c r="L320" s="64">
        <v>576698.94999999995</v>
      </c>
      <c r="M320" s="64">
        <v>-0.80999999999999805</v>
      </c>
      <c r="N320" s="64">
        <v>-1.2</v>
      </c>
      <c r="O320" s="35"/>
    </row>
    <row r="321" spans="1:15" s="36" customFormat="1" ht="12" x14ac:dyDescent="0.2">
      <c r="A321" s="33"/>
      <c r="B321" s="63">
        <v>40359</v>
      </c>
      <c r="C321" s="65">
        <v>2.9</v>
      </c>
      <c r="D321" s="65">
        <v>6.41</v>
      </c>
      <c r="E321" s="65">
        <v>7.79</v>
      </c>
      <c r="F321" s="65">
        <v>1.96</v>
      </c>
      <c r="G321" s="65">
        <v>-3.51</v>
      </c>
      <c r="H321" s="33"/>
      <c r="I321" s="63">
        <v>40086</v>
      </c>
      <c r="J321" s="65">
        <v>36787.89</v>
      </c>
      <c r="K321" s="65">
        <v>201708.14</v>
      </c>
      <c r="L321" s="65">
        <v>585405.34000000008</v>
      </c>
      <c r="M321" s="65">
        <v>0.19999999999999801</v>
      </c>
      <c r="N321" s="65">
        <v>-0.8</v>
      </c>
      <c r="O321" s="35"/>
    </row>
    <row r="322" spans="1:15" s="36" customFormat="1" ht="12" x14ac:dyDescent="0.2">
      <c r="A322" s="33"/>
      <c r="B322" s="62">
        <v>40390</v>
      </c>
      <c r="C322" s="64">
        <v>3.3</v>
      </c>
      <c r="D322" s="64">
        <v>4.84</v>
      </c>
      <c r="E322" s="64">
        <v>5.69</v>
      </c>
      <c r="F322" s="64">
        <v>2.09</v>
      </c>
      <c r="G322" s="64">
        <v>-1.54</v>
      </c>
      <c r="H322" s="33"/>
      <c r="I322" s="62">
        <v>40117</v>
      </c>
      <c r="J322" s="64">
        <v>35730.230000000003</v>
      </c>
      <c r="K322" s="64">
        <v>207545.74000000002</v>
      </c>
      <c r="L322" s="64">
        <v>586643.29</v>
      </c>
      <c r="M322" s="64">
        <v>2.61</v>
      </c>
      <c r="N322" s="64">
        <v>-0.5</v>
      </c>
      <c r="O322" s="35"/>
    </row>
    <row r="323" spans="1:15" s="36" customFormat="1" ht="12" x14ac:dyDescent="0.2">
      <c r="A323" s="33"/>
      <c r="B323" s="63">
        <v>40421</v>
      </c>
      <c r="C323" s="65">
        <v>3.5</v>
      </c>
      <c r="D323" s="65">
        <v>4.32</v>
      </c>
      <c r="E323" s="65">
        <v>4.99</v>
      </c>
      <c r="F323" s="65">
        <v>2.17</v>
      </c>
      <c r="G323" s="65">
        <v>-0.82</v>
      </c>
      <c r="H323" s="33"/>
      <c r="I323" s="63">
        <v>40147</v>
      </c>
      <c r="J323" s="65">
        <v>36343.86</v>
      </c>
      <c r="K323" s="65">
        <v>212493.2</v>
      </c>
      <c r="L323" s="65">
        <v>594604.72</v>
      </c>
      <c r="M323" s="65">
        <v>4.8899999999999997</v>
      </c>
      <c r="N323" s="65">
        <v>0.6</v>
      </c>
      <c r="O323" s="35"/>
    </row>
    <row r="324" spans="1:15" s="36" customFormat="1" ht="12" x14ac:dyDescent="0.2">
      <c r="A324" s="33"/>
      <c r="B324" s="62">
        <v>40451</v>
      </c>
      <c r="C324" s="64">
        <v>3.6</v>
      </c>
      <c r="D324" s="64">
        <v>4.33</v>
      </c>
      <c r="E324" s="64">
        <v>4.9000000000000004</v>
      </c>
      <c r="F324" s="64">
        <v>2.46</v>
      </c>
      <c r="G324" s="64">
        <v>-0.73</v>
      </c>
      <c r="H324" s="33"/>
      <c r="I324" s="62">
        <v>40178</v>
      </c>
      <c r="J324" s="64">
        <v>38246.97</v>
      </c>
      <c r="K324" s="64">
        <v>221445.81</v>
      </c>
      <c r="L324" s="64">
        <v>610224.52</v>
      </c>
      <c r="M324" s="64">
        <v>4.67</v>
      </c>
      <c r="N324" s="64">
        <v>1.9</v>
      </c>
      <c r="O324" s="35"/>
    </row>
    <row r="325" spans="1:15" s="36" customFormat="1" ht="12" x14ac:dyDescent="0.2">
      <c r="A325" s="33"/>
      <c r="B325" s="63">
        <v>40482</v>
      </c>
      <c r="C325" s="65">
        <v>4.4000000000000004</v>
      </c>
      <c r="D325" s="65">
        <v>5.04</v>
      </c>
      <c r="E325" s="65">
        <v>5.8</v>
      </c>
      <c r="F325" s="65">
        <v>2.58</v>
      </c>
      <c r="G325" s="65">
        <v>-0.64</v>
      </c>
      <c r="H325" s="33"/>
      <c r="I325" s="63">
        <v>40209</v>
      </c>
      <c r="J325" s="65">
        <v>40758.58</v>
      </c>
      <c r="K325" s="65">
        <v>229588.97999999998</v>
      </c>
      <c r="L325" s="65">
        <v>625609.29</v>
      </c>
      <c r="M325" s="65">
        <v>12.98</v>
      </c>
      <c r="N325" s="65">
        <v>1.5</v>
      </c>
      <c r="O325" s="35"/>
    </row>
    <row r="326" spans="1:15" s="36" customFormat="1" ht="12" x14ac:dyDescent="0.2">
      <c r="A326" s="33"/>
      <c r="B326" s="62">
        <v>40512</v>
      </c>
      <c r="C326" s="64">
        <v>5.0999999999999996</v>
      </c>
      <c r="D326" s="64">
        <v>6.06</v>
      </c>
      <c r="E326" s="64">
        <v>6.94</v>
      </c>
      <c r="F326" s="64">
        <v>3.25</v>
      </c>
      <c r="G326" s="64">
        <v>-0.96</v>
      </c>
      <c r="H326" s="33"/>
      <c r="I326" s="62">
        <v>40237</v>
      </c>
      <c r="J326" s="64">
        <v>42865.79</v>
      </c>
      <c r="K326" s="64">
        <v>224286.94999999998</v>
      </c>
      <c r="L326" s="64">
        <v>636072.26</v>
      </c>
      <c r="M326" s="64">
        <v>9.4700000000000006</v>
      </c>
      <c r="N326" s="64">
        <v>2.7</v>
      </c>
      <c r="O326" s="35"/>
    </row>
    <row r="327" spans="1:15" s="36" customFormat="1" ht="12" x14ac:dyDescent="0.2">
      <c r="A327" s="33"/>
      <c r="B327" s="63">
        <v>40543</v>
      </c>
      <c r="C327" s="65">
        <v>4.5999999999999996</v>
      </c>
      <c r="D327" s="65">
        <v>5.93</v>
      </c>
      <c r="E327" s="65">
        <v>6.67</v>
      </c>
      <c r="F327" s="65">
        <v>3.53</v>
      </c>
      <c r="G327" s="65">
        <v>-1.33</v>
      </c>
      <c r="H327" s="33"/>
      <c r="I327" s="63">
        <v>40268</v>
      </c>
      <c r="J327" s="65">
        <v>39080.579999999994</v>
      </c>
      <c r="K327" s="65">
        <v>229397.93</v>
      </c>
      <c r="L327" s="65">
        <v>649947.46</v>
      </c>
      <c r="M327" s="65">
        <v>7.44</v>
      </c>
      <c r="N327" s="65">
        <v>2.4</v>
      </c>
      <c r="O327" s="35"/>
    </row>
    <row r="328" spans="1:15" s="36" customFormat="1" ht="12" x14ac:dyDescent="0.2">
      <c r="A328" s="33"/>
      <c r="B328" s="62">
        <v>40574</v>
      </c>
      <c r="C328" s="64">
        <v>4.9000000000000004</v>
      </c>
      <c r="D328" s="64">
        <v>6.6</v>
      </c>
      <c r="E328" s="64">
        <v>7.5</v>
      </c>
      <c r="F328" s="64">
        <v>3.8</v>
      </c>
      <c r="G328" s="64">
        <v>-1.7</v>
      </c>
      <c r="H328" s="33"/>
      <c r="I328" s="62">
        <v>40298</v>
      </c>
      <c r="J328" s="64">
        <v>39657.54</v>
      </c>
      <c r="K328" s="64">
        <v>233909.76000000001</v>
      </c>
      <c r="L328" s="64">
        <v>656561.22</v>
      </c>
      <c r="M328" s="64">
        <v>9.769999999999996</v>
      </c>
      <c r="N328" s="64">
        <v>2.8</v>
      </c>
      <c r="O328" s="35"/>
    </row>
    <row r="329" spans="1:15" s="36" customFormat="1" ht="12" x14ac:dyDescent="0.2">
      <c r="A329" s="33"/>
      <c r="B329" s="63">
        <v>40602</v>
      </c>
      <c r="C329" s="65">
        <v>4.944</v>
      </c>
      <c r="D329" s="65">
        <v>7.23</v>
      </c>
      <c r="E329" s="65">
        <v>8.2100000000000009</v>
      </c>
      <c r="F329" s="65">
        <v>4.09</v>
      </c>
      <c r="G329" s="65">
        <v>-2.286</v>
      </c>
      <c r="H329" s="33"/>
      <c r="I329" s="63">
        <v>40329</v>
      </c>
      <c r="J329" s="65">
        <v>38652.97</v>
      </c>
      <c r="K329" s="65">
        <v>236497.88</v>
      </c>
      <c r="L329" s="65">
        <v>663351.37</v>
      </c>
      <c r="M329" s="65">
        <v>8.9</v>
      </c>
      <c r="N329" s="65">
        <v>3.1</v>
      </c>
      <c r="O329" s="35"/>
    </row>
    <row r="330" spans="1:15" s="36" customFormat="1" ht="12" x14ac:dyDescent="0.2">
      <c r="A330" s="33"/>
      <c r="B330" s="62">
        <v>40633</v>
      </c>
      <c r="C330" s="64">
        <v>5.383</v>
      </c>
      <c r="D330" s="64">
        <v>7.31</v>
      </c>
      <c r="E330" s="64">
        <v>8.2200000000000006</v>
      </c>
      <c r="F330" s="64">
        <v>4.3600000000000003</v>
      </c>
      <c r="G330" s="64">
        <v>-1.927</v>
      </c>
      <c r="H330" s="33"/>
      <c r="I330" s="62">
        <v>40359</v>
      </c>
      <c r="J330" s="64">
        <v>38904.85</v>
      </c>
      <c r="K330" s="64">
        <v>240580.00000000003</v>
      </c>
      <c r="L330" s="64">
        <v>673921.72</v>
      </c>
      <c r="M330" s="64">
        <v>6.1</v>
      </c>
      <c r="N330" s="64">
        <v>2.9</v>
      </c>
      <c r="O330" s="35"/>
    </row>
    <row r="331" spans="1:15" s="36" customFormat="1" ht="12" x14ac:dyDescent="0.2">
      <c r="A331" s="33"/>
      <c r="B331" s="63">
        <v>40663</v>
      </c>
      <c r="C331" s="65">
        <v>5.3440000000000003</v>
      </c>
      <c r="D331" s="65">
        <v>6.82</v>
      </c>
      <c r="E331" s="65">
        <v>7.49</v>
      </c>
      <c r="F331" s="65">
        <v>4.6399999999999997</v>
      </c>
      <c r="G331" s="65">
        <v>-1.476</v>
      </c>
      <c r="H331" s="33"/>
      <c r="I331" s="63">
        <v>40390</v>
      </c>
      <c r="J331" s="65">
        <v>39543.159999999996</v>
      </c>
      <c r="K331" s="65">
        <v>240664.07</v>
      </c>
      <c r="L331" s="65">
        <v>674051.48</v>
      </c>
      <c r="M331" s="65">
        <v>5.3</v>
      </c>
      <c r="N331" s="65">
        <v>3.3</v>
      </c>
      <c r="O331" s="35"/>
    </row>
    <row r="332" spans="1:15" s="36" customFormat="1" ht="12" x14ac:dyDescent="0.2">
      <c r="A332" s="33"/>
      <c r="B332" s="62">
        <v>40694</v>
      </c>
      <c r="C332" s="64">
        <v>5.5149999999999997</v>
      </c>
      <c r="D332" s="64">
        <v>6.79</v>
      </c>
      <c r="E332" s="64">
        <v>7.45</v>
      </c>
      <c r="F332" s="64">
        <v>4.5999999999999996</v>
      </c>
      <c r="G332" s="64">
        <v>-1.2749999999999999</v>
      </c>
      <c r="H332" s="33"/>
      <c r="I332" s="62">
        <v>40421</v>
      </c>
      <c r="J332" s="64">
        <v>39922.76</v>
      </c>
      <c r="K332" s="64">
        <v>244340.63999999998</v>
      </c>
      <c r="L332" s="64">
        <v>687506.91999999993</v>
      </c>
      <c r="M332" s="64">
        <v>2.7</v>
      </c>
      <c r="N332" s="64">
        <v>3.5</v>
      </c>
      <c r="O332" s="35"/>
    </row>
    <row r="333" spans="1:15" s="36" customFormat="1" ht="12" x14ac:dyDescent="0.2">
      <c r="A333" s="33"/>
      <c r="B333" s="63">
        <v>40724</v>
      </c>
      <c r="C333" s="65">
        <v>6.3550000000000004</v>
      </c>
      <c r="D333" s="65">
        <v>7.12</v>
      </c>
      <c r="E333" s="65">
        <v>7.88</v>
      </c>
      <c r="F333" s="65">
        <v>4.6500000000000004</v>
      </c>
      <c r="G333" s="65">
        <v>-0.76500000000000001</v>
      </c>
      <c r="H333" s="33"/>
      <c r="I333" s="63">
        <v>40451</v>
      </c>
      <c r="J333" s="65">
        <v>41854.409999999996</v>
      </c>
      <c r="K333" s="65">
        <v>243821.90000000002</v>
      </c>
      <c r="L333" s="65">
        <v>696471.5</v>
      </c>
      <c r="M333" s="65">
        <v>1.91</v>
      </c>
      <c r="N333" s="65">
        <v>3.6</v>
      </c>
      <c r="O333" s="35"/>
    </row>
    <row r="334" spans="1:15" s="36" customFormat="1" ht="12" x14ac:dyDescent="0.2">
      <c r="A334" s="33"/>
      <c r="B334" s="62">
        <v>40755</v>
      </c>
      <c r="C334" s="64">
        <v>6.4509999999999996</v>
      </c>
      <c r="D334" s="64">
        <v>7.54</v>
      </c>
      <c r="E334" s="64">
        <v>8.4</v>
      </c>
      <c r="F334" s="64">
        <v>4.75</v>
      </c>
      <c r="G334" s="64">
        <v>-1.089</v>
      </c>
      <c r="H334" s="33"/>
      <c r="I334" s="62">
        <v>40482</v>
      </c>
      <c r="J334" s="64">
        <v>41646.21</v>
      </c>
      <c r="K334" s="64">
        <v>253313.17</v>
      </c>
      <c r="L334" s="64">
        <v>699776.73999999987</v>
      </c>
      <c r="M334" s="64">
        <v>2.8</v>
      </c>
      <c r="N334" s="64">
        <v>4.4000000000000004</v>
      </c>
      <c r="O334" s="35"/>
    </row>
    <row r="335" spans="1:15" s="36" customFormat="1" ht="12" x14ac:dyDescent="0.2">
      <c r="A335" s="33"/>
      <c r="B335" s="63">
        <v>40786</v>
      </c>
      <c r="C335" s="65">
        <v>6.1509999999999998</v>
      </c>
      <c r="D335" s="65">
        <v>7.25</v>
      </c>
      <c r="E335" s="65">
        <v>8.01</v>
      </c>
      <c r="F335" s="65">
        <v>4.79</v>
      </c>
      <c r="G335" s="65">
        <v>-1.099</v>
      </c>
      <c r="H335" s="33"/>
      <c r="I335" s="63">
        <v>40512</v>
      </c>
      <c r="J335" s="65">
        <v>42252.159999999996</v>
      </c>
      <c r="K335" s="65">
        <v>259420.32</v>
      </c>
      <c r="L335" s="65">
        <v>710339.02999999991</v>
      </c>
      <c r="M335" s="65">
        <v>2.6</v>
      </c>
      <c r="N335" s="65">
        <v>5.0999999999999996</v>
      </c>
      <c r="O335" s="35"/>
    </row>
    <row r="336" spans="1:15" s="36" customFormat="1" ht="12" x14ac:dyDescent="0.2">
      <c r="A336" s="33"/>
      <c r="B336" s="62">
        <v>40816</v>
      </c>
      <c r="C336" s="64">
        <v>6.0670000000000002</v>
      </c>
      <c r="D336" s="64">
        <v>6.52</v>
      </c>
      <c r="E336" s="64">
        <v>7.11</v>
      </c>
      <c r="F336" s="64">
        <v>4.62</v>
      </c>
      <c r="G336" s="64">
        <v>-0.45300000000000001</v>
      </c>
      <c r="H336" s="33"/>
      <c r="I336" s="62">
        <v>40543</v>
      </c>
      <c r="J336" s="64">
        <v>44628.17</v>
      </c>
      <c r="K336" s="64">
        <v>266621.54000000004</v>
      </c>
      <c r="L336" s="64">
        <v>725851.78999999992</v>
      </c>
      <c r="M336" s="64">
        <v>1.47</v>
      </c>
      <c r="N336" s="64">
        <v>4.5999999999999996</v>
      </c>
      <c r="O336" s="35"/>
    </row>
    <row r="337" spans="1:15" s="36" customFormat="1" ht="12" x14ac:dyDescent="0.2">
      <c r="A337" s="33"/>
      <c r="B337" s="63">
        <v>40847</v>
      </c>
      <c r="C337" s="65">
        <v>5.4950000000000001</v>
      </c>
      <c r="D337" s="65">
        <v>5</v>
      </c>
      <c r="E337" s="65">
        <v>5.24</v>
      </c>
      <c r="F337" s="65">
        <v>4.22</v>
      </c>
      <c r="G337" s="65">
        <v>0.495</v>
      </c>
      <c r="H337" s="33"/>
      <c r="I337" s="63">
        <v>40574</v>
      </c>
      <c r="J337" s="65">
        <v>58063.94</v>
      </c>
      <c r="K337" s="65">
        <v>261765.01</v>
      </c>
      <c r="L337" s="65">
        <v>733884.83</v>
      </c>
      <c r="M337" s="65">
        <v>-3.6</v>
      </c>
      <c r="N337" s="65">
        <v>4.9000000000000004</v>
      </c>
      <c r="O337" s="35"/>
    </row>
    <row r="338" spans="1:15" s="36" customFormat="1" ht="12" x14ac:dyDescent="0.2">
      <c r="A338" s="33"/>
      <c r="B338" s="62">
        <v>40877</v>
      </c>
      <c r="C338" s="64">
        <v>4.2249999999999996</v>
      </c>
      <c r="D338" s="64">
        <v>2.72</v>
      </c>
      <c r="E338" s="64">
        <v>2.61</v>
      </c>
      <c r="F338" s="64">
        <v>3.09</v>
      </c>
      <c r="G338" s="64">
        <v>1.5049999999999999</v>
      </c>
      <c r="H338" s="33"/>
      <c r="I338" s="62">
        <v>40602</v>
      </c>
      <c r="J338" s="64">
        <v>47270.239999999998</v>
      </c>
      <c r="K338" s="64">
        <v>259200.49999999997</v>
      </c>
      <c r="L338" s="64">
        <v>736130.86</v>
      </c>
      <c r="M338" s="64">
        <v>-1.2</v>
      </c>
      <c r="N338" s="64">
        <v>4.944</v>
      </c>
      <c r="O338" s="35"/>
    </row>
    <row r="339" spans="1:15" s="36" customFormat="1" ht="12" x14ac:dyDescent="0.2">
      <c r="A339" s="33"/>
      <c r="B339" s="63">
        <v>40908</v>
      </c>
      <c r="C339" s="65">
        <v>4.07</v>
      </c>
      <c r="D339" s="65">
        <v>1.69</v>
      </c>
      <c r="E339" s="65">
        <v>1.43</v>
      </c>
      <c r="F339" s="65">
        <v>2.52</v>
      </c>
      <c r="G339" s="65">
        <v>2.38</v>
      </c>
      <c r="H339" s="33"/>
      <c r="I339" s="63">
        <v>40633</v>
      </c>
      <c r="J339" s="65">
        <v>44845.22</v>
      </c>
      <c r="K339" s="65">
        <v>266255.48</v>
      </c>
      <c r="L339" s="65">
        <v>758130.88</v>
      </c>
      <c r="M339" s="65">
        <v>-1.6</v>
      </c>
      <c r="N339" s="65">
        <v>5.383</v>
      </c>
      <c r="O339" s="35"/>
    </row>
    <row r="340" spans="1:15" s="36" customFormat="1" ht="12" x14ac:dyDescent="0.2">
      <c r="A340" s="33"/>
      <c r="B340" s="62">
        <v>40939</v>
      </c>
      <c r="C340" s="64">
        <v>4.5</v>
      </c>
      <c r="D340" s="64">
        <v>0.73</v>
      </c>
      <c r="E340" s="64">
        <v>0.32</v>
      </c>
      <c r="F340" s="64">
        <v>2.11</v>
      </c>
      <c r="G340" s="64">
        <v>3.77</v>
      </c>
      <c r="H340" s="33"/>
      <c r="I340" s="62">
        <v>40663</v>
      </c>
      <c r="J340" s="64">
        <v>45489.03</v>
      </c>
      <c r="K340" s="64">
        <v>266766.90999999997</v>
      </c>
      <c r="L340" s="64">
        <v>757384.55999999994</v>
      </c>
      <c r="M340" s="64">
        <v>-2.4</v>
      </c>
      <c r="N340" s="64">
        <v>5.3440000000000003</v>
      </c>
      <c r="O340" s="35"/>
    </row>
    <row r="341" spans="1:15" s="36" customFormat="1" ht="12" x14ac:dyDescent="0.2">
      <c r="A341" s="33"/>
      <c r="B341" s="63">
        <v>40968</v>
      </c>
      <c r="C341" s="65">
        <v>3.2</v>
      </c>
      <c r="D341" s="65">
        <v>0.03</v>
      </c>
      <c r="E341" s="65">
        <v>-0.47</v>
      </c>
      <c r="F341" s="65">
        <v>1.69</v>
      </c>
      <c r="G341" s="65">
        <v>3.17</v>
      </c>
      <c r="H341" s="33"/>
      <c r="I341" s="63">
        <v>40694</v>
      </c>
      <c r="J341" s="65">
        <v>44602.83</v>
      </c>
      <c r="K341" s="65">
        <v>269289.63</v>
      </c>
      <c r="L341" s="65">
        <v>763409.22</v>
      </c>
      <c r="M341" s="65">
        <v>-2.4</v>
      </c>
      <c r="N341" s="65">
        <v>5.5149999999999997</v>
      </c>
      <c r="O341" s="35"/>
    </row>
    <row r="342" spans="1:15" s="36" customFormat="1" ht="12" x14ac:dyDescent="0.2">
      <c r="A342" s="33"/>
      <c r="B342" s="62">
        <v>40999</v>
      </c>
      <c r="C342" s="64">
        <v>3.6</v>
      </c>
      <c r="D342" s="64">
        <v>-0.32</v>
      </c>
      <c r="E342" s="64">
        <v>-0.83</v>
      </c>
      <c r="F342" s="64">
        <v>1.4</v>
      </c>
      <c r="G342" s="64">
        <v>3.92</v>
      </c>
      <c r="H342" s="33"/>
      <c r="I342" s="62">
        <v>40724</v>
      </c>
      <c r="J342" s="64">
        <v>44477.8</v>
      </c>
      <c r="K342" s="64">
        <v>274662.57</v>
      </c>
      <c r="L342" s="64">
        <v>780820.85000000009</v>
      </c>
      <c r="M342" s="64">
        <v>-2.8</v>
      </c>
      <c r="N342" s="64">
        <v>6.3550000000000004</v>
      </c>
      <c r="O342" s="35"/>
    </row>
    <row r="343" spans="1:15" s="36" customFormat="1" ht="12" x14ac:dyDescent="0.2">
      <c r="A343" s="33"/>
      <c r="B343" s="63">
        <v>41029</v>
      </c>
      <c r="C343" s="65">
        <v>3.4</v>
      </c>
      <c r="D343" s="65">
        <v>-0.7</v>
      </c>
      <c r="E343" s="65">
        <v>-1.24</v>
      </c>
      <c r="F343" s="65">
        <v>1.1399999999999999</v>
      </c>
      <c r="G343" s="65">
        <v>4.0999999999999996</v>
      </c>
      <c r="H343" s="33"/>
      <c r="I343" s="63">
        <v>40755</v>
      </c>
      <c r="J343" s="65">
        <v>45183.1</v>
      </c>
      <c r="K343" s="65">
        <v>270545.64999999997</v>
      </c>
      <c r="L343" s="65">
        <v>772923.64999999991</v>
      </c>
      <c r="M343" s="65">
        <v>-3.1</v>
      </c>
      <c r="N343" s="65">
        <v>6.4509999999999996</v>
      </c>
      <c r="O343" s="35"/>
    </row>
    <row r="344" spans="1:15" s="36" customFormat="1" ht="12" x14ac:dyDescent="0.2">
      <c r="A344" s="33"/>
      <c r="B344" s="62">
        <v>41060</v>
      </c>
      <c r="C344" s="64">
        <v>3</v>
      </c>
      <c r="D344" s="64">
        <v>-1.4</v>
      </c>
      <c r="E344" s="64">
        <v>-2.09</v>
      </c>
      <c r="F344" s="64">
        <v>0.91</v>
      </c>
      <c r="G344" s="64">
        <v>4.4000000000000004</v>
      </c>
      <c r="H344" s="33"/>
      <c r="I344" s="62">
        <v>40786</v>
      </c>
      <c r="J344" s="64">
        <v>45775.29</v>
      </c>
      <c r="K344" s="64">
        <v>273393.76999999996</v>
      </c>
      <c r="L344" s="64">
        <v>780852.29999999993</v>
      </c>
      <c r="M344" s="64">
        <v>-2.2999999999999998</v>
      </c>
      <c r="N344" s="64">
        <v>6.1509999999999998</v>
      </c>
      <c r="O344" s="35"/>
    </row>
    <row r="345" spans="1:15" s="36" customFormat="1" ht="12" x14ac:dyDescent="0.2">
      <c r="A345" s="33"/>
      <c r="B345" s="63">
        <v>41090</v>
      </c>
      <c r="C345" s="65">
        <v>2.2000000000000002</v>
      </c>
      <c r="D345" s="65">
        <v>-2.08</v>
      </c>
      <c r="E345" s="65">
        <v>-2.93</v>
      </c>
      <c r="F345" s="65">
        <v>0.73</v>
      </c>
      <c r="G345" s="65">
        <v>4.28</v>
      </c>
      <c r="H345" s="33"/>
      <c r="I345" s="63">
        <v>40816</v>
      </c>
      <c r="J345" s="65">
        <v>47145.29</v>
      </c>
      <c r="K345" s="65">
        <v>267193.15999999997</v>
      </c>
      <c r="L345" s="65">
        <v>787406.2</v>
      </c>
      <c r="M345" s="65">
        <v>-4.0999999999999996</v>
      </c>
      <c r="N345" s="65">
        <v>6.0670000000000002</v>
      </c>
      <c r="O345" s="35"/>
    </row>
    <row r="346" spans="1:15" s="36" customFormat="1" ht="12" x14ac:dyDescent="0.2">
      <c r="A346" s="33"/>
      <c r="B346" s="62">
        <v>41121</v>
      </c>
      <c r="C346" s="64">
        <v>1.8</v>
      </c>
      <c r="D346" s="64">
        <v>-2.87</v>
      </c>
      <c r="E346" s="64">
        <v>-3.87</v>
      </c>
      <c r="F346" s="64">
        <v>0.44</v>
      </c>
      <c r="G346" s="64">
        <v>4.67</v>
      </c>
      <c r="H346" s="33"/>
      <c r="I346" s="62">
        <v>40847</v>
      </c>
      <c r="J346" s="64">
        <v>46579.39</v>
      </c>
      <c r="K346" s="64">
        <v>276552.67</v>
      </c>
      <c r="L346" s="64">
        <v>816829.25</v>
      </c>
      <c r="M346" s="64">
        <v>-4.5</v>
      </c>
      <c r="N346" s="64">
        <v>5.4950000000000001</v>
      </c>
      <c r="O346" s="35"/>
    </row>
    <row r="347" spans="1:15" s="36" customFormat="1" ht="12" x14ac:dyDescent="0.2">
      <c r="A347" s="33"/>
      <c r="B347" s="63">
        <v>41152</v>
      </c>
      <c r="C347" s="65">
        <v>2</v>
      </c>
      <c r="D347" s="65">
        <v>-3.48</v>
      </c>
      <c r="E347" s="65">
        <v>-4.59</v>
      </c>
      <c r="F347" s="65">
        <v>0.2</v>
      </c>
      <c r="G347" s="65">
        <v>5.48</v>
      </c>
      <c r="H347" s="33"/>
      <c r="I347" s="63">
        <v>40877</v>
      </c>
      <c r="J347" s="65">
        <v>47317.259999999995</v>
      </c>
      <c r="K347" s="65">
        <v>281416.37</v>
      </c>
      <c r="L347" s="65">
        <v>825493.94000000006</v>
      </c>
      <c r="M347" s="65">
        <v>-4.9000000000000004</v>
      </c>
      <c r="N347" s="65">
        <v>4.2249999999999996</v>
      </c>
      <c r="O347" s="35"/>
    </row>
    <row r="348" spans="1:15" s="36" customFormat="1" ht="12" x14ac:dyDescent="0.2">
      <c r="A348" s="33"/>
      <c r="B348" s="62">
        <v>41182</v>
      </c>
      <c r="C348" s="64">
        <v>1.9</v>
      </c>
      <c r="D348" s="64">
        <v>-3.55</v>
      </c>
      <c r="E348" s="64">
        <v>-4.68</v>
      </c>
      <c r="F348" s="64">
        <v>0.14000000000000001</v>
      </c>
      <c r="G348" s="64">
        <v>5.45</v>
      </c>
      <c r="H348" s="33"/>
      <c r="I348" s="62">
        <v>40908</v>
      </c>
      <c r="J348" s="64">
        <v>50748.460000000006</v>
      </c>
      <c r="K348" s="64">
        <v>289847.7</v>
      </c>
      <c r="L348" s="64">
        <v>851590.9</v>
      </c>
      <c r="M348" s="64">
        <v>-5.7</v>
      </c>
      <c r="N348" s="64">
        <v>4.07</v>
      </c>
      <c r="O348" s="35"/>
    </row>
    <row r="349" spans="1:15" s="36" customFormat="1" ht="12" x14ac:dyDescent="0.2">
      <c r="A349" s="33"/>
      <c r="B349" s="63">
        <v>41213</v>
      </c>
      <c r="C349" s="65">
        <v>1.7</v>
      </c>
      <c r="D349" s="65">
        <v>-2.76</v>
      </c>
      <c r="E349" s="65">
        <v>-3.68</v>
      </c>
      <c r="F349" s="65">
        <v>0.23</v>
      </c>
      <c r="G349" s="65">
        <v>4.46</v>
      </c>
      <c r="H349" s="33"/>
      <c r="I349" s="63">
        <v>40939</v>
      </c>
      <c r="J349" s="65">
        <v>59820.72</v>
      </c>
      <c r="K349" s="65">
        <v>270010.40000000002</v>
      </c>
      <c r="L349" s="65">
        <v>855898.89</v>
      </c>
      <c r="M349" s="65">
        <v>-9.3000000000000007</v>
      </c>
      <c r="N349" s="65">
        <v>4.5</v>
      </c>
      <c r="O349" s="35"/>
    </row>
    <row r="350" spans="1:15" s="36" customFormat="1" ht="12" x14ac:dyDescent="0.2">
      <c r="A350" s="33"/>
      <c r="B350" s="62">
        <v>41243</v>
      </c>
      <c r="C350" s="64">
        <v>2</v>
      </c>
      <c r="D350" s="64">
        <v>-2.2000000000000002</v>
      </c>
      <c r="E350" s="64">
        <v>-2.99</v>
      </c>
      <c r="F350" s="64">
        <v>0.34</v>
      </c>
      <c r="G350" s="64">
        <v>4.2</v>
      </c>
      <c r="H350" s="33"/>
      <c r="I350" s="62">
        <v>40968</v>
      </c>
      <c r="J350" s="64">
        <v>51448.78</v>
      </c>
      <c r="K350" s="64">
        <v>270312.11</v>
      </c>
      <c r="L350" s="64">
        <v>867171.42</v>
      </c>
      <c r="M350" s="64">
        <v>-8.6999999999999993</v>
      </c>
      <c r="N350" s="64">
        <v>3.2</v>
      </c>
      <c r="O350" s="35"/>
    </row>
    <row r="351" spans="1:15" s="36" customFormat="1" ht="12" x14ac:dyDescent="0.2">
      <c r="A351" s="33"/>
      <c r="B351" s="63">
        <v>41274</v>
      </c>
      <c r="C351" s="65">
        <v>2.5</v>
      </c>
      <c r="D351" s="65">
        <v>-1.94</v>
      </c>
      <c r="E351" s="65">
        <v>-2.71</v>
      </c>
      <c r="F351" s="65">
        <v>0.53</v>
      </c>
      <c r="G351" s="65">
        <v>4.4400000000000004</v>
      </c>
      <c r="H351" s="33"/>
      <c r="I351" s="63">
        <v>40999</v>
      </c>
      <c r="J351" s="65">
        <v>49595.74</v>
      </c>
      <c r="K351" s="65">
        <v>277998.11</v>
      </c>
      <c r="L351" s="65">
        <v>895565.50000000012</v>
      </c>
      <c r="M351" s="65">
        <v>-9</v>
      </c>
      <c r="N351" s="65">
        <v>3.6</v>
      </c>
      <c r="O351" s="35"/>
    </row>
    <row r="352" spans="1:15" s="36" customFormat="1" ht="12" x14ac:dyDescent="0.2">
      <c r="A352" s="33"/>
      <c r="B352" s="62">
        <v>41305</v>
      </c>
      <c r="C352" s="64">
        <v>2.0305</v>
      </c>
      <c r="D352" s="64">
        <v>-1.64</v>
      </c>
      <c r="E352" s="64">
        <v>-2.37</v>
      </c>
      <c r="F352" s="64">
        <v>0.68</v>
      </c>
      <c r="G352" s="64">
        <v>3.6705000000000001</v>
      </c>
      <c r="H352" s="33"/>
      <c r="I352" s="62">
        <v>41029</v>
      </c>
      <c r="J352" s="64">
        <v>50199.32</v>
      </c>
      <c r="K352" s="64">
        <v>274983.82</v>
      </c>
      <c r="L352" s="64">
        <v>889604.04</v>
      </c>
      <c r="M352" s="64">
        <v>-9.6999999999999993</v>
      </c>
      <c r="N352" s="64">
        <v>3.4</v>
      </c>
      <c r="O352" s="35"/>
    </row>
    <row r="353" spans="1:15" s="36" customFormat="1" ht="12" x14ac:dyDescent="0.2">
      <c r="A353" s="33"/>
      <c r="B353" s="63">
        <v>41333</v>
      </c>
      <c r="C353" s="65">
        <v>3.2198000000000002</v>
      </c>
      <c r="D353" s="65">
        <v>-1.63</v>
      </c>
      <c r="E353" s="65">
        <v>-2.37</v>
      </c>
      <c r="F353" s="65">
        <v>0.74</v>
      </c>
      <c r="G353" s="65">
        <v>4.8498000000000001</v>
      </c>
      <c r="H353" s="33"/>
      <c r="I353" s="63">
        <v>41060</v>
      </c>
      <c r="J353" s="65">
        <v>49039.719999999994</v>
      </c>
      <c r="K353" s="65">
        <v>278656.31</v>
      </c>
      <c r="L353" s="65">
        <v>900048.77</v>
      </c>
      <c r="M353" s="65">
        <v>-9.6999999999999993</v>
      </c>
      <c r="N353" s="65">
        <v>3</v>
      </c>
      <c r="O353" s="35"/>
    </row>
    <row r="354" spans="1:15" s="36" customFormat="1" ht="12" x14ac:dyDescent="0.2">
      <c r="A354" s="33"/>
      <c r="B354" s="62">
        <v>41364</v>
      </c>
      <c r="C354" s="64">
        <v>2.0695999999999999</v>
      </c>
      <c r="D354" s="64">
        <v>-1.92</v>
      </c>
      <c r="E354" s="64">
        <v>-2.68</v>
      </c>
      <c r="F354" s="64">
        <v>0.51</v>
      </c>
      <c r="G354" s="64">
        <v>3.9895999999999998</v>
      </c>
      <c r="H354" s="33"/>
      <c r="I354" s="62">
        <v>41090</v>
      </c>
      <c r="J354" s="64">
        <v>49284.640000000007</v>
      </c>
      <c r="K354" s="64">
        <v>287526.17</v>
      </c>
      <c r="L354" s="64">
        <v>924991.2</v>
      </c>
      <c r="M354" s="64">
        <v>-8.9</v>
      </c>
      <c r="N354" s="64">
        <v>2.2000000000000002</v>
      </c>
      <c r="O354" s="35"/>
    </row>
    <row r="355" spans="1:15" s="36" customFormat="1" ht="12" x14ac:dyDescent="0.2">
      <c r="A355" s="33"/>
      <c r="B355" s="63">
        <v>41394</v>
      </c>
      <c r="C355" s="65">
        <v>2.3860999999999999</v>
      </c>
      <c r="D355" s="65">
        <v>-2.62</v>
      </c>
      <c r="E355" s="65">
        <v>-3.52</v>
      </c>
      <c r="F355" s="65">
        <v>0.28999999999999998</v>
      </c>
      <c r="G355" s="65">
        <v>5.0061</v>
      </c>
      <c r="H355" s="33"/>
      <c r="I355" s="63">
        <v>41121</v>
      </c>
      <c r="J355" s="65">
        <v>49705.85</v>
      </c>
      <c r="K355" s="65">
        <v>283090.68</v>
      </c>
      <c r="L355" s="65">
        <v>919072.39999999991</v>
      </c>
      <c r="M355" s="65">
        <v>-9.3000000000000007</v>
      </c>
      <c r="N355" s="65">
        <v>1.8</v>
      </c>
      <c r="O355" s="35"/>
    </row>
    <row r="356" spans="1:15" s="36" customFormat="1" ht="12" x14ac:dyDescent="0.2">
      <c r="A356" s="33"/>
      <c r="B356" s="62">
        <v>41425</v>
      </c>
      <c r="C356" s="64">
        <v>2.0981000000000001</v>
      </c>
      <c r="D356" s="64">
        <v>-2.87</v>
      </c>
      <c r="E356" s="64">
        <v>-3.79</v>
      </c>
      <c r="F356" s="64">
        <v>0.09</v>
      </c>
      <c r="G356" s="64">
        <v>4.9680999999999997</v>
      </c>
      <c r="H356" s="33"/>
      <c r="I356" s="62">
        <v>41152</v>
      </c>
      <c r="J356" s="64">
        <v>50235.06</v>
      </c>
      <c r="K356" s="64">
        <v>285739.27</v>
      </c>
      <c r="L356" s="64">
        <v>924894.59</v>
      </c>
      <c r="M356" s="64">
        <v>-9</v>
      </c>
      <c r="N356" s="64">
        <v>2</v>
      </c>
      <c r="O356" s="35"/>
    </row>
    <row r="357" spans="1:15" s="36" customFormat="1" ht="12" x14ac:dyDescent="0.2">
      <c r="A357" s="33"/>
      <c r="B357" s="63">
        <v>41455</v>
      </c>
      <c r="C357" s="65">
        <v>2.6684000000000001</v>
      </c>
      <c r="D357" s="65">
        <v>-2.7</v>
      </c>
      <c r="E357" s="65">
        <v>-3.53</v>
      </c>
      <c r="F357" s="65">
        <v>-0.03</v>
      </c>
      <c r="G357" s="65">
        <v>5.3684000000000003</v>
      </c>
      <c r="H357" s="33"/>
      <c r="I357" s="63">
        <v>41182</v>
      </c>
      <c r="J357" s="65">
        <v>53433.490000000005</v>
      </c>
      <c r="K357" s="65">
        <v>286788.21000000002</v>
      </c>
      <c r="L357" s="65">
        <v>943688.75000000012</v>
      </c>
      <c r="M357" s="65">
        <v>-7.5</v>
      </c>
      <c r="N357" s="65">
        <v>1.9</v>
      </c>
      <c r="O357" s="35"/>
    </row>
    <row r="358" spans="1:15" s="36" customFormat="1" ht="12" x14ac:dyDescent="0.2">
      <c r="A358" s="33"/>
      <c r="B358" s="62">
        <v>41486</v>
      </c>
      <c r="C358" s="64">
        <v>2.6741000000000001</v>
      </c>
      <c r="D358" s="64">
        <v>-2.27</v>
      </c>
      <c r="E358" s="64">
        <v>-2.98</v>
      </c>
      <c r="F358" s="64">
        <v>-0.02</v>
      </c>
      <c r="G358" s="64">
        <v>4.9440999999999997</v>
      </c>
      <c r="H358" s="33"/>
      <c r="I358" s="62">
        <v>41213</v>
      </c>
      <c r="J358" s="64">
        <v>51467.71</v>
      </c>
      <c r="K358" s="64">
        <v>293309.78000000003</v>
      </c>
      <c r="L358" s="64">
        <v>936404.28</v>
      </c>
      <c r="M358" s="64">
        <v>-8</v>
      </c>
      <c r="N358" s="64">
        <v>1.7</v>
      </c>
      <c r="O358" s="35"/>
    </row>
    <row r="359" spans="1:15" s="36" customFormat="1" ht="12" x14ac:dyDescent="0.2">
      <c r="A359" s="33"/>
      <c r="B359" s="63">
        <v>41517</v>
      </c>
      <c r="C359" s="65">
        <v>2.5666000000000002</v>
      </c>
      <c r="D359" s="65">
        <v>-1.62</v>
      </c>
      <c r="E359" s="65">
        <v>-2.14</v>
      </c>
      <c r="F359" s="65">
        <v>0</v>
      </c>
      <c r="G359" s="65">
        <v>4.1866000000000003</v>
      </c>
      <c r="H359" s="33"/>
      <c r="I359" s="63">
        <v>41243</v>
      </c>
      <c r="J359" s="65">
        <v>52392.119999999995</v>
      </c>
      <c r="K359" s="65">
        <v>296883.05</v>
      </c>
      <c r="L359" s="65">
        <v>944832.35000000009</v>
      </c>
      <c r="M359" s="65">
        <v>-8.4</v>
      </c>
      <c r="N359" s="65">
        <v>2</v>
      </c>
      <c r="O359" s="35"/>
    </row>
    <row r="360" spans="1:15" s="36" customFormat="1" ht="12" x14ac:dyDescent="0.2">
      <c r="A360" s="33"/>
      <c r="B360" s="62">
        <v>41547</v>
      </c>
      <c r="C360" s="64">
        <v>3.0518999999999998</v>
      </c>
      <c r="D360" s="64">
        <v>-1.34</v>
      </c>
      <c r="E360" s="64">
        <v>-1.75</v>
      </c>
      <c r="F360" s="64">
        <v>-0.06</v>
      </c>
      <c r="G360" s="64">
        <v>4.3918999999999997</v>
      </c>
      <c r="H360" s="33"/>
      <c r="I360" s="62">
        <v>41274</v>
      </c>
      <c r="J360" s="64">
        <v>54659.77</v>
      </c>
      <c r="K360" s="64">
        <v>308664.23000000004</v>
      </c>
      <c r="L360" s="64">
        <v>974148.8</v>
      </c>
      <c r="M360" s="64">
        <v>-7.3</v>
      </c>
      <c r="N360" s="64">
        <v>2.5</v>
      </c>
      <c r="O360" s="35"/>
    </row>
    <row r="361" spans="1:15" s="36" customFormat="1" ht="12" x14ac:dyDescent="0.2">
      <c r="A361" s="33"/>
      <c r="B361" s="63">
        <v>41578</v>
      </c>
      <c r="C361" s="65">
        <v>3.2058</v>
      </c>
      <c r="D361" s="65">
        <v>-1.51</v>
      </c>
      <c r="E361" s="65">
        <v>-1.97</v>
      </c>
      <c r="F361" s="65">
        <v>-0.03</v>
      </c>
      <c r="G361" s="65">
        <v>4.7157999999999998</v>
      </c>
      <c r="H361" s="33"/>
      <c r="I361" s="63">
        <v>41305</v>
      </c>
      <c r="J361" s="65">
        <v>62449.630000000005</v>
      </c>
      <c r="K361" s="65">
        <v>311228.55</v>
      </c>
      <c r="L361" s="65">
        <v>992129.24999999988</v>
      </c>
      <c r="M361" s="65">
        <v>-0.6</v>
      </c>
      <c r="N361" s="65">
        <v>2.0305</v>
      </c>
      <c r="O361" s="35"/>
    </row>
    <row r="362" spans="1:15" s="36" customFormat="1" ht="12" x14ac:dyDescent="0.2">
      <c r="A362" s="33"/>
      <c r="B362" s="62">
        <v>41608</v>
      </c>
      <c r="C362" s="64">
        <v>3.0179999999999998</v>
      </c>
      <c r="D362" s="64">
        <v>-1.42</v>
      </c>
      <c r="E362" s="64">
        <v>-1.91</v>
      </c>
      <c r="F362" s="64">
        <v>0.11</v>
      </c>
      <c r="G362" s="64">
        <v>4.4379999999999997</v>
      </c>
      <c r="H362" s="33"/>
      <c r="I362" s="62">
        <v>41333</v>
      </c>
      <c r="J362" s="64">
        <v>60313.65</v>
      </c>
      <c r="K362" s="64">
        <v>296103.24</v>
      </c>
      <c r="L362" s="64">
        <v>998600.83</v>
      </c>
      <c r="M362" s="64">
        <v>-5.7</v>
      </c>
      <c r="N362" s="64">
        <v>3.2198000000000002</v>
      </c>
      <c r="O362" s="35"/>
    </row>
    <row r="363" spans="1:15" s="36" customFormat="1" ht="12" x14ac:dyDescent="0.2">
      <c r="A363" s="33"/>
      <c r="B363" s="63">
        <v>41639</v>
      </c>
      <c r="C363" s="65">
        <v>2.4986999999999999</v>
      </c>
      <c r="D363" s="65">
        <v>-1.36</v>
      </c>
      <c r="E363" s="65">
        <v>-1.78</v>
      </c>
      <c r="F363" s="65">
        <v>0.01</v>
      </c>
      <c r="G363" s="65">
        <v>3.8586999999999998</v>
      </c>
      <c r="H363" s="33"/>
      <c r="I363" s="63">
        <v>41364</v>
      </c>
      <c r="J363" s="65">
        <v>55460.520000000004</v>
      </c>
      <c r="K363" s="65">
        <v>310898.28999999998</v>
      </c>
      <c r="L363" s="65">
        <v>1035858.37</v>
      </c>
      <c r="M363" s="65">
        <v>-3.8</v>
      </c>
      <c r="N363" s="65">
        <v>2.0695999999999999</v>
      </c>
      <c r="O363" s="35"/>
    </row>
    <row r="364" spans="1:15" s="36" customFormat="1" ht="12" x14ac:dyDescent="0.2">
      <c r="A364" s="33"/>
      <c r="B364" s="62">
        <v>41670</v>
      </c>
      <c r="C364" s="64">
        <v>2.4861</v>
      </c>
      <c r="D364" s="64">
        <v>-1.64</v>
      </c>
      <c r="E364" s="64">
        <v>-2.0499999999999998</v>
      </c>
      <c r="F364" s="64">
        <v>-0.35</v>
      </c>
      <c r="G364" s="64">
        <v>4.1261000000000001</v>
      </c>
      <c r="H364" s="33"/>
      <c r="I364" s="62">
        <v>41394</v>
      </c>
      <c r="J364" s="64">
        <v>55607.15</v>
      </c>
      <c r="K364" s="64">
        <v>307648.42</v>
      </c>
      <c r="L364" s="64">
        <v>1032551.8999999999</v>
      </c>
      <c r="M364" s="64">
        <v>-4.2</v>
      </c>
      <c r="N364" s="64">
        <v>2.3860999999999999</v>
      </c>
      <c r="O364" s="35"/>
    </row>
    <row r="365" spans="1:15" s="36" customFormat="1" ht="12" x14ac:dyDescent="0.2">
      <c r="A365" s="33"/>
      <c r="B365" s="63">
        <v>41698</v>
      </c>
      <c r="C365" s="65">
        <v>1.9511000000000001</v>
      </c>
      <c r="D365" s="65">
        <v>-2</v>
      </c>
      <c r="E365" s="65">
        <v>-2.5449000000000002</v>
      </c>
      <c r="F365" s="65">
        <v>-0.32990000000000003</v>
      </c>
      <c r="G365" s="65">
        <v>3.9510999999999998</v>
      </c>
      <c r="H365" s="33"/>
      <c r="I365" s="63">
        <v>41425</v>
      </c>
      <c r="J365" s="65">
        <v>54431.39</v>
      </c>
      <c r="K365" s="65">
        <v>310204.48</v>
      </c>
      <c r="L365" s="65">
        <v>1042169.16</v>
      </c>
      <c r="M365" s="65">
        <v>-4.5</v>
      </c>
      <c r="N365" s="65">
        <v>2.0981000000000001</v>
      </c>
      <c r="O365" s="35"/>
    </row>
    <row r="366" spans="1:15" s="36" customFormat="1" ht="12" x14ac:dyDescent="0.2">
      <c r="A366" s="33"/>
      <c r="B366" s="62">
        <v>41729</v>
      </c>
      <c r="C366" s="64">
        <v>2.3847999999999998</v>
      </c>
      <c r="D366" s="64">
        <v>-2.3018999999999998</v>
      </c>
      <c r="E366" s="64">
        <v>-2.9517000000000002</v>
      </c>
      <c r="F366" s="64">
        <v>-0.2092</v>
      </c>
      <c r="G366" s="64">
        <v>4.6867000000000001</v>
      </c>
      <c r="H366" s="33"/>
      <c r="I366" s="62">
        <v>41455</v>
      </c>
      <c r="J366" s="64">
        <v>54063.91</v>
      </c>
      <c r="K366" s="64">
        <v>313499.82</v>
      </c>
      <c r="L366" s="64">
        <v>1054403.69</v>
      </c>
      <c r="M366" s="64">
        <v>-4.9000000000000004</v>
      </c>
      <c r="N366" s="64">
        <v>2.6684000000000001</v>
      </c>
      <c r="O366" s="35"/>
    </row>
    <row r="367" spans="1:15" s="36" customFormat="1" ht="12" x14ac:dyDescent="0.2">
      <c r="A367" s="33"/>
      <c r="B367" s="63">
        <v>41759</v>
      </c>
      <c r="C367" s="65">
        <v>1.8013999999999999</v>
      </c>
      <c r="D367" s="65">
        <v>-2.0042</v>
      </c>
      <c r="E367" s="65">
        <v>-2.6092</v>
      </c>
      <c r="F367" s="65">
        <v>-5.7500000000000002E-2</v>
      </c>
      <c r="G367" s="65">
        <v>3.8056000000000001</v>
      </c>
      <c r="H367" s="33"/>
      <c r="I367" s="63">
        <v>41486</v>
      </c>
      <c r="J367" s="65">
        <v>54412.780000000006</v>
      </c>
      <c r="K367" s="65">
        <v>310596.45999999996</v>
      </c>
      <c r="L367" s="65">
        <v>1052212.3400000001</v>
      </c>
      <c r="M367" s="65">
        <v>-4.8</v>
      </c>
      <c r="N367" s="65">
        <v>2.6741000000000001</v>
      </c>
      <c r="O367" s="35"/>
    </row>
    <row r="368" spans="1:15" s="36" customFormat="1" ht="12" x14ac:dyDescent="0.2">
      <c r="A368" s="33"/>
      <c r="B368" s="62">
        <v>41790</v>
      </c>
      <c r="C368" s="64">
        <v>2.4773000000000001</v>
      </c>
      <c r="D368" s="64">
        <v>-1.4463999999999999</v>
      </c>
      <c r="E368" s="64">
        <v>-1.9494</v>
      </c>
      <c r="F368" s="64">
        <v>0.16900000000000001</v>
      </c>
      <c r="G368" s="64">
        <v>3.9237000000000002</v>
      </c>
      <c r="H368" s="33"/>
      <c r="I368" s="62">
        <v>41517</v>
      </c>
      <c r="J368" s="64">
        <v>54925.35</v>
      </c>
      <c r="K368" s="64">
        <v>314085.91000000003</v>
      </c>
      <c r="L368" s="64">
        <v>1061256.43</v>
      </c>
      <c r="M368" s="64">
        <v>-4.8</v>
      </c>
      <c r="N368" s="64">
        <v>2.5666000000000002</v>
      </c>
      <c r="O368" s="35"/>
    </row>
    <row r="369" spans="1:15" s="36" customFormat="1" ht="12" x14ac:dyDescent="0.2">
      <c r="A369" s="33"/>
      <c r="B369" s="63">
        <v>41820</v>
      </c>
      <c r="C369" s="65">
        <v>2.3361000000000001</v>
      </c>
      <c r="D369" s="65">
        <v>-1.1092</v>
      </c>
      <c r="E369" s="65">
        <v>-1.526</v>
      </c>
      <c r="F369" s="65">
        <v>0.23</v>
      </c>
      <c r="G369" s="65">
        <v>3.4453</v>
      </c>
      <c r="H369" s="33"/>
      <c r="I369" s="63">
        <v>41547</v>
      </c>
      <c r="J369" s="65">
        <v>56492.53</v>
      </c>
      <c r="K369" s="65">
        <v>312330.33999999997</v>
      </c>
      <c r="L369" s="65">
        <v>1077379.1600000001</v>
      </c>
      <c r="M369" s="65">
        <v>-5.3</v>
      </c>
      <c r="N369" s="65">
        <v>3.0518999999999998</v>
      </c>
      <c r="O369" s="35"/>
    </row>
    <row r="370" spans="1:15" s="36" customFormat="1" ht="12" x14ac:dyDescent="0.2">
      <c r="A370" s="33"/>
      <c r="B370" s="62">
        <v>41851</v>
      </c>
      <c r="C370" s="64">
        <v>2.2852000000000001</v>
      </c>
      <c r="D370" s="64">
        <v>-0.86880000000000002</v>
      </c>
      <c r="E370" s="64">
        <v>-1.2181</v>
      </c>
      <c r="F370" s="64">
        <v>0.25669999999999998</v>
      </c>
      <c r="G370" s="64">
        <v>3.1539999999999999</v>
      </c>
      <c r="H370" s="33"/>
      <c r="I370" s="62">
        <v>41578</v>
      </c>
      <c r="J370" s="64">
        <v>55595.72</v>
      </c>
      <c r="K370" s="64">
        <v>319509.38</v>
      </c>
      <c r="L370" s="64">
        <v>1070242.17</v>
      </c>
      <c r="M370" s="64">
        <v>-5.4</v>
      </c>
      <c r="N370" s="64">
        <v>3.2058</v>
      </c>
      <c r="O370" s="35"/>
    </row>
    <row r="371" spans="1:15" s="36" customFormat="1" ht="12" x14ac:dyDescent="0.2">
      <c r="A371" s="33"/>
      <c r="B371" s="63">
        <v>41882</v>
      </c>
      <c r="C371" s="65">
        <v>1.9908999999999999</v>
      </c>
      <c r="D371" s="65">
        <v>-1.2038</v>
      </c>
      <c r="E371" s="65">
        <v>-1.6532</v>
      </c>
      <c r="F371" s="65">
        <v>0.2432</v>
      </c>
      <c r="G371" s="65">
        <v>3.1947000000000001</v>
      </c>
      <c r="H371" s="33"/>
      <c r="I371" s="63">
        <v>41608</v>
      </c>
      <c r="J371" s="65">
        <v>56441.270000000004</v>
      </c>
      <c r="K371" s="65">
        <v>324821.92</v>
      </c>
      <c r="L371" s="65">
        <v>1079257.06</v>
      </c>
      <c r="M371" s="65">
        <v>-4.8</v>
      </c>
      <c r="N371" s="65">
        <v>3.0179999999999998</v>
      </c>
      <c r="O371" s="35"/>
    </row>
    <row r="372" spans="1:15" s="36" customFormat="1" ht="12" x14ac:dyDescent="0.2">
      <c r="A372" s="33"/>
      <c r="B372" s="62">
        <v>41912</v>
      </c>
      <c r="C372" s="64">
        <v>1.6274999999999999</v>
      </c>
      <c r="D372" s="64">
        <v>-1.7996000000000001</v>
      </c>
      <c r="E372" s="64">
        <v>-2.3923999999999999</v>
      </c>
      <c r="F372" s="64">
        <v>0.10979999999999999</v>
      </c>
      <c r="G372" s="64">
        <v>3.4270999999999998</v>
      </c>
      <c r="H372" s="33"/>
      <c r="I372" s="62">
        <v>41639</v>
      </c>
      <c r="J372" s="64">
        <v>58574.44</v>
      </c>
      <c r="K372" s="64">
        <v>337291.05</v>
      </c>
      <c r="L372" s="64">
        <v>1106524.98</v>
      </c>
      <c r="M372" s="64">
        <v>-4.3</v>
      </c>
      <c r="N372" s="64">
        <v>2.4986999999999999</v>
      </c>
      <c r="O372" s="35"/>
    </row>
    <row r="373" spans="1:15" s="36" customFormat="1" ht="12" x14ac:dyDescent="0.2">
      <c r="A373" s="33"/>
      <c r="B373" s="63">
        <v>41943</v>
      </c>
      <c r="C373" s="65">
        <v>1.6011</v>
      </c>
      <c r="D373" s="65">
        <v>-2.2427999999999999</v>
      </c>
      <c r="E373" s="65">
        <v>-2.9510000000000001</v>
      </c>
      <c r="F373" s="65">
        <v>3.9600000000000003E-2</v>
      </c>
      <c r="G373" s="65">
        <v>3.8439000000000001</v>
      </c>
      <c r="H373" s="33"/>
      <c r="I373" s="63">
        <v>41670</v>
      </c>
      <c r="J373" s="65">
        <v>76488.600000000006</v>
      </c>
      <c r="K373" s="65">
        <v>314900.55000000005</v>
      </c>
      <c r="L373" s="65">
        <v>1123521.21</v>
      </c>
      <c r="M373" s="65">
        <v>-12</v>
      </c>
      <c r="N373" s="65">
        <v>2.4861</v>
      </c>
      <c r="O373" s="35"/>
    </row>
    <row r="374" spans="1:15" s="36" customFormat="1" ht="12" x14ac:dyDescent="0.2">
      <c r="A374" s="33"/>
      <c r="B374" s="62">
        <v>41973</v>
      </c>
      <c r="C374" s="64">
        <v>1.4393</v>
      </c>
      <c r="D374" s="64">
        <v>-2.6928000000000001</v>
      </c>
      <c r="E374" s="64">
        <v>-3.4887000000000001</v>
      </c>
      <c r="F374" s="64">
        <v>-0.12809999999999999</v>
      </c>
      <c r="G374" s="64">
        <v>4.1321000000000003</v>
      </c>
      <c r="H374" s="33"/>
      <c r="I374" s="62">
        <v>41698</v>
      </c>
      <c r="J374" s="64">
        <v>62320.950000000004</v>
      </c>
      <c r="K374" s="64">
        <v>316625.11</v>
      </c>
      <c r="L374" s="64">
        <v>1131760.83</v>
      </c>
      <c r="M374" s="64">
        <v>-6.4</v>
      </c>
      <c r="N374" s="64">
        <v>1.9511000000000001</v>
      </c>
      <c r="O374" s="35"/>
    </row>
    <row r="375" spans="1:15" s="36" customFormat="1" ht="12" x14ac:dyDescent="0.2">
      <c r="A375" s="33"/>
      <c r="B375" s="63">
        <v>42004</v>
      </c>
      <c r="C375" s="65">
        <v>1.5056</v>
      </c>
      <c r="D375" s="65">
        <v>-3.3151999999999999</v>
      </c>
      <c r="E375" s="65">
        <v>-4.2949000000000002</v>
      </c>
      <c r="F375" s="65">
        <v>-0.1583</v>
      </c>
      <c r="G375" s="65">
        <v>4.8208000000000002</v>
      </c>
      <c r="H375" s="33"/>
      <c r="I375" s="63">
        <v>41729</v>
      </c>
      <c r="J375" s="65">
        <v>58329.299999999996</v>
      </c>
      <c r="K375" s="65">
        <v>327683.74</v>
      </c>
      <c r="L375" s="65">
        <v>1160687.3799999999</v>
      </c>
      <c r="M375" s="65">
        <v>-6.7</v>
      </c>
      <c r="N375" s="65">
        <v>2.3847999999999998</v>
      </c>
      <c r="O375" s="35"/>
    </row>
    <row r="376" spans="1:15" s="36" customFormat="1" ht="12" x14ac:dyDescent="0.2">
      <c r="A376" s="33"/>
      <c r="B376" s="62">
        <v>42035</v>
      </c>
      <c r="C376" s="64">
        <v>0.76380000000000003</v>
      </c>
      <c r="D376" s="64">
        <v>-4.3201999999999998</v>
      </c>
      <c r="E376" s="64">
        <v>-5.6048999999999998</v>
      </c>
      <c r="F376" s="64">
        <v>-0.15459999999999999</v>
      </c>
      <c r="G376" s="64">
        <v>5.0839999999999996</v>
      </c>
      <c r="H376" s="33"/>
      <c r="I376" s="62">
        <v>41759</v>
      </c>
      <c r="J376" s="64">
        <v>58615.540000000008</v>
      </c>
      <c r="K376" s="64">
        <v>324482.51999999996</v>
      </c>
      <c r="L376" s="64">
        <v>1168812.67</v>
      </c>
      <c r="M376" s="64">
        <v>-7.7</v>
      </c>
      <c r="N376" s="64">
        <v>1.8013999999999999</v>
      </c>
      <c r="O376" s="35"/>
    </row>
    <row r="377" spans="1:15" s="36" customFormat="1" ht="12" x14ac:dyDescent="0.2">
      <c r="A377" s="33"/>
      <c r="B377" s="63">
        <v>42063</v>
      </c>
      <c r="C377" s="65">
        <v>1.4311</v>
      </c>
      <c r="D377" s="65">
        <v>-4.7976000000000001</v>
      </c>
      <c r="E377" s="65">
        <v>-6.2355999999999998</v>
      </c>
      <c r="F377" s="65">
        <v>-0.13420000000000001</v>
      </c>
      <c r="G377" s="65">
        <v>6.2286999999999999</v>
      </c>
      <c r="H377" s="33"/>
      <c r="I377" s="63">
        <v>41790</v>
      </c>
      <c r="J377" s="65">
        <v>58051.11</v>
      </c>
      <c r="K377" s="65">
        <v>327839.56</v>
      </c>
      <c r="L377" s="65">
        <v>1182293.96</v>
      </c>
      <c r="M377" s="65">
        <v>-7.7</v>
      </c>
      <c r="N377" s="65">
        <v>2.4773000000000001</v>
      </c>
      <c r="O377" s="35"/>
    </row>
    <row r="378" spans="1:15" s="36" customFormat="1" ht="12" x14ac:dyDescent="0.2">
      <c r="A378" s="33"/>
      <c r="B378" s="62">
        <v>42094</v>
      </c>
      <c r="C378" s="64">
        <v>1.3757999999999999</v>
      </c>
      <c r="D378" s="64">
        <v>-4.5602999999999998</v>
      </c>
      <c r="E378" s="64">
        <v>-5.9265999999999996</v>
      </c>
      <c r="F378" s="64">
        <v>-0.14430000000000001</v>
      </c>
      <c r="G378" s="64">
        <v>5.9360999999999997</v>
      </c>
      <c r="H378" s="33"/>
      <c r="I378" s="62">
        <v>41820</v>
      </c>
      <c r="J378" s="64">
        <v>56951.05</v>
      </c>
      <c r="K378" s="64">
        <v>341487.45</v>
      </c>
      <c r="L378" s="64">
        <v>1209587.2</v>
      </c>
      <c r="M378" s="64">
        <v>-5.8</v>
      </c>
      <c r="N378" s="64">
        <v>2.3361000000000001</v>
      </c>
      <c r="O378" s="35"/>
    </row>
    <row r="379" spans="1:15" s="36" customFormat="1" ht="12" x14ac:dyDescent="0.2">
      <c r="A379" s="33"/>
      <c r="B379" s="63">
        <v>42124</v>
      </c>
      <c r="C379" s="65">
        <v>1.5091000000000001</v>
      </c>
      <c r="D379" s="65">
        <v>-4.5724999999999998</v>
      </c>
      <c r="E379" s="65">
        <v>-5.9179000000000004</v>
      </c>
      <c r="F379" s="65">
        <v>-0.2344</v>
      </c>
      <c r="G379" s="65">
        <v>6.0815999999999999</v>
      </c>
      <c r="H379" s="33"/>
      <c r="I379" s="63">
        <v>41851</v>
      </c>
      <c r="J379" s="65">
        <v>57346.5</v>
      </c>
      <c r="K379" s="65">
        <v>331347.32</v>
      </c>
      <c r="L379" s="65">
        <v>1194249.24</v>
      </c>
      <c r="M379" s="65">
        <v>-6.8</v>
      </c>
      <c r="N379" s="65">
        <v>2.2852000000000001</v>
      </c>
      <c r="O379" s="35"/>
    </row>
    <row r="380" spans="1:15" s="36" customFormat="1" ht="12" x14ac:dyDescent="0.2">
      <c r="A380" s="33"/>
      <c r="B380" s="62">
        <v>42155</v>
      </c>
      <c r="C380" s="64">
        <v>1.2307999999999999</v>
      </c>
      <c r="D380" s="64">
        <v>-4.6070000000000002</v>
      </c>
      <c r="E380" s="64">
        <v>-5.9466999999999999</v>
      </c>
      <c r="F380" s="64">
        <v>-0.28939999999999999</v>
      </c>
      <c r="G380" s="64">
        <v>5.8377999999999997</v>
      </c>
      <c r="H380" s="33"/>
      <c r="I380" s="62">
        <v>41882</v>
      </c>
      <c r="J380" s="64">
        <v>57997.609999999993</v>
      </c>
      <c r="K380" s="64">
        <v>332023.23000000004</v>
      </c>
      <c r="L380" s="64">
        <v>1197499.08</v>
      </c>
      <c r="M380" s="64">
        <v>-7.1</v>
      </c>
      <c r="N380" s="64">
        <v>1.9908999999999999</v>
      </c>
      <c r="O380" s="35"/>
    </row>
    <row r="381" spans="1:15" s="36" customFormat="1" ht="12" x14ac:dyDescent="0.2">
      <c r="A381" s="33"/>
      <c r="B381" s="63">
        <v>42185</v>
      </c>
      <c r="C381" s="65">
        <v>1.3909</v>
      </c>
      <c r="D381" s="65">
        <v>-4.8135000000000003</v>
      </c>
      <c r="E381" s="65">
        <v>-6.2352999999999996</v>
      </c>
      <c r="F381" s="65">
        <v>-0.2324</v>
      </c>
      <c r="G381" s="65">
        <v>6.2043999999999997</v>
      </c>
      <c r="H381" s="33"/>
      <c r="I381" s="63">
        <v>41912</v>
      </c>
      <c r="J381" s="65">
        <v>58844.990000000005</v>
      </c>
      <c r="K381" s="65">
        <v>327220.21000000002</v>
      </c>
      <c r="L381" s="65">
        <v>1202051.4099999999</v>
      </c>
      <c r="M381" s="65">
        <v>-8.1</v>
      </c>
      <c r="N381" s="65">
        <v>1.6274999999999999</v>
      </c>
      <c r="O381" s="35"/>
    </row>
    <row r="382" spans="1:15" s="36" customFormat="1" ht="12" x14ac:dyDescent="0.2">
      <c r="A382" s="33"/>
      <c r="B382" s="62">
        <v>42216</v>
      </c>
      <c r="C382" s="64">
        <v>1.6473</v>
      </c>
      <c r="D382" s="64">
        <v>-5.3692000000000002</v>
      </c>
      <c r="E382" s="64">
        <v>-6.9492000000000003</v>
      </c>
      <c r="F382" s="64">
        <v>-0.2762</v>
      </c>
      <c r="G382" s="64">
        <v>7.0164999999999997</v>
      </c>
      <c r="H382" s="33"/>
      <c r="I382" s="62">
        <v>41943</v>
      </c>
      <c r="J382" s="64">
        <v>57691.639999999992</v>
      </c>
      <c r="K382" s="64">
        <v>329617.73</v>
      </c>
      <c r="L382" s="64">
        <v>1199236.31</v>
      </c>
      <c r="M382" s="64">
        <v>-9.4</v>
      </c>
      <c r="N382" s="64">
        <v>1.6011</v>
      </c>
      <c r="O382" s="35"/>
    </row>
    <row r="383" spans="1:15" s="36" customFormat="1" ht="12" x14ac:dyDescent="0.2">
      <c r="A383" s="33"/>
      <c r="B383" s="63">
        <v>42247</v>
      </c>
      <c r="C383" s="65">
        <v>1.9554</v>
      </c>
      <c r="D383" s="65">
        <v>-5.9226999999999999</v>
      </c>
      <c r="E383" s="65">
        <v>-7.6608000000000001</v>
      </c>
      <c r="F383" s="65">
        <v>-0.32600000000000001</v>
      </c>
      <c r="G383" s="65">
        <v>7.8780999999999999</v>
      </c>
      <c r="H383" s="33"/>
      <c r="I383" s="63">
        <v>41973</v>
      </c>
      <c r="J383" s="65">
        <v>58438.53</v>
      </c>
      <c r="K383" s="65">
        <v>335114.13</v>
      </c>
      <c r="L383" s="65">
        <v>1208605.95</v>
      </c>
      <c r="M383" s="65">
        <v>-9.1</v>
      </c>
      <c r="N383" s="65">
        <v>1.4393</v>
      </c>
      <c r="O383" s="35"/>
    </row>
    <row r="384" spans="1:15" s="36" customFormat="1" ht="12" x14ac:dyDescent="0.2">
      <c r="A384" s="33"/>
      <c r="B384" s="62">
        <v>42277</v>
      </c>
      <c r="C384" s="64">
        <v>1.5955999999999999</v>
      </c>
      <c r="D384" s="64">
        <v>-5.9450000000000003</v>
      </c>
      <c r="E384" s="64">
        <v>-7.7191000000000001</v>
      </c>
      <c r="F384" s="64">
        <v>-0.25090000000000001</v>
      </c>
      <c r="G384" s="64">
        <v>7.5406000000000004</v>
      </c>
      <c r="H384" s="33"/>
      <c r="I384" s="62">
        <v>42004</v>
      </c>
      <c r="J384" s="64">
        <v>60259.530000000006</v>
      </c>
      <c r="K384" s="64">
        <v>348056.41000000003</v>
      </c>
      <c r="L384" s="64">
        <v>1228374.81</v>
      </c>
      <c r="M384" s="64">
        <v>-9</v>
      </c>
      <c r="N384" s="64">
        <v>1.5056</v>
      </c>
      <c r="O384" s="35"/>
    </row>
    <row r="385" spans="1:15" s="36" customFormat="1" ht="12" x14ac:dyDescent="0.2">
      <c r="A385" s="33"/>
      <c r="B385" s="63">
        <v>42308</v>
      </c>
      <c r="C385" s="65">
        <v>1.2674000000000001</v>
      </c>
      <c r="D385" s="65">
        <v>-5.9</v>
      </c>
      <c r="E385" s="65">
        <v>-7.6</v>
      </c>
      <c r="F385" s="65">
        <v>-0.4</v>
      </c>
      <c r="G385" s="65">
        <v>7.1673999999999998</v>
      </c>
      <c r="H385" s="33"/>
      <c r="I385" s="63">
        <v>42035</v>
      </c>
      <c r="J385" s="65">
        <v>63040.51</v>
      </c>
      <c r="K385" s="65">
        <v>348106.27999999997</v>
      </c>
      <c r="L385" s="65">
        <v>1242709.56</v>
      </c>
      <c r="M385" s="65">
        <v>-0.2</v>
      </c>
      <c r="N385" s="65">
        <v>0.76380000000000003</v>
      </c>
      <c r="O385" s="35"/>
    </row>
    <row r="386" spans="1:15" s="36" customFormat="1" ht="12" x14ac:dyDescent="0.2">
      <c r="A386" s="33"/>
      <c r="B386" s="62">
        <v>42338</v>
      </c>
      <c r="C386" s="64">
        <v>1.4856</v>
      </c>
      <c r="D386" s="64">
        <v>-5.9</v>
      </c>
      <c r="E386" s="64">
        <v>-7.6</v>
      </c>
      <c r="F386" s="64">
        <v>-0.4</v>
      </c>
      <c r="G386" s="64">
        <v>7.3856000000000002</v>
      </c>
      <c r="H386" s="33"/>
      <c r="I386" s="62">
        <v>42063</v>
      </c>
      <c r="J386" s="64">
        <v>72896.19</v>
      </c>
      <c r="K386" s="64">
        <v>334439.22000000003</v>
      </c>
      <c r="L386" s="64">
        <v>1257384.48</v>
      </c>
      <c r="M386" s="64">
        <v>-6.9</v>
      </c>
      <c r="N386" s="64">
        <v>1.4311</v>
      </c>
      <c r="O386" s="35"/>
    </row>
    <row r="387" spans="1:15" s="36" customFormat="1" ht="12" x14ac:dyDescent="0.2">
      <c r="A387" s="33"/>
      <c r="B387" s="63">
        <v>42369</v>
      </c>
      <c r="C387" s="65">
        <v>1.6</v>
      </c>
      <c r="D387" s="65">
        <v>-5.9</v>
      </c>
      <c r="E387" s="65">
        <v>-7.6</v>
      </c>
      <c r="F387" s="65">
        <v>-0.4</v>
      </c>
      <c r="G387" s="65">
        <v>7.5</v>
      </c>
      <c r="H387" s="33"/>
      <c r="I387" s="63">
        <v>42094</v>
      </c>
      <c r="J387" s="65">
        <v>61949.810000000005</v>
      </c>
      <c r="K387" s="65">
        <v>337210.52</v>
      </c>
      <c r="L387" s="65">
        <v>1275332.78</v>
      </c>
      <c r="M387" s="65">
        <v>-8.6999999999999993</v>
      </c>
      <c r="N387" s="65">
        <v>1.3757999999999999</v>
      </c>
      <c r="O387" s="35"/>
    </row>
    <row r="388" spans="1:15" s="36" customFormat="1" ht="12" x14ac:dyDescent="0.2">
      <c r="A388" s="33"/>
      <c r="B388" s="62">
        <v>42400</v>
      </c>
      <c r="C388" s="64">
        <v>1.8</v>
      </c>
      <c r="D388" s="64">
        <v>-5.3</v>
      </c>
      <c r="E388" s="64">
        <v>-6.9</v>
      </c>
      <c r="F388" s="64">
        <v>-0.5</v>
      </c>
      <c r="G388" s="64">
        <v>7.1</v>
      </c>
      <c r="H388" s="33"/>
      <c r="I388" s="62">
        <v>42124</v>
      </c>
      <c r="J388" s="64">
        <v>60772.46</v>
      </c>
      <c r="K388" s="64">
        <v>336388.24</v>
      </c>
      <c r="L388" s="64">
        <v>1280779.1399999999</v>
      </c>
      <c r="M388" s="64">
        <v>-6.4</v>
      </c>
      <c r="N388" s="64">
        <v>1.5091000000000001</v>
      </c>
      <c r="O388" s="35"/>
    </row>
    <row r="389" spans="1:15" s="36" customFormat="1" ht="12" x14ac:dyDescent="0.2">
      <c r="A389" s="33"/>
      <c r="B389" s="63">
        <v>42429</v>
      </c>
      <c r="C389" s="65">
        <v>2.2999999999999998</v>
      </c>
      <c r="D389" s="65">
        <v>-4.9000000000000004</v>
      </c>
      <c r="E389" s="65">
        <v>-6.5</v>
      </c>
      <c r="F389" s="65">
        <v>-0.4</v>
      </c>
      <c r="G389" s="65">
        <v>7.2</v>
      </c>
      <c r="H389" s="33"/>
      <c r="I389" s="63">
        <v>42155</v>
      </c>
      <c r="J389" s="65">
        <v>59075.97</v>
      </c>
      <c r="K389" s="65">
        <v>343085.86</v>
      </c>
      <c r="L389" s="65">
        <v>1307357.6299999999</v>
      </c>
      <c r="M389" s="65">
        <v>-6.1</v>
      </c>
      <c r="N389" s="65">
        <v>1.2307999999999999</v>
      </c>
      <c r="O389" s="35"/>
    </row>
    <row r="390" spans="1:15" s="36" customFormat="1" ht="12" x14ac:dyDescent="0.2">
      <c r="A390" s="33"/>
      <c r="B390" s="62">
        <v>42460</v>
      </c>
      <c r="C390" s="64">
        <v>2.3013910000000002</v>
      </c>
      <c r="D390" s="64">
        <v>-4.3</v>
      </c>
      <c r="E390" s="64">
        <v>-5.7450000000000001</v>
      </c>
      <c r="F390" s="64">
        <v>-0.2389</v>
      </c>
      <c r="G390" s="64">
        <v>6.6013909999999996</v>
      </c>
      <c r="H390" s="33"/>
      <c r="I390" s="62">
        <v>42185</v>
      </c>
      <c r="J390" s="64">
        <v>58604.259999999995</v>
      </c>
      <c r="K390" s="64">
        <v>356082.86</v>
      </c>
      <c r="L390" s="64">
        <v>1333375.3599999999</v>
      </c>
      <c r="M390" s="64">
        <v>-7.5</v>
      </c>
      <c r="N390" s="64">
        <v>1.3909</v>
      </c>
      <c r="O390" s="35"/>
    </row>
    <row r="391" spans="1:15" s="36" customFormat="1" ht="12" x14ac:dyDescent="0.2">
      <c r="A391" s="33"/>
      <c r="B391" s="63">
        <v>42490</v>
      </c>
      <c r="C391" s="65">
        <v>2.3278650000000001</v>
      </c>
      <c r="D391" s="65">
        <v>-3.4</v>
      </c>
      <c r="E391" s="65">
        <v>-4.4904999999999999</v>
      </c>
      <c r="F391" s="65">
        <v>-0.2097</v>
      </c>
      <c r="G391" s="65">
        <v>5.7278650000000004</v>
      </c>
      <c r="H391" s="33"/>
      <c r="I391" s="63">
        <v>42216</v>
      </c>
      <c r="J391" s="65">
        <v>59010.71</v>
      </c>
      <c r="K391" s="65">
        <v>353122.19</v>
      </c>
      <c r="L391" s="65">
        <v>1353210.92</v>
      </c>
      <c r="M391" s="65">
        <v>-6.7</v>
      </c>
      <c r="N391" s="65">
        <v>1.6473</v>
      </c>
      <c r="O391" s="35"/>
    </row>
    <row r="392" spans="1:15" s="36" customFormat="1" ht="12" x14ac:dyDescent="0.2">
      <c r="A392" s="33"/>
      <c r="B392" s="62">
        <v>42521</v>
      </c>
      <c r="C392" s="64">
        <v>2.038999</v>
      </c>
      <c r="D392" s="64">
        <v>-2.8</v>
      </c>
      <c r="E392" s="64">
        <v>-3.7</v>
      </c>
      <c r="F392" s="64">
        <v>-0.2</v>
      </c>
      <c r="G392" s="64">
        <v>4.8389990000000003</v>
      </c>
      <c r="H392" s="33"/>
      <c r="I392" s="62">
        <v>42247</v>
      </c>
      <c r="J392" s="64">
        <v>59061.789999999994</v>
      </c>
      <c r="K392" s="64">
        <v>362793.73</v>
      </c>
      <c r="L392" s="64">
        <v>1356907.98</v>
      </c>
      <c r="M392" s="64">
        <v>-4</v>
      </c>
      <c r="N392" s="64">
        <v>1.9554</v>
      </c>
      <c r="O392" s="35"/>
    </row>
    <row r="393" spans="1:15" s="36" customFormat="1" ht="12" x14ac:dyDescent="0.2">
      <c r="A393" s="33"/>
      <c r="B393" s="63">
        <v>42551</v>
      </c>
      <c r="C393" s="65">
        <v>1.8795029999999999</v>
      </c>
      <c r="D393" s="65">
        <v>-2.6</v>
      </c>
      <c r="E393" s="65">
        <v>-3.5</v>
      </c>
      <c r="F393" s="65">
        <v>-0.1</v>
      </c>
      <c r="G393" s="65">
        <v>4.4795030000000002</v>
      </c>
      <c r="H393" s="33"/>
      <c r="I393" s="63">
        <v>42277</v>
      </c>
      <c r="J393" s="65">
        <v>61022.97</v>
      </c>
      <c r="K393" s="65">
        <v>364416.89999999997</v>
      </c>
      <c r="L393" s="65">
        <v>1359824.06</v>
      </c>
      <c r="M393" s="65">
        <v>-1.7</v>
      </c>
      <c r="N393" s="65">
        <v>1.5955999999999999</v>
      </c>
      <c r="O393" s="35"/>
    </row>
    <row r="394" spans="1:15" s="36" customFormat="1" ht="12" x14ac:dyDescent="0.2">
      <c r="A394" s="33"/>
      <c r="B394" s="62">
        <v>42582</v>
      </c>
      <c r="C394" s="64">
        <v>1.7651129999999999</v>
      </c>
      <c r="D394" s="64">
        <v>-1.7</v>
      </c>
      <c r="E394" s="64">
        <v>-2.2999999999999998</v>
      </c>
      <c r="F394" s="64">
        <v>0</v>
      </c>
      <c r="G394" s="64">
        <v>3.4651130000000001</v>
      </c>
      <c r="H394" s="33"/>
      <c r="I394" s="62">
        <v>42308</v>
      </c>
      <c r="J394" s="64">
        <v>59900.480000000003</v>
      </c>
      <c r="K394" s="64">
        <v>375806.45</v>
      </c>
      <c r="L394" s="64">
        <v>1361020.7</v>
      </c>
      <c r="M394" s="64">
        <v>0.5</v>
      </c>
      <c r="N394" s="64">
        <v>1.2674000000000001</v>
      </c>
      <c r="O394" s="35"/>
    </row>
    <row r="395" spans="1:15" s="36" customFormat="1" ht="12" x14ac:dyDescent="0.2">
      <c r="A395" s="33"/>
      <c r="B395" s="63">
        <v>42613</v>
      </c>
      <c r="C395" s="65">
        <v>1.3397730000000001</v>
      </c>
      <c r="D395" s="65">
        <v>-0.8</v>
      </c>
      <c r="E395" s="65">
        <v>-1</v>
      </c>
      <c r="F395" s="65">
        <v>0</v>
      </c>
      <c r="G395" s="65">
        <v>2.1397729999999999</v>
      </c>
      <c r="H395" s="33"/>
      <c r="I395" s="63">
        <v>42338</v>
      </c>
      <c r="J395" s="65">
        <v>60328.240000000005</v>
      </c>
      <c r="K395" s="65">
        <v>387618.31999999995</v>
      </c>
      <c r="L395" s="65">
        <v>1373956.01</v>
      </c>
      <c r="M395" s="65">
        <v>2</v>
      </c>
      <c r="N395" s="65">
        <v>1.4856</v>
      </c>
      <c r="O395" s="35"/>
    </row>
    <row r="396" spans="1:15" s="36" customFormat="1" ht="12" x14ac:dyDescent="0.2">
      <c r="A396" s="33"/>
      <c r="B396" s="62">
        <v>42643</v>
      </c>
      <c r="C396" s="64">
        <v>1.920226</v>
      </c>
      <c r="D396" s="64">
        <v>0.1</v>
      </c>
      <c r="E396" s="64">
        <v>0.1</v>
      </c>
      <c r="F396" s="64">
        <v>0</v>
      </c>
      <c r="G396" s="64">
        <v>1.8202259999999999</v>
      </c>
      <c r="H396" s="33"/>
      <c r="I396" s="62">
        <v>42369</v>
      </c>
      <c r="J396" s="64">
        <v>63216.58</v>
      </c>
      <c r="K396" s="64">
        <v>400953.44</v>
      </c>
      <c r="L396" s="64">
        <v>1392278.11</v>
      </c>
      <c r="M396" s="64">
        <v>1.9</v>
      </c>
      <c r="N396" s="64">
        <v>1.6</v>
      </c>
      <c r="O396" s="35"/>
    </row>
    <row r="397" spans="1:15" s="36" customFormat="1" ht="12" x14ac:dyDescent="0.2">
      <c r="A397" s="33"/>
      <c r="B397" s="63">
        <v>42674</v>
      </c>
      <c r="C397" s="65">
        <v>2.0959469999999998</v>
      </c>
      <c r="D397" s="65">
        <v>1.2</v>
      </c>
      <c r="E397" s="65">
        <v>1.6</v>
      </c>
      <c r="F397" s="65">
        <v>0.1</v>
      </c>
      <c r="G397" s="65">
        <v>0.89594700000000005</v>
      </c>
      <c r="H397" s="33"/>
      <c r="I397" s="63">
        <v>42400</v>
      </c>
      <c r="J397" s="65">
        <v>72526.509999999995</v>
      </c>
      <c r="K397" s="65">
        <v>412685.63999999996</v>
      </c>
      <c r="L397" s="65">
        <v>1416319.5499999998</v>
      </c>
      <c r="M397" s="65">
        <v>4.5999999999999996</v>
      </c>
      <c r="N397" s="65">
        <v>1.8</v>
      </c>
      <c r="O397" s="35"/>
    </row>
    <row r="398" spans="1:15" s="36" customFormat="1" ht="12" x14ac:dyDescent="0.2">
      <c r="A398" s="33"/>
      <c r="B398" s="62">
        <v>42704</v>
      </c>
      <c r="C398" s="64">
        <v>2.2522579999999999</v>
      </c>
      <c r="D398" s="64">
        <v>3.3</v>
      </c>
      <c r="E398" s="64">
        <v>4.3</v>
      </c>
      <c r="F398" s="64">
        <v>0.4</v>
      </c>
      <c r="G398" s="64">
        <v>-1.047742</v>
      </c>
      <c r="H398" s="33"/>
      <c r="I398" s="62">
        <v>42429</v>
      </c>
      <c r="J398" s="64">
        <v>69421.5</v>
      </c>
      <c r="K398" s="64">
        <v>392504.7</v>
      </c>
      <c r="L398" s="64">
        <v>1424618.68</v>
      </c>
      <c r="M398" s="64">
        <v>4.0999999999999996</v>
      </c>
      <c r="N398" s="64">
        <v>2.2999999999999998</v>
      </c>
      <c r="O398" s="35"/>
    </row>
    <row r="399" spans="1:15" s="36" customFormat="1" ht="12" x14ac:dyDescent="0.2">
      <c r="A399" s="33"/>
      <c r="B399" s="63">
        <v>42735</v>
      </c>
      <c r="C399" s="65">
        <v>2.0765449999999999</v>
      </c>
      <c r="D399" s="65">
        <v>5.5</v>
      </c>
      <c r="E399" s="65">
        <v>7.2</v>
      </c>
      <c r="F399" s="65">
        <v>0.8</v>
      </c>
      <c r="G399" s="65">
        <v>-3.4234550000000001</v>
      </c>
      <c r="H399" s="33"/>
      <c r="I399" s="63">
        <v>42460</v>
      </c>
      <c r="J399" s="65">
        <v>64651.21</v>
      </c>
      <c r="K399" s="65">
        <v>411581.30999999994</v>
      </c>
      <c r="L399" s="65">
        <v>1446198.03</v>
      </c>
      <c r="M399" s="65">
        <v>8.6999999999999993</v>
      </c>
      <c r="N399" s="65">
        <v>2.3013910000000002</v>
      </c>
      <c r="O399" s="35"/>
    </row>
    <row r="400" spans="1:15" s="36" customFormat="1" ht="12" x14ac:dyDescent="0.2">
      <c r="A400" s="33"/>
      <c r="B400" s="62">
        <v>42766</v>
      </c>
      <c r="C400" s="64">
        <v>2.5490550000000001</v>
      </c>
      <c r="D400" s="64">
        <v>6.9</v>
      </c>
      <c r="E400" s="64">
        <v>9.1</v>
      </c>
      <c r="F400" s="64">
        <v>0.8</v>
      </c>
      <c r="G400" s="64">
        <v>-4.3509450000000003</v>
      </c>
      <c r="H400" s="33"/>
      <c r="I400" s="62">
        <v>42490</v>
      </c>
      <c r="J400" s="64">
        <v>64403.170000000006</v>
      </c>
      <c r="K400" s="64">
        <v>413504.83999999991</v>
      </c>
      <c r="L400" s="64">
        <v>1445209.59</v>
      </c>
      <c r="M400" s="64">
        <v>10.1</v>
      </c>
      <c r="N400" s="64">
        <v>2.3278650000000001</v>
      </c>
      <c r="O400" s="35"/>
    </row>
    <row r="401" spans="1:15" s="36" customFormat="1" ht="12" x14ac:dyDescent="0.2">
      <c r="A401" s="33"/>
      <c r="B401" s="63">
        <v>42794</v>
      </c>
      <c r="C401" s="65">
        <v>0.8</v>
      </c>
      <c r="D401" s="65">
        <v>7.8</v>
      </c>
      <c r="E401" s="65">
        <v>10.4</v>
      </c>
      <c r="F401" s="65">
        <v>0.8</v>
      </c>
      <c r="G401" s="65">
        <v>-7</v>
      </c>
      <c r="H401" s="33"/>
      <c r="I401" s="63">
        <v>42521</v>
      </c>
      <c r="J401" s="65">
        <v>62780.71</v>
      </c>
      <c r="K401" s="65">
        <v>424250.69999999995</v>
      </c>
      <c r="L401" s="65">
        <v>1461695.1099999999</v>
      </c>
      <c r="M401" s="65">
        <v>11.9</v>
      </c>
      <c r="N401" s="65">
        <v>2.038999</v>
      </c>
      <c r="O401" s="35"/>
    </row>
    <row r="402" spans="1:15" s="36" customFormat="1" ht="12" x14ac:dyDescent="0.2">
      <c r="A402" s="33"/>
      <c r="B402" s="62">
        <v>42825</v>
      </c>
      <c r="C402" s="64">
        <v>0.9</v>
      </c>
      <c r="D402" s="64">
        <v>7.6</v>
      </c>
      <c r="E402" s="64">
        <v>10.1</v>
      </c>
      <c r="F402" s="64">
        <v>0.7</v>
      </c>
      <c r="G402" s="64">
        <v>-6.7</v>
      </c>
      <c r="H402" s="33"/>
      <c r="I402" s="62">
        <v>42551</v>
      </c>
      <c r="J402" s="64">
        <v>62818.89</v>
      </c>
      <c r="K402" s="64">
        <v>443643.7</v>
      </c>
      <c r="L402" s="64">
        <v>1490491.8299999998</v>
      </c>
      <c r="M402" s="64">
        <v>12.8</v>
      </c>
      <c r="N402" s="64">
        <v>1.8795029999999999</v>
      </c>
      <c r="O402" s="35"/>
    </row>
    <row r="403" spans="1:15" s="36" customFormat="1" ht="12" x14ac:dyDescent="0.2">
      <c r="A403" s="33"/>
      <c r="B403" s="63">
        <v>42855</v>
      </c>
      <c r="C403" s="65">
        <v>1.2</v>
      </c>
      <c r="D403" s="65">
        <v>6.4</v>
      </c>
      <c r="E403" s="65">
        <v>8.4</v>
      </c>
      <c r="F403" s="65">
        <v>0.7</v>
      </c>
      <c r="G403" s="65">
        <v>-5.2</v>
      </c>
      <c r="H403" s="33"/>
      <c r="I403" s="63">
        <v>42582</v>
      </c>
      <c r="J403" s="65">
        <v>63276.009999999995</v>
      </c>
      <c r="K403" s="65">
        <v>442934.43</v>
      </c>
      <c r="L403" s="65">
        <v>1491558.72</v>
      </c>
      <c r="M403" s="65">
        <v>15.2</v>
      </c>
      <c r="N403" s="65">
        <v>1.7651129999999999</v>
      </c>
      <c r="O403" s="35"/>
    </row>
    <row r="404" spans="1:15" s="36" customFormat="1" ht="12" x14ac:dyDescent="0.2">
      <c r="A404" s="33"/>
      <c r="B404" s="62">
        <v>42886</v>
      </c>
      <c r="C404" s="64">
        <v>1.5</v>
      </c>
      <c r="D404" s="64">
        <v>5.5</v>
      </c>
      <c r="E404" s="64">
        <v>7.3</v>
      </c>
      <c r="F404" s="64">
        <v>0.6</v>
      </c>
      <c r="G404" s="64">
        <v>-4</v>
      </c>
      <c r="H404" s="33"/>
      <c r="I404" s="62">
        <v>42613</v>
      </c>
      <c r="J404" s="64">
        <v>63454.7</v>
      </c>
      <c r="K404" s="64">
        <v>454543.59999999992</v>
      </c>
      <c r="L404" s="64">
        <v>1510982.91</v>
      </c>
      <c r="M404" s="64">
        <v>13.9</v>
      </c>
      <c r="N404" s="64">
        <v>1.3397730000000001</v>
      </c>
      <c r="O404" s="35"/>
    </row>
    <row r="405" spans="1:15" s="36" customFormat="1" ht="12" x14ac:dyDescent="0.2">
      <c r="A405" s="33"/>
      <c r="B405" s="63">
        <v>42916</v>
      </c>
      <c r="C405" s="65">
        <v>1.5</v>
      </c>
      <c r="D405" s="65">
        <v>5.5</v>
      </c>
      <c r="E405" s="65">
        <v>7.3</v>
      </c>
      <c r="F405" s="65">
        <v>0.5</v>
      </c>
      <c r="G405" s="65">
        <v>-4</v>
      </c>
      <c r="H405" s="33"/>
      <c r="I405" s="63">
        <v>42643</v>
      </c>
      <c r="J405" s="65">
        <v>65068.62</v>
      </c>
      <c r="K405" s="65">
        <v>454340.25</v>
      </c>
      <c r="L405" s="65">
        <v>1516360.5</v>
      </c>
      <c r="M405" s="65">
        <v>13.2</v>
      </c>
      <c r="N405" s="65">
        <v>1.920226</v>
      </c>
      <c r="O405" s="35"/>
    </row>
    <row r="406" spans="1:15" s="36" customFormat="1" ht="12" x14ac:dyDescent="0.2">
      <c r="A406" s="33"/>
      <c r="B406" s="62">
        <v>42947</v>
      </c>
      <c r="C406" s="64">
        <v>1.4</v>
      </c>
      <c r="D406" s="64">
        <v>5.5</v>
      </c>
      <c r="E406" s="64">
        <v>7.3</v>
      </c>
      <c r="F406" s="64">
        <v>0.5</v>
      </c>
      <c r="G406" s="64">
        <v>-4.0999999999999996</v>
      </c>
      <c r="H406" s="33"/>
      <c r="I406" s="62">
        <v>42674</v>
      </c>
      <c r="J406" s="64">
        <v>64214.93</v>
      </c>
      <c r="K406" s="64">
        <v>465446.64999999991</v>
      </c>
      <c r="L406" s="64">
        <v>1519485.4</v>
      </c>
      <c r="M406" s="64">
        <v>12.3</v>
      </c>
      <c r="N406" s="64">
        <v>2.0959469999999998</v>
      </c>
      <c r="O406" s="35"/>
    </row>
    <row r="407" spans="1:15" s="36" customFormat="1" ht="12" x14ac:dyDescent="0.2">
      <c r="A407" s="33"/>
      <c r="B407" s="63">
        <v>42978</v>
      </c>
      <c r="C407" s="65">
        <v>1.8</v>
      </c>
      <c r="D407" s="65">
        <v>6.3</v>
      </c>
      <c r="E407" s="65">
        <v>8.3000000000000007</v>
      </c>
      <c r="F407" s="65">
        <v>0.6</v>
      </c>
      <c r="G407" s="65">
        <v>-4.5</v>
      </c>
      <c r="H407" s="33"/>
      <c r="I407" s="63">
        <v>42704</v>
      </c>
      <c r="J407" s="65">
        <v>64903.5</v>
      </c>
      <c r="K407" s="65">
        <v>475405.54</v>
      </c>
      <c r="L407" s="65">
        <v>1530432.0599999998</v>
      </c>
      <c r="M407" s="65">
        <v>11.3</v>
      </c>
      <c r="N407" s="65">
        <v>2.2522579999999999</v>
      </c>
      <c r="O407" s="35"/>
    </row>
    <row r="408" spans="1:15" s="36" customFormat="1" ht="12" x14ac:dyDescent="0.2">
      <c r="A408" s="33"/>
      <c r="B408" s="62">
        <v>43008</v>
      </c>
      <c r="C408" s="64">
        <v>1.6</v>
      </c>
      <c r="D408" s="64">
        <v>6.9</v>
      </c>
      <c r="E408" s="64">
        <v>9.1</v>
      </c>
      <c r="F408" s="64">
        <v>0.7</v>
      </c>
      <c r="G408" s="64">
        <v>-5.3</v>
      </c>
      <c r="H408" s="33"/>
      <c r="I408" s="62">
        <v>42735</v>
      </c>
      <c r="J408" s="64">
        <v>68303.87</v>
      </c>
      <c r="K408" s="64">
        <v>486557.24</v>
      </c>
      <c r="L408" s="64">
        <v>1550066.67</v>
      </c>
      <c r="M408" s="64">
        <v>10.1</v>
      </c>
      <c r="N408" s="64">
        <v>2.0765449999999999</v>
      </c>
      <c r="O408" s="35"/>
    </row>
    <row r="409" spans="1:15" s="36" customFormat="1" ht="12" x14ac:dyDescent="0.2">
      <c r="A409" s="33"/>
      <c r="B409" s="63">
        <v>43039</v>
      </c>
      <c r="C409" s="65">
        <v>1.9</v>
      </c>
      <c r="D409" s="65">
        <v>6.9</v>
      </c>
      <c r="E409" s="65">
        <v>9</v>
      </c>
      <c r="F409" s="65">
        <v>0.8</v>
      </c>
      <c r="G409" s="65">
        <v>-5</v>
      </c>
      <c r="H409" s="33"/>
      <c r="I409" s="63">
        <v>42766</v>
      </c>
      <c r="J409" s="65">
        <v>86598.61</v>
      </c>
      <c r="K409" s="65">
        <v>472526.44999999995</v>
      </c>
      <c r="L409" s="65">
        <v>1584194.564</v>
      </c>
      <c r="M409" s="65">
        <v>3.8</v>
      </c>
      <c r="N409" s="65">
        <v>2.5490550000000001</v>
      </c>
      <c r="O409" s="35"/>
    </row>
    <row r="410" spans="1:15" s="36" customFormat="1" ht="12" x14ac:dyDescent="0.2">
      <c r="A410" s="33"/>
      <c r="B410" s="62">
        <v>43069</v>
      </c>
      <c r="C410" s="64">
        <v>1.7</v>
      </c>
      <c r="D410" s="64">
        <v>5.8</v>
      </c>
      <c r="E410" s="64">
        <v>7.5</v>
      </c>
      <c r="F410" s="64">
        <v>0.6</v>
      </c>
      <c r="G410" s="64">
        <v>-4.0999999999999996</v>
      </c>
      <c r="H410" s="33"/>
      <c r="I410" s="62">
        <v>42794</v>
      </c>
      <c r="J410" s="64">
        <v>71727.69</v>
      </c>
      <c r="K410" s="64">
        <v>476527.6</v>
      </c>
      <c r="L410" s="64">
        <v>1589856.9949999999</v>
      </c>
      <c r="M410" s="64">
        <v>11</v>
      </c>
      <c r="N410" s="64">
        <v>0.8</v>
      </c>
      <c r="O410" s="35"/>
    </row>
    <row r="411" spans="1:15" s="36" customFormat="1" ht="12" x14ac:dyDescent="0.2">
      <c r="A411" s="33"/>
      <c r="B411" s="63">
        <v>43100</v>
      </c>
      <c r="C411" s="65">
        <v>1.8</v>
      </c>
      <c r="D411" s="65">
        <v>4.9000000000000004</v>
      </c>
      <c r="E411" s="65">
        <v>6.4</v>
      </c>
      <c r="F411" s="65">
        <v>0.5</v>
      </c>
      <c r="G411" s="65">
        <v>-3.1</v>
      </c>
      <c r="H411" s="33"/>
      <c r="I411" s="63">
        <v>42825</v>
      </c>
      <c r="J411" s="65">
        <v>68605.049999999988</v>
      </c>
      <c r="K411" s="65">
        <v>488770.08999999997</v>
      </c>
      <c r="L411" s="65">
        <v>1607938.9799999997</v>
      </c>
      <c r="M411" s="65">
        <v>8.6999999999999993</v>
      </c>
      <c r="N411" s="65">
        <v>0.9</v>
      </c>
      <c r="O411" s="35"/>
    </row>
    <row r="412" spans="1:15" s="36" customFormat="1" ht="12" x14ac:dyDescent="0.2">
      <c r="A412" s="33"/>
      <c r="B412" s="62">
        <v>43131</v>
      </c>
      <c r="C412" s="64">
        <v>1.5</v>
      </c>
      <c r="D412" s="64">
        <v>4.3</v>
      </c>
      <c r="E412" s="64">
        <v>5.7</v>
      </c>
      <c r="F412" s="64">
        <v>0.3</v>
      </c>
      <c r="G412" s="64">
        <v>-2.8</v>
      </c>
      <c r="H412" s="33"/>
      <c r="I412" s="62">
        <v>42855</v>
      </c>
      <c r="J412" s="64">
        <v>68392.600000000006</v>
      </c>
      <c r="K412" s="64">
        <v>490180.42</v>
      </c>
      <c r="L412" s="64">
        <v>1603918.8399999999</v>
      </c>
      <c r="M412" s="64">
        <v>8.6999999999999993</v>
      </c>
      <c r="N412" s="64">
        <v>1.2</v>
      </c>
      <c r="O412" s="35"/>
    </row>
    <row r="413" spans="1:15" ht="12" x14ac:dyDescent="0.2">
      <c r="B413" s="63">
        <v>43159</v>
      </c>
      <c r="C413" s="65">
        <v>2.9</v>
      </c>
      <c r="D413" s="65">
        <v>3.7</v>
      </c>
      <c r="E413" s="65">
        <v>4.8</v>
      </c>
      <c r="F413" s="65">
        <v>0.3</v>
      </c>
      <c r="G413" s="65">
        <v>-0.8</v>
      </c>
      <c r="I413" s="63">
        <v>42886</v>
      </c>
      <c r="J413" s="65">
        <v>67333.209999999992</v>
      </c>
      <c r="K413" s="65">
        <v>496389.77999999997</v>
      </c>
      <c r="L413" s="65">
        <v>1609740.7739999997</v>
      </c>
      <c r="M413" s="65">
        <v>7.9</v>
      </c>
      <c r="N413" s="65">
        <v>1.5</v>
      </c>
    </row>
    <row r="414" spans="1:15" ht="12" x14ac:dyDescent="0.2">
      <c r="B414" s="62">
        <v>43190</v>
      </c>
      <c r="C414" s="64">
        <v>2.1</v>
      </c>
      <c r="D414" s="64">
        <v>3.1</v>
      </c>
      <c r="E414" s="64">
        <v>4.0999999999999996</v>
      </c>
      <c r="F414" s="64">
        <v>0.2</v>
      </c>
      <c r="G414" s="64">
        <v>-1</v>
      </c>
      <c r="I414" s="62">
        <v>42916</v>
      </c>
      <c r="J414" s="64">
        <v>66977.679999999993</v>
      </c>
      <c r="K414" s="64">
        <v>510228.16999999993</v>
      </c>
      <c r="L414" s="64">
        <v>1639497.0450000002</v>
      </c>
      <c r="M414" s="64">
        <v>5.9</v>
      </c>
      <c r="N414" s="64">
        <v>1.5</v>
      </c>
    </row>
    <row r="415" spans="1:15" ht="12" x14ac:dyDescent="0.2">
      <c r="B415" s="63">
        <v>43220</v>
      </c>
      <c r="C415" s="65">
        <v>1.8</v>
      </c>
      <c r="D415" s="65">
        <v>3.4</v>
      </c>
      <c r="E415" s="65">
        <v>4.5</v>
      </c>
      <c r="F415" s="65">
        <v>0.1</v>
      </c>
      <c r="G415" s="65">
        <v>-1.6</v>
      </c>
      <c r="I415" s="63">
        <v>42947</v>
      </c>
      <c r="J415" s="65">
        <v>67129.039999999994</v>
      </c>
      <c r="K415" s="65">
        <v>510484.58</v>
      </c>
      <c r="L415" s="65">
        <v>1636341.105</v>
      </c>
      <c r="M415" s="65">
        <v>6.4</v>
      </c>
      <c r="N415" s="65">
        <v>1.4</v>
      </c>
    </row>
    <row r="416" spans="1:15" ht="12" x14ac:dyDescent="0.2">
      <c r="B416" s="62">
        <v>43251</v>
      </c>
      <c r="C416" s="64">
        <v>1.8</v>
      </c>
      <c r="D416" s="64">
        <v>4.0999999999999996</v>
      </c>
      <c r="E416" s="64">
        <v>5.4</v>
      </c>
      <c r="F416" s="64">
        <v>0.3</v>
      </c>
      <c r="G416" s="64">
        <v>-2.2999999999999998</v>
      </c>
      <c r="I416" s="62">
        <v>42978</v>
      </c>
      <c r="J416" s="64">
        <v>67550.989999999991</v>
      </c>
      <c r="K416" s="64">
        <v>518113.93000000005</v>
      </c>
      <c r="L416" s="64">
        <v>1652947.2999999998</v>
      </c>
      <c r="M416" s="64">
        <v>5.4</v>
      </c>
      <c r="N416" s="64">
        <v>1.8</v>
      </c>
    </row>
    <row r="417" spans="2:14" ht="12" x14ac:dyDescent="0.2">
      <c r="B417" s="63">
        <v>43281</v>
      </c>
      <c r="C417" s="65">
        <v>1.9</v>
      </c>
      <c r="D417" s="65">
        <v>4.7</v>
      </c>
      <c r="E417" s="65">
        <v>6.1</v>
      </c>
      <c r="F417" s="65">
        <v>0.4</v>
      </c>
      <c r="G417" s="65">
        <v>-2.8</v>
      </c>
      <c r="I417" s="63">
        <v>43008</v>
      </c>
      <c r="J417" s="65">
        <v>69748.540000000008</v>
      </c>
      <c r="K417" s="65">
        <v>517863.04000000004</v>
      </c>
      <c r="L417" s="65">
        <v>1663666.054</v>
      </c>
      <c r="M417" s="65">
        <v>5</v>
      </c>
      <c r="N417" s="65">
        <v>1.6</v>
      </c>
    </row>
    <row r="418" spans="2:14" ht="12" x14ac:dyDescent="0.2">
      <c r="B418" s="62">
        <v>43312</v>
      </c>
      <c r="C418" s="64">
        <v>2.1</v>
      </c>
      <c r="D418" s="64">
        <v>4.5999999999999996</v>
      </c>
      <c r="E418" s="64">
        <v>6</v>
      </c>
      <c r="F418" s="64">
        <v>0.6</v>
      </c>
      <c r="G418" s="64">
        <v>-2.5</v>
      </c>
      <c r="I418" s="62">
        <v>43039</v>
      </c>
      <c r="J418" s="64">
        <v>68230.69</v>
      </c>
      <c r="K418" s="64">
        <v>525977.18999999994</v>
      </c>
      <c r="L418" s="64">
        <v>1662449.9600000002</v>
      </c>
      <c r="M418" s="64">
        <v>4.0999999999999996</v>
      </c>
      <c r="N418" s="64">
        <v>1.9</v>
      </c>
    </row>
    <row r="419" spans="2:14" ht="12" x14ac:dyDescent="0.2">
      <c r="B419" s="63">
        <v>43343</v>
      </c>
      <c r="C419" s="65">
        <v>2.2999999999999998</v>
      </c>
      <c r="D419" s="65">
        <v>4.0999999999999996</v>
      </c>
      <c r="E419" s="65">
        <v>5.2</v>
      </c>
      <c r="F419" s="65">
        <v>0.7</v>
      </c>
      <c r="G419" s="65">
        <v>-1.8</v>
      </c>
      <c r="I419" s="63">
        <v>43069</v>
      </c>
      <c r="J419" s="65">
        <v>68623.16</v>
      </c>
      <c r="K419" s="65">
        <v>535565.05000000005</v>
      </c>
      <c r="L419" s="65">
        <v>1679156.6359999999</v>
      </c>
      <c r="M419" s="65">
        <v>3.6</v>
      </c>
      <c r="N419" s="65">
        <v>1.7</v>
      </c>
    </row>
    <row r="420" spans="2:14" ht="12" x14ac:dyDescent="0.2">
      <c r="B420" s="62">
        <v>43373</v>
      </c>
      <c r="C420" s="64">
        <v>2.5</v>
      </c>
      <c r="D420" s="64">
        <v>3.6</v>
      </c>
      <c r="E420" s="64">
        <v>4.5999999999999996</v>
      </c>
      <c r="F420" s="64">
        <v>0.8</v>
      </c>
      <c r="G420" s="64">
        <v>-1.1000000000000001</v>
      </c>
      <c r="I420" s="62">
        <v>43100</v>
      </c>
      <c r="J420" s="64">
        <v>70645.600000000006</v>
      </c>
      <c r="K420" s="64">
        <v>543790.15</v>
      </c>
      <c r="L420" s="64">
        <v>1690235.3149999997</v>
      </c>
      <c r="M420" s="64">
        <v>3.7</v>
      </c>
      <c r="N420" s="64">
        <v>1.8</v>
      </c>
    </row>
    <row r="421" spans="2:14" ht="12" x14ac:dyDescent="0.2">
      <c r="B421" s="63">
        <v>43404</v>
      </c>
      <c r="C421" s="65">
        <v>2.5</v>
      </c>
      <c r="D421" s="65">
        <v>3.3</v>
      </c>
      <c r="E421" s="65">
        <v>4.2</v>
      </c>
      <c r="F421" s="65">
        <v>0.7</v>
      </c>
      <c r="G421" s="65">
        <v>-0.8</v>
      </c>
      <c r="I421" s="63">
        <v>43131</v>
      </c>
      <c r="J421" s="65">
        <v>74636.289999999994</v>
      </c>
      <c r="K421" s="65">
        <v>543247.13</v>
      </c>
      <c r="L421" s="65">
        <v>1720814.46</v>
      </c>
      <c r="M421" s="65">
        <v>6.4</v>
      </c>
      <c r="N421" s="65">
        <v>1.5</v>
      </c>
    </row>
    <row r="422" spans="2:14" ht="12" x14ac:dyDescent="0.2">
      <c r="B422" s="62">
        <v>43434</v>
      </c>
      <c r="C422" s="64">
        <v>2.2000000000000002</v>
      </c>
      <c r="D422" s="64">
        <v>2.7</v>
      </c>
      <c r="E422" s="64">
        <v>3.3</v>
      </c>
      <c r="F422" s="64">
        <v>0.8</v>
      </c>
      <c r="G422" s="64">
        <v>-0.5</v>
      </c>
      <c r="I422" s="62">
        <v>43159</v>
      </c>
      <c r="J422" s="64">
        <v>81424.240000000005</v>
      </c>
      <c r="K422" s="64">
        <v>517035.99</v>
      </c>
      <c r="L422" s="64">
        <v>1729070.12</v>
      </c>
      <c r="M422" s="64">
        <v>-0.3</v>
      </c>
      <c r="N422" s="64">
        <v>2.9</v>
      </c>
    </row>
    <row r="423" spans="2:14" ht="12" x14ac:dyDescent="0.2">
      <c r="B423" s="63">
        <v>43465</v>
      </c>
      <c r="C423" s="65">
        <v>1.9</v>
      </c>
      <c r="D423" s="65">
        <v>0.9</v>
      </c>
      <c r="E423" s="65">
        <v>1</v>
      </c>
      <c r="F423" s="65">
        <v>0.7</v>
      </c>
      <c r="G423" s="65">
        <v>1</v>
      </c>
      <c r="I423" s="63">
        <v>43190</v>
      </c>
      <c r="J423" s="65">
        <v>72692.63</v>
      </c>
      <c r="K423" s="65">
        <v>523540.07</v>
      </c>
      <c r="L423" s="65">
        <v>1739859.4799999997</v>
      </c>
      <c r="M423" s="65">
        <v>-1.1000000000000001</v>
      </c>
      <c r="N423" s="65">
        <v>2.1</v>
      </c>
    </row>
    <row r="424" spans="2:14" ht="12" x14ac:dyDescent="0.2">
      <c r="B424" s="62">
        <v>43496</v>
      </c>
      <c r="C424" s="64">
        <v>1.7</v>
      </c>
      <c r="D424" s="64">
        <v>0.1</v>
      </c>
      <c r="E424" s="64">
        <v>-0.1</v>
      </c>
      <c r="F424" s="64">
        <v>0.6</v>
      </c>
      <c r="G424" s="64">
        <v>1.6</v>
      </c>
      <c r="I424" s="62">
        <v>43220</v>
      </c>
      <c r="J424" s="64">
        <v>71476.460000000006</v>
      </c>
      <c r="K424" s="64">
        <v>525447.77</v>
      </c>
      <c r="L424" s="64">
        <v>1737683.7299999997</v>
      </c>
      <c r="M424" s="64">
        <v>-1.1000000000000001</v>
      </c>
      <c r="N424" s="64">
        <v>1.8</v>
      </c>
    </row>
    <row r="425" spans="2:14" ht="12" x14ac:dyDescent="0.2">
      <c r="B425" s="63">
        <v>43524</v>
      </c>
      <c r="C425" s="65">
        <v>1.5</v>
      </c>
      <c r="D425" s="65">
        <v>0.1</v>
      </c>
      <c r="E425" s="65">
        <v>-0.1</v>
      </c>
      <c r="F425" s="65">
        <v>0.4</v>
      </c>
      <c r="G425" s="65">
        <v>1.4</v>
      </c>
      <c r="I425" s="63">
        <v>43251</v>
      </c>
      <c r="J425" s="65">
        <v>69774.808000000005</v>
      </c>
      <c r="K425" s="65">
        <v>526276.71549999993</v>
      </c>
      <c r="L425" s="65">
        <v>1743063.7919999999</v>
      </c>
      <c r="M425" s="65">
        <v>-2.2999999999999998</v>
      </c>
      <c r="N425" s="65">
        <v>1.8</v>
      </c>
    </row>
    <row r="426" spans="2:14" ht="12" x14ac:dyDescent="0.2">
      <c r="B426" s="62">
        <v>43555</v>
      </c>
      <c r="C426" s="64">
        <v>2.2999999999999998</v>
      </c>
      <c r="D426" s="64">
        <v>0.4</v>
      </c>
      <c r="E426" s="64">
        <v>0.3</v>
      </c>
      <c r="F426" s="64">
        <v>0.5</v>
      </c>
      <c r="G426" s="64">
        <v>1.9</v>
      </c>
      <c r="I426" s="62">
        <v>43281</v>
      </c>
      <c r="J426" s="64">
        <v>69589.333434999993</v>
      </c>
      <c r="K426" s="64">
        <v>543944.71230799996</v>
      </c>
      <c r="L426" s="64">
        <v>1770178.3727810001</v>
      </c>
      <c r="M426" s="64">
        <v>-1.4</v>
      </c>
      <c r="N426" s="64">
        <v>1.9</v>
      </c>
    </row>
    <row r="427" spans="2:14" ht="12" x14ac:dyDescent="0.2">
      <c r="B427" s="63">
        <v>43585</v>
      </c>
      <c r="C427" s="65">
        <v>2.5</v>
      </c>
      <c r="D427" s="65">
        <v>0.9</v>
      </c>
      <c r="E427" s="65">
        <v>0.9</v>
      </c>
      <c r="F427" s="65">
        <v>0.9</v>
      </c>
      <c r="G427" s="65">
        <v>1.6</v>
      </c>
      <c r="I427" s="63">
        <v>43312</v>
      </c>
      <c r="J427" s="65">
        <v>69530.589769999991</v>
      </c>
      <c r="K427" s="65">
        <v>536624.29389999993</v>
      </c>
      <c r="L427" s="65">
        <v>1776196.1050000002</v>
      </c>
      <c r="M427" s="65">
        <v>-3.4</v>
      </c>
      <c r="N427" s="65">
        <v>2.1</v>
      </c>
    </row>
    <row r="428" spans="2:14" ht="12" x14ac:dyDescent="0.2">
      <c r="B428" s="62">
        <v>43616</v>
      </c>
      <c r="C428" s="64">
        <v>2.7</v>
      </c>
      <c r="D428" s="64">
        <v>0.6</v>
      </c>
      <c r="E428" s="64">
        <v>0.6</v>
      </c>
      <c r="F428" s="64">
        <v>0.9</v>
      </c>
      <c r="G428" s="64">
        <v>2.1</v>
      </c>
      <c r="I428" s="62">
        <v>43343</v>
      </c>
      <c r="J428" s="64">
        <v>69775.393039999995</v>
      </c>
      <c r="K428" s="64">
        <v>538324.64430000004</v>
      </c>
      <c r="L428" s="64">
        <v>1788670.43</v>
      </c>
      <c r="M428" s="64">
        <v>-4.3</v>
      </c>
      <c r="N428" s="64">
        <v>2.2999999999999998</v>
      </c>
    </row>
    <row r="429" spans="2:14" ht="12" x14ac:dyDescent="0.2">
      <c r="B429" s="63">
        <v>43646</v>
      </c>
      <c r="C429" s="65">
        <v>2.7</v>
      </c>
      <c r="D429" s="65">
        <v>0</v>
      </c>
      <c r="E429" s="65">
        <v>-0.3</v>
      </c>
      <c r="F429" s="65">
        <v>0.9</v>
      </c>
      <c r="G429" s="65">
        <v>2.7</v>
      </c>
      <c r="I429" s="63">
        <v>43373</v>
      </c>
      <c r="J429" s="65">
        <v>71254.260000000009</v>
      </c>
      <c r="K429" s="65">
        <v>538574.08000000007</v>
      </c>
      <c r="L429" s="65">
        <v>1801665.5799999998</v>
      </c>
      <c r="M429" s="65">
        <v>-4.3</v>
      </c>
      <c r="N429" s="65">
        <v>2.5</v>
      </c>
    </row>
    <row r="430" spans="2:14" ht="12" x14ac:dyDescent="0.2">
      <c r="B430" s="62">
        <v>43677</v>
      </c>
      <c r="C430" s="64">
        <v>2.8</v>
      </c>
      <c r="D430" s="64">
        <v>-0.3</v>
      </c>
      <c r="E430" s="64">
        <v>-0.7</v>
      </c>
      <c r="F430" s="64">
        <v>0.8</v>
      </c>
      <c r="G430" s="64">
        <v>3.1</v>
      </c>
      <c r="I430" s="62">
        <v>43404</v>
      </c>
      <c r="J430" s="64">
        <v>70106.62</v>
      </c>
      <c r="K430" s="64">
        <v>540128.36550000007</v>
      </c>
      <c r="L430" s="64">
        <v>1795561.6</v>
      </c>
      <c r="M430" s="64">
        <v>-5.3</v>
      </c>
      <c r="N430" s="64">
        <v>2.5</v>
      </c>
    </row>
    <row r="431" spans="2:14" ht="12" x14ac:dyDescent="0.2">
      <c r="B431" s="63">
        <v>43708</v>
      </c>
      <c r="C431" s="65">
        <v>2.8</v>
      </c>
      <c r="D431" s="65">
        <v>-0.8</v>
      </c>
      <c r="E431" s="65">
        <v>-1.3</v>
      </c>
      <c r="F431" s="65">
        <v>0.7</v>
      </c>
      <c r="G431" s="65">
        <v>3.6</v>
      </c>
      <c r="I431" s="63">
        <v>43434</v>
      </c>
      <c r="J431" s="65">
        <v>70563.304270000008</v>
      </c>
      <c r="K431" s="65">
        <v>543498.66090000002</v>
      </c>
      <c r="L431" s="65">
        <v>1813175.0649999999</v>
      </c>
      <c r="M431" s="65">
        <v>-6.5</v>
      </c>
      <c r="N431" s="65">
        <v>2.2000000000000002</v>
      </c>
    </row>
    <row r="432" spans="2:14" ht="12" x14ac:dyDescent="0.2">
      <c r="B432" s="62">
        <v>43738</v>
      </c>
      <c r="C432" s="64">
        <v>3</v>
      </c>
      <c r="D432" s="64">
        <v>-1.2</v>
      </c>
      <c r="E432" s="64">
        <v>-2</v>
      </c>
      <c r="F432" s="64">
        <v>1.1000000000000001</v>
      </c>
      <c r="G432" s="64">
        <v>4.2</v>
      </c>
      <c r="I432" s="62">
        <v>43465</v>
      </c>
      <c r="J432" s="64">
        <v>73208.403380000003</v>
      </c>
      <c r="K432" s="64">
        <v>551685.90749999997</v>
      </c>
      <c r="L432" s="64">
        <v>1826744.216</v>
      </c>
      <c r="M432" s="64">
        <v>-6.6</v>
      </c>
      <c r="N432" s="64">
        <v>1.9</v>
      </c>
    </row>
    <row r="433" spans="2:14" ht="12" x14ac:dyDescent="0.2">
      <c r="B433" s="63">
        <v>43769</v>
      </c>
      <c r="C433" s="65">
        <v>3.8</v>
      </c>
      <c r="D433" s="65">
        <v>-1.6</v>
      </c>
      <c r="E433" s="65">
        <v>-2.6</v>
      </c>
      <c r="F433" s="65">
        <v>1.4</v>
      </c>
      <c r="G433" s="65">
        <v>5.4</v>
      </c>
      <c r="I433" s="63">
        <v>43496</v>
      </c>
      <c r="J433" s="65">
        <v>87470.62000000001</v>
      </c>
      <c r="K433" s="65">
        <v>545638.46</v>
      </c>
      <c r="L433" s="65">
        <v>1865935.3299999998</v>
      </c>
      <c r="M433" s="65">
        <v>-8</v>
      </c>
      <c r="N433" s="65">
        <v>1.7</v>
      </c>
    </row>
    <row r="434" spans="2:14" ht="12" x14ac:dyDescent="0.2">
      <c r="B434" s="62">
        <v>43799</v>
      </c>
      <c r="C434" s="64">
        <v>4.5</v>
      </c>
      <c r="D434" s="64">
        <v>-1.4</v>
      </c>
      <c r="E434" s="64">
        <v>-2.5</v>
      </c>
      <c r="F434" s="64">
        <v>1.6</v>
      </c>
      <c r="G434" s="64">
        <v>5.9</v>
      </c>
      <c r="I434" s="62">
        <v>43524</v>
      </c>
      <c r="J434" s="64">
        <v>79484.72</v>
      </c>
      <c r="K434" s="64">
        <v>527190.48</v>
      </c>
      <c r="L434" s="64">
        <v>1867427.4500000002</v>
      </c>
      <c r="M434" s="64">
        <v>-6</v>
      </c>
      <c r="N434" s="64">
        <v>1.5</v>
      </c>
    </row>
    <row r="435" spans="2:14" ht="12" x14ac:dyDescent="0.2">
      <c r="B435" s="63">
        <v>43830</v>
      </c>
      <c r="C435" s="65">
        <v>4.5</v>
      </c>
      <c r="D435" s="65">
        <v>-0.5</v>
      </c>
      <c r="E435" s="65">
        <v>-1.2</v>
      </c>
      <c r="F435" s="65">
        <v>1.3</v>
      </c>
      <c r="G435" s="65">
        <v>5</v>
      </c>
      <c r="I435" s="63">
        <v>43555</v>
      </c>
      <c r="J435" s="65">
        <v>74941.57617</v>
      </c>
      <c r="K435" s="65">
        <v>547575.54229999997</v>
      </c>
      <c r="L435" s="65">
        <v>1889412.1369999999</v>
      </c>
      <c r="M435" s="65">
        <v>-4</v>
      </c>
      <c r="N435" s="65">
        <v>2.2999999999999998</v>
      </c>
    </row>
    <row r="436" spans="2:14" ht="12" x14ac:dyDescent="0.2">
      <c r="B436" s="62">
        <v>43861</v>
      </c>
      <c r="C436" s="64">
        <v>5.4</v>
      </c>
      <c r="D436" s="64">
        <v>0.1</v>
      </c>
      <c r="E436" s="64">
        <v>-0.4</v>
      </c>
      <c r="F436" s="64">
        <v>1.3</v>
      </c>
      <c r="G436" s="64">
        <v>5.3</v>
      </c>
      <c r="I436" s="62">
        <v>43585</v>
      </c>
      <c r="J436" s="64">
        <v>73965.760289999991</v>
      </c>
      <c r="K436" s="64">
        <v>540614.60459999996</v>
      </c>
      <c r="L436" s="64">
        <v>1884670.327</v>
      </c>
      <c r="M436" s="64">
        <v>-5.6</v>
      </c>
      <c r="N436" s="64">
        <v>2.5</v>
      </c>
    </row>
    <row r="437" spans="2:14" ht="12" x14ac:dyDescent="0.2">
      <c r="B437" s="63">
        <v>43890</v>
      </c>
      <c r="C437" s="65">
        <v>5.2</v>
      </c>
      <c r="D437" s="65">
        <v>-0.4</v>
      </c>
      <c r="E437" s="65">
        <v>-1</v>
      </c>
      <c r="F437" s="65">
        <v>1.4</v>
      </c>
      <c r="G437" s="65">
        <v>5.6</v>
      </c>
      <c r="I437" s="63">
        <v>43616</v>
      </c>
      <c r="J437" s="65">
        <v>72798.460000000006</v>
      </c>
      <c r="K437" s="65">
        <v>544355.64</v>
      </c>
      <c r="L437" s="65">
        <v>1891153.7</v>
      </c>
      <c r="M437" s="65">
        <v>-5.0999999999999996</v>
      </c>
      <c r="N437" s="65">
        <v>2.7</v>
      </c>
    </row>
    <row r="438" spans="2:14" ht="12" x14ac:dyDescent="0.2">
      <c r="B438" s="62">
        <v>43921</v>
      </c>
      <c r="C438" s="64">
        <v>4.3</v>
      </c>
      <c r="D438" s="64">
        <v>-1.5</v>
      </c>
      <c r="E438" s="64">
        <v>-2.4</v>
      </c>
      <c r="F438" s="64">
        <v>1.2</v>
      </c>
      <c r="G438" s="64">
        <v>5.8</v>
      </c>
      <c r="I438" s="62">
        <v>43646</v>
      </c>
      <c r="J438" s="64">
        <v>72580.959690000003</v>
      </c>
      <c r="K438" s="64">
        <v>567696.18319999997</v>
      </c>
      <c r="L438" s="64">
        <v>1921360.1900000002</v>
      </c>
      <c r="M438" s="64">
        <v>-4.0999999999999996</v>
      </c>
      <c r="N438" s="64">
        <v>2.7</v>
      </c>
    </row>
    <row r="439" spans="2:14" ht="12" x14ac:dyDescent="0.2">
      <c r="B439" s="63">
        <v>43951</v>
      </c>
      <c r="C439" s="65">
        <v>3.3</v>
      </c>
      <c r="D439" s="65">
        <v>-3.1</v>
      </c>
      <c r="E439" s="65">
        <v>-4.5</v>
      </c>
      <c r="F439" s="65">
        <v>0.9</v>
      </c>
      <c r="G439" s="65">
        <v>6.4</v>
      </c>
      <c r="I439" s="63">
        <v>43677</v>
      </c>
      <c r="J439" s="65">
        <v>72689.249960000001</v>
      </c>
      <c r="K439" s="65">
        <v>553043.10790000006</v>
      </c>
      <c r="L439" s="65">
        <v>1919410.8159999999</v>
      </c>
      <c r="M439" s="65">
        <v>-5</v>
      </c>
      <c r="N439" s="65">
        <v>2.8</v>
      </c>
    </row>
    <row r="440" spans="2:14" ht="12" x14ac:dyDescent="0.2">
      <c r="B440" s="62">
        <v>43982</v>
      </c>
      <c r="C440" s="64">
        <v>2.4</v>
      </c>
      <c r="D440" s="64">
        <v>-3.7</v>
      </c>
      <c r="E440" s="64">
        <v>-5.0999999999999996</v>
      </c>
      <c r="F440" s="64">
        <v>0.5</v>
      </c>
      <c r="G440" s="64">
        <v>6.1</v>
      </c>
      <c r="I440" s="62">
        <v>43708</v>
      </c>
      <c r="J440" s="64">
        <v>73152.624549999993</v>
      </c>
      <c r="K440" s="64">
        <v>556798.08750000002</v>
      </c>
      <c r="L440" s="64">
        <v>1935492.4279999998</v>
      </c>
      <c r="M440" s="64">
        <v>-4.8</v>
      </c>
      <c r="N440" s="64">
        <v>2.8</v>
      </c>
    </row>
    <row r="441" spans="2:14" ht="12" x14ac:dyDescent="0.2">
      <c r="B441" s="63">
        <v>44012</v>
      </c>
      <c r="C441" s="65">
        <v>2.5</v>
      </c>
      <c r="D441" s="65">
        <v>-3</v>
      </c>
      <c r="E441" s="65">
        <v>-4.2</v>
      </c>
      <c r="F441" s="65">
        <v>0.6</v>
      </c>
      <c r="G441" s="65">
        <v>5.5</v>
      </c>
      <c r="I441" s="63">
        <v>43738</v>
      </c>
      <c r="J441" s="65">
        <v>74129.754839999994</v>
      </c>
      <c r="K441" s="65">
        <v>557137.95000000007</v>
      </c>
      <c r="L441" s="65">
        <v>1952250.4859999998</v>
      </c>
      <c r="M441" s="65">
        <v>-5</v>
      </c>
      <c r="N441" s="65">
        <v>3</v>
      </c>
    </row>
    <row r="442" spans="2:14" ht="12" x14ac:dyDescent="0.2">
      <c r="B442" s="62">
        <v>44043</v>
      </c>
      <c r="C442" s="64">
        <v>2.7</v>
      </c>
      <c r="D442" s="64">
        <v>-2.4</v>
      </c>
      <c r="E442" s="64">
        <v>-3.5</v>
      </c>
      <c r="F442" s="64">
        <v>0.7</v>
      </c>
      <c r="G442" s="64">
        <v>5.0999999999999996</v>
      </c>
      <c r="I442" s="62">
        <v>43769</v>
      </c>
      <c r="J442" s="64">
        <v>73395.402820000003</v>
      </c>
      <c r="K442" s="64">
        <v>558143.9216</v>
      </c>
      <c r="L442" s="64">
        <v>1945600.548</v>
      </c>
      <c r="M442" s="64">
        <v>-5.0999999999999996</v>
      </c>
      <c r="N442" s="64">
        <v>3.8</v>
      </c>
    </row>
    <row r="443" spans="2:14" ht="12" x14ac:dyDescent="0.2">
      <c r="B443" s="63">
        <v>44074</v>
      </c>
      <c r="C443" s="65">
        <v>2.4</v>
      </c>
      <c r="D443" s="65">
        <v>-2</v>
      </c>
      <c r="E443" s="65">
        <v>-3</v>
      </c>
      <c r="F443" s="65">
        <v>0.6</v>
      </c>
      <c r="G443" s="65">
        <v>4.4000000000000004</v>
      </c>
      <c r="I443" s="63">
        <v>43799</v>
      </c>
      <c r="J443" s="65">
        <v>73973.822969999994</v>
      </c>
      <c r="K443" s="65">
        <v>562486.51839999994</v>
      </c>
      <c r="L443" s="65">
        <v>1961429.5620000002</v>
      </c>
      <c r="M443" s="65">
        <v>-4.7</v>
      </c>
      <c r="N443" s="65">
        <v>4.5</v>
      </c>
    </row>
    <row r="444" spans="2:14" ht="12" x14ac:dyDescent="0.2">
      <c r="B444" s="62">
        <v>44104</v>
      </c>
      <c r="C444" s="64">
        <v>1.7</v>
      </c>
      <c r="D444" s="64">
        <v>-2.1</v>
      </c>
      <c r="E444" s="64">
        <v>-2.8</v>
      </c>
      <c r="F444" s="64">
        <v>-0.1</v>
      </c>
      <c r="G444" s="64">
        <v>3.8</v>
      </c>
      <c r="I444" s="62">
        <v>43830</v>
      </c>
      <c r="J444" s="64">
        <v>77189.47</v>
      </c>
      <c r="K444" s="64">
        <v>576009.14999999991</v>
      </c>
      <c r="L444" s="64">
        <v>1986488.82</v>
      </c>
      <c r="M444" s="64">
        <v>-4.3</v>
      </c>
      <c r="N444" s="64">
        <v>4.5</v>
      </c>
    </row>
    <row r="445" spans="2:14" ht="12" x14ac:dyDescent="0.2">
      <c r="B445" s="63">
        <v>44135</v>
      </c>
      <c r="C445" s="65">
        <v>0.5</v>
      </c>
      <c r="D445" s="65">
        <v>-2.1</v>
      </c>
      <c r="E445" s="65">
        <v>-2.7</v>
      </c>
      <c r="F445" s="65">
        <v>-0.5</v>
      </c>
      <c r="G445" s="65">
        <v>2.6</v>
      </c>
      <c r="I445" s="63">
        <v>43861</v>
      </c>
      <c r="J445" s="65">
        <v>93249.159999999989</v>
      </c>
      <c r="K445" s="65">
        <v>545531.79</v>
      </c>
      <c r="L445" s="65">
        <v>2023066.49</v>
      </c>
      <c r="M445" s="65">
        <v>-8.4</v>
      </c>
      <c r="N445" s="65">
        <v>5.4</v>
      </c>
    </row>
    <row r="446" spans="2:14" ht="12" x14ac:dyDescent="0.2">
      <c r="B446" s="62">
        <v>44165</v>
      </c>
      <c r="C446" s="64">
        <v>-0.5</v>
      </c>
      <c r="D446" s="64">
        <v>-1.5</v>
      </c>
      <c r="E446" s="64">
        <v>-1.8</v>
      </c>
      <c r="F446" s="64">
        <v>-0.8</v>
      </c>
      <c r="G446" s="64">
        <v>1</v>
      </c>
      <c r="I446" s="62">
        <v>43890</v>
      </c>
      <c r="J446" s="64">
        <v>88187.049999999988</v>
      </c>
      <c r="K446" s="64">
        <v>552700.73</v>
      </c>
      <c r="L446" s="64">
        <v>2030830.42</v>
      </c>
      <c r="M446" s="64">
        <v>-4</v>
      </c>
      <c r="N446" s="64">
        <v>5.2</v>
      </c>
    </row>
    <row r="447" spans="2:14" ht="12" x14ac:dyDescent="0.2">
      <c r="B447" s="63">
        <v>44196</v>
      </c>
      <c r="C447" s="65">
        <v>0.2</v>
      </c>
      <c r="D447" s="65">
        <v>-0.4</v>
      </c>
      <c r="E447" s="65">
        <v>-0.5</v>
      </c>
      <c r="F447" s="65">
        <v>-0.4</v>
      </c>
      <c r="G447" s="65">
        <v>0.6</v>
      </c>
      <c r="I447" s="63">
        <v>43921</v>
      </c>
      <c r="J447" s="65">
        <v>83022.210000000006</v>
      </c>
      <c r="K447" s="65">
        <v>575050.28999999992</v>
      </c>
      <c r="L447" s="65">
        <v>2080923.4100000001</v>
      </c>
      <c r="M447" s="65">
        <v>-5.0999999999999996</v>
      </c>
      <c r="N447" s="65">
        <v>4.3</v>
      </c>
    </row>
    <row r="448" spans="2:14" ht="12" x14ac:dyDescent="0.2">
      <c r="B448" s="62">
        <v>44227</v>
      </c>
      <c r="C448" s="64">
        <v>-0.3</v>
      </c>
      <c r="D448" s="64">
        <v>0.3</v>
      </c>
      <c r="E448" s="64">
        <v>0.5</v>
      </c>
      <c r="F448" s="64">
        <v>-0.2</v>
      </c>
      <c r="G448" s="64">
        <v>-0.6</v>
      </c>
      <c r="I448" s="62">
        <v>43951</v>
      </c>
      <c r="J448" s="64">
        <v>81485.210000000006</v>
      </c>
      <c r="K448" s="64">
        <v>570150.48</v>
      </c>
      <c r="L448" s="64">
        <v>2093533.83</v>
      </c>
      <c r="M448" s="64">
        <v>-5.6</v>
      </c>
      <c r="N448" s="64">
        <v>3.3</v>
      </c>
    </row>
    <row r="449" spans="2:14" ht="12" x14ac:dyDescent="0.2">
      <c r="B449" s="63">
        <v>44255</v>
      </c>
      <c r="C449" s="65">
        <v>-0.2</v>
      </c>
      <c r="D449" s="65">
        <v>1.7</v>
      </c>
      <c r="E449" s="65">
        <v>2.2999999999999998</v>
      </c>
      <c r="F449" s="65">
        <v>-0.2</v>
      </c>
      <c r="G449" s="65">
        <v>-1.9</v>
      </c>
      <c r="I449" s="63">
        <v>43982</v>
      </c>
      <c r="J449" s="65">
        <v>79706.83</v>
      </c>
      <c r="K449" s="65">
        <v>581111.05999999994</v>
      </c>
      <c r="L449" s="65">
        <v>2100183.7400000002</v>
      </c>
      <c r="M449" s="65">
        <v>-4.3</v>
      </c>
      <c r="N449" s="65">
        <v>2.4</v>
      </c>
    </row>
    <row r="450" spans="2:14" ht="12" x14ac:dyDescent="0.2">
      <c r="B450" s="62">
        <v>44286</v>
      </c>
      <c r="C450" s="64">
        <v>0.4</v>
      </c>
      <c r="D450" s="64">
        <v>4.4000000000000004</v>
      </c>
      <c r="E450" s="64">
        <v>5.8</v>
      </c>
      <c r="F450" s="64">
        <v>0.1</v>
      </c>
      <c r="G450" s="64">
        <v>-4</v>
      </c>
      <c r="I450" s="62">
        <v>44012</v>
      </c>
      <c r="J450" s="64">
        <v>79459.41</v>
      </c>
      <c r="K450" s="64">
        <v>604317.97</v>
      </c>
      <c r="L450" s="64">
        <v>2134948.66</v>
      </c>
      <c r="M450" s="64">
        <v>-4.5999999999999996</v>
      </c>
      <c r="N450" s="64">
        <v>2.5</v>
      </c>
    </row>
    <row r="451" spans="2:14" ht="12" x14ac:dyDescent="0.2">
      <c r="B451" s="63">
        <v>44316</v>
      </c>
      <c r="C451" s="65">
        <v>0.9</v>
      </c>
      <c r="D451" s="65">
        <v>6.8</v>
      </c>
      <c r="E451" s="65">
        <v>9.1</v>
      </c>
      <c r="F451" s="65">
        <v>0.3</v>
      </c>
      <c r="G451" s="65">
        <v>-5.9</v>
      </c>
      <c r="I451" s="63">
        <v>44043</v>
      </c>
      <c r="J451" s="65">
        <v>79867.209999999992</v>
      </c>
      <c r="K451" s="65">
        <v>591192.64</v>
      </c>
      <c r="L451" s="65">
        <v>2125458.46</v>
      </c>
      <c r="M451" s="65">
        <v>-3.8</v>
      </c>
      <c r="N451" s="65">
        <v>2.7</v>
      </c>
    </row>
    <row r="452" spans="2:14" ht="12" x14ac:dyDescent="0.2">
      <c r="B452" s="62">
        <v>44347</v>
      </c>
      <c r="C452" s="64">
        <v>1.3</v>
      </c>
      <c r="D452" s="64">
        <v>9</v>
      </c>
      <c r="E452" s="64">
        <v>12</v>
      </c>
      <c r="F452" s="64">
        <v>0.5</v>
      </c>
      <c r="G452" s="64">
        <v>-7.7</v>
      </c>
      <c r="I452" s="62">
        <v>44074</v>
      </c>
      <c r="J452" s="64">
        <v>80042.710000000006</v>
      </c>
      <c r="K452" s="64">
        <v>601289.1</v>
      </c>
      <c r="L452" s="64">
        <v>2136836.91</v>
      </c>
      <c r="M452" s="64">
        <v>-2.4</v>
      </c>
      <c r="N452" s="64">
        <v>2.4</v>
      </c>
    </row>
    <row r="453" spans="2:14" ht="12" x14ac:dyDescent="0.2">
      <c r="B453" s="63">
        <v>44377</v>
      </c>
      <c r="C453" s="65">
        <v>1.1000000000000001</v>
      </c>
      <c r="D453" s="65">
        <v>8.8000000000000007</v>
      </c>
      <c r="E453" s="65">
        <v>11.8</v>
      </c>
      <c r="F453" s="65">
        <v>0.3</v>
      </c>
      <c r="G453" s="65">
        <v>-7.7</v>
      </c>
      <c r="I453" s="63">
        <v>44104</v>
      </c>
      <c r="J453" s="65">
        <v>82370.87</v>
      </c>
      <c r="K453" s="65">
        <v>602312.12</v>
      </c>
      <c r="L453" s="65">
        <v>2164084.7999999998</v>
      </c>
      <c r="M453" s="65">
        <v>-2.8</v>
      </c>
      <c r="N453" s="65">
        <v>1.7</v>
      </c>
    </row>
    <row r="454" spans="2:14" ht="12" x14ac:dyDescent="0.2">
      <c r="B454" s="62">
        <v>44408</v>
      </c>
      <c r="C454" s="64">
        <v>1</v>
      </c>
      <c r="D454" s="64">
        <v>9</v>
      </c>
      <c r="E454" s="64">
        <v>12</v>
      </c>
      <c r="F454" s="64">
        <v>0.3</v>
      </c>
      <c r="G454" s="64">
        <v>-8</v>
      </c>
      <c r="I454" s="62">
        <v>44135</v>
      </c>
      <c r="J454" s="64">
        <v>81036.429999999993</v>
      </c>
      <c r="K454" s="64">
        <v>609182.40999999992</v>
      </c>
      <c r="L454" s="64">
        <v>2149720.42</v>
      </c>
      <c r="M454" s="64">
        <v>-1.4</v>
      </c>
      <c r="N454" s="64">
        <v>0.5</v>
      </c>
    </row>
    <row r="455" spans="2:14" ht="12" x14ac:dyDescent="0.2">
      <c r="B455" s="63">
        <v>44439</v>
      </c>
      <c r="C455" s="65">
        <v>0.8</v>
      </c>
      <c r="D455" s="65">
        <v>9.5</v>
      </c>
      <c r="E455" s="65">
        <v>12.7</v>
      </c>
      <c r="F455" s="65">
        <v>0.3</v>
      </c>
      <c r="G455" s="65">
        <v>-8.6999999999999993</v>
      </c>
      <c r="I455" s="63">
        <v>44165</v>
      </c>
      <c r="J455" s="65">
        <v>81593.61</v>
      </c>
      <c r="K455" s="65">
        <v>618632.16999999993</v>
      </c>
      <c r="L455" s="65">
        <v>2172002.5499999998</v>
      </c>
      <c r="M455" s="65">
        <v>-0.7</v>
      </c>
      <c r="N455" s="65">
        <v>-0.5</v>
      </c>
    </row>
    <row r="456" spans="2:14" ht="12" x14ac:dyDescent="0.2">
      <c r="B456" s="62">
        <v>44469</v>
      </c>
      <c r="C456" s="64">
        <v>0.7</v>
      </c>
      <c r="D456" s="64">
        <v>10.7</v>
      </c>
      <c r="E456" s="64">
        <v>14.2</v>
      </c>
      <c r="F456" s="64">
        <v>0.4</v>
      </c>
      <c r="G456" s="64">
        <v>-10</v>
      </c>
      <c r="I456" s="62">
        <v>44196</v>
      </c>
      <c r="J456" s="64">
        <v>84314.53</v>
      </c>
      <c r="K456" s="64">
        <v>625580.98999999987</v>
      </c>
      <c r="L456" s="64">
        <v>2186795.8899999997</v>
      </c>
      <c r="M456" s="64">
        <v>-1.5</v>
      </c>
      <c r="N456" s="64">
        <v>0.2</v>
      </c>
    </row>
    <row r="457" spans="2:14" ht="12" x14ac:dyDescent="0.2">
      <c r="B457" s="63">
        <v>44500</v>
      </c>
      <c r="C457" s="65">
        <v>1.5</v>
      </c>
      <c r="D457" s="65">
        <v>13.5</v>
      </c>
      <c r="E457" s="65">
        <v>17.899999999999999</v>
      </c>
      <c r="F457" s="65">
        <v>0.6</v>
      </c>
      <c r="G457" s="65">
        <v>-12</v>
      </c>
      <c r="I457" s="63">
        <v>44227</v>
      </c>
      <c r="J457" s="65">
        <v>89625.24</v>
      </c>
      <c r="K457" s="65">
        <v>625563.80999999994</v>
      </c>
      <c r="L457" s="65">
        <v>2213047.33</v>
      </c>
      <c r="M457" s="65">
        <v>5.3</v>
      </c>
      <c r="N457" s="65">
        <v>-0.3</v>
      </c>
    </row>
    <row r="458" spans="2:14" ht="12" x14ac:dyDescent="0.2">
      <c r="B458" s="62">
        <v>44530</v>
      </c>
      <c r="C458" s="64">
        <v>2.2999999999999998</v>
      </c>
      <c r="D458" s="64">
        <v>12.9</v>
      </c>
      <c r="E458" s="64">
        <v>17</v>
      </c>
      <c r="F458" s="64">
        <v>1</v>
      </c>
      <c r="G458" s="64">
        <v>-10.6</v>
      </c>
      <c r="I458" s="62">
        <v>44255</v>
      </c>
      <c r="J458" s="64">
        <v>91924.6</v>
      </c>
      <c r="K458" s="64">
        <v>593487.46</v>
      </c>
      <c r="L458" s="64">
        <v>2236030.2599999998</v>
      </c>
      <c r="M458" s="64">
        <v>-2.7</v>
      </c>
      <c r="N458" s="64">
        <v>-0.2</v>
      </c>
    </row>
    <row r="459" spans="2:14" ht="12" x14ac:dyDescent="0.2">
      <c r="B459" s="63">
        <v>44561</v>
      </c>
      <c r="C459" s="65">
        <v>1.5</v>
      </c>
      <c r="D459" s="65">
        <v>10.3</v>
      </c>
      <c r="E459" s="65">
        <v>13.4</v>
      </c>
      <c r="F459" s="65">
        <v>1</v>
      </c>
      <c r="G459" s="65">
        <v>-8.8000000000000007</v>
      </c>
      <c r="I459" s="63">
        <v>44286</v>
      </c>
      <c r="J459" s="65">
        <v>86543.64</v>
      </c>
      <c r="K459" s="65">
        <v>616113.17000000004</v>
      </c>
      <c r="L459" s="65">
        <v>2276488.4500000002</v>
      </c>
      <c r="M459" s="65">
        <v>-2.2999999999999998</v>
      </c>
      <c r="N459" s="65">
        <v>0.4</v>
      </c>
    </row>
    <row r="460" spans="2:14" ht="12" x14ac:dyDescent="0.2">
      <c r="B460" s="62">
        <v>44592</v>
      </c>
      <c r="C460" s="64">
        <v>0.9</v>
      </c>
      <c r="D460" s="64">
        <v>9.1</v>
      </c>
      <c r="E460" s="64">
        <v>11.8</v>
      </c>
      <c r="F460" s="64">
        <v>0.8</v>
      </c>
      <c r="G460" s="64">
        <v>-8.1999999999999993</v>
      </c>
      <c r="I460" s="62">
        <v>44316</v>
      </c>
      <c r="J460" s="64">
        <v>85803.37</v>
      </c>
      <c r="K460" s="64">
        <v>605421.8899999999</v>
      </c>
      <c r="L460" s="64">
        <v>2262107.12</v>
      </c>
      <c r="M460" s="64">
        <v>-1.9</v>
      </c>
      <c r="N460" s="64">
        <v>0.9</v>
      </c>
    </row>
    <row r="461" spans="2:14" ht="12" x14ac:dyDescent="0.2">
      <c r="B461" s="63">
        <v>44620</v>
      </c>
      <c r="C461" s="65">
        <v>0.9</v>
      </c>
      <c r="D461" s="65">
        <v>8.8000000000000007</v>
      </c>
      <c r="E461" s="65">
        <v>11.4</v>
      </c>
      <c r="F461" s="65">
        <v>0.9</v>
      </c>
      <c r="G461" s="65">
        <v>-7.9</v>
      </c>
      <c r="I461" s="63">
        <v>44347</v>
      </c>
      <c r="J461" s="65">
        <v>84177.72</v>
      </c>
      <c r="K461" s="65">
        <v>616828.31999999995</v>
      </c>
      <c r="L461" s="65">
        <v>2275538.0699999998</v>
      </c>
      <c r="M461" s="65">
        <v>-2.2000000000000002</v>
      </c>
      <c r="N461" s="65">
        <v>1.3</v>
      </c>
    </row>
    <row r="462" spans="2:14" ht="12" x14ac:dyDescent="0.2">
      <c r="B462" s="62">
        <v>44651</v>
      </c>
      <c r="C462" s="64">
        <v>1.5</v>
      </c>
      <c r="D462" s="64">
        <v>8.3000000000000007</v>
      </c>
      <c r="E462" s="64">
        <v>10.7</v>
      </c>
      <c r="F462" s="64">
        <v>0.9</v>
      </c>
      <c r="G462" s="64">
        <v>-6.8</v>
      </c>
      <c r="I462" s="62">
        <v>44377</v>
      </c>
      <c r="J462" s="64">
        <v>84346.97</v>
      </c>
      <c r="K462" s="64">
        <v>637479.36</v>
      </c>
      <c r="L462" s="64">
        <v>2317788.36</v>
      </c>
      <c r="M462" s="64">
        <v>-3.1</v>
      </c>
      <c r="N462" s="64">
        <v>1.1000000000000001</v>
      </c>
    </row>
    <row r="463" spans="2:14" ht="12" x14ac:dyDescent="0.2">
      <c r="B463" s="63">
        <v>44681</v>
      </c>
      <c r="C463" s="65">
        <v>2.1</v>
      </c>
      <c r="D463" s="65">
        <v>8</v>
      </c>
      <c r="E463" s="65">
        <v>10.3</v>
      </c>
      <c r="F463" s="65">
        <v>1</v>
      </c>
      <c r="G463" s="65">
        <v>-5.9</v>
      </c>
      <c r="I463" s="63">
        <v>44408</v>
      </c>
      <c r="J463" s="65">
        <v>84717.56</v>
      </c>
      <c r="K463" s="65">
        <v>620367.04999999993</v>
      </c>
      <c r="L463" s="65">
        <v>2302153.8199999998</v>
      </c>
      <c r="M463" s="65">
        <v>-3.4</v>
      </c>
      <c r="N463" s="65">
        <v>1</v>
      </c>
    </row>
    <row r="464" spans="2:14" ht="12" x14ac:dyDescent="0.2">
      <c r="B464" s="62">
        <v>44712</v>
      </c>
      <c r="C464" s="64">
        <v>2.1</v>
      </c>
      <c r="D464" s="64">
        <v>6.4</v>
      </c>
      <c r="E464" s="64">
        <v>8.1</v>
      </c>
      <c r="F464" s="64">
        <v>1.2</v>
      </c>
      <c r="G464" s="64">
        <v>-4.3</v>
      </c>
      <c r="I464" s="62">
        <v>44439</v>
      </c>
      <c r="J464" s="64">
        <v>85059.199999999997</v>
      </c>
      <c r="K464" s="64">
        <v>626658.69000000006</v>
      </c>
      <c r="L464" s="64">
        <v>2312267.6800000002</v>
      </c>
      <c r="M464" s="64">
        <v>-4</v>
      </c>
      <c r="N464" s="64">
        <v>0.8</v>
      </c>
    </row>
    <row r="465" spans="2:14" ht="12" x14ac:dyDescent="0.2">
      <c r="B465" s="63">
        <v>44742</v>
      </c>
      <c r="C465" s="65">
        <v>2.5</v>
      </c>
      <c r="D465" s="65">
        <v>6.1</v>
      </c>
      <c r="E465" s="65">
        <v>7.5</v>
      </c>
      <c r="F465" s="65">
        <v>1.7</v>
      </c>
      <c r="G465" s="65">
        <v>-3.6</v>
      </c>
      <c r="I465" s="63">
        <v>44469</v>
      </c>
      <c r="J465" s="65">
        <v>86867.09</v>
      </c>
      <c r="K465" s="65">
        <v>624645.68000000005</v>
      </c>
      <c r="L465" s="65">
        <v>2342829.6999999997</v>
      </c>
      <c r="M465" s="65">
        <v>-4.5999999999999996</v>
      </c>
      <c r="N465" s="65">
        <v>0.7</v>
      </c>
    </row>
    <row r="466" spans="2:14" ht="12" x14ac:dyDescent="0.2">
      <c r="B466" s="62">
        <v>44773</v>
      </c>
      <c r="C466" s="64">
        <v>2.7</v>
      </c>
      <c r="D466" s="64">
        <v>4.2</v>
      </c>
      <c r="E466" s="64">
        <v>5</v>
      </c>
      <c r="F466" s="64">
        <v>1.7</v>
      </c>
      <c r="G466" s="64">
        <v>-1.5</v>
      </c>
      <c r="I466" s="62">
        <v>44500</v>
      </c>
      <c r="J466" s="64">
        <v>86085.78</v>
      </c>
      <c r="K466" s="64">
        <v>626082.12</v>
      </c>
      <c r="L466" s="64">
        <v>2336160.48</v>
      </c>
      <c r="M466" s="64">
        <v>-5.9</v>
      </c>
      <c r="N466" s="64">
        <v>1.5</v>
      </c>
    </row>
    <row r="467" spans="2:14" ht="12" x14ac:dyDescent="0.2">
      <c r="B467" s="63">
        <v>44804</v>
      </c>
      <c r="C467" s="65">
        <v>2.5</v>
      </c>
      <c r="D467" s="65">
        <v>2.2999999999999998</v>
      </c>
      <c r="E467" s="65">
        <v>2.4</v>
      </c>
      <c r="F467" s="65">
        <v>1.6</v>
      </c>
      <c r="G467" s="65">
        <v>0.2</v>
      </c>
      <c r="I467" s="63">
        <v>44530</v>
      </c>
      <c r="J467" s="65">
        <v>87433.41</v>
      </c>
      <c r="K467" s="65">
        <v>637482.03999999992</v>
      </c>
      <c r="L467" s="65">
        <v>2356012.7599999998</v>
      </c>
      <c r="M467" s="65">
        <v>-5.5</v>
      </c>
      <c r="N467" s="65">
        <v>2.2999999999999998</v>
      </c>
    </row>
    <row r="468" spans="2:14" ht="12" x14ac:dyDescent="0.2">
      <c r="B468" s="62">
        <v>44834</v>
      </c>
      <c r="C468" s="64">
        <v>2.8</v>
      </c>
      <c r="D468" s="64">
        <v>0.9</v>
      </c>
      <c r="E468" s="64">
        <v>0.6</v>
      </c>
      <c r="F468" s="64">
        <v>1.8</v>
      </c>
      <c r="G468" s="64">
        <v>1.9</v>
      </c>
      <c r="I468" s="62">
        <v>44561</v>
      </c>
      <c r="J468" s="64">
        <v>90825.150000000009</v>
      </c>
      <c r="K468" s="64">
        <v>647443.35</v>
      </c>
      <c r="L468" s="64">
        <v>2382899.56</v>
      </c>
      <c r="M468" s="64">
        <v>-5.5</v>
      </c>
      <c r="N468" s="64">
        <v>1.5</v>
      </c>
    </row>
    <row r="469" spans="2:14" ht="12" x14ac:dyDescent="0.2">
      <c r="B469" s="63">
        <v>44865</v>
      </c>
      <c r="C469" s="65">
        <v>2.1</v>
      </c>
      <c r="D469" s="65">
        <v>-1.3</v>
      </c>
      <c r="E469" s="65">
        <v>-2.5</v>
      </c>
      <c r="F469" s="65">
        <v>2.2000000000000002</v>
      </c>
      <c r="G469" s="65">
        <v>3.4</v>
      </c>
      <c r="I469" s="63">
        <v>44592</v>
      </c>
      <c r="J469" s="65">
        <v>106188.87</v>
      </c>
      <c r="K469" s="65">
        <v>613859.35</v>
      </c>
      <c r="L469" s="65">
        <v>2431022.7200000002</v>
      </c>
      <c r="M469" s="65">
        <v>-11.7</v>
      </c>
      <c r="N469" s="65">
        <v>0.9</v>
      </c>
    </row>
    <row r="470" spans="2:14" ht="12" x14ac:dyDescent="0.2">
      <c r="B470" s="62">
        <v>44895</v>
      </c>
      <c r="C470" s="64">
        <v>1.6</v>
      </c>
      <c r="D470" s="64">
        <v>-1.3</v>
      </c>
      <c r="E470" s="64">
        <v>-2.2999999999999998</v>
      </c>
      <c r="F470" s="64">
        <v>2</v>
      </c>
      <c r="G470" s="64">
        <v>2.9</v>
      </c>
      <c r="I470" s="62">
        <v>44620</v>
      </c>
      <c r="J470" s="64">
        <v>97227.7</v>
      </c>
      <c r="K470" s="64">
        <v>621612.11</v>
      </c>
      <c r="L470" s="64">
        <v>2441488.9</v>
      </c>
      <c r="M470" s="64">
        <v>-4.5</v>
      </c>
      <c r="N470" s="64">
        <v>0.9</v>
      </c>
    </row>
    <row r="471" spans="2:14" ht="12" x14ac:dyDescent="0.2">
      <c r="B471" s="63">
        <v>44926</v>
      </c>
      <c r="C471" s="65">
        <v>1.8</v>
      </c>
      <c r="D471" s="65">
        <v>-0.7</v>
      </c>
      <c r="E471" s="65">
        <v>-1.4</v>
      </c>
      <c r="F471" s="65">
        <v>1.8</v>
      </c>
      <c r="G471" s="65">
        <v>2.5</v>
      </c>
      <c r="I471" s="63">
        <v>44651</v>
      </c>
      <c r="J471" s="65">
        <v>95141.92</v>
      </c>
      <c r="K471" s="65">
        <v>645063.79999999993</v>
      </c>
      <c r="L471" s="65">
        <v>2497688.34</v>
      </c>
      <c r="M471" s="65">
        <v>-5</v>
      </c>
      <c r="N471" s="65">
        <v>1.5</v>
      </c>
    </row>
    <row r="472" spans="2:14" ht="12" x14ac:dyDescent="0.2">
      <c r="B472" s="62">
        <v>44957</v>
      </c>
      <c r="C472" s="64">
        <v>2.1</v>
      </c>
      <c r="D472" s="64">
        <v>-0.8</v>
      </c>
      <c r="E472" s="64">
        <v>-1.4</v>
      </c>
      <c r="F472" s="64">
        <v>1.5</v>
      </c>
      <c r="G472" s="64">
        <v>2.9</v>
      </c>
      <c r="I472" s="62">
        <v>44681</v>
      </c>
      <c r="J472" s="64">
        <v>95626.49</v>
      </c>
      <c r="K472" s="64">
        <v>636139.01</v>
      </c>
      <c r="L472" s="64">
        <v>2499710.9</v>
      </c>
      <c r="M472" s="64">
        <v>-5.4</v>
      </c>
      <c r="N472" s="64">
        <v>2.1</v>
      </c>
    </row>
    <row r="473" spans="2:14" ht="12" x14ac:dyDescent="0.2">
      <c r="B473" s="63">
        <v>44985</v>
      </c>
      <c r="C473" s="65">
        <v>1</v>
      </c>
      <c r="D473" s="65">
        <v>-1.4</v>
      </c>
      <c r="E473" s="65">
        <v>-2</v>
      </c>
      <c r="F473" s="65">
        <v>1.1000000000000001</v>
      </c>
      <c r="G473" s="65">
        <v>2.4</v>
      </c>
      <c r="I473" s="63">
        <v>44712</v>
      </c>
      <c r="J473" s="65">
        <v>95546.86</v>
      </c>
      <c r="K473" s="65">
        <v>645107.5199999999</v>
      </c>
      <c r="L473" s="65">
        <v>2527026.15</v>
      </c>
      <c r="M473" s="65">
        <v>-6.5</v>
      </c>
      <c r="N473" s="65">
        <v>2.1</v>
      </c>
    </row>
    <row r="474" spans="2:14" ht="12" x14ac:dyDescent="0.2">
      <c r="B474" s="62">
        <v>45016</v>
      </c>
      <c r="C474" s="64">
        <v>0.7</v>
      </c>
      <c r="D474" s="64">
        <v>-2.5</v>
      </c>
      <c r="E474" s="64">
        <v>-3.4</v>
      </c>
      <c r="F474" s="64">
        <v>0.9</v>
      </c>
      <c r="G474" s="64">
        <v>3.2</v>
      </c>
      <c r="I474" s="62">
        <v>44742</v>
      </c>
      <c r="J474" s="64">
        <v>96011.17</v>
      </c>
      <c r="K474" s="64">
        <v>674374.81</v>
      </c>
      <c r="L474" s="64">
        <v>2581451.2000000002</v>
      </c>
      <c r="M474" s="64">
        <v>-5.6</v>
      </c>
      <c r="N474" s="64">
        <v>2.5</v>
      </c>
    </row>
    <row r="475" spans="2:14" ht="12" x14ac:dyDescent="0.2">
      <c r="B475" s="63">
        <v>45046</v>
      </c>
      <c r="C475" s="65">
        <v>0.1</v>
      </c>
      <c r="D475" s="65">
        <v>-3.6</v>
      </c>
      <c r="E475" s="65">
        <v>-4.7</v>
      </c>
      <c r="F475" s="65">
        <v>0.4</v>
      </c>
      <c r="G475" s="65">
        <v>3.7</v>
      </c>
      <c r="I475" s="63">
        <v>44773</v>
      </c>
      <c r="J475" s="65">
        <v>96509.19</v>
      </c>
      <c r="K475" s="65">
        <v>661832.32999999996</v>
      </c>
      <c r="L475" s="65">
        <v>2578078.5699999998</v>
      </c>
      <c r="M475" s="65">
        <v>-5.3</v>
      </c>
      <c r="N475" s="65">
        <v>2.7</v>
      </c>
    </row>
    <row r="476" spans="2:14" ht="12" x14ac:dyDescent="0.2">
      <c r="B476" s="62">
        <v>45077</v>
      </c>
      <c r="C476" s="64">
        <v>0.2</v>
      </c>
      <c r="D476" s="64">
        <v>-4.5999999999999996</v>
      </c>
      <c r="E476" s="64">
        <v>-5.9</v>
      </c>
      <c r="F476" s="64">
        <v>-0.1</v>
      </c>
      <c r="G476" s="64">
        <v>4.8</v>
      </c>
      <c r="I476" s="62">
        <v>44804</v>
      </c>
      <c r="J476" s="64">
        <v>97231.030000000013</v>
      </c>
      <c r="K476" s="64">
        <v>664604.85</v>
      </c>
      <c r="L476" s="64">
        <v>2595068.27</v>
      </c>
      <c r="M476" s="64">
        <v>-6.1</v>
      </c>
      <c r="N476" s="64">
        <v>2.5</v>
      </c>
    </row>
    <row r="477" spans="2:14" ht="12" x14ac:dyDescent="0.2">
      <c r="B477" s="63">
        <v>45107</v>
      </c>
      <c r="C477" s="65">
        <v>0</v>
      </c>
      <c r="D477" s="65">
        <v>-5.4</v>
      </c>
      <c r="E477" s="65">
        <v>-6.8</v>
      </c>
      <c r="F477" s="65">
        <v>-0.5</v>
      </c>
      <c r="G477" s="65">
        <v>5.4</v>
      </c>
      <c r="I477" s="63">
        <v>44834</v>
      </c>
      <c r="J477" s="65">
        <v>98672.060000000012</v>
      </c>
      <c r="K477" s="65">
        <v>664535.17000000004</v>
      </c>
      <c r="L477" s="65">
        <v>2626600.92</v>
      </c>
      <c r="M477" s="65">
        <v>-5.7</v>
      </c>
      <c r="N477" s="65">
        <v>2.8</v>
      </c>
    </row>
    <row r="478" spans="2:14" ht="12" x14ac:dyDescent="0.2">
      <c r="B478" s="62">
        <v>45138</v>
      </c>
      <c r="C478" s="64">
        <v>-0.3</v>
      </c>
      <c r="D478" s="64">
        <v>-4.4000000000000004</v>
      </c>
      <c r="E478" s="64">
        <v>-5.5</v>
      </c>
      <c r="F478" s="64">
        <v>-0.4</v>
      </c>
      <c r="G478" s="64">
        <v>4.0999999999999996</v>
      </c>
      <c r="I478" s="62">
        <v>44865</v>
      </c>
      <c r="J478" s="64">
        <v>98416.71</v>
      </c>
      <c r="K478" s="64">
        <v>662140.99</v>
      </c>
      <c r="L478" s="64">
        <v>2612914.5699999998</v>
      </c>
      <c r="M478" s="64">
        <v>-6</v>
      </c>
      <c r="N478" s="64">
        <v>2.1</v>
      </c>
    </row>
    <row r="479" spans="2:14" ht="12" x14ac:dyDescent="0.2">
      <c r="B479" s="63">
        <v>45169</v>
      </c>
      <c r="C479" s="65">
        <v>0.1</v>
      </c>
      <c r="D479" s="65">
        <v>-3</v>
      </c>
      <c r="E479" s="65">
        <v>-3.7</v>
      </c>
      <c r="F479" s="65">
        <v>-0.2</v>
      </c>
      <c r="G479" s="65">
        <v>3.1</v>
      </c>
      <c r="I479" s="63">
        <v>44895</v>
      </c>
      <c r="J479" s="65">
        <v>99740.12</v>
      </c>
      <c r="K479" s="65">
        <v>667042.61</v>
      </c>
      <c r="L479" s="65">
        <v>2647008.48</v>
      </c>
      <c r="M479" s="65">
        <v>-7.8</v>
      </c>
      <c r="N479" s="65">
        <v>1.6</v>
      </c>
    </row>
    <row r="480" spans="2:14" ht="12" x14ac:dyDescent="0.2">
      <c r="B480" s="62">
        <v>45199</v>
      </c>
      <c r="C480" s="64">
        <v>0</v>
      </c>
      <c r="D480" s="64">
        <v>-2.5</v>
      </c>
      <c r="E480" s="64">
        <v>-3</v>
      </c>
      <c r="F480" s="64">
        <v>-0.3</v>
      </c>
      <c r="G480" s="64">
        <v>2.5</v>
      </c>
      <c r="I480" s="62">
        <v>44926</v>
      </c>
      <c r="J480" s="64">
        <v>104706.03000000001</v>
      </c>
      <c r="K480" s="64">
        <v>671674.76</v>
      </c>
      <c r="L480" s="64">
        <v>2664320.84</v>
      </c>
      <c r="M480" s="64">
        <v>-8.1</v>
      </c>
      <c r="N480" s="64">
        <v>1.8</v>
      </c>
    </row>
    <row r="481" spans="2:14" ht="12" x14ac:dyDescent="0.2">
      <c r="B481" s="63">
        <v>45230</v>
      </c>
      <c r="C481" s="65">
        <v>-0.2</v>
      </c>
      <c r="D481" s="65">
        <v>-2.6</v>
      </c>
      <c r="E481" s="65">
        <v>-3</v>
      </c>
      <c r="F481" s="65">
        <v>-0.9</v>
      </c>
      <c r="G481" s="65">
        <v>2.4</v>
      </c>
      <c r="I481" s="63">
        <v>44957</v>
      </c>
      <c r="J481" s="65">
        <v>114601.3</v>
      </c>
      <c r="K481" s="65">
        <v>655214.16</v>
      </c>
      <c r="L481" s="65">
        <v>2738072.06</v>
      </c>
      <c r="M481" s="65">
        <v>-5.9</v>
      </c>
      <c r="N481" s="65">
        <v>2.1</v>
      </c>
    </row>
    <row r="482" spans="2:14" ht="12" x14ac:dyDescent="0.2">
      <c r="B482" s="62">
        <v>45260</v>
      </c>
      <c r="C482" s="64">
        <v>-0.5</v>
      </c>
      <c r="D482" s="64">
        <v>-3</v>
      </c>
      <c r="E482" s="64">
        <v>-3.4</v>
      </c>
      <c r="F482" s="64">
        <v>-1.2</v>
      </c>
      <c r="G482" s="64">
        <v>2.5</v>
      </c>
      <c r="I482" s="62">
        <v>44985</v>
      </c>
      <c r="J482" s="64">
        <v>107602.58</v>
      </c>
      <c r="K482" s="64">
        <v>657938.73999999987</v>
      </c>
      <c r="L482" s="64">
        <v>2755249.23</v>
      </c>
      <c r="M482" s="64">
        <v>-7.1</v>
      </c>
      <c r="N482" s="64">
        <v>1</v>
      </c>
    </row>
    <row r="483" spans="2:14" ht="12" x14ac:dyDescent="0.2">
      <c r="B483" s="63">
        <v>45291</v>
      </c>
      <c r="C483" s="65">
        <v>-0.3</v>
      </c>
      <c r="D483" s="65">
        <v>-2.7</v>
      </c>
      <c r="E483" s="65">
        <v>-3.3</v>
      </c>
      <c r="F483" s="65">
        <v>-1.2</v>
      </c>
      <c r="G483" s="65">
        <v>2.4</v>
      </c>
      <c r="I483" s="63">
        <v>45016</v>
      </c>
      <c r="J483" s="65">
        <v>105591.3</v>
      </c>
      <c r="K483" s="65">
        <v>678059.63</v>
      </c>
      <c r="L483" s="65">
        <v>2814566.31</v>
      </c>
      <c r="M483" s="65">
        <v>-7.6</v>
      </c>
      <c r="N483" s="65">
        <v>0.7</v>
      </c>
    </row>
    <row r="484" spans="2:14" ht="12" x14ac:dyDescent="0.2">
      <c r="B484" s="62">
        <v>45322</v>
      </c>
      <c r="C484" s="64">
        <v>-0.8</v>
      </c>
      <c r="D484" s="64">
        <v>-2.5</v>
      </c>
      <c r="E484" s="64">
        <v>-3</v>
      </c>
      <c r="F484" s="64">
        <v>-1.1000000000000001</v>
      </c>
      <c r="G484" s="64">
        <v>1.7</v>
      </c>
      <c r="I484" s="62">
        <v>45046</v>
      </c>
      <c r="J484" s="64">
        <v>105904.46</v>
      </c>
      <c r="K484" s="64">
        <v>669761.54999999993</v>
      </c>
      <c r="L484" s="64">
        <v>2808469.34</v>
      </c>
      <c r="M484" s="64">
        <v>-7.1</v>
      </c>
      <c r="N484" s="64">
        <v>0.1</v>
      </c>
    </row>
    <row r="485" spans="2:14" ht="12" x14ac:dyDescent="0.2">
      <c r="B485" s="63">
        <v>45351</v>
      </c>
      <c r="C485" s="65">
        <v>0.7</v>
      </c>
      <c r="D485" s="65">
        <v>-2.7</v>
      </c>
      <c r="E485" s="65">
        <v>-3.4</v>
      </c>
      <c r="F485" s="65">
        <v>-0.9</v>
      </c>
      <c r="G485" s="65">
        <v>3.4</v>
      </c>
      <c r="I485" s="63">
        <v>45077</v>
      </c>
      <c r="J485" s="65">
        <v>104756.70999999999</v>
      </c>
      <c r="K485" s="65">
        <v>675252.98</v>
      </c>
      <c r="L485" s="65">
        <v>2820504.68</v>
      </c>
      <c r="M485" s="65">
        <v>-6.9</v>
      </c>
      <c r="N485" s="65">
        <v>0.2</v>
      </c>
    </row>
    <row r="486" spans="2:14" ht="12" x14ac:dyDescent="0.2">
      <c r="B486" s="62">
        <v>45382</v>
      </c>
      <c r="C486" s="64">
        <v>0.1</v>
      </c>
      <c r="D486" s="64">
        <v>-2.8</v>
      </c>
      <c r="E486" s="64">
        <v>-3.5</v>
      </c>
      <c r="F486" s="64">
        <v>-1</v>
      </c>
      <c r="G486" s="64">
        <v>2.9</v>
      </c>
      <c r="I486" s="62">
        <v>45107</v>
      </c>
      <c r="J486" s="64">
        <v>105419.20000000001</v>
      </c>
      <c r="K486" s="64">
        <v>695595.48</v>
      </c>
      <c r="L486" s="64">
        <v>2873023.83</v>
      </c>
      <c r="M486" s="64">
        <v>-8.1999999999999993</v>
      </c>
      <c r="N486" s="64">
        <v>0</v>
      </c>
    </row>
    <row r="487" spans="2:14" ht="12" x14ac:dyDescent="0.2">
      <c r="B487" s="63">
        <v>45412</v>
      </c>
      <c r="C487" s="65">
        <v>0.3</v>
      </c>
      <c r="D487" s="65">
        <v>-2.5</v>
      </c>
      <c r="E487" s="65">
        <v>-3.1</v>
      </c>
      <c r="F487" s="65">
        <v>-0.9</v>
      </c>
      <c r="G487" s="65">
        <v>2.8</v>
      </c>
      <c r="I487" s="63">
        <v>45138</v>
      </c>
      <c r="J487" s="65">
        <v>106129.68000000001</v>
      </c>
      <c r="K487" s="65">
        <v>677218.91999999993</v>
      </c>
      <c r="L487" s="65">
        <v>2854031.56</v>
      </c>
      <c r="M487" s="65">
        <v>-8.4</v>
      </c>
      <c r="N487" s="65">
        <v>-0.3</v>
      </c>
    </row>
    <row r="488" spans="2:14" ht="12" x14ac:dyDescent="0.2">
      <c r="B488" s="62">
        <v>45443</v>
      </c>
      <c r="C488" s="64">
        <v>0.3</v>
      </c>
      <c r="D488" s="64">
        <v>-1.4</v>
      </c>
      <c r="E488" s="64">
        <v>-1.6</v>
      </c>
      <c r="F488" s="64">
        <v>-0.8</v>
      </c>
      <c r="G488" s="64">
        <v>1.7</v>
      </c>
      <c r="I488" s="62">
        <v>45169</v>
      </c>
      <c r="J488" s="64">
        <v>106515.36</v>
      </c>
      <c r="K488" s="64">
        <v>679588.35</v>
      </c>
      <c r="L488" s="64">
        <v>2869343.25</v>
      </c>
      <c r="M488" s="64">
        <v>-8.4</v>
      </c>
      <c r="N488" s="64">
        <v>0.1</v>
      </c>
    </row>
    <row r="489" spans="2:14" ht="12" x14ac:dyDescent="0.2">
      <c r="B489" s="56"/>
      <c r="C489" s="58"/>
      <c r="D489" s="58"/>
      <c r="E489" s="58"/>
      <c r="F489" s="58"/>
      <c r="G489" s="58"/>
      <c r="I489" s="63">
        <v>45199</v>
      </c>
      <c r="J489" s="65">
        <v>109253.21999999999</v>
      </c>
      <c r="K489" s="65">
        <v>678443.65</v>
      </c>
      <c r="L489" s="65">
        <v>2896659.11</v>
      </c>
      <c r="M489" s="65">
        <v>-8.1999999999999993</v>
      </c>
      <c r="N489" s="65">
        <v>0</v>
      </c>
    </row>
    <row r="490" spans="2:14" ht="12" x14ac:dyDescent="0.2">
      <c r="B490" s="55"/>
      <c r="C490" s="57"/>
      <c r="D490" s="57"/>
      <c r="E490" s="57"/>
      <c r="F490" s="57"/>
      <c r="G490" s="57"/>
      <c r="I490" s="62">
        <v>45230</v>
      </c>
      <c r="J490" s="64">
        <v>108565.35</v>
      </c>
      <c r="K490" s="64">
        <v>674696.07</v>
      </c>
      <c r="L490" s="64">
        <v>2882276.07</v>
      </c>
      <c r="M490" s="64">
        <v>-8.4</v>
      </c>
      <c r="N490" s="64">
        <v>-0.2</v>
      </c>
    </row>
    <row r="491" spans="2:14" ht="12" x14ac:dyDescent="0.2">
      <c r="B491" s="56"/>
      <c r="C491" s="58"/>
      <c r="D491" s="58"/>
      <c r="E491" s="58"/>
      <c r="F491" s="58"/>
      <c r="G491" s="58"/>
      <c r="I491" s="63">
        <v>45260</v>
      </c>
      <c r="J491" s="65">
        <v>110225.18000000001</v>
      </c>
      <c r="K491" s="65">
        <v>675903.41</v>
      </c>
      <c r="L491" s="65">
        <v>2912014.22</v>
      </c>
      <c r="M491" s="65">
        <v>-8.6999999999999993</v>
      </c>
      <c r="N491" s="65">
        <v>-0.5</v>
      </c>
    </row>
    <row r="492" spans="2:14" ht="12" x14ac:dyDescent="0.2">
      <c r="B492" s="55"/>
      <c r="C492" s="57"/>
      <c r="D492" s="57"/>
      <c r="E492" s="57"/>
      <c r="F492" s="57"/>
      <c r="G492" s="57"/>
      <c r="I492" s="62">
        <v>45291</v>
      </c>
      <c r="J492" s="64">
        <v>113444.64</v>
      </c>
      <c r="K492" s="64">
        <v>680542.52</v>
      </c>
      <c r="L492" s="64">
        <v>2922713.33</v>
      </c>
      <c r="M492" s="64">
        <v>-8.4</v>
      </c>
      <c r="N492" s="64">
        <v>-0.3</v>
      </c>
    </row>
    <row r="493" spans="2:14" ht="12" x14ac:dyDescent="0.2">
      <c r="B493" s="56"/>
      <c r="C493" s="58"/>
      <c r="D493" s="58"/>
      <c r="E493" s="58"/>
      <c r="F493" s="58"/>
      <c r="G493" s="58"/>
      <c r="I493" s="63">
        <v>45322</v>
      </c>
      <c r="J493" s="65">
        <v>121398.54000000001</v>
      </c>
      <c r="K493" s="65">
        <v>694197.88</v>
      </c>
      <c r="L493" s="65">
        <v>2976250.2</v>
      </c>
      <c r="M493" s="65">
        <v>-2.8</v>
      </c>
      <c r="N493" s="65">
        <v>-0.8</v>
      </c>
    </row>
    <row r="494" spans="2:14" ht="12" x14ac:dyDescent="0.2">
      <c r="B494" s="55"/>
      <c r="C494" s="57"/>
      <c r="D494" s="57"/>
      <c r="E494" s="57"/>
      <c r="F494" s="57"/>
      <c r="G494" s="57"/>
      <c r="I494" s="62">
        <v>45351</v>
      </c>
      <c r="J494" s="64">
        <v>121009.93000000001</v>
      </c>
      <c r="K494" s="64">
        <v>665916.09</v>
      </c>
      <c r="L494" s="64">
        <v>2995572.97</v>
      </c>
      <c r="M494" s="64">
        <v>-7.5</v>
      </c>
      <c r="N494" s="64">
        <v>0.7</v>
      </c>
    </row>
    <row r="495" spans="2:14" ht="12" x14ac:dyDescent="0.2">
      <c r="B495" s="56"/>
      <c r="C495" s="58"/>
      <c r="D495" s="58"/>
      <c r="E495" s="58"/>
      <c r="F495" s="58"/>
      <c r="G495" s="58"/>
      <c r="I495" s="63">
        <v>45382</v>
      </c>
      <c r="J495" s="65">
        <v>117210.5</v>
      </c>
      <c r="K495" s="65">
        <v>685808.9</v>
      </c>
      <c r="L495" s="65">
        <v>3047952.16</v>
      </c>
      <c r="M495" s="65">
        <v>-7.2</v>
      </c>
      <c r="N495" s="65">
        <v>0.1</v>
      </c>
    </row>
    <row r="496" spans="2:14" ht="12" x14ac:dyDescent="0.2">
      <c r="B496" s="55"/>
      <c r="C496" s="57"/>
      <c r="D496" s="57"/>
      <c r="E496" s="57"/>
      <c r="F496" s="57"/>
      <c r="G496" s="57"/>
      <c r="I496" s="62">
        <v>45412</v>
      </c>
      <c r="J496" s="64">
        <v>117310.55</v>
      </c>
      <c r="K496" s="64">
        <v>660065.69000000006</v>
      </c>
      <c r="L496" s="64">
        <v>3011941.98</v>
      </c>
      <c r="M496" s="64">
        <v>-8.6</v>
      </c>
      <c r="N496" s="64">
        <v>0.3</v>
      </c>
    </row>
    <row r="497" spans="2:14" ht="12" x14ac:dyDescent="0.2">
      <c r="B497" s="56"/>
      <c r="C497" s="58"/>
      <c r="D497" s="58"/>
      <c r="E497" s="58"/>
      <c r="F497" s="58"/>
      <c r="G497" s="58"/>
      <c r="I497" s="63">
        <v>45443</v>
      </c>
      <c r="J497" s="65">
        <v>117062.71999999999</v>
      </c>
      <c r="K497" s="65">
        <v>646842.47</v>
      </c>
      <c r="L497" s="65">
        <v>3018506.73</v>
      </c>
      <c r="M497" s="65">
        <v>-11.2</v>
      </c>
      <c r="N497" s="65">
        <v>0.3</v>
      </c>
    </row>
    <row r="498" spans="2:14" ht="12" x14ac:dyDescent="0.2">
      <c r="B498" s="55"/>
      <c r="C498" s="57"/>
      <c r="D498" s="57"/>
      <c r="E498" s="57"/>
      <c r="F498" s="57"/>
      <c r="G498" s="57"/>
      <c r="I498" s="55"/>
      <c r="J498" s="57"/>
      <c r="K498" s="57"/>
      <c r="L498" s="57"/>
      <c r="M498" s="57"/>
      <c r="N498" s="57"/>
    </row>
    <row r="499" spans="2:14" ht="12" x14ac:dyDescent="0.2">
      <c r="B499" s="56"/>
      <c r="C499" s="58"/>
      <c r="D499" s="58"/>
      <c r="E499" s="58"/>
      <c r="F499" s="58"/>
      <c r="G499" s="58"/>
      <c r="I499" s="56"/>
      <c r="J499" s="58"/>
      <c r="K499" s="58"/>
      <c r="L499" s="58"/>
      <c r="M499" s="58"/>
      <c r="N499" s="58"/>
    </row>
    <row r="500" spans="2:14" ht="12" x14ac:dyDescent="0.2">
      <c r="B500" s="55"/>
      <c r="C500" s="57"/>
      <c r="D500" s="57"/>
      <c r="E500" s="57"/>
      <c r="F500" s="57"/>
      <c r="G500" s="57"/>
      <c r="I500" s="55"/>
      <c r="J500" s="57"/>
      <c r="K500" s="57"/>
      <c r="L500" s="57"/>
      <c r="M500" s="57"/>
      <c r="N500" s="57"/>
    </row>
    <row r="501" spans="2:14" ht="12" x14ac:dyDescent="0.2">
      <c r="B501" s="56"/>
      <c r="C501" s="58"/>
      <c r="D501" s="58"/>
      <c r="E501" s="58"/>
      <c r="F501" s="58"/>
      <c r="G501" s="58"/>
      <c r="I501" s="56"/>
      <c r="J501" s="58"/>
      <c r="K501" s="58"/>
      <c r="L501" s="58"/>
      <c r="M501" s="58"/>
      <c r="N501" s="58"/>
    </row>
    <row r="502" spans="2:14" ht="12" x14ac:dyDescent="0.2">
      <c r="B502" s="55"/>
      <c r="C502" s="57"/>
      <c r="D502" s="57"/>
      <c r="E502" s="57"/>
      <c r="F502" s="57"/>
      <c r="G502" s="57"/>
      <c r="I502" s="55"/>
      <c r="J502" s="57"/>
      <c r="K502" s="57"/>
      <c r="L502" s="57"/>
      <c r="M502" s="57"/>
      <c r="N502" s="57"/>
    </row>
    <row r="503" spans="2:14" ht="12" x14ac:dyDescent="0.2">
      <c r="B503" s="56"/>
      <c r="C503" s="58"/>
      <c r="D503" s="58"/>
      <c r="E503" s="58"/>
      <c r="F503" s="58"/>
      <c r="G503" s="58"/>
      <c r="I503" s="56"/>
      <c r="J503" s="58"/>
      <c r="K503" s="58"/>
      <c r="L503" s="58"/>
      <c r="M503" s="58"/>
      <c r="N503" s="58"/>
    </row>
    <row r="504" spans="2:14" ht="12" x14ac:dyDescent="0.2">
      <c r="B504" s="55"/>
      <c r="C504" s="57"/>
      <c r="D504" s="57"/>
      <c r="E504" s="57"/>
      <c r="F504" s="57"/>
      <c r="G504" s="57"/>
      <c r="I504" s="55"/>
      <c r="J504" s="57"/>
      <c r="K504" s="57"/>
      <c r="L504" s="57"/>
      <c r="M504" s="57"/>
      <c r="N504" s="57"/>
    </row>
    <row r="505" spans="2:14" ht="12" x14ac:dyDescent="0.2">
      <c r="B505" s="56"/>
      <c r="C505" s="58"/>
      <c r="D505" s="58"/>
      <c r="E505" s="58"/>
      <c r="F505" s="58"/>
      <c r="G505" s="58"/>
      <c r="I505" s="56"/>
      <c r="J505" s="58"/>
      <c r="K505" s="58"/>
      <c r="L505" s="58"/>
      <c r="M505" s="58"/>
      <c r="N505" s="58"/>
    </row>
    <row r="506" spans="2:14" ht="12" x14ac:dyDescent="0.2">
      <c r="B506" s="55"/>
      <c r="C506" s="57"/>
      <c r="D506" s="57"/>
      <c r="E506" s="57"/>
      <c r="F506" s="57"/>
      <c r="G506" s="57"/>
      <c r="I506" s="55"/>
      <c r="J506" s="57"/>
      <c r="K506" s="57"/>
      <c r="L506" s="57"/>
      <c r="M506" s="57"/>
      <c r="N506" s="57"/>
    </row>
    <row r="507" spans="2:14" ht="12" x14ac:dyDescent="0.2">
      <c r="B507" s="56"/>
      <c r="C507" s="58"/>
      <c r="D507" s="58"/>
      <c r="E507" s="58"/>
      <c r="F507" s="58"/>
      <c r="G507" s="58"/>
      <c r="I507" s="56"/>
      <c r="J507" s="58"/>
      <c r="K507" s="58"/>
      <c r="L507" s="58"/>
      <c r="M507" s="58"/>
      <c r="N507" s="58"/>
    </row>
    <row r="508" spans="2:14" ht="12" x14ac:dyDescent="0.2">
      <c r="B508" s="55"/>
      <c r="C508" s="57"/>
      <c r="D508" s="57"/>
      <c r="E508" s="57"/>
      <c r="F508" s="57"/>
      <c r="G508" s="57"/>
      <c r="I508" s="55"/>
      <c r="J508" s="57"/>
      <c r="K508" s="57"/>
      <c r="L508" s="57"/>
      <c r="M508" s="57"/>
      <c r="N508" s="57"/>
    </row>
    <row r="509" spans="2:14" ht="12" x14ac:dyDescent="0.2">
      <c r="B509" s="56"/>
      <c r="C509" s="58"/>
      <c r="D509" s="58"/>
      <c r="E509" s="58"/>
      <c r="F509" s="58"/>
      <c r="G509" s="58"/>
      <c r="I509" s="56"/>
      <c r="J509" s="58"/>
      <c r="K509" s="58"/>
      <c r="L509" s="58"/>
      <c r="M509" s="58"/>
      <c r="N509" s="58"/>
    </row>
    <row r="510" spans="2:14" ht="12" x14ac:dyDescent="0.2">
      <c r="B510" s="55"/>
      <c r="C510" s="57"/>
      <c r="D510" s="57"/>
      <c r="E510" s="57"/>
      <c r="F510" s="57"/>
      <c r="G510" s="57"/>
      <c r="I510" s="55"/>
      <c r="J510" s="57"/>
      <c r="K510" s="57"/>
      <c r="L510" s="57"/>
      <c r="M510" s="57"/>
      <c r="N510" s="57"/>
    </row>
    <row r="511" spans="2:14" ht="12" x14ac:dyDescent="0.2">
      <c r="B511" s="56"/>
      <c r="C511" s="58"/>
      <c r="D511" s="58"/>
      <c r="E511" s="58"/>
      <c r="F511" s="58"/>
      <c r="G511" s="58"/>
      <c r="I511" s="56"/>
      <c r="J511" s="58"/>
      <c r="K511" s="58"/>
      <c r="L511" s="58"/>
      <c r="M511" s="58"/>
      <c r="N511" s="58"/>
    </row>
    <row r="512" spans="2:14" ht="12" x14ac:dyDescent="0.2">
      <c r="B512" s="55"/>
      <c r="C512" s="57"/>
      <c r="D512" s="57"/>
      <c r="E512" s="57"/>
      <c r="F512" s="57"/>
      <c r="G512" s="57"/>
      <c r="I512" s="55"/>
      <c r="J512" s="57"/>
      <c r="K512" s="57"/>
      <c r="L512" s="57"/>
      <c r="M512" s="57"/>
      <c r="N512" s="57"/>
    </row>
    <row r="513" spans="2:14" ht="12" x14ac:dyDescent="0.2">
      <c r="B513" s="56"/>
      <c r="C513" s="58"/>
      <c r="D513" s="58"/>
      <c r="E513" s="58"/>
      <c r="F513" s="58"/>
      <c r="G513" s="58"/>
      <c r="I513" s="56"/>
      <c r="J513" s="58"/>
      <c r="K513" s="58"/>
      <c r="L513" s="58"/>
      <c r="M513" s="58"/>
      <c r="N513" s="58"/>
    </row>
    <row r="514" spans="2:14" ht="12" x14ac:dyDescent="0.2">
      <c r="B514" s="55"/>
      <c r="C514" s="57"/>
      <c r="D514" s="57"/>
      <c r="E514" s="57"/>
      <c r="F514" s="57"/>
      <c r="G514" s="57"/>
      <c r="I514" s="55"/>
      <c r="J514" s="57"/>
      <c r="K514" s="57"/>
      <c r="L514" s="57"/>
      <c r="M514" s="57"/>
      <c r="N514" s="57"/>
    </row>
    <row r="515" spans="2:14" ht="12" x14ac:dyDescent="0.2">
      <c r="B515" s="56"/>
      <c r="C515" s="58"/>
      <c r="D515" s="58"/>
      <c r="E515" s="58"/>
      <c r="F515" s="58"/>
      <c r="G515" s="58"/>
      <c r="I515" s="56"/>
      <c r="J515" s="58"/>
      <c r="K515" s="58"/>
      <c r="L515" s="58"/>
      <c r="M515" s="58"/>
      <c r="N515" s="58"/>
    </row>
    <row r="516" spans="2:14" ht="12" x14ac:dyDescent="0.2">
      <c r="B516" s="55"/>
      <c r="C516" s="57"/>
      <c r="D516" s="57"/>
      <c r="E516" s="57"/>
      <c r="F516" s="57"/>
      <c r="G516" s="57"/>
      <c r="I516" s="55"/>
      <c r="J516" s="57"/>
      <c r="K516" s="57"/>
      <c r="L516" s="57"/>
      <c r="M516" s="57"/>
      <c r="N516" s="57"/>
    </row>
    <row r="517" spans="2:14" ht="12" x14ac:dyDescent="0.2">
      <c r="B517" s="56"/>
      <c r="C517" s="58"/>
      <c r="D517" s="58"/>
      <c r="E517" s="58"/>
      <c r="F517" s="58"/>
      <c r="G517" s="58"/>
      <c r="I517" s="56"/>
      <c r="J517" s="58"/>
      <c r="K517" s="58"/>
      <c r="L517" s="58"/>
      <c r="M517" s="58"/>
      <c r="N517" s="58"/>
    </row>
    <row r="518" spans="2:14" ht="12" x14ac:dyDescent="0.2">
      <c r="B518" s="55"/>
      <c r="C518" s="57"/>
      <c r="D518" s="57"/>
      <c r="E518" s="57"/>
      <c r="F518" s="57"/>
      <c r="G518" s="57"/>
      <c r="I518" s="55"/>
      <c r="J518" s="57"/>
      <c r="K518" s="57"/>
      <c r="L518" s="57"/>
      <c r="M518" s="57"/>
      <c r="N518" s="57"/>
    </row>
    <row r="519" spans="2:14" ht="12" x14ac:dyDescent="0.2">
      <c r="B519" s="56"/>
      <c r="C519" s="58"/>
      <c r="D519" s="58"/>
      <c r="E519" s="58"/>
      <c r="F519" s="58"/>
      <c r="G519" s="58"/>
      <c r="I519" s="56"/>
      <c r="J519" s="58"/>
      <c r="K519" s="58"/>
      <c r="L519" s="58"/>
      <c r="M519" s="58"/>
      <c r="N519" s="58"/>
    </row>
    <row r="520" spans="2:14" ht="12" x14ac:dyDescent="0.2">
      <c r="B520" s="55"/>
      <c r="C520" s="57"/>
      <c r="D520" s="57"/>
      <c r="E520" s="57"/>
      <c r="F520" s="57"/>
      <c r="G520" s="57"/>
      <c r="I520" s="55"/>
      <c r="J520" s="57"/>
      <c r="K520" s="57"/>
      <c r="L520" s="57"/>
      <c r="M520" s="57"/>
      <c r="N520" s="57"/>
    </row>
    <row r="521" spans="2:14" ht="12" x14ac:dyDescent="0.2">
      <c r="B521" s="56"/>
      <c r="C521" s="58"/>
      <c r="D521" s="58"/>
      <c r="E521" s="58"/>
      <c r="F521" s="58"/>
      <c r="G521" s="58"/>
      <c r="I521" s="56"/>
      <c r="J521" s="58"/>
      <c r="K521" s="58"/>
      <c r="L521" s="58"/>
      <c r="M521" s="58"/>
      <c r="N521" s="58"/>
    </row>
    <row r="522" spans="2:14" ht="12" x14ac:dyDescent="0.2">
      <c r="B522" s="55"/>
      <c r="C522" s="57"/>
      <c r="D522" s="57"/>
      <c r="E522" s="57"/>
      <c r="F522" s="57"/>
      <c r="G522" s="57"/>
      <c r="I522" s="55"/>
      <c r="J522" s="57"/>
      <c r="K522" s="57"/>
      <c r="L522" s="57"/>
      <c r="M522" s="57"/>
      <c r="N522" s="57"/>
    </row>
    <row r="523" spans="2:14" ht="12" x14ac:dyDescent="0.2">
      <c r="B523" s="56"/>
      <c r="C523" s="58"/>
      <c r="D523" s="58"/>
      <c r="E523" s="58"/>
      <c r="F523" s="58"/>
      <c r="G523" s="58"/>
      <c r="I523" s="56"/>
      <c r="J523" s="58"/>
      <c r="K523" s="58"/>
      <c r="L523" s="58"/>
      <c r="M523" s="58"/>
      <c r="N523" s="58"/>
    </row>
    <row r="524" spans="2:14" ht="12" x14ac:dyDescent="0.2">
      <c r="B524" s="55"/>
      <c r="C524" s="57"/>
      <c r="D524" s="57"/>
      <c r="E524" s="57"/>
      <c r="F524" s="57"/>
      <c r="G524" s="57"/>
      <c r="I524" s="55"/>
      <c r="J524" s="57"/>
      <c r="K524" s="57"/>
      <c r="L524" s="57"/>
      <c r="M524" s="57"/>
      <c r="N524" s="57"/>
    </row>
    <row r="525" spans="2:14" ht="12" x14ac:dyDescent="0.2">
      <c r="B525" s="56"/>
      <c r="C525" s="58"/>
      <c r="D525" s="58"/>
      <c r="E525" s="58"/>
      <c r="F525" s="58"/>
      <c r="G525" s="58"/>
      <c r="I525" s="56"/>
      <c r="J525" s="58"/>
      <c r="K525" s="58"/>
      <c r="L525" s="58"/>
      <c r="M525" s="58"/>
      <c r="N525" s="58"/>
    </row>
    <row r="526" spans="2:14" ht="12" x14ac:dyDescent="0.2">
      <c r="B526" s="55"/>
      <c r="C526" s="57"/>
      <c r="D526" s="57"/>
      <c r="E526" s="57"/>
      <c r="F526" s="57"/>
      <c r="G526" s="57"/>
      <c r="I526" s="55"/>
      <c r="J526" s="57"/>
      <c r="K526" s="57"/>
      <c r="L526" s="57"/>
      <c r="M526" s="57"/>
      <c r="N526" s="57"/>
    </row>
    <row r="527" spans="2:14" ht="12" x14ac:dyDescent="0.2">
      <c r="B527" s="56"/>
      <c r="C527" s="58"/>
      <c r="D527" s="58"/>
      <c r="E527" s="58"/>
      <c r="F527" s="58"/>
      <c r="G527" s="58"/>
      <c r="I527" s="56"/>
      <c r="J527" s="58"/>
      <c r="K527" s="58"/>
      <c r="L527" s="58"/>
      <c r="M527" s="58"/>
      <c r="N527" s="58"/>
    </row>
    <row r="528" spans="2:14" ht="12" x14ac:dyDescent="0.2">
      <c r="B528" s="55"/>
      <c r="C528" s="57"/>
      <c r="D528" s="57"/>
      <c r="E528" s="57"/>
      <c r="F528" s="57"/>
      <c r="G528" s="57"/>
      <c r="I528" s="55"/>
      <c r="J528" s="57"/>
      <c r="K528" s="57"/>
      <c r="L528" s="57"/>
      <c r="M528" s="57"/>
      <c r="N528" s="57"/>
    </row>
    <row r="529" spans="2:14" ht="12" x14ac:dyDescent="0.2">
      <c r="B529" s="56"/>
      <c r="C529" s="58"/>
      <c r="D529" s="58"/>
      <c r="E529" s="58"/>
      <c r="F529" s="58"/>
      <c r="G529" s="58"/>
      <c r="I529" s="56"/>
      <c r="J529" s="58"/>
      <c r="K529" s="58"/>
      <c r="L529" s="58"/>
      <c r="M529" s="58"/>
      <c r="N529" s="58"/>
    </row>
    <row r="530" spans="2:14" ht="12" x14ac:dyDescent="0.2">
      <c r="B530" s="55"/>
      <c r="C530" s="57"/>
      <c r="D530" s="57"/>
      <c r="E530" s="57"/>
      <c r="F530" s="57"/>
      <c r="G530" s="57"/>
      <c r="I530" s="55"/>
      <c r="J530" s="57"/>
      <c r="K530" s="57"/>
      <c r="L530" s="57"/>
      <c r="M530" s="57"/>
      <c r="N530" s="57"/>
    </row>
    <row r="531" spans="2:14" ht="12" x14ac:dyDescent="0.2">
      <c r="B531" s="56"/>
      <c r="C531" s="58"/>
      <c r="D531" s="58"/>
      <c r="E531" s="58"/>
      <c r="F531" s="58"/>
      <c r="G531" s="58"/>
      <c r="I531" s="56"/>
      <c r="J531" s="58"/>
      <c r="K531" s="58"/>
      <c r="L531" s="58"/>
      <c r="M531" s="58"/>
      <c r="N531" s="58"/>
    </row>
    <row r="532" spans="2:14" ht="12" x14ac:dyDescent="0.2">
      <c r="B532" s="55"/>
      <c r="C532" s="57"/>
      <c r="D532" s="57"/>
      <c r="E532" s="57"/>
      <c r="F532" s="57"/>
      <c r="G532" s="57"/>
      <c r="I532" s="55"/>
      <c r="J532" s="57"/>
      <c r="K532" s="57"/>
      <c r="L532" s="57"/>
      <c r="M532" s="57"/>
      <c r="N532" s="57"/>
    </row>
    <row r="533" spans="2:14" ht="12" x14ac:dyDescent="0.2">
      <c r="B533" s="56"/>
      <c r="C533" s="58"/>
      <c r="D533" s="58"/>
      <c r="E533" s="58"/>
      <c r="F533" s="58"/>
      <c r="G533" s="58"/>
      <c r="I533" s="56"/>
      <c r="J533" s="58"/>
      <c r="K533" s="58"/>
      <c r="L533" s="58"/>
      <c r="M533" s="58"/>
      <c r="N533" s="58"/>
    </row>
    <row r="534" spans="2:14" ht="12" x14ac:dyDescent="0.2">
      <c r="B534" s="55"/>
      <c r="C534" s="57"/>
      <c r="D534" s="57"/>
      <c r="E534" s="57"/>
      <c r="F534" s="57"/>
      <c r="G534" s="57"/>
      <c r="I534" s="55"/>
      <c r="J534" s="57"/>
      <c r="K534" s="57"/>
      <c r="L534" s="57"/>
      <c r="M534" s="57"/>
      <c r="N534" s="57"/>
    </row>
    <row r="535" spans="2:14" ht="12" x14ac:dyDescent="0.2">
      <c r="B535" s="56"/>
      <c r="C535" s="58"/>
      <c r="D535" s="58"/>
      <c r="E535" s="58"/>
      <c r="F535" s="58"/>
      <c r="G535" s="58"/>
      <c r="I535" s="56"/>
      <c r="J535" s="58"/>
      <c r="K535" s="58"/>
      <c r="L535" s="58"/>
      <c r="M535" s="58"/>
      <c r="N535" s="58"/>
    </row>
    <row r="536" spans="2:14" ht="12" x14ac:dyDescent="0.2">
      <c r="B536" s="55"/>
      <c r="C536" s="57"/>
      <c r="D536" s="57"/>
      <c r="E536" s="57"/>
      <c r="F536" s="57"/>
      <c r="G536" s="57"/>
      <c r="I536" s="55"/>
      <c r="J536" s="57"/>
      <c r="K536" s="57"/>
      <c r="L536" s="57"/>
      <c r="M536" s="57"/>
      <c r="N536" s="57"/>
    </row>
    <row r="537" spans="2:14" ht="12" x14ac:dyDescent="0.2">
      <c r="B537" s="56"/>
      <c r="C537" s="58"/>
      <c r="D537" s="58"/>
      <c r="E537" s="58"/>
      <c r="F537" s="58"/>
      <c r="G537" s="58"/>
      <c r="I537" s="56"/>
      <c r="J537" s="58"/>
      <c r="K537" s="58"/>
      <c r="L537" s="58"/>
      <c r="M537" s="58"/>
      <c r="N537" s="58"/>
    </row>
    <row r="538" spans="2:14" ht="12" x14ac:dyDescent="0.2">
      <c r="B538" s="55"/>
      <c r="C538" s="57"/>
      <c r="D538" s="57"/>
      <c r="E538" s="57"/>
      <c r="F538" s="57"/>
      <c r="G538" s="57"/>
      <c r="I538" s="55"/>
      <c r="J538" s="57"/>
      <c r="K538" s="57"/>
      <c r="L538" s="57"/>
      <c r="M538" s="57"/>
      <c r="N538" s="57"/>
    </row>
    <row r="539" spans="2:14" ht="12" x14ac:dyDescent="0.2">
      <c r="B539" s="56"/>
      <c r="C539" s="58"/>
      <c r="D539" s="58"/>
      <c r="E539" s="58"/>
      <c r="F539" s="58"/>
      <c r="G539" s="58"/>
      <c r="I539" s="56"/>
      <c r="J539" s="58"/>
      <c r="K539" s="58"/>
      <c r="L539" s="58"/>
      <c r="M539" s="58"/>
      <c r="N539" s="58"/>
    </row>
    <row r="540" spans="2:14" ht="12" x14ac:dyDescent="0.2">
      <c r="B540" s="55"/>
      <c r="C540" s="57"/>
      <c r="D540" s="57"/>
      <c r="E540" s="57"/>
      <c r="F540" s="57"/>
      <c r="G540" s="57"/>
      <c r="I540" s="55"/>
      <c r="J540" s="57"/>
      <c r="K540" s="57"/>
      <c r="L540" s="57"/>
      <c r="M540" s="57"/>
      <c r="N540" s="57"/>
    </row>
    <row r="541" spans="2:14" ht="12" x14ac:dyDescent="0.2">
      <c r="B541" s="56"/>
      <c r="C541" s="58"/>
      <c r="D541" s="58"/>
      <c r="E541" s="58"/>
      <c r="F541" s="58"/>
      <c r="G541" s="58"/>
      <c r="I541" s="56"/>
      <c r="J541" s="58"/>
      <c r="K541" s="58"/>
      <c r="L541" s="58"/>
      <c r="M541" s="58"/>
      <c r="N541" s="58"/>
    </row>
    <row r="542" spans="2:14" ht="12" x14ac:dyDescent="0.2">
      <c r="B542" s="55"/>
      <c r="C542" s="57"/>
      <c r="D542" s="57"/>
      <c r="E542" s="57"/>
      <c r="F542" s="57"/>
      <c r="G542" s="57"/>
      <c r="I542" s="55"/>
      <c r="J542" s="57"/>
      <c r="K542" s="57"/>
      <c r="L542" s="57"/>
      <c r="M542" s="57"/>
      <c r="N542" s="57"/>
    </row>
    <row r="543" spans="2:14" ht="12" x14ac:dyDescent="0.2">
      <c r="B543" s="56"/>
      <c r="C543" s="58"/>
      <c r="D543" s="58"/>
      <c r="E543" s="58"/>
      <c r="F543" s="58"/>
      <c r="G543" s="58"/>
      <c r="I543" s="56"/>
      <c r="J543" s="58"/>
      <c r="K543" s="58"/>
      <c r="L543" s="58"/>
      <c r="M543" s="58"/>
      <c r="N543" s="58"/>
    </row>
    <row r="544" spans="2:14" ht="12" x14ac:dyDescent="0.2">
      <c r="B544" s="55"/>
      <c r="C544" s="57"/>
      <c r="D544" s="57"/>
      <c r="E544" s="57"/>
      <c r="F544" s="57"/>
      <c r="G544" s="57"/>
      <c r="I544" s="55"/>
      <c r="J544" s="57"/>
      <c r="K544" s="57"/>
      <c r="L544" s="57"/>
      <c r="M544" s="57"/>
      <c r="N544" s="57"/>
    </row>
    <row r="545" spans="2:14" ht="12" x14ac:dyDescent="0.2">
      <c r="B545" s="56"/>
      <c r="C545" s="58"/>
      <c r="D545" s="58"/>
      <c r="E545" s="58"/>
      <c r="F545" s="58"/>
      <c r="G545" s="58"/>
      <c r="I545" s="56"/>
      <c r="J545" s="58"/>
      <c r="K545" s="58"/>
      <c r="L545" s="58"/>
      <c r="M545" s="58"/>
      <c r="N545" s="58"/>
    </row>
    <row r="546" spans="2:14" ht="12" x14ac:dyDescent="0.2">
      <c r="B546" s="55"/>
      <c r="C546" s="57"/>
      <c r="D546" s="57"/>
      <c r="E546" s="57"/>
      <c r="F546" s="57"/>
      <c r="G546" s="57"/>
      <c r="I546" s="55"/>
      <c r="J546" s="57"/>
      <c r="K546" s="57"/>
      <c r="L546" s="57"/>
      <c r="M546" s="57"/>
      <c r="N546" s="57"/>
    </row>
    <row r="547" spans="2:14" ht="12" x14ac:dyDescent="0.2">
      <c r="B547" s="56"/>
      <c r="C547" s="58"/>
      <c r="D547" s="58"/>
      <c r="E547" s="58"/>
      <c r="F547" s="58"/>
      <c r="G547" s="58"/>
      <c r="I547" s="56"/>
      <c r="J547" s="58"/>
      <c r="K547" s="58"/>
      <c r="L547" s="58"/>
      <c r="M547" s="58"/>
      <c r="N547" s="58"/>
    </row>
    <row r="548" spans="2:14" ht="12" x14ac:dyDescent="0.2">
      <c r="B548" s="55"/>
      <c r="C548" s="57"/>
      <c r="D548" s="57"/>
      <c r="E548" s="57"/>
      <c r="F548" s="57"/>
      <c r="G548" s="57"/>
      <c r="I548" s="55"/>
      <c r="J548" s="57"/>
      <c r="K548" s="57"/>
      <c r="L548" s="57"/>
      <c r="M548" s="57"/>
      <c r="N548" s="57"/>
    </row>
    <row r="549" spans="2:14" ht="12" x14ac:dyDescent="0.2">
      <c r="B549" s="56"/>
      <c r="C549" s="58"/>
      <c r="D549" s="58"/>
      <c r="E549" s="58"/>
      <c r="F549" s="58"/>
      <c r="G549" s="58"/>
      <c r="I549" s="56"/>
      <c r="J549" s="58"/>
      <c r="K549" s="58"/>
      <c r="L549" s="58"/>
      <c r="M549" s="58"/>
      <c r="N549" s="58"/>
    </row>
    <row r="550" spans="2:14" ht="12" x14ac:dyDescent="0.2">
      <c r="B550" s="55"/>
      <c r="C550" s="57"/>
      <c r="D550" s="57"/>
      <c r="E550" s="57"/>
      <c r="F550" s="57"/>
      <c r="G550" s="57"/>
      <c r="I550" s="55"/>
      <c r="J550" s="57"/>
      <c r="K550" s="57"/>
      <c r="L550" s="57"/>
      <c r="M550" s="57"/>
      <c r="N550" s="57"/>
    </row>
    <row r="551" spans="2:14" ht="12" x14ac:dyDescent="0.2">
      <c r="B551" s="56"/>
      <c r="C551" s="58"/>
      <c r="D551" s="58"/>
      <c r="E551" s="58"/>
      <c r="F551" s="58"/>
      <c r="G551" s="58"/>
      <c r="I551" s="56"/>
      <c r="J551" s="58"/>
      <c r="K551" s="58"/>
      <c r="L551" s="58"/>
      <c r="M551" s="58"/>
      <c r="N551" s="58"/>
    </row>
    <row r="552" spans="2:14" ht="12" x14ac:dyDescent="0.2">
      <c r="B552" s="55"/>
      <c r="C552" s="57"/>
      <c r="D552" s="57"/>
      <c r="E552" s="57"/>
      <c r="F552" s="57"/>
      <c r="G552" s="57"/>
      <c r="I552" s="55"/>
      <c r="J552" s="57"/>
      <c r="K552" s="57"/>
      <c r="L552" s="57"/>
      <c r="M552" s="57"/>
      <c r="N552" s="57"/>
    </row>
    <row r="553" spans="2:14" ht="12" x14ac:dyDescent="0.2">
      <c r="B553" s="56"/>
      <c r="C553" s="58"/>
      <c r="D553" s="58"/>
      <c r="E553" s="58"/>
      <c r="F553" s="58"/>
      <c r="G553" s="58"/>
      <c r="I553" s="56"/>
      <c r="J553" s="58"/>
      <c r="K553" s="58"/>
      <c r="L553" s="58"/>
      <c r="M553" s="58"/>
      <c r="N553" s="58"/>
    </row>
    <row r="554" spans="2:14" ht="12" x14ac:dyDescent="0.2">
      <c r="B554" s="55"/>
      <c r="C554" s="57"/>
      <c r="D554" s="57"/>
      <c r="E554" s="57"/>
      <c r="F554" s="57"/>
      <c r="G554" s="57"/>
      <c r="I554" s="55"/>
      <c r="J554" s="57"/>
      <c r="K554" s="57"/>
      <c r="L554" s="57"/>
      <c r="M554" s="57"/>
      <c r="N554" s="57"/>
    </row>
    <row r="555" spans="2:14" ht="12" x14ac:dyDescent="0.2">
      <c r="B555" s="56"/>
      <c r="C555" s="58"/>
      <c r="D555" s="58"/>
      <c r="E555" s="58"/>
      <c r="F555" s="58"/>
      <c r="G555" s="58"/>
      <c r="I555" s="56"/>
      <c r="J555" s="58"/>
      <c r="K555" s="58"/>
      <c r="L555" s="58"/>
      <c r="M555" s="58"/>
      <c r="N555" s="58"/>
    </row>
    <row r="556" spans="2:14" ht="12" x14ac:dyDescent="0.2">
      <c r="B556" s="55"/>
      <c r="C556" s="57"/>
      <c r="D556" s="57"/>
      <c r="E556" s="57"/>
      <c r="F556" s="57"/>
      <c r="G556" s="57"/>
      <c r="I556" s="55"/>
      <c r="J556" s="57"/>
      <c r="K556" s="57"/>
      <c r="L556" s="57"/>
      <c r="M556" s="57"/>
      <c r="N556" s="57"/>
    </row>
    <row r="557" spans="2:14" ht="12" x14ac:dyDescent="0.2">
      <c r="B557" s="56"/>
      <c r="C557" s="58"/>
      <c r="D557" s="58"/>
      <c r="E557" s="58"/>
      <c r="F557" s="58"/>
      <c r="G557" s="58"/>
      <c r="I557" s="56"/>
      <c r="J557" s="58"/>
      <c r="K557" s="58"/>
      <c r="L557" s="58"/>
      <c r="M557" s="58"/>
      <c r="N557" s="58"/>
    </row>
    <row r="558" spans="2:14" ht="12" x14ac:dyDescent="0.2">
      <c r="B558" s="55"/>
      <c r="C558" s="57"/>
      <c r="D558" s="57"/>
      <c r="E558" s="57"/>
      <c r="F558" s="57"/>
      <c r="G558" s="57"/>
      <c r="I558" s="55"/>
      <c r="J558" s="57"/>
      <c r="K558" s="57"/>
      <c r="L558" s="57"/>
      <c r="M558" s="57"/>
      <c r="N558" s="57"/>
    </row>
    <row r="559" spans="2:14" ht="12" x14ac:dyDescent="0.2">
      <c r="B559" s="56"/>
      <c r="C559" s="58"/>
      <c r="D559" s="58"/>
      <c r="E559" s="58"/>
      <c r="F559" s="58"/>
      <c r="G559" s="58"/>
      <c r="I559" s="56"/>
      <c r="J559" s="58"/>
      <c r="K559" s="58"/>
      <c r="L559" s="58"/>
      <c r="M559" s="58"/>
      <c r="N559" s="58"/>
    </row>
    <row r="560" spans="2:14" ht="12" x14ac:dyDescent="0.2">
      <c r="B560" s="55"/>
      <c r="C560" s="57"/>
      <c r="D560" s="57"/>
      <c r="E560" s="57"/>
      <c r="F560" s="57"/>
      <c r="G560" s="57"/>
      <c r="I560" s="55"/>
      <c r="J560" s="57"/>
      <c r="K560" s="57"/>
      <c r="L560" s="57"/>
      <c r="M560" s="57"/>
      <c r="N560" s="57"/>
    </row>
    <row r="561" spans="2:14" ht="12" x14ac:dyDescent="0.2">
      <c r="B561" s="56"/>
      <c r="C561" s="58"/>
      <c r="D561" s="58"/>
      <c r="E561" s="58"/>
      <c r="F561" s="58"/>
      <c r="G561" s="58"/>
      <c r="I561" s="56"/>
      <c r="J561" s="58"/>
      <c r="K561" s="58"/>
      <c r="L561" s="58"/>
      <c r="M561" s="58"/>
      <c r="N561" s="58"/>
    </row>
    <row r="562" spans="2:14" ht="12" x14ac:dyDescent="0.2">
      <c r="B562" s="55"/>
      <c r="C562" s="57"/>
      <c r="D562" s="57"/>
      <c r="E562" s="57"/>
      <c r="F562" s="57"/>
      <c r="G562" s="57"/>
      <c r="I562" s="55"/>
      <c r="J562" s="57"/>
      <c r="K562" s="57"/>
      <c r="L562" s="57"/>
      <c r="M562" s="57"/>
      <c r="N562" s="57"/>
    </row>
    <row r="563" spans="2:14" ht="12" x14ac:dyDescent="0.2">
      <c r="B563" s="56"/>
      <c r="C563" s="58"/>
      <c r="D563" s="58"/>
      <c r="E563" s="58"/>
      <c r="F563" s="58"/>
      <c r="G563" s="58"/>
      <c r="I563" s="56"/>
      <c r="J563" s="58"/>
      <c r="K563" s="58"/>
      <c r="L563" s="58"/>
      <c r="M563" s="58"/>
      <c r="N563" s="58"/>
    </row>
    <row r="564" spans="2:14" ht="12" x14ac:dyDescent="0.2">
      <c r="B564" s="55"/>
      <c r="C564" s="57"/>
      <c r="D564" s="57"/>
      <c r="E564" s="57"/>
      <c r="F564" s="57"/>
      <c r="G564" s="57"/>
      <c r="I564" s="55"/>
      <c r="J564" s="57"/>
      <c r="K564" s="57"/>
      <c r="L564" s="57"/>
      <c r="M564" s="57"/>
      <c r="N564" s="57"/>
    </row>
    <row r="565" spans="2:14" ht="12" x14ac:dyDescent="0.2">
      <c r="B565" s="56"/>
      <c r="C565" s="58"/>
      <c r="D565" s="58"/>
      <c r="E565" s="58"/>
      <c r="F565" s="58"/>
      <c r="G565" s="58"/>
      <c r="I565" s="56"/>
      <c r="J565" s="58"/>
      <c r="K565" s="58"/>
      <c r="L565" s="58"/>
      <c r="M565" s="58"/>
      <c r="N565" s="58"/>
    </row>
    <row r="566" spans="2:14" ht="12" x14ac:dyDescent="0.2">
      <c r="B566" s="55"/>
      <c r="C566" s="57"/>
      <c r="D566" s="57"/>
      <c r="E566" s="57"/>
      <c r="F566" s="57"/>
      <c r="G566" s="57"/>
      <c r="I566" s="55"/>
      <c r="J566" s="57"/>
      <c r="K566" s="57"/>
      <c r="L566" s="57"/>
      <c r="M566" s="57"/>
      <c r="N566" s="57"/>
    </row>
    <row r="567" spans="2:14" ht="12" x14ac:dyDescent="0.2">
      <c r="B567" s="56"/>
      <c r="C567" s="58"/>
      <c r="D567" s="58"/>
      <c r="E567" s="58"/>
      <c r="F567" s="58"/>
      <c r="G567" s="58"/>
      <c r="I567" s="56"/>
      <c r="J567" s="58"/>
      <c r="K567" s="58"/>
      <c r="L567" s="58"/>
      <c r="M567" s="58"/>
      <c r="N567" s="58"/>
    </row>
    <row r="568" spans="2:14" ht="12" x14ac:dyDescent="0.2">
      <c r="B568" s="55"/>
      <c r="C568" s="57"/>
      <c r="D568" s="57"/>
      <c r="E568" s="57"/>
      <c r="F568" s="57"/>
      <c r="G568" s="57"/>
      <c r="I568" s="55"/>
      <c r="J568" s="57"/>
      <c r="K568" s="57"/>
      <c r="L568" s="57"/>
      <c r="M568" s="57"/>
      <c r="N568" s="57"/>
    </row>
    <row r="569" spans="2:14" ht="12" x14ac:dyDescent="0.2">
      <c r="B569" s="56"/>
      <c r="C569" s="58"/>
      <c r="D569" s="58"/>
      <c r="E569" s="58"/>
      <c r="F569" s="58"/>
      <c r="G569" s="58"/>
      <c r="I569" s="56"/>
      <c r="J569" s="58"/>
      <c r="K569" s="58"/>
      <c r="L569" s="58"/>
      <c r="M569" s="58"/>
      <c r="N569" s="58"/>
    </row>
    <row r="570" spans="2:14" ht="12" x14ac:dyDescent="0.2">
      <c r="B570" s="55"/>
      <c r="C570" s="57"/>
      <c r="D570" s="57"/>
      <c r="E570" s="57"/>
      <c r="F570" s="57"/>
      <c r="G570" s="57"/>
      <c r="I570" s="55"/>
      <c r="J570" s="57"/>
      <c r="K570" s="57"/>
      <c r="L570" s="57"/>
      <c r="M570" s="57"/>
      <c r="N570" s="57"/>
    </row>
    <row r="571" spans="2:14" ht="12" x14ac:dyDescent="0.2">
      <c r="B571" s="56"/>
      <c r="C571" s="58"/>
      <c r="D571" s="58"/>
      <c r="E571" s="58"/>
      <c r="F571" s="58"/>
      <c r="G571" s="58"/>
      <c r="I571" s="56"/>
      <c r="J571" s="58"/>
      <c r="K571" s="58"/>
      <c r="L571" s="58"/>
      <c r="M571" s="58"/>
      <c r="N571" s="58"/>
    </row>
    <row r="572" spans="2:14" ht="12" x14ac:dyDescent="0.2">
      <c r="B572" s="55"/>
      <c r="C572" s="57"/>
      <c r="D572" s="57"/>
      <c r="E572" s="57"/>
      <c r="F572" s="57"/>
      <c r="G572" s="57"/>
      <c r="I572" s="55"/>
      <c r="J572" s="57"/>
      <c r="K572" s="57"/>
      <c r="L572" s="57"/>
      <c r="M572" s="57"/>
      <c r="N572" s="57"/>
    </row>
    <row r="573" spans="2:14" ht="12" x14ac:dyDescent="0.2">
      <c r="B573" s="56"/>
      <c r="C573" s="58"/>
      <c r="D573" s="58"/>
      <c r="E573" s="58"/>
      <c r="F573" s="58"/>
      <c r="G573" s="58"/>
      <c r="I573" s="56"/>
      <c r="J573" s="58"/>
      <c r="K573" s="58"/>
      <c r="L573" s="58"/>
      <c r="M573" s="58"/>
      <c r="N573" s="58"/>
    </row>
    <row r="574" spans="2:14" ht="12" x14ac:dyDescent="0.2">
      <c r="B574" s="55"/>
      <c r="C574" s="57"/>
      <c r="D574" s="57"/>
      <c r="E574" s="57"/>
      <c r="F574" s="57"/>
      <c r="G574" s="57"/>
      <c r="I574" s="55"/>
      <c r="J574" s="57"/>
      <c r="K574" s="57"/>
      <c r="L574" s="57"/>
      <c r="M574" s="57"/>
      <c r="N574" s="57"/>
    </row>
    <row r="575" spans="2:14" ht="12" x14ac:dyDescent="0.2">
      <c r="B575" s="56"/>
      <c r="C575" s="58"/>
      <c r="D575" s="58"/>
      <c r="E575" s="58"/>
      <c r="F575" s="58"/>
      <c r="G575" s="58"/>
      <c r="I575" s="56"/>
      <c r="J575" s="58"/>
      <c r="K575" s="58"/>
      <c r="L575" s="58"/>
      <c r="M575" s="58"/>
      <c r="N575" s="58"/>
    </row>
    <row r="576" spans="2:14" ht="12" x14ac:dyDescent="0.2">
      <c r="B576" s="55"/>
      <c r="C576" s="57"/>
      <c r="D576" s="57"/>
      <c r="E576" s="57"/>
      <c r="F576" s="57"/>
      <c r="G576" s="57"/>
      <c r="I576" s="55"/>
      <c r="J576" s="57"/>
      <c r="K576" s="57"/>
      <c r="L576" s="57"/>
      <c r="M576" s="57"/>
      <c r="N576" s="57"/>
    </row>
    <row r="577" spans="2:14" ht="12" x14ac:dyDescent="0.2">
      <c r="B577" s="56"/>
      <c r="C577" s="58"/>
      <c r="D577" s="58"/>
      <c r="E577" s="58"/>
      <c r="F577" s="58"/>
      <c r="G577" s="58"/>
      <c r="I577" s="56"/>
      <c r="J577" s="58"/>
      <c r="K577" s="58"/>
      <c r="L577" s="58"/>
      <c r="M577" s="58"/>
      <c r="N577" s="58"/>
    </row>
    <row r="578" spans="2:14" ht="12" x14ac:dyDescent="0.2">
      <c r="B578" s="55"/>
      <c r="C578" s="57"/>
      <c r="D578" s="57"/>
      <c r="E578" s="57"/>
      <c r="F578" s="57"/>
      <c r="G578" s="57"/>
      <c r="I578" s="55"/>
      <c r="J578" s="57"/>
      <c r="K578" s="57"/>
      <c r="L578" s="57"/>
      <c r="M578" s="57"/>
      <c r="N578" s="57"/>
    </row>
    <row r="579" spans="2:14" ht="12" x14ac:dyDescent="0.2">
      <c r="B579" s="56"/>
      <c r="C579" s="58"/>
      <c r="D579" s="58"/>
      <c r="E579" s="58"/>
      <c r="F579" s="58"/>
      <c r="G579" s="58"/>
      <c r="I579" s="56"/>
      <c r="J579" s="58"/>
      <c r="K579" s="58"/>
      <c r="L579" s="58"/>
      <c r="M579" s="58"/>
      <c r="N579" s="58"/>
    </row>
    <row r="580" spans="2:14" ht="12" x14ac:dyDescent="0.2">
      <c r="B580" s="55"/>
      <c r="C580" s="57"/>
      <c r="D580" s="57"/>
      <c r="E580" s="57"/>
      <c r="F580" s="57"/>
      <c r="G580" s="57"/>
      <c r="I580" s="55"/>
      <c r="J580" s="57"/>
      <c r="K580" s="57"/>
      <c r="L580" s="57"/>
      <c r="M580" s="57"/>
      <c r="N580" s="57"/>
    </row>
    <row r="581" spans="2:14" ht="12" x14ac:dyDescent="0.2">
      <c r="B581" s="56"/>
      <c r="C581" s="58"/>
      <c r="D581" s="58"/>
      <c r="E581" s="58"/>
      <c r="F581" s="58"/>
      <c r="G581" s="58"/>
      <c r="I581" s="56"/>
      <c r="J581" s="58"/>
      <c r="K581" s="58"/>
      <c r="L581" s="58"/>
      <c r="M581" s="58"/>
      <c r="N581" s="58"/>
    </row>
    <row r="582" spans="2:14" ht="12" x14ac:dyDescent="0.2">
      <c r="B582" s="55"/>
      <c r="C582" s="57"/>
      <c r="D582" s="57"/>
      <c r="E582" s="57"/>
      <c r="F582" s="57"/>
      <c r="G582" s="57"/>
      <c r="I582" s="55"/>
      <c r="J582" s="57"/>
      <c r="K582" s="57"/>
      <c r="L582" s="57"/>
      <c r="M582" s="57"/>
      <c r="N582" s="57"/>
    </row>
    <row r="583" spans="2:14" ht="12" x14ac:dyDescent="0.2">
      <c r="B583" s="56"/>
      <c r="C583" s="58"/>
      <c r="D583" s="58"/>
      <c r="E583" s="58"/>
      <c r="F583" s="58"/>
      <c r="G583" s="58"/>
      <c r="I583" s="56"/>
      <c r="J583" s="58"/>
      <c r="K583" s="58"/>
      <c r="L583" s="58"/>
      <c r="M583" s="58"/>
      <c r="N583" s="58"/>
    </row>
    <row r="584" spans="2:14" ht="12" x14ac:dyDescent="0.2">
      <c r="B584" s="55"/>
      <c r="C584" s="57"/>
      <c r="D584" s="57"/>
      <c r="E584" s="57"/>
      <c r="F584" s="57"/>
      <c r="G584" s="57"/>
      <c r="I584" s="55"/>
      <c r="J584" s="57"/>
      <c r="K584" s="57"/>
      <c r="L584" s="57"/>
      <c r="M584" s="57"/>
      <c r="N584" s="57"/>
    </row>
    <row r="585" spans="2:14" ht="12" x14ac:dyDescent="0.2">
      <c r="B585" s="56"/>
      <c r="C585" s="58"/>
      <c r="D585" s="58"/>
      <c r="E585" s="58"/>
      <c r="F585" s="58"/>
      <c r="G585" s="58"/>
      <c r="I585" s="56"/>
      <c r="J585" s="58"/>
      <c r="K585" s="58"/>
      <c r="L585" s="58"/>
      <c r="M585" s="58"/>
      <c r="N585" s="58"/>
    </row>
    <row r="586" spans="2:14" ht="12" x14ac:dyDescent="0.2">
      <c r="B586" s="55"/>
      <c r="C586" s="57"/>
      <c r="D586" s="57"/>
      <c r="E586" s="57"/>
      <c r="F586" s="57"/>
      <c r="G586" s="57"/>
      <c r="I586" s="55"/>
      <c r="J586" s="57"/>
      <c r="K586" s="57"/>
      <c r="L586" s="57"/>
      <c r="M586" s="57"/>
      <c r="N586" s="57"/>
    </row>
    <row r="587" spans="2:14" ht="12" x14ac:dyDescent="0.2">
      <c r="B587" s="56"/>
      <c r="C587" s="58"/>
      <c r="D587" s="58"/>
      <c r="E587" s="58"/>
      <c r="F587" s="58"/>
      <c r="G587" s="58"/>
      <c r="I587" s="56"/>
      <c r="J587" s="58"/>
      <c r="K587" s="58"/>
      <c r="L587" s="58"/>
      <c r="M587" s="58"/>
      <c r="N587" s="58"/>
    </row>
    <row r="588" spans="2:14" ht="12" x14ac:dyDescent="0.2">
      <c r="B588" s="55"/>
      <c r="C588" s="57"/>
      <c r="D588" s="57"/>
      <c r="E588" s="57"/>
      <c r="F588" s="57"/>
      <c r="G588" s="57"/>
      <c r="I588" s="55"/>
      <c r="J588" s="57"/>
      <c r="K588" s="57"/>
      <c r="L588" s="57"/>
      <c r="M588" s="57"/>
      <c r="N588" s="57"/>
    </row>
    <row r="589" spans="2:14" ht="12" x14ac:dyDescent="0.2">
      <c r="B589" s="56"/>
      <c r="C589" s="58"/>
      <c r="D589" s="58"/>
      <c r="E589" s="58"/>
      <c r="F589" s="58"/>
      <c r="G589" s="58"/>
      <c r="I589" s="56"/>
      <c r="J589" s="58"/>
      <c r="K589" s="58"/>
      <c r="L589" s="58"/>
      <c r="M589" s="58"/>
      <c r="N589" s="58"/>
    </row>
    <row r="590" spans="2:14" ht="12" x14ac:dyDescent="0.2">
      <c r="B590" s="55"/>
      <c r="C590" s="57"/>
      <c r="D590" s="57"/>
      <c r="E590" s="57"/>
      <c r="F590" s="57"/>
      <c r="G590" s="57"/>
      <c r="I590" s="55"/>
      <c r="J590" s="57"/>
      <c r="K590" s="57"/>
      <c r="L590" s="57"/>
      <c r="M590" s="57"/>
      <c r="N590" s="57"/>
    </row>
    <row r="591" spans="2:14" ht="12" x14ac:dyDescent="0.2">
      <c r="B591" s="56"/>
      <c r="C591" s="58"/>
      <c r="D591" s="58"/>
      <c r="E591" s="58"/>
      <c r="F591" s="58"/>
      <c r="G591" s="58"/>
      <c r="I591" s="56"/>
      <c r="J591" s="58"/>
      <c r="K591" s="58"/>
      <c r="L591" s="58"/>
      <c r="M591" s="58"/>
      <c r="N591" s="58"/>
    </row>
    <row r="592" spans="2:14" ht="12" x14ac:dyDescent="0.2">
      <c r="B592" s="55"/>
      <c r="C592" s="57"/>
      <c r="D592" s="57"/>
      <c r="E592" s="57"/>
      <c r="F592" s="57"/>
      <c r="G592" s="57"/>
      <c r="I592" s="55"/>
      <c r="J592" s="57"/>
      <c r="K592" s="57"/>
      <c r="L592" s="57"/>
      <c r="M592" s="57"/>
      <c r="N592" s="57"/>
    </row>
    <row r="593" spans="2:14" ht="12" x14ac:dyDescent="0.2">
      <c r="B593" s="56"/>
      <c r="C593" s="58"/>
      <c r="D593" s="58"/>
      <c r="E593" s="58"/>
      <c r="F593" s="58"/>
      <c r="G593" s="58"/>
      <c r="I593" s="56"/>
      <c r="J593" s="58"/>
      <c r="K593" s="58"/>
      <c r="L593" s="58"/>
      <c r="M593" s="58"/>
      <c r="N593" s="58"/>
    </row>
    <row r="594" spans="2:14" ht="12" x14ac:dyDescent="0.2">
      <c r="B594" s="55"/>
      <c r="C594" s="57"/>
      <c r="D594" s="57"/>
      <c r="E594" s="57"/>
      <c r="F594" s="57"/>
      <c r="G594" s="57"/>
      <c r="I594" s="55"/>
      <c r="J594" s="57"/>
      <c r="K594" s="57"/>
      <c r="L594" s="57"/>
      <c r="M594" s="57"/>
      <c r="N594" s="57"/>
    </row>
    <row r="595" spans="2:14" ht="12" x14ac:dyDescent="0.2">
      <c r="B595" s="56"/>
      <c r="C595" s="58"/>
      <c r="D595" s="58"/>
      <c r="E595" s="58"/>
      <c r="F595" s="58"/>
      <c r="G595" s="58"/>
      <c r="I595" s="56"/>
      <c r="J595" s="58"/>
      <c r="K595" s="58"/>
      <c r="L595" s="58"/>
      <c r="M595" s="58"/>
      <c r="N595" s="58"/>
    </row>
    <row r="596" spans="2:14" ht="12" x14ac:dyDescent="0.2">
      <c r="B596" s="55"/>
      <c r="C596" s="57"/>
      <c r="D596" s="57"/>
      <c r="E596" s="57"/>
      <c r="F596" s="57"/>
      <c r="G596" s="57"/>
      <c r="I596" s="55"/>
      <c r="J596" s="57"/>
      <c r="K596" s="57"/>
      <c r="L596" s="57"/>
      <c r="M596" s="57"/>
      <c r="N596" s="57"/>
    </row>
    <row r="597" spans="2:14" ht="12" x14ac:dyDescent="0.2">
      <c r="B597" s="56"/>
      <c r="C597" s="58"/>
      <c r="D597" s="58"/>
      <c r="E597" s="58"/>
      <c r="F597" s="58"/>
      <c r="G597" s="58"/>
      <c r="I597" s="56"/>
      <c r="J597" s="58"/>
      <c r="K597" s="58"/>
      <c r="L597" s="58"/>
      <c r="M597" s="58"/>
      <c r="N597" s="58"/>
    </row>
    <row r="598" spans="2:14" ht="12" x14ac:dyDescent="0.2">
      <c r="B598" s="55"/>
      <c r="C598" s="57"/>
      <c r="D598" s="57"/>
      <c r="E598" s="57"/>
      <c r="F598" s="57"/>
      <c r="G598" s="57"/>
      <c r="I598" s="55"/>
      <c r="J598" s="57"/>
      <c r="K598" s="57"/>
      <c r="L598" s="57"/>
      <c r="M598" s="57"/>
      <c r="N598" s="57"/>
    </row>
    <row r="599" spans="2:14" ht="12" x14ac:dyDescent="0.2">
      <c r="B599" s="56"/>
      <c r="C599" s="58"/>
      <c r="D599" s="58"/>
      <c r="E599" s="58"/>
      <c r="F599" s="58"/>
      <c r="G599" s="58"/>
      <c r="I599" s="56"/>
      <c r="J599" s="58"/>
      <c r="K599" s="58"/>
      <c r="L599" s="58"/>
      <c r="M599" s="58"/>
      <c r="N599" s="58"/>
    </row>
    <row r="600" spans="2:14" ht="12" x14ac:dyDescent="0.2">
      <c r="B600" s="55"/>
      <c r="C600" s="57"/>
      <c r="D600" s="57"/>
      <c r="E600" s="57"/>
      <c r="F600" s="57"/>
      <c r="G600" s="57"/>
      <c r="I600" s="55"/>
      <c r="J600" s="57"/>
      <c r="K600" s="57"/>
      <c r="L600" s="57"/>
      <c r="M600" s="57"/>
      <c r="N600" s="57"/>
    </row>
    <row r="601" spans="2:14" ht="12" x14ac:dyDescent="0.2">
      <c r="B601" s="56"/>
      <c r="C601" s="58"/>
      <c r="D601" s="58"/>
      <c r="E601" s="58"/>
      <c r="F601" s="58"/>
      <c r="G601" s="58"/>
      <c r="I601" s="56"/>
      <c r="J601" s="58"/>
      <c r="K601" s="58"/>
      <c r="L601" s="58"/>
      <c r="M601" s="58"/>
      <c r="N601" s="58"/>
    </row>
    <row r="602" spans="2:14" ht="12" x14ac:dyDescent="0.2">
      <c r="B602" s="55"/>
      <c r="C602" s="57"/>
      <c r="D602" s="57"/>
      <c r="E602" s="57"/>
      <c r="F602" s="57"/>
      <c r="G602" s="57"/>
      <c r="I602" s="55"/>
      <c r="J602" s="57"/>
      <c r="K602" s="57"/>
      <c r="L602" s="57"/>
      <c r="M602" s="57"/>
      <c r="N602" s="57"/>
    </row>
    <row r="603" spans="2:14" ht="12" x14ac:dyDescent="0.2">
      <c r="B603" s="56"/>
      <c r="C603" s="58"/>
      <c r="D603" s="58"/>
      <c r="E603" s="58"/>
      <c r="F603" s="58"/>
      <c r="G603" s="58"/>
      <c r="I603" s="56"/>
      <c r="J603" s="58"/>
      <c r="K603" s="58"/>
      <c r="L603" s="58"/>
      <c r="M603" s="58"/>
      <c r="N603" s="58"/>
    </row>
    <row r="604" spans="2:14" ht="12" x14ac:dyDescent="0.2">
      <c r="B604" s="55"/>
      <c r="C604" s="57"/>
      <c r="D604" s="57"/>
      <c r="E604" s="57"/>
      <c r="F604" s="57"/>
      <c r="G604" s="57"/>
      <c r="I604" s="55"/>
      <c r="J604" s="57"/>
      <c r="K604" s="57"/>
      <c r="L604" s="57"/>
      <c r="M604" s="57"/>
      <c r="N604" s="57"/>
    </row>
    <row r="605" spans="2:14" ht="12" x14ac:dyDescent="0.2">
      <c r="B605" s="56"/>
      <c r="C605" s="58"/>
      <c r="D605" s="58"/>
      <c r="E605" s="58"/>
      <c r="F605" s="58"/>
      <c r="G605" s="58"/>
      <c r="I605" s="56"/>
      <c r="J605" s="58"/>
      <c r="K605" s="58"/>
      <c r="L605" s="58"/>
      <c r="M605" s="58"/>
      <c r="N605" s="58"/>
    </row>
    <row r="606" spans="2:14" ht="12" x14ac:dyDescent="0.2">
      <c r="B606" s="55"/>
      <c r="C606" s="57"/>
      <c r="D606" s="57"/>
      <c r="E606" s="57"/>
      <c r="F606" s="57"/>
      <c r="G606" s="57"/>
      <c r="I606" s="55"/>
      <c r="J606" s="57"/>
      <c r="K606" s="57"/>
      <c r="L606" s="57"/>
      <c r="M606" s="57"/>
      <c r="N606" s="57"/>
    </row>
    <row r="607" spans="2:14" ht="12" x14ac:dyDescent="0.2">
      <c r="B607" s="56"/>
      <c r="C607" s="58"/>
      <c r="D607" s="58"/>
      <c r="E607" s="58"/>
      <c r="F607" s="58"/>
      <c r="G607" s="58"/>
      <c r="I607" s="56"/>
      <c r="J607" s="58"/>
      <c r="K607" s="58"/>
      <c r="L607" s="58"/>
      <c r="M607" s="58"/>
      <c r="N607" s="58"/>
    </row>
    <row r="608" spans="2:14" ht="12" x14ac:dyDescent="0.2">
      <c r="B608" s="55"/>
      <c r="C608" s="57"/>
      <c r="D608" s="57"/>
      <c r="E608" s="57"/>
      <c r="F608" s="57"/>
      <c r="G608" s="57"/>
      <c r="I608" s="55"/>
      <c r="J608" s="57"/>
      <c r="K608" s="57"/>
      <c r="L608" s="57"/>
      <c r="M608" s="57"/>
      <c r="N608" s="57"/>
    </row>
    <row r="609" spans="2:14" ht="12" x14ac:dyDescent="0.2">
      <c r="B609" s="56"/>
      <c r="C609" s="58"/>
      <c r="D609" s="58"/>
      <c r="E609" s="58"/>
      <c r="F609" s="58"/>
      <c r="G609" s="58"/>
      <c r="I609" s="56"/>
      <c r="J609" s="58"/>
      <c r="K609" s="58"/>
      <c r="L609" s="58"/>
      <c r="M609" s="58"/>
      <c r="N609" s="58"/>
    </row>
    <row r="610" spans="2:14" ht="12" x14ac:dyDescent="0.2">
      <c r="B610" s="55"/>
      <c r="C610" s="57"/>
      <c r="D610" s="57"/>
      <c r="E610" s="57"/>
      <c r="F610" s="57"/>
      <c r="G610" s="57"/>
      <c r="I610" s="55"/>
      <c r="J610" s="57"/>
      <c r="K610" s="57"/>
      <c r="L610" s="57"/>
      <c r="M610" s="57"/>
      <c r="N610" s="57"/>
    </row>
    <row r="611" spans="2:14" ht="12" x14ac:dyDescent="0.2">
      <c r="B611" s="56"/>
      <c r="C611" s="58"/>
      <c r="D611" s="58"/>
      <c r="E611" s="58"/>
      <c r="F611" s="58"/>
      <c r="G611" s="58"/>
      <c r="I611" s="56"/>
      <c r="J611" s="58"/>
      <c r="K611" s="58"/>
      <c r="L611" s="58"/>
      <c r="M611" s="58"/>
      <c r="N611" s="58"/>
    </row>
    <row r="612" spans="2:14" ht="12" x14ac:dyDescent="0.2">
      <c r="B612" s="55"/>
      <c r="C612" s="57"/>
      <c r="D612" s="57"/>
      <c r="E612" s="57"/>
      <c r="F612" s="57"/>
      <c r="G612" s="57"/>
      <c r="I612" s="55"/>
      <c r="J612" s="57"/>
      <c r="K612" s="57"/>
      <c r="L612" s="57"/>
      <c r="M612" s="57"/>
      <c r="N612" s="57"/>
    </row>
    <row r="613" spans="2:14" ht="12" x14ac:dyDescent="0.2">
      <c r="B613" s="56"/>
      <c r="C613" s="58"/>
      <c r="D613" s="58"/>
      <c r="E613" s="58"/>
      <c r="F613" s="58"/>
      <c r="G613" s="58"/>
      <c r="I613" s="56"/>
      <c r="J613" s="58"/>
      <c r="K613" s="58"/>
      <c r="L613" s="58"/>
      <c r="M613" s="58"/>
      <c r="N613" s="58"/>
    </row>
    <row r="614" spans="2:14" ht="12" x14ac:dyDescent="0.2">
      <c r="B614" s="55"/>
      <c r="C614" s="57"/>
      <c r="D614" s="57"/>
      <c r="E614" s="57"/>
      <c r="F614" s="57"/>
      <c r="G614" s="57"/>
      <c r="I614" s="55"/>
      <c r="J614" s="57"/>
      <c r="K614" s="57"/>
      <c r="L614" s="57"/>
      <c r="M614" s="57"/>
      <c r="N614" s="57"/>
    </row>
    <row r="615" spans="2:14" ht="12" x14ac:dyDescent="0.2">
      <c r="B615" s="56"/>
      <c r="C615" s="58"/>
      <c r="D615" s="58"/>
      <c r="E615" s="58"/>
      <c r="F615" s="58"/>
      <c r="G615" s="58"/>
      <c r="I615" s="56"/>
      <c r="J615" s="58"/>
      <c r="K615" s="58"/>
      <c r="L615" s="58"/>
      <c r="M615" s="58"/>
      <c r="N615" s="58"/>
    </row>
    <row r="616" spans="2:14" ht="12" x14ac:dyDescent="0.2">
      <c r="B616" s="55"/>
      <c r="C616" s="57"/>
      <c r="D616" s="57"/>
      <c r="E616" s="57"/>
      <c r="F616" s="57"/>
      <c r="G616" s="57"/>
      <c r="I616" s="55"/>
      <c r="J616" s="57"/>
      <c r="K616" s="57"/>
      <c r="L616" s="57"/>
      <c r="M616" s="57"/>
      <c r="N616" s="57"/>
    </row>
    <row r="617" spans="2:14" ht="12" x14ac:dyDescent="0.2">
      <c r="B617" s="56"/>
      <c r="C617" s="58"/>
      <c r="D617" s="58"/>
      <c r="E617" s="58"/>
      <c r="F617" s="58"/>
      <c r="G617" s="58"/>
      <c r="I617" s="56"/>
      <c r="J617" s="58"/>
      <c r="K617" s="58"/>
      <c r="L617" s="58"/>
      <c r="M617" s="58"/>
      <c r="N617" s="58"/>
    </row>
    <row r="618" spans="2:14" ht="12" x14ac:dyDescent="0.2">
      <c r="B618" s="55"/>
      <c r="C618" s="57"/>
      <c r="D618" s="57"/>
      <c r="E618" s="57"/>
      <c r="F618" s="57"/>
      <c r="G618" s="57"/>
      <c r="I618" s="55"/>
      <c r="J618" s="57"/>
      <c r="K618" s="57"/>
      <c r="L618" s="57"/>
      <c r="M618" s="57"/>
      <c r="N618" s="57"/>
    </row>
    <row r="619" spans="2:14" ht="12" x14ac:dyDescent="0.2">
      <c r="B619" s="56"/>
      <c r="C619" s="58"/>
      <c r="D619" s="58"/>
      <c r="E619" s="58"/>
      <c r="F619" s="58"/>
      <c r="G619" s="58"/>
      <c r="I619" s="56"/>
      <c r="J619" s="58"/>
      <c r="K619" s="58"/>
      <c r="L619" s="58"/>
      <c r="M619" s="58"/>
      <c r="N619" s="58"/>
    </row>
    <row r="620" spans="2:14" ht="12" x14ac:dyDescent="0.2">
      <c r="B620" s="55"/>
      <c r="C620" s="57"/>
      <c r="D620" s="57"/>
      <c r="E620" s="57"/>
      <c r="F620" s="57"/>
      <c r="G620" s="57"/>
      <c r="I620" s="55"/>
      <c r="J620" s="57"/>
      <c r="K620" s="57"/>
      <c r="L620" s="57"/>
      <c r="M620" s="57"/>
      <c r="N620" s="57"/>
    </row>
    <row r="621" spans="2:14" ht="12" x14ac:dyDescent="0.2">
      <c r="B621" s="56"/>
      <c r="C621" s="58"/>
      <c r="D621" s="58"/>
      <c r="E621" s="58"/>
      <c r="F621" s="58"/>
      <c r="G621" s="58"/>
      <c r="I621" s="56"/>
      <c r="J621" s="58"/>
      <c r="K621" s="58"/>
      <c r="L621" s="58"/>
      <c r="M621" s="58"/>
      <c r="N621" s="58"/>
    </row>
    <row r="622" spans="2:14" ht="12" x14ac:dyDescent="0.2">
      <c r="B622" s="55"/>
      <c r="C622" s="57"/>
      <c r="D622" s="57"/>
      <c r="E622" s="57"/>
      <c r="F622" s="57"/>
      <c r="G622" s="57"/>
      <c r="I622" s="55"/>
      <c r="J622" s="57"/>
      <c r="K622" s="57"/>
      <c r="L622" s="57"/>
      <c r="M622" s="57"/>
      <c r="N622" s="57"/>
    </row>
    <row r="623" spans="2:14" ht="12" x14ac:dyDescent="0.2">
      <c r="B623" s="56"/>
      <c r="C623" s="58"/>
      <c r="D623" s="58"/>
      <c r="E623" s="58"/>
      <c r="F623" s="58"/>
      <c r="G623" s="58"/>
      <c r="I623" s="56"/>
      <c r="J623" s="58"/>
      <c r="K623" s="58"/>
      <c r="L623" s="58"/>
      <c r="M623" s="58"/>
      <c r="N623" s="58"/>
    </row>
    <row r="624" spans="2:14" ht="12" x14ac:dyDescent="0.2">
      <c r="B624" s="55"/>
      <c r="C624" s="57"/>
      <c r="D624" s="57"/>
      <c r="E624" s="57"/>
      <c r="F624" s="57"/>
      <c r="G624" s="57"/>
      <c r="I624" s="55"/>
      <c r="J624" s="57"/>
      <c r="K624" s="57"/>
      <c r="L624" s="57"/>
      <c r="M624" s="57"/>
      <c r="N624" s="57"/>
    </row>
    <row r="625" spans="2:14" ht="12" x14ac:dyDescent="0.2">
      <c r="B625" s="56"/>
      <c r="C625" s="58"/>
      <c r="D625" s="58"/>
      <c r="E625" s="58"/>
      <c r="F625" s="58"/>
      <c r="G625" s="58"/>
      <c r="I625" s="56"/>
      <c r="J625" s="58"/>
      <c r="K625" s="58"/>
      <c r="L625" s="58"/>
      <c r="M625" s="58"/>
      <c r="N625" s="58"/>
    </row>
    <row r="626" spans="2:14" ht="12" x14ac:dyDescent="0.2">
      <c r="B626" s="55"/>
      <c r="C626" s="57"/>
      <c r="D626" s="57"/>
      <c r="E626" s="57"/>
      <c r="F626" s="57"/>
      <c r="G626" s="57"/>
      <c r="I626" s="55"/>
      <c r="J626" s="57"/>
      <c r="K626" s="57"/>
      <c r="L626" s="57"/>
      <c r="M626" s="57"/>
      <c r="N626" s="57"/>
    </row>
    <row r="627" spans="2:14" ht="12" x14ac:dyDescent="0.2">
      <c r="B627" s="56"/>
      <c r="C627" s="58"/>
      <c r="D627" s="58"/>
      <c r="E627" s="58"/>
      <c r="F627" s="58"/>
      <c r="G627" s="58"/>
      <c r="I627" s="56"/>
      <c r="J627" s="58"/>
      <c r="K627" s="58"/>
      <c r="L627" s="58"/>
      <c r="M627" s="58"/>
      <c r="N627" s="58"/>
    </row>
    <row r="628" spans="2:14" ht="12" x14ac:dyDescent="0.2">
      <c r="B628" s="55"/>
      <c r="C628" s="57"/>
      <c r="D628" s="57"/>
      <c r="E628" s="57"/>
      <c r="F628" s="57"/>
      <c r="G628" s="57"/>
      <c r="I628" s="55"/>
      <c r="J628" s="57"/>
      <c r="K628" s="57"/>
      <c r="L628" s="57"/>
      <c r="M628" s="57"/>
      <c r="N628" s="57"/>
    </row>
    <row r="629" spans="2:14" ht="12" x14ac:dyDescent="0.2">
      <c r="B629" s="56"/>
      <c r="C629" s="58"/>
      <c r="D629" s="58"/>
      <c r="E629" s="58"/>
      <c r="F629" s="58"/>
      <c r="G629" s="58"/>
      <c r="I629" s="56"/>
      <c r="J629" s="58"/>
      <c r="K629" s="58"/>
      <c r="L629" s="58"/>
      <c r="M629" s="58"/>
      <c r="N629" s="58"/>
    </row>
    <row r="630" spans="2:14" ht="12" x14ac:dyDescent="0.2">
      <c r="B630" s="55"/>
      <c r="C630" s="57"/>
      <c r="D630" s="57"/>
      <c r="E630" s="57"/>
      <c r="F630" s="57"/>
      <c r="G630" s="57"/>
      <c r="I630" s="55"/>
      <c r="J630" s="57"/>
      <c r="K630" s="57"/>
      <c r="L630" s="57"/>
      <c r="M630" s="57"/>
      <c r="N630" s="57"/>
    </row>
    <row r="631" spans="2:14" ht="12" x14ac:dyDescent="0.2">
      <c r="B631" s="56"/>
      <c r="C631" s="58"/>
      <c r="D631" s="58"/>
      <c r="E631" s="58"/>
      <c r="F631" s="58"/>
      <c r="G631" s="58"/>
      <c r="I631" s="56"/>
      <c r="J631" s="58"/>
      <c r="K631" s="58"/>
      <c r="L631" s="58"/>
      <c r="M631" s="58"/>
      <c r="N631" s="58"/>
    </row>
    <row r="632" spans="2:14" ht="12" x14ac:dyDescent="0.2">
      <c r="B632" s="55"/>
      <c r="C632" s="57"/>
      <c r="D632" s="57"/>
      <c r="E632" s="57"/>
      <c r="F632" s="57"/>
      <c r="G632" s="57"/>
      <c r="I632" s="55"/>
      <c r="J632" s="57"/>
      <c r="K632" s="57"/>
      <c r="L632" s="57"/>
      <c r="M632" s="57"/>
      <c r="N632" s="57"/>
    </row>
    <row r="633" spans="2:14" ht="12" x14ac:dyDescent="0.2">
      <c r="B633" s="56"/>
      <c r="C633" s="58"/>
      <c r="D633" s="58"/>
      <c r="E633" s="58"/>
      <c r="F633" s="58"/>
      <c r="G633" s="58"/>
      <c r="I633" s="56"/>
      <c r="J633" s="58"/>
      <c r="K633" s="58"/>
      <c r="L633" s="58"/>
      <c r="M633" s="58"/>
      <c r="N633" s="58"/>
    </row>
    <row r="634" spans="2:14" ht="12" x14ac:dyDescent="0.2">
      <c r="B634" s="55"/>
      <c r="C634" s="57"/>
      <c r="D634" s="57"/>
      <c r="E634" s="57"/>
      <c r="F634" s="57"/>
      <c r="G634" s="57"/>
      <c r="I634" s="55"/>
      <c r="J634" s="57"/>
      <c r="K634" s="57"/>
      <c r="L634" s="57"/>
      <c r="M634" s="57"/>
      <c r="N634" s="57"/>
    </row>
    <row r="635" spans="2:14" ht="12" x14ac:dyDescent="0.2">
      <c r="B635" s="56"/>
      <c r="C635" s="58"/>
      <c r="D635" s="58"/>
      <c r="E635" s="58"/>
      <c r="F635" s="58"/>
      <c r="G635" s="58"/>
      <c r="I635" s="56"/>
      <c r="J635" s="58"/>
      <c r="K635" s="58"/>
      <c r="L635" s="58"/>
      <c r="M635" s="58"/>
      <c r="N635" s="58"/>
    </row>
    <row r="636" spans="2:14" ht="12" x14ac:dyDescent="0.2">
      <c r="B636" s="55"/>
      <c r="C636" s="57"/>
      <c r="D636" s="57"/>
      <c r="E636" s="57"/>
      <c r="F636" s="57"/>
      <c r="G636" s="57"/>
      <c r="I636" s="55"/>
      <c r="J636" s="57"/>
      <c r="K636" s="57"/>
      <c r="L636" s="57"/>
      <c r="M636" s="57"/>
      <c r="N636" s="57"/>
    </row>
    <row r="637" spans="2:14" ht="12" x14ac:dyDescent="0.2">
      <c r="B637" s="56"/>
      <c r="C637" s="58"/>
      <c r="D637" s="58"/>
      <c r="E637" s="58"/>
      <c r="F637" s="58"/>
      <c r="G637" s="58"/>
      <c r="I637" s="56"/>
      <c r="J637" s="58"/>
      <c r="K637" s="58"/>
      <c r="L637" s="58"/>
      <c r="M637" s="58"/>
      <c r="N637" s="58"/>
    </row>
    <row r="638" spans="2:14" ht="12" x14ac:dyDescent="0.2">
      <c r="B638" s="55"/>
      <c r="C638" s="57"/>
      <c r="D638" s="57"/>
      <c r="E638" s="57"/>
      <c r="F638" s="57"/>
      <c r="G638" s="57"/>
      <c r="I638" s="55"/>
      <c r="J638" s="57"/>
      <c r="K638" s="57"/>
      <c r="L638" s="57"/>
      <c r="M638" s="57"/>
      <c r="N638" s="57"/>
    </row>
    <row r="639" spans="2:14" ht="12" x14ac:dyDescent="0.2">
      <c r="B639" s="56"/>
      <c r="C639" s="58"/>
      <c r="D639" s="58"/>
      <c r="E639" s="58"/>
      <c r="F639" s="58"/>
      <c r="G639" s="58"/>
      <c r="I639" s="56"/>
      <c r="J639" s="58"/>
      <c r="K639" s="58"/>
      <c r="L639" s="58"/>
      <c r="M639" s="58"/>
      <c r="N639" s="58"/>
    </row>
    <row r="640" spans="2:14" ht="12" x14ac:dyDescent="0.2">
      <c r="B640" s="55"/>
      <c r="C640" s="57"/>
      <c r="D640" s="57"/>
      <c r="E640" s="57"/>
      <c r="F640" s="57"/>
      <c r="G640" s="57"/>
      <c r="I640" s="55"/>
      <c r="J640" s="57"/>
      <c r="K640" s="57"/>
      <c r="L640" s="57"/>
      <c r="M640" s="57"/>
      <c r="N640" s="57"/>
    </row>
    <row r="641" spans="2:14" ht="12" x14ac:dyDescent="0.2">
      <c r="B641" s="56"/>
      <c r="C641" s="58"/>
      <c r="D641" s="58"/>
      <c r="E641" s="58"/>
      <c r="F641" s="58"/>
      <c r="G641" s="58"/>
      <c r="I641" s="56"/>
      <c r="J641" s="58"/>
      <c r="K641" s="58"/>
      <c r="L641" s="58"/>
      <c r="M641" s="58"/>
      <c r="N641" s="58"/>
    </row>
    <row r="642" spans="2:14" ht="12" x14ac:dyDescent="0.2">
      <c r="B642" s="55"/>
      <c r="C642" s="57"/>
      <c r="D642" s="57"/>
      <c r="E642" s="57"/>
      <c r="F642" s="57"/>
      <c r="G642" s="57"/>
      <c r="I642" s="55"/>
      <c r="J642" s="57"/>
      <c r="K642" s="57"/>
      <c r="L642" s="57"/>
      <c r="M642" s="57"/>
      <c r="N642" s="57"/>
    </row>
    <row r="643" spans="2:14" ht="12" x14ac:dyDescent="0.2">
      <c r="B643" s="56"/>
      <c r="C643" s="58"/>
      <c r="D643" s="58"/>
      <c r="E643" s="58"/>
      <c r="F643" s="58"/>
      <c r="G643" s="58"/>
      <c r="I643" s="56"/>
      <c r="J643" s="58"/>
      <c r="K643" s="58"/>
      <c r="L643" s="58"/>
      <c r="M643" s="58"/>
      <c r="N643" s="58"/>
    </row>
    <row r="644" spans="2:14" ht="12" x14ac:dyDescent="0.2">
      <c r="B644" s="55"/>
      <c r="C644" s="57"/>
      <c r="D644" s="57"/>
      <c r="E644" s="57"/>
      <c r="F644" s="57"/>
      <c r="G644" s="57"/>
      <c r="I644" s="55"/>
      <c r="J644" s="57"/>
      <c r="K644" s="57"/>
      <c r="L644" s="57"/>
      <c r="M644" s="57"/>
      <c r="N644" s="57"/>
    </row>
    <row r="645" spans="2:14" ht="12" x14ac:dyDescent="0.2">
      <c r="B645" s="56"/>
      <c r="C645" s="58"/>
      <c r="D645" s="58"/>
      <c r="E645" s="58"/>
      <c r="F645" s="58"/>
      <c r="G645" s="58"/>
      <c r="I645" s="56"/>
      <c r="J645" s="58"/>
      <c r="K645" s="58"/>
      <c r="L645" s="58"/>
      <c r="M645" s="58"/>
      <c r="N645" s="58"/>
    </row>
    <row r="646" spans="2:14" ht="12" x14ac:dyDescent="0.2">
      <c r="B646" s="55"/>
      <c r="C646" s="57"/>
      <c r="D646" s="57"/>
      <c r="E646" s="57"/>
      <c r="F646" s="57"/>
      <c r="G646" s="57"/>
      <c r="I646" s="55"/>
      <c r="J646" s="57"/>
      <c r="K646" s="57"/>
      <c r="L646" s="57"/>
      <c r="M646" s="57"/>
      <c r="N646" s="57"/>
    </row>
    <row r="647" spans="2:14" ht="12" x14ac:dyDescent="0.2">
      <c r="B647" s="56"/>
      <c r="C647" s="58"/>
      <c r="D647" s="58"/>
      <c r="E647" s="58"/>
      <c r="F647" s="58"/>
      <c r="G647" s="58"/>
      <c r="I647" s="56"/>
      <c r="J647" s="58"/>
      <c r="K647" s="58"/>
      <c r="L647" s="58"/>
      <c r="M647" s="58"/>
      <c r="N647" s="58"/>
    </row>
    <row r="648" spans="2:14" ht="12" x14ac:dyDescent="0.2">
      <c r="B648" s="55"/>
      <c r="C648" s="57"/>
      <c r="D648" s="57"/>
      <c r="E648" s="57"/>
      <c r="F648" s="57"/>
      <c r="G648" s="57"/>
      <c r="I648" s="55"/>
      <c r="J648" s="57"/>
      <c r="K648" s="57"/>
      <c r="L648" s="57"/>
      <c r="M648" s="57"/>
      <c r="N648" s="57"/>
    </row>
    <row r="649" spans="2:14" ht="12" x14ac:dyDescent="0.2">
      <c r="B649" s="56"/>
      <c r="C649" s="58"/>
      <c r="D649" s="58"/>
      <c r="E649" s="58"/>
      <c r="F649" s="58"/>
      <c r="G649" s="58"/>
      <c r="I649" s="56"/>
      <c r="J649" s="58"/>
      <c r="K649" s="58"/>
      <c r="L649" s="58"/>
      <c r="M649" s="58"/>
      <c r="N649" s="58"/>
    </row>
    <row r="650" spans="2:14" ht="12" x14ac:dyDescent="0.2">
      <c r="B650" s="55"/>
      <c r="C650" s="57"/>
      <c r="D650" s="57"/>
      <c r="E650" s="57"/>
      <c r="F650" s="57"/>
      <c r="G650" s="57"/>
      <c r="I650" s="55"/>
      <c r="J650" s="57"/>
      <c r="K650" s="57"/>
      <c r="L650" s="57"/>
      <c r="M650" s="57"/>
      <c r="N650" s="57"/>
    </row>
    <row r="651" spans="2:14" ht="12" x14ac:dyDescent="0.2">
      <c r="B651" s="56"/>
      <c r="C651" s="58"/>
      <c r="D651" s="58"/>
      <c r="E651" s="58"/>
      <c r="F651" s="58"/>
      <c r="G651" s="58"/>
      <c r="I651" s="56"/>
      <c r="J651" s="58"/>
      <c r="K651" s="58"/>
      <c r="L651" s="58"/>
      <c r="M651" s="58"/>
      <c r="N651" s="58"/>
    </row>
    <row r="652" spans="2:14" ht="12" x14ac:dyDescent="0.2">
      <c r="B652" s="55"/>
      <c r="C652" s="57"/>
      <c r="D652" s="57"/>
      <c r="E652" s="57"/>
      <c r="F652" s="57"/>
      <c r="G652" s="57"/>
      <c r="I652" s="55"/>
      <c r="J652" s="57"/>
      <c r="K652" s="57"/>
      <c r="L652" s="57"/>
      <c r="M652" s="57"/>
      <c r="N652" s="57"/>
    </row>
    <row r="653" spans="2:14" ht="12" x14ac:dyDescent="0.2">
      <c r="B653" s="56"/>
      <c r="C653" s="58"/>
      <c r="D653" s="58"/>
      <c r="E653" s="58"/>
      <c r="F653" s="58"/>
      <c r="G653" s="58"/>
      <c r="I653" s="56"/>
      <c r="J653" s="58"/>
      <c r="K653" s="58"/>
      <c r="L653" s="58"/>
      <c r="M653" s="58"/>
      <c r="N653" s="58"/>
    </row>
    <row r="654" spans="2:14" ht="12" x14ac:dyDescent="0.2">
      <c r="B654" s="55"/>
      <c r="C654" s="57"/>
      <c r="D654" s="57"/>
      <c r="E654" s="57"/>
      <c r="F654" s="57"/>
      <c r="G654" s="57"/>
      <c r="I654" s="55"/>
      <c r="J654" s="57"/>
      <c r="K654" s="57"/>
      <c r="L654" s="57"/>
      <c r="M654" s="57"/>
      <c r="N654" s="57"/>
    </row>
    <row r="655" spans="2:14" ht="12" x14ac:dyDescent="0.2">
      <c r="B655" s="56"/>
      <c r="C655" s="58"/>
      <c r="D655" s="58"/>
      <c r="E655" s="58"/>
      <c r="F655" s="58"/>
      <c r="G655" s="58"/>
      <c r="I655" s="56"/>
      <c r="J655" s="58"/>
      <c r="K655" s="58"/>
      <c r="L655" s="58"/>
      <c r="M655" s="58"/>
      <c r="N655" s="58"/>
    </row>
    <row r="656" spans="2:14" ht="12" x14ac:dyDescent="0.2">
      <c r="B656" s="55"/>
      <c r="C656" s="57"/>
      <c r="D656" s="57"/>
      <c r="E656" s="57"/>
      <c r="F656" s="57"/>
      <c r="G656" s="57"/>
      <c r="I656" s="55"/>
      <c r="J656" s="57"/>
      <c r="K656" s="57"/>
      <c r="L656" s="57"/>
      <c r="M656" s="57"/>
      <c r="N656" s="57"/>
    </row>
    <row r="657" spans="2:14" ht="12" x14ac:dyDescent="0.2">
      <c r="B657" s="56"/>
      <c r="C657" s="58"/>
      <c r="D657" s="58"/>
      <c r="E657" s="58"/>
      <c r="F657" s="58"/>
      <c r="G657" s="58"/>
      <c r="I657" s="56"/>
      <c r="J657" s="58"/>
      <c r="K657" s="58"/>
      <c r="L657" s="58"/>
      <c r="M657" s="58"/>
      <c r="N657" s="58"/>
    </row>
    <row r="658" spans="2:14" ht="12" x14ac:dyDescent="0.2">
      <c r="B658" s="55"/>
      <c r="C658" s="57"/>
      <c r="D658" s="57"/>
      <c r="E658" s="57"/>
      <c r="F658" s="57"/>
      <c r="G658" s="57"/>
      <c r="I658" s="55"/>
      <c r="J658" s="57"/>
      <c r="K658" s="57"/>
      <c r="L658" s="57"/>
      <c r="M658" s="57"/>
      <c r="N658" s="57"/>
    </row>
    <row r="659" spans="2:14" ht="12" x14ac:dyDescent="0.2">
      <c r="B659" s="56"/>
      <c r="C659" s="58"/>
      <c r="D659" s="58"/>
      <c r="E659" s="58"/>
      <c r="F659" s="58"/>
      <c r="G659" s="58"/>
      <c r="I659" s="56"/>
      <c r="J659" s="58"/>
      <c r="K659" s="58"/>
      <c r="L659" s="58"/>
      <c r="M659" s="58"/>
      <c r="N659" s="58"/>
    </row>
    <row r="660" spans="2:14" ht="12" x14ac:dyDescent="0.2">
      <c r="B660" s="55"/>
      <c r="C660" s="57"/>
      <c r="D660" s="57"/>
      <c r="E660" s="57"/>
      <c r="F660" s="57"/>
      <c r="G660" s="57"/>
      <c r="I660" s="55"/>
      <c r="J660" s="57"/>
      <c r="K660" s="57"/>
      <c r="L660" s="57"/>
      <c r="M660" s="57"/>
      <c r="N660" s="57"/>
    </row>
    <row r="661" spans="2:14" ht="12" x14ac:dyDescent="0.2">
      <c r="B661" s="56"/>
      <c r="C661" s="58"/>
      <c r="D661" s="58"/>
      <c r="E661" s="58"/>
      <c r="F661" s="58"/>
      <c r="G661" s="58"/>
      <c r="I661" s="56"/>
      <c r="J661" s="58"/>
      <c r="K661" s="58"/>
      <c r="L661" s="58"/>
      <c r="M661" s="58"/>
      <c r="N661" s="58"/>
    </row>
    <row r="662" spans="2:14" ht="12" x14ac:dyDescent="0.2">
      <c r="B662" s="55"/>
      <c r="C662" s="57"/>
      <c r="D662" s="57"/>
      <c r="E662" s="57"/>
      <c r="F662" s="57"/>
      <c r="G662" s="57"/>
      <c r="I662" s="55"/>
      <c r="J662" s="57"/>
      <c r="K662" s="57"/>
      <c r="L662" s="57"/>
      <c r="M662" s="57"/>
      <c r="N662" s="57"/>
    </row>
    <row r="663" spans="2:14" ht="12" x14ac:dyDescent="0.2">
      <c r="B663" s="56"/>
      <c r="C663" s="58"/>
      <c r="D663" s="58"/>
      <c r="E663" s="58"/>
      <c r="F663" s="58"/>
      <c r="G663" s="58"/>
      <c r="I663" s="56"/>
      <c r="J663" s="58"/>
      <c r="K663" s="58"/>
      <c r="L663" s="58"/>
      <c r="M663" s="58"/>
      <c r="N663" s="58"/>
    </row>
    <row r="664" spans="2:14" ht="12" x14ac:dyDescent="0.2">
      <c r="B664" s="55"/>
      <c r="C664" s="57"/>
      <c r="D664" s="57"/>
      <c r="E664" s="57"/>
      <c r="F664" s="57"/>
      <c r="G664" s="57"/>
      <c r="I664" s="55"/>
      <c r="J664" s="57"/>
      <c r="K664" s="57"/>
      <c r="L664" s="57"/>
      <c r="M664" s="57"/>
      <c r="N664" s="57"/>
    </row>
    <row r="665" spans="2:14" ht="12" x14ac:dyDescent="0.2">
      <c r="B665" s="56"/>
      <c r="C665" s="58"/>
      <c r="D665" s="58"/>
      <c r="E665" s="58"/>
      <c r="F665" s="58"/>
      <c r="G665" s="58"/>
      <c r="I665" s="56"/>
      <c r="J665" s="58"/>
      <c r="K665" s="58"/>
      <c r="L665" s="58"/>
      <c r="M665" s="58"/>
      <c r="N665" s="58"/>
    </row>
    <row r="666" spans="2:14" ht="12" x14ac:dyDescent="0.2">
      <c r="B666" s="55"/>
      <c r="C666" s="57"/>
      <c r="D666" s="57"/>
      <c r="E666" s="57"/>
      <c r="F666" s="57"/>
      <c r="G666" s="57"/>
      <c r="I666" s="55"/>
      <c r="J666" s="57"/>
      <c r="K666" s="57"/>
      <c r="L666" s="57"/>
      <c r="M666" s="57"/>
      <c r="N666" s="57"/>
    </row>
    <row r="667" spans="2:14" ht="12" x14ac:dyDescent="0.2">
      <c r="B667" s="56"/>
      <c r="C667" s="58"/>
      <c r="D667" s="58"/>
      <c r="E667" s="58"/>
      <c r="F667" s="58"/>
      <c r="G667" s="58"/>
      <c r="I667" s="56"/>
      <c r="J667" s="58"/>
      <c r="K667" s="58"/>
      <c r="L667" s="58"/>
      <c r="M667" s="58"/>
      <c r="N667" s="58"/>
    </row>
    <row r="668" spans="2:14" ht="12" x14ac:dyDescent="0.2">
      <c r="B668" s="55"/>
      <c r="C668" s="57"/>
      <c r="D668" s="57"/>
      <c r="E668" s="57"/>
      <c r="F668" s="57"/>
      <c r="G668" s="57"/>
      <c r="I668" s="55"/>
      <c r="J668" s="57"/>
      <c r="K668" s="57"/>
      <c r="L668" s="57"/>
      <c r="M668" s="57"/>
      <c r="N668" s="57"/>
    </row>
    <row r="669" spans="2:14" ht="12" x14ac:dyDescent="0.2">
      <c r="B669" s="56"/>
      <c r="C669" s="58"/>
      <c r="D669" s="58"/>
      <c r="E669" s="58"/>
      <c r="F669" s="58"/>
      <c r="G669" s="58"/>
      <c r="I669" s="56"/>
      <c r="J669" s="58"/>
      <c r="K669" s="58"/>
      <c r="L669" s="58"/>
      <c r="M669" s="58"/>
      <c r="N669" s="58"/>
    </row>
    <row r="670" spans="2:14" ht="12" x14ac:dyDescent="0.2">
      <c r="B670" s="55"/>
      <c r="C670" s="57"/>
      <c r="D670" s="57"/>
      <c r="E670" s="57"/>
      <c r="F670" s="57"/>
      <c r="G670" s="57"/>
      <c r="I670" s="55"/>
      <c r="J670" s="57"/>
      <c r="K670" s="57"/>
      <c r="L670" s="57"/>
      <c r="M670" s="57"/>
      <c r="N670" s="57"/>
    </row>
    <row r="671" spans="2:14" ht="12" x14ac:dyDescent="0.2">
      <c r="B671" s="56"/>
      <c r="C671" s="58"/>
      <c r="D671" s="58"/>
      <c r="E671" s="58"/>
      <c r="F671" s="58"/>
      <c r="G671" s="58"/>
      <c r="I671" s="56"/>
      <c r="J671" s="58"/>
      <c r="K671" s="58"/>
      <c r="L671" s="58"/>
      <c r="M671" s="58"/>
      <c r="N671" s="58"/>
    </row>
    <row r="672" spans="2:14" ht="12" x14ac:dyDescent="0.2">
      <c r="B672" s="55"/>
      <c r="C672" s="57"/>
      <c r="D672" s="57"/>
      <c r="E672" s="57"/>
      <c r="F672" s="57"/>
      <c r="G672" s="57"/>
      <c r="I672" s="55"/>
      <c r="J672" s="57"/>
      <c r="K672" s="57"/>
      <c r="L672" s="57"/>
      <c r="M672" s="57"/>
      <c r="N672" s="57"/>
    </row>
    <row r="673" spans="2:14" ht="12" x14ac:dyDescent="0.2">
      <c r="B673" s="56"/>
      <c r="C673" s="58"/>
      <c r="D673" s="58"/>
      <c r="E673" s="58"/>
      <c r="F673" s="58"/>
      <c r="G673" s="58"/>
      <c r="I673" s="56"/>
      <c r="J673" s="58"/>
      <c r="K673" s="58"/>
      <c r="L673" s="58"/>
      <c r="M673" s="58"/>
      <c r="N673" s="58"/>
    </row>
    <row r="674" spans="2:14" ht="12" x14ac:dyDescent="0.2">
      <c r="B674" s="55"/>
      <c r="C674" s="57"/>
      <c r="D674" s="57"/>
      <c r="E674" s="57"/>
      <c r="F674" s="57"/>
      <c r="G674" s="57"/>
      <c r="I674" s="55"/>
      <c r="J674" s="57"/>
      <c r="K674" s="57"/>
      <c r="L674" s="57"/>
      <c r="M674" s="57"/>
      <c r="N674" s="57"/>
    </row>
    <row r="675" spans="2:14" ht="12" x14ac:dyDescent="0.2">
      <c r="B675" s="56"/>
      <c r="C675" s="58"/>
      <c r="D675" s="58"/>
      <c r="E675" s="58"/>
      <c r="F675" s="58"/>
      <c r="G675" s="58"/>
      <c r="I675" s="56"/>
      <c r="J675" s="58"/>
      <c r="K675" s="58"/>
      <c r="L675" s="58"/>
      <c r="M675" s="58"/>
      <c r="N675" s="58"/>
    </row>
    <row r="676" spans="2:14" ht="12" x14ac:dyDescent="0.2">
      <c r="B676" s="55"/>
      <c r="C676" s="57"/>
      <c r="D676" s="57"/>
      <c r="E676" s="57"/>
      <c r="F676" s="57"/>
      <c r="G676" s="57"/>
      <c r="I676" s="55"/>
      <c r="J676" s="57"/>
      <c r="K676" s="57"/>
      <c r="L676" s="57"/>
      <c r="M676" s="57"/>
      <c r="N676" s="57"/>
    </row>
    <row r="677" spans="2:14" ht="12" x14ac:dyDescent="0.2">
      <c r="B677" s="56"/>
      <c r="C677" s="58"/>
      <c r="D677" s="58"/>
      <c r="E677" s="58"/>
      <c r="F677" s="58"/>
      <c r="G677" s="58"/>
      <c r="I677" s="56"/>
      <c r="J677" s="58"/>
      <c r="K677" s="58"/>
      <c r="L677" s="58"/>
      <c r="M677" s="58"/>
      <c r="N677" s="58"/>
    </row>
    <row r="678" spans="2:14" ht="12" x14ac:dyDescent="0.2">
      <c r="B678" s="55"/>
      <c r="C678" s="57"/>
      <c r="D678" s="57"/>
      <c r="E678" s="57"/>
      <c r="F678" s="57"/>
      <c r="G678" s="57"/>
      <c r="I678" s="55"/>
      <c r="J678" s="57"/>
      <c r="K678" s="57"/>
      <c r="L678" s="57"/>
      <c r="M678" s="57"/>
      <c r="N678" s="57"/>
    </row>
    <row r="679" spans="2:14" ht="12" x14ac:dyDescent="0.2">
      <c r="B679" s="56"/>
      <c r="C679" s="58"/>
      <c r="D679" s="58"/>
      <c r="E679" s="58"/>
      <c r="F679" s="58"/>
      <c r="G679" s="58"/>
      <c r="I679" s="56"/>
      <c r="J679" s="58"/>
      <c r="K679" s="58"/>
      <c r="L679" s="58"/>
      <c r="M679" s="58"/>
      <c r="N679" s="58"/>
    </row>
    <row r="680" spans="2:14" ht="12" x14ac:dyDescent="0.2">
      <c r="B680" s="55"/>
      <c r="C680" s="57"/>
      <c r="D680" s="57"/>
      <c r="E680" s="57"/>
      <c r="F680" s="57"/>
      <c r="G680" s="57"/>
      <c r="I680" s="55"/>
      <c r="J680" s="57"/>
      <c r="K680" s="57"/>
      <c r="L680" s="57"/>
      <c r="M680" s="57"/>
      <c r="N680" s="57"/>
    </row>
    <row r="681" spans="2:14" ht="12" x14ac:dyDescent="0.2">
      <c r="B681" s="56"/>
      <c r="C681" s="58"/>
      <c r="D681" s="58"/>
      <c r="E681" s="58"/>
      <c r="F681" s="58"/>
      <c r="G681" s="58"/>
      <c r="I681" s="56"/>
      <c r="J681" s="58"/>
      <c r="K681" s="58"/>
      <c r="L681" s="58"/>
      <c r="M681" s="58"/>
      <c r="N681" s="58"/>
    </row>
    <row r="682" spans="2:14" ht="12" x14ac:dyDescent="0.2">
      <c r="B682" s="55"/>
      <c r="C682" s="57"/>
      <c r="D682" s="57"/>
      <c r="E682" s="57"/>
      <c r="F682" s="57"/>
      <c r="G682" s="57"/>
      <c r="I682" s="55"/>
      <c r="J682" s="57"/>
      <c r="K682" s="57"/>
      <c r="L682" s="57"/>
      <c r="M682" s="57"/>
      <c r="N682" s="57"/>
    </row>
    <row r="683" spans="2:14" ht="12" x14ac:dyDescent="0.2">
      <c r="B683" s="56"/>
      <c r="C683" s="58"/>
      <c r="D683" s="58"/>
      <c r="E683" s="58"/>
      <c r="F683" s="58"/>
      <c r="G683" s="58"/>
      <c r="I683" s="56"/>
      <c r="J683" s="58"/>
      <c r="K683" s="58"/>
      <c r="L683" s="58"/>
      <c r="M683" s="58"/>
      <c r="N683" s="58"/>
    </row>
    <row r="684" spans="2:14" ht="12" x14ac:dyDescent="0.2">
      <c r="B684" s="55"/>
      <c r="C684" s="57"/>
      <c r="D684" s="57"/>
      <c r="E684" s="57"/>
      <c r="F684" s="57"/>
      <c r="G684" s="57"/>
      <c r="I684" s="55"/>
      <c r="J684" s="57"/>
      <c r="K684" s="57"/>
      <c r="L684" s="57"/>
      <c r="M684" s="57"/>
      <c r="N684" s="57"/>
    </row>
    <row r="685" spans="2:14" ht="12" x14ac:dyDescent="0.2">
      <c r="B685" s="56"/>
      <c r="C685" s="58"/>
      <c r="D685" s="58"/>
      <c r="E685" s="58"/>
      <c r="F685" s="58"/>
      <c r="G685" s="58"/>
      <c r="I685" s="56"/>
      <c r="J685" s="58"/>
      <c r="K685" s="58"/>
      <c r="L685" s="58"/>
      <c r="M685" s="58"/>
      <c r="N685" s="58"/>
    </row>
    <row r="686" spans="2:14" ht="12" x14ac:dyDescent="0.2">
      <c r="B686" s="55"/>
      <c r="C686" s="57"/>
      <c r="D686" s="57"/>
      <c r="E686" s="57"/>
      <c r="F686" s="57"/>
      <c r="G686" s="57"/>
      <c r="I686" s="55"/>
      <c r="J686" s="57"/>
      <c r="K686" s="57"/>
      <c r="L686" s="57"/>
      <c r="M686" s="57"/>
      <c r="N686" s="57"/>
    </row>
    <row r="687" spans="2:14" ht="12" x14ac:dyDescent="0.2">
      <c r="B687" s="56"/>
      <c r="C687" s="58"/>
      <c r="D687" s="58"/>
      <c r="E687" s="58"/>
      <c r="F687" s="58"/>
      <c r="G687" s="58"/>
      <c r="I687" s="56"/>
      <c r="J687" s="58"/>
      <c r="K687" s="58"/>
      <c r="L687" s="58"/>
      <c r="M687" s="58"/>
      <c r="N687" s="58"/>
    </row>
    <row r="688" spans="2:14" ht="12" x14ac:dyDescent="0.2">
      <c r="B688" s="55"/>
      <c r="C688" s="57"/>
      <c r="D688" s="57"/>
      <c r="E688" s="57"/>
      <c r="F688" s="57"/>
      <c r="G688" s="57"/>
      <c r="I688" s="55"/>
      <c r="J688" s="57"/>
      <c r="K688" s="57"/>
      <c r="L688" s="57"/>
      <c r="M688" s="57"/>
      <c r="N688" s="57"/>
    </row>
    <row r="689" spans="2:14" ht="12" x14ac:dyDescent="0.2">
      <c r="B689" s="56"/>
      <c r="C689" s="58"/>
      <c r="D689" s="58"/>
      <c r="E689" s="58"/>
      <c r="F689" s="58"/>
      <c r="G689" s="58"/>
      <c r="I689" s="56"/>
      <c r="J689" s="58"/>
      <c r="K689" s="58"/>
      <c r="L689" s="58"/>
      <c r="M689" s="58"/>
      <c r="N689" s="58"/>
    </row>
    <row r="690" spans="2:14" ht="12" x14ac:dyDescent="0.2">
      <c r="B690" s="55"/>
      <c r="C690" s="57"/>
      <c r="D690" s="57"/>
      <c r="E690" s="57"/>
      <c r="F690" s="57"/>
      <c r="G690" s="57"/>
      <c r="I690" s="55"/>
      <c r="J690" s="57"/>
      <c r="K690" s="57"/>
      <c r="L690" s="57"/>
      <c r="M690" s="57"/>
      <c r="N690" s="57"/>
    </row>
    <row r="691" spans="2:14" ht="12" x14ac:dyDescent="0.2">
      <c r="B691" s="56"/>
      <c r="C691" s="58"/>
      <c r="D691" s="58"/>
      <c r="E691" s="58"/>
      <c r="F691" s="58"/>
      <c r="G691" s="58"/>
      <c r="I691" s="56"/>
      <c r="J691" s="58"/>
      <c r="K691" s="58"/>
      <c r="L691" s="58"/>
      <c r="M691" s="58"/>
      <c r="N691" s="58"/>
    </row>
    <row r="692" spans="2:14" ht="12" x14ac:dyDescent="0.2">
      <c r="B692" s="55"/>
      <c r="C692" s="57"/>
      <c r="D692" s="57"/>
      <c r="E692" s="57"/>
      <c r="F692" s="57"/>
      <c r="G692" s="57"/>
      <c r="I692" s="55"/>
      <c r="J692" s="57"/>
      <c r="K692" s="57"/>
      <c r="L692" s="57"/>
      <c r="M692" s="57"/>
      <c r="N692" s="57"/>
    </row>
    <row r="693" spans="2:14" ht="12" x14ac:dyDescent="0.2">
      <c r="B693" s="56"/>
      <c r="C693" s="58"/>
      <c r="D693" s="58"/>
      <c r="E693" s="58"/>
      <c r="F693" s="58"/>
      <c r="G693" s="58"/>
      <c r="I693" s="56"/>
      <c r="J693" s="58"/>
      <c r="K693" s="58"/>
      <c r="L693" s="58"/>
      <c r="M693" s="58"/>
      <c r="N693" s="58"/>
    </row>
    <row r="694" spans="2:14" ht="12" x14ac:dyDescent="0.2">
      <c r="B694" s="55"/>
      <c r="C694" s="57"/>
      <c r="D694" s="57"/>
      <c r="E694" s="57"/>
      <c r="F694" s="57"/>
      <c r="G694" s="57"/>
      <c r="I694" s="55"/>
      <c r="J694" s="57"/>
      <c r="K694" s="57"/>
      <c r="L694" s="57"/>
      <c r="M694" s="57"/>
      <c r="N694" s="57"/>
    </row>
    <row r="695" spans="2:14" ht="12" x14ac:dyDescent="0.2">
      <c r="B695" s="56"/>
      <c r="C695" s="58"/>
      <c r="D695" s="58"/>
      <c r="E695" s="58"/>
      <c r="F695" s="58"/>
      <c r="G695" s="58"/>
      <c r="I695" s="56"/>
      <c r="J695" s="58"/>
      <c r="K695" s="58"/>
      <c r="L695" s="58"/>
      <c r="M695" s="58"/>
      <c r="N695" s="58"/>
    </row>
    <row r="696" spans="2:14" ht="12" x14ac:dyDescent="0.2">
      <c r="B696" s="55"/>
      <c r="C696" s="57"/>
      <c r="D696" s="57"/>
      <c r="E696" s="57"/>
      <c r="F696" s="57"/>
      <c r="G696" s="57"/>
      <c r="I696" s="55"/>
      <c r="J696" s="57"/>
      <c r="K696" s="57"/>
      <c r="L696" s="57"/>
      <c r="M696" s="57"/>
      <c r="N696" s="57"/>
    </row>
    <row r="697" spans="2:14" ht="12" x14ac:dyDescent="0.2">
      <c r="B697" s="56"/>
      <c r="C697" s="58"/>
      <c r="D697" s="58"/>
      <c r="E697" s="58"/>
      <c r="F697" s="58"/>
      <c r="G697" s="58"/>
      <c r="I697" s="56"/>
      <c r="J697" s="58"/>
      <c r="K697" s="58"/>
      <c r="L697" s="58"/>
      <c r="M697" s="58"/>
      <c r="N697" s="58"/>
    </row>
    <row r="698" spans="2:14" ht="12" x14ac:dyDescent="0.2">
      <c r="B698" s="55"/>
      <c r="C698" s="57"/>
      <c r="D698" s="57"/>
      <c r="E698" s="57"/>
      <c r="F698" s="57"/>
      <c r="G698" s="57"/>
      <c r="I698" s="55"/>
      <c r="J698" s="57"/>
      <c r="K698" s="57"/>
      <c r="L698" s="57"/>
      <c r="M698" s="57"/>
      <c r="N698" s="57"/>
    </row>
    <row r="699" spans="2:14" ht="12" x14ac:dyDescent="0.2">
      <c r="B699" s="56"/>
      <c r="C699" s="58"/>
      <c r="D699" s="58"/>
      <c r="E699" s="58"/>
      <c r="F699" s="58"/>
      <c r="G699" s="58"/>
      <c r="I699" s="56"/>
      <c r="J699" s="58"/>
      <c r="K699" s="58"/>
      <c r="L699" s="58"/>
      <c r="M699" s="58"/>
      <c r="N699" s="58"/>
    </row>
    <row r="700" spans="2:14" ht="12" x14ac:dyDescent="0.2">
      <c r="B700" s="55"/>
      <c r="C700" s="57"/>
      <c r="D700" s="57"/>
      <c r="E700" s="57"/>
      <c r="F700" s="57"/>
      <c r="G700" s="57"/>
      <c r="I700" s="55"/>
      <c r="J700" s="57"/>
      <c r="K700" s="57"/>
      <c r="L700" s="57"/>
      <c r="M700" s="57"/>
      <c r="N700" s="57"/>
    </row>
    <row r="701" spans="2:14" ht="12" x14ac:dyDescent="0.2">
      <c r="B701" s="56"/>
      <c r="C701" s="58"/>
      <c r="D701" s="58"/>
      <c r="E701" s="58"/>
      <c r="F701" s="58"/>
      <c r="G701" s="58"/>
      <c r="I701" s="56"/>
      <c r="J701" s="58"/>
      <c r="K701" s="58"/>
      <c r="L701" s="58"/>
      <c r="M701" s="58"/>
      <c r="N701" s="58"/>
    </row>
    <row r="702" spans="2:14" ht="12" x14ac:dyDescent="0.2">
      <c r="B702" s="55"/>
      <c r="C702" s="57"/>
      <c r="D702" s="57"/>
      <c r="E702" s="57"/>
      <c r="F702" s="57"/>
      <c r="G702" s="57"/>
      <c r="I702" s="55"/>
      <c r="J702" s="57"/>
      <c r="K702" s="57"/>
      <c r="L702" s="57"/>
      <c r="M702" s="57"/>
      <c r="N702" s="57"/>
    </row>
    <row r="703" spans="2:14" ht="12" x14ac:dyDescent="0.2">
      <c r="B703" s="56"/>
      <c r="C703" s="58"/>
      <c r="D703" s="58"/>
      <c r="E703" s="58"/>
      <c r="F703" s="58"/>
      <c r="G703" s="58"/>
      <c r="I703" s="56"/>
      <c r="J703" s="58"/>
      <c r="K703" s="58"/>
      <c r="L703" s="58"/>
      <c r="M703" s="58"/>
      <c r="N703" s="58"/>
    </row>
    <row r="704" spans="2:14" ht="12" x14ac:dyDescent="0.2">
      <c r="B704" s="55"/>
      <c r="C704" s="57"/>
      <c r="D704" s="57"/>
      <c r="E704" s="57"/>
      <c r="F704" s="57"/>
      <c r="G704" s="57"/>
      <c r="I704" s="55"/>
      <c r="J704" s="57"/>
      <c r="K704" s="57"/>
      <c r="L704" s="57"/>
      <c r="M704" s="57"/>
      <c r="N704" s="57"/>
    </row>
    <row r="705" spans="2:14" ht="12" x14ac:dyDescent="0.2">
      <c r="B705" s="56"/>
      <c r="C705" s="58"/>
      <c r="D705" s="58"/>
      <c r="E705" s="58"/>
      <c r="F705" s="58"/>
      <c r="G705" s="58"/>
      <c r="I705" s="56"/>
      <c r="J705" s="58"/>
      <c r="K705" s="58"/>
      <c r="L705" s="58"/>
      <c r="M705" s="58"/>
      <c r="N705" s="58"/>
    </row>
    <row r="706" spans="2:14" ht="12" x14ac:dyDescent="0.2">
      <c r="B706" s="55"/>
      <c r="C706" s="57"/>
      <c r="D706" s="57"/>
      <c r="E706" s="57"/>
      <c r="F706" s="57"/>
      <c r="G706" s="57"/>
      <c r="I706" s="55"/>
      <c r="J706" s="57"/>
      <c r="K706" s="57"/>
      <c r="L706" s="57"/>
      <c r="M706" s="57"/>
      <c r="N706" s="57"/>
    </row>
    <row r="707" spans="2:14" ht="12" x14ac:dyDescent="0.2">
      <c r="B707" s="56"/>
      <c r="C707" s="58"/>
      <c r="D707" s="58"/>
      <c r="E707" s="58"/>
      <c r="F707" s="58"/>
      <c r="G707" s="58"/>
      <c r="I707" s="56"/>
      <c r="J707" s="58"/>
      <c r="K707" s="58"/>
      <c r="L707" s="58"/>
      <c r="M707" s="58"/>
      <c r="N707" s="58"/>
    </row>
    <row r="708" spans="2:14" ht="12" x14ac:dyDescent="0.2">
      <c r="B708" s="55"/>
      <c r="C708" s="57"/>
      <c r="D708" s="57"/>
      <c r="E708" s="57"/>
      <c r="F708" s="57"/>
      <c r="G708" s="57"/>
      <c r="I708" s="55"/>
      <c r="J708" s="57"/>
      <c r="K708" s="57"/>
      <c r="L708" s="57"/>
      <c r="M708" s="57"/>
      <c r="N708" s="57"/>
    </row>
    <row r="709" spans="2:14" ht="12" x14ac:dyDescent="0.2">
      <c r="B709" s="56"/>
      <c r="C709" s="58"/>
      <c r="D709" s="58"/>
      <c r="E709" s="58"/>
      <c r="F709" s="58"/>
      <c r="G709" s="58"/>
      <c r="I709" s="56"/>
      <c r="J709" s="58"/>
      <c r="K709" s="58"/>
      <c r="L709" s="58"/>
      <c r="M709" s="58"/>
      <c r="N709" s="58"/>
    </row>
    <row r="710" spans="2:14" ht="12" x14ac:dyDescent="0.2">
      <c r="B710" s="55"/>
      <c r="C710" s="57"/>
      <c r="D710" s="57"/>
      <c r="E710" s="57"/>
      <c r="F710" s="57"/>
      <c r="G710" s="57"/>
      <c r="I710" s="55"/>
      <c r="J710" s="57"/>
      <c r="K710" s="57"/>
      <c r="L710" s="57"/>
      <c r="M710" s="57"/>
      <c r="N710" s="57"/>
    </row>
    <row r="711" spans="2:14" ht="12" x14ac:dyDescent="0.2">
      <c r="B711" s="56"/>
      <c r="C711" s="58"/>
      <c r="D711" s="58"/>
      <c r="E711" s="58"/>
      <c r="F711" s="58"/>
      <c r="G711" s="58"/>
      <c r="I711" s="56"/>
      <c r="J711" s="58"/>
      <c r="K711" s="58"/>
      <c r="L711" s="58"/>
      <c r="M711" s="58"/>
      <c r="N711" s="58"/>
    </row>
    <row r="712" spans="2:14" ht="12" x14ac:dyDescent="0.2">
      <c r="B712" s="55"/>
      <c r="C712" s="57"/>
      <c r="D712" s="57"/>
      <c r="E712" s="57"/>
      <c r="F712" s="57"/>
      <c r="G712" s="57"/>
      <c r="I712" s="55"/>
      <c r="J712" s="57"/>
      <c r="K712" s="57"/>
      <c r="L712" s="57"/>
      <c r="M712" s="57"/>
      <c r="N712" s="57"/>
    </row>
    <row r="713" spans="2:14" ht="12" x14ac:dyDescent="0.2">
      <c r="B713" s="56"/>
      <c r="C713" s="58"/>
      <c r="D713" s="58"/>
      <c r="E713" s="58"/>
      <c r="F713" s="58"/>
      <c r="G713" s="58"/>
      <c r="I713" s="56"/>
      <c r="J713" s="58"/>
      <c r="K713" s="58"/>
      <c r="L713" s="58"/>
      <c r="M713" s="58"/>
      <c r="N713" s="58"/>
    </row>
    <row r="714" spans="2:14" ht="12" x14ac:dyDescent="0.2">
      <c r="B714" s="55"/>
      <c r="C714" s="57"/>
      <c r="D714" s="57"/>
      <c r="E714" s="57"/>
      <c r="F714" s="57"/>
      <c r="G714" s="57"/>
      <c r="I714" s="55"/>
      <c r="J714" s="57"/>
      <c r="K714" s="57"/>
      <c r="L714" s="57"/>
      <c r="M714" s="57"/>
      <c r="N714" s="57"/>
    </row>
    <row r="715" spans="2:14" ht="12" x14ac:dyDescent="0.2">
      <c r="B715" s="56"/>
      <c r="C715" s="58"/>
      <c r="D715" s="58"/>
      <c r="E715" s="58"/>
      <c r="F715" s="58"/>
      <c r="G715" s="58"/>
      <c r="I715" s="56"/>
      <c r="J715" s="58"/>
      <c r="K715" s="58"/>
      <c r="L715" s="58"/>
      <c r="M715" s="58"/>
      <c r="N715" s="58"/>
    </row>
    <row r="716" spans="2:14" ht="12" x14ac:dyDescent="0.2">
      <c r="B716" s="55"/>
      <c r="C716" s="57"/>
      <c r="D716" s="57"/>
      <c r="E716" s="57"/>
      <c r="F716" s="57"/>
      <c r="G716" s="57"/>
      <c r="I716" s="55"/>
      <c r="J716" s="57"/>
      <c r="K716" s="57"/>
      <c r="L716" s="57"/>
      <c r="M716" s="57"/>
      <c r="N716" s="57"/>
    </row>
    <row r="717" spans="2:14" ht="12" x14ac:dyDescent="0.2">
      <c r="B717" s="56"/>
      <c r="C717" s="58"/>
      <c r="D717" s="58"/>
      <c r="E717" s="58"/>
      <c r="F717" s="58"/>
      <c r="G717" s="58"/>
      <c r="I717" s="56"/>
      <c r="J717" s="58"/>
      <c r="K717" s="58"/>
      <c r="L717" s="58"/>
      <c r="M717" s="58"/>
      <c r="N717" s="58"/>
    </row>
    <row r="718" spans="2:14" ht="12" x14ac:dyDescent="0.2">
      <c r="B718" s="55"/>
      <c r="C718" s="57"/>
      <c r="D718" s="57"/>
      <c r="E718" s="57"/>
      <c r="F718" s="57"/>
      <c r="G718" s="57"/>
      <c r="I718" s="55"/>
      <c r="J718" s="57"/>
      <c r="K718" s="57"/>
      <c r="L718" s="57"/>
      <c r="M718" s="57"/>
      <c r="N718" s="57"/>
    </row>
    <row r="719" spans="2:14" ht="12" x14ac:dyDescent="0.2">
      <c r="B719" s="56"/>
      <c r="C719" s="58"/>
      <c r="D719" s="58"/>
      <c r="E719" s="58"/>
      <c r="F719" s="58"/>
      <c r="G719" s="58"/>
      <c r="I719" s="56"/>
      <c r="J719" s="58"/>
      <c r="K719" s="58"/>
      <c r="L719" s="58"/>
      <c r="M719" s="58"/>
      <c r="N719" s="58"/>
    </row>
    <row r="720" spans="2:14" ht="12" x14ac:dyDescent="0.2">
      <c r="B720" s="55"/>
      <c r="C720" s="57"/>
      <c r="D720" s="57"/>
      <c r="E720" s="57"/>
      <c r="F720" s="57"/>
      <c r="G720" s="57"/>
      <c r="I720" s="55"/>
      <c r="J720" s="57"/>
      <c r="K720" s="57"/>
      <c r="L720" s="57"/>
      <c r="M720" s="57"/>
      <c r="N720" s="57"/>
    </row>
    <row r="721" spans="2:14" ht="12" x14ac:dyDescent="0.2">
      <c r="B721" s="56"/>
      <c r="C721" s="58"/>
      <c r="D721" s="58"/>
      <c r="E721" s="58"/>
      <c r="F721" s="58"/>
      <c r="G721" s="58"/>
      <c r="I721" s="56"/>
      <c r="J721" s="58"/>
      <c r="K721" s="58"/>
      <c r="L721" s="58"/>
      <c r="M721" s="58"/>
      <c r="N721" s="58"/>
    </row>
    <row r="722" spans="2:14" ht="12" x14ac:dyDescent="0.2">
      <c r="B722" s="55"/>
      <c r="C722" s="57"/>
      <c r="D722" s="57"/>
      <c r="E722" s="57"/>
      <c r="F722" s="57"/>
      <c r="G722" s="57"/>
      <c r="I722" s="55"/>
      <c r="J722" s="57"/>
      <c r="K722" s="57"/>
      <c r="L722" s="57"/>
      <c r="M722" s="57"/>
      <c r="N722" s="57"/>
    </row>
    <row r="723" spans="2:14" ht="12" x14ac:dyDescent="0.2">
      <c r="B723" s="56"/>
      <c r="C723" s="58"/>
      <c r="D723" s="58"/>
      <c r="E723" s="58"/>
      <c r="F723" s="58"/>
      <c r="G723" s="58"/>
      <c r="I723" s="56"/>
      <c r="J723" s="58"/>
      <c r="K723" s="58"/>
      <c r="L723" s="58"/>
      <c r="M723" s="58"/>
      <c r="N723" s="58"/>
    </row>
    <row r="724" spans="2:14" ht="12" x14ac:dyDescent="0.2">
      <c r="B724" s="55"/>
      <c r="C724" s="57"/>
      <c r="D724" s="57"/>
      <c r="E724" s="57"/>
      <c r="F724" s="57"/>
      <c r="G724" s="57"/>
      <c r="I724" s="55"/>
      <c r="J724" s="57"/>
      <c r="K724" s="57"/>
      <c r="L724" s="57"/>
      <c r="M724" s="57"/>
      <c r="N724" s="57"/>
    </row>
    <row r="725" spans="2:14" ht="12" x14ac:dyDescent="0.2">
      <c r="B725" s="56"/>
      <c r="C725" s="58"/>
      <c r="D725" s="58"/>
      <c r="E725" s="58"/>
      <c r="F725" s="58"/>
      <c r="G725" s="58"/>
      <c r="I725" s="56"/>
      <c r="J725" s="58"/>
      <c r="K725" s="58"/>
      <c r="L725" s="58"/>
      <c r="M725" s="58"/>
      <c r="N725" s="58"/>
    </row>
    <row r="726" spans="2:14" ht="12" x14ac:dyDescent="0.2">
      <c r="B726" s="55"/>
      <c r="C726" s="57"/>
      <c r="D726" s="57"/>
      <c r="E726" s="57"/>
      <c r="F726" s="57"/>
      <c r="G726" s="57"/>
      <c r="I726" s="55"/>
      <c r="J726" s="57"/>
      <c r="K726" s="57"/>
      <c r="L726" s="57"/>
      <c r="M726" s="57"/>
      <c r="N726" s="57"/>
    </row>
    <row r="727" spans="2:14" ht="12" x14ac:dyDescent="0.2">
      <c r="B727" s="56"/>
      <c r="C727" s="58"/>
      <c r="D727" s="58"/>
      <c r="E727" s="58"/>
      <c r="F727" s="58"/>
      <c r="G727" s="58"/>
      <c r="I727" s="56"/>
      <c r="J727" s="58"/>
      <c r="K727" s="58"/>
      <c r="L727" s="58"/>
      <c r="M727" s="58"/>
      <c r="N727" s="58"/>
    </row>
    <row r="728" spans="2:14" ht="12" x14ac:dyDescent="0.2">
      <c r="B728" s="55"/>
      <c r="C728" s="57"/>
      <c r="D728" s="57"/>
      <c r="E728" s="57"/>
      <c r="F728" s="57"/>
      <c r="G728" s="57"/>
      <c r="I728" s="55"/>
      <c r="J728" s="57"/>
      <c r="K728" s="57"/>
      <c r="L728" s="57"/>
      <c r="M728" s="57"/>
      <c r="N728" s="57"/>
    </row>
    <row r="729" spans="2:14" ht="12" x14ac:dyDescent="0.2">
      <c r="B729" s="56"/>
      <c r="C729" s="58"/>
      <c r="D729" s="58"/>
      <c r="E729" s="58"/>
      <c r="F729" s="58"/>
      <c r="G729" s="58"/>
      <c r="I729" s="56"/>
      <c r="J729" s="58"/>
      <c r="K729" s="58"/>
      <c r="L729" s="58"/>
      <c r="M729" s="58"/>
      <c r="N729" s="58"/>
    </row>
    <row r="730" spans="2:14" ht="12" x14ac:dyDescent="0.2">
      <c r="B730" s="55"/>
      <c r="C730" s="57"/>
      <c r="D730" s="57"/>
      <c r="E730" s="57"/>
      <c r="F730" s="57"/>
      <c r="G730" s="57"/>
      <c r="I730" s="55"/>
      <c r="J730" s="57"/>
      <c r="K730" s="57"/>
      <c r="L730" s="57"/>
      <c r="M730" s="57"/>
      <c r="N730" s="57"/>
    </row>
    <row r="731" spans="2:14" ht="12" x14ac:dyDescent="0.2">
      <c r="B731" s="56"/>
      <c r="C731" s="58"/>
      <c r="D731" s="58"/>
      <c r="E731" s="58"/>
      <c r="F731" s="58"/>
      <c r="G731" s="58"/>
      <c r="I731" s="56"/>
      <c r="J731" s="58"/>
      <c r="K731" s="58"/>
      <c r="L731" s="58"/>
      <c r="M731" s="58"/>
      <c r="N731" s="58"/>
    </row>
    <row r="732" spans="2:14" ht="12" x14ac:dyDescent="0.2">
      <c r="B732" s="55"/>
      <c r="C732" s="57"/>
      <c r="D732" s="57"/>
      <c r="E732" s="57"/>
      <c r="F732" s="57"/>
      <c r="G732" s="57"/>
      <c r="I732" s="55"/>
      <c r="J732" s="57"/>
      <c r="K732" s="57"/>
      <c r="L732" s="57"/>
      <c r="M732" s="57"/>
      <c r="N732" s="57"/>
    </row>
    <row r="733" spans="2:14" ht="12" x14ac:dyDescent="0.2">
      <c r="B733" s="56"/>
      <c r="C733" s="58"/>
      <c r="D733" s="58"/>
      <c r="E733" s="58"/>
      <c r="F733" s="58"/>
      <c r="G733" s="58"/>
      <c r="I733" s="56"/>
      <c r="J733" s="58"/>
      <c r="K733" s="58"/>
      <c r="L733" s="58"/>
      <c r="M733" s="58"/>
      <c r="N733" s="58"/>
    </row>
    <row r="734" spans="2:14" ht="12" x14ac:dyDescent="0.2">
      <c r="B734" s="55"/>
      <c r="C734" s="57"/>
      <c r="D734" s="57"/>
      <c r="E734" s="57"/>
      <c r="F734" s="57"/>
      <c r="G734" s="57"/>
      <c r="I734" s="55"/>
      <c r="J734" s="57"/>
      <c r="K734" s="57"/>
      <c r="L734" s="57"/>
      <c r="M734" s="57"/>
      <c r="N734" s="57"/>
    </row>
    <row r="735" spans="2:14" ht="12" x14ac:dyDescent="0.2">
      <c r="B735" s="56"/>
      <c r="C735" s="58"/>
      <c r="D735" s="58"/>
      <c r="E735" s="58"/>
      <c r="F735" s="58"/>
      <c r="G735" s="58"/>
      <c r="I735" s="56"/>
      <c r="J735" s="58"/>
      <c r="K735" s="58"/>
      <c r="L735" s="58"/>
      <c r="M735" s="58"/>
      <c r="N735" s="58"/>
    </row>
    <row r="736" spans="2:14" ht="12" x14ac:dyDescent="0.2">
      <c r="B736" s="55"/>
      <c r="C736" s="57"/>
      <c r="D736" s="57"/>
      <c r="E736" s="57"/>
      <c r="F736" s="57"/>
      <c r="G736" s="57"/>
      <c r="I736" s="55"/>
      <c r="J736" s="57"/>
      <c r="K736" s="57"/>
      <c r="L736" s="57"/>
      <c r="M736" s="57"/>
      <c r="N736" s="57"/>
    </row>
    <row r="737" spans="2:14" ht="12" x14ac:dyDescent="0.2">
      <c r="B737" s="56"/>
      <c r="C737" s="58"/>
      <c r="D737" s="58"/>
      <c r="E737" s="58"/>
      <c r="F737" s="58"/>
      <c r="G737" s="58"/>
      <c r="I737" s="56"/>
      <c r="J737" s="58"/>
      <c r="K737" s="58"/>
      <c r="L737" s="58"/>
      <c r="M737" s="58"/>
      <c r="N737" s="58"/>
    </row>
    <row r="738" spans="2:14" ht="12" x14ac:dyDescent="0.2">
      <c r="B738" s="55"/>
      <c r="C738" s="57"/>
      <c r="D738" s="57"/>
      <c r="E738" s="57"/>
      <c r="F738" s="57"/>
      <c r="G738" s="57"/>
      <c r="I738" s="55"/>
      <c r="J738" s="57"/>
      <c r="K738" s="57"/>
      <c r="L738" s="57"/>
      <c r="M738" s="57"/>
      <c r="N738" s="57"/>
    </row>
    <row r="739" spans="2:14" ht="12" x14ac:dyDescent="0.2">
      <c r="B739" s="56"/>
      <c r="C739" s="58"/>
      <c r="D739" s="58"/>
      <c r="E739" s="58"/>
      <c r="F739" s="58"/>
      <c r="G739" s="58"/>
      <c r="I739" s="56"/>
      <c r="J739" s="58"/>
      <c r="K739" s="58"/>
      <c r="L739" s="58"/>
      <c r="M739" s="58"/>
      <c r="N739" s="58"/>
    </row>
    <row r="740" spans="2:14" ht="12" x14ac:dyDescent="0.2">
      <c r="B740" s="55"/>
      <c r="C740" s="57"/>
      <c r="D740" s="57"/>
      <c r="E740" s="57"/>
      <c r="F740" s="57"/>
      <c r="G740" s="57"/>
      <c r="I740" s="55"/>
      <c r="J740" s="57"/>
      <c r="K740" s="57"/>
      <c r="L740" s="57"/>
      <c r="M740" s="57"/>
      <c r="N740" s="57"/>
    </row>
    <row r="741" spans="2:14" ht="12" x14ac:dyDescent="0.2">
      <c r="B741" s="56"/>
      <c r="C741" s="58"/>
      <c r="D741" s="58"/>
      <c r="E741" s="58"/>
      <c r="F741" s="58"/>
      <c r="G741" s="58"/>
      <c r="I741" s="56"/>
      <c r="J741" s="58"/>
      <c r="K741" s="58"/>
      <c r="L741" s="58"/>
      <c r="M741" s="58"/>
      <c r="N741" s="58"/>
    </row>
    <row r="742" spans="2:14" ht="12" x14ac:dyDescent="0.2">
      <c r="B742" s="55"/>
      <c r="C742" s="57"/>
      <c r="D742" s="57"/>
      <c r="E742" s="57"/>
      <c r="F742" s="57"/>
      <c r="G742" s="57"/>
      <c r="I742" s="55"/>
      <c r="J742" s="57"/>
      <c r="K742" s="57"/>
      <c r="L742" s="57"/>
      <c r="M742" s="57"/>
      <c r="N742" s="57"/>
    </row>
    <row r="743" spans="2:14" ht="12" x14ac:dyDescent="0.2">
      <c r="B743" s="56"/>
      <c r="C743" s="58"/>
      <c r="D743" s="58"/>
      <c r="E743" s="58"/>
      <c r="F743" s="58"/>
      <c r="G743" s="58"/>
      <c r="I743" s="56"/>
      <c r="J743" s="58"/>
      <c r="K743" s="58"/>
      <c r="L743" s="58"/>
      <c r="M743" s="58"/>
      <c r="N743" s="58"/>
    </row>
    <row r="744" spans="2:14" ht="12" x14ac:dyDescent="0.2">
      <c r="B744" s="55"/>
      <c r="C744" s="57"/>
      <c r="D744" s="57"/>
      <c r="E744" s="57"/>
      <c r="F744" s="57"/>
      <c r="G744" s="57"/>
      <c r="I744" s="55"/>
      <c r="J744" s="57"/>
      <c r="K744" s="57"/>
      <c r="L744" s="57"/>
      <c r="M744" s="57"/>
      <c r="N744" s="57"/>
    </row>
    <row r="745" spans="2:14" ht="12" x14ac:dyDescent="0.2">
      <c r="B745" s="56"/>
      <c r="C745" s="58"/>
      <c r="D745" s="58"/>
      <c r="E745" s="58"/>
      <c r="F745" s="58"/>
      <c r="G745" s="58"/>
      <c r="I745" s="56"/>
      <c r="J745" s="58"/>
      <c r="K745" s="58"/>
      <c r="L745" s="58"/>
      <c r="M745" s="58"/>
      <c r="N745" s="58"/>
    </row>
    <row r="746" spans="2:14" ht="12" x14ac:dyDescent="0.2">
      <c r="B746" s="55"/>
      <c r="C746" s="57"/>
      <c r="D746" s="57"/>
      <c r="E746" s="57"/>
      <c r="F746" s="57"/>
      <c r="G746" s="57"/>
      <c r="I746" s="55"/>
      <c r="J746" s="57"/>
      <c r="K746" s="57"/>
      <c r="L746" s="57"/>
      <c r="M746" s="57"/>
      <c r="N746" s="57"/>
    </row>
    <row r="747" spans="2:14" ht="12" x14ac:dyDescent="0.2">
      <c r="B747" s="56"/>
      <c r="C747" s="58"/>
      <c r="D747" s="58"/>
      <c r="E747" s="58"/>
      <c r="F747" s="58"/>
      <c r="G747" s="58"/>
      <c r="I747" s="56"/>
      <c r="J747" s="58"/>
      <c r="K747" s="58"/>
      <c r="L747" s="58"/>
      <c r="M747" s="58"/>
      <c r="N747" s="58"/>
    </row>
    <row r="748" spans="2:14" ht="12" x14ac:dyDescent="0.2">
      <c r="B748" s="55"/>
      <c r="C748" s="57"/>
      <c r="D748" s="57"/>
      <c r="E748" s="57"/>
      <c r="F748" s="57"/>
      <c r="G748" s="57"/>
      <c r="I748" s="55"/>
      <c r="J748" s="57"/>
      <c r="K748" s="57"/>
      <c r="L748" s="57"/>
      <c r="M748" s="57"/>
      <c r="N748" s="57"/>
    </row>
    <row r="749" spans="2:14" ht="12" x14ac:dyDescent="0.2">
      <c r="B749" s="56"/>
      <c r="C749" s="58"/>
      <c r="D749" s="58"/>
      <c r="E749" s="58"/>
      <c r="F749" s="58"/>
      <c r="G749" s="58"/>
      <c r="I749" s="56"/>
      <c r="J749" s="58"/>
      <c r="K749" s="58"/>
      <c r="L749" s="58"/>
      <c r="M749" s="58"/>
      <c r="N749" s="58"/>
    </row>
    <row r="750" spans="2:14" ht="12" x14ac:dyDescent="0.2">
      <c r="B750" s="55"/>
      <c r="C750" s="57"/>
      <c r="D750" s="57"/>
      <c r="E750" s="57"/>
      <c r="F750" s="57"/>
      <c r="G750" s="57"/>
      <c r="I750" s="55"/>
      <c r="J750" s="57"/>
      <c r="K750" s="57"/>
      <c r="L750" s="57"/>
      <c r="M750" s="57"/>
      <c r="N750" s="57"/>
    </row>
    <row r="751" spans="2:14" ht="12" x14ac:dyDescent="0.2">
      <c r="B751" s="56"/>
      <c r="C751" s="58"/>
      <c r="D751" s="58"/>
      <c r="E751" s="58"/>
      <c r="F751" s="58"/>
      <c r="G751" s="58"/>
      <c r="I751" s="56"/>
      <c r="J751" s="58"/>
      <c r="K751" s="58"/>
      <c r="L751" s="58"/>
      <c r="M751" s="58"/>
      <c r="N751" s="58"/>
    </row>
    <row r="752" spans="2:14" ht="12" x14ac:dyDescent="0.2">
      <c r="B752" s="55"/>
      <c r="C752" s="57"/>
      <c r="D752" s="57"/>
      <c r="E752" s="57"/>
      <c r="F752" s="57"/>
      <c r="G752" s="57"/>
      <c r="I752" s="55"/>
      <c r="J752" s="57"/>
      <c r="K752" s="57"/>
      <c r="L752" s="57"/>
      <c r="M752" s="57"/>
      <c r="N752" s="57"/>
    </row>
    <row r="753" spans="2:14" ht="12" x14ac:dyDescent="0.2">
      <c r="B753" s="56"/>
      <c r="C753" s="58"/>
      <c r="D753" s="58"/>
      <c r="E753" s="58"/>
      <c r="F753" s="58"/>
      <c r="G753" s="58"/>
      <c r="I753" s="56"/>
      <c r="J753" s="58"/>
      <c r="K753" s="58"/>
      <c r="L753" s="58"/>
      <c r="M753" s="58"/>
      <c r="N753" s="58"/>
    </row>
    <row r="754" spans="2:14" ht="12" x14ac:dyDescent="0.2">
      <c r="B754" s="55"/>
      <c r="C754" s="57"/>
      <c r="D754" s="57"/>
      <c r="E754" s="57"/>
      <c r="F754" s="57"/>
      <c r="G754" s="57"/>
      <c r="I754" s="55"/>
      <c r="J754" s="57"/>
      <c r="K754" s="57"/>
      <c r="L754" s="57"/>
      <c r="M754" s="57"/>
      <c r="N754" s="57"/>
    </row>
    <row r="755" spans="2:14" ht="12" x14ac:dyDescent="0.2">
      <c r="B755" s="56"/>
      <c r="C755" s="58"/>
      <c r="D755" s="58"/>
      <c r="E755" s="58"/>
      <c r="F755" s="58"/>
      <c r="G755" s="58"/>
      <c r="I755" s="56"/>
      <c r="J755" s="58"/>
      <c r="K755" s="58"/>
      <c r="L755" s="58"/>
      <c r="M755" s="58"/>
      <c r="N755" s="58"/>
    </row>
    <row r="756" spans="2:14" ht="12" x14ac:dyDescent="0.2">
      <c r="B756" s="55"/>
      <c r="C756" s="57"/>
      <c r="D756" s="57"/>
      <c r="E756" s="57"/>
      <c r="F756" s="57"/>
      <c r="G756" s="57"/>
      <c r="I756" s="55"/>
      <c r="J756" s="57"/>
      <c r="K756" s="57"/>
      <c r="L756" s="57"/>
      <c r="M756" s="57"/>
      <c r="N756" s="57"/>
    </row>
    <row r="757" spans="2:14" ht="12" x14ac:dyDescent="0.2">
      <c r="B757" s="56"/>
      <c r="C757" s="58"/>
      <c r="D757" s="58"/>
      <c r="E757" s="58"/>
      <c r="F757" s="58"/>
      <c r="G757" s="58"/>
      <c r="I757" s="56"/>
      <c r="J757" s="58"/>
      <c r="K757" s="58"/>
      <c r="L757" s="58"/>
      <c r="M757" s="58"/>
      <c r="N757" s="58"/>
    </row>
    <row r="758" spans="2:14" ht="12" x14ac:dyDescent="0.2">
      <c r="B758" s="55"/>
      <c r="C758" s="57"/>
      <c r="D758" s="57"/>
      <c r="E758" s="57"/>
      <c r="F758" s="57"/>
      <c r="G758" s="57"/>
      <c r="I758" s="55"/>
      <c r="J758" s="57"/>
      <c r="K758" s="57"/>
      <c r="L758" s="57"/>
      <c r="M758" s="57"/>
      <c r="N758" s="57"/>
    </row>
    <row r="759" spans="2:14" ht="12" x14ac:dyDescent="0.2">
      <c r="B759" s="56"/>
      <c r="C759" s="58"/>
      <c r="D759" s="58"/>
      <c r="E759" s="58"/>
      <c r="F759" s="58"/>
      <c r="G759" s="58"/>
      <c r="I759" s="56"/>
      <c r="J759" s="58"/>
      <c r="K759" s="58"/>
      <c r="L759" s="58"/>
      <c r="M759" s="58"/>
      <c r="N759" s="58"/>
    </row>
    <row r="760" spans="2:14" ht="12" x14ac:dyDescent="0.2">
      <c r="B760" s="55"/>
      <c r="C760" s="57"/>
      <c r="D760" s="57"/>
      <c r="E760" s="57"/>
      <c r="F760" s="57"/>
      <c r="G760" s="57"/>
      <c r="I760" s="55"/>
      <c r="J760" s="57"/>
      <c r="K760" s="57"/>
      <c r="L760" s="57"/>
      <c r="M760" s="57"/>
      <c r="N760" s="57"/>
    </row>
    <row r="761" spans="2:14" ht="12" x14ac:dyDescent="0.2">
      <c r="B761" s="56"/>
      <c r="C761" s="58"/>
      <c r="D761" s="58"/>
      <c r="E761" s="58"/>
      <c r="F761" s="58"/>
      <c r="G761" s="58"/>
      <c r="I761" s="56"/>
      <c r="J761" s="58"/>
      <c r="K761" s="58"/>
      <c r="L761" s="58"/>
      <c r="M761" s="58"/>
      <c r="N761" s="58"/>
    </row>
    <row r="762" spans="2:14" ht="12" x14ac:dyDescent="0.2">
      <c r="B762" s="55"/>
      <c r="C762" s="57"/>
      <c r="D762" s="57"/>
      <c r="E762" s="57"/>
      <c r="F762" s="57"/>
      <c r="G762" s="57"/>
      <c r="I762" s="55"/>
      <c r="J762" s="57"/>
      <c r="K762" s="57"/>
      <c r="L762" s="57"/>
      <c r="M762" s="57"/>
      <c r="N762" s="57"/>
    </row>
    <row r="763" spans="2:14" ht="12" x14ac:dyDescent="0.2">
      <c r="B763" s="56"/>
      <c r="C763" s="58"/>
      <c r="D763" s="58"/>
      <c r="E763" s="58"/>
      <c r="F763" s="58"/>
      <c r="G763" s="58"/>
      <c r="I763" s="56"/>
      <c r="J763" s="58"/>
      <c r="K763" s="58"/>
      <c r="L763" s="58"/>
      <c r="M763" s="58"/>
      <c r="N763" s="58"/>
    </row>
    <row r="764" spans="2:14" ht="12" x14ac:dyDescent="0.2">
      <c r="B764" s="55"/>
      <c r="C764" s="57"/>
      <c r="D764" s="57"/>
      <c r="E764" s="57"/>
      <c r="F764" s="57"/>
      <c r="G764" s="57"/>
      <c r="I764" s="55"/>
      <c r="J764" s="57"/>
      <c r="K764" s="57"/>
      <c r="L764" s="57"/>
      <c r="M764" s="57"/>
      <c r="N764" s="57"/>
    </row>
    <row r="765" spans="2:14" ht="12" x14ac:dyDescent="0.2">
      <c r="B765" s="56"/>
      <c r="C765" s="58"/>
      <c r="D765" s="58"/>
      <c r="E765" s="58"/>
      <c r="F765" s="58"/>
      <c r="G765" s="58"/>
      <c r="I765" s="56"/>
      <c r="J765" s="58"/>
      <c r="K765" s="58"/>
      <c r="L765" s="58"/>
      <c r="M765" s="58"/>
      <c r="N765" s="58"/>
    </row>
    <row r="766" spans="2:14" ht="12" x14ac:dyDescent="0.2">
      <c r="B766" s="55"/>
      <c r="C766" s="57"/>
      <c r="D766" s="57"/>
      <c r="E766" s="57"/>
      <c r="F766" s="57"/>
      <c r="G766" s="57"/>
      <c r="I766" s="55"/>
      <c r="J766" s="57"/>
      <c r="K766" s="57"/>
      <c r="L766" s="57"/>
      <c r="M766" s="57"/>
      <c r="N766" s="57"/>
    </row>
    <row r="767" spans="2:14" ht="12" x14ac:dyDescent="0.2">
      <c r="B767" s="56"/>
      <c r="C767" s="58"/>
      <c r="D767" s="58"/>
      <c r="E767" s="58"/>
      <c r="F767" s="58"/>
      <c r="G767" s="58"/>
      <c r="I767" s="56"/>
      <c r="J767" s="58"/>
      <c r="K767" s="58"/>
      <c r="L767" s="58"/>
      <c r="M767" s="58"/>
      <c r="N767" s="58"/>
    </row>
    <row r="768" spans="2:14" ht="12" x14ac:dyDescent="0.2">
      <c r="B768" s="55"/>
      <c r="C768" s="57"/>
      <c r="D768" s="57"/>
      <c r="E768" s="57"/>
      <c r="F768" s="57"/>
      <c r="G768" s="57"/>
      <c r="I768" s="55"/>
      <c r="J768" s="57"/>
      <c r="K768" s="57"/>
      <c r="L768" s="57"/>
      <c r="M768" s="57"/>
      <c r="N768" s="57"/>
    </row>
    <row r="769" spans="2:14" ht="12" x14ac:dyDescent="0.2">
      <c r="B769" s="56"/>
      <c r="C769" s="58"/>
      <c r="D769" s="58"/>
      <c r="E769" s="58"/>
      <c r="F769" s="58"/>
      <c r="G769" s="58"/>
      <c r="I769" s="56"/>
      <c r="J769" s="58"/>
      <c r="K769" s="58"/>
      <c r="L769" s="58"/>
      <c r="M769" s="58"/>
      <c r="N769" s="58"/>
    </row>
    <row r="770" spans="2:14" ht="12" x14ac:dyDescent="0.2">
      <c r="B770" s="55"/>
      <c r="C770" s="57"/>
      <c r="D770" s="57"/>
      <c r="E770" s="57"/>
      <c r="F770" s="57"/>
      <c r="G770" s="57"/>
      <c r="I770" s="55"/>
      <c r="J770" s="57"/>
      <c r="K770" s="57"/>
      <c r="L770" s="57"/>
      <c r="M770" s="57"/>
      <c r="N770" s="57"/>
    </row>
    <row r="771" spans="2:14" ht="12" x14ac:dyDescent="0.2">
      <c r="B771" s="56"/>
      <c r="C771" s="58"/>
      <c r="D771" s="58"/>
      <c r="E771" s="58"/>
      <c r="F771" s="58"/>
      <c r="G771" s="58"/>
      <c r="I771" s="56"/>
      <c r="J771" s="58"/>
      <c r="K771" s="58"/>
      <c r="L771" s="58"/>
      <c r="M771" s="58"/>
      <c r="N771" s="58"/>
    </row>
    <row r="772" spans="2:14" ht="12" x14ac:dyDescent="0.2">
      <c r="B772" s="55"/>
      <c r="C772" s="57"/>
      <c r="D772" s="57"/>
      <c r="E772" s="57"/>
      <c r="F772" s="57"/>
      <c r="G772" s="57"/>
      <c r="I772" s="55"/>
      <c r="J772" s="57"/>
      <c r="K772" s="57"/>
      <c r="L772" s="57"/>
      <c r="M772" s="57"/>
      <c r="N772" s="57"/>
    </row>
    <row r="773" spans="2:14" ht="12" x14ac:dyDescent="0.2">
      <c r="B773" s="56"/>
      <c r="C773" s="58"/>
      <c r="D773" s="58"/>
      <c r="E773" s="58"/>
      <c r="F773" s="58"/>
      <c r="G773" s="58"/>
      <c r="I773" s="56"/>
      <c r="J773" s="58"/>
      <c r="K773" s="58"/>
      <c r="L773" s="58"/>
      <c r="M773" s="58"/>
      <c r="N773" s="58"/>
    </row>
    <row r="774" spans="2:14" ht="12" x14ac:dyDescent="0.2">
      <c r="B774" s="55"/>
      <c r="C774" s="57"/>
      <c r="D774" s="57"/>
      <c r="E774" s="57"/>
      <c r="F774" s="57"/>
      <c r="G774" s="57"/>
      <c r="I774" s="55"/>
      <c r="J774" s="57"/>
      <c r="K774" s="57"/>
      <c r="L774" s="57"/>
      <c r="M774" s="57"/>
      <c r="N774" s="57"/>
    </row>
    <row r="775" spans="2:14" ht="12" x14ac:dyDescent="0.2">
      <c r="B775" s="56"/>
      <c r="C775" s="58"/>
      <c r="D775" s="58"/>
      <c r="E775" s="58"/>
      <c r="F775" s="58"/>
      <c r="G775" s="58"/>
      <c r="I775" s="56"/>
      <c r="J775" s="58"/>
      <c r="K775" s="58"/>
      <c r="L775" s="58"/>
      <c r="M775" s="58"/>
      <c r="N775" s="58"/>
    </row>
    <row r="776" spans="2:14" ht="12" x14ac:dyDescent="0.2">
      <c r="B776" s="55"/>
      <c r="C776" s="57"/>
      <c r="D776" s="57"/>
      <c r="E776" s="57"/>
      <c r="F776" s="57"/>
      <c r="G776" s="57"/>
      <c r="I776" s="55"/>
      <c r="J776" s="57"/>
      <c r="K776" s="57"/>
      <c r="L776" s="57"/>
      <c r="M776" s="57"/>
      <c r="N776" s="57"/>
    </row>
    <row r="777" spans="2:14" ht="12" x14ac:dyDescent="0.2">
      <c r="B777" s="56"/>
      <c r="C777" s="58"/>
      <c r="D777" s="58"/>
      <c r="E777" s="58"/>
      <c r="F777" s="58"/>
      <c r="G777" s="58"/>
      <c r="I777" s="56"/>
      <c r="J777" s="58"/>
      <c r="K777" s="58"/>
      <c r="L777" s="58"/>
      <c r="M777" s="58"/>
      <c r="N777" s="58"/>
    </row>
    <row r="778" spans="2:14" ht="12" x14ac:dyDescent="0.2">
      <c r="B778" s="55"/>
      <c r="C778" s="57"/>
      <c r="D778" s="57"/>
      <c r="E778" s="57"/>
      <c r="F778" s="57"/>
      <c r="G778" s="57"/>
      <c r="I778" s="55"/>
      <c r="J778" s="57"/>
      <c r="K778" s="57"/>
      <c r="L778" s="57"/>
      <c r="M778" s="57"/>
      <c r="N778" s="57"/>
    </row>
    <row r="779" spans="2:14" ht="12" x14ac:dyDescent="0.2">
      <c r="B779" s="56"/>
      <c r="C779" s="58"/>
      <c r="D779" s="58"/>
      <c r="E779" s="58"/>
      <c r="F779" s="58"/>
      <c r="G779" s="58"/>
      <c r="I779" s="56"/>
      <c r="J779" s="58"/>
      <c r="K779" s="58"/>
      <c r="L779" s="58"/>
      <c r="M779" s="58"/>
      <c r="N779" s="58"/>
    </row>
    <row r="780" spans="2:14" ht="12" x14ac:dyDescent="0.2">
      <c r="B780" s="55"/>
      <c r="C780" s="57"/>
      <c r="D780" s="57"/>
      <c r="E780" s="57"/>
      <c r="F780" s="57"/>
      <c r="G780" s="57"/>
      <c r="I780" s="55"/>
      <c r="J780" s="57"/>
      <c r="K780" s="57"/>
      <c r="L780" s="57"/>
      <c r="M780" s="57"/>
      <c r="N780" s="57"/>
    </row>
    <row r="781" spans="2:14" ht="12" x14ac:dyDescent="0.2">
      <c r="B781" s="56"/>
      <c r="C781" s="58"/>
      <c r="D781" s="58"/>
      <c r="E781" s="58"/>
      <c r="F781" s="58"/>
      <c r="G781" s="58"/>
      <c r="I781" s="56"/>
      <c r="J781" s="58"/>
      <c r="K781" s="58"/>
      <c r="L781" s="58"/>
      <c r="M781" s="58"/>
      <c r="N781" s="58"/>
    </row>
    <row r="782" spans="2:14" ht="12" x14ac:dyDescent="0.2">
      <c r="B782" s="55"/>
      <c r="C782" s="57"/>
      <c r="D782" s="57"/>
      <c r="E782" s="57"/>
      <c r="F782" s="57"/>
      <c r="G782" s="57"/>
      <c r="I782" s="55"/>
      <c r="J782" s="57"/>
      <c r="K782" s="57"/>
      <c r="L782" s="57"/>
      <c r="M782" s="57"/>
      <c r="N782" s="57"/>
    </row>
    <row r="783" spans="2:14" ht="12" x14ac:dyDescent="0.2">
      <c r="B783" s="56"/>
      <c r="C783" s="58"/>
      <c r="D783" s="58"/>
      <c r="E783" s="58"/>
      <c r="F783" s="58"/>
      <c r="G783" s="58"/>
      <c r="I783" s="56"/>
      <c r="J783" s="58"/>
      <c r="K783" s="58"/>
      <c r="L783" s="58"/>
      <c r="M783" s="58"/>
      <c r="N783" s="58"/>
    </row>
    <row r="784" spans="2:14" ht="12" x14ac:dyDescent="0.2">
      <c r="B784" s="55"/>
      <c r="C784" s="57"/>
      <c r="D784" s="57"/>
      <c r="E784" s="57"/>
      <c r="F784" s="57"/>
      <c r="G784" s="57"/>
      <c r="I784" s="55"/>
      <c r="J784" s="57"/>
      <c r="K784" s="57"/>
      <c r="L784" s="57"/>
      <c r="M784" s="57"/>
      <c r="N784" s="57"/>
    </row>
    <row r="785" spans="2:14" ht="12" x14ac:dyDescent="0.2">
      <c r="B785" s="56"/>
      <c r="C785" s="58"/>
      <c r="D785" s="58"/>
      <c r="E785" s="58"/>
      <c r="F785" s="58"/>
      <c r="G785" s="58"/>
      <c r="I785" s="56"/>
      <c r="J785" s="58"/>
      <c r="K785" s="58"/>
      <c r="L785" s="58"/>
      <c r="M785" s="58"/>
      <c r="N785" s="58"/>
    </row>
    <row r="786" spans="2:14" ht="12" x14ac:dyDescent="0.2">
      <c r="B786" s="55"/>
      <c r="C786" s="57"/>
      <c r="D786" s="57"/>
      <c r="E786" s="57"/>
      <c r="F786" s="57"/>
      <c r="G786" s="57"/>
      <c r="I786" s="55"/>
      <c r="J786" s="57"/>
      <c r="K786" s="57"/>
      <c r="L786" s="57"/>
      <c r="M786" s="57"/>
      <c r="N786" s="57"/>
    </row>
    <row r="787" spans="2:14" ht="12" x14ac:dyDescent="0.2">
      <c r="B787" s="56"/>
      <c r="C787" s="58"/>
      <c r="D787" s="58"/>
      <c r="E787" s="58"/>
      <c r="F787" s="58"/>
      <c r="G787" s="58"/>
      <c r="I787" s="56"/>
      <c r="J787" s="58"/>
      <c r="K787" s="58"/>
      <c r="L787" s="58"/>
      <c r="M787" s="58"/>
      <c r="N787" s="58"/>
    </row>
    <row r="788" spans="2:14" ht="12" x14ac:dyDescent="0.2">
      <c r="B788" s="55"/>
      <c r="C788" s="57"/>
      <c r="D788" s="57"/>
      <c r="E788" s="57"/>
      <c r="F788" s="57"/>
      <c r="G788" s="57"/>
      <c r="I788" s="55"/>
      <c r="J788" s="57"/>
      <c r="K788" s="57"/>
      <c r="L788" s="57"/>
      <c r="M788" s="57"/>
      <c r="N788" s="57"/>
    </row>
    <row r="789" spans="2:14" ht="12" x14ac:dyDescent="0.2">
      <c r="B789" s="56"/>
      <c r="C789" s="58"/>
      <c r="D789" s="58"/>
      <c r="E789" s="58"/>
      <c r="F789" s="58"/>
      <c r="G789" s="58"/>
      <c r="I789" s="56"/>
      <c r="J789" s="58"/>
      <c r="K789" s="58"/>
      <c r="L789" s="58"/>
      <c r="M789" s="58"/>
      <c r="N789" s="58"/>
    </row>
    <row r="790" spans="2:14" ht="12" x14ac:dyDescent="0.2">
      <c r="B790" s="55"/>
      <c r="C790" s="57"/>
      <c r="D790" s="57"/>
      <c r="E790" s="57"/>
      <c r="F790" s="57"/>
      <c r="G790" s="57"/>
      <c r="I790" s="55"/>
      <c r="J790" s="57"/>
      <c r="K790" s="57"/>
      <c r="L790" s="57"/>
      <c r="M790" s="57"/>
      <c r="N790" s="57"/>
    </row>
    <row r="791" spans="2:14" ht="12" x14ac:dyDescent="0.2">
      <c r="B791" s="56"/>
      <c r="C791" s="58"/>
      <c r="D791" s="58"/>
      <c r="E791" s="58"/>
      <c r="F791" s="58"/>
      <c r="G791" s="58"/>
      <c r="I791" s="56"/>
      <c r="J791" s="58"/>
      <c r="K791" s="58"/>
      <c r="L791" s="58"/>
      <c r="M791" s="58"/>
      <c r="N791" s="58"/>
    </row>
    <row r="792" spans="2:14" ht="12" x14ac:dyDescent="0.2">
      <c r="B792" s="55"/>
      <c r="C792" s="57"/>
      <c r="D792" s="57"/>
      <c r="E792" s="57"/>
      <c r="F792" s="57"/>
      <c r="G792" s="57"/>
      <c r="I792" s="55"/>
      <c r="J792" s="57"/>
      <c r="K792" s="57"/>
      <c r="L792" s="57"/>
      <c r="M792" s="57"/>
      <c r="N792" s="57"/>
    </row>
    <row r="793" spans="2:14" ht="12" x14ac:dyDescent="0.2">
      <c r="B793" s="56"/>
      <c r="C793" s="58"/>
      <c r="D793" s="58"/>
      <c r="E793" s="58"/>
      <c r="F793" s="58"/>
      <c r="G793" s="58"/>
      <c r="I793" s="56"/>
      <c r="J793" s="58"/>
      <c r="K793" s="58"/>
      <c r="L793" s="58"/>
      <c r="M793" s="58"/>
      <c r="N793" s="58"/>
    </row>
    <row r="794" spans="2:14" ht="12" x14ac:dyDescent="0.2">
      <c r="B794" s="55"/>
      <c r="C794" s="57"/>
      <c r="D794" s="57"/>
      <c r="E794" s="57"/>
      <c r="F794" s="57"/>
      <c r="G794" s="57"/>
      <c r="I794" s="55"/>
      <c r="J794" s="57"/>
      <c r="K794" s="57"/>
      <c r="L794" s="57"/>
      <c r="M794" s="57"/>
      <c r="N794" s="57"/>
    </row>
    <row r="795" spans="2:14" ht="12" x14ac:dyDescent="0.2">
      <c r="B795" s="56"/>
      <c r="C795" s="58"/>
      <c r="D795" s="58"/>
      <c r="E795" s="58"/>
      <c r="F795" s="58"/>
      <c r="G795" s="58"/>
      <c r="I795" s="56"/>
      <c r="J795" s="58"/>
      <c r="K795" s="58"/>
      <c r="L795" s="58"/>
      <c r="M795" s="58"/>
      <c r="N795" s="58"/>
    </row>
    <row r="796" spans="2:14" ht="12" x14ac:dyDescent="0.2">
      <c r="B796" s="55"/>
      <c r="C796" s="57"/>
      <c r="D796" s="57"/>
      <c r="E796" s="57"/>
      <c r="F796" s="57"/>
      <c r="G796" s="57"/>
      <c r="I796" s="55"/>
      <c r="J796" s="57"/>
      <c r="K796" s="57"/>
      <c r="L796" s="57"/>
      <c r="M796" s="57"/>
      <c r="N796" s="57"/>
    </row>
    <row r="797" spans="2:14" ht="12" x14ac:dyDescent="0.2">
      <c r="B797" s="56"/>
      <c r="C797" s="58"/>
      <c r="D797" s="58"/>
      <c r="E797" s="58"/>
      <c r="F797" s="58"/>
      <c r="G797" s="58"/>
      <c r="I797" s="56"/>
      <c r="J797" s="58"/>
      <c r="K797" s="58"/>
      <c r="L797" s="58"/>
      <c r="M797" s="58"/>
      <c r="N797" s="58"/>
    </row>
    <row r="798" spans="2:14" ht="12" x14ac:dyDescent="0.2">
      <c r="B798" s="55"/>
      <c r="C798" s="57"/>
      <c r="D798" s="57"/>
      <c r="E798" s="57"/>
      <c r="F798" s="57"/>
      <c r="G798" s="57"/>
      <c r="I798" s="55"/>
      <c r="J798" s="57"/>
      <c r="K798" s="57"/>
      <c r="L798" s="57"/>
      <c r="M798" s="57"/>
      <c r="N798" s="57"/>
    </row>
    <row r="799" spans="2:14" ht="12" x14ac:dyDescent="0.2">
      <c r="B799" s="56"/>
      <c r="C799" s="58"/>
      <c r="D799" s="58"/>
      <c r="E799" s="58"/>
      <c r="F799" s="58"/>
      <c r="G799" s="58"/>
      <c r="I799" s="56"/>
      <c r="J799" s="58"/>
      <c r="K799" s="58"/>
      <c r="L799" s="58"/>
      <c r="M799" s="58"/>
      <c r="N799" s="58"/>
    </row>
    <row r="800" spans="2:14" ht="12" x14ac:dyDescent="0.2">
      <c r="B800" s="55"/>
      <c r="C800" s="57"/>
      <c r="D800" s="57"/>
      <c r="E800" s="57"/>
      <c r="F800" s="57"/>
      <c r="G800" s="57"/>
      <c r="I800" s="55"/>
      <c r="J800" s="57"/>
      <c r="K800" s="57"/>
      <c r="L800" s="57"/>
      <c r="M800" s="57"/>
      <c r="N800" s="57"/>
    </row>
    <row r="801" spans="2:14" ht="12" x14ac:dyDescent="0.2">
      <c r="B801" s="56"/>
      <c r="C801" s="58"/>
      <c r="D801" s="58"/>
      <c r="E801" s="58"/>
      <c r="F801" s="58"/>
      <c r="G801" s="58"/>
      <c r="I801" s="56"/>
      <c r="J801" s="58"/>
      <c r="K801" s="58"/>
      <c r="L801" s="58"/>
      <c r="M801" s="58"/>
      <c r="N801" s="58"/>
    </row>
    <row r="802" spans="2:14" ht="12" x14ac:dyDescent="0.2">
      <c r="B802" s="55"/>
      <c r="C802" s="57"/>
      <c r="D802" s="57"/>
      <c r="E802" s="57"/>
      <c r="F802" s="57"/>
      <c r="G802" s="57"/>
      <c r="I802" s="55"/>
      <c r="J802" s="57"/>
      <c r="K802" s="57"/>
      <c r="L802" s="57"/>
      <c r="M802" s="57"/>
      <c r="N802" s="57"/>
    </row>
    <row r="803" spans="2:14" ht="12" x14ac:dyDescent="0.2">
      <c r="B803" s="56"/>
      <c r="C803" s="58"/>
      <c r="D803" s="58"/>
      <c r="E803" s="58"/>
      <c r="F803" s="58"/>
      <c r="G803" s="58"/>
      <c r="I803" s="56"/>
      <c r="J803" s="58"/>
      <c r="K803" s="58"/>
      <c r="L803" s="58"/>
      <c r="M803" s="58"/>
      <c r="N803" s="58"/>
    </row>
    <row r="804" spans="2:14" ht="12" x14ac:dyDescent="0.2">
      <c r="B804" s="55"/>
      <c r="C804" s="57"/>
      <c r="D804" s="57"/>
      <c r="E804" s="57"/>
      <c r="F804" s="57"/>
      <c r="G804" s="57"/>
      <c r="I804" s="55"/>
      <c r="J804" s="57"/>
      <c r="K804" s="57"/>
      <c r="L804" s="57"/>
      <c r="M804" s="57"/>
      <c r="N804" s="57"/>
    </row>
    <row r="805" spans="2:14" ht="12" x14ac:dyDescent="0.2">
      <c r="B805" s="56"/>
      <c r="C805" s="58"/>
      <c r="D805" s="58"/>
      <c r="E805" s="58"/>
      <c r="F805" s="58"/>
      <c r="G805" s="58"/>
      <c r="I805" s="56"/>
      <c r="J805" s="58"/>
      <c r="K805" s="58"/>
      <c r="L805" s="58"/>
      <c r="M805" s="58"/>
      <c r="N805" s="58"/>
    </row>
    <row r="806" spans="2:14" ht="12" x14ac:dyDescent="0.2">
      <c r="B806" s="55"/>
      <c r="C806" s="57"/>
      <c r="D806" s="57"/>
      <c r="E806" s="57"/>
      <c r="F806" s="57"/>
      <c r="G806" s="57"/>
      <c r="I806" s="55"/>
      <c r="J806" s="57"/>
      <c r="K806" s="57"/>
      <c r="L806" s="57"/>
      <c r="M806" s="57"/>
      <c r="N806" s="57"/>
    </row>
    <row r="807" spans="2:14" ht="12" x14ac:dyDescent="0.2">
      <c r="B807" s="56"/>
      <c r="C807" s="58"/>
      <c r="D807" s="58"/>
      <c r="E807" s="58"/>
      <c r="F807" s="58"/>
      <c r="G807" s="58"/>
      <c r="I807" s="56"/>
      <c r="J807" s="58"/>
      <c r="K807" s="58"/>
      <c r="L807" s="58"/>
      <c r="M807" s="58"/>
      <c r="N807" s="58"/>
    </row>
    <row r="808" spans="2:14" ht="12" x14ac:dyDescent="0.2">
      <c r="B808" s="55"/>
      <c r="C808" s="57"/>
      <c r="D808" s="57"/>
      <c r="E808" s="57"/>
      <c r="F808" s="57"/>
      <c r="G808" s="57"/>
      <c r="I808" s="55"/>
      <c r="J808" s="57"/>
      <c r="K808" s="57"/>
      <c r="L808" s="57"/>
      <c r="M808" s="57"/>
      <c r="N808" s="57"/>
    </row>
    <row r="809" spans="2:14" ht="12" x14ac:dyDescent="0.2">
      <c r="B809" s="56"/>
      <c r="C809" s="58"/>
      <c r="D809" s="58"/>
      <c r="E809" s="58"/>
      <c r="F809" s="58"/>
      <c r="G809" s="58"/>
      <c r="I809" s="56"/>
      <c r="J809" s="58"/>
      <c r="K809" s="58"/>
      <c r="L809" s="58"/>
      <c r="M809" s="58"/>
      <c r="N809" s="58"/>
    </row>
    <row r="810" spans="2:14" ht="12" x14ac:dyDescent="0.2">
      <c r="B810" s="55"/>
      <c r="C810" s="57"/>
      <c r="D810" s="57"/>
      <c r="E810" s="57"/>
      <c r="F810" s="57"/>
      <c r="G810" s="57"/>
      <c r="I810" s="55"/>
      <c r="J810" s="57"/>
      <c r="K810" s="57"/>
      <c r="L810" s="57"/>
      <c r="M810" s="57"/>
      <c r="N810" s="57"/>
    </row>
    <row r="811" spans="2:14" ht="12" x14ac:dyDescent="0.2">
      <c r="B811" s="56"/>
      <c r="C811" s="58"/>
      <c r="D811" s="58"/>
      <c r="E811" s="58"/>
      <c r="F811" s="58"/>
      <c r="G811" s="58"/>
      <c r="I811" s="56"/>
      <c r="J811" s="58"/>
      <c r="K811" s="58"/>
      <c r="L811" s="58"/>
      <c r="M811" s="58"/>
      <c r="N811" s="58"/>
    </row>
    <row r="812" spans="2:14" ht="12" x14ac:dyDescent="0.2">
      <c r="B812" s="55"/>
      <c r="C812" s="57"/>
      <c r="D812" s="57"/>
      <c r="E812" s="57"/>
      <c r="F812" s="57"/>
      <c r="G812" s="57"/>
      <c r="I812" s="55"/>
      <c r="J812" s="57"/>
      <c r="K812" s="57"/>
      <c r="L812" s="57"/>
      <c r="M812" s="57"/>
      <c r="N812" s="57"/>
    </row>
    <row r="813" spans="2:14" ht="12" x14ac:dyDescent="0.2">
      <c r="B813" s="56"/>
      <c r="C813" s="58"/>
      <c r="D813" s="58"/>
      <c r="E813" s="58"/>
      <c r="F813" s="58"/>
      <c r="G813" s="58"/>
      <c r="I813" s="56"/>
      <c r="J813" s="58"/>
      <c r="K813" s="58"/>
      <c r="L813" s="58"/>
      <c r="M813" s="58"/>
      <c r="N813" s="58"/>
    </row>
    <row r="814" spans="2:14" ht="12" x14ac:dyDescent="0.2">
      <c r="B814" s="55"/>
      <c r="C814" s="57"/>
      <c r="D814" s="57"/>
      <c r="E814" s="57"/>
      <c r="F814" s="57"/>
      <c r="G814" s="57"/>
      <c r="I814" s="55"/>
      <c r="J814" s="57"/>
      <c r="K814" s="57"/>
      <c r="L814" s="57"/>
      <c r="M814" s="57"/>
      <c r="N814" s="57"/>
    </row>
    <row r="815" spans="2:14" ht="12" x14ac:dyDescent="0.2">
      <c r="B815" s="56"/>
      <c r="C815" s="58"/>
      <c r="D815" s="58"/>
      <c r="E815" s="58"/>
      <c r="F815" s="58"/>
      <c r="G815" s="58"/>
      <c r="I815" s="56"/>
      <c r="J815" s="58"/>
      <c r="K815" s="58"/>
      <c r="L815" s="58"/>
      <c r="M815" s="58"/>
      <c r="N815" s="58"/>
    </row>
    <row r="816" spans="2:14" ht="12" x14ac:dyDescent="0.2">
      <c r="B816" s="55"/>
      <c r="C816" s="57"/>
      <c r="D816" s="57"/>
      <c r="E816" s="57"/>
      <c r="F816" s="57"/>
      <c r="G816" s="57"/>
      <c r="I816" s="55"/>
      <c r="J816" s="57"/>
      <c r="K816" s="57"/>
      <c r="L816" s="57"/>
      <c r="M816" s="57"/>
      <c r="N816" s="57"/>
    </row>
    <row r="817" spans="2:14" ht="12" x14ac:dyDescent="0.2">
      <c r="B817" s="56"/>
      <c r="C817" s="58"/>
      <c r="D817" s="58"/>
      <c r="E817" s="58"/>
      <c r="F817" s="58"/>
      <c r="G817" s="58"/>
      <c r="I817" s="56"/>
      <c r="J817" s="58"/>
      <c r="K817" s="58"/>
      <c r="L817" s="58"/>
      <c r="M817" s="58"/>
      <c r="N817" s="58"/>
    </row>
    <row r="818" spans="2:14" ht="12" x14ac:dyDescent="0.2">
      <c r="B818" s="55"/>
      <c r="C818" s="57"/>
      <c r="D818" s="57"/>
      <c r="E818" s="57"/>
      <c r="F818" s="57"/>
      <c r="G818" s="57"/>
      <c r="I818" s="55"/>
      <c r="J818" s="57"/>
      <c r="K818" s="57"/>
      <c r="L818" s="57"/>
      <c r="M818" s="57"/>
      <c r="N818" s="57"/>
    </row>
    <row r="819" spans="2:14" ht="12" x14ac:dyDescent="0.2">
      <c r="B819" s="56"/>
      <c r="C819" s="58"/>
      <c r="D819" s="58"/>
      <c r="E819" s="58"/>
      <c r="F819" s="58"/>
      <c r="G819" s="58"/>
      <c r="I819" s="56"/>
      <c r="J819" s="58"/>
      <c r="K819" s="58"/>
      <c r="L819" s="58"/>
      <c r="M819" s="58"/>
      <c r="N819" s="58"/>
    </row>
    <row r="820" spans="2:14" ht="12" x14ac:dyDescent="0.2">
      <c r="B820" s="55"/>
      <c r="C820" s="57"/>
      <c r="D820" s="57"/>
      <c r="E820" s="57"/>
      <c r="F820" s="57"/>
      <c r="G820" s="57"/>
      <c r="I820" s="55"/>
      <c r="J820" s="57"/>
      <c r="K820" s="57"/>
      <c r="L820" s="57"/>
      <c r="M820" s="57"/>
      <c r="N820" s="57"/>
    </row>
    <row r="821" spans="2:14" ht="12" x14ac:dyDescent="0.2">
      <c r="B821" s="56"/>
      <c r="C821" s="58"/>
      <c r="D821" s="58"/>
      <c r="E821" s="58"/>
      <c r="F821" s="58"/>
      <c r="G821" s="58"/>
      <c r="I821" s="56"/>
      <c r="J821" s="58"/>
      <c r="K821" s="58"/>
      <c r="L821" s="58"/>
      <c r="M821" s="58"/>
      <c r="N821" s="58"/>
    </row>
    <row r="822" spans="2:14" ht="12" x14ac:dyDescent="0.2">
      <c r="B822" s="55"/>
      <c r="C822" s="57"/>
      <c r="D822" s="57"/>
      <c r="E822" s="57"/>
      <c r="F822" s="57"/>
      <c r="G822" s="57"/>
      <c r="I822" s="55"/>
      <c r="J822" s="57"/>
      <c r="K822" s="57"/>
      <c r="L822" s="57"/>
      <c r="M822" s="57"/>
      <c r="N822" s="57"/>
    </row>
    <row r="823" spans="2:14" ht="12" x14ac:dyDescent="0.2">
      <c r="B823" s="56"/>
      <c r="C823" s="58"/>
      <c r="D823" s="58"/>
      <c r="E823" s="58"/>
      <c r="F823" s="58"/>
      <c r="G823" s="58"/>
      <c r="I823" s="56"/>
      <c r="J823" s="58"/>
      <c r="K823" s="58"/>
      <c r="L823" s="58"/>
      <c r="M823" s="58"/>
      <c r="N823" s="58"/>
    </row>
    <row r="824" spans="2:14" ht="12" x14ac:dyDescent="0.2">
      <c r="B824" s="55"/>
      <c r="C824" s="57"/>
      <c r="D824" s="57"/>
      <c r="E824" s="57"/>
      <c r="F824" s="57"/>
      <c r="G824" s="57"/>
      <c r="I824" s="55"/>
      <c r="J824" s="57"/>
      <c r="K824" s="57"/>
      <c r="L824" s="57"/>
      <c r="M824" s="57"/>
      <c r="N824" s="57"/>
    </row>
    <row r="825" spans="2:14" ht="12" x14ac:dyDescent="0.2">
      <c r="B825" s="56"/>
      <c r="C825" s="58"/>
      <c r="D825" s="58"/>
      <c r="E825" s="58"/>
      <c r="F825" s="58"/>
      <c r="G825" s="58"/>
      <c r="I825" s="56"/>
      <c r="J825" s="58"/>
      <c r="K825" s="58"/>
      <c r="L825" s="58"/>
      <c r="M825" s="58"/>
      <c r="N825" s="58"/>
    </row>
    <row r="826" spans="2:14" ht="12" x14ac:dyDescent="0.2">
      <c r="B826" s="55"/>
      <c r="C826" s="57"/>
      <c r="D826" s="57"/>
      <c r="E826" s="57"/>
      <c r="F826" s="57"/>
      <c r="G826" s="57"/>
      <c r="I826" s="55"/>
      <c r="J826" s="57"/>
      <c r="K826" s="57"/>
      <c r="L826" s="57"/>
      <c r="M826" s="57"/>
      <c r="N826" s="57"/>
    </row>
    <row r="827" spans="2:14" ht="12" x14ac:dyDescent="0.2">
      <c r="B827" s="56"/>
      <c r="C827" s="58"/>
      <c r="D827" s="58"/>
      <c r="E827" s="58"/>
      <c r="F827" s="58"/>
      <c r="G827" s="58"/>
      <c r="I827" s="56"/>
      <c r="J827" s="58"/>
      <c r="K827" s="58"/>
      <c r="L827" s="58"/>
      <c r="M827" s="58"/>
      <c r="N827" s="58"/>
    </row>
    <row r="828" spans="2:14" ht="12" x14ac:dyDescent="0.2">
      <c r="B828" s="55"/>
      <c r="C828" s="57"/>
      <c r="D828" s="57"/>
      <c r="E828" s="57"/>
      <c r="F828" s="57"/>
      <c r="G828" s="57"/>
      <c r="I828" s="55"/>
      <c r="J828" s="57"/>
      <c r="K828" s="57"/>
      <c r="L828" s="57"/>
      <c r="M828" s="57"/>
      <c r="N828" s="57"/>
    </row>
    <row r="829" spans="2:14" ht="12" x14ac:dyDescent="0.2">
      <c r="B829" s="56"/>
      <c r="C829" s="58"/>
      <c r="D829" s="58"/>
      <c r="E829" s="58"/>
      <c r="F829" s="58"/>
      <c r="G829" s="58"/>
      <c r="I829" s="56"/>
      <c r="J829" s="58"/>
      <c r="K829" s="58"/>
      <c r="L829" s="58"/>
      <c r="M829" s="58"/>
      <c r="N829" s="58"/>
    </row>
    <row r="830" spans="2:14" ht="12" x14ac:dyDescent="0.2">
      <c r="B830" s="55"/>
      <c r="C830" s="57"/>
      <c r="D830" s="57"/>
      <c r="E830" s="57"/>
      <c r="F830" s="57"/>
      <c r="G830" s="57"/>
      <c r="I830" s="55"/>
      <c r="J830" s="57"/>
      <c r="K830" s="57"/>
      <c r="L830" s="57"/>
      <c r="M830" s="57"/>
      <c r="N830" s="57"/>
    </row>
    <row r="831" spans="2:14" ht="12" x14ac:dyDescent="0.2">
      <c r="B831" s="56"/>
      <c r="C831" s="58"/>
      <c r="D831" s="58"/>
      <c r="E831" s="58"/>
      <c r="F831" s="58"/>
      <c r="G831" s="58"/>
      <c r="I831" s="56"/>
      <c r="J831" s="58"/>
      <c r="K831" s="58"/>
      <c r="L831" s="58"/>
      <c r="M831" s="58"/>
      <c r="N831" s="58"/>
    </row>
    <row r="832" spans="2:14" ht="12" x14ac:dyDescent="0.2">
      <c r="B832" s="55"/>
      <c r="C832" s="57"/>
      <c r="D832" s="57"/>
      <c r="E832" s="57"/>
      <c r="F832" s="57"/>
      <c r="G832" s="57"/>
      <c r="I832" s="55"/>
      <c r="J832" s="57"/>
      <c r="K832" s="57"/>
      <c r="L832" s="57"/>
      <c r="M832" s="57"/>
      <c r="N832" s="57"/>
    </row>
    <row r="833" spans="2:14" ht="12" x14ac:dyDescent="0.2">
      <c r="B833" s="56"/>
      <c r="C833" s="58"/>
      <c r="D833" s="58"/>
      <c r="E833" s="58"/>
      <c r="F833" s="58"/>
      <c r="G833" s="58"/>
      <c r="I833" s="56"/>
      <c r="J833" s="58"/>
      <c r="K833" s="58"/>
      <c r="L833" s="58"/>
      <c r="M833" s="58"/>
      <c r="N833" s="58"/>
    </row>
    <row r="834" spans="2:14" ht="12" x14ac:dyDescent="0.2">
      <c r="B834" s="55"/>
      <c r="C834" s="57"/>
      <c r="D834" s="57"/>
      <c r="E834" s="57"/>
      <c r="F834" s="57"/>
      <c r="G834" s="57"/>
      <c r="I834" s="55"/>
      <c r="J834" s="57"/>
      <c r="K834" s="57"/>
      <c r="L834" s="57"/>
      <c r="M834" s="57"/>
      <c r="N834" s="57"/>
    </row>
    <row r="835" spans="2:14" ht="12" x14ac:dyDescent="0.2">
      <c r="B835" s="56"/>
      <c r="C835" s="58"/>
      <c r="D835" s="58"/>
      <c r="E835" s="58"/>
      <c r="F835" s="58"/>
      <c r="G835" s="58"/>
      <c r="I835" s="56"/>
      <c r="J835" s="58"/>
      <c r="K835" s="58"/>
      <c r="L835" s="58"/>
      <c r="M835" s="58"/>
      <c r="N835" s="58"/>
    </row>
    <row r="836" spans="2:14" ht="12" x14ac:dyDescent="0.2">
      <c r="B836" s="55"/>
      <c r="C836" s="57"/>
      <c r="D836" s="57"/>
      <c r="E836" s="57"/>
      <c r="F836" s="57"/>
      <c r="G836" s="57"/>
      <c r="I836" s="55"/>
      <c r="J836" s="57"/>
      <c r="K836" s="57"/>
      <c r="L836" s="57"/>
      <c r="M836" s="57"/>
      <c r="N836" s="57"/>
    </row>
    <row r="837" spans="2:14" ht="12" x14ac:dyDescent="0.2">
      <c r="B837" s="56"/>
      <c r="C837" s="58"/>
      <c r="D837" s="58"/>
      <c r="E837" s="58"/>
      <c r="F837" s="58"/>
      <c r="G837" s="58"/>
      <c r="I837" s="56"/>
      <c r="J837" s="58"/>
      <c r="K837" s="58"/>
      <c r="L837" s="58"/>
      <c r="M837" s="58"/>
      <c r="N837" s="58"/>
    </row>
    <row r="838" spans="2:14" ht="12" x14ac:dyDescent="0.2">
      <c r="B838" s="55"/>
      <c r="C838" s="57"/>
      <c r="D838" s="57"/>
      <c r="E838" s="57"/>
      <c r="F838" s="57"/>
      <c r="G838" s="57"/>
      <c r="I838" s="55"/>
      <c r="J838" s="57"/>
      <c r="K838" s="57"/>
      <c r="L838" s="57"/>
      <c r="M838" s="57"/>
      <c r="N838" s="57"/>
    </row>
    <row r="839" spans="2:14" ht="12" x14ac:dyDescent="0.2">
      <c r="B839" s="56"/>
      <c r="C839" s="58"/>
      <c r="D839" s="58"/>
      <c r="E839" s="58"/>
      <c r="F839" s="58"/>
      <c r="G839" s="58"/>
      <c r="I839" s="56"/>
      <c r="J839" s="58"/>
      <c r="K839" s="58"/>
      <c r="L839" s="58"/>
      <c r="M839" s="58"/>
      <c r="N839" s="58"/>
    </row>
    <row r="840" spans="2:14" ht="12" x14ac:dyDescent="0.2">
      <c r="B840" s="55"/>
      <c r="C840" s="57"/>
      <c r="D840" s="57"/>
      <c r="E840" s="57"/>
      <c r="F840" s="57"/>
      <c r="G840" s="57"/>
      <c r="I840" s="55"/>
      <c r="J840" s="57"/>
      <c r="K840" s="57"/>
      <c r="L840" s="57"/>
      <c r="M840" s="57"/>
      <c r="N840" s="57"/>
    </row>
    <row r="841" spans="2:14" ht="12" x14ac:dyDescent="0.2">
      <c r="B841" s="56"/>
      <c r="C841" s="58"/>
      <c r="D841" s="58"/>
      <c r="E841" s="58"/>
      <c r="F841" s="58"/>
      <c r="G841" s="58"/>
      <c r="I841" s="56"/>
      <c r="J841" s="58"/>
      <c r="K841" s="58"/>
      <c r="L841" s="58"/>
      <c r="M841" s="58"/>
      <c r="N841" s="58"/>
    </row>
    <row r="842" spans="2:14" ht="12" x14ac:dyDescent="0.2">
      <c r="B842" s="55"/>
      <c r="C842" s="57"/>
      <c r="D842" s="57"/>
      <c r="E842" s="57"/>
      <c r="F842" s="57"/>
      <c r="G842" s="57"/>
      <c r="I842" s="55"/>
      <c r="J842" s="57"/>
      <c r="K842" s="57"/>
      <c r="L842" s="57"/>
      <c r="M842" s="57"/>
      <c r="N842" s="57"/>
    </row>
    <row r="843" spans="2:14" ht="12" x14ac:dyDescent="0.2">
      <c r="B843" s="56"/>
      <c r="C843" s="58"/>
      <c r="D843" s="58"/>
      <c r="E843" s="58"/>
      <c r="F843" s="58"/>
      <c r="G843" s="58"/>
      <c r="I843" s="56"/>
      <c r="J843" s="58"/>
      <c r="K843" s="58"/>
      <c r="L843" s="58"/>
      <c r="M843" s="58"/>
      <c r="N843" s="58"/>
    </row>
    <row r="844" spans="2:14" ht="12" x14ac:dyDescent="0.2">
      <c r="B844" s="55"/>
      <c r="C844" s="57"/>
      <c r="D844" s="57"/>
      <c r="E844" s="57"/>
      <c r="F844" s="57"/>
      <c r="G844" s="57"/>
      <c r="I844" s="55"/>
      <c r="J844" s="57"/>
      <c r="K844" s="57"/>
      <c r="L844" s="57"/>
      <c r="M844" s="57"/>
      <c r="N844" s="57"/>
    </row>
    <row r="845" spans="2:14" ht="12" x14ac:dyDescent="0.2">
      <c r="B845" s="56"/>
      <c r="C845" s="58"/>
      <c r="D845" s="58"/>
      <c r="E845" s="58"/>
      <c r="F845" s="58"/>
      <c r="G845" s="58"/>
      <c r="I845" s="56"/>
      <c r="J845" s="58"/>
      <c r="K845" s="58"/>
      <c r="L845" s="58"/>
      <c r="M845" s="58"/>
      <c r="N845" s="58"/>
    </row>
    <row r="846" spans="2:14" ht="12" x14ac:dyDescent="0.2">
      <c r="B846" s="55"/>
      <c r="C846" s="57"/>
      <c r="D846" s="57"/>
      <c r="E846" s="57"/>
      <c r="F846" s="57"/>
      <c r="G846" s="57"/>
      <c r="I846" s="55"/>
      <c r="J846" s="57"/>
      <c r="K846" s="57"/>
      <c r="L846" s="57"/>
      <c r="M846" s="57"/>
      <c r="N846" s="57"/>
    </row>
    <row r="847" spans="2:14" ht="12" x14ac:dyDescent="0.2">
      <c r="B847" s="56"/>
      <c r="C847" s="58"/>
      <c r="D847" s="58"/>
      <c r="E847" s="58"/>
      <c r="F847" s="58"/>
      <c r="G847" s="58"/>
      <c r="I847" s="56"/>
      <c r="J847" s="58"/>
      <c r="K847" s="58"/>
      <c r="L847" s="58"/>
      <c r="M847" s="58"/>
      <c r="N847" s="58"/>
    </row>
    <row r="848" spans="2:14" ht="12" x14ac:dyDescent="0.2">
      <c r="B848" s="55"/>
      <c r="C848" s="57"/>
      <c r="D848" s="57"/>
      <c r="E848" s="57"/>
      <c r="F848" s="57"/>
      <c r="G848" s="57"/>
      <c r="I848" s="55"/>
      <c r="J848" s="57"/>
      <c r="K848" s="57"/>
      <c r="L848" s="57"/>
      <c r="M848" s="57"/>
      <c r="N848" s="57"/>
    </row>
    <row r="849" spans="2:14" ht="12" x14ac:dyDescent="0.2">
      <c r="B849" s="56"/>
      <c r="C849" s="58"/>
      <c r="D849" s="58"/>
      <c r="E849" s="58"/>
      <c r="F849" s="58"/>
      <c r="G849" s="58"/>
      <c r="I849" s="56"/>
      <c r="J849" s="58"/>
      <c r="K849" s="58"/>
      <c r="L849" s="58"/>
      <c r="M849" s="58"/>
      <c r="N849" s="58"/>
    </row>
    <row r="850" spans="2:14" ht="12" x14ac:dyDescent="0.2">
      <c r="B850" s="55"/>
      <c r="C850" s="57"/>
      <c r="D850" s="57"/>
      <c r="E850" s="57"/>
      <c r="F850" s="57"/>
      <c r="G850" s="57"/>
      <c r="I850" s="55"/>
      <c r="J850" s="57"/>
      <c r="K850" s="57"/>
      <c r="L850" s="57"/>
      <c r="M850" s="57"/>
      <c r="N850" s="57"/>
    </row>
    <row r="851" spans="2:14" ht="12" x14ac:dyDescent="0.2">
      <c r="B851" s="56"/>
      <c r="C851" s="58"/>
      <c r="D851" s="58"/>
      <c r="E851" s="58"/>
      <c r="F851" s="58"/>
      <c r="G851" s="58"/>
      <c r="I851" s="56"/>
      <c r="J851" s="58"/>
      <c r="K851" s="58"/>
      <c r="L851" s="58"/>
      <c r="M851" s="58"/>
      <c r="N851" s="58"/>
    </row>
    <row r="852" spans="2:14" ht="12" x14ac:dyDescent="0.2">
      <c r="B852" s="55"/>
      <c r="C852" s="57"/>
      <c r="D852" s="57"/>
      <c r="E852" s="57"/>
      <c r="F852" s="57"/>
      <c r="G852" s="57"/>
      <c r="I852" s="55"/>
      <c r="J852" s="57"/>
      <c r="K852" s="57"/>
      <c r="L852" s="57"/>
      <c r="M852" s="57"/>
      <c r="N852" s="57"/>
    </row>
    <row r="853" spans="2:14" ht="12" x14ac:dyDescent="0.2">
      <c r="B853" s="56"/>
      <c r="C853" s="58"/>
      <c r="D853" s="58"/>
      <c r="E853" s="58"/>
      <c r="F853" s="58"/>
      <c r="G853" s="58"/>
      <c r="I853" s="56"/>
      <c r="J853" s="58"/>
      <c r="K853" s="58"/>
      <c r="L853" s="58"/>
      <c r="M853" s="58"/>
      <c r="N853" s="58"/>
    </row>
    <row r="854" spans="2:14" ht="12" x14ac:dyDescent="0.2">
      <c r="B854" s="55"/>
      <c r="C854" s="57"/>
      <c r="D854" s="57"/>
      <c r="E854" s="57"/>
      <c r="F854" s="57"/>
      <c r="G854" s="57"/>
      <c r="I854" s="55"/>
      <c r="J854" s="57"/>
      <c r="K854" s="57"/>
      <c r="L854" s="57"/>
      <c r="M854" s="57"/>
      <c r="N854" s="57"/>
    </row>
    <row r="855" spans="2:14" ht="12" x14ac:dyDescent="0.2">
      <c r="B855" s="56"/>
      <c r="C855" s="58"/>
      <c r="D855" s="58"/>
      <c r="E855" s="58"/>
      <c r="F855" s="58"/>
      <c r="G855" s="58"/>
      <c r="I855" s="56"/>
      <c r="J855" s="58"/>
      <c r="K855" s="58"/>
      <c r="L855" s="58"/>
      <c r="M855" s="58"/>
      <c r="N855" s="58"/>
    </row>
    <row r="856" spans="2:14" ht="12" x14ac:dyDescent="0.2">
      <c r="B856" s="55"/>
      <c r="C856" s="57"/>
      <c r="D856" s="57"/>
      <c r="E856" s="57"/>
      <c r="F856" s="57"/>
      <c r="G856" s="57"/>
      <c r="I856" s="55"/>
      <c r="J856" s="57"/>
      <c r="K856" s="57"/>
      <c r="L856" s="57"/>
      <c r="M856" s="57"/>
      <c r="N856" s="57"/>
    </row>
    <row r="857" spans="2:14" ht="12" x14ac:dyDescent="0.2">
      <c r="B857" s="56"/>
      <c r="C857" s="58"/>
      <c r="D857" s="58"/>
      <c r="E857" s="58"/>
      <c r="F857" s="58"/>
      <c r="G857" s="58"/>
      <c r="I857" s="56"/>
      <c r="J857" s="58"/>
      <c r="K857" s="58"/>
      <c r="L857" s="58"/>
      <c r="M857" s="58"/>
      <c r="N857" s="58"/>
    </row>
    <row r="858" spans="2:14" ht="12" x14ac:dyDescent="0.2">
      <c r="B858" s="55"/>
      <c r="C858" s="57"/>
      <c r="D858" s="57"/>
      <c r="E858" s="57"/>
      <c r="F858" s="57"/>
      <c r="G858" s="57"/>
      <c r="I858" s="55"/>
      <c r="J858" s="57"/>
      <c r="K858" s="57"/>
      <c r="L858" s="57"/>
      <c r="M858" s="57"/>
      <c r="N858" s="57"/>
    </row>
    <row r="859" spans="2:14" ht="12" x14ac:dyDescent="0.2">
      <c r="B859" s="56"/>
      <c r="C859" s="58"/>
      <c r="D859" s="58"/>
      <c r="E859" s="58"/>
      <c r="F859" s="58"/>
      <c r="G859" s="58"/>
      <c r="I859" s="56"/>
      <c r="J859" s="58"/>
      <c r="K859" s="58"/>
      <c r="L859" s="58"/>
      <c r="M859" s="58"/>
      <c r="N859" s="58"/>
    </row>
    <row r="860" spans="2:14" ht="12" x14ac:dyDescent="0.2">
      <c r="B860" s="55"/>
      <c r="C860" s="57"/>
      <c r="D860" s="57"/>
      <c r="E860" s="57"/>
      <c r="F860" s="57"/>
      <c r="G860" s="57"/>
      <c r="I860" s="55"/>
      <c r="J860" s="57"/>
      <c r="K860" s="57"/>
      <c r="L860" s="57"/>
      <c r="M860" s="57"/>
      <c r="N860" s="57"/>
    </row>
    <row r="861" spans="2:14" ht="12" x14ac:dyDescent="0.2">
      <c r="B861" s="56"/>
      <c r="C861" s="58"/>
      <c r="D861" s="58"/>
      <c r="E861" s="58"/>
      <c r="F861" s="58"/>
      <c r="G861" s="58"/>
      <c r="I861" s="56"/>
      <c r="J861" s="58"/>
      <c r="K861" s="58"/>
      <c r="L861" s="58"/>
      <c r="M861" s="58"/>
      <c r="N861" s="58"/>
    </row>
    <row r="862" spans="2:14" ht="12" x14ac:dyDescent="0.2">
      <c r="B862" s="55"/>
      <c r="C862" s="57"/>
      <c r="D862" s="57"/>
      <c r="E862" s="57"/>
      <c r="F862" s="57"/>
      <c r="G862" s="57"/>
      <c r="I862" s="55"/>
      <c r="J862" s="57"/>
      <c r="K862" s="57"/>
      <c r="L862" s="57"/>
      <c r="M862" s="57"/>
      <c r="N862" s="57"/>
    </row>
    <row r="863" spans="2:14" ht="12" x14ac:dyDescent="0.2">
      <c r="B863" s="56"/>
      <c r="C863" s="58"/>
      <c r="D863" s="58"/>
      <c r="E863" s="58"/>
      <c r="F863" s="58"/>
      <c r="G863" s="58"/>
      <c r="I863" s="56"/>
      <c r="J863" s="58"/>
      <c r="K863" s="58"/>
      <c r="L863" s="58"/>
      <c r="M863" s="58"/>
      <c r="N863" s="58"/>
    </row>
    <row r="864" spans="2:14" ht="12" x14ac:dyDescent="0.2">
      <c r="B864" s="55"/>
      <c r="C864" s="57"/>
      <c r="D864" s="57"/>
      <c r="E864" s="57"/>
      <c r="F864" s="57"/>
      <c r="G864" s="57"/>
      <c r="I864" s="55"/>
      <c r="J864" s="57"/>
      <c r="K864" s="57"/>
      <c r="L864" s="57"/>
      <c r="M864" s="57"/>
      <c r="N864" s="57"/>
    </row>
    <row r="865" spans="2:14" ht="12" x14ac:dyDescent="0.2">
      <c r="B865" s="56"/>
      <c r="C865" s="58"/>
      <c r="D865" s="58"/>
      <c r="E865" s="58"/>
      <c r="F865" s="58"/>
      <c r="G865" s="58"/>
      <c r="I865" s="56"/>
      <c r="J865" s="58"/>
      <c r="K865" s="58"/>
      <c r="L865" s="58"/>
      <c r="M865" s="58"/>
      <c r="N865" s="58"/>
    </row>
    <row r="866" spans="2:14" ht="12" x14ac:dyDescent="0.2">
      <c r="B866" s="55"/>
      <c r="C866" s="57"/>
      <c r="D866" s="57"/>
      <c r="E866" s="57"/>
      <c r="F866" s="57"/>
      <c r="G866" s="57"/>
      <c r="I866" s="55"/>
      <c r="J866" s="57"/>
      <c r="K866" s="57"/>
      <c r="L866" s="57"/>
      <c r="M866" s="57"/>
      <c r="N866" s="57"/>
    </row>
    <row r="867" spans="2:14" ht="12" x14ac:dyDescent="0.2">
      <c r="B867" s="56"/>
      <c r="C867" s="58"/>
      <c r="D867" s="58"/>
      <c r="E867" s="58"/>
      <c r="F867" s="58"/>
      <c r="G867" s="58"/>
      <c r="I867" s="56"/>
      <c r="J867" s="58"/>
      <c r="K867" s="58"/>
      <c r="L867" s="58"/>
      <c r="M867" s="58"/>
      <c r="N867" s="58"/>
    </row>
    <row r="868" spans="2:14" ht="12" x14ac:dyDescent="0.2">
      <c r="B868" s="55"/>
      <c r="C868" s="57"/>
      <c r="D868" s="57"/>
      <c r="E868" s="57"/>
      <c r="F868" s="57"/>
      <c r="G868" s="57"/>
      <c r="I868" s="55"/>
      <c r="J868" s="57"/>
      <c r="K868" s="57"/>
      <c r="L868" s="57"/>
      <c r="M868" s="57"/>
      <c r="N868" s="57"/>
    </row>
    <row r="869" spans="2:14" ht="12" x14ac:dyDescent="0.2">
      <c r="B869" s="56"/>
      <c r="C869" s="58"/>
      <c r="D869" s="58"/>
      <c r="E869" s="58"/>
      <c r="F869" s="58"/>
      <c r="G869" s="58"/>
      <c r="I869" s="56"/>
      <c r="J869" s="58"/>
      <c r="K869" s="58"/>
      <c r="L869" s="58"/>
      <c r="M869" s="58"/>
      <c r="N869" s="58"/>
    </row>
    <row r="870" spans="2:14" ht="12" x14ac:dyDescent="0.2">
      <c r="B870" s="55"/>
      <c r="C870" s="57"/>
      <c r="D870" s="57"/>
      <c r="E870" s="57"/>
      <c r="F870" s="57"/>
      <c r="G870" s="57"/>
      <c r="I870" s="55"/>
      <c r="J870" s="57"/>
      <c r="K870" s="57"/>
      <c r="L870" s="57"/>
      <c r="M870" s="57"/>
      <c r="N870" s="57"/>
    </row>
    <row r="871" spans="2:14" ht="12" x14ac:dyDescent="0.2">
      <c r="B871" s="56"/>
      <c r="C871" s="58"/>
      <c r="D871" s="58"/>
      <c r="E871" s="58"/>
      <c r="F871" s="58"/>
      <c r="G871" s="58"/>
      <c r="I871" s="56"/>
      <c r="J871" s="58"/>
      <c r="K871" s="58"/>
      <c r="L871" s="58"/>
      <c r="M871" s="58"/>
      <c r="N871" s="58"/>
    </row>
    <row r="872" spans="2:14" ht="12" x14ac:dyDescent="0.2">
      <c r="B872" s="55"/>
      <c r="C872" s="57"/>
      <c r="D872" s="57"/>
      <c r="E872" s="57"/>
      <c r="F872" s="57"/>
      <c r="G872" s="57"/>
      <c r="I872" s="55"/>
      <c r="J872" s="57"/>
      <c r="K872" s="57"/>
      <c r="L872" s="57"/>
      <c r="M872" s="57"/>
      <c r="N872" s="57"/>
    </row>
    <row r="873" spans="2:14" ht="12" x14ac:dyDescent="0.2">
      <c r="B873" s="56"/>
      <c r="C873" s="58"/>
      <c r="D873" s="58"/>
      <c r="E873" s="58"/>
      <c r="F873" s="58"/>
      <c r="G873" s="58"/>
      <c r="I873" s="56"/>
      <c r="J873" s="58"/>
      <c r="K873" s="58"/>
      <c r="L873" s="58"/>
      <c r="M873" s="58"/>
      <c r="N873" s="58"/>
    </row>
    <row r="874" spans="2:14" ht="12" x14ac:dyDescent="0.2">
      <c r="B874" s="55"/>
      <c r="C874" s="57"/>
      <c r="D874" s="57"/>
      <c r="E874" s="57"/>
      <c r="F874" s="57"/>
      <c r="G874" s="57"/>
      <c r="I874" s="55"/>
      <c r="J874" s="57"/>
      <c r="K874" s="57"/>
      <c r="L874" s="57"/>
      <c r="M874" s="57"/>
      <c r="N874" s="57"/>
    </row>
    <row r="875" spans="2:14" ht="12" x14ac:dyDescent="0.2">
      <c r="B875" s="56"/>
      <c r="C875" s="58"/>
      <c r="D875" s="58"/>
      <c r="E875" s="58"/>
      <c r="F875" s="58"/>
      <c r="G875" s="58"/>
      <c r="I875" s="56"/>
      <c r="J875" s="58"/>
      <c r="K875" s="58"/>
      <c r="L875" s="58"/>
      <c r="M875" s="58"/>
      <c r="N875" s="58"/>
    </row>
    <row r="876" spans="2:14" ht="12" x14ac:dyDescent="0.2">
      <c r="B876" s="55"/>
      <c r="C876" s="57"/>
      <c r="D876" s="57"/>
      <c r="E876" s="57"/>
      <c r="F876" s="57"/>
      <c r="G876" s="57"/>
      <c r="I876" s="55"/>
      <c r="J876" s="57"/>
      <c r="K876" s="57"/>
      <c r="L876" s="57"/>
      <c r="M876" s="57"/>
      <c r="N876" s="57"/>
    </row>
    <row r="877" spans="2:14" ht="12" x14ac:dyDescent="0.2">
      <c r="B877" s="56"/>
      <c r="C877" s="58"/>
      <c r="D877" s="58"/>
      <c r="E877" s="58"/>
      <c r="F877" s="58"/>
      <c r="G877" s="58"/>
      <c r="I877" s="56"/>
      <c r="J877" s="58"/>
      <c r="K877" s="58"/>
      <c r="L877" s="58"/>
      <c r="M877" s="58"/>
      <c r="N877" s="58"/>
    </row>
    <row r="878" spans="2:14" ht="12" x14ac:dyDescent="0.2">
      <c r="B878" s="55"/>
      <c r="C878" s="57"/>
      <c r="D878" s="57"/>
      <c r="E878" s="57"/>
      <c r="F878" s="57"/>
      <c r="G878" s="57"/>
      <c r="I878" s="55"/>
      <c r="J878" s="57"/>
      <c r="K878" s="57"/>
      <c r="L878" s="57"/>
      <c r="M878" s="57"/>
      <c r="N878" s="57"/>
    </row>
    <row r="879" spans="2:14" ht="12" x14ac:dyDescent="0.2">
      <c r="B879" s="56"/>
      <c r="C879" s="58"/>
      <c r="D879" s="58"/>
      <c r="E879" s="58"/>
      <c r="F879" s="58"/>
      <c r="G879" s="58"/>
      <c r="I879" s="56"/>
      <c r="J879" s="58"/>
      <c r="K879" s="58"/>
      <c r="L879" s="58"/>
      <c r="M879" s="58"/>
      <c r="N879" s="58"/>
    </row>
    <row r="880" spans="2:14" ht="12" x14ac:dyDescent="0.2">
      <c r="B880" s="55"/>
      <c r="C880" s="57"/>
      <c r="D880" s="57"/>
      <c r="E880" s="57"/>
      <c r="F880" s="57"/>
      <c r="G880" s="57"/>
      <c r="I880" s="55"/>
      <c r="J880" s="57"/>
      <c r="K880" s="57"/>
      <c r="L880" s="57"/>
      <c r="M880" s="57"/>
      <c r="N880" s="57"/>
    </row>
    <row r="881" spans="2:14" ht="12" x14ac:dyDescent="0.2">
      <c r="B881" s="56"/>
      <c r="C881" s="58"/>
      <c r="D881" s="58"/>
      <c r="E881" s="58"/>
      <c r="F881" s="58"/>
      <c r="G881" s="58"/>
      <c r="I881" s="56"/>
      <c r="J881" s="58"/>
      <c r="K881" s="58"/>
      <c r="L881" s="58"/>
      <c r="M881" s="58"/>
      <c r="N881" s="58"/>
    </row>
    <row r="882" spans="2:14" ht="12" x14ac:dyDescent="0.2">
      <c r="B882" s="55"/>
      <c r="C882" s="57"/>
      <c r="D882" s="57"/>
      <c r="E882" s="57"/>
      <c r="F882" s="57"/>
      <c r="G882" s="57"/>
      <c r="I882" s="55"/>
      <c r="J882" s="57"/>
      <c r="K882" s="57"/>
      <c r="L882" s="57"/>
      <c r="M882" s="57"/>
      <c r="N882" s="57"/>
    </row>
    <row r="883" spans="2:14" ht="12" x14ac:dyDescent="0.2">
      <c r="B883" s="56"/>
      <c r="C883" s="58"/>
      <c r="D883" s="58"/>
      <c r="E883" s="58"/>
      <c r="F883" s="58"/>
      <c r="G883" s="58"/>
      <c r="I883" s="56"/>
      <c r="J883" s="58"/>
      <c r="K883" s="58"/>
      <c r="L883" s="58"/>
      <c r="M883" s="58"/>
      <c r="N883" s="58"/>
    </row>
    <row r="884" spans="2:14" ht="12" x14ac:dyDescent="0.2">
      <c r="B884" s="55"/>
      <c r="C884" s="57"/>
      <c r="D884" s="57"/>
      <c r="E884" s="57"/>
      <c r="F884" s="57"/>
      <c r="G884" s="57"/>
      <c r="I884" s="55"/>
      <c r="J884" s="57"/>
      <c r="K884" s="57"/>
      <c r="L884" s="57"/>
      <c r="M884" s="57"/>
      <c r="N884" s="57"/>
    </row>
    <row r="885" spans="2:14" ht="12" x14ac:dyDescent="0.2">
      <c r="B885" s="56"/>
      <c r="C885" s="58"/>
      <c r="D885" s="58"/>
      <c r="E885" s="58"/>
      <c r="F885" s="58"/>
      <c r="G885" s="58"/>
      <c r="I885" s="56"/>
      <c r="J885" s="58"/>
      <c r="K885" s="58"/>
      <c r="L885" s="58"/>
      <c r="M885" s="58"/>
      <c r="N885" s="58"/>
    </row>
    <row r="886" spans="2:14" ht="12" x14ac:dyDescent="0.2">
      <c r="B886" s="55"/>
      <c r="C886" s="57"/>
      <c r="D886" s="57"/>
      <c r="E886" s="57"/>
      <c r="F886" s="57"/>
      <c r="G886" s="57"/>
      <c r="I886" s="55"/>
      <c r="J886" s="57"/>
      <c r="K886" s="57"/>
      <c r="L886" s="57"/>
      <c r="M886" s="57"/>
      <c r="N886" s="57"/>
    </row>
    <row r="887" spans="2:14" ht="12" x14ac:dyDescent="0.2">
      <c r="B887" s="56"/>
      <c r="C887" s="58"/>
      <c r="D887" s="58"/>
      <c r="E887" s="58"/>
      <c r="F887" s="58"/>
      <c r="G887" s="58"/>
      <c r="I887" s="56"/>
      <c r="J887" s="58"/>
      <c r="K887" s="58"/>
      <c r="L887" s="58"/>
      <c r="M887" s="58"/>
      <c r="N887" s="58"/>
    </row>
    <row r="888" spans="2:14" ht="12" x14ac:dyDescent="0.2">
      <c r="B888" s="55"/>
      <c r="C888" s="57"/>
      <c r="D888" s="57"/>
      <c r="E888" s="57"/>
      <c r="F888" s="57"/>
      <c r="G888" s="57"/>
      <c r="I888" s="55"/>
      <c r="J888" s="57"/>
      <c r="K888" s="57"/>
      <c r="L888" s="57"/>
      <c r="M888" s="57"/>
      <c r="N888" s="57"/>
    </row>
    <row r="889" spans="2:14" ht="12" x14ac:dyDescent="0.2">
      <c r="B889" s="56"/>
      <c r="C889" s="58"/>
      <c r="D889" s="58"/>
      <c r="E889" s="58"/>
      <c r="F889" s="58"/>
      <c r="G889" s="58"/>
      <c r="I889" s="56"/>
      <c r="J889" s="58"/>
      <c r="K889" s="58"/>
      <c r="L889" s="58"/>
      <c r="M889" s="58"/>
      <c r="N889" s="58"/>
    </row>
    <row r="890" spans="2:14" ht="12" x14ac:dyDescent="0.2">
      <c r="B890" s="55"/>
      <c r="C890" s="57"/>
      <c r="D890" s="57"/>
      <c r="E890" s="57"/>
      <c r="F890" s="57"/>
      <c r="G890" s="57"/>
      <c r="I890" s="55"/>
      <c r="J890" s="57"/>
      <c r="K890" s="57"/>
      <c r="L890" s="57"/>
      <c r="M890" s="57"/>
      <c r="N890" s="57"/>
    </row>
    <row r="891" spans="2:14" ht="12" x14ac:dyDescent="0.2">
      <c r="B891" s="56"/>
      <c r="C891" s="58"/>
      <c r="D891" s="58"/>
      <c r="E891" s="58"/>
      <c r="F891" s="58"/>
      <c r="G891" s="58"/>
      <c r="I891" s="56"/>
      <c r="J891" s="58"/>
      <c r="K891" s="58"/>
      <c r="L891" s="58"/>
      <c r="M891" s="58"/>
      <c r="N891" s="58"/>
    </row>
    <row r="892" spans="2:14" ht="12" x14ac:dyDescent="0.2">
      <c r="B892" s="55"/>
      <c r="C892" s="57"/>
      <c r="D892" s="57"/>
      <c r="E892" s="57"/>
      <c r="F892" s="57"/>
      <c r="G892" s="57"/>
      <c r="I892" s="55"/>
      <c r="J892" s="57"/>
      <c r="K892" s="57"/>
      <c r="L892" s="57"/>
      <c r="M892" s="57"/>
      <c r="N892" s="57"/>
    </row>
    <row r="893" spans="2:14" ht="12" x14ac:dyDescent="0.2">
      <c r="B893" s="56"/>
      <c r="C893" s="58"/>
      <c r="D893" s="58"/>
      <c r="E893" s="58"/>
      <c r="F893" s="58"/>
      <c r="G893" s="58"/>
      <c r="I893" s="56"/>
      <c r="J893" s="58"/>
      <c r="K893" s="58"/>
      <c r="L893" s="58"/>
      <c r="M893" s="58"/>
      <c r="N893" s="58"/>
    </row>
    <row r="894" spans="2:14" ht="12" x14ac:dyDescent="0.2">
      <c r="B894" s="55"/>
      <c r="C894" s="57"/>
      <c r="D894" s="57"/>
      <c r="E894" s="57"/>
      <c r="F894" s="57"/>
      <c r="G894" s="57"/>
      <c r="I894" s="55"/>
      <c r="J894" s="57"/>
      <c r="K894" s="57"/>
      <c r="L894" s="57"/>
      <c r="M894" s="57"/>
      <c r="N894" s="57"/>
    </row>
    <row r="895" spans="2:14" ht="12" x14ac:dyDescent="0.2">
      <c r="B895" s="56"/>
      <c r="C895" s="58"/>
      <c r="D895" s="58"/>
      <c r="E895" s="58"/>
      <c r="F895" s="58"/>
      <c r="G895" s="58"/>
      <c r="I895" s="56"/>
      <c r="J895" s="58"/>
      <c r="K895" s="58"/>
      <c r="L895" s="58"/>
      <c r="M895" s="58"/>
      <c r="N895" s="58"/>
    </row>
    <row r="896" spans="2:14" ht="12" x14ac:dyDescent="0.2">
      <c r="B896" s="55"/>
      <c r="C896" s="57"/>
      <c r="D896" s="57"/>
      <c r="E896" s="57"/>
      <c r="F896" s="57"/>
      <c r="G896" s="57"/>
      <c r="I896" s="55"/>
      <c r="J896" s="57"/>
      <c r="K896" s="57"/>
      <c r="L896" s="57"/>
      <c r="M896" s="57"/>
      <c r="N896" s="57"/>
    </row>
    <row r="897" spans="2:14" ht="12" x14ac:dyDescent="0.2">
      <c r="B897" s="56"/>
      <c r="C897" s="58"/>
      <c r="D897" s="58"/>
      <c r="E897" s="58"/>
      <c r="F897" s="58"/>
      <c r="G897" s="58"/>
      <c r="I897" s="56"/>
      <c r="J897" s="58"/>
      <c r="K897" s="58"/>
      <c r="L897" s="58"/>
      <c r="M897" s="58"/>
      <c r="N897" s="58"/>
    </row>
    <row r="898" spans="2:14" ht="12" x14ac:dyDescent="0.2">
      <c r="B898" s="55"/>
      <c r="C898" s="57"/>
      <c r="D898" s="57"/>
      <c r="E898" s="57"/>
      <c r="F898" s="57"/>
      <c r="G898" s="57"/>
      <c r="I898" s="55"/>
      <c r="J898" s="57"/>
      <c r="K898" s="57"/>
      <c r="L898" s="57"/>
      <c r="M898" s="57"/>
      <c r="N898" s="57"/>
    </row>
    <row r="899" spans="2:14" ht="12" x14ac:dyDescent="0.2">
      <c r="B899" s="56"/>
      <c r="C899" s="58"/>
      <c r="D899" s="58"/>
      <c r="E899" s="58"/>
      <c r="F899" s="58"/>
      <c r="G899" s="58"/>
      <c r="I899" s="56"/>
      <c r="J899" s="58"/>
      <c r="K899" s="58"/>
      <c r="L899" s="58"/>
      <c r="M899" s="58"/>
      <c r="N899" s="58"/>
    </row>
    <row r="900" spans="2:14" ht="12" x14ac:dyDescent="0.2">
      <c r="B900" s="55"/>
      <c r="C900" s="57"/>
      <c r="D900" s="57"/>
      <c r="E900" s="57"/>
      <c r="F900" s="57"/>
      <c r="G900" s="57"/>
      <c r="I900" s="55"/>
      <c r="J900" s="57"/>
      <c r="K900" s="57"/>
      <c r="L900" s="57"/>
      <c r="M900" s="57"/>
      <c r="N900" s="57"/>
    </row>
    <row r="901" spans="2:14" ht="12" x14ac:dyDescent="0.2">
      <c r="B901" s="56"/>
      <c r="C901" s="58"/>
      <c r="D901" s="58"/>
      <c r="E901" s="58"/>
      <c r="F901" s="58"/>
      <c r="G901" s="58"/>
      <c r="I901" s="56"/>
      <c r="J901" s="58"/>
      <c r="K901" s="58"/>
      <c r="L901" s="58"/>
      <c r="M901" s="58"/>
      <c r="N901" s="58"/>
    </row>
    <row r="902" spans="2:14" ht="12" x14ac:dyDescent="0.2">
      <c r="B902" s="55"/>
      <c r="C902" s="57"/>
      <c r="D902" s="57"/>
      <c r="E902" s="57"/>
      <c r="F902" s="57"/>
      <c r="G902" s="57"/>
      <c r="I902" s="55"/>
      <c r="J902" s="57"/>
      <c r="K902" s="57"/>
      <c r="L902" s="57"/>
      <c r="M902" s="57"/>
      <c r="N902" s="57"/>
    </row>
    <row r="903" spans="2:14" ht="12" x14ac:dyDescent="0.2">
      <c r="B903" s="56"/>
      <c r="C903" s="58"/>
      <c r="D903" s="58"/>
      <c r="E903" s="58"/>
      <c r="F903" s="58"/>
      <c r="G903" s="58"/>
      <c r="I903" s="56"/>
      <c r="J903" s="58"/>
      <c r="K903" s="58"/>
      <c r="L903" s="58"/>
      <c r="M903" s="58"/>
      <c r="N903" s="58"/>
    </row>
    <row r="904" spans="2:14" ht="12" x14ac:dyDescent="0.2">
      <c r="B904" s="55"/>
      <c r="C904" s="57"/>
      <c r="D904" s="57"/>
      <c r="E904" s="57"/>
      <c r="F904" s="57"/>
      <c r="G904" s="57"/>
      <c r="I904" s="55"/>
      <c r="J904" s="57"/>
      <c r="K904" s="57"/>
      <c r="L904" s="57"/>
      <c r="M904" s="57"/>
      <c r="N904" s="57"/>
    </row>
    <row r="905" spans="2:14" ht="12" x14ac:dyDescent="0.2">
      <c r="B905" s="56"/>
      <c r="C905" s="58"/>
      <c r="D905" s="58"/>
      <c r="E905" s="58"/>
      <c r="F905" s="58"/>
      <c r="G905" s="58"/>
      <c r="I905" s="56"/>
      <c r="J905" s="58"/>
      <c r="K905" s="58"/>
      <c r="L905" s="58"/>
      <c r="M905" s="58"/>
      <c r="N905" s="58"/>
    </row>
    <row r="906" spans="2:14" ht="12" x14ac:dyDescent="0.2">
      <c r="B906" s="55"/>
      <c r="C906" s="57"/>
      <c r="D906" s="57"/>
      <c r="E906" s="57"/>
      <c r="F906" s="57"/>
      <c r="G906" s="57"/>
      <c r="I906" s="55"/>
      <c r="J906" s="57"/>
      <c r="K906" s="57"/>
      <c r="L906" s="57"/>
      <c r="M906" s="57"/>
      <c r="N906" s="57"/>
    </row>
    <row r="907" spans="2:14" ht="12" x14ac:dyDescent="0.2">
      <c r="B907" s="56"/>
      <c r="C907" s="58"/>
      <c r="D907" s="58"/>
      <c r="E907" s="58"/>
      <c r="F907" s="58"/>
      <c r="G907" s="58"/>
      <c r="I907" s="56"/>
      <c r="J907" s="58"/>
      <c r="K907" s="58"/>
      <c r="L907" s="58"/>
      <c r="M907" s="58"/>
      <c r="N907" s="58"/>
    </row>
    <row r="908" spans="2:14" ht="12" x14ac:dyDescent="0.2">
      <c r="B908" s="55"/>
      <c r="C908" s="57"/>
      <c r="D908" s="57"/>
      <c r="E908" s="57"/>
      <c r="F908" s="57"/>
      <c r="G908" s="57"/>
      <c r="I908" s="55"/>
      <c r="J908" s="57"/>
      <c r="K908" s="57"/>
      <c r="L908" s="57"/>
      <c r="M908" s="57"/>
      <c r="N908" s="57"/>
    </row>
    <row r="909" spans="2:14" ht="12" x14ac:dyDescent="0.2">
      <c r="B909" s="56"/>
      <c r="C909" s="58"/>
      <c r="D909" s="58"/>
      <c r="E909" s="58"/>
      <c r="F909" s="58"/>
      <c r="G909" s="58"/>
      <c r="I909" s="56"/>
      <c r="J909" s="58"/>
      <c r="K909" s="58"/>
      <c r="L909" s="58"/>
      <c r="M909" s="58"/>
      <c r="N909" s="58"/>
    </row>
    <row r="910" spans="2:14" ht="12" x14ac:dyDescent="0.2">
      <c r="B910" s="55"/>
      <c r="C910" s="57"/>
      <c r="D910" s="57"/>
      <c r="E910" s="57"/>
      <c r="F910" s="57"/>
      <c r="G910" s="57"/>
      <c r="I910" s="55"/>
      <c r="J910" s="57"/>
      <c r="K910" s="57"/>
      <c r="L910" s="57"/>
      <c r="M910" s="57"/>
      <c r="N910" s="57"/>
    </row>
    <row r="911" spans="2:14" ht="12" x14ac:dyDescent="0.2">
      <c r="B911" s="56"/>
      <c r="C911" s="58"/>
      <c r="D911" s="58"/>
      <c r="E911" s="58"/>
      <c r="F911" s="58"/>
      <c r="G911" s="58"/>
      <c r="I911" s="56"/>
      <c r="J911" s="58"/>
      <c r="K911" s="58"/>
      <c r="L911" s="58"/>
      <c r="M911" s="58"/>
      <c r="N911" s="58"/>
    </row>
    <row r="912" spans="2:14" ht="12" x14ac:dyDescent="0.2">
      <c r="B912" s="55"/>
      <c r="C912" s="57"/>
      <c r="D912" s="57"/>
      <c r="E912" s="57"/>
      <c r="F912" s="57"/>
      <c r="G912" s="57"/>
      <c r="I912" s="55"/>
      <c r="J912" s="57"/>
      <c r="K912" s="57"/>
      <c r="L912" s="57"/>
      <c r="M912" s="57"/>
      <c r="N912" s="57"/>
    </row>
    <row r="913" spans="2:14" ht="12" x14ac:dyDescent="0.2">
      <c r="B913" s="56"/>
      <c r="C913" s="58"/>
      <c r="D913" s="58"/>
      <c r="E913" s="58"/>
      <c r="F913" s="58"/>
      <c r="G913" s="58"/>
      <c r="I913" s="56"/>
      <c r="J913" s="58"/>
      <c r="K913" s="58"/>
      <c r="L913" s="58"/>
      <c r="M913" s="58"/>
      <c r="N913" s="58"/>
    </row>
    <row r="914" spans="2:14" ht="12" x14ac:dyDescent="0.2">
      <c r="B914" s="55"/>
      <c r="C914" s="57"/>
      <c r="D914" s="57"/>
      <c r="E914" s="57"/>
      <c r="F914" s="57"/>
      <c r="G914" s="57"/>
      <c r="I914" s="55"/>
      <c r="J914" s="57"/>
      <c r="K914" s="57"/>
      <c r="L914" s="57"/>
      <c r="M914" s="57"/>
      <c r="N914" s="57"/>
    </row>
    <row r="915" spans="2:14" ht="12" x14ac:dyDescent="0.2">
      <c r="B915" s="56"/>
      <c r="C915" s="58"/>
      <c r="D915" s="58"/>
      <c r="E915" s="58"/>
      <c r="F915" s="58"/>
      <c r="G915" s="58"/>
      <c r="I915" s="56"/>
      <c r="J915" s="58"/>
      <c r="K915" s="58"/>
      <c r="L915" s="58"/>
      <c r="M915" s="58"/>
      <c r="N915" s="58"/>
    </row>
    <row r="916" spans="2:14" ht="12" x14ac:dyDescent="0.2">
      <c r="B916" s="55"/>
      <c r="C916" s="57"/>
      <c r="D916" s="57"/>
      <c r="E916" s="57"/>
      <c r="F916" s="57"/>
      <c r="G916" s="57"/>
      <c r="I916" s="55"/>
      <c r="J916" s="57"/>
      <c r="K916" s="57"/>
      <c r="L916" s="57"/>
      <c r="M916" s="57"/>
      <c r="N916" s="57"/>
    </row>
    <row r="917" spans="2:14" ht="12" x14ac:dyDescent="0.2">
      <c r="B917" s="56"/>
      <c r="C917" s="58"/>
      <c r="D917" s="58"/>
      <c r="E917" s="58"/>
      <c r="F917" s="58"/>
      <c r="G917" s="58"/>
      <c r="I917" s="56"/>
      <c r="J917" s="58"/>
      <c r="K917" s="58"/>
      <c r="L917" s="58"/>
      <c r="M917" s="58"/>
      <c r="N917" s="58"/>
    </row>
    <row r="918" spans="2:14" ht="12" x14ac:dyDescent="0.2">
      <c r="B918" s="55"/>
      <c r="C918" s="57"/>
      <c r="D918" s="57"/>
      <c r="E918" s="57"/>
      <c r="F918" s="57"/>
      <c r="G918" s="57"/>
      <c r="I918" s="55"/>
      <c r="J918" s="57"/>
      <c r="K918" s="57"/>
      <c r="L918" s="57"/>
      <c r="M918" s="57"/>
      <c r="N918" s="57"/>
    </row>
    <row r="919" spans="2:14" ht="12" x14ac:dyDescent="0.2">
      <c r="B919" s="56"/>
      <c r="C919" s="58"/>
      <c r="D919" s="58"/>
      <c r="E919" s="58"/>
      <c r="F919" s="58"/>
      <c r="G919" s="58"/>
      <c r="I919" s="56"/>
      <c r="J919" s="58"/>
      <c r="K919" s="58"/>
      <c r="L919" s="58"/>
      <c r="M919" s="58"/>
      <c r="N919" s="58"/>
    </row>
    <row r="920" spans="2:14" ht="12" x14ac:dyDescent="0.2">
      <c r="B920" s="55"/>
      <c r="C920" s="57"/>
      <c r="D920" s="57"/>
      <c r="E920" s="57"/>
      <c r="F920" s="57"/>
      <c r="G920" s="57"/>
      <c r="I920" s="55"/>
      <c r="J920" s="57"/>
      <c r="K920" s="57"/>
      <c r="L920" s="57"/>
      <c r="M920" s="57"/>
      <c r="N920" s="57"/>
    </row>
    <row r="921" spans="2:14" ht="12" x14ac:dyDescent="0.2">
      <c r="B921" s="56"/>
      <c r="C921" s="58"/>
      <c r="D921" s="58"/>
      <c r="E921" s="58"/>
      <c r="F921" s="58"/>
      <c r="G921" s="58"/>
      <c r="I921" s="56"/>
      <c r="J921" s="58"/>
      <c r="K921" s="58"/>
      <c r="L921" s="58"/>
      <c r="M921" s="58"/>
      <c r="N921" s="58"/>
    </row>
    <row r="922" spans="2:14" ht="12" x14ac:dyDescent="0.2">
      <c r="B922" s="55"/>
      <c r="C922" s="57"/>
      <c r="D922" s="57"/>
      <c r="E922" s="57"/>
      <c r="F922" s="57"/>
      <c r="G922" s="57"/>
      <c r="I922" s="55"/>
      <c r="J922" s="57"/>
      <c r="K922" s="57"/>
      <c r="L922" s="57"/>
      <c r="M922" s="57"/>
      <c r="N922" s="57"/>
    </row>
    <row r="923" spans="2:14" ht="12" x14ac:dyDescent="0.2">
      <c r="B923" s="56"/>
      <c r="C923" s="58"/>
      <c r="D923" s="58"/>
      <c r="E923" s="58"/>
      <c r="F923" s="58"/>
      <c r="G923" s="58"/>
      <c r="I923" s="56"/>
      <c r="J923" s="58"/>
      <c r="K923" s="58"/>
      <c r="L923" s="58"/>
      <c r="M923" s="58"/>
      <c r="N923" s="58"/>
    </row>
    <row r="924" spans="2:14" ht="12" x14ac:dyDescent="0.2">
      <c r="B924" s="55"/>
      <c r="C924" s="57"/>
      <c r="D924" s="57"/>
      <c r="E924" s="57"/>
      <c r="F924" s="57"/>
      <c r="G924" s="57"/>
      <c r="I924" s="55"/>
      <c r="J924" s="57"/>
      <c r="K924" s="57"/>
      <c r="L924" s="57"/>
      <c r="M924" s="57"/>
      <c r="N924" s="57"/>
    </row>
    <row r="925" spans="2:14" ht="12" x14ac:dyDescent="0.2">
      <c r="B925" s="56"/>
      <c r="C925" s="58"/>
      <c r="D925" s="58"/>
      <c r="E925" s="58"/>
      <c r="F925" s="58"/>
      <c r="G925" s="58"/>
      <c r="I925" s="56"/>
      <c r="J925" s="58"/>
      <c r="K925" s="58"/>
      <c r="L925" s="58"/>
      <c r="M925" s="58"/>
      <c r="N925" s="58"/>
    </row>
    <row r="926" spans="2:14" ht="12" x14ac:dyDescent="0.2">
      <c r="B926" s="55"/>
      <c r="C926" s="57"/>
      <c r="D926" s="57"/>
      <c r="E926" s="57"/>
      <c r="F926" s="57"/>
      <c r="G926" s="57"/>
      <c r="I926" s="55"/>
      <c r="J926" s="57"/>
      <c r="K926" s="57"/>
      <c r="L926" s="57"/>
      <c r="M926" s="57"/>
      <c r="N926" s="57"/>
    </row>
    <row r="927" spans="2:14" ht="12" x14ac:dyDescent="0.2">
      <c r="B927" s="56"/>
      <c r="C927" s="58"/>
      <c r="D927" s="58"/>
      <c r="E927" s="58"/>
      <c r="F927" s="58"/>
      <c r="G927" s="58"/>
      <c r="I927" s="56"/>
      <c r="J927" s="58"/>
      <c r="K927" s="58"/>
      <c r="L927" s="58"/>
      <c r="M927" s="58"/>
      <c r="N927" s="58"/>
    </row>
    <row r="928" spans="2:14" ht="12" x14ac:dyDescent="0.2">
      <c r="B928" s="55"/>
      <c r="C928" s="57"/>
      <c r="D928" s="57"/>
      <c r="E928" s="57"/>
      <c r="F928" s="57"/>
      <c r="G928" s="57"/>
      <c r="I928" s="55"/>
      <c r="J928" s="57"/>
      <c r="K928" s="57"/>
      <c r="L928" s="57"/>
      <c r="M928" s="57"/>
      <c r="N928" s="57"/>
    </row>
    <row r="929" spans="2:14" ht="12" x14ac:dyDescent="0.2">
      <c r="B929" s="56"/>
      <c r="C929" s="58"/>
      <c r="D929" s="58"/>
      <c r="E929" s="58"/>
      <c r="F929" s="58"/>
      <c r="G929" s="58"/>
      <c r="I929" s="56"/>
      <c r="J929" s="58"/>
      <c r="K929" s="58"/>
      <c r="L929" s="58"/>
      <c r="M929" s="58"/>
      <c r="N929" s="58"/>
    </row>
    <row r="930" spans="2:14" ht="12" x14ac:dyDescent="0.2">
      <c r="B930" s="55"/>
      <c r="C930" s="57"/>
      <c r="D930" s="57"/>
      <c r="E930" s="57"/>
      <c r="F930" s="57"/>
      <c r="G930" s="57"/>
      <c r="I930" s="55"/>
      <c r="J930" s="57"/>
      <c r="K930" s="57"/>
      <c r="L930" s="57"/>
      <c r="M930" s="57"/>
      <c r="N930" s="57"/>
    </row>
    <row r="931" spans="2:14" ht="12" x14ac:dyDescent="0.2">
      <c r="B931" s="56"/>
      <c r="C931" s="58"/>
      <c r="D931" s="58"/>
      <c r="E931" s="58"/>
      <c r="F931" s="58"/>
      <c r="G931" s="58"/>
      <c r="I931" s="56"/>
      <c r="J931" s="58"/>
      <c r="K931" s="58"/>
      <c r="L931" s="58"/>
      <c r="M931" s="58"/>
      <c r="N931" s="58"/>
    </row>
    <row r="932" spans="2:14" ht="12" x14ac:dyDescent="0.2">
      <c r="B932" s="55"/>
      <c r="C932" s="57"/>
      <c r="D932" s="57"/>
      <c r="E932" s="57"/>
      <c r="F932" s="57"/>
      <c r="G932" s="57"/>
      <c r="I932" s="55"/>
      <c r="J932" s="57"/>
      <c r="K932" s="57"/>
      <c r="L932" s="57"/>
      <c r="M932" s="57"/>
      <c r="N932" s="57"/>
    </row>
    <row r="933" spans="2:14" ht="12" x14ac:dyDescent="0.2">
      <c r="B933" s="56"/>
      <c r="C933" s="58"/>
      <c r="D933" s="58"/>
      <c r="E933" s="58"/>
      <c r="F933" s="58"/>
      <c r="G933" s="58"/>
      <c r="I933" s="56"/>
      <c r="J933" s="58"/>
      <c r="K933" s="58"/>
      <c r="L933" s="58"/>
      <c r="M933" s="58"/>
      <c r="N933" s="58"/>
    </row>
    <row r="934" spans="2:14" ht="12" x14ac:dyDescent="0.2">
      <c r="B934" s="55"/>
      <c r="C934" s="57"/>
      <c r="D934" s="57"/>
      <c r="E934" s="57"/>
      <c r="F934" s="57"/>
      <c r="G934" s="57"/>
      <c r="I934" s="55"/>
      <c r="J934" s="57"/>
      <c r="K934" s="57"/>
      <c r="L934" s="57"/>
      <c r="M934" s="57"/>
      <c r="N934" s="57"/>
    </row>
    <row r="935" spans="2:14" ht="12" x14ac:dyDescent="0.2">
      <c r="B935" s="56"/>
      <c r="C935" s="58"/>
      <c r="D935" s="58"/>
      <c r="E935" s="58"/>
      <c r="F935" s="58"/>
      <c r="G935" s="58"/>
      <c r="I935" s="56"/>
      <c r="J935" s="58"/>
      <c r="K935" s="58"/>
      <c r="L935" s="58"/>
      <c r="M935" s="58"/>
      <c r="N935" s="58"/>
    </row>
    <row r="936" spans="2:14" ht="12" x14ac:dyDescent="0.2">
      <c r="B936" s="55"/>
      <c r="C936" s="57"/>
      <c r="D936" s="57"/>
      <c r="E936" s="57"/>
      <c r="F936" s="57"/>
      <c r="G936" s="57"/>
      <c r="I936" s="55"/>
      <c r="J936" s="57"/>
      <c r="K936" s="57"/>
      <c r="L936" s="57"/>
      <c r="M936" s="57"/>
      <c r="N936" s="57"/>
    </row>
    <row r="937" spans="2:14" ht="12" x14ac:dyDescent="0.2">
      <c r="B937" s="56"/>
      <c r="C937" s="58"/>
      <c r="D937" s="58"/>
      <c r="E937" s="58"/>
      <c r="F937" s="58"/>
      <c r="G937" s="58"/>
      <c r="I937" s="56"/>
      <c r="J937" s="58"/>
      <c r="K937" s="58"/>
      <c r="L937" s="58"/>
      <c r="M937" s="58"/>
      <c r="N937" s="58"/>
    </row>
    <row r="938" spans="2:14" ht="12" x14ac:dyDescent="0.2">
      <c r="B938" s="55"/>
      <c r="C938" s="57"/>
      <c r="D938" s="57"/>
      <c r="E938" s="57"/>
      <c r="F938" s="57"/>
      <c r="G938" s="57"/>
      <c r="I938" s="55"/>
      <c r="J938" s="57"/>
      <c r="K938" s="57"/>
      <c r="L938" s="57"/>
      <c r="M938" s="57"/>
      <c r="N938" s="57"/>
    </row>
    <row r="939" spans="2:14" ht="12" x14ac:dyDescent="0.2">
      <c r="B939" s="56"/>
      <c r="C939" s="58"/>
      <c r="D939" s="58"/>
      <c r="E939" s="58"/>
      <c r="F939" s="58"/>
      <c r="G939" s="58"/>
      <c r="I939" s="56"/>
      <c r="J939" s="58"/>
      <c r="K939" s="58"/>
      <c r="L939" s="58"/>
      <c r="M939" s="58"/>
      <c r="N939" s="58"/>
    </row>
    <row r="940" spans="2:14" ht="12" x14ac:dyDescent="0.2">
      <c r="B940" s="55"/>
      <c r="C940" s="57"/>
      <c r="D940" s="57"/>
      <c r="E940" s="57"/>
      <c r="F940" s="57"/>
      <c r="G940" s="57"/>
      <c r="I940" s="55"/>
      <c r="J940" s="57"/>
      <c r="K940" s="57"/>
      <c r="L940" s="57"/>
      <c r="M940" s="57"/>
      <c r="N940" s="57"/>
    </row>
    <row r="941" spans="2:14" ht="12" x14ac:dyDescent="0.2">
      <c r="B941" s="56"/>
      <c r="C941" s="58"/>
      <c r="D941" s="58"/>
      <c r="E941" s="58"/>
      <c r="F941" s="58"/>
      <c r="G941" s="58"/>
      <c r="I941" s="56"/>
      <c r="J941" s="58"/>
      <c r="K941" s="58"/>
      <c r="L941" s="58"/>
      <c r="M941" s="58"/>
      <c r="N941" s="58"/>
    </row>
    <row r="942" spans="2:14" ht="12" x14ac:dyDescent="0.2">
      <c r="B942" s="55"/>
      <c r="C942" s="57"/>
      <c r="D942" s="57"/>
      <c r="E942" s="57"/>
      <c r="F942" s="57"/>
      <c r="G942" s="57"/>
      <c r="I942" s="55"/>
      <c r="J942" s="57"/>
      <c r="K942" s="57"/>
      <c r="L942" s="57"/>
      <c r="M942" s="57"/>
      <c r="N942" s="57"/>
    </row>
    <row r="943" spans="2:14" ht="12" x14ac:dyDescent="0.2">
      <c r="B943" s="56"/>
      <c r="C943" s="58"/>
      <c r="D943" s="58"/>
      <c r="E943" s="58"/>
      <c r="F943" s="58"/>
      <c r="G943" s="58"/>
      <c r="I943" s="56"/>
      <c r="J943" s="58"/>
      <c r="K943" s="58"/>
      <c r="L943" s="58"/>
      <c r="M943" s="58"/>
      <c r="N943" s="58"/>
    </row>
    <row r="944" spans="2:14" ht="12" x14ac:dyDescent="0.2">
      <c r="B944" s="55"/>
      <c r="C944" s="57"/>
      <c r="D944" s="57"/>
      <c r="E944" s="57"/>
      <c r="F944" s="57"/>
      <c r="G944" s="57"/>
      <c r="I944" s="55"/>
      <c r="J944" s="57"/>
      <c r="K944" s="57"/>
      <c r="L944" s="57"/>
      <c r="M944" s="57"/>
      <c r="N944" s="57"/>
    </row>
    <row r="945" spans="2:14" ht="12" x14ac:dyDescent="0.2">
      <c r="B945" s="56"/>
      <c r="C945" s="58"/>
      <c r="D945" s="58"/>
      <c r="E945" s="58"/>
      <c r="F945" s="58"/>
      <c r="G945" s="58"/>
      <c r="I945" s="56"/>
      <c r="J945" s="58"/>
      <c r="K945" s="58"/>
      <c r="L945" s="58"/>
      <c r="M945" s="58"/>
      <c r="N945" s="58"/>
    </row>
    <row r="946" spans="2:14" ht="12" x14ac:dyDescent="0.2">
      <c r="B946" s="55"/>
      <c r="C946" s="57"/>
      <c r="D946" s="57"/>
      <c r="E946" s="57"/>
      <c r="F946" s="57"/>
      <c r="G946" s="57"/>
      <c r="I946" s="55"/>
      <c r="J946" s="57"/>
      <c r="K946" s="57"/>
      <c r="L946" s="57"/>
      <c r="M946" s="57"/>
      <c r="N946" s="57"/>
    </row>
    <row r="947" spans="2:14" ht="12" x14ac:dyDescent="0.2">
      <c r="B947" s="56"/>
      <c r="C947" s="58"/>
      <c r="D947" s="58"/>
      <c r="E947" s="58"/>
      <c r="F947" s="58"/>
      <c r="G947" s="58"/>
      <c r="I947" s="56"/>
      <c r="J947" s="58"/>
      <c r="K947" s="58"/>
      <c r="L947" s="58"/>
      <c r="M947" s="58"/>
      <c r="N947" s="58"/>
    </row>
    <row r="948" spans="2:14" ht="12" x14ac:dyDescent="0.2">
      <c r="B948" s="55"/>
      <c r="C948" s="57"/>
      <c r="D948" s="57"/>
      <c r="E948" s="57"/>
      <c r="F948" s="57"/>
      <c r="G948" s="57"/>
      <c r="I948" s="55"/>
      <c r="J948" s="57"/>
      <c r="K948" s="57"/>
      <c r="L948" s="57"/>
      <c r="M948" s="57"/>
      <c r="N948" s="57"/>
    </row>
    <row r="949" spans="2:14" ht="12" x14ac:dyDescent="0.2">
      <c r="B949" s="56"/>
      <c r="C949" s="58"/>
      <c r="D949" s="58"/>
      <c r="E949" s="58"/>
      <c r="F949" s="58"/>
      <c r="G949" s="58"/>
      <c r="I949" s="56"/>
      <c r="J949" s="58"/>
      <c r="K949" s="58"/>
      <c r="L949" s="58"/>
      <c r="M949" s="58"/>
      <c r="N949" s="58"/>
    </row>
    <row r="950" spans="2:14" ht="12" x14ac:dyDescent="0.2">
      <c r="B950" s="55"/>
      <c r="C950" s="57"/>
      <c r="D950" s="57"/>
      <c r="E950" s="57"/>
      <c r="F950" s="57"/>
      <c r="G950" s="57"/>
      <c r="I950" s="55"/>
      <c r="J950" s="57"/>
      <c r="K950" s="57"/>
      <c r="L950" s="57"/>
      <c r="M950" s="57"/>
      <c r="N950" s="57"/>
    </row>
    <row r="951" spans="2:14" ht="12" x14ac:dyDescent="0.2">
      <c r="B951" s="56"/>
      <c r="C951" s="58"/>
      <c r="D951" s="58"/>
      <c r="E951" s="58"/>
      <c r="F951" s="58"/>
      <c r="G951" s="58"/>
      <c r="I951" s="56"/>
      <c r="J951" s="58"/>
      <c r="K951" s="58"/>
      <c r="L951" s="58"/>
      <c r="M951" s="58"/>
      <c r="N951" s="58"/>
    </row>
    <row r="952" spans="2:14" ht="12" x14ac:dyDescent="0.2">
      <c r="B952" s="55"/>
      <c r="C952" s="57"/>
      <c r="D952" s="57"/>
      <c r="E952" s="57"/>
      <c r="F952" s="57"/>
      <c r="G952" s="57"/>
      <c r="I952" s="55"/>
      <c r="J952" s="57"/>
      <c r="K952" s="57"/>
      <c r="L952" s="57"/>
      <c r="M952" s="57"/>
      <c r="N952" s="57"/>
    </row>
    <row r="953" spans="2:14" ht="12" x14ac:dyDescent="0.2">
      <c r="B953" s="56"/>
      <c r="C953" s="58"/>
      <c r="D953" s="58"/>
      <c r="E953" s="58"/>
      <c r="F953" s="58"/>
      <c r="G953" s="58"/>
      <c r="I953" s="56"/>
      <c r="J953" s="58"/>
      <c r="K953" s="58"/>
      <c r="L953" s="58"/>
      <c r="M953" s="58"/>
      <c r="N953" s="58"/>
    </row>
    <row r="954" spans="2:14" ht="12" x14ac:dyDescent="0.2">
      <c r="B954" s="55"/>
      <c r="C954" s="57"/>
      <c r="D954" s="57"/>
      <c r="E954" s="57"/>
      <c r="F954" s="57"/>
      <c r="G954" s="57"/>
      <c r="I954" s="55"/>
      <c r="J954" s="57"/>
      <c r="K954" s="57"/>
      <c r="L954" s="57"/>
      <c r="M954" s="57"/>
      <c r="N954" s="57"/>
    </row>
    <row r="955" spans="2:14" ht="12" x14ac:dyDescent="0.2">
      <c r="B955" s="56"/>
      <c r="C955" s="58"/>
      <c r="D955" s="58"/>
      <c r="E955" s="58"/>
      <c r="F955" s="58"/>
      <c r="G955" s="58"/>
      <c r="I955" s="56"/>
      <c r="J955" s="58"/>
      <c r="K955" s="58"/>
      <c r="L955" s="58"/>
      <c r="M955" s="58"/>
      <c r="N955" s="58"/>
    </row>
    <row r="956" spans="2:14" ht="12" x14ac:dyDescent="0.2">
      <c r="B956" s="55"/>
      <c r="C956" s="57"/>
      <c r="D956" s="57"/>
      <c r="E956" s="57"/>
      <c r="F956" s="57"/>
      <c r="G956" s="57"/>
      <c r="I956" s="55"/>
      <c r="J956" s="57"/>
      <c r="K956" s="57"/>
      <c r="L956" s="57"/>
      <c r="M956" s="57"/>
      <c r="N956" s="57"/>
    </row>
    <row r="957" spans="2:14" ht="12" x14ac:dyDescent="0.2">
      <c r="B957" s="56"/>
      <c r="C957" s="58"/>
      <c r="D957" s="58"/>
      <c r="E957" s="58"/>
      <c r="F957" s="58"/>
      <c r="G957" s="58"/>
      <c r="I957" s="56"/>
      <c r="J957" s="58"/>
      <c r="K957" s="58"/>
      <c r="L957" s="58"/>
      <c r="M957" s="58"/>
      <c r="N957" s="58"/>
    </row>
    <row r="958" spans="2:14" ht="12" x14ac:dyDescent="0.2">
      <c r="B958" s="55"/>
      <c r="C958" s="57"/>
      <c r="D958" s="57"/>
      <c r="E958" s="57"/>
      <c r="F958" s="57"/>
      <c r="G958" s="57"/>
      <c r="I958" s="55"/>
      <c r="J958" s="57"/>
      <c r="K958" s="57"/>
      <c r="L958" s="57"/>
      <c r="M958" s="57"/>
      <c r="N958" s="57"/>
    </row>
    <row r="959" spans="2:14" ht="12" x14ac:dyDescent="0.2">
      <c r="B959" s="56"/>
      <c r="C959" s="58"/>
      <c r="D959" s="58"/>
      <c r="E959" s="58"/>
      <c r="F959" s="58"/>
      <c r="G959" s="58"/>
      <c r="I959" s="56"/>
      <c r="J959" s="58"/>
      <c r="K959" s="58"/>
      <c r="L959" s="58"/>
      <c r="M959" s="58"/>
      <c r="N959" s="58"/>
    </row>
    <row r="960" spans="2:14" ht="12" x14ac:dyDescent="0.2">
      <c r="B960" s="55"/>
      <c r="C960" s="57"/>
      <c r="D960" s="57"/>
      <c r="E960" s="57"/>
      <c r="F960" s="57"/>
      <c r="G960" s="57"/>
      <c r="I960" s="55"/>
      <c r="J960" s="57"/>
      <c r="K960" s="57"/>
      <c r="L960" s="57"/>
      <c r="M960" s="57"/>
      <c r="N960" s="57"/>
    </row>
    <row r="961" spans="2:14" ht="12" x14ac:dyDescent="0.2">
      <c r="B961" s="56"/>
      <c r="C961" s="58"/>
      <c r="D961" s="58"/>
      <c r="E961" s="58"/>
      <c r="F961" s="58"/>
      <c r="G961" s="58"/>
      <c r="I961" s="56"/>
      <c r="J961" s="58"/>
      <c r="K961" s="58"/>
      <c r="L961" s="58"/>
      <c r="M961" s="58"/>
      <c r="N961" s="58"/>
    </row>
    <row r="962" spans="2:14" ht="12" x14ac:dyDescent="0.2">
      <c r="B962" s="55"/>
      <c r="C962" s="57"/>
      <c r="D962" s="57"/>
      <c r="E962" s="57"/>
      <c r="F962" s="57"/>
      <c r="G962" s="57"/>
      <c r="I962" s="55"/>
      <c r="J962" s="57"/>
      <c r="K962" s="57"/>
      <c r="L962" s="57"/>
      <c r="M962" s="57"/>
      <c r="N962" s="57"/>
    </row>
    <row r="963" spans="2:14" ht="12" x14ac:dyDescent="0.2">
      <c r="B963" s="56"/>
      <c r="C963" s="58"/>
      <c r="D963" s="58"/>
      <c r="E963" s="58"/>
      <c r="F963" s="58"/>
      <c r="G963" s="58"/>
      <c r="I963" s="56"/>
      <c r="J963" s="58"/>
      <c r="K963" s="58"/>
      <c r="L963" s="58"/>
      <c r="M963" s="58"/>
      <c r="N963" s="58"/>
    </row>
    <row r="964" spans="2:14" ht="12" x14ac:dyDescent="0.2">
      <c r="B964" s="55"/>
      <c r="C964" s="57"/>
      <c r="D964" s="57"/>
      <c r="E964" s="57"/>
      <c r="F964" s="57"/>
      <c r="G964" s="57"/>
      <c r="I964" s="55"/>
      <c r="J964" s="57"/>
      <c r="K964" s="57"/>
      <c r="L964" s="57"/>
      <c r="M964" s="57"/>
      <c r="N964" s="57"/>
    </row>
    <row r="965" spans="2:14" ht="12" x14ac:dyDescent="0.2">
      <c r="B965" s="56"/>
      <c r="C965" s="58"/>
      <c r="D965" s="58"/>
      <c r="E965" s="58"/>
      <c r="F965" s="58"/>
      <c r="G965" s="58"/>
      <c r="I965" s="56"/>
      <c r="J965" s="58"/>
      <c r="K965" s="58"/>
      <c r="L965" s="58"/>
      <c r="M965" s="58"/>
      <c r="N965" s="58"/>
    </row>
    <row r="966" spans="2:14" ht="12" x14ac:dyDescent="0.2">
      <c r="B966" s="55"/>
      <c r="C966" s="57"/>
      <c r="D966" s="57"/>
      <c r="E966" s="57"/>
      <c r="F966" s="57"/>
      <c r="G966" s="57"/>
      <c r="I966" s="55"/>
      <c r="J966" s="57"/>
      <c r="K966" s="57"/>
      <c r="L966" s="57"/>
      <c r="M966" s="57"/>
      <c r="N966" s="57"/>
    </row>
    <row r="967" spans="2:14" ht="12" x14ac:dyDescent="0.2">
      <c r="B967" s="56"/>
      <c r="C967" s="58"/>
      <c r="D967" s="58"/>
      <c r="E967" s="58"/>
      <c r="F967" s="58"/>
      <c r="G967" s="58"/>
      <c r="I967" s="56"/>
      <c r="J967" s="58"/>
      <c r="K967" s="58"/>
      <c r="L967" s="58"/>
      <c r="M967" s="58"/>
      <c r="N967" s="58"/>
    </row>
    <row r="968" spans="2:14" ht="12" x14ac:dyDescent="0.2">
      <c r="B968" s="55"/>
      <c r="C968" s="57"/>
      <c r="D968" s="57"/>
      <c r="E968" s="57"/>
      <c r="F968" s="57"/>
      <c r="G968" s="57"/>
      <c r="I968" s="55"/>
      <c r="J968" s="57"/>
      <c r="K968" s="57"/>
      <c r="L968" s="57"/>
      <c r="M968" s="57"/>
      <c r="N968" s="57"/>
    </row>
    <row r="969" spans="2:14" ht="12" x14ac:dyDescent="0.2">
      <c r="B969" s="56"/>
      <c r="C969" s="58"/>
      <c r="D969" s="58"/>
      <c r="E969" s="58"/>
      <c r="F969" s="58"/>
      <c r="G969" s="58"/>
      <c r="I969" s="56"/>
      <c r="J969" s="58"/>
      <c r="K969" s="58"/>
      <c r="L969" s="58"/>
      <c r="M969" s="58"/>
      <c r="N969" s="58"/>
    </row>
    <row r="970" spans="2:14" ht="12" x14ac:dyDescent="0.2">
      <c r="B970" s="55"/>
      <c r="C970" s="57"/>
      <c r="D970" s="57"/>
      <c r="E970" s="57"/>
      <c r="F970" s="57"/>
      <c r="G970" s="57"/>
      <c r="I970" s="55"/>
      <c r="J970" s="57"/>
      <c r="K970" s="57"/>
      <c r="L970" s="57"/>
      <c r="M970" s="57"/>
      <c r="N970" s="57"/>
    </row>
    <row r="971" spans="2:14" ht="12" x14ac:dyDescent="0.2">
      <c r="B971" s="56"/>
      <c r="C971" s="58"/>
      <c r="D971" s="58"/>
      <c r="E971" s="58"/>
      <c r="F971" s="58"/>
      <c r="G971" s="58"/>
      <c r="I971" s="56"/>
      <c r="J971" s="58"/>
      <c r="K971" s="58"/>
      <c r="L971" s="58"/>
      <c r="M971" s="58"/>
      <c r="N971" s="58"/>
    </row>
    <row r="972" spans="2:14" ht="12" x14ac:dyDescent="0.2">
      <c r="B972" s="55"/>
      <c r="C972" s="57"/>
      <c r="D972" s="57"/>
      <c r="E972" s="57"/>
      <c r="F972" s="57"/>
      <c r="G972" s="57"/>
      <c r="I972" s="55"/>
      <c r="J972" s="57"/>
      <c r="K972" s="57"/>
      <c r="L972" s="57"/>
      <c r="M972" s="57"/>
      <c r="N972" s="57"/>
    </row>
    <row r="973" spans="2:14" ht="12" x14ac:dyDescent="0.2">
      <c r="B973" s="56"/>
      <c r="C973" s="58"/>
      <c r="D973" s="58"/>
      <c r="E973" s="58"/>
      <c r="F973" s="58"/>
      <c r="G973" s="58"/>
      <c r="I973" s="56"/>
      <c r="J973" s="58"/>
      <c r="K973" s="58"/>
      <c r="L973" s="58"/>
      <c r="M973" s="58"/>
      <c r="N973" s="58"/>
    </row>
    <row r="974" spans="2:14" ht="12" x14ac:dyDescent="0.2">
      <c r="B974" s="55"/>
      <c r="C974" s="57"/>
      <c r="D974" s="57"/>
      <c r="E974" s="57"/>
      <c r="F974" s="57"/>
      <c r="G974" s="57"/>
      <c r="I974" s="55"/>
      <c r="J974" s="57"/>
      <c r="K974" s="57"/>
      <c r="L974" s="57"/>
      <c r="M974" s="57"/>
      <c r="N974" s="57"/>
    </row>
    <row r="975" spans="2:14" ht="12" x14ac:dyDescent="0.2">
      <c r="B975" s="56"/>
      <c r="C975" s="58"/>
      <c r="D975" s="58"/>
      <c r="E975" s="58"/>
      <c r="F975" s="58"/>
      <c r="G975" s="58"/>
      <c r="I975" s="56"/>
      <c r="J975" s="58"/>
      <c r="K975" s="58"/>
      <c r="L975" s="58"/>
      <c r="M975" s="58"/>
      <c r="N975" s="58"/>
    </row>
    <row r="976" spans="2:14" ht="12" x14ac:dyDescent="0.2">
      <c r="B976" s="55"/>
      <c r="C976" s="57"/>
      <c r="D976" s="57"/>
      <c r="E976" s="57"/>
      <c r="F976" s="57"/>
      <c r="G976" s="57"/>
      <c r="I976" s="55"/>
      <c r="J976" s="57"/>
      <c r="K976" s="57"/>
      <c r="L976" s="57"/>
      <c r="M976" s="57"/>
      <c r="N976" s="57"/>
    </row>
    <row r="977" spans="2:14" ht="12" x14ac:dyDescent="0.2">
      <c r="B977" s="56"/>
      <c r="C977" s="58"/>
      <c r="D977" s="58"/>
      <c r="E977" s="58"/>
      <c r="F977" s="58"/>
      <c r="G977" s="58"/>
      <c r="I977" s="56"/>
      <c r="J977" s="58"/>
      <c r="K977" s="58"/>
      <c r="L977" s="58"/>
      <c r="M977" s="58"/>
      <c r="N977" s="58"/>
    </row>
    <row r="978" spans="2:14" ht="12" x14ac:dyDescent="0.2">
      <c r="B978" s="55"/>
      <c r="C978" s="57"/>
      <c r="D978" s="57"/>
      <c r="E978" s="57"/>
      <c r="F978" s="57"/>
      <c r="G978" s="57"/>
      <c r="I978" s="55"/>
      <c r="J978" s="57"/>
      <c r="K978" s="57"/>
      <c r="L978" s="57"/>
      <c r="M978" s="57"/>
      <c r="N978" s="57"/>
    </row>
    <row r="979" spans="2:14" ht="12" x14ac:dyDescent="0.2">
      <c r="B979" s="56"/>
      <c r="C979" s="58"/>
      <c r="D979" s="58"/>
      <c r="E979" s="58"/>
      <c r="F979" s="58"/>
      <c r="G979" s="58"/>
      <c r="I979" s="56"/>
      <c r="J979" s="58"/>
      <c r="K979" s="58"/>
      <c r="L979" s="58"/>
      <c r="M979" s="58"/>
      <c r="N979" s="58"/>
    </row>
    <row r="980" spans="2:14" ht="12" x14ac:dyDescent="0.2">
      <c r="B980" s="55"/>
      <c r="C980" s="57"/>
      <c r="D980" s="57"/>
      <c r="E980" s="57"/>
      <c r="F980" s="57"/>
      <c r="G980" s="57"/>
      <c r="I980" s="55"/>
      <c r="J980" s="57"/>
      <c r="K980" s="57"/>
      <c r="L980" s="57"/>
      <c r="M980" s="57"/>
      <c r="N980" s="57"/>
    </row>
    <row r="981" spans="2:14" ht="12" x14ac:dyDescent="0.2">
      <c r="B981" s="56"/>
      <c r="C981" s="58"/>
      <c r="D981" s="58"/>
      <c r="E981" s="58"/>
      <c r="F981" s="58"/>
      <c r="G981" s="58"/>
      <c r="I981" s="56"/>
      <c r="J981" s="58"/>
      <c r="K981" s="58"/>
      <c r="L981" s="58"/>
      <c r="M981" s="58"/>
      <c r="N981" s="58"/>
    </row>
    <row r="982" spans="2:14" ht="12" x14ac:dyDescent="0.2">
      <c r="B982" s="55"/>
      <c r="C982" s="57"/>
      <c r="D982" s="57"/>
      <c r="E982" s="57"/>
      <c r="F982" s="57"/>
      <c r="G982" s="57"/>
      <c r="I982" s="55"/>
      <c r="J982" s="57"/>
      <c r="K982" s="57"/>
      <c r="L982" s="57"/>
      <c r="M982" s="57"/>
      <c r="N982" s="57"/>
    </row>
    <row r="983" spans="2:14" ht="12" x14ac:dyDescent="0.2">
      <c r="B983" s="56"/>
      <c r="C983" s="58"/>
      <c r="D983" s="58"/>
      <c r="E983" s="58"/>
      <c r="F983" s="58"/>
      <c r="G983" s="58"/>
      <c r="I983" s="56"/>
      <c r="J983" s="58"/>
      <c r="K983" s="58"/>
      <c r="L983" s="58"/>
      <c r="M983" s="58"/>
      <c r="N983" s="58"/>
    </row>
    <row r="984" spans="2:14" ht="12" x14ac:dyDescent="0.2">
      <c r="B984" s="55"/>
      <c r="C984" s="57"/>
      <c r="D984" s="57"/>
      <c r="E984" s="57"/>
      <c r="F984" s="57"/>
      <c r="G984" s="57"/>
      <c r="I984" s="55"/>
      <c r="J984" s="57"/>
      <c r="K984" s="57"/>
      <c r="L984" s="57"/>
      <c r="M984" s="57"/>
      <c r="N984" s="57"/>
    </row>
    <row r="985" spans="2:14" ht="12" x14ac:dyDescent="0.2">
      <c r="B985" s="56"/>
      <c r="C985" s="58"/>
      <c r="D985" s="58"/>
      <c r="E985" s="58"/>
      <c r="F985" s="58"/>
      <c r="G985" s="58"/>
      <c r="I985" s="56"/>
      <c r="J985" s="58"/>
      <c r="K985" s="58"/>
      <c r="L985" s="58"/>
      <c r="M985" s="58"/>
      <c r="N985" s="58"/>
    </row>
    <row r="986" spans="2:14" ht="12" x14ac:dyDescent="0.2">
      <c r="B986" s="55"/>
      <c r="C986" s="57"/>
      <c r="D986" s="57"/>
      <c r="E986" s="57"/>
      <c r="F986" s="57"/>
      <c r="G986" s="57"/>
      <c r="I986" s="55"/>
      <c r="J986" s="57"/>
      <c r="K986" s="57"/>
      <c r="L986" s="57"/>
      <c r="M986" s="57"/>
      <c r="N986" s="57"/>
    </row>
    <row r="987" spans="2:14" ht="12" x14ac:dyDescent="0.2">
      <c r="B987" s="56"/>
      <c r="C987" s="58"/>
      <c r="D987" s="58"/>
      <c r="E987" s="58"/>
      <c r="F987" s="58"/>
      <c r="G987" s="58"/>
      <c r="I987" s="56"/>
      <c r="J987" s="58"/>
      <c r="K987" s="58"/>
      <c r="L987" s="58"/>
      <c r="M987" s="58"/>
      <c r="N987" s="58"/>
    </row>
    <row r="988" spans="2:14" ht="12" x14ac:dyDescent="0.2">
      <c r="B988" s="55"/>
      <c r="C988" s="57"/>
      <c r="D988" s="57"/>
      <c r="E988" s="57"/>
      <c r="F988" s="57"/>
      <c r="G988" s="57"/>
      <c r="I988" s="55"/>
      <c r="J988" s="57"/>
      <c r="K988" s="57"/>
      <c r="L988" s="57"/>
      <c r="M988" s="57"/>
      <c r="N988" s="57"/>
    </row>
    <row r="989" spans="2:14" ht="12" x14ac:dyDescent="0.2">
      <c r="B989" s="56"/>
      <c r="C989" s="58"/>
      <c r="D989" s="58"/>
      <c r="E989" s="58"/>
      <c r="F989" s="58"/>
      <c r="G989" s="58"/>
      <c r="I989" s="56"/>
      <c r="J989" s="58"/>
      <c r="K989" s="58"/>
      <c r="L989" s="58"/>
      <c r="M989" s="58"/>
      <c r="N989" s="58"/>
    </row>
    <row r="990" spans="2:14" ht="12" x14ac:dyDescent="0.2">
      <c r="B990" s="55"/>
      <c r="C990" s="57"/>
      <c r="D990" s="57"/>
      <c r="E990" s="57"/>
      <c r="F990" s="57"/>
      <c r="G990" s="57"/>
      <c r="I990" s="55"/>
      <c r="J990" s="57"/>
      <c r="K990" s="57"/>
      <c r="L990" s="57"/>
      <c r="M990" s="57"/>
      <c r="N990" s="57"/>
    </row>
    <row r="991" spans="2:14" ht="12" x14ac:dyDescent="0.2">
      <c r="B991" s="56"/>
      <c r="C991" s="58"/>
      <c r="D991" s="58"/>
      <c r="E991" s="58"/>
      <c r="F991" s="58"/>
      <c r="G991" s="58"/>
      <c r="I991" s="56"/>
      <c r="J991" s="58"/>
      <c r="K991" s="58"/>
      <c r="L991" s="58"/>
      <c r="M991" s="58"/>
      <c r="N991" s="58"/>
    </row>
    <row r="992" spans="2:14" ht="12" x14ac:dyDescent="0.2">
      <c r="B992" s="55"/>
      <c r="C992" s="57"/>
      <c r="D992" s="57"/>
      <c r="E992" s="57"/>
      <c r="F992" s="57"/>
      <c r="G992" s="57"/>
      <c r="I992" s="55"/>
      <c r="J992" s="57"/>
      <c r="K992" s="57"/>
      <c r="L992" s="57"/>
      <c r="M992" s="57"/>
      <c r="N992" s="57"/>
    </row>
    <row r="993" spans="2:14" ht="12" x14ac:dyDescent="0.2">
      <c r="B993" s="56"/>
      <c r="C993" s="58"/>
      <c r="D993" s="58"/>
      <c r="E993" s="58"/>
      <c r="F993" s="58"/>
      <c r="G993" s="58"/>
      <c r="I993" s="56"/>
      <c r="J993" s="58"/>
      <c r="K993" s="58"/>
      <c r="L993" s="58"/>
      <c r="M993" s="58"/>
      <c r="N993" s="58"/>
    </row>
    <row r="994" spans="2:14" ht="12" x14ac:dyDescent="0.2">
      <c r="B994" s="55"/>
      <c r="C994" s="57"/>
      <c r="D994" s="57"/>
      <c r="E994" s="57"/>
      <c r="F994" s="57"/>
      <c r="G994" s="57"/>
      <c r="I994" s="55"/>
      <c r="J994" s="57"/>
      <c r="K994" s="57"/>
      <c r="L994" s="57"/>
      <c r="M994" s="57"/>
      <c r="N994" s="57"/>
    </row>
    <row r="995" spans="2:14" ht="12" x14ac:dyDescent="0.2">
      <c r="B995" s="56"/>
      <c r="C995" s="58"/>
      <c r="D995" s="58"/>
      <c r="E995" s="58"/>
      <c r="F995" s="58"/>
      <c r="G995" s="58"/>
      <c r="I995" s="56"/>
      <c r="J995" s="58"/>
      <c r="K995" s="58"/>
      <c r="L995" s="58"/>
      <c r="M995" s="58"/>
      <c r="N995" s="58"/>
    </row>
    <row r="996" spans="2:14" ht="12" x14ac:dyDescent="0.2">
      <c r="B996" s="55"/>
      <c r="C996" s="57"/>
      <c r="D996" s="57"/>
      <c r="E996" s="57"/>
      <c r="F996" s="57"/>
      <c r="G996" s="57"/>
      <c r="I996" s="55"/>
      <c r="J996" s="57"/>
      <c r="K996" s="57"/>
      <c r="L996" s="57"/>
      <c r="M996" s="57"/>
      <c r="N996" s="57"/>
    </row>
    <row r="997" spans="2:14" ht="12" x14ac:dyDescent="0.2">
      <c r="B997" s="56"/>
      <c r="C997" s="58"/>
      <c r="D997" s="58"/>
      <c r="E997" s="58"/>
      <c r="F997" s="58"/>
      <c r="G997" s="58"/>
      <c r="I997" s="56"/>
      <c r="J997" s="58"/>
      <c r="K997" s="58"/>
      <c r="L997" s="58"/>
      <c r="M997" s="58"/>
      <c r="N997" s="58"/>
    </row>
    <row r="998" spans="2:14" ht="12" x14ac:dyDescent="0.2">
      <c r="B998" s="55"/>
      <c r="C998" s="57"/>
      <c r="D998" s="57"/>
      <c r="E998" s="57"/>
      <c r="F998" s="57"/>
      <c r="G998" s="57"/>
      <c r="I998" s="55"/>
      <c r="J998" s="57"/>
      <c r="K998" s="57"/>
      <c r="L998" s="57"/>
      <c r="M998" s="57"/>
      <c r="N998" s="57"/>
    </row>
    <row r="999" spans="2:14" ht="12" x14ac:dyDescent="0.2">
      <c r="B999" s="56"/>
      <c r="C999" s="58"/>
      <c r="D999" s="58"/>
      <c r="E999" s="58"/>
      <c r="F999" s="58"/>
      <c r="G999" s="58"/>
      <c r="I999" s="56"/>
      <c r="J999" s="58"/>
      <c r="K999" s="58"/>
      <c r="L999" s="58"/>
      <c r="M999" s="58"/>
      <c r="N999" s="58"/>
    </row>
    <row r="1000" spans="2:14" ht="12" x14ac:dyDescent="0.2">
      <c r="B1000" s="55"/>
      <c r="C1000" s="57"/>
      <c r="D1000" s="57"/>
      <c r="E1000" s="57"/>
      <c r="F1000" s="57"/>
      <c r="G1000" s="57"/>
      <c r="I1000" s="55"/>
      <c r="J1000" s="57"/>
      <c r="K1000" s="57"/>
      <c r="L1000" s="57"/>
      <c r="M1000" s="57"/>
      <c r="N1000" s="57"/>
    </row>
    <row r="1001" spans="2:14" ht="12" x14ac:dyDescent="0.2">
      <c r="B1001" s="56"/>
      <c r="C1001" s="58"/>
      <c r="D1001" s="58"/>
      <c r="E1001" s="58"/>
      <c r="F1001" s="58"/>
      <c r="G1001" s="58"/>
      <c r="I1001" s="56"/>
      <c r="J1001" s="58"/>
      <c r="K1001" s="58"/>
      <c r="L1001" s="58"/>
      <c r="M1001" s="58"/>
      <c r="N1001" s="58"/>
    </row>
    <row r="1002" spans="2:14" ht="12" x14ac:dyDescent="0.2">
      <c r="B1002" s="55"/>
      <c r="C1002" s="57"/>
      <c r="D1002" s="57"/>
      <c r="E1002" s="57"/>
      <c r="F1002" s="57"/>
      <c r="G1002" s="57"/>
      <c r="I1002" s="55"/>
      <c r="J1002" s="57"/>
      <c r="K1002" s="57"/>
      <c r="L1002" s="57"/>
      <c r="M1002" s="57"/>
      <c r="N1002" s="57"/>
    </row>
    <row r="1003" spans="2:14" ht="12" x14ac:dyDescent="0.2">
      <c r="B1003" s="56"/>
      <c r="C1003" s="58"/>
      <c r="D1003" s="58"/>
      <c r="E1003" s="58"/>
      <c r="F1003" s="58"/>
      <c r="G1003" s="58"/>
      <c r="I1003" s="56"/>
      <c r="J1003" s="58"/>
      <c r="K1003" s="58"/>
      <c r="L1003" s="58"/>
      <c r="M1003" s="58"/>
      <c r="N1003" s="58"/>
    </row>
    <row r="1004" spans="2:14" ht="12" x14ac:dyDescent="0.2">
      <c r="B1004" s="55"/>
      <c r="C1004" s="57"/>
      <c r="D1004" s="57"/>
      <c r="E1004" s="57"/>
      <c r="F1004" s="57"/>
      <c r="G1004" s="57"/>
      <c r="I1004" s="55"/>
      <c r="J1004" s="57"/>
      <c r="K1004" s="57"/>
      <c r="L1004" s="57"/>
      <c r="M1004" s="57"/>
      <c r="N1004" s="57"/>
    </row>
    <row r="1005" spans="2:14" ht="12" x14ac:dyDescent="0.2">
      <c r="B1005" s="56"/>
      <c r="C1005" s="58"/>
      <c r="D1005" s="58"/>
      <c r="E1005" s="58"/>
      <c r="F1005" s="58"/>
      <c r="G1005" s="58"/>
      <c r="I1005" s="56"/>
      <c r="J1005" s="58"/>
      <c r="K1005" s="58"/>
      <c r="L1005" s="58"/>
      <c r="M1005" s="58"/>
      <c r="N1005" s="58"/>
    </row>
    <row r="1006" spans="2:14" ht="12" x14ac:dyDescent="0.2">
      <c r="B1006" s="55"/>
      <c r="C1006" s="57"/>
      <c r="D1006" s="57"/>
      <c r="E1006" s="57"/>
      <c r="F1006" s="57"/>
      <c r="G1006" s="57"/>
      <c r="I1006" s="55"/>
      <c r="J1006" s="57"/>
      <c r="K1006" s="57"/>
      <c r="L1006" s="57"/>
      <c r="M1006" s="57"/>
      <c r="N1006" s="57"/>
    </row>
    <row r="1007" spans="2:14" ht="12" x14ac:dyDescent="0.2">
      <c r="B1007" s="56"/>
      <c r="C1007" s="58"/>
      <c r="D1007" s="58"/>
      <c r="E1007" s="58"/>
      <c r="F1007" s="58"/>
      <c r="G1007" s="58"/>
      <c r="I1007" s="56"/>
      <c r="J1007" s="58"/>
      <c r="K1007" s="58"/>
      <c r="L1007" s="58"/>
      <c r="M1007" s="58"/>
      <c r="N1007" s="58"/>
    </row>
    <row r="1008" spans="2:14" ht="12" x14ac:dyDescent="0.2">
      <c r="B1008" s="55"/>
      <c r="C1008" s="57"/>
      <c r="D1008" s="57"/>
      <c r="E1008" s="57"/>
      <c r="F1008" s="57"/>
      <c r="G1008" s="57"/>
      <c r="I1008" s="55"/>
      <c r="J1008" s="57"/>
      <c r="K1008" s="57"/>
      <c r="L1008" s="57"/>
      <c r="M1008" s="57"/>
      <c r="N1008" s="57"/>
    </row>
    <row r="1009" spans="2:14" ht="12" x14ac:dyDescent="0.2">
      <c r="B1009" s="56"/>
      <c r="C1009" s="58"/>
      <c r="D1009" s="58"/>
      <c r="E1009" s="58"/>
      <c r="F1009" s="58"/>
      <c r="G1009" s="58"/>
      <c r="I1009" s="56"/>
      <c r="J1009" s="58"/>
      <c r="K1009" s="58"/>
      <c r="L1009" s="58"/>
      <c r="M1009" s="58"/>
      <c r="N1009" s="58"/>
    </row>
    <row r="1010" spans="2:14" ht="12" x14ac:dyDescent="0.2">
      <c r="B1010" s="55"/>
      <c r="C1010" s="57"/>
      <c r="D1010" s="57"/>
      <c r="E1010" s="57"/>
      <c r="F1010" s="57"/>
      <c r="G1010" s="57"/>
      <c r="I1010" s="55"/>
      <c r="J1010" s="57"/>
      <c r="K1010" s="57"/>
      <c r="L1010" s="57"/>
      <c r="M1010" s="57"/>
      <c r="N1010" s="57"/>
    </row>
    <row r="1011" spans="2:14" ht="12" x14ac:dyDescent="0.2">
      <c r="B1011" s="56"/>
      <c r="C1011" s="58"/>
      <c r="D1011" s="58"/>
      <c r="E1011" s="58"/>
      <c r="F1011" s="58"/>
      <c r="G1011" s="58"/>
      <c r="I1011" s="56"/>
      <c r="J1011" s="58"/>
      <c r="K1011" s="58"/>
      <c r="L1011" s="58"/>
      <c r="M1011" s="58"/>
      <c r="N1011" s="58"/>
    </row>
    <row r="1012" spans="2:14" ht="12" x14ac:dyDescent="0.2">
      <c r="B1012" s="55"/>
      <c r="C1012" s="57"/>
      <c r="D1012" s="57"/>
      <c r="E1012" s="57"/>
      <c r="F1012" s="57"/>
      <c r="G1012" s="57"/>
      <c r="I1012" s="55"/>
      <c r="J1012" s="57"/>
      <c r="K1012" s="57"/>
      <c r="L1012" s="57"/>
      <c r="M1012" s="57"/>
      <c r="N1012" s="57"/>
    </row>
    <row r="1013" spans="2:14" ht="12" x14ac:dyDescent="0.2">
      <c r="B1013" s="56"/>
      <c r="C1013" s="58"/>
      <c r="D1013" s="58"/>
      <c r="E1013" s="58"/>
      <c r="F1013" s="58"/>
      <c r="G1013" s="58"/>
      <c r="I1013" s="56"/>
      <c r="J1013" s="58"/>
      <c r="K1013" s="58"/>
      <c r="L1013" s="58"/>
      <c r="M1013" s="58"/>
      <c r="N1013" s="58"/>
    </row>
    <row r="1014" spans="2:14" ht="12" x14ac:dyDescent="0.2">
      <c r="B1014" s="55"/>
      <c r="C1014" s="57"/>
      <c r="D1014" s="57"/>
      <c r="E1014" s="57"/>
      <c r="F1014" s="57"/>
      <c r="G1014" s="57"/>
      <c r="I1014" s="55"/>
      <c r="J1014" s="57"/>
      <c r="K1014" s="57"/>
      <c r="L1014" s="57"/>
      <c r="M1014" s="57"/>
      <c r="N1014" s="57"/>
    </row>
    <row r="1015" spans="2:14" ht="12" x14ac:dyDescent="0.2">
      <c r="B1015" s="56"/>
      <c r="C1015" s="58"/>
      <c r="D1015" s="58"/>
      <c r="E1015" s="58"/>
      <c r="F1015" s="58"/>
      <c r="G1015" s="58"/>
      <c r="I1015" s="56"/>
      <c r="J1015" s="58"/>
      <c r="K1015" s="58"/>
      <c r="L1015" s="58"/>
      <c r="M1015" s="58"/>
      <c r="N1015" s="58"/>
    </row>
    <row r="1016" spans="2:14" ht="12" x14ac:dyDescent="0.2">
      <c r="B1016" s="55"/>
      <c r="C1016" s="57"/>
      <c r="D1016" s="57"/>
      <c r="E1016" s="57"/>
      <c r="F1016" s="57"/>
      <c r="G1016" s="57"/>
      <c r="I1016" s="55"/>
      <c r="J1016" s="57"/>
      <c r="K1016" s="57"/>
      <c r="L1016" s="57"/>
      <c r="M1016" s="57"/>
      <c r="N1016" s="57"/>
    </row>
    <row r="1017" spans="2:14" ht="12" x14ac:dyDescent="0.2">
      <c r="B1017" s="56"/>
      <c r="C1017" s="58"/>
      <c r="D1017" s="58"/>
      <c r="E1017" s="58"/>
      <c r="F1017" s="58"/>
      <c r="G1017" s="58"/>
      <c r="I1017" s="56"/>
      <c r="J1017" s="58"/>
      <c r="K1017" s="58"/>
      <c r="L1017" s="58"/>
      <c r="M1017" s="58"/>
      <c r="N1017" s="58"/>
    </row>
    <row r="1018" spans="2:14" ht="12" x14ac:dyDescent="0.2">
      <c r="B1018" s="55"/>
      <c r="C1018" s="57"/>
      <c r="D1018" s="57"/>
      <c r="E1018" s="57"/>
      <c r="F1018" s="57"/>
      <c r="G1018" s="57"/>
      <c r="I1018" s="55"/>
      <c r="J1018" s="57"/>
      <c r="K1018" s="57"/>
      <c r="L1018" s="57"/>
      <c r="M1018" s="57"/>
      <c r="N1018" s="57"/>
    </row>
    <row r="1019" spans="2:14" ht="12" x14ac:dyDescent="0.2">
      <c r="B1019" s="56"/>
      <c r="C1019" s="58"/>
      <c r="D1019" s="58"/>
      <c r="E1019" s="58"/>
      <c r="F1019" s="58"/>
      <c r="G1019" s="58"/>
      <c r="I1019" s="56"/>
      <c r="J1019" s="58"/>
      <c r="K1019" s="58"/>
      <c r="L1019" s="58"/>
      <c r="M1019" s="58"/>
      <c r="N1019" s="58"/>
    </row>
    <row r="1020" spans="2:14" ht="12" x14ac:dyDescent="0.2">
      <c r="B1020" s="55"/>
      <c r="C1020" s="57"/>
      <c r="D1020" s="57"/>
      <c r="E1020" s="57"/>
      <c r="F1020" s="57"/>
      <c r="G1020" s="57"/>
      <c r="I1020" s="55"/>
      <c r="J1020" s="57"/>
      <c r="K1020" s="57"/>
      <c r="L1020" s="57"/>
      <c r="M1020" s="57"/>
      <c r="N1020" s="57"/>
    </row>
    <row r="1021" spans="2:14" ht="12" x14ac:dyDescent="0.2">
      <c r="B1021" s="56"/>
      <c r="C1021" s="58"/>
      <c r="D1021" s="58"/>
      <c r="E1021" s="58"/>
      <c r="F1021" s="58"/>
      <c r="G1021" s="58"/>
      <c r="I1021" s="56"/>
      <c r="J1021" s="58"/>
      <c r="K1021" s="58"/>
      <c r="L1021" s="58"/>
      <c r="M1021" s="58"/>
      <c r="N1021" s="58"/>
    </row>
    <row r="1022" spans="2:14" ht="12" x14ac:dyDescent="0.2">
      <c r="B1022" s="55"/>
      <c r="C1022" s="57"/>
      <c r="D1022" s="57"/>
      <c r="E1022" s="57"/>
      <c r="F1022" s="57"/>
      <c r="G1022" s="57"/>
      <c r="I1022" s="55"/>
      <c r="J1022" s="57"/>
      <c r="K1022" s="57"/>
      <c r="L1022" s="57"/>
      <c r="M1022" s="57"/>
      <c r="N1022" s="57"/>
    </row>
    <row r="1023" spans="2:14" ht="12" x14ac:dyDescent="0.2">
      <c r="B1023" s="56"/>
      <c r="C1023" s="58"/>
      <c r="D1023" s="58"/>
      <c r="E1023" s="58"/>
      <c r="F1023" s="58"/>
      <c r="G1023" s="58"/>
      <c r="I1023" s="56"/>
      <c r="J1023" s="58"/>
      <c r="K1023" s="58"/>
      <c r="L1023" s="58"/>
      <c r="M1023" s="58"/>
      <c r="N1023" s="58"/>
    </row>
    <row r="1024" spans="2:14" ht="12" x14ac:dyDescent="0.2">
      <c r="B1024" s="55"/>
      <c r="C1024" s="57"/>
      <c r="D1024" s="57"/>
      <c r="E1024" s="57"/>
      <c r="F1024" s="57"/>
      <c r="G1024" s="57"/>
      <c r="I1024" s="55"/>
      <c r="J1024" s="57"/>
      <c r="K1024" s="57"/>
      <c r="L1024" s="57"/>
      <c r="M1024" s="57"/>
      <c r="N1024" s="57"/>
    </row>
    <row r="1025" spans="2:14" ht="12" x14ac:dyDescent="0.2">
      <c r="B1025" s="56"/>
      <c r="C1025" s="58"/>
      <c r="D1025" s="58"/>
      <c r="E1025" s="58"/>
      <c r="F1025" s="58"/>
      <c r="G1025" s="58"/>
      <c r="I1025" s="56"/>
      <c r="J1025" s="58"/>
      <c r="K1025" s="58"/>
      <c r="L1025" s="58"/>
      <c r="M1025" s="58"/>
      <c r="N1025" s="58"/>
    </row>
    <row r="1026" spans="2:14" ht="12" x14ac:dyDescent="0.2">
      <c r="B1026" s="55"/>
      <c r="C1026" s="57"/>
      <c r="D1026" s="57"/>
      <c r="E1026" s="57"/>
      <c r="F1026" s="57"/>
      <c r="G1026" s="57"/>
      <c r="I1026" s="55"/>
      <c r="J1026" s="57"/>
      <c r="K1026" s="57"/>
      <c r="L1026" s="57"/>
      <c r="M1026" s="57"/>
      <c r="N1026" s="57"/>
    </row>
    <row r="1027" spans="2:14" ht="12" x14ac:dyDescent="0.2">
      <c r="B1027" s="56"/>
      <c r="C1027" s="58"/>
      <c r="D1027" s="58"/>
      <c r="E1027" s="58"/>
      <c r="F1027" s="58"/>
      <c r="G1027" s="58"/>
      <c r="I1027" s="56"/>
      <c r="J1027" s="58"/>
      <c r="K1027" s="58"/>
      <c r="L1027" s="58"/>
      <c r="M1027" s="58"/>
      <c r="N1027" s="58"/>
    </row>
    <row r="1028" spans="2:14" ht="12" x14ac:dyDescent="0.2">
      <c r="B1028" s="55"/>
      <c r="C1028" s="57"/>
      <c r="D1028" s="57"/>
      <c r="E1028" s="57"/>
      <c r="F1028" s="57"/>
      <c r="G1028" s="57"/>
      <c r="I1028" s="55"/>
      <c r="J1028" s="57"/>
      <c r="K1028" s="57"/>
      <c r="L1028" s="57"/>
      <c r="M1028" s="57"/>
      <c r="N1028" s="57"/>
    </row>
    <row r="1029" spans="2:14" ht="12" x14ac:dyDescent="0.2">
      <c r="B1029" s="56"/>
      <c r="C1029" s="58"/>
      <c r="D1029" s="58"/>
      <c r="E1029" s="58"/>
      <c r="F1029" s="58"/>
      <c r="G1029" s="58"/>
      <c r="I1029" s="56"/>
      <c r="J1029" s="58"/>
      <c r="K1029" s="58"/>
      <c r="L1029" s="58"/>
      <c r="M1029" s="58"/>
      <c r="N1029" s="58"/>
    </row>
    <row r="1030" spans="2:14" ht="12" x14ac:dyDescent="0.2">
      <c r="B1030" s="55"/>
      <c r="C1030" s="57"/>
      <c r="D1030" s="57"/>
      <c r="E1030" s="57"/>
      <c r="F1030" s="57"/>
      <c r="G1030" s="57"/>
      <c r="I1030" s="55"/>
      <c r="J1030" s="57"/>
      <c r="K1030" s="57"/>
      <c r="L1030" s="57"/>
      <c r="M1030" s="57"/>
      <c r="N1030" s="57"/>
    </row>
    <row r="1031" spans="2:14" ht="12" x14ac:dyDescent="0.2">
      <c r="B1031" s="56"/>
      <c r="C1031" s="58"/>
      <c r="D1031" s="58"/>
      <c r="E1031" s="58"/>
      <c r="F1031" s="58"/>
      <c r="G1031" s="58"/>
      <c r="I1031" s="56"/>
      <c r="J1031" s="58"/>
      <c r="K1031" s="58"/>
      <c r="L1031" s="58"/>
      <c r="M1031" s="58"/>
      <c r="N1031" s="58"/>
    </row>
    <row r="1032" spans="2:14" ht="12" x14ac:dyDescent="0.2">
      <c r="B1032" s="55"/>
      <c r="C1032" s="57"/>
      <c r="D1032" s="57"/>
      <c r="E1032" s="57"/>
      <c r="F1032" s="57"/>
      <c r="G1032" s="57"/>
      <c r="I1032" s="55"/>
      <c r="J1032" s="57"/>
      <c r="K1032" s="57"/>
      <c r="L1032" s="57"/>
      <c r="M1032" s="57"/>
      <c r="N1032" s="57"/>
    </row>
    <row r="1033" spans="2:14" ht="12" x14ac:dyDescent="0.2">
      <c r="B1033" s="56"/>
      <c r="C1033" s="58"/>
      <c r="D1033" s="58"/>
      <c r="E1033" s="58"/>
      <c r="F1033" s="58"/>
      <c r="G1033" s="58"/>
      <c r="I1033" s="56"/>
      <c r="J1033" s="58"/>
      <c r="K1033" s="58"/>
      <c r="L1033" s="58"/>
      <c r="M1033" s="58"/>
      <c r="N1033" s="58"/>
    </row>
    <row r="1034" spans="2:14" ht="12" x14ac:dyDescent="0.2">
      <c r="B1034" s="55"/>
      <c r="C1034" s="57"/>
      <c r="D1034" s="57"/>
      <c r="E1034" s="57"/>
      <c r="F1034" s="57"/>
      <c r="G1034" s="57"/>
      <c r="I1034" s="55"/>
      <c r="J1034" s="57"/>
      <c r="K1034" s="57"/>
      <c r="L1034" s="57"/>
      <c r="M1034" s="57"/>
      <c r="N1034" s="57"/>
    </row>
    <row r="1035" spans="2:14" ht="12" x14ac:dyDescent="0.2">
      <c r="B1035" s="56"/>
      <c r="C1035" s="58"/>
      <c r="D1035" s="58"/>
      <c r="E1035" s="58"/>
      <c r="F1035" s="58"/>
      <c r="G1035" s="58"/>
      <c r="I1035" s="56"/>
      <c r="J1035" s="58"/>
      <c r="K1035" s="58"/>
      <c r="L1035" s="58"/>
      <c r="M1035" s="58"/>
      <c r="N1035" s="58"/>
    </row>
    <row r="1036" spans="2:14" ht="12" x14ac:dyDescent="0.2">
      <c r="B1036" s="55"/>
      <c r="C1036" s="57"/>
      <c r="D1036" s="57"/>
      <c r="E1036" s="57"/>
      <c r="F1036" s="57"/>
      <c r="G1036" s="57"/>
      <c r="I1036" s="55"/>
      <c r="J1036" s="57"/>
      <c r="K1036" s="57"/>
      <c r="L1036" s="57"/>
      <c r="M1036" s="57"/>
      <c r="N1036" s="57"/>
    </row>
    <row r="1037" spans="2:14" ht="12" x14ac:dyDescent="0.2">
      <c r="B1037" s="56"/>
      <c r="C1037" s="58"/>
      <c r="D1037" s="58"/>
      <c r="E1037" s="58"/>
      <c r="F1037" s="58"/>
      <c r="G1037" s="58"/>
      <c r="I1037" s="56"/>
      <c r="J1037" s="58"/>
      <c r="K1037" s="58"/>
      <c r="L1037" s="58"/>
      <c r="M1037" s="58"/>
      <c r="N1037" s="58"/>
    </row>
    <row r="1038" spans="2:14" ht="12" x14ac:dyDescent="0.2">
      <c r="B1038" s="55"/>
      <c r="C1038" s="57"/>
      <c r="D1038" s="57"/>
      <c r="E1038" s="57"/>
      <c r="F1038" s="57"/>
      <c r="G1038" s="57"/>
      <c r="I1038" s="55"/>
      <c r="J1038" s="57"/>
      <c r="K1038" s="57"/>
      <c r="L1038" s="57"/>
      <c r="M1038" s="57"/>
      <c r="N1038" s="57"/>
    </row>
    <row r="1039" spans="2:14" ht="12" x14ac:dyDescent="0.2">
      <c r="B1039" s="56"/>
      <c r="C1039" s="58"/>
      <c r="D1039" s="58"/>
      <c r="E1039" s="58"/>
      <c r="F1039" s="58"/>
      <c r="G1039" s="58"/>
      <c r="I1039" s="56"/>
      <c r="J1039" s="58"/>
      <c r="K1039" s="58"/>
      <c r="L1039" s="58"/>
      <c r="M1039" s="58"/>
      <c r="N1039" s="58"/>
    </row>
    <row r="1040" spans="2:14" ht="12" x14ac:dyDescent="0.2">
      <c r="B1040" s="55"/>
      <c r="C1040" s="57"/>
      <c r="D1040" s="57"/>
      <c r="E1040" s="57"/>
      <c r="F1040" s="57"/>
      <c r="G1040" s="57"/>
      <c r="I1040" s="55"/>
      <c r="J1040" s="57"/>
      <c r="K1040" s="57"/>
      <c r="L1040" s="57"/>
      <c r="M1040" s="57"/>
      <c r="N1040" s="57"/>
    </row>
    <row r="1041" spans="2:14" ht="12" x14ac:dyDescent="0.2">
      <c r="B1041" s="56"/>
      <c r="C1041" s="58"/>
      <c r="D1041" s="58"/>
      <c r="E1041" s="58"/>
      <c r="F1041" s="58"/>
      <c r="G1041" s="58"/>
      <c r="I1041" s="56"/>
      <c r="J1041" s="58"/>
      <c r="K1041" s="58"/>
      <c r="L1041" s="58"/>
      <c r="M1041" s="58"/>
      <c r="N1041" s="58"/>
    </row>
    <row r="1042" spans="2:14" ht="12" x14ac:dyDescent="0.2">
      <c r="B1042" s="55"/>
      <c r="C1042" s="57"/>
      <c r="D1042" s="57"/>
      <c r="E1042" s="57"/>
      <c r="F1042" s="57"/>
      <c r="G1042" s="57"/>
      <c r="I1042" s="55"/>
      <c r="J1042" s="57"/>
      <c r="K1042" s="57"/>
      <c r="L1042" s="57"/>
      <c r="M1042" s="57"/>
      <c r="N1042" s="57"/>
    </row>
    <row r="1043" spans="2:14" ht="12" x14ac:dyDescent="0.2">
      <c r="B1043" s="56"/>
      <c r="C1043" s="58"/>
      <c r="D1043" s="58"/>
      <c r="E1043" s="58"/>
      <c r="F1043" s="58"/>
      <c r="G1043" s="58"/>
      <c r="I1043" s="56"/>
      <c r="J1043" s="58"/>
      <c r="K1043" s="58"/>
      <c r="L1043" s="58"/>
      <c r="M1043" s="58"/>
      <c r="N1043" s="58"/>
    </row>
    <row r="1044" spans="2:14" ht="12" x14ac:dyDescent="0.2">
      <c r="B1044" s="55"/>
      <c r="C1044" s="57"/>
      <c r="D1044" s="57"/>
      <c r="E1044" s="57"/>
      <c r="F1044" s="57"/>
      <c r="G1044" s="57"/>
      <c r="I1044" s="55"/>
      <c r="J1044" s="57"/>
      <c r="K1044" s="57"/>
      <c r="L1044" s="57"/>
      <c r="M1044" s="57"/>
      <c r="N1044" s="57"/>
    </row>
    <row r="1045" spans="2:14" ht="12" x14ac:dyDescent="0.2">
      <c r="B1045" s="56"/>
      <c r="C1045" s="58"/>
      <c r="D1045" s="58"/>
      <c r="E1045" s="58"/>
      <c r="F1045" s="58"/>
      <c r="G1045" s="58"/>
      <c r="I1045" s="56"/>
      <c r="J1045" s="58"/>
      <c r="K1045" s="58"/>
      <c r="L1045" s="58"/>
      <c r="M1045" s="58"/>
      <c r="N1045" s="58"/>
    </row>
    <row r="1046" spans="2:14" ht="12" x14ac:dyDescent="0.2">
      <c r="B1046" s="55"/>
      <c r="C1046" s="57"/>
      <c r="D1046" s="57"/>
      <c r="E1046" s="57"/>
      <c r="F1046" s="57"/>
      <c r="G1046" s="57"/>
      <c r="I1046" s="55"/>
      <c r="J1046" s="57"/>
      <c r="K1046" s="57"/>
      <c r="L1046" s="57"/>
      <c r="M1046" s="57"/>
      <c r="N1046" s="57"/>
    </row>
    <row r="1047" spans="2:14" ht="12" x14ac:dyDescent="0.2">
      <c r="B1047" s="56"/>
      <c r="C1047" s="58"/>
      <c r="D1047" s="58"/>
      <c r="E1047" s="58"/>
      <c r="F1047" s="58"/>
      <c r="G1047" s="58"/>
      <c r="I1047" s="56"/>
      <c r="J1047" s="58"/>
      <c r="K1047" s="58"/>
      <c r="L1047" s="58"/>
      <c r="M1047" s="58"/>
      <c r="N1047" s="58"/>
    </row>
    <row r="1048" spans="2:14" ht="12" x14ac:dyDescent="0.2">
      <c r="B1048" s="55"/>
      <c r="C1048" s="57"/>
      <c r="D1048" s="57"/>
      <c r="E1048" s="57"/>
      <c r="F1048" s="57"/>
      <c r="G1048" s="57"/>
      <c r="I1048" s="55"/>
      <c r="J1048" s="57"/>
      <c r="K1048" s="57"/>
      <c r="L1048" s="57"/>
      <c r="M1048" s="57"/>
      <c r="N1048" s="57"/>
    </row>
    <row r="1049" spans="2:14" ht="12" x14ac:dyDescent="0.2">
      <c r="B1049" s="56"/>
      <c r="C1049" s="58"/>
      <c r="D1049" s="58"/>
      <c r="E1049" s="58"/>
      <c r="F1049" s="58"/>
      <c r="G1049" s="58"/>
      <c r="I1049" s="56"/>
      <c r="J1049" s="58"/>
      <c r="K1049" s="58"/>
      <c r="L1049" s="58"/>
      <c r="M1049" s="58"/>
      <c r="N1049" s="58"/>
    </row>
    <row r="1050" spans="2:14" ht="12" x14ac:dyDescent="0.2">
      <c r="B1050" s="55"/>
      <c r="C1050" s="57"/>
      <c r="D1050" s="57"/>
      <c r="E1050" s="57"/>
      <c r="F1050" s="57"/>
      <c r="G1050" s="57"/>
      <c r="I1050" s="55"/>
      <c r="J1050" s="57"/>
      <c r="K1050" s="57"/>
      <c r="L1050" s="57"/>
      <c r="M1050" s="57"/>
      <c r="N1050" s="57"/>
    </row>
    <row r="1051" spans="2:14" ht="12" x14ac:dyDescent="0.2">
      <c r="B1051" s="56"/>
      <c r="C1051" s="58"/>
      <c r="D1051" s="58"/>
      <c r="E1051" s="58"/>
      <c r="F1051" s="58"/>
      <c r="G1051" s="58"/>
      <c r="I1051" s="56"/>
      <c r="J1051" s="58"/>
      <c r="K1051" s="58"/>
      <c r="L1051" s="58"/>
      <c r="M1051" s="58"/>
      <c r="N1051" s="58"/>
    </row>
    <row r="1052" spans="2:14" ht="12" x14ac:dyDescent="0.2">
      <c r="B1052" s="55"/>
      <c r="C1052" s="57"/>
      <c r="D1052" s="57"/>
      <c r="E1052" s="57"/>
      <c r="F1052" s="57"/>
      <c r="G1052" s="57"/>
      <c r="I1052" s="55"/>
      <c r="J1052" s="57"/>
      <c r="K1052" s="57"/>
      <c r="L1052" s="57"/>
      <c r="M1052" s="57"/>
      <c r="N1052" s="57"/>
    </row>
    <row r="1053" spans="2:14" ht="12" x14ac:dyDescent="0.2">
      <c r="B1053" s="56"/>
      <c r="C1053" s="58"/>
      <c r="D1053" s="58"/>
      <c r="E1053" s="58"/>
      <c r="F1053" s="58"/>
      <c r="G1053" s="58"/>
      <c r="I1053" s="56"/>
      <c r="J1053" s="58"/>
      <c r="K1053" s="58"/>
      <c r="L1053" s="58"/>
      <c r="M1053" s="58"/>
      <c r="N1053" s="58"/>
    </row>
    <row r="1054" spans="2:14" ht="12" x14ac:dyDescent="0.2">
      <c r="B1054" s="55"/>
      <c r="C1054" s="57"/>
      <c r="D1054" s="57"/>
      <c r="E1054" s="57"/>
      <c r="F1054" s="57"/>
      <c r="G1054" s="57"/>
      <c r="I1054" s="55"/>
      <c r="J1054" s="57"/>
      <c r="K1054" s="57"/>
      <c r="L1054" s="57"/>
      <c r="M1054" s="57"/>
      <c r="N1054" s="57"/>
    </row>
    <row r="1055" spans="2:14" ht="12" x14ac:dyDescent="0.2">
      <c r="B1055" s="56"/>
      <c r="C1055" s="58"/>
      <c r="D1055" s="58"/>
      <c r="E1055" s="58"/>
      <c r="F1055" s="58"/>
      <c r="G1055" s="58"/>
      <c r="I1055" s="56"/>
      <c r="J1055" s="58"/>
      <c r="K1055" s="58"/>
      <c r="L1055" s="58"/>
      <c r="M1055" s="58"/>
      <c r="N1055" s="58"/>
    </row>
    <row r="1056" spans="2:14" ht="12" x14ac:dyDescent="0.2">
      <c r="B1056" s="55"/>
      <c r="C1056" s="57"/>
      <c r="D1056" s="57"/>
      <c r="E1056" s="57"/>
      <c r="F1056" s="57"/>
      <c r="G1056" s="57"/>
      <c r="I1056" s="55"/>
      <c r="J1056" s="57"/>
      <c r="K1056" s="57"/>
      <c r="L1056" s="57"/>
      <c r="M1056" s="57"/>
      <c r="N1056" s="57"/>
    </row>
    <row r="1057" spans="2:14" ht="12" x14ac:dyDescent="0.2">
      <c r="B1057" s="56"/>
      <c r="C1057" s="58"/>
      <c r="D1057" s="58"/>
      <c r="E1057" s="58"/>
      <c r="F1057" s="58"/>
      <c r="G1057" s="58"/>
      <c r="I1057" s="56"/>
      <c r="J1057" s="58"/>
      <c r="K1057" s="58"/>
      <c r="L1057" s="58"/>
      <c r="M1057" s="58"/>
      <c r="N1057" s="58"/>
    </row>
    <row r="1058" spans="2:14" ht="12" x14ac:dyDescent="0.2">
      <c r="B1058" s="55"/>
      <c r="C1058" s="57"/>
      <c r="D1058" s="57"/>
      <c r="E1058" s="57"/>
      <c r="F1058" s="57"/>
      <c r="G1058" s="57"/>
      <c r="I1058" s="55"/>
      <c r="J1058" s="57"/>
      <c r="K1058" s="57"/>
      <c r="L1058" s="57"/>
      <c r="M1058" s="57"/>
      <c r="N1058" s="57"/>
    </row>
    <row r="1059" spans="2:14" ht="12" x14ac:dyDescent="0.2">
      <c r="B1059" s="56"/>
      <c r="C1059" s="58"/>
      <c r="D1059" s="58"/>
      <c r="E1059" s="58"/>
      <c r="F1059" s="58"/>
      <c r="G1059" s="58"/>
      <c r="I1059" s="56"/>
      <c r="J1059" s="58"/>
      <c r="K1059" s="58"/>
      <c r="L1059" s="58"/>
      <c r="M1059" s="58"/>
      <c r="N1059" s="58"/>
    </row>
    <row r="1060" spans="2:14" ht="12" x14ac:dyDescent="0.2">
      <c r="B1060" s="55"/>
      <c r="C1060" s="57"/>
      <c r="D1060" s="57"/>
      <c r="E1060" s="57"/>
      <c r="F1060" s="57"/>
      <c r="G1060" s="57"/>
      <c r="I1060" s="55"/>
      <c r="J1060" s="57"/>
      <c r="K1060" s="57"/>
      <c r="L1060" s="57"/>
      <c r="M1060" s="57"/>
      <c r="N1060" s="57"/>
    </row>
    <row r="1061" spans="2:14" ht="12" x14ac:dyDescent="0.2">
      <c r="B1061" s="56"/>
      <c r="C1061" s="58"/>
      <c r="D1061" s="58"/>
      <c r="E1061" s="58"/>
      <c r="F1061" s="58"/>
      <c r="G1061" s="58"/>
      <c r="I1061" s="56"/>
      <c r="J1061" s="58"/>
      <c r="K1061" s="58"/>
      <c r="L1061" s="58"/>
      <c r="M1061" s="58"/>
      <c r="N1061" s="58"/>
    </row>
    <row r="1062" spans="2:14" ht="12" x14ac:dyDescent="0.2">
      <c r="B1062" s="55"/>
      <c r="C1062" s="57"/>
      <c r="D1062" s="57"/>
      <c r="E1062" s="57"/>
      <c r="F1062" s="57"/>
      <c r="G1062" s="57"/>
      <c r="I1062" s="55"/>
      <c r="J1062" s="57"/>
      <c r="K1062" s="57"/>
      <c r="L1062" s="57"/>
      <c r="M1062" s="57"/>
      <c r="N1062" s="57"/>
    </row>
    <row r="1063" spans="2:14" ht="12" x14ac:dyDescent="0.2">
      <c r="B1063" s="56"/>
      <c r="C1063" s="58"/>
      <c r="D1063" s="58"/>
      <c r="E1063" s="58"/>
      <c r="F1063" s="58"/>
      <c r="G1063" s="58"/>
      <c r="I1063" s="56"/>
      <c r="J1063" s="58"/>
      <c r="K1063" s="58"/>
      <c r="L1063" s="58"/>
      <c r="M1063" s="58"/>
      <c r="N1063" s="58"/>
    </row>
    <row r="1064" spans="2:14" ht="12" x14ac:dyDescent="0.2">
      <c r="B1064" s="55"/>
      <c r="C1064" s="57"/>
      <c r="D1064" s="57"/>
      <c r="E1064" s="57"/>
      <c r="F1064" s="57"/>
      <c r="G1064" s="57"/>
      <c r="I1064" s="55"/>
      <c r="J1064" s="57"/>
      <c r="K1064" s="57"/>
      <c r="L1064" s="57"/>
      <c r="M1064" s="57"/>
      <c r="N1064" s="57"/>
    </row>
    <row r="1065" spans="2:14" ht="12" x14ac:dyDescent="0.2">
      <c r="B1065" s="56"/>
      <c r="C1065" s="58"/>
      <c r="D1065" s="58"/>
      <c r="E1065" s="58"/>
      <c r="F1065" s="58"/>
      <c r="G1065" s="58"/>
      <c r="I1065" s="56"/>
      <c r="J1065" s="58"/>
      <c r="K1065" s="58"/>
      <c r="L1065" s="58"/>
      <c r="M1065" s="58"/>
      <c r="N1065" s="58"/>
    </row>
    <row r="1066" spans="2:14" ht="12" x14ac:dyDescent="0.2">
      <c r="B1066" s="55"/>
      <c r="C1066" s="57"/>
      <c r="D1066" s="57"/>
      <c r="E1066" s="57"/>
      <c r="F1066" s="57"/>
      <c r="G1066" s="57"/>
      <c r="I1066" s="55"/>
      <c r="J1066" s="57"/>
      <c r="K1066" s="57"/>
      <c r="L1066" s="57"/>
      <c r="M1066" s="57"/>
      <c r="N1066" s="57"/>
    </row>
    <row r="1067" spans="2:14" ht="12" x14ac:dyDescent="0.2">
      <c r="B1067" s="56"/>
      <c r="C1067" s="58"/>
      <c r="D1067" s="58"/>
      <c r="E1067" s="58"/>
      <c r="F1067" s="58"/>
      <c r="G1067" s="58"/>
      <c r="I1067" s="56"/>
      <c r="J1067" s="58"/>
      <c r="K1067" s="58"/>
      <c r="L1067" s="58"/>
      <c r="M1067" s="58"/>
      <c r="N1067" s="58"/>
    </row>
    <row r="1068" spans="2:14" ht="12" x14ac:dyDescent="0.2">
      <c r="B1068" s="55"/>
      <c r="C1068" s="57"/>
      <c r="D1068" s="57"/>
      <c r="E1068" s="57"/>
      <c r="F1068" s="57"/>
      <c r="G1068" s="57"/>
      <c r="I1068" s="55"/>
      <c r="J1068" s="57"/>
      <c r="K1068" s="57"/>
      <c r="L1068" s="57"/>
      <c r="M1068" s="57"/>
      <c r="N1068" s="57"/>
    </row>
    <row r="1069" spans="2:14" ht="12" x14ac:dyDescent="0.2">
      <c r="B1069" s="56"/>
      <c r="C1069" s="58"/>
      <c r="D1069" s="58"/>
      <c r="E1069" s="58"/>
      <c r="F1069" s="58"/>
      <c r="G1069" s="58"/>
      <c r="I1069" s="56"/>
      <c r="J1069" s="58"/>
      <c r="K1069" s="58"/>
      <c r="L1069" s="58"/>
      <c r="M1069" s="58"/>
      <c r="N1069" s="58"/>
    </row>
    <row r="1070" spans="2:14" ht="12" x14ac:dyDescent="0.2">
      <c r="B1070" s="55"/>
      <c r="C1070" s="57"/>
      <c r="D1070" s="57"/>
      <c r="E1070" s="57"/>
      <c r="F1070" s="57"/>
      <c r="G1070" s="57"/>
      <c r="I1070" s="55"/>
      <c r="J1070" s="57"/>
      <c r="K1070" s="57"/>
      <c r="L1070" s="57"/>
      <c r="M1070" s="57"/>
      <c r="N1070" s="57"/>
    </row>
    <row r="1071" spans="2:14" ht="12" x14ac:dyDescent="0.2">
      <c r="B1071" s="56"/>
      <c r="C1071" s="58"/>
      <c r="D1071" s="58"/>
      <c r="E1071" s="58"/>
      <c r="F1071" s="58"/>
      <c r="G1071" s="58"/>
      <c r="I1071" s="56"/>
      <c r="J1071" s="58"/>
      <c r="K1071" s="58"/>
      <c r="L1071" s="58"/>
      <c r="M1071" s="58"/>
      <c r="N1071" s="58"/>
    </row>
    <row r="1072" spans="2:14" ht="12" x14ac:dyDescent="0.2">
      <c r="B1072" s="55"/>
      <c r="C1072" s="57"/>
      <c r="D1072" s="57"/>
      <c r="E1072" s="57"/>
      <c r="F1072" s="57"/>
      <c r="G1072" s="57"/>
      <c r="I1072" s="55"/>
      <c r="J1072" s="57"/>
      <c r="K1072" s="57"/>
      <c r="L1072" s="57"/>
      <c r="M1072" s="57"/>
      <c r="N1072" s="57"/>
    </row>
    <row r="1073" spans="2:14" ht="12" x14ac:dyDescent="0.2">
      <c r="B1073" s="56"/>
      <c r="C1073" s="58"/>
      <c r="D1073" s="58"/>
      <c r="E1073" s="58"/>
      <c r="F1073" s="58"/>
      <c r="G1073" s="58"/>
      <c r="I1073" s="56"/>
      <c r="J1073" s="58"/>
      <c r="K1073" s="58"/>
      <c r="L1073" s="58"/>
      <c r="M1073" s="58"/>
      <c r="N1073" s="58"/>
    </row>
    <row r="1074" spans="2:14" ht="12" x14ac:dyDescent="0.2">
      <c r="B1074" s="55"/>
      <c r="C1074" s="57"/>
      <c r="D1074" s="57"/>
      <c r="E1074" s="57"/>
      <c r="F1074" s="57"/>
      <c r="G1074" s="57"/>
      <c r="I1074" s="55"/>
      <c r="J1074" s="57"/>
      <c r="K1074" s="57"/>
      <c r="L1074" s="57"/>
      <c r="M1074" s="57"/>
      <c r="N1074" s="57"/>
    </row>
    <row r="1075" spans="2:14" ht="12" x14ac:dyDescent="0.2">
      <c r="B1075" s="56"/>
      <c r="C1075" s="58"/>
      <c r="D1075" s="58"/>
      <c r="E1075" s="58"/>
      <c r="F1075" s="58"/>
      <c r="G1075" s="58"/>
      <c r="I1075" s="56"/>
      <c r="J1075" s="58"/>
      <c r="K1075" s="58"/>
      <c r="L1075" s="58"/>
      <c r="M1075" s="58"/>
      <c r="N1075" s="58"/>
    </row>
    <row r="1076" spans="2:14" ht="12" x14ac:dyDescent="0.2">
      <c r="B1076" s="55"/>
      <c r="C1076" s="57"/>
      <c r="D1076" s="57"/>
      <c r="E1076" s="57"/>
      <c r="F1076" s="57"/>
      <c r="G1076" s="57"/>
      <c r="I1076" s="55"/>
      <c r="J1076" s="57"/>
      <c r="K1076" s="57"/>
      <c r="L1076" s="57"/>
      <c r="M1076" s="57"/>
      <c r="N1076" s="57"/>
    </row>
    <row r="1077" spans="2:14" ht="12" x14ac:dyDescent="0.2">
      <c r="B1077" s="56"/>
      <c r="C1077" s="58"/>
      <c r="D1077" s="58"/>
      <c r="E1077" s="58"/>
      <c r="F1077" s="58"/>
      <c r="G1077" s="58"/>
      <c r="I1077" s="56"/>
      <c r="J1077" s="58"/>
      <c r="K1077" s="58"/>
      <c r="L1077" s="58"/>
      <c r="M1077" s="58"/>
      <c r="N1077" s="58"/>
    </row>
    <row r="1078" spans="2:14" ht="12" x14ac:dyDescent="0.2">
      <c r="B1078" s="55"/>
      <c r="C1078" s="57"/>
      <c r="D1078" s="57"/>
      <c r="E1078" s="57"/>
      <c r="F1078" s="57"/>
      <c r="G1078" s="57"/>
      <c r="I1078" s="55"/>
      <c r="J1078" s="57"/>
      <c r="K1078" s="57"/>
      <c r="L1078" s="57"/>
      <c r="M1078" s="57"/>
      <c r="N1078" s="57"/>
    </row>
    <row r="1079" spans="2:14" ht="12" x14ac:dyDescent="0.2">
      <c r="B1079" s="56"/>
      <c r="C1079" s="58"/>
      <c r="D1079" s="58"/>
      <c r="E1079" s="58"/>
      <c r="F1079" s="58"/>
      <c r="G1079" s="58"/>
      <c r="I1079" s="56"/>
      <c r="J1079" s="58"/>
      <c r="K1079" s="58"/>
      <c r="L1079" s="58"/>
      <c r="M1079" s="58"/>
      <c r="N1079" s="58"/>
    </row>
    <row r="1080" spans="2:14" ht="12" x14ac:dyDescent="0.2">
      <c r="B1080" s="55"/>
      <c r="C1080" s="57"/>
      <c r="D1080" s="57"/>
      <c r="E1080" s="57"/>
      <c r="F1080" s="57"/>
      <c r="G1080" s="57"/>
      <c r="I1080" s="55"/>
      <c r="J1080" s="57"/>
      <c r="K1080" s="57"/>
      <c r="L1080" s="57"/>
      <c r="M1080" s="57"/>
      <c r="N1080" s="57"/>
    </row>
    <row r="1081" spans="2:14" ht="12" x14ac:dyDescent="0.2">
      <c r="B1081" s="56"/>
      <c r="C1081" s="58"/>
      <c r="D1081" s="58"/>
      <c r="E1081" s="58"/>
      <c r="F1081" s="58"/>
      <c r="G1081" s="58"/>
      <c r="I1081" s="56"/>
      <c r="J1081" s="58"/>
      <c r="K1081" s="58"/>
      <c r="L1081" s="58"/>
      <c r="M1081" s="58"/>
      <c r="N1081" s="58"/>
    </row>
    <row r="1082" spans="2:14" ht="12" x14ac:dyDescent="0.2">
      <c r="B1082" s="55"/>
      <c r="C1082" s="57"/>
      <c r="D1082" s="57"/>
      <c r="E1082" s="57"/>
      <c r="F1082" s="57"/>
      <c r="G1082" s="57"/>
      <c r="I1082" s="55"/>
      <c r="J1082" s="57"/>
      <c r="K1082" s="57"/>
      <c r="L1082" s="57"/>
      <c r="M1082" s="57"/>
      <c r="N1082" s="57"/>
    </row>
    <row r="1083" spans="2:14" ht="12" x14ac:dyDescent="0.2">
      <c r="B1083" s="56"/>
      <c r="C1083" s="58"/>
      <c r="D1083" s="58"/>
      <c r="E1083" s="58"/>
      <c r="F1083" s="58"/>
      <c r="G1083" s="58"/>
      <c r="I1083" s="56"/>
      <c r="J1083" s="58"/>
      <c r="K1083" s="58"/>
      <c r="L1083" s="58"/>
      <c r="M1083" s="58"/>
      <c r="N1083" s="58"/>
    </row>
    <row r="1084" spans="2:14" ht="12" x14ac:dyDescent="0.2">
      <c r="B1084" s="55"/>
      <c r="C1084" s="57"/>
      <c r="D1084" s="57"/>
      <c r="E1084" s="57"/>
      <c r="F1084" s="57"/>
      <c r="G1084" s="57"/>
      <c r="I1084" s="55"/>
      <c r="J1084" s="57"/>
      <c r="K1084" s="57"/>
      <c r="L1084" s="57"/>
      <c r="M1084" s="57"/>
      <c r="N1084" s="57"/>
    </row>
    <row r="1085" spans="2:14" ht="12" x14ac:dyDescent="0.2">
      <c r="B1085" s="56"/>
      <c r="C1085" s="58"/>
      <c r="D1085" s="58"/>
      <c r="E1085" s="58"/>
      <c r="F1085" s="58"/>
      <c r="G1085" s="58"/>
      <c r="I1085" s="56"/>
      <c r="J1085" s="58"/>
      <c r="K1085" s="58"/>
      <c r="L1085" s="58"/>
      <c r="M1085" s="58"/>
      <c r="N1085" s="58"/>
    </row>
    <row r="1086" spans="2:14" ht="12" x14ac:dyDescent="0.2">
      <c r="B1086" s="55"/>
      <c r="C1086" s="57"/>
      <c r="D1086" s="57"/>
      <c r="E1086" s="57"/>
      <c r="F1086" s="57"/>
      <c r="G1086" s="57"/>
      <c r="I1086" s="55"/>
      <c r="J1086" s="57"/>
      <c r="K1086" s="57"/>
      <c r="L1086" s="57"/>
      <c r="M1086" s="57"/>
      <c r="N1086" s="57"/>
    </row>
    <row r="1087" spans="2:14" ht="12" x14ac:dyDescent="0.2">
      <c r="B1087" s="56"/>
      <c r="C1087" s="58"/>
      <c r="D1087" s="58"/>
      <c r="E1087" s="58"/>
      <c r="F1087" s="58"/>
      <c r="G1087" s="58"/>
      <c r="I1087" s="56"/>
      <c r="J1087" s="58"/>
      <c r="K1087" s="58"/>
      <c r="L1087" s="58"/>
      <c r="M1087" s="58"/>
      <c r="N1087" s="58"/>
    </row>
    <row r="1088" spans="2:14" ht="12" x14ac:dyDescent="0.2">
      <c r="B1088" s="55"/>
      <c r="C1088" s="57"/>
      <c r="D1088" s="57"/>
      <c r="E1088" s="57"/>
      <c r="F1088" s="57"/>
      <c r="G1088" s="57"/>
      <c r="I1088" s="55"/>
      <c r="J1088" s="57"/>
      <c r="K1088" s="57"/>
      <c r="L1088" s="57"/>
      <c r="M1088" s="57"/>
      <c r="N1088" s="57"/>
    </row>
    <row r="1089" spans="2:14" ht="12" x14ac:dyDescent="0.2">
      <c r="B1089" s="56"/>
      <c r="C1089" s="58"/>
      <c r="D1089" s="58"/>
      <c r="E1089" s="58"/>
      <c r="F1089" s="58"/>
      <c r="G1089" s="58"/>
      <c r="I1089" s="56"/>
      <c r="J1089" s="58"/>
      <c r="K1089" s="58"/>
      <c r="L1089" s="58"/>
      <c r="M1089" s="58"/>
      <c r="N1089" s="58"/>
    </row>
    <row r="1090" spans="2:14" ht="12" x14ac:dyDescent="0.2">
      <c r="B1090" s="55"/>
      <c r="C1090" s="57"/>
      <c r="D1090" s="57"/>
      <c r="E1090" s="57"/>
      <c r="F1090" s="57"/>
      <c r="G1090" s="57"/>
      <c r="I1090" s="55"/>
      <c r="J1090" s="57"/>
      <c r="K1090" s="57"/>
      <c r="L1090" s="57"/>
      <c r="M1090" s="57"/>
      <c r="N1090" s="57"/>
    </row>
    <row r="1091" spans="2:14" ht="12" x14ac:dyDescent="0.2">
      <c r="B1091" s="56"/>
      <c r="C1091" s="58"/>
      <c r="D1091" s="58"/>
      <c r="E1091" s="58"/>
      <c r="F1091" s="58"/>
      <c r="G1091" s="58"/>
      <c r="I1091" s="56"/>
      <c r="J1091" s="58"/>
      <c r="K1091" s="58"/>
      <c r="L1091" s="58"/>
      <c r="M1091" s="58"/>
      <c r="N1091" s="58"/>
    </row>
    <row r="1092" spans="2:14" ht="12" x14ac:dyDescent="0.2">
      <c r="B1092" s="55"/>
      <c r="C1092" s="57"/>
      <c r="D1092" s="57"/>
      <c r="E1092" s="57"/>
      <c r="F1092" s="57"/>
      <c r="G1092" s="57"/>
      <c r="I1092" s="55"/>
      <c r="J1092" s="57"/>
      <c r="K1092" s="57"/>
      <c r="L1092" s="57"/>
      <c r="M1092" s="57"/>
      <c r="N1092" s="57"/>
    </row>
    <row r="1093" spans="2:14" ht="12" x14ac:dyDescent="0.2">
      <c r="B1093" s="56"/>
      <c r="C1093" s="58"/>
      <c r="D1093" s="58"/>
      <c r="E1093" s="58"/>
      <c r="F1093" s="58"/>
      <c r="G1093" s="58"/>
      <c r="I1093" s="56"/>
      <c r="J1093" s="58"/>
      <c r="K1093" s="58"/>
      <c r="L1093" s="58"/>
      <c r="M1093" s="58"/>
      <c r="N1093" s="58"/>
    </row>
    <row r="1094" spans="2:14" ht="12" x14ac:dyDescent="0.2">
      <c r="B1094" s="55"/>
      <c r="C1094" s="57"/>
      <c r="D1094" s="57"/>
      <c r="E1094" s="57"/>
      <c r="F1094" s="57"/>
      <c r="G1094" s="57"/>
      <c r="I1094" s="55"/>
      <c r="J1094" s="57"/>
      <c r="K1094" s="57"/>
      <c r="L1094" s="57"/>
      <c r="M1094" s="57"/>
      <c r="N1094" s="57"/>
    </row>
    <row r="1095" spans="2:14" ht="12" x14ac:dyDescent="0.2">
      <c r="B1095" s="56"/>
      <c r="C1095" s="58"/>
      <c r="D1095" s="58"/>
      <c r="E1095" s="58"/>
      <c r="F1095" s="58"/>
      <c r="G1095" s="58"/>
      <c r="I1095" s="56"/>
      <c r="J1095" s="58"/>
      <c r="K1095" s="58"/>
      <c r="L1095" s="58"/>
      <c r="M1095" s="58"/>
      <c r="N1095" s="58"/>
    </row>
    <row r="1096" spans="2:14" ht="12" x14ac:dyDescent="0.2">
      <c r="B1096" s="55"/>
      <c r="C1096" s="57"/>
      <c r="D1096" s="57"/>
      <c r="E1096" s="57"/>
      <c r="F1096" s="57"/>
      <c r="G1096" s="57"/>
      <c r="I1096" s="55"/>
      <c r="J1096" s="57"/>
      <c r="K1096" s="57"/>
      <c r="L1096" s="57"/>
      <c r="M1096" s="57"/>
      <c r="N1096" s="57"/>
    </row>
    <row r="1097" spans="2:14" ht="12" x14ac:dyDescent="0.2">
      <c r="B1097" s="56"/>
      <c r="C1097" s="58"/>
      <c r="D1097" s="58"/>
      <c r="E1097" s="58"/>
      <c r="F1097" s="58"/>
      <c r="G1097" s="58"/>
      <c r="I1097" s="56"/>
      <c r="J1097" s="58"/>
      <c r="K1097" s="58"/>
      <c r="L1097" s="58"/>
      <c r="M1097" s="58"/>
      <c r="N1097" s="58"/>
    </row>
    <row r="1098" spans="2:14" ht="12" x14ac:dyDescent="0.2">
      <c r="B1098" s="55"/>
      <c r="C1098" s="57"/>
      <c r="D1098" s="57"/>
      <c r="E1098" s="57"/>
      <c r="F1098" s="57"/>
      <c r="G1098" s="57"/>
      <c r="I1098" s="55"/>
      <c r="J1098" s="57"/>
      <c r="K1098" s="57"/>
      <c r="L1098" s="57"/>
      <c r="M1098" s="57"/>
      <c r="N1098" s="57"/>
    </row>
    <row r="1099" spans="2:14" ht="12" x14ac:dyDescent="0.2">
      <c r="B1099" s="56"/>
      <c r="C1099" s="58"/>
      <c r="D1099" s="58"/>
      <c r="E1099" s="58"/>
      <c r="F1099" s="58"/>
      <c r="G1099" s="58"/>
      <c r="I1099" s="56"/>
      <c r="J1099" s="58"/>
      <c r="K1099" s="58"/>
      <c r="L1099" s="58"/>
      <c r="M1099" s="58"/>
      <c r="N1099" s="58"/>
    </row>
    <row r="1100" spans="2:14" ht="12" x14ac:dyDescent="0.2">
      <c r="B1100" s="55"/>
      <c r="C1100" s="57"/>
      <c r="D1100" s="57"/>
      <c r="E1100" s="57"/>
      <c r="F1100" s="57"/>
      <c r="G1100" s="57"/>
      <c r="I1100" s="55"/>
      <c r="J1100" s="57"/>
      <c r="K1100" s="57"/>
      <c r="L1100" s="57"/>
      <c r="M1100" s="57"/>
      <c r="N1100" s="57"/>
    </row>
    <row r="1101" spans="2:14" ht="12" x14ac:dyDescent="0.2">
      <c r="B1101" s="56"/>
      <c r="C1101" s="58"/>
      <c r="D1101" s="58"/>
      <c r="E1101" s="58"/>
      <c r="F1101" s="58"/>
      <c r="G1101" s="58"/>
      <c r="I1101" s="56"/>
      <c r="J1101" s="58"/>
      <c r="K1101" s="58"/>
      <c r="L1101" s="58"/>
      <c r="M1101" s="58"/>
      <c r="N1101" s="58"/>
    </row>
    <row r="1102" spans="2:14" ht="12" x14ac:dyDescent="0.2">
      <c r="B1102" s="55"/>
      <c r="C1102" s="57"/>
      <c r="D1102" s="57"/>
      <c r="E1102" s="57"/>
      <c r="F1102" s="57"/>
      <c r="G1102" s="57"/>
      <c r="I1102" s="55"/>
      <c r="J1102" s="57"/>
      <c r="K1102" s="57"/>
      <c r="L1102" s="57"/>
      <c r="M1102" s="57"/>
      <c r="N1102" s="57"/>
    </row>
    <row r="1103" spans="2:14" ht="12" x14ac:dyDescent="0.2">
      <c r="B1103" s="56"/>
      <c r="C1103" s="58"/>
      <c r="D1103" s="58"/>
      <c r="E1103" s="58"/>
      <c r="F1103" s="58"/>
      <c r="G1103" s="58"/>
      <c r="I1103" s="56"/>
      <c r="J1103" s="58"/>
      <c r="K1103" s="58"/>
      <c r="L1103" s="58"/>
      <c r="M1103" s="58"/>
      <c r="N1103" s="58"/>
    </row>
    <row r="1104" spans="2:14" ht="12" x14ac:dyDescent="0.2">
      <c r="B1104" s="55"/>
      <c r="C1104" s="57"/>
      <c r="D1104" s="57"/>
      <c r="E1104" s="57"/>
      <c r="F1104" s="57"/>
      <c r="G1104" s="57"/>
      <c r="I1104" s="55"/>
      <c r="J1104" s="57"/>
      <c r="K1104" s="57"/>
      <c r="L1104" s="57"/>
      <c r="M1104" s="57"/>
      <c r="N1104" s="57"/>
    </row>
    <row r="1105" spans="2:14" ht="12" x14ac:dyDescent="0.2">
      <c r="B1105" s="56"/>
      <c r="C1105" s="58"/>
      <c r="D1105" s="58"/>
      <c r="E1105" s="58"/>
      <c r="F1105" s="58"/>
      <c r="G1105" s="58"/>
      <c r="I1105" s="56"/>
      <c r="J1105" s="58"/>
      <c r="K1105" s="58"/>
      <c r="L1105" s="58"/>
      <c r="M1105" s="58"/>
      <c r="N1105" s="58"/>
    </row>
    <row r="1106" spans="2:14" ht="12" x14ac:dyDescent="0.2">
      <c r="B1106" s="55"/>
      <c r="C1106" s="57"/>
      <c r="D1106" s="57"/>
      <c r="E1106" s="57"/>
      <c r="F1106" s="57"/>
      <c r="G1106" s="57"/>
      <c r="I1106" s="55"/>
      <c r="J1106" s="57"/>
      <c r="K1106" s="57"/>
      <c r="L1106" s="57"/>
      <c r="M1106" s="57"/>
      <c r="N1106" s="57"/>
    </row>
    <row r="1107" spans="2:14" ht="12" x14ac:dyDescent="0.2">
      <c r="B1107" s="56"/>
      <c r="C1107" s="58"/>
      <c r="D1107" s="58"/>
      <c r="E1107" s="58"/>
      <c r="F1107" s="58"/>
      <c r="G1107" s="58"/>
      <c r="I1107" s="56"/>
      <c r="J1107" s="58"/>
      <c r="K1107" s="58"/>
      <c r="L1107" s="58"/>
      <c r="M1107" s="58"/>
      <c r="N1107" s="58"/>
    </row>
    <row r="1108" spans="2:14" ht="12" x14ac:dyDescent="0.2">
      <c r="B1108" s="55"/>
      <c r="C1108" s="57"/>
      <c r="D1108" s="57"/>
      <c r="E1108" s="57"/>
      <c r="F1108" s="57"/>
      <c r="G1108" s="57"/>
      <c r="I1108" s="55"/>
      <c r="J1108" s="57"/>
      <c r="K1108" s="57"/>
      <c r="L1108" s="57"/>
      <c r="M1108" s="57"/>
      <c r="N1108" s="57"/>
    </row>
    <row r="1109" spans="2:14" ht="12" x14ac:dyDescent="0.2">
      <c r="B1109" s="56"/>
      <c r="C1109" s="58"/>
      <c r="D1109" s="58"/>
      <c r="E1109" s="58"/>
      <c r="F1109" s="58"/>
      <c r="G1109" s="58"/>
      <c r="I1109" s="56"/>
      <c r="J1109" s="58"/>
      <c r="K1109" s="58"/>
      <c r="L1109" s="58"/>
      <c r="M1109" s="58"/>
      <c r="N1109" s="58"/>
    </row>
    <row r="1110" spans="2:14" ht="12" x14ac:dyDescent="0.2">
      <c r="B1110" s="55"/>
      <c r="C1110" s="57"/>
      <c r="D1110" s="57"/>
      <c r="E1110" s="57"/>
      <c r="F1110" s="57"/>
      <c r="G1110" s="57"/>
      <c r="I1110" s="55"/>
      <c r="J1110" s="57"/>
      <c r="K1110" s="57"/>
      <c r="L1110" s="57"/>
      <c r="M1110" s="57"/>
      <c r="N1110" s="57"/>
    </row>
    <row r="1111" spans="2:14" ht="12" x14ac:dyDescent="0.2">
      <c r="B1111" s="56"/>
      <c r="C1111" s="58"/>
      <c r="D1111" s="58"/>
      <c r="E1111" s="58"/>
      <c r="F1111" s="58"/>
      <c r="G1111" s="58"/>
      <c r="I1111" s="56"/>
      <c r="J1111" s="58"/>
      <c r="K1111" s="58"/>
      <c r="L1111" s="58"/>
      <c r="M1111" s="58"/>
      <c r="N1111" s="58"/>
    </row>
    <row r="1112" spans="2:14" ht="12" x14ac:dyDescent="0.2">
      <c r="B1112" s="55"/>
      <c r="C1112" s="57"/>
      <c r="D1112" s="57"/>
      <c r="E1112" s="57"/>
      <c r="F1112" s="57"/>
      <c r="G1112" s="57"/>
      <c r="I1112" s="55"/>
      <c r="J1112" s="57"/>
      <c r="K1112" s="57"/>
      <c r="L1112" s="57"/>
      <c r="M1112" s="57"/>
      <c r="N1112" s="57"/>
    </row>
    <row r="1113" spans="2:14" ht="12" x14ac:dyDescent="0.2">
      <c r="B1113" s="56"/>
      <c r="C1113" s="58"/>
      <c r="D1113" s="58"/>
      <c r="E1113" s="58"/>
      <c r="F1113" s="58"/>
      <c r="G1113" s="58"/>
      <c r="I1113" s="56"/>
      <c r="J1113" s="58"/>
      <c r="K1113" s="58"/>
      <c r="L1113" s="58"/>
      <c r="M1113" s="58"/>
      <c r="N1113" s="58"/>
    </row>
    <row r="1114" spans="2:14" ht="12" x14ac:dyDescent="0.2">
      <c r="B1114" s="55"/>
      <c r="C1114" s="57"/>
      <c r="D1114" s="57"/>
      <c r="E1114" s="57"/>
      <c r="F1114" s="57"/>
      <c r="I1114" s="55"/>
      <c r="J1114" s="57"/>
      <c r="K1114" s="57"/>
      <c r="L1114" s="57"/>
      <c r="M1114" s="57"/>
    </row>
  </sheetData>
  <sheetProtection formatColumns="0" formatRows="0"/>
  <mergeCells count="5">
    <mergeCell ref="B37:G37"/>
    <mergeCell ref="I37:N37"/>
    <mergeCell ref="D7:E7"/>
    <mergeCell ref="K7:L7"/>
    <mergeCell ref="C1:M1"/>
  </mergeCells>
  <phoneticPr fontId="12" type="noConversion"/>
  <hyperlinks>
    <hyperlink ref="B6" location="目录!A1" display="目录"/>
    <hyperlink ref="G6" location="'2'!A1" display="上一页"/>
    <hyperlink ref="I6" location="'4'!A1" display="下一页"/>
    <hyperlink ref="N6" location="目录!A1" display="目录"/>
  </hyperlinks>
  <pageMargins left="0.7" right="0.7" top="0.75" bottom="0.75" header="0.3" footer="0.3"/>
  <pageSetup paperSize="11" orientation="portrait" horizontalDpi="300" verticalDpi="300" r:id="rId1"/>
  <ignoredErrors>
    <ignoredError sqref="C38:H38" unlockedFormula="1"/>
  </ignoredErrors>
  <drawing r:id="rId2"/>
  <legacyDrawing r:id="rId3"/>
  <controls>
    <mc:AlternateContent xmlns:mc="http://schemas.openxmlformats.org/markup-compatibility/2006">
      <mc:Choice Requires="x14">
        <control shapeId="410626" r:id="rId4" name="SpinButtonB">
          <controlPr defaultSize="0" autoLine="0" autoPict="0" r:id="rId5">
            <anchor moveWithCells="1" siz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410626" r:id="rId4" name="SpinButtonB"/>
      </mc:Fallback>
    </mc:AlternateContent>
    <mc:AlternateContent xmlns:mc="http://schemas.openxmlformats.org/markup-compatibility/2006">
      <mc:Choice Requires="x14">
        <control shapeId="410625" r:id="rId6" name="SpinButtonA">
          <controlPr defaultSize="0" autoLine="0" r:id="rId5">
            <anchor moveWithCells="1" sizeWithCells="1">
              <from>
                <xdr:col>3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410625" r:id="rId6" name="SpinButton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63636D"/>
  </sheetPr>
  <dimension ref="A1:Q1114"/>
  <sheetViews>
    <sheetView showGridLines="0" zoomScaleNormal="100" workbookViewId="0">
      <selection activeCell="A59" sqref="A59"/>
    </sheetView>
  </sheetViews>
  <sheetFormatPr defaultRowHeight="11.25" x14ac:dyDescent="0.15"/>
  <cols>
    <col min="1" max="1" width="1.625" style="8" customWidth="1"/>
    <col min="2" max="2" width="11.625" style="14" customWidth="1"/>
    <col min="3" max="7" width="12.625" style="9" customWidth="1"/>
    <col min="8" max="8" width="1.625" style="8" customWidth="1"/>
    <col min="9" max="9" width="11.625" style="14" customWidth="1"/>
    <col min="10" max="14" width="12.625" style="9" customWidth="1"/>
    <col min="15" max="15" width="2.5" style="8" customWidth="1"/>
    <col min="16" max="16384" width="9" style="9"/>
  </cols>
  <sheetData>
    <row r="1" spans="1:17" s="2" customFormat="1" ht="27.75" x14ac:dyDescent="0.15">
      <c r="A1" s="49"/>
      <c r="B1" s="49"/>
      <c r="C1" s="86" t="s">
        <v>44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49"/>
      <c r="O1" s="49"/>
      <c r="P1" s="1"/>
      <c r="Q1" s="1"/>
    </row>
    <row r="2" spans="1:17" s="2" customFormat="1" ht="12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1"/>
      <c r="Q2" s="1"/>
    </row>
    <row r="3" spans="1:17" s="2" customFormat="1" ht="12" x14ac:dyDescent="0.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1"/>
      <c r="Q3" s="1"/>
    </row>
    <row r="4" spans="1:17" s="2" customFormat="1" ht="12" hidden="1" x14ac:dyDescent="0.15">
      <c r="A4" s="3"/>
      <c r="B4" s="38"/>
      <c r="C4" s="1"/>
      <c r="D4" s="1"/>
      <c r="E4" s="1"/>
      <c r="F4" s="1"/>
      <c r="G4" s="1"/>
      <c r="H4" s="3"/>
      <c r="I4" s="38"/>
      <c r="J4" s="1"/>
      <c r="K4" s="1"/>
      <c r="L4" s="1"/>
      <c r="M4" s="1"/>
      <c r="N4" s="1"/>
      <c r="O4" s="3"/>
      <c r="P4" s="1"/>
      <c r="Q4" s="1"/>
    </row>
    <row r="5" spans="1:17" s="2" customFormat="1" ht="12" hidden="1" x14ac:dyDescent="0.15">
      <c r="A5" s="4"/>
      <c r="B5" s="39"/>
      <c r="H5" s="4"/>
      <c r="I5" s="39"/>
      <c r="O5" s="5"/>
    </row>
    <row r="6" spans="1:17" s="2" customFormat="1" ht="17.25" x14ac:dyDescent="0.3">
      <c r="A6" s="4"/>
      <c r="B6" s="51" t="s">
        <v>22</v>
      </c>
      <c r="C6" s="51"/>
      <c r="D6" s="51"/>
      <c r="E6" s="51"/>
      <c r="F6" s="51"/>
      <c r="G6" s="51" t="s">
        <v>5</v>
      </c>
      <c r="H6" s="4"/>
      <c r="I6" s="51" t="s">
        <v>23</v>
      </c>
      <c r="J6" s="51"/>
      <c r="K6" s="51"/>
      <c r="L6" s="51"/>
      <c r="M6" s="51"/>
      <c r="N6" s="51" t="s">
        <v>24</v>
      </c>
      <c r="O6" s="5"/>
    </row>
    <row r="7" spans="1:17" s="7" customFormat="1" ht="16.5" x14ac:dyDescent="0.35">
      <c r="A7" s="6"/>
      <c r="B7" s="52" t="s">
        <v>36</v>
      </c>
      <c r="C7" s="37">
        <f>DATE(YEAR(MAX(B:B)),MONTH(MAX(B:B)),1)</f>
        <v>45413</v>
      </c>
      <c r="D7" s="89"/>
      <c r="E7" s="89"/>
      <c r="F7" s="52" t="s">
        <v>37</v>
      </c>
      <c r="G7" s="37" t="str">
        <f>F9&amp;"个月"</f>
        <v>24个月</v>
      </c>
      <c r="H7" s="32"/>
      <c r="I7" s="52" t="s">
        <v>38</v>
      </c>
      <c r="J7" s="37">
        <f>DATE(YEAR(MAX(I:I)),MONTH(MAX(I:I)),1)</f>
        <v>45413</v>
      </c>
      <c r="K7" s="89"/>
      <c r="L7" s="89"/>
      <c r="M7" s="52" t="s">
        <v>39</v>
      </c>
      <c r="N7" s="37" t="str">
        <f>M9&amp;"个月"</f>
        <v>24个月</v>
      </c>
      <c r="O7" s="6"/>
    </row>
    <row r="8" spans="1:17" x14ac:dyDescent="0.15">
      <c r="B8" s="27"/>
      <c r="C8" s="22"/>
      <c r="D8" s="22"/>
      <c r="E8" s="22"/>
      <c r="F8" s="22"/>
      <c r="G8" s="22"/>
      <c r="H8" s="23"/>
      <c r="I8" s="27"/>
      <c r="J8" s="22"/>
      <c r="K8" s="22"/>
      <c r="L8" s="22"/>
      <c r="M8" s="22"/>
      <c r="N8" s="22"/>
    </row>
    <row r="9" spans="1:17" ht="11.25" hidden="1" customHeight="1" x14ac:dyDescent="0.15">
      <c r="B9" s="41" t="s">
        <v>2</v>
      </c>
      <c r="C9" s="22">
        <f>ROW(B39)</f>
        <v>39</v>
      </c>
      <c r="D9" s="22"/>
      <c r="E9" s="22"/>
      <c r="F9" s="22">
        <v>24</v>
      </c>
      <c r="G9" s="22"/>
      <c r="H9" s="23"/>
      <c r="I9" s="41" t="s">
        <v>2</v>
      </c>
      <c r="J9" s="22">
        <f>ROW(I39)</f>
        <v>39</v>
      </c>
      <c r="K9" s="22"/>
      <c r="L9" s="22"/>
      <c r="M9" s="22">
        <v>24</v>
      </c>
      <c r="N9" s="22"/>
    </row>
    <row r="10" spans="1:17" ht="11.25" hidden="1" customHeight="1" x14ac:dyDescent="0.15">
      <c r="B10" s="41" t="s">
        <v>1</v>
      </c>
      <c r="C10" s="24">
        <f>MATCH(MAX(B:B),B:B)</f>
        <v>417</v>
      </c>
      <c r="D10" s="22"/>
      <c r="E10" s="22"/>
      <c r="F10" s="22"/>
      <c r="G10" s="22"/>
      <c r="H10" s="23"/>
      <c r="I10" s="41" t="s">
        <v>1</v>
      </c>
      <c r="J10" s="24">
        <f>MATCH(MAX(I:I),I:I)</f>
        <v>404</v>
      </c>
      <c r="K10" s="22"/>
      <c r="L10" s="22"/>
      <c r="M10" s="22"/>
      <c r="N10" s="22"/>
    </row>
    <row r="11" spans="1:17" ht="11.25" hidden="1" customHeight="1" x14ac:dyDescent="0.15">
      <c r="B11" s="41" t="s">
        <v>3</v>
      </c>
      <c r="C11" s="24">
        <f>C10-C9</f>
        <v>378</v>
      </c>
      <c r="D11" s="22"/>
      <c r="E11" s="22"/>
      <c r="F11" s="22"/>
      <c r="G11" s="22"/>
      <c r="H11" s="23"/>
      <c r="I11" s="41" t="s">
        <v>3</v>
      </c>
      <c r="J11" s="24">
        <f>J10-J9</f>
        <v>365</v>
      </c>
      <c r="K11" s="22"/>
      <c r="L11" s="22"/>
      <c r="M11" s="22"/>
      <c r="N11" s="22"/>
    </row>
    <row r="12" spans="1:17" x14ac:dyDescent="0.15">
      <c r="B12" s="27"/>
      <c r="C12" s="22"/>
      <c r="D12" s="22"/>
      <c r="E12" s="22"/>
      <c r="F12" s="22"/>
      <c r="G12" s="22"/>
      <c r="H12" s="23"/>
      <c r="I12" s="27"/>
      <c r="J12" s="22"/>
      <c r="K12" s="22"/>
      <c r="L12" s="22"/>
      <c r="M12" s="22"/>
      <c r="N12" s="22"/>
    </row>
    <row r="13" spans="1:17" x14ac:dyDescent="0.15">
      <c r="B13" s="27"/>
      <c r="C13" s="22"/>
      <c r="D13" s="22"/>
      <c r="E13" s="22"/>
      <c r="F13" s="22"/>
      <c r="G13" s="22"/>
      <c r="H13" s="23"/>
      <c r="I13" s="27"/>
      <c r="J13" s="22"/>
      <c r="K13" s="22"/>
      <c r="L13" s="22"/>
      <c r="M13" s="22"/>
      <c r="N13" s="22"/>
    </row>
    <row r="14" spans="1:17" x14ac:dyDescent="0.15">
      <c r="B14" s="27"/>
      <c r="C14" s="22"/>
      <c r="D14" s="22"/>
      <c r="E14" s="22"/>
      <c r="F14" s="22"/>
      <c r="G14" s="22"/>
      <c r="H14" s="23"/>
      <c r="I14" s="27"/>
      <c r="J14" s="22"/>
      <c r="K14" s="22"/>
      <c r="L14" s="22"/>
      <c r="M14" s="22"/>
      <c r="N14" s="22"/>
    </row>
    <row r="15" spans="1:17" x14ac:dyDescent="0.15">
      <c r="B15" s="27"/>
      <c r="C15" s="22"/>
      <c r="D15" s="22"/>
      <c r="E15" s="22"/>
      <c r="F15" s="22"/>
      <c r="G15" s="22"/>
      <c r="H15" s="23"/>
      <c r="I15" s="27"/>
      <c r="J15" s="22"/>
      <c r="K15" s="22"/>
      <c r="L15" s="22"/>
      <c r="M15" s="22"/>
      <c r="N15" s="22"/>
    </row>
    <row r="16" spans="1:17" x14ac:dyDescent="0.15">
      <c r="B16" s="27"/>
      <c r="C16" s="22"/>
      <c r="D16" s="22"/>
      <c r="E16" s="22"/>
      <c r="F16" s="22"/>
      <c r="G16" s="22"/>
      <c r="H16" s="23"/>
      <c r="I16" s="27"/>
      <c r="J16" s="22"/>
      <c r="K16" s="22"/>
      <c r="L16" s="22"/>
      <c r="M16" s="22"/>
      <c r="N16" s="22"/>
    </row>
    <row r="17" spans="2:14" x14ac:dyDescent="0.15">
      <c r="B17" s="27"/>
      <c r="C17" s="22"/>
      <c r="D17" s="22"/>
      <c r="E17" s="22"/>
      <c r="F17" s="22"/>
      <c r="G17" s="22"/>
      <c r="H17" s="23"/>
      <c r="I17" s="27"/>
      <c r="J17" s="22"/>
      <c r="K17" s="22"/>
      <c r="L17" s="22"/>
      <c r="M17" s="22"/>
      <c r="N17" s="22"/>
    </row>
    <row r="18" spans="2:14" x14ac:dyDescent="0.15">
      <c r="B18" s="27"/>
      <c r="C18" s="22"/>
      <c r="D18" s="22"/>
      <c r="E18" s="22"/>
      <c r="F18" s="22"/>
      <c r="G18" s="22"/>
      <c r="H18" s="23"/>
      <c r="I18" s="27"/>
      <c r="J18" s="22"/>
      <c r="K18" s="22"/>
      <c r="L18" s="22"/>
      <c r="M18" s="22"/>
      <c r="N18" s="22"/>
    </row>
    <row r="19" spans="2:14" x14ac:dyDescent="0.15">
      <c r="B19" s="27"/>
      <c r="C19" s="22"/>
      <c r="D19" s="22"/>
      <c r="E19" s="22"/>
      <c r="F19" s="22"/>
      <c r="G19" s="22"/>
      <c r="H19" s="23"/>
      <c r="I19" s="27"/>
      <c r="J19" s="22"/>
      <c r="K19" s="22"/>
      <c r="L19" s="22"/>
      <c r="M19" s="22"/>
      <c r="N19" s="22"/>
    </row>
    <row r="20" spans="2:14" x14ac:dyDescent="0.15">
      <c r="B20" s="27"/>
      <c r="C20" s="22"/>
      <c r="D20" s="22"/>
      <c r="E20" s="22"/>
      <c r="F20" s="22"/>
      <c r="G20" s="22"/>
      <c r="H20" s="23"/>
      <c r="I20" s="27"/>
      <c r="J20" s="22"/>
      <c r="K20" s="22"/>
      <c r="L20" s="22"/>
      <c r="M20" s="22"/>
      <c r="N20" s="22"/>
    </row>
    <row r="21" spans="2:14" x14ac:dyDescent="0.15">
      <c r="B21" s="27"/>
      <c r="C21" s="22"/>
      <c r="D21" s="25"/>
      <c r="E21" s="22"/>
      <c r="F21" s="22"/>
      <c r="G21" s="22"/>
      <c r="H21" s="23"/>
      <c r="I21" s="27"/>
      <c r="J21" s="22"/>
      <c r="K21" s="22"/>
      <c r="L21" s="22"/>
      <c r="M21" s="22"/>
      <c r="N21" s="22"/>
    </row>
    <row r="22" spans="2:14" x14ac:dyDescent="0.15">
      <c r="B22" s="27"/>
      <c r="C22" s="22"/>
      <c r="D22" s="22"/>
      <c r="E22" s="22"/>
      <c r="F22" s="22"/>
      <c r="G22" s="22"/>
      <c r="H22" s="23"/>
      <c r="I22" s="27"/>
      <c r="J22" s="22"/>
      <c r="K22" s="22"/>
      <c r="L22" s="22"/>
      <c r="M22" s="22"/>
      <c r="N22" s="22"/>
    </row>
    <row r="23" spans="2:14" x14ac:dyDescent="0.15">
      <c r="B23" s="27"/>
      <c r="C23" s="22"/>
      <c r="D23" s="22"/>
      <c r="E23" s="22"/>
      <c r="F23" s="22"/>
      <c r="G23" s="22"/>
      <c r="H23" s="23"/>
      <c r="I23" s="27"/>
      <c r="J23" s="22"/>
      <c r="K23" s="22"/>
      <c r="L23" s="22"/>
      <c r="M23" s="22"/>
      <c r="N23" s="22"/>
    </row>
    <row r="24" spans="2:14" x14ac:dyDescent="0.15">
      <c r="B24" s="27"/>
      <c r="C24" s="22"/>
      <c r="D24" s="22"/>
      <c r="E24" s="26"/>
      <c r="F24" s="22"/>
      <c r="G24" s="22"/>
      <c r="H24" s="23"/>
      <c r="I24" s="27"/>
      <c r="J24" s="22"/>
      <c r="K24" s="22"/>
      <c r="L24" s="22"/>
      <c r="M24" s="22"/>
      <c r="N24" s="22"/>
    </row>
    <row r="25" spans="2:14" x14ac:dyDescent="0.15">
      <c r="B25" s="27"/>
      <c r="C25" s="22"/>
      <c r="D25" s="22"/>
      <c r="E25" s="26"/>
      <c r="F25" s="22"/>
      <c r="G25" s="22"/>
      <c r="H25" s="23"/>
      <c r="I25" s="27"/>
      <c r="J25" s="22"/>
      <c r="K25" s="22"/>
      <c r="L25" s="22"/>
      <c r="M25" s="22"/>
      <c r="N25" s="22"/>
    </row>
    <row r="26" spans="2:14" x14ac:dyDescent="0.15">
      <c r="B26" s="27"/>
      <c r="C26" s="22"/>
      <c r="D26" s="22"/>
      <c r="E26" s="26"/>
      <c r="F26" s="22"/>
      <c r="G26" s="22"/>
      <c r="H26" s="23"/>
      <c r="I26" s="27"/>
      <c r="J26" s="22"/>
      <c r="K26" s="22"/>
      <c r="L26" s="22"/>
      <c r="M26" s="22"/>
      <c r="N26" s="22"/>
    </row>
    <row r="27" spans="2:14" x14ac:dyDescent="0.15">
      <c r="B27" s="27"/>
      <c r="C27" s="22"/>
      <c r="D27" s="22"/>
      <c r="E27" s="22"/>
      <c r="F27" s="22"/>
      <c r="G27" s="22"/>
      <c r="H27" s="23"/>
      <c r="I27" s="27"/>
      <c r="J27" s="22"/>
      <c r="K27" s="22"/>
      <c r="L27" s="22"/>
      <c r="M27" s="22"/>
      <c r="N27" s="22"/>
    </row>
    <row r="28" spans="2:14" x14ac:dyDescent="0.15">
      <c r="B28" s="27"/>
      <c r="C28" s="22"/>
      <c r="D28" s="22"/>
      <c r="E28" s="22"/>
      <c r="F28" s="22"/>
      <c r="G28" s="22"/>
      <c r="H28" s="23"/>
      <c r="I28" s="27"/>
      <c r="J28" s="22"/>
      <c r="K28" s="22"/>
      <c r="L28" s="22"/>
      <c r="M28" s="22"/>
      <c r="N28" s="22"/>
    </row>
    <row r="29" spans="2:14" x14ac:dyDescent="0.15">
      <c r="B29" s="27"/>
      <c r="C29" s="22"/>
      <c r="D29" s="27"/>
      <c r="E29" s="22"/>
      <c r="F29" s="22"/>
      <c r="G29" s="22"/>
      <c r="H29" s="23"/>
      <c r="I29" s="27"/>
      <c r="J29" s="22"/>
      <c r="K29" s="22"/>
      <c r="L29" s="22"/>
      <c r="M29" s="22"/>
      <c r="N29" s="22"/>
    </row>
    <row r="30" spans="2:14" x14ac:dyDescent="0.15">
      <c r="B30" s="27"/>
      <c r="C30" s="22"/>
      <c r="D30" s="22"/>
      <c r="E30" s="22"/>
      <c r="F30" s="22"/>
      <c r="G30" s="22"/>
      <c r="H30" s="23"/>
      <c r="I30" s="27"/>
      <c r="J30" s="22"/>
      <c r="K30" s="22"/>
      <c r="L30" s="22"/>
      <c r="M30" s="22"/>
      <c r="N30" s="22"/>
    </row>
    <row r="31" spans="2:14" x14ac:dyDescent="0.15">
      <c r="B31" s="27"/>
      <c r="C31" s="22"/>
      <c r="D31" s="22"/>
      <c r="E31" s="22"/>
      <c r="F31" s="22"/>
      <c r="G31" s="22"/>
      <c r="H31" s="23"/>
      <c r="I31" s="27"/>
      <c r="J31" s="22"/>
      <c r="K31" s="22"/>
      <c r="L31" s="22"/>
      <c r="M31" s="22"/>
      <c r="N31" s="22"/>
    </row>
    <row r="32" spans="2:14" x14ac:dyDescent="0.15">
      <c r="B32" s="27"/>
      <c r="C32" s="22"/>
      <c r="D32" s="22"/>
      <c r="E32" s="22"/>
      <c r="F32" s="22"/>
      <c r="G32" s="22"/>
      <c r="H32" s="23"/>
      <c r="I32" s="27"/>
      <c r="J32" s="22"/>
      <c r="K32" s="22"/>
      <c r="L32" s="22"/>
      <c r="M32" s="22"/>
      <c r="N32" s="22"/>
    </row>
    <row r="33" spans="1:15" x14ac:dyDescent="0.15">
      <c r="B33" s="27"/>
      <c r="C33" s="22"/>
      <c r="D33" s="22"/>
      <c r="E33" s="22"/>
      <c r="F33" s="22"/>
      <c r="G33" s="22"/>
      <c r="H33" s="23"/>
      <c r="I33" s="27"/>
      <c r="J33" s="22"/>
      <c r="K33" s="22"/>
      <c r="L33" s="22"/>
      <c r="M33" s="22"/>
      <c r="N33" s="22"/>
    </row>
    <row r="34" spans="1:15" x14ac:dyDescent="0.15">
      <c r="B34" s="27"/>
      <c r="C34" s="22"/>
      <c r="D34" s="22"/>
      <c r="E34" s="22"/>
      <c r="F34" s="22"/>
      <c r="G34" s="22"/>
      <c r="H34" s="23"/>
      <c r="I34" s="27"/>
      <c r="J34" s="22"/>
      <c r="K34" s="22"/>
      <c r="L34" s="22"/>
      <c r="M34" s="22"/>
      <c r="N34" s="22"/>
    </row>
    <row r="35" spans="1:15" x14ac:dyDescent="0.15">
      <c r="B35" s="27"/>
      <c r="C35" s="22"/>
      <c r="D35" s="22"/>
      <c r="E35" s="22"/>
      <c r="F35" s="22"/>
      <c r="G35" s="22"/>
      <c r="H35" s="23"/>
      <c r="I35" s="27"/>
      <c r="J35" s="22"/>
      <c r="K35" s="22"/>
      <c r="L35" s="22"/>
      <c r="M35" s="22"/>
      <c r="N35" s="22"/>
    </row>
    <row r="36" spans="1:15" x14ac:dyDescent="0.15">
      <c r="B36" s="27"/>
      <c r="C36" s="28"/>
      <c r="D36" s="29"/>
      <c r="E36" s="22"/>
      <c r="F36" s="22"/>
      <c r="G36" s="22"/>
      <c r="H36" s="23"/>
      <c r="I36" s="27"/>
      <c r="J36" s="22"/>
      <c r="K36" s="22"/>
      <c r="L36" s="22"/>
      <c r="M36" s="22"/>
      <c r="N36" s="22"/>
    </row>
    <row r="37" spans="1:15" ht="18" x14ac:dyDescent="0.35">
      <c r="B37" s="88" t="s">
        <v>28</v>
      </c>
      <c r="C37" s="88"/>
      <c r="D37" s="88"/>
      <c r="E37" s="88"/>
      <c r="F37" s="88"/>
      <c r="G37" s="88"/>
      <c r="H37" s="23"/>
      <c r="I37" s="88" t="s">
        <v>28</v>
      </c>
      <c r="J37" s="88"/>
      <c r="K37" s="88"/>
      <c r="L37" s="88"/>
      <c r="M37" s="88"/>
      <c r="N37" s="88"/>
    </row>
    <row r="38" spans="1:15" ht="14.25" x14ac:dyDescent="0.15">
      <c r="B38" s="30" t="str">
        <f>[1]!edb()</f>
        <v>Wind</v>
      </c>
      <c r="C38"/>
      <c r="D38" s="29"/>
      <c r="E38" s="22"/>
      <c r="F38" s="22"/>
      <c r="G38" s="22"/>
      <c r="H38" s="23"/>
      <c r="I38" s="30" t="str">
        <f>[1]!edb()</f>
        <v>Wind</v>
      </c>
      <c r="J38"/>
      <c r="K38" s="22"/>
      <c r="L38" s="22"/>
      <c r="M38" s="22"/>
      <c r="N38" s="22"/>
    </row>
    <row r="39" spans="1:15" ht="14.25" x14ac:dyDescent="0.15">
      <c r="B39" s="70" t="s">
        <v>49</v>
      </c>
      <c r="C39" s="70" t="s">
        <v>86</v>
      </c>
      <c r="D39" s="70" t="s">
        <v>87</v>
      </c>
      <c r="E39" s="70" t="s">
        <v>88</v>
      </c>
      <c r="F39" s="70" t="s">
        <v>89</v>
      </c>
      <c r="G39" s="54"/>
      <c r="H39" s="53"/>
      <c r="I39" s="70" t="s">
        <v>75</v>
      </c>
      <c r="J39" s="70" t="s">
        <v>76</v>
      </c>
      <c r="K39" s="70" t="s">
        <v>77</v>
      </c>
      <c r="L39" s="70" t="s">
        <v>78</v>
      </c>
      <c r="M39" s="70" t="s">
        <v>79</v>
      </c>
      <c r="N39" s="31"/>
    </row>
    <row r="40" spans="1:15" s="36" customFormat="1" ht="12" x14ac:dyDescent="0.2">
      <c r="A40" s="33"/>
      <c r="B40" s="62">
        <v>18628</v>
      </c>
      <c r="C40" s="64">
        <v>1.57</v>
      </c>
      <c r="D40" s="64">
        <v>0</v>
      </c>
      <c r="E40" s="66">
        <v>0</v>
      </c>
      <c r="F40" s="64">
        <v>0</v>
      </c>
      <c r="G40" s="34"/>
      <c r="H40" s="33"/>
      <c r="I40" s="62">
        <v>34365</v>
      </c>
      <c r="J40" s="64">
        <v>227.43793103448277</v>
      </c>
      <c r="K40" s="64">
        <v>0</v>
      </c>
      <c r="L40" s="66">
        <v>0</v>
      </c>
      <c r="M40" s="64">
        <v>0</v>
      </c>
      <c r="N40" s="34"/>
      <c r="O40" s="35"/>
    </row>
    <row r="41" spans="1:15" s="36" customFormat="1" ht="12" x14ac:dyDescent="0.2">
      <c r="A41" s="33"/>
      <c r="B41" s="63">
        <v>34000</v>
      </c>
      <c r="C41" s="65">
        <v>6.9500000000000197</v>
      </c>
      <c r="D41" s="65">
        <v>0</v>
      </c>
      <c r="E41" s="67">
        <v>0</v>
      </c>
      <c r="F41" s="65">
        <v>0</v>
      </c>
      <c r="G41" s="34"/>
      <c r="H41" s="33"/>
      <c r="I41" s="63">
        <v>34393</v>
      </c>
      <c r="J41" s="65">
        <v>37.090049300880167</v>
      </c>
      <c r="K41" s="65">
        <v>0</v>
      </c>
      <c r="L41" s="67">
        <v>0</v>
      </c>
      <c r="M41" s="65">
        <v>0</v>
      </c>
      <c r="N41" s="34"/>
      <c r="O41" s="35"/>
    </row>
    <row r="42" spans="1:15" s="36" customFormat="1" ht="12" x14ac:dyDescent="0.2">
      <c r="A42" s="33"/>
      <c r="B42" s="62">
        <v>34028</v>
      </c>
      <c r="C42" s="64">
        <v>1.4199999999999799</v>
      </c>
      <c r="D42" s="64">
        <v>0</v>
      </c>
      <c r="E42" s="66">
        <v>0</v>
      </c>
      <c r="F42" s="64">
        <v>0</v>
      </c>
      <c r="G42" s="34"/>
      <c r="H42" s="33"/>
      <c r="I42" s="62">
        <v>34424</v>
      </c>
      <c r="J42" s="64">
        <v>29.337758976858659</v>
      </c>
      <c r="K42" s="64">
        <v>0</v>
      </c>
      <c r="L42" s="66">
        <v>0</v>
      </c>
      <c r="M42" s="64">
        <v>0</v>
      </c>
      <c r="N42" s="34"/>
      <c r="O42" s="35"/>
    </row>
    <row r="43" spans="1:15" s="36" customFormat="1" ht="12" x14ac:dyDescent="0.2">
      <c r="A43" s="33"/>
      <c r="B43" s="63">
        <v>34059</v>
      </c>
      <c r="C43" s="65">
        <v>-4.6900000000000004</v>
      </c>
      <c r="D43" s="65">
        <v>0</v>
      </c>
      <c r="E43" s="67">
        <v>0</v>
      </c>
      <c r="F43" s="65">
        <v>0</v>
      </c>
      <c r="G43" s="34"/>
      <c r="H43" s="33"/>
      <c r="I43" s="63">
        <v>34454</v>
      </c>
      <c r="J43" s="65">
        <v>11.8830438576265</v>
      </c>
      <c r="K43" s="65">
        <v>0</v>
      </c>
      <c r="L43" s="67">
        <v>0</v>
      </c>
      <c r="M43" s="65">
        <v>0</v>
      </c>
      <c r="N43" s="34"/>
      <c r="O43" s="35"/>
    </row>
    <row r="44" spans="1:15" s="36" customFormat="1" ht="12" x14ac:dyDescent="0.2">
      <c r="A44" s="33"/>
      <c r="B44" s="62">
        <v>34089</v>
      </c>
      <c r="C44" s="64">
        <v>-1.68999999999998</v>
      </c>
      <c r="D44" s="64">
        <v>0</v>
      </c>
      <c r="E44" s="66">
        <v>0</v>
      </c>
      <c r="F44" s="64">
        <v>0</v>
      </c>
      <c r="G44" s="34"/>
      <c r="H44" s="33"/>
      <c r="I44" s="62">
        <v>34485</v>
      </c>
      <c r="J44" s="64">
        <v>28.696875288666639</v>
      </c>
      <c r="K44" s="64">
        <v>0</v>
      </c>
      <c r="L44" s="66">
        <v>0</v>
      </c>
      <c r="M44" s="64">
        <v>0</v>
      </c>
      <c r="N44" s="34"/>
      <c r="O44" s="35"/>
    </row>
    <row r="45" spans="1:15" s="36" customFormat="1" ht="12" x14ac:dyDescent="0.2">
      <c r="A45" s="33"/>
      <c r="B45" s="63">
        <v>34120</v>
      </c>
      <c r="C45" s="65">
        <v>-1.9100000000000199</v>
      </c>
      <c r="D45" s="65">
        <v>0</v>
      </c>
      <c r="E45" s="67">
        <v>0</v>
      </c>
      <c r="F45" s="65">
        <v>0</v>
      </c>
      <c r="G45" s="34"/>
      <c r="H45" s="33"/>
      <c r="I45" s="63">
        <v>34515</v>
      </c>
      <c r="J45" s="65">
        <v>35.404627962431618</v>
      </c>
      <c r="K45" s="65">
        <v>0</v>
      </c>
      <c r="L45" s="67">
        <v>0</v>
      </c>
      <c r="M45" s="65">
        <v>0</v>
      </c>
      <c r="N45" s="34"/>
      <c r="O45" s="35"/>
    </row>
    <row r="46" spans="1:15" s="36" customFormat="1" ht="12" x14ac:dyDescent="0.2">
      <c r="A46" s="33"/>
      <c r="B46" s="62">
        <v>34150</v>
      </c>
      <c r="C46" s="64">
        <v>-5.74</v>
      </c>
      <c r="D46" s="64">
        <v>0</v>
      </c>
      <c r="E46" s="66">
        <v>0</v>
      </c>
      <c r="F46" s="64">
        <v>0</v>
      </c>
      <c r="G46" s="34"/>
      <c r="H46" s="33"/>
      <c r="I46" s="62">
        <v>34546</v>
      </c>
      <c r="J46" s="64">
        <v>31.55600577085028</v>
      </c>
      <c r="K46" s="64">
        <v>0</v>
      </c>
      <c r="L46" s="66">
        <v>0</v>
      </c>
      <c r="M46" s="64">
        <v>0</v>
      </c>
      <c r="N46" s="34"/>
      <c r="O46" s="35"/>
    </row>
    <row r="47" spans="1:15" s="36" customFormat="1" ht="12" x14ac:dyDescent="0.2">
      <c r="A47" s="33"/>
      <c r="B47" s="63">
        <v>34181</v>
      </c>
      <c r="C47" s="65">
        <v>1.1800000000000199</v>
      </c>
      <c r="D47" s="65">
        <v>0</v>
      </c>
      <c r="E47" s="67">
        <v>0</v>
      </c>
      <c r="F47" s="65">
        <v>0</v>
      </c>
      <c r="G47" s="34"/>
      <c r="H47" s="33"/>
      <c r="I47" s="63">
        <v>34577</v>
      </c>
      <c r="J47" s="65">
        <v>32.013197369246861</v>
      </c>
      <c r="K47" s="65">
        <v>1.75</v>
      </c>
      <c r="L47" s="67">
        <v>0</v>
      </c>
      <c r="M47" s="65">
        <v>0</v>
      </c>
      <c r="N47" s="34"/>
      <c r="O47" s="35"/>
    </row>
    <row r="48" spans="1:15" s="36" customFormat="1" ht="12" x14ac:dyDescent="0.2">
      <c r="A48" s="33"/>
      <c r="B48" s="62">
        <v>34212</v>
      </c>
      <c r="C48" s="64">
        <v>1.6399999999999799</v>
      </c>
      <c r="D48" s="64">
        <v>0</v>
      </c>
      <c r="E48" s="66">
        <v>0</v>
      </c>
      <c r="F48" s="64">
        <v>0</v>
      </c>
      <c r="G48" s="34"/>
      <c r="H48" s="33"/>
      <c r="I48" s="62">
        <v>34607</v>
      </c>
      <c r="J48" s="64">
        <v>28.937042119614301</v>
      </c>
      <c r="K48" s="64">
        <v>12.74</v>
      </c>
      <c r="L48" s="66">
        <v>0</v>
      </c>
      <c r="M48" s="64">
        <v>0</v>
      </c>
      <c r="N48" s="34"/>
      <c r="O48" s="35"/>
    </row>
    <row r="49" spans="1:15" s="36" customFormat="1" ht="12" x14ac:dyDescent="0.2">
      <c r="A49" s="33"/>
      <c r="B49" s="63">
        <v>34242</v>
      </c>
      <c r="C49" s="65">
        <v>4.6100000000000003</v>
      </c>
      <c r="D49" s="65">
        <v>0</v>
      </c>
      <c r="E49" s="67">
        <v>0</v>
      </c>
      <c r="F49" s="65">
        <v>0</v>
      </c>
      <c r="G49" s="34"/>
      <c r="H49" s="33"/>
      <c r="I49" s="63">
        <v>34638</v>
      </c>
      <c r="J49" s="65">
        <v>31.072961827758999</v>
      </c>
      <c r="K49" s="65">
        <v>10.35</v>
      </c>
      <c r="L49" s="67">
        <v>0</v>
      </c>
      <c r="M49" s="65">
        <v>0</v>
      </c>
      <c r="N49" s="34"/>
      <c r="O49" s="35"/>
    </row>
    <row r="50" spans="1:15" s="36" customFormat="1" ht="12" x14ac:dyDescent="0.2">
      <c r="A50" s="33"/>
      <c r="B50" s="62">
        <v>34273</v>
      </c>
      <c r="C50" s="64">
        <v>0.86</v>
      </c>
      <c r="D50" s="64">
        <v>0</v>
      </c>
      <c r="E50" s="66">
        <v>0</v>
      </c>
      <c r="F50" s="64">
        <v>0</v>
      </c>
      <c r="G50" s="34"/>
      <c r="H50" s="33"/>
      <c r="I50" s="62">
        <v>34668</v>
      </c>
      <c r="J50" s="64">
        <v>25.679941130515498</v>
      </c>
      <c r="K50" s="64">
        <v>22</v>
      </c>
      <c r="L50" s="66">
        <v>0</v>
      </c>
      <c r="M50" s="64">
        <v>0</v>
      </c>
      <c r="N50" s="34"/>
      <c r="O50" s="35"/>
    </row>
    <row r="51" spans="1:15" s="36" customFormat="1" ht="12" x14ac:dyDescent="0.2">
      <c r="A51" s="33"/>
      <c r="B51" s="63">
        <v>34303</v>
      </c>
      <c r="C51" s="65">
        <v>11.54000000000002</v>
      </c>
      <c r="D51" s="65">
        <v>0</v>
      </c>
      <c r="E51" s="67">
        <v>0</v>
      </c>
      <c r="F51" s="65">
        <v>0</v>
      </c>
      <c r="G51" s="34"/>
      <c r="H51" s="33"/>
      <c r="I51" s="63">
        <v>34699</v>
      </c>
      <c r="J51" s="65">
        <v>9.2037276014376008</v>
      </c>
      <c r="K51" s="65">
        <v>5.66</v>
      </c>
      <c r="L51" s="67">
        <v>0</v>
      </c>
      <c r="M51" s="65">
        <v>0</v>
      </c>
      <c r="N51" s="34"/>
      <c r="O51" s="35"/>
    </row>
    <row r="52" spans="1:15" s="36" customFormat="1" ht="12" x14ac:dyDescent="0.2">
      <c r="A52" s="33"/>
      <c r="B52" s="62">
        <v>34334</v>
      </c>
      <c r="C52" s="64">
        <v>3.3899999999999602</v>
      </c>
      <c r="D52" s="64">
        <v>0</v>
      </c>
      <c r="E52" s="66">
        <v>0</v>
      </c>
      <c r="F52" s="64">
        <v>0</v>
      </c>
      <c r="G52" s="34"/>
      <c r="H52" s="33"/>
      <c r="I52" s="62">
        <v>34730</v>
      </c>
      <c r="J52" s="64">
        <v>32.878590605638102</v>
      </c>
      <c r="K52" s="64">
        <v>26.91</v>
      </c>
      <c r="L52" s="66">
        <v>0</v>
      </c>
      <c r="M52" s="64">
        <v>0</v>
      </c>
      <c r="N52" s="34"/>
      <c r="O52" s="35"/>
    </row>
    <row r="53" spans="1:15" s="36" customFormat="1" ht="12" x14ac:dyDescent="0.2">
      <c r="A53" s="33"/>
      <c r="B53" s="63">
        <v>34365</v>
      </c>
      <c r="C53" s="65">
        <v>39.620000000000012</v>
      </c>
      <c r="D53" s="65">
        <v>0</v>
      </c>
      <c r="E53" s="67">
        <v>0</v>
      </c>
      <c r="F53" s="65">
        <v>0</v>
      </c>
      <c r="G53" s="34"/>
      <c r="H53" s="33"/>
      <c r="I53" s="63">
        <v>34758</v>
      </c>
      <c r="J53" s="65">
        <v>27.040427669719399</v>
      </c>
      <c r="K53" s="65">
        <v>17.71</v>
      </c>
      <c r="L53" s="67">
        <v>0</v>
      </c>
      <c r="M53" s="65">
        <v>0</v>
      </c>
      <c r="N53" s="34"/>
      <c r="O53" s="35"/>
    </row>
    <row r="54" spans="1:15" s="36" customFormat="1" ht="12" x14ac:dyDescent="0.2">
      <c r="A54" s="33"/>
      <c r="B54" s="62">
        <v>34393</v>
      </c>
      <c r="C54" s="64">
        <v>26.88000000000001</v>
      </c>
      <c r="D54" s="64">
        <v>0</v>
      </c>
      <c r="E54" s="66">
        <v>0</v>
      </c>
      <c r="F54" s="64">
        <v>0</v>
      </c>
      <c r="G54" s="34"/>
      <c r="H54" s="33"/>
      <c r="I54" s="62">
        <v>34789</v>
      </c>
      <c r="J54" s="64">
        <v>7.8118172535334001</v>
      </c>
      <c r="K54" s="64">
        <v>26.33</v>
      </c>
      <c r="L54" s="66">
        <v>0</v>
      </c>
      <c r="M54" s="64">
        <v>0</v>
      </c>
      <c r="N54" s="34"/>
      <c r="O54" s="35"/>
    </row>
    <row r="55" spans="1:15" s="36" customFormat="1" ht="12" x14ac:dyDescent="0.2">
      <c r="A55" s="33"/>
      <c r="B55" s="63">
        <v>34424</v>
      </c>
      <c r="C55" s="65">
        <v>7.69</v>
      </c>
      <c r="D55" s="65">
        <v>0</v>
      </c>
      <c r="E55" s="67">
        <v>0</v>
      </c>
      <c r="F55" s="65">
        <v>0</v>
      </c>
      <c r="G55" s="34"/>
      <c r="H55" s="33"/>
      <c r="I55" s="63">
        <v>34819</v>
      </c>
      <c r="J55" s="65">
        <v>23.840487251188801</v>
      </c>
      <c r="K55" s="65">
        <v>17.2</v>
      </c>
      <c r="L55" s="67">
        <v>0</v>
      </c>
      <c r="M55" s="65">
        <v>0</v>
      </c>
      <c r="N55" s="34"/>
      <c r="O55" s="35"/>
    </row>
    <row r="56" spans="1:15" s="36" customFormat="1" ht="12" x14ac:dyDescent="0.2">
      <c r="A56" s="33"/>
      <c r="B56" s="62">
        <v>34454</v>
      </c>
      <c r="C56" s="64">
        <v>15.24</v>
      </c>
      <c r="D56" s="64">
        <v>0</v>
      </c>
      <c r="E56" s="66">
        <v>0</v>
      </c>
      <c r="F56" s="64">
        <v>0</v>
      </c>
      <c r="G56" s="34"/>
      <c r="H56" s="33"/>
      <c r="I56" s="62">
        <v>34850</v>
      </c>
      <c r="J56" s="64">
        <v>0</v>
      </c>
      <c r="K56" s="64">
        <v>13.36</v>
      </c>
      <c r="L56" s="66">
        <v>0</v>
      </c>
      <c r="M56" s="64">
        <v>0</v>
      </c>
      <c r="N56" s="34"/>
      <c r="O56" s="35"/>
    </row>
    <row r="57" spans="1:15" s="36" customFormat="1" ht="12" x14ac:dyDescent="0.2">
      <c r="A57" s="33"/>
      <c r="B57" s="63">
        <v>34485</v>
      </c>
      <c r="C57" s="65">
        <v>4.08</v>
      </c>
      <c r="D57" s="65">
        <v>0</v>
      </c>
      <c r="E57" s="67">
        <v>0</v>
      </c>
      <c r="F57" s="65">
        <v>0</v>
      </c>
      <c r="G57" s="34"/>
      <c r="H57" s="33"/>
      <c r="I57" s="63">
        <v>34880</v>
      </c>
      <c r="J57" s="65">
        <v>0</v>
      </c>
      <c r="K57" s="65">
        <v>30.8</v>
      </c>
      <c r="L57" s="67">
        <v>0</v>
      </c>
      <c r="M57" s="65">
        <v>0</v>
      </c>
      <c r="N57" s="34"/>
      <c r="O57" s="35"/>
    </row>
    <row r="58" spans="1:15" s="36" customFormat="1" ht="12" x14ac:dyDescent="0.2">
      <c r="A58" s="33"/>
      <c r="B58" s="62">
        <v>34515</v>
      </c>
      <c r="C58" s="64">
        <v>13.13</v>
      </c>
      <c r="D58" s="64">
        <v>0</v>
      </c>
      <c r="E58" s="66">
        <v>0</v>
      </c>
      <c r="F58" s="64">
        <v>0</v>
      </c>
      <c r="G58" s="34"/>
      <c r="H58" s="33"/>
      <c r="I58" s="62">
        <v>34911</v>
      </c>
      <c r="J58" s="64">
        <v>32.677542832668401</v>
      </c>
      <c r="K58" s="64">
        <v>11.42</v>
      </c>
      <c r="L58" s="66">
        <v>0</v>
      </c>
      <c r="M58" s="64">
        <v>0</v>
      </c>
      <c r="N58" s="34"/>
      <c r="O58" s="35"/>
    </row>
    <row r="59" spans="1:15" s="36" customFormat="1" ht="12" x14ac:dyDescent="0.2">
      <c r="A59" s="33"/>
      <c r="B59" s="63">
        <v>34546</v>
      </c>
      <c r="C59" s="65">
        <v>32.630000000000003</v>
      </c>
      <c r="D59" s="65">
        <v>0</v>
      </c>
      <c r="E59" s="67">
        <v>0</v>
      </c>
      <c r="F59" s="65">
        <v>0</v>
      </c>
      <c r="G59" s="34"/>
      <c r="H59" s="33"/>
      <c r="I59" s="63">
        <v>34942</v>
      </c>
      <c r="J59" s="65">
        <v>29.37432679003</v>
      </c>
      <c r="K59" s="65">
        <v>9.44</v>
      </c>
      <c r="L59" s="67">
        <v>0</v>
      </c>
      <c r="M59" s="65">
        <v>0</v>
      </c>
      <c r="N59" s="34"/>
      <c r="O59" s="35"/>
    </row>
    <row r="60" spans="1:15" s="36" customFormat="1" ht="12" x14ac:dyDescent="0.2">
      <c r="A60" s="33"/>
      <c r="B60" s="62">
        <v>34577</v>
      </c>
      <c r="C60" s="64">
        <v>11.78</v>
      </c>
      <c r="D60" s="64">
        <v>1.75</v>
      </c>
      <c r="E60" s="66">
        <v>0</v>
      </c>
      <c r="F60" s="64">
        <v>0</v>
      </c>
      <c r="G60" s="34"/>
      <c r="H60" s="33"/>
      <c r="I60" s="62">
        <v>34972</v>
      </c>
      <c r="J60" s="64">
        <v>23.067833108750602</v>
      </c>
      <c r="K60" s="64">
        <v>11.32</v>
      </c>
      <c r="L60" s="66">
        <v>0</v>
      </c>
      <c r="M60" s="64">
        <v>0</v>
      </c>
      <c r="N60" s="34"/>
      <c r="O60" s="35"/>
    </row>
    <row r="61" spans="1:15" s="36" customFormat="1" ht="12" x14ac:dyDescent="0.2">
      <c r="A61" s="33"/>
      <c r="B61" s="63">
        <v>34607</v>
      </c>
      <c r="C61" s="65">
        <v>35.32</v>
      </c>
      <c r="D61" s="65">
        <v>12.74</v>
      </c>
      <c r="E61" s="67">
        <v>0</v>
      </c>
      <c r="F61" s="65">
        <v>0</v>
      </c>
      <c r="G61" s="34"/>
      <c r="H61" s="33"/>
      <c r="I61" s="63">
        <v>35003</v>
      </c>
      <c r="J61" s="65">
        <v>32.363179238792902</v>
      </c>
      <c r="K61" s="65">
        <v>13.67</v>
      </c>
      <c r="L61" s="67">
        <v>0</v>
      </c>
      <c r="M61" s="65">
        <v>0</v>
      </c>
      <c r="N61" s="34"/>
      <c r="O61" s="35"/>
    </row>
    <row r="62" spans="1:15" s="36" customFormat="1" ht="12" x14ac:dyDescent="0.2">
      <c r="A62" s="33"/>
      <c r="B62" s="62">
        <v>34638</v>
      </c>
      <c r="C62" s="64">
        <v>38.799999999999969</v>
      </c>
      <c r="D62" s="64">
        <v>10.35</v>
      </c>
      <c r="E62" s="66">
        <v>0</v>
      </c>
      <c r="F62" s="64">
        <v>0</v>
      </c>
      <c r="G62" s="34"/>
      <c r="H62" s="33"/>
      <c r="I62" s="62">
        <v>35033</v>
      </c>
      <c r="J62" s="64">
        <v>21.690841780232098</v>
      </c>
      <c r="K62" s="64">
        <v>1.31</v>
      </c>
      <c r="L62" s="66">
        <v>0</v>
      </c>
      <c r="M62" s="64">
        <v>0</v>
      </c>
      <c r="N62" s="34"/>
      <c r="O62" s="35"/>
    </row>
    <row r="63" spans="1:15" s="36" customFormat="1" ht="12" x14ac:dyDescent="0.2">
      <c r="A63" s="33"/>
      <c r="B63" s="63">
        <v>34668</v>
      </c>
      <c r="C63" s="65">
        <v>53.069999999999993</v>
      </c>
      <c r="D63" s="65">
        <v>22</v>
      </c>
      <c r="E63" s="67">
        <v>0</v>
      </c>
      <c r="F63" s="65">
        <v>0</v>
      </c>
      <c r="G63" s="34"/>
      <c r="H63" s="33"/>
      <c r="I63" s="63">
        <v>35064</v>
      </c>
      <c r="J63" s="65">
        <v>25.841250049008401</v>
      </c>
      <c r="K63" s="65">
        <v>-12.29</v>
      </c>
      <c r="L63" s="67">
        <v>0</v>
      </c>
      <c r="M63" s="65">
        <v>0</v>
      </c>
      <c r="N63" s="34"/>
      <c r="O63" s="35"/>
    </row>
    <row r="64" spans="1:15" s="36" customFormat="1" ht="12" x14ac:dyDescent="0.2">
      <c r="A64" s="33"/>
      <c r="B64" s="62">
        <v>34699</v>
      </c>
      <c r="C64" s="64">
        <v>25.970000000000041</v>
      </c>
      <c r="D64" s="64">
        <v>5.66</v>
      </c>
      <c r="E64" s="66">
        <v>0</v>
      </c>
      <c r="F64" s="64">
        <v>0</v>
      </c>
      <c r="G64" s="34"/>
      <c r="H64" s="33"/>
      <c r="I64" s="62">
        <v>35095</v>
      </c>
      <c r="J64" s="64">
        <v>35.075681317072402</v>
      </c>
      <c r="K64" s="64">
        <v>-9.59</v>
      </c>
      <c r="L64" s="66">
        <v>0</v>
      </c>
      <c r="M64" s="64">
        <v>0</v>
      </c>
      <c r="N64" s="34"/>
      <c r="O64" s="35"/>
    </row>
    <row r="65" spans="1:15" s="36" customFormat="1" ht="12" x14ac:dyDescent="0.2">
      <c r="A65" s="33"/>
      <c r="B65" s="63">
        <v>34730</v>
      </c>
      <c r="C65" s="65">
        <v>31.69</v>
      </c>
      <c r="D65" s="65">
        <v>26.91</v>
      </c>
      <c r="E65" s="67">
        <v>0</v>
      </c>
      <c r="F65" s="65">
        <v>0</v>
      </c>
      <c r="G65" s="34"/>
      <c r="H65" s="33"/>
      <c r="I65" s="63">
        <v>35124</v>
      </c>
      <c r="J65" s="65">
        <v>35.440684015596297</v>
      </c>
      <c r="K65" s="65">
        <v>5.17</v>
      </c>
      <c r="L65" s="67">
        <v>0</v>
      </c>
      <c r="M65" s="65">
        <v>0</v>
      </c>
      <c r="N65" s="34"/>
      <c r="O65" s="35"/>
    </row>
    <row r="66" spans="1:15" s="36" customFormat="1" ht="12" x14ac:dyDescent="0.2">
      <c r="A66" s="33"/>
      <c r="B66" s="62">
        <v>34758</v>
      </c>
      <c r="C66" s="64">
        <v>25.97</v>
      </c>
      <c r="D66" s="64">
        <v>17.71</v>
      </c>
      <c r="E66" s="66">
        <v>0</v>
      </c>
      <c r="F66" s="64">
        <v>0</v>
      </c>
      <c r="G66" s="34"/>
      <c r="H66" s="33"/>
      <c r="I66" s="62">
        <v>35155</v>
      </c>
      <c r="J66" s="64">
        <v>7.8281053738353004</v>
      </c>
      <c r="K66" s="64">
        <v>-7.29</v>
      </c>
      <c r="L66" s="66">
        <v>0</v>
      </c>
      <c r="M66" s="64">
        <v>0</v>
      </c>
      <c r="N66" s="34"/>
      <c r="O66" s="35"/>
    </row>
    <row r="67" spans="1:15" s="36" customFormat="1" ht="12" x14ac:dyDescent="0.2">
      <c r="A67" s="33"/>
      <c r="B67" s="63">
        <v>34789</v>
      </c>
      <c r="C67" s="65">
        <v>5.77</v>
      </c>
      <c r="D67" s="65">
        <v>26.33</v>
      </c>
      <c r="E67" s="67">
        <v>0</v>
      </c>
      <c r="F67" s="65">
        <v>0</v>
      </c>
      <c r="G67" s="34"/>
      <c r="H67" s="33"/>
      <c r="I67" s="63">
        <v>35185</v>
      </c>
      <c r="J67" s="65">
        <v>12.5595020957626</v>
      </c>
      <c r="K67" s="65">
        <v>4.5599999999999996</v>
      </c>
      <c r="L67" s="67">
        <v>0</v>
      </c>
      <c r="M67" s="65">
        <v>0</v>
      </c>
      <c r="N67" s="34"/>
      <c r="O67" s="35"/>
    </row>
    <row r="68" spans="1:15" s="36" customFormat="1" ht="12" x14ac:dyDescent="0.2">
      <c r="A68" s="33"/>
      <c r="B68" s="62">
        <v>34819</v>
      </c>
      <c r="C68" s="64">
        <v>19.59</v>
      </c>
      <c r="D68" s="64">
        <v>17.2</v>
      </c>
      <c r="E68" s="66">
        <v>0</v>
      </c>
      <c r="F68" s="64">
        <v>0</v>
      </c>
      <c r="G68" s="34"/>
      <c r="H68" s="33"/>
      <c r="I68" s="62">
        <v>35216</v>
      </c>
      <c r="J68" s="64">
        <v>31.2242942801415</v>
      </c>
      <c r="K68" s="64">
        <v>1.5</v>
      </c>
      <c r="L68" s="66">
        <v>0</v>
      </c>
      <c r="M68" s="64">
        <v>0</v>
      </c>
      <c r="N68" s="34"/>
      <c r="O68" s="35"/>
    </row>
    <row r="69" spans="1:15" s="36" customFormat="1" ht="12" x14ac:dyDescent="0.2">
      <c r="A69" s="33"/>
      <c r="B69" s="63">
        <v>34850</v>
      </c>
      <c r="C69" s="65">
        <v>7.07</v>
      </c>
      <c r="D69" s="65">
        <v>13.36</v>
      </c>
      <c r="E69" s="67">
        <v>0</v>
      </c>
      <c r="F69" s="65">
        <v>0</v>
      </c>
      <c r="G69" s="34"/>
      <c r="H69" s="33"/>
      <c r="I69" s="63">
        <v>35246</v>
      </c>
      <c r="J69" s="65">
        <v>21.256743930829</v>
      </c>
      <c r="K69" s="65">
        <v>13.6</v>
      </c>
      <c r="L69" s="67">
        <v>0</v>
      </c>
      <c r="M69" s="65">
        <v>0</v>
      </c>
      <c r="N69" s="34"/>
      <c r="O69" s="35"/>
    </row>
    <row r="70" spans="1:15" s="36" customFormat="1" ht="12" x14ac:dyDescent="0.2">
      <c r="A70" s="33"/>
      <c r="B70" s="62">
        <v>34880</v>
      </c>
      <c r="C70" s="64">
        <v>20.299999999999901</v>
      </c>
      <c r="D70" s="64">
        <v>30.8</v>
      </c>
      <c r="E70" s="66">
        <v>0</v>
      </c>
      <c r="F70" s="64">
        <v>0</v>
      </c>
      <c r="G70" s="34"/>
      <c r="H70" s="33"/>
      <c r="I70" s="62">
        <v>35277</v>
      </c>
      <c r="J70" s="64">
        <v>31.996699126116098</v>
      </c>
      <c r="K70" s="64">
        <v>11.3</v>
      </c>
      <c r="L70" s="66">
        <v>0</v>
      </c>
      <c r="M70" s="64">
        <v>0</v>
      </c>
      <c r="N70" s="34"/>
      <c r="O70" s="35"/>
    </row>
    <row r="71" spans="1:15" s="36" customFormat="1" ht="12" x14ac:dyDescent="0.2">
      <c r="A71" s="33"/>
      <c r="B71" s="63">
        <v>34911</v>
      </c>
      <c r="C71" s="65">
        <v>29.35</v>
      </c>
      <c r="D71" s="65">
        <v>11.42</v>
      </c>
      <c r="E71" s="67">
        <v>0</v>
      </c>
      <c r="F71" s="65">
        <v>0</v>
      </c>
      <c r="G71" s="34"/>
      <c r="H71" s="33"/>
      <c r="I71" s="63">
        <v>35308</v>
      </c>
      <c r="J71" s="65">
        <v>40.665667869810697</v>
      </c>
      <c r="K71" s="65">
        <v>29.9</v>
      </c>
      <c r="L71" s="67">
        <v>0</v>
      </c>
      <c r="M71" s="65">
        <v>0</v>
      </c>
      <c r="N71" s="34"/>
      <c r="O71" s="35"/>
    </row>
    <row r="72" spans="1:15" s="36" customFormat="1" ht="12" x14ac:dyDescent="0.2">
      <c r="A72" s="33"/>
      <c r="B72" s="62">
        <v>34942</v>
      </c>
      <c r="C72" s="64">
        <v>19.25</v>
      </c>
      <c r="D72" s="64">
        <v>9.44</v>
      </c>
      <c r="E72" s="66">
        <v>0</v>
      </c>
      <c r="F72" s="64">
        <v>0</v>
      </c>
      <c r="G72" s="34"/>
      <c r="H72" s="33"/>
      <c r="I72" s="62">
        <v>35338</v>
      </c>
      <c r="J72" s="64">
        <v>27.199136343369599</v>
      </c>
      <c r="K72" s="64">
        <v>31.3</v>
      </c>
      <c r="L72" s="66">
        <v>0</v>
      </c>
      <c r="M72" s="64">
        <v>0</v>
      </c>
      <c r="N72" s="34"/>
      <c r="O72" s="35"/>
    </row>
    <row r="73" spans="1:15" s="36" customFormat="1" ht="12" x14ac:dyDescent="0.2">
      <c r="A73" s="33"/>
      <c r="B73" s="63">
        <v>34972</v>
      </c>
      <c r="C73" s="65">
        <v>22.810000000000102</v>
      </c>
      <c r="D73" s="65">
        <v>11.32</v>
      </c>
      <c r="E73" s="67">
        <v>0</v>
      </c>
      <c r="F73" s="65">
        <v>0</v>
      </c>
      <c r="G73" s="34"/>
      <c r="H73" s="33"/>
      <c r="I73" s="63">
        <v>35369</v>
      </c>
      <c r="J73" s="65">
        <v>35.883029303175498</v>
      </c>
      <c r="K73" s="65">
        <v>39.1</v>
      </c>
      <c r="L73" s="67">
        <v>0</v>
      </c>
      <c r="M73" s="65">
        <v>0</v>
      </c>
      <c r="N73" s="34"/>
      <c r="O73" s="35"/>
    </row>
    <row r="74" spans="1:15" s="36" customFormat="1" ht="12" x14ac:dyDescent="0.2">
      <c r="A74" s="33"/>
      <c r="B74" s="62">
        <v>35003</v>
      </c>
      <c r="C74" s="64">
        <v>31.98</v>
      </c>
      <c r="D74" s="64">
        <v>13.67</v>
      </c>
      <c r="E74" s="66">
        <v>0</v>
      </c>
      <c r="F74" s="64">
        <v>0</v>
      </c>
      <c r="G74" s="34"/>
      <c r="H74" s="33"/>
      <c r="I74" s="62">
        <v>35399</v>
      </c>
      <c r="J74" s="64">
        <v>33.991734966720202</v>
      </c>
      <c r="K74" s="64">
        <v>19.989999999999998</v>
      </c>
      <c r="L74" s="66">
        <v>0</v>
      </c>
      <c r="M74" s="64">
        <v>0</v>
      </c>
      <c r="N74" s="34"/>
      <c r="O74" s="35"/>
    </row>
    <row r="75" spans="1:15" s="36" customFormat="1" ht="12" x14ac:dyDescent="0.2">
      <c r="A75" s="33"/>
      <c r="B75" s="63">
        <v>35033</v>
      </c>
      <c r="C75" s="65">
        <v>14.98</v>
      </c>
      <c r="D75" s="65">
        <v>1.31</v>
      </c>
      <c r="E75" s="67">
        <v>0</v>
      </c>
      <c r="F75" s="65">
        <v>0</v>
      </c>
      <c r="G75" s="34"/>
      <c r="H75" s="33"/>
      <c r="I75" s="63">
        <v>35430</v>
      </c>
      <c r="J75" s="65">
        <v>26.399769398204</v>
      </c>
      <c r="K75" s="65">
        <v>-17.02</v>
      </c>
      <c r="L75" s="67">
        <v>0</v>
      </c>
      <c r="M75" s="65">
        <v>0</v>
      </c>
      <c r="N75" s="34"/>
      <c r="O75" s="35"/>
    </row>
    <row r="76" spans="1:15" s="36" customFormat="1" ht="12" x14ac:dyDescent="0.2">
      <c r="A76" s="33"/>
      <c r="B76" s="62">
        <v>35064</v>
      </c>
      <c r="C76" s="64">
        <v>-8.99</v>
      </c>
      <c r="D76" s="64">
        <v>-12.29</v>
      </c>
      <c r="E76" s="66">
        <v>0</v>
      </c>
      <c r="F76" s="64">
        <v>0</v>
      </c>
      <c r="G76" s="34"/>
      <c r="H76" s="33"/>
      <c r="I76" s="62">
        <v>35461</v>
      </c>
      <c r="J76" s="64">
        <v>36.321328665742101</v>
      </c>
      <c r="K76" s="64">
        <v>17.149999999999999</v>
      </c>
      <c r="L76" s="66">
        <v>0</v>
      </c>
      <c r="M76" s="64">
        <v>0</v>
      </c>
      <c r="N76" s="34"/>
      <c r="O76" s="35"/>
    </row>
    <row r="77" spans="1:15" s="36" customFormat="1" ht="12" x14ac:dyDescent="0.2">
      <c r="A77" s="33"/>
      <c r="B77" s="63">
        <v>35095</v>
      </c>
      <c r="C77" s="65">
        <v>25.099999999999898</v>
      </c>
      <c r="D77" s="65">
        <v>-9.59</v>
      </c>
      <c r="E77" s="67">
        <v>0</v>
      </c>
      <c r="F77" s="65">
        <v>0</v>
      </c>
      <c r="G77" s="34"/>
      <c r="H77" s="33"/>
      <c r="I77" s="63">
        <v>35489</v>
      </c>
      <c r="J77" s="65">
        <v>17.681635889703401</v>
      </c>
      <c r="K77" s="65">
        <v>21.24</v>
      </c>
      <c r="L77" s="67">
        <v>0</v>
      </c>
      <c r="M77" s="65">
        <v>0</v>
      </c>
      <c r="N77" s="34"/>
      <c r="O77" s="35"/>
    </row>
    <row r="78" spans="1:15" s="36" customFormat="1" ht="12" x14ac:dyDescent="0.2">
      <c r="A78" s="33"/>
      <c r="B78" s="62">
        <v>35124</v>
      </c>
      <c r="C78" s="64">
        <v>36.600000000000101</v>
      </c>
      <c r="D78" s="64">
        <v>5.17</v>
      </c>
      <c r="E78" s="66">
        <v>0</v>
      </c>
      <c r="F78" s="64">
        <v>0</v>
      </c>
      <c r="G78" s="34"/>
      <c r="H78" s="33"/>
      <c r="I78" s="62">
        <v>35520</v>
      </c>
      <c r="J78" s="64">
        <v>16.633077868991201</v>
      </c>
      <c r="K78" s="64">
        <v>29.46</v>
      </c>
      <c r="L78" s="66">
        <v>0</v>
      </c>
      <c r="M78" s="64">
        <v>0</v>
      </c>
      <c r="N78" s="34"/>
      <c r="O78" s="35"/>
    </row>
    <row r="79" spans="1:15" s="36" customFormat="1" ht="12" x14ac:dyDescent="0.2">
      <c r="A79" s="33"/>
      <c r="B79" s="63">
        <v>35155</v>
      </c>
      <c r="C79" s="65">
        <v>10.6200000000001</v>
      </c>
      <c r="D79" s="65">
        <v>-7.29</v>
      </c>
      <c r="E79" s="67">
        <v>0</v>
      </c>
      <c r="F79" s="65">
        <v>0</v>
      </c>
      <c r="G79" s="34"/>
      <c r="H79" s="33"/>
      <c r="I79" s="63">
        <v>35550</v>
      </c>
      <c r="J79" s="65">
        <v>128.0654044142276</v>
      </c>
      <c r="K79" s="65">
        <v>35.770000000000003</v>
      </c>
      <c r="L79" s="67">
        <v>0</v>
      </c>
      <c r="M79" s="65">
        <v>0</v>
      </c>
      <c r="N79" s="34"/>
      <c r="O79" s="35"/>
    </row>
    <row r="80" spans="1:15" s="36" customFormat="1" ht="12" x14ac:dyDescent="0.2">
      <c r="A80" s="33"/>
      <c r="B80" s="62">
        <v>35185</v>
      </c>
      <c r="C80" s="64">
        <v>9.9499999999998003</v>
      </c>
      <c r="D80" s="64">
        <v>4.5599999999999996</v>
      </c>
      <c r="E80" s="66">
        <v>0</v>
      </c>
      <c r="F80" s="64">
        <v>0</v>
      </c>
      <c r="G80" s="34"/>
      <c r="H80" s="33"/>
      <c r="I80" s="62">
        <v>35581</v>
      </c>
      <c r="J80" s="64">
        <v>35.559067645963403</v>
      </c>
      <c r="K80" s="64">
        <v>36.340000000000003</v>
      </c>
      <c r="L80" s="66">
        <v>0</v>
      </c>
      <c r="M80" s="64">
        <v>0</v>
      </c>
      <c r="N80" s="34"/>
      <c r="O80" s="35"/>
    </row>
    <row r="81" spans="1:15" s="36" customFormat="1" ht="12" x14ac:dyDescent="0.2">
      <c r="A81" s="33"/>
      <c r="B81" s="63">
        <v>35216</v>
      </c>
      <c r="C81" s="65">
        <v>31.780000000000101</v>
      </c>
      <c r="D81" s="65">
        <v>1.5</v>
      </c>
      <c r="E81" s="67">
        <v>0</v>
      </c>
      <c r="F81" s="65">
        <v>0</v>
      </c>
      <c r="G81" s="34"/>
      <c r="H81" s="33"/>
      <c r="I81" s="63">
        <v>35611</v>
      </c>
      <c r="J81" s="65">
        <v>37.824183414736098</v>
      </c>
      <c r="K81" s="65">
        <v>41.53</v>
      </c>
      <c r="L81" s="67">
        <v>0</v>
      </c>
      <c r="M81" s="65">
        <v>0</v>
      </c>
      <c r="N81" s="34"/>
      <c r="O81" s="35"/>
    </row>
    <row r="82" spans="1:15" s="36" customFormat="1" ht="12" x14ac:dyDescent="0.2">
      <c r="A82" s="33"/>
      <c r="B82" s="62">
        <v>35246</v>
      </c>
      <c r="C82" s="64">
        <v>16.14</v>
      </c>
      <c r="D82" s="64">
        <v>13.6</v>
      </c>
      <c r="E82" s="66">
        <v>0</v>
      </c>
      <c r="F82" s="64">
        <v>0</v>
      </c>
      <c r="G82" s="34"/>
      <c r="H82" s="33"/>
      <c r="I82" s="62">
        <v>35642</v>
      </c>
      <c r="J82" s="64">
        <v>45.673658651406697</v>
      </c>
      <c r="K82" s="64">
        <v>27.63</v>
      </c>
      <c r="L82" s="66">
        <v>0</v>
      </c>
      <c r="M82" s="64">
        <v>0</v>
      </c>
      <c r="N82" s="34"/>
      <c r="O82" s="35"/>
    </row>
    <row r="83" spans="1:15" s="36" customFormat="1" ht="12" x14ac:dyDescent="0.2">
      <c r="A83" s="33"/>
      <c r="B83" s="63">
        <v>35277</v>
      </c>
      <c r="C83" s="65">
        <v>30.77</v>
      </c>
      <c r="D83" s="65">
        <v>11.3</v>
      </c>
      <c r="E83" s="67">
        <v>0</v>
      </c>
      <c r="F83" s="65">
        <v>0</v>
      </c>
      <c r="G83" s="34"/>
      <c r="H83" s="33"/>
      <c r="I83" s="63">
        <v>35673</v>
      </c>
      <c r="J83" s="65">
        <v>43.148977246174297</v>
      </c>
      <c r="K83" s="65">
        <v>50</v>
      </c>
      <c r="L83" s="67">
        <v>0</v>
      </c>
      <c r="M83" s="65">
        <v>0</v>
      </c>
      <c r="N83" s="34"/>
      <c r="O83" s="35"/>
    </row>
    <row r="84" spans="1:15" s="36" customFormat="1" ht="12" x14ac:dyDescent="0.2">
      <c r="A84" s="33"/>
      <c r="B84" s="62">
        <v>35308</v>
      </c>
      <c r="C84" s="64">
        <v>35.000000000000099</v>
      </c>
      <c r="D84" s="64">
        <v>29.9</v>
      </c>
      <c r="E84" s="66">
        <v>0</v>
      </c>
      <c r="F84" s="64">
        <v>0</v>
      </c>
      <c r="G84" s="34"/>
      <c r="H84" s="33"/>
      <c r="I84" s="62">
        <v>35703</v>
      </c>
      <c r="J84" s="64">
        <v>34.429485599024297</v>
      </c>
      <c r="K84" s="64">
        <v>50.83</v>
      </c>
      <c r="L84" s="66">
        <v>0</v>
      </c>
      <c r="M84" s="64">
        <v>0</v>
      </c>
      <c r="N84" s="34"/>
      <c r="O84" s="35"/>
    </row>
    <row r="85" spans="1:15" s="36" customFormat="1" ht="12" x14ac:dyDescent="0.2">
      <c r="A85" s="33"/>
      <c r="B85" s="63">
        <v>35338</v>
      </c>
      <c r="C85" s="65">
        <v>21.6999999999999</v>
      </c>
      <c r="D85" s="65">
        <v>31.3</v>
      </c>
      <c r="E85" s="67">
        <v>0</v>
      </c>
      <c r="F85" s="65">
        <v>0</v>
      </c>
      <c r="G85" s="34"/>
      <c r="H85" s="33"/>
      <c r="I85" s="63">
        <v>35734</v>
      </c>
      <c r="J85" s="65">
        <v>38.810440462877501</v>
      </c>
      <c r="K85" s="65">
        <v>49.4</v>
      </c>
      <c r="L85" s="67">
        <v>0</v>
      </c>
      <c r="M85" s="65">
        <v>0</v>
      </c>
      <c r="N85" s="34"/>
      <c r="O85" s="35"/>
    </row>
    <row r="86" spans="1:15" s="36" customFormat="1" ht="12" x14ac:dyDescent="0.2">
      <c r="A86" s="33"/>
      <c r="B86" s="62">
        <v>35369</v>
      </c>
      <c r="C86" s="64">
        <v>34.869999999999997</v>
      </c>
      <c r="D86" s="64">
        <v>39.1</v>
      </c>
      <c r="E86" s="66">
        <v>0</v>
      </c>
      <c r="F86" s="64">
        <v>0</v>
      </c>
      <c r="G86" s="34"/>
      <c r="H86" s="33"/>
      <c r="I86" s="62">
        <v>35764</v>
      </c>
      <c r="J86" s="64">
        <v>16.101987786092199</v>
      </c>
      <c r="K86" s="64">
        <v>46.62</v>
      </c>
      <c r="L86" s="66">
        <v>0</v>
      </c>
      <c r="M86" s="64">
        <v>0</v>
      </c>
      <c r="N86" s="34"/>
      <c r="O86" s="35"/>
    </row>
    <row r="87" spans="1:15" s="36" customFormat="1" ht="12" x14ac:dyDescent="0.2">
      <c r="A87" s="33"/>
      <c r="B87" s="63">
        <v>35399</v>
      </c>
      <c r="C87" s="65">
        <v>34.56</v>
      </c>
      <c r="D87" s="65">
        <v>19.989999999999998</v>
      </c>
      <c r="E87" s="67">
        <v>0</v>
      </c>
      <c r="F87" s="65">
        <v>0</v>
      </c>
      <c r="G87" s="34"/>
      <c r="H87" s="33"/>
      <c r="I87" s="63">
        <v>35795</v>
      </c>
      <c r="J87" s="65">
        <v>22.1135393690247</v>
      </c>
      <c r="K87" s="65">
        <v>1.1200000000000001</v>
      </c>
      <c r="L87" s="67">
        <v>0</v>
      </c>
      <c r="M87" s="65">
        <v>0</v>
      </c>
      <c r="N87" s="34"/>
      <c r="O87" s="35"/>
    </row>
    <row r="88" spans="1:15" s="36" customFormat="1" ht="12" x14ac:dyDescent="0.2">
      <c r="A88" s="33"/>
      <c r="B88" s="62">
        <v>35430</v>
      </c>
      <c r="C88" s="64">
        <v>27.43</v>
      </c>
      <c r="D88" s="64">
        <v>-17.02</v>
      </c>
      <c r="E88" s="66">
        <v>0</v>
      </c>
      <c r="F88" s="64">
        <v>0</v>
      </c>
      <c r="G88" s="34"/>
      <c r="H88" s="33"/>
      <c r="I88" s="62">
        <v>35826</v>
      </c>
      <c r="J88" s="64">
        <v>5.4181166957778002</v>
      </c>
      <c r="K88" s="64">
        <v>40.83</v>
      </c>
      <c r="L88" s="66">
        <v>0</v>
      </c>
      <c r="M88" s="64">
        <v>0</v>
      </c>
      <c r="N88" s="34"/>
      <c r="O88" s="35"/>
    </row>
    <row r="89" spans="1:15" s="36" customFormat="1" ht="12" x14ac:dyDescent="0.2">
      <c r="A89" s="33"/>
      <c r="B89" s="63">
        <v>35461</v>
      </c>
      <c r="C89" s="65">
        <v>36.299999999999997</v>
      </c>
      <c r="D89" s="65">
        <v>17.149999999999999</v>
      </c>
      <c r="E89" s="67">
        <v>0</v>
      </c>
      <c r="F89" s="65">
        <v>0</v>
      </c>
      <c r="G89" s="34"/>
      <c r="H89" s="33"/>
      <c r="I89" s="63">
        <v>35854</v>
      </c>
      <c r="J89" s="65">
        <v>-5.4979187428019998</v>
      </c>
      <c r="K89" s="65">
        <v>31.49</v>
      </c>
      <c r="L89" s="67">
        <v>0</v>
      </c>
      <c r="M89" s="65">
        <v>0</v>
      </c>
      <c r="N89" s="34"/>
      <c r="O89" s="35"/>
    </row>
    <row r="90" spans="1:15" s="36" customFormat="1" ht="12" x14ac:dyDescent="0.2">
      <c r="A90" s="33"/>
      <c r="B90" s="62">
        <v>35489</v>
      </c>
      <c r="C90" s="64">
        <v>16.36</v>
      </c>
      <c r="D90" s="64">
        <v>21.24</v>
      </c>
      <c r="E90" s="66">
        <v>0</v>
      </c>
      <c r="F90" s="64">
        <v>0</v>
      </c>
      <c r="G90" s="34"/>
      <c r="H90" s="33"/>
      <c r="I90" s="62">
        <v>35885</v>
      </c>
      <c r="J90" s="64">
        <v>-9.8430730803470006</v>
      </c>
      <c r="K90" s="64">
        <v>36.53</v>
      </c>
      <c r="L90" s="66">
        <v>0</v>
      </c>
      <c r="M90" s="64">
        <v>0</v>
      </c>
      <c r="N90" s="34"/>
      <c r="O90" s="35"/>
    </row>
    <row r="91" spans="1:15" s="36" customFormat="1" ht="12" x14ac:dyDescent="0.2">
      <c r="A91" s="33"/>
      <c r="B91" s="63">
        <v>35520</v>
      </c>
      <c r="C91" s="65">
        <v>17.399999999999999</v>
      </c>
      <c r="D91" s="65">
        <v>29.46</v>
      </c>
      <c r="E91" s="67">
        <v>0</v>
      </c>
      <c r="F91" s="65">
        <v>0</v>
      </c>
      <c r="G91" s="34"/>
      <c r="H91" s="33"/>
      <c r="I91" s="63">
        <v>35915</v>
      </c>
      <c r="J91" s="65">
        <v>-24.6517061253886</v>
      </c>
      <c r="K91" s="65">
        <v>43.14</v>
      </c>
      <c r="L91" s="67">
        <v>0</v>
      </c>
      <c r="M91" s="65">
        <v>0</v>
      </c>
      <c r="N91" s="34"/>
      <c r="O91" s="35"/>
    </row>
    <row r="92" spans="1:15" s="36" customFormat="1" ht="12" x14ac:dyDescent="0.2">
      <c r="A92" s="33"/>
      <c r="B92" s="62">
        <v>35550</v>
      </c>
      <c r="C92" s="64">
        <v>23.5300000000002</v>
      </c>
      <c r="D92" s="64">
        <v>35.770000000000003</v>
      </c>
      <c r="E92" s="66">
        <v>0</v>
      </c>
      <c r="F92" s="64">
        <v>0</v>
      </c>
      <c r="G92" s="34"/>
      <c r="H92" s="33"/>
      <c r="I92" s="62">
        <v>35946</v>
      </c>
      <c r="J92" s="64">
        <v>8.5785861565247998</v>
      </c>
      <c r="K92" s="64">
        <v>36.6</v>
      </c>
      <c r="L92" s="66">
        <v>0</v>
      </c>
      <c r="M92" s="64">
        <v>0</v>
      </c>
      <c r="N92" s="34"/>
      <c r="O92" s="35"/>
    </row>
    <row r="93" spans="1:15" s="36" customFormat="1" ht="12" x14ac:dyDescent="0.2">
      <c r="A93" s="33"/>
      <c r="B93" s="63">
        <v>35581</v>
      </c>
      <c r="C93" s="65">
        <v>31.669999999999799</v>
      </c>
      <c r="D93" s="65">
        <v>36.340000000000003</v>
      </c>
      <c r="E93" s="67">
        <v>0</v>
      </c>
      <c r="F93" s="65">
        <v>0</v>
      </c>
      <c r="G93" s="34"/>
      <c r="H93" s="33"/>
      <c r="I93" s="63">
        <v>35976</v>
      </c>
      <c r="J93" s="65">
        <v>-6.4906173418178001</v>
      </c>
      <c r="K93" s="65">
        <v>38.21</v>
      </c>
      <c r="L93" s="67">
        <v>0</v>
      </c>
      <c r="M93" s="65">
        <v>0</v>
      </c>
      <c r="N93" s="34"/>
      <c r="O93" s="35"/>
    </row>
    <row r="94" spans="1:15" s="36" customFormat="1" ht="12" x14ac:dyDescent="0.2">
      <c r="A94" s="33"/>
      <c r="B94" s="62">
        <v>35611</v>
      </c>
      <c r="C94" s="64">
        <v>33.659999999999997</v>
      </c>
      <c r="D94" s="64">
        <v>41.53</v>
      </c>
      <c r="E94" s="66">
        <v>0</v>
      </c>
      <c r="F94" s="64">
        <v>0</v>
      </c>
      <c r="G94" s="34"/>
      <c r="H94" s="33"/>
      <c r="I94" s="62">
        <v>36007</v>
      </c>
      <c r="J94" s="64">
        <v>9.4524425810141004</v>
      </c>
      <c r="K94" s="64">
        <v>42.05</v>
      </c>
      <c r="L94" s="66">
        <v>0</v>
      </c>
      <c r="M94" s="64">
        <v>0</v>
      </c>
      <c r="N94" s="34"/>
      <c r="O94" s="35"/>
    </row>
    <row r="95" spans="1:15" s="36" customFormat="1" ht="12" x14ac:dyDescent="0.2">
      <c r="A95" s="33"/>
      <c r="B95" s="63">
        <v>35642</v>
      </c>
      <c r="C95" s="65">
        <v>50.05</v>
      </c>
      <c r="D95" s="65">
        <v>27.63</v>
      </c>
      <c r="E95" s="67">
        <v>0</v>
      </c>
      <c r="F95" s="65">
        <v>0</v>
      </c>
      <c r="G95" s="34"/>
      <c r="H95" s="33"/>
      <c r="I95" s="63">
        <v>36038</v>
      </c>
      <c r="J95" s="65">
        <v>-1.6140613385361999</v>
      </c>
      <c r="K95" s="65">
        <v>47.16</v>
      </c>
      <c r="L95" s="67">
        <v>0</v>
      </c>
      <c r="M95" s="65">
        <v>0</v>
      </c>
      <c r="N95" s="34"/>
      <c r="O95" s="35"/>
    </row>
    <row r="96" spans="1:15" s="36" customFormat="1" ht="12" x14ac:dyDescent="0.2">
      <c r="A96" s="33"/>
      <c r="B96" s="62">
        <v>35673</v>
      </c>
      <c r="C96" s="64">
        <v>43.94</v>
      </c>
      <c r="D96" s="64">
        <v>50</v>
      </c>
      <c r="E96" s="66">
        <v>0</v>
      </c>
      <c r="F96" s="64">
        <v>0</v>
      </c>
      <c r="G96" s="34"/>
      <c r="H96" s="33"/>
      <c r="I96" s="62">
        <v>36068</v>
      </c>
      <c r="J96" s="64">
        <v>15.572053918070701</v>
      </c>
      <c r="K96" s="64">
        <v>39.29</v>
      </c>
      <c r="L96" s="66">
        <v>0</v>
      </c>
      <c r="M96" s="64">
        <v>0</v>
      </c>
      <c r="N96" s="34"/>
      <c r="O96" s="35"/>
    </row>
    <row r="97" spans="1:15" s="36" customFormat="1" ht="12" x14ac:dyDescent="0.2">
      <c r="A97" s="33"/>
      <c r="B97" s="63">
        <v>35703</v>
      </c>
      <c r="C97" s="65">
        <v>37.340000000000003</v>
      </c>
      <c r="D97" s="65">
        <v>50.83</v>
      </c>
      <c r="E97" s="67">
        <v>0</v>
      </c>
      <c r="F97" s="65">
        <v>0</v>
      </c>
      <c r="G97" s="34"/>
      <c r="H97" s="33"/>
      <c r="I97" s="63">
        <v>36099</v>
      </c>
      <c r="J97" s="65">
        <v>12.4768095246115</v>
      </c>
      <c r="K97" s="65">
        <v>30.62</v>
      </c>
      <c r="L97" s="67">
        <v>0</v>
      </c>
      <c r="M97" s="65">
        <v>0</v>
      </c>
      <c r="N97" s="34"/>
      <c r="O97" s="35"/>
    </row>
    <row r="98" spans="1:15" s="36" customFormat="1" ht="12" x14ac:dyDescent="0.2">
      <c r="A98" s="33"/>
      <c r="B98" s="62">
        <v>35734</v>
      </c>
      <c r="C98" s="64">
        <v>38.229999999999997</v>
      </c>
      <c r="D98" s="64">
        <v>49.4</v>
      </c>
      <c r="E98" s="66">
        <v>0</v>
      </c>
      <c r="F98" s="64">
        <v>0</v>
      </c>
      <c r="G98" s="34"/>
      <c r="H98" s="33"/>
      <c r="I98" s="62">
        <v>36129</v>
      </c>
      <c r="J98" s="64">
        <v>24.273013247026199</v>
      </c>
      <c r="K98" s="64">
        <v>27.64</v>
      </c>
      <c r="L98" s="66">
        <v>0</v>
      </c>
      <c r="M98" s="64">
        <v>0</v>
      </c>
      <c r="N98" s="34"/>
      <c r="O98" s="35"/>
    </row>
    <row r="99" spans="1:15" s="36" customFormat="1" ht="12" x14ac:dyDescent="0.2">
      <c r="A99" s="33"/>
      <c r="B99" s="63">
        <v>35764</v>
      </c>
      <c r="C99" s="65">
        <v>9.76</v>
      </c>
      <c r="D99" s="65">
        <v>46.62</v>
      </c>
      <c r="E99" s="67">
        <v>0</v>
      </c>
      <c r="F99" s="65">
        <v>0</v>
      </c>
      <c r="G99" s="34"/>
      <c r="H99" s="33"/>
      <c r="I99" s="63">
        <v>36160</v>
      </c>
      <c r="J99" s="65">
        <v>4.1969322154480002</v>
      </c>
      <c r="K99" s="65">
        <v>22.15</v>
      </c>
      <c r="L99" s="67">
        <v>0</v>
      </c>
      <c r="M99" s="65">
        <v>0</v>
      </c>
      <c r="N99" s="34"/>
      <c r="O99" s="35"/>
    </row>
    <row r="100" spans="1:15" s="36" customFormat="1" ht="12" x14ac:dyDescent="0.2">
      <c r="A100" s="33"/>
      <c r="B100" s="62">
        <v>35795</v>
      </c>
      <c r="C100" s="64">
        <v>10.17</v>
      </c>
      <c r="D100" s="64">
        <v>1.1200000000000001</v>
      </c>
      <c r="E100" s="66">
        <v>0</v>
      </c>
      <c r="F100" s="64">
        <v>0</v>
      </c>
      <c r="G100" s="34"/>
      <c r="H100" s="33"/>
      <c r="I100" s="62">
        <v>36191</v>
      </c>
      <c r="J100" s="64">
        <v>3.1767702108266</v>
      </c>
      <c r="K100" s="64">
        <v>14.74</v>
      </c>
      <c r="L100" s="66">
        <v>0</v>
      </c>
      <c r="M100" s="64">
        <v>0</v>
      </c>
      <c r="N100" s="34"/>
      <c r="O100" s="35"/>
    </row>
    <row r="101" spans="1:15" s="36" customFormat="1" ht="12" x14ac:dyDescent="0.2">
      <c r="A101" s="33"/>
      <c r="B101" s="63">
        <v>35826</v>
      </c>
      <c r="C101" s="65">
        <v>5.96</v>
      </c>
      <c r="D101" s="65">
        <v>40.83</v>
      </c>
      <c r="E101" s="67">
        <v>0</v>
      </c>
      <c r="F101" s="65">
        <v>0</v>
      </c>
      <c r="G101" s="34"/>
      <c r="H101" s="33"/>
      <c r="I101" s="63">
        <v>36219</v>
      </c>
      <c r="J101" s="65">
        <v>10.7733645104543</v>
      </c>
      <c r="K101" s="65">
        <v>22.73</v>
      </c>
      <c r="L101" s="67">
        <v>0</v>
      </c>
      <c r="M101" s="65">
        <v>0</v>
      </c>
      <c r="N101" s="34"/>
      <c r="O101" s="35"/>
    </row>
    <row r="102" spans="1:15" s="36" customFormat="1" ht="12" x14ac:dyDescent="0.2">
      <c r="A102" s="33"/>
      <c r="B102" s="62">
        <v>35854</v>
      </c>
      <c r="C102" s="64">
        <v>-1.5299999999998</v>
      </c>
      <c r="D102" s="64">
        <v>31.49</v>
      </c>
      <c r="E102" s="66">
        <v>0</v>
      </c>
      <c r="F102" s="64">
        <v>0</v>
      </c>
      <c r="G102" s="34"/>
      <c r="H102" s="33"/>
      <c r="I102" s="62">
        <v>36250</v>
      </c>
      <c r="J102" s="64">
        <v>3.0012337720127</v>
      </c>
      <c r="K102" s="64">
        <v>4.45</v>
      </c>
      <c r="L102" s="66">
        <v>0</v>
      </c>
      <c r="M102" s="64">
        <v>0</v>
      </c>
      <c r="N102" s="34"/>
      <c r="O102" s="35"/>
    </row>
    <row r="103" spans="1:15" s="36" customFormat="1" ht="12" x14ac:dyDescent="0.2">
      <c r="A103" s="33"/>
      <c r="B103" s="63">
        <v>35885</v>
      </c>
      <c r="C103" s="65">
        <v>2.8399999999998</v>
      </c>
      <c r="D103" s="65">
        <v>36.53</v>
      </c>
      <c r="E103" s="67">
        <v>0</v>
      </c>
      <c r="F103" s="65">
        <v>0</v>
      </c>
      <c r="G103" s="34"/>
      <c r="H103" s="33"/>
      <c r="I103" s="63">
        <v>36280</v>
      </c>
      <c r="J103" s="65">
        <v>-3.289934287656</v>
      </c>
      <c r="K103" s="65">
        <v>9.59</v>
      </c>
      <c r="L103" s="67">
        <v>0</v>
      </c>
      <c r="M103" s="65">
        <v>0</v>
      </c>
      <c r="N103" s="34"/>
      <c r="O103" s="35"/>
    </row>
    <row r="104" spans="1:15" s="36" customFormat="1" ht="12" x14ac:dyDescent="0.2">
      <c r="A104" s="33"/>
      <c r="B104" s="62">
        <v>35915</v>
      </c>
      <c r="C104" s="64">
        <v>-0.5</v>
      </c>
      <c r="D104" s="64">
        <v>43.14</v>
      </c>
      <c r="E104" s="66">
        <v>0</v>
      </c>
      <c r="F104" s="64">
        <v>0</v>
      </c>
      <c r="G104" s="34"/>
      <c r="H104" s="33"/>
      <c r="I104" s="62">
        <v>36311</v>
      </c>
      <c r="J104" s="64">
        <v>2.961062639418</v>
      </c>
      <c r="K104" s="64">
        <v>18.649999999999999</v>
      </c>
      <c r="L104" s="66">
        <v>0</v>
      </c>
      <c r="M104" s="64">
        <v>0</v>
      </c>
      <c r="N104" s="34"/>
      <c r="O104" s="35"/>
    </row>
    <row r="105" spans="1:15" s="36" customFormat="1" ht="12" x14ac:dyDescent="0.2">
      <c r="A105" s="33"/>
      <c r="B105" s="63">
        <v>35946</v>
      </c>
      <c r="C105" s="65">
        <v>3.38</v>
      </c>
      <c r="D105" s="65">
        <v>36.6</v>
      </c>
      <c r="E105" s="67">
        <v>0</v>
      </c>
      <c r="F105" s="65">
        <v>0</v>
      </c>
      <c r="G105" s="34"/>
      <c r="H105" s="33"/>
      <c r="I105" s="63">
        <v>36341</v>
      </c>
      <c r="J105" s="65">
        <v>6.6925533416169998</v>
      </c>
      <c r="K105" s="65">
        <v>7.93</v>
      </c>
      <c r="L105" s="67">
        <v>0</v>
      </c>
      <c r="M105" s="65">
        <v>0</v>
      </c>
      <c r="N105" s="34"/>
      <c r="O105" s="35"/>
    </row>
    <row r="106" spans="1:15" s="36" customFormat="1" ht="12" x14ac:dyDescent="0.2">
      <c r="A106" s="33"/>
      <c r="B106" s="62">
        <v>35976</v>
      </c>
      <c r="C106" s="64">
        <v>-3.9499999999998998</v>
      </c>
      <c r="D106" s="64">
        <v>38.21</v>
      </c>
      <c r="E106" s="66">
        <v>0</v>
      </c>
      <c r="F106" s="64">
        <v>0</v>
      </c>
      <c r="G106" s="34"/>
      <c r="H106" s="33"/>
      <c r="I106" s="62">
        <v>36372</v>
      </c>
      <c r="J106" s="64">
        <v>17.343723691359401</v>
      </c>
      <c r="K106" s="64">
        <v>34.01</v>
      </c>
      <c r="L106" s="66">
        <v>0</v>
      </c>
      <c r="M106" s="64">
        <v>0</v>
      </c>
      <c r="N106" s="34"/>
      <c r="O106" s="35"/>
    </row>
    <row r="107" spans="1:15" s="36" customFormat="1" ht="12" x14ac:dyDescent="0.2">
      <c r="A107" s="33"/>
      <c r="B107" s="63">
        <v>36007</v>
      </c>
      <c r="C107" s="65">
        <v>0.88999999999989998</v>
      </c>
      <c r="D107" s="65">
        <v>42.05</v>
      </c>
      <c r="E107" s="67">
        <v>0</v>
      </c>
      <c r="F107" s="65">
        <v>0</v>
      </c>
      <c r="G107" s="34"/>
      <c r="H107" s="33"/>
      <c r="I107" s="63">
        <v>36403</v>
      </c>
      <c r="J107" s="65">
        <v>16.796500516068999</v>
      </c>
      <c r="K107" s="65">
        <v>48.75</v>
      </c>
      <c r="L107" s="67">
        <v>0</v>
      </c>
      <c r="M107" s="65">
        <v>0</v>
      </c>
      <c r="N107" s="34"/>
      <c r="O107" s="35"/>
    </row>
    <row r="108" spans="1:15" s="36" customFormat="1" ht="12" x14ac:dyDescent="0.2">
      <c r="A108" s="33"/>
      <c r="B108" s="62">
        <v>36038</v>
      </c>
      <c r="C108" s="64">
        <v>1.39</v>
      </c>
      <c r="D108" s="64">
        <v>47.16</v>
      </c>
      <c r="E108" s="66">
        <v>0</v>
      </c>
      <c r="F108" s="64">
        <v>0</v>
      </c>
      <c r="G108" s="34"/>
      <c r="H108" s="33"/>
      <c r="I108" s="62">
        <v>36433</v>
      </c>
      <c r="J108" s="64">
        <v>6.7628974461854998</v>
      </c>
      <c r="K108" s="64">
        <v>33.07</v>
      </c>
      <c r="L108" s="66">
        <v>0</v>
      </c>
      <c r="M108" s="64">
        <v>0</v>
      </c>
      <c r="N108" s="34"/>
      <c r="O108" s="35"/>
    </row>
    <row r="109" spans="1:15" s="36" customFormat="1" ht="12" x14ac:dyDescent="0.2">
      <c r="A109" s="33"/>
      <c r="B109" s="63">
        <v>36068</v>
      </c>
      <c r="C109" s="65">
        <v>3.69</v>
      </c>
      <c r="D109" s="65">
        <v>39.29</v>
      </c>
      <c r="E109" s="67">
        <v>0</v>
      </c>
      <c r="F109" s="65">
        <v>0</v>
      </c>
      <c r="G109" s="34"/>
      <c r="H109" s="33"/>
      <c r="I109" s="63">
        <v>36464</v>
      </c>
      <c r="J109" s="65">
        <v>15.2774262960356</v>
      </c>
      <c r="K109" s="65">
        <v>44.38</v>
      </c>
      <c r="L109" s="67">
        <v>0</v>
      </c>
      <c r="M109" s="65">
        <v>0</v>
      </c>
      <c r="N109" s="34"/>
      <c r="O109" s="35"/>
    </row>
    <row r="110" spans="1:15" s="36" customFormat="1" ht="12" x14ac:dyDescent="0.2">
      <c r="A110" s="33"/>
      <c r="B110" s="62">
        <v>36099</v>
      </c>
      <c r="C110" s="64">
        <v>25.93</v>
      </c>
      <c r="D110" s="64">
        <v>30.62</v>
      </c>
      <c r="E110" s="66">
        <v>0</v>
      </c>
      <c r="F110" s="64">
        <v>0</v>
      </c>
      <c r="G110" s="34"/>
      <c r="H110" s="33"/>
      <c r="I110" s="62">
        <v>36494</v>
      </c>
      <c r="J110" s="64">
        <v>8.6418508009051997</v>
      </c>
      <c r="K110" s="64">
        <v>25.68</v>
      </c>
      <c r="L110" s="66">
        <v>0</v>
      </c>
      <c r="M110" s="64">
        <v>0</v>
      </c>
      <c r="N110" s="34"/>
      <c r="O110" s="35"/>
    </row>
    <row r="111" spans="1:15" s="36" customFormat="1" ht="12" x14ac:dyDescent="0.2">
      <c r="A111" s="33"/>
      <c r="B111" s="63">
        <v>36129</v>
      </c>
      <c r="C111" s="65">
        <v>8.8800000000000008</v>
      </c>
      <c r="D111" s="65">
        <v>27.64</v>
      </c>
      <c r="E111" s="67">
        <v>0</v>
      </c>
      <c r="F111" s="65">
        <v>0</v>
      </c>
      <c r="G111" s="34"/>
      <c r="H111" s="33"/>
      <c r="I111" s="63">
        <v>36525</v>
      </c>
      <c r="J111" s="65">
        <v>40.112231930956703</v>
      </c>
      <c r="K111" s="65">
        <v>28.17</v>
      </c>
      <c r="L111" s="67">
        <v>0</v>
      </c>
      <c r="M111" s="65">
        <v>0</v>
      </c>
      <c r="N111" s="34"/>
      <c r="O111" s="35"/>
    </row>
    <row r="112" spans="1:15" s="36" customFormat="1" ht="12" x14ac:dyDescent="0.2">
      <c r="A112" s="33"/>
      <c r="B112" s="62">
        <v>36160</v>
      </c>
      <c r="C112" s="64">
        <v>3.7100000000000999</v>
      </c>
      <c r="D112" s="64">
        <v>22.15</v>
      </c>
      <c r="E112" s="66">
        <v>0</v>
      </c>
      <c r="F112" s="64">
        <v>0</v>
      </c>
      <c r="G112" s="34"/>
      <c r="H112" s="33"/>
      <c r="I112" s="62">
        <v>36556</v>
      </c>
      <c r="J112" s="64">
        <v>27.033310445555301</v>
      </c>
      <c r="K112" s="64">
        <v>15.23</v>
      </c>
      <c r="L112" s="66">
        <v>0</v>
      </c>
      <c r="M112" s="64">
        <v>0</v>
      </c>
      <c r="N112" s="34"/>
      <c r="O112" s="35"/>
    </row>
    <row r="113" spans="1:15" s="36" customFormat="1" ht="12" x14ac:dyDescent="0.2">
      <c r="A113" s="33"/>
      <c r="B113" s="63">
        <v>36191</v>
      </c>
      <c r="C113" s="65">
        <v>1.3099999999998999</v>
      </c>
      <c r="D113" s="65">
        <v>14.74</v>
      </c>
      <c r="E113" s="67">
        <v>0</v>
      </c>
      <c r="F113" s="65">
        <v>0</v>
      </c>
      <c r="G113" s="34"/>
      <c r="H113" s="33"/>
      <c r="I113" s="63">
        <v>36585</v>
      </c>
      <c r="J113" s="65">
        <v>0.23174510538099999</v>
      </c>
      <c r="K113" s="65">
        <v>13.52</v>
      </c>
      <c r="L113" s="67">
        <v>0</v>
      </c>
      <c r="M113" s="65">
        <v>0</v>
      </c>
      <c r="N113" s="34"/>
      <c r="O113" s="35"/>
    </row>
    <row r="114" spans="1:15" s="36" customFormat="1" ht="12" x14ac:dyDescent="0.2">
      <c r="A114" s="33"/>
      <c r="B114" s="62">
        <v>36219</v>
      </c>
      <c r="C114" s="64">
        <v>14.249999999999901</v>
      </c>
      <c r="D114" s="64">
        <v>22.73</v>
      </c>
      <c r="E114" s="66">
        <v>0</v>
      </c>
      <c r="F114" s="64">
        <v>0</v>
      </c>
      <c r="G114" s="34"/>
      <c r="H114" s="33"/>
      <c r="I114" s="62">
        <v>36616</v>
      </c>
      <c r="J114" s="64">
        <v>4.7591111308556</v>
      </c>
      <c r="K114" s="64">
        <v>23.33</v>
      </c>
      <c r="L114" s="66">
        <v>0</v>
      </c>
      <c r="M114" s="64">
        <v>0</v>
      </c>
      <c r="N114" s="34"/>
      <c r="O114" s="35"/>
    </row>
    <row r="115" spans="1:15" s="36" customFormat="1" ht="12" x14ac:dyDescent="0.2">
      <c r="A115" s="33"/>
      <c r="B115" s="63">
        <v>36250</v>
      </c>
      <c r="C115" s="65">
        <v>1.1000000000001</v>
      </c>
      <c r="D115" s="65">
        <v>4.45</v>
      </c>
      <c r="E115" s="67">
        <v>0</v>
      </c>
      <c r="F115" s="65">
        <v>0</v>
      </c>
      <c r="G115" s="34"/>
      <c r="H115" s="33"/>
      <c r="I115" s="63">
        <v>36646</v>
      </c>
      <c r="J115" s="65">
        <v>-2.8787920985294</v>
      </c>
      <c r="K115" s="65">
        <v>21.58</v>
      </c>
      <c r="L115" s="67">
        <v>0</v>
      </c>
      <c r="M115" s="65">
        <v>0</v>
      </c>
      <c r="N115" s="34"/>
      <c r="O115" s="35"/>
    </row>
    <row r="116" spans="1:15" s="36" customFormat="1" ht="12" x14ac:dyDescent="0.2">
      <c r="A116" s="33"/>
      <c r="B116" s="62">
        <v>36280</v>
      </c>
      <c r="C116" s="64">
        <v>0.4</v>
      </c>
      <c r="D116" s="64">
        <v>9.59</v>
      </c>
      <c r="E116" s="66">
        <v>0</v>
      </c>
      <c r="F116" s="64">
        <v>0</v>
      </c>
      <c r="G116" s="34"/>
      <c r="H116" s="33"/>
      <c r="I116" s="62">
        <v>36677</v>
      </c>
      <c r="J116" s="64">
        <v>14.792560542519</v>
      </c>
      <c r="K116" s="64">
        <v>31.47</v>
      </c>
      <c r="L116" s="66">
        <v>0</v>
      </c>
      <c r="M116" s="64">
        <v>0</v>
      </c>
      <c r="N116" s="34"/>
      <c r="O116" s="35"/>
    </row>
    <row r="117" spans="1:15" s="36" customFormat="1" ht="12" x14ac:dyDescent="0.2">
      <c r="A117" s="33"/>
      <c r="B117" s="63">
        <v>36311</v>
      </c>
      <c r="C117" s="65">
        <v>0.8</v>
      </c>
      <c r="D117" s="65">
        <v>18.649999999999999</v>
      </c>
      <c r="E117" s="67">
        <v>0</v>
      </c>
      <c r="F117" s="65">
        <v>0</v>
      </c>
      <c r="G117" s="34"/>
      <c r="H117" s="33"/>
      <c r="I117" s="63">
        <v>36707</v>
      </c>
      <c r="J117" s="65">
        <v>7.3804721439426002</v>
      </c>
      <c r="K117" s="65">
        <v>19.05</v>
      </c>
      <c r="L117" s="67">
        <v>0</v>
      </c>
      <c r="M117" s="65">
        <v>0</v>
      </c>
      <c r="N117" s="34"/>
      <c r="O117" s="35"/>
    </row>
    <row r="118" spans="1:15" s="36" customFormat="1" ht="12" x14ac:dyDescent="0.2">
      <c r="A118" s="33"/>
      <c r="B118" s="62">
        <v>36341</v>
      </c>
      <c r="C118" s="64">
        <v>3.06</v>
      </c>
      <c r="D118" s="64">
        <v>7.93</v>
      </c>
      <c r="E118" s="66">
        <v>0</v>
      </c>
      <c r="F118" s="64">
        <v>0</v>
      </c>
      <c r="G118" s="34"/>
      <c r="H118" s="33"/>
      <c r="I118" s="62">
        <v>36738</v>
      </c>
      <c r="J118" s="64">
        <v>-8.2359063258791991</v>
      </c>
      <c r="K118" s="64">
        <v>19.87</v>
      </c>
      <c r="L118" s="66">
        <v>0</v>
      </c>
      <c r="M118" s="64">
        <v>0</v>
      </c>
      <c r="N118" s="34"/>
      <c r="O118" s="35"/>
    </row>
    <row r="119" spans="1:15" s="36" customFormat="1" ht="12" x14ac:dyDescent="0.2">
      <c r="A119" s="33"/>
      <c r="B119" s="63">
        <v>36372</v>
      </c>
      <c r="C119" s="65">
        <v>16.86</v>
      </c>
      <c r="D119" s="65">
        <v>34.01</v>
      </c>
      <c r="E119" s="67">
        <v>0</v>
      </c>
      <c r="F119" s="65">
        <v>0</v>
      </c>
      <c r="G119" s="34"/>
      <c r="H119" s="33"/>
      <c r="I119" s="63">
        <v>36769</v>
      </c>
      <c r="J119" s="65">
        <v>2.8964703808047001</v>
      </c>
      <c r="K119" s="65">
        <v>25.4</v>
      </c>
      <c r="L119" s="67">
        <v>0</v>
      </c>
      <c r="M119" s="65">
        <v>0</v>
      </c>
      <c r="N119" s="34"/>
      <c r="O119" s="35"/>
    </row>
    <row r="120" spans="1:15" s="36" customFormat="1" ht="12" x14ac:dyDescent="0.2">
      <c r="A120" s="33"/>
      <c r="B120" s="62">
        <v>36403</v>
      </c>
      <c r="C120" s="64">
        <v>19.93</v>
      </c>
      <c r="D120" s="64">
        <v>48.75</v>
      </c>
      <c r="E120" s="66">
        <v>0</v>
      </c>
      <c r="F120" s="64">
        <v>0</v>
      </c>
      <c r="G120" s="34"/>
      <c r="H120" s="33"/>
      <c r="I120" s="62">
        <v>36799</v>
      </c>
      <c r="J120" s="64">
        <v>9.5545352162111996</v>
      </c>
      <c r="K120" s="64">
        <v>22.68</v>
      </c>
      <c r="L120" s="66">
        <v>0</v>
      </c>
      <c r="M120" s="64">
        <v>0</v>
      </c>
      <c r="N120" s="34"/>
      <c r="O120" s="35"/>
    </row>
    <row r="121" spans="1:15" s="36" customFormat="1" ht="12" x14ac:dyDescent="0.2">
      <c r="A121" s="33"/>
      <c r="B121" s="63">
        <v>36433</v>
      </c>
      <c r="C121" s="65">
        <v>7.81</v>
      </c>
      <c r="D121" s="65">
        <v>33.07</v>
      </c>
      <c r="E121" s="67">
        <v>0</v>
      </c>
      <c r="F121" s="65">
        <v>0</v>
      </c>
      <c r="G121" s="34"/>
      <c r="H121" s="33"/>
      <c r="I121" s="63">
        <v>36830</v>
      </c>
      <c r="J121" s="65">
        <v>28.663587984061198</v>
      </c>
      <c r="K121" s="65">
        <v>38.270000000000003</v>
      </c>
      <c r="L121" s="67">
        <v>0</v>
      </c>
      <c r="M121" s="65">
        <v>0</v>
      </c>
      <c r="N121" s="34"/>
      <c r="O121" s="35"/>
    </row>
    <row r="122" spans="1:15" s="36" customFormat="1" ht="12" x14ac:dyDescent="0.2">
      <c r="A122" s="33"/>
      <c r="B122" s="62">
        <v>36464</v>
      </c>
      <c r="C122" s="64">
        <v>13.3599999999998</v>
      </c>
      <c r="D122" s="64">
        <v>44.38</v>
      </c>
      <c r="E122" s="66">
        <v>0</v>
      </c>
      <c r="F122" s="64">
        <v>0</v>
      </c>
      <c r="G122" s="34"/>
      <c r="H122" s="33"/>
      <c r="I122" s="62">
        <v>36860</v>
      </c>
      <c r="J122" s="64">
        <v>13.127829184627901</v>
      </c>
      <c r="K122" s="64">
        <v>5.0599999999999996</v>
      </c>
      <c r="L122" s="66">
        <v>0</v>
      </c>
      <c r="M122" s="64">
        <v>0</v>
      </c>
      <c r="N122" s="34"/>
      <c r="O122" s="35"/>
    </row>
    <row r="123" spans="1:15" s="36" customFormat="1" ht="12" x14ac:dyDescent="0.2">
      <c r="A123" s="33"/>
      <c r="B123" s="63">
        <v>36494</v>
      </c>
      <c r="C123" s="65">
        <v>9.2300000000001994</v>
      </c>
      <c r="D123" s="65">
        <v>25.68</v>
      </c>
      <c r="E123" s="67">
        <v>0</v>
      </c>
      <c r="F123" s="65">
        <v>0</v>
      </c>
      <c r="G123" s="34"/>
      <c r="H123" s="33"/>
      <c r="I123" s="63">
        <v>36891</v>
      </c>
      <c r="J123" s="65">
        <v>-157.41773913296669</v>
      </c>
      <c r="K123" s="65">
        <v>5.72</v>
      </c>
      <c r="L123" s="67">
        <v>0</v>
      </c>
      <c r="M123" s="65">
        <v>0</v>
      </c>
      <c r="N123" s="34"/>
      <c r="O123" s="35"/>
    </row>
    <row r="124" spans="1:15" s="36" customFormat="1" ht="12" x14ac:dyDescent="0.2">
      <c r="A124" s="33"/>
      <c r="B124" s="62">
        <v>36525</v>
      </c>
      <c r="C124" s="64">
        <v>9.0499999999998</v>
      </c>
      <c r="D124" s="64">
        <v>28.17</v>
      </c>
      <c r="E124" s="66">
        <v>0</v>
      </c>
      <c r="F124" s="64">
        <v>0</v>
      </c>
      <c r="G124" s="34"/>
      <c r="H124" s="33"/>
      <c r="I124" s="62">
        <v>36922</v>
      </c>
      <c r="J124" s="64">
        <v>33.03846230461</v>
      </c>
      <c r="K124" s="64">
        <v>12.44</v>
      </c>
      <c r="L124" s="66">
        <v>0</v>
      </c>
      <c r="M124" s="64">
        <v>0</v>
      </c>
      <c r="N124" s="34"/>
      <c r="O124" s="35"/>
    </row>
    <row r="125" spans="1:15" s="36" customFormat="1" ht="12" x14ac:dyDescent="0.2">
      <c r="A125" s="33"/>
      <c r="B125" s="63">
        <v>36556</v>
      </c>
      <c r="C125" s="65">
        <v>14.250000000000201</v>
      </c>
      <c r="D125" s="65">
        <v>15.23</v>
      </c>
      <c r="E125" s="67">
        <v>0</v>
      </c>
      <c r="F125" s="65">
        <v>0</v>
      </c>
      <c r="G125" s="34"/>
      <c r="H125" s="33"/>
      <c r="I125" s="63">
        <v>36950</v>
      </c>
      <c r="J125" s="65">
        <v>39.9962250387727</v>
      </c>
      <c r="K125" s="65">
        <v>7.38</v>
      </c>
      <c r="L125" s="67">
        <v>0</v>
      </c>
      <c r="M125" s="65">
        <v>0</v>
      </c>
      <c r="N125" s="34"/>
      <c r="O125" s="35"/>
    </row>
    <row r="126" spans="1:15" s="36" customFormat="1" ht="12" x14ac:dyDescent="0.2">
      <c r="A126" s="33"/>
      <c r="B126" s="62">
        <v>36585</v>
      </c>
      <c r="C126" s="64">
        <v>4.59</v>
      </c>
      <c r="D126" s="64">
        <v>13.52</v>
      </c>
      <c r="E126" s="66">
        <v>0</v>
      </c>
      <c r="F126" s="64">
        <v>0</v>
      </c>
      <c r="G126" s="34"/>
      <c r="H126" s="33"/>
      <c r="I126" s="62">
        <v>36981</v>
      </c>
      <c r="J126" s="64">
        <v>24.987903021416098</v>
      </c>
      <c r="K126" s="64">
        <v>22.65</v>
      </c>
      <c r="L126" s="66">
        <v>0</v>
      </c>
      <c r="M126" s="64">
        <v>0</v>
      </c>
      <c r="N126" s="34"/>
      <c r="O126" s="35"/>
    </row>
    <row r="127" spans="1:15" s="36" customFormat="1" ht="12" x14ac:dyDescent="0.2">
      <c r="A127" s="33"/>
      <c r="B127" s="63">
        <v>36616</v>
      </c>
      <c r="C127" s="65">
        <v>2.61</v>
      </c>
      <c r="D127" s="65">
        <v>23.33</v>
      </c>
      <c r="E127" s="67">
        <v>0</v>
      </c>
      <c r="F127" s="65">
        <v>0</v>
      </c>
      <c r="G127" s="34"/>
      <c r="H127" s="33"/>
      <c r="I127" s="63">
        <v>37011</v>
      </c>
      <c r="J127" s="65">
        <v>5.3888708495961</v>
      </c>
      <c r="K127" s="65">
        <v>9.1999999999999993</v>
      </c>
      <c r="L127" s="67">
        <v>0</v>
      </c>
      <c r="M127" s="65">
        <v>0</v>
      </c>
      <c r="N127" s="34"/>
      <c r="O127" s="35"/>
    </row>
    <row r="128" spans="1:15" s="36" customFormat="1" ht="12" x14ac:dyDescent="0.2">
      <c r="A128" s="33"/>
      <c r="B128" s="62">
        <v>36646</v>
      </c>
      <c r="C128" s="64">
        <v>0.26</v>
      </c>
      <c r="D128" s="64">
        <v>21.58</v>
      </c>
      <c r="E128" s="66">
        <v>0</v>
      </c>
      <c r="F128" s="64">
        <v>0</v>
      </c>
      <c r="G128" s="34"/>
      <c r="H128" s="33"/>
      <c r="I128" s="62">
        <v>37042</v>
      </c>
      <c r="J128" s="64">
        <v>17.035975214192302</v>
      </c>
      <c r="K128" s="64">
        <v>19.98</v>
      </c>
      <c r="L128" s="66">
        <v>0</v>
      </c>
      <c r="M128" s="64">
        <v>0</v>
      </c>
      <c r="N128" s="34"/>
      <c r="O128" s="35"/>
    </row>
    <row r="129" spans="1:15" s="36" customFormat="1" ht="12" x14ac:dyDescent="0.2">
      <c r="A129" s="33"/>
      <c r="B129" s="63">
        <v>36677</v>
      </c>
      <c r="C129" s="65">
        <v>11.73</v>
      </c>
      <c r="D129" s="65">
        <v>31.47</v>
      </c>
      <c r="E129" s="67">
        <v>0</v>
      </c>
      <c r="F129" s="65">
        <v>0</v>
      </c>
      <c r="G129" s="34"/>
      <c r="H129" s="33"/>
      <c r="I129" s="63">
        <v>37072</v>
      </c>
      <c r="J129" s="65">
        <v>14.8196376647611</v>
      </c>
      <c r="K129" s="65">
        <v>7.98</v>
      </c>
      <c r="L129" s="67">
        <v>0</v>
      </c>
      <c r="M129" s="65">
        <v>0</v>
      </c>
      <c r="N129" s="34"/>
      <c r="O129" s="35"/>
    </row>
    <row r="130" spans="1:15" s="36" customFormat="1" ht="12" x14ac:dyDescent="0.2">
      <c r="A130" s="33"/>
      <c r="B130" s="62">
        <v>36707</v>
      </c>
      <c r="C130" s="64">
        <v>5.4899999999998004</v>
      </c>
      <c r="D130" s="64">
        <v>19.05</v>
      </c>
      <c r="E130" s="66">
        <v>0</v>
      </c>
      <c r="F130" s="64">
        <v>0</v>
      </c>
      <c r="G130" s="34"/>
      <c r="H130" s="33"/>
      <c r="I130" s="62">
        <v>37103</v>
      </c>
      <c r="J130" s="64">
        <v>38.4500112428005</v>
      </c>
      <c r="K130" s="64">
        <v>18.59</v>
      </c>
      <c r="L130" s="66">
        <v>0</v>
      </c>
      <c r="M130" s="64">
        <v>0</v>
      </c>
      <c r="N130" s="34"/>
      <c r="O130" s="35"/>
    </row>
    <row r="131" spans="1:15" s="36" customFormat="1" ht="12" x14ac:dyDescent="0.2">
      <c r="A131" s="33"/>
      <c r="B131" s="63">
        <v>36738</v>
      </c>
      <c r="C131" s="65">
        <v>0.28000000000019998</v>
      </c>
      <c r="D131" s="65">
        <v>19.87</v>
      </c>
      <c r="E131" s="67">
        <v>0</v>
      </c>
      <c r="F131" s="65">
        <v>0</v>
      </c>
      <c r="G131" s="34"/>
      <c r="H131" s="33"/>
      <c r="I131" s="63">
        <v>37134</v>
      </c>
      <c r="J131" s="65">
        <v>43.880978435957502</v>
      </c>
      <c r="K131" s="65">
        <v>13.61</v>
      </c>
      <c r="L131" s="67">
        <v>0</v>
      </c>
      <c r="M131" s="65">
        <v>0</v>
      </c>
      <c r="N131" s="34"/>
      <c r="O131" s="35"/>
    </row>
    <row r="132" spans="1:15" s="36" customFormat="1" ht="12" x14ac:dyDescent="0.2">
      <c r="A132" s="33"/>
      <c r="B132" s="62">
        <v>36769</v>
      </c>
      <c r="C132" s="64">
        <v>6.21</v>
      </c>
      <c r="D132" s="64">
        <v>25.4</v>
      </c>
      <c r="E132" s="66">
        <v>0</v>
      </c>
      <c r="F132" s="64">
        <v>0</v>
      </c>
      <c r="G132" s="34"/>
      <c r="H132" s="33"/>
      <c r="I132" s="62">
        <v>37164</v>
      </c>
      <c r="J132" s="64">
        <v>54.233309556316101</v>
      </c>
      <c r="K132" s="64">
        <v>21.42</v>
      </c>
      <c r="L132" s="66">
        <v>0</v>
      </c>
      <c r="M132" s="64">
        <v>0</v>
      </c>
      <c r="N132" s="34"/>
      <c r="O132" s="35"/>
    </row>
    <row r="133" spans="1:15" s="36" customFormat="1" ht="12" x14ac:dyDescent="0.2">
      <c r="A133" s="33"/>
      <c r="B133" s="63">
        <v>36799</v>
      </c>
      <c r="C133" s="65">
        <v>8.75</v>
      </c>
      <c r="D133" s="65">
        <v>22.68</v>
      </c>
      <c r="E133" s="67">
        <v>0</v>
      </c>
      <c r="F133" s="65">
        <v>0</v>
      </c>
      <c r="G133" s="34"/>
      <c r="H133" s="33"/>
      <c r="I133" s="63">
        <v>37195</v>
      </c>
      <c r="J133" s="65">
        <v>65.783036235508703</v>
      </c>
      <c r="K133" s="65">
        <v>38.89</v>
      </c>
      <c r="L133" s="67">
        <v>0</v>
      </c>
      <c r="M133" s="65">
        <v>0</v>
      </c>
      <c r="N133" s="34"/>
      <c r="O133" s="35"/>
    </row>
    <row r="134" spans="1:15" s="36" customFormat="1" ht="12" x14ac:dyDescent="0.2">
      <c r="A134" s="33"/>
      <c r="B134" s="62">
        <v>36830</v>
      </c>
      <c r="C134" s="64">
        <v>12.519999999999801</v>
      </c>
      <c r="D134" s="64">
        <v>38.270000000000003</v>
      </c>
      <c r="E134" s="66">
        <v>0</v>
      </c>
      <c r="F134" s="64">
        <v>0</v>
      </c>
      <c r="G134" s="34"/>
      <c r="H134" s="33"/>
      <c r="I134" s="62">
        <v>37225</v>
      </c>
      <c r="J134" s="64">
        <v>43.348508032859598</v>
      </c>
      <c r="K134" s="64">
        <v>31.55</v>
      </c>
      <c r="L134" s="66">
        <v>0</v>
      </c>
      <c r="M134" s="64">
        <v>0</v>
      </c>
      <c r="N134" s="34"/>
      <c r="O134" s="35"/>
    </row>
    <row r="135" spans="1:15" s="36" customFormat="1" ht="12" x14ac:dyDescent="0.2">
      <c r="A135" s="33"/>
      <c r="B135" s="63">
        <v>36860</v>
      </c>
      <c r="C135" s="65">
        <v>25.670000000000201</v>
      </c>
      <c r="D135" s="65">
        <v>5.0599999999999996</v>
      </c>
      <c r="E135" s="67">
        <v>0</v>
      </c>
      <c r="F135" s="65">
        <v>0</v>
      </c>
      <c r="G135" s="34"/>
      <c r="H135" s="33"/>
      <c r="I135" s="63">
        <v>37256</v>
      </c>
      <c r="J135" s="65">
        <v>49.855180345406403</v>
      </c>
      <c r="K135" s="65">
        <v>21.13</v>
      </c>
      <c r="L135" s="67">
        <v>0</v>
      </c>
      <c r="M135" s="65">
        <v>0</v>
      </c>
      <c r="N135" s="34"/>
      <c r="O135" s="35"/>
    </row>
    <row r="136" spans="1:15" s="36" customFormat="1" ht="12" x14ac:dyDescent="0.2">
      <c r="A136" s="33"/>
      <c r="B136" s="62">
        <v>36891</v>
      </c>
      <c r="C136" s="64">
        <v>16.63</v>
      </c>
      <c r="D136" s="64">
        <v>5.72</v>
      </c>
      <c r="E136" s="66">
        <v>0</v>
      </c>
      <c r="F136" s="64">
        <v>0</v>
      </c>
      <c r="G136" s="34"/>
      <c r="H136" s="33"/>
      <c r="I136" s="62">
        <v>37287</v>
      </c>
      <c r="J136" s="64">
        <v>15.714966552658</v>
      </c>
      <c r="K136" s="64">
        <v>27.33</v>
      </c>
      <c r="L136" s="66">
        <v>0</v>
      </c>
      <c r="M136" s="64">
        <v>0</v>
      </c>
      <c r="N136" s="34"/>
      <c r="O136" s="35"/>
    </row>
    <row r="137" spans="1:15" s="36" customFormat="1" ht="12" x14ac:dyDescent="0.2">
      <c r="A137" s="33"/>
      <c r="B137" s="63">
        <v>36922</v>
      </c>
      <c r="C137" s="65">
        <v>30.49</v>
      </c>
      <c r="D137" s="65">
        <v>12.44</v>
      </c>
      <c r="E137" s="67">
        <v>0</v>
      </c>
      <c r="F137" s="65">
        <v>0</v>
      </c>
      <c r="G137" s="34"/>
      <c r="H137" s="33"/>
      <c r="I137" s="63">
        <v>37315</v>
      </c>
      <c r="J137" s="65">
        <v>62.449666198765001</v>
      </c>
      <c r="K137" s="65">
        <v>32.270000000000003</v>
      </c>
      <c r="L137" s="67">
        <v>0</v>
      </c>
      <c r="M137" s="65">
        <v>0</v>
      </c>
      <c r="N137" s="34"/>
      <c r="O137" s="35"/>
    </row>
    <row r="138" spans="1:15" s="36" customFormat="1" ht="12" x14ac:dyDescent="0.2">
      <c r="A138" s="33"/>
      <c r="B138" s="62">
        <v>36950</v>
      </c>
      <c r="C138" s="64">
        <v>61.5</v>
      </c>
      <c r="D138" s="64">
        <v>7.38</v>
      </c>
      <c r="E138" s="66">
        <v>0</v>
      </c>
      <c r="F138" s="64">
        <v>0</v>
      </c>
      <c r="G138" s="34"/>
      <c r="H138" s="33"/>
      <c r="I138" s="62">
        <v>37346</v>
      </c>
      <c r="J138" s="64">
        <v>54.178652998720601</v>
      </c>
      <c r="K138" s="64">
        <v>13.11</v>
      </c>
      <c r="L138" s="66">
        <v>0</v>
      </c>
      <c r="M138" s="64">
        <v>0</v>
      </c>
      <c r="N138" s="34"/>
      <c r="O138" s="35"/>
    </row>
    <row r="139" spans="1:15" s="36" customFormat="1" ht="12" x14ac:dyDescent="0.2">
      <c r="A139" s="33"/>
      <c r="B139" s="63">
        <v>36981</v>
      </c>
      <c r="C139" s="65">
        <v>10.74</v>
      </c>
      <c r="D139" s="65">
        <v>22.65</v>
      </c>
      <c r="E139" s="67">
        <v>0</v>
      </c>
      <c r="F139" s="65">
        <v>0</v>
      </c>
      <c r="G139" s="34"/>
      <c r="H139" s="33"/>
      <c r="I139" s="63">
        <v>37376</v>
      </c>
      <c r="J139" s="65">
        <v>58.042622160720398</v>
      </c>
      <c r="K139" s="65">
        <v>9.8000000000000007</v>
      </c>
      <c r="L139" s="67">
        <v>0</v>
      </c>
      <c r="M139" s="65">
        <v>0</v>
      </c>
      <c r="N139" s="34"/>
      <c r="O139" s="35"/>
    </row>
    <row r="140" spans="1:15" s="36" customFormat="1" ht="12" x14ac:dyDescent="0.2">
      <c r="A140" s="33"/>
      <c r="B140" s="62">
        <v>37011</v>
      </c>
      <c r="C140" s="64">
        <v>13.31</v>
      </c>
      <c r="D140" s="64">
        <v>9.1999999999999993</v>
      </c>
      <c r="E140" s="66">
        <v>0</v>
      </c>
      <c r="F140" s="64">
        <v>0</v>
      </c>
      <c r="G140" s="34"/>
      <c r="H140" s="33"/>
      <c r="I140" s="62">
        <v>37407</v>
      </c>
      <c r="J140" s="64">
        <v>44.536721942611003</v>
      </c>
      <c r="K140" s="64">
        <v>22.09</v>
      </c>
      <c r="L140" s="66">
        <v>0</v>
      </c>
      <c r="M140" s="64">
        <v>0</v>
      </c>
      <c r="N140" s="34"/>
      <c r="O140" s="35"/>
    </row>
    <row r="141" spans="1:15" s="36" customFormat="1" ht="12" x14ac:dyDescent="0.2">
      <c r="A141" s="33"/>
      <c r="B141" s="63">
        <v>37042</v>
      </c>
      <c r="C141" s="65">
        <v>18.22</v>
      </c>
      <c r="D141" s="65">
        <v>19.98</v>
      </c>
      <c r="E141" s="67">
        <v>0</v>
      </c>
      <c r="F141" s="65">
        <v>0</v>
      </c>
      <c r="G141" s="34"/>
      <c r="H141" s="33"/>
      <c r="I141" s="63">
        <v>37437</v>
      </c>
      <c r="J141" s="65">
        <v>27.686455648751298</v>
      </c>
      <c r="K141" s="65">
        <v>29.2</v>
      </c>
      <c r="L141" s="67">
        <v>0</v>
      </c>
      <c r="M141" s="65">
        <v>0</v>
      </c>
      <c r="N141" s="34"/>
      <c r="O141" s="35"/>
    </row>
    <row r="142" spans="1:15" s="36" customFormat="1" ht="12" x14ac:dyDescent="0.2">
      <c r="A142" s="33"/>
      <c r="B142" s="62">
        <v>37072</v>
      </c>
      <c r="C142" s="64">
        <v>18.38</v>
      </c>
      <c r="D142" s="64">
        <v>7.98</v>
      </c>
      <c r="E142" s="66">
        <v>0</v>
      </c>
      <c r="F142" s="64">
        <v>0</v>
      </c>
      <c r="G142" s="34"/>
      <c r="H142" s="33"/>
      <c r="I142" s="62">
        <v>37468</v>
      </c>
      <c r="J142" s="64">
        <v>52.162527036357098</v>
      </c>
      <c r="K142" s="64">
        <v>22.2</v>
      </c>
      <c r="L142" s="66">
        <v>0</v>
      </c>
      <c r="M142" s="64">
        <v>0</v>
      </c>
      <c r="N142" s="34"/>
      <c r="O142" s="35"/>
    </row>
    <row r="143" spans="1:15" s="36" customFormat="1" ht="12" x14ac:dyDescent="0.2">
      <c r="A143" s="33"/>
      <c r="B143" s="63">
        <v>37103</v>
      </c>
      <c r="C143" s="65">
        <v>36.54</v>
      </c>
      <c r="D143" s="65">
        <v>18.59</v>
      </c>
      <c r="E143" s="67">
        <v>0</v>
      </c>
      <c r="F143" s="65">
        <v>0</v>
      </c>
      <c r="G143" s="34"/>
      <c r="H143" s="33"/>
      <c r="I143" s="63">
        <v>37499</v>
      </c>
      <c r="J143" s="65">
        <v>47.792520048065398</v>
      </c>
      <c r="K143" s="65">
        <v>22</v>
      </c>
      <c r="L143" s="67">
        <v>0</v>
      </c>
      <c r="M143" s="65">
        <v>0</v>
      </c>
      <c r="N143" s="34"/>
      <c r="O143" s="35"/>
    </row>
    <row r="144" spans="1:15" s="36" customFormat="1" ht="12" x14ac:dyDescent="0.2">
      <c r="A144" s="33"/>
      <c r="B144" s="62">
        <v>37134</v>
      </c>
      <c r="C144" s="64">
        <v>55.61</v>
      </c>
      <c r="D144" s="64">
        <v>13.61</v>
      </c>
      <c r="E144" s="66">
        <v>0</v>
      </c>
      <c r="F144" s="64">
        <v>0</v>
      </c>
      <c r="G144" s="34"/>
      <c r="H144" s="33"/>
      <c r="I144" s="62">
        <v>37529</v>
      </c>
      <c r="J144" s="64">
        <v>72.4941609901052</v>
      </c>
      <c r="K144" s="64">
        <v>21.17</v>
      </c>
      <c r="L144" s="66">
        <v>0</v>
      </c>
      <c r="M144" s="64">
        <v>0</v>
      </c>
      <c r="N144" s="34"/>
      <c r="O144" s="35"/>
    </row>
    <row r="145" spans="1:15" s="36" customFormat="1" ht="12" x14ac:dyDescent="0.2">
      <c r="A145" s="33"/>
      <c r="B145" s="63">
        <v>37164</v>
      </c>
      <c r="C145" s="65">
        <v>57.1099999999999</v>
      </c>
      <c r="D145" s="65">
        <v>21.42</v>
      </c>
      <c r="E145" s="67">
        <v>0</v>
      </c>
      <c r="F145" s="65">
        <v>0</v>
      </c>
      <c r="G145" s="34"/>
      <c r="H145" s="33"/>
      <c r="I145" s="63">
        <v>37560</v>
      </c>
      <c r="J145" s="65">
        <v>71.965957245275007</v>
      </c>
      <c r="K145" s="65">
        <v>47.46</v>
      </c>
      <c r="L145" s="67">
        <v>51.6</v>
      </c>
      <c r="M145" s="65">
        <v>-27.094042754724999</v>
      </c>
      <c r="N145" s="34"/>
      <c r="O145" s="35"/>
    </row>
    <row r="146" spans="1:15" s="36" customFormat="1" ht="12" x14ac:dyDescent="0.2">
      <c r="A146" s="33"/>
      <c r="B146" s="62">
        <v>37195</v>
      </c>
      <c r="C146" s="64">
        <v>72.650000000000304</v>
      </c>
      <c r="D146" s="64">
        <v>38.89</v>
      </c>
      <c r="E146" s="66">
        <v>0</v>
      </c>
      <c r="F146" s="64">
        <v>0</v>
      </c>
      <c r="G146" s="34"/>
      <c r="H146" s="33"/>
      <c r="I146" s="62">
        <v>37590</v>
      </c>
      <c r="J146" s="64">
        <v>64.133765438269705</v>
      </c>
      <c r="K146" s="64">
        <v>24.66</v>
      </c>
      <c r="L146" s="66">
        <v>32.9</v>
      </c>
      <c r="M146" s="64">
        <v>6.5737654382697004</v>
      </c>
      <c r="N146" s="34"/>
      <c r="O146" s="35"/>
    </row>
    <row r="147" spans="1:15" s="36" customFormat="1" ht="12" x14ac:dyDescent="0.2">
      <c r="A147" s="33"/>
      <c r="B147" s="63">
        <v>37225</v>
      </c>
      <c r="C147" s="65">
        <v>52.8599999999998</v>
      </c>
      <c r="D147" s="65">
        <v>31.55</v>
      </c>
      <c r="E147" s="67">
        <v>0</v>
      </c>
      <c r="F147" s="65">
        <v>0</v>
      </c>
      <c r="G147" s="34"/>
      <c r="H147" s="33"/>
      <c r="I147" s="63">
        <v>37621</v>
      </c>
      <c r="J147" s="65">
        <v>77.131585374091699</v>
      </c>
      <c r="K147" s="65">
        <v>31.58</v>
      </c>
      <c r="L147" s="67">
        <v>50.9</v>
      </c>
      <c r="M147" s="65">
        <v>-5.3484146259083003</v>
      </c>
      <c r="N147" s="34"/>
      <c r="O147" s="35"/>
    </row>
    <row r="148" spans="1:15" s="36" customFormat="1" ht="12" x14ac:dyDescent="0.2">
      <c r="A148" s="33"/>
      <c r="B148" s="62">
        <v>37256</v>
      </c>
      <c r="C148" s="64">
        <v>38.5</v>
      </c>
      <c r="D148" s="64">
        <v>21.13</v>
      </c>
      <c r="E148" s="66">
        <v>0</v>
      </c>
      <c r="F148" s="64">
        <v>0</v>
      </c>
      <c r="G148" s="34"/>
      <c r="H148" s="33"/>
      <c r="I148" s="62">
        <v>37652</v>
      </c>
      <c r="J148" s="64">
        <v>137.309926559139</v>
      </c>
      <c r="K148" s="64">
        <v>-12.4</v>
      </c>
      <c r="L148" s="66">
        <v>35.9</v>
      </c>
      <c r="M148" s="64">
        <v>113.809926559139</v>
      </c>
      <c r="N148" s="34"/>
      <c r="O148" s="35"/>
    </row>
    <row r="149" spans="1:15" s="36" customFormat="1" ht="12" x14ac:dyDescent="0.2">
      <c r="A149" s="33"/>
      <c r="B149" s="63">
        <v>37287</v>
      </c>
      <c r="C149" s="65">
        <v>52.35</v>
      </c>
      <c r="D149" s="65">
        <v>27.33</v>
      </c>
      <c r="E149" s="67">
        <v>0</v>
      </c>
      <c r="F149" s="65">
        <v>0</v>
      </c>
      <c r="G149" s="34"/>
      <c r="H149" s="33"/>
      <c r="I149" s="63">
        <v>37680</v>
      </c>
      <c r="J149" s="65">
        <v>33.421955402952598</v>
      </c>
      <c r="K149" s="65">
        <v>6.76</v>
      </c>
      <c r="L149" s="67">
        <v>39.5</v>
      </c>
      <c r="M149" s="65">
        <v>-12.8380445970474</v>
      </c>
      <c r="N149" s="34"/>
      <c r="O149" s="35"/>
    </row>
    <row r="150" spans="1:15" s="36" customFormat="1" ht="12" x14ac:dyDescent="0.2">
      <c r="A150" s="33"/>
      <c r="B150" s="62">
        <v>37315</v>
      </c>
      <c r="C150" s="64">
        <v>61.31</v>
      </c>
      <c r="D150" s="64">
        <v>32.270000000000003</v>
      </c>
      <c r="E150" s="66">
        <v>0</v>
      </c>
      <c r="F150" s="64">
        <v>0</v>
      </c>
      <c r="G150" s="34"/>
      <c r="H150" s="33"/>
      <c r="I150" s="62">
        <v>37711</v>
      </c>
      <c r="J150" s="64">
        <v>57.481196791459503</v>
      </c>
      <c r="K150" s="64">
        <v>-4.58</v>
      </c>
      <c r="L150" s="66">
        <v>55.4</v>
      </c>
      <c r="M150" s="64">
        <v>6.6611967914595001</v>
      </c>
      <c r="N150" s="34"/>
      <c r="O150" s="35"/>
    </row>
    <row r="151" spans="1:15" s="36" customFormat="1" ht="12" x14ac:dyDescent="0.2">
      <c r="A151" s="33"/>
      <c r="B151" s="63">
        <v>37346</v>
      </c>
      <c r="C151" s="65">
        <v>40.74</v>
      </c>
      <c r="D151" s="65">
        <v>13.11</v>
      </c>
      <c r="E151" s="67">
        <v>0</v>
      </c>
      <c r="F151" s="65">
        <v>0</v>
      </c>
      <c r="G151" s="34"/>
      <c r="H151" s="33"/>
      <c r="I151" s="63">
        <v>37741</v>
      </c>
      <c r="J151" s="65">
        <v>70.038363366881498</v>
      </c>
      <c r="K151" s="65">
        <v>10.14</v>
      </c>
      <c r="L151" s="67">
        <v>47.4</v>
      </c>
      <c r="M151" s="65">
        <v>12.498363366881501</v>
      </c>
      <c r="N151" s="34"/>
      <c r="O151" s="35"/>
    </row>
    <row r="152" spans="1:15" s="36" customFormat="1" ht="12" x14ac:dyDescent="0.2">
      <c r="A152" s="33"/>
      <c r="B152" s="62">
        <v>37376</v>
      </c>
      <c r="C152" s="64">
        <v>62.190000000000197</v>
      </c>
      <c r="D152" s="64">
        <v>9.8000000000000007</v>
      </c>
      <c r="E152" s="66">
        <v>0</v>
      </c>
      <c r="F152" s="64">
        <v>0</v>
      </c>
      <c r="G152" s="34"/>
      <c r="H152" s="33"/>
      <c r="I152" s="62">
        <v>37772</v>
      </c>
      <c r="J152" s="64">
        <v>84.2604887261747</v>
      </c>
      <c r="K152" s="64">
        <v>22.3</v>
      </c>
      <c r="L152" s="66">
        <v>54.5</v>
      </c>
      <c r="M152" s="64">
        <v>7.4604887261746997</v>
      </c>
      <c r="N152" s="34"/>
      <c r="O152" s="35"/>
    </row>
    <row r="153" spans="1:15" s="36" customFormat="1" ht="12" x14ac:dyDescent="0.2">
      <c r="A153" s="33"/>
      <c r="B153" s="63">
        <v>37407</v>
      </c>
      <c r="C153" s="65">
        <v>46.489999999999803</v>
      </c>
      <c r="D153" s="65">
        <v>22.09</v>
      </c>
      <c r="E153" s="67">
        <v>0</v>
      </c>
      <c r="F153" s="65">
        <v>0</v>
      </c>
      <c r="G153" s="34"/>
      <c r="H153" s="33"/>
      <c r="I153" s="63">
        <v>37802</v>
      </c>
      <c r="J153" s="65">
        <v>63.4932394010198</v>
      </c>
      <c r="K153" s="65">
        <v>21.4</v>
      </c>
      <c r="L153" s="67">
        <v>69.8</v>
      </c>
      <c r="M153" s="65">
        <v>-27.7067605989802</v>
      </c>
      <c r="N153" s="34"/>
      <c r="O153" s="35"/>
    </row>
    <row r="154" spans="1:15" s="36" customFormat="1" ht="12" x14ac:dyDescent="0.2">
      <c r="A154" s="33"/>
      <c r="B154" s="62">
        <v>37437</v>
      </c>
      <c r="C154" s="64">
        <v>42.9</v>
      </c>
      <c r="D154" s="64">
        <v>29.2</v>
      </c>
      <c r="E154" s="66">
        <v>0</v>
      </c>
      <c r="F154" s="64">
        <v>0</v>
      </c>
      <c r="G154" s="34"/>
      <c r="H154" s="33"/>
      <c r="I154" s="62">
        <v>37833</v>
      </c>
      <c r="J154" s="64">
        <v>112.07073775349851</v>
      </c>
      <c r="K154" s="64">
        <v>15.96</v>
      </c>
      <c r="L154" s="66">
        <v>31</v>
      </c>
      <c r="M154" s="64">
        <v>65.110737753498498</v>
      </c>
      <c r="N154" s="34"/>
      <c r="O154" s="35"/>
    </row>
    <row r="155" spans="1:15" s="36" customFormat="1" ht="12" x14ac:dyDescent="0.2">
      <c r="A155" s="33"/>
      <c r="B155" s="63">
        <v>37468</v>
      </c>
      <c r="C155" s="65">
        <v>37.71</v>
      </c>
      <c r="D155" s="65">
        <v>22.2</v>
      </c>
      <c r="E155" s="67">
        <v>0</v>
      </c>
      <c r="F155" s="65">
        <v>0</v>
      </c>
      <c r="G155" s="34"/>
      <c r="H155" s="33"/>
      <c r="I155" s="63">
        <v>37864</v>
      </c>
      <c r="J155" s="65">
        <v>137.14643259429349</v>
      </c>
      <c r="K155" s="65">
        <v>27.94</v>
      </c>
      <c r="L155" s="67">
        <v>33.200000000000003</v>
      </c>
      <c r="M155" s="65">
        <v>76.0064325942935</v>
      </c>
      <c r="N155" s="34"/>
      <c r="O155" s="35"/>
    </row>
    <row r="156" spans="1:15" s="36" customFormat="1" ht="12" x14ac:dyDescent="0.2">
      <c r="A156" s="33"/>
      <c r="B156" s="62">
        <v>37499</v>
      </c>
      <c r="C156" s="64">
        <v>65.56</v>
      </c>
      <c r="D156" s="64">
        <v>22</v>
      </c>
      <c r="E156" s="66">
        <v>0</v>
      </c>
      <c r="F156" s="64">
        <v>0</v>
      </c>
      <c r="G156" s="34"/>
      <c r="H156" s="33"/>
      <c r="I156" s="62">
        <v>37894</v>
      </c>
      <c r="J156" s="64">
        <v>157.50043618699291</v>
      </c>
      <c r="K156" s="64">
        <v>2.9</v>
      </c>
      <c r="L156" s="66">
        <v>35.6</v>
      </c>
      <c r="M156" s="64">
        <v>119.0004361869929</v>
      </c>
      <c r="N156" s="34"/>
      <c r="O156" s="35"/>
    </row>
    <row r="157" spans="1:15" s="36" customFormat="1" ht="12" x14ac:dyDescent="0.2">
      <c r="A157" s="33"/>
      <c r="B157" s="63">
        <v>37529</v>
      </c>
      <c r="C157" s="65">
        <v>55.4</v>
      </c>
      <c r="D157" s="65">
        <v>21.17</v>
      </c>
      <c r="E157" s="67">
        <v>0</v>
      </c>
      <c r="F157" s="65">
        <v>0</v>
      </c>
      <c r="G157" s="34"/>
      <c r="H157" s="33"/>
      <c r="I157" s="63">
        <v>37925</v>
      </c>
      <c r="J157" s="65">
        <v>165.42127972037761</v>
      </c>
      <c r="K157" s="65">
        <v>57.34</v>
      </c>
      <c r="L157" s="67">
        <v>33.200000000000003</v>
      </c>
      <c r="M157" s="65">
        <v>74.881279720377606</v>
      </c>
      <c r="N157" s="34"/>
      <c r="O157" s="35"/>
    </row>
    <row r="158" spans="1:15" s="36" customFormat="1" ht="12" x14ac:dyDescent="0.2">
      <c r="A158" s="33"/>
      <c r="B158" s="62">
        <v>37560</v>
      </c>
      <c r="C158" s="64">
        <v>69.090000000000302</v>
      </c>
      <c r="D158" s="64">
        <v>47.46</v>
      </c>
      <c r="E158" s="66">
        <v>51.6</v>
      </c>
      <c r="F158" s="64">
        <v>-29.9699999999997</v>
      </c>
      <c r="G158" s="34"/>
      <c r="H158" s="33"/>
      <c r="I158" s="62">
        <v>37955</v>
      </c>
      <c r="J158" s="64">
        <v>142.12741994368849</v>
      </c>
      <c r="K158" s="64">
        <v>48.69</v>
      </c>
      <c r="L158" s="66">
        <v>36</v>
      </c>
      <c r="M158" s="64">
        <v>57.437419943688496</v>
      </c>
      <c r="N158" s="34"/>
      <c r="O158" s="35"/>
    </row>
    <row r="159" spans="1:15" s="36" customFormat="1" ht="12" x14ac:dyDescent="0.2">
      <c r="A159" s="33"/>
      <c r="B159" s="63">
        <v>37590</v>
      </c>
      <c r="C159" s="65">
        <v>90.859999999999701</v>
      </c>
      <c r="D159" s="65">
        <v>24.66</v>
      </c>
      <c r="E159" s="67">
        <v>32.9</v>
      </c>
      <c r="F159" s="65">
        <v>33.299999999999699</v>
      </c>
      <c r="G159" s="34"/>
      <c r="H159" s="33"/>
      <c r="I159" s="63">
        <v>37986</v>
      </c>
      <c r="J159" s="65">
        <v>244.13454844601301</v>
      </c>
      <c r="K159" s="65">
        <v>57.2</v>
      </c>
      <c r="L159" s="67">
        <v>63.5</v>
      </c>
      <c r="M159" s="65">
        <v>123.434548446013</v>
      </c>
      <c r="N159" s="34"/>
      <c r="O159" s="35"/>
    </row>
    <row r="160" spans="1:15" s="36" customFormat="1" ht="12" x14ac:dyDescent="0.2">
      <c r="A160" s="33"/>
      <c r="B160" s="62">
        <v>37621</v>
      </c>
      <c r="C160" s="64">
        <v>117.81999999999969</v>
      </c>
      <c r="D160" s="64">
        <v>31.58</v>
      </c>
      <c r="E160" s="66">
        <v>50.9</v>
      </c>
      <c r="F160" s="64">
        <v>35.339999999999698</v>
      </c>
      <c r="G160" s="34"/>
      <c r="H160" s="33"/>
      <c r="I160" s="62">
        <v>38017</v>
      </c>
      <c r="J160" s="64">
        <v>114.09442766353649</v>
      </c>
      <c r="K160" s="64">
        <v>-0.23</v>
      </c>
      <c r="L160" s="66">
        <v>40.799999999999997</v>
      </c>
      <c r="M160" s="64">
        <v>73.5244276635365</v>
      </c>
      <c r="N160" s="34"/>
      <c r="O160" s="35"/>
    </row>
    <row r="161" spans="1:15" s="36" customFormat="1" ht="12" x14ac:dyDescent="0.2">
      <c r="A161" s="33"/>
      <c r="B161" s="63">
        <v>37652</v>
      </c>
      <c r="C161" s="65">
        <v>180.53000000000031</v>
      </c>
      <c r="D161" s="65">
        <v>-12.4</v>
      </c>
      <c r="E161" s="67">
        <v>35.9</v>
      </c>
      <c r="F161" s="65">
        <v>157.03000000000031</v>
      </c>
      <c r="G161" s="34"/>
      <c r="H161" s="33"/>
      <c r="I161" s="63">
        <v>38046</v>
      </c>
      <c r="J161" s="65">
        <v>116.905047785124</v>
      </c>
      <c r="K161" s="65">
        <v>-78.72</v>
      </c>
      <c r="L161" s="67">
        <v>42.4</v>
      </c>
      <c r="M161" s="65">
        <v>153.22504778512399</v>
      </c>
      <c r="N161" s="34"/>
      <c r="O161" s="35"/>
    </row>
    <row r="162" spans="1:15" s="36" customFormat="1" ht="12" x14ac:dyDescent="0.2">
      <c r="A162" s="33"/>
      <c r="B162" s="62">
        <v>37680</v>
      </c>
      <c r="C162" s="64">
        <v>37.9</v>
      </c>
      <c r="D162" s="64">
        <v>6.76</v>
      </c>
      <c r="E162" s="66">
        <v>39.5</v>
      </c>
      <c r="F162" s="64">
        <v>-8.36</v>
      </c>
      <c r="G162" s="34"/>
      <c r="H162" s="33"/>
      <c r="I162" s="62">
        <v>38077</v>
      </c>
      <c r="J162" s="64">
        <v>116.80227955273701</v>
      </c>
      <c r="K162" s="64">
        <v>-5.4</v>
      </c>
      <c r="L162" s="66">
        <v>57.47</v>
      </c>
      <c r="M162" s="64">
        <v>64.732279552736998</v>
      </c>
      <c r="N162" s="34"/>
      <c r="O162" s="35"/>
    </row>
    <row r="163" spans="1:15" s="36" customFormat="1" ht="12" x14ac:dyDescent="0.2">
      <c r="A163" s="33"/>
      <c r="B163" s="63">
        <v>37711</v>
      </c>
      <c r="C163" s="65">
        <v>77.599999999999994</v>
      </c>
      <c r="D163" s="65">
        <v>-4.58</v>
      </c>
      <c r="E163" s="67">
        <v>55.4</v>
      </c>
      <c r="F163" s="65">
        <v>26.78</v>
      </c>
      <c r="G163" s="34"/>
      <c r="H163" s="33"/>
      <c r="I163" s="63">
        <v>38107</v>
      </c>
      <c r="J163" s="65">
        <v>110.588143144452</v>
      </c>
      <c r="K163" s="65">
        <v>-22.55</v>
      </c>
      <c r="L163" s="67">
        <v>55.5</v>
      </c>
      <c r="M163" s="65">
        <v>77.638143144452002</v>
      </c>
      <c r="N163" s="34"/>
      <c r="O163" s="35"/>
    </row>
    <row r="164" spans="1:15" s="36" customFormat="1" ht="12" x14ac:dyDescent="0.2">
      <c r="A164" s="33"/>
      <c r="B164" s="62">
        <v>37741</v>
      </c>
      <c r="C164" s="64">
        <v>102.8100000000003</v>
      </c>
      <c r="D164" s="64">
        <v>10.14</v>
      </c>
      <c r="E164" s="66">
        <v>47.4</v>
      </c>
      <c r="F164" s="64">
        <v>45.270000000000302</v>
      </c>
      <c r="G164" s="34"/>
      <c r="H164" s="33"/>
      <c r="I164" s="62">
        <v>38138</v>
      </c>
      <c r="J164" s="64">
        <v>59.749651522049</v>
      </c>
      <c r="K164" s="64">
        <v>21.04</v>
      </c>
      <c r="L164" s="66">
        <v>62.93</v>
      </c>
      <c r="M164" s="64">
        <v>-24.220348477950999</v>
      </c>
      <c r="N164" s="34"/>
      <c r="O164" s="35"/>
    </row>
    <row r="165" spans="1:15" s="36" customFormat="1" ht="12" x14ac:dyDescent="0.2">
      <c r="A165" s="33"/>
      <c r="B165" s="63">
        <v>37772</v>
      </c>
      <c r="C165" s="65">
        <v>137.6999999999997</v>
      </c>
      <c r="D165" s="65">
        <v>22.3</v>
      </c>
      <c r="E165" s="67">
        <v>54.5</v>
      </c>
      <c r="F165" s="65">
        <v>60.8999999999997</v>
      </c>
      <c r="G165" s="34"/>
      <c r="H165" s="33"/>
      <c r="I165" s="63">
        <v>38168</v>
      </c>
      <c r="J165" s="65">
        <v>138.46608743503899</v>
      </c>
      <c r="K165" s="65">
        <v>18.43</v>
      </c>
      <c r="L165" s="67">
        <v>79.73</v>
      </c>
      <c r="M165" s="65">
        <v>40.306087435038997</v>
      </c>
      <c r="N165" s="34"/>
      <c r="O165" s="35"/>
    </row>
    <row r="166" spans="1:15" s="36" customFormat="1" ht="12" x14ac:dyDescent="0.2">
      <c r="A166" s="33"/>
      <c r="B166" s="62">
        <v>37802</v>
      </c>
      <c r="C166" s="64">
        <v>64.150000000000006</v>
      </c>
      <c r="D166" s="64">
        <v>21.4</v>
      </c>
      <c r="E166" s="66">
        <v>69.8</v>
      </c>
      <c r="F166" s="64">
        <v>-27.05</v>
      </c>
      <c r="G166" s="34"/>
      <c r="H166" s="33"/>
      <c r="I166" s="62">
        <v>38199</v>
      </c>
      <c r="J166" s="64">
        <v>95.197648852563006</v>
      </c>
      <c r="K166" s="64">
        <v>20.329999999999998</v>
      </c>
      <c r="L166" s="66">
        <v>45.2</v>
      </c>
      <c r="M166" s="64">
        <v>29.667648852563001</v>
      </c>
      <c r="N166" s="34"/>
      <c r="O166" s="35"/>
    </row>
    <row r="167" spans="1:15" s="36" customFormat="1" ht="12" x14ac:dyDescent="0.2">
      <c r="A167" s="33"/>
      <c r="B167" s="63">
        <v>37833</v>
      </c>
      <c r="C167" s="65">
        <v>100.1</v>
      </c>
      <c r="D167" s="65">
        <v>15.96</v>
      </c>
      <c r="E167" s="67">
        <v>31</v>
      </c>
      <c r="F167" s="65">
        <v>53.14</v>
      </c>
      <c r="G167" s="34"/>
      <c r="H167" s="33"/>
      <c r="I167" s="63">
        <v>38230</v>
      </c>
      <c r="J167" s="65">
        <v>116.4794764135905</v>
      </c>
      <c r="K167" s="65">
        <v>44.9</v>
      </c>
      <c r="L167" s="67">
        <v>51.55</v>
      </c>
      <c r="M167" s="65">
        <v>20.029476413590501</v>
      </c>
      <c r="N167" s="34"/>
      <c r="O167" s="35"/>
    </row>
    <row r="168" spans="1:15" s="36" customFormat="1" ht="12" x14ac:dyDescent="0.2">
      <c r="A168" s="33"/>
      <c r="B168" s="62">
        <v>37864</v>
      </c>
      <c r="C168" s="64">
        <v>82.48</v>
      </c>
      <c r="D168" s="64">
        <v>27.94</v>
      </c>
      <c r="E168" s="66">
        <v>33.200000000000003</v>
      </c>
      <c r="F168" s="64">
        <v>21.34</v>
      </c>
      <c r="G168" s="34"/>
      <c r="H168" s="33"/>
      <c r="I168" s="62">
        <v>38260</v>
      </c>
      <c r="J168" s="64">
        <v>147.3535124427305</v>
      </c>
      <c r="K168" s="64">
        <v>49.92</v>
      </c>
      <c r="L168" s="66">
        <v>51.36</v>
      </c>
      <c r="M168" s="64">
        <v>46.073512442730497</v>
      </c>
      <c r="N168" s="34"/>
      <c r="O168" s="35"/>
    </row>
    <row r="169" spans="1:15" s="36" customFormat="1" ht="12" x14ac:dyDescent="0.2">
      <c r="A169" s="33"/>
      <c r="B169" s="63">
        <v>37894</v>
      </c>
      <c r="C169" s="65">
        <v>191.29</v>
      </c>
      <c r="D169" s="65">
        <v>2.9</v>
      </c>
      <c r="E169" s="67">
        <v>35.6</v>
      </c>
      <c r="F169" s="65">
        <v>152.79</v>
      </c>
      <c r="G169" s="34"/>
      <c r="H169" s="33"/>
      <c r="I169" s="63">
        <v>38291</v>
      </c>
      <c r="J169" s="65">
        <v>197.37605929647751</v>
      </c>
      <c r="K169" s="65">
        <v>70.930000000000007</v>
      </c>
      <c r="L169" s="67">
        <v>50.9</v>
      </c>
      <c r="M169" s="65">
        <v>75.546059296477495</v>
      </c>
      <c r="N169" s="34"/>
      <c r="O169" s="35"/>
    </row>
    <row r="170" spans="1:15" s="36" customFormat="1" ht="12" x14ac:dyDescent="0.2">
      <c r="A170" s="33"/>
      <c r="B170" s="62">
        <v>37925</v>
      </c>
      <c r="C170" s="64">
        <v>171.28999999999959</v>
      </c>
      <c r="D170" s="64">
        <v>57.34</v>
      </c>
      <c r="E170" s="66">
        <v>33.200000000000003</v>
      </c>
      <c r="F170" s="64">
        <v>80.749999999999602</v>
      </c>
      <c r="G170" s="34"/>
      <c r="H170" s="33"/>
      <c r="I170" s="62">
        <v>38321</v>
      </c>
      <c r="J170" s="64">
        <v>664.17670054478845</v>
      </c>
      <c r="K170" s="64">
        <v>98.95</v>
      </c>
      <c r="L170" s="66">
        <v>37.700000000000003</v>
      </c>
      <c r="M170" s="64">
        <v>527.52670054478835</v>
      </c>
      <c r="N170" s="34"/>
      <c r="O170" s="35"/>
    </row>
    <row r="171" spans="1:15" s="36" customFormat="1" ht="12" x14ac:dyDescent="0.2">
      <c r="A171" s="33"/>
      <c r="B171" s="63">
        <v>37955</v>
      </c>
      <c r="C171" s="65">
        <v>193.69000000000139</v>
      </c>
      <c r="D171" s="65">
        <v>48.69</v>
      </c>
      <c r="E171" s="67">
        <v>36</v>
      </c>
      <c r="F171" s="65">
        <v>109.00000000000141</v>
      </c>
      <c r="G171" s="34"/>
      <c r="H171" s="33"/>
      <c r="I171" s="63">
        <v>38352</v>
      </c>
      <c r="J171" s="65">
        <v>267.174530296623</v>
      </c>
      <c r="K171" s="65">
        <v>110.76</v>
      </c>
      <c r="L171" s="67">
        <v>64.8</v>
      </c>
      <c r="M171" s="65">
        <v>91.614530296623002</v>
      </c>
      <c r="N171" s="34"/>
      <c r="O171" s="35"/>
    </row>
    <row r="172" spans="1:15" s="36" customFormat="1" ht="12" x14ac:dyDescent="0.2">
      <c r="A172" s="33"/>
      <c r="B172" s="62">
        <v>37986</v>
      </c>
      <c r="C172" s="64">
        <v>-171.10000000000119</v>
      </c>
      <c r="D172" s="64">
        <v>57.2</v>
      </c>
      <c r="E172" s="66">
        <v>63.5</v>
      </c>
      <c r="F172" s="64">
        <v>-291.80000000000121</v>
      </c>
      <c r="G172" s="34"/>
      <c r="H172" s="33"/>
      <c r="I172" s="62">
        <v>38383</v>
      </c>
      <c r="J172" s="64">
        <v>182.182081797861</v>
      </c>
      <c r="K172" s="64">
        <v>64.94</v>
      </c>
      <c r="L172" s="66">
        <v>41</v>
      </c>
      <c r="M172" s="64">
        <v>76.242081797861005</v>
      </c>
      <c r="N172" s="34"/>
      <c r="O172" s="35"/>
    </row>
    <row r="173" spans="1:15" s="36" customFormat="1" ht="12" x14ac:dyDescent="0.2">
      <c r="A173" s="33"/>
      <c r="B173" s="63">
        <v>38017</v>
      </c>
      <c r="C173" s="65">
        <v>124.6900000000002</v>
      </c>
      <c r="D173" s="65">
        <v>-0.23</v>
      </c>
      <c r="E173" s="67">
        <v>40.799999999999997</v>
      </c>
      <c r="F173" s="65">
        <v>84.120000000000203</v>
      </c>
      <c r="G173" s="34"/>
      <c r="H173" s="33"/>
      <c r="I173" s="63">
        <v>38411</v>
      </c>
      <c r="J173" s="65">
        <v>133.16377695886001</v>
      </c>
      <c r="K173" s="65">
        <v>43.57</v>
      </c>
      <c r="L173" s="67">
        <v>38.700000000000003</v>
      </c>
      <c r="M173" s="65">
        <v>50.893776958860002</v>
      </c>
      <c r="N173" s="34"/>
      <c r="O173" s="35"/>
    </row>
    <row r="174" spans="1:15" s="36" customFormat="1" ht="12" x14ac:dyDescent="0.2">
      <c r="A174" s="33"/>
      <c r="B174" s="62">
        <v>38046</v>
      </c>
      <c r="C174" s="64">
        <v>109.2</v>
      </c>
      <c r="D174" s="64">
        <v>-78.72</v>
      </c>
      <c r="E174" s="66">
        <v>42.4</v>
      </c>
      <c r="F174" s="64">
        <v>145.52000000000001</v>
      </c>
      <c r="G174" s="34"/>
      <c r="H174" s="33"/>
      <c r="I174" s="62">
        <v>38442</v>
      </c>
      <c r="J174" s="64">
        <v>178.472784389537</v>
      </c>
      <c r="K174" s="64">
        <v>57.33</v>
      </c>
      <c r="L174" s="66">
        <v>54.2</v>
      </c>
      <c r="M174" s="64">
        <v>66.942784389536996</v>
      </c>
      <c r="N174" s="34"/>
      <c r="O174" s="35"/>
    </row>
    <row r="175" spans="1:15" s="36" customFormat="1" ht="12" x14ac:dyDescent="0.2">
      <c r="A175" s="33"/>
      <c r="B175" s="63">
        <v>38077</v>
      </c>
      <c r="C175" s="65">
        <v>131.82</v>
      </c>
      <c r="D175" s="65">
        <v>-5.4</v>
      </c>
      <c r="E175" s="67">
        <v>57.47</v>
      </c>
      <c r="F175" s="65">
        <v>79.75</v>
      </c>
      <c r="G175" s="34"/>
      <c r="H175" s="33"/>
      <c r="I175" s="63">
        <v>38472</v>
      </c>
      <c r="J175" s="65">
        <v>241.39068446807201</v>
      </c>
      <c r="K175" s="65">
        <v>45.91</v>
      </c>
      <c r="L175" s="67">
        <v>40.799999999999997</v>
      </c>
      <c r="M175" s="65">
        <v>154.680684468072</v>
      </c>
      <c r="N175" s="34"/>
      <c r="O175" s="35"/>
    </row>
    <row r="176" spans="1:15" s="36" customFormat="1" ht="12" x14ac:dyDescent="0.2">
      <c r="A176" s="33"/>
      <c r="B176" s="62">
        <v>38107</v>
      </c>
      <c r="C176" s="64">
        <v>91.95</v>
      </c>
      <c r="D176" s="64">
        <v>-22.55</v>
      </c>
      <c r="E176" s="66">
        <v>55.5</v>
      </c>
      <c r="F176" s="64">
        <v>59</v>
      </c>
      <c r="G176" s="34"/>
      <c r="H176" s="33"/>
      <c r="I176" s="62">
        <v>38503</v>
      </c>
      <c r="J176" s="64">
        <v>251.67643327493451</v>
      </c>
      <c r="K176" s="64">
        <v>89.88</v>
      </c>
      <c r="L176" s="66">
        <v>48.9</v>
      </c>
      <c r="M176" s="64">
        <v>112.89643327493449</v>
      </c>
      <c r="N176" s="34"/>
      <c r="O176" s="35"/>
    </row>
    <row r="177" spans="1:15" s="36" customFormat="1" ht="12" x14ac:dyDescent="0.2">
      <c r="A177" s="33"/>
      <c r="B177" s="63">
        <v>38138</v>
      </c>
      <c r="C177" s="65">
        <v>95.429999999998998</v>
      </c>
      <c r="D177" s="65">
        <v>21.04</v>
      </c>
      <c r="E177" s="67">
        <v>62.93</v>
      </c>
      <c r="F177" s="65">
        <v>11.459999999999001</v>
      </c>
      <c r="G177" s="34"/>
      <c r="H177" s="33"/>
      <c r="I177" s="63">
        <v>38533</v>
      </c>
      <c r="J177" s="65">
        <v>225.01540506252601</v>
      </c>
      <c r="K177" s="65">
        <v>96.78</v>
      </c>
      <c r="L177" s="67">
        <v>62</v>
      </c>
      <c r="M177" s="65">
        <v>66.235405062525999</v>
      </c>
      <c r="N177" s="34"/>
      <c r="O177" s="35"/>
    </row>
    <row r="178" spans="1:15" s="36" customFormat="1" ht="12" x14ac:dyDescent="0.2">
      <c r="A178" s="33"/>
      <c r="B178" s="62">
        <v>38168</v>
      </c>
      <c r="C178" s="64">
        <v>120.790000000001</v>
      </c>
      <c r="D178" s="64">
        <v>18.43</v>
      </c>
      <c r="E178" s="66">
        <v>79.73</v>
      </c>
      <c r="F178" s="64">
        <v>22.630000000001001</v>
      </c>
      <c r="G178" s="34"/>
      <c r="H178" s="33"/>
      <c r="I178" s="62">
        <v>38564</v>
      </c>
      <c r="J178" s="64">
        <v>204.5718652100505</v>
      </c>
      <c r="K178" s="64">
        <v>105.45</v>
      </c>
      <c r="L178" s="66">
        <v>45.4</v>
      </c>
      <c r="M178" s="64">
        <v>53.721865210050503</v>
      </c>
      <c r="N178" s="34"/>
      <c r="O178" s="35"/>
    </row>
    <row r="179" spans="1:15" s="36" customFormat="1" ht="12" x14ac:dyDescent="0.2">
      <c r="A179" s="33"/>
      <c r="B179" s="63">
        <v>38199</v>
      </c>
      <c r="C179" s="65">
        <v>123.430000000001</v>
      </c>
      <c r="D179" s="65">
        <v>20.329999999999998</v>
      </c>
      <c r="E179" s="67">
        <v>45.2</v>
      </c>
      <c r="F179" s="65">
        <v>57.900000000001</v>
      </c>
      <c r="G179" s="34"/>
      <c r="H179" s="33"/>
      <c r="I179" s="63">
        <v>38595</v>
      </c>
      <c r="J179" s="65">
        <v>302.08212245716499</v>
      </c>
      <c r="K179" s="65">
        <v>105.93</v>
      </c>
      <c r="L179" s="67">
        <v>49</v>
      </c>
      <c r="M179" s="65">
        <v>147.15212245716501</v>
      </c>
      <c r="N179" s="34"/>
      <c r="O179" s="35"/>
    </row>
    <row r="180" spans="1:15" s="36" customFormat="1" ht="12" x14ac:dyDescent="0.2">
      <c r="A180" s="33"/>
      <c r="B180" s="62">
        <v>38230</v>
      </c>
      <c r="C180" s="64">
        <v>131.86999999999949</v>
      </c>
      <c r="D180" s="64">
        <v>44.9</v>
      </c>
      <c r="E180" s="66">
        <v>51.55</v>
      </c>
      <c r="F180" s="64">
        <v>35.419999999999497</v>
      </c>
      <c r="G180" s="34"/>
      <c r="H180" s="33"/>
      <c r="I180" s="62">
        <v>38625</v>
      </c>
      <c r="J180" s="64">
        <v>120.138859998805</v>
      </c>
      <c r="K180" s="64">
        <v>75.7</v>
      </c>
      <c r="L180" s="66">
        <v>52.5</v>
      </c>
      <c r="M180" s="64">
        <v>-8.0611400011949996</v>
      </c>
      <c r="N180" s="34"/>
      <c r="O180" s="35"/>
    </row>
    <row r="181" spans="1:15" s="36" customFormat="1" ht="12" x14ac:dyDescent="0.2">
      <c r="A181" s="33"/>
      <c r="B181" s="63">
        <v>38260</v>
      </c>
      <c r="C181" s="65">
        <v>183.68999999999949</v>
      </c>
      <c r="D181" s="65">
        <v>49.92</v>
      </c>
      <c r="E181" s="67">
        <v>51.36</v>
      </c>
      <c r="F181" s="65">
        <v>82.409999999999499</v>
      </c>
      <c r="G181" s="34"/>
      <c r="H181" s="33"/>
      <c r="I181" s="63">
        <v>38656</v>
      </c>
      <c r="J181" s="65">
        <v>133.997140846561</v>
      </c>
      <c r="K181" s="65">
        <v>120.16</v>
      </c>
      <c r="L181" s="67">
        <v>51.6</v>
      </c>
      <c r="M181" s="65">
        <v>-37.762859153439003</v>
      </c>
      <c r="N181" s="34"/>
      <c r="O181" s="35"/>
    </row>
    <row r="182" spans="1:15" s="36" customFormat="1" ht="12" x14ac:dyDescent="0.2">
      <c r="A182" s="33"/>
      <c r="B182" s="62">
        <v>38291</v>
      </c>
      <c r="C182" s="64">
        <v>279.05</v>
      </c>
      <c r="D182" s="64">
        <v>70.930000000000007</v>
      </c>
      <c r="E182" s="66">
        <v>50.9</v>
      </c>
      <c r="F182" s="64">
        <v>157.22</v>
      </c>
      <c r="G182" s="34"/>
      <c r="H182" s="33"/>
      <c r="I182" s="62">
        <v>38686</v>
      </c>
      <c r="J182" s="64">
        <v>143.18383788400399</v>
      </c>
      <c r="K182" s="64">
        <v>105.31</v>
      </c>
      <c r="L182" s="66">
        <v>47.2</v>
      </c>
      <c r="M182" s="64">
        <v>-9.3261621159960004</v>
      </c>
      <c r="N182" s="34"/>
      <c r="O182" s="35"/>
    </row>
    <row r="183" spans="1:15" s="36" customFormat="1" ht="12" x14ac:dyDescent="0.2">
      <c r="A183" s="33"/>
      <c r="B183" s="63">
        <v>38321</v>
      </c>
      <c r="C183" s="65">
        <v>314.39000000000101</v>
      </c>
      <c r="D183" s="65">
        <v>98.95</v>
      </c>
      <c r="E183" s="67">
        <v>37.700000000000003</v>
      </c>
      <c r="F183" s="65">
        <v>177.740000000001</v>
      </c>
      <c r="G183" s="34"/>
      <c r="H183" s="33"/>
      <c r="I183" s="63">
        <v>38717</v>
      </c>
      <c r="J183" s="65">
        <v>347.40259999484101</v>
      </c>
      <c r="K183" s="65">
        <v>110.1</v>
      </c>
      <c r="L183" s="67">
        <v>72</v>
      </c>
      <c r="M183" s="65">
        <v>165.30259999484099</v>
      </c>
      <c r="N183" s="34"/>
      <c r="O183" s="35"/>
    </row>
    <row r="184" spans="1:15" s="36" customFormat="1" ht="12" x14ac:dyDescent="0.2">
      <c r="A184" s="33"/>
      <c r="B184" s="62">
        <v>38352</v>
      </c>
      <c r="C184" s="64">
        <v>360.49999999999898</v>
      </c>
      <c r="D184" s="64">
        <v>110.76</v>
      </c>
      <c r="E184" s="66">
        <v>64.8</v>
      </c>
      <c r="F184" s="64">
        <v>184.939999999999</v>
      </c>
      <c r="G184" s="34"/>
      <c r="H184" s="33"/>
      <c r="I184" s="62">
        <v>38748</v>
      </c>
      <c r="J184" s="64">
        <v>356.59494166721203</v>
      </c>
      <c r="K184" s="64">
        <v>94.92</v>
      </c>
      <c r="L184" s="66">
        <v>45.5</v>
      </c>
      <c r="M184" s="64">
        <v>216.17494166721201</v>
      </c>
      <c r="N184" s="34"/>
      <c r="O184" s="35"/>
    </row>
    <row r="185" spans="1:15" s="36" customFormat="1" ht="12" x14ac:dyDescent="0.2">
      <c r="A185" s="33"/>
      <c r="B185" s="63">
        <v>38383</v>
      </c>
      <c r="C185" s="65">
        <v>137.13999999999999</v>
      </c>
      <c r="D185" s="65">
        <v>64.94</v>
      </c>
      <c r="E185" s="67">
        <v>41</v>
      </c>
      <c r="F185" s="65">
        <v>31.2</v>
      </c>
      <c r="G185" s="34"/>
      <c r="H185" s="33"/>
      <c r="I185" s="63">
        <v>38776</v>
      </c>
      <c r="J185" s="65">
        <v>185.33931816179</v>
      </c>
      <c r="K185" s="65">
        <v>24.24</v>
      </c>
      <c r="L185" s="67">
        <v>40.4</v>
      </c>
      <c r="M185" s="65">
        <v>120.69931816179</v>
      </c>
      <c r="N185" s="34"/>
      <c r="O185" s="35"/>
    </row>
    <row r="186" spans="1:15" s="36" customFormat="1" ht="12" x14ac:dyDescent="0.2">
      <c r="A186" s="33"/>
      <c r="B186" s="62">
        <v>38411</v>
      </c>
      <c r="C186" s="64">
        <v>189.63999999999899</v>
      </c>
      <c r="D186" s="64">
        <v>43.57</v>
      </c>
      <c r="E186" s="66">
        <v>38.700000000000003</v>
      </c>
      <c r="F186" s="64">
        <v>107.369999999999</v>
      </c>
      <c r="G186" s="34"/>
      <c r="H186" s="33"/>
      <c r="I186" s="62">
        <v>38807</v>
      </c>
      <c r="J186" s="64">
        <v>160.24155986771601</v>
      </c>
      <c r="K186" s="64">
        <v>111.89</v>
      </c>
      <c r="L186" s="66">
        <v>56.6</v>
      </c>
      <c r="M186" s="64">
        <v>-8.2484401322839993</v>
      </c>
      <c r="N186" s="34"/>
      <c r="O186" s="35"/>
    </row>
    <row r="187" spans="1:15" s="36" customFormat="1" ht="12" x14ac:dyDescent="0.2">
      <c r="A187" s="33"/>
      <c r="B187" s="63">
        <v>38442</v>
      </c>
      <c r="C187" s="65">
        <v>165.34000000000151</v>
      </c>
      <c r="D187" s="65">
        <v>57.33</v>
      </c>
      <c r="E187" s="67">
        <v>54.2</v>
      </c>
      <c r="F187" s="65">
        <v>53.810000000001502</v>
      </c>
      <c r="G187" s="34"/>
      <c r="H187" s="33"/>
      <c r="I187" s="63">
        <v>38837</v>
      </c>
      <c r="J187" s="65">
        <v>161.78430493077599</v>
      </c>
      <c r="K187" s="65">
        <v>104.57</v>
      </c>
      <c r="L187" s="67">
        <v>42.3</v>
      </c>
      <c r="M187" s="65">
        <v>14.914304930776</v>
      </c>
      <c r="N187" s="34"/>
      <c r="O187" s="35"/>
    </row>
    <row r="188" spans="1:15" s="36" customFormat="1" ht="12" x14ac:dyDescent="0.2">
      <c r="A188" s="33"/>
      <c r="B188" s="62">
        <v>38472</v>
      </c>
      <c r="C188" s="64">
        <v>116.2999999999995</v>
      </c>
      <c r="D188" s="64">
        <v>45.91</v>
      </c>
      <c r="E188" s="66">
        <v>40.799999999999997</v>
      </c>
      <c r="F188" s="64">
        <v>29.589999999999499</v>
      </c>
      <c r="G188" s="34"/>
      <c r="H188" s="33"/>
      <c r="I188" s="62">
        <v>38868</v>
      </c>
      <c r="J188" s="64">
        <v>151.63804255443799</v>
      </c>
      <c r="K188" s="64">
        <v>130.04</v>
      </c>
      <c r="L188" s="66">
        <v>45.1</v>
      </c>
      <c r="M188" s="64">
        <v>-23.501957445561999</v>
      </c>
      <c r="N188" s="34"/>
      <c r="O188" s="35"/>
    </row>
    <row r="189" spans="1:15" s="36" customFormat="1" ht="12" x14ac:dyDescent="0.2">
      <c r="A189" s="33"/>
      <c r="B189" s="63">
        <v>38503</v>
      </c>
      <c r="C189" s="65">
        <v>202.38</v>
      </c>
      <c r="D189" s="65">
        <v>89.88</v>
      </c>
      <c r="E189" s="67">
        <v>48.9</v>
      </c>
      <c r="F189" s="65">
        <v>63.6</v>
      </c>
      <c r="G189" s="34"/>
      <c r="H189" s="33"/>
      <c r="I189" s="63">
        <v>38898</v>
      </c>
      <c r="J189" s="65">
        <v>517.269673765324</v>
      </c>
      <c r="K189" s="65">
        <v>145.03</v>
      </c>
      <c r="L189" s="67">
        <v>54.4</v>
      </c>
      <c r="M189" s="65">
        <v>317.83967376532399</v>
      </c>
      <c r="N189" s="34"/>
      <c r="O189" s="35"/>
    </row>
    <row r="190" spans="1:15" s="36" customFormat="1" ht="12" x14ac:dyDescent="0.2">
      <c r="A190" s="33"/>
      <c r="B190" s="62">
        <v>38533</v>
      </c>
      <c r="C190" s="64">
        <v>199.6100000000005</v>
      </c>
      <c r="D190" s="64">
        <v>96.78</v>
      </c>
      <c r="E190" s="66">
        <v>62</v>
      </c>
      <c r="F190" s="64">
        <v>40.830000000000503</v>
      </c>
      <c r="G190" s="34"/>
      <c r="H190" s="33"/>
      <c r="I190" s="62">
        <v>38929</v>
      </c>
      <c r="J190" s="64">
        <v>277.53522734856898</v>
      </c>
      <c r="K190" s="64">
        <v>146.22999999999999</v>
      </c>
      <c r="L190" s="66">
        <v>50</v>
      </c>
      <c r="M190" s="64">
        <v>81.305227348569005</v>
      </c>
      <c r="N190" s="34"/>
      <c r="O190" s="35"/>
    </row>
    <row r="191" spans="1:15" s="36" customFormat="1" ht="12" x14ac:dyDescent="0.2">
      <c r="A191" s="33"/>
      <c r="B191" s="63">
        <v>38564</v>
      </c>
      <c r="C191" s="65">
        <v>217.59999999999951</v>
      </c>
      <c r="D191" s="65">
        <v>105.45</v>
      </c>
      <c r="E191" s="67">
        <v>45.4</v>
      </c>
      <c r="F191" s="65">
        <v>66.749999999999503</v>
      </c>
      <c r="G191" s="34"/>
      <c r="H191" s="33"/>
      <c r="I191" s="63">
        <v>38960</v>
      </c>
      <c r="J191" s="65">
        <v>180.234852802256</v>
      </c>
      <c r="K191" s="65">
        <v>187.96</v>
      </c>
      <c r="L191" s="67">
        <v>44.9</v>
      </c>
      <c r="M191" s="65">
        <v>-52.625147197743999</v>
      </c>
      <c r="N191" s="34"/>
      <c r="O191" s="35"/>
    </row>
    <row r="192" spans="1:15" s="36" customFormat="1" ht="12" x14ac:dyDescent="0.2">
      <c r="A192" s="33"/>
      <c r="B192" s="62">
        <v>38595</v>
      </c>
      <c r="C192" s="64">
        <v>204.76</v>
      </c>
      <c r="D192" s="64">
        <v>105.93</v>
      </c>
      <c r="E192" s="66">
        <v>49</v>
      </c>
      <c r="F192" s="64">
        <v>49.83</v>
      </c>
      <c r="G192" s="34"/>
      <c r="H192" s="33"/>
      <c r="I192" s="62">
        <v>38990</v>
      </c>
      <c r="J192" s="64">
        <v>489.29334909010299</v>
      </c>
      <c r="K192" s="64">
        <v>153</v>
      </c>
      <c r="L192" s="66">
        <v>54</v>
      </c>
      <c r="M192" s="64">
        <v>282.29334909010299</v>
      </c>
      <c r="N192" s="34"/>
      <c r="O192" s="35"/>
    </row>
    <row r="193" spans="1:15" s="36" customFormat="1" ht="12" x14ac:dyDescent="0.2">
      <c r="A193" s="33"/>
      <c r="B193" s="63">
        <v>38625</v>
      </c>
      <c r="C193" s="65">
        <v>157.95000000000101</v>
      </c>
      <c r="D193" s="65">
        <v>75.7</v>
      </c>
      <c r="E193" s="67">
        <v>52.5</v>
      </c>
      <c r="F193" s="65">
        <v>29.750000000000998</v>
      </c>
      <c r="G193" s="34"/>
      <c r="H193" s="33"/>
      <c r="I193" s="63">
        <v>39021</v>
      </c>
      <c r="J193" s="65">
        <v>236.08722327292</v>
      </c>
      <c r="K193" s="65">
        <v>238.29</v>
      </c>
      <c r="L193" s="67">
        <v>59.9</v>
      </c>
      <c r="M193" s="65">
        <v>-62.102776727079998</v>
      </c>
      <c r="N193" s="34"/>
      <c r="O193" s="35"/>
    </row>
    <row r="194" spans="1:15" s="36" customFormat="1" ht="12" x14ac:dyDescent="0.2">
      <c r="A194" s="33"/>
      <c r="B194" s="62">
        <v>38656</v>
      </c>
      <c r="C194" s="64">
        <v>158.979999999999</v>
      </c>
      <c r="D194" s="64">
        <v>120.16</v>
      </c>
      <c r="E194" s="66">
        <v>51.6</v>
      </c>
      <c r="F194" s="64">
        <v>-12.780000000000999</v>
      </c>
      <c r="G194" s="34"/>
      <c r="H194" s="33"/>
      <c r="I194" s="62">
        <v>39051</v>
      </c>
      <c r="J194" s="64">
        <v>487.34228751613398</v>
      </c>
      <c r="K194" s="64">
        <v>229.28</v>
      </c>
      <c r="L194" s="66">
        <v>56.9</v>
      </c>
      <c r="M194" s="64">
        <v>201.162287516134</v>
      </c>
      <c r="N194" s="34"/>
      <c r="O194" s="35"/>
    </row>
    <row r="195" spans="1:15" s="36" customFormat="1" ht="12" x14ac:dyDescent="0.2">
      <c r="A195" s="33"/>
      <c r="B195" s="63">
        <v>38686</v>
      </c>
      <c r="C195" s="65">
        <v>93.210000000000505</v>
      </c>
      <c r="D195" s="65">
        <v>105.31</v>
      </c>
      <c r="E195" s="67">
        <v>47.2</v>
      </c>
      <c r="F195" s="65">
        <v>-59.2999999999995</v>
      </c>
      <c r="G195" s="34"/>
      <c r="H195" s="33"/>
      <c r="I195" s="63">
        <v>39082</v>
      </c>
      <c r="J195" s="65">
        <v>630.12184876349397</v>
      </c>
      <c r="K195" s="65">
        <v>209.97</v>
      </c>
      <c r="L195" s="67">
        <v>87.6</v>
      </c>
      <c r="M195" s="65">
        <v>332.55184876349398</v>
      </c>
      <c r="N195" s="34"/>
      <c r="O195" s="35"/>
    </row>
    <row r="196" spans="1:15" s="36" customFormat="1" ht="12" x14ac:dyDescent="0.2">
      <c r="A196" s="33"/>
      <c r="B196" s="62">
        <v>38717</v>
      </c>
      <c r="C196" s="64">
        <v>246.4899999999995</v>
      </c>
      <c r="D196" s="64">
        <v>110.1</v>
      </c>
      <c r="E196" s="66">
        <v>72</v>
      </c>
      <c r="F196" s="64">
        <v>64.389999999999503</v>
      </c>
      <c r="G196" s="34"/>
      <c r="H196" s="33"/>
      <c r="I196" s="62">
        <v>39113</v>
      </c>
      <c r="J196" s="64">
        <v>457.24281370446897</v>
      </c>
      <c r="K196" s="64">
        <v>158.68</v>
      </c>
      <c r="L196" s="66">
        <v>51.8</v>
      </c>
      <c r="M196" s="64">
        <v>246.76281370446901</v>
      </c>
      <c r="N196" s="34"/>
      <c r="O196" s="35"/>
    </row>
    <row r="197" spans="1:15" s="36" customFormat="1" ht="12" x14ac:dyDescent="0.2">
      <c r="A197" s="33"/>
      <c r="B197" s="63">
        <v>38748</v>
      </c>
      <c r="C197" s="65">
        <v>263.08</v>
      </c>
      <c r="D197" s="65">
        <v>94.92</v>
      </c>
      <c r="E197" s="67">
        <v>45.5</v>
      </c>
      <c r="F197" s="65">
        <v>122.66</v>
      </c>
      <c r="G197" s="34"/>
      <c r="H197" s="33"/>
      <c r="I197" s="63">
        <v>39141</v>
      </c>
      <c r="J197" s="65">
        <v>461.69445531635898</v>
      </c>
      <c r="K197" s="65">
        <v>237.91</v>
      </c>
      <c r="L197" s="67">
        <v>45.3</v>
      </c>
      <c r="M197" s="65">
        <v>178.484455316359</v>
      </c>
      <c r="N197" s="34"/>
      <c r="O197" s="35"/>
    </row>
    <row r="198" spans="1:15" s="36" customFormat="1" ht="12" x14ac:dyDescent="0.2">
      <c r="A198" s="33"/>
      <c r="B198" s="62">
        <v>38776</v>
      </c>
      <c r="C198" s="64">
        <v>84.92</v>
      </c>
      <c r="D198" s="64">
        <v>24.24</v>
      </c>
      <c r="E198" s="66">
        <v>40.4</v>
      </c>
      <c r="F198" s="64">
        <v>20.28</v>
      </c>
      <c r="G198" s="34"/>
      <c r="H198" s="33"/>
      <c r="I198" s="62">
        <v>39172</v>
      </c>
      <c r="J198" s="64">
        <v>352.582940608672</v>
      </c>
      <c r="K198" s="64">
        <v>68.900000000000006</v>
      </c>
      <c r="L198" s="66">
        <v>61.8</v>
      </c>
      <c r="M198" s="64">
        <v>221.88294060867199</v>
      </c>
      <c r="N198" s="34"/>
      <c r="O198" s="35"/>
    </row>
    <row r="199" spans="1:15" s="36" customFormat="1" ht="12" x14ac:dyDescent="0.2">
      <c r="A199" s="33"/>
      <c r="B199" s="63">
        <v>38807</v>
      </c>
      <c r="C199" s="65">
        <v>213.979999999999</v>
      </c>
      <c r="D199" s="65">
        <v>111.89</v>
      </c>
      <c r="E199" s="67">
        <v>56.6</v>
      </c>
      <c r="F199" s="65">
        <v>45.489999999999</v>
      </c>
      <c r="G199" s="34"/>
      <c r="H199" s="33"/>
      <c r="I199" s="63">
        <v>39202</v>
      </c>
      <c r="J199" s="65">
        <v>323.607851052125</v>
      </c>
      <c r="K199" s="65">
        <v>167.34</v>
      </c>
      <c r="L199" s="67">
        <v>44.7</v>
      </c>
      <c r="M199" s="65">
        <v>111.56785105212499</v>
      </c>
      <c r="N199" s="34"/>
      <c r="O199" s="35"/>
    </row>
    <row r="200" spans="1:15" s="36" customFormat="1" ht="12" x14ac:dyDescent="0.2">
      <c r="A200" s="33"/>
      <c r="B200" s="62">
        <v>38837</v>
      </c>
      <c r="C200" s="64">
        <v>199.70000000000101</v>
      </c>
      <c r="D200" s="64">
        <v>104.57</v>
      </c>
      <c r="E200" s="66">
        <v>42.3</v>
      </c>
      <c r="F200" s="64">
        <v>52.830000000001</v>
      </c>
      <c r="G200" s="34"/>
      <c r="H200" s="33"/>
      <c r="I200" s="62">
        <v>39233</v>
      </c>
      <c r="J200" s="64">
        <v>407.03527654331202</v>
      </c>
      <c r="K200" s="64">
        <v>224.3</v>
      </c>
      <c r="L200" s="66">
        <v>49</v>
      </c>
      <c r="M200" s="64">
        <v>133.73527654331201</v>
      </c>
      <c r="N200" s="34"/>
      <c r="O200" s="35"/>
    </row>
    <row r="201" spans="1:15" s="36" customFormat="1" ht="12" x14ac:dyDescent="0.2">
      <c r="A201" s="33"/>
      <c r="B201" s="63">
        <v>38868</v>
      </c>
      <c r="C201" s="65">
        <v>299.79999999999899</v>
      </c>
      <c r="D201" s="65">
        <v>130.04</v>
      </c>
      <c r="E201" s="67">
        <v>45.1</v>
      </c>
      <c r="F201" s="65">
        <v>124.659999999999</v>
      </c>
      <c r="G201" s="34"/>
      <c r="H201" s="33"/>
      <c r="I201" s="63">
        <v>39263</v>
      </c>
      <c r="J201" s="65">
        <v>340.64091899057098</v>
      </c>
      <c r="K201" s="65">
        <v>269.25</v>
      </c>
      <c r="L201" s="67">
        <v>66.3</v>
      </c>
      <c r="M201" s="65">
        <v>5.0909189905709997</v>
      </c>
      <c r="N201" s="34"/>
      <c r="O201" s="35"/>
    </row>
    <row r="202" spans="1:15" s="36" customFormat="1" ht="12" x14ac:dyDescent="0.2">
      <c r="A202" s="33"/>
      <c r="B202" s="62">
        <v>38898</v>
      </c>
      <c r="C202" s="64">
        <v>160.95000000000201</v>
      </c>
      <c r="D202" s="64">
        <v>145.03</v>
      </c>
      <c r="E202" s="66">
        <v>54.4</v>
      </c>
      <c r="F202" s="64">
        <v>-38.479999999998</v>
      </c>
      <c r="G202" s="34"/>
      <c r="H202" s="33"/>
      <c r="I202" s="62">
        <v>39294</v>
      </c>
      <c r="J202" s="64">
        <v>600.218725439693</v>
      </c>
      <c r="K202" s="64">
        <v>244.83</v>
      </c>
      <c r="L202" s="66">
        <v>50.4</v>
      </c>
      <c r="M202" s="64">
        <v>304.98872543969298</v>
      </c>
      <c r="N202" s="34"/>
      <c r="O202" s="35"/>
    </row>
    <row r="203" spans="1:15" s="36" customFormat="1" ht="12" x14ac:dyDescent="0.2">
      <c r="A203" s="33"/>
      <c r="B203" s="63">
        <v>38929</v>
      </c>
      <c r="C203" s="65">
        <v>134.349999999999</v>
      </c>
      <c r="D203" s="65">
        <v>146.22999999999999</v>
      </c>
      <c r="E203" s="67">
        <v>50</v>
      </c>
      <c r="F203" s="65">
        <v>-61.880000000000997</v>
      </c>
      <c r="G203" s="34"/>
      <c r="H203" s="33"/>
      <c r="I203" s="63">
        <v>39325</v>
      </c>
      <c r="J203" s="65">
        <v>292.75298849068298</v>
      </c>
      <c r="K203" s="65">
        <v>252</v>
      </c>
      <c r="L203" s="67">
        <v>50.2</v>
      </c>
      <c r="M203" s="65">
        <v>-9.4470115093170008</v>
      </c>
      <c r="N203" s="34"/>
      <c r="O203" s="35"/>
    </row>
    <row r="204" spans="1:15" s="36" customFormat="1" ht="12" x14ac:dyDescent="0.2">
      <c r="A204" s="33"/>
      <c r="B204" s="62">
        <v>38960</v>
      </c>
      <c r="C204" s="64">
        <v>174.89</v>
      </c>
      <c r="D204" s="64">
        <v>187.96</v>
      </c>
      <c r="E204" s="66">
        <v>44.9</v>
      </c>
      <c r="F204" s="64">
        <v>-57.97</v>
      </c>
      <c r="G204" s="34"/>
      <c r="H204" s="33"/>
      <c r="I204" s="62">
        <v>39355</v>
      </c>
      <c r="J204" s="64">
        <v>820.33415747343304</v>
      </c>
      <c r="K204" s="64">
        <v>240.88</v>
      </c>
      <c r="L204" s="66">
        <v>52.7</v>
      </c>
      <c r="M204" s="64">
        <v>526.754157473433</v>
      </c>
      <c r="N204" s="34"/>
      <c r="O204" s="35"/>
    </row>
    <row r="205" spans="1:15" s="36" customFormat="1" ht="12" x14ac:dyDescent="0.2">
      <c r="A205" s="33"/>
      <c r="B205" s="63">
        <v>38990</v>
      </c>
      <c r="C205" s="65">
        <v>158.88999999999999</v>
      </c>
      <c r="D205" s="65">
        <v>153</v>
      </c>
      <c r="E205" s="67">
        <v>54</v>
      </c>
      <c r="F205" s="65">
        <v>-48.11</v>
      </c>
      <c r="G205" s="34"/>
      <c r="H205" s="33"/>
      <c r="I205" s="63">
        <v>39386</v>
      </c>
      <c r="J205" s="65">
        <v>245.872200127724</v>
      </c>
      <c r="K205" s="65">
        <v>271.98</v>
      </c>
      <c r="L205" s="67">
        <v>67.8</v>
      </c>
      <c r="M205" s="65">
        <v>-93.907799872276001</v>
      </c>
      <c r="N205" s="34"/>
      <c r="O205" s="35"/>
    </row>
    <row r="206" spans="1:15" s="36" customFormat="1" ht="12" x14ac:dyDescent="0.2">
      <c r="A206" s="33"/>
      <c r="B206" s="62">
        <v>39021</v>
      </c>
      <c r="C206" s="64">
        <v>216.98</v>
      </c>
      <c r="D206" s="64">
        <v>238.29</v>
      </c>
      <c r="E206" s="66">
        <v>59.9</v>
      </c>
      <c r="F206" s="64">
        <v>-81.209999999999994</v>
      </c>
      <c r="G206" s="34"/>
      <c r="H206" s="33"/>
      <c r="I206" s="62">
        <v>39416</v>
      </c>
      <c r="J206" s="64">
        <v>650.89174333822405</v>
      </c>
      <c r="K206" s="64">
        <v>263.89</v>
      </c>
      <c r="L206" s="66">
        <v>76.8</v>
      </c>
      <c r="M206" s="64">
        <v>310.20174333822399</v>
      </c>
      <c r="N206" s="34"/>
      <c r="O206" s="35"/>
    </row>
    <row r="207" spans="1:15" s="36" customFormat="1" ht="12" x14ac:dyDescent="0.2">
      <c r="A207" s="33"/>
      <c r="B207" s="63">
        <v>39051</v>
      </c>
      <c r="C207" s="65">
        <v>291.25</v>
      </c>
      <c r="D207" s="65">
        <v>229.28</v>
      </c>
      <c r="E207" s="67">
        <v>56.9</v>
      </c>
      <c r="F207" s="65">
        <v>5.07</v>
      </c>
      <c r="G207" s="34"/>
      <c r="H207" s="33"/>
      <c r="I207" s="63">
        <v>39447</v>
      </c>
      <c r="J207" s="65">
        <v>-179.605189717634</v>
      </c>
      <c r="K207" s="65">
        <v>226.89</v>
      </c>
      <c r="L207" s="67">
        <v>63.4</v>
      </c>
      <c r="M207" s="65">
        <v>-469.89518971763403</v>
      </c>
      <c r="N207" s="34"/>
      <c r="O207" s="35"/>
    </row>
    <row r="208" spans="1:15" s="36" customFormat="1" ht="12" x14ac:dyDescent="0.2">
      <c r="A208" s="33"/>
      <c r="B208" s="62">
        <v>39082</v>
      </c>
      <c r="C208" s="64">
        <v>275.93</v>
      </c>
      <c r="D208" s="64">
        <v>209.97</v>
      </c>
      <c r="E208" s="66">
        <v>87.6</v>
      </c>
      <c r="F208" s="64">
        <v>-21.64</v>
      </c>
      <c r="G208" s="34"/>
      <c r="H208" s="33"/>
      <c r="I208" s="62">
        <v>39478</v>
      </c>
      <c r="J208" s="64">
        <v>1190.5041854976589</v>
      </c>
      <c r="K208" s="64">
        <v>194.75</v>
      </c>
      <c r="L208" s="66">
        <v>112</v>
      </c>
      <c r="M208" s="64">
        <v>883.75418549765902</v>
      </c>
      <c r="N208" s="34"/>
      <c r="O208" s="35"/>
    </row>
    <row r="209" spans="1:15" s="36" customFormat="1" ht="12" x14ac:dyDescent="0.2">
      <c r="A209" s="33"/>
      <c r="B209" s="63">
        <v>39113</v>
      </c>
      <c r="C209" s="65">
        <v>383.48</v>
      </c>
      <c r="D209" s="65">
        <v>158.68</v>
      </c>
      <c r="E209" s="67">
        <v>51.8</v>
      </c>
      <c r="F209" s="65">
        <v>173</v>
      </c>
      <c r="G209" s="34"/>
      <c r="H209" s="33"/>
      <c r="I209" s="63">
        <v>39507</v>
      </c>
      <c r="J209" s="65">
        <v>726.22059240686201</v>
      </c>
      <c r="K209" s="65">
        <v>82.15</v>
      </c>
      <c r="L209" s="67">
        <v>69.3</v>
      </c>
      <c r="M209" s="65">
        <v>574.77059240686197</v>
      </c>
      <c r="N209" s="34"/>
      <c r="O209" s="35"/>
    </row>
    <row r="210" spans="1:15" s="36" customFormat="1" ht="12" x14ac:dyDescent="0.2">
      <c r="A210" s="33"/>
      <c r="B210" s="62">
        <v>39141</v>
      </c>
      <c r="C210" s="64">
        <v>526.80000000000098</v>
      </c>
      <c r="D210" s="64">
        <v>237.91</v>
      </c>
      <c r="E210" s="66">
        <v>45.3</v>
      </c>
      <c r="F210" s="64">
        <v>243.590000000001</v>
      </c>
      <c r="G210" s="34"/>
      <c r="H210" s="33"/>
      <c r="I210" s="62">
        <v>39538</v>
      </c>
      <c r="J210" s="64">
        <v>798.22802717879699</v>
      </c>
      <c r="K210" s="64">
        <v>131.33000000000001</v>
      </c>
      <c r="L210" s="66">
        <v>92.9</v>
      </c>
      <c r="M210" s="64">
        <v>573.99802717879697</v>
      </c>
      <c r="N210" s="34"/>
      <c r="O210" s="35"/>
    </row>
    <row r="211" spans="1:15" s="36" customFormat="1" ht="12" x14ac:dyDescent="0.2">
      <c r="A211" s="33"/>
      <c r="B211" s="63">
        <v>39172</v>
      </c>
      <c r="C211" s="65">
        <v>446.58999999999901</v>
      </c>
      <c r="D211" s="65">
        <v>68.900000000000006</v>
      </c>
      <c r="E211" s="67">
        <v>61.8</v>
      </c>
      <c r="F211" s="65">
        <v>315.88999999999902</v>
      </c>
      <c r="G211" s="34"/>
      <c r="H211" s="33"/>
      <c r="I211" s="63">
        <v>39568</v>
      </c>
      <c r="J211" s="65">
        <v>964.52087329288599</v>
      </c>
      <c r="K211" s="65">
        <v>166.11</v>
      </c>
      <c r="L211" s="67">
        <v>76</v>
      </c>
      <c r="M211" s="65">
        <v>722.41087329288598</v>
      </c>
      <c r="N211" s="34"/>
      <c r="O211" s="35"/>
    </row>
    <row r="212" spans="1:15" s="36" customFormat="1" ht="12" x14ac:dyDescent="0.2">
      <c r="A212" s="33"/>
      <c r="B212" s="62">
        <v>39202</v>
      </c>
      <c r="C212" s="64">
        <v>445.35</v>
      </c>
      <c r="D212" s="64">
        <v>167.34</v>
      </c>
      <c r="E212" s="66">
        <v>44.7</v>
      </c>
      <c r="F212" s="64">
        <v>233.31</v>
      </c>
      <c r="G212" s="34"/>
      <c r="H212" s="33"/>
      <c r="I212" s="62">
        <v>39599</v>
      </c>
      <c r="J212" s="64">
        <v>610.54962519614605</v>
      </c>
      <c r="K212" s="64">
        <v>199.18</v>
      </c>
      <c r="L212" s="66">
        <v>77.599999999999994</v>
      </c>
      <c r="M212" s="64">
        <v>333.76962519614602</v>
      </c>
      <c r="N212" s="34"/>
      <c r="O212" s="35"/>
    </row>
    <row r="213" spans="1:15" s="36" customFormat="1" ht="12" x14ac:dyDescent="0.2">
      <c r="A213" s="33"/>
      <c r="B213" s="63">
        <v>39233</v>
      </c>
      <c r="C213" s="65">
        <v>461.05000000000098</v>
      </c>
      <c r="D213" s="65">
        <v>224.3</v>
      </c>
      <c r="E213" s="67">
        <v>49</v>
      </c>
      <c r="F213" s="65">
        <v>187.75000000000099</v>
      </c>
      <c r="G213" s="34"/>
      <c r="H213" s="33"/>
      <c r="I213" s="63">
        <v>39629</v>
      </c>
      <c r="J213" s="65">
        <v>551.21688311942205</v>
      </c>
      <c r="K213" s="65">
        <v>208.74</v>
      </c>
      <c r="L213" s="67">
        <v>96.1</v>
      </c>
      <c r="M213" s="65">
        <v>246.37688311942199</v>
      </c>
      <c r="N213" s="34"/>
      <c r="O213" s="35"/>
    </row>
    <row r="214" spans="1:15" s="36" customFormat="1" ht="12" x14ac:dyDescent="0.2">
      <c r="A214" s="33"/>
      <c r="B214" s="62">
        <v>39263</v>
      </c>
      <c r="C214" s="64">
        <v>399.53709999999899</v>
      </c>
      <c r="D214" s="64">
        <v>269.25</v>
      </c>
      <c r="E214" s="66">
        <v>66.3</v>
      </c>
      <c r="F214" s="64">
        <v>63.987099999999003</v>
      </c>
      <c r="G214" s="34"/>
      <c r="H214" s="33"/>
      <c r="I214" s="62">
        <v>39660</v>
      </c>
      <c r="J214" s="64">
        <v>682.00114601339203</v>
      </c>
      <c r="K214" s="64">
        <v>254.25</v>
      </c>
      <c r="L214" s="66">
        <v>83.4</v>
      </c>
      <c r="M214" s="64">
        <v>344.351146013392</v>
      </c>
      <c r="N214" s="34"/>
      <c r="O214" s="35"/>
    </row>
    <row r="215" spans="1:15" s="36" customFormat="1" ht="12" x14ac:dyDescent="0.2">
      <c r="A215" s="33"/>
      <c r="B215" s="63">
        <v>39294</v>
      </c>
      <c r="C215" s="65">
        <v>525.75099999999998</v>
      </c>
      <c r="D215" s="65">
        <v>244.83</v>
      </c>
      <c r="E215" s="67">
        <v>50.4</v>
      </c>
      <c r="F215" s="65">
        <v>230.52099999999999</v>
      </c>
      <c r="G215" s="34"/>
      <c r="H215" s="33"/>
      <c r="I215" s="63">
        <v>39691</v>
      </c>
      <c r="J215" s="65">
        <v>220.078057300734</v>
      </c>
      <c r="K215" s="65">
        <v>293.88</v>
      </c>
      <c r="L215" s="67">
        <v>70.099999999999994</v>
      </c>
      <c r="M215" s="65">
        <v>-143.90194269926599</v>
      </c>
      <c r="N215" s="34"/>
      <c r="O215" s="35"/>
    </row>
    <row r="216" spans="1:15" s="36" customFormat="1" ht="12" x14ac:dyDescent="0.2">
      <c r="A216" s="33"/>
      <c r="B216" s="62">
        <v>39325</v>
      </c>
      <c r="C216" s="64">
        <v>234.413800000001</v>
      </c>
      <c r="D216" s="64">
        <v>252</v>
      </c>
      <c r="E216" s="66">
        <v>50.2</v>
      </c>
      <c r="F216" s="64">
        <v>-67.786199999998999</v>
      </c>
      <c r="G216" s="34"/>
      <c r="H216" s="33"/>
      <c r="I216" s="62">
        <v>39721</v>
      </c>
      <c r="J216" s="64">
        <v>624.18510247980805</v>
      </c>
      <c r="K216" s="64">
        <v>299.67</v>
      </c>
      <c r="L216" s="66">
        <v>66.400000000000006</v>
      </c>
      <c r="M216" s="64">
        <v>258.115102479808</v>
      </c>
      <c r="N216" s="34"/>
      <c r="O216" s="35"/>
    </row>
    <row r="217" spans="1:15" s="36" customFormat="1" ht="12" x14ac:dyDescent="0.2">
      <c r="A217" s="33"/>
      <c r="B217" s="63">
        <v>39355</v>
      </c>
      <c r="C217" s="65">
        <v>249.70209999999901</v>
      </c>
      <c r="D217" s="65">
        <v>240.88</v>
      </c>
      <c r="E217" s="67">
        <v>52.7</v>
      </c>
      <c r="F217" s="65">
        <v>-43.877900000000999</v>
      </c>
      <c r="G217" s="34"/>
      <c r="H217" s="33"/>
      <c r="I217" s="63">
        <v>39752</v>
      </c>
      <c r="J217" s="65">
        <v>239.55850816279099</v>
      </c>
      <c r="K217" s="65">
        <v>357.84</v>
      </c>
      <c r="L217" s="67">
        <v>67.22</v>
      </c>
      <c r="M217" s="65">
        <v>-185.50149183720899</v>
      </c>
      <c r="N217" s="34"/>
      <c r="O217" s="35"/>
    </row>
    <row r="218" spans="1:15" s="36" customFormat="1" ht="12" x14ac:dyDescent="0.2">
      <c r="A218" s="33"/>
      <c r="B218" s="62">
        <v>39386</v>
      </c>
      <c r="C218" s="64">
        <v>212.86519999999999</v>
      </c>
      <c r="D218" s="64">
        <v>271.98</v>
      </c>
      <c r="E218" s="66">
        <v>67.8</v>
      </c>
      <c r="F218" s="64">
        <v>-126.9148</v>
      </c>
      <c r="G218" s="34"/>
      <c r="H218" s="33"/>
      <c r="I218" s="62">
        <v>39782</v>
      </c>
      <c r="J218" s="64">
        <v>175.11530347391701</v>
      </c>
      <c r="K218" s="64">
        <v>403.28</v>
      </c>
      <c r="L218" s="66">
        <v>53.22</v>
      </c>
      <c r="M218" s="64">
        <v>-281.38469652608302</v>
      </c>
      <c r="N218" s="34"/>
      <c r="O218" s="35"/>
    </row>
    <row r="219" spans="1:15" s="36" customFormat="1" ht="12" x14ac:dyDescent="0.2">
      <c r="A219" s="33"/>
      <c r="B219" s="63">
        <v>39416</v>
      </c>
      <c r="C219" s="65">
        <v>420.07909999999902</v>
      </c>
      <c r="D219" s="65">
        <v>263.89</v>
      </c>
      <c r="E219" s="67">
        <v>76.8</v>
      </c>
      <c r="F219" s="65">
        <v>79.389099999999004</v>
      </c>
      <c r="G219" s="34"/>
      <c r="H219" s="33"/>
      <c r="I219" s="63">
        <v>39813</v>
      </c>
      <c r="J219" s="65">
        <v>409.05437362545598</v>
      </c>
      <c r="K219" s="65">
        <v>390.09</v>
      </c>
      <c r="L219" s="67">
        <v>59.78</v>
      </c>
      <c r="M219" s="65">
        <v>-40.815626374544003</v>
      </c>
      <c r="N219" s="34"/>
      <c r="O219" s="35"/>
    </row>
    <row r="220" spans="1:15" s="36" customFormat="1" ht="12" x14ac:dyDescent="0.2">
      <c r="A220" s="33"/>
      <c r="B220" s="62">
        <v>39447</v>
      </c>
      <c r="C220" s="64">
        <v>313.43280000000198</v>
      </c>
      <c r="D220" s="64">
        <v>226.89</v>
      </c>
      <c r="E220" s="66">
        <v>63.4</v>
      </c>
      <c r="F220" s="64">
        <v>23.142800000002001</v>
      </c>
      <c r="G220" s="34"/>
      <c r="H220" s="33"/>
      <c r="I220" s="62">
        <v>39844</v>
      </c>
      <c r="J220" s="64">
        <v>222.14621267602399</v>
      </c>
      <c r="K220" s="64">
        <v>391.13</v>
      </c>
      <c r="L220" s="66">
        <v>75.409499999999994</v>
      </c>
      <c r="M220" s="64">
        <v>-244.39328732397601</v>
      </c>
      <c r="N220" s="34"/>
      <c r="O220" s="35"/>
    </row>
    <row r="221" spans="1:15" s="36" customFormat="1" ht="12" x14ac:dyDescent="0.2">
      <c r="A221" s="33"/>
      <c r="B221" s="63">
        <v>39478</v>
      </c>
      <c r="C221" s="65">
        <v>615.60889999999904</v>
      </c>
      <c r="D221" s="65">
        <v>194.75</v>
      </c>
      <c r="E221" s="67">
        <v>112</v>
      </c>
      <c r="F221" s="65">
        <v>308.85889999999898</v>
      </c>
      <c r="G221" s="34"/>
      <c r="H221" s="33"/>
      <c r="I221" s="63">
        <v>39872</v>
      </c>
      <c r="J221" s="65">
        <v>239.224413894637</v>
      </c>
      <c r="K221" s="65">
        <v>48.07</v>
      </c>
      <c r="L221" s="67">
        <v>58.33</v>
      </c>
      <c r="M221" s="65">
        <v>132.82441389463699</v>
      </c>
      <c r="N221" s="34"/>
      <c r="O221" s="35"/>
    </row>
    <row r="222" spans="1:15" s="36" customFormat="1" ht="12" x14ac:dyDescent="0.2">
      <c r="A222" s="33"/>
      <c r="B222" s="62">
        <v>39507</v>
      </c>
      <c r="C222" s="64">
        <v>573.24</v>
      </c>
      <c r="D222" s="64">
        <v>82.15</v>
      </c>
      <c r="E222" s="66">
        <v>69.3</v>
      </c>
      <c r="F222" s="64">
        <v>421.79</v>
      </c>
      <c r="G222" s="34"/>
      <c r="H222" s="33"/>
      <c r="I222" s="62">
        <v>39903</v>
      </c>
      <c r="J222" s="64">
        <v>183.066936215586</v>
      </c>
      <c r="K222" s="64">
        <v>183.68</v>
      </c>
      <c r="L222" s="66">
        <v>84.03</v>
      </c>
      <c r="M222" s="64">
        <v>-84.643063784413997</v>
      </c>
      <c r="N222" s="34"/>
      <c r="O222" s="35"/>
    </row>
    <row r="223" spans="1:15" s="36" customFormat="1" ht="12" x14ac:dyDescent="0.2">
      <c r="A223" s="33"/>
      <c r="B223" s="63">
        <v>39538</v>
      </c>
      <c r="C223" s="65">
        <v>350.43</v>
      </c>
      <c r="D223" s="65">
        <v>131.33000000000001</v>
      </c>
      <c r="E223" s="67">
        <v>92.9</v>
      </c>
      <c r="F223" s="65">
        <v>126.2</v>
      </c>
      <c r="G223" s="34"/>
      <c r="H223" s="33"/>
      <c r="I223" s="63">
        <v>39933</v>
      </c>
      <c r="J223" s="65">
        <v>235.031781180754</v>
      </c>
      <c r="K223" s="65">
        <v>129.4</v>
      </c>
      <c r="L223" s="67">
        <v>58.92</v>
      </c>
      <c r="M223" s="65">
        <v>46.711781180754002</v>
      </c>
      <c r="N223" s="34"/>
      <c r="O223" s="35"/>
    </row>
    <row r="224" spans="1:15" s="36" customFormat="1" ht="12" x14ac:dyDescent="0.2">
      <c r="A224" s="33"/>
      <c r="B224" s="62">
        <v>39568</v>
      </c>
      <c r="C224" s="64">
        <v>744.78</v>
      </c>
      <c r="D224" s="64">
        <v>166.11</v>
      </c>
      <c r="E224" s="66">
        <v>76</v>
      </c>
      <c r="F224" s="64">
        <v>502.67</v>
      </c>
      <c r="G224" s="34"/>
      <c r="H224" s="33"/>
      <c r="I224" s="62">
        <v>39964</v>
      </c>
      <c r="J224" s="64">
        <v>380.35924317429101</v>
      </c>
      <c r="K224" s="64">
        <v>130.34</v>
      </c>
      <c r="L224" s="66">
        <v>63.79</v>
      </c>
      <c r="M224" s="64">
        <v>186.22924317429101</v>
      </c>
      <c r="N224" s="34"/>
      <c r="O224" s="35"/>
    </row>
    <row r="225" spans="1:15" s="36" customFormat="1" ht="12" x14ac:dyDescent="0.2">
      <c r="A225" s="33"/>
      <c r="B225" s="63">
        <v>39599</v>
      </c>
      <c r="C225" s="65">
        <v>403.06</v>
      </c>
      <c r="D225" s="65">
        <v>199.18</v>
      </c>
      <c r="E225" s="67">
        <v>77.599999999999994</v>
      </c>
      <c r="F225" s="65">
        <v>126.28</v>
      </c>
      <c r="G225" s="34"/>
      <c r="H225" s="33"/>
      <c r="I225" s="63">
        <v>39994</v>
      </c>
      <c r="J225" s="65">
        <v>161.08346401900801</v>
      </c>
      <c r="K225" s="65">
        <v>79.47</v>
      </c>
      <c r="L225" s="67">
        <v>89.6</v>
      </c>
      <c r="M225" s="65">
        <v>-7.9865359809919996</v>
      </c>
      <c r="N225" s="34"/>
      <c r="O225" s="35"/>
    </row>
    <row r="226" spans="1:15" s="36" customFormat="1" ht="12" x14ac:dyDescent="0.2">
      <c r="A226" s="33"/>
      <c r="B226" s="62">
        <v>39629</v>
      </c>
      <c r="C226" s="64">
        <v>118.67</v>
      </c>
      <c r="D226" s="64">
        <v>208.74</v>
      </c>
      <c r="E226" s="66">
        <v>96.1</v>
      </c>
      <c r="F226" s="64">
        <v>-186.17</v>
      </c>
      <c r="G226" s="34"/>
      <c r="H226" s="33"/>
      <c r="I226" s="62">
        <v>40025</v>
      </c>
      <c r="J226" s="64">
        <v>327.32723673139799</v>
      </c>
      <c r="K226" s="64">
        <v>102.4</v>
      </c>
      <c r="L226" s="66">
        <v>53.59</v>
      </c>
      <c r="M226" s="64">
        <v>171.33723673139801</v>
      </c>
      <c r="N226" s="34"/>
      <c r="O226" s="35"/>
    </row>
    <row r="227" spans="1:15" s="36" customFormat="1" ht="12" x14ac:dyDescent="0.2">
      <c r="A227" s="33"/>
      <c r="B227" s="63">
        <v>39660</v>
      </c>
      <c r="C227" s="65">
        <v>363.36</v>
      </c>
      <c r="D227" s="65">
        <v>254.25</v>
      </c>
      <c r="E227" s="67">
        <v>83.4</v>
      </c>
      <c r="F227" s="65">
        <v>25.71</v>
      </c>
      <c r="G227" s="34"/>
      <c r="H227" s="33"/>
      <c r="I227" s="63">
        <v>40056</v>
      </c>
      <c r="J227" s="65">
        <v>173.08858986544899</v>
      </c>
      <c r="K227" s="65">
        <v>154.19999999999999</v>
      </c>
      <c r="L227" s="67">
        <v>74.989999999999995</v>
      </c>
      <c r="M227" s="65">
        <v>-56.101410134551003</v>
      </c>
      <c r="N227" s="34"/>
      <c r="O227" s="35"/>
    </row>
    <row r="228" spans="1:15" s="36" customFormat="1" ht="12" x14ac:dyDescent="0.2">
      <c r="A228" s="33"/>
      <c r="B228" s="62">
        <v>39691</v>
      </c>
      <c r="C228" s="64">
        <v>389.89</v>
      </c>
      <c r="D228" s="64">
        <v>293.88</v>
      </c>
      <c r="E228" s="66">
        <v>70.099999999999994</v>
      </c>
      <c r="F228" s="64">
        <v>25.91</v>
      </c>
      <c r="G228" s="34"/>
      <c r="H228" s="33"/>
      <c r="I228" s="62">
        <v>40086</v>
      </c>
      <c r="J228" s="64">
        <v>608.50130586235196</v>
      </c>
      <c r="K228" s="64">
        <v>126.66</v>
      </c>
      <c r="L228" s="66">
        <v>78.989999999999995</v>
      </c>
      <c r="M228" s="64">
        <v>402.85130586235198</v>
      </c>
      <c r="N228" s="34"/>
      <c r="O228" s="35"/>
    </row>
    <row r="229" spans="1:15" s="36" customFormat="1" ht="12" x14ac:dyDescent="0.2">
      <c r="A229" s="33"/>
      <c r="B229" s="63">
        <v>39721</v>
      </c>
      <c r="C229" s="65">
        <v>214.32000000000201</v>
      </c>
      <c r="D229" s="65">
        <v>299.67</v>
      </c>
      <c r="E229" s="67">
        <v>66.400000000000006</v>
      </c>
      <c r="F229" s="65">
        <v>-151.74999999999801</v>
      </c>
      <c r="G229" s="34"/>
      <c r="H229" s="33"/>
      <c r="I229" s="63">
        <v>40117</v>
      </c>
      <c r="J229" s="65">
        <v>340.18719005386799</v>
      </c>
      <c r="K229" s="65">
        <v>237.94</v>
      </c>
      <c r="L229" s="67">
        <v>71.05</v>
      </c>
      <c r="M229" s="65">
        <v>31.197190053867999</v>
      </c>
      <c r="N229" s="34"/>
      <c r="O229" s="35"/>
    </row>
    <row r="230" spans="1:15" s="36" customFormat="1" ht="12" x14ac:dyDescent="0.2">
      <c r="A230" s="33"/>
      <c r="B230" s="62">
        <v>39752</v>
      </c>
      <c r="C230" s="64">
        <v>-258.97440000000199</v>
      </c>
      <c r="D230" s="64">
        <v>357.84</v>
      </c>
      <c r="E230" s="66">
        <v>67.22</v>
      </c>
      <c r="F230" s="64">
        <v>-684.03440000000205</v>
      </c>
      <c r="G230" s="34"/>
      <c r="H230" s="33"/>
      <c r="I230" s="62">
        <v>40147</v>
      </c>
      <c r="J230" s="64">
        <v>373.07853590400902</v>
      </c>
      <c r="K230" s="64">
        <v>189.68</v>
      </c>
      <c r="L230" s="66">
        <v>70.23</v>
      </c>
      <c r="M230" s="64">
        <v>113.168535904009</v>
      </c>
      <c r="N230" s="34"/>
      <c r="O230" s="35"/>
    </row>
    <row r="231" spans="1:15" s="36" customFormat="1" ht="12" x14ac:dyDescent="0.2">
      <c r="A231" s="33"/>
      <c r="B231" s="63">
        <v>39782</v>
      </c>
      <c r="C231" s="65">
        <v>50.297600000000003</v>
      </c>
      <c r="D231" s="65">
        <v>403.28</v>
      </c>
      <c r="E231" s="67">
        <v>53.22</v>
      </c>
      <c r="F231" s="65">
        <v>-406.20240000000001</v>
      </c>
      <c r="G231" s="34"/>
      <c r="H231" s="33"/>
      <c r="I231" s="63">
        <v>40178</v>
      </c>
      <c r="J231" s="65">
        <v>423.966870950393</v>
      </c>
      <c r="K231" s="65">
        <v>183.91</v>
      </c>
      <c r="L231" s="67">
        <v>121.38</v>
      </c>
      <c r="M231" s="65">
        <v>118.676870950393</v>
      </c>
      <c r="N231" s="34"/>
      <c r="O231" s="35"/>
    </row>
    <row r="232" spans="1:15" s="36" customFormat="1" ht="12" x14ac:dyDescent="0.2">
      <c r="A232" s="33"/>
      <c r="B232" s="62">
        <v>39813</v>
      </c>
      <c r="C232" s="64">
        <v>613.12919999999997</v>
      </c>
      <c r="D232" s="64">
        <v>390.09</v>
      </c>
      <c r="E232" s="66">
        <v>59.78</v>
      </c>
      <c r="F232" s="64">
        <v>163.25919999999999</v>
      </c>
      <c r="G232" s="34"/>
      <c r="H232" s="33"/>
      <c r="I232" s="62">
        <v>40209</v>
      </c>
      <c r="J232" s="64">
        <v>439.20101672166498</v>
      </c>
      <c r="K232" s="64">
        <v>139.6</v>
      </c>
      <c r="L232" s="66">
        <v>81.290000000000006</v>
      </c>
      <c r="M232" s="64">
        <v>218.311016721665</v>
      </c>
      <c r="N232" s="34"/>
      <c r="O232" s="35"/>
    </row>
    <row r="233" spans="1:15" s="36" customFormat="1" ht="12" x14ac:dyDescent="0.2">
      <c r="A233" s="33"/>
      <c r="B233" s="63">
        <v>39844</v>
      </c>
      <c r="C233" s="65">
        <v>-325.74240000000202</v>
      </c>
      <c r="D233" s="65">
        <v>391.13</v>
      </c>
      <c r="E233" s="67">
        <v>75.409499999999994</v>
      </c>
      <c r="F233" s="65">
        <v>-792.281900000002</v>
      </c>
      <c r="G233" s="34"/>
      <c r="H233" s="33"/>
      <c r="I233" s="63">
        <v>40237</v>
      </c>
      <c r="J233" s="65">
        <v>264.09720084424401</v>
      </c>
      <c r="K233" s="65">
        <v>73.37</v>
      </c>
      <c r="L233" s="67">
        <v>58.96</v>
      </c>
      <c r="M233" s="65">
        <v>131.767200844244</v>
      </c>
      <c r="N233" s="34"/>
      <c r="O233" s="35"/>
    </row>
    <row r="234" spans="1:15" s="36" customFormat="1" ht="12" x14ac:dyDescent="0.2">
      <c r="A234" s="33"/>
      <c r="B234" s="62">
        <v>39872</v>
      </c>
      <c r="C234" s="64">
        <v>-13.899999999998</v>
      </c>
      <c r="D234" s="64">
        <v>48.07</v>
      </c>
      <c r="E234" s="66">
        <v>58.33</v>
      </c>
      <c r="F234" s="64">
        <v>-120.29999999999799</v>
      </c>
      <c r="G234" s="34"/>
      <c r="H234" s="33"/>
      <c r="I234" s="62">
        <v>40268</v>
      </c>
      <c r="J234" s="64">
        <v>398.29211085111098</v>
      </c>
      <c r="K234" s="64">
        <v>-74.08</v>
      </c>
      <c r="L234" s="66">
        <v>94.18</v>
      </c>
      <c r="M234" s="64">
        <v>378.19211085111101</v>
      </c>
      <c r="N234" s="34"/>
      <c r="O234" s="35"/>
    </row>
    <row r="235" spans="1:15" s="36" customFormat="1" ht="12" x14ac:dyDescent="0.2">
      <c r="A235" s="33"/>
      <c r="B235" s="63">
        <v>39903</v>
      </c>
      <c r="C235" s="65">
        <v>416.75</v>
      </c>
      <c r="D235" s="65">
        <v>183.68</v>
      </c>
      <c r="E235" s="67">
        <v>84.03</v>
      </c>
      <c r="F235" s="65">
        <v>149.04</v>
      </c>
      <c r="G235" s="34"/>
      <c r="H235" s="33"/>
      <c r="I235" s="63">
        <v>40298</v>
      </c>
      <c r="J235" s="65">
        <v>420.64458328160202</v>
      </c>
      <c r="K235" s="65">
        <v>14.1</v>
      </c>
      <c r="L235" s="67">
        <v>73.459999999999994</v>
      </c>
      <c r="M235" s="65">
        <v>333.08458328160202</v>
      </c>
      <c r="N235" s="34"/>
      <c r="O235" s="35"/>
    </row>
    <row r="236" spans="1:15" s="36" customFormat="1" ht="12" x14ac:dyDescent="0.2">
      <c r="A236" s="33"/>
      <c r="B236" s="62">
        <v>39933</v>
      </c>
      <c r="C236" s="64">
        <v>551.39</v>
      </c>
      <c r="D236" s="64">
        <v>129.4</v>
      </c>
      <c r="E236" s="66">
        <v>58.92</v>
      </c>
      <c r="F236" s="64">
        <v>363.07</v>
      </c>
      <c r="G236" s="34"/>
      <c r="H236" s="33"/>
      <c r="I236" s="62">
        <v>40329</v>
      </c>
      <c r="J236" s="64">
        <v>187.164487609546</v>
      </c>
      <c r="K236" s="64">
        <v>194.49</v>
      </c>
      <c r="L236" s="66">
        <v>81.319999999999993</v>
      </c>
      <c r="M236" s="64">
        <v>-88.645512390454002</v>
      </c>
      <c r="N236" s="34"/>
      <c r="O236" s="35"/>
    </row>
    <row r="237" spans="1:15" s="36" customFormat="1" ht="12" x14ac:dyDescent="0.2">
      <c r="A237" s="33"/>
      <c r="B237" s="63">
        <v>39964</v>
      </c>
      <c r="C237" s="65">
        <v>806.11</v>
      </c>
      <c r="D237" s="65">
        <v>130.34</v>
      </c>
      <c r="E237" s="67">
        <v>63.79</v>
      </c>
      <c r="F237" s="65">
        <v>611.98</v>
      </c>
      <c r="G237" s="34"/>
      <c r="H237" s="33"/>
      <c r="I237" s="63">
        <v>40359</v>
      </c>
      <c r="J237" s="65">
        <v>219.93024796279499</v>
      </c>
      <c r="K237" s="65">
        <v>201.86</v>
      </c>
      <c r="L237" s="67">
        <v>125.1</v>
      </c>
      <c r="M237" s="65">
        <v>-107.029752037205</v>
      </c>
      <c r="N237" s="34"/>
      <c r="O237" s="35"/>
    </row>
    <row r="238" spans="1:15" s="36" customFormat="1" ht="12" x14ac:dyDescent="0.2">
      <c r="A238" s="33"/>
      <c r="B238" s="62">
        <v>39994</v>
      </c>
      <c r="C238" s="64">
        <v>421.15</v>
      </c>
      <c r="D238" s="64">
        <v>79.47</v>
      </c>
      <c r="E238" s="66">
        <v>89.6</v>
      </c>
      <c r="F238" s="64">
        <v>252.08</v>
      </c>
      <c r="G238" s="34"/>
      <c r="H238" s="33"/>
      <c r="I238" s="62">
        <v>40390</v>
      </c>
      <c r="J238" s="64">
        <v>468.73741868784703</v>
      </c>
      <c r="K238" s="64">
        <v>285.44</v>
      </c>
      <c r="L238" s="66">
        <v>69.239999999999995</v>
      </c>
      <c r="M238" s="64">
        <v>114.057418687847</v>
      </c>
      <c r="N238" s="34"/>
      <c r="O238" s="35"/>
    </row>
    <row r="239" spans="1:15" s="36" customFormat="1" ht="12" x14ac:dyDescent="0.2">
      <c r="A239" s="33"/>
      <c r="B239" s="63">
        <v>40025</v>
      </c>
      <c r="C239" s="65">
        <v>430.12</v>
      </c>
      <c r="D239" s="65">
        <v>102.4</v>
      </c>
      <c r="E239" s="67">
        <v>53.59</v>
      </c>
      <c r="F239" s="65">
        <v>274.13</v>
      </c>
      <c r="G239" s="34"/>
      <c r="H239" s="33"/>
      <c r="I239" s="63">
        <v>40421</v>
      </c>
      <c r="J239" s="65">
        <v>300.63939613997502</v>
      </c>
      <c r="K239" s="65">
        <v>197.56</v>
      </c>
      <c r="L239" s="67">
        <v>76.02</v>
      </c>
      <c r="M239" s="65">
        <v>27.059396139975</v>
      </c>
      <c r="N239" s="34"/>
      <c r="O239" s="35"/>
    </row>
    <row r="240" spans="1:15" s="36" customFormat="1" ht="12" x14ac:dyDescent="0.2">
      <c r="A240" s="33"/>
      <c r="B240" s="62">
        <v>40056</v>
      </c>
      <c r="C240" s="64">
        <v>362.09</v>
      </c>
      <c r="D240" s="64">
        <v>154.19999999999999</v>
      </c>
      <c r="E240" s="66">
        <v>74.989999999999995</v>
      </c>
      <c r="F240" s="64">
        <v>132.9</v>
      </c>
      <c r="G240" s="34"/>
      <c r="H240" s="33"/>
      <c r="I240" s="62">
        <v>40451</v>
      </c>
      <c r="J240" s="64">
        <v>630.86510016324996</v>
      </c>
      <c r="K240" s="64">
        <v>165.63</v>
      </c>
      <c r="L240" s="66">
        <v>83.84</v>
      </c>
      <c r="M240" s="64">
        <v>381.39510016324999</v>
      </c>
      <c r="N240" s="34"/>
      <c r="O240" s="35"/>
    </row>
    <row r="241" spans="1:15" s="36" customFormat="1" ht="12" x14ac:dyDescent="0.2">
      <c r="A241" s="33"/>
      <c r="B241" s="63">
        <v>40086</v>
      </c>
      <c r="C241" s="65">
        <v>617.67999999999995</v>
      </c>
      <c r="D241" s="65">
        <v>126.66</v>
      </c>
      <c r="E241" s="67">
        <v>78.989999999999995</v>
      </c>
      <c r="F241" s="65">
        <v>412.03</v>
      </c>
      <c r="G241" s="34"/>
      <c r="H241" s="33"/>
      <c r="I241" s="63">
        <v>40482</v>
      </c>
      <c r="J241" s="65">
        <v>1140.5052242894769</v>
      </c>
      <c r="K241" s="65">
        <v>268.06</v>
      </c>
      <c r="L241" s="67">
        <v>76.63</v>
      </c>
      <c r="M241" s="65">
        <v>795.81522428947699</v>
      </c>
      <c r="N241" s="34"/>
      <c r="O241" s="35"/>
    </row>
    <row r="242" spans="1:15" s="36" customFormat="1" ht="12" x14ac:dyDescent="0.2">
      <c r="A242" s="33"/>
      <c r="B242" s="62">
        <v>40117</v>
      </c>
      <c r="C242" s="64">
        <v>556.77</v>
      </c>
      <c r="D242" s="64">
        <v>237.94</v>
      </c>
      <c r="E242" s="66">
        <v>71.05</v>
      </c>
      <c r="F242" s="64">
        <v>247.78</v>
      </c>
      <c r="G242" s="34"/>
      <c r="H242" s="33"/>
      <c r="I242" s="62">
        <v>40512</v>
      </c>
      <c r="J242" s="64">
        <v>565.97634239271304</v>
      </c>
      <c r="K242" s="64">
        <v>222.94</v>
      </c>
      <c r="L242" s="66">
        <v>97.04</v>
      </c>
      <c r="M242" s="64">
        <v>245.99634239271299</v>
      </c>
      <c r="N242" s="34"/>
      <c r="O242" s="35"/>
    </row>
    <row r="243" spans="1:15" s="36" customFormat="1" ht="12" x14ac:dyDescent="0.2">
      <c r="A243" s="33"/>
      <c r="B243" s="63">
        <v>40147</v>
      </c>
      <c r="C243" s="65">
        <v>605.16470000000004</v>
      </c>
      <c r="D243" s="65">
        <v>189.68</v>
      </c>
      <c r="E243" s="67">
        <v>70.23</v>
      </c>
      <c r="F243" s="65">
        <v>345.25470000000001</v>
      </c>
      <c r="G243" s="34"/>
      <c r="H243" s="33"/>
      <c r="I243" s="63">
        <v>40543</v>
      </c>
      <c r="J243" s="65">
        <v>627.42433494214595</v>
      </c>
      <c r="K243" s="65">
        <v>126.08</v>
      </c>
      <c r="L243" s="67">
        <v>140.28</v>
      </c>
      <c r="M243" s="65">
        <v>361.06433494214599</v>
      </c>
      <c r="N243" s="34"/>
      <c r="O243" s="35"/>
    </row>
    <row r="244" spans="1:15" s="36" customFormat="1" ht="12" x14ac:dyDescent="0.2">
      <c r="A244" s="33"/>
      <c r="B244" s="62">
        <v>40178</v>
      </c>
      <c r="C244" s="64">
        <v>103.6382</v>
      </c>
      <c r="D244" s="64">
        <v>183.91</v>
      </c>
      <c r="E244" s="66">
        <v>121.38</v>
      </c>
      <c r="F244" s="64">
        <v>-201.65180000000001</v>
      </c>
      <c r="G244" s="34"/>
      <c r="H244" s="33"/>
      <c r="I244" s="62">
        <v>40574</v>
      </c>
      <c r="J244" s="64">
        <v>1010.901717549594</v>
      </c>
      <c r="K244" s="64">
        <v>57.82</v>
      </c>
      <c r="L244" s="66">
        <v>100.3</v>
      </c>
      <c r="M244" s="64">
        <v>852.78171754959396</v>
      </c>
      <c r="N244" s="34"/>
      <c r="O244" s="35"/>
    </row>
    <row r="245" spans="1:15" s="36" customFormat="1" ht="12" x14ac:dyDescent="0.2">
      <c r="A245" s="33"/>
      <c r="B245" s="63">
        <v>40209</v>
      </c>
      <c r="C245" s="65">
        <v>160.68780000000001</v>
      </c>
      <c r="D245" s="65">
        <v>139.6</v>
      </c>
      <c r="E245" s="67">
        <v>81.290000000000006</v>
      </c>
      <c r="F245" s="65">
        <v>-60.202199999999998</v>
      </c>
      <c r="G245" s="34"/>
      <c r="H245" s="33"/>
      <c r="I245" s="63">
        <v>40602</v>
      </c>
      <c r="J245" s="65">
        <v>429.76875810113</v>
      </c>
      <c r="K245" s="65">
        <v>-78.73</v>
      </c>
      <c r="L245" s="67">
        <v>78</v>
      </c>
      <c r="M245" s="65">
        <v>430.49875810113002</v>
      </c>
      <c r="N245" s="34"/>
      <c r="O245" s="35"/>
    </row>
    <row r="246" spans="1:15" s="36" customFormat="1" ht="12" x14ac:dyDescent="0.2">
      <c r="A246" s="33"/>
      <c r="B246" s="62">
        <v>40237</v>
      </c>
      <c r="C246" s="64">
        <v>93.695999999999998</v>
      </c>
      <c r="D246" s="64">
        <v>73.37</v>
      </c>
      <c r="E246" s="66">
        <v>58.96</v>
      </c>
      <c r="F246" s="64">
        <v>-38.634</v>
      </c>
      <c r="G246" s="34"/>
      <c r="H246" s="33"/>
      <c r="I246" s="62">
        <v>40633</v>
      </c>
      <c r="J246" s="64">
        <v>712.24743061354002</v>
      </c>
      <c r="K246" s="64">
        <v>-1.9</v>
      </c>
      <c r="L246" s="66">
        <v>125.2</v>
      </c>
      <c r="M246" s="64">
        <v>588.94743061353995</v>
      </c>
      <c r="N246" s="34"/>
      <c r="O246" s="35"/>
    </row>
    <row r="247" spans="1:15" s="36" customFormat="1" ht="12" x14ac:dyDescent="0.2">
      <c r="A247" s="33"/>
      <c r="B247" s="63">
        <v>40268</v>
      </c>
      <c r="C247" s="65">
        <v>224.9298</v>
      </c>
      <c r="D247" s="65">
        <v>-74.08</v>
      </c>
      <c r="E247" s="67">
        <v>94.18</v>
      </c>
      <c r="F247" s="65">
        <v>204.82980000000001</v>
      </c>
      <c r="G247" s="34"/>
      <c r="H247" s="33"/>
      <c r="I247" s="63">
        <v>40663</v>
      </c>
      <c r="J247" s="65">
        <v>680.52096279620002</v>
      </c>
      <c r="K247" s="65">
        <v>112.22</v>
      </c>
      <c r="L247" s="67">
        <v>84.64</v>
      </c>
      <c r="M247" s="65">
        <v>483.66096279620001</v>
      </c>
      <c r="N247" s="34"/>
      <c r="O247" s="35"/>
    </row>
    <row r="248" spans="1:15" s="36" customFormat="1" ht="12" x14ac:dyDescent="0.2">
      <c r="A248" s="33"/>
      <c r="B248" s="62">
        <v>40298</v>
      </c>
      <c r="C248" s="64">
        <v>434.28050000000002</v>
      </c>
      <c r="D248" s="64">
        <v>14.1</v>
      </c>
      <c r="E248" s="66">
        <v>73.459999999999994</v>
      </c>
      <c r="F248" s="64">
        <v>346.72050000000002</v>
      </c>
      <c r="G248" s="34"/>
      <c r="H248" s="33"/>
      <c r="I248" s="62">
        <v>40694</v>
      </c>
      <c r="J248" s="64">
        <v>751.15667206997</v>
      </c>
      <c r="K248" s="64">
        <v>129.29</v>
      </c>
      <c r="L248" s="66">
        <v>92.25</v>
      </c>
      <c r="M248" s="64">
        <v>529.61667206997004</v>
      </c>
      <c r="N248" s="34"/>
      <c r="O248" s="35"/>
    </row>
    <row r="249" spans="1:15" s="36" customFormat="1" ht="12" x14ac:dyDescent="0.2">
      <c r="A249" s="33"/>
      <c r="B249" s="63">
        <v>40329</v>
      </c>
      <c r="C249" s="65">
        <v>-510.05919999999998</v>
      </c>
      <c r="D249" s="65">
        <v>194.49</v>
      </c>
      <c r="E249" s="67">
        <v>81.319999999999993</v>
      </c>
      <c r="F249" s="65">
        <v>-785.86919999999998</v>
      </c>
      <c r="G249" s="34"/>
      <c r="H249" s="33"/>
      <c r="I249" s="63">
        <v>40724</v>
      </c>
      <c r="J249" s="65">
        <v>549.84166784300999</v>
      </c>
      <c r="K249" s="65">
        <v>221.93</v>
      </c>
      <c r="L249" s="67">
        <v>128.63</v>
      </c>
      <c r="M249" s="65">
        <v>199.28166784301001</v>
      </c>
      <c r="N249" s="34"/>
      <c r="O249" s="35"/>
    </row>
    <row r="250" spans="1:15" s="36" customFormat="1" ht="12" x14ac:dyDescent="0.2">
      <c r="A250" s="33"/>
      <c r="B250" s="62">
        <v>40359</v>
      </c>
      <c r="C250" s="64">
        <v>147.6902</v>
      </c>
      <c r="D250" s="64">
        <v>201.86</v>
      </c>
      <c r="E250" s="66">
        <v>125.1</v>
      </c>
      <c r="F250" s="64">
        <v>-179.2698</v>
      </c>
      <c r="G250" s="34"/>
      <c r="H250" s="33"/>
      <c r="I250" s="62">
        <v>40755</v>
      </c>
      <c r="J250" s="64">
        <v>436.40386002426601</v>
      </c>
      <c r="K250" s="64">
        <v>301.36</v>
      </c>
      <c r="L250" s="66">
        <v>82.97</v>
      </c>
      <c r="M250" s="64">
        <v>52.073860024265997</v>
      </c>
      <c r="N250" s="34"/>
      <c r="O250" s="35"/>
    </row>
    <row r="251" spans="1:15" s="36" customFormat="1" ht="12" x14ac:dyDescent="0.2">
      <c r="A251" s="33"/>
      <c r="B251" s="63">
        <v>40390</v>
      </c>
      <c r="C251" s="65">
        <v>846.19150000000002</v>
      </c>
      <c r="D251" s="65">
        <v>285.44</v>
      </c>
      <c r="E251" s="67">
        <v>69.239999999999995</v>
      </c>
      <c r="F251" s="65">
        <v>491.51150000000001</v>
      </c>
      <c r="G251" s="34"/>
      <c r="H251" s="33"/>
      <c r="I251" s="63">
        <v>40786</v>
      </c>
      <c r="J251" s="65">
        <v>903.18327929176405</v>
      </c>
      <c r="K251" s="65">
        <v>178.55</v>
      </c>
      <c r="L251" s="67">
        <v>84.46</v>
      </c>
      <c r="M251" s="65">
        <v>640.17327929176395</v>
      </c>
      <c r="N251" s="34"/>
      <c r="O251" s="35"/>
    </row>
    <row r="252" spans="1:15" s="36" customFormat="1" ht="12" x14ac:dyDescent="0.2">
      <c r="A252" s="33"/>
      <c r="B252" s="62">
        <v>40421</v>
      </c>
      <c r="C252" s="64">
        <v>89.437600000000003</v>
      </c>
      <c r="D252" s="64">
        <v>197.56</v>
      </c>
      <c r="E252" s="66">
        <v>76.02</v>
      </c>
      <c r="F252" s="64">
        <v>-184.14240000000001</v>
      </c>
      <c r="G252" s="34"/>
      <c r="H252" s="33"/>
      <c r="I252" s="62">
        <v>40816</v>
      </c>
      <c r="J252" s="64">
        <v>546.38057536626002</v>
      </c>
      <c r="K252" s="64">
        <v>145.86000000000001</v>
      </c>
      <c r="L252" s="66">
        <v>90.45</v>
      </c>
      <c r="M252" s="64">
        <v>310.07057536626002</v>
      </c>
      <c r="N252" s="34"/>
      <c r="O252" s="35"/>
    </row>
    <row r="253" spans="1:15" s="36" customFormat="1" ht="12" x14ac:dyDescent="0.2">
      <c r="A253" s="33"/>
      <c r="B253" s="63">
        <v>40451</v>
      </c>
      <c r="C253" s="65">
        <v>1004.6529</v>
      </c>
      <c r="D253" s="65">
        <v>165.63</v>
      </c>
      <c r="E253" s="67">
        <v>83.84</v>
      </c>
      <c r="F253" s="65">
        <v>755.18290000000002</v>
      </c>
      <c r="G253" s="34"/>
      <c r="H253" s="33"/>
      <c r="I253" s="63">
        <v>40847</v>
      </c>
      <c r="J253" s="65">
        <v>128.32877263865399</v>
      </c>
      <c r="K253" s="65">
        <v>171.34</v>
      </c>
      <c r="L253" s="67">
        <v>83.34</v>
      </c>
      <c r="M253" s="65">
        <v>-126.35122736134601</v>
      </c>
      <c r="N253" s="34"/>
      <c r="O253" s="35"/>
    </row>
    <row r="254" spans="1:15" s="36" customFormat="1" ht="12" x14ac:dyDescent="0.2">
      <c r="A254" s="33"/>
      <c r="B254" s="62">
        <v>40482</v>
      </c>
      <c r="C254" s="64">
        <v>1125.96</v>
      </c>
      <c r="D254" s="64">
        <v>268.06</v>
      </c>
      <c r="E254" s="66">
        <v>76.63</v>
      </c>
      <c r="F254" s="64">
        <v>781.27</v>
      </c>
      <c r="G254" s="34"/>
      <c r="H254" s="33"/>
      <c r="I254" s="62">
        <v>40877</v>
      </c>
      <c r="J254" s="64">
        <v>56.461638787086002</v>
      </c>
      <c r="K254" s="64">
        <v>146.63999999999999</v>
      </c>
      <c r="L254" s="66">
        <v>87.57</v>
      </c>
      <c r="M254" s="64">
        <v>-177.74836121291401</v>
      </c>
      <c r="N254" s="34"/>
      <c r="O254" s="35"/>
    </row>
    <row r="255" spans="1:15" s="36" customFormat="1" ht="12" x14ac:dyDescent="0.2">
      <c r="A255" s="33"/>
      <c r="B255" s="63">
        <v>40512</v>
      </c>
      <c r="C255" s="65">
        <v>69.099999999999994</v>
      </c>
      <c r="D255" s="65">
        <v>222.94</v>
      </c>
      <c r="E255" s="67">
        <v>97.04</v>
      </c>
      <c r="F255" s="65">
        <v>-250.88</v>
      </c>
      <c r="G255" s="34"/>
      <c r="H255" s="33"/>
      <c r="I255" s="63">
        <v>40908</v>
      </c>
      <c r="J255" s="65">
        <v>-78.196883303530001</v>
      </c>
      <c r="K255" s="65">
        <v>164.6</v>
      </c>
      <c r="L255" s="67">
        <v>122.42</v>
      </c>
      <c r="M255" s="65">
        <v>-365.21688330352998</v>
      </c>
      <c r="N255" s="34"/>
      <c r="O255" s="35"/>
    </row>
    <row r="256" spans="1:15" s="36" customFormat="1" ht="12" x14ac:dyDescent="0.2">
      <c r="A256" s="33"/>
      <c r="B256" s="62">
        <v>40543</v>
      </c>
      <c r="C256" s="64">
        <v>795.29</v>
      </c>
      <c r="D256" s="64">
        <v>126.08</v>
      </c>
      <c r="E256" s="66">
        <v>140.28</v>
      </c>
      <c r="F256" s="64">
        <v>528.92999999999995</v>
      </c>
      <c r="G256" s="34"/>
      <c r="H256" s="33"/>
      <c r="I256" s="62">
        <v>40939</v>
      </c>
      <c r="J256" s="64">
        <v>294.80426064043002</v>
      </c>
      <c r="K256" s="64">
        <v>270.14</v>
      </c>
      <c r="L256" s="66">
        <v>99.97</v>
      </c>
      <c r="M256" s="64">
        <v>-75.305739359569998</v>
      </c>
      <c r="N256" s="34"/>
      <c r="O256" s="35"/>
    </row>
    <row r="257" spans="1:15" s="36" customFormat="1" ht="12" x14ac:dyDescent="0.2">
      <c r="A257" s="33"/>
      <c r="B257" s="63">
        <v>40574</v>
      </c>
      <c r="C257" s="65">
        <v>843.36</v>
      </c>
      <c r="D257" s="65">
        <v>57.82</v>
      </c>
      <c r="E257" s="67">
        <v>100.3</v>
      </c>
      <c r="F257" s="65">
        <v>685.24</v>
      </c>
      <c r="G257" s="34"/>
      <c r="H257" s="33"/>
      <c r="I257" s="63">
        <v>40968</v>
      </c>
      <c r="J257" s="65">
        <v>147.12156157901001</v>
      </c>
      <c r="K257" s="65">
        <v>-320.02</v>
      </c>
      <c r="L257" s="67">
        <v>77.260000000000005</v>
      </c>
      <c r="M257" s="65">
        <v>389.88156157901</v>
      </c>
      <c r="N257" s="34"/>
      <c r="O257" s="35"/>
    </row>
    <row r="258" spans="1:15" s="36" customFormat="1" ht="12" x14ac:dyDescent="0.2">
      <c r="A258" s="33"/>
      <c r="B258" s="62">
        <v>40602</v>
      </c>
      <c r="C258" s="64">
        <v>597.12</v>
      </c>
      <c r="D258" s="64">
        <v>-78.73</v>
      </c>
      <c r="E258" s="66">
        <v>78</v>
      </c>
      <c r="F258" s="64">
        <v>597.85</v>
      </c>
      <c r="G258" s="34"/>
      <c r="H258" s="33"/>
      <c r="I258" s="62">
        <v>40999</v>
      </c>
      <c r="J258" s="64">
        <v>145.62828199753</v>
      </c>
      <c r="K258" s="64">
        <v>51.83</v>
      </c>
      <c r="L258" s="66">
        <v>117.57</v>
      </c>
      <c r="M258" s="64">
        <v>-23.771718002469999</v>
      </c>
      <c r="N258" s="34"/>
      <c r="O258" s="35"/>
    </row>
    <row r="259" spans="1:15" s="36" customFormat="1" ht="12" x14ac:dyDescent="0.2">
      <c r="A259" s="33"/>
      <c r="B259" s="63">
        <v>40633</v>
      </c>
      <c r="C259" s="65">
        <v>532.88</v>
      </c>
      <c r="D259" s="65">
        <v>-1.9</v>
      </c>
      <c r="E259" s="67">
        <v>125.2</v>
      </c>
      <c r="F259" s="65">
        <v>409.58</v>
      </c>
      <c r="G259" s="34"/>
      <c r="H259" s="33"/>
      <c r="I259" s="63">
        <v>41029</v>
      </c>
      <c r="J259" s="65">
        <v>-21.58545456217</v>
      </c>
      <c r="K259" s="65">
        <v>185.55</v>
      </c>
      <c r="L259" s="67">
        <v>84.01</v>
      </c>
      <c r="M259" s="65">
        <v>-291.14545456217002</v>
      </c>
      <c r="N259" s="34"/>
      <c r="O259" s="35"/>
    </row>
    <row r="260" spans="1:15" s="36" customFormat="1" ht="12" x14ac:dyDescent="0.2">
      <c r="A260" s="33"/>
      <c r="B260" s="62">
        <v>40663</v>
      </c>
      <c r="C260" s="64">
        <v>1011.690000000004</v>
      </c>
      <c r="D260" s="64">
        <v>112.22</v>
      </c>
      <c r="E260" s="66">
        <v>84.64</v>
      </c>
      <c r="F260" s="64">
        <v>814.83000000000402</v>
      </c>
      <c r="G260" s="34"/>
      <c r="H260" s="33"/>
      <c r="I260" s="62">
        <v>41060</v>
      </c>
      <c r="J260" s="64">
        <v>-24.79450157538</v>
      </c>
      <c r="K260" s="64">
        <v>181.85</v>
      </c>
      <c r="L260" s="66">
        <v>92.29</v>
      </c>
      <c r="M260" s="64">
        <v>-298.93450157538001</v>
      </c>
      <c r="N260" s="34"/>
      <c r="O260" s="35"/>
    </row>
    <row r="261" spans="1:15" s="36" customFormat="1" ht="12" x14ac:dyDescent="0.2">
      <c r="A261" s="33"/>
      <c r="B261" s="63">
        <v>40694</v>
      </c>
      <c r="C261" s="65">
        <v>201.539999999994</v>
      </c>
      <c r="D261" s="65">
        <v>129.29</v>
      </c>
      <c r="E261" s="67">
        <v>92.25</v>
      </c>
      <c r="F261" s="65">
        <v>-20.000000000006001</v>
      </c>
      <c r="G261" s="34"/>
      <c r="H261" s="33"/>
      <c r="I261" s="63">
        <v>41090</v>
      </c>
      <c r="J261" s="65">
        <v>3.1568271069899998</v>
      </c>
      <c r="K261" s="65">
        <v>316.49</v>
      </c>
      <c r="L261" s="67">
        <v>119.79</v>
      </c>
      <c r="M261" s="65">
        <v>-433.12317289301001</v>
      </c>
      <c r="N261" s="34"/>
      <c r="O261" s="35"/>
    </row>
    <row r="262" spans="1:15" s="36" customFormat="1" ht="12" x14ac:dyDescent="0.2">
      <c r="A262" s="33"/>
      <c r="B262" s="62">
        <v>40724</v>
      </c>
      <c r="C262" s="64">
        <v>314.94000000000199</v>
      </c>
      <c r="D262" s="64">
        <v>221.93</v>
      </c>
      <c r="E262" s="66">
        <v>128.63</v>
      </c>
      <c r="F262" s="64">
        <v>-35.619999999998001</v>
      </c>
      <c r="G262" s="34"/>
      <c r="H262" s="33"/>
      <c r="I262" s="62">
        <v>41121</v>
      </c>
      <c r="J262" s="64">
        <v>-42.601198903499998</v>
      </c>
      <c r="K262" s="64">
        <v>253.01</v>
      </c>
      <c r="L262" s="66">
        <v>75.790000000000006</v>
      </c>
      <c r="M262" s="64">
        <v>-371.40119890350002</v>
      </c>
      <c r="N262" s="34"/>
      <c r="O262" s="35"/>
    </row>
    <row r="263" spans="1:15" s="36" customFormat="1" ht="12" x14ac:dyDescent="0.2">
      <c r="A263" s="33"/>
      <c r="B263" s="63">
        <v>40755</v>
      </c>
      <c r="C263" s="65">
        <v>477.92</v>
      </c>
      <c r="D263" s="65">
        <v>301.36</v>
      </c>
      <c r="E263" s="67">
        <v>82.97</v>
      </c>
      <c r="F263" s="65">
        <v>93.59</v>
      </c>
      <c r="G263" s="34"/>
      <c r="H263" s="33"/>
      <c r="I263" s="63">
        <v>41152</v>
      </c>
      <c r="J263" s="65">
        <v>-135.51393176049999</v>
      </c>
      <c r="K263" s="65">
        <v>264.18</v>
      </c>
      <c r="L263" s="67">
        <v>83.26</v>
      </c>
      <c r="M263" s="65">
        <v>-482.95393176049998</v>
      </c>
      <c r="N263" s="34"/>
      <c r="O263" s="35"/>
    </row>
    <row r="264" spans="1:15" s="36" customFormat="1" ht="12" x14ac:dyDescent="0.2">
      <c r="A264" s="33"/>
      <c r="B264" s="62">
        <v>40786</v>
      </c>
      <c r="C264" s="64">
        <v>172.15999999999801</v>
      </c>
      <c r="D264" s="64">
        <v>178.55</v>
      </c>
      <c r="E264" s="66">
        <v>84.46</v>
      </c>
      <c r="F264" s="64">
        <v>-90.850000000001998</v>
      </c>
      <c r="G264" s="34"/>
      <c r="H264" s="33"/>
      <c r="I264" s="62">
        <v>41182</v>
      </c>
      <c r="J264" s="64">
        <v>211.52982783117</v>
      </c>
      <c r="K264" s="64">
        <v>274.64</v>
      </c>
      <c r="L264" s="66">
        <v>83.28</v>
      </c>
      <c r="M264" s="64">
        <v>-146.39017216882999</v>
      </c>
      <c r="N264" s="34"/>
      <c r="O264" s="35"/>
    </row>
    <row r="265" spans="1:15" s="36" customFormat="1" ht="12" x14ac:dyDescent="0.2">
      <c r="A265" s="33"/>
      <c r="B265" s="63">
        <v>40816</v>
      </c>
      <c r="C265" s="65">
        <v>-608.16</v>
      </c>
      <c r="D265" s="65">
        <v>145.86000000000001</v>
      </c>
      <c r="E265" s="67">
        <v>90.45</v>
      </c>
      <c r="F265" s="65">
        <v>-844.47</v>
      </c>
      <c r="G265" s="34"/>
      <c r="H265" s="33"/>
      <c r="I265" s="63">
        <v>41213</v>
      </c>
      <c r="J265" s="65">
        <v>195.68151622810601</v>
      </c>
      <c r="K265" s="65">
        <v>320.7</v>
      </c>
      <c r="L265" s="67">
        <v>83.14</v>
      </c>
      <c r="M265" s="65">
        <v>-208.158483771894</v>
      </c>
      <c r="N265" s="34"/>
      <c r="O265" s="35"/>
    </row>
    <row r="266" spans="1:15" s="36" customFormat="1" ht="12" x14ac:dyDescent="0.2">
      <c r="A266" s="33"/>
      <c r="B266" s="62">
        <v>40847</v>
      </c>
      <c r="C266" s="64">
        <v>721.13000000000204</v>
      </c>
      <c r="D266" s="64">
        <v>171.34</v>
      </c>
      <c r="E266" s="66">
        <v>83.34</v>
      </c>
      <c r="F266" s="64">
        <v>466.45000000000198</v>
      </c>
      <c r="G266" s="34"/>
      <c r="H266" s="33"/>
      <c r="I266" s="62">
        <v>41243</v>
      </c>
      <c r="J266" s="64">
        <v>6.9374141811839998</v>
      </c>
      <c r="K266" s="64">
        <v>194.81</v>
      </c>
      <c r="L266" s="66">
        <v>82.85</v>
      </c>
      <c r="M266" s="64">
        <v>-270.72258581881601</v>
      </c>
      <c r="N266" s="34"/>
      <c r="O266" s="35"/>
    </row>
    <row r="267" spans="1:15" s="36" customFormat="1" ht="12" x14ac:dyDescent="0.2">
      <c r="A267" s="33"/>
      <c r="B267" s="63">
        <v>40877</v>
      </c>
      <c r="C267" s="65">
        <v>-528.89</v>
      </c>
      <c r="D267" s="65">
        <v>146.63999999999999</v>
      </c>
      <c r="E267" s="67">
        <v>87.57</v>
      </c>
      <c r="F267" s="65">
        <v>-763.1</v>
      </c>
      <c r="G267" s="34"/>
      <c r="H267" s="33"/>
      <c r="I267" s="63">
        <v>41274</v>
      </c>
      <c r="J267" s="65">
        <v>248.43487550291499</v>
      </c>
      <c r="K267" s="65">
        <v>309.91000000000003</v>
      </c>
      <c r="L267" s="67">
        <v>116.95</v>
      </c>
      <c r="M267" s="65">
        <v>-178.42512449708499</v>
      </c>
      <c r="N267" s="34"/>
      <c r="O267" s="35"/>
    </row>
    <row r="268" spans="1:15" s="36" customFormat="1" ht="12" x14ac:dyDescent="0.2">
      <c r="A268" s="33"/>
      <c r="B268" s="62">
        <v>40908</v>
      </c>
      <c r="C268" s="64">
        <v>-397.59000000000401</v>
      </c>
      <c r="D268" s="64">
        <v>164.6</v>
      </c>
      <c r="E268" s="66">
        <v>122.42</v>
      </c>
      <c r="F268" s="64">
        <v>-684.61000000000399</v>
      </c>
      <c r="G268" s="34"/>
      <c r="H268" s="33"/>
      <c r="I268" s="62">
        <v>41305</v>
      </c>
      <c r="J268" s="64">
        <v>1162.8073324870199</v>
      </c>
      <c r="K268" s="64">
        <v>280.89</v>
      </c>
      <c r="L268" s="66">
        <v>92.7</v>
      </c>
      <c r="M268" s="64">
        <v>789.21733248702003</v>
      </c>
      <c r="N268" s="34"/>
      <c r="O268" s="35"/>
    </row>
    <row r="269" spans="1:15" s="36" customFormat="1" ht="12" x14ac:dyDescent="0.2">
      <c r="A269" s="33"/>
      <c r="B269" s="63">
        <v>40939</v>
      </c>
      <c r="C269" s="65">
        <v>724.83000000000402</v>
      </c>
      <c r="D269" s="65">
        <v>270.14</v>
      </c>
      <c r="E269" s="67">
        <v>99.97</v>
      </c>
      <c r="F269" s="65">
        <v>354.72000000000401</v>
      </c>
      <c r="G269" s="34"/>
      <c r="H269" s="33"/>
      <c r="I269" s="63">
        <v>41333</v>
      </c>
      <c r="J269" s="65">
        <v>433.47811543851498</v>
      </c>
      <c r="K269" s="65">
        <v>148.83000000000001</v>
      </c>
      <c r="L269" s="67">
        <v>82.14</v>
      </c>
      <c r="M269" s="65">
        <v>202.50811543851501</v>
      </c>
      <c r="N269" s="34"/>
      <c r="O269" s="35"/>
    </row>
    <row r="270" spans="1:15" s="36" customFormat="1" ht="12" x14ac:dyDescent="0.2">
      <c r="A270" s="33"/>
      <c r="B270" s="62">
        <v>40968</v>
      </c>
      <c r="C270" s="64">
        <v>560.26</v>
      </c>
      <c r="D270" s="64">
        <v>-320.02</v>
      </c>
      <c r="E270" s="66">
        <v>77.260000000000005</v>
      </c>
      <c r="F270" s="64">
        <v>803.02</v>
      </c>
      <c r="G270" s="34"/>
      <c r="H270" s="33"/>
      <c r="I270" s="62">
        <v>41364</v>
      </c>
      <c r="J270" s="64">
        <v>443.86765084460001</v>
      </c>
      <c r="K270" s="64">
        <v>-9.06</v>
      </c>
      <c r="L270" s="66">
        <v>124.21</v>
      </c>
      <c r="M270" s="64">
        <v>328.71765084459997</v>
      </c>
      <c r="N270" s="34"/>
      <c r="O270" s="35"/>
    </row>
    <row r="271" spans="1:15" s="36" customFormat="1" ht="12" x14ac:dyDescent="0.2">
      <c r="A271" s="33"/>
      <c r="B271" s="63">
        <v>40999</v>
      </c>
      <c r="C271" s="65">
        <v>-46.86</v>
      </c>
      <c r="D271" s="65">
        <v>51.83</v>
      </c>
      <c r="E271" s="67">
        <v>117.57</v>
      </c>
      <c r="F271" s="65">
        <v>-216.26</v>
      </c>
      <c r="H271" s="33"/>
      <c r="I271" s="63">
        <v>41394</v>
      </c>
      <c r="J271" s="65">
        <v>659.29367203697996</v>
      </c>
      <c r="K271" s="65">
        <v>183.62</v>
      </c>
      <c r="L271" s="67">
        <v>84.35</v>
      </c>
      <c r="M271" s="65">
        <v>391.32367203697999</v>
      </c>
      <c r="N271" s="34"/>
      <c r="O271" s="35"/>
    </row>
    <row r="272" spans="1:15" s="36" customFormat="1" ht="12" x14ac:dyDescent="0.2">
      <c r="A272" s="33"/>
      <c r="B272" s="62">
        <v>41029</v>
      </c>
      <c r="C272" s="64">
        <v>-60.58</v>
      </c>
      <c r="D272" s="64">
        <v>185.55</v>
      </c>
      <c r="E272" s="66">
        <v>84.01</v>
      </c>
      <c r="F272" s="64">
        <v>-330.14</v>
      </c>
      <c r="H272" s="33"/>
      <c r="I272" s="62">
        <v>41425</v>
      </c>
      <c r="J272" s="64">
        <v>461.44959543994997</v>
      </c>
      <c r="K272" s="64">
        <v>206.59</v>
      </c>
      <c r="L272" s="66">
        <v>92.56</v>
      </c>
      <c r="M272" s="64">
        <v>162.29959543995</v>
      </c>
      <c r="N272" s="34"/>
      <c r="O272" s="35"/>
    </row>
    <row r="273" spans="1:15" s="36" customFormat="1" ht="12" x14ac:dyDescent="0.2">
      <c r="A273" s="33"/>
      <c r="B273" s="63">
        <v>41060</v>
      </c>
      <c r="C273" s="65">
        <v>-928.04000000000303</v>
      </c>
      <c r="D273" s="65">
        <v>181.85</v>
      </c>
      <c r="E273" s="67">
        <v>92.29</v>
      </c>
      <c r="F273" s="65">
        <v>-1202.180000000003</v>
      </c>
      <c r="H273" s="33"/>
      <c r="I273" s="63">
        <v>41455</v>
      </c>
      <c r="J273" s="65">
        <v>114.50362922396</v>
      </c>
      <c r="K273" s="65">
        <v>272.67</v>
      </c>
      <c r="L273" s="67">
        <v>143.88999999999999</v>
      </c>
      <c r="M273" s="65">
        <v>-302.05637077604001</v>
      </c>
      <c r="N273" s="34"/>
      <c r="O273" s="35"/>
    </row>
    <row r="274" spans="1:15" s="36" customFormat="1" ht="12" x14ac:dyDescent="0.2">
      <c r="A274" s="33"/>
      <c r="B274" s="62">
        <v>41090</v>
      </c>
      <c r="C274" s="64">
        <v>338.96000000000299</v>
      </c>
      <c r="D274" s="64">
        <v>316.49</v>
      </c>
      <c r="E274" s="66">
        <v>119.79</v>
      </c>
      <c r="F274" s="64">
        <v>-97.319999999996995</v>
      </c>
      <c r="H274" s="33"/>
      <c r="I274" s="62">
        <v>41486</v>
      </c>
      <c r="J274" s="64">
        <v>-45.144014541955997</v>
      </c>
      <c r="K274" s="64">
        <v>177.58</v>
      </c>
      <c r="L274" s="66">
        <v>94.08</v>
      </c>
      <c r="M274" s="64">
        <v>-316.80401454195601</v>
      </c>
      <c r="N274" s="34"/>
      <c r="O274" s="35"/>
    </row>
    <row r="275" spans="1:15" s="36" customFormat="1" ht="12" x14ac:dyDescent="0.2">
      <c r="A275" s="33"/>
      <c r="B275" s="63">
        <v>41121</v>
      </c>
      <c r="C275" s="65">
        <v>-0.53</v>
      </c>
      <c r="D275" s="65">
        <v>253.01</v>
      </c>
      <c r="E275" s="67">
        <v>75.790000000000006</v>
      </c>
      <c r="F275" s="65">
        <v>-329.33</v>
      </c>
      <c r="H275" s="33"/>
      <c r="I275" s="63">
        <v>41517</v>
      </c>
      <c r="J275" s="65">
        <v>56.997646247475998</v>
      </c>
      <c r="K275" s="65">
        <v>281.33</v>
      </c>
      <c r="L275" s="67">
        <v>83.77</v>
      </c>
      <c r="M275" s="65">
        <v>-308.10235375252398</v>
      </c>
      <c r="N275" s="34"/>
      <c r="O275" s="35"/>
    </row>
    <row r="276" spans="1:15" s="36" customFormat="1" ht="12" x14ac:dyDescent="0.2">
      <c r="A276" s="33"/>
      <c r="B276" s="62">
        <v>41152</v>
      </c>
      <c r="C276" s="64">
        <v>329.49</v>
      </c>
      <c r="D276" s="64">
        <v>264.18</v>
      </c>
      <c r="E276" s="66">
        <v>83.26</v>
      </c>
      <c r="F276" s="64">
        <v>-17.95</v>
      </c>
      <c r="H276" s="33"/>
      <c r="I276" s="62">
        <v>41547</v>
      </c>
      <c r="J276" s="64">
        <v>291.40052031473999</v>
      </c>
      <c r="K276" s="64">
        <v>147.53</v>
      </c>
      <c r="L276" s="66">
        <v>88.4</v>
      </c>
      <c r="M276" s="64">
        <v>55.47052031474</v>
      </c>
      <c r="N276" s="34"/>
      <c r="O276" s="35"/>
    </row>
    <row r="277" spans="1:15" s="36" customFormat="1" ht="12" x14ac:dyDescent="0.2">
      <c r="A277" s="33"/>
      <c r="B277" s="63">
        <v>41182</v>
      </c>
      <c r="C277" s="65">
        <v>121.94000000000401</v>
      </c>
      <c r="D277" s="65">
        <v>274.64</v>
      </c>
      <c r="E277" s="67">
        <v>83.28</v>
      </c>
      <c r="F277" s="65">
        <v>-235.97999999999601</v>
      </c>
      <c r="H277" s="33"/>
      <c r="I277" s="63">
        <v>41578</v>
      </c>
      <c r="J277" s="65">
        <v>861.17974060380595</v>
      </c>
      <c r="K277" s="65">
        <v>310.35000000000002</v>
      </c>
      <c r="L277" s="67">
        <v>84.16</v>
      </c>
      <c r="M277" s="65">
        <v>466.66974060380602</v>
      </c>
      <c r="N277" s="34"/>
      <c r="O277" s="35"/>
    </row>
    <row r="278" spans="1:15" s="36" customFormat="1" ht="12" x14ac:dyDescent="0.2">
      <c r="A278" s="33"/>
      <c r="B278" s="62">
        <v>41213</v>
      </c>
      <c r="C278" s="64">
        <v>23.309999999995998</v>
      </c>
      <c r="D278" s="64">
        <v>320.7</v>
      </c>
      <c r="E278" s="66">
        <v>83.14</v>
      </c>
      <c r="F278" s="64">
        <v>-380.53000000000401</v>
      </c>
      <c r="H278" s="33"/>
      <c r="I278" s="62">
        <v>41608</v>
      </c>
      <c r="J278" s="64">
        <v>663.89898700032404</v>
      </c>
      <c r="K278" s="64">
        <v>337.53</v>
      </c>
      <c r="L278" s="66">
        <v>84.8</v>
      </c>
      <c r="M278" s="64">
        <v>241.568987000324</v>
      </c>
      <c r="N278" s="34"/>
      <c r="O278" s="35"/>
    </row>
    <row r="279" spans="1:15" s="36" customFormat="1" ht="12" x14ac:dyDescent="0.2">
      <c r="A279" s="33"/>
      <c r="B279" s="63">
        <v>41243</v>
      </c>
      <c r="C279" s="65">
        <v>102.45</v>
      </c>
      <c r="D279" s="65">
        <v>194.81</v>
      </c>
      <c r="E279" s="67">
        <v>82.85</v>
      </c>
      <c r="F279" s="65">
        <v>-175.21</v>
      </c>
      <c r="H279" s="33"/>
      <c r="I279" s="63">
        <v>41639</v>
      </c>
      <c r="J279" s="65">
        <v>606.79493684010004</v>
      </c>
      <c r="K279" s="65">
        <v>252.29</v>
      </c>
      <c r="L279" s="67">
        <v>120.8</v>
      </c>
      <c r="M279" s="65">
        <v>233.7049368401</v>
      </c>
      <c r="N279" s="34"/>
      <c r="O279" s="35"/>
    </row>
    <row r="280" spans="1:15" s="36" customFormat="1" ht="12" x14ac:dyDescent="0.2">
      <c r="A280" s="33"/>
      <c r="B280" s="62">
        <v>41274</v>
      </c>
      <c r="C280" s="64">
        <v>139.18</v>
      </c>
      <c r="D280" s="64">
        <v>309.91000000000003</v>
      </c>
      <c r="E280" s="66">
        <v>116.95</v>
      </c>
      <c r="F280" s="64">
        <v>-287.68</v>
      </c>
      <c r="H280" s="33"/>
      <c r="I280" s="62">
        <v>41670</v>
      </c>
      <c r="J280" s="64">
        <v>806.27094037045595</v>
      </c>
      <c r="K280" s="64">
        <v>320.22660000000002</v>
      </c>
      <c r="L280" s="66">
        <v>107.63</v>
      </c>
      <c r="M280" s="64">
        <v>378.41434037045599</v>
      </c>
      <c r="N280" s="34"/>
      <c r="O280" s="35"/>
    </row>
    <row r="281" spans="1:15" s="36" customFormat="1" ht="12" x14ac:dyDescent="0.2">
      <c r="A281" s="33"/>
      <c r="B281" s="63">
        <v>41305</v>
      </c>
      <c r="C281" s="65">
        <v>984.72</v>
      </c>
      <c r="D281" s="65">
        <v>280.89</v>
      </c>
      <c r="E281" s="67">
        <v>92.7</v>
      </c>
      <c r="F281" s="65">
        <v>611.13</v>
      </c>
      <c r="H281" s="33"/>
      <c r="I281" s="63">
        <v>41698</v>
      </c>
      <c r="J281" s="65">
        <v>143.45713367932399</v>
      </c>
      <c r="K281" s="65">
        <v>-225.68969999999999</v>
      </c>
      <c r="L281" s="67">
        <v>85.46</v>
      </c>
      <c r="M281" s="65">
        <v>283.68683367932402</v>
      </c>
      <c r="N281" s="34"/>
      <c r="O281" s="35"/>
    </row>
    <row r="282" spans="1:15" s="36" customFormat="1" ht="12" x14ac:dyDescent="0.2">
      <c r="A282" s="33"/>
      <c r="B282" s="62">
        <v>41333</v>
      </c>
      <c r="C282" s="64">
        <v>-146.43</v>
      </c>
      <c r="D282" s="64">
        <v>148.83000000000001</v>
      </c>
      <c r="E282" s="66">
        <v>82.14</v>
      </c>
      <c r="F282" s="64">
        <v>-377.4</v>
      </c>
      <c r="H282" s="33"/>
      <c r="I282" s="62">
        <v>41729</v>
      </c>
      <c r="J282" s="64">
        <v>128.883609946875</v>
      </c>
      <c r="K282" s="64">
        <v>79.846500000000006</v>
      </c>
      <c r="L282" s="66">
        <v>122.39</v>
      </c>
      <c r="M282" s="64">
        <v>-73.352890053124995</v>
      </c>
      <c r="N282" s="34"/>
      <c r="O282" s="35"/>
    </row>
    <row r="283" spans="1:15" s="36" customFormat="1" ht="12" x14ac:dyDescent="0.2">
      <c r="A283" s="33"/>
      <c r="B283" s="63">
        <v>41364</v>
      </c>
      <c r="C283" s="65">
        <v>472.31</v>
      </c>
      <c r="D283" s="65">
        <v>-9.06</v>
      </c>
      <c r="E283" s="67">
        <v>124.21</v>
      </c>
      <c r="F283" s="65">
        <v>357.16</v>
      </c>
      <c r="H283" s="33"/>
      <c r="I283" s="63">
        <v>41759</v>
      </c>
      <c r="J283" s="65">
        <v>38.417625497378999</v>
      </c>
      <c r="K283" s="65">
        <v>186.63659999999999</v>
      </c>
      <c r="L283" s="67">
        <v>87.2</v>
      </c>
      <c r="M283" s="65">
        <v>-235.41897450262101</v>
      </c>
      <c r="N283" s="34"/>
      <c r="O283" s="35"/>
    </row>
    <row r="284" spans="1:15" s="36" customFormat="1" ht="12" x14ac:dyDescent="0.2">
      <c r="A284" s="33"/>
      <c r="B284" s="62">
        <v>41394</v>
      </c>
      <c r="C284" s="64">
        <v>918.33</v>
      </c>
      <c r="D284" s="64">
        <v>183.62</v>
      </c>
      <c r="E284" s="66">
        <v>84.35</v>
      </c>
      <c r="F284" s="64">
        <v>650.36</v>
      </c>
      <c r="H284" s="33"/>
      <c r="I284" s="62">
        <v>41790</v>
      </c>
      <c r="J284" s="64">
        <v>-3.4165663465940002</v>
      </c>
      <c r="K284" s="64">
        <v>362.39389999999997</v>
      </c>
      <c r="L284" s="66">
        <v>86.4</v>
      </c>
      <c r="M284" s="64">
        <v>-452.21046634659399</v>
      </c>
      <c r="N284" s="34"/>
      <c r="O284" s="35"/>
    </row>
    <row r="285" spans="1:15" s="36" customFormat="1" ht="12" x14ac:dyDescent="0.2">
      <c r="A285" s="33"/>
      <c r="B285" s="63">
        <v>41425</v>
      </c>
      <c r="C285" s="65">
        <v>-196.75</v>
      </c>
      <c r="D285" s="65">
        <v>206.59</v>
      </c>
      <c r="E285" s="67">
        <v>92.56</v>
      </c>
      <c r="F285" s="65">
        <v>-495.9</v>
      </c>
      <c r="H285" s="33"/>
      <c r="I285" s="63">
        <v>41820</v>
      </c>
      <c r="J285" s="65">
        <v>-82.216434609933998</v>
      </c>
      <c r="K285" s="65">
        <v>318.94170000000003</v>
      </c>
      <c r="L285" s="67">
        <v>144.19999999999999</v>
      </c>
      <c r="M285" s="65">
        <v>-545.35813460993404</v>
      </c>
      <c r="N285" s="34"/>
      <c r="O285" s="35"/>
    </row>
    <row r="286" spans="1:15" s="36" customFormat="1" ht="12" x14ac:dyDescent="0.2">
      <c r="A286" s="33"/>
      <c r="B286" s="62">
        <v>41455</v>
      </c>
      <c r="C286" s="64">
        <v>-181.21</v>
      </c>
      <c r="D286" s="64">
        <v>272.67</v>
      </c>
      <c r="E286" s="66">
        <v>143.88999999999999</v>
      </c>
      <c r="F286" s="64">
        <v>-597.77</v>
      </c>
      <c r="H286" s="33"/>
      <c r="I286" s="62">
        <v>41851</v>
      </c>
      <c r="J286" s="64">
        <v>51.928526645169001</v>
      </c>
      <c r="K286" s="64">
        <v>473.5299</v>
      </c>
      <c r="L286" s="66">
        <v>78.099999999999994</v>
      </c>
      <c r="M286" s="64">
        <v>-499.70137335483099</v>
      </c>
      <c r="N286" s="34"/>
      <c r="O286" s="35"/>
    </row>
    <row r="287" spans="1:15" s="36" customFormat="1" ht="12" x14ac:dyDescent="0.2">
      <c r="A287" s="33"/>
      <c r="B287" s="63">
        <v>41486</v>
      </c>
      <c r="C287" s="65">
        <v>511.24</v>
      </c>
      <c r="D287" s="65">
        <v>177.58</v>
      </c>
      <c r="E287" s="67">
        <v>94.08</v>
      </c>
      <c r="F287" s="65">
        <v>239.58</v>
      </c>
      <c r="H287" s="33"/>
      <c r="I287" s="63">
        <v>41882</v>
      </c>
      <c r="J287" s="65">
        <v>-79.196871367764999</v>
      </c>
      <c r="K287" s="65">
        <v>498.76119999999997</v>
      </c>
      <c r="L287" s="67">
        <v>72</v>
      </c>
      <c r="M287" s="65">
        <v>-649.958071367765</v>
      </c>
      <c r="N287" s="34"/>
      <c r="O287" s="35"/>
    </row>
    <row r="288" spans="1:15" s="36" customFormat="1" ht="12" x14ac:dyDescent="0.2">
      <c r="A288" s="33"/>
      <c r="B288" s="62">
        <v>41517</v>
      </c>
      <c r="C288" s="64">
        <v>52.33</v>
      </c>
      <c r="D288" s="64">
        <v>281.33</v>
      </c>
      <c r="E288" s="66">
        <v>83.77</v>
      </c>
      <c r="F288" s="64">
        <v>-312.77</v>
      </c>
      <c r="H288" s="33"/>
      <c r="I288" s="62">
        <v>41912</v>
      </c>
      <c r="J288" s="64">
        <v>62.322431676569998</v>
      </c>
      <c r="K288" s="64">
        <v>312.13310000000001</v>
      </c>
      <c r="L288" s="66">
        <v>90.1</v>
      </c>
      <c r="M288" s="64">
        <v>-339.91066832343</v>
      </c>
      <c r="N288" s="34"/>
      <c r="O288" s="35"/>
    </row>
    <row r="289" spans="1:15" s="36" customFormat="1" ht="12" x14ac:dyDescent="0.2">
      <c r="A289" s="33"/>
      <c r="B289" s="63">
        <v>41547</v>
      </c>
      <c r="C289" s="65">
        <v>1096.19</v>
      </c>
      <c r="D289" s="65">
        <v>147.53</v>
      </c>
      <c r="E289" s="67">
        <v>88.4</v>
      </c>
      <c r="F289" s="65">
        <v>860.26</v>
      </c>
      <c r="H289" s="33"/>
      <c r="I289" s="63">
        <v>41943</v>
      </c>
      <c r="J289" s="65">
        <v>175.81556244735</v>
      </c>
      <c r="K289" s="65">
        <v>456.9939</v>
      </c>
      <c r="L289" s="67">
        <v>85.3</v>
      </c>
      <c r="M289" s="65">
        <v>-366.47833755264998</v>
      </c>
      <c r="N289" s="34"/>
      <c r="O289" s="35"/>
    </row>
    <row r="290" spans="1:15" s="36" customFormat="1" ht="12" x14ac:dyDescent="0.2">
      <c r="A290" s="33"/>
      <c r="B290" s="62">
        <v>41578</v>
      </c>
      <c r="C290" s="64">
        <v>739.25</v>
      </c>
      <c r="D290" s="64">
        <v>310.35000000000002</v>
      </c>
      <c r="E290" s="66">
        <v>84.16</v>
      </c>
      <c r="F290" s="64">
        <v>344.74</v>
      </c>
      <c r="H290" s="33"/>
      <c r="I290" s="62">
        <v>41973</v>
      </c>
      <c r="J290" s="64">
        <v>10.27051930266</v>
      </c>
      <c r="K290" s="64">
        <v>547.64559999999994</v>
      </c>
      <c r="L290" s="66">
        <v>103.6</v>
      </c>
      <c r="M290" s="64">
        <v>-640.97508069733999</v>
      </c>
      <c r="N290" s="34"/>
      <c r="O290" s="35"/>
    </row>
    <row r="291" spans="1:15" s="36" customFormat="1" ht="12" x14ac:dyDescent="0.2">
      <c r="A291" s="33"/>
      <c r="B291" s="63">
        <v>41608</v>
      </c>
      <c r="C291" s="65">
        <v>528.63999999999498</v>
      </c>
      <c r="D291" s="65">
        <v>337.53</v>
      </c>
      <c r="E291" s="67">
        <v>84.8</v>
      </c>
      <c r="F291" s="65">
        <v>106.309999999995</v>
      </c>
      <c r="H291" s="33"/>
      <c r="I291" s="63">
        <v>42004</v>
      </c>
      <c r="J291" s="65">
        <v>-41.314683921490001</v>
      </c>
      <c r="K291" s="65">
        <v>499.16120000000001</v>
      </c>
      <c r="L291" s="67">
        <v>133.19999999999999</v>
      </c>
      <c r="M291" s="65">
        <v>-673.67588392149003</v>
      </c>
      <c r="N291" s="34"/>
      <c r="O291" s="35"/>
    </row>
    <row r="292" spans="1:15" s="36" customFormat="1" ht="12" x14ac:dyDescent="0.2">
      <c r="A292" s="33"/>
      <c r="B292" s="62">
        <v>41639</v>
      </c>
      <c r="C292" s="64">
        <v>318.64000000000499</v>
      </c>
      <c r="D292" s="64">
        <v>252.29</v>
      </c>
      <c r="E292" s="66">
        <v>120.8</v>
      </c>
      <c r="F292" s="64">
        <v>-54.449999999995001</v>
      </c>
      <c r="H292" s="33"/>
      <c r="I292" s="62">
        <v>42035</v>
      </c>
      <c r="J292" s="64">
        <v>-202.68971141612599</v>
      </c>
      <c r="K292" s="64">
        <v>593.14779999999996</v>
      </c>
      <c r="L292" s="66">
        <v>139.19999999999999</v>
      </c>
      <c r="M292" s="64">
        <v>-935.03751141612599</v>
      </c>
      <c r="N292" s="34"/>
      <c r="O292" s="35"/>
    </row>
    <row r="293" spans="1:15" s="36" customFormat="1" ht="12" x14ac:dyDescent="0.2">
      <c r="A293" s="33"/>
      <c r="B293" s="63">
        <v>41670</v>
      </c>
      <c r="C293" s="65">
        <v>453.26</v>
      </c>
      <c r="D293" s="65">
        <v>320.22660000000002</v>
      </c>
      <c r="E293" s="67">
        <v>107.63</v>
      </c>
      <c r="F293" s="65">
        <v>25.403400000000001</v>
      </c>
      <c r="H293" s="33"/>
      <c r="I293" s="63">
        <v>42063</v>
      </c>
      <c r="J293" s="65">
        <v>16.469384145726</v>
      </c>
      <c r="K293" s="65">
        <v>604.62099999999998</v>
      </c>
      <c r="L293" s="67">
        <v>85.6</v>
      </c>
      <c r="M293" s="65">
        <v>-673.75161585427395</v>
      </c>
      <c r="N293" s="34"/>
      <c r="O293" s="35"/>
    </row>
    <row r="294" spans="1:15" s="36" customFormat="1" ht="12" x14ac:dyDescent="0.2">
      <c r="A294" s="33"/>
      <c r="B294" s="62">
        <v>41698</v>
      </c>
      <c r="C294" s="64">
        <v>470.98</v>
      </c>
      <c r="D294" s="64">
        <v>-225.68969999999999</v>
      </c>
      <c r="E294" s="66">
        <v>85.46</v>
      </c>
      <c r="F294" s="64">
        <v>611.2097</v>
      </c>
      <c r="H294" s="33"/>
      <c r="I294" s="62">
        <v>42094</v>
      </c>
      <c r="J294" s="64">
        <v>-384.83676636366999</v>
      </c>
      <c r="K294" s="64">
        <v>25.160399999999999</v>
      </c>
      <c r="L294" s="66">
        <v>124</v>
      </c>
      <c r="M294" s="64">
        <v>-533.99716636366998</v>
      </c>
      <c r="N294" s="34"/>
      <c r="O294" s="35"/>
    </row>
    <row r="295" spans="1:15" s="36" customFormat="1" ht="12" x14ac:dyDescent="0.2">
      <c r="A295" s="33"/>
      <c r="B295" s="63">
        <v>41729</v>
      </c>
      <c r="C295" s="65">
        <v>343.58</v>
      </c>
      <c r="D295" s="65">
        <v>79.846500000000006</v>
      </c>
      <c r="E295" s="67">
        <v>122.39</v>
      </c>
      <c r="F295" s="65">
        <v>141.34350000000001</v>
      </c>
      <c r="H295" s="33"/>
      <c r="I295" s="63">
        <v>42124</v>
      </c>
      <c r="J295" s="65">
        <v>211.51648807604499</v>
      </c>
      <c r="K295" s="65">
        <v>332.01530000000002</v>
      </c>
      <c r="L295" s="67">
        <v>96.1</v>
      </c>
      <c r="M295" s="65">
        <v>-216.598811923955</v>
      </c>
      <c r="N295" s="34"/>
      <c r="O295" s="35"/>
    </row>
    <row r="296" spans="1:15" s="36" customFormat="1" ht="12" x14ac:dyDescent="0.2">
      <c r="A296" s="33"/>
      <c r="B296" s="62">
        <v>41759</v>
      </c>
      <c r="C296" s="64">
        <v>306.980000000004</v>
      </c>
      <c r="D296" s="64">
        <v>186.63659999999999</v>
      </c>
      <c r="E296" s="66">
        <v>87.2</v>
      </c>
      <c r="F296" s="64">
        <v>33.143400000004</v>
      </c>
      <c r="H296" s="33"/>
      <c r="I296" s="62">
        <v>42155</v>
      </c>
      <c r="J296" s="64">
        <v>176.440027837831</v>
      </c>
      <c r="K296" s="64">
        <v>571.54570000000001</v>
      </c>
      <c r="L296" s="66">
        <v>93.3</v>
      </c>
      <c r="M296" s="64">
        <v>-488.40567216216903</v>
      </c>
      <c r="N296" s="34"/>
      <c r="O296" s="35"/>
    </row>
    <row r="297" spans="1:15" s="36" customFormat="1" ht="12" x14ac:dyDescent="0.2">
      <c r="A297" s="33"/>
      <c r="B297" s="63">
        <v>41790</v>
      </c>
      <c r="C297" s="65">
        <v>50.949999999989998</v>
      </c>
      <c r="D297" s="65">
        <v>362.39389999999997</v>
      </c>
      <c r="E297" s="67">
        <v>86.4</v>
      </c>
      <c r="F297" s="65">
        <v>-397.84390000001002</v>
      </c>
      <c r="H297" s="33"/>
      <c r="I297" s="63">
        <v>42185</v>
      </c>
      <c r="J297" s="65">
        <v>-167.80049304191201</v>
      </c>
      <c r="K297" s="65">
        <v>451.98149999999998</v>
      </c>
      <c r="L297" s="67">
        <v>145.80000000000001</v>
      </c>
      <c r="M297" s="65">
        <v>-765.58199304191203</v>
      </c>
      <c r="N297" s="34"/>
      <c r="O297" s="35"/>
    </row>
    <row r="298" spans="1:15" s="36" customFormat="1" ht="12" x14ac:dyDescent="0.2">
      <c r="A298" s="33"/>
      <c r="B298" s="62">
        <v>41820</v>
      </c>
      <c r="C298" s="64">
        <v>93.230000000011003</v>
      </c>
      <c r="D298" s="64">
        <v>318.94170000000003</v>
      </c>
      <c r="E298" s="66">
        <v>144.19999999999999</v>
      </c>
      <c r="F298" s="64">
        <v>-369.91169999998903</v>
      </c>
      <c r="H298" s="33"/>
      <c r="I298" s="62">
        <v>42216</v>
      </c>
      <c r="J298" s="64">
        <v>-411.43087577808399</v>
      </c>
      <c r="K298" s="64">
        <v>418.6952</v>
      </c>
      <c r="L298" s="66">
        <v>82.2</v>
      </c>
      <c r="M298" s="64">
        <v>-912.32607577808403</v>
      </c>
      <c r="N298" s="34"/>
      <c r="O298" s="35"/>
    </row>
    <row r="299" spans="1:15" s="36" customFormat="1" ht="12" x14ac:dyDescent="0.2">
      <c r="A299" s="33"/>
      <c r="B299" s="63">
        <v>41851</v>
      </c>
      <c r="C299" s="65">
        <v>-269.46000000000498</v>
      </c>
      <c r="D299" s="65">
        <v>473.5299</v>
      </c>
      <c r="E299" s="67">
        <v>78.099999999999994</v>
      </c>
      <c r="F299" s="65">
        <v>-821.08990000000495</v>
      </c>
      <c r="H299" s="33"/>
      <c r="I299" s="63">
        <v>42247</v>
      </c>
      <c r="J299" s="65">
        <v>-2563.82041287129</v>
      </c>
      <c r="K299" s="65">
        <v>596.88189999999997</v>
      </c>
      <c r="L299" s="67">
        <v>87.1</v>
      </c>
      <c r="M299" s="65">
        <v>-3247.8023128712898</v>
      </c>
      <c r="N299" s="34"/>
      <c r="O299" s="35"/>
    </row>
    <row r="300" spans="1:15" s="36" customFormat="1" ht="12" x14ac:dyDescent="0.2">
      <c r="A300" s="33"/>
      <c r="B300" s="62">
        <v>41882</v>
      </c>
      <c r="C300" s="64">
        <v>25.58</v>
      </c>
      <c r="D300" s="64">
        <v>498.76119999999997</v>
      </c>
      <c r="E300" s="66">
        <v>72</v>
      </c>
      <c r="F300" s="64">
        <v>-545.18119999999999</v>
      </c>
      <c r="H300" s="33"/>
      <c r="I300" s="62">
        <v>42277</v>
      </c>
      <c r="J300" s="64">
        <v>-1641.3413639599801</v>
      </c>
      <c r="K300" s="64">
        <v>596.05539999999996</v>
      </c>
      <c r="L300" s="66">
        <v>95.6</v>
      </c>
      <c r="M300" s="64">
        <v>-2332.9967639599799</v>
      </c>
      <c r="N300" s="34"/>
      <c r="O300" s="35"/>
    </row>
    <row r="301" spans="1:15" s="36" customFormat="1" ht="12" x14ac:dyDescent="0.2">
      <c r="A301" s="33"/>
      <c r="B301" s="63">
        <v>41912</v>
      </c>
      <c r="C301" s="65">
        <v>-811.25</v>
      </c>
      <c r="D301" s="65">
        <v>312.13310000000001</v>
      </c>
      <c r="E301" s="67">
        <v>90.1</v>
      </c>
      <c r="F301" s="65">
        <v>-1213.4830999999999</v>
      </c>
      <c r="H301" s="33"/>
      <c r="I301" s="63">
        <v>42308</v>
      </c>
      <c r="J301" s="65">
        <v>159.87897355659001</v>
      </c>
      <c r="K301" s="65">
        <v>612.8623</v>
      </c>
      <c r="L301" s="67">
        <v>87.7</v>
      </c>
      <c r="M301" s="65">
        <v>-540.68332644341001</v>
      </c>
      <c r="N301" s="34"/>
      <c r="O301" s="35"/>
    </row>
    <row r="302" spans="1:15" s="36" customFormat="1" ht="12" x14ac:dyDescent="0.2">
      <c r="A302" s="33"/>
      <c r="B302" s="62">
        <v>41943</v>
      </c>
      <c r="C302" s="64">
        <v>-347.82</v>
      </c>
      <c r="D302" s="64">
        <v>456.9939</v>
      </c>
      <c r="E302" s="66">
        <v>85.3</v>
      </c>
      <c r="F302" s="64">
        <v>-890.11389999999994</v>
      </c>
      <c r="H302" s="33"/>
      <c r="I302" s="62">
        <v>42338</v>
      </c>
      <c r="J302" s="64">
        <v>-469.92781832488998</v>
      </c>
      <c r="K302" s="64">
        <v>539.76490000000001</v>
      </c>
      <c r="L302" s="66">
        <v>103.6</v>
      </c>
      <c r="M302" s="64">
        <v>-1113.2927183248901</v>
      </c>
      <c r="N302" s="34"/>
      <c r="O302" s="35"/>
    </row>
    <row r="303" spans="1:15" s="36" customFormat="1" ht="12" x14ac:dyDescent="0.2">
      <c r="A303" s="33"/>
      <c r="B303" s="63">
        <v>41973</v>
      </c>
      <c r="C303" s="65">
        <v>-55.64</v>
      </c>
      <c r="D303" s="65">
        <v>547.64559999999994</v>
      </c>
      <c r="E303" s="67">
        <v>103.6</v>
      </c>
      <c r="F303" s="65">
        <v>-706.88559999999995</v>
      </c>
      <c r="H303" s="33"/>
      <c r="I303" s="63">
        <v>42369</v>
      </c>
      <c r="J303" s="65">
        <v>-1512.7368334124801</v>
      </c>
      <c r="K303" s="65">
        <v>596.30579999999998</v>
      </c>
      <c r="L303" s="67">
        <v>122.3</v>
      </c>
      <c r="M303" s="65">
        <v>-2231.3426334124802</v>
      </c>
      <c r="N303" s="34"/>
      <c r="O303" s="35"/>
    </row>
    <row r="304" spans="1:15" s="36" customFormat="1" ht="12" x14ac:dyDescent="0.2">
      <c r="A304" s="33"/>
      <c r="B304" s="62">
        <v>42004</v>
      </c>
      <c r="C304" s="64">
        <v>-43.36</v>
      </c>
      <c r="D304" s="64">
        <v>499.16120000000001</v>
      </c>
      <c r="E304" s="66">
        <v>133.19999999999999</v>
      </c>
      <c r="F304" s="64">
        <v>-675.72119999999995</v>
      </c>
      <c r="H304" s="33"/>
      <c r="I304" s="62">
        <v>42400</v>
      </c>
      <c r="J304" s="64">
        <v>0</v>
      </c>
      <c r="K304" s="64">
        <v>568.51980000000003</v>
      </c>
      <c r="L304" s="66">
        <v>140.69999999999999</v>
      </c>
      <c r="M304" s="64">
        <v>0</v>
      </c>
      <c r="N304" s="34"/>
      <c r="O304" s="35"/>
    </row>
    <row r="305" spans="1:15" s="36" customFormat="1" ht="12" x14ac:dyDescent="0.2">
      <c r="A305" s="33"/>
      <c r="B305" s="63">
        <v>42035</v>
      </c>
      <c r="C305" s="65">
        <v>-296.04000000000002</v>
      </c>
      <c r="D305" s="65">
        <v>593.14779999999996</v>
      </c>
      <c r="E305" s="67">
        <v>139.19999999999999</v>
      </c>
      <c r="F305" s="65">
        <v>-1028.3878</v>
      </c>
      <c r="H305" s="33"/>
      <c r="I305" s="63">
        <v>42429</v>
      </c>
      <c r="J305" s="65">
        <v>0</v>
      </c>
      <c r="K305" s="65">
        <v>281.49059999999997</v>
      </c>
      <c r="L305" s="67">
        <v>84.4</v>
      </c>
      <c r="M305" s="65">
        <v>0</v>
      </c>
      <c r="N305" s="34"/>
      <c r="O305" s="35"/>
    </row>
    <row r="306" spans="1:15" s="36" customFormat="1" ht="12" x14ac:dyDescent="0.2">
      <c r="A306" s="33"/>
      <c r="B306" s="62">
        <v>42063</v>
      </c>
      <c r="C306" s="64">
        <v>-119.11</v>
      </c>
      <c r="D306" s="64">
        <v>604.62099999999998</v>
      </c>
      <c r="E306" s="66">
        <v>85.6</v>
      </c>
      <c r="F306" s="64">
        <v>-809.33100000000002</v>
      </c>
      <c r="H306" s="33"/>
      <c r="I306" s="62">
        <v>42460</v>
      </c>
      <c r="J306" s="64">
        <v>0</v>
      </c>
      <c r="K306" s="64">
        <v>249.10409999999999</v>
      </c>
      <c r="L306" s="66">
        <v>129</v>
      </c>
      <c r="M306" s="64">
        <v>0</v>
      </c>
      <c r="N306" s="34"/>
      <c r="O306" s="35"/>
    </row>
    <row r="307" spans="1:15" s="36" customFormat="1" ht="12" x14ac:dyDescent="0.2">
      <c r="A307" s="33"/>
      <c r="B307" s="63">
        <v>42094</v>
      </c>
      <c r="C307" s="65">
        <v>-714.64999999999498</v>
      </c>
      <c r="D307" s="65">
        <v>25.160399999999999</v>
      </c>
      <c r="E307" s="67">
        <v>124</v>
      </c>
      <c r="F307" s="65">
        <v>-863.81039999999496</v>
      </c>
      <c r="H307" s="33"/>
      <c r="I307" s="63">
        <v>42490</v>
      </c>
      <c r="J307" s="65">
        <v>0</v>
      </c>
      <c r="K307" s="65">
        <v>398.59480000000002</v>
      </c>
      <c r="L307" s="67">
        <v>98.9</v>
      </c>
      <c r="M307" s="65">
        <v>0</v>
      </c>
      <c r="N307" s="34"/>
      <c r="O307" s="35"/>
    </row>
    <row r="308" spans="1:15" s="36" customFormat="1" ht="12" x14ac:dyDescent="0.2">
      <c r="A308" s="33"/>
      <c r="B308" s="62">
        <v>42124</v>
      </c>
      <c r="C308" s="64">
        <v>181.03999999999499</v>
      </c>
      <c r="D308" s="64">
        <v>332.01530000000002</v>
      </c>
      <c r="E308" s="66">
        <v>96.1</v>
      </c>
      <c r="F308" s="64">
        <v>-247.075300000005</v>
      </c>
      <c r="H308" s="33"/>
      <c r="I308" s="62">
        <v>42521</v>
      </c>
      <c r="J308" s="64">
        <v>0</v>
      </c>
      <c r="K308" s="64">
        <v>448.42619999999999</v>
      </c>
      <c r="L308" s="66">
        <v>88.9</v>
      </c>
      <c r="M308" s="64">
        <v>0</v>
      </c>
      <c r="N308" s="34"/>
      <c r="O308" s="35"/>
    </row>
    <row r="309" spans="1:15" s="36" customFormat="1" ht="12" x14ac:dyDescent="0.2">
      <c r="A309" s="33"/>
      <c r="B309" s="63">
        <v>42155</v>
      </c>
      <c r="C309" s="65">
        <v>-369.99</v>
      </c>
      <c r="D309" s="65">
        <v>571.54570000000001</v>
      </c>
      <c r="E309" s="67">
        <v>93.3</v>
      </c>
      <c r="F309" s="65">
        <v>-1034.8357000000001</v>
      </c>
      <c r="H309" s="33"/>
      <c r="I309" s="63">
        <v>42551</v>
      </c>
      <c r="J309" s="65">
        <v>0</v>
      </c>
      <c r="K309" s="65">
        <v>453.42239999999998</v>
      </c>
      <c r="L309" s="67">
        <v>152.30000000000001</v>
      </c>
      <c r="M309" s="65">
        <v>0</v>
      </c>
      <c r="N309" s="34"/>
      <c r="O309" s="35"/>
    </row>
    <row r="310" spans="1:15" s="36" customFormat="1" ht="12" x14ac:dyDescent="0.2">
      <c r="A310" s="33"/>
      <c r="B310" s="62">
        <v>42185</v>
      </c>
      <c r="C310" s="64">
        <v>-173.05</v>
      </c>
      <c r="D310" s="64">
        <v>451.98149999999998</v>
      </c>
      <c r="E310" s="66">
        <v>145.80000000000001</v>
      </c>
      <c r="F310" s="64">
        <v>-770.83150000000001</v>
      </c>
      <c r="H310" s="33"/>
      <c r="I310" s="62">
        <v>42582</v>
      </c>
      <c r="J310" s="64">
        <v>0</v>
      </c>
      <c r="K310" s="64">
        <v>483.4708</v>
      </c>
      <c r="L310" s="66">
        <v>77.099999999999994</v>
      </c>
      <c r="M310" s="64">
        <v>0</v>
      </c>
      <c r="N310" s="34"/>
      <c r="O310" s="35"/>
    </row>
    <row r="311" spans="1:15" s="36" customFormat="1" ht="12" x14ac:dyDescent="0.2">
      <c r="A311" s="33"/>
      <c r="B311" s="63">
        <v>42216</v>
      </c>
      <c r="C311" s="65">
        <v>-425.28</v>
      </c>
      <c r="D311" s="65">
        <v>418.6952</v>
      </c>
      <c r="E311" s="67">
        <v>82.2</v>
      </c>
      <c r="F311" s="65">
        <v>-926.17520000000002</v>
      </c>
      <c r="H311" s="33"/>
      <c r="I311" s="63">
        <v>42613</v>
      </c>
      <c r="J311" s="65">
        <v>0</v>
      </c>
      <c r="K311" s="65">
        <v>500.96620000000001</v>
      </c>
      <c r="L311" s="67">
        <v>87.6</v>
      </c>
      <c r="M311" s="65">
        <v>0</v>
      </c>
      <c r="N311" s="34"/>
      <c r="O311" s="35"/>
    </row>
    <row r="312" spans="1:15" s="36" customFormat="1" ht="12" x14ac:dyDescent="0.2">
      <c r="A312" s="33"/>
      <c r="B312" s="62">
        <v>42247</v>
      </c>
      <c r="C312" s="64">
        <v>-939.29</v>
      </c>
      <c r="D312" s="64">
        <v>596.88189999999997</v>
      </c>
      <c r="E312" s="66">
        <v>87.1</v>
      </c>
      <c r="F312" s="64">
        <v>-1623.2719</v>
      </c>
      <c r="H312" s="33"/>
      <c r="I312" s="62">
        <v>42643</v>
      </c>
      <c r="J312" s="64">
        <v>0</v>
      </c>
      <c r="K312" s="64">
        <v>404.30200000000002</v>
      </c>
      <c r="L312" s="66">
        <v>92.1</v>
      </c>
      <c r="M312" s="64">
        <v>0</v>
      </c>
      <c r="N312" s="34"/>
      <c r="O312" s="35"/>
    </row>
    <row r="313" spans="1:15" s="36" customFormat="1" ht="12" x14ac:dyDescent="0.2">
      <c r="A313" s="33"/>
      <c r="B313" s="63">
        <v>42277</v>
      </c>
      <c r="C313" s="65">
        <v>-432.60999999999598</v>
      </c>
      <c r="D313" s="65">
        <v>596.05539999999996</v>
      </c>
      <c r="E313" s="67">
        <v>95.6</v>
      </c>
      <c r="F313" s="65">
        <v>-1124.2653999999959</v>
      </c>
      <c r="H313" s="33"/>
      <c r="I313" s="63">
        <v>42674</v>
      </c>
      <c r="J313" s="65">
        <v>0</v>
      </c>
      <c r="K313" s="65">
        <v>481.65140000000002</v>
      </c>
      <c r="L313" s="67">
        <v>88.1</v>
      </c>
      <c r="M313" s="65">
        <v>0</v>
      </c>
      <c r="N313" s="34"/>
      <c r="O313" s="35"/>
    </row>
    <row r="314" spans="1:15" s="36" customFormat="1" ht="12" x14ac:dyDescent="0.2">
      <c r="A314" s="33"/>
      <c r="B314" s="62">
        <v>42308</v>
      </c>
      <c r="C314" s="64">
        <v>113.869999999996</v>
      </c>
      <c r="D314" s="64">
        <v>612.8623</v>
      </c>
      <c r="E314" s="66">
        <v>87.7</v>
      </c>
      <c r="F314" s="64">
        <v>-586.69230000000402</v>
      </c>
      <c r="H314" s="33"/>
      <c r="I314" s="62">
        <v>42704</v>
      </c>
      <c r="J314" s="64">
        <v>0</v>
      </c>
      <c r="K314" s="64">
        <v>430.83929999999998</v>
      </c>
      <c r="L314" s="66">
        <v>98.9</v>
      </c>
      <c r="M314" s="64">
        <v>0</v>
      </c>
      <c r="N314" s="34"/>
      <c r="O314" s="35"/>
    </row>
    <row r="315" spans="1:15" s="36" customFormat="1" ht="12" x14ac:dyDescent="0.2">
      <c r="A315" s="33"/>
      <c r="B315" s="63">
        <v>42338</v>
      </c>
      <c r="C315" s="65">
        <v>-872.22999999999604</v>
      </c>
      <c r="D315" s="65">
        <v>539.76490000000001</v>
      </c>
      <c r="E315" s="67">
        <v>103.6</v>
      </c>
      <c r="F315" s="65">
        <v>-1515.594899999996</v>
      </c>
      <c r="H315" s="33"/>
      <c r="I315" s="63">
        <v>42735</v>
      </c>
      <c r="J315" s="65">
        <v>0</v>
      </c>
      <c r="K315" s="65">
        <v>396.26220000000001</v>
      </c>
      <c r="L315" s="67">
        <v>122.1</v>
      </c>
      <c r="M315" s="65">
        <v>0</v>
      </c>
      <c r="N315" s="34"/>
      <c r="O315" s="35"/>
    </row>
    <row r="316" spans="1:15" s="36" customFormat="1" ht="12" x14ac:dyDescent="0.2">
      <c r="A316" s="33"/>
      <c r="B316" s="62">
        <v>42369</v>
      </c>
      <c r="C316" s="64">
        <v>-1079.2200000000039</v>
      </c>
      <c r="D316" s="64">
        <v>596.30579999999998</v>
      </c>
      <c r="E316" s="66">
        <v>122.3</v>
      </c>
      <c r="F316" s="64">
        <v>-1797.8258000000039</v>
      </c>
      <c r="H316" s="33"/>
      <c r="I316" s="62">
        <v>42766</v>
      </c>
      <c r="J316" s="64">
        <v>0</v>
      </c>
      <c r="K316" s="64">
        <v>486.77</v>
      </c>
      <c r="L316" s="66">
        <v>120</v>
      </c>
      <c r="M316" s="64">
        <v>0</v>
      </c>
      <c r="N316" s="34"/>
      <c r="O316" s="35"/>
    </row>
    <row r="317" spans="1:15" s="36" customFormat="1" ht="12" x14ac:dyDescent="0.2">
      <c r="A317" s="33"/>
      <c r="B317" s="63">
        <v>42400</v>
      </c>
      <c r="C317" s="65">
        <v>-994.69000000000301</v>
      </c>
      <c r="D317" s="65">
        <v>568.51980000000003</v>
      </c>
      <c r="E317" s="67">
        <v>140.69999999999999</v>
      </c>
      <c r="F317" s="65">
        <v>-1703.9098000000031</v>
      </c>
      <c r="H317" s="33"/>
      <c r="I317" s="63">
        <v>42794</v>
      </c>
      <c r="J317" s="65">
        <v>0</v>
      </c>
      <c r="K317" s="65">
        <v>-109.39</v>
      </c>
      <c r="L317" s="67">
        <v>87.1</v>
      </c>
      <c r="M317" s="65">
        <v>0</v>
      </c>
      <c r="N317" s="34"/>
      <c r="O317" s="35"/>
    </row>
    <row r="318" spans="1:15" s="36" customFormat="1" ht="12" x14ac:dyDescent="0.2">
      <c r="A318" s="33"/>
      <c r="B318" s="62">
        <v>42429</v>
      </c>
      <c r="C318" s="64">
        <v>-285.719999999994</v>
      </c>
      <c r="D318" s="64">
        <v>281.49059999999997</v>
      </c>
      <c r="E318" s="66">
        <v>84.4</v>
      </c>
      <c r="F318" s="64">
        <v>-651.61059999999395</v>
      </c>
      <c r="H318" s="33"/>
      <c r="I318" s="62">
        <v>42825</v>
      </c>
      <c r="J318" s="64">
        <v>0</v>
      </c>
      <c r="K318" s="64">
        <v>227.07</v>
      </c>
      <c r="L318" s="66">
        <v>131.1</v>
      </c>
      <c r="M318" s="64">
        <v>0</v>
      </c>
      <c r="N318" s="34"/>
      <c r="O318" s="35"/>
    </row>
    <row r="319" spans="1:15" s="36" customFormat="1" ht="12" x14ac:dyDescent="0.2">
      <c r="A319" s="33"/>
      <c r="B319" s="63">
        <v>42460</v>
      </c>
      <c r="C319" s="65">
        <v>102.579999999997</v>
      </c>
      <c r="D319" s="65">
        <v>249.10409999999999</v>
      </c>
      <c r="E319" s="67">
        <v>129</v>
      </c>
      <c r="F319" s="65">
        <v>-275.52410000000299</v>
      </c>
      <c r="H319" s="33"/>
      <c r="I319" s="63">
        <v>42855</v>
      </c>
      <c r="J319" s="65">
        <v>0</v>
      </c>
      <c r="K319" s="65">
        <v>365.12</v>
      </c>
      <c r="L319" s="67">
        <v>89.2</v>
      </c>
      <c r="M319" s="65">
        <v>0</v>
      </c>
      <c r="N319" s="34"/>
      <c r="O319" s="35"/>
    </row>
    <row r="320" spans="1:15" s="36" customFormat="1" ht="12" x14ac:dyDescent="0.2">
      <c r="A320" s="33"/>
      <c r="B320" s="62">
        <v>42490</v>
      </c>
      <c r="C320" s="64">
        <v>70.89</v>
      </c>
      <c r="D320" s="64">
        <v>398.59480000000002</v>
      </c>
      <c r="E320" s="66">
        <v>98.9</v>
      </c>
      <c r="F320" s="64">
        <v>-426.60480000000001</v>
      </c>
      <c r="H320" s="33"/>
      <c r="I320" s="62">
        <v>42886</v>
      </c>
      <c r="J320" s="64">
        <v>0</v>
      </c>
      <c r="K320" s="64">
        <v>399.23</v>
      </c>
      <c r="L320" s="66">
        <v>81.099999999999994</v>
      </c>
      <c r="M320" s="64">
        <v>0</v>
      </c>
      <c r="N320" s="34"/>
      <c r="O320" s="35"/>
    </row>
    <row r="321" spans="1:15" s="36" customFormat="1" ht="12" x14ac:dyDescent="0.2">
      <c r="A321" s="33"/>
      <c r="B321" s="63">
        <v>42521</v>
      </c>
      <c r="C321" s="65">
        <v>-279.32</v>
      </c>
      <c r="D321" s="65">
        <v>448.42619999999999</v>
      </c>
      <c r="E321" s="67">
        <v>88.9</v>
      </c>
      <c r="F321" s="65">
        <v>-816.64620000000002</v>
      </c>
      <c r="H321" s="33"/>
      <c r="I321" s="63">
        <v>42916</v>
      </c>
      <c r="J321" s="65">
        <v>0</v>
      </c>
      <c r="K321" s="65">
        <v>412.18</v>
      </c>
      <c r="L321" s="67">
        <v>148</v>
      </c>
      <c r="M321" s="65">
        <v>0</v>
      </c>
      <c r="N321" s="34"/>
      <c r="O321" s="35"/>
    </row>
    <row r="322" spans="1:15" s="36" customFormat="1" ht="12" x14ac:dyDescent="0.2">
      <c r="A322" s="33"/>
      <c r="B322" s="62">
        <v>42551</v>
      </c>
      <c r="C322" s="64">
        <v>134.260000000003</v>
      </c>
      <c r="D322" s="64">
        <v>453.42239999999998</v>
      </c>
      <c r="E322" s="66">
        <v>152.30000000000001</v>
      </c>
      <c r="F322" s="64">
        <v>-471.46239999999699</v>
      </c>
      <c r="H322" s="33"/>
      <c r="I322" s="62">
        <v>42947</v>
      </c>
      <c r="J322" s="64">
        <v>0</v>
      </c>
      <c r="K322" s="64">
        <v>448.5</v>
      </c>
      <c r="L322" s="66">
        <v>65</v>
      </c>
      <c r="M322" s="64">
        <v>0</v>
      </c>
      <c r="N322" s="34"/>
      <c r="O322" s="35"/>
    </row>
    <row r="323" spans="1:15" s="36" customFormat="1" ht="12" x14ac:dyDescent="0.2">
      <c r="A323" s="33"/>
      <c r="B323" s="63">
        <v>42582</v>
      </c>
      <c r="C323" s="65">
        <v>-41.05</v>
      </c>
      <c r="D323" s="65">
        <v>483.4708</v>
      </c>
      <c r="E323" s="67">
        <v>77.099999999999994</v>
      </c>
      <c r="F323" s="65">
        <v>-601.62080000000003</v>
      </c>
      <c r="H323" s="33"/>
      <c r="I323" s="63">
        <v>42978</v>
      </c>
      <c r="J323" s="65">
        <v>0</v>
      </c>
      <c r="K323" s="65">
        <v>400.46</v>
      </c>
      <c r="L323" s="67">
        <v>93.6</v>
      </c>
      <c r="M323" s="65">
        <v>0</v>
      </c>
      <c r="N323" s="34"/>
      <c r="O323" s="35"/>
    </row>
    <row r="324" spans="1:15" s="36" customFormat="1" ht="12" x14ac:dyDescent="0.2">
      <c r="A324" s="33"/>
      <c r="B324" s="62">
        <v>42613</v>
      </c>
      <c r="C324" s="64">
        <v>-158.900000000001</v>
      </c>
      <c r="D324" s="64">
        <v>500.96620000000001</v>
      </c>
      <c r="E324" s="66">
        <v>87.6</v>
      </c>
      <c r="F324" s="64">
        <v>-747.46620000000098</v>
      </c>
      <c r="H324" s="33"/>
      <c r="I324" s="62">
        <v>43008</v>
      </c>
      <c r="J324" s="64">
        <v>0</v>
      </c>
      <c r="K324" s="64">
        <v>273.76</v>
      </c>
      <c r="L324" s="66">
        <v>105.9</v>
      </c>
      <c r="M324" s="64">
        <v>0</v>
      </c>
      <c r="N324" s="34"/>
      <c r="O324" s="35"/>
    </row>
    <row r="325" spans="1:15" s="36" customFormat="1" ht="12" x14ac:dyDescent="0.2">
      <c r="A325" s="33"/>
      <c r="B325" s="63">
        <v>42643</v>
      </c>
      <c r="C325" s="65">
        <v>-187.85000000000201</v>
      </c>
      <c r="D325" s="65">
        <v>404.30200000000002</v>
      </c>
      <c r="E325" s="67">
        <v>92.1</v>
      </c>
      <c r="F325" s="65">
        <v>-684.252000000002</v>
      </c>
      <c r="H325" s="33"/>
      <c r="I325" s="63">
        <v>43039</v>
      </c>
      <c r="J325" s="65">
        <v>0</v>
      </c>
      <c r="K325" s="65">
        <v>368.99</v>
      </c>
      <c r="L325" s="67">
        <v>90.3</v>
      </c>
      <c r="M325" s="65">
        <v>0</v>
      </c>
      <c r="N325" s="34"/>
      <c r="O325" s="35"/>
    </row>
    <row r="326" spans="1:15" s="36" customFormat="1" ht="12" x14ac:dyDescent="0.2">
      <c r="A326" s="33"/>
      <c r="B326" s="62">
        <v>42674</v>
      </c>
      <c r="C326" s="64">
        <v>-457.27</v>
      </c>
      <c r="D326" s="64">
        <v>481.65140000000002</v>
      </c>
      <c r="E326" s="66">
        <v>88.1</v>
      </c>
      <c r="F326" s="64">
        <v>-1027.0214000000001</v>
      </c>
      <c r="G326" s="34"/>
      <c r="H326" s="33"/>
      <c r="I326" s="62">
        <v>43069</v>
      </c>
      <c r="J326" s="64">
        <v>0</v>
      </c>
      <c r="K326" s="64">
        <v>384.33</v>
      </c>
      <c r="L326" s="66">
        <v>187.8</v>
      </c>
      <c r="M326" s="64">
        <v>0</v>
      </c>
      <c r="N326" s="34"/>
      <c r="O326" s="35"/>
    </row>
    <row r="327" spans="1:15" s="36" customFormat="1" ht="12" x14ac:dyDescent="0.2">
      <c r="A327" s="33"/>
      <c r="B327" s="63">
        <v>42704</v>
      </c>
      <c r="C327" s="65">
        <v>-690.57</v>
      </c>
      <c r="D327" s="65">
        <v>430.83929999999998</v>
      </c>
      <c r="E327" s="67">
        <v>98.9</v>
      </c>
      <c r="F327" s="65">
        <v>-1220.3092999999999</v>
      </c>
      <c r="G327" s="34"/>
      <c r="H327" s="33"/>
      <c r="I327" s="63">
        <v>43100</v>
      </c>
      <c r="J327" s="65">
        <v>0</v>
      </c>
      <c r="K327" s="65">
        <v>538.5</v>
      </c>
      <c r="L327" s="67">
        <v>111.3</v>
      </c>
      <c r="M327" s="65">
        <v>0</v>
      </c>
      <c r="N327" s="34"/>
      <c r="O327" s="35"/>
    </row>
    <row r="328" spans="1:15" s="36" customFormat="1" ht="12" x14ac:dyDescent="0.2">
      <c r="A328" s="33"/>
      <c r="B328" s="62">
        <v>42735</v>
      </c>
      <c r="C328" s="64">
        <v>-410.81</v>
      </c>
      <c r="D328" s="64">
        <v>396.26220000000001</v>
      </c>
      <c r="E328" s="66">
        <v>122.1</v>
      </c>
      <c r="F328" s="64">
        <v>-929.17219999999998</v>
      </c>
      <c r="G328" s="34"/>
      <c r="H328" s="33"/>
      <c r="I328" s="62">
        <v>43131</v>
      </c>
      <c r="J328" s="64">
        <v>0</v>
      </c>
      <c r="K328" s="64">
        <v>183.19</v>
      </c>
      <c r="L328" s="66">
        <v>120.7</v>
      </c>
      <c r="M328" s="64">
        <v>0</v>
      </c>
      <c r="N328" s="34"/>
      <c r="O328" s="35"/>
    </row>
    <row r="329" spans="1:15" s="36" customFormat="1" ht="12" x14ac:dyDescent="0.2">
      <c r="A329" s="33"/>
      <c r="B329" s="63">
        <v>42766</v>
      </c>
      <c r="C329" s="65">
        <v>-123.13000000000299</v>
      </c>
      <c r="D329" s="65">
        <v>486.77</v>
      </c>
      <c r="E329" s="67">
        <v>120</v>
      </c>
      <c r="F329" s="65">
        <v>-729.90000000000305</v>
      </c>
      <c r="G329" s="34"/>
      <c r="H329" s="33"/>
      <c r="I329" s="63">
        <v>43159</v>
      </c>
      <c r="J329" s="65">
        <v>0</v>
      </c>
      <c r="K329" s="65">
        <v>322.04000000000002</v>
      </c>
      <c r="L329" s="67">
        <v>89.9</v>
      </c>
      <c r="M329" s="65">
        <v>0</v>
      </c>
      <c r="N329" s="34"/>
      <c r="O329" s="35"/>
    </row>
    <row r="330" spans="1:15" s="36" customFormat="1" ht="12" x14ac:dyDescent="0.2">
      <c r="A330" s="33"/>
      <c r="B330" s="62">
        <v>42794</v>
      </c>
      <c r="C330" s="64">
        <v>69.200000000003001</v>
      </c>
      <c r="D330" s="64">
        <v>-109.39</v>
      </c>
      <c r="E330" s="66">
        <v>87.1</v>
      </c>
      <c r="F330" s="64">
        <v>91.490000000002993</v>
      </c>
      <c r="G330" s="34"/>
      <c r="H330" s="33"/>
      <c r="I330" s="62">
        <v>43190</v>
      </c>
      <c r="J330" s="64">
        <v>0</v>
      </c>
      <c r="K330" s="64">
        <v>-57.94</v>
      </c>
      <c r="L330" s="66">
        <v>134.5</v>
      </c>
      <c r="M330" s="64">
        <v>0</v>
      </c>
      <c r="N330" s="34"/>
      <c r="O330" s="35"/>
    </row>
    <row r="331" spans="1:15" s="36" customFormat="1" ht="12" x14ac:dyDescent="0.2">
      <c r="A331" s="33"/>
      <c r="B331" s="63">
        <v>42825</v>
      </c>
      <c r="C331" s="65">
        <v>39.64</v>
      </c>
      <c r="D331" s="65">
        <v>227.07</v>
      </c>
      <c r="E331" s="67">
        <v>131.1</v>
      </c>
      <c r="F331" s="65">
        <v>-318.52999999999997</v>
      </c>
      <c r="G331" s="34"/>
      <c r="H331" s="33"/>
      <c r="I331" s="63">
        <v>43220</v>
      </c>
      <c r="J331" s="65">
        <v>0</v>
      </c>
      <c r="K331" s="65">
        <v>262.17</v>
      </c>
      <c r="L331" s="67">
        <v>90.9</v>
      </c>
      <c r="M331" s="65">
        <v>0</v>
      </c>
      <c r="N331" s="34"/>
      <c r="O331" s="35"/>
    </row>
    <row r="332" spans="1:15" s="36" customFormat="1" ht="12" x14ac:dyDescent="0.2">
      <c r="A332" s="33"/>
      <c r="B332" s="62">
        <v>42855</v>
      </c>
      <c r="C332" s="64">
        <v>204.45</v>
      </c>
      <c r="D332" s="64">
        <v>365.12</v>
      </c>
      <c r="E332" s="66">
        <v>89.2</v>
      </c>
      <c r="F332" s="64">
        <v>-249.87</v>
      </c>
      <c r="G332" s="34"/>
      <c r="H332" s="33"/>
      <c r="I332" s="62">
        <v>43251</v>
      </c>
      <c r="J332" s="64">
        <v>0</v>
      </c>
      <c r="K332" s="64">
        <v>234.15</v>
      </c>
      <c r="L332" s="66">
        <v>90.6</v>
      </c>
      <c r="M332" s="64">
        <v>0</v>
      </c>
      <c r="N332" s="34"/>
      <c r="O332" s="35"/>
    </row>
    <row r="333" spans="1:15" s="36" customFormat="1" ht="12" x14ac:dyDescent="0.2">
      <c r="A333" s="33"/>
      <c r="B333" s="63">
        <v>42886</v>
      </c>
      <c r="C333" s="65">
        <v>240.34000000000199</v>
      </c>
      <c r="D333" s="65">
        <v>399.23</v>
      </c>
      <c r="E333" s="67">
        <v>81.099999999999994</v>
      </c>
      <c r="F333" s="65">
        <v>-239.98999999999799</v>
      </c>
      <c r="G333" s="34"/>
      <c r="H333" s="33"/>
      <c r="I333" s="63">
        <v>43281</v>
      </c>
      <c r="J333" s="65">
        <v>0</v>
      </c>
      <c r="K333" s="65">
        <v>409.06</v>
      </c>
      <c r="L333" s="67">
        <v>156.6</v>
      </c>
      <c r="M333" s="65">
        <v>0</v>
      </c>
      <c r="N333" s="34"/>
      <c r="O333" s="35"/>
    </row>
    <row r="334" spans="1:15" s="36" customFormat="1" ht="12" x14ac:dyDescent="0.2">
      <c r="A334" s="33"/>
      <c r="B334" s="62">
        <v>42916</v>
      </c>
      <c r="C334" s="64">
        <v>32.219999999998002</v>
      </c>
      <c r="D334" s="64">
        <v>412.18</v>
      </c>
      <c r="E334" s="66">
        <v>148</v>
      </c>
      <c r="F334" s="64">
        <v>-527.96000000000197</v>
      </c>
      <c r="G334" s="34"/>
      <c r="H334" s="33"/>
      <c r="I334" s="62">
        <v>43312</v>
      </c>
      <c r="J334" s="64">
        <v>0</v>
      </c>
      <c r="K334" s="64">
        <v>274.88</v>
      </c>
      <c r="L334" s="66">
        <v>77.5</v>
      </c>
      <c r="M334" s="64">
        <v>0</v>
      </c>
      <c r="N334" s="34"/>
      <c r="O334" s="35"/>
    </row>
    <row r="335" spans="1:15" s="36" customFormat="1" ht="12" x14ac:dyDescent="0.2">
      <c r="A335" s="33"/>
      <c r="B335" s="63">
        <v>42947</v>
      </c>
      <c r="C335" s="65">
        <v>239.31</v>
      </c>
      <c r="D335" s="65">
        <v>448.5</v>
      </c>
      <c r="E335" s="67">
        <v>65</v>
      </c>
      <c r="F335" s="65">
        <v>-274.19</v>
      </c>
      <c r="G335" s="34"/>
      <c r="H335" s="33"/>
      <c r="I335" s="63">
        <v>43343</v>
      </c>
      <c r="J335" s="65">
        <v>0</v>
      </c>
      <c r="K335" s="65">
        <v>262.97000000000003</v>
      </c>
      <c r="L335" s="67">
        <v>104.3</v>
      </c>
      <c r="M335" s="65">
        <v>0</v>
      </c>
      <c r="N335" s="34"/>
      <c r="O335" s="35"/>
    </row>
    <row r="336" spans="1:15" s="36" customFormat="1" ht="12" x14ac:dyDescent="0.2">
      <c r="A336" s="33"/>
      <c r="B336" s="62">
        <v>42978</v>
      </c>
      <c r="C336" s="64">
        <v>108.07</v>
      </c>
      <c r="D336" s="64">
        <v>400.46</v>
      </c>
      <c r="E336" s="66">
        <v>93.6</v>
      </c>
      <c r="F336" s="64">
        <v>-385.99</v>
      </c>
      <c r="G336" s="34"/>
      <c r="H336" s="33"/>
      <c r="I336" s="62">
        <v>43373</v>
      </c>
      <c r="J336" s="64">
        <v>0</v>
      </c>
      <c r="K336" s="64">
        <v>302.63</v>
      </c>
      <c r="L336" s="66">
        <v>114.6</v>
      </c>
      <c r="M336" s="64">
        <v>0</v>
      </c>
      <c r="N336" s="34"/>
      <c r="O336" s="35"/>
    </row>
    <row r="337" spans="1:15" s="36" customFormat="1" ht="12" x14ac:dyDescent="0.2">
      <c r="A337" s="33"/>
      <c r="B337" s="63">
        <v>43008</v>
      </c>
      <c r="C337" s="65">
        <v>169.83</v>
      </c>
      <c r="D337" s="65">
        <v>273.76</v>
      </c>
      <c r="E337" s="67">
        <v>105.9</v>
      </c>
      <c r="F337" s="65">
        <v>-209.83</v>
      </c>
      <c r="G337" s="34"/>
      <c r="H337" s="33"/>
      <c r="I337" s="63">
        <v>43404</v>
      </c>
      <c r="J337" s="65">
        <v>0</v>
      </c>
      <c r="K337" s="65">
        <v>329.74</v>
      </c>
      <c r="L337" s="67">
        <v>97</v>
      </c>
      <c r="M337" s="65">
        <v>0</v>
      </c>
      <c r="N337" s="34"/>
      <c r="O337" s="35"/>
    </row>
    <row r="338" spans="1:15" s="36" customFormat="1" ht="12" x14ac:dyDescent="0.2">
      <c r="A338" s="33"/>
      <c r="B338" s="62">
        <v>43039</v>
      </c>
      <c r="C338" s="64">
        <v>7.03</v>
      </c>
      <c r="D338" s="64">
        <v>368.99</v>
      </c>
      <c r="E338" s="66">
        <v>90.3</v>
      </c>
      <c r="F338" s="64">
        <v>-452.26</v>
      </c>
      <c r="G338" s="34"/>
      <c r="H338" s="33"/>
      <c r="I338" s="62">
        <v>43434</v>
      </c>
      <c r="J338" s="64">
        <v>0</v>
      </c>
      <c r="K338" s="64">
        <v>418.59</v>
      </c>
      <c r="L338" s="66">
        <v>136</v>
      </c>
      <c r="M338" s="64">
        <v>0</v>
      </c>
      <c r="N338" s="34"/>
      <c r="O338" s="35"/>
    </row>
    <row r="339" spans="1:15" s="36" customFormat="1" ht="12" x14ac:dyDescent="0.2">
      <c r="A339" s="33"/>
      <c r="B339" s="63">
        <v>43069</v>
      </c>
      <c r="C339" s="65">
        <v>100.64</v>
      </c>
      <c r="D339" s="65">
        <v>384.33</v>
      </c>
      <c r="E339" s="67">
        <v>187.8</v>
      </c>
      <c r="F339" s="65">
        <v>-471.49</v>
      </c>
      <c r="G339" s="34"/>
      <c r="H339" s="33"/>
      <c r="I339" s="63">
        <v>43465</v>
      </c>
      <c r="J339" s="65">
        <v>0</v>
      </c>
      <c r="K339" s="65">
        <v>568</v>
      </c>
      <c r="L339" s="67">
        <v>137.1</v>
      </c>
      <c r="M339" s="65">
        <v>0</v>
      </c>
      <c r="N339" s="34"/>
      <c r="O339" s="35"/>
    </row>
    <row r="340" spans="1:15" s="36" customFormat="1" ht="12" x14ac:dyDescent="0.2">
      <c r="A340" s="33"/>
      <c r="B340" s="62">
        <v>43100</v>
      </c>
      <c r="C340" s="64">
        <v>206.71999999999801</v>
      </c>
      <c r="D340" s="64">
        <v>538.5</v>
      </c>
      <c r="E340" s="66">
        <v>111.3</v>
      </c>
      <c r="F340" s="64">
        <v>-443.08000000000197</v>
      </c>
      <c r="G340" s="34"/>
      <c r="H340" s="33"/>
      <c r="I340" s="62">
        <v>43496</v>
      </c>
      <c r="J340" s="64">
        <v>0</v>
      </c>
      <c r="K340" s="64">
        <v>383.38</v>
      </c>
      <c r="L340" s="66">
        <v>124.1</v>
      </c>
      <c r="M340" s="64">
        <v>0</v>
      </c>
      <c r="N340" s="34"/>
      <c r="O340" s="35"/>
    </row>
    <row r="341" spans="1:15" s="36" customFormat="1" ht="12" x14ac:dyDescent="0.2">
      <c r="A341" s="33"/>
      <c r="B341" s="63">
        <v>43131</v>
      </c>
      <c r="C341" s="65">
        <v>215.080000000002</v>
      </c>
      <c r="D341" s="65">
        <v>183.19</v>
      </c>
      <c r="E341" s="67">
        <v>120.7</v>
      </c>
      <c r="F341" s="65">
        <v>-88.809999999997999</v>
      </c>
      <c r="G341" s="34"/>
      <c r="H341" s="33"/>
      <c r="I341" s="63">
        <v>43524</v>
      </c>
      <c r="J341" s="65">
        <v>0</v>
      </c>
      <c r="K341" s="65">
        <v>29.59</v>
      </c>
      <c r="L341" s="67">
        <v>92.8</v>
      </c>
      <c r="M341" s="65">
        <v>0</v>
      </c>
      <c r="N341" s="34"/>
      <c r="O341" s="35"/>
    </row>
    <row r="342" spans="1:15" s="36" customFormat="1" ht="12" x14ac:dyDescent="0.2">
      <c r="A342" s="33"/>
      <c r="B342" s="62">
        <v>43159</v>
      </c>
      <c r="C342" s="64">
        <v>-269.74999999999699</v>
      </c>
      <c r="D342" s="64">
        <v>322.04000000000002</v>
      </c>
      <c r="E342" s="66">
        <v>89.9</v>
      </c>
      <c r="F342" s="64">
        <v>-681.68999999999699</v>
      </c>
      <c r="G342" s="34"/>
      <c r="H342" s="33"/>
      <c r="I342" s="62">
        <v>43555</v>
      </c>
      <c r="J342" s="64">
        <v>0</v>
      </c>
      <c r="K342" s="64">
        <v>313.67</v>
      </c>
      <c r="L342" s="66">
        <v>141.1</v>
      </c>
      <c r="M342" s="64">
        <v>0</v>
      </c>
      <c r="N342" s="34"/>
      <c r="O342" s="35"/>
    </row>
    <row r="343" spans="1:15" s="36" customFormat="1" ht="12" x14ac:dyDescent="0.2">
      <c r="A343" s="33"/>
      <c r="B343" s="63">
        <v>43190</v>
      </c>
      <c r="C343" s="65">
        <v>83.379999999993998</v>
      </c>
      <c r="D343" s="65">
        <v>-57.94</v>
      </c>
      <c r="E343" s="67">
        <v>134.5</v>
      </c>
      <c r="F343" s="65">
        <v>6.8199999999939998</v>
      </c>
      <c r="G343" s="34"/>
      <c r="H343" s="33"/>
      <c r="I343" s="63">
        <v>43585</v>
      </c>
      <c r="J343" s="65">
        <v>0</v>
      </c>
      <c r="K343" s="65">
        <v>130.74</v>
      </c>
      <c r="L343" s="67">
        <v>93.4</v>
      </c>
      <c r="M343" s="65">
        <v>0</v>
      </c>
      <c r="N343" s="34"/>
      <c r="O343" s="35"/>
    </row>
    <row r="344" spans="1:15" s="36" customFormat="1" ht="12" x14ac:dyDescent="0.2">
      <c r="A344" s="33"/>
      <c r="B344" s="62">
        <v>43220</v>
      </c>
      <c r="C344" s="64">
        <v>-179.67999999999299</v>
      </c>
      <c r="D344" s="64">
        <v>262.17</v>
      </c>
      <c r="E344" s="66">
        <v>90.9</v>
      </c>
      <c r="F344" s="64">
        <v>-532.74999999999295</v>
      </c>
      <c r="G344" s="34"/>
      <c r="H344" s="33"/>
      <c r="I344" s="62">
        <v>43616</v>
      </c>
      <c r="J344" s="64">
        <v>0</v>
      </c>
      <c r="K344" s="64">
        <v>411.45</v>
      </c>
      <c r="L344" s="66">
        <v>94.7</v>
      </c>
      <c r="M344" s="64">
        <v>0</v>
      </c>
      <c r="N344" s="34"/>
      <c r="O344" s="35"/>
    </row>
    <row r="345" spans="1:15" s="36" customFormat="1" ht="12" x14ac:dyDescent="0.2">
      <c r="A345" s="33"/>
      <c r="B345" s="63">
        <v>43251</v>
      </c>
      <c r="C345" s="65">
        <v>-142.290000000004</v>
      </c>
      <c r="D345" s="65">
        <v>234.15</v>
      </c>
      <c r="E345" s="67">
        <v>90.6</v>
      </c>
      <c r="F345" s="65">
        <v>-467.040000000004</v>
      </c>
      <c r="G345" s="34"/>
      <c r="H345" s="33"/>
      <c r="I345" s="63">
        <v>43646</v>
      </c>
      <c r="J345" s="65">
        <v>0</v>
      </c>
      <c r="K345" s="65">
        <v>496.49</v>
      </c>
      <c r="L345" s="67">
        <v>161.30000000000001</v>
      </c>
      <c r="M345" s="65">
        <v>0</v>
      </c>
      <c r="N345" s="34"/>
      <c r="O345" s="35"/>
    </row>
    <row r="346" spans="1:15" s="36" customFormat="1" ht="12" x14ac:dyDescent="0.2">
      <c r="A346" s="33"/>
      <c r="B346" s="62">
        <v>43281</v>
      </c>
      <c r="C346" s="64">
        <v>15.06</v>
      </c>
      <c r="D346" s="64">
        <v>409.06</v>
      </c>
      <c r="E346" s="66">
        <v>156.6</v>
      </c>
      <c r="F346" s="64">
        <v>-550.6</v>
      </c>
      <c r="G346" s="34"/>
      <c r="H346" s="33"/>
      <c r="I346" s="62">
        <v>43677</v>
      </c>
      <c r="J346" s="64">
        <v>0</v>
      </c>
      <c r="K346" s="64">
        <v>440.15</v>
      </c>
      <c r="L346" s="66">
        <v>80.7</v>
      </c>
      <c r="M346" s="64">
        <v>0</v>
      </c>
      <c r="N346" s="34"/>
      <c r="O346" s="35"/>
    </row>
    <row r="347" spans="1:15" s="36" customFormat="1" ht="12" x14ac:dyDescent="0.2">
      <c r="A347" s="33"/>
      <c r="B347" s="63">
        <v>43312</v>
      </c>
      <c r="C347" s="65">
        <v>58.170000000003</v>
      </c>
      <c r="D347" s="65">
        <v>274.88</v>
      </c>
      <c r="E347" s="67">
        <v>77.5</v>
      </c>
      <c r="F347" s="65">
        <v>-294.20999999999702</v>
      </c>
      <c r="G347" s="34"/>
      <c r="H347" s="33"/>
      <c r="I347" s="63">
        <v>43708</v>
      </c>
      <c r="J347" s="65">
        <v>0</v>
      </c>
      <c r="K347" s="65">
        <v>347.16</v>
      </c>
      <c r="L347" s="67">
        <v>104.6</v>
      </c>
      <c r="M347" s="65">
        <v>0</v>
      </c>
      <c r="N347" s="34"/>
      <c r="O347" s="35"/>
    </row>
    <row r="348" spans="1:15" s="36" customFormat="1" ht="12" x14ac:dyDescent="0.2">
      <c r="A348" s="33"/>
      <c r="B348" s="62">
        <v>43343</v>
      </c>
      <c r="C348" s="64">
        <v>-82.300000000002996</v>
      </c>
      <c r="D348" s="64">
        <v>262.97000000000003</v>
      </c>
      <c r="E348" s="66">
        <v>104.3</v>
      </c>
      <c r="F348" s="64">
        <v>-449.57000000000301</v>
      </c>
      <c r="G348" s="34"/>
      <c r="H348" s="33"/>
      <c r="I348" s="62">
        <v>43738</v>
      </c>
      <c r="J348" s="64">
        <v>0</v>
      </c>
      <c r="K348" s="64">
        <v>390.78</v>
      </c>
      <c r="L348" s="66">
        <v>115.2</v>
      </c>
      <c r="M348" s="64">
        <v>0</v>
      </c>
      <c r="N348" s="34"/>
      <c r="O348" s="35"/>
    </row>
    <row r="349" spans="1:15" s="36" customFormat="1" ht="12" x14ac:dyDescent="0.2">
      <c r="A349" s="33"/>
      <c r="B349" s="63">
        <v>43373</v>
      </c>
      <c r="C349" s="65">
        <v>-226.91</v>
      </c>
      <c r="D349" s="65">
        <v>302.63</v>
      </c>
      <c r="E349" s="67">
        <v>114.6</v>
      </c>
      <c r="F349" s="65">
        <v>-644.14</v>
      </c>
      <c r="G349" s="34"/>
      <c r="H349" s="33"/>
      <c r="I349" s="63">
        <v>43769</v>
      </c>
      <c r="J349" s="65">
        <v>0</v>
      </c>
      <c r="K349" s="65">
        <v>423.08</v>
      </c>
      <c r="L349" s="67">
        <v>100</v>
      </c>
      <c r="M349" s="65">
        <v>0</v>
      </c>
      <c r="N349" s="34"/>
      <c r="O349" s="35"/>
    </row>
    <row r="350" spans="1:15" s="36" customFormat="1" ht="12" x14ac:dyDescent="0.2">
      <c r="A350" s="33"/>
      <c r="B350" s="62">
        <v>43404</v>
      </c>
      <c r="C350" s="64">
        <v>-339.27000000000402</v>
      </c>
      <c r="D350" s="64">
        <v>329.74</v>
      </c>
      <c r="E350" s="66">
        <v>97</v>
      </c>
      <c r="F350" s="64">
        <v>-766.01000000000397</v>
      </c>
      <c r="G350" s="34"/>
      <c r="H350" s="33"/>
      <c r="I350" s="62">
        <v>43799</v>
      </c>
      <c r="J350" s="64">
        <v>0</v>
      </c>
      <c r="K350" s="64">
        <v>371.76</v>
      </c>
      <c r="L350" s="66">
        <v>136.19999999999999</v>
      </c>
      <c r="M350" s="64">
        <v>0</v>
      </c>
      <c r="N350" s="34"/>
      <c r="O350" s="35"/>
    </row>
    <row r="351" spans="1:15" s="36" customFormat="1" ht="12" x14ac:dyDescent="0.2">
      <c r="A351" s="33"/>
      <c r="B351" s="63">
        <v>43434</v>
      </c>
      <c r="C351" s="65">
        <v>85.990000000001999</v>
      </c>
      <c r="D351" s="65">
        <v>418.59</v>
      </c>
      <c r="E351" s="67">
        <v>136</v>
      </c>
      <c r="F351" s="65">
        <v>-468.59999999999798</v>
      </c>
      <c r="G351" s="34"/>
      <c r="H351" s="33"/>
      <c r="I351" s="63">
        <v>43830</v>
      </c>
      <c r="J351" s="65">
        <v>0</v>
      </c>
      <c r="K351" s="65">
        <v>472.48</v>
      </c>
      <c r="L351" s="67">
        <v>137.5</v>
      </c>
      <c r="M351" s="65">
        <v>0</v>
      </c>
      <c r="N351" s="34"/>
      <c r="O351" s="35"/>
    </row>
    <row r="352" spans="1:15" s="36" customFormat="1" ht="12" x14ac:dyDescent="0.2">
      <c r="A352" s="33"/>
      <c r="B352" s="62">
        <v>43465</v>
      </c>
      <c r="C352" s="64">
        <v>110.150000000002</v>
      </c>
      <c r="D352" s="64">
        <v>568</v>
      </c>
      <c r="E352" s="66">
        <v>137.1</v>
      </c>
      <c r="F352" s="64">
        <v>-594.949999999998</v>
      </c>
      <c r="G352" s="34"/>
      <c r="H352" s="33"/>
      <c r="I352" s="62">
        <v>43861</v>
      </c>
      <c r="J352" s="64">
        <v>0</v>
      </c>
      <c r="K352" s="64">
        <v>546.66999999999996</v>
      </c>
      <c r="L352" s="66">
        <v>126.8</v>
      </c>
      <c r="M352" s="64">
        <v>0</v>
      </c>
      <c r="N352" s="34"/>
      <c r="O352" s="35"/>
    </row>
    <row r="353" spans="1:15" s="36" customFormat="1" ht="12" x14ac:dyDescent="0.2">
      <c r="A353" s="33"/>
      <c r="B353" s="63">
        <v>43496</v>
      </c>
      <c r="C353" s="65">
        <v>152.12</v>
      </c>
      <c r="D353" s="65">
        <v>383.38</v>
      </c>
      <c r="E353" s="67">
        <v>124.1</v>
      </c>
      <c r="F353" s="65">
        <v>-355.36</v>
      </c>
      <c r="G353" s="34"/>
      <c r="H353" s="33"/>
      <c r="I353" s="63">
        <v>43890</v>
      </c>
      <c r="J353" s="65">
        <v>0</v>
      </c>
      <c r="K353" s="65">
        <v>-619.91999999999996</v>
      </c>
      <c r="L353" s="67">
        <v>67.400000000000006</v>
      </c>
      <c r="M353" s="65">
        <v>0</v>
      </c>
      <c r="N353" s="34"/>
      <c r="O353" s="35"/>
    </row>
    <row r="354" spans="1:15" s="36" customFormat="1" ht="12" x14ac:dyDescent="0.2">
      <c r="A354" s="33"/>
      <c r="B354" s="62">
        <v>43524</v>
      </c>
      <c r="C354" s="64">
        <v>22.56</v>
      </c>
      <c r="D354" s="64">
        <v>29.59</v>
      </c>
      <c r="E354" s="66">
        <v>92.8</v>
      </c>
      <c r="F354" s="64">
        <v>-99.83</v>
      </c>
      <c r="G354" s="34"/>
      <c r="H354" s="33"/>
      <c r="I354" s="62">
        <v>43921</v>
      </c>
      <c r="J354" s="64">
        <v>0</v>
      </c>
      <c r="K354" s="64">
        <v>199.69</v>
      </c>
      <c r="L354" s="66">
        <v>117.8</v>
      </c>
      <c r="M354" s="64">
        <v>0</v>
      </c>
      <c r="N354" s="34"/>
      <c r="O354" s="35"/>
    </row>
    <row r="355" spans="1:15" s="36" customFormat="1" ht="12" x14ac:dyDescent="0.2">
      <c r="A355" s="33"/>
      <c r="B355" s="63">
        <v>43555</v>
      </c>
      <c r="C355" s="65">
        <v>85.81</v>
      </c>
      <c r="D355" s="65">
        <v>313.67</v>
      </c>
      <c r="E355" s="67">
        <v>141.1</v>
      </c>
      <c r="F355" s="65">
        <v>-368.96</v>
      </c>
      <c r="G355" s="34"/>
      <c r="H355" s="33"/>
      <c r="I355" s="63">
        <v>43951</v>
      </c>
      <c r="J355" s="65">
        <v>0</v>
      </c>
      <c r="K355" s="65">
        <v>449.37</v>
      </c>
      <c r="L355" s="67">
        <v>101.4</v>
      </c>
      <c r="M355" s="65">
        <v>0</v>
      </c>
      <c r="N355" s="34"/>
      <c r="O355" s="35"/>
    </row>
    <row r="356" spans="1:15" s="36" customFormat="1" ht="12" x14ac:dyDescent="0.2">
      <c r="A356" s="33"/>
      <c r="B356" s="62">
        <v>43585</v>
      </c>
      <c r="C356" s="64">
        <v>-38.08</v>
      </c>
      <c r="D356" s="64">
        <v>130.74</v>
      </c>
      <c r="E356" s="66">
        <v>93.4</v>
      </c>
      <c r="F356" s="64">
        <v>-262.22000000000003</v>
      </c>
      <c r="G356" s="34"/>
      <c r="H356" s="33"/>
      <c r="I356" s="62">
        <v>43982</v>
      </c>
      <c r="J356" s="64">
        <v>0</v>
      </c>
      <c r="K356" s="64">
        <v>616.16999999999996</v>
      </c>
      <c r="L356" s="66">
        <v>98.7</v>
      </c>
      <c r="M356" s="64">
        <v>0</v>
      </c>
      <c r="N356" s="34"/>
      <c r="O356" s="35"/>
    </row>
    <row r="357" spans="1:15" s="36" customFormat="1" ht="12" x14ac:dyDescent="0.2">
      <c r="A357" s="33"/>
      <c r="B357" s="63">
        <v>43616</v>
      </c>
      <c r="C357" s="65">
        <v>60.51</v>
      </c>
      <c r="D357" s="65">
        <v>411.45</v>
      </c>
      <c r="E357" s="67">
        <v>94.7</v>
      </c>
      <c r="F357" s="65">
        <v>-445.64</v>
      </c>
      <c r="G357" s="34"/>
      <c r="H357" s="33"/>
      <c r="I357" s="63">
        <v>44012</v>
      </c>
      <c r="J357" s="65">
        <v>0</v>
      </c>
      <c r="K357" s="65">
        <v>446.8</v>
      </c>
      <c r="L357" s="67">
        <v>167.2</v>
      </c>
      <c r="M357" s="65">
        <v>0</v>
      </c>
      <c r="N357" s="34"/>
      <c r="O357" s="35"/>
    </row>
    <row r="358" spans="1:15" s="36" customFormat="1" ht="12" x14ac:dyDescent="0.2">
      <c r="A358" s="33"/>
      <c r="B358" s="62">
        <v>43646</v>
      </c>
      <c r="C358" s="64">
        <v>182.3</v>
      </c>
      <c r="D358" s="64">
        <v>496.49</v>
      </c>
      <c r="E358" s="66">
        <v>161.30000000000001</v>
      </c>
      <c r="F358" s="64">
        <v>-475.49</v>
      </c>
      <c r="G358" s="34"/>
      <c r="H358" s="33"/>
      <c r="I358" s="62">
        <v>44043</v>
      </c>
      <c r="J358" s="64">
        <v>0</v>
      </c>
      <c r="K358" s="64">
        <v>603.09</v>
      </c>
      <c r="L358" s="66">
        <v>90.5</v>
      </c>
      <c r="M358" s="64">
        <v>0</v>
      </c>
      <c r="N358" s="34"/>
      <c r="O358" s="35"/>
    </row>
    <row r="359" spans="1:15" s="36" customFormat="1" ht="12" x14ac:dyDescent="0.2">
      <c r="A359" s="33"/>
      <c r="B359" s="63">
        <v>43677</v>
      </c>
      <c r="C359" s="65">
        <v>-155.37</v>
      </c>
      <c r="D359" s="65">
        <v>440.15</v>
      </c>
      <c r="E359" s="67">
        <v>80.7</v>
      </c>
      <c r="F359" s="65">
        <v>-676.22</v>
      </c>
      <c r="G359" s="34"/>
      <c r="H359" s="33"/>
      <c r="I359" s="63">
        <v>44074</v>
      </c>
      <c r="J359" s="65">
        <v>0</v>
      </c>
      <c r="K359" s="65">
        <v>571.01</v>
      </c>
      <c r="L359" s="67">
        <v>120.3</v>
      </c>
      <c r="M359" s="65">
        <v>0</v>
      </c>
      <c r="N359" s="34"/>
      <c r="O359" s="35"/>
    </row>
    <row r="360" spans="1:15" s="36" customFormat="1" ht="12" x14ac:dyDescent="0.2">
      <c r="A360" s="33"/>
      <c r="B360" s="62">
        <v>43708</v>
      </c>
      <c r="C360" s="64">
        <v>34.79</v>
      </c>
      <c r="D360" s="64">
        <v>347.16</v>
      </c>
      <c r="E360" s="66">
        <v>104.6</v>
      </c>
      <c r="F360" s="64">
        <v>-416.97</v>
      </c>
      <c r="G360" s="34"/>
      <c r="H360" s="33"/>
      <c r="I360" s="62">
        <v>44104</v>
      </c>
      <c r="J360" s="64">
        <v>0</v>
      </c>
      <c r="K360" s="64">
        <v>353.44</v>
      </c>
      <c r="L360" s="66">
        <v>142.5</v>
      </c>
      <c r="M360" s="64">
        <v>0</v>
      </c>
      <c r="N360" s="34"/>
      <c r="O360" s="35"/>
    </row>
    <row r="361" spans="1:15" s="36" customFormat="1" ht="12" x14ac:dyDescent="0.2">
      <c r="A361" s="33"/>
      <c r="B361" s="63">
        <v>43738</v>
      </c>
      <c r="C361" s="65">
        <v>-147.44999999999999</v>
      </c>
      <c r="D361" s="65">
        <v>390.78</v>
      </c>
      <c r="E361" s="67">
        <v>115.2</v>
      </c>
      <c r="F361" s="65">
        <v>-653.42999999999995</v>
      </c>
      <c r="G361" s="34"/>
      <c r="H361" s="33"/>
      <c r="I361" s="63">
        <v>44135</v>
      </c>
      <c r="J361" s="65">
        <v>0</v>
      </c>
      <c r="K361" s="65">
        <v>573.22</v>
      </c>
      <c r="L361" s="67">
        <v>118.3</v>
      </c>
      <c r="M361" s="65">
        <v>0</v>
      </c>
      <c r="N361" s="34"/>
      <c r="O361" s="35"/>
    </row>
    <row r="362" spans="1:15" s="36" customFormat="1" ht="12" x14ac:dyDescent="0.2">
      <c r="A362" s="33"/>
      <c r="B362" s="62">
        <v>43769</v>
      </c>
      <c r="C362" s="64">
        <v>127.3</v>
      </c>
      <c r="D362" s="64">
        <v>423.08</v>
      </c>
      <c r="E362" s="66">
        <v>100</v>
      </c>
      <c r="F362" s="64">
        <v>-395.78</v>
      </c>
      <c r="G362" s="34"/>
      <c r="H362" s="33"/>
      <c r="I362" s="62">
        <v>44165</v>
      </c>
      <c r="J362" s="64">
        <v>0</v>
      </c>
      <c r="K362" s="64">
        <v>742.49</v>
      </c>
      <c r="L362" s="66">
        <v>143.80000000000001</v>
      </c>
      <c r="M362" s="64">
        <v>0</v>
      </c>
      <c r="N362" s="34"/>
      <c r="O362" s="35"/>
    </row>
    <row r="363" spans="1:15" s="36" customFormat="1" ht="12" x14ac:dyDescent="0.2">
      <c r="A363" s="33"/>
      <c r="B363" s="63">
        <v>43799</v>
      </c>
      <c r="C363" s="65">
        <v>-95.699999999997004</v>
      </c>
      <c r="D363" s="65">
        <v>371.76</v>
      </c>
      <c r="E363" s="67">
        <v>136.19999999999999</v>
      </c>
      <c r="F363" s="65">
        <v>-603.65999999999701</v>
      </c>
      <c r="G363" s="34"/>
      <c r="H363" s="33"/>
      <c r="I363" s="63">
        <v>44196</v>
      </c>
      <c r="J363" s="65">
        <v>0</v>
      </c>
      <c r="K363" s="65">
        <v>757.9</v>
      </c>
      <c r="L363" s="67">
        <v>149</v>
      </c>
      <c r="M363" s="65">
        <v>0</v>
      </c>
      <c r="N363" s="34"/>
      <c r="O363" s="35"/>
    </row>
    <row r="364" spans="1:15" s="36" customFormat="1" ht="12" x14ac:dyDescent="0.2">
      <c r="A364" s="33"/>
      <c r="B364" s="62">
        <v>43830</v>
      </c>
      <c r="C364" s="64">
        <v>123.329999999997</v>
      </c>
      <c r="D364" s="64">
        <v>472.48</v>
      </c>
      <c r="E364" s="66">
        <v>137.5</v>
      </c>
      <c r="F364" s="64">
        <v>-486.65000000000299</v>
      </c>
      <c r="G364" s="34"/>
      <c r="H364" s="33"/>
      <c r="I364" s="62">
        <v>44227</v>
      </c>
      <c r="J364" s="64">
        <v>0</v>
      </c>
      <c r="K364" s="64">
        <v>614.07000000000005</v>
      </c>
      <c r="L364" s="66">
        <v>134.69999999999999</v>
      </c>
      <c r="M364" s="64">
        <v>0</v>
      </c>
      <c r="N364" s="34"/>
      <c r="O364" s="35"/>
    </row>
    <row r="365" spans="1:15" s="36" customFormat="1" ht="12" x14ac:dyDescent="0.2">
      <c r="A365" s="33"/>
      <c r="B365" s="63">
        <v>43861</v>
      </c>
      <c r="C365" s="65">
        <v>75.73</v>
      </c>
      <c r="D365" s="65">
        <v>546.66999999999996</v>
      </c>
      <c r="E365" s="67">
        <v>126.8</v>
      </c>
      <c r="F365" s="65">
        <v>-597.74</v>
      </c>
      <c r="G365" s="34"/>
      <c r="H365" s="33"/>
      <c r="I365" s="63">
        <v>44255</v>
      </c>
      <c r="J365" s="65">
        <v>0</v>
      </c>
      <c r="K365" s="65">
        <v>350.07</v>
      </c>
      <c r="L365" s="67">
        <v>126</v>
      </c>
      <c r="M365" s="65">
        <v>0</v>
      </c>
      <c r="N365" s="34"/>
      <c r="O365" s="35"/>
    </row>
    <row r="366" spans="1:15" s="36" customFormat="1" ht="12" x14ac:dyDescent="0.2">
      <c r="A366" s="33"/>
      <c r="B366" s="62">
        <v>43890</v>
      </c>
      <c r="C366" s="64">
        <v>-87.790000000003005</v>
      </c>
      <c r="D366" s="64">
        <v>-619.91999999999996</v>
      </c>
      <c r="E366" s="66">
        <v>67.400000000000006</v>
      </c>
      <c r="F366" s="64">
        <v>464.72999999999701</v>
      </c>
      <c r="G366" s="34"/>
      <c r="H366" s="33"/>
      <c r="I366" s="62">
        <v>44286</v>
      </c>
      <c r="J366" s="64">
        <v>0</v>
      </c>
      <c r="K366" s="64">
        <v>115.52</v>
      </c>
      <c r="L366" s="66">
        <v>187.9</v>
      </c>
      <c r="M366" s="64">
        <v>0</v>
      </c>
      <c r="N366" s="34"/>
      <c r="O366" s="35"/>
    </row>
    <row r="367" spans="1:15" s="36" customFormat="1" ht="12" x14ac:dyDescent="0.2">
      <c r="A367" s="33"/>
      <c r="B367" s="63">
        <v>43921</v>
      </c>
      <c r="C367" s="65">
        <v>-460.84999999999701</v>
      </c>
      <c r="D367" s="65">
        <v>199.69</v>
      </c>
      <c r="E367" s="67">
        <v>117.8</v>
      </c>
      <c r="F367" s="65">
        <v>-778.33999999999696</v>
      </c>
      <c r="G367" s="34"/>
      <c r="H367" s="33"/>
      <c r="I367" s="63">
        <v>44316</v>
      </c>
      <c r="J367" s="65">
        <v>0</v>
      </c>
      <c r="K367" s="65">
        <v>404.73</v>
      </c>
      <c r="L367" s="67">
        <v>141.5</v>
      </c>
      <c r="M367" s="65">
        <v>0</v>
      </c>
      <c r="N367" s="34"/>
      <c r="O367" s="35"/>
    </row>
    <row r="368" spans="1:15" s="36" customFormat="1" ht="12" x14ac:dyDescent="0.2">
      <c r="A368" s="33"/>
      <c r="B368" s="62">
        <v>43951</v>
      </c>
      <c r="C368" s="64">
        <v>308.26</v>
      </c>
      <c r="D368" s="64">
        <v>449.37</v>
      </c>
      <c r="E368" s="66">
        <v>101.4</v>
      </c>
      <c r="F368" s="64">
        <v>-242.51</v>
      </c>
      <c r="G368" s="34"/>
      <c r="H368" s="33"/>
      <c r="I368" s="62">
        <v>44347</v>
      </c>
      <c r="J368" s="64">
        <v>0</v>
      </c>
      <c r="K368" s="64">
        <v>428.35</v>
      </c>
      <c r="L368" s="66">
        <v>125.7</v>
      </c>
      <c r="M368" s="64">
        <v>0</v>
      </c>
      <c r="N368" s="34"/>
      <c r="O368" s="35"/>
    </row>
    <row r="369" spans="1:15" s="36" customFormat="1" ht="12" x14ac:dyDescent="0.2">
      <c r="A369" s="33"/>
      <c r="B369" s="63">
        <v>43982</v>
      </c>
      <c r="C369" s="65">
        <v>102.330000000002</v>
      </c>
      <c r="D369" s="65">
        <v>616.16999999999996</v>
      </c>
      <c r="E369" s="67">
        <v>98.7</v>
      </c>
      <c r="F369" s="65">
        <v>-612.53999999999803</v>
      </c>
      <c r="G369" s="34"/>
      <c r="H369" s="33"/>
      <c r="I369" s="63">
        <v>44377</v>
      </c>
      <c r="J369" s="65">
        <v>0</v>
      </c>
      <c r="K369" s="65">
        <v>494.39</v>
      </c>
      <c r="L369" s="67">
        <v>193.8</v>
      </c>
      <c r="M369" s="65">
        <v>0</v>
      </c>
      <c r="N369" s="34"/>
      <c r="O369" s="35"/>
    </row>
    <row r="370" spans="1:15" s="36" customFormat="1" ht="12" x14ac:dyDescent="0.2">
      <c r="A370" s="33"/>
      <c r="B370" s="62">
        <v>44012</v>
      </c>
      <c r="C370" s="64">
        <v>106.359999999998</v>
      </c>
      <c r="D370" s="64">
        <v>446.8</v>
      </c>
      <c r="E370" s="66">
        <v>167.2</v>
      </c>
      <c r="F370" s="64">
        <v>-507.64000000000198</v>
      </c>
      <c r="G370" s="34"/>
      <c r="H370" s="33"/>
      <c r="I370" s="62">
        <v>44408</v>
      </c>
      <c r="J370" s="64">
        <v>0</v>
      </c>
      <c r="K370" s="64">
        <v>548.4</v>
      </c>
      <c r="L370" s="66">
        <v>97.6</v>
      </c>
      <c r="M370" s="64">
        <v>0</v>
      </c>
      <c r="N370" s="34"/>
      <c r="O370" s="35"/>
    </row>
    <row r="371" spans="1:15" s="36" customFormat="1" ht="12" x14ac:dyDescent="0.2">
      <c r="A371" s="33"/>
      <c r="B371" s="63">
        <v>44043</v>
      </c>
      <c r="C371" s="65">
        <v>420.63</v>
      </c>
      <c r="D371" s="65">
        <v>603.09</v>
      </c>
      <c r="E371" s="67">
        <v>90.5</v>
      </c>
      <c r="F371" s="65">
        <v>-272.95999999999998</v>
      </c>
      <c r="G371" s="34"/>
      <c r="H371" s="33"/>
      <c r="I371" s="63">
        <v>44439</v>
      </c>
      <c r="J371" s="65">
        <v>0</v>
      </c>
      <c r="K371" s="65">
        <v>584.45000000000005</v>
      </c>
      <c r="L371" s="67">
        <v>130.6</v>
      </c>
      <c r="M371" s="65">
        <v>0</v>
      </c>
      <c r="N371" s="34"/>
      <c r="O371" s="35"/>
    </row>
    <row r="372" spans="1:15" s="36" customFormat="1" ht="12" x14ac:dyDescent="0.2">
      <c r="A372" s="33"/>
      <c r="B372" s="62">
        <v>44074</v>
      </c>
      <c r="C372" s="64">
        <v>102.18</v>
      </c>
      <c r="D372" s="64">
        <v>571.01</v>
      </c>
      <c r="E372" s="66">
        <v>120.3</v>
      </c>
      <c r="F372" s="64">
        <v>-589.13</v>
      </c>
      <c r="G372" s="34"/>
      <c r="H372" s="33"/>
      <c r="I372" s="62">
        <v>44469</v>
      </c>
      <c r="J372" s="64">
        <v>0</v>
      </c>
      <c r="K372" s="64">
        <v>675.37</v>
      </c>
      <c r="L372" s="66">
        <v>154.80000000000001</v>
      </c>
      <c r="M372" s="64">
        <v>0</v>
      </c>
      <c r="N372" s="34"/>
      <c r="O372" s="35"/>
    </row>
    <row r="373" spans="1:15" s="36" customFormat="1" ht="12" x14ac:dyDescent="0.2">
      <c r="A373" s="33"/>
      <c r="B373" s="63">
        <v>44104</v>
      </c>
      <c r="C373" s="65">
        <v>-220.46999999999699</v>
      </c>
      <c r="D373" s="65">
        <v>353.44</v>
      </c>
      <c r="E373" s="67">
        <v>142.5</v>
      </c>
      <c r="F373" s="65">
        <v>-716.40999999999701</v>
      </c>
      <c r="G373" s="34"/>
      <c r="H373" s="33"/>
      <c r="I373" s="63">
        <v>44500</v>
      </c>
      <c r="J373" s="65">
        <v>0</v>
      </c>
      <c r="K373" s="65">
        <v>844.06</v>
      </c>
      <c r="L373" s="67">
        <v>127.5</v>
      </c>
      <c r="M373" s="65">
        <v>0</v>
      </c>
      <c r="N373" s="34"/>
      <c r="O373" s="35"/>
    </row>
    <row r="374" spans="1:15" s="36" customFormat="1" ht="12" x14ac:dyDescent="0.2">
      <c r="A374" s="33"/>
      <c r="B374" s="62">
        <v>44135</v>
      </c>
      <c r="C374" s="64">
        <v>-145.800000000007</v>
      </c>
      <c r="D374" s="64">
        <v>573.22</v>
      </c>
      <c r="E374" s="66">
        <v>118.3</v>
      </c>
      <c r="F374" s="64">
        <v>-837.32000000000698</v>
      </c>
      <c r="G374" s="34"/>
      <c r="H374" s="33"/>
      <c r="I374" s="62">
        <v>44530</v>
      </c>
      <c r="J374" s="64">
        <v>0</v>
      </c>
      <c r="K374" s="64">
        <v>712.65</v>
      </c>
      <c r="L374" s="66">
        <v>151.9</v>
      </c>
      <c r="M374" s="64">
        <v>0</v>
      </c>
      <c r="N374" s="34"/>
      <c r="O374" s="35"/>
    </row>
    <row r="375" spans="1:15" s="36" customFormat="1" ht="12" x14ac:dyDescent="0.2">
      <c r="A375" s="33"/>
      <c r="B375" s="63">
        <v>44165</v>
      </c>
      <c r="C375" s="65">
        <v>505.08000000000402</v>
      </c>
      <c r="D375" s="65">
        <v>742.49</v>
      </c>
      <c r="E375" s="67">
        <v>143.80000000000001</v>
      </c>
      <c r="F375" s="65">
        <v>-381.209999999996</v>
      </c>
      <c r="G375" s="34"/>
      <c r="H375" s="33"/>
      <c r="I375" s="63">
        <v>44561</v>
      </c>
      <c r="J375" s="65">
        <v>0</v>
      </c>
      <c r="K375" s="65">
        <v>932.08</v>
      </c>
      <c r="L375" s="67">
        <v>162.80000000000001</v>
      </c>
      <c r="M375" s="65">
        <v>0</v>
      </c>
      <c r="N375" s="34"/>
      <c r="O375" s="35"/>
    </row>
    <row r="376" spans="1:15" s="36" customFormat="1" ht="12" x14ac:dyDescent="0.2">
      <c r="A376" s="33"/>
      <c r="B376" s="62">
        <v>44196</v>
      </c>
      <c r="C376" s="64">
        <v>380.319999999998</v>
      </c>
      <c r="D376" s="64">
        <v>757.9</v>
      </c>
      <c r="E376" s="66">
        <v>149</v>
      </c>
      <c r="F376" s="64">
        <v>-526.58000000000197</v>
      </c>
      <c r="G376" s="34"/>
      <c r="H376" s="33"/>
      <c r="I376" s="62">
        <v>44592</v>
      </c>
      <c r="J376" s="64">
        <v>0</v>
      </c>
      <c r="K376" s="64">
        <v>793.06</v>
      </c>
      <c r="L376" s="66">
        <v>158.4</v>
      </c>
      <c r="M376" s="64">
        <v>0</v>
      </c>
      <c r="N376" s="34"/>
      <c r="O376" s="35"/>
    </row>
    <row r="377" spans="1:15" s="36" customFormat="1" ht="12" x14ac:dyDescent="0.2">
      <c r="A377" s="33"/>
      <c r="B377" s="63">
        <v>44227</v>
      </c>
      <c r="C377" s="65">
        <v>-58.509999999998001</v>
      </c>
      <c r="D377" s="65">
        <v>614.07000000000005</v>
      </c>
      <c r="E377" s="67">
        <v>134.69999999999999</v>
      </c>
      <c r="F377" s="65">
        <v>-807.27999999999804</v>
      </c>
      <c r="G377" s="34"/>
      <c r="H377" s="33"/>
      <c r="I377" s="63">
        <v>44620</v>
      </c>
      <c r="J377" s="65">
        <v>0</v>
      </c>
      <c r="K377" s="65">
        <v>261.76</v>
      </c>
      <c r="L377" s="67">
        <v>220.2</v>
      </c>
      <c r="M377" s="65">
        <v>0</v>
      </c>
      <c r="N377" s="34"/>
      <c r="O377" s="35"/>
    </row>
    <row r="378" spans="1:15" s="36" customFormat="1" ht="12" x14ac:dyDescent="0.2">
      <c r="A378" s="33"/>
      <c r="B378" s="62">
        <v>44255</v>
      </c>
      <c r="C378" s="64">
        <v>-56.769999999997999</v>
      </c>
      <c r="D378" s="64">
        <v>350.07</v>
      </c>
      <c r="E378" s="66">
        <v>126</v>
      </c>
      <c r="F378" s="64">
        <v>-532.83999999999799</v>
      </c>
      <c r="G378" s="34"/>
      <c r="H378" s="33"/>
      <c r="I378" s="62">
        <v>44651</v>
      </c>
      <c r="J378" s="64">
        <v>0</v>
      </c>
      <c r="K378" s="64">
        <v>428.53</v>
      </c>
      <c r="L378" s="66">
        <v>212.3</v>
      </c>
      <c r="M378" s="64">
        <v>0</v>
      </c>
      <c r="N378" s="34"/>
      <c r="O378" s="35"/>
    </row>
    <row r="379" spans="1:15" s="36" customFormat="1" ht="12" x14ac:dyDescent="0.2">
      <c r="A379" s="33"/>
      <c r="B379" s="63">
        <v>44286</v>
      </c>
      <c r="C379" s="65">
        <v>-349.65000000000498</v>
      </c>
      <c r="D379" s="65">
        <v>115.52</v>
      </c>
      <c r="E379" s="67">
        <v>187.9</v>
      </c>
      <c r="F379" s="65">
        <v>-653.07000000000505</v>
      </c>
      <c r="G379" s="34"/>
      <c r="H379" s="33"/>
      <c r="I379" s="63">
        <v>44681</v>
      </c>
      <c r="J379" s="65">
        <v>0</v>
      </c>
      <c r="K379" s="65">
        <v>462.91</v>
      </c>
      <c r="L379" s="67">
        <v>153.80000000000001</v>
      </c>
      <c r="M379" s="65">
        <v>0</v>
      </c>
      <c r="N379" s="34"/>
      <c r="O379" s="35"/>
    </row>
    <row r="380" spans="1:15" s="36" customFormat="1" ht="12" x14ac:dyDescent="0.2">
      <c r="A380" s="33"/>
      <c r="B380" s="62">
        <v>44316</v>
      </c>
      <c r="C380" s="64">
        <v>281.510000000003</v>
      </c>
      <c r="D380" s="64">
        <v>404.73</v>
      </c>
      <c r="E380" s="66">
        <v>141.5</v>
      </c>
      <c r="F380" s="64">
        <v>-264.71999999999701</v>
      </c>
      <c r="G380" s="34"/>
      <c r="H380" s="33"/>
      <c r="I380" s="62">
        <v>44712</v>
      </c>
      <c r="J380" s="64">
        <v>0</v>
      </c>
      <c r="K380" s="64">
        <v>761.11</v>
      </c>
      <c r="L380" s="66">
        <v>133</v>
      </c>
      <c r="M380" s="64">
        <v>0</v>
      </c>
      <c r="N380" s="34"/>
      <c r="O380" s="35"/>
    </row>
    <row r="381" spans="1:15" s="36" customFormat="1" ht="12" x14ac:dyDescent="0.2">
      <c r="A381" s="33"/>
      <c r="B381" s="63">
        <v>44347</v>
      </c>
      <c r="C381" s="65">
        <v>236.23</v>
      </c>
      <c r="D381" s="65">
        <v>428.35</v>
      </c>
      <c r="E381" s="67">
        <v>125.7</v>
      </c>
      <c r="F381" s="65">
        <v>-317.82</v>
      </c>
      <c r="G381" s="34"/>
      <c r="H381" s="33"/>
      <c r="I381" s="63">
        <v>44742</v>
      </c>
      <c r="J381" s="65">
        <v>0</v>
      </c>
      <c r="K381" s="65">
        <v>933.07</v>
      </c>
      <c r="L381" s="67">
        <v>245.8</v>
      </c>
      <c r="M381" s="65">
        <v>0</v>
      </c>
      <c r="N381" s="34"/>
      <c r="O381" s="35"/>
    </row>
    <row r="382" spans="1:15" s="36" customFormat="1" ht="12" x14ac:dyDescent="0.2">
      <c r="A382" s="33"/>
      <c r="B382" s="62">
        <v>44377</v>
      </c>
      <c r="C382" s="64">
        <v>-77.930000000000007</v>
      </c>
      <c r="D382" s="64">
        <v>494.39</v>
      </c>
      <c r="E382" s="66">
        <v>193.8</v>
      </c>
      <c r="F382" s="64">
        <v>-766.12</v>
      </c>
      <c r="G382" s="34"/>
      <c r="H382" s="33"/>
      <c r="I382" s="62">
        <v>44773</v>
      </c>
      <c r="J382" s="64">
        <v>0</v>
      </c>
      <c r="K382" s="64">
        <v>982.4</v>
      </c>
      <c r="L382" s="66">
        <v>115.7</v>
      </c>
      <c r="M382" s="64">
        <v>0</v>
      </c>
      <c r="N382" s="34"/>
      <c r="O382" s="35"/>
    </row>
    <row r="383" spans="1:15" s="36" customFormat="1" ht="12" x14ac:dyDescent="0.2">
      <c r="A383" s="33"/>
      <c r="B383" s="63">
        <v>44408</v>
      </c>
      <c r="C383" s="65">
        <v>218.8</v>
      </c>
      <c r="D383" s="65">
        <v>548.4</v>
      </c>
      <c r="E383" s="67">
        <v>97.6</v>
      </c>
      <c r="F383" s="65">
        <v>-427.2</v>
      </c>
      <c r="G383" s="34"/>
      <c r="H383" s="33"/>
      <c r="I383" s="63">
        <v>44804</v>
      </c>
      <c r="J383" s="65">
        <v>0</v>
      </c>
      <c r="K383" s="65">
        <v>769.95</v>
      </c>
      <c r="L383" s="67">
        <v>144.9</v>
      </c>
      <c r="M383" s="65">
        <v>0</v>
      </c>
      <c r="N383" s="34"/>
      <c r="O383" s="35"/>
    </row>
    <row r="384" spans="1:15" s="36" customFormat="1" ht="12" x14ac:dyDescent="0.2">
      <c r="A384" s="33"/>
      <c r="B384" s="62">
        <v>44439</v>
      </c>
      <c r="C384" s="64">
        <v>-37.74</v>
      </c>
      <c r="D384" s="64">
        <v>584.45000000000005</v>
      </c>
      <c r="E384" s="66">
        <v>130.6</v>
      </c>
      <c r="F384" s="64">
        <v>-752.79</v>
      </c>
      <c r="G384" s="34"/>
      <c r="H384" s="33"/>
      <c r="I384" s="62">
        <v>44834</v>
      </c>
      <c r="J384" s="64">
        <v>0</v>
      </c>
      <c r="K384" s="64">
        <v>821.51</v>
      </c>
      <c r="L384" s="66">
        <v>168.9</v>
      </c>
      <c r="M384" s="64">
        <v>0</v>
      </c>
      <c r="N384" s="34"/>
      <c r="O384" s="35"/>
    </row>
    <row r="385" spans="1:15" s="36" customFormat="1" ht="12" x14ac:dyDescent="0.2">
      <c r="A385" s="33"/>
      <c r="B385" s="63">
        <v>44469</v>
      </c>
      <c r="C385" s="65">
        <v>-314.89999999999998</v>
      </c>
      <c r="D385" s="65">
        <v>675.37</v>
      </c>
      <c r="E385" s="67">
        <v>154.80000000000001</v>
      </c>
      <c r="F385" s="65">
        <v>-1145.07</v>
      </c>
      <c r="G385" s="34"/>
      <c r="H385" s="33"/>
      <c r="I385" s="63">
        <v>44865</v>
      </c>
      <c r="J385" s="65">
        <v>0</v>
      </c>
      <c r="K385" s="65">
        <v>817.07</v>
      </c>
      <c r="L385" s="67">
        <v>130.4</v>
      </c>
      <c r="M385" s="65">
        <v>0</v>
      </c>
      <c r="N385" s="34"/>
      <c r="O385" s="35"/>
    </row>
    <row r="386" spans="1:15" s="36" customFormat="1" ht="12" x14ac:dyDescent="0.2">
      <c r="A386" s="33"/>
      <c r="B386" s="62">
        <v>44500</v>
      </c>
      <c r="C386" s="64">
        <v>169.88000000000301</v>
      </c>
      <c r="D386" s="64">
        <v>844.06</v>
      </c>
      <c r="E386" s="66">
        <v>127.5</v>
      </c>
      <c r="F386" s="64">
        <v>-801.67999999999699</v>
      </c>
      <c r="G386" s="34"/>
      <c r="H386" s="33"/>
      <c r="I386" s="62">
        <v>44895</v>
      </c>
      <c r="J386" s="64">
        <v>0</v>
      </c>
      <c r="K386" s="64">
        <v>657.85</v>
      </c>
      <c r="L386" s="66">
        <v>97.4</v>
      </c>
      <c r="M386" s="64">
        <v>0</v>
      </c>
      <c r="N386" s="34"/>
      <c r="O386" s="35"/>
    </row>
    <row r="387" spans="1:15" s="36" customFormat="1" ht="12" x14ac:dyDescent="0.2">
      <c r="A387" s="33"/>
      <c r="B387" s="63">
        <v>44530</v>
      </c>
      <c r="C387" s="65">
        <v>47.719999999997</v>
      </c>
      <c r="D387" s="65">
        <v>712.65</v>
      </c>
      <c r="E387" s="67">
        <v>151.9</v>
      </c>
      <c r="F387" s="65">
        <v>-816.830000000003</v>
      </c>
      <c r="G387" s="34"/>
      <c r="H387" s="33"/>
      <c r="I387" s="63">
        <v>44926</v>
      </c>
      <c r="J387" s="65">
        <v>0</v>
      </c>
      <c r="K387" s="65">
        <v>690.07</v>
      </c>
      <c r="L387" s="67">
        <v>110.5</v>
      </c>
      <c r="M387" s="65">
        <v>0</v>
      </c>
      <c r="N387" s="34"/>
      <c r="O387" s="35"/>
    </row>
    <row r="388" spans="1:15" s="36" customFormat="1" ht="12" x14ac:dyDescent="0.2">
      <c r="A388" s="33"/>
      <c r="B388" s="62">
        <v>44561</v>
      </c>
      <c r="C388" s="64">
        <v>277.8</v>
      </c>
      <c r="D388" s="64">
        <v>932.08</v>
      </c>
      <c r="E388" s="66">
        <v>162.80000000000001</v>
      </c>
      <c r="F388" s="64">
        <v>-817.08</v>
      </c>
      <c r="G388" s="34"/>
      <c r="H388" s="33"/>
      <c r="I388" s="62">
        <v>44957</v>
      </c>
      <c r="J388" s="64">
        <v>0</v>
      </c>
      <c r="K388" s="64">
        <v>918.62</v>
      </c>
      <c r="L388" s="66">
        <v>190.2</v>
      </c>
      <c r="M388" s="64">
        <v>0</v>
      </c>
      <c r="N388" s="34"/>
      <c r="O388" s="35"/>
    </row>
    <row r="389" spans="1:15" s="36" customFormat="1" ht="12" x14ac:dyDescent="0.2">
      <c r="A389" s="33"/>
      <c r="B389" s="63">
        <v>44592</v>
      </c>
      <c r="C389" s="65">
        <v>-285.33999999999702</v>
      </c>
      <c r="D389" s="65">
        <v>793.06</v>
      </c>
      <c r="E389" s="67">
        <v>158.4</v>
      </c>
      <c r="F389" s="65">
        <v>-1236.799999999997</v>
      </c>
      <c r="G389" s="34"/>
      <c r="H389" s="33"/>
      <c r="I389" s="63">
        <v>44985</v>
      </c>
      <c r="J389" s="65">
        <v>0</v>
      </c>
      <c r="K389" s="65">
        <v>120.2</v>
      </c>
      <c r="L389" s="67">
        <v>206.9</v>
      </c>
      <c r="M389" s="65">
        <v>0</v>
      </c>
      <c r="N389" s="34"/>
      <c r="O389" s="35"/>
    </row>
    <row r="390" spans="1:15" s="36" customFormat="1" ht="12" x14ac:dyDescent="0.2">
      <c r="A390" s="33"/>
      <c r="B390" s="62">
        <v>44620</v>
      </c>
      <c r="C390" s="64">
        <v>-78.050000000002996</v>
      </c>
      <c r="D390" s="64">
        <v>261.76</v>
      </c>
      <c r="E390" s="66">
        <v>220.2</v>
      </c>
      <c r="F390" s="64">
        <v>-560.01000000000295</v>
      </c>
      <c r="G390" s="34"/>
      <c r="H390" s="33"/>
      <c r="I390" s="62">
        <v>45016</v>
      </c>
      <c r="J390" s="64">
        <v>0</v>
      </c>
      <c r="K390" s="64">
        <v>770.73</v>
      </c>
      <c r="L390" s="66">
        <v>0</v>
      </c>
      <c r="M390" s="64">
        <v>0</v>
      </c>
      <c r="N390" s="34"/>
      <c r="O390" s="35"/>
    </row>
    <row r="391" spans="1:15" s="36" customFormat="1" ht="12" x14ac:dyDescent="0.2">
      <c r="A391" s="33"/>
      <c r="B391" s="63">
        <v>44651</v>
      </c>
      <c r="C391" s="65">
        <v>-258.32999999999799</v>
      </c>
      <c r="D391" s="65">
        <v>428.53</v>
      </c>
      <c r="E391" s="67">
        <v>212.3</v>
      </c>
      <c r="F391" s="65">
        <v>-899.15999999999804</v>
      </c>
      <c r="G391" s="34"/>
      <c r="H391" s="33"/>
      <c r="I391" s="63">
        <v>45046</v>
      </c>
      <c r="J391" s="65">
        <v>0</v>
      </c>
      <c r="K391" s="65">
        <v>850.48</v>
      </c>
      <c r="L391" s="67">
        <v>0</v>
      </c>
      <c r="M391" s="65">
        <v>0</v>
      </c>
      <c r="N391" s="34"/>
      <c r="O391" s="35"/>
    </row>
    <row r="392" spans="1:15" s="36" customFormat="1" ht="12" x14ac:dyDescent="0.2">
      <c r="A392" s="33"/>
      <c r="B392" s="62">
        <v>44681</v>
      </c>
      <c r="C392" s="64">
        <v>-682.74000000000501</v>
      </c>
      <c r="D392" s="64">
        <v>462.91</v>
      </c>
      <c r="E392" s="66">
        <v>153.80000000000001</v>
      </c>
      <c r="F392" s="64">
        <v>-1299.450000000005</v>
      </c>
      <c r="G392" s="34"/>
      <c r="H392" s="33"/>
      <c r="I392" s="62">
        <v>45077</v>
      </c>
      <c r="J392" s="64">
        <v>0</v>
      </c>
      <c r="K392" s="64">
        <v>651.52</v>
      </c>
      <c r="L392" s="66">
        <v>108.5</v>
      </c>
      <c r="M392" s="64">
        <v>0</v>
      </c>
      <c r="N392" s="34"/>
      <c r="O392" s="35"/>
    </row>
    <row r="393" spans="1:15" s="36" customFormat="1" ht="12" x14ac:dyDescent="0.2">
      <c r="A393" s="33"/>
      <c r="B393" s="63">
        <v>44712</v>
      </c>
      <c r="C393" s="65">
        <v>80.600000000006006</v>
      </c>
      <c r="D393" s="65">
        <v>761.11</v>
      </c>
      <c r="E393" s="67">
        <v>133</v>
      </c>
      <c r="F393" s="65">
        <v>-813.50999999999397</v>
      </c>
      <c r="G393" s="34"/>
      <c r="H393" s="33"/>
      <c r="I393" s="63">
        <v>45107</v>
      </c>
      <c r="J393" s="65">
        <v>0</v>
      </c>
      <c r="K393" s="65">
        <v>695.58</v>
      </c>
      <c r="L393" s="67">
        <v>0</v>
      </c>
      <c r="M393" s="65">
        <v>0</v>
      </c>
      <c r="N393" s="34"/>
      <c r="O393" s="35"/>
    </row>
    <row r="394" spans="1:15" s="36" customFormat="1" ht="12" x14ac:dyDescent="0.2">
      <c r="A394" s="33"/>
      <c r="B394" s="62">
        <v>44742</v>
      </c>
      <c r="C394" s="64">
        <v>-565.080000000003</v>
      </c>
      <c r="D394" s="64">
        <v>933.07</v>
      </c>
      <c r="E394" s="66">
        <v>245.8</v>
      </c>
      <c r="F394" s="64">
        <v>-1743.950000000003</v>
      </c>
      <c r="G394" s="34"/>
      <c r="H394" s="33"/>
      <c r="I394" s="62">
        <v>45138</v>
      </c>
      <c r="J394" s="64">
        <v>0</v>
      </c>
      <c r="K394" s="64">
        <v>793.96</v>
      </c>
      <c r="L394" s="66">
        <v>0</v>
      </c>
      <c r="M394" s="64">
        <v>0</v>
      </c>
      <c r="N394" s="34"/>
      <c r="O394" s="35"/>
    </row>
    <row r="395" spans="1:15" s="36" customFormat="1" ht="12" x14ac:dyDescent="0.2">
      <c r="A395" s="33"/>
      <c r="B395" s="63">
        <v>44773</v>
      </c>
      <c r="C395" s="65">
        <v>327.99</v>
      </c>
      <c r="D395" s="65">
        <v>982.4</v>
      </c>
      <c r="E395" s="67">
        <v>115.7</v>
      </c>
      <c r="F395" s="65">
        <v>-770.11</v>
      </c>
      <c r="G395" s="34"/>
      <c r="H395" s="33"/>
      <c r="I395" s="63">
        <v>45169</v>
      </c>
      <c r="J395" s="65">
        <v>0</v>
      </c>
      <c r="K395" s="65">
        <v>672.19</v>
      </c>
      <c r="L395" s="67">
        <v>0</v>
      </c>
      <c r="M395" s="65">
        <v>0</v>
      </c>
      <c r="N395" s="34"/>
      <c r="O395" s="35"/>
    </row>
    <row r="396" spans="1:15" s="36" customFormat="1" ht="12" x14ac:dyDescent="0.2">
      <c r="A396" s="33"/>
      <c r="B396" s="62">
        <v>44804</v>
      </c>
      <c r="C396" s="64">
        <v>-491.90000000000202</v>
      </c>
      <c r="D396" s="64">
        <v>769.95</v>
      </c>
      <c r="E396" s="66">
        <v>144.9</v>
      </c>
      <c r="F396" s="64">
        <v>-1406.750000000002</v>
      </c>
      <c r="G396" s="34"/>
      <c r="H396" s="33"/>
      <c r="I396" s="62">
        <v>45199</v>
      </c>
      <c r="J396" s="64">
        <v>0</v>
      </c>
      <c r="K396" s="64">
        <v>751.2</v>
      </c>
      <c r="L396" s="66">
        <v>0</v>
      </c>
      <c r="M396" s="64">
        <v>0</v>
      </c>
      <c r="N396" s="34"/>
      <c r="O396" s="35"/>
    </row>
    <row r="397" spans="1:15" s="36" customFormat="1" ht="12" x14ac:dyDescent="0.2">
      <c r="A397" s="33"/>
      <c r="B397" s="63">
        <v>44834</v>
      </c>
      <c r="C397" s="65">
        <v>-259.259999999998</v>
      </c>
      <c r="D397" s="65">
        <v>821.51</v>
      </c>
      <c r="E397" s="67">
        <v>168.9</v>
      </c>
      <c r="F397" s="65">
        <v>-1249.669999999998</v>
      </c>
      <c r="G397" s="34"/>
      <c r="H397" s="33"/>
      <c r="I397" s="63">
        <v>45230</v>
      </c>
      <c r="J397" s="65">
        <v>0</v>
      </c>
      <c r="K397" s="65">
        <v>558.62</v>
      </c>
      <c r="L397" s="67">
        <v>0</v>
      </c>
      <c r="M397" s="65">
        <v>0</v>
      </c>
      <c r="N397" s="34"/>
      <c r="O397" s="35"/>
    </row>
    <row r="398" spans="1:15" s="36" customFormat="1" ht="12" x14ac:dyDescent="0.2">
      <c r="A398" s="33"/>
      <c r="B398" s="62">
        <v>44865</v>
      </c>
      <c r="C398" s="64">
        <v>234.71999999999699</v>
      </c>
      <c r="D398" s="64">
        <v>817.07</v>
      </c>
      <c r="E398" s="66">
        <v>130.4</v>
      </c>
      <c r="F398" s="64">
        <v>-712.75000000000296</v>
      </c>
      <c r="G398" s="34"/>
      <c r="H398" s="33"/>
      <c r="I398" s="62">
        <v>45260</v>
      </c>
      <c r="J398" s="64">
        <v>0</v>
      </c>
      <c r="K398" s="64">
        <v>690.65</v>
      </c>
      <c r="L398" s="66">
        <v>0</v>
      </c>
      <c r="M398" s="64">
        <v>0</v>
      </c>
      <c r="N398" s="34"/>
      <c r="O398" s="35"/>
    </row>
    <row r="399" spans="1:15" s="36" customFormat="1" ht="12" x14ac:dyDescent="0.2">
      <c r="A399" s="33"/>
      <c r="B399" s="63">
        <v>44895</v>
      </c>
      <c r="C399" s="65">
        <v>650.61000000000297</v>
      </c>
      <c r="D399" s="65">
        <v>657.85</v>
      </c>
      <c r="E399" s="67">
        <v>97.4</v>
      </c>
      <c r="F399" s="65">
        <v>-104.639999999997</v>
      </c>
      <c r="G399" s="34"/>
      <c r="H399" s="33"/>
      <c r="I399" s="63">
        <v>45291</v>
      </c>
      <c r="J399" s="65">
        <v>0</v>
      </c>
      <c r="K399" s="65">
        <v>747.27</v>
      </c>
      <c r="L399" s="67">
        <v>0</v>
      </c>
      <c r="M399" s="65">
        <v>0</v>
      </c>
      <c r="N399" s="34"/>
      <c r="O399" s="35"/>
    </row>
    <row r="400" spans="1:15" s="36" customFormat="1" ht="12" x14ac:dyDescent="0.2">
      <c r="A400" s="33"/>
      <c r="B400" s="62">
        <v>44926</v>
      </c>
      <c r="C400" s="64">
        <v>102.03</v>
      </c>
      <c r="D400" s="64">
        <v>690.07</v>
      </c>
      <c r="E400" s="66">
        <v>110.5</v>
      </c>
      <c r="F400" s="64">
        <v>-698.54</v>
      </c>
      <c r="G400" s="34"/>
      <c r="H400" s="33"/>
      <c r="I400" s="62">
        <v>45322</v>
      </c>
      <c r="J400" s="64">
        <v>0</v>
      </c>
      <c r="K400" s="64">
        <v>853.38</v>
      </c>
      <c r="L400" s="66">
        <v>0</v>
      </c>
      <c r="M400" s="64">
        <v>0</v>
      </c>
      <c r="N400" s="34"/>
      <c r="O400" s="35"/>
    </row>
    <row r="401" spans="1:15" s="36" customFormat="1" ht="12" x14ac:dyDescent="0.2">
      <c r="A401" s="33"/>
      <c r="B401" s="63">
        <v>44957</v>
      </c>
      <c r="C401" s="65">
        <v>567.71</v>
      </c>
      <c r="D401" s="65">
        <v>918.62</v>
      </c>
      <c r="E401" s="67">
        <v>190.2</v>
      </c>
      <c r="F401" s="65">
        <v>-541.11</v>
      </c>
      <c r="G401" s="34"/>
      <c r="H401" s="33"/>
      <c r="I401" s="63">
        <v>45351</v>
      </c>
      <c r="J401" s="65">
        <v>0</v>
      </c>
      <c r="K401" s="65">
        <v>393.7</v>
      </c>
      <c r="L401" s="67">
        <v>0</v>
      </c>
      <c r="M401" s="65">
        <v>0</v>
      </c>
      <c r="N401" s="34"/>
      <c r="O401" s="35"/>
    </row>
    <row r="402" spans="1:15" s="36" customFormat="1" ht="12" x14ac:dyDescent="0.2">
      <c r="A402" s="33"/>
      <c r="B402" s="62">
        <v>44985</v>
      </c>
      <c r="C402" s="64">
        <v>-513.08999999999799</v>
      </c>
      <c r="D402" s="64">
        <v>120.2</v>
      </c>
      <c r="E402" s="66">
        <v>206.9</v>
      </c>
      <c r="F402" s="64">
        <v>-840.18999999999801</v>
      </c>
      <c r="G402" s="34"/>
      <c r="H402" s="33"/>
      <c r="I402" s="62">
        <v>45382</v>
      </c>
      <c r="J402" s="64">
        <v>0</v>
      </c>
      <c r="K402" s="64">
        <v>586</v>
      </c>
      <c r="L402" s="66">
        <v>0</v>
      </c>
      <c r="M402" s="64">
        <v>0</v>
      </c>
      <c r="N402" s="34"/>
      <c r="O402" s="35"/>
    </row>
    <row r="403" spans="1:15" s="36" customFormat="1" ht="12" x14ac:dyDescent="0.2">
      <c r="A403" s="33"/>
      <c r="B403" s="63">
        <v>45016</v>
      </c>
      <c r="C403" s="65">
        <v>507.18999999999801</v>
      </c>
      <c r="D403" s="65">
        <v>770.73</v>
      </c>
      <c r="E403" s="67">
        <v>0</v>
      </c>
      <c r="F403" s="65">
        <v>0</v>
      </c>
      <c r="G403" s="34"/>
      <c r="H403" s="33"/>
      <c r="I403" s="63">
        <v>45412</v>
      </c>
      <c r="J403" s="65">
        <v>0</v>
      </c>
      <c r="K403" s="65">
        <v>723.52</v>
      </c>
      <c r="L403" s="67">
        <v>0</v>
      </c>
      <c r="M403" s="65">
        <v>0</v>
      </c>
      <c r="N403" s="34"/>
      <c r="O403" s="35"/>
    </row>
    <row r="404" spans="1:15" s="36" customFormat="1" ht="12" x14ac:dyDescent="0.2">
      <c r="A404" s="33"/>
      <c r="B404" s="62">
        <v>45046</v>
      </c>
      <c r="C404" s="64">
        <v>208.94</v>
      </c>
      <c r="D404" s="64">
        <v>850.48</v>
      </c>
      <c r="E404" s="66">
        <v>0</v>
      </c>
      <c r="F404" s="64">
        <v>0</v>
      </c>
      <c r="G404" s="34"/>
      <c r="H404" s="33"/>
      <c r="I404" s="62">
        <v>45443</v>
      </c>
      <c r="J404" s="64">
        <v>0</v>
      </c>
      <c r="K404" s="64">
        <v>826.2</v>
      </c>
      <c r="L404" s="66">
        <v>0</v>
      </c>
      <c r="M404" s="64">
        <v>0</v>
      </c>
      <c r="N404" s="34"/>
      <c r="O404" s="35"/>
    </row>
    <row r="405" spans="1:15" s="36" customFormat="1" ht="12" x14ac:dyDescent="0.2">
      <c r="A405" s="33"/>
      <c r="B405" s="63">
        <v>45077</v>
      </c>
      <c r="C405" s="65">
        <v>-282.58</v>
      </c>
      <c r="D405" s="65">
        <v>651.52</v>
      </c>
      <c r="E405" s="67">
        <v>108.5</v>
      </c>
      <c r="F405" s="65">
        <v>-1042.5999999999999</v>
      </c>
      <c r="G405" s="34"/>
      <c r="H405" s="33"/>
      <c r="I405" s="56"/>
      <c r="J405" s="58"/>
      <c r="K405" s="58"/>
      <c r="L405" s="58"/>
      <c r="M405" s="58"/>
      <c r="N405" s="34"/>
      <c r="O405" s="35"/>
    </row>
    <row r="406" spans="1:15" s="36" customFormat="1" ht="12" x14ac:dyDescent="0.2">
      <c r="A406" s="33"/>
      <c r="B406" s="62">
        <v>45107</v>
      </c>
      <c r="C406" s="64">
        <v>164.9</v>
      </c>
      <c r="D406" s="64">
        <v>695.58</v>
      </c>
      <c r="E406" s="66">
        <v>0</v>
      </c>
      <c r="F406" s="64">
        <v>0</v>
      </c>
      <c r="G406" s="34"/>
      <c r="H406" s="33"/>
      <c r="I406" s="55"/>
      <c r="J406" s="57"/>
      <c r="K406" s="57"/>
      <c r="L406" s="57"/>
      <c r="M406" s="57"/>
      <c r="N406" s="34"/>
      <c r="O406" s="35"/>
    </row>
    <row r="407" spans="1:15" s="36" customFormat="1" ht="12" x14ac:dyDescent="0.2">
      <c r="A407" s="33"/>
      <c r="B407" s="63">
        <v>45138</v>
      </c>
      <c r="C407" s="65">
        <v>112.72</v>
      </c>
      <c r="D407" s="65">
        <v>793.96</v>
      </c>
      <c r="E407" s="67">
        <v>0</v>
      </c>
      <c r="F407" s="65">
        <v>0</v>
      </c>
      <c r="G407" s="34"/>
      <c r="H407" s="33"/>
      <c r="I407" s="56"/>
      <c r="J407" s="58"/>
      <c r="K407" s="58"/>
      <c r="L407" s="58"/>
      <c r="M407" s="58"/>
      <c r="N407" s="34"/>
      <c r="O407" s="35"/>
    </row>
    <row r="408" spans="1:15" s="36" customFormat="1" ht="12" x14ac:dyDescent="0.2">
      <c r="A408" s="33"/>
      <c r="B408" s="62">
        <v>45169</v>
      </c>
      <c r="C408" s="64">
        <v>-441.72</v>
      </c>
      <c r="D408" s="64">
        <v>672.19</v>
      </c>
      <c r="E408" s="66">
        <v>0</v>
      </c>
      <c r="F408" s="64">
        <v>0</v>
      </c>
      <c r="G408" s="34"/>
      <c r="H408" s="33"/>
      <c r="I408" s="55"/>
      <c r="J408" s="57"/>
      <c r="K408" s="57"/>
      <c r="L408" s="57"/>
      <c r="M408" s="57"/>
      <c r="N408" s="34"/>
      <c r="O408" s="35"/>
    </row>
    <row r="409" spans="1:15" s="36" customFormat="1" ht="12" x14ac:dyDescent="0.2">
      <c r="A409" s="33"/>
      <c r="B409" s="63">
        <v>45199</v>
      </c>
      <c r="C409" s="65">
        <v>-450.28000000000299</v>
      </c>
      <c r="D409" s="65">
        <v>751.2</v>
      </c>
      <c r="E409" s="67">
        <v>0</v>
      </c>
      <c r="F409" s="65">
        <v>0</v>
      </c>
      <c r="G409" s="34"/>
      <c r="H409" s="33"/>
      <c r="I409" s="56"/>
      <c r="J409" s="58"/>
      <c r="K409" s="58"/>
      <c r="L409" s="58"/>
      <c r="M409" s="58"/>
      <c r="N409" s="34"/>
      <c r="O409" s="35"/>
    </row>
    <row r="410" spans="1:15" s="36" customFormat="1" ht="12" x14ac:dyDescent="0.2">
      <c r="A410" s="33"/>
      <c r="B410" s="62">
        <v>45230</v>
      </c>
      <c r="C410" s="64">
        <v>-138.45999999999901</v>
      </c>
      <c r="D410" s="64">
        <v>558.62</v>
      </c>
      <c r="E410" s="66">
        <v>0</v>
      </c>
      <c r="F410" s="64">
        <v>0</v>
      </c>
      <c r="G410" s="34"/>
      <c r="H410" s="33"/>
      <c r="I410" s="55"/>
      <c r="J410" s="57"/>
      <c r="K410" s="57"/>
      <c r="L410" s="57"/>
      <c r="M410" s="57"/>
      <c r="N410" s="34"/>
      <c r="O410" s="35"/>
    </row>
    <row r="411" spans="1:15" s="36" customFormat="1" ht="12" x14ac:dyDescent="0.2">
      <c r="A411" s="33"/>
      <c r="B411" s="63">
        <v>45260</v>
      </c>
      <c r="C411" s="65">
        <v>705.83000000000197</v>
      </c>
      <c r="D411" s="65">
        <v>690.65</v>
      </c>
      <c r="E411" s="67">
        <v>0</v>
      </c>
      <c r="F411" s="65">
        <v>0</v>
      </c>
      <c r="G411" s="34"/>
      <c r="H411" s="33"/>
      <c r="I411" s="56"/>
      <c r="J411" s="58"/>
      <c r="K411" s="58"/>
      <c r="L411" s="58"/>
      <c r="M411" s="58"/>
      <c r="N411" s="34"/>
      <c r="O411" s="35"/>
    </row>
    <row r="412" spans="1:15" s="36" customFormat="1" ht="12" x14ac:dyDescent="0.2">
      <c r="A412" s="33"/>
      <c r="B412" s="62">
        <v>45291</v>
      </c>
      <c r="C412" s="64">
        <v>661.70000000000402</v>
      </c>
      <c r="D412" s="64">
        <v>747.27</v>
      </c>
      <c r="E412" s="66">
        <v>0</v>
      </c>
      <c r="F412" s="64">
        <v>0</v>
      </c>
      <c r="G412" s="34"/>
      <c r="H412" s="33"/>
      <c r="I412" s="55"/>
      <c r="J412" s="57"/>
      <c r="K412" s="57"/>
      <c r="L412" s="57"/>
      <c r="M412" s="57"/>
      <c r="N412" s="34"/>
      <c r="O412" s="35"/>
    </row>
    <row r="413" spans="1:15" s="36" customFormat="1" ht="12" x14ac:dyDescent="0.2">
      <c r="A413" s="33"/>
      <c r="B413" s="63">
        <v>45322</v>
      </c>
      <c r="C413" s="65">
        <v>-186.570000000004</v>
      </c>
      <c r="D413" s="65">
        <v>853.38</v>
      </c>
      <c r="E413" s="67">
        <v>0</v>
      </c>
      <c r="F413" s="65">
        <v>0</v>
      </c>
      <c r="G413" s="34"/>
      <c r="H413" s="33"/>
      <c r="I413" s="56"/>
      <c r="J413" s="58"/>
      <c r="K413" s="58"/>
      <c r="L413" s="58"/>
      <c r="M413" s="58"/>
      <c r="N413" s="34"/>
      <c r="O413" s="35"/>
    </row>
    <row r="414" spans="1:15" s="36" customFormat="1" ht="12" x14ac:dyDescent="0.2">
      <c r="A414" s="33"/>
      <c r="B414" s="62">
        <v>45351</v>
      </c>
      <c r="C414" s="64">
        <v>64.97</v>
      </c>
      <c r="D414" s="64">
        <v>393.7</v>
      </c>
      <c r="E414" s="66">
        <v>0</v>
      </c>
      <c r="F414" s="64">
        <v>0</v>
      </c>
      <c r="G414" s="34"/>
      <c r="H414" s="33"/>
      <c r="I414" s="55"/>
      <c r="J414" s="57"/>
      <c r="K414" s="57"/>
      <c r="L414" s="57"/>
      <c r="M414" s="57"/>
      <c r="N414" s="34"/>
      <c r="O414" s="35"/>
    </row>
    <row r="415" spans="1:15" s="36" customFormat="1" ht="12" x14ac:dyDescent="0.2">
      <c r="A415" s="33"/>
      <c r="B415" s="63">
        <v>45382</v>
      </c>
      <c r="C415" s="65">
        <v>198.4</v>
      </c>
      <c r="D415" s="65">
        <v>586</v>
      </c>
      <c r="E415" s="67">
        <v>0</v>
      </c>
      <c r="F415" s="65">
        <v>0</v>
      </c>
      <c r="G415" s="34"/>
      <c r="H415" s="33"/>
      <c r="I415" s="56"/>
      <c r="J415" s="58"/>
      <c r="K415" s="58"/>
      <c r="L415" s="58"/>
      <c r="M415" s="58"/>
      <c r="N415" s="34"/>
      <c r="O415" s="35"/>
    </row>
    <row r="416" spans="1:15" s="36" customFormat="1" ht="12" x14ac:dyDescent="0.2">
      <c r="A416" s="33"/>
      <c r="B416" s="62">
        <v>45412</v>
      </c>
      <c r="C416" s="64">
        <v>-448.26000000000198</v>
      </c>
      <c r="D416" s="64">
        <v>723.52</v>
      </c>
      <c r="E416" s="66">
        <v>0</v>
      </c>
      <c r="F416" s="64">
        <v>0</v>
      </c>
      <c r="G416" s="34"/>
      <c r="H416" s="33"/>
      <c r="I416" s="55"/>
      <c r="J416" s="57"/>
      <c r="K416" s="57"/>
      <c r="L416" s="57"/>
      <c r="M416" s="57"/>
      <c r="N416" s="34"/>
      <c r="O416" s="35"/>
    </row>
    <row r="417" spans="1:15" s="36" customFormat="1" ht="12" x14ac:dyDescent="0.2">
      <c r="A417" s="33"/>
      <c r="B417" s="63">
        <v>45443</v>
      </c>
      <c r="C417" s="65">
        <v>312.08000000000197</v>
      </c>
      <c r="D417" s="65">
        <v>826.2</v>
      </c>
      <c r="E417" s="67">
        <v>0</v>
      </c>
      <c r="F417" s="65">
        <v>0</v>
      </c>
      <c r="G417" s="34"/>
      <c r="H417" s="33"/>
      <c r="I417" s="56"/>
      <c r="J417" s="58"/>
      <c r="K417" s="58"/>
      <c r="L417" s="58"/>
      <c r="M417" s="58"/>
      <c r="N417" s="34"/>
      <c r="O417" s="35"/>
    </row>
    <row r="418" spans="1:15" s="36" customFormat="1" ht="12" x14ac:dyDescent="0.2">
      <c r="A418" s="33"/>
      <c r="B418" s="55"/>
      <c r="C418" s="57"/>
      <c r="D418" s="57"/>
      <c r="E418" s="57"/>
      <c r="F418" s="57"/>
      <c r="G418" s="34"/>
      <c r="H418" s="33"/>
      <c r="I418" s="55"/>
      <c r="J418" s="57"/>
      <c r="K418" s="57"/>
      <c r="L418" s="57"/>
      <c r="M418" s="57"/>
      <c r="N418" s="34"/>
      <c r="O418" s="35"/>
    </row>
    <row r="419" spans="1:15" s="36" customFormat="1" ht="12" x14ac:dyDescent="0.2">
      <c r="A419" s="33"/>
      <c r="B419" s="56"/>
      <c r="C419" s="58"/>
      <c r="D419" s="58"/>
      <c r="E419" s="58"/>
      <c r="F419" s="58"/>
      <c r="G419" s="34"/>
      <c r="H419" s="33"/>
      <c r="I419" s="56"/>
      <c r="J419" s="58"/>
      <c r="K419" s="58"/>
      <c r="L419" s="58"/>
      <c r="M419" s="58"/>
      <c r="N419" s="34"/>
      <c r="O419" s="35"/>
    </row>
    <row r="420" spans="1:15" s="36" customFormat="1" ht="12" x14ac:dyDescent="0.2">
      <c r="A420" s="33"/>
      <c r="B420" s="55"/>
      <c r="C420" s="57"/>
      <c r="D420" s="57"/>
      <c r="E420" s="57"/>
      <c r="F420" s="57"/>
      <c r="G420" s="34"/>
      <c r="H420" s="33"/>
      <c r="I420" s="55"/>
      <c r="J420" s="57"/>
      <c r="K420" s="57"/>
      <c r="L420" s="57"/>
      <c r="M420" s="57"/>
      <c r="N420" s="34"/>
      <c r="O420" s="35"/>
    </row>
    <row r="421" spans="1:15" s="36" customFormat="1" ht="12" x14ac:dyDescent="0.2">
      <c r="A421" s="33"/>
      <c r="B421" s="56"/>
      <c r="C421" s="58"/>
      <c r="D421" s="58"/>
      <c r="E421" s="58"/>
      <c r="F421" s="58"/>
      <c r="G421" s="34"/>
      <c r="H421" s="33"/>
      <c r="I421" s="56"/>
      <c r="J421" s="58"/>
      <c r="K421" s="58"/>
      <c r="L421" s="58"/>
      <c r="M421" s="58"/>
      <c r="N421" s="34"/>
      <c r="O421" s="35"/>
    </row>
    <row r="422" spans="1:15" s="36" customFormat="1" ht="12" x14ac:dyDescent="0.2">
      <c r="A422" s="33"/>
      <c r="B422" s="55"/>
      <c r="C422" s="57"/>
      <c r="D422" s="57"/>
      <c r="E422" s="57"/>
      <c r="F422" s="57"/>
      <c r="G422" s="34"/>
      <c r="H422" s="33"/>
      <c r="I422" s="55"/>
      <c r="J422" s="57"/>
      <c r="K422" s="57"/>
      <c r="L422" s="57"/>
      <c r="M422" s="57"/>
      <c r="N422" s="34"/>
      <c r="O422" s="35"/>
    </row>
    <row r="423" spans="1:15" s="36" customFormat="1" ht="12" x14ac:dyDescent="0.2">
      <c r="A423" s="33"/>
      <c r="B423" s="56"/>
      <c r="C423" s="58"/>
      <c r="D423" s="58"/>
      <c r="E423" s="58"/>
      <c r="F423" s="58"/>
      <c r="G423" s="34"/>
      <c r="H423" s="33"/>
      <c r="I423" s="56"/>
      <c r="J423" s="58"/>
      <c r="K423" s="58"/>
      <c r="L423" s="58"/>
      <c r="M423" s="58"/>
      <c r="N423" s="34"/>
      <c r="O423" s="35"/>
    </row>
    <row r="424" spans="1:15" s="36" customFormat="1" ht="12" x14ac:dyDescent="0.2">
      <c r="A424" s="33"/>
      <c r="B424" s="55"/>
      <c r="C424" s="57"/>
      <c r="D424" s="57"/>
      <c r="E424" s="57"/>
      <c r="F424" s="57"/>
      <c r="G424" s="34"/>
      <c r="H424" s="33"/>
      <c r="I424" s="55"/>
      <c r="J424" s="57"/>
      <c r="K424" s="57"/>
      <c r="L424" s="57"/>
      <c r="M424" s="57"/>
      <c r="N424" s="34"/>
      <c r="O424" s="35"/>
    </row>
    <row r="425" spans="1:15" s="36" customFormat="1" ht="12" x14ac:dyDescent="0.2">
      <c r="A425" s="33"/>
      <c r="B425" s="56"/>
      <c r="C425" s="58"/>
      <c r="D425" s="58"/>
      <c r="E425" s="58"/>
      <c r="F425" s="58"/>
      <c r="G425" s="34"/>
      <c r="H425" s="33"/>
      <c r="I425" s="56"/>
      <c r="J425" s="58"/>
      <c r="K425" s="58"/>
      <c r="L425" s="58"/>
      <c r="M425" s="58"/>
      <c r="N425" s="34"/>
      <c r="O425" s="35"/>
    </row>
    <row r="426" spans="1:15" s="36" customFormat="1" ht="12" x14ac:dyDescent="0.2">
      <c r="A426" s="33"/>
      <c r="B426" s="55"/>
      <c r="C426" s="57"/>
      <c r="D426" s="57"/>
      <c r="E426" s="57"/>
      <c r="F426" s="57"/>
      <c r="G426" s="34"/>
      <c r="H426" s="33"/>
      <c r="I426" s="55"/>
      <c r="J426" s="57"/>
      <c r="K426" s="57"/>
      <c r="L426" s="57"/>
      <c r="M426" s="57"/>
      <c r="N426" s="34"/>
      <c r="O426" s="35"/>
    </row>
    <row r="427" spans="1:15" s="36" customFormat="1" ht="12" x14ac:dyDescent="0.2">
      <c r="A427" s="33"/>
      <c r="B427" s="56"/>
      <c r="C427" s="58"/>
      <c r="D427" s="58"/>
      <c r="E427" s="58"/>
      <c r="F427" s="58"/>
      <c r="G427" s="34"/>
      <c r="H427" s="33"/>
      <c r="I427" s="56"/>
      <c r="J427" s="58"/>
      <c r="K427" s="58"/>
      <c r="L427" s="58"/>
      <c r="M427" s="58"/>
      <c r="N427" s="34"/>
      <c r="O427" s="35"/>
    </row>
    <row r="428" spans="1:15" s="36" customFormat="1" ht="12" x14ac:dyDescent="0.2">
      <c r="A428" s="33"/>
      <c r="B428" s="55"/>
      <c r="C428" s="57"/>
      <c r="D428" s="57"/>
      <c r="E428" s="57"/>
      <c r="F428" s="57"/>
      <c r="G428" s="34"/>
      <c r="H428" s="33"/>
      <c r="I428" s="55"/>
      <c r="J428" s="57"/>
      <c r="K428" s="57"/>
      <c r="L428" s="57"/>
      <c r="M428" s="57"/>
      <c r="N428" s="34"/>
      <c r="O428" s="35"/>
    </row>
    <row r="429" spans="1:15" s="36" customFormat="1" ht="12" x14ac:dyDescent="0.2">
      <c r="A429" s="33"/>
      <c r="B429" s="56"/>
      <c r="C429" s="58"/>
      <c r="D429" s="58"/>
      <c r="E429" s="58"/>
      <c r="F429" s="58"/>
      <c r="G429" s="34"/>
      <c r="H429" s="33"/>
      <c r="I429" s="56"/>
      <c r="J429" s="58"/>
      <c r="K429" s="58"/>
      <c r="L429" s="58"/>
      <c r="M429" s="58"/>
      <c r="N429" s="34"/>
      <c r="O429" s="35"/>
    </row>
    <row r="430" spans="1:15" s="36" customFormat="1" ht="12" x14ac:dyDescent="0.2">
      <c r="A430" s="33"/>
      <c r="B430" s="55"/>
      <c r="C430" s="57"/>
      <c r="D430" s="57"/>
      <c r="E430" s="57"/>
      <c r="F430" s="57"/>
      <c r="G430" s="34"/>
      <c r="H430" s="33"/>
      <c r="I430" s="55"/>
      <c r="J430" s="57"/>
      <c r="K430" s="57"/>
      <c r="L430" s="57"/>
      <c r="M430" s="57"/>
      <c r="N430" s="34"/>
      <c r="O430" s="35"/>
    </row>
    <row r="431" spans="1:15" s="36" customFormat="1" ht="12" x14ac:dyDescent="0.2">
      <c r="A431" s="33"/>
      <c r="B431" s="56"/>
      <c r="C431" s="58"/>
      <c r="D431" s="58"/>
      <c r="E431" s="58"/>
      <c r="F431" s="58"/>
      <c r="G431" s="34"/>
      <c r="H431" s="33"/>
      <c r="I431" s="56"/>
      <c r="J431" s="58"/>
      <c r="K431" s="58"/>
      <c r="L431" s="58"/>
      <c r="M431" s="58"/>
      <c r="N431" s="34"/>
      <c r="O431" s="35"/>
    </row>
    <row r="432" spans="1:15" s="36" customFormat="1" ht="12" x14ac:dyDescent="0.2">
      <c r="A432" s="33"/>
      <c r="B432" s="55"/>
      <c r="C432" s="57"/>
      <c r="D432" s="57"/>
      <c r="E432" s="57"/>
      <c r="F432" s="57"/>
      <c r="G432" s="34"/>
      <c r="H432" s="33"/>
      <c r="I432" s="55"/>
      <c r="J432" s="57"/>
      <c r="K432" s="57"/>
      <c r="L432" s="57"/>
      <c r="M432" s="57"/>
      <c r="N432" s="34"/>
      <c r="O432" s="35"/>
    </row>
    <row r="433" spans="1:15" s="36" customFormat="1" ht="12" x14ac:dyDescent="0.2">
      <c r="A433" s="33"/>
      <c r="B433" s="56"/>
      <c r="C433" s="58"/>
      <c r="D433" s="58"/>
      <c r="E433" s="58"/>
      <c r="F433" s="58"/>
      <c r="G433" s="34"/>
      <c r="H433" s="33"/>
      <c r="I433" s="56"/>
      <c r="J433" s="58"/>
      <c r="K433" s="58"/>
      <c r="L433" s="58"/>
      <c r="M433" s="58"/>
      <c r="N433" s="34"/>
      <c r="O433" s="35"/>
    </row>
    <row r="434" spans="1:15" s="36" customFormat="1" ht="12" x14ac:dyDescent="0.2">
      <c r="A434" s="33"/>
      <c r="B434" s="55"/>
      <c r="C434" s="57"/>
      <c r="D434" s="57"/>
      <c r="E434" s="57"/>
      <c r="F434" s="57"/>
      <c r="G434" s="34"/>
      <c r="H434" s="33"/>
      <c r="I434" s="55"/>
      <c r="J434" s="57"/>
      <c r="K434" s="57"/>
      <c r="L434" s="57"/>
      <c r="M434" s="57"/>
      <c r="N434" s="34"/>
      <c r="O434" s="35"/>
    </row>
    <row r="435" spans="1:15" s="36" customFormat="1" ht="12" x14ac:dyDescent="0.2">
      <c r="A435" s="33"/>
      <c r="B435" s="56"/>
      <c r="C435" s="58"/>
      <c r="D435" s="58"/>
      <c r="E435" s="58"/>
      <c r="F435" s="58"/>
      <c r="G435" s="34"/>
      <c r="H435" s="33"/>
      <c r="I435" s="56"/>
      <c r="J435" s="58"/>
      <c r="K435" s="58"/>
      <c r="L435" s="58"/>
      <c r="M435" s="58"/>
      <c r="N435" s="34"/>
      <c r="O435" s="35"/>
    </row>
    <row r="436" spans="1:15" s="36" customFormat="1" ht="12" x14ac:dyDescent="0.2">
      <c r="A436" s="33"/>
      <c r="B436" s="55"/>
      <c r="C436" s="57"/>
      <c r="D436" s="57"/>
      <c r="E436" s="57"/>
      <c r="F436" s="57"/>
      <c r="G436" s="34"/>
      <c r="H436" s="33"/>
      <c r="I436" s="55"/>
      <c r="J436" s="57"/>
      <c r="K436" s="57"/>
      <c r="L436" s="57"/>
      <c r="M436" s="57"/>
      <c r="N436" s="34"/>
      <c r="O436" s="35"/>
    </row>
    <row r="437" spans="1:15" s="36" customFormat="1" ht="12" x14ac:dyDescent="0.2">
      <c r="A437" s="33"/>
      <c r="B437" s="56"/>
      <c r="C437" s="58"/>
      <c r="D437" s="58"/>
      <c r="E437" s="58"/>
      <c r="F437" s="58"/>
      <c r="G437" s="34"/>
      <c r="H437" s="33"/>
      <c r="I437" s="56"/>
      <c r="J437" s="58"/>
      <c r="K437" s="58"/>
      <c r="L437" s="58"/>
      <c r="M437" s="58"/>
      <c r="N437" s="34"/>
      <c r="O437" s="35"/>
    </row>
    <row r="438" spans="1:15" s="36" customFormat="1" ht="12" x14ac:dyDescent="0.2">
      <c r="A438" s="33"/>
      <c r="B438" s="55"/>
      <c r="C438" s="57"/>
      <c r="D438" s="57"/>
      <c r="E438" s="57"/>
      <c r="F438" s="57"/>
      <c r="G438" s="34"/>
      <c r="H438" s="33"/>
      <c r="I438" s="55"/>
      <c r="J438" s="57"/>
      <c r="K438" s="57"/>
      <c r="L438" s="57"/>
      <c r="M438" s="57"/>
      <c r="N438" s="34"/>
      <c r="O438" s="35"/>
    </row>
    <row r="439" spans="1:15" s="36" customFormat="1" ht="12" x14ac:dyDescent="0.2">
      <c r="A439" s="33"/>
      <c r="B439" s="56"/>
      <c r="C439" s="58"/>
      <c r="D439" s="58"/>
      <c r="E439" s="58"/>
      <c r="F439" s="58"/>
      <c r="G439" s="34"/>
      <c r="H439" s="33"/>
      <c r="I439" s="56"/>
      <c r="J439" s="58"/>
      <c r="K439" s="58"/>
      <c r="L439" s="58"/>
      <c r="M439" s="58"/>
      <c r="N439" s="34"/>
      <c r="O439" s="35"/>
    </row>
    <row r="440" spans="1:15" s="36" customFormat="1" ht="12" x14ac:dyDescent="0.2">
      <c r="A440" s="33"/>
      <c r="B440" s="55"/>
      <c r="C440" s="57"/>
      <c r="D440" s="57"/>
      <c r="E440" s="57"/>
      <c r="F440" s="57"/>
      <c r="G440" s="34"/>
      <c r="H440" s="33"/>
      <c r="I440" s="55"/>
      <c r="J440" s="57"/>
      <c r="K440" s="57"/>
      <c r="L440" s="57"/>
      <c r="M440" s="57"/>
      <c r="N440" s="34"/>
      <c r="O440" s="35"/>
    </row>
    <row r="441" spans="1:15" s="36" customFormat="1" ht="12" x14ac:dyDescent="0.2">
      <c r="A441" s="33"/>
      <c r="B441" s="56"/>
      <c r="C441" s="58"/>
      <c r="D441" s="58"/>
      <c r="E441" s="58"/>
      <c r="F441" s="58"/>
      <c r="G441" s="34"/>
      <c r="H441" s="33"/>
      <c r="I441" s="56"/>
      <c r="J441" s="58"/>
      <c r="K441" s="58"/>
      <c r="L441" s="58"/>
      <c r="M441" s="58"/>
      <c r="N441" s="34"/>
      <c r="O441" s="35"/>
    </row>
    <row r="442" spans="1:15" s="36" customFormat="1" ht="12" x14ac:dyDescent="0.2">
      <c r="A442" s="33"/>
      <c r="B442" s="55"/>
      <c r="C442" s="57"/>
      <c r="D442" s="57"/>
      <c r="E442" s="57"/>
      <c r="F442" s="57"/>
      <c r="G442" s="34"/>
      <c r="H442" s="33"/>
      <c r="I442" s="55"/>
      <c r="J442" s="57"/>
      <c r="K442" s="57"/>
      <c r="L442" s="57"/>
      <c r="M442" s="57"/>
      <c r="N442" s="34"/>
      <c r="O442" s="35"/>
    </row>
    <row r="443" spans="1:15" s="36" customFormat="1" ht="12" x14ac:dyDescent="0.2">
      <c r="A443" s="33"/>
      <c r="B443" s="56"/>
      <c r="C443" s="58"/>
      <c r="D443" s="58"/>
      <c r="E443" s="58"/>
      <c r="F443" s="58"/>
      <c r="G443" s="34"/>
      <c r="H443" s="33"/>
      <c r="I443" s="56"/>
      <c r="J443" s="58"/>
      <c r="K443" s="58"/>
      <c r="L443" s="58"/>
      <c r="M443" s="58"/>
      <c r="N443" s="34"/>
      <c r="O443" s="35"/>
    </row>
    <row r="444" spans="1:15" s="36" customFormat="1" ht="12" x14ac:dyDescent="0.2">
      <c r="A444" s="33"/>
      <c r="B444" s="55"/>
      <c r="C444" s="57"/>
      <c r="D444" s="57"/>
      <c r="E444" s="57"/>
      <c r="F444" s="57"/>
      <c r="G444" s="34"/>
      <c r="H444" s="33"/>
      <c r="I444" s="55"/>
      <c r="J444" s="57"/>
      <c r="K444" s="57"/>
      <c r="L444" s="57"/>
      <c r="M444" s="57"/>
      <c r="N444" s="34"/>
      <c r="O444" s="35"/>
    </row>
    <row r="445" spans="1:15" s="36" customFormat="1" ht="12" x14ac:dyDescent="0.2">
      <c r="A445" s="33"/>
      <c r="B445" s="56"/>
      <c r="C445" s="58"/>
      <c r="D445" s="58"/>
      <c r="E445" s="58"/>
      <c r="F445" s="58"/>
      <c r="G445" s="34"/>
      <c r="H445" s="33"/>
      <c r="I445" s="56"/>
      <c r="J445" s="58"/>
      <c r="K445" s="58"/>
      <c r="L445" s="58"/>
      <c r="M445" s="58"/>
      <c r="N445" s="34"/>
      <c r="O445" s="35"/>
    </row>
    <row r="446" spans="1:15" s="36" customFormat="1" ht="12" x14ac:dyDescent="0.2">
      <c r="A446" s="33"/>
      <c r="B446" s="55"/>
      <c r="C446" s="57"/>
      <c r="D446" s="57"/>
      <c r="E446" s="57"/>
      <c r="F446" s="57"/>
      <c r="G446" s="34"/>
      <c r="H446" s="33"/>
      <c r="I446" s="55"/>
      <c r="J446" s="57"/>
      <c r="K446" s="57"/>
      <c r="L446" s="57"/>
      <c r="M446" s="57"/>
      <c r="N446" s="34"/>
      <c r="O446" s="35"/>
    </row>
    <row r="447" spans="1:15" s="36" customFormat="1" ht="12" x14ac:dyDescent="0.2">
      <c r="A447" s="33"/>
      <c r="B447" s="56"/>
      <c r="C447" s="58"/>
      <c r="D447" s="58"/>
      <c r="E447" s="58"/>
      <c r="F447" s="58"/>
      <c r="G447" s="34"/>
      <c r="H447" s="33"/>
      <c r="I447" s="56"/>
      <c r="J447" s="58"/>
      <c r="K447" s="58"/>
      <c r="L447" s="58"/>
      <c r="M447" s="58"/>
      <c r="N447" s="34"/>
      <c r="O447" s="35"/>
    </row>
    <row r="448" spans="1:15" s="36" customFormat="1" ht="12" x14ac:dyDescent="0.2">
      <c r="A448" s="33"/>
      <c r="B448" s="55"/>
      <c r="C448" s="57"/>
      <c r="D448" s="57"/>
      <c r="E448" s="57"/>
      <c r="F448" s="57"/>
      <c r="G448" s="34"/>
      <c r="H448" s="33"/>
      <c r="I448" s="55"/>
      <c r="J448" s="57"/>
      <c r="K448" s="57"/>
      <c r="L448" s="57"/>
      <c r="M448" s="57"/>
      <c r="N448" s="34"/>
      <c r="O448" s="35"/>
    </row>
    <row r="449" spans="1:15" s="36" customFormat="1" ht="12" x14ac:dyDescent="0.2">
      <c r="A449" s="33"/>
      <c r="B449" s="56"/>
      <c r="C449" s="58"/>
      <c r="D449" s="58"/>
      <c r="E449" s="58"/>
      <c r="F449" s="58"/>
      <c r="G449" s="34"/>
      <c r="H449" s="33"/>
      <c r="I449" s="56"/>
      <c r="J449" s="58"/>
      <c r="K449" s="58"/>
      <c r="L449" s="58"/>
      <c r="M449" s="58"/>
      <c r="N449" s="34"/>
      <c r="O449" s="35"/>
    </row>
    <row r="450" spans="1:15" s="36" customFormat="1" ht="12" x14ac:dyDescent="0.2">
      <c r="A450" s="33"/>
      <c r="B450" s="55"/>
      <c r="C450" s="57"/>
      <c r="D450" s="57"/>
      <c r="E450" s="57"/>
      <c r="F450" s="57"/>
      <c r="G450" s="34"/>
      <c r="H450" s="33"/>
      <c r="I450" s="55"/>
      <c r="J450" s="57"/>
      <c r="K450" s="57"/>
      <c r="L450" s="57"/>
      <c r="M450" s="57"/>
      <c r="N450" s="34"/>
      <c r="O450" s="35"/>
    </row>
    <row r="451" spans="1:15" s="36" customFormat="1" ht="12" x14ac:dyDescent="0.2">
      <c r="A451" s="33"/>
      <c r="B451" s="56"/>
      <c r="C451" s="58"/>
      <c r="D451" s="58"/>
      <c r="E451" s="58"/>
      <c r="F451" s="58"/>
      <c r="G451" s="34"/>
      <c r="H451" s="33"/>
      <c r="I451" s="56"/>
      <c r="J451" s="58"/>
      <c r="K451" s="58"/>
      <c r="L451" s="58"/>
      <c r="M451" s="58"/>
      <c r="N451" s="34"/>
      <c r="O451" s="35"/>
    </row>
    <row r="452" spans="1:15" s="36" customFormat="1" ht="12" x14ac:dyDescent="0.2">
      <c r="A452" s="33"/>
      <c r="B452" s="55"/>
      <c r="C452" s="57"/>
      <c r="D452" s="57"/>
      <c r="E452" s="57"/>
      <c r="F452" s="57"/>
      <c r="G452" s="34"/>
      <c r="H452" s="33"/>
      <c r="I452" s="55"/>
      <c r="J452" s="57"/>
      <c r="K452" s="57"/>
      <c r="L452" s="57"/>
      <c r="M452" s="57"/>
      <c r="N452" s="34"/>
      <c r="O452" s="35"/>
    </row>
    <row r="453" spans="1:15" s="36" customFormat="1" ht="12" x14ac:dyDescent="0.2">
      <c r="A453" s="33"/>
      <c r="B453" s="56"/>
      <c r="C453" s="58"/>
      <c r="D453" s="58"/>
      <c r="E453" s="58"/>
      <c r="F453" s="58"/>
      <c r="G453" s="34"/>
      <c r="H453" s="33"/>
      <c r="I453" s="56"/>
      <c r="J453" s="58"/>
      <c r="K453" s="58"/>
      <c r="L453" s="58"/>
      <c r="M453" s="58"/>
      <c r="N453" s="34"/>
      <c r="O453" s="35"/>
    </row>
    <row r="454" spans="1:15" s="36" customFormat="1" ht="12" x14ac:dyDescent="0.2">
      <c r="A454" s="33"/>
      <c r="B454" s="55"/>
      <c r="C454" s="57"/>
      <c r="D454" s="57"/>
      <c r="E454" s="57"/>
      <c r="F454" s="57"/>
      <c r="G454" s="34"/>
      <c r="H454" s="33"/>
      <c r="I454" s="55"/>
      <c r="J454" s="57"/>
      <c r="K454" s="57"/>
      <c r="L454" s="57"/>
      <c r="M454" s="57"/>
      <c r="N454" s="34"/>
      <c r="O454" s="35"/>
    </row>
    <row r="455" spans="1:15" s="36" customFormat="1" ht="12" x14ac:dyDescent="0.2">
      <c r="A455" s="33"/>
      <c r="B455" s="56"/>
      <c r="C455" s="58"/>
      <c r="D455" s="58"/>
      <c r="E455" s="58"/>
      <c r="F455" s="58"/>
      <c r="G455" s="34"/>
      <c r="H455" s="33"/>
      <c r="I455" s="56"/>
      <c r="J455" s="58"/>
      <c r="K455" s="58"/>
      <c r="L455" s="58"/>
      <c r="M455" s="58"/>
      <c r="N455" s="34"/>
      <c r="O455" s="35"/>
    </row>
    <row r="456" spans="1:15" s="36" customFormat="1" ht="12" x14ac:dyDescent="0.2">
      <c r="A456" s="33"/>
      <c r="B456" s="55"/>
      <c r="C456" s="57"/>
      <c r="D456" s="57"/>
      <c r="E456" s="57"/>
      <c r="F456" s="57"/>
      <c r="G456" s="34"/>
      <c r="H456" s="33"/>
      <c r="I456" s="55"/>
      <c r="J456" s="57"/>
      <c r="K456" s="57"/>
      <c r="L456" s="57"/>
      <c r="M456" s="57"/>
      <c r="N456" s="34"/>
      <c r="O456" s="35"/>
    </row>
    <row r="457" spans="1:15" s="36" customFormat="1" ht="12" x14ac:dyDescent="0.2">
      <c r="A457" s="33"/>
      <c r="B457" s="56"/>
      <c r="C457" s="58"/>
      <c r="D457" s="58"/>
      <c r="E457" s="58"/>
      <c r="F457" s="58"/>
      <c r="G457" s="34"/>
      <c r="H457" s="33"/>
      <c r="I457" s="56"/>
      <c r="J457" s="58"/>
      <c r="K457" s="58"/>
      <c r="L457" s="58"/>
      <c r="M457" s="58"/>
      <c r="N457" s="34"/>
      <c r="O457" s="35"/>
    </row>
    <row r="458" spans="1:15" s="36" customFormat="1" ht="12" x14ac:dyDescent="0.2">
      <c r="A458" s="33"/>
      <c r="B458" s="55"/>
      <c r="C458" s="57"/>
      <c r="D458" s="57"/>
      <c r="E458" s="57"/>
      <c r="F458" s="57"/>
      <c r="G458" s="34"/>
      <c r="H458" s="33"/>
      <c r="I458" s="55"/>
      <c r="J458" s="57"/>
      <c r="K458" s="57"/>
      <c r="L458" s="57"/>
      <c r="M458" s="57"/>
      <c r="N458" s="34"/>
      <c r="O458" s="35"/>
    </row>
    <row r="459" spans="1:15" s="36" customFormat="1" ht="12" x14ac:dyDescent="0.2">
      <c r="A459" s="33"/>
      <c r="B459" s="56"/>
      <c r="C459" s="58"/>
      <c r="D459" s="58"/>
      <c r="E459" s="58"/>
      <c r="F459" s="58"/>
      <c r="G459" s="34"/>
      <c r="H459" s="33"/>
      <c r="I459" s="56"/>
      <c r="J459" s="58"/>
      <c r="K459" s="58"/>
      <c r="L459" s="58"/>
      <c r="M459" s="58"/>
      <c r="N459" s="34"/>
      <c r="O459" s="35"/>
    </row>
    <row r="460" spans="1:15" s="36" customFormat="1" ht="12" x14ac:dyDescent="0.2">
      <c r="A460" s="33"/>
      <c r="B460" s="55"/>
      <c r="C460" s="57"/>
      <c r="D460" s="57"/>
      <c r="E460" s="57"/>
      <c r="F460" s="57"/>
      <c r="G460" s="34"/>
      <c r="H460" s="33"/>
      <c r="I460" s="55"/>
      <c r="J460" s="57"/>
      <c r="K460" s="57"/>
      <c r="L460" s="57"/>
      <c r="M460" s="57"/>
      <c r="N460" s="34"/>
      <c r="O460" s="35"/>
    </row>
    <row r="461" spans="1:15" s="36" customFormat="1" ht="12" x14ac:dyDescent="0.2">
      <c r="A461" s="33"/>
      <c r="B461" s="56"/>
      <c r="C461" s="58"/>
      <c r="D461" s="58"/>
      <c r="E461" s="58"/>
      <c r="F461" s="58"/>
      <c r="G461" s="34"/>
      <c r="H461" s="33"/>
      <c r="I461" s="56"/>
      <c r="J461" s="58"/>
      <c r="K461" s="58"/>
      <c r="L461" s="58"/>
      <c r="M461" s="58"/>
      <c r="N461" s="34"/>
      <c r="O461" s="35"/>
    </row>
    <row r="462" spans="1:15" s="36" customFormat="1" ht="12" x14ac:dyDescent="0.2">
      <c r="A462" s="33"/>
      <c r="B462" s="55"/>
      <c r="C462" s="57"/>
      <c r="D462" s="57"/>
      <c r="E462" s="57"/>
      <c r="F462" s="57"/>
      <c r="G462" s="34"/>
      <c r="H462" s="33"/>
      <c r="I462" s="55"/>
      <c r="J462" s="57"/>
      <c r="K462" s="57"/>
      <c r="L462" s="57"/>
      <c r="M462" s="57"/>
      <c r="N462" s="34"/>
      <c r="O462" s="35"/>
    </row>
    <row r="463" spans="1:15" s="36" customFormat="1" ht="12" x14ac:dyDescent="0.2">
      <c r="A463" s="33"/>
      <c r="B463" s="56"/>
      <c r="C463" s="58"/>
      <c r="D463" s="58"/>
      <c r="E463" s="58"/>
      <c r="F463" s="58"/>
      <c r="G463" s="34"/>
      <c r="H463" s="33"/>
      <c r="I463" s="56"/>
      <c r="J463" s="58"/>
      <c r="K463" s="58"/>
      <c r="L463" s="58"/>
      <c r="M463" s="58"/>
      <c r="N463" s="34"/>
      <c r="O463" s="35"/>
    </row>
    <row r="464" spans="1:15" s="36" customFormat="1" ht="12" x14ac:dyDescent="0.2">
      <c r="A464" s="33"/>
      <c r="B464" s="55"/>
      <c r="C464" s="57"/>
      <c r="D464" s="57"/>
      <c r="E464" s="57"/>
      <c r="F464" s="57"/>
      <c r="G464" s="34"/>
      <c r="H464" s="33"/>
      <c r="I464" s="55"/>
      <c r="J464" s="57"/>
      <c r="K464" s="57"/>
      <c r="L464" s="57"/>
      <c r="M464" s="57"/>
      <c r="N464" s="34"/>
      <c r="O464" s="35"/>
    </row>
    <row r="465" spans="1:15" s="36" customFormat="1" ht="12" x14ac:dyDescent="0.2">
      <c r="A465" s="33"/>
      <c r="B465" s="56"/>
      <c r="C465" s="58"/>
      <c r="D465" s="58"/>
      <c r="E465" s="58"/>
      <c r="F465" s="58"/>
      <c r="G465" s="34"/>
      <c r="H465" s="33"/>
      <c r="I465" s="56"/>
      <c r="J465" s="58"/>
      <c r="K465" s="58"/>
      <c r="L465" s="58"/>
      <c r="M465" s="58"/>
      <c r="N465" s="34"/>
      <c r="O465" s="35"/>
    </row>
    <row r="466" spans="1:15" s="36" customFormat="1" ht="12" x14ac:dyDescent="0.2">
      <c r="A466" s="33"/>
      <c r="B466" s="55"/>
      <c r="C466" s="57"/>
      <c r="D466" s="57"/>
      <c r="E466" s="57"/>
      <c r="F466" s="57"/>
      <c r="G466" s="34"/>
      <c r="H466" s="33"/>
      <c r="I466" s="55"/>
      <c r="J466" s="57"/>
      <c r="K466" s="57"/>
      <c r="L466" s="57"/>
      <c r="M466" s="57"/>
      <c r="N466" s="34"/>
      <c r="O466" s="35"/>
    </row>
    <row r="467" spans="1:15" s="36" customFormat="1" ht="12" x14ac:dyDescent="0.2">
      <c r="A467" s="33"/>
      <c r="B467" s="56"/>
      <c r="C467" s="58"/>
      <c r="D467" s="58"/>
      <c r="E467" s="58"/>
      <c r="F467" s="58"/>
      <c r="G467" s="34"/>
      <c r="H467" s="33"/>
      <c r="I467" s="56"/>
      <c r="J467" s="58"/>
      <c r="K467" s="58"/>
      <c r="L467" s="58"/>
      <c r="M467" s="58"/>
      <c r="N467" s="34"/>
      <c r="O467" s="35"/>
    </row>
    <row r="468" spans="1:15" s="36" customFormat="1" ht="12" x14ac:dyDescent="0.2">
      <c r="A468" s="33"/>
      <c r="B468" s="55"/>
      <c r="C468" s="57"/>
      <c r="D468" s="57"/>
      <c r="E468" s="57"/>
      <c r="F468" s="57"/>
      <c r="G468" s="34"/>
      <c r="H468" s="33"/>
      <c r="I468" s="55"/>
      <c r="J468" s="57"/>
      <c r="K468" s="57"/>
      <c r="L468" s="57"/>
      <c r="M468" s="57"/>
      <c r="N468" s="34"/>
      <c r="O468" s="35"/>
    </row>
    <row r="469" spans="1:15" s="36" customFormat="1" ht="12" x14ac:dyDescent="0.2">
      <c r="A469" s="33"/>
      <c r="B469" s="56"/>
      <c r="C469" s="58"/>
      <c r="D469" s="58"/>
      <c r="E469" s="58"/>
      <c r="F469" s="58"/>
      <c r="G469" s="34"/>
      <c r="H469" s="33"/>
      <c r="I469" s="56"/>
      <c r="J469" s="58"/>
      <c r="K469" s="58"/>
      <c r="L469" s="58"/>
      <c r="M469" s="58"/>
      <c r="N469" s="34"/>
      <c r="O469" s="35"/>
    </row>
    <row r="470" spans="1:15" s="36" customFormat="1" ht="12" x14ac:dyDescent="0.2">
      <c r="A470" s="33"/>
      <c r="B470" s="55"/>
      <c r="C470" s="57"/>
      <c r="D470" s="57"/>
      <c r="E470" s="57"/>
      <c r="F470" s="57"/>
      <c r="G470" s="34"/>
      <c r="H470" s="33"/>
      <c r="I470" s="55"/>
      <c r="J470" s="57"/>
      <c r="K470" s="57"/>
      <c r="L470" s="57"/>
      <c r="M470" s="57"/>
      <c r="N470" s="34"/>
      <c r="O470" s="35"/>
    </row>
    <row r="471" spans="1:15" s="36" customFormat="1" ht="12" x14ac:dyDescent="0.2">
      <c r="A471" s="33"/>
      <c r="B471" s="56"/>
      <c r="C471" s="58"/>
      <c r="D471" s="58"/>
      <c r="E471" s="58"/>
      <c r="F471" s="58"/>
      <c r="G471" s="34"/>
      <c r="H471" s="33"/>
      <c r="I471" s="56"/>
      <c r="J471" s="58"/>
      <c r="K471" s="58"/>
      <c r="L471" s="58"/>
      <c r="M471" s="58"/>
      <c r="N471" s="34"/>
      <c r="O471" s="35"/>
    </row>
    <row r="472" spans="1:15" s="36" customFormat="1" ht="12" x14ac:dyDescent="0.2">
      <c r="A472" s="33"/>
      <c r="B472" s="55"/>
      <c r="C472" s="57"/>
      <c r="D472" s="57"/>
      <c r="E472" s="57"/>
      <c r="F472" s="57"/>
      <c r="G472" s="34"/>
      <c r="H472" s="33"/>
      <c r="I472" s="55"/>
      <c r="J472" s="57"/>
      <c r="K472" s="57"/>
      <c r="L472" s="57"/>
      <c r="M472" s="57"/>
      <c r="N472" s="34"/>
      <c r="O472" s="35"/>
    </row>
    <row r="473" spans="1:15" s="36" customFormat="1" ht="12" x14ac:dyDescent="0.2">
      <c r="A473" s="33"/>
      <c r="B473" s="56"/>
      <c r="C473" s="58"/>
      <c r="D473" s="58"/>
      <c r="E473" s="58"/>
      <c r="F473" s="58"/>
      <c r="G473" s="34"/>
      <c r="H473" s="33"/>
      <c r="I473" s="56"/>
      <c r="J473" s="58"/>
      <c r="K473" s="58"/>
      <c r="L473" s="58"/>
      <c r="M473" s="58"/>
      <c r="N473" s="34"/>
      <c r="O473" s="35"/>
    </row>
    <row r="474" spans="1:15" s="36" customFormat="1" ht="12" x14ac:dyDescent="0.2">
      <c r="A474" s="33"/>
      <c r="B474" s="55"/>
      <c r="C474" s="57"/>
      <c r="D474" s="57"/>
      <c r="E474" s="57"/>
      <c r="F474" s="57"/>
      <c r="G474" s="34"/>
      <c r="H474" s="33"/>
      <c r="I474" s="55"/>
      <c r="J474" s="57"/>
      <c r="K474" s="57"/>
      <c r="L474" s="57"/>
      <c r="M474" s="57"/>
      <c r="N474" s="34"/>
      <c r="O474" s="35"/>
    </row>
    <row r="475" spans="1:15" s="36" customFormat="1" ht="12" x14ac:dyDescent="0.2">
      <c r="A475" s="33"/>
      <c r="B475" s="56"/>
      <c r="C475" s="58"/>
      <c r="D475" s="58"/>
      <c r="E475" s="58"/>
      <c r="F475" s="58"/>
      <c r="G475" s="34"/>
      <c r="H475" s="33"/>
      <c r="I475" s="56"/>
      <c r="J475" s="58"/>
      <c r="K475" s="58"/>
      <c r="L475" s="58"/>
      <c r="M475" s="58"/>
      <c r="N475" s="34"/>
      <c r="O475" s="35"/>
    </row>
    <row r="476" spans="1:15" s="36" customFormat="1" ht="12" x14ac:dyDescent="0.2">
      <c r="A476" s="33"/>
      <c r="B476" s="55"/>
      <c r="C476" s="57"/>
      <c r="D476" s="57"/>
      <c r="E476" s="57"/>
      <c r="F476" s="57"/>
      <c r="G476" s="34"/>
      <c r="H476" s="33"/>
      <c r="I476" s="55"/>
      <c r="J476" s="57"/>
      <c r="K476" s="57"/>
      <c r="L476" s="57"/>
      <c r="M476" s="57"/>
      <c r="N476" s="34"/>
      <c r="O476" s="35"/>
    </row>
    <row r="477" spans="1:15" s="36" customFormat="1" ht="12" x14ac:dyDescent="0.2">
      <c r="A477" s="33"/>
      <c r="B477" s="56"/>
      <c r="C477" s="58"/>
      <c r="D477" s="58"/>
      <c r="E477" s="58"/>
      <c r="F477" s="58"/>
      <c r="G477" s="34"/>
      <c r="H477" s="33"/>
      <c r="I477" s="56"/>
      <c r="J477" s="58"/>
      <c r="K477" s="58"/>
      <c r="L477" s="58"/>
      <c r="M477" s="58"/>
      <c r="N477" s="34"/>
      <c r="O477" s="35"/>
    </row>
    <row r="478" spans="1:15" s="36" customFormat="1" ht="12" x14ac:dyDescent="0.2">
      <c r="A478" s="33"/>
      <c r="B478" s="55"/>
      <c r="C478" s="57"/>
      <c r="D478" s="57"/>
      <c r="E478" s="57"/>
      <c r="F478" s="57"/>
      <c r="G478" s="34"/>
      <c r="H478" s="33"/>
      <c r="I478" s="55"/>
      <c r="J478" s="57"/>
      <c r="K478" s="57"/>
      <c r="L478" s="57"/>
      <c r="M478" s="57"/>
      <c r="N478" s="34"/>
      <c r="O478" s="35"/>
    </row>
    <row r="479" spans="1:15" s="36" customFormat="1" ht="12" x14ac:dyDescent="0.2">
      <c r="A479" s="33"/>
      <c r="B479" s="56"/>
      <c r="C479" s="58"/>
      <c r="D479" s="58"/>
      <c r="E479" s="58"/>
      <c r="F479" s="58"/>
      <c r="G479" s="34"/>
      <c r="H479" s="33"/>
      <c r="I479" s="56"/>
      <c r="J479" s="58"/>
      <c r="K479" s="58"/>
      <c r="L479" s="58"/>
      <c r="M479" s="58"/>
      <c r="N479" s="34"/>
      <c r="O479" s="35"/>
    </row>
    <row r="480" spans="1:15" s="36" customFormat="1" ht="12" x14ac:dyDescent="0.2">
      <c r="A480" s="33"/>
      <c r="B480" s="55"/>
      <c r="C480" s="57"/>
      <c r="D480" s="57"/>
      <c r="E480" s="57"/>
      <c r="F480" s="57"/>
      <c r="G480" s="34"/>
      <c r="H480" s="33"/>
      <c r="I480" s="55"/>
      <c r="J480" s="57"/>
      <c r="K480" s="57"/>
      <c r="L480" s="57"/>
      <c r="M480" s="57"/>
      <c r="N480" s="34"/>
      <c r="O480" s="35"/>
    </row>
    <row r="481" spans="1:15" s="36" customFormat="1" ht="12" x14ac:dyDescent="0.2">
      <c r="A481" s="33"/>
      <c r="B481" s="56"/>
      <c r="C481" s="58"/>
      <c r="D481" s="58"/>
      <c r="E481" s="58"/>
      <c r="F481" s="58"/>
      <c r="G481" s="34"/>
      <c r="H481" s="33"/>
      <c r="I481" s="56"/>
      <c r="J481" s="58"/>
      <c r="K481" s="58"/>
      <c r="L481" s="58"/>
      <c r="M481" s="58"/>
      <c r="N481" s="34"/>
      <c r="O481" s="35"/>
    </row>
    <row r="482" spans="1:15" s="36" customFormat="1" ht="12" x14ac:dyDescent="0.2">
      <c r="A482" s="33"/>
      <c r="B482" s="55"/>
      <c r="C482" s="57"/>
      <c r="D482" s="57"/>
      <c r="E482" s="57"/>
      <c r="F482" s="57"/>
      <c r="G482" s="34"/>
      <c r="H482" s="33"/>
      <c r="I482" s="55"/>
      <c r="J482" s="57"/>
      <c r="K482" s="57"/>
      <c r="L482" s="57"/>
      <c r="M482" s="57"/>
      <c r="N482" s="34"/>
      <c r="O482" s="35"/>
    </row>
    <row r="483" spans="1:15" s="36" customFormat="1" ht="12" x14ac:dyDescent="0.2">
      <c r="A483" s="33"/>
      <c r="B483" s="56"/>
      <c r="C483" s="58"/>
      <c r="D483" s="58"/>
      <c r="E483" s="58"/>
      <c r="F483" s="58"/>
      <c r="G483" s="34"/>
      <c r="H483" s="33"/>
      <c r="I483" s="56"/>
      <c r="J483" s="58"/>
      <c r="K483" s="58"/>
      <c r="L483" s="58"/>
      <c r="M483" s="58"/>
      <c r="N483" s="34"/>
      <c r="O483" s="35"/>
    </row>
    <row r="484" spans="1:15" s="36" customFormat="1" ht="12" x14ac:dyDescent="0.2">
      <c r="A484" s="33"/>
      <c r="B484" s="55"/>
      <c r="C484" s="57"/>
      <c r="D484" s="57"/>
      <c r="E484" s="57"/>
      <c r="F484" s="57"/>
      <c r="G484" s="34"/>
      <c r="H484" s="33"/>
      <c r="I484" s="55"/>
      <c r="J484" s="57"/>
      <c r="K484" s="57"/>
      <c r="L484" s="57"/>
      <c r="M484" s="57"/>
      <c r="N484" s="34"/>
      <c r="O484" s="35"/>
    </row>
    <row r="485" spans="1:15" s="36" customFormat="1" ht="12" x14ac:dyDescent="0.2">
      <c r="A485" s="33"/>
      <c r="B485" s="56"/>
      <c r="C485" s="58"/>
      <c r="D485" s="58"/>
      <c r="E485" s="58"/>
      <c r="F485" s="58"/>
      <c r="G485" s="34"/>
      <c r="H485" s="33"/>
      <c r="I485" s="56"/>
      <c r="J485" s="58"/>
      <c r="K485" s="58"/>
      <c r="L485" s="58"/>
      <c r="M485" s="58"/>
      <c r="N485" s="34"/>
      <c r="O485" s="35"/>
    </row>
    <row r="486" spans="1:15" s="36" customFormat="1" ht="12" x14ac:dyDescent="0.2">
      <c r="A486" s="33"/>
      <c r="B486" s="55"/>
      <c r="C486" s="57"/>
      <c r="D486" s="57"/>
      <c r="E486" s="57"/>
      <c r="F486" s="57"/>
      <c r="G486" s="34"/>
      <c r="H486" s="33"/>
      <c r="I486" s="55"/>
      <c r="J486" s="57"/>
      <c r="K486" s="57"/>
      <c r="L486" s="57"/>
      <c r="M486" s="57"/>
      <c r="N486" s="34"/>
      <c r="O486" s="35"/>
    </row>
    <row r="487" spans="1:15" s="36" customFormat="1" ht="12" x14ac:dyDescent="0.2">
      <c r="A487" s="33"/>
      <c r="B487" s="56"/>
      <c r="C487" s="58"/>
      <c r="D487" s="58"/>
      <c r="E487" s="58"/>
      <c r="F487" s="58"/>
      <c r="G487" s="34"/>
      <c r="H487" s="33"/>
      <c r="I487" s="56"/>
      <c r="J487" s="58"/>
      <c r="K487" s="58"/>
      <c r="L487" s="58"/>
      <c r="M487" s="58"/>
      <c r="N487" s="34"/>
      <c r="O487" s="35"/>
    </row>
    <row r="488" spans="1:15" s="36" customFormat="1" ht="12" x14ac:dyDescent="0.2">
      <c r="A488" s="33"/>
      <c r="B488" s="55"/>
      <c r="C488" s="57"/>
      <c r="D488" s="57"/>
      <c r="E488" s="57"/>
      <c r="F488" s="57"/>
      <c r="G488" s="34"/>
      <c r="H488" s="33"/>
      <c r="I488" s="55"/>
      <c r="J488" s="57"/>
      <c r="K488" s="57"/>
      <c r="L488" s="57"/>
      <c r="M488" s="57"/>
      <c r="N488" s="34"/>
      <c r="O488" s="35"/>
    </row>
    <row r="489" spans="1:15" s="36" customFormat="1" ht="12" x14ac:dyDescent="0.2">
      <c r="A489" s="33"/>
      <c r="B489" s="56"/>
      <c r="C489" s="58"/>
      <c r="D489" s="58"/>
      <c r="E489" s="58"/>
      <c r="F489" s="58"/>
      <c r="G489" s="34"/>
      <c r="H489" s="33"/>
      <c r="I489" s="56"/>
      <c r="J489" s="58"/>
      <c r="K489" s="58"/>
      <c r="L489" s="58"/>
      <c r="M489" s="58"/>
      <c r="N489" s="34"/>
      <c r="O489" s="35"/>
    </row>
    <row r="490" spans="1:15" s="36" customFormat="1" ht="12" x14ac:dyDescent="0.2">
      <c r="A490" s="33"/>
      <c r="B490" s="55"/>
      <c r="C490" s="57"/>
      <c r="D490" s="57"/>
      <c r="E490" s="57"/>
      <c r="F490" s="57"/>
      <c r="G490" s="34"/>
      <c r="H490" s="33"/>
      <c r="I490" s="55"/>
      <c r="J490" s="57"/>
      <c r="K490" s="57"/>
      <c r="L490" s="57"/>
      <c r="M490" s="57"/>
      <c r="N490" s="34"/>
      <c r="O490" s="35"/>
    </row>
    <row r="491" spans="1:15" s="36" customFormat="1" ht="12" x14ac:dyDescent="0.2">
      <c r="A491" s="33"/>
      <c r="B491" s="56"/>
      <c r="C491" s="58"/>
      <c r="D491" s="58"/>
      <c r="E491" s="58"/>
      <c r="F491" s="58"/>
      <c r="G491" s="34"/>
      <c r="H491" s="33"/>
      <c r="I491" s="56"/>
      <c r="J491" s="58"/>
      <c r="K491" s="58"/>
      <c r="L491" s="58"/>
      <c r="M491" s="58"/>
      <c r="N491" s="34"/>
      <c r="O491" s="35"/>
    </row>
    <row r="492" spans="1:15" s="36" customFormat="1" ht="12" x14ac:dyDescent="0.2">
      <c r="A492" s="33"/>
      <c r="B492" s="55"/>
      <c r="C492" s="57"/>
      <c r="D492" s="57"/>
      <c r="E492" s="57"/>
      <c r="F492" s="57"/>
      <c r="G492" s="34"/>
      <c r="H492" s="33"/>
      <c r="I492" s="55"/>
      <c r="J492" s="57"/>
      <c r="K492" s="57"/>
      <c r="L492" s="57"/>
      <c r="M492" s="57"/>
      <c r="N492" s="34"/>
      <c r="O492" s="35"/>
    </row>
    <row r="493" spans="1:15" s="36" customFormat="1" ht="12" x14ac:dyDescent="0.2">
      <c r="A493" s="33"/>
      <c r="B493" s="56"/>
      <c r="C493" s="58"/>
      <c r="D493" s="58"/>
      <c r="E493" s="58"/>
      <c r="F493" s="58"/>
      <c r="G493" s="34"/>
      <c r="H493" s="33"/>
      <c r="I493" s="56"/>
      <c r="J493" s="58"/>
      <c r="K493" s="58"/>
      <c r="L493" s="58"/>
      <c r="M493" s="58"/>
      <c r="N493" s="34"/>
      <c r="O493" s="35"/>
    </row>
    <row r="494" spans="1:15" s="36" customFormat="1" ht="12" x14ac:dyDescent="0.2">
      <c r="A494" s="33"/>
      <c r="B494" s="55"/>
      <c r="C494" s="57"/>
      <c r="D494" s="57"/>
      <c r="E494" s="57"/>
      <c r="F494" s="57"/>
      <c r="G494" s="34"/>
      <c r="H494" s="33"/>
      <c r="I494" s="55"/>
      <c r="J494" s="57"/>
      <c r="K494" s="57"/>
      <c r="L494" s="57"/>
      <c r="M494" s="57"/>
      <c r="N494" s="34"/>
      <c r="O494" s="35"/>
    </row>
    <row r="495" spans="1:15" s="36" customFormat="1" ht="12" x14ac:dyDescent="0.2">
      <c r="A495" s="33"/>
      <c r="B495" s="56"/>
      <c r="C495" s="58"/>
      <c r="D495" s="58"/>
      <c r="E495" s="58"/>
      <c r="F495" s="58"/>
      <c r="G495" s="34"/>
      <c r="H495" s="33"/>
      <c r="I495" s="56"/>
      <c r="J495" s="58"/>
      <c r="K495" s="58"/>
      <c r="L495" s="58"/>
      <c r="M495" s="58"/>
      <c r="N495" s="34"/>
      <c r="O495" s="35"/>
    </row>
    <row r="496" spans="1:15" s="36" customFormat="1" ht="12" x14ac:dyDescent="0.2">
      <c r="A496" s="33"/>
      <c r="B496" s="55"/>
      <c r="C496" s="57"/>
      <c r="D496" s="57"/>
      <c r="E496" s="57"/>
      <c r="F496" s="57"/>
      <c r="G496" s="34"/>
      <c r="H496" s="33"/>
      <c r="I496" s="55"/>
      <c r="J496" s="57"/>
      <c r="K496" s="57"/>
      <c r="L496" s="57"/>
      <c r="M496" s="57"/>
      <c r="N496" s="34"/>
      <c r="O496" s="35"/>
    </row>
    <row r="497" spans="1:15" s="36" customFormat="1" ht="12" x14ac:dyDescent="0.2">
      <c r="A497" s="33"/>
      <c r="B497" s="56"/>
      <c r="C497" s="58"/>
      <c r="D497" s="58"/>
      <c r="E497" s="58"/>
      <c r="F497" s="58"/>
      <c r="G497" s="34"/>
      <c r="H497" s="33"/>
      <c r="I497" s="56"/>
      <c r="J497" s="58"/>
      <c r="K497" s="58"/>
      <c r="L497" s="58"/>
      <c r="M497" s="58"/>
      <c r="N497" s="34"/>
      <c r="O497" s="35"/>
    </row>
    <row r="498" spans="1:15" s="36" customFormat="1" ht="12" x14ac:dyDescent="0.2">
      <c r="A498" s="33"/>
      <c r="B498" s="55"/>
      <c r="C498" s="57"/>
      <c r="D498" s="57"/>
      <c r="E498" s="57"/>
      <c r="F498" s="57"/>
      <c r="G498" s="34"/>
      <c r="H498" s="33"/>
      <c r="I498" s="55"/>
      <c r="J498" s="57"/>
      <c r="K498" s="57"/>
      <c r="L498" s="57"/>
      <c r="M498" s="57"/>
      <c r="N498" s="34"/>
      <c r="O498" s="35"/>
    </row>
    <row r="499" spans="1:15" s="36" customFormat="1" ht="12" x14ac:dyDescent="0.2">
      <c r="A499" s="33"/>
      <c r="B499" s="56"/>
      <c r="C499" s="58"/>
      <c r="D499" s="58"/>
      <c r="E499" s="58"/>
      <c r="F499" s="58"/>
      <c r="G499" s="34"/>
      <c r="H499" s="33"/>
      <c r="I499" s="56"/>
      <c r="J499" s="58"/>
      <c r="K499" s="58"/>
      <c r="L499" s="58"/>
      <c r="M499" s="58"/>
      <c r="N499" s="34"/>
      <c r="O499" s="35"/>
    </row>
    <row r="500" spans="1:15" s="36" customFormat="1" ht="12" x14ac:dyDescent="0.2">
      <c r="A500" s="33"/>
      <c r="B500" s="55"/>
      <c r="C500" s="57"/>
      <c r="D500" s="57"/>
      <c r="E500" s="57"/>
      <c r="F500" s="57"/>
      <c r="G500" s="34"/>
      <c r="H500" s="33"/>
      <c r="I500" s="55"/>
      <c r="J500" s="57"/>
      <c r="K500" s="57"/>
      <c r="L500" s="57"/>
      <c r="M500" s="57"/>
      <c r="N500" s="34"/>
      <c r="O500" s="35"/>
    </row>
    <row r="501" spans="1:15" s="36" customFormat="1" ht="12" x14ac:dyDescent="0.2">
      <c r="A501" s="33"/>
      <c r="B501" s="56"/>
      <c r="C501" s="58"/>
      <c r="D501" s="58"/>
      <c r="E501" s="58"/>
      <c r="F501" s="58"/>
      <c r="G501" s="34"/>
      <c r="H501" s="33"/>
      <c r="I501" s="56"/>
      <c r="J501" s="58"/>
      <c r="K501" s="58"/>
      <c r="L501" s="58"/>
      <c r="M501" s="58"/>
      <c r="N501" s="34"/>
      <c r="O501" s="35"/>
    </row>
    <row r="502" spans="1:15" s="36" customFormat="1" ht="12" x14ac:dyDescent="0.2">
      <c r="A502" s="33"/>
      <c r="B502" s="55"/>
      <c r="C502" s="57"/>
      <c r="D502" s="57"/>
      <c r="E502" s="57"/>
      <c r="F502" s="57"/>
      <c r="G502" s="34"/>
      <c r="H502" s="33"/>
      <c r="I502" s="55"/>
      <c r="J502" s="57"/>
      <c r="K502" s="57"/>
      <c r="L502" s="57"/>
      <c r="M502" s="57"/>
      <c r="N502" s="34"/>
      <c r="O502" s="35"/>
    </row>
    <row r="503" spans="1:15" s="36" customFormat="1" ht="12" x14ac:dyDescent="0.2">
      <c r="A503" s="33"/>
      <c r="B503" s="56"/>
      <c r="C503" s="58"/>
      <c r="D503" s="58"/>
      <c r="E503" s="58"/>
      <c r="F503" s="58"/>
      <c r="G503" s="34"/>
      <c r="H503" s="33"/>
      <c r="I503" s="56"/>
      <c r="J503" s="58"/>
      <c r="K503" s="58"/>
      <c r="L503" s="58"/>
      <c r="M503" s="58"/>
      <c r="N503" s="34"/>
      <c r="O503" s="35"/>
    </row>
    <row r="504" spans="1:15" s="36" customFormat="1" ht="12" x14ac:dyDescent="0.2">
      <c r="A504" s="33"/>
      <c r="B504" s="55"/>
      <c r="C504" s="57"/>
      <c r="D504" s="57"/>
      <c r="E504" s="57"/>
      <c r="F504" s="57"/>
      <c r="G504" s="34"/>
      <c r="H504" s="33"/>
      <c r="I504" s="55"/>
      <c r="J504" s="57"/>
      <c r="K504" s="57"/>
      <c r="L504" s="57"/>
      <c r="M504" s="57"/>
      <c r="N504" s="34"/>
      <c r="O504" s="35"/>
    </row>
    <row r="505" spans="1:15" s="36" customFormat="1" ht="12" x14ac:dyDescent="0.2">
      <c r="A505" s="33"/>
      <c r="B505" s="56"/>
      <c r="C505" s="58"/>
      <c r="D505" s="58"/>
      <c r="E505" s="58"/>
      <c r="F505" s="58"/>
      <c r="G505" s="34"/>
      <c r="H505" s="33"/>
      <c r="I505" s="56"/>
      <c r="J505" s="58"/>
      <c r="K505" s="58"/>
      <c r="L505" s="58"/>
      <c r="M505" s="58"/>
      <c r="N505" s="34"/>
      <c r="O505" s="35"/>
    </row>
    <row r="506" spans="1:15" s="36" customFormat="1" ht="12" x14ac:dyDescent="0.2">
      <c r="A506" s="33"/>
      <c r="B506" s="55"/>
      <c r="C506" s="57"/>
      <c r="D506" s="57"/>
      <c r="E506" s="57"/>
      <c r="F506" s="57"/>
      <c r="G506" s="34"/>
      <c r="H506" s="33"/>
      <c r="I506" s="55"/>
      <c r="J506" s="57"/>
      <c r="K506" s="57"/>
      <c r="L506" s="57"/>
      <c r="M506" s="57"/>
      <c r="N506" s="34"/>
      <c r="O506" s="35"/>
    </row>
    <row r="507" spans="1:15" s="36" customFormat="1" ht="12" x14ac:dyDescent="0.2">
      <c r="A507" s="33"/>
      <c r="B507" s="56"/>
      <c r="C507" s="58"/>
      <c r="D507" s="58"/>
      <c r="E507" s="58"/>
      <c r="F507" s="58"/>
      <c r="G507" s="34"/>
      <c r="H507" s="33"/>
      <c r="I507" s="56"/>
      <c r="J507" s="58"/>
      <c r="K507" s="58"/>
      <c r="L507" s="58"/>
      <c r="M507" s="58"/>
      <c r="N507" s="34"/>
      <c r="O507" s="35"/>
    </row>
    <row r="508" spans="1:15" s="36" customFormat="1" ht="12" x14ac:dyDescent="0.2">
      <c r="A508" s="33"/>
      <c r="B508" s="55"/>
      <c r="C508" s="57"/>
      <c r="D508" s="57"/>
      <c r="E508" s="57"/>
      <c r="F508" s="57"/>
      <c r="G508" s="34"/>
      <c r="H508" s="33"/>
      <c r="I508" s="55"/>
      <c r="J508" s="57"/>
      <c r="K508" s="57"/>
      <c r="L508" s="57"/>
      <c r="M508" s="57"/>
      <c r="N508" s="34"/>
      <c r="O508" s="35"/>
    </row>
    <row r="509" spans="1:15" s="36" customFormat="1" ht="12" x14ac:dyDescent="0.2">
      <c r="A509" s="33"/>
      <c r="B509" s="56"/>
      <c r="C509" s="58"/>
      <c r="D509" s="58"/>
      <c r="E509" s="58"/>
      <c r="F509" s="58"/>
      <c r="G509" s="34"/>
      <c r="H509" s="33"/>
      <c r="I509" s="56"/>
      <c r="J509" s="58"/>
      <c r="K509" s="58"/>
      <c r="L509" s="58"/>
      <c r="M509" s="58"/>
      <c r="N509" s="34"/>
      <c r="O509" s="35"/>
    </row>
    <row r="510" spans="1:15" s="36" customFormat="1" ht="12" x14ac:dyDescent="0.2">
      <c r="A510" s="33"/>
      <c r="B510" s="55"/>
      <c r="C510" s="57"/>
      <c r="D510" s="57"/>
      <c r="E510" s="57"/>
      <c r="F510" s="57"/>
      <c r="G510" s="34"/>
      <c r="H510" s="33"/>
      <c r="I510" s="55"/>
      <c r="J510" s="57"/>
      <c r="K510" s="57"/>
      <c r="L510" s="57"/>
      <c r="M510" s="57"/>
      <c r="N510" s="34"/>
      <c r="O510" s="35"/>
    </row>
    <row r="511" spans="1:15" s="36" customFormat="1" ht="12" x14ac:dyDescent="0.2">
      <c r="A511" s="33"/>
      <c r="B511" s="56"/>
      <c r="C511" s="58"/>
      <c r="D511" s="58"/>
      <c r="E511" s="58"/>
      <c r="F511" s="58"/>
      <c r="G511" s="34"/>
      <c r="H511" s="33"/>
      <c r="I511" s="56"/>
      <c r="J511" s="58"/>
      <c r="K511" s="58"/>
      <c r="L511" s="58"/>
      <c r="M511" s="58"/>
      <c r="N511" s="34"/>
      <c r="O511" s="35"/>
    </row>
    <row r="512" spans="1:15" s="36" customFormat="1" ht="12" x14ac:dyDescent="0.2">
      <c r="A512" s="33"/>
      <c r="B512" s="55"/>
      <c r="C512" s="57"/>
      <c r="D512" s="57"/>
      <c r="E512" s="57"/>
      <c r="F512" s="57"/>
      <c r="G512" s="34"/>
      <c r="H512" s="33"/>
      <c r="I512" s="55"/>
      <c r="J512" s="57"/>
      <c r="K512" s="57"/>
      <c r="L512" s="57"/>
      <c r="M512" s="57"/>
      <c r="N512" s="34"/>
      <c r="O512" s="35"/>
    </row>
    <row r="513" spans="1:15" s="36" customFormat="1" ht="12" x14ac:dyDescent="0.2">
      <c r="A513" s="33"/>
      <c r="B513" s="56"/>
      <c r="C513" s="58"/>
      <c r="D513" s="58"/>
      <c r="E513" s="58"/>
      <c r="F513" s="58"/>
      <c r="G513" s="34"/>
      <c r="H513" s="33"/>
      <c r="I513" s="56"/>
      <c r="J513" s="58"/>
      <c r="K513" s="58"/>
      <c r="L513" s="58"/>
      <c r="M513" s="58"/>
      <c r="N513" s="34"/>
      <c r="O513" s="35"/>
    </row>
    <row r="514" spans="1:15" s="36" customFormat="1" ht="12" x14ac:dyDescent="0.2">
      <c r="A514" s="33"/>
      <c r="B514" s="55"/>
      <c r="C514" s="57"/>
      <c r="D514" s="57"/>
      <c r="E514" s="57"/>
      <c r="F514" s="57"/>
      <c r="G514" s="34"/>
      <c r="H514" s="33"/>
      <c r="I514" s="55"/>
      <c r="J514" s="57"/>
      <c r="K514" s="57"/>
      <c r="L514" s="57"/>
      <c r="M514" s="57"/>
      <c r="N514" s="34"/>
      <c r="O514" s="35"/>
    </row>
    <row r="515" spans="1:15" s="36" customFormat="1" ht="12" x14ac:dyDescent="0.2">
      <c r="A515" s="33"/>
      <c r="B515" s="56"/>
      <c r="C515" s="58"/>
      <c r="D515" s="58"/>
      <c r="E515" s="58"/>
      <c r="F515" s="58"/>
      <c r="G515" s="34"/>
      <c r="H515" s="33"/>
      <c r="I515" s="56"/>
      <c r="J515" s="58"/>
      <c r="K515" s="58"/>
      <c r="L515" s="58"/>
      <c r="M515" s="58"/>
      <c r="N515" s="34"/>
      <c r="O515" s="35"/>
    </row>
    <row r="516" spans="1:15" s="36" customFormat="1" ht="12" x14ac:dyDescent="0.2">
      <c r="A516" s="33"/>
      <c r="B516" s="55"/>
      <c r="C516" s="57"/>
      <c r="D516" s="57"/>
      <c r="E516" s="57"/>
      <c r="F516" s="57"/>
      <c r="G516" s="34"/>
      <c r="H516" s="33"/>
      <c r="I516" s="55"/>
      <c r="J516" s="57"/>
      <c r="K516" s="57"/>
      <c r="L516" s="57"/>
      <c r="M516" s="57"/>
      <c r="N516" s="34"/>
      <c r="O516" s="35"/>
    </row>
    <row r="517" spans="1:15" s="36" customFormat="1" ht="12" x14ac:dyDescent="0.2">
      <c r="A517" s="33"/>
      <c r="B517" s="56"/>
      <c r="C517" s="58"/>
      <c r="D517" s="58"/>
      <c r="E517" s="58"/>
      <c r="F517" s="58"/>
      <c r="G517" s="34"/>
      <c r="H517" s="33"/>
      <c r="I517" s="56"/>
      <c r="J517" s="58"/>
      <c r="K517" s="58"/>
      <c r="L517" s="58"/>
      <c r="M517" s="58"/>
      <c r="N517" s="34"/>
      <c r="O517" s="35"/>
    </row>
    <row r="518" spans="1:15" s="36" customFormat="1" ht="12" x14ac:dyDescent="0.2">
      <c r="A518" s="33"/>
      <c r="B518" s="55"/>
      <c r="C518" s="57"/>
      <c r="D518" s="57"/>
      <c r="E518" s="57"/>
      <c r="F518" s="57"/>
      <c r="G518" s="34"/>
      <c r="H518" s="33"/>
      <c r="I518" s="55"/>
      <c r="J518" s="57"/>
      <c r="K518" s="57"/>
      <c r="L518" s="57"/>
      <c r="M518" s="57"/>
      <c r="N518" s="34"/>
      <c r="O518" s="35"/>
    </row>
    <row r="519" spans="1:15" s="36" customFormat="1" ht="12" x14ac:dyDescent="0.2">
      <c r="A519" s="33"/>
      <c r="B519" s="56"/>
      <c r="C519" s="58"/>
      <c r="D519" s="58"/>
      <c r="E519" s="58"/>
      <c r="F519" s="58"/>
      <c r="G519" s="34"/>
      <c r="H519" s="33"/>
      <c r="I519" s="56"/>
      <c r="J519" s="58"/>
      <c r="K519" s="58"/>
      <c r="L519" s="58"/>
      <c r="M519" s="58"/>
      <c r="N519" s="34"/>
      <c r="O519" s="35"/>
    </row>
    <row r="520" spans="1:15" s="36" customFormat="1" ht="12" x14ac:dyDescent="0.2">
      <c r="A520" s="33"/>
      <c r="B520" s="55"/>
      <c r="C520" s="57"/>
      <c r="D520" s="57"/>
      <c r="E520" s="57"/>
      <c r="F520" s="57"/>
      <c r="G520" s="34"/>
      <c r="H520" s="33"/>
      <c r="I520" s="55"/>
      <c r="J520" s="57"/>
      <c r="K520" s="57"/>
      <c r="L520" s="57"/>
      <c r="M520" s="57"/>
      <c r="N520" s="34"/>
      <c r="O520" s="35"/>
    </row>
    <row r="521" spans="1:15" s="36" customFormat="1" ht="12" x14ac:dyDescent="0.2">
      <c r="A521" s="33"/>
      <c r="B521" s="56"/>
      <c r="C521" s="58"/>
      <c r="D521" s="58"/>
      <c r="E521" s="58"/>
      <c r="F521" s="58"/>
      <c r="G521" s="34"/>
      <c r="H521" s="33"/>
      <c r="I521" s="56"/>
      <c r="J521" s="58"/>
      <c r="K521" s="58"/>
      <c r="L521" s="58"/>
      <c r="M521" s="58"/>
      <c r="N521" s="34"/>
      <c r="O521" s="35"/>
    </row>
    <row r="522" spans="1:15" s="36" customFormat="1" ht="12" x14ac:dyDescent="0.2">
      <c r="A522" s="33"/>
      <c r="B522" s="55"/>
      <c r="C522" s="57"/>
      <c r="D522" s="57"/>
      <c r="E522" s="57"/>
      <c r="F522" s="57"/>
      <c r="G522" s="34"/>
      <c r="H522" s="33"/>
      <c r="I522" s="55"/>
      <c r="J522" s="57"/>
      <c r="K522" s="57"/>
      <c r="L522" s="57"/>
      <c r="M522" s="57"/>
      <c r="N522" s="34"/>
      <c r="O522" s="35"/>
    </row>
    <row r="523" spans="1:15" s="36" customFormat="1" ht="12" x14ac:dyDescent="0.2">
      <c r="A523" s="33"/>
      <c r="B523" s="56"/>
      <c r="C523" s="58"/>
      <c r="D523" s="58"/>
      <c r="E523" s="58"/>
      <c r="F523" s="58"/>
      <c r="G523" s="34"/>
      <c r="H523" s="33"/>
      <c r="I523" s="56"/>
      <c r="J523" s="58"/>
      <c r="K523" s="58"/>
      <c r="L523" s="58"/>
      <c r="M523" s="58"/>
      <c r="N523" s="34"/>
      <c r="O523" s="35"/>
    </row>
    <row r="524" spans="1:15" s="36" customFormat="1" ht="12" x14ac:dyDescent="0.2">
      <c r="A524" s="33"/>
      <c r="B524" s="55"/>
      <c r="C524" s="57"/>
      <c r="D524" s="57"/>
      <c r="E524" s="57"/>
      <c r="F524" s="57"/>
      <c r="G524" s="34"/>
      <c r="H524" s="33"/>
      <c r="I524" s="55"/>
      <c r="J524" s="57"/>
      <c r="K524" s="57"/>
      <c r="L524" s="57"/>
      <c r="M524" s="57"/>
      <c r="N524" s="34"/>
      <c r="O524" s="35"/>
    </row>
    <row r="525" spans="1:15" s="36" customFormat="1" ht="12" x14ac:dyDescent="0.2">
      <c r="A525" s="33"/>
      <c r="B525" s="56"/>
      <c r="C525" s="58"/>
      <c r="D525" s="58"/>
      <c r="E525" s="58"/>
      <c r="F525" s="58"/>
      <c r="G525" s="34"/>
      <c r="H525" s="33"/>
      <c r="I525" s="56"/>
      <c r="J525" s="58"/>
      <c r="K525" s="58"/>
      <c r="L525" s="58"/>
      <c r="M525" s="58"/>
      <c r="N525" s="34"/>
      <c r="O525" s="35"/>
    </row>
    <row r="526" spans="1:15" s="36" customFormat="1" ht="12" x14ac:dyDescent="0.2">
      <c r="A526" s="33"/>
      <c r="B526" s="55"/>
      <c r="C526" s="57"/>
      <c r="D526" s="57"/>
      <c r="E526" s="57"/>
      <c r="F526" s="57"/>
      <c r="G526" s="34"/>
      <c r="H526" s="33"/>
      <c r="I526" s="55"/>
      <c r="J526" s="57"/>
      <c r="K526" s="57"/>
      <c r="L526" s="57"/>
      <c r="M526" s="57"/>
      <c r="N526" s="34"/>
      <c r="O526" s="35"/>
    </row>
    <row r="527" spans="1:15" s="36" customFormat="1" ht="12" x14ac:dyDescent="0.2">
      <c r="A527" s="33"/>
      <c r="B527" s="56"/>
      <c r="C527" s="58"/>
      <c r="D527" s="58"/>
      <c r="E527" s="58"/>
      <c r="F527" s="58"/>
      <c r="G527" s="34"/>
      <c r="H527" s="33"/>
      <c r="I527" s="56"/>
      <c r="J527" s="58"/>
      <c r="K527" s="58"/>
      <c r="L527" s="58"/>
      <c r="M527" s="58"/>
      <c r="N527" s="34"/>
      <c r="O527" s="35"/>
    </row>
    <row r="528" spans="1:15" s="36" customFormat="1" ht="12" x14ac:dyDescent="0.2">
      <c r="A528" s="33"/>
      <c r="B528" s="55"/>
      <c r="C528" s="57"/>
      <c r="D528" s="57"/>
      <c r="E528" s="57"/>
      <c r="F528" s="57"/>
      <c r="G528" s="34"/>
      <c r="H528" s="33"/>
      <c r="I528" s="55"/>
      <c r="J528" s="57"/>
      <c r="K528" s="57"/>
      <c r="L528" s="57"/>
      <c r="M528" s="57"/>
      <c r="N528" s="34"/>
      <c r="O528" s="35"/>
    </row>
    <row r="529" spans="1:15" s="36" customFormat="1" ht="12" x14ac:dyDescent="0.2">
      <c r="A529" s="33"/>
      <c r="B529" s="56"/>
      <c r="C529" s="58"/>
      <c r="D529" s="58"/>
      <c r="E529" s="58"/>
      <c r="F529" s="58"/>
      <c r="G529" s="34"/>
      <c r="H529" s="33"/>
      <c r="I529" s="56"/>
      <c r="J529" s="58"/>
      <c r="K529" s="58"/>
      <c r="L529" s="58"/>
      <c r="M529" s="58"/>
      <c r="N529" s="34"/>
      <c r="O529" s="35"/>
    </row>
    <row r="530" spans="1:15" s="36" customFormat="1" ht="12" x14ac:dyDescent="0.2">
      <c r="A530" s="33"/>
      <c r="B530" s="55"/>
      <c r="C530" s="57"/>
      <c r="D530" s="57"/>
      <c r="E530" s="57"/>
      <c r="F530" s="57"/>
      <c r="G530" s="34"/>
      <c r="H530" s="33"/>
      <c r="I530" s="55"/>
      <c r="J530" s="57"/>
      <c r="K530" s="57"/>
      <c r="L530" s="57"/>
      <c r="M530" s="57"/>
      <c r="N530" s="34"/>
      <c r="O530" s="35"/>
    </row>
    <row r="531" spans="1:15" s="36" customFormat="1" ht="12" x14ac:dyDescent="0.2">
      <c r="A531" s="33"/>
      <c r="B531" s="56"/>
      <c r="C531" s="58"/>
      <c r="D531" s="58"/>
      <c r="E531" s="58"/>
      <c r="F531" s="58"/>
      <c r="G531" s="34"/>
      <c r="H531" s="33"/>
      <c r="I531" s="56"/>
      <c r="J531" s="58"/>
      <c r="K531" s="58"/>
      <c r="L531" s="58"/>
      <c r="M531" s="58"/>
      <c r="N531" s="34"/>
      <c r="O531" s="35"/>
    </row>
    <row r="532" spans="1:15" s="36" customFormat="1" ht="12" x14ac:dyDescent="0.2">
      <c r="A532" s="33"/>
      <c r="B532" s="55"/>
      <c r="C532" s="57"/>
      <c r="D532" s="57"/>
      <c r="E532" s="57"/>
      <c r="F532" s="57"/>
      <c r="G532" s="34"/>
      <c r="H532" s="33"/>
      <c r="I532" s="55"/>
      <c r="J532" s="57"/>
      <c r="K532" s="57"/>
      <c r="L532" s="57"/>
      <c r="M532" s="57"/>
      <c r="N532" s="34"/>
      <c r="O532" s="35"/>
    </row>
    <row r="533" spans="1:15" s="36" customFormat="1" ht="12" x14ac:dyDescent="0.2">
      <c r="A533" s="33"/>
      <c r="B533" s="56"/>
      <c r="C533" s="58"/>
      <c r="D533" s="58"/>
      <c r="E533" s="58"/>
      <c r="F533" s="58"/>
      <c r="G533" s="34"/>
      <c r="H533" s="33"/>
      <c r="I533" s="56"/>
      <c r="J533" s="58"/>
      <c r="K533" s="58"/>
      <c r="L533" s="58"/>
      <c r="M533" s="58"/>
      <c r="N533" s="34"/>
      <c r="O533" s="35"/>
    </row>
    <row r="534" spans="1:15" s="36" customFormat="1" ht="12" x14ac:dyDescent="0.2">
      <c r="A534" s="33"/>
      <c r="B534" s="55"/>
      <c r="C534" s="57"/>
      <c r="D534" s="57"/>
      <c r="E534" s="57"/>
      <c r="F534" s="57"/>
      <c r="G534" s="34"/>
      <c r="H534" s="33"/>
      <c r="I534" s="55"/>
      <c r="J534" s="57"/>
      <c r="K534" s="57"/>
      <c r="L534" s="57"/>
      <c r="M534" s="57"/>
      <c r="N534" s="34"/>
      <c r="O534" s="35"/>
    </row>
    <row r="535" spans="1:15" s="36" customFormat="1" ht="12" x14ac:dyDescent="0.2">
      <c r="A535" s="33"/>
      <c r="B535" s="56"/>
      <c r="C535" s="58"/>
      <c r="D535" s="58"/>
      <c r="E535" s="58"/>
      <c r="F535" s="58"/>
      <c r="G535" s="34"/>
      <c r="H535" s="33"/>
      <c r="I535" s="56"/>
      <c r="J535" s="58"/>
      <c r="K535" s="58"/>
      <c r="L535" s="58"/>
      <c r="M535" s="58"/>
      <c r="N535" s="34"/>
      <c r="O535" s="35"/>
    </row>
    <row r="536" spans="1:15" s="36" customFormat="1" ht="12" x14ac:dyDescent="0.2">
      <c r="A536" s="33"/>
      <c r="B536" s="55"/>
      <c r="C536" s="57"/>
      <c r="D536" s="57"/>
      <c r="E536" s="57"/>
      <c r="F536" s="57"/>
      <c r="G536" s="34"/>
      <c r="H536" s="33"/>
      <c r="I536" s="55"/>
      <c r="J536" s="57"/>
      <c r="K536" s="57"/>
      <c r="L536" s="57"/>
      <c r="M536" s="57"/>
      <c r="N536" s="34"/>
      <c r="O536" s="35"/>
    </row>
    <row r="537" spans="1:15" s="36" customFormat="1" ht="12" x14ac:dyDescent="0.2">
      <c r="A537" s="33"/>
      <c r="B537" s="56"/>
      <c r="C537" s="58"/>
      <c r="D537" s="58"/>
      <c r="E537" s="58"/>
      <c r="F537" s="58"/>
      <c r="G537" s="34"/>
      <c r="H537" s="33"/>
      <c r="I537" s="56"/>
      <c r="J537" s="58"/>
      <c r="K537" s="58"/>
      <c r="L537" s="58"/>
      <c r="M537" s="58"/>
      <c r="N537" s="34"/>
      <c r="O537" s="35"/>
    </row>
    <row r="538" spans="1:15" s="36" customFormat="1" ht="12" x14ac:dyDescent="0.2">
      <c r="A538" s="33"/>
      <c r="B538" s="55"/>
      <c r="C538" s="57"/>
      <c r="D538" s="57"/>
      <c r="E538" s="57"/>
      <c r="F538" s="57"/>
      <c r="G538" s="34"/>
      <c r="H538" s="33"/>
      <c r="I538" s="55"/>
      <c r="J538" s="57"/>
      <c r="K538" s="57"/>
      <c r="L538" s="57"/>
      <c r="M538" s="57"/>
      <c r="N538" s="34"/>
      <c r="O538" s="35"/>
    </row>
    <row r="539" spans="1:15" s="36" customFormat="1" ht="12" x14ac:dyDescent="0.2">
      <c r="A539" s="33"/>
      <c r="B539" s="56"/>
      <c r="C539" s="58"/>
      <c r="D539" s="58"/>
      <c r="E539" s="58"/>
      <c r="F539" s="58"/>
      <c r="G539" s="34"/>
      <c r="H539" s="33"/>
      <c r="I539" s="56"/>
      <c r="J539" s="58"/>
      <c r="K539" s="58"/>
      <c r="L539" s="58"/>
      <c r="M539" s="58"/>
      <c r="N539" s="34"/>
      <c r="O539" s="35"/>
    </row>
    <row r="540" spans="1:15" s="36" customFormat="1" ht="12" x14ac:dyDescent="0.2">
      <c r="A540" s="33"/>
      <c r="B540" s="55"/>
      <c r="C540" s="57"/>
      <c r="D540" s="57"/>
      <c r="E540" s="57"/>
      <c r="F540" s="57"/>
      <c r="G540" s="34"/>
      <c r="H540" s="33"/>
      <c r="I540" s="55"/>
      <c r="J540" s="57"/>
      <c r="K540" s="57"/>
      <c r="L540" s="57"/>
      <c r="M540" s="57"/>
      <c r="N540" s="34"/>
      <c r="O540" s="35"/>
    </row>
    <row r="541" spans="1:15" s="36" customFormat="1" ht="12" x14ac:dyDescent="0.2">
      <c r="A541" s="33"/>
      <c r="B541" s="56"/>
      <c r="C541" s="58"/>
      <c r="D541" s="58"/>
      <c r="E541" s="58"/>
      <c r="F541" s="58"/>
      <c r="G541" s="34"/>
      <c r="H541" s="33"/>
      <c r="I541" s="56"/>
      <c r="J541" s="58"/>
      <c r="K541" s="58"/>
      <c r="L541" s="58"/>
      <c r="M541" s="58"/>
      <c r="N541" s="34"/>
      <c r="O541" s="35"/>
    </row>
    <row r="542" spans="1:15" s="36" customFormat="1" ht="12" x14ac:dyDescent="0.2">
      <c r="A542" s="33"/>
      <c r="B542" s="55"/>
      <c r="C542" s="57"/>
      <c r="D542" s="57"/>
      <c r="E542" s="57"/>
      <c r="F542" s="57"/>
      <c r="G542" s="34"/>
      <c r="H542" s="33"/>
      <c r="I542" s="55"/>
      <c r="J542" s="57"/>
      <c r="K542" s="57"/>
      <c r="L542" s="57"/>
      <c r="M542" s="57"/>
      <c r="N542" s="34"/>
      <c r="O542" s="35"/>
    </row>
    <row r="543" spans="1:15" s="36" customFormat="1" ht="12" x14ac:dyDescent="0.2">
      <c r="A543" s="33"/>
      <c r="B543" s="56"/>
      <c r="C543" s="58"/>
      <c r="D543" s="58"/>
      <c r="E543" s="58"/>
      <c r="F543" s="58"/>
      <c r="G543" s="34"/>
      <c r="H543" s="33"/>
      <c r="I543" s="56"/>
      <c r="J543" s="58"/>
      <c r="K543" s="58"/>
      <c r="L543" s="58"/>
      <c r="M543" s="58"/>
      <c r="N543" s="34"/>
      <c r="O543" s="35"/>
    </row>
    <row r="544" spans="1:15" s="36" customFormat="1" ht="12" x14ac:dyDescent="0.2">
      <c r="A544" s="33"/>
      <c r="B544" s="55"/>
      <c r="C544" s="57"/>
      <c r="D544" s="57"/>
      <c r="E544" s="57"/>
      <c r="F544" s="57"/>
      <c r="G544" s="34"/>
      <c r="H544" s="33"/>
      <c r="I544" s="55"/>
      <c r="J544" s="57"/>
      <c r="K544" s="57"/>
      <c r="L544" s="57"/>
      <c r="M544" s="57"/>
      <c r="N544" s="34"/>
      <c r="O544" s="35"/>
    </row>
    <row r="545" spans="1:15" s="36" customFormat="1" ht="12" x14ac:dyDescent="0.2">
      <c r="A545" s="33"/>
      <c r="B545" s="56"/>
      <c r="C545" s="58"/>
      <c r="D545" s="58"/>
      <c r="E545" s="58"/>
      <c r="F545" s="58"/>
      <c r="G545" s="34"/>
      <c r="H545" s="33"/>
      <c r="I545" s="56"/>
      <c r="J545" s="58"/>
      <c r="K545" s="58"/>
      <c r="L545" s="58"/>
      <c r="M545" s="58"/>
      <c r="N545" s="34"/>
      <c r="O545" s="35"/>
    </row>
    <row r="546" spans="1:15" s="36" customFormat="1" ht="12" x14ac:dyDescent="0.2">
      <c r="A546" s="33"/>
      <c r="B546" s="55"/>
      <c r="C546" s="57"/>
      <c r="D546" s="57"/>
      <c r="E546" s="57"/>
      <c r="F546" s="57"/>
      <c r="G546" s="34"/>
      <c r="H546" s="33"/>
      <c r="I546" s="55"/>
      <c r="J546" s="57"/>
      <c r="K546" s="57"/>
      <c r="L546" s="57"/>
      <c r="M546" s="57"/>
      <c r="N546" s="34"/>
      <c r="O546" s="35"/>
    </row>
    <row r="547" spans="1:15" s="36" customFormat="1" ht="12" x14ac:dyDescent="0.2">
      <c r="A547" s="33"/>
      <c r="B547" s="56"/>
      <c r="C547" s="58"/>
      <c r="D547" s="58"/>
      <c r="E547" s="58"/>
      <c r="F547" s="58"/>
      <c r="G547" s="34"/>
      <c r="H547" s="33"/>
      <c r="I547" s="56"/>
      <c r="J547" s="58"/>
      <c r="K547" s="58"/>
      <c r="L547" s="58"/>
      <c r="M547" s="58"/>
      <c r="N547" s="34"/>
      <c r="O547" s="35"/>
    </row>
    <row r="548" spans="1:15" s="36" customFormat="1" ht="12" x14ac:dyDescent="0.2">
      <c r="A548" s="33"/>
      <c r="B548" s="55"/>
      <c r="C548" s="57"/>
      <c r="D548" s="57"/>
      <c r="E548" s="57"/>
      <c r="F548" s="57"/>
      <c r="G548" s="34"/>
      <c r="H548" s="33"/>
      <c r="I548" s="55"/>
      <c r="J548" s="57"/>
      <c r="K548" s="57"/>
      <c r="L548" s="57"/>
      <c r="M548" s="57"/>
      <c r="N548" s="34"/>
      <c r="O548" s="35"/>
    </row>
    <row r="549" spans="1:15" s="36" customFormat="1" ht="12" x14ac:dyDescent="0.2">
      <c r="A549" s="33"/>
      <c r="B549" s="56"/>
      <c r="C549" s="58"/>
      <c r="D549" s="58"/>
      <c r="E549" s="58"/>
      <c r="F549" s="58"/>
      <c r="G549" s="34"/>
      <c r="H549" s="33"/>
      <c r="I549" s="56"/>
      <c r="J549" s="58"/>
      <c r="K549" s="58"/>
      <c r="L549" s="58"/>
      <c r="M549" s="58"/>
      <c r="N549" s="34"/>
      <c r="O549" s="35"/>
    </row>
    <row r="550" spans="1:15" s="36" customFormat="1" ht="12" x14ac:dyDescent="0.2">
      <c r="A550" s="33"/>
      <c r="B550" s="55"/>
      <c r="C550" s="57"/>
      <c r="D550" s="57"/>
      <c r="E550" s="57"/>
      <c r="F550" s="57"/>
      <c r="G550" s="34"/>
      <c r="H550" s="33"/>
      <c r="I550" s="55"/>
      <c r="J550" s="57"/>
      <c r="K550" s="57"/>
      <c r="L550" s="57"/>
      <c r="M550" s="57"/>
      <c r="N550" s="34"/>
      <c r="O550" s="35"/>
    </row>
    <row r="551" spans="1:15" s="36" customFormat="1" ht="12" x14ac:dyDescent="0.2">
      <c r="A551" s="33"/>
      <c r="B551" s="56"/>
      <c r="C551" s="58"/>
      <c r="D551" s="58"/>
      <c r="E551" s="58"/>
      <c r="F551" s="58"/>
      <c r="G551" s="34"/>
      <c r="H551" s="33"/>
      <c r="I551" s="56"/>
      <c r="J551" s="58"/>
      <c r="K551" s="58"/>
      <c r="L551" s="58"/>
      <c r="M551" s="58"/>
      <c r="N551" s="34"/>
      <c r="O551" s="35"/>
    </row>
    <row r="552" spans="1:15" s="36" customFormat="1" ht="12" x14ac:dyDescent="0.2">
      <c r="A552" s="33"/>
      <c r="B552" s="55"/>
      <c r="C552" s="57"/>
      <c r="D552" s="57"/>
      <c r="E552" s="57"/>
      <c r="F552" s="57"/>
      <c r="G552" s="34"/>
      <c r="H552" s="33"/>
      <c r="I552" s="55"/>
      <c r="J552" s="57"/>
      <c r="K552" s="57"/>
      <c r="L552" s="57"/>
      <c r="M552" s="57"/>
      <c r="N552" s="34"/>
      <c r="O552" s="35"/>
    </row>
    <row r="553" spans="1:15" s="36" customFormat="1" ht="12" x14ac:dyDescent="0.2">
      <c r="A553" s="33"/>
      <c r="B553" s="56"/>
      <c r="C553" s="58"/>
      <c r="D553" s="58"/>
      <c r="E553" s="58"/>
      <c r="F553" s="58"/>
      <c r="G553" s="34"/>
      <c r="H553" s="33"/>
      <c r="I553" s="56"/>
      <c r="J553" s="58"/>
      <c r="K553" s="58"/>
      <c r="L553" s="58"/>
      <c r="M553" s="58"/>
      <c r="N553" s="34"/>
      <c r="O553" s="35"/>
    </row>
    <row r="554" spans="1:15" s="36" customFormat="1" ht="12" x14ac:dyDescent="0.2">
      <c r="A554" s="33"/>
      <c r="B554" s="55"/>
      <c r="C554" s="57"/>
      <c r="D554" s="57"/>
      <c r="E554" s="57"/>
      <c r="F554" s="57"/>
      <c r="G554" s="34"/>
      <c r="H554" s="33"/>
      <c r="I554" s="55"/>
      <c r="J554" s="57"/>
      <c r="K554" s="57"/>
      <c r="L554" s="57"/>
      <c r="M554" s="57"/>
      <c r="N554" s="34"/>
      <c r="O554" s="35"/>
    </row>
    <row r="555" spans="1:15" s="36" customFormat="1" ht="12" x14ac:dyDescent="0.2">
      <c r="A555" s="33"/>
      <c r="B555" s="56"/>
      <c r="C555" s="58"/>
      <c r="D555" s="58"/>
      <c r="E555" s="58"/>
      <c r="F555" s="58"/>
      <c r="G555" s="34"/>
      <c r="H555" s="33"/>
      <c r="I555" s="56"/>
      <c r="J555" s="58"/>
      <c r="K555" s="58"/>
      <c r="L555" s="58"/>
      <c r="M555" s="58"/>
      <c r="N555" s="34"/>
      <c r="O555" s="35"/>
    </row>
    <row r="556" spans="1:15" s="36" customFormat="1" ht="12" x14ac:dyDescent="0.2">
      <c r="A556" s="33"/>
      <c r="B556" s="55"/>
      <c r="C556" s="57"/>
      <c r="D556" s="57"/>
      <c r="E556" s="57"/>
      <c r="F556" s="57"/>
      <c r="G556" s="34"/>
      <c r="H556" s="33"/>
      <c r="I556" s="55"/>
      <c r="J556" s="57"/>
      <c r="K556" s="57"/>
      <c r="L556" s="57"/>
      <c r="M556" s="57"/>
      <c r="N556" s="34"/>
      <c r="O556" s="35"/>
    </row>
    <row r="557" spans="1:15" s="36" customFormat="1" ht="12" x14ac:dyDescent="0.2">
      <c r="A557" s="33"/>
      <c r="B557" s="56"/>
      <c r="C557" s="58"/>
      <c r="D557" s="58"/>
      <c r="E557" s="58"/>
      <c r="F557" s="58"/>
      <c r="H557" s="33"/>
      <c r="I557" s="56"/>
      <c r="J557" s="58"/>
      <c r="K557" s="58"/>
      <c r="L557" s="58"/>
      <c r="M557" s="58"/>
      <c r="N557" s="34"/>
      <c r="O557" s="35"/>
    </row>
    <row r="558" spans="1:15" s="36" customFormat="1" ht="12" x14ac:dyDescent="0.2">
      <c r="A558" s="33"/>
      <c r="B558" s="55"/>
      <c r="C558" s="57"/>
      <c r="D558" s="57"/>
      <c r="E558" s="57"/>
      <c r="F558" s="57"/>
      <c r="H558" s="33"/>
      <c r="I558" s="55"/>
      <c r="J558" s="57"/>
      <c r="K558" s="57"/>
      <c r="L558" s="57"/>
      <c r="M558" s="57"/>
      <c r="N558" s="34"/>
      <c r="O558" s="35"/>
    </row>
    <row r="559" spans="1:15" s="36" customFormat="1" ht="12" x14ac:dyDescent="0.2">
      <c r="A559" s="33"/>
      <c r="B559" s="56"/>
      <c r="C559" s="58"/>
      <c r="D559" s="58"/>
      <c r="E559" s="58"/>
      <c r="F559" s="58"/>
      <c r="H559" s="33"/>
      <c r="I559" s="56"/>
      <c r="J559" s="58"/>
      <c r="K559" s="58"/>
      <c r="L559" s="58"/>
      <c r="M559" s="58"/>
      <c r="N559" s="34"/>
      <c r="O559" s="35"/>
    </row>
    <row r="560" spans="1:15" s="36" customFormat="1" ht="12" x14ac:dyDescent="0.2">
      <c r="A560" s="33"/>
      <c r="B560" s="55"/>
      <c r="C560" s="57"/>
      <c r="D560" s="57"/>
      <c r="E560" s="57"/>
      <c r="F560" s="57"/>
      <c r="H560" s="33"/>
      <c r="I560" s="55"/>
      <c r="J560" s="57"/>
      <c r="K560" s="57"/>
      <c r="L560" s="57"/>
      <c r="M560" s="57"/>
      <c r="N560" s="34"/>
      <c r="O560" s="35"/>
    </row>
    <row r="561" spans="1:15" s="36" customFormat="1" ht="12" x14ac:dyDescent="0.2">
      <c r="A561" s="33"/>
      <c r="B561" s="56"/>
      <c r="C561" s="58"/>
      <c r="D561" s="58"/>
      <c r="E561" s="58"/>
      <c r="F561" s="58"/>
      <c r="H561" s="33"/>
      <c r="I561" s="56"/>
      <c r="J561" s="58"/>
      <c r="K561" s="58"/>
      <c r="L561" s="58"/>
      <c r="M561" s="58"/>
      <c r="N561" s="34"/>
      <c r="O561" s="35"/>
    </row>
    <row r="562" spans="1:15" s="36" customFormat="1" ht="12" x14ac:dyDescent="0.2">
      <c r="A562" s="33"/>
      <c r="B562" s="55"/>
      <c r="C562" s="57"/>
      <c r="D562" s="57"/>
      <c r="E562" s="57"/>
      <c r="F562" s="57"/>
      <c r="H562" s="33"/>
      <c r="I562" s="55"/>
      <c r="J562" s="57"/>
      <c r="K562" s="57"/>
      <c r="L562" s="57"/>
      <c r="M562" s="57"/>
      <c r="N562" s="34"/>
      <c r="O562" s="35"/>
    </row>
    <row r="563" spans="1:15" s="36" customFormat="1" ht="12" x14ac:dyDescent="0.2">
      <c r="A563" s="33"/>
      <c r="B563" s="56"/>
      <c r="C563" s="58"/>
      <c r="D563" s="58"/>
      <c r="E563" s="58"/>
      <c r="F563" s="58"/>
      <c r="H563" s="33"/>
      <c r="I563" s="56"/>
      <c r="J563" s="58"/>
      <c r="K563" s="58"/>
      <c r="L563" s="58"/>
      <c r="M563" s="58"/>
      <c r="N563" s="34"/>
      <c r="O563" s="35"/>
    </row>
    <row r="564" spans="1:15" s="36" customFormat="1" ht="12" x14ac:dyDescent="0.2">
      <c r="A564" s="33"/>
      <c r="B564" s="55"/>
      <c r="C564" s="57"/>
      <c r="D564" s="57"/>
      <c r="E564" s="57"/>
      <c r="F564" s="57"/>
      <c r="H564" s="33"/>
      <c r="I564" s="55"/>
      <c r="J564" s="57"/>
      <c r="K564" s="57"/>
      <c r="L564" s="57"/>
      <c r="M564" s="57"/>
      <c r="N564" s="34"/>
      <c r="O564" s="35"/>
    </row>
    <row r="565" spans="1:15" s="36" customFormat="1" ht="12" x14ac:dyDescent="0.2">
      <c r="A565" s="33"/>
      <c r="B565" s="56"/>
      <c r="C565" s="58"/>
      <c r="D565" s="58"/>
      <c r="E565" s="58"/>
      <c r="F565" s="58"/>
      <c r="H565" s="33"/>
      <c r="I565" s="56"/>
      <c r="J565" s="58"/>
      <c r="K565" s="58"/>
      <c r="L565" s="58"/>
      <c r="M565" s="58"/>
      <c r="N565" s="34"/>
      <c r="O565" s="35"/>
    </row>
    <row r="566" spans="1:15" s="36" customFormat="1" ht="12" x14ac:dyDescent="0.2">
      <c r="A566" s="33"/>
      <c r="B566" s="55"/>
      <c r="C566" s="57"/>
      <c r="D566" s="57"/>
      <c r="E566" s="57"/>
      <c r="F566" s="57"/>
      <c r="H566" s="33"/>
      <c r="I566" s="55"/>
      <c r="J566" s="57"/>
      <c r="K566" s="57"/>
      <c r="L566" s="57"/>
      <c r="M566" s="57"/>
      <c r="N566" s="34"/>
      <c r="O566" s="35"/>
    </row>
    <row r="567" spans="1:15" s="36" customFormat="1" ht="12" x14ac:dyDescent="0.2">
      <c r="A567" s="33"/>
      <c r="B567" s="56"/>
      <c r="C567" s="58"/>
      <c r="D567" s="58"/>
      <c r="E567" s="58"/>
      <c r="F567" s="58"/>
      <c r="H567" s="33"/>
      <c r="I567" s="56"/>
      <c r="J567" s="58"/>
      <c r="K567" s="58"/>
      <c r="L567" s="58"/>
      <c r="M567" s="58"/>
      <c r="N567" s="34"/>
      <c r="O567" s="35"/>
    </row>
    <row r="568" spans="1:15" s="36" customFormat="1" ht="12" x14ac:dyDescent="0.2">
      <c r="A568" s="33"/>
      <c r="B568" s="55"/>
      <c r="C568" s="57"/>
      <c r="D568" s="57"/>
      <c r="E568" s="57"/>
      <c r="F568" s="57"/>
      <c r="H568" s="33"/>
      <c r="I568" s="55"/>
      <c r="J568" s="57"/>
      <c r="K568" s="57"/>
      <c r="L568" s="57"/>
      <c r="M568" s="57"/>
      <c r="N568" s="34"/>
      <c r="O568" s="35"/>
    </row>
    <row r="569" spans="1:15" s="36" customFormat="1" ht="12" x14ac:dyDescent="0.2">
      <c r="A569" s="33"/>
      <c r="B569" s="56"/>
      <c r="C569" s="58"/>
      <c r="D569" s="58"/>
      <c r="E569" s="58"/>
      <c r="F569" s="58"/>
      <c r="H569" s="33"/>
      <c r="I569" s="56"/>
      <c r="J569" s="58"/>
      <c r="K569" s="58"/>
      <c r="L569" s="58"/>
      <c r="M569" s="58"/>
      <c r="N569" s="34"/>
      <c r="O569" s="35"/>
    </row>
    <row r="570" spans="1:15" s="36" customFormat="1" ht="12" x14ac:dyDescent="0.2">
      <c r="A570" s="33"/>
      <c r="B570" s="55"/>
      <c r="C570" s="57"/>
      <c r="D570" s="57"/>
      <c r="E570" s="57"/>
      <c r="F570" s="57"/>
      <c r="H570" s="33"/>
      <c r="I570" s="55"/>
      <c r="J570" s="57"/>
      <c r="K570" s="57"/>
      <c r="L570" s="57"/>
      <c r="M570" s="57"/>
      <c r="N570" s="34"/>
      <c r="O570" s="35"/>
    </row>
    <row r="571" spans="1:15" s="36" customFormat="1" ht="12" x14ac:dyDescent="0.2">
      <c r="A571" s="33"/>
      <c r="B571" s="56"/>
      <c r="C571" s="58"/>
      <c r="D571" s="58"/>
      <c r="E571" s="58"/>
      <c r="F571" s="58"/>
      <c r="H571" s="33"/>
      <c r="I571" s="56"/>
      <c r="J571" s="58"/>
      <c r="K571" s="58"/>
      <c r="L571" s="58"/>
      <c r="M571" s="58"/>
      <c r="N571" s="34"/>
      <c r="O571" s="35"/>
    </row>
    <row r="572" spans="1:15" s="36" customFormat="1" ht="12" x14ac:dyDescent="0.2">
      <c r="A572" s="33"/>
      <c r="B572" s="55"/>
      <c r="C572" s="57"/>
      <c r="D572" s="57"/>
      <c r="E572" s="57"/>
      <c r="F572" s="57"/>
      <c r="H572" s="33"/>
      <c r="I572" s="55"/>
      <c r="J572" s="57"/>
      <c r="K572" s="57"/>
      <c r="L572" s="57"/>
      <c r="M572" s="57"/>
      <c r="N572" s="34"/>
      <c r="O572" s="35"/>
    </row>
    <row r="573" spans="1:15" s="36" customFormat="1" ht="12" x14ac:dyDescent="0.2">
      <c r="A573" s="33"/>
      <c r="B573" s="56"/>
      <c r="C573" s="58"/>
      <c r="D573" s="58"/>
      <c r="E573" s="58"/>
      <c r="F573" s="58"/>
      <c r="H573" s="33"/>
      <c r="I573" s="56"/>
      <c r="J573" s="58"/>
      <c r="K573" s="58"/>
      <c r="L573" s="58"/>
      <c r="M573" s="58"/>
      <c r="N573" s="34"/>
      <c r="O573" s="35"/>
    </row>
    <row r="574" spans="1:15" s="36" customFormat="1" ht="12" x14ac:dyDescent="0.2">
      <c r="A574" s="33"/>
      <c r="B574" s="55"/>
      <c r="C574" s="57"/>
      <c r="D574" s="57"/>
      <c r="E574" s="57"/>
      <c r="F574" s="57"/>
      <c r="H574" s="33"/>
      <c r="I574" s="55"/>
      <c r="J574" s="57"/>
      <c r="K574" s="57"/>
      <c r="L574" s="57"/>
      <c r="M574" s="57"/>
      <c r="N574" s="34"/>
      <c r="O574" s="35"/>
    </row>
    <row r="575" spans="1:15" s="36" customFormat="1" ht="12" x14ac:dyDescent="0.2">
      <c r="A575" s="33"/>
      <c r="B575" s="56"/>
      <c r="C575" s="58"/>
      <c r="D575" s="58"/>
      <c r="E575" s="58"/>
      <c r="F575" s="58"/>
      <c r="H575" s="33"/>
      <c r="I575" s="56"/>
      <c r="J575" s="58"/>
      <c r="K575" s="58"/>
      <c r="L575" s="58"/>
      <c r="M575" s="58"/>
      <c r="N575" s="34"/>
      <c r="O575" s="35"/>
    </row>
    <row r="576" spans="1:15" s="36" customFormat="1" ht="12" x14ac:dyDescent="0.2">
      <c r="A576" s="33"/>
      <c r="B576" s="55"/>
      <c r="C576" s="57"/>
      <c r="D576" s="57"/>
      <c r="E576" s="57"/>
      <c r="F576" s="57"/>
      <c r="H576" s="33"/>
      <c r="I576" s="55"/>
      <c r="J576" s="57"/>
      <c r="K576" s="57"/>
      <c r="L576" s="57"/>
      <c r="M576" s="57"/>
      <c r="N576" s="34"/>
      <c r="O576" s="35"/>
    </row>
    <row r="577" spans="1:15" s="36" customFormat="1" ht="12" x14ac:dyDescent="0.2">
      <c r="A577" s="33"/>
      <c r="B577" s="56"/>
      <c r="C577" s="58"/>
      <c r="D577" s="58"/>
      <c r="E577" s="58"/>
      <c r="F577" s="58"/>
      <c r="H577" s="33"/>
      <c r="I577" s="56"/>
      <c r="J577" s="58"/>
      <c r="K577" s="58"/>
      <c r="L577" s="58"/>
      <c r="M577" s="58"/>
      <c r="N577" s="34"/>
      <c r="O577" s="35"/>
    </row>
    <row r="578" spans="1:15" s="36" customFormat="1" ht="12" x14ac:dyDescent="0.2">
      <c r="A578" s="33"/>
      <c r="B578" s="55"/>
      <c r="C578" s="57"/>
      <c r="D578" s="57"/>
      <c r="E578" s="57"/>
      <c r="F578" s="57"/>
      <c r="H578" s="33"/>
      <c r="I578" s="55"/>
      <c r="J578" s="57"/>
      <c r="K578" s="57"/>
      <c r="L578" s="57"/>
      <c r="M578" s="57"/>
      <c r="N578" s="34"/>
      <c r="O578" s="35"/>
    </row>
    <row r="579" spans="1:15" s="36" customFormat="1" ht="12" x14ac:dyDescent="0.2">
      <c r="A579" s="33"/>
      <c r="B579" s="56"/>
      <c r="C579" s="58"/>
      <c r="D579" s="58"/>
      <c r="E579" s="58"/>
      <c r="F579" s="58"/>
      <c r="H579" s="33"/>
      <c r="I579" s="56"/>
      <c r="J579" s="58"/>
      <c r="K579" s="58"/>
      <c r="L579" s="58"/>
      <c r="M579" s="58"/>
      <c r="N579" s="34"/>
      <c r="O579" s="35"/>
    </row>
    <row r="580" spans="1:15" s="36" customFormat="1" ht="12" x14ac:dyDescent="0.2">
      <c r="A580" s="33"/>
      <c r="B580" s="55"/>
      <c r="C580" s="57"/>
      <c r="D580" s="57"/>
      <c r="E580" s="57"/>
      <c r="F580" s="57"/>
      <c r="H580" s="33"/>
      <c r="I580" s="55"/>
      <c r="J580" s="57"/>
      <c r="K580" s="57"/>
      <c r="L580" s="57"/>
      <c r="M580" s="57"/>
      <c r="N580" s="34"/>
      <c r="O580" s="35"/>
    </row>
    <row r="581" spans="1:15" s="36" customFormat="1" ht="12" x14ac:dyDescent="0.2">
      <c r="A581" s="33"/>
      <c r="B581" s="56"/>
      <c r="C581" s="58"/>
      <c r="D581" s="58"/>
      <c r="E581" s="58"/>
      <c r="F581" s="58"/>
      <c r="H581" s="33"/>
      <c r="I581" s="56"/>
      <c r="J581" s="58"/>
      <c r="K581" s="58"/>
      <c r="L581" s="58"/>
      <c r="M581" s="58"/>
      <c r="N581" s="34"/>
      <c r="O581" s="35"/>
    </row>
    <row r="582" spans="1:15" s="36" customFormat="1" ht="12" x14ac:dyDescent="0.2">
      <c r="A582" s="33"/>
      <c r="B582" s="55"/>
      <c r="C582" s="57"/>
      <c r="D582" s="57"/>
      <c r="E582" s="57"/>
      <c r="F582" s="57"/>
      <c r="H582" s="33"/>
      <c r="I582" s="55"/>
      <c r="J582" s="57"/>
      <c r="K582" s="57"/>
      <c r="L582" s="57"/>
      <c r="M582" s="57"/>
      <c r="N582" s="34"/>
      <c r="O582" s="35"/>
    </row>
    <row r="583" spans="1:15" s="36" customFormat="1" ht="12" x14ac:dyDescent="0.2">
      <c r="A583" s="33"/>
      <c r="B583" s="56"/>
      <c r="C583" s="58"/>
      <c r="D583" s="58"/>
      <c r="E583" s="58"/>
      <c r="F583" s="58"/>
      <c r="H583" s="33"/>
      <c r="I583" s="56"/>
      <c r="J583" s="58"/>
      <c r="K583" s="58"/>
      <c r="L583" s="58"/>
      <c r="M583" s="58"/>
      <c r="N583" s="34"/>
      <c r="O583" s="35"/>
    </row>
    <row r="584" spans="1:15" s="36" customFormat="1" ht="12" x14ac:dyDescent="0.2">
      <c r="A584" s="33"/>
      <c r="B584" s="55"/>
      <c r="C584" s="57"/>
      <c r="D584" s="57"/>
      <c r="E584" s="57"/>
      <c r="F584" s="57"/>
      <c r="H584" s="33"/>
      <c r="I584" s="55"/>
      <c r="J584" s="57"/>
      <c r="K584" s="57"/>
      <c r="L584" s="57"/>
      <c r="M584" s="57"/>
      <c r="N584" s="34"/>
      <c r="O584" s="35"/>
    </row>
    <row r="585" spans="1:15" s="36" customFormat="1" ht="12" x14ac:dyDescent="0.2">
      <c r="A585" s="33"/>
      <c r="B585" s="56"/>
      <c r="C585" s="58"/>
      <c r="D585" s="58"/>
      <c r="E585" s="58"/>
      <c r="F585" s="58"/>
      <c r="H585" s="33"/>
      <c r="I585" s="56"/>
      <c r="J585" s="58"/>
      <c r="K585" s="58"/>
      <c r="L585" s="58"/>
      <c r="M585" s="58"/>
      <c r="N585" s="34"/>
      <c r="O585" s="35"/>
    </row>
    <row r="586" spans="1:15" s="36" customFormat="1" ht="12" x14ac:dyDescent="0.2">
      <c r="A586" s="33"/>
      <c r="B586" s="55"/>
      <c r="C586" s="57"/>
      <c r="D586" s="57"/>
      <c r="E586" s="57"/>
      <c r="F586" s="57"/>
      <c r="H586" s="33"/>
      <c r="I586" s="55"/>
      <c r="J586" s="57"/>
      <c r="K586" s="57"/>
      <c r="L586" s="57"/>
      <c r="M586" s="57"/>
      <c r="N586" s="34"/>
      <c r="O586" s="35"/>
    </row>
    <row r="587" spans="1:15" s="36" customFormat="1" ht="12" x14ac:dyDescent="0.2">
      <c r="A587" s="33"/>
      <c r="B587" s="56"/>
      <c r="C587" s="58"/>
      <c r="D587" s="58"/>
      <c r="E587" s="58"/>
      <c r="F587" s="58"/>
      <c r="H587" s="33"/>
      <c r="I587" s="56"/>
      <c r="J587" s="58"/>
      <c r="K587" s="58"/>
      <c r="L587" s="58"/>
      <c r="M587" s="58"/>
      <c r="N587" s="34"/>
      <c r="O587" s="35"/>
    </row>
    <row r="588" spans="1:15" s="36" customFormat="1" ht="12" x14ac:dyDescent="0.2">
      <c r="A588" s="33"/>
      <c r="B588" s="55"/>
      <c r="C588" s="57"/>
      <c r="D588" s="57"/>
      <c r="E588" s="57"/>
      <c r="F588" s="57"/>
      <c r="H588" s="33"/>
      <c r="I588" s="55"/>
      <c r="J588" s="57"/>
      <c r="K588" s="57"/>
      <c r="L588" s="57"/>
      <c r="M588" s="57"/>
      <c r="N588" s="34"/>
      <c r="O588" s="35"/>
    </row>
    <row r="589" spans="1:15" s="36" customFormat="1" ht="12" x14ac:dyDescent="0.2">
      <c r="A589" s="33"/>
      <c r="B589" s="56"/>
      <c r="C589" s="58"/>
      <c r="D589" s="58"/>
      <c r="E589" s="58"/>
      <c r="F589" s="58"/>
      <c r="H589" s="33"/>
      <c r="I589" s="56"/>
      <c r="J589" s="58"/>
      <c r="K589" s="58"/>
      <c r="L589" s="58"/>
      <c r="M589" s="58"/>
      <c r="N589" s="34"/>
      <c r="O589" s="35"/>
    </row>
    <row r="590" spans="1:15" s="36" customFormat="1" ht="12" x14ac:dyDescent="0.2">
      <c r="A590" s="33"/>
      <c r="B590" s="55"/>
      <c r="C590" s="57"/>
      <c r="D590" s="57"/>
      <c r="E590" s="57"/>
      <c r="F590" s="57"/>
      <c r="H590" s="33"/>
      <c r="I590" s="55"/>
      <c r="J590" s="57"/>
      <c r="K590" s="57"/>
      <c r="L590" s="57"/>
      <c r="M590" s="57"/>
      <c r="N590" s="34"/>
      <c r="O590" s="35"/>
    </row>
    <row r="591" spans="1:15" s="36" customFormat="1" ht="12" x14ac:dyDescent="0.2">
      <c r="A591" s="33"/>
      <c r="B591" s="56"/>
      <c r="C591" s="58"/>
      <c r="D591" s="58"/>
      <c r="E591" s="58"/>
      <c r="F591" s="58"/>
      <c r="H591" s="33"/>
      <c r="I591" s="56"/>
      <c r="J591" s="58"/>
      <c r="K591" s="58"/>
      <c r="L591" s="58"/>
      <c r="M591" s="58"/>
      <c r="N591" s="34"/>
      <c r="O591" s="35"/>
    </row>
    <row r="592" spans="1:15" s="36" customFormat="1" ht="12" x14ac:dyDescent="0.2">
      <c r="A592" s="33"/>
      <c r="B592" s="55"/>
      <c r="C592" s="57"/>
      <c r="D592" s="57"/>
      <c r="E592" s="57"/>
      <c r="F592" s="57"/>
      <c r="H592" s="33"/>
      <c r="I592" s="55"/>
      <c r="J592" s="57"/>
      <c r="K592" s="57"/>
      <c r="L592" s="57"/>
      <c r="M592" s="57"/>
      <c r="N592" s="34"/>
      <c r="O592" s="35"/>
    </row>
    <row r="593" spans="1:15" s="36" customFormat="1" ht="12" x14ac:dyDescent="0.2">
      <c r="A593" s="33"/>
      <c r="B593" s="56"/>
      <c r="C593" s="58"/>
      <c r="D593" s="58"/>
      <c r="E593" s="58"/>
      <c r="F593" s="58"/>
      <c r="H593" s="33"/>
      <c r="I593" s="56"/>
      <c r="J593" s="58"/>
      <c r="K593" s="58"/>
      <c r="L593" s="58"/>
      <c r="M593" s="58"/>
      <c r="N593" s="34"/>
      <c r="O593" s="35"/>
    </row>
    <row r="594" spans="1:15" s="36" customFormat="1" ht="12" x14ac:dyDescent="0.2">
      <c r="A594" s="33"/>
      <c r="B594" s="55"/>
      <c r="C594" s="57"/>
      <c r="D594" s="57"/>
      <c r="E594" s="57"/>
      <c r="F594" s="57"/>
      <c r="H594" s="33"/>
      <c r="I594" s="55"/>
      <c r="J594" s="57"/>
      <c r="K594" s="57"/>
      <c r="L594" s="57"/>
      <c r="M594" s="57"/>
      <c r="N594" s="34"/>
      <c r="O594" s="35"/>
    </row>
    <row r="595" spans="1:15" s="36" customFormat="1" ht="12" x14ac:dyDescent="0.2">
      <c r="A595" s="33"/>
      <c r="B595" s="56"/>
      <c r="C595" s="58"/>
      <c r="D595" s="58"/>
      <c r="E595" s="58"/>
      <c r="F595" s="58"/>
      <c r="H595" s="33"/>
      <c r="I595" s="56"/>
      <c r="J595" s="58"/>
      <c r="K595" s="58"/>
      <c r="L595" s="58"/>
      <c r="M595" s="58"/>
      <c r="N595" s="34"/>
      <c r="O595" s="35"/>
    </row>
    <row r="596" spans="1:15" s="36" customFormat="1" ht="12" x14ac:dyDescent="0.2">
      <c r="A596" s="33"/>
      <c r="B596" s="55"/>
      <c r="C596" s="57"/>
      <c r="D596" s="57"/>
      <c r="E596" s="57"/>
      <c r="F596" s="57"/>
      <c r="H596" s="33"/>
      <c r="I596" s="55"/>
      <c r="J596" s="57"/>
      <c r="K596" s="57"/>
      <c r="L596" s="57"/>
      <c r="M596" s="57"/>
      <c r="N596" s="34"/>
      <c r="O596" s="35"/>
    </row>
    <row r="597" spans="1:15" s="36" customFormat="1" ht="12" x14ac:dyDescent="0.2">
      <c r="A597" s="33"/>
      <c r="B597" s="56"/>
      <c r="C597" s="58"/>
      <c r="D597" s="58"/>
      <c r="E597" s="58"/>
      <c r="F597" s="58"/>
      <c r="H597" s="33"/>
      <c r="I597" s="56"/>
      <c r="J597" s="58"/>
      <c r="K597" s="58"/>
      <c r="L597" s="58"/>
      <c r="M597" s="58"/>
      <c r="N597" s="34"/>
      <c r="O597" s="35"/>
    </row>
    <row r="598" spans="1:15" s="36" customFormat="1" ht="12" x14ac:dyDescent="0.2">
      <c r="A598" s="33"/>
      <c r="B598" s="55"/>
      <c r="C598" s="57"/>
      <c r="D598" s="57"/>
      <c r="E598" s="57"/>
      <c r="F598" s="57"/>
      <c r="H598" s="33"/>
      <c r="I598" s="55"/>
      <c r="J598" s="57"/>
      <c r="K598" s="57"/>
      <c r="L598" s="57"/>
      <c r="M598" s="57"/>
      <c r="N598" s="34"/>
      <c r="O598" s="35"/>
    </row>
    <row r="599" spans="1:15" s="36" customFormat="1" ht="12" x14ac:dyDescent="0.2">
      <c r="A599" s="33"/>
      <c r="B599" s="56"/>
      <c r="C599" s="58"/>
      <c r="D599" s="58"/>
      <c r="E599" s="58"/>
      <c r="F599" s="58"/>
      <c r="H599" s="33"/>
      <c r="I599" s="56"/>
      <c r="J599" s="58"/>
      <c r="K599" s="58"/>
      <c r="L599" s="58"/>
      <c r="M599" s="58"/>
      <c r="N599" s="34"/>
      <c r="O599" s="35"/>
    </row>
    <row r="600" spans="1:15" s="36" customFormat="1" ht="12" x14ac:dyDescent="0.2">
      <c r="A600" s="33"/>
      <c r="B600" s="55"/>
      <c r="C600" s="57"/>
      <c r="D600" s="57"/>
      <c r="E600" s="57"/>
      <c r="F600" s="57"/>
      <c r="H600" s="33"/>
      <c r="I600" s="55"/>
      <c r="J600" s="57"/>
      <c r="K600" s="57"/>
      <c r="L600" s="57"/>
      <c r="M600" s="57"/>
      <c r="N600" s="34"/>
      <c r="O600" s="35"/>
    </row>
    <row r="601" spans="1:15" s="36" customFormat="1" ht="12" x14ac:dyDescent="0.2">
      <c r="A601" s="33"/>
      <c r="B601" s="56"/>
      <c r="C601" s="58"/>
      <c r="D601" s="58"/>
      <c r="E601" s="58"/>
      <c r="F601" s="58"/>
      <c r="H601" s="33"/>
      <c r="I601" s="56"/>
      <c r="J601" s="58"/>
      <c r="K601" s="58"/>
      <c r="L601" s="58"/>
      <c r="M601" s="58"/>
      <c r="N601" s="34"/>
      <c r="O601" s="35"/>
    </row>
    <row r="602" spans="1:15" s="36" customFormat="1" ht="12" x14ac:dyDescent="0.2">
      <c r="A602" s="33"/>
      <c r="B602" s="55"/>
      <c r="C602" s="57"/>
      <c r="D602" s="57"/>
      <c r="E602" s="57"/>
      <c r="F602" s="57"/>
      <c r="H602" s="33"/>
      <c r="I602" s="55"/>
      <c r="J602" s="57"/>
      <c r="K602" s="57"/>
      <c r="L602" s="57"/>
      <c r="M602" s="57"/>
      <c r="N602" s="34"/>
      <c r="O602" s="35"/>
    </row>
    <row r="603" spans="1:15" s="36" customFormat="1" ht="12" x14ac:dyDescent="0.2">
      <c r="A603" s="33"/>
      <c r="B603" s="56"/>
      <c r="C603" s="58"/>
      <c r="D603" s="58"/>
      <c r="E603" s="58"/>
      <c r="F603" s="58"/>
      <c r="H603" s="33"/>
      <c r="I603" s="56"/>
      <c r="J603" s="58"/>
      <c r="K603" s="58"/>
      <c r="L603" s="58"/>
      <c r="M603" s="58"/>
      <c r="N603" s="34"/>
      <c r="O603" s="35"/>
    </row>
    <row r="604" spans="1:15" s="36" customFormat="1" ht="12" x14ac:dyDescent="0.2">
      <c r="A604" s="33"/>
      <c r="B604" s="55"/>
      <c r="C604" s="57"/>
      <c r="D604" s="57"/>
      <c r="E604" s="57"/>
      <c r="F604" s="57"/>
      <c r="H604" s="33"/>
      <c r="I604" s="55"/>
      <c r="J604" s="57"/>
      <c r="K604" s="57"/>
      <c r="L604" s="57"/>
      <c r="M604" s="57"/>
      <c r="N604" s="34"/>
      <c r="O604" s="35"/>
    </row>
    <row r="605" spans="1:15" s="36" customFormat="1" ht="12" x14ac:dyDescent="0.2">
      <c r="A605" s="33"/>
      <c r="B605" s="56"/>
      <c r="C605" s="58"/>
      <c r="D605" s="58"/>
      <c r="E605" s="58"/>
      <c r="F605" s="58"/>
      <c r="H605" s="33"/>
      <c r="I605" s="56"/>
      <c r="J605" s="58"/>
      <c r="K605" s="58"/>
      <c r="L605" s="58"/>
      <c r="M605" s="58"/>
      <c r="N605" s="34"/>
      <c r="O605" s="35"/>
    </row>
    <row r="606" spans="1:15" s="36" customFormat="1" ht="12" x14ac:dyDescent="0.2">
      <c r="A606" s="33"/>
      <c r="B606" s="55"/>
      <c r="C606" s="57"/>
      <c r="D606" s="57"/>
      <c r="E606" s="57"/>
      <c r="F606" s="57"/>
      <c r="H606" s="33"/>
      <c r="I606" s="55"/>
      <c r="J606" s="57"/>
      <c r="K606" s="57"/>
      <c r="L606" s="57"/>
      <c r="M606" s="57"/>
      <c r="N606" s="34"/>
      <c r="O606" s="35"/>
    </row>
    <row r="607" spans="1:15" s="36" customFormat="1" ht="12" x14ac:dyDescent="0.2">
      <c r="A607" s="33"/>
      <c r="B607" s="56"/>
      <c r="C607" s="58"/>
      <c r="D607" s="58"/>
      <c r="E607" s="58"/>
      <c r="F607" s="58"/>
      <c r="H607" s="33"/>
      <c r="I607" s="56"/>
      <c r="J607" s="58"/>
      <c r="K607" s="58"/>
      <c r="L607" s="58"/>
      <c r="M607" s="58"/>
      <c r="N607" s="34"/>
      <c r="O607" s="35"/>
    </row>
    <row r="608" spans="1:15" s="36" customFormat="1" ht="12" x14ac:dyDescent="0.2">
      <c r="A608" s="33"/>
      <c r="B608" s="55"/>
      <c r="C608" s="57"/>
      <c r="D608" s="57"/>
      <c r="E608" s="57"/>
      <c r="F608" s="57"/>
      <c r="H608" s="33"/>
      <c r="I608" s="55"/>
      <c r="J608" s="57"/>
      <c r="K608" s="57"/>
      <c r="L608" s="57"/>
      <c r="M608" s="57"/>
      <c r="N608" s="34"/>
      <c r="O608" s="35"/>
    </row>
    <row r="609" spans="2:13" ht="12" x14ac:dyDescent="0.2">
      <c r="B609" s="56"/>
      <c r="C609" s="58"/>
      <c r="D609" s="58"/>
      <c r="E609" s="58"/>
      <c r="F609" s="58"/>
      <c r="I609" s="56"/>
      <c r="J609" s="58"/>
      <c r="K609" s="58"/>
      <c r="L609" s="58"/>
      <c r="M609" s="58"/>
    </row>
    <row r="610" spans="2:13" ht="12" x14ac:dyDescent="0.2">
      <c r="B610" s="55"/>
      <c r="C610" s="57"/>
      <c r="D610" s="57"/>
      <c r="E610" s="57"/>
      <c r="F610" s="57"/>
      <c r="I610" s="55"/>
      <c r="J610" s="57"/>
      <c r="K610" s="57"/>
      <c r="L610" s="57"/>
      <c r="M610" s="57"/>
    </row>
    <row r="611" spans="2:13" ht="12" x14ac:dyDescent="0.2">
      <c r="B611" s="56"/>
      <c r="C611" s="58"/>
      <c r="D611" s="58"/>
      <c r="E611" s="58"/>
      <c r="F611" s="58"/>
      <c r="I611" s="56"/>
      <c r="J611" s="58"/>
      <c r="K611" s="58"/>
      <c r="L611" s="58"/>
      <c r="M611" s="58"/>
    </row>
    <row r="612" spans="2:13" ht="12" x14ac:dyDescent="0.2">
      <c r="B612" s="55"/>
      <c r="C612" s="57"/>
      <c r="D612" s="57"/>
      <c r="E612" s="57"/>
      <c r="F612" s="57"/>
      <c r="I612" s="55"/>
      <c r="J612" s="57"/>
      <c r="K612" s="57"/>
      <c r="L612" s="57"/>
      <c r="M612" s="57"/>
    </row>
    <row r="613" spans="2:13" ht="12" x14ac:dyDescent="0.2">
      <c r="B613" s="56"/>
      <c r="C613" s="58"/>
      <c r="D613" s="58"/>
      <c r="E613" s="58"/>
      <c r="F613" s="58"/>
      <c r="I613" s="56"/>
      <c r="J613" s="58"/>
      <c r="K613" s="58"/>
      <c r="L613" s="58"/>
      <c r="M613" s="58"/>
    </row>
    <row r="614" spans="2:13" ht="12" x14ac:dyDescent="0.2">
      <c r="B614" s="55"/>
      <c r="C614" s="57"/>
      <c r="D614" s="57"/>
      <c r="E614" s="57"/>
      <c r="F614" s="57"/>
      <c r="I614" s="55"/>
      <c r="J614" s="57"/>
      <c r="K614" s="57"/>
      <c r="L614" s="57"/>
      <c r="M614" s="57"/>
    </row>
    <row r="615" spans="2:13" ht="12" x14ac:dyDescent="0.2">
      <c r="B615" s="56"/>
      <c r="C615" s="58"/>
      <c r="D615" s="58"/>
      <c r="E615" s="58"/>
      <c r="F615" s="58"/>
      <c r="I615" s="56"/>
      <c r="J615" s="58"/>
      <c r="K615" s="58"/>
      <c r="L615" s="58"/>
      <c r="M615" s="58"/>
    </row>
    <row r="616" spans="2:13" ht="12" x14ac:dyDescent="0.2">
      <c r="B616" s="55"/>
      <c r="C616" s="57"/>
      <c r="D616" s="57"/>
      <c r="E616" s="57"/>
      <c r="F616" s="57"/>
      <c r="I616" s="55"/>
      <c r="J616" s="57"/>
      <c r="K616" s="57"/>
      <c r="L616" s="57"/>
      <c r="M616" s="57"/>
    </row>
    <row r="617" spans="2:13" ht="12" x14ac:dyDescent="0.2">
      <c r="B617" s="56"/>
      <c r="C617" s="58"/>
      <c r="D617" s="58"/>
      <c r="E617" s="58"/>
      <c r="F617" s="58"/>
      <c r="I617" s="56"/>
      <c r="J617" s="58"/>
      <c r="K617" s="58"/>
      <c r="L617" s="58"/>
      <c r="M617" s="58"/>
    </row>
    <row r="618" spans="2:13" ht="12" x14ac:dyDescent="0.2">
      <c r="B618" s="55"/>
      <c r="C618" s="57"/>
      <c r="D618" s="57"/>
      <c r="E618" s="57"/>
      <c r="F618" s="57"/>
      <c r="I618" s="55"/>
      <c r="J618" s="57"/>
      <c r="K618" s="57"/>
      <c r="L618" s="57"/>
      <c r="M618" s="57"/>
    </row>
    <row r="619" spans="2:13" ht="12" x14ac:dyDescent="0.2">
      <c r="B619" s="56"/>
      <c r="C619" s="58"/>
      <c r="D619" s="58"/>
      <c r="E619" s="58"/>
      <c r="F619" s="58"/>
      <c r="I619" s="56"/>
      <c r="J619" s="58"/>
      <c r="K619" s="58"/>
      <c r="L619" s="58"/>
      <c r="M619" s="58"/>
    </row>
    <row r="620" spans="2:13" ht="12" x14ac:dyDescent="0.2">
      <c r="B620" s="55"/>
      <c r="C620" s="57"/>
      <c r="D620" s="57"/>
      <c r="E620" s="57"/>
      <c r="F620" s="57"/>
      <c r="I620" s="55"/>
      <c r="J620" s="57"/>
      <c r="K620" s="57"/>
      <c r="L620" s="57"/>
      <c r="M620" s="57"/>
    </row>
    <row r="621" spans="2:13" ht="12" x14ac:dyDescent="0.2">
      <c r="B621" s="56"/>
      <c r="C621" s="58"/>
      <c r="D621" s="58"/>
      <c r="E621" s="58"/>
      <c r="F621" s="58"/>
      <c r="I621" s="56"/>
      <c r="J621" s="58"/>
      <c r="K621" s="58"/>
      <c r="L621" s="58"/>
      <c r="M621" s="58"/>
    </row>
    <row r="622" spans="2:13" ht="12" x14ac:dyDescent="0.2">
      <c r="B622" s="55"/>
      <c r="C622" s="57"/>
      <c r="D622" s="57"/>
      <c r="E622" s="57"/>
      <c r="F622" s="57"/>
      <c r="I622" s="55"/>
      <c r="J622" s="57"/>
      <c r="K622" s="57"/>
      <c r="L622" s="57"/>
      <c r="M622" s="57"/>
    </row>
    <row r="623" spans="2:13" ht="12" x14ac:dyDescent="0.2">
      <c r="B623" s="56"/>
      <c r="C623" s="58"/>
      <c r="D623" s="58"/>
      <c r="E623" s="58"/>
      <c r="F623" s="58"/>
      <c r="I623" s="56"/>
      <c r="J623" s="58"/>
      <c r="K623" s="58"/>
      <c r="L623" s="58"/>
      <c r="M623" s="58"/>
    </row>
    <row r="624" spans="2:13" ht="12" x14ac:dyDescent="0.2">
      <c r="B624" s="55"/>
      <c r="C624" s="57"/>
      <c r="D624" s="57"/>
      <c r="E624" s="57"/>
      <c r="F624" s="57"/>
      <c r="I624" s="55"/>
      <c r="J624" s="57"/>
      <c r="K624" s="57"/>
      <c r="L624" s="57"/>
      <c r="M624" s="57"/>
    </row>
    <row r="625" spans="2:13" ht="12" x14ac:dyDescent="0.2">
      <c r="B625" s="56"/>
      <c r="C625" s="58"/>
      <c r="D625" s="58"/>
      <c r="E625" s="58"/>
      <c r="F625" s="58"/>
      <c r="I625" s="56"/>
      <c r="J625" s="58"/>
      <c r="K625" s="58"/>
      <c r="L625" s="58"/>
      <c r="M625" s="58"/>
    </row>
    <row r="626" spans="2:13" ht="12" x14ac:dyDescent="0.2">
      <c r="B626" s="55"/>
      <c r="C626" s="57"/>
      <c r="D626" s="57"/>
      <c r="E626" s="57"/>
      <c r="F626" s="57"/>
      <c r="I626" s="55"/>
      <c r="J626" s="57"/>
      <c r="K626" s="57"/>
      <c r="L626" s="57"/>
      <c r="M626" s="57"/>
    </row>
    <row r="627" spans="2:13" ht="12" x14ac:dyDescent="0.2">
      <c r="B627" s="56"/>
      <c r="C627" s="58"/>
      <c r="D627" s="58"/>
      <c r="E627" s="58"/>
      <c r="F627" s="58"/>
      <c r="I627" s="56"/>
      <c r="J627" s="58"/>
      <c r="K627" s="58"/>
      <c r="L627" s="58"/>
      <c r="M627" s="58"/>
    </row>
    <row r="628" spans="2:13" ht="12" x14ac:dyDescent="0.2">
      <c r="B628" s="55"/>
      <c r="C628" s="57"/>
      <c r="D628" s="57"/>
      <c r="E628" s="57"/>
      <c r="F628" s="57"/>
      <c r="I628" s="55"/>
      <c r="J628" s="57"/>
      <c r="K628" s="57"/>
      <c r="L628" s="57"/>
      <c r="M628" s="57"/>
    </row>
    <row r="629" spans="2:13" ht="12" x14ac:dyDescent="0.2">
      <c r="B629" s="56"/>
      <c r="C629" s="58"/>
      <c r="D629" s="58"/>
      <c r="E629" s="58"/>
      <c r="F629" s="58"/>
      <c r="I629" s="56"/>
      <c r="J629" s="58"/>
      <c r="K629" s="58"/>
      <c r="L629" s="58"/>
      <c r="M629" s="58"/>
    </row>
    <row r="630" spans="2:13" ht="12" x14ac:dyDescent="0.2">
      <c r="B630" s="55"/>
      <c r="C630" s="57"/>
      <c r="D630" s="57"/>
      <c r="E630" s="57"/>
      <c r="F630" s="57"/>
      <c r="I630" s="55"/>
      <c r="J630" s="57"/>
      <c r="K630" s="57"/>
      <c r="L630" s="57"/>
      <c r="M630" s="57"/>
    </row>
    <row r="631" spans="2:13" ht="12" x14ac:dyDescent="0.2">
      <c r="B631" s="56"/>
      <c r="C631" s="58"/>
      <c r="D631" s="58"/>
      <c r="E631" s="58"/>
      <c r="F631" s="58"/>
      <c r="I631" s="56"/>
      <c r="J631" s="58"/>
      <c r="K631" s="58"/>
      <c r="L631" s="58"/>
      <c r="M631" s="58"/>
    </row>
    <row r="632" spans="2:13" ht="12" x14ac:dyDescent="0.2">
      <c r="B632" s="55"/>
      <c r="C632" s="57"/>
      <c r="D632" s="57"/>
      <c r="E632" s="57"/>
      <c r="F632" s="57"/>
      <c r="I632" s="55"/>
      <c r="J632" s="57"/>
      <c r="K632" s="57"/>
      <c r="L632" s="57"/>
      <c r="M632" s="57"/>
    </row>
    <row r="633" spans="2:13" ht="12" x14ac:dyDescent="0.2">
      <c r="B633" s="56"/>
      <c r="C633" s="58"/>
      <c r="D633" s="58"/>
      <c r="E633" s="58"/>
      <c r="F633" s="58"/>
      <c r="I633" s="56"/>
      <c r="J633" s="58"/>
      <c r="K633" s="58"/>
      <c r="L633" s="58"/>
      <c r="M633" s="58"/>
    </row>
    <row r="634" spans="2:13" ht="12" x14ac:dyDescent="0.2">
      <c r="B634" s="55"/>
      <c r="C634" s="57"/>
      <c r="D634" s="57"/>
      <c r="E634" s="57"/>
      <c r="F634" s="57"/>
      <c r="I634" s="55"/>
      <c r="J634" s="57"/>
      <c r="K634" s="57"/>
      <c r="L634" s="57"/>
      <c r="M634" s="57"/>
    </row>
    <row r="635" spans="2:13" ht="12" x14ac:dyDescent="0.2">
      <c r="B635" s="56"/>
      <c r="C635" s="58"/>
      <c r="D635" s="58"/>
      <c r="E635" s="58"/>
      <c r="F635" s="58"/>
      <c r="I635" s="56"/>
      <c r="J635" s="58"/>
      <c r="K635" s="58"/>
      <c r="L635" s="58"/>
      <c r="M635" s="58"/>
    </row>
    <row r="636" spans="2:13" ht="12" x14ac:dyDescent="0.2">
      <c r="B636" s="55"/>
      <c r="C636" s="57"/>
      <c r="D636" s="57"/>
      <c r="E636" s="57"/>
      <c r="F636" s="57"/>
      <c r="I636" s="55"/>
      <c r="J636" s="57"/>
      <c r="K636" s="57"/>
      <c r="L636" s="57"/>
      <c r="M636" s="57"/>
    </row>
    <row r="637" spans="2:13" ht="12" x14ac:dyDescent="0.2">
      <c r="B637" s="56"/>
      <c r="C637" s="58"/>
      <c r="D637" s="58"/>
      <c r="E637" s="58"/>
      <c r="F637" s="58"/>
      <c r="I637" s="56"/>
      <c r="J637" s="58"/>
      <c r="K637" s="58"/>
      <c r="L637" s="58"/>
      <c r="M637" s="58"/>
    </row>
    <row r="638" spans="2:13" ht="12" x14ac:dyDescent="0.2">
      <c r="B638" s="55"/>
      <c r="C638" s="57"/>
      <c r="D638" s="57"/>
      <c r="E638" s="57"/>
      <c r="F638" s="57"/>
      <c r="I638" s="55"/>
      <c r="J638" s="57"/>
      <c r="K638" s="57"/>
      <c r="L638" s="57"/>
      <c r="M638" s="57"/>
    </row>
    <row r="639" spans="2:13" ht="12" x14ac:dyDescent="0.2">
      <c r="B639" s="56"/>
      <c r="C639" s="58"/>
      <c r="D639" s="58"/>
      <c r="E639" s="58"/>
      <c r="F639" s="58"/>
      <c r="I639" s="56"/>
      <c r="J639" s="58"/>
      <c r="K639" s="58"/>
      <c r="L639" s="58"/>
      <c r="M639" s="58"/>
    </row>
    <row r="640" spans="2:13" ht="12" x14ac:dyDescent="0.2">
      <c r="B640" s="55"/>
      <c r="C640" s="57"/>
      <c r="D640" s="57"/>
      <c r="E640" s="57"/>
      <c r="F640" s="57"/>
      <c r="I640" s="55"/>
      <c r="J640" s="57"/>
      <c r="K640" s="57"/>
      <c r="L640" s="57"/>
      <c r="M640" s="57"/>
    </row>
    <row r="641" spans="2:13" ht="12" x14ac:dyDescent="0.2">
      <c r="B641" s="56"/>
      <c r="C641" s="58"/>
      <c r="D641" s="58"/>
      <c r="E641" s="58"/>
      <c r="F641" s="58"/>
      <c r="I641" s="56"/>
      <c r="J641" s="58"/>
      <c r="K641" s="58"/>
      <c r="L641" s="58"/>
      <c r="M641" s="58"/>
    </row>
    <row r="642" spans="2:13" ht="12" x14ac:dyDescent="0.2">
      <c r="B642" s="55"/>
      <c r="C642" s="57"/>
      <c r="D642" s="57"/>
      <c r="E642" s="57"/>
      <c r="F642" s="57"/>
      <c r="I642" s="55"/>
      <c r="J642" s="57"/>
      <c r="K642" s="57"/>
      <c r="L642" s="57"/>
      <c r="M642" s="57"/>
    </row>
    <row r="643" spans="2:13" ht="12" x14ac:dyDescent="0.2">
      <c r="B643" s="56"/>
      <c r="C643" s="58"/>
      <c r="D643" s="58"/>
      <c r="E643" s="58"/>
      <c r="F643" s="58"/>
      <c r="I643" s="56"/>
      <c r="J643" s="58"/>
      <c r="K643" s="58"/>
      <c r="L643" s="58"/>
      <c r="M643" s="58"/>
    </row>
    <row r="644" spans="2:13" ht="12" x14ac:dyDescent="0.2">
      <c r="B644" s="55"/>
      <c r="C644" s="57"/>
      <c r="D644" s="57"/>
      <c r="E644" s="57"/>
      <c r="F644" s="57"/>
      <c r="I644" s="55"/>
      <c r="J644" s="57"/>
      <c r="K644" s="57"/>
      <c r="L644" s="57"/>
      <c r="M644" s="57"/>
    </row>
    <row r="645" spans="2:13" ht="12" x14ac:dyDescent="0.2">
      <c r="B645" s="56"/>
      <c r="C645" s="58"/>
      <c r="D645" s="58"/>
      <c r="E645" s="58"/>
      <c r="F645" s="58"/>
      <c r="I645" s="56"/>
      <c r="J645" s="58"/>
      <c r="K645" s="58"/>
      <c r="L645" s="58"/>
      <c r="M645" s="58"/>
    </row>
    <row r="646" spans="2:13" ht="12" x14ac:dyDescent="0.2">
      <c r="B646" s="55"/>
      <c r="C646" s="57"/>
      <c r="D646" s="57"/>
      <c r="E646" s="57"/>
      <c r="F646" s="57"/>
      <c r="I646" s="55"/>
      <c r="J646" s="57"/>
      <c r="K646" s="57"/>
      <c r="L646" s="57"/>
      <c r="M646" s="57"/>
    </row>
    <row r="647" spans="2:13" ht="12" x14ac:dyDescent="0.2">
      <c r="B647" s="56"/>
      <c r="C647" s="58"/>
      <c r="D647" s="58"/>
      <c r="E647" s="58"/>
      <c r="F647" s="58"/>
      <c r="I647" s="56"/>
      <c r="J647" s="58"/>
      <c r="K647" s="58"/>
      <c r="L647" s="58"/>
      <c r="M647" s="58"/>
    </row>
    <row r="648" spans="2:13" ht="12" x14ac:dyDescent="0.2">
      <c r="B648" s="55"/>
      <c r="C648" s="57"/>
      <c r="D648" s="57"/>
      <c r="E648" s="57"/>
      <c r="F648" s="57"/>
      <c r="I648" s="55"/>
      <c r="J648" s="57"/>
      <c r="K648" s="57"/>
      <c r="L648" s="57"/>
      <c r="M648" s="57"/>
    </row>
    <row r="649" spans="2:13" ht="12" x14ac:dyDescent="0.2">
      <c r="B649" s="56"/>
      <c r="C649" s="58"/>
      <c r="D649" s="58"/>
      <c r="E649" s="58"/>
      <c r="F649" s="58"/>
      <c r="I649" s="56"/>
      <c r="J649" s="58"/>
      <c r="K649" s="58"/>
      <c r="L649" s="58"/>
      <c r="M649" s="58"/>
    </row>
    <row r="650" spans="2:13" ht="12" x14ac:dyDescent="0.2">
      <c r="B650" s="55"/>
      <c r="C650" s="57"/>
      <c r="D650" s="57"/>
      <c r="E650" s="57"/>
      <c r="F650" s="57"/>
      <c r="I650" s="55"/>
      <c r="J650" s="57"/>
      <c r="K650" s="57"/>
      <c r="L650" s="57"/>
      <c r="M650" s="57"/>
    </row>
    <row r="651" spans="2:13" ht="12" x14ac:dyDescent="0.2">
      <c r="B651" s="56"/>
      <c r="C651" s="58"/>
      <c r="D651" s="58"/>
      <c r="E651" s="58"/>
      <c r="F651" s="58"/>
      <c r="I651" s="56"/>
      <c r="J651" s="58"/>
      <c r="K651" s="58"/>
      <c r="L651" s="58"/>
      <c r="M651" s="58"/>
    </row>
    <row r="652" spans="2:13" ht="12" x14ac:dyDescent="0.2">
      <c r="B652" s="55"/>
      <c r="C652" s="57"/>
      <c r="D652" s="57"/>
      <c r="E652" s="57"/>
      <c r="F652" s="57"/>
      <c r="I652" s="55"/>
      <c r="J652" s="57"/>
      <c r="K652" s="57"/>
      <c r="L652" s="57"/>
      <c r="M652" s="57"/>
    </row>
    <row r="653" spans="2:13" ht="12" x14ac:dyDescent="0.2">
      <c r="B653" s="56"/>
      <c r="C653" s="58"/>
      <c r="D653" s="58"/>
      <c r="E653" s="58"/>
      <c r="F653" s="58"/>
      <c r="I653" s="56"/>
      <c r="J653" s="58"/>
      <c r="K653" s="58"/>
      <c r="L653" s="58"/>
      <c r="M653" s="58"/>
    </row>
    <row r="654" spans="2:13" ht="12" x14ac:dyDescent="0.2">
      <c r="B654" s="55"/>
      <c r="C654" s="57"/>
      <c r="D654" s="57"/>
      <c r="E654" s="57"/>
      <c r="F654" s="57"/>
      <c r="I654" s="55"/>
      <c r="J654" s="57"/>
      <c r="K654" s="57"/>
      <c r="L654" s="57"/>
      <c r="M654" s="57"/>
    </row>
    <row r="655" spans="2:13" ht="12" x14ac:dyDescent="0.2">
      <c r="B655" s="56"/>
      <c r="C655" s="58"/>
      <c r="D655" s="58"/>
      <c r="E655" s="58"/>
      <c r="F655" s="58"/>
      <c r="I655" s="56"/>
      <c r="J655" s="58"/>
      <c r="K655" s="58"/>
      <c r="L655" s="58"/>
      <c r="M655" s="58"/>
    </row>
    <row r="656" spans="2:13" ht="12" x14ac:dyDescent="0.2">
      <c r="B656" s="55"/>
      <c r="C656" s="57"/>
      <c r="D656" s="57"/>
      <c r="E656" s="57"/>
      <c r="F656" s="57"/>
      <c r="I656" s="55"/>
      <c r="J656" s="57"/>
      <c r="K656" s="57"/>
      <c r="L656" s="57"/>
      <c r="M656" s="57"/>
    </row>
    <row r="657" spans="2:13" ht="12" x14ac:dyDescent="0.2">
      <c r="B657" s="56"/>
      <c r="C657" s="58"/>
      <c r="D657" s="58"/>
      <c r="E657" s="58"/>
      <c r="F657" s="58"/>
      <c r="I657" s="56"/>
      <c r="J657" s="58"/>
      <c r="K657" s="58"/>
      <c r="L657" s="58"/>
      <c r="M657" s="58"/>
    </row>
    <row r="658" spans="2:13" ht="12" x14ac:dyDescent="0.2">
      <c r="B658" s="55"/>
      <c r="C658" s="57"/>
      <c r="D658" s="57"/>
      <c r="E658" s="57"/>
      <c r="F658" s="57"/>
      <c r="I658" s="55"/>
      <c r="J658" s="57"/>
      <c r="K658" s="57"/>
      <c r="L658" s="57"/>
      <c r="M658" s="57"/>
    </row>
    <row r="659" spans="2:13" ht="12" x14ac:dyDescent="0.2">
      <c r="B659" s="56"/>
      <c r="C659" s="58"/>
      <c r="D659" s="58"/>
      <c r="E659" s="58"/>
      <c r="F659" s="58"/>
      <c r="I659" s="56"/>
      <c r="J659" s="58"/>
      <c r="K659" s="58"/>
      <c r="L659" s="58"/>
      <c r="M659" s="58"/>
    </row>
    <row r="660" spans="2:13" ht="12" x14ac:dyDescent="0.2">
      <c r="B660" s="55"/>
      <c r="C660" s="57"/>
      <c r="D660" s="57"/>
      <c r="E660" s="57"/>
      <c r="F660" s="57"/>
      <c r="I660" s="55"/>
      <c r="J660" s="57"/>
      <c r="K660" s="57"/>
      <c r="L660" s="57"/>
      <c r="M660" s="57"/>
    </row>
    <row r="661" spans="2:13" ht="12" x14ac:dyDescent="0.2">
      <c r="B661" s="56"/>
      <c r="C661" s="58"/>
      <c r="D661" s="58"/>
      <c r="E661" s="58"/>
      <c r="F661" s="58"/>
      <c r="I661" s="56"/>
      <c r="J661" s="58"/>
      <c r="K661" s="58"/>
      <c r="L661" s="58"/>
      <c r="M661" s="58"/>
    </row>
    <row r="662" spans="2:13" ht="12" x14ac:dyDescent="0.2">
      <c r="B662" s="55"/>
      <c r="C662" s="57"/>
      <c r="D662" s="57"/>
      <c r="E662" s="57"/>
      <c r="F662" s="57"/>
      <c r="I662" s="55"/>
      <c r="J662" s="57"/>
      <c r="K662" s="57"/>
      <c r="L662" s="57"/>
      <c r="M662" s="57"/>
    </row>
    <row r="663" spans="2:13" ht="12" x14ac:dyDescent="0.2">
      <c r="B663" s="56"/>
      <c r="C663" s="58"/>
      <c r="D663" s="58"/>
      <c r="E663" s="58"/>
      <c r="F663" s="58"/>
      <c r="I663" s="56"/>
      <c r="J663" s="58"/>
      <c r="K663" s="58"/>
      <c r="L663" s="58"/>
      <c r="M663" s="58"/>
    </row>
    <row r="664" spans="2:13" ht="12" x14ac:dyDescent="0.2">
      <c r="B664" s="55"/>
      <c r="C664" s="57"/>
      <c r="D664" s="57"/>
      <c r="E664" s="57"/>
      <c r="F664" s="57"/>
      <c r="I664" s="55"/>
      <c r="J664" s="57"/>
      <c r="K664" s="57"/>
      <c r="L664" s="57"/>
      <c r="M664" s="57"/>
    </row>
    <row r="665" spans="2:13" ht="12" x14ac:dyDescent="0.2">
      <c r="B665" s="56"/>
      <c r="C665" s="58"/>
      <c r="D665" s="58"/>
      <c r="E665" s="58"/>
      <c r="F665" s="58"/>
      <c r="I665" s="56"/>
      <c r="J665" s="58"/>
      <c r="K665" s="58"/>
      <c r="L665" s="58"/>
      <c r="M665" s="58"/>
    </row>
    <row r="666" spans="2:13" ht="12" x14ac:dyDescent="0.2">
      <c r="B666" s="55"/>
      <c r="C666" s="57"/>
      <c r="D666" s="57"/>
      <c r="E666" s="57"/>
      <c r="F666" s="57"/>
      <c r="I666" s="55"/>
      <c r="J666" s="57"/>
      <c r="K666" s="57"/>
      <c r="L666" s="57"/>
      <c r="M666" s="57"/>
    </row>
    <row r="667" spans="2:13" ht="12" x14ac:dyDescent="0.2">
      <c r="B667" s="56"/>
      <c r="C667" s="58"/>
      <c r="D667" s="58"/>
      <c r="E667" s="58"/>
      <c r="F667" s="58"/>
      <c r="I667" s="56"/>
      <c r="J667" s="58"/>
      <c r="K667" s="58"/>
      <c r="L667" s="58"/>
      <c r="M667" s="58"/>
    </row>
    <row r="668" spans="2:13" ht="12" x14ac:dyDescent="0.2">
      <c r="B668" s="55"/>
      <c r="C668" s="57"/>
      <c r="D668" s="57"/>
      <c r="E668" s="57"/>
      <c r="F668" s="57"/>
      <c r="I668" s="55"/>
      <c r="J668" s="57"/>
      <c r="K668" s="57"/>
      <c r="L668" s="57"/>
      <c r="M668" s="57"/>
    </row>
    <row r="669" spans="2:13" ht="12" x14ac:dyDescent="0.2">
      <c r="B669" s="56"/>
      <c r="C669" s="58"/>
      <c r="D669" s="58"/>
      <c r="E669" s="58"/>
      <c r="F669" s="58"/>
      <c r="I669" s="56"/>
      <c r="J669" s="58"/>
      <c r="K669" s="58"/>
      <c r="L669" s="58"/>
      <c r="M669" s="58"/>
    </row>
    <row r="670" spans="2:13" ht="12" x14ac:dyDescent="0.2">
      <c r="B670" s="55"/>
      <c r="C670" s="57"/>
      <c r="D670" s="57"/>
      <c r="E670" s="57"/>
      <c r="F670" s="57"/>
      <c r="I670" s="55"/>
      <c r="J670" s="57"/>
      <c r="K670" s="57"/>
      <c r="L670" s="57"/>
      <c r="M670" s="57"/>
    </row>
    <row r="671" spans="2:13" ht="12" x14ac:dyDescent="0.2">
      <c r="B671" s="56"/>
      <c r="C671" s="58"/>
      <c r="D671" s="58"/>
      <c r="E671" s="58"/>
      <c r="F671" s="58"/>
      <c r="I671" s="56"/>
      <c r="J671" s="58"/>
      <c r="K671" s="58"/>
      <c r="L671" s="58"/>
      <c r="M671" s="58"/>
    </row>
    <row r="672" spans="2:13" ht="12" x14ac:dyDescent="0.2">
      <c r="B672" s="55"/>
      <c r="C672" s="57"/>
      <c r="D672" s="57"/>
      <c r="E672" s="57"/>
      <c r="F672" s="57"/>
      <c r="I672" s="55"/>
      <c r="J672" s="57"/>
      <c r="K672" s="57"/>
      <c r="L672" s="57"/>
      <c r="M672" s="57"/>
    </row>
    <row r="673" spans="2:13" ht="12" x14ac:dyDescent="0.2">
      <c r="B673" s="56"/>
      <c r="C673" s="58"/>
      <c r="D673" s="58"/>
      <c r="E673" s="58"/>
      <c r="F673" s="58"/>
      <c r="I673" s="56"/>
      <c r="J673" s="58"/>
      <c r="K673" s="58"/>
      <c r="L673" s="58"/>
      <c r="M673" s="58"/>
    </row>
    <row r="674" spans="2:13" ht="12" x14ac:dyDescent="0.2">
      <c r="B674" s="55"/>
      <c r="C674" s="57"/>
      <c r="D674" s="57"/>
      <c r="E674" s="57"/>
      <c r="F674" s="57"/>
      <c r="I674" s="55"/>
      <c r="J674" s="57"/>
      <c r="K674" s="57"/>
      <c r="L674" s="57"/>
      <c r="M674" s="57"/>
    </row>
    <row r="675" spans="2:13" ht="12" x14ac:dyDescent="0.2">
      <c r="B675" s="56"/>
      <c r="C675" s="58"/>
      <c r="D675" s="58"/>
      <c r="E675" s="58"/>
      <c r="F675" s="58"/>
      <c r="I675" s="56"/>
      <c r="J675" s="58"/>
      <c r="K675" s="58"/>
      <c r="L675" s="58"/>
      <c r="M675" s="58"/>
    </row>
    <row r="676" spans="2:13" ht="12" x14ac:dyDescent="0.2">
      <c r="B676" s="55"/>
      <c r="C676" s="57"/>
      <c r="D676" s="57"/>
      <c r="E676" s="57"/>
      <c r="F676" s="57"/>
      <c r="I676" s="55"/>
      <c r="J676" s="57"/>
      <c r="K676" s="57"/>
      <c r="L676" s="57"/>
      <c r="M676" s="57"/>
    </row>
    <row r="677" spans="2:13" ht="12" x14ac:dyDescent="0.2">
      <c r="B677" s="56"/>
      <c r="C677" s="58"/>
      <c r="D677" s="58"/>
      <c r="E677" s="58"/>
      <c r="F677" s="58"/>
      <c r="I677" s="56"/>
      <c r="J677" s="58"/>
      <c r="K677" s="58"/>
      <c r="L677" s="58"/>
      <c r="M677" s="58"/>
    </row>
    <row r="678" spans="2:13" ht="12" x14ac:dyDescent="0.2">
      <c r="B678" s="55"/>
      <c r="C678" s="57"/>
      <c r="D678" s="57"/>
      <c r="E678" s="57"/>
      <c r="F678" s="57"/>
      <c r="I678" s="55"/>
      <c r="J678" s="57"/>
      <c r="K678" s="57"/>
      <c r="L678" s="57"/>
      <c r="M678" s="57"/>
    </row>
    <row r="679" spans="2:13" ht="12" x14ac:dyDescent="0.2">
      <c r="B679" s="56"/>
      <c r="C679" s="58"/>
      <c r="D679" s="58"/>
      <c r="E679" s="58"/>
      <c r="F679" s="58"/>
      <c r="I679" s="56"/>
      <c r="J679" s="58"/>
      <c r="K679" s="58"/>
      <c r="L679" s="58"/>
      <c r="M679" s="58"/>
    </row>
    <row r="680" spans="2:13" ht="12" x14ac:dyDescent="0.2">
      <c r="B680" s="55"/>
      <c r="C680" s="57"/>
      <c r="D680" s="57"/>
      <c r="E680" s="57"/>
      <c r="F680" s="57"/>
      <c r="I680" s="55"/>
      <c r="J680" s="57"/>
      <c r="K680" s="57"/>
      <c r="L680" s="57"/>
      <c r="M680" s="57"/>
    </row>
    <row r="681" spans="2:13" ht="12" x14ac:dyDescent="0.2">
      <c r="B681" s="56"/>
      <c r="C681" s="58"/>
      <c r="D681" s="58"/>
      <c r="E681" s="58"/>
      <c r="F681" s="58"/>
      <c r="I681" s="56"/>
      <c r="J681" s="58"/>
      <c r="K681" s="58"/>
      <c r="L681" s="58"/>
      <c r="M681" s="58"/>
    </row>
    <row r="682" spans="2:13" ht="12" x14ac:dyDescent="0.2">
      <c r="B682" s="55"/>
      <c r="C682" s="57"/>
      <c r="D682" s="57"/>
      <c r="E682" s="57"/>
      <c r="F682" s="57"/>
      <c r="I682" s="55"/>
      <c r="J682" s="57"/>
      <c r="K682" s="57"/>
      <c r="L682" s="57"/>
      <c r="M682" s="57"/>
    </row>
    <row r="683" spans="2:13" ht="12" x14ac:dyDescent="0.2">
      <c r="B683" s="56"/>
      <c r="C683" s="58"/>
      <c r="D683" s="58"/>
      <c r="E683" s="58"/>
      <c r="F683" s="58"/>
      <c r="I683" s="56"/>
      <c r="J683" s="58"/>
      <c r="K683" s="58"/>
      <c r="L683" s="58"/>
      <c r="M683" s="58"/>
    </row>
    <row r="684" spans="2:13" ht="12" x14ac:dyDescent="0.2">
      <c r="B684" s="55"/>
      <c r="C684" s="57"/>
      <c r="D684" s="57"/>
      <c r="E684" s="57"/>
      <c r="F684" s="57"/>
      <c r="I684" s="55"/>
      <c r="J684" s="57"/>
      <c r="K684" s="57"/>
      <c r="L684" s="57"/>
      <c r="M684" s="57"/>
    </row>
    <row r="685" spans="2:13" ht="12" x14ac:dyDescent="0.2">
      <c r="B685" s="56"/>
      <c r="C685" s="58"/>
      <c r="D685" s="58"/>
      <c r="E685" s="58"/>
      <c r="F685" s="58"/>
      <c r="I685" s="56"/>
      <c r="J685" s="58"/>
      <c r="K685" s="58"/>
      <c r="L685" s="58"/>
      <c r="M685" s="58"/>
    </row>
    <row r="686" spans="2:13" ht="12" x14ac:dyDescent="0.2">
      <c r="B686" s="55"/>
      <c r="C686" s="57"/>
      <c r="D686" s="57"/>
      <c r="E686" s="57"/>
      <c r="F686" s="57"/>
      <c r="I686" s="55"/>
      <c r="J686" s="57"/>
      <c r="K686" s="57"/>
      <c r="L686" s="57"/>
      <c r="M686" s="57"/>
    </row>
    <row r="687" spans="2:13" ht="12" x14ac:dyDescent="0.2">
      <c r="B687" s="56"/>
      <c r="C687" s="58"/>
      <c r="D687" s="58"/>
      <c r="E687" s="58"/>
      <c r="F687" s="58"/>
      <c r="I687" s="56"/>
      <c r="J687" s="58"/>
      <c r="K687" s="58"/>
      <c r="L687" s="58"/>
      <c r="M687" s="58"/>
    </row>
    <row r="688" spans="2:13" ht="12" x14ac:dyDescent="0.2">
      <c r="B688" s="55"/>
      <c r="C688" s="57"/>
      <c r="D688" s="57"/>
      <c r="E688" s="57"/>
      <c r="F688" s="57"/>
      <c r="I688" s="55"/>
      <c r="J688" s="57"/>
      <c r="K688" s="57"/>
      <c r="L688" s="57"/>
      <c r="M688" s="57"/>
    </row>
    <row r="689" spans="2:13" ht="12" x14ac:dyDescent="0.2">
      <c r="B689" s="56"/>
      <c r="C689" s="58"/>
      <c r="D689" s="58"/>
      <c r="E689" s="58"/>
      <c r="F689" s="58"/>
      <c r="I689" s="56"/>
      <c r="J689" s="58"/>
      <c r="K689" s="58"/>
      <c r="L689" s="58"/>
      <c r="M689" s="58"/>
    </row>
    <row r="690" spans="2:13" ht="12" x14ac:dyDescent="0.2">
      <c r="B690" s="55"/>
      <c r="C690" s="57"/>
      <c r="D690" s="57"/>
      <c r="E690" s="57"/>
      <c r="F690" s="57"/>
      <c r="I690" s="55"/>
      <c r="J690" s="57"/>
      <c r="K690" s="57"/>
      <c r="L690" s="57"/>
      <c r="M690" s="57"/>
    </row>
    <row r="691" spans="2:13" ht="12" x14ac:dyDescent="0.2">
      <c r="B691" s="56"/>
      <c r="C691" s="58"/>
      <c r="D691" s="58"/>
      <c r="E691" s="58"/>
      <c r="F691" s="58"/>
      <c r="I691" s="56"/>
      <c r="J691" s="58"/>
      <c r="K691" s="58"/>
      <c r="L691" s="58"/>
      <c r="M691" s="58"/>
    </row>
    <row r="692" spans="2:13" ht="12" x14ac:dyDescent="0.2">
      <c r="B692" s="55"/>
      <c r="C692" s="57"/>
      <c r="D692" s="57"/>
      <c r="E692" s="57"/>
      <c r="F692" s="57"/>
      <c r="I692" s="55"/>
      <c r="J692" s="57"/>
      <c r="K692" s="57"/>
      <c r="L692" s="57"/>
      <c r="M692" s="57"/>
    </row>
    <row r="693" spans="2:13" ht="12" x14ac:dyDescent="0.2">
      <c r="B693" s="56"/>
      <c r="C693" s="58"/>
      <c r="D693" s="58"/>
      <c r="E693" s="58"/>
      <c r="F693" s="58"/>
      <c r="I693" s="56"/>
      <c r="J693" s="58"/>
      <c r="K693" s="58"/>
      <c r="L693" s="58"/>
      <c r="M693" s="58"/>
    </row>
    <row r="694" spans="2:13" ht="12" x14ac:dyDescent="0.2">
      <c r="B694" s="55"/>
      <c r="C694" s="57"/>
      <c r="D694" s="57"/>
      <c r="E694" s="57"/>
      <c r="F694" s="57"/>
      <c r="I694" s="55"/>
      <c r="J694" s="57"/>
      <c r="K694" s="57"/>
      <c r="L694" s="57"/>
      <c r="M694" s="57"/>
    </row>
    <row r="695" spans="2:13" ht="12" x14ac:dyDescent="0.2">
      <c r="B695" s="56"/>
      <c r="C695" s="58"/>
      <c r="D695" s="58"/>
      <c r="E695" s="58"/>
      <c r="F695" s="58"/>
      <c r="I695" s="56"/>
      <c r="J695" s="58"/>
      <c r="K695" s="58"/>
      <c r="L695" s="58"/>
      <c r="M695" s="58"/>
    </row>
    <row r="696" spans="2:13" ht="12" x14ac:dyDescent="0.2">
      <c r="B696" s="55"/>
      <c r="C696" s="57"/>
      <c r="D696" s="57"/>
      <c r="E696" s="57"/>
      <c r="F696" s="57"/>
      <c r="I696" s="55"/>
      <c r="J696" s="57"/>
      <c r="K696" s="57"/>
      <c r="L696" s="57"/>
      <c r="M696" s="57"/>
    </row>
    <row r="697" spans="2:13" ht="12" x14ac:dyDescent="0.2">
      <c r="B697" s="56"/>
      <c r="C697" s="58"/>
      <c r="D697" s="58"/>
      <c r="E697" s="58"/>
      <c r="F697" s="58"/>
      <c r="I697" s="56"/>
      <c r="J697" s="58"/>
      <c r="K697" s="58"/>
      <c r="L697" s="58"/>
      <c r="M697" s="58"/>
    </row>
    <row r="698" spans="2:13" ht="12" x14ac:dyDescent="0.2">
      <c r="B698" s="55"/>
      <c r="C698" s="57"/>
      <c r="D698" s="57"/>
      <c r="E698" s="57"/>
      <c r="F698" s="57"/>
      <c r="I698" s="55"/>
      <c r="J698" s="57"/>
      <c r="K698" s="57"/>
      <c r="L698" s="57"/>
      <c r="M698" s="57"/>
    </row>
    <row r="699" spans="2:13" ht="12" x14ac:dyDescent="0.2">
      <c r="B699" s="56"/>
      <c r="C699" s="58"/>
      <c r="D699" s="58"/>
      <c r="E699" s="58"/>
      <c r="F699" s="58"/>
      <c r="I699" s="56"/>
      <c r="J699" s="58"/>
      <c r="K699" s="58"/>
      <c r="L699" s="58"/>
      <c r="M699" s="58"/>
    </row>
    <row r="700" spans="2:13" ht="12" x14ac:dyDescent="0.2">
      <c r="B700" s="55"/>
      <c r="C700" s="57"/>
      <c r="D700" s="57"/>
      <c r="E700" s="57"/>
      <c r="F700" s="57"/>
      <c r="I700" s="55"/>
      <c r="J700" s="57"/>
      <c r="K700" s="57"/>
      <c r="L700" s="57"/>
      <c r="M700" s="57"/>
    </row>
    <row r="701" spans="2:13" ht="12" x14ac:dyDescent="0.2">
      <c r="B701" s="56"/>
      <c r="C701" s="58"/>
      <c r="D701" s="58"/>
      <c r="E701" s="58"/>
      <c r="F701" s="58"/>
      <c r="I701" s="56"/>
      <c r="J701" s="58"/>
      <c r="K701" s="58"/>
      <c r="L701" s="58"/>
      <c r="M701" s="58"/>
    </row>
    <row r="702" spans="2:13" ht="12" x14ac:dyDescent="0.2">
      <c r="B702" s="55"/>
      <c r="C702" s="57"/>
      <c r="D702" s="57"/>
      <c r="E702" s="57"/>
      <c r="F702" s="57"/>
      <c r="I702" s="55"/>
      <c r="J702" s="57"/>
      <c r="K702" s="57"/>
      <c r="L702" s="57"/>
      <c r="M702" s="57"/>
    </row>
    <row r="703" spans="2:13" ht="12" x14ac:dyDescent="0.2">
      <c r="B703" s="56"/>
      <c r="C703" s="58"/>
      <c r="D703" s="58"/>
      <c r="E703" s="58"/>
      <c r="F703" s="58"/>
      <c r="I703" s="56"/>
      <c r="J703" s="58"/>
      <c r="K703" s="58"/>
      <c r="L703" s="58"/>
      <c r="M703" s="58"/>
    </row>
    <row r="704" spans="2:13" ht="12" x14ac:dyDescent="0.2">
      <c r="B704" s="55"/>
      <c r="C704" s="57"/>
      <c r="D704" s="57"/>
      <c r="E704" s="57"/>
      <c r="F704" s="57"/>
      <c r="I704" s="55"/>
      <c r="J704" s="57"/>
      <c r="K704" s="57"/>
      <c r="L704" s="57"/>
      <c r="M704" s="57"/>
    </row>
    <row r="705" spans="2:13" ht="12" x14ac:dyDescent="0.2">
      <c r="B705" s="56"/>
      <c r="C705" s="58"/>
      <c r="D705" s="58"/>
      <c r="E705" s="58"/>
      <c r="F705" s="58"/>
      <c r="I705" s="56"/>
      <c r="J705" s="58"/>
      <c r="K705" s="58"/>
      <c r="L705" s="58"/>
      <c r="M705" s="58"/>
    </row>
    <row r="706" spans="2:13" ht="12" x14ac:dyDescent="0.2">
      <c r="B706" s="55"/>
      <c r="C706" s="57"/>
      <c r="D706" s="57"/>
      <c r="E706" s="57"/>
      <c r="F706" s="57"/>
      <c r="I706" s="55"/>
      <c r="J706" s="57"/>
      <c r="K706" s="57"/>
      <c r="L706" s="57"/>
      <c r="M706" s="57"/>
    </row>
    <row r="707" spans="2:13" ht="12" x14ac:dyDescent="0.2">
      <c r="B707" s="56"/>
      <c r="C707" s="58"/>
      <c r="D707" s="58"/>
      <c r="E707" s="58"/>
      <c r="F707" s="58"/>
      <c r="I707" s="56"/>
      <c r="J707" s="58"/>
      <c r="K707" s="58"/>
      <c r="L707" s="58"/>
      <c r="M707" s="58"/>
    </row>
    <row r="708" spans="2:13" ht="12" x14ac:dyDescent="0.2">
      <c r="B708" s="55"/>
      <c r="C708" s="57"/>
      <c r="D708" s="57"/>
      <c r="E708" s="57"/>
      <c r="F708" s="57"/>
      <c r="I708" s="55"/>
      <c r="J708" s="57"/>
      <c r="K708" s="57"/>
      <c r="L708" s="57"/>
      <c r="M708" s="57"/>
    </row>
    <row r="709" spans="2:13" ht="12" x14ac:dyDescent="0.2">
      <c r="B709" s="56"/>
      <c r="C709" s="58"/>
      <c r="D709" s="58"/>
      <c r="E709" s="58"/>
      <c r="F709" s="58"/>
      <c r="I709" s="56"/>
      <c r="J709" s="58"/>
      <c r="K709" s="58"/>
      <c r="L709" s="58"/>
      <c r="M709" s="58"/>
    </row>
    <row r="710" spans="2:13" ht="12" x14ac:dyDescent="0.2">
      <c r="B710" s="55"/>
      <c r="C710" s="57"/>
      <c r="D710" s="57"/>
      <c r="E710" s="57"/>
      <c r="F710" s="57"/>
      <c r="I710" s="55"/>
      <c r="J710" s="57"/>
      <c r="K710" s="57"/>
      <c r="L710" s="57"/>
      <c r="M710" s="57"/>
    </row>
    <row r="711" spans="2:13" ht="12" x14ac:dyDescent="0.2">
      <c r="B711" s="56"/>
      <c r="C711" s="58"/>
      <c r="D711" s="58"/>
      <c r="E711" s="58"/>
      <c r="F711" s="58"/>
      <c r="I711" s="56"/>
      <c r="J711" s="58"/>
      <c r="K711" s="58"/>
      <c r="L711" s="58"/>
      <c r="M711" s="58"/>
    </row>
    <row r="712" spans="2:13" ht="12" x14ac:dyDescent="0.2">
      <c r="B712" s="55"/>
      <c r="C712" s="57"/>
      <c r="D712" s="57"/>
      <c r="E712" s="57"/>
      <c r="F712" s="57"/>
      <c r="I712" s="55"/>
      <c r="J712" s="57"/>
      <c r="K712" s="57"/>
      <c r="L712" s="57"/>
      <c r="M712" s="57"/>
    </row>
    <row r="713" spans="2:13" ht="12" x14ac:dyDescent="0.2">
      <c r="B713" s="56"/>
      <c r="C713" s="58"/>
      <c r="D713" s="58"/>
      <c r="E713" s="58"/>
      <c r="F713" s="58"/>
      <c r="I713" s="56"/>
      <c r="J713" s="58"/>
      <c r="K713" s="58"/>
      <c r="L713" s="58"/>
      <c r="M713" s="58"/>
    </row>
    <row r="714" spans="2:13" ht="12" x14ac:dyDescent="0.2">
      <c r="B714" s="55"/>
      <c r="C714" s="57"/>
      <c r="D714" s="57"/>
      <c r="E714" s="57"/>
      <c r="F714" s="57"/>
      <c r="I714" s="55"/>
      <c r="J714" s="57"/>
      <c r="K714" s="57"/>
      <c r="L714" s="57"/>
      <c r="M714" s="57"/>
    </row>
    <row r="715" spans="2:13" ht="12" x14ac:dyDescent="0.2">
      <c r="B715" s="56"/>
      <c r="C715" s="58"/>
      <c r="D715" s="58"/>
      <c r="E715" s="58"/>
      <c r="F715" s="58"/>
      <c r="I715" s="56"/>
      <c r="J715" s="58"/>
      <c r="K715" s="58"/>
      <c r="L715" s="58"/>
      <c r="M715" s="58"/>
    </row>
    <row r="716" spans="2:13" ht="12" x14ac:dyDescent="0.2">
      <c r="B716" s="55"/>
      <c r="C716" s="57"/>
      <c r="D716" s="57"/>
      <c r="E716" s="57"/>
      <c r="F716" s="57"/>
      <c r="I716" s="55"/>
      <c r="J716" s="57"/>
      <c r="K716" s="57"/>
      <c r="L716" s="57"/>
      <c r="M716" s="57"/>
    </row>
    <row r="717" spans="2:13" ht="12" x14ac:dyDescent="0.2">
      <c r="B717" s="56"/>
      <c r="C717" s="58"/>
      <c r="D717" s="58"/>
      <c r="E717" s="58"/>
      <c r="F717" s="58"/>
      <c r="I717" s="56"/>
      <c r="J717" s="58"/>
      <c r="K717" s="58"/>
      <c r="L717" s="58"/>
      <c r="M717" s="58"/>
    </row>
    <row r="718" spans="2:13" ht="12" x14ac:dyDescent="0.2">
      <c r="B718" s="55"/>
      <c r="C718" s="57"/>
      <c r="D718" s="57"/>
      <c r="E718" s="57"/>
      <c r="F718" s="57"/>
      <c r="I718" s="55"/>
      <c r="J718" s="57"/>
      <c r="K718" s="57"/>
      <c r="L718" s="57"/>
      <c r="M718" s="57"/>
    </row>
    <row r="719" spans="2:13" ht="12" x14ac:dyDescent="0.2">
      <c r="B719" s="56"/>
      <c r="C719" s="58"/>
      <c r="D719" s="58"/>
      <c r="E719" s="58"/>
      <c r="F719" s="58"/>
      <c r="I719" s="56"/>
      <c r="J719" s="58"/>
      <c r="K719" s="58"/>
      <c r="L719" s="58"/>
      <c r="M719" s="58"/>
    </row>
    <row r="720" spans="2:13" ht="12" x14ac:dyDescent="0.2">
      <c r="B720" s="55"/>
      <c r="C720" s="57"/>
      <c r="D720" s="57"/>
      <c r="E720" s="57"/>
      <c r="F720" s="57"/>
      <c r="I720" s="55"/>
      <c r="J720" s="57"/>
      <c r="K720" s="57"/>
      <c r="L720" s="57"/>
      <c r="M720" s="57"/>
    </row>
    <row r="721" spans="2:13" ht="12" x14ac:dyDescent="0.2">
      <c r="B721" s="56"/>
      <c r="C721" s="58"/>
      <c r="D721" s="58"/>
      <c r="E721" s="58"/>
      <c r="F721" s="58"/>
      <c r="I721" s="56"/>
      <c r="J721" s="58"/>
      <c r="K721" s="58"/>
      <c r="L721" s="58"/>
      <c r="M721" s="58"/>
    </row>
    <row r="722" spans="2:13" ht="12" x14ac:dyDescent="0.2">
      <c r="B722" s="55"/>
      <c r="C722" s="57"/>
      <c r="D722" s="57"/>
      <c r="E722" s="57"/>
      <c r="F722" s="57"/>
      <c r="I722" s="55"/>
      <c r="J722" s="57"/>
      <c r="K722" s="57"/>
      <c r="L722" s="57"/>
      <c r="M722" s="57"/>
    </row>
    <row r="723" spans="2:13" ht="12" x14ac:dyDescent="0.2">
      <c r="B723" s="56"/>
      <c r="C723" s="58"/>
      <c r="D723" s="58"/>
      <c r="E723" s="58"/>
      <c r="F723" s="58"/>
      <c r="I723" s="56"/>
      <c r="J723" s="58"/>
      <c r="K723" s="58"/>
      <c r="L723" s="58"/>
      <c r="M723" s="58"/>
    </row>
    <row r="724" spans="2:13" ht="12" x14ac:dyDescent="0.2">
      <c r="B724" s="55"/>
      <c r="C724" s="57"/>
      <c r="D724" s="57"/>
      <c r="E724" s="57"/>
      <c r="F724" s="57"/>
      <c r="I724" s="55"/>
      <c r="J724" s="57"/>
      <c r="K724" s="57"/>
      <c r="L724" s="57"/>
      <c r="M724" s="57"/>
    </row>
    <row r="725" spans="2:13" ht="12" x14ac:dyDescent="0.2">
      <c r="B725" s="56"/>
      <c r="C725" s="58"/>
      <c r="D725" s="58"/>
      <c r="E725" s="58"/>
      <c r="F725" s="58"/>
      <c r="I725" s="56"/>
      <c r="J725" s="58"/>
      <c r="K725" s="58"/>
      <c r="L725" s="58"/>
      <c r="M725" s="58"/>
    </row>
    <row r="726" spans="2:13" ht="12" x14ac:dyDescent="0.2">
      <c r="B726" s="55"/>
      <c r="C726" s="57"/>
      <c r="D726" s="57"/>
      <c r="E726" s="57"/>
      <c r="F726" s="57"/>
      <c r="I726" s="55"/>
      <c r="J726" s="57"/>
      <c r="K726" s="57"/>
      <c r="L726" s="57"/>
      <c r="M726" s="57"/>
    </row>
    <row r="727" spans="2:13" ht="12" x14ac:dyDescent="0.2">
      <c r="B727" s="56"/>
      <c r="C727" s="58"/>
      <c r="D727" s="58"/>
      <c r="E727" s="58"/>
      <c r="F727" s="58"/>
      <c r="I727" s="56"/>
      <c r="J727" s="58"/>
      <c r="K727" s="58"/>
      <c r="L727" s="58"/>
      <c r="M727" s="58"/>
    </row>
    <row r="728" spans="2:13" ht="12" x14ac:dyDescent="0.2">
      <c r="B728" s="55"/>
      <c r="C728" s="57"/>
      <c r="D728" s="57"/>
      <c r="E728" s="57"/>
      <c r="F728" s="57"/>
      <c r="I728" s="55"/>
      <c r="J728" s="57"/>
      <c r="K728" s="57"/>
      <c r="L728" s="57"/>
      <c r="M728" s="57"/>
    </row>
    <row r="729" spans="2:13" ht="12" x14ac:dyDescent="0.2">
      <c r="B729" s="56"/>
      <c r="C729" s="58"/>
      <c r="D729" s="58"/>
      <c r="E729" s="58"/>
      <c r="F729" s="58"/>
      <c r="I729" s="56"/>
      <c r="J729" s="58"/>
      <c r="K729" s="58"/>
      <c r="L729" s="58"/>
      <c r="M729" s="58"/>
    </row>
    <row r="730" spans="2:13" ht="12" x14ac:dyDescent="0.2">
      <c r="B730" s="55"/>
      <c r="C730" s="57"/>
      <c r="D730" s="57"/>
      <c r="E730" s="57"/>
      <c r="F730" s="57"/>
      <c r="I730" s="55"/>
      <c r="J730" s="57"/>
      <c r="K730" s="57"/>
      <c r="L730" s="57"/>
      <c r="M730" s="57"/>
    </row>
    <row r="731" spans="2:13" ht="12" x14ac:dyDescent="0.2">
      <c r="B731" s="56"/>
      <c r="C731" s="58"/>
      <c r="D731" s="58"/>
      <c r="E731" s="58"/>
      <c r="F731" s="58"/>
      <c r="I731" s="56"/>
      <c r="J731" s="58"/>
      <c r="K731" s="58"/>
      <c r="L731" s="58"/>
      <c r="M731" s="58"/>
    </row>
    <row r="732" spans="2:13" ht="12" x14ac:dyDescent="0.2">
      <c r="B732" s="55"/>
      <c r="C732" s="57"/>
      <c r="D732" s="57"/>
      <c r="E732" s="57"/>
      <c r="F732" s="57"/>
      <c r="I732" s="55"/>
      <c r="J732" s="57"/>
      <c r="K732" s="57"/>
      <c r="L732" s="57"/>
      <c r="M732" s="57"/>
    </row>
    <row r="733" spans="2:13" ht="12" x14ac:dyDescent="0.2">
      <c r="B733" s="56"/>
      <c r="C733" s="58"/>
      <c r="D733" s="58"/>
      <c r="E733" s="58"/>
      <c r="F733" s="58"/>
      <c r="I733" s="56"/>
      <c r="J733" s="58"/>
      <c r="K733" s="58"/>
      <c r="L733" s="58"/>
      <c r="M733" s="58"/>
    </row>
    <row r="734" spans="2:13" ht="12" x14ac:dyDescent="0.2">
      <c r="B734" s="55"/>
      <c r="C734" s="57"/>
      <c r="D734" s="57"/>
      <c r="E734" s="57"/>
      <c r="F734" s="57"/>
      <c r="I734" s="55"/>
      <c r="J734" s="57"/>
      <c r="K734" s="57"/>
      <c r="L734" s="57"/>
      <c r="M734" s="57"/>
    </row>
    <row r="735" spans="2:13" ht="12" x14ac:dyDescent="0.2">
      <c r="B735" s="56"/>
      <c r="C735" s="58"/>
      <c r="D735" s="58"/>
      <c r="E735" s="58"/>
      <c r="F735" s="58"/>
      <c r="I735" s="56"/>
      <c r="J735" s="58"/>
      <c r="K735" s="58"/>
      <c r="L735" s="58"/>
      <c r="M735" s="58"/>
    </row>
    <row r="736" spans="2:13" ht="12" x14ac:dyDescent="0.2">
      <c r="B736" s="55"/>
      <c r="C736" s="57"/>
      <c r="D736" s="57"/>
      <c r="E736" s="57"/>
      <c r="F736" s="57"/>
      <c r="I736" s="55"/>
      <c r="J736" s="57"/>
      <c r="K736" s="57"/>
      <c r="L736" s="57"/>
      <c r="M736" s="57"/>
    </row>
    <row r="737" spans="2:13" ht="12" x14ac:dyDescent="0.2">
      <c r="B737" s="56"/>
      <c r="C737" s="58"/>
      <c r="D737" s="58"/>
      <c r="E737" s="58"/>
      <c r="F737" s="58"/>
      <c r="I737" s="56"/>
      <c r="J737" s="58"/>
      <c r="K737" s="58"/>
      <c r="L737" s="58"/>
      <c r="M737" s="58"/>
    </row>
    <row r="738" spans="2:13" ht="12" x14ac:dyDescent="0.2">
      <c r="B738" s="55"/>
      <c r="C738" s="57"/>
      <c r="D738" s="57"/>
      <c r="E738" s="57"/>
      <c r="F738" s="57"/>
      <c r="I738" s="55"/>
      <c r="J738" s="57"/>
      <c r="K738" s="57"/>
      <c r="L738" s="57"/>
      <c r="M738" s="57"/>
    </row>
    <row r="739" spans="2:13" ht="12" x14ac:dyDescent="0.2">
      <c r="B739" s="56"/>
      <c r="C739" s="58"/>
      <c r="D739" s="58"/>
      <c r="E739" s="58"/>
      <c r="F739" s="58"/>
      <c r="I739" s="56"/>
      <c r="J739" s="58"/>
      <c r="K739" s="58"/>
      <c r="L739" s="58"/>
      <c r="M739" s="58"/>
    </row>
    <row r="740" spans="2:13" ht="12" x14ac:dyDescent="0.2">
      <c r="B740" s="55"/>
      <c r="C740" s="57"/>
      <c r="D740" s="57"/>
      <c r="E740" s="57"/>
      <c r="F740" s="57"/>
      <c r="I740" s="55"/>
      <c r="J740" s="57"/>
      <c r="K740" s="57"/>
      <c r="L740" s="57"/>
      <c r="M740" s="57"/>
    </row>
    <row r="741" spans="2:13" ht="12" x14ac:dyDescent="0.2">
      <c r="B741" s="56"/>
      <c r="C741" s="58"/>
      <c r="D741" s="58"/>
      <c r="E741" s="58"/>
      <c r="F741" s="58"/>
      <c r="I741" s="56"/>
      <c r="J741" s="58"/>
      <c r="K741" s="58"/>
      <c r="L741" s="58"/>
      <c r="M741" s="58"/>
    </row>
    <row r="742" spans="2:13" ht="12" x14ac:dyDescent="0.2">
      <c r="B742" s="55"/>
      <c r="C742" s="57"/>
      <c r="D742" s="57"/>
      <c r="E742" s="57"/>
      <c r="F742" s="57"/>
      <c r="I742" s="55"/>
      <c r="J742" s="57"/>
      <c r="K742" s="57"/>
      <c r="L742" s="57"/>
      <c r="M742" s="57"/>
    </row>
    <row r="743" spans="2:13" ht="12" x14ac:dyDescent="0.2">
      <c r="B743" s="56"/>
      <c r="C743" s="58"/>
      <c r="D743" s="58"/>
      <c r="E743" s="58"/>
      <c r="F743" s="58"/>
      <c r="I743" s="56"/>
      <c r="J743" s="58"/>
      <c r="K743" s="58"/>
      <c r="L743" s="58"/>
      <c r="M743" s="58"/>
    </row>
    <row r="744" spans="2:13" ht="12" x14ac:dyDescent="0.2">
      <c r="B744" s="55"/>
      <c r="C744" s="57"/>
      <c r="D744" s="57"/>
      <c r="E744" s="57"/>
      <c r="F744" s="57"/>
      <c r="I744" s="55"/>
      <c r="J744" s="57"/>
      <c r="K744" s="57"/>
      <c r="L744" s="57"/>
      <c r="M744" s="57"/>
    </row>
    <row r="745" spans="2:13" ht="12" x14ac:dyDescent="0.2">
      <c r="B745" s="56"/>
      <c r="C745" s="58"/>
      <c r="D745" s="58"/>
      <c r="E745" s="58"/>
      <c r="F745" s="58"/>
      <c r="I745" s="56"/>
      <c r="J745" s="58"/>
      <c r="K745" s="58"/>
      <c r="L745" s="58"/>
      <c r="M745" s="58"/>
    </row>
    <row r="746" spans="2:13" ht="12" x14ac:dyDescent="0.2">
      <c r="B746" s="55"/>
      <c r="C746" s="57"/>
      <c r="D746" s="57"/>
      <c r="E746" s="57"/>
      <c r="F746" s="57"/>
      <c r="I746" s="55"/>
      <c r="J746" s="57"/>
      <c r="K746" s="57"/>
      <c r="L746" s="57"/>
      <c r="M746" s="57"/>
    </row>
    <row r="747" spans="2:13" ht="12" x14ac:dyDescent="0.2">
      <c r="B747" s="56"/>
      <c r="C747" s="58"/>
      <c r="D747" s="58"/>
      <c r="E747" s="58"/>
      <c r="F747" s="58"/>
      <c r="I747" s="56"/>
      <c r="J747" s="58"/>
      <c r="K747" s="58"/>
      <c r="L747" s="58"/>
      <c r="M747" s="58"/>
    </row>
    <row r="748" spans="2:13" ht="12" x14ac:dyDescent="0.2">
      <c r="B748" s="55"/>
      <c r="C748" s="57"/>
      <c r="D748" s="57"/>
      <c r="E748" s="57"/>
      <c r="F748" s="57"/>
      <c r="I748" s="55"/>
      <c r="J748" s="57"/>
      <c r="K748" s="57"/>
      <c r="L748" s="57"/>
      <c r="M748" s="57"/>
    </row>
    <row r="749" spans="2:13" ht="12" x14ac:dyDescent="0.2">
      <c r="B749" s="56"/>
      <c r="C749" s="58"/>
      <c r="D749" s="58"/>
      <c r="E749" s="58"/>
      <c r="F749" s="58"/>
      <c r="I749" s="56"/>
      <c r="J749" s="58"/>
      <c r="K749" s="58"/>
      <c r="L749" s="58"/>
      <c r="M749" s="58"/>
    </row>
    <row r="750" spans="2:13" ht="12" x14ac:dyDescent="0.2">
      <c r="B750" s="55"/>
      <c r="C750" s="57"/>
      <c r="D750" s="57"/>
      <c r="E750" s="57"/>
      <c r="F750" s="57"/>
      <c r="I750" s="55"/>
      <c r="J750" s="57"/>
      <c r="K750" s="57"/>
      <c r="L750" s="57"/>
      <c r="M750" s="57"/>
    </row>
    <row r="751" spans="2:13" ht="12" x14ac:dyDescent="0.2">
      <c r="B751" s="56"/>
      <c r="C751" s="58"/>
      <c r="D751" s="58"/>
      <c r="E751" s="58"/>
      <c r="F751" s="58"/>
      <c r="I751" s="56"/>
      <c r="J751" s="58"/>
      <c r="K751" s="58"/>
      <c r="L751" s="58"/>
      <c r="M751" s="58"/>
    </row>
    <row r="752" spans="2:13" ht="12" x14ac:dyDescent="0.2">
      <c r="B752" s="55"/>
      <c r="C752" s="57"/>
      <c r="D752" s="57"/>
      <c r="E752" s="57"/>
      <c r="F752" s="57"/>
      <c r="I752" s="55"/>
      <c r="J752" s="57"/>
      <c r="K752" s="57"/>
      <c r="L752" s="57"/>
      <c r="M752" s="57"/>
    </row>
    <row r="753" spans="2:13" ht="12" x14ac:dyDescent="0.2">
      <c r="B753" s="56"/>
      <c r="C753" s="58"/>
      <c r="D753" s="58"/>
      <c r="E753" s="58"/>
      <c r="F753" s="58"/>
      <c r="I753" s="56"/>
      <c r="J753" s="58"/>
      <c r="K753" s="58"/>
      <c r="L753" s="58"/>
      <c r="M753" s="58"/>
    </row>
    <row r="754" spans="2:13" ht="12" x14ac:dyDescent="0.2">
      <c r="B754" s="55"/>
      <c r="C754" s="57"/>
      <c r="D754" s="57"/>
      <c r="E754" s="57"/>
      <c r="F754" s="57"/>
      <c r="I754" s="55"/>
      <c r="J754" s="57"/>
      <c r="K754" s="57"/>
      <c r="L754" s="57"/>
      <c r="M754" s="57"/>
    </row>
    <row r="755" spans="2:13" ht="12" x14ac:dyDescent="0.2">
      <c r="B755" s="56"/>
      <c r="C755" s="58"/>
      <c r="D755" s="58"/>
      <c r="E755" s="58"/>
      <c r="F755" s="58"/>
      <c r="I755" s="56"/>
      <c r="J755" s="58"/>
      <c r="K755" s="58"/>
      <c r="L755" s="58"/>
      <c r="M755" s="58"/>
    </row>
    <row r="756" spans="2:13" ht="12" x14ac:dyDescent="0.2">
      <c r="B756" s="55"/>
      <c r="C756" s="57"/>
      <c r="D756" s="57"/>
      <c r="E756" s="57"/>
      <c r="F756" s="57"/>
      <c r="I756" s="55"/>
      <c r="J756" s="57"/>
      <c r="K756" s="57"/>
      <c r="L756" s="57"/>
      <c r="M756" s="57"/>
    </row>
    <row r="757" spans="2:13" ht="12" x14ac:dyDescent="0.2">
      <c r="B757" s="56"/>
      <c r="C757" s="58"/>
      <c r="D757" s="58"/>
      <c r="E757" s="58"/>
      <c r="F757" s="58"/>
      <c r="I757" s="56"/>
      <c r="J757" s="58"/>
      <c r="K757" s="58"/>
      <c r="L757" s="58"/>
      <c r="M757" s="58"/>
    </row>
    <row r="758" spans="2:13" ht="12" x14ac:dyDescent="0.2">
      <c r="B758" s="55"/>
      <c r="C758" s="57"/>
      <c r="D758" s="57"/>
      <c r="E758" s="57"/>
      <c r="F758" s="57"/>
      <c r="I758" s="55"/>
      <c r="J758" s="57"/>
      <c r="K758" s="57"/>
      <c r="L758" s="57"/>
      <c r="M758" s="57"/>
    </row>
    <row r="759" spans="2:13" ht="12" x14ac:dyDescent="0.2">
      <c r="B759" s="56"/>
      <c r="C759" s="58"/>
      <c r="D759" s="58"/>
      <c r="E759" s="58"/>
      <c r="F759" s="58"/>
      <c r="I759" s="56"/>
      <c r="J759" s="58"/>
      <c r="K759" s="58"/>
      <c r="L759" s="58"/>
      <c r="M759" s="58"/>
    </row>
    <row r="760" spans="2:13" ht="12" x14ac:dyDescent="0.2">
      <c r="B760" s="55"/>
      <c r="C760" s="57"/>
      <c r="D760" s="57"/>
      <c r="E760" s="57"/>
      <c r="F760" s="57"/>
      <c r="I760" s="55"/>
      <c r="J760" s="57"/>
      <c r="K760" s="57"/>
      <c r="L760" s="57"/>
      <c r="M760" s="57"/>
    </row>
    <row r="761" spans="2:13" ht="12" x14ac:dyDescent="0.2">
      <c r="B761" s="56"/>
      <c r="C761" s="58"/>
      <c r="D761" s="58"/>
      <c r="E761" s="58"/>
      <c r="F761" s="58"/>
      <c r="I761" s="56"/>
      <c r="J761" s="58"/>
      <c r="K761" s="58"/>
      <c r="L761" s="58"/>
      <c r="M761" s="58"/>
    </row>
    <row r="762" spans="2:13" ht="12" x14ac:dyDescent="0.2">
      <c r="B762" s="55"/>
      <c r="C762" s="57"/>
      <c r="D762" s="57"/>
      <c r="E762" s="57"/>
      <c r="F762" s="57"/>
      <c r="I762" s="55"/>
      <c r="J762" s="57"/>
      <c r="K762" s="57"/>
      <c r="L762" s="57"/>
      <c r="M762" s="57"/>
    </row>
    <row r="763" spans="2:13" ht="12" x14ac:dyDescent="0.2">
      <c r="B763" s="56"/>
      <c r="C763" s="58"/>
      <c r="D763" s="58"/>
      <c r="E763" s="58"/>
      <c r="F763" s="58"/>
      <c r="I763" s="56"/>
      <c r="J763" s="58"/>
      <c r="K763" s="58"/>
      <c r="L763" s="58"/>
      <c r="M763" s="58"/>
    </row>
    <row r="764" spans="2:13" ht="12" x14ac:dyDescent="0.2">
      <c r="B764" s="55"/>
      <c r="C764" s="57"/>
      <c r="D764" s="57"/>
      <c r="E764" s="57"/>
      <c r="F764" s="57"/>
      <c r="I764" s="55"/>
      <c r="J764" s="57"/>
      <c r="K764" s="57"/>
      <c r="L764" s="57"/>
      <c r="M764" s="57"/>
    </row>
    <row r="765" spans="2:13" ht="12" x14ac:dyDescent="0.2">
      <c r="B765" s="56"/>
      <c r="C765" s="58"/>
      <c r="D765" s="58"/>
      <c r="E765" s="58"/>
      <c r="F765" s="58"/>
      <c r="I765" s="56"/>
      <c r="J765" s="58"/>
      <c r="K765" s="58"/>
      <c r="L765" s="58"/>
      <c r="M765" s="58"/>
    </row>
    <row r="766" spans="2:13" ht="12" x14ac:dyDescent="0.2">
      <c r="B766" s="55"/>
      <c r="C766" s="57"/>
      <c r="D766" s="57"/>
      <c r="E766" s="57"/>
      <c r="F766" s="57"/>
      <c r="I766" s="55"/>
      <c r="J766" s="57"/>
      <c r="K766" s="57"/>
      <c r="L766" s="57"/>
      <c r="M766" s="57"/>
    </row>
    <row r="767" spans="2:13" ht="12" x14ac:dyDescent="0.2">
      <c r="B767" s="56"/>
      <c r="C767" s="58"/>
      <c r="D767" s="58"/>
      <c r="E767" s="58"/>
      <c r="F767" s="58"/>
      <c r="I767" s="56"/>
      <c r="J767" s="58"/>
      <c r="K767" s="58"/>
      <c r="L767" s="58"/>
      <c r="M767" s="58"/>
    </row>
    <row r="768" spans="2:13" ht="12" x14ac:dyDescent="0.2">
      <c r="B768" s="55"/>
      <c r="C768" s="57"/>
      <c r="D768" s="57"/>
      <c r="E768" s="57"/>
      <c r="F768" s="57"/>
      <c r="I768" s="55"/>
      <c r="J768" s="57"/>
      <c r="K768" s="57"/>
      <c r="L768" s="57"/>
      <c r="M768" s="57"/>
    </row>
    <row r="769" spans="2:13" ht="12" x14ac:dyDescent="0.2">
      <c r="B769" s="56"/>
      <c r="C769" s="58"/>
      <c r="D769" s="58"/>
      <c r="E769" s="58"/>
      <c r="F769" s="58"/>
      <c r="I769" s="56"/>
      <c r="J769" s="58"/>
      <c r="K769" s="58"/>
      <c r="L769" s="58"/>
      <c r="M769" s="58"/>
    </row>
    <row r="770" spans="2:13" ht="12" x14ac:dyDescent="0.2">
      <c r="B770" s="55"/>
      <c r="C770" s="57"/>
      <c r="D770" s="57"/>
      <c r="E770" s="57"/>
      <c r="F770" s="57"/>
      <c r="I770" s="55"/>
      <c r="J770" s="57"/>
      <c r="K770" s="57"/>
      <c r="L770" s="57"/>
      <c r="M770" s="57"/>
    </row>
    <row r="771" spans="2:13" ht="12" x14ac:dyDescent="0.2">
      <c r="B771" s="56"/>
      <c r="C771" s="58"/>
      <c r="D771" s="58"/>
      <c r="E771" s="58"/>
      <c r="F771" s="58"/>
      <c r="I771" s="56"/>
      <c r="J771" s="58"/>
      <c r="K771" s="58"/>
      <c r="L771" s="58"/>
      <c r="M771" s="58"/>
    </row>
    <row r="772" spans="2:13" ht="12" x14ac:dyDescent="0.2">
      <c r="B772" s="55"/>
      <c r="C772" s="57"/>
      <c r="D772" s="57"/>
      <c r="E772" s="57"/>
      <c r="F772" s="57"/>
      <c r="I772" s="55"/>
      <c r="J772" s="57"/>
      <c r="K772" s="57"/>
      <c r="L772" s="57"/>
      <c r="M772" s="57"/>
    </row>
    <row r="773" spans="2:13" ht="12" x14ac:dyDescent="0.2">
      <c r="B773" s="56"/>
      <c r="C773" s="58"/>
      <c r="D773" s="58"/>
      <c r="E773" s="58"/>
      <c r="F773" s="58"/>
      <c r="I773" s="56"/>
      <c r="J773" s="58"/>
      <c r="K773" s="58"/>
      <c r="L773" s="58"/>
      <c r="M773" s="58"/>
    </row>
    <row r="774" spans="2:13" ht="12" x14ac:dyDescent="0.2">
      <c r="B774" s="55"/>
      <c r="C774" s="57"/>
      <c r="D774" s="57"/>
      <c r="E774" s="57"/>
      <c r="F774" s="57"/>
      <c r="I774" s="55"/>
      <c r="J774" s="57"/>
      <c r="K774" s="57"/>
      <c r="L774" s="57"/>
      <c r="M774" s="57"/>
    </row>
    <row r="775" spans="2:13" ht="12" x14ac:dyDescent="0.2">
      <c r="B775" s="56"/>
      <c r="C775" s="58"/>
      <c r="D775" s="58"/>
      <c r="E775" s="58"/>
      <c r="F775" s="58"/>
      <c r="I775" s="56"/>
      <c r="J775" s="58"/>
      <c r="K775" s="58"/>
      <c r="L775" s="58"/>
      <c r="M775" s="58"/>
    </row>
    <row r="776" spans="2:13" ht="12" x14ac:dyDescent="0.2">
      <c r="B776" s="55"/>
      <c r="C776" s="57"/>
      <c r="D776" s="57"/>
      <c r="E776" s="57"/>
      <c r="F776" s="57"/>
      <c r="I776" s="55"/>
      <c r="J776" s="57"/>
      <c r="K776" s="57"/>
      <c r="L776" s="57"/>
      <c r="M776" s="57"/>
    </row>
    <row r="777" spans="2:13" ht="12" x14ac:dyDescent="0.2">
      <c r="B777" s="56"/>
      <c r="C777" s="58"/>
      <c r="D777" s="58"/>
      <c r="E777" s="58"/>
      <c r="F777" s="58"/>
      <c r="I777" s="56"/>
      <c r="J777" s="58"/>
      <c r="K777" s="58"/>
      <c r="L777" s="58"/>
      <c r="M777" s="58"/>
    </row>
    <row r="778" spans="2:13" ht="12" x14ac:dyDescent="0.2">
      <c r="B778" s="55"/>
      <c r="C778" s="57"/>
      <c r="D778" s="57"/>
      <c r="E778" s="57"/>
      <c r="F778" s="57"/>
      <c r="I778" s="55"/>
      <c r="J778" s="57"/>
      <c r="K778" s="57"/>
      <c r="L778" s="57"/>
      <c r="M778" s="57"/>
    </row>
    <row r="779" spans="2:13" ht="12" x14ac:dyDescent="0.2">
      <c r="B779" s="56"/>
      <c r="C779" s="58"/>
      <c r="D779" s="58"/>
      <c r="E779" s="58"/>
      <c r="F779" s="58"/>
      <c r="I779" s="56"/>
      <c r="J779" s="58"/>
      <c r="K779" s="58"/>
      <c r="L779" s="58"/>
      <c r="M779" s="58"/>
    </row>
    <row r="780" spans="2:13" ht="12" x14ac:dyDescent="0.2">
      <c r="B780" s="55"/>
      <c r="C780" s="57"/>
      <c r="D780" s="57"/>
      <c r="E780" s="57"/>
      <c r="F780" s="57"/>
      <c r="I780" s="55"/>
      <c r="J780" s="57"/>
      <c r="K780" s="57"/>
      <c r="L780" s="57"/>
      <c r="M780" s="57"/>
    </row>
    <row r="781" spans="2:13" ht="12" x14ac:dyDescent="0.2">
      <c r="B781" s="56"/>
      <c r="C781" s="58"/>
      <c r="D781" s="58"/>
      <c r="E781" s="58"/>
      <c r="F781" s="58"/>
      <c r="I781" s="56"/>
      <c r="J781" s="58"/>
      <c r="K781" s="58"/>
      <c r="L781" s="58"/>
      <c r="M781" s="58"/>
    </row>
    <row r="782" spans="2:13" ht="12" x14ac:dyDescent="0.2">
      <c r="B782" s="55"/>
      <c r="C782" s="57"/>
      <c r="D782" s="57"/>
      <c r="E782" s="57"/>
      <c r="F782" s="57"/>
      <c r="I782" s="55"/>
      <c r="J782" s="57"/>
      <c r="K782" s="57"/>
      <c r="L782" s="57"/>
      <c r="M782" s="57"/>
    </row>
    <row r="783" spans="2:13" ht="12" x14ac:dyDescent="0.2">
      <c r="B783" s="56"/>
      <c r="C783" s="58"/>
      <c r="D783" s="58"/>
      <c r="E783" s="58"/>
      <c r="F783" s="58"/>
      <c r="I783" s="56"/>
      <c r="J783" s="58"/>
      <c r="K783" s="58"/>
      <c r="L783" s="58"/>
      <c r="M783" s="58"/>
    </row>
    <row r="784" spans="2:13" ht="12" x14ac:dyDescent="0.2">
      <c r="B784" s="55"/>
      <c r="C784" s="57"/>
      <c r="D784" s="57"/>
      <c r="E784" s="57"/>
      <c r="F784" s="57"/>
      <c r="I784" s="55"/>
      <c r="J784" s="57"/>
      <c r="K784" s="57"/>
      <c r="L784" s="57"/>
      <c r="M784" s="57"/>
    </row>
    <row r="785" spans="2:13" ht="12" x14ac:dyDescent="0.2">
      <c r="B785" s="56"/>
      <c r="C785" s="58"/>
      <c r="D785" s="58"/>
      <c r="E785" s="58"/>
      <c r="F785" s="58"/>
      <c r="I785" s="56"/>
      <c r="J785" s="58"/>
      <c r="K785" s="58"/>
      <c r="L785" s="58"/>
      <c r="M785" s="58"/>
    </row>
    <row r="786" spans="2:13" ht="12" x14ac:dyDescent="0.2">
      <c r="B786" s="55"/>
      <c r="C786" s="57"/>
      <c r="D786" s="57"/>
      <c r="E786" s="57"/>
      <c r="F786" s="57"/>
      <c r="I786" s="55"/>
      <c r="J786" s="57"/>
      <c r="K786" s="57"/>
      <c r="L786" s="57"/>
      <c r="M786" s="57"/>
    </row>
    <row r="787" spans="2:13" ht="12" x14ac:dyDescent="0.2">
      <c r="B787" s="56"/>
      <c r="C787" s="58"/>
      <c r="D787" s="58"/>
      <c r="E787" s="58"/>
      <c r="F787" s="58"/>
      <c r="I787" s="56"/>
      <c r="J787" s="58"/>
      <c r="K787" s="58"/>
      <c r="L787" s="58"/>
      <c r="M787" s="58"/>
    </row>
    <row r="788" spans="2:13" ht="12" x14ac:dyDescent="0.2">
      <c r="B788" s="55"/>
      <c r="C788" s="57"/>
      <c r="D788" s="57"/>
      <c r="E788" s="57"/>
      <c r="F788" s="57"/>
      <c r="I788" s="55"/>
      <c r="J788" s="57"/>
      <c r="K788" s="57"/>
      <c r="L788" s="57"/>
      <c r="M788" s="57"/>
    </row>
    <row r="789" spans="2:13" ht="12" x14ac:dyDescent="0.2">
      <c r="B789" s="56"/>
      <c r="C789" s="58"/>
      <c r="D789" s="58"/>
      <c r="E789" s="58"/>
      <c r="F789" s="58"/>
      <c r="I789" s="56"/>
      <c r="J789" s="58"/>
      <c r="K789" s="58"/>
      <c r="L789" s="58"/>
      <c r="M789" s="58"/>
    </row>
    <row r="790" spans="2:13" ht="12" x14ac:dyDescent="0.2">
      <c r="B790" s="55"/>
      <c r="C790" s="57"/>
      <c r="D790" s="57"/>
      <c r="E790" s="57"/>
      <c r="F790" s="57"/>
      <c r="I790" s="55"/>
      <c r="J790" s="57"/>
      <c r="K790" s="57"/>
      <c r="L790" s="57"/>
      <c r="M790" s="57"/>
    </row>
    <row r="791" spans="2:13" ht="12" x14ac:dyDescent="0.2">
      <c r="B791" s="56"/>
      <c r="C791" s="58"/>
      <c r="D791" s="58"/>
      <c r="E791" s="58"/>
      <c r="F791" s="58"/>
      <c r="I791" s="56"/>
      <c r="J791" s="58"/>
      <c r="K791" s="58"/>
      <c r="L791" s="58"/>
      <c r="M791" s="58"/>
    </row>
    <row r="792" spans="2:13" ht="12" x14ac:dyDescent="0.2">
      <c r="B792" s="55"/>
      <c r="C792" s="57"/>
      <c r="D792" s="57"/>
      <c r="E792" s="57"/>
      <c r="F792" s="57"/>
      <c r="I792" s="55"/>
      <c r="J792" s="57"/>
      <c r="K792" s="57"/>
      <c r="L792" s="57"/>
      <c r="M792" s="57"/>
    </row>
    <row r="793" spans="2:13" ht="12" x14ac:dyDescent="0.2">
      <c r="B793" s="56"/>
      <c r="C793" s="58"/>
      <c r="D793" s="58"/>
      <c r="E793" s="58"/>
      <c r="F793" s="58"/>
      <c r="I793" s="56"/>
      <c r="J793" s="58"/>
      <c r="K793" s="58"/>
      <c r="L793" s="58"/>
      <c r="M793" s="58"/>
    </row>
    <row r="794" spans="2:13" ht="12" x14ac:dyDescent="0.2">
      <c r="B794" s="55"/>
      <c r="C794" s="57"/>
      <c r="D794" s="57"/>
      <c r="E794" s="57"/>
      <c r="F794" s="57"/>
      <c r="I794" s="55"/>
      <c r="J794" s="57"/>
      <c r="K794" s="57"/>
      <c r="L794" s="57"/>
      <c r="M794" s="57"/>
    </row>
    <row r="795" spans="2:13" ht="12" x14ac:dyDescent="0.2">
      <c r="B795" s="56"/>
      <c r="C795" s="58"/>
      <c r="D795" s="58"/>
      <c r="E795" s="58"/>
      <c r="F795" s="58"/>
      <c r="I795" s="56"/>
      <c r="J795" s="58"/>
      <c r="K795" s="58"/>
      <c r="L795" s="58"/>
      <c r="M795" s="58"/>
    </row>
    <row r="796" spans="2:13" ht="12" x14ac:dyDescent="0.2">
      <c r="B796" s="55"/>
      <c r="C796" s="57"/>
      <c r="D796" s="57"/>
      <c r="E796" s="57"/>
      <c r="F796" s="57"/>
      <c r="I796" s="55"/>
      <c r="J796" s="57"/>
      <c r="K796" s="57"/>
      <c r="L796" s="57"/>
      <c r="M796" s="57"/>
    </row>
    <row r="797" spans="2:13" ht="12" x14ac:dyDescent="0.2">
      <c r="B797" s="56"/>
      <c r="C797" s="58"/>
      <c r="D797" s="58"/>
      <c r="E797" s="58"/>
      <c r="F797" s="58"/>
      <c r="I797" s="56"/>
      <c r="J797" s="58"/>
      <c r="K797" s="58"/>
      <c r="L797" s="58"/>
      <c r="M797" s="58"/>
    </row>
    <row r="798" spans="2:13" ht="12" x14ac:dyDescent="0.2">
      <c r="B798" s="55"/>
      <c r="C798" s="57"/>
      <c r="D798" s="57"/>
      <c r="E798" s="57"/>
      <c r="F798" s="57"/>
      <c r="I798" s="55"/>
      <c r="J798" s="57"/>
      <c r="K798" s="57"/>
      <c r="L798" s="57"/>
      <c r="M798" s="57"/>
    </row>
    <row r="799" spans="2:13" ht="12" x14ac:dyDescent="0.2">
      <c r="B799" s="56"/>
      <c r="C799" s="58"/>
      <c r="D799" s="58"/>
      <c r="E799" s="58"/>
      <c r="F799" s="58"/>
      <c r="I799" s="56"/>
      <c r="J799" s="58"/>
      <c r="K799" s="58"/>
      <c r="L799" s="58"/>
      <c r="M799" s="58"/>
    </row>
    <row r="800" spans="2:13" ht="12" x14ac:dyDescent="0.2">
      <c r="B800" s="55"/>
      <c r="C800" s="57"/>
      <c r="D800" s="57"/>
      <c r="E800" s="57"/>
      <c r="F800" s="57"/>
      <c r="I800" s="55"/>
      <c r="J800" s="57"/>
      <c r="K800" s="57"/>
      <c r="L800" s="57"/>
      <c r="M800" s="57"/>
    </row>
    <row r="801" spans="2:13" ht="12" x14ac:dyDescent="0.2">
      <c r="B801" s="56"/>
      <c r="C801" s="58"/>
      <c r="D801" s="58"/>
      <c r="E801" s="58"/>
      <c r="F801" s="58"/>
      <c r="I801" s="56"/>
      <c r="J801" s="58"/>
      <c r="K801" s="58"/>
      <c r="L801" s="58"/>
      <c r="M801" s="58"/>
    </row>
    <row r="802" spans="2:13" ht="12" x14ac:dyDescent="0.2">
      <c r="B802" s="55"/>
      <c r="C802" s="57"/>
      <c r="D802" s="57"/>
      <c r="E802" s="57"/>
      <c r="F802" s="57"/>
      <c r="I802" s="55"/>
      <c r="J802" s="57"/>
      <c r="K802" s="57"/>
      <c r="L802" s="57"/>
      <c r="M802" s="57"/>
    </row>
    <row r="803" spans="2:13" ht="12" x14ac:dyDescent="0.2">
      <c r="B803" s="56"/>
      <c r="C803" s="58"/>
      <c r="D803" s="58"/>
      <c r="E803" s="58"/>
      <c r="F803" s="58"/>
      <c r="I803" s="56"/>
      <c r="J803" s="58"/>
      <c r="K803" s="58"/>
      <c r="L803" s="58"/>
      <c r="M803" s="58"/>
    </row>
    <row r="804" spans="2:13" ht="12" x14ac:dyDescent="0.2">
      <c r="B804" s="55"/>
      <c r="C804" s="57"/>
      <c r="D804" s="57"/>
      <c r="E804" s="57"/>
      <c r="F804" s="57"/>
      <c r="I804" s="55"/>
      <c r="J804" s="57"/>
      <c r="K804" s="57"/>
      <c r="L804" s="57"/>
      <c r="M804" s="57"/>
    </row>
    <row r="805" spans="2:13" ht="12" x14ac:dyDescent="0.2">
      <c r="B805" s="56"/>
      <c r="C805" s="58"/>
      <c r="D805" s="58"/>
      <c r="E805" s="58"/>
      <c r="F805" s="58"/>
      <c r="I805" s="56"/>
      <c r="J805" s="58"/>
      <c r="K805" s="58"/>
      <c r="L805" s="58"/>
      <c r="M805" s="58"/>
    </row>
    <row r="806" spans="2:13" ht="12" x14ac:dyDescent="0.2">
      <c r="B806" s="55"/>
      <c r="C806" s="57"/>
      <c r="D806" s="57"/>
      <c r="E806" s="57"/>
      <c r="F806" s="57"/>
      <c r="I806" s="55"/>
      <c r="J806" s="57"/>
      <c r="K806" s="57"/>
      <c r="L806" s="57"/>
      <c r="M806" s="57"/>
    </row>
    <row r="807" spans="2:13" ht="12" x14ac:dyDescent="0.2">
      <c r="B807" s="56"/>
      <c r="C807" s="58"/>
      <c r="D807" s="58"/>
      <c r="E807" s="58"/>
      <c r="F807" s="58"/>
      <c r="I807" s="56"/>
      <c r="J807" s="58"/>
      <c r="K807" s="58"/>
      <c r="L807" s="58"/>
      <c r="M807" s="58"/>
    </row>
    <row r="808" spans="2:13" ht="12" x14ac:dyDescent="0.2">
      <c r="B808" s="55"/>
      <c r="C808" s="57"/>
      <c r="D808" s="57"/>
      <c r="E808" s="57"/>
      <c r="F808" s="57"/>
      <c r="I808" s="55"/>
      <c r="J808" s="57"/>
      <c r="K808" s="57"/>
      <c r="L808" s="57"/>
      <c r="M808" s="57"/>
    </row>
    <row r="809" spans="2:13" ht="12" x14ac:dyDescent="0.2">
      <c r="B809" s="56"/>
      <c r="C809" s="58"/>
      <c r="D809" s="58"/>
      <c r="E809" s="58"/>
      <c r="F809" s="58"/>
      <c r="I809" s="56"/>
      <c r="J809" s="58"/>
      <c r="K809" s="58"/>
      <c r="L809" s="58"/>
      <c r="M809" s="58"/>
    </row>
    <row r="810" spans="2:13" ht="12" x14ac:dyDescent="0.2">
      <c r="B810" s="55"/>
      <c r="C810" s="57"/>
      <c r="D810" s="57"/>
      <c r="E810" s="57"/>
      <c r="F810" s="57"/>
      <c r="I810" s="55"/>
      <c r="J810" s="57"/>
      <c r="K810" s="57"/>
      <c r="L810" s="57"/>
      <c r="M810" s="57"/>
    </row>
    <row r="811" spans="2:13" ht="12" x14ac:dyDescent="0.2">
      <c r="B811" s="56"/>
      <c r="C811" s="58"/>
      <c r="D811" s="58"/>
      <c r="E811" s="58"/>
      <c r="F811" s="58"/>
      <c r="I811" s="56"/>
      <c r="J811" s="58"/>
      <c r="K811" s="58"/>
      <c r="L811" s="58"/>
      <c r="M811" s="58"/>
    </row>
    <row r="812" spans="2:13" ht="12" x14ac:dyDescent="0.2">
      <c r="B812" s="55"/>
      <c r="C812" s="57"/>
      <c r="D812" s="57"/>
      <c r="E812" s="57"/>
      <c r="F812" s="57"/>
      <c r="I812" s="55"/>
      <c r="J812" s="57"/>
      <c r="K812" s="57"/>
      <c r="L812" s="57"/>
      <c r="M812" s="57"/>
    </row>
    <row r="813" spans="2:13" ht="12" x14ac:dyDescent="0.2">
      <c r="B813" s="56"/>
      <c r="C813" s="58"/>
      <c r="D813" s="58"/>
      <c r="E813" s="58"/>
      <c r="F813" s="58"/>
      <c r="I813" s="56"/>
      <c r="J813" s="58"/>
      <c r="K813" s="58"/>
      <c r="L813" s="58"/>
      <c r="M813" s="58"/>
    </row>
    <row r="814" spans="2:13" ht="12" x14ac:dyDescent="0.2">
      <c r="B814" s="55"/>
      <c r="C814" s="57"/>
      <c r="D814" s="57"/>
      <c r="E814" s="57"/>
      <c r="F814" s="57"/>
      <c r="I814" s="55"/>
      <c r="J814" s="57"/>
      <c r="K814" s="57"/>
      <c r="L814" s="57"/>
      <c r="M814" s="57"/>
    </row>
    <row r="815" spans="2:13" ht="12" x14ac:dyDescent="0.2">
      <c r="B815" s="56"/>
      <c r="C815" s="58"/>
      <c r="D815" s="58"/>
      <c r="E815" s="58"/>
      <c r="F815" s="58"/>
      <c r="I815" s="56"/>
      <c r="J815" s="58"/>
      <c r="K815" s="58"/>
      <c r="L815" s="58"/>
      <c r="M815" s="58"/>
    </row>
    <row r="816" spans="2:13" ht="12" x14ac:dyDescent="0.2">
      <c r="B816" s="55"/>
      <c r="C816" s="57"/>
      <c r="D816" s="57"/>
      <c r="E816" s="57"/>
      <c r="F816" s="57"/>
      <c r="I816" s="55"/>
      <c r="J816" s="57"/>
      <c r="K816" s="57"/>
      <c r="L816" s="57"/>
      <c r="M816" s="57"/>
    </row>
    <row r="817" spans="2:13" ht="12" x14ac:dyDescent="0.2">
      <c r="B817" s="56"/>
      <c r="C817" s="58"/>
      <c r="D817" s="58"/>
      <c r="E817" s="58"/>
      <c r="F817" s="58"/>
      <c r="I817" s="56"/>
      <c r="J817" s="58"/>
      <c r="K817" s="58"/>
      <c r="L817" s="58"/>
      <c r="M817" s="58"/>
    </row>
    <row r="818" spans="2:13" ht="12" x14ac:dyDescent="0.2">
      <c r="B818" s="55"/>
      <c r="C818" s="57"/>
      <c r="D818" s="57"/>
      <c r="E818" s="57"/>
      <c r="F818" s="57"/>
      <c r="I818" s="55"/>
      <c r="J818" s="57"/>
      <c r="K818" s="57"/>
      <c r="L818" s="57"/>
      <c r="M818" s="57"/>
    </row>
    <row r="819" spans="2:13" ht="12" x14ac:dyDescent="0.2">
      <c r="B819" s="56"/>
      <c r="C819" s="58"/>
      <c r="D819" s="58"/>
      <c r="E819" s="58"/>
      <c r="F819" s="58"/>
      <c r="I819" s="56"/>
      <c r="J819" s="58"/>
      <c r="K819" s="58"/>
      <c r="L819" s="58"/>
      <c r="M819" s="58"/>
    </row>
    <row r="820" spans="2:13" ht="12" x14ac:dyDescent="0.2">
      <c r="B820" s="55"/>
      <c r="C820" s="57"/>
      <c r="D820" s="57"/>
      <c r="E820" s="57"/>
      <c r="F820" s="57"/>
      <c r="I820" s="55"/>
      <c r="J820" s="57"/>
      <c r="K820" s="57"/>
      <c r="L820" s="57"/>
      <c r="M820" s="57"/>
    </row>
    <row r="821" spans="2:13" ht="12" x14ac:dyDescent="0.2">
      <c r="B821" s="56"/>
      <c r="C821" s="58"/>
      <c r="D821" s="58"/>
      <c r="E821" s="58"/>
      <c r="F821" s="58"/>
      <c r="I821" s="56"/>
      <c r="J821" s="58"/>
      <c r="K821" s="58"/>
      <c r="L821" s="58"/>
      <c r="M821" s="58"/>
    </row>
    <row r="822" spans="2:13" ht="12" x14ac:dyDescent="0.2">
      <c r="B822" s="55"/>
      <c r="C822" s="57"/>
      <c r="D822" s="57"/>
      <c r="E822" s="57"/>
      <c r="F822" s="57"/>
      <c r="I822" s="55"/>
      <c r="J822" s="57"/>
      <c r="K822" s="57"/>
      <c r="L822" s="57"/>
      <c r="M822" s="57"/>
    </row>
    <row r="823" spans="2:13" ht="12" x14ac:dyDescent="0.2">
      <c r="B823" s="56"/>
      <c r="C823" s="58"/>
      <c r="D823" s="58"/>
      <c r="E823" s="58"/>
      <c r="F823" s="58"/>
      <c r="I823" s="56"/>
      <c r="J823" s="58"/>
      <c r="K823" s="58"/>
      <c r="L823" s="58"/>
      <c r="M823" s="58"/>
    </row>
    <row r="824" spans="2:13" ht="12" x14ac:dyDescent="0.2">
      <c r="B824" s="55"/>
      <c r="C824" s="57"/>
      <c r="D824" s="57"/>
      <c r="E824" s="57"/>
      <c r="F824" s="57"/>
      <c r="I824" s="55"/>
      <c r="J824" s="57"/>
      <c r="K824" s="57"/>
      <c r="L824" s="57"/>
      <c r="M824" s="57"/>
    </row>
    <row r="825" spans="2:13" ht="12" x14ac:dyDescent="0.2">
      <c r="B825" s="56"/>
      <c r="C825" s="58"/>
      <c r="D825" s="58"/>
      <c r="E825" s="58"/>
      <c r="F825" s="58"/>
      <c r="I825" s="56"/>
      <c r="J825" s="58"/>
      <c r="K825" s="58"/>
      <c r="L825" s="58"/>
      <c r="M825" s="58"/>
    </row>
    <row r="826" spans="2:13" ht="12" x14ac:dyDescent="0.2">
      <c r="B826" s="55"/>
      <c r="C826" s="57"/>
      <c r="D826" s="57"/>
      <c r="E826" s="57"/>
      <c r="F826" s="57"/>
      <c r="I826" s="55"/>
      <c r="J826" s="57"/>
      <c r="K826" s="57"/>
      <c r="L826" s="57"/>
      <c r="M826" s="57"/>
    </row>
    <row r="827" spans="2:13" ht="12" x14ac:dyDescent="0.2">
      <c r="B827" s="56"/>
      <c r="C827" s="58"/>
      <c r="D827" s="58"/>
      <c r="E827" s="58"/>
      <c r="F827" s="58"/>
      <c r="I827" s="56"/>
      <c r="J827" s="58"/>
      <c r="K827" s="58"/>
      <c r="L827" s="58"/>
      <c r="M827" s="58"/>
    </row>
    <row r="828" spans="2:13" ht="12" x14ac:dyDescent="0.2">
      <c r="B828" s="55"/>
      <c r="C828" s="57"/>
      <c r="D828" s="57"/>
      <c r="E828" s="57"/>
      <c r="F828" s="57"/>
      <c r="I828" s="55"/>
      <c r="J828" s="57"/>
      <c r="K828" s="57"/>
      <c r="L828" s="57"/>
      <c r="M828" s="57"/>
    </row>
    <row r="829" spans="2:13" ht="12" x14ac:dyDescent="0.2">
      <c r="B829" s="56"/>
      <c r="C829" s="58"/>
      <c r="D829" s="58"/>
      <c r="E829" s="58"/>
      <c r="F829" s="58"/>
      <c r="I829" s="56"/>
      <c r="J829" s="58"/>
      <c r="K829" s="58"/>
      <c r="L829" s="58"/>
      <c r="M829" s="58"/>
    </row>
    <row r="830" spans="2:13" ht="12" x14ac:dyDescent="0.2">
      <c r="B830" s="55"/>
      <c r="C830" s="57"/>
      <c r="D830" s="57"/>
      <c r="E830" s="57"/>
      <c r="F830" s="57"/>
      <c r="I830" s="55"/>
      <c r="J830" s="57"/>
      <c r="K830" s="57"/>
      <c r="L830" s="57"/>
      <c r="M830" s="57"/>
    </row>
    <row r="831" spans="2:13" ht="12" x14ac:dyDescent="0.2">
      <c r="B831" s="56"/>
      <c r="C831" s="58"/>
      <c r="D831" s="58"/>
      <c r="E831" s="58"/>
      <c r="F831" s="58"/>
      <c r="I831" s="56"/>
      <c r="J831" s="58"/>
      <c r="K831" s="58"/>
      <c r="L831" s="58"/>
      <c r="M831" s="58"/>
    </row>
    <row r="832" spans="2:13" ht="12" x14ac:dyDescent="0.2">
      <c r="B832" s="55"/>
      <c r="C832" s="57"/>
      <c r="D832" s="57"/>
      <c r="E832" s="57"/>
      <c r="F832" s="57"/>
      <c r="I832" s="55"/>
      <c r="J832" s="57"/>
      <c r="K832" s="57"/>
      <c r="L832" s="57"/>
      <c r="M832" s="57"/>
    </row>
    <row r="833" spans="2:13" ht="12" x14ac:dyDescent="0.2">
      <c r="B833" s="56"/>
      <c r="C833" s="58"/>
      <c r="D833" s="58"/>
      <c r="E833" s="58"/>
      <c r="F833" s="58"/>
      <c r="I833" s="56"/>
      <c r="J833" s="58"/>
      <c r="K833" s="58"/>
      <c r="L833" s="58"/>
      <c r="M833" s="58"/>
    </row>
    <row r="834" spans="2:13" ht="12" x14ac:dyDescent="0.2">
      <c r="B834" s="55"/>
      <c r="C834" s="57"/>
      <c r="D834" s="57"/>
      <c r="E834" s="57"/>
      <c r="F834" s="57"/>
      <c r="I834" s="55"/>
      <c r="J834" s="57"/>
      <c r="K834" s="57"/>
      <c r="L834" s="57"/>
      <c r="M834" s="57"/>
    </row>
    <row r="835" spans="2:13" ht="12" x14ac:dyDescent="0.2">
      <c r="B835" s="56"/>
      <c r="C835" s="58"/>
      <c r="D835" s="58"/>
      <c r="E835" s="58"/>
      <c r="F835" s="58"/>
      <c r="I835" s="56"/>
      <c r="J835" s="58"/>
      <c r="K835" s="58"/>
      <c r="L835" s="58"/>
      <c r="M835" s="58"/>
    </row>
    <row r="836" spans="2:13" ht="12" x14ac:dyDescent="0.2">
      <c r="B836" s="55"/>
      <c r="C836" s="57"/>
      <c r="D836" s="57"/>
      <c r="E836" s="57"/>
      <c r="F836" s="57"/>
      <c r="I836" s="55"/>
      <c r="J836" s="57"/>
      <c r="K836" s="57"/>
      <c r="L836" s="57"/>
      <c r="M836" s="57"/>
    </row>
    <row r="837" spans="2:13" ht="12" x14ac:dyDescent="0.2">
      <c r="B837" s="56"/>
      <c r="C837" s="58"/>
      <c r="D837" s="58"/>
      <c r="E837" s="58"/>
      <c r="F837" s="58"/>
      <c r="I837" s="56"/>
      <c r="J837" s="58"/>
      <c r="K837" s="58"/>
      <c r="L837" s="58"/>
      <c r="M837" s="58"/>
    </row>
    <row r="838" spans="2:13" ht="12" x14ac:dyDescent="0.2">
      <c r="B838" s="55"/>
      <c r="C838" s="57"/>
      <c r="D838" s="57"/>
      <c r="E838" s="57"/>
      <c r="F838" s="57"/>
      <c r="I838" s="55"/>
      <c r="J838" s="57"/>
      <c r="K838" s="57"/>
      <c r="L838" s="57"/>
      <c r="M838" s="57"/>
    </row>
    <row r="839" spans="2:13" ht="12" x14ac:dyDescent="0.2">
      <c r="B839" s="56"/>
      <c r="C839" s="58"/>
      <c r="D839" s="58"/>
      <c r="E839" s="58"/>
      <c r="F839" s="58"/>
      <c r="I839" s="56"/>
      <c r="J839" s="58"/>
      <c r="K839" s="58"/>
      <c r="L839" s="58"/>
      <c r="M839" s="58"/>
    </row>
    <row r="840" spans="2:13" ht="12" x14ac:dyDescent="0.2">
      <c r="B840" s="55"/>
      <c r="C840" s="57"/>
      <c r="D840" s="57"/>
      <c r="E840" s="57"/>
      <c r="F840" s="57"/>
      <c r="I840" s="55"/>
      <c r="J840" s="57"/>
      <c r="K840" s="57"/>
      <c r="L840" s="57"/>
      <c r="M840" s="57"/>
    </row>
    <row r="841" spans="2:13" ht="12" x14ac:dyDescent="0.2">
      <c r="B841" s="56"/>
      <c r="C841" s="58"/>
      <c r="D841" s="58"/>
      <c r="E841" s="58"/>
      <c r="F841" s="58"/>
      <c r="I841" s="56"/>
      <c r="J841" s="58"/>
      <c r="K841" s="58"/>
      <c r="L841" s="58"/>
      <c r="M841" s="58"/>
    </row>
    <row r="842" spans="2:13" ht="12" x14ac:dyDescent="0.2">
      <c r="B842" s="55"/>
      <c r="C842" s="57"/>
      <c r="D842" s="57"/>
      <c r="E842" s="57"/>
      <c r="F842" s="57"/>
      <c r="I842" s="55"/>
      <c r="J842" s="57"/>
      <c r="K842" s="57"/>
      <c r="L842" s="57"/>
      <c r="M842" s="57"/>
    </row>
    <row r="843" spans="2:13" ht="12" x14ac:dyDescent="0.2">
      <c r="B843" s="56"/>
      <c r="C843" s="58"/>
      <c r="D843" s="58"/>
      <c r="E843" s="58"/>
      <c r="F843" s="58"/>
      <c r="I843" s="56"/>
      <c r="J843" s="58"/>
      <c r="K843" s="58"/>
      <c r="L843" s="58"/>
      <c r="M843" s="58"/>
    </row>
    <row r="844" spans="2:13" ht="12" x14ac:dyDescent="0.2">
      <c r="B844" s="55"/>
      <c r="C844" s="57"/>
      <c r="D844" s="57"/>
      <c r="E844" s="57"/>
      <c r="F844" s="57"/>
      <c r="I844" s="55"/>
      <c r="J844" s="57"/>
      <c r="K844" s="57"/>
      <c r="L844" s="57"/>
      <c r="M844" s="57"/>
    </row>
    <row r="845" spans="2:13" ht="12" x14ac:dyDescent="0.2">
      <c r="B845" s="56"/>
      <c r="C845" s="58"/>
      <c r="D845" s="58"/>
      <c r="E845" s="58"/>
      <c r="F845" s="58"/>
      <c r="I845" s="56"/>
      <c r="J845" s="58"/>
      <c r="K845" s="58"/>
      <c r="L845" s="58"/>
      <c r="M845" s="58"/>
    </row>
    <row r="846" spans="2:13" ht="12" x14ac:dyDescent="0.2">
      <c r="B846" s="55"/>
      <c r="C846" s="57"/>
      <c r="D846" s="57"/>
      <c r="E846" s="57"/>
      <c r="F846" s="57"/>
      <c r="I846" s="55"/>
      <c r="J846" s="57"/>
      <c r="K846" s="57"/>
      <c r="L846" s="57"/>
      <c r="M846" s="57"/>
    </row>
    <row r="847" spans="2:13" ht="12" x14ac:dyDescent="0.2">
      <c r="B847" s="56"/>
      <c r="C847" s="58"/>
      <c r="D847" s="58"/>
      <c r="E847" s="58"/>
      <c r="F847" s="58"/>
      <c r="I847" s="56"/>
      <c r="J847" s="58"/>
      <c r="K847" s="58"/>
      <c r="L847" s="58"/>
      <c r="M847" s="58"/>
    </row>
    <row r="848" spans="2:13" ht="12" x14ac:dyDescent="0.2">
      <c r="B848" s="55"/>
      <c r="C848" s="57"/>
      <c r="D848" s="57"/>
      <c r="E848" s="57"/>
      <c r="F848" s="57"/>
      <c r="I848" s="55"/>
      <c r="J848" s="57"/>
      <c r="K848" s="57"/>
      <c r="L848" s="57"/>
      <c r="M848" s="57"/>
    </row>
    <row r="849" spans="2:13" ht="12" x14ac:dyDescent="0.2">
      <c r="B849" s="56"/>
      <c r="C849" s="58"/>
      <c r="D849" s="58"/>
      <c r="E849" s="58"/>
      <c r="F849" s="58"/>
      <c r="I849" s="56"/>
      <c r="J849" s="58"/>
      <c r="K849" s="58"/>
      <c r="L849" s="58"/>
      <c r="M849" s="58"/>
    </row>
    <row r="850" spans="2:13" ht="12" x14ac:dyDescent="0.2">
      <c r="B850" s="55"/>
      <c r="C850" s="57"/>
      <c r="D850" s="57"/>
      <c r="E850" s="57"/>
      <c r="F850" s="57"/>
      <c r="I850" s="55"/>
      <c r="J850" s="57"/>
      <c r="K850" s="57"/>
      <c r="L850" s="57"/>
      <c r="M850" s="57"/>
    </row>
    <row r="851" spans="2:13" ht="12" x14ac:dyDescent="0.2">
      <c r="B851" s="56"/>
      <c r="C851" s="58"/>
      <c r="D851" s="58"/>
      <c r="E851" s="58"/>
      <c r="F851" s="58"/>
      <c r="I851" s="56"/>
      <c r="J851" s="58"/>
      <c r="K851" s="58"/>
      <c r="L851" s="58"/>
      <c r="M851" s="58"/>
    </row>
    <row r="852" spans="2:13" ht="12" x14ac:dyDescent="0.2">
      <c r="B852" s="55"/>
      <c r="C852" s="57"/>
      <c r="D852" s="57"/>
      <c r="E852" s="57"/>
      <c r="F852" s="57"/>
      <c r="I852" s="55"/>
      <c r="J852" s="57"/>
      <c r="K852" s="57"/>
      <c r="L852" s="57"/>
      <c r="M852" s="57"/>
    </row>
    <row r="853" spans="2:13" ht="12" x14ac:dyDescent="0.2">
      <c r="B853" s="56"/>
      <c r="C853" s="58"/>
      <c r="D853" s="58"/>
      <c r="E853" s="58"/>
      <c r="F853" s="58"/>
      <c r="I853" s="56"/>
      <c r="J853" s="58"/>
      <c r="K853" s="58"/>
      <c r="L853" s="58"/>
      <c r="M853" s="58"/>
    </row>
    <row r="854" spans="2:13" ht="12" x14ac:dyDescent="0.2">
      <c r="B854" s="55"/>
      <c r="C854" s="57"/>
      <c r="D854" s="57"/>
      <c r="E854" s="57"/>
      <c r="F854" s="57"/>
      <c r="I854" s="55"/>
      <c r="J854" s="57"/>
      <c r="K854" s="57"/>
      <c r="L854" s="57"/>
      <c r="M854" s="57"/>
    </row>
    <row r="855" spans="2:13" ht="12" x14ac:dyDescent="0.2">
      <c r="B855" s="56"/>
      <c r="C855" s="58"/>
      <c r="D855" s="58"/>
      <c r="E855" s="58"/>
      <c r="F855" s="58"/>
      <c r="I855" s="56"/>
      <c r="J855" s="58"/>
      <c r="K855" s="58"/>
      <c r="L855" s="58"/>
      <c r="M855" s="58"/>
    </row>
    <row r="856" spans="2:13" ht="12" x14ac:dyDescent="0.2">
      <c r="B856" s="55"/>
      <c r="C856" s="57"/>
      <c r="D856" s="57"/>
      <c r="E856" s="57"/>
      <c r="F856" s="57"/>
      <c r="I856" s="55"/>
      <c r="J856" s="57"/>
      <c r="K856" s="57"/>
      <c r="L856" s="57"/>
      <c r="M856" s="57"/>
    </row>
    <row r="857" spans="2:13" ht="12" x14ac:dyDescent="0.2">
      <c r="B857" s="56"/>
      <c r="C857" s="58"/>
      <c r="D857" s="58"/>
      <c r="E857" s="58"/>
      <c r="F857" s="58"/>
      <c r="I857" s="56"/>
      <c r="J857" s="58"/>
      <c r="K857" s="58"/>
      <c r="L857" s="58"/>
      <c r="M857" s="58"/>
    </row>
    <row r="858" spans="2:13" ht="12" x14ac:dyDescent="0.2">
      <c r="B858" s="55"/>
      <c r="C858" s="57"/>
      <c r="D858" s="57"/>
      <c r="E858" s="57"/>
      <c r="F858" s="57"/>
      <c r="I858" s="55"/>
      <c r="J858" s="57"/>
      <c r="K858" s="57"/>
      <c r="L858" s="57"/>
      <c r="M858" s="57"/>
    </row>
    <row r="859" spans="2:13" ht="12" x14ac:dyDescent="0.2">
      <c r="B859" s="56"/>
      <c r="C859" s="58"/>
      <c r="D859" s="58"/>
      <c r="E859" s="58"/>
      <c r="F859" s="58"/>
      <c r="I859" s="56"/>
      <c r="J859" s="58"/>
      <c r="K859" s="58"/>
      <c r="L859" s="58"/>
      <c r="M859" s="58"/>
    </row>
    <row r="860" spans="2:13" ht="12" x14ac:dyDescent="0.2">
      <c r="B860" s="55"/>
      <c r="C860" s="57"/>
      <c r="D860" s="57"/>
      <c r="E860" s="57"/>
      <c r="F860" s="57"/>
      <c r="I860" s="55"/>
      <c r="J860" s="57"/>
      <c r="K860" s="57"/>
      <c r="L860" s="57"/>
      <c r="M860" s="57"/>
    </row>
    <row r="861" spans="2:13" ht="12" x14ac:dyDescent="0.2">
      <c r="B861" s="56"/>
      <c r="C861" s="58"/>
      <c r="D861" s="58"/>
      <c r="E861" s="58"/>
      <c r="F861" s="58"/>
      <c r="I861" s="56"/>
      <c r="J861" s="58"/>
      <c r="K861" s="58"/>
      <c r="L861" s="58"/>
      <c r="M861" s="58"/>
    </row>
    <row r="862" spans="2:13" ht="12" x14ac:dyDescent="0.2">
      <c r="B862" s="55"/>
      <c r="C862" s="57"/>
      <c r="D862" s="57"/>
      <c r="E862" s="57"/>
      <c r="F862" s="57"/>
      <c r="I862" s="55"/>
      <c r="J862" s="57"/>
      <c r="K862" s="57"/>
      <c r="L862" s="57"/>
      <c r="M862" s="57"/>
    </row>
    <row r="863" spans="2:13" ht="12" x14ac:dyDescent="0.2">
      <c r="B863" s="56"/>
      <c r="C863" s="58"/>
      <c r="D863" s="58"/>
      <c r="E863" s="58"/>
      <c r="F863" s="58"/>
      <c r="I863" s="56"/>
      <c r="J863" s="58"/>
      <c r="K863" s="58"/>
      <c r="L863" s="58"/>
      <c r="M863" s="58"/>
    </row>
    <row r="864" spans="2:13" ht="12" x14ac:dyDescent="0.2">
      <c r="B864" s="55"/>
      <c r="C864" s="57"/>
      <c r="D864" s="57"/>
      <c r="E864" s="57"/>
      <c r="F864" s="57"/>
      <c r="I864" s="55"/>
      <c r="J864" s="57"/>
      <c r="K864" s="57"/>
      <c r="L864" s="57"/>
      <c r="M864" s="57"/>
    </row>
    <row r="865" spans="2:13" ht="12" x14ac:dyDescent="0.2">
      <c r="B865" s="56"/>
      <c r="C865" s="58"/>
      <c r="D865" s="58"/>
      <c r="E865" s="58"/>
      <c r="F865" s="58"/>
      <c r="I865" s="56"/>
      <c r="J865" s="58"/>
      <c r="K865" s="58"/>
      <c r="L865" s="58"/>
      <c r="M865" s="58"/>
    </row>
    <row r="866" spans="2:13" ht="12" x14ac:dyDescent="0.2">
      <c r="B866" s="55"/>
      <c r="C866" s="57"/>
      <c r="D866" s="57"/>
      <c r="E866" s="57"/>
      <c r="F866" s="57"/>
      <c r="I866" s="55"/>
      <c r="J866" s="57"/>
      <c r="K866" s="57"/>
      <c r="L866" s="57"/>
      <c r="M866" s="57"/>
    </row>
    <row r="867" spans="2:13" ht="12" x14ac:dyDescent="0.2">
      <c r="B867" s="56"/>
      <c r="C867" s="58"/>
      <c r="D867" s="58"/>
      <c r="E867" s="58"/>
      <c r="F867" s="58"/>
      <c r="I867" s="56"/>
      <c r="J867" s="58"/>
      <c r="K867" s="58"/>
      <c r="L867" s="58"/>
      <c r="M867" s="58"/>
    </row>
    <row r="868" spans="2:13" ht="12" x14ac:dyDescent="0.2">
      <c r="B868" s="55"/>
      <c r="C868" s="57"/>
      <c r="D868" s="57"/>
      <c r="E868" s="57"/>
      <c r="F868" s="57"/>
      <c r="I868" s="55"/>
      <c r="J868" s="57"/>
      <c r="K868" s="57"/>
      <c r="L868" s="57"/>
      <c r="M868" s="57"/>
    </row>
    <row r="869" spans="2:13" ht="12" x14ac:dyDescent="0.2">
      <c r="B869" s="56"/>
      <c r="C869" s="58"/>
      <c r="D869" s="58"/>
      <c r="E869" s="58"/>
      <c r="F869" s="58"/>
      <c r="I869" s="56"/>
      <c r="J869" s="58"/>
      <c r="K869" s="58"/>
      <c r="L869" s="58"/>
      <c r="M869" s="58"/>
    </row>
    <row r="870" spans="2:13" ht="12" x14ac:dyDescent="0.2">
      <c r="B870" s="55"/>
      <c r="C870" s="57"/>
      <c r="D870" s="57"/>
      <c r="E870" s="57"/>
      <c r="F870" s="57"/>
      <c r="I870" s="55"/>
      <c r="J870" s="57"/>
      <c r="K870" s="57"/>
      <c r="L870" s="57"/>
      <c r="M870" s="57"/>
    </row>
    <row r="871" spans="2:13" ht="12" x14ac:dyDescent="0.2">
      <c r="B871" s="56"/>
      <c r="C871" s="58"/>
      <c r="D871" s="58"/>
      <c r="E871" s="58"/>
      <c r="F871" s="58"/>
      <c r="I871" s="56"/>
      <c r="J871" s="58"/>
      <c r="K871" s="58"/>
      <c r="L871" s="58"/>
      <c r="M871" s="58"/>
    </row>
    <row r="872" spans="2:13" ht="12" x14ac:dyDescent="0.2">
      <c r="B872" s="55"/>
      <c r="C872" s="57"/>
      <c r="D872" s="57"/>
      <c r="E872" s="57"/>
      <c r="F872" s="57"/>
      <c r="I872" s="55"/>
      <c r="J872" s="57"/>
      <c r="K872" s="57"/>
      <c r="L872" s="57"/>
      <c r="M872" s="57"/>
    </row>
    <row r="873" spans="2:13" ht="12" x14ac:dyDescent="0.2">
      <c r="B873" s="56"/>
      <c r="C873" s="58"/>
      <c r="D873" s="58"/>
      <c r="E873" s="58"/>
      <c r="F873" s="58"/>
      <c r="I873" s="56"/>
      <c r="J873" s="58"/>
      <c r="K873" s="58"/>
      <c r="L873" s="58"/>
      <c r="M873" s="58"/>
    </row>
    <row r="874" spans="2:13" ht="12" x14ac:dyDescent="0.2">
      <c r="B874" s="55"/>
      <c r="C874" s="57"/>
      <c r="D874" s="57"/>
      <c r="E874" s="57"/>
      <c r="F874" s="57"/>
      <c r="I874" s="55"/>
      <c r="J874" s="57"/>
      <c r="K874" s="57"/>
      <c r="L874" s="57"/>
      <c r="M874" s="57"/>
    </row>
    <row r="875" spans="2:13" ht="12" x14ac:dyDescent="0.2">
      <c r="B875" s="56"/>
      <c r="C875" s="58"/>
      <c r="D875" s="58"/>
      <c r="E875" s="58"/>
      <c r="F875" s="58"/>
      <c r="I875" s="56"/>
      <c r="J875" s="58"/>
      <c r="K875" s="58"/>
      <c r="L875" s="58"/>
      <c r="M875" s="58"/>
    </row>
    <row r="876" spans="2:13" ht="12" x14ac:dyDescent="0.2">
      <c r="B876" s="55"/>
      <c r="C876" s="57"/>
      <c r="D876" s="57"/>
      <c r="E876" s="57"/>
      <c r="F876" s="57"/>
      <c r="I876" s="55"/>
      <c r="J876" s="57"/>
      <c r="K876" s="57"/>
      <c r="L876" s="57"/>
      <c r="M876" s="57"/>
    </row>
    <row r="877" spans="2:13" ht="12" x14ac:dyDescent="0.2">
      <c r="B877" s="56"/>
      <c r="C877" s="58"/>
      <c r="D877" s="58"/>
      <c r="E877" s="58"/>
      <c r="F877" s="58"/>
      <c r="I877" s="56"/>
      <c r="J877" s="58"/>
      <c r="K877" s="58"/>
      <c r="L877" s="58"/>
      <c r="M877" s="58"/>
    </row>
    <row r="878" spans="2:13" ht="12" x14ac:dyDescent="0.2">
      <c r="B878" s="55"/>
      <c r="C878" s="57"/>
      <c r="D878" s="57"/>
      <c r="E878" s="57"/>
      <c r="F878" s="57"/>
      <c r="I878" s="55"/>
      <c r="J878" s="57"/>
      <c r="K878" s="57"/>
      <c r="L878" s="57"/>
      <c r="M878" s="57"/>
    </row>
    <row r="879" spans="2:13" ht="12" x14ac:dyDescent="0.2">
      <c r="B879" s="56"/>
      <c r="C879" s="58"/>
      <c r="D879" s="58"/>
      <c r="E879" s="58"/>
      <c r="F879" s="58"/>
      <c r="I879" s="56"/>
      <c r="J879" s="58"/>
      <c r="K879" s="58"/>
      <c r="L879" s="58"/>
      <c r="M879" s="58"/>
    </row>
    <row r="880" spans="2:13" ht="12" x14ac:dyDescent="0.2">
      <c r="B880" s="55"/>
      <c r="C880" s="57"/>
      <c r="D880" s="57"/>
      <c r="E880" s="57"/>
      <c r="F880" s="57"/>
      <c r="I880" s="55"/>
      <c r="J880" s="57"/>
      <c r="K880" s="57"/>
      <c r="L880" s="57"/>
      <c r="M880" s="57"/>
    </row>
    <row r="881" spans="2:13" ht="12" x14ac:dyDescent="0.2">
      <c r="B881" s="56"/>
      <c r="C881" s="58"/>
      <c r="D881" s="58"/>
      <c r="E881" s="58"/>
      <c r="F881" s="58"/>
      <c r="I881" s="56"/>
      <c r="J881" s="58"/>
      <c r="K881" s="58"/>
      <c r="L881" s="58"/>
      <c r="M881" s="58"/>
    </row>
    <row r="882" spans="2:13" ht="12" x14ac:dyDescent="0.2">
      <c r="B882" s="55"/>
      <c r="C882" s="57"/>
      <c r="D882" s="57"/>
      <c r="E882" s="57"/>
      <c r="F882" s="57"/>
      <c r="I882" s="55"/>
      <c r="J882" s="57"/>
      <c r="K882" s="57"/>
      <c r="L882" s="57"/>
      <c r="M882" s="57"/>
    </row>
    <row r="883" spans="2:13" ht="12" x14ac:dyDescent="0.2">
      <c r="B883" s="56"/>
      <c r="C883" s="58"/>
      <c r="D883" s="58"/>
      <c r="E883" s="58"/>
      <c r="F883" s="58"/>
      <c r="I883" s="56"/>
      <c r="J883" s="58"/>
      <c r="K883" s="58"/>
      <c r="L883" s="58"/>
      <c r="M883" s="58"/>
    </row>
    <row r="884" spans="2:13" ht="12" x14ac:dyDescent="0.2">
      <c r="B884" s="55"/>
      <c r="C884" s="57"/>
      <c r="D884" s="57"/>
      <c r="E884" s="57"/>
      <c r="F884" s="57"/>
      <c r="I884" s="55"/>
      <c r="J884" s="57"/>
      <c r="K884" s="57"/>
      <c r="L884" s="57"/>
      <c r="M884" s="57"/>
    </row>
    <row r="885" spans="2:13" ht="12" x14ac:dyDescent="0.2">
      <c r="B885" s="56"/>
      <c r="C885" s="58"/>
      <c r="D885" s="58"/>
      <c r="E885" s="58"/>
      <c r="F885" s="58"/>
      <c r="I885" s="56"/>
      <c r="J885" s="58"/>
      <c r="K885" s="58"/>
      <c r="L885" s="58"/>
      <c r="M885" s="58"/>
    </row>
    <row r="886" spans="2:13" ht="12" x14ac:dyDescent="0.2">
      <c r="B886" s="55"/>
      <c r="C886" s="57"/>
      <c r="D886" s="57"/>
      <c r="E886" s="57"/>
      <c r="F886" s="57"/>
      <c r="I886" s="55"/>
      <c r="J886" s="57"/>
      <c r="K886" s="57"/>
      <c r="L886" s="57"/>
      <c r="M886" s="57"/>
    </row>
    <row r="887" spans="2:13" ht="12" x14ac:dyDescent="0.2">
      <c r="B887" s="56"/>
      <c r="C887" s="58"/>
      <c r="D887" s="58"/>
      <c r="E887" s="58"/>
      <c r="F887" s="58"/>
      <c r="I887" s="56"/>
      <c r="J887" s="58"/>
      <c r="K887" s="58"/>
      <c r="L887" s="58"/>
      <c r="M887" s="58"/>
    </row>
    <row r="888" spans="2:13" ht="12" x14ac:dyDescent="0.2">
      <c r="B888" s="55"/>
      <c r="C888" s="57"/>
      <c r="D888" s="57"/>
      <c r="E888" s="57"/>
      <c r="F888" s="57"/>
      <c r="I888" s="55"/>
      <c r="J888" s="57"/>
      <c r="K888" s="57"/>
      <c r="L888" s="57"/>
      <c r="M888" s="57"/>
    </row>
    <row r="889" spans="2:13" ht="12" x14ac:dyDescent="0.2">
      <c r="B889" s="56"/>
      <c r="C889" s="58"/>
      <c r="D889" s="58"/>
      <c r="E889" s="58"/>
      <c r="F889" s="58"/>
      <c r="I889" s="56"/>
      <c r="J889" s="58"/>
      <c r="K889" s="58"/>
      <c r="L889" s="58"/>
      <c r="M889" s="58"/>
    </row>
    <row r="890" spans="2:13" ht="12" x14ac:dyDescent="0.2">
      <c r="B890" s="55"/>
      <c r="C890" s="57"/>
      <c r="D890" s="57"/>
      <c r="E890" s="57"/>
      <c r="F890" s="57"/>
      <c r="I890" s="55"/>
      <c r="J890" s="57"/>
      <c r="K890" s="57"/>
      <c r="L890" s="57"/>
      <c r="M890" s="57"/>
    </row>
    <row r="891" spans="2:13" ht="12" x14ac:dyDescent="0.2">
      <c r="B891" s="56"/>
      <c r="C891" s="58"/>
      <c r="D891" s="58"/>
      <c r="E891" s="58"/>
      <c r="F891" s="58"/>
      <c r="I891" s="56"/>
      <c r="J891" s="58"/>
      <c r="K891" s="58"/>
      <c r="L891" s="58"/>
      <c r="M891" s="58"/>
    </row>
    <row r="892" spans="2:13" ht="12" x14ac:dyDescent="0.2">
      <c r="B892" s="55"/>
      <c r="C892" s="57"/>
      <c r="D892" s="57"/>
      <c r="E892" s="57"/>
      <c r="F892" s="57"/>
      <c r="I892" s="55"/>
      <c r="J892" s="57"/>
      <c r="K892" s="57"/>
      <c r="L892" s="57"/>
      <c r="M892" s="57"/>
    </row>
    <row r="893" spans="2:13" ht="12" x14ac:dyDescent="0.2">
      <c r="B893" s="56"/>
      <c r="C893" s="58"/>
      <c r="D893" s="58"/>
      <c r="E893" s="58"/>
      <c r="F893" s="58"/>
      <c r="I893" s="56"/>
      <c r="J893" s="58"/>
      <c r="K893" s="58"/>
      <c r="L893" s="58"/>
      <c r="M893" s="58"/>
    </row>
    <row r="894" spans="2:13" ht="12" x14ac:dyDescent="0.2">
      <c r="B894" s="55"/>
      <c r="C894" s="57"/>
      <c r="D894" s="57"/>
      <c r="E894" s="57"/>
      <c r="F894" s="57"/>
      <c r="I894" s="55"/>
      <c r="J894" s="57"/>
      <c r="K894" s="57"/>
      <c r="L894" s="57"/>
      <c r="M894" s="57"/>
    </row>
    <row r="895" spans="2:13" ht="12" x14ac:dyDescent="0.2">
      <c r="B895" s="56"/>
      <c r="C895" s="58"/>
      <c r="D895" s="58"/>
      <c r="E895" s="58"/>
      <c r="F895" s="58"/>
      <c r="I895" s="56"/>
      <c r="J895" s="58"/>
      <c r="K895" s="58"/>
      <c r="L895" s="58"/>
      <c r="M895" s="58"/>
    </row>
    <row r="896" spans="2:13" ht="12" x14ac:dyDescent="0.2">
      <c r="B896" s="55"/>
      <c r="C896" s="57"/>
      <c r="D896" s="57"/>
      <c r="E896" s="57"/>
      <c r="F896" s="57"/>
      <c r="I896" s="55"/>
      <c r="J896" s="57"/>
      <c r="K896" s="57"/>
      <c r="L896" s="57"/>
      <c r="M896" s="57"/>
    </row>
    <row r="897" spans="2:13" ht="12" x14ac:dyDescent="0.2">
      <c r="B897" s="56"/>
      <c r="C897" s="58"/>
      <c r="D897" s="58"/>
      <c r="E897" s="58"/>
      <c r="F897" s="58"/>
      <c r="I897" s="56"/>
      <c r="J897" s="58"/>
      <c r="K897" s="58"/>
      <c r="L897" s="58"/>
      <c r="M897" s="58"/>
    </row>
    <row r="898" spans="2:13" ht="12" x14ac:dyDescent="0.2">
      <c r="B898" s="55"/>
      <c r="C898" s="57"/>
      <c r="D898" s="57"/>
      <c r="E898" s="57"/>
      <c r="F898" s="57"/>
      <c r="I898" s="55"/>
      <c r="J898" s="57"/>
      <c r="K898" s="57"/>
      <c r="L898" s="57"/>
      <c r="M898" s="57"/>
    </row>
    <row r="899" spans="2:13" ht="12" x14ac:dyDescent="0.2">
      <c r="B899" s="56"/>
      <c r="C899" s="58"/>
      <c r="D899" s="58"/>
      <c r="E899" s="58"/>
      <c r="F899" s="58"/>
      <c r="I899" s="56"/>
      <c r="J899" s="58"/>
      <c r="K899" s="58"/>
      <c r="L899" s="58"/>
      <c r="M899" s="58"/>
    </row>
    <row r="900" spans="2:13" ht="12" x14ac:dyDescent="0.2">
      <c r="B900" s="55"/>
      <c r="C900" s="57"/>
      <c r="D900" s="57"/>
      <c r="E900" s="57"/>
      <c r="F900" s="57"/>
      <c r="I900" s="55"/>
      <c r="J900" s="57"/>
      <c r="K900" s="57"/>
      <c r="L900" s="57"/>
      <c r="M900" s="57"/>
    </row>
    <row r="901" spans="2:13" ht="12" x14ac:dyDescent="0.2">
      <c r="B901" s="56"/>
      <c r="C901" s="58"/>
      <c r="D901" s="58"/>
      <c r="E901" s="58"/>
      <c r="F901" s="58"/>
      <c r="I901" s="56"/>
      <c r="J901" s="58"/>
      <c r="K901" s="58"/>
      <c r="L901" s="58"/>
      <c r="M901" s="58"/>
    </row>
    <row r="902" spans="2:13" ht="12" x14ac:dyDescent="0.2">
      <c r="B902" s="55"/>
      <c r="C902" s="57"/>
      <c r="D902" s="57"/>
      <c r="E902" s="57"/>
      <c r="F902" s="57"/>
      <c r="I902" s="55"/>
      <c r="J902" s="57"/>
      <c r="K902" s="57"/>
      <c r="L902" s="57"/>
      <c r="M902" s="57"/>
    </row>
    <row r="903" spans="2:13" ht="12" x14ac:dyDescent="0.2">
      <c r="B903" s="56"/>
      <c r="C903" s="58"/>
      <c r="D903" s="58"/>
      <c r="E903" s="58"/>
      <c r="F903" s="58"/>
      <c r="I903" s="56"/>
      <c r="J903" s="58"/>
      <c r="K903" s="58"/>
      <c r="L903" s="58"/>
      <c r="M903" s="58"/>
    </row>
    <row r="904" spans="2:13" ht="12" x14ac:dyDescent="0.2">
      <c r="B904" s="55"/>
      <c r="C904" s="57"/>
      <c r="D904" s="57"/>
      <c r="E904" s="57"/>
      <c r="F904" s="57"/>
      <c r="I904" s="55"/>
      <c r="J904" s="57"/>
      <c r="K904" s="57"/>
      <c r="L904" s="57"/>
      <c r="M904" s="57"/>
    </row>
    <row r="905" spans="2:13" ht="12" x14ac:dyDescent="0.2">
      <c r="B905" s="56"/>
      <c r="C905" s="58"/>
      <c r="D905" s="58"/>
      <c r="E905" s="58"/>
      <c r="F905" s="58"/>
      <c r="I905" s="56"/>
      <c r="J905" s="58"/>
      <c r="K905" s="58"/>
      <c r="L905" s="58"/>
      <c r="M905" s="58"/>
    </row>
    <row r="906" spans="2:13" ht="12" x14ac:dyDescent="0.2">
      <c r="B906" s="55"/>
      <c r="C906" s="57"/>
      <c r="D906" s="57"/>
      <c r="E906" s="57"/>
      <c r="F906" s="57"/>
      <c r="I906" s="55"/>
      <c r="J906" s="57"/>
      <c r="K906" s="57"/>
      <c r="L906" s="57"/>
      <c r="M906" s="57"/>
    </row>
    <row r="907" spans="2:13" ht="12" x14ac:dyDescent="0.2">
      <c r="B907" s="56"/>
      <c r="C907" s="58"/>
      <c r="D907" s="58"/>
      <c r="E907" s="58"/>
      <c r="F907" s="58"/>
      <c r="I907" s="56"/>
      <c r="J907" s="58"/>
      <c r="K907" s="58"/>
      <c r="L907" s="58"/>
      <c r="M907" s="58"/>
    </row>
    <row r="908" spans="2:13" ht="12" x14ac:dyDescent="0.2">
      <c r="B908" s="55"/>
      <c r="C908" s="57"/>
      <c r="D908" s="57"/>
      <c r="E908" s="57"/>
      <c r="F908" s="57"/>
      <c r="I908" s="55"/>
      <c r="J908" s="57"/>
      <c r="K908" s="57"/>
      <c r="L908" s="57"/>
      <c r="M908" s="57"/>
    </row>
    <row r="909" spans="2:13" ht="12" x14ac:dyDescent="0.2">
      <c r="B909" s="56"/>
      <c r="C909" s="58"/>
      <c r="D909" s="58"/>
      <c r="E909" s="58"/>
      <c r="F909" s="58"/>
      <c r="I909" s="56"/>
      <c r="J909" s="58"/>
      <c r="K909" s="58"/>
      <c r="L909" s="58"/>
      <c r="M909" s="58"/>
    </row>
    <row r="910" spans="2:13" ht="12" x14ac:dyDescent="0.2">
      <c r="B910" s="55"/>
      <c r="C910" s="57"/>
      <c r="D910" s="57"/>
      <c r="E910" s="57"/>
      <c r="F910" s="57"/>
      <c r="I910" s="55"/>
      <c r="J910" s="57"/>
      <c r="K910" s="57"/>
      <c r="L910" s="57"/>
      <c r="M910" s="57"/>
    </row>
    <row r="911" spans="2:13" ht="12" x14ac:dyDescent="0.2">
      <c r="B911" s="56"/>
      <c r="C911" s="58"/>
      <c r="D911" s="58"/>
      <c r="E911" s="58"/>
      <c r="F911" s="58"/>
      <c r="I911" s="56"/>
      <c r="J911" s="58"/>
      <c r="K911" s="58"/>
      <c r="L911" s="58"/>
      <c r="M911" s="58"/>
    </row>
    <row r="912" spans="2:13" ht="12" x14ac:dyDescent="0.2">
      <c r="B912" s="55"/>
      <c r="C912" s="57"/>
      <c r="D912" s="57"/>
      <c r="E912" s="57"/>
      <c r="F912" s="57"/>
      <c r="I912" s="55"/>
      <c r="J912" s="57"/>
      <c r="K912" s="57"/>
      <c r="L912" s="57"/>
      <c r="M912" s="57"/>
    </row>
    <row r="913" spans="2:13" ht="12" x14ac:dyDescent="0.2">
      <c r="B913" s="56"/>
      <c r="C913" s="58"/>
      <c r="D913" s="58"/>
      <c r="E913" s="58"/>
      <c r="F913" s="58"/>
      <c r="I913" s="56"/>
      <c r="J913" s="58"/>
      <c r="K913" s="58"/>
      <c r="L913" s="58"/>
      <c r="M913" s="58"/>
    </row>
    <row r="914" spans="2:13" ht="12" x14ac:dyDescent="0.2">
      <c r="B914" s="55"/>
      <c r="C914" s="57"/>
      <c r="D914" s="57"/>
      <c r="E914" s="57"/>
      <c r="F914" s="57"/>
      <c r="I914" s="55"/>
      <c r="J914" s="57"/>
      <c r="K914" s="57"/>
      <c r="L914" s="57"/>
      <c r="M914" s="57"/>
    </row>
    <row r="915" spans="2:13" ht="12" x14ac:dyDescent="0.2">
      <c r="B915" s="56"/>
      <c r="C915" s="58"/>
      <c r="D915" s="58"/>
      <c r="E915" s="58"/>
      <c r="F915" s="58"/>
      <c r="I915" s="56"/>
      <c r="J915" s="58"/>
      <c r="K915" s="58"/>
      <c r="L915" s="58"/>
      <c r="M915" s="58"/>
    </row>
    <row r="916" spans="2:13" ht="12" x14ac:dyDescent="0.2">
      <c r="B916" s="55"/>
      <c r="C916" s="57"/>
      <c r="D916" s="57"/>
      <c r="E916" s="57"/>
      <c r="F916" s="57"/>
      <c r="I916" s="55"/>
      <c r="J916" s="57"/>
      <c r="K916" s="57"/>
      <c r="L916" s="57"/>
      <c r="M916" s="57"/>
    </row>
    <row r="917" spans="2:13" ht="12" x14ac:dyDescent="0.2">
      <c r="B917" s="56"/>
      <c r="C917" s="58"/>
      <c r="D917" s="58"/>
      <c r="E917" s="58"/>
      <c r="F917" s="58"/>
      <c r="I917" s="56"/>
      <c r="J917" s="58"/>
      <c r="K917" s="58"/>
      <c r="L917" s="58"/>
      <c r="M917" s="58"/>
    </row>
    <row r="918" spans="2:13" ht="12" x14ac:dyDescent="0.2">
      <c r="B918" s="55"/>
      <c r="C918" s="57"/>
      <c r="D918" s="57"/>
      <c r="E918" s="57"/>
      <c r="F918" s="57"/>
      <c r="I918" s="55"/>
      <c r="J918" s="57"/>
      <c r="K918" s="57"/>
      <c r="L918" s="57"/>
      <c r="M918" s="57"/>
    </row>
    <row r="919" spans="2:13" ht="12" x14ac:dyDescent="0.2">
      <c r="B919" s="56"/>
      <c r="C919" s="58"/>
      <c r="D919" s="58"/>
      <c r="E919" s="58"/>
      <c r="F919" s="58"/>
      <c r="I919" s="56"/>
      <c r="J919" s="58"/>
      <c r="K919" s="58"/>
      <c r="L919" s="58"/>
      <c r="M919" s="58"/>
    </row>
    <row r="920" spans="2:13" ht="12" x14ac:dyDescent="0.2">
      <c r="B920" s="55"/>
      <c r="C920" s="57"/>
      <c r="D920" s="57"/>
      <c r="E920" s="57"/>
      <c r="F920" s="57"/>
      <c r="I920" s="55"/>
      <c r="J920" s="57"/>
      <c r="K920" s="57"/>
      <c r="L920" s="57"/>
      <c r="M920" s="57"/>
    </row>
    <row r="921" spans="2:13" ht="12" x14ac:dyDescent="0.2">
      <c r="B921" s="56"/>
      <c r="C921" s="58"/>
      <c r="D921" s="58"/>
      <c r="E921" s="58"/>
      <c r="F921" s="58"/>
      <c r="I921" s="56"/>
      <c r="J921" s="58"/>
      <c r="K921" s="58"/>
      <c r="L921" s="58"/>
      <c r="M921" s="58"/>
    </row>
    <row r="922" spans="2:13" ht="12" x14ac:dyDescent="0.2">
      <c r="B922" s="55"/>
      <c r="C922" s="57"/>
      <c r="D922" s="57"/>
      <c r="E922" s="57"/>
      <c r="F922" s="57"/>
      <c r="I922" s="55"/>
      <c r="J922" s="57"/>
      <c r="K922" s="57"/>
      <c r="L922" s="57"/>
      <c r="M922" s="57"/>
    </row>
    <row r="923" spans="2:13" ht="12" x14ac:dyDescent="0.2">
      <c r="B923" s="56"/>
      <c r="C923" s="58"/>
      <c r="D923" s="58"/>
      <c r="E923" s="58"/>
      <c r="F923" s="58"/>
      <c r="I923" s="56"/>
      <c r="J923" s="58"/>
      <c r="K923" s="58"/>
      <c r="L923" s="58"/>
      <c r="M923" s="58"/>
    </row>
    <row r="924" spans="2:13" ht="12" x14ac:dyDescent="0.2">
      <c r="B924" s="55"/>
      <c r="C924" s="57"/>
      <c r="D924" s="57"/>
      <c r="E924" s="57"/>
      <c r="F924" s="57"/>
      <c r="I924" s="55"/>
      <c r="J924" s="57"/>
      <c r="K924" s="57"/>
      <c r="L924" s="57"/>
      <c r="M924" s="57"/>
    </row>
    <row r="925" spans="2:13" ht="12" x14ac:dyDescent="0.2">
      <c r="B925" s="56"/>
      <c r="C925" s="58"/>
      <c r="D925" s="58"/>
      <c r="E925" s="58"/>
      <c r="F925" s="58"/>
      <c r="I925" s="56"/>
      <c r="J925" s="58"/>
      <c r="K925" s="58"/>
      <c r="L925" s="58"/>
      <c r="M925" s="58"/>
    </row>
    <row r="926" spans="2:13" ht="12" x14ac:dyDescent="0.2">
      <c r="B926" s="55"/>
      <c r="C926" s="57"/>
      <c r="D926" s="57"/>
      <c r="E926" s="57"/>
      <c r="F926" s="57"/>
      <c r="I926" s="55"/>
      <c r="J926" s="57"/>
      <c r="K926" s="57"/>
      <c r="L926" s="57"/>
      <c r="M926" s="57"/>
    </row>
    <row r="927" spans="2:13" ht="12" x14ac:dyDescent="0.2">
      <c r="B927" s="56"/>
      <c r="C927" s="58"/>
      <c r="D927" s="58"/>
      <c r="E927" s="58"/>
      <c r="F927" s="58"/>
      <c r="I927" s="56"/>
      <c r="J927" s="58"/>
      <c r="K927" s="58"/>
      <c r="L927" s="58"/>
      <c r="M927" s="58"/>
    </row>
    <row r="928" spans="2:13" ht="12" x14ac:dyDescent="0.2">
      <c r="B928" s="55"/>
      <c r="C928" s="57"/>
      <c r="D928" s="57"/>
      <c r="E928" s="57"/>
      <c r="F928" s="57"/>
      <c r="I928" s="55"/>
      <c r="J928" s="57"/>
      <c r="K928" s="57"/>
      <c r="L928" s="57"/>
      <c r="M928" s="57"/>
    </row>
    <row r="929" spans="2:13" ht="12" x14ac:dyDescent="0.2">
      <c r="B929" s="56"/>
      <c r="C929" s="58"/>
      <c r="D929" s="58"/>
      <c r="E929" s="58"/>
      <c r="F929" s="58"/>
      <c r="I929" s="56"/>
      <c r="J929" s="58"/>
      <c r="K929" s="58"/>
      <c r="L929" s="58"/>
      <c r="M929" s="58"/>
    </row>
    <row r="930" spans="2:13" ht="12" x14ac:dyDescent="0.2">
      <c r="B930" s="55"/>
      <c r="C930" s="57"/>
      <c r="D930" s="57"/>
      <c r="E930" s="57"/>
      <c r="F930" s="57"/>
      <c r="I930" s="55"/>
      <c r="J930" s="57"/>
      <c r="K930" s="57"/>
      <c r="L930" s="57"/>
      <c r="M930" s="57"/>
    </row>
    <row r="931" spans="2:13" ht="12" x14ac:dyDescent="0.2">
      <c r="B931" s="56"/>
      <c r="C931" s="58"/>
      <c r="D931" s="58"/>
      <c r="E931" s="58"/>
      <c r="F931" s="58"/>
      <c r="I931" s="56"/>
      <c r="J931" s="58"/>
      <c r="K931" s="58"/>
      <c r="L931" s="58"/>
      <c r="M931" s="58"/>
    </row>
    <row r="932" spans="2:13" ht="12" x14ac:dyDescent="0.2">
      <c r="B932" s="55"/>
      <c r="C932" s="57"/>
      <c r="D932" s="57"/>
      <c r="E932" s="57"/>
      <c r="F932" s="57"/>
      <c r="I932" s="55"/>
      <c r="J932" s="57"/>
      <c r="K932" s="57"/>
      <c r="L932" s="57"/>
      <c r="M932" s="57"/>
    </row>
    <row r="933" spans="2:13" ht="12" x14ac:dyDescent="0.2">
      <c r="B933" s="56"/>
      <c r="C933" s="58"/>
      <c r="D933" s="58"/>
      <c r="E933" s="58"/>
      <c r="F933" s="58"/>
      <c r="I933" s="56"/>
      <c r="J933" s="58"/>
      <c r="K933" s="58"/>
      <c r="L933" s="58"/>
      <c r="M933" s="58"/>
    </row>
    <row r="934" spans="2:13" ht="12" x14ac:dyDescent="0.2">
      <c r="B934" s="55"/>
      <c r="C934" s="57"/>
      <c r="D934" s="57"/>
      <c r="E934" s="57"/>
      <c r="F934" s="57"/>
      <c r="I934" s="55"/>
      <c r="J934" s="57"/>
      <c r="K934" s="57"/>
      <c r="L934" s="57"/>
      <c r="M934" s="57"/>
    </row>
    <row r="935" spans="2:13" ht="12" x14ac:dyDescent="0.2">
      <c r="B935" s="56"/>
      <c r="C935" s="58"/>
      <c r="D935" s="58"/>
      <c r="E935" s="58"/>
      <c r="F935" s="58"/>
      <c r="I935" s="56"/>
      <c r="J935" s="58"/>
      <c r="K935" s="58"/>
      <c r="L935" s="58"/>
      <c r="M935" s="58"/>
    </row>
    <row r="936" spans="2:13" ht="12" x14ac:dyDescent="0.2">
      <c r="B936" s="55"/>
      <c r="C936" s="57"/>
      <c r="D936" s="57"/>
      <c r="E936" s="57"/>
      <c r="F936" s="57"/>
      <c r="I936" s="55"/>
      <c r="J936" s="57"/>
      <c r="K936" s="57"/>
      <c r="L936" s="57"/>
      <c r="M936" s="57"/>
    </row>
    <row r="937" spans="2:13" ht="12" x14ac:dyDescent="0.2">
      <c r="B937" s="56"/>
      <c r="C937" s="58"/>
      <c r="D937" s="58"/>
      <c r="E937" s="58"/>
      <c r="F937" s="58"/>
      <c r="I937" s="56"/>
      <c r="J937" s="58"/>
      <c r="K937" s="58"/>
      <c r="L937" s="58"/>
      <c r="M937" s="58"/>
    </row>
    <row r="938" spans="2:13" ht="12" x14ac:dyDescent="0.2">
      <c r="B938" s="55"/>
      <c r="C938" s="57"/>
      <c r="D938" s="57"/>
      <c r="E938" s="57"/>
      <c r="F938" s="57"/>
      <c r="I938" s="55"/>
      <c r="J938" s="57"/>
      <c r="K938" s="57"/>
      <c r="L938" s="57"/>
      <c r="M938" s="57"/>
    </row>
    <row r="939" spans="2:13" ht="12" x14ac:dyDescent="0.2">
      <c r="B939" s="56"/>
      <c r="C939" s="58"/>
      <c r="D939" s="58"/>
      <c r="E939" s="58"/>
      <c r="F939" s="58"/>
      <c r="I939" s="56"/>
      <c r="J939" s="58"/>
      <c r="K939" s="58"/>
      <c r="L939" s="58"/>
      <c r="M939" s="58"/>
    </row>
    <row r="940" spans="2:13" ht="12" x14ac:dyDescent="0.2">
      <c r="B940" s="55"/>
      <c r="C940" s="57"/>
      <c r="D940" s="57"/>
      <c r="E940" s="57"/>
      <c r="F940" s="57"/>
      <c r="I940" s="55"/>
      <c r="J940" s="57"/>
      <c r="K940" s="57"/>
      <c r="L940" s="57"/>
      <c r="M940" s="57"/>
    </row>
    <row r="941" spans="2:13" ht="12" x14ac:dyDescent="0.2">
      <c r="B941" s="56"/>
      <c r="C941" s="58"/>
      <c r="D941" s="58"/>
      <c r="E941" s="58"/>
      <c r="F941" s="58"/>
      <c r="I941" s="56"/>
      <c r="J941" s="58"/>
      <c r="K941" s="58"/>
      <c r="L941" s="58"/>
      <c r="M941" s="58"/>
    </row>
    <row r="942" spans="2:13" ht="12" x14ac:dyDescent="0.2">
      <c r="B942" s="55"/>
      <c r="C942" s="57"/>
      <c r="D942" s="57"/>
      <c r="E942" s="57"/>
      <c r="F942" s="57"/>
      <c r="I942" s="55"/>
      <c r="J942" s="57"/>
      <c r="K942" s="57"/>
      <c r="L942" s="57"/>
      <c r="M942" s="57"/>
    </row>
    <row r="943" spans="2:13" ht="12" x14ac:dyDescent="0.2">
      <c r="B943" s="56"/>
      <c r="C943" s="58"/>
      <c r="D943" s="58"/>
      <c r="E943" s="58"/>
      <c r="F943" s="58"/>
      <c r="I943" s="56"/>
      <c r="J943" s="58"/>
      <c r="K943" s="58"/>
      <c r="L943" s="58"/>
      <c r="M943" s="58"/>
    </row>
    <row r="944" spans="2:13" ht="12" x14ac:dyDescent="0.2">
      <c r="B944" s="55"/>
      <c r="C944" s="57"/>
      <c r="D944" s="57"/>
      <c r="E944" s="57"/>
      <c r="F944" s="57"/>
      <c r="I944" s="55"/>
      <c r="J944" s="57"/>
      <c r="K944" s="57"/>
      <c r="L944" s="57"/>
      <c r="M944" s="57"/>
    </row>
    <row r="945" spans="2:13" ht="12" x14ac:dyDescent="0.2">
      <c r="B945" s="56"/>
      <c r="C945" s="58"/>
      <c r="D945" s="58"/>
      <c r="E945" s="58"/>
      <c r="F945" s="58"/>
      <c r="I945" s="56"/>
      <c r="J945" s="58"/>
      <c r="K945" s="58"/>
      <c r="L945" s="58"/>
      <c r="M945" s="58"/>
    </row>
    <row r="946" spans="2:13" ht="12" x14ac:dyDescent="0.2">
      <c r="B946" s="55"/>
      <c r="C946" s="57"/>
      <c r="D946" s="57"/>
      <c r="E946" s="57"/>
      <c r="F946" s="57"/>
      <c r="I946" s="55"/>
      <c r="J946" s="57"/>
      <c r="K946" s="57"/>
      <c r="L946" s="57"/>
      <c r="M946" s="57"/>
    </row>
    <row r="947" spans="2:13" ht="12" x14ac:dyDescent="0.2">
      <c r="B947" s="56"/>
      <c r="C947" s="58"/>
      <c r="D947" s="58"/>
      <c r="E947" s="58"/>
      <c r="F947" s="58"/>
      <c r="I947" s="56"/>
      <c r="J947" s="58"/>
      <c r="K947" s="58"/>
      <c r="L947" s="58"/>
      <c r="M947" s="58"/>
    </row>
    <row r="948" spans="2:13" ht="12" x14ac:dyDescent="0.2">
      <c r="B948" s="55"/>
      <c r="C948" s="57"/>
      <c r="D948" s="57"/>
      <c r="E948" s="57"/>
      <c r="F948" s="57"/>
      <c r="I948" s="55"/>
      <c r="J948" s="57"/>
      <c r="K948" s="57"/>
      <c r="L948" s="57"/>
      <c r="M948" s="57"/>
    </row>
    <row r="949" spans="2:13" ht="12" x14ac:dyDescent="0.2">
      <c r="B949" s="56"/>
      <c r="C949" s="58"/>
      <c r="D949" s="58"/>
      <c r="E949" s="58"/>
      <c r="F949" s="58"/>
      <c r="I949" s="56"/>
      <c r="J949" s="58"/>
      <c r="K949" s="58"/>
      <c r="L949" s="58"/>
      <c r="M949" s="58"/>
    </row>
    <row r="950" spans="2:13" ht="12" x14ac:dyDescent="0.2">
      <c r="B950" s="55"/>
      <c r="C950" s="57"/>
      <c r="D950" s="57"/>
      <c r="E950" s="57"/>
      <c r="F950" s="57"/>
      <c r="I950" s="55"/>
      <c r="J950" s="57"/>
      <c r="K950" s="57"/>
      <c r="L950" s="57"/>
      <c r="M950" s="57"/>
    </row>
    <row r="951" spans="2:13" ht="12" x14ac:dyDescent="0.2">
      <c r="B951" s="56"/>
      <c r="C951" s="58"/>
      <c r="D951" s="58"/>
      <c r="E951" s="58"/>
      <c r="F951" s="58"/>
      <c r="I951" s="56"/>
      <c r="J951" s="58"/>
      <c r="K951" s="58"/>
      <c r="L951" s="58"/>
      <c r="M951" s="58"/>
    </row>
    <row r="952" spans="2:13" ht="12" x14ac:dyDescent="0.2">
      <c r="B952" s="55"/>
      <c r="C952" s="57"/>
      <c r="D952" s="57"/>
      <c r="E952" s="57"/>
      <c r="F952" s="57"/>
      <c r="I952" s="55"/>
      <c r="J952" s="57"/>
      <c r="K952" s="57"/>
      <c r="L952" s="57"/>
      <c r="M952" s="57"/>
    </row>
    <row r="953" spans="2:13" ht="12" x14ac:dyDescent="0.2">
      <c r="B953" s="56"/>
      <c r="C953" s="58"/>
      <c r="D953" s="58"/>
      <c r="E953" s="58"/>
      <c r="F953" s="58"/>
      <c r="I953" s="56"/>
      <c r="J953" s="58"/>
      <c r="K953" s="58"/>
      <c r="L953" s="58"/>
      <c r="M953" s="58"/>
    </row>
    <row r="954" spans="2:13" ht="12" x14ac:dyDescent="0.2">
      <c r="B954" s="55"/>
      <c r="C954" s="57"/>
      <c r="D954" s="57"/>
      <c r="E954" s="57"/>
      <c r="F954" s="57"/>
      <c r="I954" s="55"/>
      <c r="J954" s="57"/>
      <c r="K954" s="57"/>
      <c r="L954" s="57"/>
      <c r="M954" s="57"/>
    </row>
    <row r="955" spans="2:13" ht="12" x14ac:dyDescent="0.2">
      <c r="B955" s="56"/>
      <c r="C955" s="58"/>
      <c r="D955" s="58"/>
      <c r="E955" s="58"/>
      <c r="F955" s="58"/>
      <c r="I955" s="56"/>
      <c r="J955" s="58"/>
      <c r="K955" s="58"/>
      <c r="L955" s="58"/>
      <c r="M955" s="58"/>
    </row>
    <row r="956" spans="2:13" ht="12" x14ac:dyDescent="0.2">
      <c r="B956" s="55"/>
      <c r="C956" s="57"/>
      <c r="D956" s="57"/>
      <c r="E956" s="57"/>
      <c r="F956" s="57"/>
      <c r="I956" s="55"/>
      <c r="J956" s="57"/>
      <c r="K956" s="57"/>
      <c r="L956" s="57"/>
      <c r="M956" s="57"/>
    </row>
    <row r="957" spans="2:13" ht="12" x14ac:dyDescent="0.2">
      <c r="B957" s="56"/>
      <c r="C957" s="58"/>
      <c r="D957" s="58"/>
      <c r="E957" s="58"/>
      <c r="F957" s="58"/>
      <c r="I957" s="56"/>
      <c r="J957" s="58"/>
      <c r="K957" s="58"/>
      <c r="L957" s="58"/>
      <c r="M957" s="58"/>
    </row>
    <row r="958" spans="2:13" ht="12" x14ac:dyDescent="0.2">
      <c r="B958" s="55"/>
      <c r="C958" s="57"/>
      <c r="D958" s="57"/>
      <c r="E958" s="57"/>
      <c r="F958" s="57"/>
      <c r="I958" s="55"/>
      <c r="J958" s="57"/>
      <c r="K958" s="57"/>
      <c r="L958" s="57"/>
      <c r="M958" s="57"/>
    </row>
    <row r="959" spans="2:13" ht="12" x14ac:dyDescent="0.2">
      <c r="B959" s="56"/>
      <c r="C959" s="58"/>
      <c r="D959" s="58"/>
      <c r="E959" s="58"/>
      <c r="F959" s="58"/>
      <c r="I959" s="56"/>
      <c r="J959" s="58"/>
      <c r="K959" s="58"/>
      <c r="L959" s="58"/>
      <c r="M959" s="58"/>
    </row>
    <row r="960" spans="2:13" ht="12" x14ac:dyDescent="0.2">
      <c r="B960" s="55"/>
      <c r="C960" s="57"/>
      <c r="D960" s="57"/>
      <c r="E960" s="57"/>
      <c r="F960" s="57"/>
      <c r="I960" s="55"/>
      <c r="J960" s="57"/>
      <c r="K960" s="57"/>
      <c r="L960" s="57"/>
      <c r="M960" s="57"/>
    </row>
    <row r="961" spans="2:13" ht="12" x14ac:dyDescent="0.2">
      <c r="B961" s="56"/>
      <c r="C961" s="58"/>
      <c r="D961" s="58"/>
      <c r="E961" s="58"/>
      <c r="F961" s="58"/>
      <c r="I961" s="56"/>
      <c r="J961" s="58"/>
      <c r="K961" s="58"/>
      <c r="L961" s="58"/>
      <c r="M961" s="58"/>
    </row>
    <row r="962" spans="2:13" ht="12" x14ac:dyDescent="0.2">
      <c r="B962" s="55"/>
      <c r="C962" s="57"/>
      <c r="D962" s="57"/>
      <c r="E962" s="57"/>
      <c r="F962" s="57"/>
      <c r="I962" s="55"/>
      <c r="J962" s="57"/>
      <c r="K962" s="57"/>
      <c r="L962" s="57"/>
      <c r="M962" s="57"/>
    </row>
    <row r="963" spans="2:13" ht="12" x14ac:dyDescent="0.2">
      <c r="B963" s="56"/>
      <c r="C963" s="58"/>
      <c r="D963" s="58"/>
      <c r="E963" s="58"/>
      <c r="F963" s="58"/>
      <c r="I963" s="56"/>
      <c r="J963" s="58"/>
      <c r="K963" s="58"/>
      <c r="L963" s="58"/>
      <c r="M963" s="58"/>
    </row>
    <row r="964" spans="2:13" ht="12" x14ac:dyDescent="0.2">
      <c r="B964" s="55"/>
      <c r="C964" s="57"/>
      <c r="D964" s="57"/>
      <c r="E964" s="57"/>
      <c r="F964" s="57"/>
      <c r="I964" s="55"/>
      <c r="J964" s="57"/>
      <c r="K964" s="57"/>
      <c r="L964" s="57"/>
      <c r="M964" s="57"/>
    </row>
    <row r="965" spans="2:13" ht="12" x14ac:dyDescent="0.2">
      <c r="B965" s="56"/>
      <c r="C965" s="58"/>
      <c r="D965" s="58"/>
      <c r="E965" s="58"/>
      <c r="F965" s="58"/>
      <c r="I965" s="56"/>
      <c r="J965" s="58"/>
      <c r="K965" s="58"/>
      <c r="L965" s="58"/>
      <c r="M965" s="58"/>
    </row>
    <row r="966" spans="2:13" ht="12" x14ac:dyDescent="0.2">
      <c r="B966" s="55"/>
      <c r="C966" s="57"/>
      <c r="D966" s="57"/>
      <c r="E966" s="57"/>
      <c r="F966" s="57"/>
      <c r="I966" s="55"/>
      <c r="J966" s="57"/>
      <c r="K966" s="57"/>
      <c r="L966" s="57"/>
      <c r="M966" s="57"/>
    </row>
    <row r="967" spans="2:13" ht="12" x14ac:dyDescent="0.2">
      <c r="B967" s="56"/>
      <c r="C967" s="58"/>
      <c r="D967" s="58"/>
      <c r="E967" s="58"/>
      <c r="F967" s="58"/>
      <c r="I967" s="56"/>
      <c r="J967" s="58"/>
      <c r="K967" s="58"/>
      <c r="L967" s="58"/>
      <c r="M967" s="58"/>
    </row>
    <row r="968" spans="2:13" ht="12" x14ac:dyDescent="0.2">
      <c r="B968" s="55"/>
      <c r="C968" s="57"/>
      <c r="D968" s="57"/>
      <c r="E968" s="57"/>
      <c r="F968" s="57"/>
      <c r="I968" s="55"/>
      <c r="J968" s="57"/>
      <c r="K968" s="57"/>
      <c r="L968" s="57"/>
      <c r="M968" s="57"/>
    </row>
    <row r="969" spans="2:13" ht="12" x14ac:dyDescent="0.2">
      <c r="B969" s="56"/>
      <c r="C969" s="58"/>
      <c r="D969" s="58"/>
      <c r="E969" s="58"/>
      <c r="F969" s="58"/>
      <c r="I969" s="56"/>
      <c r="J969" s="58"/>
      <c r="K969" s="58"/>
      <c r="L969" s="58"/>
      <c r="M969" s="58"/>
    </row>
    <row r="970" spans="2:13" ht="12" x14ac:dyDescent="0.2">
      <c r="B970" s="55"/>
      <c r="C970" s="57"/>
      <c r="D970" s="57"/>
      <c r="E970" s="57"/>
      <c r="F970" s="57"/>
      <c r="I970" s="55"/>
      <c r="J970" s="57"/>
      <c r="K970" s="57"/>
      <c r="L970" s="57"/>
      <c r="M970" s="57"/>
    </row>
    <row r="971" spans="2:13" ht="12" x14ac:dyDescent="0.2">
      <c r="B971" s="56"/>
      <c r="C971" s="58"/>
      <c r="D971" s="58"/>
      <c r="E971" s="58"/>
      <c r="F971" s="58"/>
      <c r="I971" s="56"/>
      <c r="J971" s="58"/>
      <c r="K971" s="58"/>
      <c r="L971" s="58"/>
      <c r="M971" s="58"/>
    </row>
    <row r="972" spans="2:13" ht="12" x14ac:dyDescent="0.2">
      <c r="B972" s="55"/>
      <c r="C972" s="57"/>
      <c r="D972" s="57"/>
      <c r="E972" s="57"/>
      <c r="F972" s="57"/>
      <c r="I972" s="55"/>
      <c r="J972" s="57"/>
      <c r="K972" s="57"/>
      <c r="L972" s="57"/>
      <c r="M972" s="57"/>
    </row>
    <row r="973" spans="2:13" ht="12" x14ac:dyDescent="0.2">
      <c r="B973" s="56"/>
      <c r="C973" s="58"/>
      <c r="D973" s="58"/>
      <c r="E973" s="58"/>
      <c r="F973" s="58"/>
      <c r="I973" s="56"/>
      <c r="J973" s="58"/>
      <c r="K973" s="58"/>
      <c r="L973" s="58"/>
      <c r="M973" s="58"/>
    </row>
    <row r="974" spans="2:13" ht="12" x14ac:dyDescent="0.2">
      <c r="B974" s="55"/>
      <c r="C974" s="57"/>
      <c r="D974" s="57"/>
      <c r="E974" s="57"/>
      <c r="F974" s="57"/>
      <c r="I974" s="55"/>
      <c r="J974" s="57"/>
      <c r="K974" s="57"/>
      <c r="L974" s="57"/>
      <c r="M974" s="57"/>
    </row>
    <row r="975" spans="2:13" ht="12" x14ac:dyDescent="0.2">
      <c r="B975" s="56"/>
      <c r="C975" s="58"/>
      <c r="D975" s="58"/>
      <c r="E975" s="58"/>
      <c r="F975" s="58"/>
      <c r="I975" s="56"/>
      <c r="J975" s="58"/>
      <c r="K975" s="58"/>
      <c r="L975" s="58"/>
      <c r="M975" s="58"/>
    </row>
    <row r="976" spans="2:13" ht="12" x14ac:dyDescent="0.2">
      <c r="B976" s="55"/>
      <c r="C976" s="57"/>
      <c r="D976" s="57"/>
      <c r="E976" s="57"/>
      <c r="F976" s="57"/>
      <c r="I976" s="55"/>
      <c r="J976" s="57"/>
      <c r="K976" s="57"/>
      <c r="L976" s="57"/>
      <c r="M976" s="57"/>
    </row>
    <row r="977" spans="2:13" ht="12" x14ac:dyDescent="0.2">
      <c r="B977" s="56"/>
      <c r="C977" s="58"/>
      <c r="D977" s="58"/>
      <c r="E977" s="58"/>
      <c r="F977" s="58"/>
      <c r="I977" s="56"/>
      <c r="J977" s="58"/>
      <c r="K977" s="58"/>
      <c r="L977" s="58"/>
      <c r="M977" s="58"/>
    </row>
    <row r="978" spans="2:13" ht="12" x14ac:dyDescent="0.2">
      <c r="B978" s="55"/>
      <c r="C978" s="57"/>
      <c r="D978" s="57"/>
      <c r="E978" s="57"/>
      <c r="F978" s="57"/>
      <c r="I978" s="55"/>
      <c r="J978" s="57"/>
      <c r="K978" s="57"/>
      <c r="L978" s="57"/>
      <c r="M978" s="57"/>
    </row>
    <row r="979" spans="2:13" ht="12" x14ac:dyDescent="0.2">
      <c r="B979" s="56"/>
      <c r="C979" s="58"/>
      <c r="D979" s="58"/>
      <c r="E979" s="58"/>
      <c r="F979" s="58"/>
      <c r="I979" s="56"/>
      <c r="J979" s="58"/>
      <c r="K979" s="58"/>
      <c r="L979" s="58"/>
      <c r="M979" s="58"/>
    </row>
    <row r="980" spans="2:13" ht="12" x14ac:dyDescent="0.2">
      <c r="B980" s="55"/>
      <c r="C980" s="57"/>
      <c r="D980" s="57"/>
      <c r="E980" s="57"/>
      <c r="F980" s="57"/>
      <c r="I980" s="55"/>
      <c r="J980" s="57"/>
      <c r="K980" s="57"/>
      <c r="L980" s="57"/>
      <c r="M980" s="57"/>
    </row>
    <row r="981" spans="2:13" ht="12" x14ac:dyDescent="0.2">
      <c r="B981" s="56"/>
      <c r="C981" s="58"/>
      <c r="D981" s="58"/>
      <c r="E981" s="58"/>
      <c r="F981" s="58"/>
      <c r="I981" s="56"/>
      <c r="J981" s="58"/>
      <c r="K981" s="58"/>
      <c r="L981" s="58"/>
      <c r="M981" s="58"/>
    </row>
    <row r="982" spans="2:13" ht="12" x14ac:dyDescent="0.2">
      <c r="B982" s="55"/>
      <c r="C982" s="57"/>
      <c r="D982" s="57"/>
      <c r="E982" s="57"/>
      <c r="F982" s="57"/>
      <c r="I982" s="55"/>
      <c r="J982" s="57"/>
      <c r="K982" s="57"/>
      <c r="L982" s="57"/>
      <c r="M982" s="57"/>
    </row>
    <row r="983" spans="2:13" ht="12" x14ac:dyDescent="0.2">
      <c r="B983" s="56"/>
      <c r="C983" s="58"/>
      <c r="D983" s="58"/>
      <c r="E983" s="58"/>
      <c r="F983" s="58"/>
      <c r="I983" s="56"/>
      <c r="J983" s="58"/>
      <c r="K983" s="58"/>
      <c r="L983" s="58"/>
      <c r="M983" s="58"/>
    </row>
    <row r="984" spans="2:13" ht="12" x14ac:dyDescent="0.2">
      <c r="B984" s="55"/>
      <c r="C984" s="57"/>
      <c r="D984" s="57"/>
      <c r="E984" s="57"/>
      <c r="F984" s="57"/>
      <c r="I984" s="55"/>
      <c r="J984" s="57"/>
      <c r="K984" s="57"/>
      <c r="L984" s="57"/>
      <c r="M984" s="57"/>
    </row>
    <row r="985" spans="2:13" ht="12" x14ac:dyDescent="0.2">
      <c r="B985" s="56"/>
      <c r="C985" s="58"/>
      <c r="D985" s="58"/>
      <c r="E985" s="58"/>
      <c r="F985" s="58"/>
      <c r="I985" s="56"/>
      <c r="J985" s="58"/>
      <c r="K985" s="58"/>
      <c r="L985" s="58"/>
      <c r="M985" s="58"/>
    </row>
    <row r="986" spans="2:13" ht="12" x14ac:dyDescent="0.2">
      <c r="B986" s="55"/>
      <c r="C986" s="57"/>
      <c r="D986" s="57"/>
      <c r="E986" s="57"/>
      <c r="F986" s="57"/>
      <c r="I986" s="55"/>
      <c r="J986" s="57"/>
      <c r="K986" s="57"/>
      <c r="L986" s="57"/>
      <c r="M986" s="57"/>
    </row>
    <row r="987" spans="2:13" ht="12" x14ac:dyDescent="0.2">
      <c r="B987" s="56"/>
      <c r="C987" s="58"/>
      <c r="D987" s="58"/>
      <c r="E987" s="58"/>
      <c r="F987" s="58"/>
      <c r="I987" s="56"/>
      <c r="J987" s="58"/>
      <c r="K987" s="58"/>
      <c r="L987" s="58"/>
      <c r="M987" s="58"/>
    </row>
    <row r="988" spans="2:13" ht="12" x14ac:dyDescent="0.2">
      <c r="B988" s="55"/>
      <c r="C988" s="57"/>
      <c r="D988" s="57"/>
      <c r="E988" s="57"/>
      <c r="F988" s="57"/>
      <c r="I988" s="55"/>
      <c r="J988" s="57"/>
      <c r="K988" s="57"/>
      <c r="L988" s="57"/>
      <c r="M988" s="57"/>
    </row>
    <row r="989" spans="2:13" ht="12" x14ac:dyDescent="0.2">
      <c r="B989" s="56"/>
      <c r="C989" s="58"/>
      <c r="D989" s="58"/>
      <c r="E989" s="58"/>
      <c r="F989" s="58"/>
      <c r="I989" s="56"/>
      <c r="J989" s="58"/>
      <c r="K989" s="58"/>
      <c r="L989" s="58"/>
      <c r="M989" s="58"/>
    </row>
    <row r="990" spans="2:13" ht="12" x14ac:dyDescent="0.2">
      <c r="B990" s="55"/>
      <c r="C990" s="57"/>
      <c r="D990" s="57"/>
      <c r="E990" s="57"/>
      <c r="F990" s="57"/>
      <c r="I990" s="55"/>
      <c r="J990" s="57"/>
      <c r="K990" s="57"/>
      <c r="L990" s="57"/>
      <c r="M990" s="57"/>
    </row>
    <row r="991" spans="2:13" ht="12" x14ac:dyDescent="0.2">
      <c r="B991" s="56"/>
      <c r="C991" s="58"/>
      <c r="D991" s="58"/>
      <c r="E991" s="58"/>
      <c r="F991" s="58"/>
      <c r="I991" s="56"/>
      <c r="J991" s="58"/>
      <c r="K991" s="58"/>
      <c r="L991" s="58"/>
      <c r="M991" s="58"/>
    </row>
    <row r="992" spans="2:13" ht="12" x14ac:dyDescent="0.2">
      <c r="B992" s="55"/>
      <c r="C992" s="57"/>
      <c r="D992" s="57"/>
      <c r="E992" s="57"/>
      <c r="F992" s="57"/>
      <c r="I992" s="55"/>
      <c r="J992" s="57"/>
      <c r="K992" s="57"/>
      <c r="L992" s="57"/>
      <c r="M992" s="57"/>
    </row>
    <row r="993" spans="2:13" ht="12" x14ac:dyDescent="0.2">
      <c r="B993" s="56"/>
      <c r="C993" s="58"/>
      <c r="D993" s="58"/>
      <c r="E993" s="58"/>
      <c r="F993" s="58"/>
      <c r="I993" s="56"/>
      <c r="J993" s="58"/>
      <c r="K993" s="58"/>
      <c r="L993" s="58"/>
      <c r="M993" s="58"/>
    </row>
    <row r="994" spans="2:13" ht="12" x14ac:dyDescent="0.2">
      <c r="B994" s="55"/>
      <c r="C994" s="57"/>
      <c r="D994" s="57"/>
      <c r="E994" s="57"/>
      <c r="F994" s="57"/>
      <c r="I994" s="55"/>
      <c r="J994" s="57"/>
      <c r="K994" s="57"/>
      <c r="L994" s="57"/>
      <c r="M994" s="57"/>
    </row>
    <row r="995" spans="2:13" ht="12" x14ac:dyDescent="0.2">
      <c r="B995" s="56"/>
      <c r="C995" s="58"/>
      <c r="D995" s="58"/>
      <c r="E995" s="58"/>
      <c r="F995" s="58"/>
      <c r="I995" s="56"/>
      <c r="J995" s="58"/>
      <c r="K995" s="58"/>
      <c r="L995" s="58"/>
      <c r="M995" s="58"/>
    </row>
    <row r="996" spans="2:13" ht="12" x14ac:dyDescent="0.2">
      <c r="B996" s="55"/>
      <c r="C996" s="57"/>
      <c r="D996" s="57"/>
      <c r="E996" s="57"/>
      <c r="F996" s="57"/>
      <c r="I996" s="55"/>
      <c r="J996" s="57"/>
      <c r="K996" s="57"/>
      <c r="L996" s="57"/>
      <c r="M996" s="57"/>
    </row>
    <row r="997" spans="2:13" ht="12" x14ac:dyDescent="0.2">
      <c r="B997" s="56"/>
      <c r="C997" s="58"/>
      <c r="D997" s="58"/>
      <c r="E997" s="58"/>
      <c r="F997" s="58"/>
      <c r="I997" s="56"/>
      <c r="J997" s="58"/>
      <c r="K997" s="58"/>
      <c r="L997" s="58"/>
      <c r="M997" s="58"/>
    </row>
    <row r="998" spans="2:13" ht="12" x14ac:dyDescent="0.2">
      <c r="B998" s="55"/>
      <c r="C998" s="57"/>
      <c r="D998" s="57"/>
      <c r="E998" s="57"/>
      <c r="F998" s="57"/>
      <c r="I998" s="55"/>
      <c r="J998" s="57"/>
      <c r="K998" s="57"/>
      <c r="L998" s="57"/>
      <c r="M998" s="57"/>
    </row>
    <row r="999" spans="2:13" ht="12" x14ac:dyDescent="0.2">
      <c r="B999" s="56"/>
      <c r="C999" s="58"/>
      <c r="D999" s="58"/>
      <c r="E999" s="58"/>
      <c r="F999" s="58"/>
      <c r="I999" s="56"/>
      <c r="J999" s="58"/>
      <c r="K999" s="58"/>
      <c r="L999" s="58"/>
      <c r="M999" s="58"/>
    </row>
    <row r="1000" spans="2:13" ht="12" x14ac:dyDescent="0.2">
      <c r="B1000" s="55"/>
      <c r="C1000" s="57"/>
      <c r="D1000" s="57"/>
      <c r="E1000" s="57"/>
      <c r="F1000" s="57"/>
      <c r="I1000" s="55"/>
      <c r="J1000" s="57"/>
      <c r="K1000" s="57"/>
      <c r="L1000" s="57"/>
      <c r="M1000" s="57"/>
    </row>
    <row r="1001" spans="2:13" ht="12" x14ac:dyDescent="0.2">
      <c r="B1001" s="56"/>
      <c r="C1001" s="58"/>
      <c r="D1001" s="58"/>
      <c r="E1001" s="58"/>
      <c r="F1001" s="58"/>
      <c r="I1001" s="56"/>
      <c r="J1001" s="58"/>
      <c r="K1001" s="58"/>
      <c r="L1001" s="58"/>
      <c r="M1001" s="58"/>
    </row>
    <row r="1002" spans="2:13" ht="12" x14ac:dyDescent="0.2">
      <c r="B1002" s="55"/>
      <c r="C1002" s="57"/>
      <c r="D1002" s="57"/>
      <c r="E1002" s="57"/>
      <c r="F1002" s="57"/>
      <c r="I1002" s="55"/>
      <c r="J1002" s="57"/>
      <c r="K1002" s="57"/>
      <c r="L1002" s="57"/>
      <c r="M1002" s="57"/>
    </row>
    <row r="1003" spans="2:13" ht="12" x14ac:dyDescent="0.2">
      <c r="B1003" s="56"/>
      <c r="C1003" s="58"/>
      <c r="D1003" s="58"/>
      <c r="E1003" s="58"/>
      <c r="F1003" s="58"/>
      <c r="I1003" s="56"/>
      <c r="J1003" s="58"/>
      <c r="K1003" s="58"/>
      <c r="L1003" s="58"/>
      <c r="M1003" s="58"/>
    </row>
    <row r="1004" spans="2:13" ht="12" x14ac:dyDescent="0.2">
      <c r="B1004" s="55"/>
      <c r="C1004" s="57"/>
      <c r="D1004" s="57"/>
      <c r="E1004" s="57"/>
      <c r="F1004" s="57"/>
      <c r="I1004" s="55"/>
      <c r="J1004" s="57"/>
      <c r="K1004" s="57"/>
      <c r="L1004" s="57"/>
      <c r="M1004" s="57"/>
    </row>
    <row r="1005" spans="2:13" ht="12" x14ac:dyDescent="0.2">
      <c r="B1005" s="56"/>
      <c r="C1005" s="58"/>
      <c r="D1005" s="58"/>
      <c r="E1005" s="58"/>
      <c r="F1005" s="58"/>
      <c r="I1005" s="56"/>
      <c r="J1005" s="58"/>
      <c r="K1005" s="58"/>
      <c r="L1005" s="58"/>
      <c r="M1005" s="58"/>
    </row>
    <row r="1006" spans="2:13" ht="12" x14ac:dyDescent="0.2">
      <c r="B1006" s="55"/>
      <c r="C1006" s="57"/>
      <c r="D1006" s="57"/>
      <c r="E1006" s="57"/>
      <c r="F1006" s="57"/>
      <c r="I1006" s="55"/>
      <c r="J1006" s="57"/>
      <c r="K1006" s="57"/>
      <c r="L1006" s="57"/>
      <c r="M1006" s="57"/>
    </row>
    <row r="1007" spans="2:13" ht="12" x14ac:dyDescent="0.2">
      <c r="B1007" s="56"/>
      <c r="C1007" s="58"/>
      <c r="D1007" s="58"/>
      <c r="E1007" s="58"/>
      <c r="F1007" s="58"/>
      <c r="I1007" s="56"/>
      <c r="J1007" s="58"/>
      <c r="K1007" s="58"/>
      <c r="L1007" s="58"/>
      <c r="M1007" s="58"/>
    </row>
    <row r="1008" spans="2:13" ht="12" x14ac:dyDescent="0.2">
      <c r="B1008" s="55"/>
      <c r="C1008" s="57"/>
      <c r="D1008" s="57"/>
      <c r="E1008" s="57"/>
      <c r="F1008" s="57"/>
      <c r="I1008" s="55"/>
      <c r="J1008" s="57"/>
      <c r="K1008" s="57"/>
      <c r="L1008" s="57"/>
      <c r="M1008" s="57"/>
    </row>
    <row r="1009" spans="2:13" ht="12" x14ac:dyDescent="0.2">
      <c r="B1009" s="56"/>
      <c r="C1009" s="58"/>
      <c r="D1009" s="58"/>
      <c r="E1009" s="58"/>
      <c r="F1009" s="58"/>
      <c r="I1009" s="56"/>
      <c r="J1009" s="58"/>
      <c r="K1009" s="58"/>
      <c r="L1009" s="58"/>
      <c r="M1009" s="58"/>
    </row>
    <row r="1010" spans="2:13" ht="12" x14ac:dyDescent="0.2">
      <c r="B1010" s="55"/>
      <c r="C1010" s="57"/>
      <c r="D1010" s="57"/>
      <c r="E1010" s="57"/>
      <c r="F1010" s="57"/>
      <c r="I1010" s="55"/>
      <c r="J1010" s="57"/>
      <c r="K1010" s="57"/>
      <c r="L1010" s="57"/>
      <c r="M1010" s="57"/>
    </row>
    <row r="1011" spans="2:13" ht="12" x14ac:dyDescent="0.2">
      <c r="B1011" s="56"/>
      <c r="C1011" s="58"/>
      <c r="D1011" s="58"/>
      <c r="E1011" s="58"/>
      <c r="F1011" s="58"/>
      <c r="I1011" s="56"/>
      <c r="J1011" s="58"/>
      <c r="K1011" s="58"/>
      <c r="L1011" s="58"/>
      <c r="M1011" s="58"/>
    </row>
    <row r="1012" spans="2:13" ht="12" x14ac:dyDescent="0.2">
      <c r="B1012" s="55"/>
      <c r="C1012" s="57"/>
      <c r="D1012" s="57"/>
      <c r="E1012" s="57"/>
      <c r="F1012" s="57"/>
      <c r="I1012" s="55"/>
      <c r="J1012" s="57"/>
      <c r="K1012" s="57"/>
      <c r="L1012" s="57"/>
      <c r="M1012" s="57"/>
    </row>
    <row r="1013" spans="2:13" ht="12" x14ac:dyDescent="0.2">
      <c r="B1013" s="56"/>
      <c r="C1013" s="58"/>
      <c r="D1013" s="58"/>
      <c r="E1013" s="58"/>
      <c r="F1013" s="58"/>
      <c r="I1013" s="56"/>
      <c r="J1013" s="58"/>
      <c r="K1013" s="58"/>
      <c r="L1013" s="58"/>
      <c r="M1013" s="58"/>
    </row>
    <row r="1014" spans="2:13" ht="12" x14ac:dyDescent="0.2">
      <c r="B1014" s="55"/>
      <c r="C1014" s="57"/>
      <c r="D1014" s="57"/>
      <c r="E1014" s="57"/>
      <c r="F1014" s="57"/>
      <c r="I1014" s="55"/>
      <c r="J1014" s="57"/>
      <c r="K1014" s="57"/>
      <c r="L1014" s="57"/>
      <c r="M1014" s="57"/>
    </row>
    <row r="1015" spans="2:13" ht="12" x14ac:dyDescent="0.2">
      <c r="B1015" s="56"/>
      <c r="C1015" s="58"/>
      <c r="D1015" s="58"/>
      <c r="E1015" s="58"/>
      <c r="F1015" s="58"/>
      <c r="I1015" s="56"/>
      <c r="J1015" s="58"/>
      <c r="K1015" s="58"/>
      <c r="L1015" s="58"/>
      <c r="M1015" s="58"/>
    </row>
    <row r="1016" spans="2:13" ht="12" x14ac:dyDescent="0.2">
      <c r="B1016" s="55"/>
      <c r="C1016" s="57"/>
      <c r="D1016" s="57"/>
      <c r="E1016" s="57"/>
      <c r="F1016" s="57"/>
      <c r="I1016" s="55"/>
      <c r="J1016" s="57"/>
      <c r="K1016" s="57"/>
      <c r="L1016" s="57"/>
      <c r="M1016" s="57"/>
    </row>
    <row r="1017" spans="2:13" ht="12" x14ac:dyDescent="0.2">
      <c r="B1017" s="56"/>
      <c r="C1017" s="58"/>
      <c r="D1017" s="58"/>
      <c r="E1017" s="58"/>
      <c r="F1017" s="58"/>
      <c r="I1017" s="56"/>
      <c r="J1017" s="58"/>
      <c r="K1017" s="58"/>
      <c r="L1017" s="58"/>
      <c r="M1017" s="58"/>
    </row>
    <row r="1018" spans="2:13" ht="12" x14ac:dyDescent="0.2">
      <c r="B1018" s="55"/>
      <c r="C1018" s="57"/>
      <c r="D1018" s="57"/>
      <c r="E1018" s="57"/>
      <c r="F1018" s="57"/>
      <c r="I1018" s="55"/>
      <c r="J1018" s="57"/>
      <c r="K1018" s="57"/>
      <c r="L1018" s="57"/>
      <c r="M1018" s="57"/>
    </row>
    <row r="1019" spans="2:13" ht="12" x14ac:dyDescent="0.2">
      <c r="B1019" s="56"/>
      <c r="C1019" s="58"/>
      <c r="D1019" s="58"/>
      <c r="E1019" s="58"/>
      <c r="F1019" s="58"/>
      <c r="I1019" s="56"/>
      <c r="J1019" s="58"/>
      <c r="K1019" s="58"/>
      <c r="L1019" s="58"/>
      <c r="M1019" s="58"/>
    </row>
    <row r="1020" spans="2:13" ht="12" x14ac:dyDescent="0.2">
      <c r="B1020" s="55"/>
      <c r="C1020" s="57"/>
      <c r="D1020" s="57"/>
      <c r="E1020" s="57"/>
      <c r="F1020" s="57"/>
      <c r="I1020" s="55"/>
      <c r="J1020" s="57"/>
      <c r="K1020" s="57"/>
      <c r="L1020" s="57"/>
      <c r="M1020" s="57"/>
    </row>
    <row r="1021" spans="2:13" ht="12" x14ac:dyDescent="0.2">
      <c r="B1021" s="56"/>
      <c r="C1021" s="58"/>
      <c r="D1021" s="58"/>
      <c r="E1021" s="58"/>
      <c r="F1021" s="58"/>
      <c r="I1021" s="56"/>
      <c r="J1021" s="58"/>
      <c r="K1021" s="58"/>
      <c r="L1021" s="58"/>
      <c r="M1021" s="58"/>
    </row>
    <row r="1022" spans="2:13" ht="12" x14ac:dyDescent="0.2">
      <c r="B1022" s="55"/>
      <c r="C1022" s="57"/>
      <c r="D1022" s="57"/>
      <c r="E1022" s="57"/>
      <c r="F1022" s="57"/>
      <c r="I1022" s="55"/>
      <c r="J1022" s="57"/>
      <c r="K1022" s="57"/>
      <c r="L1022" s="57"/>
      <c r="M1022" s="57"/>
    </row>
    <row r="1023" spans="2:13" ht="12" x14ac:dyDescent="0.2">
      <c r="B1023" s="56"/>
      <c r="C1023" s="58"/>
      <c r="D1023" s="58"/>
      <c r="E1023" s="58"/>
      <c r="F1023" s="58"/>
      <c r="I1023" s="56"/>
      <c r="J1023" s="58"/>
      <c r="K1023" s="58"/>
      <c r="L1023" s="58"/>
      <c r="M1023" s="58"/>
    </row>
    <row r="1024" spans="2:13" ht="12" x14ac:dyDescent="0.2">
      <c r="B1024" s="55"/>
      <c r="C1024" s="57"/>
      <c r="D1024" s="57"/>
      <c r="E1024" s="57"/>
      <c r="F1024" s="57"/>
      <c r="I1024" s="55"/>
      <c r="J1024" s="57"/>
      <c r="K1024" s="57"/>
      <c r="L1024" s="57"/>
      <c r="M1024" s="57"/>
    </row>
    <row r="1025" spans="2:13" ht="12" x14ac:dyDescent="0.2">
      <c r="B1025" s="56"/>
      <c r="C1025" s="58"/>
      <c r="D1025" s="58"/>
      <c r="E1025" s="58"/>
      <c r="F1025" s="58"/>
      <c r="I1025" s="56"/>
      <c r="J1025" s="58"/>
      <c r="K1025" s="58"/>
      <c r="L1025" s="58"/>
      <c r="M1025" s="58"/>
    </row>
    <row r="1026" spans="2:13" ht="12" x14ac:dyDescent="0.2">
      <c r="B1026" s="55"/>
      <c r="C1026" s="57"/>
      <c r="D1026" s="57"/>
      <c r="E1026" s="57"/>
      <c r="F1026" s="57"/>
      <c r="I1026" s="55"/>
      <c r="J1026" s="57"/>
      <c r="K1026" s="57"/>
      <c r="L1026" s="57"/>
      <c r="M1026" s="57"/>
    </row>
    <row r="1027" spans="2:13" ht="12" x14ac:dyDescent="0.2">
      <c r="B1027" s="56"/>
      <c r="C1027" s="58"/>
      <c r="D1027" s="58"/>
      <c r="E1027" s="58"/>
      <c r="F1027" s="58"/>
      <c r="I1027" s="56"/>
      <c r="J1027" s="58"/>
      <c r="K1027" s="58"/>
      <c r="L1027" s="58"/>
      <c r="M1027" s="58"/>
    </row>
    <row r="1028" spans="2:13" ht="12" x14ac:dyDescent="0.2">
      <c r="B1028" s="55"/>
      <c r="C1028" s="57"/>
      <c r="D1028" s="57"/>
      <c r="E1028" s="57"/>
      <c r="F1028" s="57"/>
      <c r="I1028" s="55"/>
      <c r="J1028" s="57"/>
      <c r="K1028" s="57"/>
      <c r="L1028" s="57"/>
      <c r="M1028" s="57"/>
    </row>
    <row r="1029" spans="2:13" ht="12" x14ac:dyDescent="0.2">
      <c r="B1029" s="56"/>
      <c r="C1029" s="58"/>
      <c r="D1029" s="58"/>
      <c r="E1029" s="58"/>
      <c r="F1029" s="58"/>
      <c r="I1029" s="56"/>
      <c r="J1029" s="58"/>
      <c r="K1029" s="58"/>
      <c r="L1029" s="58"/>
      <c r="M1029" s="58"/>
    </row>
    <row r="1030" spans="2:13" ht="12" x14ac:dyDescent="0.2">
      <c r="B1030" s="55"/>
      <c r="C1030" s="57"/>
      <c r="D1030" s="57"/>
      <c r="E1030" s="57"/>
      <c r="F1030" s="57"/>
      <c r="I1030" s="55"/>
      <c r="J1030" s="57"/>
      <c r="K1030" s="57"/>
      <c r="L1030" s="57"/>
      <c r="M1030" s="57"/>
    </row>
    <row r="1031" spans="2:13" ht="12" x14ac:dyDescent="0.2">
      <c r="B1031" s="56"/>
      <c r="C1031" s="58"/>
      <c r="D1031" s="58"/>
      <c r="E1031" s="58"/>
      <c r="F1031" s="58"/>
      <c r="I1031" s="56"/>
      <c r="J1031" s="58"/>
      <c r="K1031" s="58"/>
      <c r="L1031" s="58"/>
      <c r="M1031" s="58"/>
    </row>
    <row r="1032" spans="2:13" ht="12" x14ac:dyDescent="0.2">
      <c r="B1032" s="55"/>
      <c r="C1032" s="57"/>
      <c r="D1032" s="57"/>
      <c r="E1032" s="57"/>
      <c r="F1032" s="57"/>
      <c r="I1032" s="55"/>
      <c r="J1032" s="57"/>
      <c r="K1032" s="57"/>
      <c r="L1032" s="57"/>
      <c r="M1032" s="57"/>
    </row>
    <row r="1033" spans="2:13" ht="12" x14ac:dyDescent="0.2">
      <c r="B1033" s="56"/>
      <c r="C1033" s="58"/>
      <c r="D1033" s="58"/>
      <c r="E1033" s="58"/>
      <c r="F1033" s="58"/>
      <c r="I1033" s="56"/>
      <c r="J1033" s="58"/>
      <c r="K1033" s="58"/>
      <c r="L1033" s="58"/>
      <c r="M1033" s="58"/>
    </row>
    <row r="1034" spans="2:13" ht="12" x14ac:dyDescent="0.2">
      <c r="B1034" s="55"/>
      <c r="C1034" s="57"/>
      <c r="D1034" s="57"/>
      <c r="E1034" s="57"/>
      <c r="F1034" s="57"/>
      <c r="I1034" s="55"/>
      <c r="J1034" s="57"/>
      <c r="K1034" s="57"/>
      <c r="L1034" s="57"/>
      <c r="M1034" s="57"/>
    </row>
    <row r="1035" spans="2:13" ht="12" x14ac:dyDescent="0.2">
      <c r="B1035" s="56"/>
      <c r="C1035" s="58"/>
      <c r="D1035" s="58"/>
      <c r="E1035" s="58"/>
      <c r="F1035" s="58"/>
      <c r="I1035" s="56"/>
      <c r="J1035" s="58"/>
      <c r="K1035" s="58"/>
      <c r="L1035" s="58"/>
      <c r="M1035" s="58"/>
    </row>
    <row r="1036" spans="2:13" ht="12" x14ac:dyDescent="0.2">
      <c r="B1036" s="55"/>
      <c r="C1036" s="57"/>
      <c r="D1036" s="57"/>
      <c r="E1036" s="57"/>
      <c r="F1036" s="57"/>
      <c r="I1036" s="55"/>
      <c r="J1036" s="57"/>
      <c r="K1036" s="57"/>
      <c r="L1036" s="57"/>
      <c r="M1036" s="57"/>
    </row>
    <row r="1037" spans="2:13" ht="12" x14ac:dyDescent="0.2">
      <c r="B1037" s="56"/>
      <c r="C1037" s="58"/>
      <c r="D1037" s="58"/>
      <c r="E1037" s="58"/>
      <c r="F1037" s="58"/>
      <c r="I1037" s="56"/>
      <c r="J1037" s="58"/>
      <c r="K1037" s="58"/>
      <c r="L1037" s="58"/>
      <c r="M1037" s="58"/>
    </row>
    <row r="1038" spans="2:13" ht="12" x14ac:dyDescent="0.2">
      <c r="B1038" s="55"/>
      <c r="C1038" s="57"/>
      <c r="D1038" s="57"/>
      <c r="E1038" s="57"/>
      <c r="F1038" s="57"/>
      <c r="I1038" s="55"/>
      <c r="J1038" s="57"/>
      <c r="K1038" s="57"/>
      <c r="L1038" s="57"/>
      <c r="M1038" s="57"/>
    </row>
    <row r="1039" spans="2:13" ht="12" x14ac:dyDescent="0.2">
      <c r="B1039" s="56"/>
      <c r="C1039" s="58"/>
      <c r="D1039" s="58"/>
      <c r="E1039" s="58"/>
      <c r="F1039" s="58"/>
      <c r="I1039" s="56"/>
      <c r="J1039" s="58"/>
      <c r="K1039" s="58"/>
      <c r="L1039" s="58"/>
      <c r="M1039" s="58"/>
    </row>
    <row r="1040" spans="2:13" ht="12" x14ac:dyDescent="0.2">
      <c r="B1040" s="55"/>
      <c r="C1040" s="57"/>
      <c r="D1040" s="57"/>
      <c r="E1040" s="57"/>
      <c r="F1040" s="57"/>
      <c r="I1040" s="55"/>
      <c r="J1040" s="57"/>
      <c r="K1040" s="57"/>
      <c r="L1040" s="57"/>
      <c r="M1040" s="57"/>
    </row>
    <row r="1041" spans="2:13" ht="12" x14ac:dyDescent="0.2">
      <c r="B1041" s="56"/>
      <c r="C1041" s="58"/>
      <c r="D1041" s="58"/>
      <c r="E1041" s="58"/>
      <c r="F1041" s="58"/>
      <c r="I1041" s="56"/>
      <c r="J1041" s="58"/>
      <c r="K1041" s="58"/>
      <c r="L1041" s="58"/>
      <c r="M1041" s="58"/>
    </row>
    <row r="1042" spans="2:13" ht="12" x14ac:dyDescent="0.2">
      <c r="B1042" s="55"/>
      <c r="C1042" s="57"/>
      <c r="D1042" s="57"/>
      <c r="E1042" s="57"/>
      <c r="F1042" s="57"/>
      <c r="I1042" s="55"/>
      <c r="J1042" s="57"/>
      <c r="K1042" s="57"/>
      <c r="L1042" s="57"/>
      <c r="M1042" s="57"/>
    </row>
    <row r="1043" spans="2:13" ht="12" x14ac:dyDescent="0.2">
      <c r="B1043" s="56"/>
      <c r="C1043" s="58"/>
      <c r="D1043" s="58"/>
      <c r="E1043" s="58"/>
      <c r="F1043" s="58"/>
      <c r="I1043" s="56"/>
      <c r="J1043" s="58"/>
      <c r="K1043" s="58"/>
      <c r="L1043" s="58"/>
      <c r="M1043" s="58"/>
    </row>
    <row r="1044" spans="2:13" ht="12" x14ac:dyDescent="0.2">
      <c r="B1044" s="55"/>
      <c r="C1044" s="57"/>
      <c r="D1044" s="57"/>
      <c r="E1044" s="57"/>
      <c r="F1044" s="57"/>
      <c r="I1044" s="55"/>
      <c r="J1044" s="57"/>
      <c r="K1044" s="57"/>
      <c r="L1044" s="57"/>
      <c r="M1044" s="57"/>
    </row>
    <row r="1045" spans="2:13" ht="12" x14ac:dyDescent="0.2">
      <c r="B1045" s="56"/>
      <c r="C1045" s="58"/>
      <c r="D1045" s="58"/>
      <c r="E1045" s="58"/>
      <c r="F1045" s="58"/>
      <c r="I1045" s="56"/>
      <c r="J1045" s="58"/>
      <c r="K1045" s="58"/>
      <c r="L1045" s="58"/>
      <c r="M1045" s="58"/>
    </row>
    <row r="1046" spans="2:13" ht="12" x14ac:dyDescent="0.2">
      <c r="B1046" s="55"/>
      <c r="C1046" s="57"/>
      <c r="D1046" s="57"/>
      <c r="E1046" s="57"/>
      <c r="F1046" s="57"/>
      <c r="I1046" s="55"/>
      <c r="J1046" s="57"/>
      <c r="K1046" s="57"/>
      <c r="L1046" s="57"/>
      <c r="M1046" s="57"/>
    </row>
    <row r="1047" spans="2:13" ht="12" x14ac:dyDescent="0.2">
      <c r="B1047" s="56"/>
      <c r="C1047" s="58"/>
      <c r="D1047" s="58"/>
      <c r="E1047" s="58"/>
      <c r="F1047" s="58"/>
      <c r="I1047" s="56"/>
      <c r="J1047" s="58"/>
      <c r="K1047" s="58"/>
      <c r="L1047" s="58"/>
      <c r="M1047" s="58"/>
    </row>
    <row r="1048" spans="2:13" ht="12" x14ac:dyDescent="0.2">
      <c r="B1048" s="55"/>
      <c r="C1048" s="57"/>
      <c r="D1048" s="57"/>
      <c r="E1048" s="57"/>
      <c r="F1048" s="57"/>
      <c r="I1048" s="55"/>
      <c r="J1048" s="57"/>
      <c r="K1048" s="57"/>
      <c r="L1048" s="57"/>
      <c r="M1048" s="57"/>
    </row>
    <row r="1049" spans="2:13" ht="12" x14ac:dyDescent="0.2">
      <c r="B1049" s="56"/>
      <c r="C1049" s="58"/>
      <c r="D1049" s="58"/>
      <c r="E1049" s="58"/>
      <c r="F1049" s="58"/>
      <c r="I1049" s="56"/>
      <c r="J1049" s="58"/>
      <c r="K1049" s="58"/>
      <c r="L1049" s="58"/>
      <c r="M1049" s="58"/>
    </row>
    <row r="1050" spans="2:13" ht="12" x14ac:dyDescent="0.2">
      <c r="B1050" s="55"/>
      <c r="C1050" s="57"/>
      <c r="D1050" s="57"/>
      <c r="E1050" s="57"/>
      <c r="F1050" s="57"/>
      <c r="I1050" s="55"/>
      <c r="J1050" s="57"/>
      <c r="K1050" s="57"/>
      <c r="L1050" s="57"/>
      <c r="M1050" s="57"/>
    </row>
    <row r="1051" spans="2:13" ht="12" x14ac:dyDescent="0.2">
      <c r="B1051" s="56"/>
      <c r="C1051" s="58"/>
      <c r="D1051" s="58"/>
      <c r="E1051" s="58"/>
      <c r="F1051" s="58"/>
      <c r="I1051" s="56"/>
      <c r="J1051" s="58"/>
      <c r="K1051" s="58"/>
      <c r="L1051" s="58"/>
      <c r="M1051" s="58"/>
    </row>
    <row r="1052" spans="2:13" ht="12" x14ac:dyDescent="0.2">
      <c r="B1052" s="55"/>
      <c r="C1052" s="57"/>
      <c r="D1052" s="57"/>
      <c r="E1052" s="57"/>
      <c r="F1052" s="57"/>
      <c r="I1052" s="55"/>
      <c r="J1052" s="57"/>
      <c r="K1052" s="57"/>
      <c r="L1052" s="57"/>
      <c r="M1052" s="57"/>
    </row>
    <row r="1053" spans="2:13" ht="12" x14ac:dyDescent="0.2">
      <c r="B1053" s="56"/>
      <c r="C1053" s="58"/>
      <c r="D1053" s="58"/>
      <c r="E1053" s="58"/>
      <c r="F1053" s="58"/>
      <c r="I1053" s="56"/>
      <c r="J1053" s="58"/>
      <c r="K1053" s="58"/>
      <c r="L1053" s="58"/>
      <c r="M1053" s="58"/>
    </row>
    <row r="1054" spans="2:13" ht="12" x14ac:dyDescent="0.2">
      <c r="B1054" s="55"/>
      <c r="C1054" s="57"/>
      <c r="D1054" s="57"/>
      <c r="E1054" s="57"/>
      <c r="F1054" s="57"/>
      <c r="I1054" s="55"/>
      <c r="J1054" s="57"/>
      <c r="K1054" s="57"/>
      <c r="L1054" s="57"/>
      <c r="M1054" s="57"/>
    </row>
    <row r="1055" spans="2:13" ht="12" x14ac:dyDescent="0.2">
      <c r="B1055" s="56"/>
      <c r="C1055" s="58"/>
      <c r="D1055" s="58"/>
      <c r="E1055" s="58"/>
      <c r="F1055" s="58"/>
      <c r="I1055" s="56"/>
      <c r="J1055" s="58"/>
      <c r="K1055" s="58"/>
      <c r="L1055" s="58"/>
      <c r="M1055" s="58"/>
    </row>
    <row r="1056" spans="2:13" ht="12" x14ac:dyDescent="0.2">
      <c r="B1056" s="55"/>
      <c r="C1056" s="57"/>
      <c r="D1056" s="57"/>
      <c r="E1056" s="57"/>
      <c r="F1056" s="57"/>
      <c r="I1056" s="55"/>
      <c r="J1056" s="57"/>
      <c r="K1056" s="57"/>
      <c r="L1056" s="57"/>
      <c r="M1056" s="57"/>
    </row>
    <row r="1057" spans="2:13" ht="12" x14ac:dyDescent="0.2">
      <c r="B1057" s="56"/>
      <c r="C1057" s="58"/>
      <c r="D1057" s="58"/>
      <c r="E1057" s="58"/>
      <c r="F1057" s="58"/>
      <c r="I1057" s="56"/>
      <c r="J1057" s="58"/>
      <c r="K1057" s="58"/>
      <c r="L1057" s="58"/>
      <c r="M1057" s="58"/>
    </row>
    <row r="1058" spans="2:13" ht="12" x14ac:dyDescent="0.2">
      <c r="B1058" s="55"/>
      <c r="C1058" s="57"/>
      <c r="D1058" s="57"/>
      <c r="E1058" s="57"/>
      <c r="F1058" s="57"/>
      <c r="I1058" s="55"/>
      <c r="J1058" s="57"/>
      <c r="K1058" s="57"/>
      <c r="L1058" s="57"/>
      <c r="M1058" s="57"/>
    </row>
    <row r="1059" spans="2:13" ht="12" x14ac:dyDescent="0.2">
      <c r="B1059" s="56"/>
      <c r="C1059" s="58"/>
      <c r="D1059" s="58"/>
      <c r="E1059" s="58"/>
      <c r="F1059" s="58"/>
      <c r="I1059" s="56"/>
      <c r="J1059" s="58"/>
      <c r="K1059" s="58"/>
      <c r="L1059" s="58"/>
      <c r="M1059" s="58"/>
    </row>
    <row r="1060" spans="2:13" ht="12" x14ac:dyDescent="0.2">
      <c r="B1060" s="55"/>
      <c r="C1060" s="57"/>
      <c r="D1060" s="57"/>
      <c r="E1060" s="57"/>
      <c r="F1060" s="57"/>
      <c r="I1060" s="55"/>
      <c r="J1060" s="57"/>
      <c r="K1060" s="57"/>
      <c r="L1060" s="57"/>
      <c r="M1060" s="57"/>
    </row>
    <row r="1061" spans="2:13" ht="12" x14ac:dyDescent="0.2">
      <c r="B1061" s="56"/>
      <c r="C1061" s="58"/>
      <c r="D1061" s="58"/>
      <c r="E1061" s="58"/>
      <c r="F1061" s="58"/>
      <c r="I1061" s="56"/>
      <c r="J1061" s="58"/>
      <c r="K1061" s="58"/>
      <c r="L1061" s="58"/>
      <c r="M1061" s="58"/>
    </row>
    <row r="1062" spans="2:13" ht="12" x14ac:dyDescent="0.2">
      <c r="B1062" s="55"/>
      <c r="C1062" s="57"/>
      <c r="D1062" s="57"/>
      <c r="E1062" s="57"/>
      <c r="F1062" s="57"/>
      <c r="I1062" s="55"/>
      <c r="J1062" s="57"/>
      <c r="K1062" s="57"/>
      <c r="L1062" s="57"/>
      <c r="M1062" s="57"/>
    </row>
    <row r="1063" spans="2:13" ht="12" x14ac:dyDescent="0.2">
      <c r="B1063" s="56"/>
      <c r="C1063" s="58"/>
      <c r="D1063" s="58"/>
      <c r="E1063" s="58"/>
      <c r="F1063" s="58"/>
      <c r="I1063" s="56"/>
      <c r="J1063" s="58"/>
      <c r="K1063" s="58"/>
      <c r="L1063" s="58"/>
      <c r="M1063" s="58"/>
    </row>
    <row r="1064" spans="2:13" ht="12" x14ac:dyDescent="0.2">
      <c r="B1064" s="55"/>
      <c r="C1064" s="57"/>
      <c r="D1064" s="57"/>
      <c r="E1064" s="57"/>
      <c r="F1064" s="57"/>
      <c r="I1064" s="55"/>
      <c r="J1064" s="57"/>
      <c r="K1064" s="57"/>
      <c r="L1064" s="57"/>
      <c r="M1064" s="57"/>
    </row>
    <row r="1065" spans="2:13" ht="12" x14ac:dyDescent="0.2">
      <c r="B1065" s="56"/>
      <c r="C1065" s="58"/>
      <c r="D1065" s="58"/>
      <c r="E1065" s="58"/>
      <c r="F1065" s="58"/>
      <c r="I1065" s="56"/>
      <c r="J1065" s="58"/>
      <c r="K1065" s="58"/>
      <c r="L1065" s="58"/>
      <c r="M1065" s="58"/>
    </row>
    <row r="1066" spans="2:13" ht="12" x14ac:dyDescent="0.2">
      <c r="B1066" s="55"/>
      <c r="C1066" s="57"/>
      <c r="D1066" s="57"/>
      <c r="E1066" s="57"/>
      <c r="F1066" s="57"/>
      <c r="I1066" s="55"/>
      <c r="J1066" s="57"/>
      <c r="K1066" s="57"/>
      <c r="L1066" s="57"/>
      <c r="M1066" s="57"/>
    </row>
    <row r="1067" spans="2:13" ht="12" x14ac:dyDescent="0.2">
      <c r="B1067" s="56"/>
      <c r="C1067" s="58"/>
      <c r="D1067" s="58"/>
      <c r="E1067" s="58"/>
      <c r="F1067" s="58"/>
      <c r="I1067" s="56"/>
      <c r="J1067" s="58"/>
      <c r="K1067" s="58"/>
      <c r="L1067" s="58"/>
      <c r="M1067" s="58"/>
    </row>
    <row r="1068" spans="2:13" ht="12" x14ac:dyDescent="0.2">
      <c r="B1068" s="55"/>
      <c r="C1068" s="57"/>
      <c r="D1068" s="57"/>
      <c r="E1068" s="57"/>
      <c r="F1068" s="57"/>
      <c r="I1068" s="55"/>
      <c r="J1068" s="57"/>
      <c r="K1068" s="57"/>
      <c r="L1068" s="57"/>
      <c r="M1068" s="57"/>
    </row>
    <row r="1069" spans="2:13" ht="12" x14ac:dyDescent="0.2">
      <c r="B1069" s="56"/>
      <c r="C1069" s="58"/>
      <c r="D1069" s="58"/>
      <c r="E1069" s="58"/>
      <c r="F1069" s="58"/>
      <c r="I1069" s="56"/>
      <c r="J1069" s="58"/>
      <c r="K1069" s="58"/>
      <c r="L1069" s="58"/>
      <c r="M1069" s="58"/>
    </row>
    <row r="1070" spans="2:13" ht="12" x14ac:dyDescent="0.2">
      <c r="B1070" s="55"/>
      <c r="C1070" s="57"/>
      <c r="D1070" s="57"/>
      <c r="E1070" s="57"/>
      <c r="F1070" s="57"/>
      <c r="I1070" s="55"/>
      <c r="J1070" s="57"/>
      <c r="K1070" s="57"/>
      <c r="L1070" s="57"/>
      <c r="M1070" s="57"/>
    </row>
    <row r="1071" spans="2:13" ht="12" x14ac:dyDescent="0.2">
      <c r="B1071" s="56"/>
      <c r="C1071" s="58"/>
      <c r="D1071" s="58"/>
      <c r="E1071" s="58"/>
      <c r="F1071" s="58"/>
      <c r="I1071" s="56"/>
      <c r="J1071" s="58"/>
      <c r="K1071" s="58"/>
      <c r="L1071" s="58"/>
      <c r="M1071" s="58"/>
    </row>
    <row r="1072" spans="2:13" ht="12" x14ac:dyDescent="0.2">
      <c r="B1072" s="55"/>
      <c r="C1072" s="57"/>
      <c r="D1072" s="57"/>
      <c r="E1072" s="57"/>
      <c r="F1072" s="57"/>
      <c r="I1072" s="55"/>
      <c r="J1072" s="57"/>
      <c r="K1072" s="57"/>
      <c r="L1072" s="57"/>
      <c r="M1072" s="57"/>
    </row>
    <row r="1073" spans="2:13" ht="12" x14ac:dyDescent="0.2">
      <c r="B1073" s="56"/>
      <c r="C1073" s="58"/>
      <c r="D1073" s="58"/>
      <c r="E1073" s="58"/>
      <c r="F1073" s="58"/>
      <c r="I1073" s="56"/>
      <c r="J1073" s="58"/>
      <c r="K1073" s="58"/>
      <c r="L1073" s="58"/>
      <c r="M1073" s="58"/>
    </row>
    <row r="1074" spans="2:13" ht="12" x14ac:dyDescent="0.2">
      <c r="B1074" s="55"/>
      <c r="C1074" s="57"/>
      <c r="D1074" s="57"/>
      <c r="E1074" s="57"/>
      <c r="F1074" s="57"/>
      <c r="I1074" s="55"/>
      <c r="J1074" s="57"/>
      <c r="K1074" s="57"/>
      <c r="L1074" s="57"/>
      <c r="M1074" s="57"/>
    </row>
    <row r="1075" spans="2:13" ht="12" x14ac:dyDescent="0.2">
      <c r="B1075" s="56"/>
      <c r="C1075" s="58"/>
      <c r="D1075" s="58"/>
      <c r="E1075" s="58"/>
      <c r="F1075" s="58"/>
      <c r="I1075" s="56"/>
      <c r="J1075" s="58"/>
      <c r="K1075" s="58"/>
      <c r="L1075" s="58"/>
      <c r="M1075" s="58"/>
    </row>
    <row r="1076" spans="2:13" ht="12" x14ac:dyDescent="0.2">
      <c r="B1076" s="55"/>
      <c r="C1076" s="57"/>
      <c r="D1076" s="57"/>
      <c r="E1076" s="57"/>
      <c r="F1076" s="57"/>
      <c r="I1076" s="55"/>
      <c r="J1076" s="57"/>
      <c r="K1076" s="57"/>
      <c r="L1076" s="57"/>
      <c r="M1076" s="57"/>
    </row>
    <row r="1077" spans="2:13" ht="12" x14ac:dyDescent="0.2">
      <c r="B1077" s="56"/>
      <c r="C1077" s="58"/>
      <c r="D1077" s="58"/>
      <c r="E1077" s="58"/>
      <c r="F1077" s="58"/>
      <c r="I1077" s="56"/>
      <c r="J1077" s="58"/>
      <c r="K1077" s="58"/>
      <c r="L1077" s="58"/>
      <c r="M1077" s="58"/>
    </row>
    <row r="1078" spans="2:13" ht="12" x14ac:dyDescent="0.2">
      <c r="B1078" s="55"/>
      <c r="C1078" s="57"/>
      <c r="D1078" s="57"/>
      <c r="E1078" s="57"/>
      <c r="F1078" s="57"/>
      <c r="I1078" s="55"/>
      <c r="J1078" s="57"/>
      <c r="K1078" s="57"/>
      <c r="L1078" s="57"/>
      <c r="M1078" s="57"/>
    </row>
    <row r="1079" spans="2:13" ht="12" x14ac:dyDescent="0.2">
      <c r="B1079" s="56"/>
      <c r="C1079" s="58"/>
      <c r="D1079" s="58"/>
      <c r="E1079" s="58"/>
      <c r="F1079" s="58"/>
      <c r="I1079" s="56"/>
      <c r="J1079" s="58"/>
      <c r="K1079" s="58"/>
      <c r="L1079" s="58"/>
      <c r="M1079" s="58"/>
    </row>
    <row r="1080" spans="2:13" ht="12" x14ac:dyDescent="0.2">
      <c r="B1080" s="55"/>
      <c r="C1080" s="57"/>
      <c r="D1080" s="57"/>
      <c r="E1080" s="57"/>
      <c r="F1080" s="57"/>
      <c r="I1080" s="55"/>
      <c r="J1080" s="57"/>
      <c r="K1080" s="57"/>
      <c r="L1080" s="57"/>
      <c r="M1080" s="57"/>
    </row>
    <row r="1081" spans="2:13" ht="12" x14ac:dyDescent="0.2">
      <c r="B1081" s="56"/>
      <c r="C1081" s="58"/>
      <c r="D1081" s="58"/>
      <c r="E1081" s="58"/>
      <c r="F1081" s="58"/>
      <c r="I1081" s="56"/>
      <c r="J1081" s="58"/>
      <c r="K1081" s="58"/>
      <c r="L1081" s="58"/>
      <c r="M1081" s="58"/>
    </row>
    <row r="1082" spans="2:13" ht="12" x14ac:dyDescent="0.2">
      <c r="B1082" s="55"/>
      <c r="C1082" s="57"/>
      <c r="D1082" s="57"/>
      <c r="E1082" s="57"/>
      <c r="F1082" s="57"/>
      <c r="I1082" s="55"/>
      <c r="J1082" s="57"/>
      <c r="K1082" s="57"/>
      <c r="L1082" s="57"/>
      <c r="M1082" s="57"/>
    </row>
    <row r="1083" spans="2:13" ht="12" x14ac:dyDescent="0.2">
      <c r="B1083" s="56"/>
      <c r="C1083" s="58"/>
      <c r="D1083" s="58"/>
      <c r="E1083" s="58"/>
      <c r="F1083" s="58"/>
      <c r="I1083" s="56"/>
      <c r="J1083" s="58"/>
      <c r="K1083" s="58"/>
      <c r="L1083" s="58"/>
      <c r="M1083" s="58"/>
    </row>
    <row r="1084" spans="2:13" ht="12" x14ac:dyDescent="0.2">
      <c r="B1084" s="55"/>
      <c r="C1084" s="57"/>
      <c r="D1084" s="57"/>
      <c r="E1084" s="57"/>
      <c r="F1084" s="57"/>
      <c r="I1084" s="55"/>
      <c r="J1084" s="57"/>
      <c r="K1084" s="57"/>
      <c r="L1084" s="57"/>
      <c r="M1084" s="57"/>
    </row>
    <row r="1085" spans="2:13" ht="12" x14ac:dyDescent="0.2">
      <c r="B1085" s="56"/>
      <c r="C1085" s="58"/>
      <c r="D1085" s="58"/>
      <c r="E1085" s="58"/>
      <c r="F1085" s="58"/>
      <c r="I1085" s="56"/>
      <c r="J1085" s="58"/>
      <c r="K1085" s="58"/>
      <c r="L1085" s="58"/>
      <c r="M1085" s="58"/>
    </row>
    <row r="1086" spans="2:13" ht="12" x14ac:dyDescent="0.2">
      <c r="B1086" s="55"/>
      <c r="C1086" s="57"/>
      <c r="D1086" s="57"/>
      <c r="E1086" s="57"/>
      <c r="F1086" s="57"/>
      <c r="I1086" s="55"/>
      <c r="J1086" s="57"/>
      <c r="K1086" s="57"/>
      <c r="L1086" s="57"/>
      <c r="M1086" s="57"/>
    </row>
    <row r="1087" spans="2:13" ht="12" x14ac:dyDescent="0.2">
      <c r="B1087" s="56"/>
      <c r="C1087" s="58"/>
      <c r="D1087" s="58"/>
      <c r="E1087" s="58"/>
      <c r="F1087" s="58"/>
      <c r="I1087" s="56"/>
      <c r="J1087" s="58"/>
      <c r="K1087" s="58"/>
      <c r="L1087" s="58"/>
      <c r="M1087" s="58"/>
    </row>
    <row r="1088" spans="2:13" ht="12" x14ac:dyDescent="0.2">
      <c r="B1088" s="55"/>
      <c r="C1088" s="57"/>
      <c r="D1088" s="57"/>
      <c r="E1088" s="57"/>
      <c r="F1088" s="57"/>
      <c r="I1088" s="55"/>
      <c r="J1088" s="57"/>
      <c r="K1088" s="57"/>
      <c r="L1088" s="57"/>
      <c r="M1088" s="57"/>
    </row>
    <row r="1089" spans="2:13" ht="12" x14ac:dyDescent="0.2">
      <c r="B1089" s="56"/>
      <c r="C1089" s="58"/>
      <c r="D1089" s="58"/>
      <c r="E1089" s="58"/>
      <c r="F1089" s="58"/>
      <c r="I1089" s="56"/>
      <c r="J1089" s="58"/>
      <c r="K1089" s="58"/>
      <c r="L1089" s="58"/>
      <c r="M1089" s="58"/>
    </row>
    <row r="1090" spans="2:13" ht="12" x14ac:dyDescent="0.2">
      <c r="B1090" s="55"/>
      <c r="C1090" s="57"/>
      <c r="D1090" s="57"/>
      <c r="E1090" s="57"/>
      <c r="F1090" s="57"/>
      <c r="I1090" s="55"/>
      <c r="J1090" s="57"/>
      <c r="K1090" s="57"/>
      <c r="L1090" s="57"/>
      <c r="M1090" s="57"/>
    </row>
    <row r="1091" spans="2:13" ht="12" x14ac:dyDescent="0.2">
      <c r="B1091" s="56"/>
      <c r="C1091" s="58"/>
      <c r="D1091" s="58"/>
      <c r="E1091" s="58"/>
      <c r="F1091" s="58"/>
      <c r="I1091" s="56"/>
      <c r="J1091" s="58"/>
      <c r="K1091" s="58"/>
      <c r="L1091" s="58"/>
      <c r="M1091" s="58"/>
    </row>
    <row r="1092" spans="2:13" ht="12" x14ac:dyDescent="0.2">
      <c r="B1092" s="55"/>
      <c r="C1092" s="57"/>
      <c r="D1092" s="57"/>
      <c r="E1092" s="57"/>
      <c r="F1092" s="57"/>
      <c r="I1092" s="55"/>
      <c r="J1092" s="57"/>
      <c r="K1092" s="57"/>
      <c r="L1092" s="57"/>
      <c r="M1092" s="57"/>
    </row>
    <row r="1093" spans="2:13" ht="12" x14ac:dyDescent="0.2">
      <c r="B1093" s="56"/>
      <c r="C1093" s="58"/>
      <c r="D1093" s="58"/>
      <c r="E1093" s="58"/>
      <c r="F1093" s="58"/>
      <c r="I1093" s="56"/>
      <c r="J1093" s="58"/>
      <c r="K1093" s="58"/>
      <c r="L1093" s="58"/>
      <c r="M1093" s="58"/>
    </row>
    <row r="1094" spans="2:13" ht="12" x14ac:dyDescent="0.2">
      <c r="B1094" s="55"/>
      <c r="C1094" s="57"/>
      <c r="D1094" s="57"/>
      <c r="E1094" s="57"/>
      <c r="F1094" s="57"/>
      <c r="I1094" s="55"/>
      <c r="J1094" s="57"/>
      <c r="K1094" s="57"/>
      <c r="L1094" s="57"/>
      <c r="M1094" s="57"/>
    </row>
    <row r="1095" spans="2:13" ht="12" x14ac:dyDescent="0.2">
      <c r="B1095" s="56"/>
      <c r="C1095" s="58"/>
      <c r="D1095" s="58"/>
      <c r="E1095" s="58"/>
      <c r="F1095" s="58"/>
      <c r="I1095" s="56"/>
      <c r="J1095" s="58"/>
      <c r="K1095" s="58"/>
      <c r="L1095" s="58"/>
      <c r="M1095" s="58"/>
    </row>
    <row r="1096" spans="2:13" ht="12" x14ac:dyDescent="0.2">
      <c r="B1096" s="55"/>
      <c r="C1096" s="57"/>
      <c r="D1096" s="57"/>
      <c r="E1096" s="57"/>
      <c r="F1096" s="57"/>
      <c r="I1096" s="55"/>
      <c r="J1096" s="57"/>
      <c r="K1096" s="57"/>
      <c r="L1096" s="57"/>
      <c r="M1096" s="57"/>
    </row>
    <row r="1097" spans="2:13" ht="12" x14ac:dyDescent="0.2">
      <c r="B1097" s="56"/>
      <c r="C1097" s="58"/>
      <c r="D1097" s="58"/>
      <c r="E1097" s="58"/>
      <c r="F1097" s="58"/>
      <c r="I1097" s="56"/>
      <c r="J1097" s="58"/>
      <c r="K1097" s="58"/>
      <c r="L1097" s="58"/>
      <c r="M1097" s="58"/>
    </row>
    <row r="1098" spans="2:13" ht="12" x14ac:dyDescent="0.2">
      <c r="B1098" s="55"/>
      <c r="C1098" s="57"/>
      <c r="D1098" s="57"/>
      <c r="E1098" s="57"/>
      <c r="F1098" s="57"/>
      <c r="I1098" s="55"/>
      <c r="J1098" s="57"/>
      <c r="K1098" s="57"/>
      <c r="L1098" s="57"/>
      <c r="M1098" s="57"/>
    </row>
    <row r="1099" spans="2:13" ht="12" x14ac:dyDescent="0.2">
      <c r="B1099" s="56"/>
      <c r="C1099" s="58"/>
      <c r="D1099" s="58"/>
      <c r="E1099" s="58"/>
      <c r="F1099" s="58"/>
      <c r="I1099" s="56"/>
      <c r="J1099" s="58"/>
      <c r="K1099" s="58"/>
      <c r="L1099" s="58"/>
      <c r="M1099" s="58"/>
    </row>
    <row r="1100" spans="2:13" ht="12" x14ac:dyDescent="0.2">
      <c r="B1100" s="55"/>
      <c r="C1100" s="57"/>
      <c r="D1100" s="57"/>
      <c r="E1100" s="57"/>
      <c r="F1100" s="57"/>
      <c r="I1100" s="55"/>
      <c r="J1100" s="57"/>
      <c r="K1100" s="57"/>
      <c r="L1100" s="57"/>
      <c r="M1100" s="57"/>
    </row>
    <row r="1101" spans="2:13" ht="12" x14ac:dyDescent="0.2">
      <c r="B1101" s="56"/>
      <c r="C1101" s="58"/>
      <c r="D1101" s="58"/>
      <c r="E1101" s="58"/>
      <c r="F1101" s="58"/>
      <c r="I1101" s="56"/>
      <c r="J1101" s="58"/>
      <c r="K1101" s="58"/>
      <c r="L1101" s="58"/>
      <c r="M1101" s="58"/>
    </row>
    <row r="1102" spans="2:13" ht="12" x14ac:dyDescent="0.2">
      <c r="B1102" s="55"/>
      <c r="C1102" s="57"/>
      <c r="D1102" s="57"/>
      <c r="E1102" s="57"/>
      <c r="F1102" s="57"/>
      <c r="I1102" s="55"/>
      <c r="J1102" s="57"/>
      <c r="K1102" s="57"/>
      <c r="L1102" s="57"/>
      <c r="M1102" s="57"/>
    </row>
    <row r="1103" spans="2:13" ht="12" x14ac:dyDescent="0.2">
      <c r="B1103" s="56"/>
      <c r="C1103" s="58"/>
      <c r="D1103" s="58"/>
      <c r="E1103" s="58"/>
      <c r="F1103" s="58"/>
      <c r="I1103" s="56"/>
      <c r="J1103" s="58"/>
      <c r="K1103" s="58"/>
      <c r="L1103" s="58"/>
      <c r="M1103" s="58"/>
    </row>
    <row r="1104" spans="2:13" ht="12" x14ac:dyDescent="0.2">
      <c r="B1104" s="55"/>
      <c r="C1104" s="57"/>
      <c r="D1104" s="57"/>
      <c r="E1104" s="57"/>
      <c r="F1104" s="57"/>
      <c r="I1104" s="55"/>
      <c r="J1104" s="57"/>
      <c r="K1104" s="57"/>
      <c r="L1104" s="57"/>
      <c r="M1104" s="57"/>
    </row>
    <row r="1105" spans="2:13" ht="12" x14ac:dyDescent="0.2">
      <c r="B1105" s="56"/>
      <c r="C1105" s="58"/>
      <c r="D1105" s="58"/>
      <c r="E1105" s="58"/>
      <c r="F1105" s="58"/>
      <c r="I1105" s="56"/>
      <c r="J1105" s="58"/>
      <c r="K1105" s="58"/>
      <c r="L1105" s="58"/>
      <c r="M1105" s="58"/>
    </row>
    <row r="1106" spans="2:13" ht="12" x14ac:dyDescent="0.2">
      <c r="B1106" s="55"/>
      <c r="C1106" s="57"/>
      <c r="D1106" s="57"/>
      <c r="E1106" s="57"/>
      <c r="F1106" s="57"/>
      <c r="I1106" s="55"/>
      <c r="J1106" s="57"/>
      <c r="K1106" s="57"/>
      <c r="L1106" s="57"/>
      <c r="M1106" s="57"/>
    </row>
    <row r="1107" spans="2:13" ht="12" x14ac:dyDescent="0.2">
      <c r="B1107" s="56"/>
      <c r="C1107" s="58"/>
      <c r="D1107" s="58"/>
      <c r="E1107" s="58"/>
      <c r="F1107" s="58"/>
      <c r="I1107" s="56"/>
      <c r="J1107" s="58"/>
      <c r="K1107" s="58"/>
      <c r="L1107" s="58"/>
      <c r="M1107" s="58"/>
    </row>
    <row r="1108" spans="2:13" ht="12" x14ac:dyDescent="0.2">
      <c r="B1108" s="55"/>
      <c r="C1108" s="57"/>
      <c r="D1108" s="57"/>
      <c r="E1108" s="57"/>
      <c r="F1108" s="57"/>
      <c r="I1108" s="55"/>
      <c r="J1108" s="57"/>
      <c r="K1108" s="57"/>
      <c r="L1108" s="57"/>
      <c r="M1108" s="57"/>
    </row>
    <row r="1109" spans="2:13" ht="12" x14ac:dyDescent="0.2">
      <c r="B1109" s="56"/>
      <c r="C1109" s="58"/>
      <c r="D1109" s="58"/>
      <c r="E1109" s="58"/>
      <c r="F1109" s="58"/>
      <c r="I1109" s="56"/>
      <c r="J1109" s="58"/>
      <c r="K1109" s="58"/>
      <c r="L1109" s="58"/>
      <c r="M1109" s="58"/>
    </row>
    <row r="1110" spans="2:13" ht="12" x14ac:dyDescent="0.2">
      <c r="B1110" s="55"/>
      <c r="C1110" s="57"/>
      <c r="D1110" s="57"/>
      <c r="E1110" s="57"/>
      <c r="F1110" s="57"/>
      <c r="I1110" s="55"/>
      <c r="J1110" s="57"/>
      <c r="K1110" s="57"/>
      <c r="L1110" s="57"/>
      <c r="M1110" s="57"/>
    </row>
    <row r="1111" spans="2:13" ht="12" x14ac:dyDescent="0.2">
      <c r="B1111" s="56"/>
      <c r="C1111" s="58"/>
      <c r="D1111" s="58"/>
      <c r="E1111" s="58"/>
      <c r="F1111" s="58"/>
      <c r="I1111" s="56"/>
      <c r="J1111" s="58"/>
      <c r="K1111" s="58"/>
      <c r="L1111" s="58"/>
      <c r="M1111" s="58"/>
    </row>
    <row r="1112" spans="2:13" ht="12" x14ac:dyDescent="0.2">
      <c r="B1112" s="55"/>
      <c r="C1112" s="57"/>
      <c r="D1112" s="57"/>
      <c r="E1112" s="57"/>
      <c r="F1112" s="57"/>
      <c r="I1112" s="55"/>
      <c r="J1112" s="57"/>
      <c r="K1112" s="57"/>
      <c r="L1112" s="57"/>
      <c r="M1112" s="57"/>
    </row>
    <row r="1113" spans="2:13" ht="12" x14ac:dyDescent="0.2">
      <c r="B1113" s="56"/>
      <c r="C1113" s="58"/>
      <c r="D1113" s="58"/>
      <c r="E1113" s="58"/>
      <c r="F1113" s="58"/>
      <c r="I1113" s="56"/>
      <c r="J1113" s="58"/>
      <c r="K1113" s="58"/>
      <c r="L1113" s="58"/>
      <c r="M1113" s="58"/>
    </row>
    <row r="1114" spans="2:13" ht="12" x14ac:dyDescent="0.2">
      <c r="B1114" s="55"/>
      <c r="C1114" s="57"/>
      <c r="D1114" s="57"/>
      <c r="E1114" s="57"/>
      <c r="F1114" s="57"/>
      <c r="I1114" s="55"/>
      <c r="J1114" s="57"/>
      <c r="K1114" s="57"/>
      <c r="L1114" s="57"/>
      <c r="M1114" s="57"/>
    </row>
  </sheetData>
  <sheetProtection formatColumns="0" formatRows="0"/>
  <mergeCells count="5">
    <mergeCell ref="D7:E7"/>
    <mergeCell ref="K7:L7"/>
    <mergeCell ref="B37:G37"/>
    <mergeCell ref="I37:N37"/>
    <mergeCell ref="C1:M1"/>
  </mergeCells>
  <phoneticPr fontId="3" type="noConversion"/>
  <hyperlinks>
    <hyperlink ref="B6" location="目录!A1" display="目录"/>
    <hyperlink ref="G6" location="'3'!A1" display="上一页"/>
    <hyperlink ref="I6" location="'5'!A1" display="下一页"/>
    <hyperlink ref="N6" location="目录!A1" display="目录"/>
  </hyperlinks>
  <pageMargins left="0.7" right="0.7" top="0.75" bottom="0.75" header="0.3" footer="0.3"/>
  <pageSetup paperSize="11" orientation="portrait" horizontalDpi="300" verticalDpi="300" r:id="rId1"/>
  <ignoredErrors>
    <ignoredError sqref="C38:H38" unlockedFormula="1"/>
  </ignoredErrors>
  <drawing r:id="rId2"/>
  <legacyDrawing r:id="rId3"/>
  <controls>
    <mc:AlternateContent xmlns:mc="http://schemas.openxmlformats.org/markup-compatibility/2006">
      <mc:Choice Requires="x14">
        <control shapeId="474114" r:id="rId4" name="SpinButtonB">
          <controlPr defaultSize="0" autoLine="0" autoPict="0" r:id="rId5">
            <anchor moveWithCells="1" siz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474114" r:id="rId4" name="SpinButtonB"/>
      </mc:Fallback>
    </mc:AlternateContent>
    <mc:AlternateContent xmlns:mc="http://schemas.openxmlformats.org/markup-compatibility/2006">
      <mc:Choice Requires="x14">
        <control shapeId="474113" r:id="rId6" name="SpinButtonA">
          <controlPr defaultSize="0" autoLine="0" r:id="rId5">
            <anchor moveWithCells="1" sizeWithCells="1">
              <from>
                <xdr:col>3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474113" r:id="rId6" name="SpinButton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63636D"/>
  </sheetPr>
  <dimension ref="A1:Q1834"/>
  <sheetViews>
    <sheetView showGridLines="0" zoomScaleNormal="100" workbookViewId="0">
      <selection activeCell="P25" sqref="P25"/>
    </sheetView>
  </sheetViews>
  <sheetFormatPr defaultRowHeight="11.25" x14ac:dyDescent="0.15"/>
  <cols>
    <col min="1" max="1" width="1.625" style="8" customWidth="1"/>
    <col min="2" max="2" width="11.625" style="45" customWidth="1"/>
    <col min="3" max="7" width="12.625" style="9" customWidth="1"/>
    <col min="8" max="8" width="1.625" style="8" customWidth="1"/>
    <col min="9" max="9" width="11.625" style="45" customWidth="1"/>
    <col min="10" max="14" width="12.625" style="9" customWidth="1"/>
    <col min="15" max="15" width="2.5" style="8" customWidth="1"/>
    <col min="16" max="16384" width="9" style="9"/>
  </cols>
  <sheetData>
    <row r="1" spans="1:17" s="2" customFormat="1" ht="27.75" customHeight="1" x14ac:dyDescent="0.15">
      <c r="A1" s="49"/>
      <c r="B1" s="49"/>
      <c r="C1" s="86" t="s">
        <v>46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49"/>
      <c r="O1" s="49"/>
      <c r="P1" s="1"/>
      <c r="Q1" s="1"/>
    </row>
    <row r="2" spans="1:17" s="2" customFormat="1" ht="12" customHeight="1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1"/>
      <c r="Q2" s="1"/>
    </row>
    <row r="3" spans="1:17" s="2" customFormat="1" ht="12" customHeight="1" x14ac:dyDescent="0.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1"/>
      <c r="Q3" s="1"/>
    </row>
    <row r="4" spans="1:17" s="2" customFormat="1" ht="8.25" hidden="1" customHeight="1" x14ac:dyDescent="0.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1"/>
      <c r="Q4" s="1"/>
    </row>
    <row r="5" spans="1:17" s="2" customFormat="1" ht="5.25" hidden="1" customHeight="1" x14ac:dyDescent="0.1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</row>
    <row r="6" spans="1:17" s="2" customFormat="1" ht="17.25" x14ac:dyDescent="0.3">
      <c r="A6" s="4"/>
      <c r="B6" s="51" t="s">
        <v>25</v>
      </c>
      <c r="C6" s="51"/>
      <c r="D6" s="51"/>
      <c r="E6" s="51"/>
      <c r="F6" s="51"/>
      <c r="G6" s="51" t="s">
        <v>26</v>
      </c>
      <c r="H6" s="4"/>
      <c r="I6" s="51"/>
      <c r="J6" s="51"/>
      <c r="K6" s="51"/>
      <c r="L6" s="51"/>
      <c r="M6" s="51"/>
      <c r="N6" s="51" t="s">
        <v>25</v>
      </c>
      <c r="O6" s="5"/>
    </row>
    <row r="7" spans="1:17" s="7" customFormat="1" ht="16.5" x14ac:dyDescent="0.35">
      <c r="A7" s="6"/>
      <c r="B7" s="52" t="s">
        <v>0</v>
      </c>
      <c r="C7" s="37">
        <f>DATE(YEAR(MAX(B:B)),MONTH(MAX(B:B)),1)</f>
        <v>45444</v>
      </c>
      <c r="D7" s="89"/>
      <c r="E7" s="89"/>
      <c r="F7" s="52" t="s">
        <v>40</v>
      </c>
      <c r="G7" s="37" t="str">
        <f>F9&amp;"周"</f>
        <v>24周</v>
      </c>
      <c r="H7" s="32"/>
      <c r="I7" s="52" t="s">
        <v>41</v>
      </c>
      <c r="J7" s="37">
        <f>DATE(YEAR(MAX(I:I)),MONTH(MAX(I:I)),1)</f>
        <v>45413</v>
      </c>
      <c r="K7" s="89"/>
      <c r="L7" s="89"/>
      <c r="M7" s="52" t="s">
        <v>42</v>
      </c>
      <c r="N7" s="37" t="str">
        <f>M9&amp;"月"</f>
        <v>60月</v>
      </c>
      <c r="O7" s="6"/>
    </row>
    <row r="8" spans="1:17" x14ac:dyDescent="0.15">
      <c r="B8" s="42"/>
      <c r="C8" s="22"/>
      <c r="D8" s="22"/>
      <c r="E8" s="22"/>
      <c r="F8" s="22"/>
      <c r="G8" s="22"/>
      <c r="H8" s="23"/>
      <c r="I8" s="42"/>
      <c r="J8" s="22"/>
      <c r="K8" s="22"/>
      <c r="L8" s="22"/>
      <c r="M8" s="22"/>
      <c r="N8" s="22"/>
    </row>
    <row r="9" spans="1:17" ht="11.25" hidden="1" customHeight="1" x14ac:dyDescent="0.15">
      <c r="B9" s="43" t="s">
        <v>2</v>
      </c>
      <c r="C9" s="22">
        <f>ROW(B39)</f>
        <v>39</v>
      </c>
      <c r="D9" s="22"/>
      <c r="E9" s="22"/>
      <c r="F9" s="22">
        <v>24</v>
      </c>
      <c r="G9" s="22"/>
      <c r="H9" s="23"/>
      <c r="I9" s="43" t="s">
        <v>2</v>
      </c>
      <c r="J9" s="22">
        <f>ROW(I39)</f>
        <v>39</v>
      </c>
      <c r="K9" s="22"/>
      <c r="L9" s="22"/>
      <c r="M9" s="22">
        <v>60</v>
      </c>
      <c r="N9" s="22"/>
    </row>
    <row r="10" spans="1:17" ht="11.25" hidden="1" customHeight="1" x14ac:dyDescent="0.15">
      <c r="B10" s="43" t="s">
        <v>1</v>
      </c>
      <c r="C10" s="24">
        <f>MATCH(MAX(B:B),B:B)</f>
        <v>1071</v>
      </c>
      <c r="D10" s="22"/>
      <c r="E10" s="22"/>
      <c r="F10" s="22"/>
      <c r="G10" s="22"/>
      <c r="H10" s="23"/>
      <c r="I10" s="43" t="s">
        <v>1</v>
      </c>
      <c r="J10" s="24">
        <f>MATCH(MAX(I:I),I:I)</f>
        <v>397</v>
      </c>
      <c r="K10" s="22"/>
      <c r="L10" s="22"/>
      <c r="M10" s="22"/>
      <c r="N10" s="22"/>
    </row>
    <row r="11" spans="1:17" ht="11.25" hidden="1" customHeight="1" x14ac:dyDescent="0.15">
      <c r="B11" s="43" t="s">
        <v>3</v>
      </c>
      <c r="C11" s="24">
        <f>C10-C9</f>
        <v>1032</v>
      </c>
      <c r="D11" s="22"/>
      <c r="E11" s="22"/>
      <c r="F11" s="22"/>
      <c r="G11" s="22"/>
      <c r="H11" s="23"/>
      <c r="I11" s="43" t="s">
        <v>3</v>
      </c>
      <c r="J11" s="24">
        <f>J10-J9</f>
        <v>358</v>
      </c>
      <c r="K11" s="22"/>
      <c r="L11" s="22"/>
      <c r="M11" s="22"/>
      <c r="N11" s="22"/>
    </row>
    <row r="12" spans="1:17" x14ac:dyDescent="0.15">
      <c r="B12" s="42"/>
      <c r="C12" s="22"/>
      <c r="D12" s="22"/>
      <c r="E12" s="22"/>
      <c r="F12" s="22"/>
      <c r="G12" s="22"/>
      <c r="H12" s="23"/>
      <c r="I12" s="42"/>
      <c r="J12" s="22"/>
      <c r="K12" s="22"/>
      <c r="L12" s="22"/>
      <c r="M12" s="22"/>
      <c r="N12" s="22"/>
    </row>
    <row r="13" spans="1:17" x14ac:dyDescent="0.15">
      <c r="B13" s="42"/>
      <c r="C13" s="22"/>
      <c r="D13" s="22"/>
      <c r="E13" s="22"/>
      <c r="F13" s="22"/>
      <c r="G13" s="22"/>
      <c r="H13" s="23"/>
      <c r="I13" s="42"/>
      <c r="J13" s="22"/>
      <c r="K13" s="22"/>
      <c r="L13" s="22"/>
      <c r="M13" s="22"/>
      <c r="N13" s="22"/>
    </row>
    <row r="14" spans="1:17" x14ac:dyDescent="0.15">
      <c r="B14" s="42"/>
      <c r="C14" s="22"/>
      <c r="D14" s="22"/>
      <c r="E14" s="22"/>
      <c r="F14" s="22"/>
      <c r="G14" s="22"/>
      <c r="H14" s="23"/>
      <c r="I14" s="42"/>
      <c r="J14" s="22"/>
      <c r="K14" s="22"/>
      <c r="L14" s="22"/>
      <c r="M14" s="22"/>
      <c r="N14" s="22"/>
    </row>
    <row r="15" spans="1:17" x14ac:dyDescent="0.15">
      <c r="B15" s="42"/>
      <c r="C15" s="22"/>
      <c r="D15" s="22"/>
      <c r="E15" s="22"/>
      <c r="F15" s="22"/>
      <c r="G15" s="22"/>
      <c r="H15" s="23"/>
      <c r="I15" s="42"/>
      <c r="J15" s="22"/>
      <c r="K15" s="22"/>
      <c r="L15" s="22"/>
      <c r="M15" s="22"/>
      <c r="N15" s="22"/>
    </row>
    <row r="16" spans="1:17" x14ac:dyDescent="0.15">
      <c r="B16" s="42"/>
      <c r="C16" s="22"/>
      <c r="D16" s="22"/>
      <c r="E16" s="22"/>
      <c r="F16" s="22"/>
      <c r="G16" s="22"/>
      <c r="H16" s="23"/>
      <c r="I16" s="42"/>
      <c r="J16" s="22"/>
      <c r="K16" s="22"/>
      <c r="L16" s="22"/>
      <c r="M16" s="22"/>
      <c r="N16" s="22"/>
    </row>
    <row r="17" spans="2:14" x14ac:dyDescent="0.15">
      <c r="B17" s="42"/>
      <c r="C17" s="22"/>
      <c r="D17" s="22"/>
      <c r="E17" s="22"/>
      <c r="F17" s="22"/>
      <c r="G17" s="22"/>
      <c r="H17" s="23"/>
      <c r="I17" s="42"/>
      <c r="J17" s="22"/>
      <c r="K17" s="22"/>
      <c r="L17" s="22"/>
      <c r="M17" s="22"/>
      <c r="N17" s="22"/>
    </row>
    <row r="18" spans="2:14" x14ac:dyDescent="0.15">
      <c r="B18" s="42"/>
      <c r="C18" s="22"/>
      <c r="D18" s="22"/>
      <c r="E18" s="22"/>
      <c r="F18" s="22"/>
      <c r="G18" s="22"/>
      <c r="H18" s="23"/>
      <c r="I18" s="42"/>
      <c r="J18" s="22"/>
      <c r="K18" s="22"/>
      <c r="L18" s="22"/>
      <c r="M18" s="22"/>
      <c r="N18" s="22"/>
    </row>
    <row r="19" spans="2:14" x14ac:dyDescent="0.15">
      <c r="B19" s="42"/>
      <c r="C19" s="22"/>
      <c r="D19" s="22"/>
      <c r="E19" s="22"/>
      <c r="F19" s="22"/>
      <c r="G19" s="22"/>
      <c r="H19" s="23"/>
      <c r="I19" s="42"/>
      <c r="J19" s="22"/>
      <c r="K19" s="22"/>
      <c r="L19" s="22"/>
      <c r="M19" s="22"/>
      <c r="N19" s="22"/>
    </row>
    <row r="20" spans="2:14" x14ac:dyDescent="0.15">
      <c r="B20" s="42"/>
      <c r="C20" s="22"/>
      <c r="D20" s="22"/>
      <c r="E20" s="22"/>
      <c r="F20" s="22"/>
      <c r="G20" s="22"/>
      <c r="H20" s="23"/>
      <c r="I20" s="42"/>
      <c r="J20" s="22"/>
      <c r="K20" s="22"/>
      <c r="L20" s="22"/>
      <c r="M20" s="22"/>
      <c r="N20" s="22"/>
    </row>
    <row r="21" spans="2:14" x14ac:dyDescent="0.15">
      <c r="B21" s="42"/>
      <c r="C21" s="22"/>
      <c r="D21" s="25"/>
      <c r="E21" s="22"/>
      <c r="F21" s="22"/>
      <c r="G21" s="22"/>
      <c r="H21" s="23"/>
      <c r="I21" s="42"/>
      <c r="J21" s="22"/>
      <c r="K21" s="22"/>
      <c r="L21" s="22"/>
      <c r="M21" s="22"/>
      <c r="N21" s="22"/>
    </row>
    <row r="22" spans="2:14" x14ac:dyDescent="0.15">
      <c r="B22" s="42"/>
      <c r="C22" s="22"/>
      <c r="D22" s="22"/>
      <c r="E22" s="22"/>
      <c r="F22" s="22"/>
      <c r="G22" s="22"/>
      <c r="H22" s="23"/>
      <c r="I22" s="42"/>
      <c r="J22" s="22"/>
      <c r="K22" s="22"/>
      <c r="L22" s="22"/>
      <c r="M22" s="22"/>
      <c r="N22" s="22"/>
    </row>
    <row r="23" spans="2:14" x14ac:dyDescent="0.15">
      <c r="B23" s="42"/>
      <c r="C23" s="22"/>
      <c r="D23" s="22"/>
      <c r="E23" s="22"/>
      <c r="F23" s="22"/>
      <c r="G23" s="22"/>
      <c r="H23" s="23"/>
      <c r="I23" s="42"/>
      <c r="J23" s="22"/>
      <c r="K23" s="22"/>
      <c r="L23" s="22"/>
      <c r="M23" s="22"/>
      <c r="N23" s="22"/>
    </row>
    <row r="24" spans="2:14" x14ac:dyDescent="0.15">
      <c r="B24" s="42"/>
      <c r="C24" s="22"/>
      <c r="D24" s="22"/>
      <c r="E24" s="26"/>
      <c r="F24" s="22"/>
      <c r="G24" s="22"/>
      <c r="H24" s="23"/>
      <c r="I24" s="42"/>
      <c r="J24" s="22"/>
      <c r="K24" s="22"/>
      <c r="L24" s="22"/>
      <c r="M24" s="22"/>
      <c r="N24" s="22"/>
    </row>
    <row r="25" spans="2:14" x14ac:dyDescent="0.15">
      <c r="B25" s="42"/>
      <c r="C25" s="22"/>
      <c r="D25" s="22"/>
      <c r="E25" s="26"/>
      <c r="F25" s="22"/>
      <c r="G25" s="22"/>
      <c r="H25" s="23"/>
      <c r="I25" s="42"/>
      <c r="J25" s="22"/>
      <c r="K25" s="22"/>
      <c r="L25" s="22"/>
      <c r="M25" s="22"/>
      <c r="N25" s="22"/>
    </row>
    <row r="26" spans="2:14" x14ac:dyDescent="0.15">
      <c r="B26" s="42"/>
      <c r="C26" s="22"/>
      <c r="D26" s="22"/>
      <c r="E26" s="26"/>
      <c r="F26" s="22"/>
      <c r="G26" s="22"/>
      <c r="H26" s="23"/>
      <c r="I26" s="42"/>
      <c r="J26" s="22"/>
      <c r="K26" s="22"/>
      <c r="L26" s="22"/>
      <c r="M26" s="22"/>
      <c r="N26" s="22"/>
    </row>
    <row r="27" spans="2:14" x14ac:dyDescent="0.15">
      <c r="B27" s="42"/>
      <c r="C27" s="22"/>
      <c r="D27" s="22"/>
      <c r="E27" s="22"/>
      <c r="F27" s="22"/>
      <c r="G27" s="22"/>
      <c r="H27" s="23"/>
      <c r="I27" s="42"/>
      <c r="J27" s="22"/>
      <c r="K27" s="22"/>
      <c r="L27" s="22"/>
      <c r="M27" s="22"/>
      <c r="N27" s="22"/>
    </row>
    <row r="28" spans="2:14" x14ac:dyDescent="0.15">
      <c r="B28" s="42"/>
      <c r="C28" s="22"/>
      <c r="D28" s="22"/>
      <c r="E28" s="22"/>
      <c r="F28" s="22"/>
      <c r="G28" s="22"/>
      <c r="H28" s="23"/>
      <c r="I28" s="42"/>
      <c r="J28" s="22"/>
      <c r="K28" s="22"/>
      <c r="L28" s="22"/>
      <c r="M28" s="22"/>
      <c r="N28" s="22"/>
    </row>
    <row r="29" spans="2:14" x14ac:dyDescent="0.15">
      <c r="B29" s="42"/>
      <c r="C29" s="22"/>
      <c r="D29" s="27"/>
      <c r="E29" s="22"/>
      <c r="F29" s="22"/>
      <c r="G29" s="22"/>
      <c r="H29" s="23"/>
      <c r="I29" s="42"/>
      <c r="J29" s="22"/>
      <c r="K29" s="22"/>
      <c r="L29" s="22"/>
      <c r="M29" s="22"/>
      <c r="N29" s="22"/>
    </row>
    <row r="30" spans="2:14" x14ac:dyDescent="0.15">
      <c r="B30" s="42"/>
      <c r="C30" s="22"/>
      <c r="D30" s="22"/>
      <c r="E30" s="22"/>
      <c r="F30" s="22"/>
      <c r="G30" s="22"/>
      <c r="H30" s="23"/>
      <c r="I30" s="42"/>
      <c r="J30" s="22"/>
      <c r="K30" s="22"/>
      <c r="L30" s="22"/>
      <c r="M30" s="22"/>
      <c r="N30" s="22"/>
    </row>
    <row r="31" spans="2:14" x14ac:dyDescent="0.15">
      <c r="B31" s="42"/>
      <c r="C31" s="22"/>
      <c r="D31" s="22"/>
      <c r="E31" s="22"/>
      <c r="F31" s="22"/>
      <c r="G31" s="22"/>
      <c r="H31" s="23"/>
      <c r="I31" s="42"/>
      <c r="J31" s="22"/>
      <c r="K31" s="22"/>
      <c r="L31" s="22"/>
      <c r="M31" s="22"/>
      <c r="N31" s="22"/>
    </row>
    <row r="32" spans="2:14" x14ac:dyDescent="0.15">
      <c r="B32" s="42"/>
      <c r="C32" s="22"/>
      <c r="D32" s="22"/>
      <c r="E32" s="22"/>
      <c r="F32" s="22"/>
      <c r="G32" s="22"/>
      <c r="H32" s="23"/>
      <c r="I32" s="42"/>
      <c r="J32" s="22"/>
      <c r="K32" s="22"/>
      <c r="L32" s="22"/>
      <c r="M32" s="22"/>
      <c r="N32" s="22"/>
    </row>
    <row r="33" spans="1:15" x14ac:dyDescent="0.15">
      <c r="B33" s="42"/>
      <c r="C33" s="22"/>
      <c r="D33" s="22"/>
      <c r="E33" s="22"/>
      <c r="F33" s="22"/>
      <c r="G33" s="22"/>
      <c r="H33" s="23"/>
      <c r="I33" s="42"/>
      <c r="J33" s="22"/>
      <c r="K33" s="22"/>
      <c r="L33" s="22"/>
      <c r="M33" s="22"/>
      <c r="N33" s="22"/>
    </row>
    <row r="34" spans="1:15" x14ac:dyDescent="0.15">
      <c r="B34" s="42"/>
      <c r="C34" s="22"/>
      <c r="D34" s="22"/>
      <c r="E34" s="22"/>
      <c r="F34" s="22"/>
      <c r="G34" s="22"/>
      <c r="H34" s="23"/>
      <c r="I34" s="42"/>
      <c r="J34" s="22"/>
      <c r="K34" s="22"/>
      <c r="L34" s="22"/>
      <c r="M34" s="22"/>
      <c r="N34" s="22"/>
    </row>
    <row r="35" spans="1:15" x14ac:dyDescent="0.15">
      <c r="B35" s="42"/>
      <c r="C35" s="22"/>
      <c r="D35" s="22"/>
      <c r="E35" s="22"/>
      <c r="F35" s="22"/>
      <c r="G35" s="22"/>
      <c r="H35" s="23"/>
      <c r="I35" s="42"/>
      <c r="J35" s="22"/>
      <c r="K35" s="22"/>
      <c r="L35" s="22"/>
      <c r="M35" s="22"/>
      <c r="N35" s="22"/>
    </row>
    <row r="36" spans="1:15" x14ac:dyDescent="0.15">
      <c r="B36" s="42"/>
      <c r="C36" s="28"/>
      <c r="D36" s="29"/>
      <c r="E36" s="22"/>
      <c r="F36" s="22"/>
      <c r="G36" s="22"/>
      <c r="H36" s="23"/>
      <c r="I36" s="42"/>
      <c r="J36" s="22"/>
      <c r="K36" s="22"/>
      <c r="L36" s="22"/>
      <c r="M36" s="22"/>
      <c r="N36" s="22"/>
    </row>
    <row r="37" spans="1:15" ht="18" x14ac:dyDescent="0.35">
      <c r="B37" s="88" t="s">
        <v>28</v>
      </c>
      <c r="C37" s="88"/>
      <c r="D37" s="88"/>
      <c r="E37" s="88"/>
      <c r="F37" s="88"/>
      <c r="G37" s="88"/>
      <c r="H37" s="23"/>
      <c r="I37" s="88" t="s">
        <v>28</v>
      </c>
      <c r="J37" s="88"/>
      <c r="K37" s="88"/>
      <c r="L37" s="88"/>
      <c r="M37" s="88"/>
      <c r="N37" s="88"/>
    </row>
    <row r="38" spans="1:15" ht="14.25" x14ac:dyDescent="0.15">
      <c r="B38" s="46" t="str">
        <f>[1]!edb()</f>
        <v>Wind</v>
      </c>
      <c r="C38"/>
      <c r="D38" s="29"/>
      <c r="E38" s="22"/>
      <c r="F38" s="22"/>
      <c r="G38" s="22"/>
      <c r="H38" s="23"/>
      <c r="I38" s="44" t="str">
        <f>[1]!edb()</f>
        <v>Wind</v>
      </c>
      <c r="J38"/>
      <c r="K38" s="22"/>
      <c r="L38" s="22"/>
      <c r="M38" s="22"/>
      <c r="N38" s="22"/>
    </row>
    <row r="39" spans="1:15" ht="28.5" x14ac:dyDescent="0.15">
      <c r="B39" s="70" t="s">
        <v>49</v>
      </c>
      <c r="C39" s="70" t="s">
        <v>80</v>
      </c>
      <c r="D39" s="70" t="s">
        <v>81</v>
      </c>
      <c r="E39" s="70" t="s">
        <v>82</v>
      </c>
      <c r="F39" s="54"/>
      <c r="G39" s="54"/>
      <c r="H39" s="53"/>
      <c r="I39" s="70" t="s">
        <v>49</v>
      </c>
      <c r="J39" s="70" t="s">
        <v>52</v>
      </c>
      <c r="K39" s="70" t="s">
        <v>51</v>
      </c>
      <c r="L39" s="70" t="s">
        <v>53</v>
      </c>
      <c r="M39" s="70"/>
      <c r="N39" s="31"/>
    </row>
    <row r="40" spans="1:15" s="36" customFormat="1" ht="12" x14ac:dyDescent="0.2">
      <c r="A40" s="33"/>
      <c r="B40" s="68">
        <v>37988</v>
      </c>
      <c r="C40" s="64">
        <v>70</v>
      </c>
      <c r="D40" s="64">
        <v>100</v>
      </c>
      <c r="E40" s="64">
        <v>-30</v>
      </c>
      <c r="F40" s="34"/>
      <c r="G40" s="34"/>
      <c r="H40" s="33"/>
      <c r="I40" s="62">
        <v>29220</v>
      </c>
      <c r="J40" s="64">
        <v>0</v>
      </c>
      <c r="K40" s="64">
        <v>0</v>
      </c>
      <c r="L40" s="64">
        <v>26.3</v>
      </c>
      <c r="M40" s="64"/>
      <c r="N40" s="34"/>
      <c r="O40" s="35"/>
    </row>
    <row r="41" spans="1:15" s="36" customFormat="1" ht="12" x14ac:dyDescent="0.2">
      <c r="A41" s="33"/>
      <c r="B41" s="69">
        <v>37995</v>
      </c>
      <c r="C41" s="65">
        <v>0</v>
      </c>
      <c r="D41" s="65">
        <v>150</v>
      </c>
      <c r="E41" s="65">
        <v>-150</v>
      </c>
      <c r="F41" s="34"/>
      <c r="G41" s="34"/>
      <c r="H41" s="33"/>
      <c r="I41" s="63">
        <v>29586</v>
      </c>
      <c r="J41" s="65">
        <v>0</v>
      </c>
      <c r="K41" s="65">
        <v>0</v>
      </c>
      <c r="L41" s="65">
        <v>29.3</v>
      </c>
      <c r="M41" s="65"/>
      <c r="N41" s="34"/>
      <c r="O41" s="35"/>
    </row>
    <row r="42" spans="1:15" s="36" customFormat="1" ht="12" x14ac:dyDescent="0.2">
      <c r="A42" s="33"/>
      <c r="B42" s="68">
        <v>38002</v>
      </c>
      <c r="C42" s="64">
        <v>520</v>
      </c>
      <c r="D42" s="64">
        <v>260</v>
      </c>
      <c r="E42" s="64">
        <v>260</v>
      </c>
      <c r="F42" s="34"/>
      <c r="G42" s="34"/>
      <c r="H42" s="33"/>
      <c r="I42" s="62">
        <v>29951</v>
      </c>
      <c r="J42" s="64">
        <v>0</v>
      </c>
      <c r="K42" s="64">
        <v>0</v>
      </c>
      <c r="L42" s="64">
        <v>14.5</v>
      </c>
      <c r="M42" s="64"/>
      <c r="N42" s="34"/>
      <c r="O42" s="35"/>
    </row>
    <row r="43" spans="1:15" s="36" customFormat="1" ht="12" x14ac:dyDescent="0.2">
      <c r="A43" s="33"/>
      <c r="B43" s="69">
        <v>38009</v>
      </c>
      <c r="C43" s="65">
        <v>50</v>
      </c>
      <c r="D43" s="65">
        <v>100</v>
      </c>
      <c r="E43" s="65">
        <v>-50</v>
      </c>
      <c r="F43" s="34"/>
      <c r="G43" s="34"/>
      <c r="H43" s="33"/>
      <c r="I43" s="63">
        <v>30316</v>
      </c>
      <c r="J43" s="65">
        <v>0</v>
      </c>
      <c r="K43" s="65">
        <v>0</v>
      </c>
      <c r="L43" s="65">
        <v>10.8</v>
      </c>
      <c r="M43" s="65"/>
      <c r="N43" s="34"/>
      <c r="O43" s="35"/>
    </row>
    <row r="44" spans="1:15" s="36" customFormat="1" ht="12" x14ac:dyDescent="0.2">
      <c r="A44" s="33"/>
      <c r="B44" s="68">
        <v>38016</v>
      </c>
      <c r="C44" s="64">
        <v>100</v>
      </c>
      <c r="D44" s="64">
        <v>400</v>
      </c>
      <c r="E44" s="64">
        <v>-300</v>
      </c>
      <c r="F44" s="34"/>
      <c r="G44" s="34"/>
      <c r="H44" s="33"/>
      <c r="I44" s="62">
        <v>30681</v>
      </c>
      <c r="J44" s="64">
        <v>0</v>
      </c>
      <c r="K44" s="64">
        <v>0</v>
      </c>
      <c r="L44" s="64">
        <v>20.7</v>
      </c>
      <c r="M44" s="64"/>
      <c r="N44" s="34"/>
      <c r="O44" s="35"/>
    </row>
    <row r="45" spans="1:15" s="36" customFormat="1" ht="12" x14ac:dyDescent="0.2">
      <c r="A45" s="33"/>
      <c r="B45" s="69">
        <v>38023</v>
      </c>
      <c r="C45" s="65">
        <v>0</v>
      </c>
      <c r="D45" s="65">
        <v>200</v>
      </c>
      <c r="E45" s="65">
        <v>-200</v>
      </c>
      <c r="F45" s="34"/>
      <c r="G45" s="34"/>
      <c r="H45" s="33"/>
      <c r="I45" s="63">
        <v>31047</v>
      </c>
      <c r="J45" s="65">
        <v>0</v>
      </c>
      <c r="K45" s="65">
        <v>0</v>
      </c>
      <c r="L45" s="65">
        <v>49.500000000000007</v>
      </c>
      <c r="M45" s="65"/>
      <c r="N45" s="34"/>
      <c r="O45" s="35"/>
    </row>
    <row r="46" spans="1:15" s="36" customFormat="1" ht="12" x14ac:dyDescent="0.2">
      <c r="A46" s="33"/>
      <c r="B46" s="68">
        <v>38030</v>
      </c>
      <c r="C46" s="64">
        <v>180</v>
      </c>
      <c r="D46" s="64">
        <v>350</v>
      </c>
      <c r="E46" s="64">
        <v>-170</v>
      </c>
      <c r="F46" s="34"/>
      <c r="G46" s="34"/>
      <c r="H46" s="33"/>
      <c r="I46" s="62">
        <v>31412</v>
      </c>
      <c r="J46" s="64">
        <v>0</v>
      </c>
      <c r="K46" s="64">
        <v>0</v>
      </c>
      <c r="L46" s="64">
        <v>24.7</v>
      </c>
      <c r="M46" s="64"/>
      <c r="N46" s="34"/>
      <c r="O46" s="35"/>
    </row>
    <row r="47" spans="1:15" s="36" customFormat="1" ht="12" x14ac:dyDescent="0.2">
      <c r="A47" s="33"/>
      <c r="B47" s="69">
        <v>38037</v>
      </c>
      <c r="C47" s="65">
        <v>230</v>
      </c>
      <c r="D47" s="65">
        <v>500</v>
      </c>
      <c r="E47" s="65">
        <v>-270</v>
      </c>
      <c r="F47" s="34"/>
      <c r="G47" s="34"/>
      <c r="H47" s="33"/>
      <c r="I47" s="63">
        <v>31777</v>
      </c>
      <c r="J47" s="65">
        <v>26.7</v>
      </c>
      <c r="K47" s="65">
        <v>29.3</v>
      </c>
      <c r="L47" s="65">
        <v>23.3</v>
      </c>
      <c r="M47" s="65"/>
      <c r="N47" s="34"/>
      <c r="O47" s="35"/>
    </row>
    <row r="48" spans="1:15" s="36" customFormat="1" ht="12" x14ac:dyDescent="0.2">
      <c r="A48" s="33"/>
      <c r="B48" s="68">
        <v>38044</v>
      </c>
      <c r="C48" s="64">
        <v>200</v>
      </c>
      <c r="D48" s="64">
        <v>500</v>
      </c>
      <c r="E48" s="64">
        <v>-300</v>
      </c>
      <c r="F48" s="34"/>
      <c r="G48" s="34"/>
      <c r="H48" s="33"/>
      <c r="I48" s="62">
        <v>32142</v>
      </c>
      <c r="J48" s="64">
        <v>16.899999999999999</v>
      </c>
      <c r="K48" s="64">
        <v>24</v>
      </c>
      <c r="L48" s="64">
        <v>19.399999999999999</v>
      </c>
      <c r="M48" s="64"/>
      <c r="N48" s="34"/>
      <c r="O48" s="35"/>
    </row>
    <row r="49" spans="1:15" s="36" customFormat="1" ht="12" x14ac:dyDescent="0.2">
      <c r="A49" s="33"/>
      <c r="B49" s="69">
        <v>38051</v>
      </c>
      <c r="C49" s="65">
        <v>150</v>
      </c>
      <c r="D49" s="65">
        <v>500</v>
      </c>
      <c r="E49" s="65">
        <v>-350</v>
      </c>
      <c r="F49" s="34"/>
      <c r="G49" s="34"/>
      <c r="H49" s="33"/>
      <c r="I49" s="63">
        <v>32508</v>
      </c>
      <c r="J49" s="65">
        <v>21</v>
      </c>
      <c r="K49" s="65">
        <v>21.2</v>
      </c>
      <c r="L49" s="65">
        <v>46.7</v>
      </c>
      <c r="M49" s="65"/>
      <c r="N49" s="34"/>
      <c r="O49" s="35"/>
    </row>
    <row r="50" spans="1:15" s="36" customFormat="1" ht="12" x14ac:dyDescent="0.2">
      <c r="A50" s="33"/>
      <c r="B50" s="68">
        <v>38058</v>
      </c>
      <c r="C50" s="64">
        <v>250</v>
      </c>
      <c r="D50" s="64">
        <v>600</v>
      </c>
      <c r="E50" s="64">
        <v>-350</v>
      </c>
      <c r="F50" s="34"/>
      <c r="G50" s="34"/>
      <c r="H50" s="33"/>
      <c r="I50" s="62">
        <v>32873</v>
      </c>
      <c r="J50" s="64">
        <v>6.6</v>
      </c>
      <c r="K50" s="64">
        <v>18.3</v>
      </c>
      <c r="L50" s="64">
        <v>9.8000000000000007</v>
      </c>
      <c r="M50" s="64"/>
      <c r="N50" s="34"/>
      <c r="O50" s="35"/>
    </row>
    <row r="51" spans="1:15" s="36" customFormat="1" ht="12" x14ac:dyDescent="0.2">
      <c r="A51" s="33"/>
      <c r="B51" s="69">
        <v>38065</v>
      </c>
      <c r="C51" s="65">
        <v>150</v>
      </c>
      <c r="D51" s="65">
        <v>600</v>
      </c>
      <c r="E51" s="65">
        <v>-450</v>
      </c>
      <c r="F51" s="34"/>
      <c r="G51" s="34"/>
      <c r="H51" s="33"/>
      <c r="I51" s="63">
        <v>33238</v>
      </c>
      <c r="J51" s="65">
        <v>19.2</v>
      </c>
      <c r="K51" s="65">
        <v>28</v>
      </c>
      <c r="L51" s="65">
        <v>12.8</v>
      </c>
      <c r="M51" s="65"/>
      <c r="N51" s="34"/>
      <c r="O51" s="35"/>
    </row>
    <row r="52" spans="1:15" s="36" customFormat="1" ht="12" x14ac:dyDescent="0.2">
      <c r="A52" s="33"/>
      <c r="B52" s="68">
        <v>38072</v>
      </c>
      <c r="C52" s="64">
        <v>150</v>
      </c>
      <c r="D52" s="64">
        <v>396</v>
      </c>
      <c r="E52" s="64">
        <v>-246</v>
      </c>
      <c r="F52" s="34"/>
      <c r="G52" s="34"/>
      <c r="H52" s="33"/>
      <c r="I52" s="62">
        <v>33603</v>
      </c>
      <c r="J52" s="64">
        <v>24.2</v>
      </c>
      <c r="K52" s="64">
        <v>26.5</v>
      </c>
      <c r="L52" s="64">
        <v>20.2</v>
      </c>
      <c r="M52" s="64"/>
      <c r="N52" s="34"/>
      <c r="O52" s="35"/>
    </row>
    <row r="53" spans="1:15" s="36" customFormat="1" ht="12" x14ac:dyDescent="0.2">
      <c r="A53" s="33"/>
      <c r="B53" s="69">
        <v>38079</v>
      </c>
      <c r="C53" s="65">
        <v>100</v>
      </c>
      <c r="D53" s="65">
        <v>285</v>
      </c>
      <c r="E53" s="65">
        <v>-185</v>
      </c>
      <c r="F53" s="34"/>
      <c r="G53" s="34"/>
      <c r="H53" s="33"/>
      <c r="I53" s="63">
        <v>33969</v>
      </c>
      <c r="J53" s="65">
        <v>35.9</v>
      </c>
      <c r="K53" s="65">
        <v>31.3</v>
      </c>
      <c r="L53" s="65">
        <v>36.4</v>
      </c>
      <c r="M53" s="65"/>
      <c r="N53" s="34"/>
      <c r="O53" s="35"/>
    </row>
    <row r="54" spans="1:15" s="36" customFormat="1" ht="12" x14ac:dyDescent="0.2">
      <c r="A54" s="33"/>
      <c r="B54" s="68">
        <v>38086</v>
      </c>
      <c r="C54" s="64">
        <v>50</v>
      </c>
      <c r="D54" s="64">
        <v>479</v>
      </c>
      <c r="E54" s="64">
        <v>-429</v>
      </c>
      <c r="F54" s="34"/>
      <c r="G54" s="34"/>
      <c r="H54" s="33"/>
      <c r="I54" s="62">
        <v>34334</v>
      </c>
      <c r="J54" s="64">
        <v>38.799999999999997</v>
      </c>
      <c r="K54" s="64">
        <v>37.299999999999997</v>
      </c>
      <c r="L54" s="64">
        <v>35.299999999999997</v>
      </c>
      <c r="M54" s="64"/>
      <c r="N54" s="34"/>
      <c r="O54" s="35"/>
    </row>
    <row r="55" spans="1:15" s="36" customFormat="1" ht="12" x14ac:dyDescent="0.2">
      <c r="A55" s="33"/>
      <c r="B55" s="69">
        <v>38093</v>
      </c>
      <c r="C55" s="65">
        <v>150</v>
      </c>
      <c r="D55" s="65">
        <v>82.5</v>
      </c>
      <c r="E55" s="65">
        <v>67.5</v>
      </c>
      <c r="F55" s="34"/>
      <c r="G55" s="34"/>
      <c r="H55" s="33"/>
      <c r="I55" s="63">
        <v>34699</v>
      </c>
      <c r="J55" s="65">
        <v>26.2</v>
      </c>
      <c r="K55" s="65">
        <v>34.5</v>
      </c>
      <c r="L55" s="65">
        <v>24.3</v>
      </c>
      <c r="M55" s="65"/>
      <c r="N55" s="34"/>
      <c r="O55" s="35"/>
    </row>
    <row r="56" spans="1:15" s="36" customFormat="1" ht="12" x14ac:dyDescent="0.2">
      <c r="A56" s="33"/>
      <c r="B56" s="68">
        <v>38100</v>
      </c>
      <c r="C56" s="64">
        <v>150</v>
      </c>
      <c r="D56" s="64">
        <v>50</v>
      </c>
      <c r="E56" s="64">
        <v>100</v>
      </c>
      <c r="F56" s="34"/>
      <c r="G56" s="34"/>
      <c r="H56" s="33"/>
      <c r="I56" s="62">
        <v>35064</v>
      </c>
      <c r="J56" s="64">
        <v>16.8</v>
      </c>
      <c r="K56" s="64">
        <v>29.5</v>
      </c>
      <c r="L56" s="64">
        <v>8.1999999999999993</v>
      </c>
      <c r="M56" s="64"/>
      <c r="N56" s="34"/>
      <c r="O56" s="35"/>
    </row>
    <row r="57" spans="1:15" s="36" customFormat="1" ht="12" x14ac:dyDescent="0.2">
      <c r="A57" s="33"/>
      <c r="B57" s="69">
        <v>38107</v>
      </c>
      <c r="C57" s="65">
        <v>300</v>
      </c>
      <c r="D57" s="65">
        <v>0</v>
      </c>
      <c r="E57" s="65">
        <v>300</v>
      </c>
      <c r="F57" s="34"/>
      <c r="G57" s="34"/>
      <c r="H57" s="33"/>
      <c r="I57" s="63">
        <v>35095</v>
      </c>
      <c r="J57" s="65">
        <v>11.4</v>
      </c>
      <c r="K57" s="65">
        <v>25.9</v>
      </c>
      <c r="L57" s="65">
        <v>-5.9</v>
      </c>
      <c r="M57" s="65"/>
      <c r="N57" s="34"/>
      <c r="O57" s="35"/>
    </row>
    <row r="58" spans="1:15" s="36" customFormat="1" ht="12" x14ac:dyDescent="0.2">
      <c r="A58" s="33"/>
      <c r="B58" s="68">
        <v>38121</v>
      </c>
      <c r="C58" s="64">
        <v>250</v>
      </c>
      <c r="D58" s="64">
        <v>428</v>
      </c>
      <c r="E58" s="64">
        <v>-178</v>
      </c>
      <c r="F58" s="34"/>
      <c r="G58" s="34"/>
      <c r="H58" s="33"/>
      <c r="I58" s="62">
        <v>35124</v>
      </c>
      <c r="J58" s="64">
        <v>16.600000000000001</v>
      </c>
      <c r="K58" s="64">
        <v>27.2</v>
      </c>
      <c r="L58" s="64">
        <v>19.8</v>
      </c>
      <c r="M58" s="64"/>
      <c r="N58" s="34"/>
      <c r="O58" s="35"/>
    </row>
    <row r="59" spans="1:15" s="36" customFormat="1" ht="12" x14ac:dyDescent="0.2">
      <c r="A59" s="33"/>
      <c r="B59" s="69">
        <v>38128</v>
      </c>
      <c r="C59" s="65">
        <v>300</v>
      </c>
      <c r="D59" s="65">
        <v>1000</v>
      </c>
      <c r="E59" s="65">
        <v>-700</v>
      </c>
      <c r="F59" s="34"/>
      <c r="G59" s="34"/>
      <c r="H59" s="33"/>
      <c r="I59" s="63">
        <v>35155</v>
      </c>
      <c r="J59" s="65">
        <v>13.8</v>
      </c>
      <c r="K59" s="65">
        <v>28.3</v>
      </c>
      <c r="L59" s="65">
        <v>12.4</v>
      </c>
      <c r="M59" s="65"/>
      <c r="N59" s="34"/>
      <c r="O59" s="35"/>
    </row>
    <row r="60" spans="1:15" s="36" customFormat="1" ht="12" x14ac:dyDescent="0.2">
      <c r="A60" s="33"/>
      <c r="B60" s="68">
        <v>38135</v>
      </c>
      <c r="C60" s="64">
        <v>550</v>
      </c>
      <c r="D60" s="64">
        <v>400</v>
      </c>
      <c r="E60" s="64">
        <v>150</v>
      </c>
      <c r="F60" s="34"/>
      <c r="G60" s="34"/>
      <c r="H60" s="33"/>
      <c r="I60" s="62">
        <v>35185</v>
      </c>
      <c r="J60" s="64">
        <v>13.7</v>
      </c>
      <c r="K60" s="64">
        <v>28.5</v>
      </c>
      <c r="L60" s="64">
        <v>8.6</v>
      </c>
      <c r="M60" s="64"/>
      <c r="N60" s="34"/>
      <c r="O60" s="35"/>
    </row>
    <row r="61" spans="1:15" s="36" customFormat="1" ht="12" x14ac:dyDescent="0.2">
      <c r="A61" s="33"/>
      <c r="B61" s="69">
        <v>38142</v>
      </c>
      <c r="C61" s="65">
        <v>238.2</v>
      </c>
      <c r="D61" s="65">
        <v>250</v>
      </c>
      <c r="E61" s="65">
        <v>-11.8</v>
      </c>
      <c r="F61" s="34"/>
      <c r="G61" s="34"/>
      <c r="H61" s="33"/>
      <c r="I61" s="63">
        <v>35216</v>
      </c>
      <c r="J61" s="65">
        <v>14.5</v>
      </c>
      <c r="K61" s="65">
        <v>28.4</v>
      </c>
      <c r="L61" s="65">
        <v>6.4</v>
      </c>
      <c r="M61" s="65"/>
      <c r="N61" s="34"/>
      <c r="O61" s="35"/>
    </row>
    <row r="62" spans="1:15" s="36" customFormat="1" ht="12" x14ac:dyDescent="0.2">
      <c r="A62" s="33"/>
      <c r="B62" s="68">
        <v>38149</v>
      </c>
      <c r="C62" s="64">
        <v>400</v>
      </c>
      <c r="D62" s="64">
        <v>200</v>
      </c>
      <c r="E62" s="64">
        <v>200</v>
      </c>
      <c r="F62" s="34"/>
      <c r="G62" s="34"/>
      <c r="H62" s="33"/>
      <c r="I62" s="62">
        <v>35246</v>
      </c>
      <c r="J62" s="64">
        <v>15</v>
      </c>
      <c r="K62" s="64">
        <v>28.2</v>
      </c>
      <c r="L62" s="64">
        <v>9.5</v>
      </c>
      <c r="M62" s="64"/>
      <c r="N62" s="34"/>
      <c r="O62" s="35"/>
    </row>
    <row r="63" spans="1:15" s="36" customFormat="1" ht="12" x14ac:dyDescent="0.2">
      <c r="A63" s="33"/>
      <c r="B63" s="69">
        <v>38156</v>
      </c>
      <c r="C63" s="65">
        <v>450</v>
      </c>
      <c r="D63" s="65">
        <v>150</v>
      </c>
      <c r="E63" s="65">
        <v>300</v>
      </c>
      <c r="F63" s="34"/>
      <c r="G63" s="34"/>
      <c r="H63" s="33"/>
      <c r="I63" s="63">
        <v>35277</v>
      </c>
      <c r="J63" s="65">
        <v>15.2</v>
      </c>
      <c r="K63" s="65">
        <v>27</v>
      </c>
      <c r="L63" s="65">
        <v>10.1</v>
      </c>
      <c r="M63" s="65"/>
      <c r="N63" s="34"/>
      <c r="O63" s="35"/>
    </row>
    <row r="64" spans="1:15" s="36" customFormat="1" ht="12" x14ac:dyDescent="0.2">
      <c r="A64" s="33"/>
      <c r="B64" s="68">
        <v>38163</v>
      </c>
      <c r="C64" s="64">
        <v>351.7</v>
      </c>
      <c r="D64" s="64">
        <v>100</v>
      </c>
      <c r="E64" s="64">
        <v>251.7</v>
      </c>
      <c r="F64" s="34"/>
      <c r="G64" s="34"/>
      <c r="H64" s="33"/>
      <c r="I64" s="62">
        <v>35308</v>
      </c>
      <c r="J64" s="64">
        <v>15.1</v>
      </c>
      <c r="K64" s="64">
        <v>27.5</v>
      </c>
      <c r="L64" s="64">
        <v>11.8</v>
      </c>
      <c r="M64" s="64"/>
      <c r="N64" s="34"/>
      <c r="O64" s="35"/>
    </row>
    <row r="65" spans="1:15" s="36" customFormat="1" ht="12" x14ac:dyDescent="0.2">
      <c r="A65" s="33"/>
      <c r="B65" s="69">
        <v>38170</v>
      </c>
      <c r="C65" s="65">
        <v>250</v>
      </c>
      <c r="D65" s="65">
        <v>270</v>
      </c>
      <c r="E65" s="65">
        <v>-20</v>
      </c>
      <c r="F65" s="34"/>
      <c r="G65" s="34"/>
      <c r="H65" s="33"/>
      <c r="I65" s="63">
        <v>35338</v>
      </c>
      <c r="J65" s="65">
        <v>17.3</v>
      </c>
      <c r="K65" s="65">
        <v>27.8</v>
      </c>
      <c r="L65" s="65">
        <v>14.1</v>
      </c>
      <c r="M65" s="65"/>
      <c r="N65" s="34"/>
      <c r="O65" s="35"/>
    </row>
    <row r="66" spans="1:15" s="36" customFormat="1" ht="12" x14ac:dyDescent="0.2">
      <c r="A66" s="33"/>
      <c r="B66" s="68">
        <v>38177</v>
      </c>
      <c r="C66" s="64">
        <v>379</v>
      </c>
      <c r="D66" s="64">
        <v>560</v>
      </c>
      <c r="E66" s="64">
        <v>-181</v>
      </c>
      <c r="F66" s="34"/>
      <c r="G66" s="34"/>
      <c r="H66" s="33"/>
      <c r="I66" s="62">
        <v>35369</v>
      </c>
      <c r="J66" s="64">
        <v>17.100000000000001</v>
      </c>
      <c r="K66" s="64">
        <v>26.4</v>
      </c>
      <c r="L66" s="64">
        <v>13.3</v>
      </c>
      <c r="M66" s="64"/>
      <c r="N66" s="34"/>
      <c r="O66" s="35"/>
    </row>
    <row r="67" spans="1:15" s="36" customFormat="1" ht="12" x14ac:dyDescent="0.2">
      <c r="A67" s="33"/>
      <c r="B67" s="69">
        <v>38184</v>
      </c>
      <c r="C67" s="65">
        <v>228</v>
      </c>
      <c r="D67" s="65">
        <v>700</v>
      </c>
      <c r="E67" s="65">
        <v>-472</v>
      </c>
      <c r="F67" s="34"/>
      <c r="G67" s="34"/>
      <c r="H67" s="33"/>
      <c r="I67" s="63">
        <v>35399</v>
      </c>
      <c r="J67" s="65">
        <v>17.100000000000001</v>
      </c>
      <c r="K67" s="65">
        <v>25.1</v>
      </c>
      <c r="L67" s="65">
        <v>12.6</v>
      </c>
      <c r="M67" s="65"/>
      <c r="N67" s="34"/>
      <c r="O67" s="35"/>
    </row>
    <row r="68" spans="1:15" s="36" customFormat="1" ht="12" x14ac:dyDescent="0.2">
      <c r="A68" s="33"/>
      <c r="B68" s="68">
        <v>38191</v>
      </c>
      <c r="C68" s="64">
        <v>180</v>
      </c>
      <c r="D68" s="64">
        <v>250</v>
      </c>
      <c r="E68" s="64">
        <v>-70</v>
      </c>
      <c r="F68" s="34"/>
      <c r="G68" s="34"/>
      <c r="H68" s="33"/>
      <c r="I68" s="62">
        <v>35430</v>
      </c>
      <c r="J68" s="64">
        <v>18.899999999999999</v>
      </c>
      <c r="K68" s="64">
        <v>25.3</v>
      </c>
      <c r="L68" s="64">
        <v>11.6</v>
      </c>
      <c r="M68" s="64"/>
      <c r="N68" s="34"/>
      <c r="O68" s="35"/>
    </row>
    <row r="69" spans="1:15" s="36" customFormat="1" ht="12" x14ac:dyDescent="0.2">
      <c r="A69" s="33"/>
      <c r="B69" s="69">
        <v>38198</v>
      </c>
      <c r="C69" s="65">
        <v>250</v>
      </c>
      <c r="D69" s="65">
        <v>80</v>
      </c>
      <c r="E69" s="65">
        <v>170</v>
      </c>
      <c r="F69" s="34"/>
      <c r="G69" s="34"/>
      <c r="H69" s="33"/>
      <c r="I69" s="63">
        <v>35461</v>
      </c>
      <c r="J69" s="65">
        <v>22.2</v>
      </c>
      <c r="K69" s="65">
        <v>24.8</v>
      </c>
      <c r="L69" s="65">
        <v>33.6</v>
      </c>
      <c r="M69" s="65"/>
      <c r="N69" s="34"/>
      <c r="O69" s="35"/>
    </row>
    <row r="70" spans="1:15" s="36" customFormat="1" ht="12" x14ac:dyDescent="0.2">
      <c r="A70" s="33"/>
      <c r="B70" s="68">
        <v>38205</v>
      </c>
      <c r="C70" s="64">
        <v>310</v>
      </c>
      <c r="D70" s="64">
        <v>330</v>
      </c>
      <c r="E70" s="64">
        <v>-20</v>
      </c>
      <c r="F70" s="34"/>
      <c r="G70" s="34"/>
      <c r="H70" s="33"/>
      <c r="I70" s="62">
        <v>35489</v>
      </c>
      <c r="J70" s="64">
        <v>16</v>
      </c>
      <c r="K70" s="64">
        <v>21.7</v>
      </c>
      <c r="L70" s="64">
        <v>8.4</v>
      </c>
      <c r="M70" s="64"/>
      <c r="N70" s="34"/>
      <c r="O70" s="35"/>
    </row>
    <row r="71" spans="1:15" s="36" customFormat="1" ht="12" x14ac:dyDescent="0.2">
      <c r="A71" s="33"/>
      <c r="B71" s="69">
        <v>38212</v>
      </c>
      <c r="C71" s="65">
        <v>610</v>
      </c>
      <c r="D71" s="65">
        <v>430</v>
      </c>
      <c r="E71" s="65">
        <v>180</v>
      </c>
      <c r="F71" s="34"/>
      <c r="G71" s="34"/>
      <c r="H71" s="33"/>
      <c r="I71" s="63">
        <v>35520</v>
      </c>
      <c r="J71" s="65">
        <v>18.899999999999999</v>
      </c>
      <c r="K71" s="65">
        <v>21.1</v>
      </c>
      <c r="L71" s="65">
        <v>13.6</v>
      </c>
      <c r="M71" s="65"/>
      <c r="N71" s="34"/>
      <c r="O71" s="35"/>
    </row>
    <row r="72" spans="1:15" s="36" customFormat="1" ht="12" x14ac:dyDescent="0.2">
      <c r="A72" s="33"/>
      <c r="B72" s="68">
        <v>38219</v>
      </c>
      <c r="C72" s="64">
        <v>510</v>
      </c>
      <c r="D72" s="64">
        <v>260</v>
      </c>
      <c r="E72" s="64">
        <v>250</v>
      </c>
      <c r="F72" s="34"/>
      <c r="G72" s="34"/>
      <c r="H72" s="33"/>
      <c r="I72" s="62">
        <v>35550</v>
      </c>
      <c r="J72" s="64">
        <v>18.7</v>
      </c>
      <c r="K72" s="64">
        <v>20.6</v>
      </c>
      <c r="L72" s="64">
        <v>17.5</v>
      </c>
      <c r="M72" s="64"/>
      <c r="N72" s="34"/>
      <c r="O72" s="35"/>
    </row>
    <row r="73" spans="1:15" s="36" customFormat="1" ht="12" x14ac:dyDescent="0.2">
      <c r="A73" s="33"/>
      <c r="B73" s="69">
        <v>38226</v>
      </c>
      <c r="C73" s="65">
        <v>370</v>
      </c>
      <c r="D73" s="65">
        <v>190</v>
      </c>
      <c r="E73" s="65">
        <v>180</v>
      </c>
      <c r="F73" s="34"/>
      <c r="G73" s="34"/>
      <c r="H73" s="33"/>
      <c r="I73" s="63">
        <v>35581</v>
      </c>
      <c r="J73" s="65">
        <v>18.3</v>
      </c>
      <c r="K73" s="65">
        <v>19.100000000000001</v>
      </c>
      <c r="L73" s="65">
        <v>17.7</v>
      </c>
      <c r="M73" s="65"/>
      <c r="N73" s="34"/>
      <c r="O73" s="35"/>
    </row>
    <row r="74" spans="1:15" s="36" customFormat="1" ht="12" x14ac:dyDescent="0.2">
      <c r="A74" s="33"/>
      <c r="B74" s="68">
        <v>38233</v>
      </c>
      <c r="C74" s="64">
        <v>300</v>
      </c>
      <c r="D74" s="64">
        <v>130</v>
      </c>
      <c r="E74" s="64">
        <v>170</v>
      </c>
      <c r="F74" s="34"/>
      <c r="G74" s="34"/>
      <c r="H74" s="33"/>
      <c r="I74" s="62">
        <v>35611</v>
      </c>
      <c r="J74" s="64">
        <v>20.6</v>
      </c>
      <c r="K74" s="64">
        <v>19.100000000000001</v>
      </c>
      <c r="L74" s="64">
        <v>19</v>
      </c>
      <c r="M74" s="64"/>
      <c r="N74" s="34"/>
      <c r="O74" s="35"/>
    </row>
    <row r="75" spans="1:15" s="36" customFormat="1" ht="12" x14ac:dyDescent="0.2">
      <c r="A75" s="33"/>
      <c r="B75" s="69">
        <v>38240</v>
      </c>
      <c r="C75" s="65">
        <v>340</v>
      </c>
      <c r="D75" s="65">
        <v>400</v>
      </c>
      <c r="E75" s="65">
        <v>-60</v>
      </c>
      <c r="F75" s="34"/>
      <c r="G75" s="34"/>
      <c r="H75" s="33"/>
      <c r="I75" s="63">
        <v>35642</v>
      </c>
      <c r="J75" s="65">
        <v>18.399999999999999</v>
      </c>
      <c r="K75" s="65">
        <v>18.100000000000001</v>
      </c>
      <c r="L75" s="65">
        <v>16.899999999999999</v>
      </c>
      <c r="M75" s="65"/>
      <c r="N75" s="34"/>
      <c r="O75" s="35"/>
    </row>
    <row r="76" spans="1:15" s="36" customFormat="1" ht="12" x14ac:dyDescent="0.2">
      <c r="A76" s="33"/>
      <c r="B76" s="68">
        <v>38247</v>
      </c>
      <c r="C76" s="64">
        <v>370</v>
      </c>
      <c r="D76" s="64">
        <v>720</v>
      </c>
      <c r="E76" s="64">
        <v>-350</v>
      </c>
      <c r="F76" s="34"/>
      <c r="G76" s="34"/>
      <c r="H76" s="33"/>
      <c r="I76" s="62">
        <v>35673</v>
      </c>
      <c r="J76" s="64">
        <v>17.2</v>
      </c>
      <c r="K76" s="64">
        <v>17.2</v>
      </c>
      <c r="L76" s="64">
        <v>15.2</v>
      </c>
      <c r="M76" s="64"/>
      <c r="N76" s="34"/>
      <c r="O76" s="35"/>
    </row>
    <row r="77" spans="1:15" s="36" customFormat="1" ht="12" x14ac:dyDescent="0.2">
      <c r="A77" s="33"/>
      <c r="B77" s="69">
        <v>38254</v>
      </c>
      <c r="C77" s="65">
        <v>319.7</v>
      </c>
      <c r="D77" s="65">
        <v>450</v>
      </c>
      <c r="E77" s="65">
        <v>-130.30000000000001</v>
      </c>
      <c r="F77" s="34"/>
      <c r="G77" s="34"/>
      <c r="H77" s="33"/>
      <c r="I77" s="63">
        <v>35703</v>
      </c>
      <c r="J77" s="65">
        <v>17.3</v>
      </c>
      <c r="K77" s="65">
        <v>17.100000000000001</v>
      </c>
      <c r="L77" s="65">
        <v>12.1</v>
      </c>
      <c r="M77" s="65"/>
      <c r="N77" s="34"/>
      <c r="O77" s="35"/>
    </row>
    <row r="78" spans="1:15" s="36" customFormat="1" ht="12" x14ac:dyDescent="0.2">
      <c r="A78" s="33"/>
      <c r="B78" s="68">
        <v>38261</v>
      </c>
      <c r="C78" s="64">
        <v>220</v>
      </c>
      <c r="D78" s="64">
        <v>100</v>
      </c>
      <c r="E78" s="64">
        <v>120</v>
      </c>
      <c r="F78" s="34"/>
      <c r="G78" s="34"/>
      <c r="H78" s="33"/>
      <c r="I78" s="62">
        <v>35734</v>
      </c>
      <c r="J78" s="64">
        <v>15.8</v>
      </c>
      <c r="K78" s="64">
        <v>16.399999999999999</v>
      </c>
      <c r="L78" s="64">
        <v>12.9</v>
      </c>
      <c r="M78" s="64"/>
      <c r="N78" s="34"/>
      <c r="O78" s="35"/>
    </row>
    <row r="79" spans="1:15" s="36" customFormat="1" ht="12" x14ac:dyDescent="0.2">
      <c r="A79" s="33"/>
      <c r="B79" s="69">
        <v>38268</v>
      </c>
      <c r="C79" s="65">
        <v>200</v>
      </c>
      <c r="D79" s="65">
        <v>0</v>
      </c>
      <c r="E79" s="65">
        <v>200</v>
      </c>
      <c r="F79" s="34"/>
      <c r="G79" s="34"/>
      <c r="H79" s="33"/>
      <c r="I79" s="63">
        <v>35764</v>
      </c>
      <c r="J79" s="65">
        <v>14.9</v>
      </c>
      <c r="K79" s="65">
        <v>16.100000000000001</v>
      </c>
      <c r="L79" s="65">
        <v>12.4</v>
      </c>
      <c r="M79" s="65"/>
      <c r="N79" s="34"/>
      <c r="O79" s="35"/>
    </row>
    <row r="80" spans="1:15" s="36" customFormat="1" ht="12" x14ac:dyDescent="0.2">
      <c r="A80" s="33"/>
      <c r="B80" s="68">
        <v>38275</v>
      </c>
      <c r="C80" s="64">
        <v>340</v>
      </c>
      <c r="D80" s="64">
        <v>790</v>
      </c>
      <c r="E80" s="64">
        <v>-450</v>
      </c>
      <c r="F80" s="34"/>
      <c r="G80" s="34"/>
      <c r="H80" s="33"/>
      <c r="I80" s="62">
        <v>35795</v>
      </c>
      <c r="J80" s="64">
        <v>16.5</v>
      </c>
      <c r="K80" s="64">
        <v>17.3</v>
      </c>
      <c r="L80" s="64">
        <v>15.6</v>
      </c>
      <c r="M80" s="64"/>
      <c r="N80" s="34"/>
      <c r="O80" s="35"/>
    </row>
    <row r="81" spans="1:15" s="36" customFormat="1" ht="12" x14ac:dyDescent="0.2">
      <c r="A81" s="33"/>
      <c r="B81" s="69">
        <v>38282</v>
      </c>
      <c r="C81" s="65">
        <v>180</v>
      </c>
      <c r="D81" s="65">
        <v>850</v>
      </c>
      <c r="E81" s="65">
        <v>-670</v>
      </c>
      <c r="F81" s="34"/>
      <c r="G81" s="34"/>
      <c r="H81" s="33"/>
      <c r="I81" s="63">
        <v>35826</v>
      </c>
      <c r="J81" s="65">
        <v>14.6</v>
      </c>
      <c r="K81" s="65">
        <v>17.399999999999999</v>
      </c>
      <c r="L81" s="65">
        <v>14.1</v>
      </c>
      <c r="M81" s="65"/>
      <c r="N81" s="34"/>
      <c r="O81" s="35"/>
    </row>
    <row r="82" spans="1:15" s="36" customFormat="1" ht="12" x14ac:dyDescent="0.2">
      <c r="A82" s="33"/>
      <c r="B82" s="68">
        <v>38289</v>
      </c>
      <c r="C82" s="64">
        <v>50</v>
      </c>
      <c r="D82" s="64">
        <v>490</v>
      </c>
      <c r="E82" s="64">
        <v>-440</v>
      </c>
      <c r="F82" s="34"/>
      <c r="G82" s="34"/>
      <c r="H82" s="33"/>
      <c r="I82" s="62">
        <v>35854</v>
      </c>
      <c r="J82" s="64">
        <v>12.4</v>
      </c>
      <c r="K82" s="64">
        <v>16.7</v>
      </c>
      <c r="L82" s="64">
        <v>8</v>
      </c>
      <c r="M82" s="64"/>
      <c r="N82" s="34"/>
      <c r="O82" s="35"/>
    </row>
    <row r="83" spans="1:15" s="36" customFormat="1" ht="12" x14ac:dyDescent="0.2">
      <c r="A83" s="33"/>
      <c r="B83" s="69">
        <v>38296</v>
      </c>
      <c r="C83" s="65">
        <v>50</v>
      </c>
      <c r="D83" s="65">
        <v>230</v>
      </c>
      <c r="E83" s="65">
        <v>-180</v>
      </c>
      <c r="F83" s="34"/>
      <c r="G83" s="34"/>
      <c r="H83" s="33"/>
      <c r="I83" s="63">
        <v>35885</v>
      </c>
      <c r="J83" s="65">
        <v>11.8</v>
      </c>
      <c r="K83" s="65">
        <v>15.4</v>
      </c>
      <c r="L83" s="65">
        <v>9.9</v>
      </c>
      <c r="M83" s="65"/>
      <c r="N83" s="34"/>
      <c r="O83" s="35"/>
    </row>
    <row r="84" spans="1:15" s="36" customFormat="1" ht="12" x14ac:dyDescent="0.2">
      <c r="A84" s="33"/>
      <c r="B84" s="68">
        <v>38303</v>
      </c>
      <c r="C84" s="64">
        <v>200</v>
      </c>
      <c r="D84" s="64">
        <v>220</v>
      </c>
      <c r="E84" s="64">
        <v>-20</v>
      </c>
      <c r="F84" s="34"/>
      <c r="G84" s="34"/>
      <c r="H84" s="33"/>
      <c r="I84" s="62">
        <v>35915</v>
      </c>
      <c r="J84" s="64">
        <v>11.2</v>
      </c>
      <c r="K84" s="64">
        <v>14.6</v>
      </c>
      <c r="L84" s="64">
        <v>9.6999999999999993</v>
      </c>
      <c r="M84" s="64"/>
      <c r="N84" s="34"/>
      <c r="O84" s="35"/>
    </row>
    <row r="85" spans="1:15" s="36" customFormat="1" ht="12" x14ac:dyDescent="0.2">
      <c r="A85" s="33"/>
      <c r="B85" s="69">
        <v>38310</v>
      </c>
      <c r="C85" s="65">
        <v>230</v>
      </c>
      <c r="D85" s="65">
        <v>320</v>
      </c>
      <c r="E85" s="65">
        <v>-90</v>
      </c>
      <c r="F85" s="34"/>
      <c r="G85" s="34"/>
      <c r="H85" s="33"/>
      <c r="I85" s="63">
        <v>35946</v>
      </c>
      <c r="J85" s="65">
        <v>10.8</v>
      </c>
      <c r="K85" s="65">
        <v>15.5</v>
      </c>
      <c r="L85" s="65">
        <v>10.1</v>
      </c>
      <c r="M85" s="65"/>
      <c r="N85" s="34"/>
      <c r="O85" s="35"/>
    </row>
    <row r="86" spans="1:15" s="36" customFormat="1" ht="12" x14ac:dyDescent="0.2">
      <c r="A86" s="33"/>
      <c r="B86" s="68">
        <v>38317</v>
      </c>
      <c r="C86" s="64">
        <v>130</v>
      </c>
      <c r="D86" s="64">
        <v>440</v>
      </c>
      <c r="E86" s="64">
        <v>-310</v>
      </c>
      <c r="F86" s="34"/>
      <c r="G86" s="34"/>
      <c r="H86" s="33"/>
      <c r="I86" s="62">
        <v>35976</v>
      </c>
      <c r="J86" s="64">
        <v>8.6999999999999993</v>
      </c>
      <c r="K86" s="64">
        <v>14.6</v>
      </c>
      <c r="L86" s="64">
        <v>6.6</v>
      </c>
      <c r="M86" s="64"/>
      <c r="N86" s="34"/>
      <c r="O86" s="35"/>
    </row>
    <row r="87" spans="1:15" s="36" customFormat="1" ht="12" x14ac:dyDescent="0.2">
      <c r="A87" s="33"/>
      <c r="B87" s="69">
        <v>38324</v>
      </c>
      <c r="C87" s="65">
        <v>140</v>
      </c>
      <c r="D87" s="65">
        <v>400</v>
      </c>
      <c r="E87" s="65">
        <v>-260</v>
      </c>
      <c r="F87" s="34"/>
      <c r="G87" s="34"/>
      <c r="H87" s="33"/>
      <c r="I87" s="63">
        <v>36007</v>
      </c>
      <c r="J87" s="65">
        <v>10.5</v>
      </c>
      <c r="K87" s="65">
        <v>15.5</v>
      </c>
      <c r="L87" s="65">
        <v>10</v>
      </c>
      <c r="M87" s="65"/>
      <c r="N87" s="34"/>
      <c r="O87" s="35"/>
    </row>
    <row r="88" spans="1:15" s="36" customFormat="1" ht="12" x14ac:dyDescent="0.2">
      <c r="A88" s="33"/>
      <c r="B88" s="68">
        <v>38331</v>
      </c>
      <c r="C88" s="64">
        <v>130</v>
      </c>
      <c r="D88" s="64">
        <v>550</v>
      </c>
      <c r="E88" s="64">
        <v>-420</v>
      </c>
      <c r="F88" s="34"/>
      <c r="G88" s="34"/>
      <c r="H88" s="33"/>
      <c r="I88" s="62">
        <v>36038</v>
      </c>
      <c r="J88" s="64">
        <v>10.9</v>
      </c>
      <c r="K88" s="64">
        <v>15</v>
      </c>
      <c r="L88" s="64">
        <v>8.6</v>
      </c>
      <c r="M88" s="64"/>
      <c r="N88" s="34"/>
      <c r="O88" s="35"/>
    </row>
    <row r="89" spans="1:15" s="36" customFormat="1" ht="12" x14ac:dyDescent="0.2">
      <c r="A89" s="33"/>
      <c r="B89" s="69">
        <v>38338</v>
      </c>
      <c r="C89" s="65">
        <v>250</v>
      </c>
      <c r="D89" s="65">
        <v>750</v>
      </c>
      <c r="E89" s="65">
        <v>-500</v>
      </c>
      <c r="F89" s="34"/>
      <c r="G89" s="34"/>
      <c r="H89" s="33"/>
      <c r="I89" s="63">
        <v>36068</v>
      </c>
      <c r="J89" s="65">
        <v>13.2</v>
      </c>
      <c r="K89" s="65">
        <v>16</v>
      </c>
      <c r="L89" s="65">
        <v>11.7</v>
      </c>
      <c r="M89" s="65"/>
      <c r="N89" s="34"/>
      <c r="O89" s="35"/>
    </row>
    <row r="90" spans="1:15" s="36" customFormat="1" ht="12" x14ac:dyDescent="0.2">
      <c r="A90" s="33"/>
      <c r="B90" s="68">
        <v>38345</v>
      </c>
      <c r="C90" s="64">
        <v>250</v>
      </c>
      <c r="D90" s="64">
        <v>300</v>
      </c>
      <c r="E90" s="64">
        <v>-50</v>
      </c>
      <c r="F90" s="34"/>
      <c r="G90" s="34"/>
      <c r="H90" s="33"/>
      <c r="I90" s="62">
        <v>36099</v>
      </c>
      <c r="J90" s="64">
        <v>13.5</v>
      </c>
      <c r="K90" s="64">
        <v>16.3</v>
      </c>
      <c r="L90" s="64">
        <v>10.7</v>
      </c>
      <c r="M90" s="64"/>
      <c r="N90" s="34"/>
      <c r="O90" s="35"/>
    </row>
    <row r="91" spans="1:15" s="36" customFormat="1" ht="12" x14ac:dyDescent="0.2">
      <c r="A91" s="33"/>
      <c r="B91" s="69">
        <v>38352</v>
      </c>
      <c r="C91" s="65">
        <v>100</v>
      </c>
      <c r="D91" s="65">
        <v>400</v>
      </c>
      <c r="E91" s="65">
        <v>-300</v>
      </c>
      <c r="F91" s="34"/>
      <c r="G91" s="34"/>
      <c r="H91" s="33"/>
      <c r="I91" s="63">
        <v>36129</v>
      </c>
      <c r="J91" s="65">
        <v>13.7</v>
      </c>
      <c r="K91" s="65">
        <v>16.7</v>
      </c>
      <c r="L91" s="65">
        <v>9.1</v>
      </c>
      <c r="M91" s="65"/>
      <c r="N91" s="34"/>
      <c r="O91" s="35"/>
    </row>
    <row r="92" spans="1:15" s="36" customFormat="1" ht="12" x14ac:dyDescent="0.2">
      <c r="A92" s="33"/>
      <c r="B92" s="68">
        <v>38359</v>
      </c>
      <c r="C92" s="64">
        <v>50</v>
      </c>
      <c r="D92" s="64">
        <v>430</v>
      </c>
      <c r="E92" s="64">
        <v>-380</v>
      </c>
      <c r="F92" s="34"/>
      <c r="G92" s="34"/>
      <c r="H92" s="33"/>
      <c r="I92" s="62">
        <v>36160</v>
      </c>
      <c r="J92" s="64">
        <v>11.9</v>
      </c>
      <c r="K92" s="64">
        <v>15.3</v>
      </c>
      <c r="L92" s="64">
        <v>10.1</v>
      </c>
      <c r="M92" s="64"/>
      <c r="N92" s="34"/>
      <c r="O92" s="35"/>
    </row>
    <row r="93" spans="1:15" s="36" customFormat="1" ht="12" x14ac:dyDescent="0.2">
      <c r="A93" s="33"/>
      <c r="B93" s="69">
        <v>38366</v>
      </c>
      <c r="C93" s="65">
        <v>50</v>
      </c>
      <c r="D93" s="65">
        <v>1050</v>
      </c>
      <c r="E93" s="65">
        <v>-1000</v>
      </c>
      <c r="F93" s="34"/>
      <c r="G93" s="34"/>
      <c r="H93" s="33"/>
      <c r="I93" s="63">
        <v>36191</v>
      </c>
      <c r="J93" s="65">
        <v>9.6</v>
      </c>
      <c r="K93" s="65">
        <v>14.4</v>
      </c>
      <c r="L93" s="65">
        <v>-8.5</v>
      </c>
      <c r="M93" s="65"/>
      <c r="N93" s="34"/>
      <c r="O93" s="35"/>
    </row>
    <row r="94" spans="1:15" s="36" customFormat="1" ht="12" x14ac:dyDescent="0.2">
      <c r="A94" s="33"/>
      <c r="B94" s="68">
        <v>38373</v>
      </c>
      <c r="C94" s="64">
        <v>550</v>
      </c>
      <c r="D94" s="64">
        <v>250</v>
      </c>
      <c r="E94" s="64">
        <v>300</v>
      </c>
      <c r="F94" s="34"/>
      <c r="G94" s="34"/>
      <c r="H94" s="33"/>
      <c r="I94" s="62">
        <v>36219</v>
      </c>
      <c r="J94" s="64">
        <v>16</v>
      </c>
      <c r="K94" s="64">
        <v>18</v>
      </c>
      <c r="L94" s="64">
        <v>17.399999999999999</v>
      </c>
      <c r="M94" s="64"/>
      <c r="N94" s="34"/>
      <c r="O94" s="35"/>
    </row>
    <row r="95" spans="1:15" s="36" customFormat="1" ht="12" x14ac:dyDescent="0.2">
      <c r="A95" s="33"/>
      <c r="B95" s="69">
        <v>38380</v>
      </c>
      <c r="C95" s="65">
        <v>650</v>
      </c>
      <c r="D95" s="65">
        <v>50</v>
      </c>
      <c r="E95" s="65">
        <v>600</v>
      </c>
      <c r="F95" s="34"/>
      <c r="G95" s="34"/>
      <c r="H95" s="33"/>
      <c r="I95" s="63">
        <v>36250</v>
      </c>
      <c r="J95" s="65">
        <v>14.9</v>
      </c>
      <c r="K95" s="65">
        <v>17.8</v>
      </c>
      <c r="L95" s="65">
        <v>11.2</v>
      </c>
      <c r="M95" s="65"/>
      <c r="N95" s="34"/>
      <c r="O95" s="35"/>
    </row>
    <row r="96" spans="1:15" s="36" customFormat="1" ht="12" x14ac:dyDescent="0.2">
      <c r="A96" s="33"/>
      <c r="B96" s="68">
        <v>38387</v>
      </c>
      <c r="C96" s="64">
        <v>430</v>
      </c>
      <c r="D96" s="64">
        <v>0</v>
      </c>
      <c r="E96" s="64">
        <v>430</v>
      </c>
      <c r="F96" s="34"/>
      <c r="G96" s="34"/>
      <c r="H96" s="33"/>
      <c r="I96" s="62">
        <v>36280</v>
      </c>
      <c r="J96" s="64">
        <v>14.1</v>
      </c>
      <c r="K96" s="64">
        <v>17.899999999999999</v>
      </c>
      <c r="L96" s="64">
        <v>10.4</v>
      </c>
      <c r="M96" s="64"/>
      <c r="N96" s="34"/>
      <c r="O96" s="35"/>
    </row>
    <row r="97" spans="1:15" s="36" customFormat="1" ht="12" x14ac:dyDescent="0.2">
      <c r="A97" s="33"/>
      <c r="B97" s="69">
        <v>38394</v>
      </c>
      <c r="C97" s="65">
        <v>150</v>
      </c>
      <c r="D97" s="65">
        <v>0</v>
      </c>
      <c r="E97" s="65">
        <v>150</v>
      </c>
      <c r="F97" s="34"/>
      <c r="G97" s="34"/>
      <c r="H97" s="33"/>
      <c r="I97" s="63">
        <v>36311</v>
      </c>
      <c r="J97" s="65">
        <v>13.3</v>
      </c>
      <c r="K97" s="65">
        <v>17.2</v>
      </c>
      <c r="L97" s="65">
        <v>9.1</v>
      </c>
      <c r="M97" s="65"/>
      <c r="N97" s="34"/>
      <c r="O97" s="35"/>
    </row>
    <row r="98" spans="1:15" s="36" customFormat="1" ht="12" x14ac:dyDescent="0.2">
      <c r="A98" s="33"/>
      <c r="B98" s="68">
        <v>38401</v>
      </c>
      <c r="C98" s="64">
        <v>320</v>
      </c>
      <c r="D98" s="64">
        <v>300</v>
      </c>
      <c r="E98" s="64">
        <v>20</v>
      </c>
      <c r="F98" s="34"/>
      <c r="G98" s="34"/>
      <c r="H98" s="33"/>
      <c r="I98" s="62">
        <v>36341</v>
      </c>
      <c r="J98" s="64">
        <v>14.9</v>
      </c>
      <c r="K98" s="64">
        <v>17.7</v>
      </c>
      <c r="L98" s="64">
        <v>11.9</v>
      </c>
      <c r="M98" s="64"/>
      <c r="N98" s="34"/>
      <c r="O98" s="35"/>
    </row>
    <row r="99" spans="1:15" s="36" customFormat="1" ht="12" x14ac:dyDescent="0.2">
      <c r="A99" s="33"/>
      <c r="B99" s="69">
        <v>38408</v>
      </c>
      <c r="C99" s="65">
        <v>350</v>
      </c>
      <c r="D99" s="65">
        <v>1680</v>
      </c>
      <c r="E99" s="65">
        <v>-1330</v>
      </c>
      <c r="F99" s="34"/>
      <c r="G99" s="34"/>
      <c r="H99" s="33"/>
      <c r="I99" s="63">
        <v>36372</v>
      </c>
      <c r="J99" s="65">
        <v>13.5</v>
      </c>
      <c r="K99" s="65">
        <v>15.7</v>
      </c>
      <c r="L99" s="65">
        <v>11.6</v>
      </c>
      <c r="M99" s="65"/>
      <c r="N99" s="34"/>
      <c r="O99" s="35"/>
    </row>
    <row r="100" spans="1:15" s="36" customFormat="1" ht="12" x14ac:dyDescent="0.2">
      <c r="A100" s="33"/>
      <c r="B100" s="68">
        <v>38415</v>
      </c>
      <c r="C100" s="64">
        <v>500</v>
      </c>
      <c r="D100" s="64">
        <v>1750</v>
      </c>
      <c r="E100" s="64">
        <v>-1250</v>
      </c>
      <c r="F100" s="34"/>
      <c r="G100" s="34"/>
      <c r="H100" s="33"/>
      <c r="I100" s="62">
        <v>36403</v>
      </c>
      <c r="J100" s="64">
        <v>14.4</v>
      </c>
      <c r="K100" s="64">
        <v>16</v>
      </c>
      <c r="L100" s="64">
        <v>12.5</v>
      </c>
      <c r="M100" s="64"/>
      <c r="N100" s="34"/>
      <c r="O100" s="35"/>
    </row>
    <row r="101" spans="1:15" s="36" customFormat="1" ht="12" x14ac:dyDescent="0.2">
      <c r="A101" s="33"/>
      <c r="B101" s="69">
        <v>38422</v>
      </c>
      <c r="C101" s="65">
        <v>400</v>
      </c>
      <c r="D101" s="65">
        <v>1050</v>
      </c>
      <c r="E101" s="65">
        <v>-650</v>
      </c>
      <c r="F101" s="34"/>
      <c r="G101" s="34"/>
      <c r="H101" s="33"/>
      <c r="I101" s="63">
        <v>36433</v>
      </c>
      <c r="J101" s="65">
        <v>14.8</v>
      </c>
      <c r="K101" s="65">
        <v>15.3</v>
      </c>
      <c r="L101" s="65">
        <v>16.399999999999999</v>
      </c>
      <c r="M101" s="65"/>
      <c r="N101" s="34"/>
      <c r="O101" s="35"/>
    </row>
    <row r="102" spans="1:15" s="36" customFormat="1" ht="12" x14ac:dyDescent="0.2">
      <c r="A102" s="33"/>
      <c r="B102" s="68">
        <v>38429</v>
      </c>
      <c r="C102" s="64">
        <v>600</v>
      </c>
      <c r="D102" s="64">
        <v>950</v>
      </c>
      <c r="E102" s="64">
        <v>-350</v>
      </c>
      <c r="F102" s="34"/>
      <c r="G102" s="34"/>
      <c r="H102" s="33"/>
      <c r="I102" s="62">
        <v>36464</v>
      </c>
      <c r="J102" s="64">
        <v>15.1</v>
      </c>
      <c r="K102" s="64">
        <v>14.5</v>
      </c>
      <c r="L102" s="64">
        <v>15.7</v>
      </c>
      <c r="M102" s="64"/>
      <c r="N102" s="34"/>
      <c r="O102" s="35"/>
    </row>
    <row r="103" spans="1:15" s="36" customFormat="1" ht="12" x14ac:dyDescent="0.2">
      <c r="A103" s="33"/>
      <c r="B103" s="69">
        <v>38436</v>
      </c>
      <c r="C103" s="65">
        <v>314.60000000000002</v>
      </c>
      <c r="D103" s="65">
        <v>600</v>
      </c>
      <c r="E103" s="65">
        <v>-285.39999999999998</v>
      </c>
      <c r="F103" s="34"/>
      <c r="G103" s="34"/>
      <c r="H103" s="33"/>
      <c r="I103" s="63">
        <v>36494</v>
      </c>
      <c r="J103" s="65">
        <v>15.9</v>
      </c>
      <c r="K103" s="65">
        <v>14</v>
      </c>
      <c r="L103" s="65">
        <v>17</v>
      </c>
      <c r="M103" s="65"/>
      <c r="N103" s="34"/>
      <c r="O103" s="35"/>
    </row>
    <row r="104" spans="1:15" s="36" customFormat="1" ht="12" x14ac:dyDescent="0.2">
      <c r="A104" s="33"/>
      <c r="B104" s="68">
        <v>38443</v>
      </c>
      <c r="C104" s="64">
        <v>235</v>
      </c>
      <c r="D104" s="64">
        <v>350</v>
      </c>
      <c r="E104" s="64">
        <v>-115</v>
      </c>
      <c r="F104" s="34"/>
      <c r="G104" s="34"/>
      <c r="H104" s="33"/>
      <c r="I104" s="62">
        <v>36525</v>
      </c>
      <c r="J104" s="64">
        <v>17.7</v>
      </c>
      <c r="K104" s="64">
        <v>14.7</v>
      </c>
      <c r="L104" s="64">
        <v>20.100000000000001</v>
      </c>
      <c r="M104" s="64"/>
      <c r="N104" s="34"/>
      <c r="O104" s="35"/>
    </row>
    <row r="105" spans="1:15" s="36" customFormat="1" ht="12" x14ac:dyDescent="0.2">
      <c r="A105" s="33"/>
      <c r="B105" s="69">
        <v>38450</v>
      </c>
      <c r="C105" s="65">
        <v>430</v>
      </c>
      <c r="D105" s="65">
        <v>750</v>
      </c>
      <c r="E105" s="65">
        <v>-320</v>
      </c>
      <c r="F105" s="34"/>
      <c r="G105" s="34"/>
      <c r="H105" s="33"/>
      <c r="I105" s="63">
        <v>36556</v>
      </c>
      <c r="J105" s="65">
        <v>19.399999999999999</v>
      </c>
      <c r="K105" s="65">
        <v>14.33</v>
      </c>
      <c r="L105" s="65">
        <v>34.200000000000003</v>
      </c>
      <c r="M105" s="65"/>
      <c r="N105" s="34"/>
      <c r="O105" s="35"/>
    </row>
    <row r="106" spans="1:15" s="36" customFormat="1" ht="12" x14ac:dyDescent="0.2">
      <c r="A106" s="33"/>
      <c r="B106" s="68">
        <v>38457</v>
      </c>
      <c r="C106" s="64">
        <v>214.5</v>
      </c>
      <c r="D106" s="64">
        <v>650</v>
      </c>
      <c r="E106" s="64">
        <v>-435.5</v>
      </c>
      <c r="F106" s="34"/>
      <c r="G106" s="34"/>
      <c r="H106" s="33"/>
      <c r="I106" s="62">
        <v>36585</v>
      </c>
      <c r="J106" s="64">
        <v>15.3</v>
      </c>
      <c r="K106" s="64">
        <v>13.51</v>
      </c>
      <c r="L106" s="64">
        <v>9.4</v>
      </c>
      <c r="M106" s="64"/>
      <c r="N106" s="34"/>
      <c r="O106" s="35"/>
    </row>
    <row r="107" spans="1:15" s="36" customFormat="1" ht="12" x14ac:dyDescent="0.2">
      <c r="A107" s="33"/>
      <c r="B107" s="69">
        <v>38464</v>
      </c>
      <c r="C107" s="65">
        <v>200</v>
      </c>
      <c r="D107" s="65">
        <v>850</v>
      </c>
      <c r="E107" s="65">
        <v>-650</v>
      </c>
      <c r="F107" s="34"/>
      <c r="G107" s="34"/>
      <c r="H107" s="33"/>
      <c r="I107" s="63">
        <v>36616</v>
      </c>
      <c r="J107" s="65">
        <v>18.7</v>
      </c>
      <c r="K107" s="65">
        <v>13.38</v>
      </c>
      <c r="L107" s="65">
        <v>16.7</v>
      </c>
      <c r="M107" s="65"/>
      <c r="N107" s="34"/>
      <c r="O107" s="35"/>
    </row>
    <row r="108" spans="1:15" s="36" customFormat="1" ht="12" x14ac:dyDescent="0.2">
      <c r="A108" s="33"/>
      <c r="B108" s="68">
        <v>38471</v>
      </c>
      <c r="C108" s="64">
        <v>50</v>
      </c>
      <c r="D108" s="64">
        <v>400</v>
      </c>
      <c r="E108" s="64">
        <v>-350</v>
      </c>
      <c r="F108" s="34"/>
      <c r="G108" s="34"/>
      <c r="H108" s="33"/>
      <c r="I108" s="62">
        <v>36646</v>
      </c>
      <c r="J108" s="64">
        <v>21.7</v>
      </c>
      <c r="K108" s="64">
        <v>14.46</v>
      </c>
      <c r="L108" s="64">
        <v>21.8</v>
      </c>
      <c r="M108" s="64"/>
      <c r="N108" s="34"/>
      <c r="O108" s="35"/>
    </row>
    <row r="109" spans="1:15" s="36" customFormat="1" ht="12" x14ac:dyDescent="0.2">
      <c r="A109" s="33"/>
      <c r="B109" s="69">
        <v>38485</v>
      </c>
      <c r="C109" s="65">
        <v>228</v>
      </c>
      <c r="D109" s="65">
        <v>650</v>
      </c>
      <c r="E109" s="65">
        <v>-422</v>
      </c>
      <c r="F109" s="34"/>
      <c r="G109" s="34"/>
      <c r="H109" s="33"/>
      <c r="I109" s="63">
        <v>36677</v>
      </c>
      <c r="J109" s="65">
        <v>22.3</v>
      </c>
      <c r="K109" s="65">
        <v>14.01</v>
      </c>
      <c r="L109" s="65">
        <v>20.100000000000001</v>
      </c>
      <c r="M109" s="65"/>
      <c r="N109" s="34"/>
      <c r="O109" s="35"/>
    </row>
    <row r="110" spans="1:15" s="36" customFormat="1" ht="12" x14ac:dyDescent="0.2">
      <c r="A110" s="33"/>
      <c r="B110" s="68">
        <v>38492</v>
      </c>
      <c r="C110" s="64">
        <v>800</v>
      </c>
      <c r="D110" s="64">
        <v>650</v>
      </c>
      <c r="E110" s="64">
        <v>150</v>
      </c>
      <c r="F110" s="34"/>
      <c r="G110" s="34"/>
      <c r="H110" s="33"/>
      <c r="I110" s="62">
        <v>36707</v>
      </c>
      <c r="J110" s="64">
        <v>23.7</v>
      </c>
      <c r="K110" s="64">
        <v>14.39</v>
      </c>
      <c r="L110" s="64">
        <v>19.5</v>
      </c>
      <c r="M110" s="64"/>
      <c r="N110" s="34"/>
      <c r="O110" s="35"/>
    </row>
    <row r="111" spans="1:15" s="36" customFormat="1" ht="12" x14ac:dyDescent="0.2">
      <c r="A111" s="33"/>
      <c r="B111" s="69">
        <v>38499</v>
      </c>
      <c r="C111" s="65">
        <v>450</v>
      </c>
      <c r="D111" s="65">
        <v>800</v>
      </c>
      <c r="E111" s="65">
        <v>-350</v>
      </c>
      <c r="F111" s="34"/>
      <c r="G111" s="34"/>
      <c r="H111" s="33"/>
      <c r="I111" s="63">
        <v>36738</v>
      </c>
      <c r="J111" s="65">
        <v>22.6</v>
      </c>
      <c r="K111" s="65">
        <v>15.55</v>
      </c>
      <c r="L111" s="65">
        <v>17.5</v>
      </c>
      <c r="M111" s="65"/>
      <c r="N111" s="34"/>
      <c r="O111" s="35"/>
    </row>
    <row r="112" spans="1:15" s="36" customFormat="1" ht="12" x14ac:dyDescent="0.2">
      <c r="A112" s="33"/>
      <c r="B112" s="68">
        <v>38506</v>
      </c>
      <c r="C112" s="64">
        <v>350</v>
      </c>
      <c r="D112" s="64">
        <v>600</v>
      </c>
      <c r="E112" s="64">
        <v>-250</v>
      </c>
      <c r="F112" s="34"/>
      <c r="G112" s="34"/>
      <c r="H112" s="33"/>
      <c r="I112" s="62">
        <v>36769</v>
      </c>
      <c r="J112" s="64">
        <v>21.9</v>
      </c>
      <c r="K112" s="64">
        <v>14.82</v>
      </c>
      <c r="L112" s="64">
        <v>17.399999999999999</v>
      </c>
      <c r="M112" s="64"/>
      <c r="N112" s="34"/>
      <c r="O112" s="35"/>
    </row>
    <row r="113" spans="1:15" s="36" customFormat="1" ht="12" x14ac:dyDescent="0.2">
      <c r="A113" s="33"/>
      <c r="B113" s="69">
        <v>38513</v>
      </c>
      <c r="C113" s="65">
        <v>250</v>
      </c>
      <c r="D113" s="65">
        <v>650</v>
      </c>
      <c r="E113" s="65">
        <v>-400</v>
      </c>
      <c r="F113" s="34"/>
      <c r="G113" s="34"/>
      <c r="H113" s="33"/>
      <c r="I113" s="63">
        <v>36799</v>
      </c>
      <c r="J113" s="65">
        <v>20.8</v>
      </c>
      <c r="K113" s="65">
        <v>15.27</v>
      </c>
      <c r="L113" s="65">
        <v>13.4</v>
      </c>
      <c r="M113" s="65"/>
      <c r="N113" s="34"/>
      <c r="O113" s="35"/>
    </row>
    <row r="114" spans="1:15" s="36" customFormat="1" ht="12" x14ac:dyDescent="0.2">
      <c r="A114" s="33"/>
      <c r="B114" s="68">
        <v>38520</v>
      </c>
      <c r="C114" s="64">
        <v>550</v>
      </c>
      <c r="D114" s="64">
        <v>500</v>
      </c>
      <c r="E114" s="64">
        <v>50</v>
      </c>
      <c r="F114" s="34"/>
      <c r="G114" s="34"/>
      <c r="H114" s="33"/>
      <c r="I114" s="62">
        <v>36830</v>
      </c>
      <c r="J114" s="64">
        <v>18.2</v>
      </c>
      <c r="K114" s="64">
        <v>14.2</v>
      </c>
      <c r="L114" s="64">
        <v>11.8</v>
      </c>
      <c r="M114" s="64"/>
      <c r="N114" s="34"/>
      <c r="O114" s="35"/>
    </row>
    <row r="115" spans="1:15" s="36" customFormat="1" ht="12" x14ac:dyDescent="0.2">
      <c r="A115" s="33"/>
      <c r="B115" s="69">
        <v>38527</v>
      </c>
      <c r="C115" s="65">
        <v>100</v>
      </c>
      <c r="D115" s="65">
        <v>450</v>
      </c>
      <c r="E115" s="65">
        <v>-350</v>
      </c>
      <c r="F115" s="34"/>
      <c r="G115" s="34"/>
      <c r="H115" s="33"/>
      <c r="I115" s="63">
        <v>36860</v>
      </c>
      <c r="J115" s="65">
        <v>17.100000000000001</v>
      </c>
      <c r="K115" s="65">
        <v>15.15</v>
      </c>
      <c r="L115" s="65">
        <v>11.2</v>
      </c>
      <c r="M115" s="65"/>
      <c r="N115" s="34"/>
      <c r="O115" s="35"/>
    </row>
    <row r="116" spans="1:15" s="36" customFormat="1" ht="12" x14ac:dyDescent="0.2">
      <c r="A116" s="33"/>
      <c r="B116" s="68">
        <v>38534</v>
      </c>
      <c r="C116" s="64">
        <v>100</v>
      </c>
      <c r="D116" s="64">
        <v>550</v>
      </c>
      <c r="E116" s="64">
        <v>-450</v>
      </c>
      <c r="F116" s="34"/>
      <c r="G116" s="34"/>
      <c r="H116" s="33"/>
      <c r="I116" s="62">
        <v>36891</v>
      </c>
      <c r="J116" s="64">
        <v>16</v>
      </c>
      <c r="K116" s="64">
        <v>13.99</v>
      </c>
      <c r="L116" s="64">
        <v>8.9</v>
      </c>
      <c r="M116" s="64"/>
      <c r="N116" s="34"/>
      <c r="O116" s="35"/>
    </row>
    <row r="117" spans="1:15" s="36" customFormat="1" ht="12" x14ac:dyDescent="0.2">
      <c r="A117" s="33"/>
      <c r="B117" s="69">
        <v>38541</v>
      </c>
      <c r="C117" s="65">
        <v>450</v>
      </c>
      <c r="D117" s="65">
        <v>650</v>
      </c>
      <c r="E117" s="65">
        <v>-200</v>
      </c>
      <c r="F117" s="34"/>
      <c r="G117" s="34"/>
      <c r="H117" s="33"/>
      <c r="I117" s="63">
        <v>36922</v>
      </c>
      <c r="J117" s="65">
        <v>16.8</v>
      </c>
      <c r="K117" s="65">
        <v>15.16</v>
      </c>
      <c r="L117" s="65">
        <v>5.8</v>
      </c>
      <c r="M117" s="65"/>
      <c r="N117" s="34"/>
      <c r="O117" s="35"/>
    </row>
    <row r="118" spans="1:15" s="36" customFormat="1" ht="12" x14ac:dyDescent="0.2">
      <c r="A118" s="33"/>
      <c r="B118" s="68">
        <v>38548</v>
      </c>
      <c r="C118" s="64">
        <v>620</v>
      </c>
      <c r="D118" s="64">
        <v>550</v>
      </c>
      <c r="E118" s="64">
        <v>70</v>
      </c>
      <c r="F118" s="34"/>
      <c r="G118" s="34"/>
      <c r="H118" s="33"/>
      <c r="I118" s="62">
        <v>36950</v>
      </c>
      <c r="J118" s="64">
        <v>16.399999999999999</v>
      </c>
      <c r="K118" s="64">
        <v>15.2</v>
      </c>
      <c r="L118" s="64">
        <v>6.7</v>
      </c>
      <c r="M118" s="64"/>
      <c r="N118" s="34"/>
      <c r="O118" s="35"/>
    </row>
    <row r="119" spans="1:15" s="36" customFormat="1" ht="12" x14ac:dyDescent="0.2">
      <c r="A119" s="33"/>
      <c r="B119" s="69">
        <v>38555</v>
      </c>
      <c r="C119" s="65">
        <v>290</v>
      </c>
      <c r="D119" s="65">
        <v>550</v>
      </c>
      <c r="E119" s="65">
        <v>-260</v>
      </c>
      <c r="F119" s="34"/>
      <c r="G119" s="34"/>
      <c r="H119" s="33"/>
      <c r="I119" s="63">
        <v>36981</v>
      </c>
      <c r="J119" s="65">
        <v>17.399999999999999</v>
      </c>
      <c r="K119" s="65">
        <v>14.83</v>
      </c>
      <c r="L119" s="65">
        <v>8.5</v>
      </c>
      <c r="M119" s="65"/>
      <c r="N119" s="34"/>
      <c r="O119" s="35"/>
    </row>
    <row r="120" spans="1:15" s="36" customFormat="1" ht="12" x14ac:dyDescent="0.2">
      <c r="A120" s="33"/>
      <c r="B120" s="68">
        <v>38562</v>
      </c>
      <c r="C120" s="64">
        <v>300</v>
      </c>
      <c r="D120" s="64">
        <v>550</v>
      </c>
      <c r="E120" s="64">
        <v>-250</v>
      </c>
      <c r="F120" s="34"/>
      <c r="G120" s="34"/>
      <c r="H120" s="33"/>
      <c r="I120" s="62">
        <v>37011</v>
      </c>
      <c r="J120" s="64">
        <v>15</v>
      </c>
      <c r="K120" s="64">
        <v>13.94</v>
      </c>
      <c r="L120" s="64">
        <v>6.9</v>
      </c>
      <c r="M120" s="64"/>
      <c r="N120" s="34"/>
      <c r="O120" s="35"/>
    </row>
    <row r="121" spans="1:15" s="36" customFormat="1" ht="12" x14ac:dyDescent="0.2">
      <c r="A121" s="33"/>
      <c r="B121" s="69">
        <v>38569</v>
      </c>
      <c r="C121" s="65">
        <v>280</v>
      </c>
      <c r="D121" s="65">
        <v>600</v>
      </c>
      <c r="E121" s="65">
        <v>-320</v>
      </c>
      <c r="F121" s="34"/>
      <c r="G121" s="34"/>
      <c r="H121" s="33"/>
      <c r="I121" s="63">
        <v>37042</v>
      </c>
      <c r="J121" s="65">
        <v>14.9</v>
      </c>
      <c r="K121" s="65">
        <v>14.48</v>
      </c>
      <c r="L121" s="65">
        <v>6.6</v>
      </c>
      <c r="M121" s="65"/>
      <c r="N121" s="34"/>
      <c r="O121" s="35"/>
    </row>
    <row r="122" spans="1:15" s="36" customFormat="1" ht="12" x14ac:dyDescent="0.2">
      <c r="A122" s="33"/>
      <c r="B122" s="68">
        <v>38576</v>
      </c>
      <c r="C122" s="64">
        <v>480</v>
      </c>
      <c r="D122" s="64">
        <v>600</v>
      </c>
      <c r="E122" s="64">
        <v>-120</v>
      </c>
      <c r="F122" s="34"/>
      <c r="G122" s="34"/>
      <c r="H122" s="33"/>
      <c r="I122" s="62">
        <v>37072</v>
      </c>
      <c r="J122" s="64">
        <v>14.9</v>
      </c>
      <c r="K122" s="64">
        <v>14.3</v>
      </c>
      <c r="L122" s="64">
        <v>7.2</v>
      </c>
      <c r="M122" s="64"/>
      <c r="N122" s="34"/>
      <c r="O122" s="35"/>
    </row>
    <row r="123" spans="1:15" s="36" customFormat="1" ht="12" x14ac:dyDescent="0.2">
      <c r="A123" s="33"/>
      <c r="B123" s="69">
        <v>38583</v>
      </c>
      <c r="C123" s="65">
        <v>380</v>
      </c>
      <c r="D123" s="65">
        <v>600</v>
      </c>
      <c r="E123" s="65">
        <v>-220</v>
      </c>
      <c r="F123" s="34"/>
      <c r="G123" s="34"/>
      <c r="H123" s="33"/>
      <c r="I123" s="63">
        <v>37103</v>
      </c>
      <c r="J123" s="65">
        <v>11.9</v>
      </c>
      <c r="K123" s="65">
        <v>13.5</v>
      </c>
      <c r="L123" s="65">
        <v>7</v>
      </c>
      <c r="M123" s="65"/>
      <c r="N123" s="34"/>
      <c r="O123" s="35"/>
    </row>
    <row r="124" spans="1:15" s="36" customFormat="1" ht="12" x14ac:dyDescent="0.2">
      <c r="A124" s="33"/>
      <c r="B124" s="68">
        <v>38590</v>
      </c>
      <c r="C124" s="64">
        <v>530</v>
      </c>
      <c r="D124" s="64">
        <v>600</v>
      </c>
      <c r="E124" s="64">
        <v>-70</v>
      </c>
      <c r="F124" s="34"/>
      <c r="G124" s="34"/>
      <c r="H124" s="33"/>
      <c r="I124" s="62">
        <v>37134</v>
      </c>
      <c r="J124" s="64">
        <v>14.2</v>
      </c>
      <c r="K124" s="64">
        <v>13.6</v>
      </c>
      <c r="L124" s="64">
        <v>7.4</v>
      </c>
      <c r="M124" s="64"/>
      <c r="N124" s="34"/>
      <c r="O124" s="35"/>
    </row>
    <row r="125" spans="1:15" s="36" customFormat="1" ht="12" x14ac:dyDescent="0.2">
      <c r="A125" s="33"/>
      <c r="B125" s="69">
        <v>38597</v>
      </c>
      <c r="C125" s="65">
        <v>690</v>
      </c>
      <c r="D125" s="65">
        <v>600</v>
      </c>
      <c r="E125" s="65">
        <v>90</v>
      </c>
      <c r="F125" s="34"/>
      <c r="G125" s="34"/>
      <c r="H125" s="33"/>
      <c r="I125" s="63">
        <v>37164</v>
      </c>
      <c r="J125" s="65">
        <v>12.3</v>
      </c>
      <c r="K125" s="65">
        <v>13.6</v>
      </c>
      <c r="L125" s="65">
        <v>8.4</v>
      </c>
      <c r="M125" s="65"/>
      <c r="N125" s="34"/>
      <c r="O125" s="35"/>
    </row>
    <row r="126" spans="1:15" s="36" customFormat="1" ht="12" x14ac:dyDescent="0.2">
      <c r="A126" s="33"/>
      <c r="B126" s="68">
        <v>38604</v>
      </c>
      <c r="C126" s="64">
        <v>700</v>
      </c>
      <c r="D126" s="64">
        <v>700</v>
      </c>
      <c r="E126" s="64">
        <v>0</v>
      </c>
      <c r="F126" s="34"/>
      <c r="G126" s="34"/>
      <c r="H126" s="33"/>
      <c r="I126" s="62">
        <v>37195</v>
      </c>
      <c r="J126" s="64">
        <v>12.3</v>
      </c>
      <c r="K126" s="64">
        <v>12.9</v>
      </c>
      <c r="L126" s="64">
        <v>6.6</v>
      </c>
      <c r="M126" s="64"/>
      <c r="N126" s="34"/>
      <c r="O126" s="35"/>
    </row>
    <row r="127" spans="1:15" s="36" customFormat="1" ht="12" x14ac:dyDescent="0.2">
      <c r="A127" s="33"/>
      <c r="B127" s="69">
        <v>38611</v>
      </c>
      <c r="C127" s="65">
        <v>630</v>
      </c>
      <c r="D127" s="65">
        <v>800</v>
      </c>
      <c r="E127" s="65">
        <v>-170</v>
      </c>
      <c r="F127" s="34"/>
      <c r="G127" s="34"/>
      <c r="H127" s="33"/>
      <c r="I127" s="63">
        <v>37225</v>
      </c>
      <c r="J127" s="65">
        <v>11.4</v>
      </c>
      <c r="K127" s="65">
        <v>13.2</v>
      </c>
      <c r="L127" s="65">
        <v>6.5</v>
      </c>
      <c r="M127" s="65"/>
      <c r="N127" s="34"/>
      <c r="O127" s="35"/>
    </row>
    <row r="128" spans="1:15" s="36" customFormat="1" ht="12" x14ac:dyDescent="0.2">
      <c r="A128" s="33"/>
      <c r="B128" s="68">
        <v>38618</v>
      </c>
      <c r="C128" s="64">
        <v>500</v>
      </c>
      <c r="D128" s="64">
        <v>850</v>
      </c>
      <c r="E128" s="64">
        <v>-350</v>
      </c>
      <c r="F128" s="34"/>
      <c r="G128" s="34"/>
      <c r="H128" s="33"/>
      <c r="I128" s="62">
        <v>37256</v>
      </c>
      <c r="J128" s="64">
        <v>12.7</v>
      </c>
      <c r="K128" s="64">
        <v>14.4</v>
      </c>
      <c r="L128" s="64">
        <v>7.1</v>
      </c>
      <c r="M128" s="64"/>
      <c r="N128" s="34"/>
      <c r="O128" s="35"/>
    </row>
    <row r="129" spans="1:15" s="36" customFormat="1" ht="12" x14ac:dyDescent="0.2">
      <c r="A129" s="33"/>
      <c r="B129" s="69">
        <v>38625</v>
      </c>
      <c r="C129" s="65">
        <v>350</v>
      </c>
      <c r="D129" s="65">
        <v>900</v>
      </c>
      <c r="E129" s="65">
        <v>-550</v>
      </c>
      <c r="F129" s="34"/>
      <c r="G129" s="34"/>
      <c r="H129" s="33"/>
      <c r="I129" s="63">
        <v>37287</v>
      </c>
      <c r="J129" s="65">
        <v>9.5</v>
      </c>
      <c r="K129" s="65">
        <v>13.1</v>
      </c>
      <c r="L129" s="65">
        <v>-1.7</v>
      </c>
      <c r="M129" s="65"/>
      <c r="N129" s="34"/>
      <c r="O129" s="35"/>
    </row>
    <row r="130" spans="1:15" s="36" customFormat="1" ht="12" x14ac:dyDescent="0.2">
      <c r="A130" s="33"/>
      <c r="B130" s="68">
        <v>38639</v>
      </c>
      <c r="C130" s="64">
        <v>690</v>
      </c>
      <c r="D130" s="64">
        <v>1000</v>
      </c>
      <c r="E130" s="64">
        <v>-310</v>
      </c>
      <c r="F130" s="34"/>
      <c r="G130" s="34"/>
      <c r="H130" s="33"/>
      <c r="I130" s="62">
        <v>37315</v>
      </c>
      <c r="J130" s="64">
        <v>10.9</v>
      </c>
      <c r="K130" s="64">
        <v>13</v>
      </c>
      <c r="L130" s="64">
        <v>11.6</v>
      </c>
      <c r="M130" s="64"/>
      <c r="N130" s="34"/>
      <c r="O130" s="35"/>
    </row>
    <row r="131" spans="1:15" s="36" customFormat="1" ht="12" x14ac:dyDescent="0.2">
      <c r="A131" s="33"/>
      <c r="B131" s="69">
        <v>38646</v>
      </c>
      <c r="C131" s="65">
        <v>650</v>
      </c>
      <c r="D131" s="65">
        <v>1100</v>
      </c>
      <c r="E131" s="65">
        <v>-450</v>
      </c>
      <c r="F131" s="34"/>
      <c r="G131" s="34"/>
      <c r="H131" s="33"/>
      <c r="I131" s="63">
        <v>37346</v>
      </c>
      <c r="J131" s="65">
        <v>10.1</v>
      </c>
      <c r="K131" s="65">
        <v>14.4</v>
      </c>
      <c r="L131" s="65">
        <v>8.1999999999999993</v>
      </c>
      <c r="M131" s="65"/>
      <c r="N131" s="34"/>
      <c r="O131" s="35"/>
    </row>
    <row r="132" spans="1:15" s="36" customFormat="1" ht="12" x14ac:dyDescent="0.2">
      <c r="A132" s="33"/>
      <c r="B132" s="68">
        <v>38653</v>
      </c>
      <c r="C132" s="64">
        <v>490</v>
      </c>
      <c r="D132" s="64">
        <v>1100</v>
      </c>
      <c r="E132" s="64">
        <v>-610</v>
      </c>
      <c r="F132" s="34"/>
      <c r="G132" s="34"/>
      <c r="H132" s="33"/>
      <c r="I132" s="62">
        <v>37376</v>
      </c>
      <c r="J132" s="64">
        <v>11.5</v>
      </c>
      <c r="K132" s="64">
        <v>14.1</v>
      </c>
      <c r="L132" s="64">
        <v>8.5</v>
      </c>
      <c r="M132" s="64"/>
      <c r="N132" s="34"/>
      <c r="O132" s="35"/>
    </row>
    <row r="133" spans="1:15" s="36" customFormat="1" ht="12" x14ac:dyDescent="0.2">
      <c r="A133" s="33"/>
      <c r="B133" s="69">
        <v>38660</v>
      </c>
      <c r="C133" s="65">
        <v>430</v>
      </c>
      <c r="D133" s="65">
        <v>950</v>
      </c>
      <c r="E133" s="65">
        <v>-520</v>
      </c>
      <c r="F133" s="34"/>
      <c r="G133" s="34"/>
      <c r="H133" s="33"/>
      <c r="I133" s="63">
        <v>37407</v>
      </c>
      <c r="J133" s="65">
        <v>14.6</v>
      </c>
      <c r="K133" s="65">
        <v>14</v>
      </c>
      <c r="L133" s="65">
        <v>9.6</v>
      </c>
      <c r="M133" s="65"/>
      <c r="N133" s="34"/>
      <c r="O133" s="35"/>
    </row>
    <row r="134" spans="1:15" s="36" customFormat="1" ht="12" x14ac:dyDescent="0.2">
      <c r="A134" s="33"/>
      <c r="B134" s="68">
        <v>38667</v>
      </c>
      <c r="C134" s="64">
        <v>370</v>
      </c>
      <c r="D134" s="64">
        <v>1100</v>
      </c>
      <c r="E134" s="64">
        <v>-730</v>
      </c>
      <c r="F134" s="34"/>
      <c r="G134" s="34"/>
      <c r="H134" s="33"/>
      <c r="I134" s="62">
        <v>37437</v>
      </c>
      <c r="J134" s="64">
        <v>12.8</v>
      </c>
      <c r="K134" s="64">
        <v>14.7</v>
      </c>
      <c r="L134" s="64">
        <v>8.3000000000000007</v>
      </c>
      <c r="M134" s="64"/>
      <c r="N134" s="34"/>
      <c r="O134" s="35"/>
    </row>
    <row r="135" spans="1:15" s="36" customFormat="1" ht="12" x14ac:dyDescent="0.2">
      <c r="A135" s="33"/>
      <c r="B135" s="69">
        <v>38674</v>
      </c>
      <c r="C135" s="65">
        <v>400</v>
      </c>
      <c r="D135" s="65">
        <v>882</v>
      </c>
      <c r="E135" s="65">
        <v>-482</v>
      </c>
      <c r="F135" s="34"/>
      <c r="G135" s="34"/>
      <c r="H135" s="33"/>
      <c r="I135" s="63">
        <v>37468</v>
      </c>
      <c r="J135" s="65">
        <v>17</v>
      </c>
      <c r="K135" s="65">
        <v>14.4</v>
      </c>
      <c r="L135" s="65">
        <v>9.1</v>
      </c>
      <c r="M135" s="65"/>
      <c r="N135" s="34"/>
      <c r="O135" s="35"/>
    </row>
    <row r="136" spans="1:15" s="36" customFormat="1" ht="12" x14ac:dyDescent="0.2">
      <c r="A136" s="33"/>
      <c r="B136" s="68">
        <v>38681</v>
      </c>
      <c r="C136" s="64">
        <v>490</v>
      </c>
      <c r="D136" s="64">
        <v>750</v>
      </c>
      <c r="E136" s="64">
        <v>-260</v>
      </c>
      <c r="F136" s="34"/>
      <c r="G136" s="34"/>
      <c r="H136" s="33"/>
      <c r="I136" s="62">
        <v>37499</v>
      </c>
      <c r="J136" s="64">
        <v>14.6</v>
      </c>
      <c r="K136" s="64">
        <v>15.5</v>
      </c>
      <c r="L136" s="64">
        <v>9.3000000000000007</v>
      </c>
      <c r="M136" s="64"/>
      <c r="N136" s="34"/>
      <c r="O136" s="35"/>
    </row>
    <row r="137" spans="1:15" s="36" customFormat="1" ht="12" x14ac:dyDescent="0.2">
      <c r="A137" s="33"/>
      <c r="B137" s="69">
        <v>38688</v>
      </c>
      <c r="C137" s="65">
        <v>500</v>
      </c>
      <c r="D137" s="65">
        <v>700</v>
      </c>
      <c r="E137" s="65">
        <v>-200</v>
      </c>
      <c r="F137" s="34"/>
      <c r="G137" s="34"/>
      <c r="H137" s="33"/>
      <c r="I137" s="63">
        <v>37529</v>
      </c>
      <c r="J137" s="65">
        <v>15.9</v>
      </c>
      <c r="K137" s="65">
        <v>16.5</v>
      </c>
      <c r="L137" s="65">
        <v>7.8</v>
      </c>
      <c r="M137" s="65"/>
      <c r="N137" s="34"/>
      <c r="O137" s="35"/>
    </row>
    <row r="138" spans="1:15" s="36" customFormat="1" ht="12" x14ac:dyDescent="0.2">
      <c r="A138" s="33"/>
      <c r="B138" s="68">
        <v>38695</v>
      </c>
      <c r="C138" s="64">
        <v>750</v>
      </c>
      <c r="D138" s="64">
        <v>600</v>
      </c>
      <c r="E138" s="64">
        <v>150</v>
      </c>
      <c r="F138" s="34"/>
      <c r="G138" s="34"/>
      <c r="H138" s="33"/>
      <c r="I138" s="62">
        <v>37560</v>
      </c>
      <c r="J138" s="64">
        <v>17.899999999999999</v>
      </c>
      <c r="K138" s="64">
        <v>17</v>
      </c>
      <c r="L138" s="64">
        <v>10.6</v>
      </c>
      <c r="M138" s="64"/>
      <c r="N138" s="34"/>
      <c r="O138" s="35"/>
    </row>
    <row r="139" spans="1:15" s="36" customFormat="1" ht="12" x14ac:dyDescent="0.2">
      <c r="A139" s="33"/>
      <c r="B139" s="69">
        <v>38702</v>
      </c>
      <c r="C139" s="65">
        <v>850</v>
      </c>
      <c r="D139" s="65">
        <v>850</v>
      </c>
      <c r="E139" s="65">
        <v>0</v>
      </c>
      <c r="F139" s="34"/>
      <c r="G139" s="34"/>
      <c r="H139" s="33"/>
      <c r="I139" s="63">
        <v>37590</v>
      </c>
      <c r="J139" s="65">
        <v>18.5</v>
      </c>
      <c r="K139" s="65">
        <v>16.600000000000001</v>
      </c>
      <c r="L139" s="65">
        <v>10.6</v>
      </c>
      <c r="M139" s="65"/>
      <c r="N139" s="34"/>
      <c r="O139" s="35"/>
    </row>
    <row r="140" spans="1:15" s="36" customFormat="1" ht="12" x14ac:dyDescent="0.2">
      <c r="A140" s="33"/>
      <c r="B140" s="68">
        <v>38709</v>
      </c>
      <c r="C140" s="64">
        <v>950</v>
      </c>
      <c r="D140" s="64">
        <v>500</v>
      </c>
      <c r="E140" s="64">
        <v>450</v>
      </c>
      <c r="F140" s="34"/>
      <c r="G140" s="34"/>
      <c r="H140" s="33"/>
      <c r="I140" s="62">
        <v>37621</v>
      </c>
      <c r="J140" s="64">
        <v>16.82</v>
      </c>
      <c r="K140" s="64">
        <v>16.78</v>
      </c>
      <c r="L140" s="64">
        <v>10.130000000000001</v>
      </c>
      <c r="M140" s="64"/>
      <c r="N140" s="34"/>
      <c r="O140" s="35"/>
    </row>
    <row r="141" spans="1:15" s="36" customFormat="1" ht="12" x14ac:dyDescent="0.2">
      <c r="A141" s="33"/>
      <c r="B141" s="69">
        <v>38716</v>
      </c>
      <c r="C141" s="65">
        <v>950</v>
      </c>
      <c r="D141" s="65">
        <v>1380</v>
      </c>
      <c r="E141" s="65">
        <v>-430</v>
      </c>
      <c r="F141" s="34"/>
      <c r="G141" s="34"/>
      <c r="H141" s="33"/>
      <c r="I141" s="63">
        <v>37652</v>
      </c>
      <c r="J141" s="65">
        <v>19.5</v>
      </c>
      <c r="K141" s="65">
        <v>19.3</v>
      </c>
      <c r="L141" s="65">
        <v>27</v>
      </c>
      <c r="M141" s="65"/>
      <c r="N141" s="34"/>
      <c r="O141" s="35"/>
    </row>
    <row r="142" spans="1:15" s="36" customFormat="1" ht="12" x14ac:dyDescent="0.2">
      <c r="A142" s="33"/>
      <c r="B142" s="68">
        <v>38723</v>
      </c>
      <c r="C142" s="64">
        <v>750</v>
      </c>
      <c r="D142" s="64">
        <v>700</v>
      </c>
      <c r="E142" s="64">
        <v>50</v>
      </c>
      <c r="F142" s="34"/>
      <c r="G142" s="34"/>
      <c r="H142" s="33"/>
      <c r="I142" s="62">
        <v>37680</v>
      </c>
      <c r="J142" s="64">
        <v>18.8</v>
      </c>
      <c r="K142" s="64">
        <v>18.100000000000001</v>
      </c>
      <c r="L142" s="64">
        <v>7.8</v>
      </c>
      <c r="M142" s="64"/>
      <c r="N142" s="34"/>
      <c r="O142" s="35"/>
    </row>
    <row r="143" spans="1:15" s="36" customFormat="1" ht="12" x14ac:dyDescent="0.2">
      <c r="A143" s="33"/>
      <c r="B143" s="69">
        <v>38730</v>
      </c>
      <c r="C143" s="65">
        <v>1690</v>
      </c>
      <c r="D143" s="65">
        <v>2100</v>
      </c>
      <c r="E143" s="65">
        <v>-410</v>
      </c>
      <c r="F143" s="34"/>
      <c r="G143" s="34"/>
      <c r="H143" s="33"/>
      <c r="I143" s="63">
        <v>37711</v>
      </c>
      <c r="J143" s="65">
        <v>20.12</v>
      </c>
      <c r="K143" s="65">
        <v>18.54</v>
      </c>
      <c r="L143" s="65">
        <v>10.050000000000001</v>
      </c>
      <c r="M143" s="65"/>
      <c r="N143" s="34"/>
      <c r="O143" s="35"/>
    </row>
    <row r="144" spans="1:15" s="36" customFormat="1" ht="12" x14ac:dyDescent="0.2">
      <c r="A144" s="33"/>
      <c r="B144" s="68">
        <v>38737</v>
      </c>
      <c r="C144" s="64">
        <v>1850</v>
      </c>
      <c r="D144" s="64">
        <v>800</v>
      </c>
      <c r="E144" s="64">
        <v>1050</v>
      </c>
      <c r="F144" s="34"/>
      <c r="G144" s="34"/>
      <c r="H144" s="33"/>
      <c r="I144" s="62">
        <v>37741</v>
      </c>
      <c r="J144" s="64">
        <v>18</v>
      </c>
      <c r="K144" s="64">
        <v>19.2</v>
      </c>
      <c r="L144" s="64">
        <v>9.9</v>
      </c>
      <c r="M144" s="64"/>
      <c r="N144" s="34"/>
      <c r="O144" s="35"/>
    </row>
    <row r="145" spans="1:15" s="36" customFormat="1" ht="12" x14ac:dyDescent="0.2">
      <c r="A145" s="33"/>
      <c r="B145" s="69">
        <v>38744</v>
      </c>
      <c r="C145" s="65">
        <v>2083</v>
      </c>
      <c r="D145" s="65">
        <v>0</v>
      </c>
      <c r="E145" s="65">
        <v>2083</v>
      </c>
      <c r="F145" s="34"/>
      <c r="G145" s="34"/>
      <c r="H145" s="33"/>
      <c r="I145" s="63">
        <v>37772</v>
      </c>
      <c r="J145" s="65">
        <v>18.8</v>
      </c>
      <c r="K145" s="65">
        <v>20.2</v>
      </c>
      <c r="L145" s="65">
        <v>12.3</v>
      </c>
      <c r="M145" s="65"/>
      <c r="N145" s="34"/>
      <c r="O145" s="35"/>
    </row>
    <row r="146" spans="1:15" s="36" customFormat="1" ht="12" x14ac:dyDescent="0.2">
      <c r="A146" s="33"/>
      <c r="B146" s="68">
        <v>38758</v>
      </c>
      <c r="C146" s="64">
        <v>1050</v>
      </c>
      <c r="D146" s="64">
        <v>3573</v>
      </c>
      <c r="E146" s="64">
        <v>-2523</v>
      </c>
      <c r="F146" s="34"/>
      <c r="G146" s="34"/>
      <c r="H146" s="33"/>
      <c r="I146" s="62">
        <v>37802</v>
      </c>
      <c r="J146" s="64">
        <v>20.239999999999998</v>
      </c>
      <c r="K146" s="64">
        <v>20.83</v>
      </c>
      <c r="L146" s="64">
        <v>12.32</v>
      </c>
      <c r="M146" s="64"/>
      <c r="N146" s="34"/>
      <c r="O146" s="35"/>
    </row>
    <row r="147" spans="1:15" s="36" customFormat="1" ht="12" x14ac:dyDescent="0.2">
      <c r="A147" s="33"/>
      <c r="B147" s="69">
        <v>38765</v>
      </c>
      <c r="C147" s="65">
        <v>890</v>
      </c>
      <c r="D147" s="65">
        <v>2750</v>
      </c>
      <c r="E147" s="65">
        <v>-1860</v>
      </c>
      <c r="F147" s="34"/>
      <c r="G147" s="34"/>
      <c r="H147" s="33"/>
      <c r="I147" s="63">
        <v>37833</v>
      </c>
      <c r="J147" s="65">
        <v>20</v>
      </c>
      <c r="K147" s="65">
        <v>20.7</v>
      </c>
      <c r="L147" s="65">
        <v>13.1</v>
      </c>
      <c r="M147" s="65"/>
      <c r="N147" s="34"/>
      <c r="O147" s="35"/>
    </row>
    <row r="148" spans="1:15" s="36" customFormat="1" ht="12" x14ac:dyDescent="0.2">
      <c r="A148" s="33"/>
      <c r="B148" s="68">
        <v>38772</v>
      </c>
      <c r="C148" s="64">
        <v>1650</v>
      </c>
      <c r="D148" s="64">
        <v>2450</v>
      </c>
      <c r="E148" s="64">
        <v>-800</v>
      </c>
      <c r="F148" s="34"/>
      <c r="G148" s="34"/>
      <c r="H148" s="33"/>
      <c r="I148" s="62">
        <v>37864</v>
      </c>
      <c r="J148" s="64">
        <v>18.75</v>
      </c>
      <c r="K148" s="64">
        <v>21.55</v>
      </c>
      <c r="L148" s="64">
        <v>12.05</v>
      </c>
      <c r="M148" s="64"/>
      <c r="N148" s="34"/>
      <c r="O148" s="35"/>
    </row>
    <row r="149" spans="1:15" s="36" customFormat="1" ht="12" x14ac:dyDescent="0.2">
      <c r="A149" s="33"/>
      <c r="B149" s="69">
        <v>38779</v>
      </c>
      <c r="C149" s="65">
        <v>1950</v>
      </c>
      <c r="D149" s="65">
        <v>2250</v>
      </c>
      <c r="E149" s="65">
        <v>-300</v>
      </c>
      <c r="F149" s="34"/>
      <c r="G149" s="34"/>
      <c r="H149" s="33"/>
      <c r="I149" s="63">
        <v>37894</v>
      </c>
      <c r="J149" s="65">
        <v>18.510000000000002</v>
      </c>
      <c r="K149" s="65">
        <v>20.67</v>
      </c>
      <c r="L149" s="65">
        <v>12.77</v>
      </c>
      <c r="M149" s="65"/>
      <c r="N149" s="34"/>
      <c r="O149" s="35"/>
    </row>
    <row r="150" spans="1:15" s="36" customFormat="1" ht="12" x14ac:dyDescent="0.2">
      <c r="A150" s="33"/>
      <c r="B150" s="68">
        <v>38786</v>
      </c>
      <c r="C150" s="64">
        <v>1650</v>
      </c>
      <c r="D150" s="64">
        <v>2450</v>
      </c>
      <c r="E150" s="64">
        <v>-800</v>
      </c>
      <c r="F150" s="34"/>
      <c r="G150" s="34"/>
      <c r="H150" s="33"/>
      <c r="I150" s="62">
        <v>37925</v>
      </c>
      <c r="J150" s="64">
        <v>19.62</v>
      </c>
      <c r="K150" s="64">
        <v>20.97</v>
      </c>
      <c r="L150" s="64">
        <v>13.96</v>
      </c>
      <c r="M150" s="64"/>
      <c r="N150" s="34"/>
      <c r="O150" s="35"/>
    </row>
    <row r="151" spans="1:15" s="36" customFormat="1" ht="12" x14ac:dyDescent="0.2">
      <c r="A151" s="33"/>
      <c r="B151" s="69">
        <v>38793</v>
      </c>
      <c r="C151" s="65">
        <v>1350</v>
      </c>
      <c r="D151" s="65">
        <v>2500</v>
      </c>
      <c r="E151" s="65">
        <v>-1150</v>
      </c>
      <c r="F151" s="34"/>
      <c r="G151" s="34"/>
      <c r="H151" s="33"/>
      <c r="I151" s="63">
        <v>37955</v>
      </c>
      <c r="J151" s="65">
        <v>18.86</v>
      </c>
      <c r="K151" s="65">
        <v>20.37</v>
      </c>
      <c r="L151" s="65">
        <v>12.81</v>
      </c>
      <c r="M151" s="65"/>
      <c r="N151" s="34"/>
      <c r="O151" s="35"/>
    </row>
    <row r="152" spans="1:15" s="36" customFormat="1" ht="12" x14ac:dyDescent="0.2">
      <c r="A152" s="33"/>
      <c r="B152" s="68">
        <v>38800</v>
      </c>
      <c r="C152" s="64">
        <v>1250</v>
      </c>
      <c r="D152" s="64">
        <v>1250</v>
      </c>
      <c r="E152" s="64">
        <v>0</v>
      </c>
      <c r="F152" s="34"/>
      <c r="G152" s="34"/>
      <c r="H152" s="33"/>
      <c r="I152" s="62">
        <v>37986</v>
      </c>
      <c r="J152" s="64">
        <v>18.7</v>
      </c>
      <c r="K152" s="64">
        <v>19.600000000000001</v>
      </c>
      <c r="L152" s="64">
        <v>14.3</v>
      </c>
      <c r="M152" s="64"/>
      <c r="N152" s="34"/>
      <c r="O152" s="35"/>
    </row>
    <row r="153" spans="1:15" s="36" customFormat="1" ht="12" x14ac:dyDescent="0.2">
      <c r="A153" s="33"/>
      <c r="B153" s="69">
        <v>38807</v>
      </c>
      <c r="C153" s="65">
        <v>750</v>
      </c>
      <c r="D153" s="65">
        <v>600</v>
      </c>
      <c r="E153" s="65">
        <v>150</v>
      </c>
      <c r="F153" s="34"/>
      <c r="G153" s="34"/>
      <c r="H153" s="33"/>
      <c r="I153" s="63">
        <v>38017</v>
      </c>
      <c r="J153" s="65">
        <v>15.7</v>
      </c>
      <c r="K153" s="65">
        <v>18.100000000000001</v>
      </c>
      <c r="L153" s="65">
        <v>4.9000000000000004</v>
      </c>
      <c r="M153" s="65"/>
      <c r="N153" s="34"/>
      <c r="O153" s="35"/>
    </row>
    <row r="154" spans="1:15" s="36" customFormat="1" ht="12" x14ac:dyDescent="0.2">
      <c r="A154" s="33"/>
      <c r="B154" s="68">
        <v>38814</v>
      </c>
      <c r="C154" s="64">
        <v>400</v>
      </c>
      <c r="D154" s="64">
        <v>1200</v>
      </c>
      <c r="E154" s="64">
        <v>-800</v>
      </c>
      <c r="F154" s="34"/>
      <c r="G154" s="34"/>
      <c r="H154" s="33"/>
      <c r="I154" s="62">
        <v>38046</v>
      </c>
      <c r="J154" s="64">
        <v>19.8</v>
      </c>
      <c r="K154" s="64">
        <v>19.399999999999999</v>
      </c>
      <c r="L154" s="64">
        <v>10.9</v>
      </c>
      <c r="M154" s="64"/>
      <c r="N154" s="34"/>
      <c r="O154" s="35"/>
    </row>
    <row r="155" spans="1:15" s="36" customFormat="1" ht="12" x14ac:dyDescent="0.2">
      <c r="A155" s="33"/>
      <c r="B155" s="69">
        <v>38821</v>
      </c>
      <c r="C155" s="65">
        <v>800</v>
      </c>
      <c r="D155" s="65">
        <v>1300</v>
      </c>
      <c r="E155" s="65">
        <v>-500</v>
      </c>
      <c r="F155" s="34"/>
      <c r="G155" s="34"/>
      <c r="H155" s="33"/>
      <c r="I155" s="63">
        <v>38077</v>
      </c>
      <c r="J155" s="65">
        <v>20.100000000000001</v>
      </c>
      <c r="K155" s="65">
        <v>19.100000000000001</v>
      </c>
      <c r="L155" s="65">
        <v>12.8</v>
      </c>
      <c r="M155" s="65"/>
      <c r="N155" s="34"/>
      <c r="O155" s="35"/>
    </row>
    <row r="156" spans="1:15" s="36" customFormat="1" ht="12" x14ac:dyDescent="0.2">
      <c r="A156" s="33"/>
      <c r="B156" s="68">
        <v>38828</v>
      </c>
      <c r="C156" s="64">
        <v>1200</v>
      </c>
      <c r="D156" s="64">
        <v>170</v>
      </c>
      <c r="E156" s="64">
        <v>1030</v>
      </c>
      <c r="F156" s="34"/>
      <c r="G156" s="34"/>
      <c r="H156" s="33"/>
      <c r="I156" s="62">
        <v>38107</v>
      </c>
      <c r="J156" s="64">
        <v>20</v>
      </c>
      <c r="K156" s="64">
        <v>19.100000000000001</v>
      </c>
      <c r="L156" s="64">
        <v>14</v>
      </c>
      <c r="M156" s="64"/>
      <c r="N156" s="34"/>
      <c r="O156" s="35"/>
    </row>
    <row r="157" spans="1:15" s="36" customFormat="1" ht="12" x14ac:dyDescent="0.2">
      <c r="A157" s="33"/>
      <c r="B157" s="69">
        <v>38835</v>
      </c>
      <c r="C157" s="65">
        <v>400</v>
      </c>
      <c r="D157" s="65">
        <v>110</v>
      </c>
      <c r="E157" s="65">
        <v>290</v>
      </c>
      <c r="F157" s="34"/>
      <c r="G157" s="34"/>
      <c r="H157" s="33"/>
      <c r="I157" s="63">
        <v>38138</v>
      </c>
      <c r="J157" s="65">
        <v>18.600000000000001</v>
      </c>
      <c r="K157" s="65">
        <v>17.5</v>
      </c>
      <c r="L157" s="65">
        <v>11.3</v>
      </c>
      <c r="M157" s="65"/>
      <c r="N157" s="34"/>
      <c r="O157" s="35"/>
    </row>
    <row r="158" spans="1:15" s="36" customFormat="1" ht="12" x14ac:dyDescent="0.2">
      <c r="A158" s="33"/>
      <c r="B158" s="68">
        <v>38849</v>
      </c>
      <c r="C158" s="64">
        <v>1250</v>
      </c>
      <c r="D158" s="64">
        <v>800</v>
      </c>
      <c r="E158" s="64">
        <v>450</v>
      </c>
      <c r="F158" s="34"/>
      <c r="G158" s="34"/>
      <c r="H158" s="33"/>
      <c r="I158" s="62">
        <v>38168</v>
      </c>
      <c r="J158" s="64">
        <v>16.2</v>
      </c>
      <c r="K158" s="64">
        <v>16.2</v>
      </c>
      <c r="L158" s="64">
        <v>12.2</v>
      </c>
      <c r="M158" s="64"/>
      <c r="N158" s="34"/>
      <c r="O158" s="35"/>
    </row>
    <row r="159" spans="1:15" s="36" customFormat="1" ht="12" x14ac:dyDescent="0.2">
      <c r="A159" s="33"/>
      <c r="B159" s="69">
        <v>38856</v>
      </c>
      <c r="C159" s="65">
        <v>1332</v>
      </c>
      <c r="D159" s="65">
        <v>2150</v>
      </c>
      <c r="E159" s="65">
        <v>-818</v>
      </c>
      <c r="F159" s="34"/>
      <c r="G159" s="34"/>
      <c r="H159" s="33"/>
      <c r="I159" s="63">
        <v>38199</v>
      </c>
      <c r="J159" s="65">
        <v>15</v>
      </c>
      <c r="K159" s="65">
        <v>15.3</v>
      </c>
      <c r="L159" s="65">
        <v>11.8</v>
      </c>
      <c r="M159" s="65"/>
      <c r="N159" s="34"/>
      <c r="O159" s="35"/>
    </row>
    <row r="160" spans="1:15" s="36" customFormat="1" ht="12" x14ac:dyDescent="0.2">
      <c r="A160" s="33"/>
      <c r="B160" s="68">
        <v>38863</v>
      </c>
      <c r="C160" s="64">
        <v>1200</v>
      </c>
      <c r="D160" s="64">
        <v>1100</v>
      </c>
      <c r="E160" s="64">
        <v>100</v>
      </c>
      <c r="F160" s="34"/>
      <c r="G160" s="34"/>
      <c r="H160" s="33"/>
      <c r="I160" s="62">
        <v>38230</v>
      </c>
      <c r="J160" s="64">
        <v>15.14</v>
      </c>
      <c r="K160" s="64">
        <v>13.63</v>
      </c>
      <c r="L160" s="64">
        <v>10.85</v>
      </c>
      <c r="M160" s="64"/>
      <c r="N160" s="34"/>
      <c r="O160" s="35"/>
    </row>
    <row r="161" spans="1:15" s="36" customFormat="1" ht="12" x14ac:dyDescent="0.2">
      <c r="A161" s="33"/>
      <c r="B161" s="69">
        <v>38870</v>
      </c>
      <c r="C161" s="65">
        <v>1400</v>
      </c>
      <c r="D161" s="65">
        <v>1350</v>
      </c>
      <c r="E161" s="65">
        <v>50</v>
      </c>
      <c r="F161" s="34"/>
      <c r="G161" s="34"/>
      <c r="H161" s="33"/>
      <c r="I161" s="63">
        <v>38260</v>
      </c>
      <c r="J161" s="65">
        <v>13.7</v>
      </c>
      <c r="K161" s="65">
        <v>13.94</v>
      </c>
      <c r="L161" s="65">
        <v>12.11</v>
      </c>
      <c r="M161" s="65"/>
      <c r="N161" s="34"/>
      <c r="O161" s="35"/>
    </row>
    <row r="162" spans="1:15" s="36" customFormat="1" ht="12" x14ac:dyDescent="0.2">
      <c r="A162" s="33"/>
      <c r="B162" s="68">
        <v>38877</v>
      </c>
      <c r="C162" s="64">
        <v>1650</v>
      </c>
      <c r="D162" s="64">
        <v>1650</v>
      </c>
      <c r="E162" s="64">
        <v>0</v>
      </c>
      <c r="F162" s="34"/>
      <c r="G162" s="34"/>
      <c r="H162" s="33"/>
      <c r="I162" s="62">
        <v>38291</v>
      </c>
      <c r="J162" s="64">
        <v>12.57</v>
      </c>
      <c r="K162" s="64">
        <v>13.45</v>
      </c>
      <c r="L162" s="64">
        <v>10.01</v>
      </c>
      <c r="M162" s="64"/>
      <c r="N162" s="34"/>
      <c r="O162" s="35"/>
    </row>
    <row r="163" spans="1:15" s="36" customFormat="1" ht="12" x14ac:dyDescent="0.2">
      <c r="A163" s="33"/>
      <c r="B163" s="69">
        <v>38884</v>
      </c>
      <c r="C163" s="65">
        <v>900</v>
      </c>
      <c r="D163" s="65">
        <v>1400</v>
      </c>
      <c r="E163" s="65">
        <v>-500</v>
      </c>
      <c r="F163" s="34"/>
      <c r="G163" s="34"/>
      <c r="H163" s="33"/>
      <c r="I163" s="63">
        <v>38321</v>
      </c>
      <c r="J163" s="65">
        <v>13.8</v>
      </c>
      <c r="K163" s="65">
        <v>14</v>
      </c>
      <c r="L163" s="65">
        <v>9.6</v>
      </c>
      <c r="M163" s="65"/>
      <c r="N163" s="34"/>
      <c r="O163" s="35"/>
    </row>
    <row r="164" spans="1:15" s="36" customFormat="1" ht="12" x14ac:dyDescent="0.2">
      <c r="A164" s="33"/>
      <c r="B164" s="68">
        <v>38891</v>
      </c>
      <c r="C164" s="64">
        <v>250</v>
      </c>
      <c r="D164" s="64">
        <v>600</v>
      </c>
      <c r="E164" s="64">
        <v>-350</v>
      </c>
      <c r="F164" s="34"/>
      <c r="G164" s="34"/>
      <c r="H164" s="33"/>
      <c r="I164" s="62">
        <v>38352</v>
      </c>
      <c r="J164" s="64">
        <v>13.6</v>
      </c>
      <c r="K164" s="64">
        <v>14.6</v>
      </c>
      <c r="L164" s="64">
        <v>8.6999999999999993</v>
      </c>
      <c r="M164" s="64"/>
      <c r="N164" s="34"/>
      <c r="O164" s="35"/>
    </row>
    <row r="165" spans="1:15" s="36" customFormat="1" ht="12" x14ac:dyDescent="0.2">
      <c r="A165" s="33"/>
      <c r="B165" s="69">
        <v>38898</v>
      </c>
      <c r="C165" s="65">
        <v>600</v>
      </c>
      <c r="D165" s="65">
        <v>1350</v>
      </c>
      <c r="E165" s="65">
        <v>-750</v>
      </c>
      <c r="F165" s="34"/>
      <c r="G165" s="34"/>
      <c r="H165" s="33"/>
      <c r="I165" s="63">
        <v>38383</v>
      </c>
      <c r="J165" s="65">
        <v>15.32</v>
      </c>
      <c r="K165" s="65">
        <v>14.13</v>
      </c>
      <c r="L165" s="65">
        <v>7.75</v>
      </c>
      <c r="M165" s="65"/>
      <c r="N165" s="34"/>
      <c r="O165" s="35"/>
    </row>
    <row r="166" spans="1:15" s="36" customFormat="1" ht="12" x14ac:dyDescent="0.2">
      <c r="A166" s="33"/>
      <c r="B166" s="68">
        <v>38905</v>
      </c>
      <c r="C166" s="64">
        <v>1350</v>
      </c>
      <c r="D166" s="64">
        <v>1200</v>
      </c>
      <c r="E166" s="64">
        <v>150</v>
      </c>
      <c r="F166" s="34"/>
      <c r="G166" s="34"/>
      <c r="H166" s="33"/>
      <c r="I166" s="62">
        <v>38411</v>
      </c>
      <c r="J166" s="64">
        <v>10.6</v>
      </c>
      <c r="K166" s="64">
        <v>13.9</v>
      </c>
      <c r="L166" s="64">
        <v>14</v>
      </c>
      <c r="M166" s="64"/>
      <c r="N166" s="34"/>
      <c r="O166" s="35"/>
    </row>
    <row r="167" spans="1:15" s="36" customFormat="1" ht="12" x14ac:dyDescent="0.2">
      <c r="A167" s="33"/>
      <c r="B167" s="69">
        <v>38912</v>
      </c>
      <c r="C167" s="65">
        <v>1050</v>
      </c>
      <c r="D167" s="65">
        <v>2350</v>
      </c>
      <c r="E167" s="65">
        <v>-1300</v>
      </c>
      <c r="F167" s="34"/>
      <c r="G167" s="34"/>
      <c r="H167" s="33"/>
      <c r="I167" s="63">
        <v>38442</v>
      </c>
      <c r="J167" s="65">
        <v>9.9</v>
      </c>
      <c r="K167" s="65">
        <v>14</v>
      </c>
      <c r="L167" s="65">
        <v>10.1</v>
      </c>
      <c r="M167" s="65"/>
      <c r="N167" s="34"/>
      <c r="O167" s="35"/>
    </row>
    <row r="168" spans="1:15" s="36" customFormat="1" ht="12" x14ac:dyDescent="0.2">
      <c r="A168" s="33"/>
      <c r="B168" s="68">
        <v>38919</v>
      </c>
      <c r="C168" s="64">
        <v>1070</v>
      </c>
      <c r="D168" s="64">
        <v>300</v>
      </c>
      <c r="E168" s="64">
        <v>770</v>
      </c>
      <c r="F168" s="34"/>
      <c r="G168" s="34"/>
      <c r="H168" s="33"/>
      <c r="I168" s="62">
        <v>38472</v>
      </c>
      <c r="J168" s="64">
        <v>10</v>
      </c>
      <c r="K168" s="64">
        <v>14.1</v>
      </c>
      <c r="L168" s="64">
        <v>9</v>
      </c>
      <c r="M168" s="64"/>
      <c r="N168" s="34"/>
      <c r="O168" s="35"/>
    </row>
    <row r="169" spans="1:15" s="36" customFormat="1" ht="12" x14ac:dyDescent="0.2">
      <c r="A169" s="33"/>
      <c r="B169" s="69">
        <v>38926</v>
      </c>
      <c r="C169" s="65">
        <v>230</v>
      </c>
      <c r="D169" s="65">
        <v>210</v>
      </c>
      <c r="E169" s="65">
        <v>20</v>
      </c>
      <c r="F169" s="34"/>
      <c r="G169" s="34"/>
      <c r="H169" s="33"/>
      <c r="I169" s="63">
        <v>38503</v>
      </c>
      <c r="J169" s="65">
        <v>10.4</v>
      </c>
      <c r="K169" s="65">
        <v>14.6</v>
      </c>
      <c r="L169" s="65">
        <v>9.3000000000000007</v>
      </c>
      <c r="M169" s="65"/>
      <c r="N169" s="34"/>
      <c r="O169" s="35"/>
    </row>
    <row r="170" spans="1:15" s="36" customFormat="1" ht="12" x14ac:dyDescent="0.2">
      <c r="A170" s="33"/>
      <c r="B170" s="68">
        <v>38933</v>
      </c>
      <c r="C170" s="64">
        <v>250</v>
      </c>
      <c r="D170" s="64">
        <v>390.9</v>
      </c>
      <c r="E170" s="64">
        <v>-140.9</v>
      </c>
      <c r="F170" s="34"/>
      <c r="G170" s="34"/>
      <c r="H170" s="33"/>
      <c r="I170" s="62">
        <v>38533</v>
      </c>
      <c r="J170" s="64">
        <v>11.25</v>
      </c>
      <c r="K170" s="64">
        <v>15.67</v>
      </c>
      <c r="L170" s="64">
        <v>9.6300000000000008</v>
      </c>
      <c r="M170" s="64"/>
      <c r="N170" s="34"/>
      <c r="O170" s="35"/>
    </row>
    <row r="171" spans="1:15" s="36" customFormat="1" ht="12" x14ac:dyDescent="0.2">
      <c r="A171" s="33"/>
      <c r="B171" s="69">
        <v>38940</v>
      </c>
      <c r="C171" s="65">
        <v>750</v>
      </c>
      <c r="D171" s="65">
        <v>631.29999999999995</v>
      </c>
      <c r="E171" s="65">
        <v>118.7</v>
      </c>
      <c r="F171" s="34"/>
      <c r="G171" s="34"/>
      <c r="H171" s="33"/>
      <c r="I171" s="63">
        <v>38564</v>
      </c>
      <c r="J171" s="65">
        <v>11</v>
      </c>
      <c r="K171" s="65">
        <v>16.3</v>
      </c>
      <c r="L171" s="65">
        <v>9.1</v>
      </c>
      <c r="M171" s="65"/>
      <c r="N171" s="34"/>
      <c r="O171" s="35"/>
    </row>
    <row r="172" spans="1:15" s="36" customFormat="1" ht="12" x14ac:dyDescent="0.2">
      <c r="A172" s="33"/>
      <c r="B172" s="68">
        <v>38947</v>
      </c>
      <c r="C172" s="64">
        <v>1200</v>
      </c>
      <c r="D172" s="64">
        <v>970</v>
      </c>
      <c r="E172" s="64">
        <v>230</v>
      </c>
      <c r="F172" s="34"/>
      <c r="G172" s="34"/>
      <c r="H172" s="33"/>
      <c r="I172" s="62">
        <v>38595</v>
      </c>
      <c r="J172" s="64">
        <v>11.5</v>
      </c>
      <c r="K172" s="64">
        <v>17.34</v>
      </c>
      <c r="L172" s="64">
        <v>9.39</v>
      </c>
      <c r="M172" s="64"/>
      <c r="N172" s="34"/>
      <c r="O172" s="35"/>
    </row>
    <row r="173" spans="1:15" s="36" customFormat="1" ht="12" x14ac:dyDescent="0.2">
      <c r="A173" s="33"/>
      <c r="B173" s="69">
        <v>38954</v>
      </c>
      <c r="C173" s="65">
        <v>800</v>
      </c>
      <c r="D173" s="65">
        <v>630</v>
      </c>
      <c r="E173" s="65">
        <v>170</v>
      </c>
      <c r="F173" s="34"/>
      <c r="G173" s="34"/>
      <c r="H173" s="33"/>
      <c r="I173" s="63">
        <v>38625</v>
      </c>
      <c r="J173" s="65">
        <v>11.64</v>
      </c>
      <c r="K173" s="65">
        <v>17.920000000000002</v>
      </c>
      <c r="L173" s="65">
        <v>8.52</v>
      </c>
      <c r="M173" s="65"/>
      <c r="N173" s="34"/>
      <c r="O173" s="35"/>
    </row>
    <row r="174" spans="1:15" s="36" customFormat="1" ht="12" x14ac:dyDescent="0.2">
      <c r="A174" s="33"/>
      <c r="B174" s="68">
        <v>38961</v>
      </c>
      <c r="C174" s="64">
        <v>930</v>
      </c>
      <c r="D174" s="64">
        <v>1150</v>
      </c>
      <c r="E174" s="64">
        <v>-220</v>
      </c>
      <c r="F174" s="34"/>
      <c r="G174" s="34"/>
      <c r="H174" s="33"/>
      <c r="I174" s="62">
        <v>38656</v>
      </c>
      <c r="J174" s="64">
        <v>12.08</v>
      </c>
      <c r="K174" s="64">
        <v>17.989999999999998</v>
      </c>
      <c r="L174" s="64">
        <v>9.0399999999999991</v>
      </c>
      <c r="M174" s="64"/>
      <c r="N174" s="34"/>
      <c r="O174" s="35"/>
    </row>
    <row r="175" spans="1:15" s="36" customFormat="1" ht="12" x14ac:dyDescent="0.2">
      <c r="A175" s="33"/>
      <c r="B175" s="69">
        <v>38968</v>
      </c>
      <c r="C175" s="65">
        <v>1250</v>
      </c>
      <c r="D175" s="65">
        <v>1300</v>
      </c>
      <c r="E175" s="65">
        <v>-50</v>
      </c>
      <c r="F175" s="34"/>
      <c r="G175" s="34"/>
      <c r="H175" s="33"/>
      <c r="I175" s="63">
        <v>38686</v>
      </c>
      <c r="J175" s="65">
        <v>12.7</v>
      </c>
      <c r="K175" s="65">
        <v>18.3</v>
      </c>
      <c r="L175" s="65">
        <v>10.9</v>
      </c>
      <c r="M175" s="65"/>
      <c r="N175" s="34"/>
      <c r="O175" s="35"/>
    </row>
    <row r="176" spans="1:15" s="36" customFormat="1" ht="12" x14ac:dyDescent="0.2">
      <c r="A176" s="33"/>
      <c r="B176" s="68">
        <v>38975</v>
      </c>
      <c r="C176" s="64">
        <v>1800</v>
      </c>
      <c r="D176" s="64">
        <v>2550</v>
      </c>
      <c r="E176" s="64">
        <v>-750</v>
      </c>
      <c r="F176" s="34"/>
      <c r="G176" s="34"/>
      <c r="H176" s="33"/>
      <c r="I176" s="62">
        <v>38717</v>
      </c>
      <c r="J176" s="64">
        <v>11.78</v>
      </c>
      <c r="K176" s="64">
        <v>17.57</v>
      </c>
      <c r="L176" s="64">
        <v>11.94</v>
      </c>
      <c r="M176" s="64"/>
      <c r="N176" s="34"/>
      <c r="O176" s="35"/>
    </row>
    <row r="177" spans="1:15" s="36" customFormat="1" ht="12" x14ac:dyDescent="0.2">
      <c r="A177" s="33"/>
      <c r="B177" s="69">
        <v>38982</v>
      </c>
      <c r="C177" s="65">
        <v>1500</v>
      </c>
      <c r="D177" s="65">
        <v>1900</v>
      </c>
      <c r="E177" s="65">
        <v>-400</v>
      </c>
      <c r="F177" s="34"/>
      <c r="G177" s="34"/>
      <c r="H177" s="33"/>
      <c r="I177" s="63">
        <v>38748</v>
      </c>
      <c r="J177" s="65">
        <v>10.63</v>
      </c>
      <c r="K177" s="65">
        <v>19.21</v>
      </c>
      <c r="L177" s="65">
        <v>22.05</v>
      </c>
      <c r="M177" s="65"/>
      <c r="N177" s="34"/>
      <c r="O177" s="35"/>
    </row>
    <row r="178" spans="1:15" s="36" customFormat="1" ht="12" x14ac:dyDescent="0.2">
      <c r="A178" s="33"/>
      <c r="B178" s="68">
        <v>38989</v>
      </c>
      <c r="C178" s="64">
        <v>1450</v>
      </c>
      <c r="D178" s="64">
        <v>930</v>
      </c>
      <c r="E178" s="64">
        <v>520</v>
      </c>
      <c r="F178" s="34"/>
      <c r="G178" s="34"/>
      <c r="H178" s="33"/>
      <c r="I178" s="62">
        <v>38776</v>
      </c>
      <c r="J178" s="64">
        <v>12.4</v>
      </c>
      <c r="K178" s="64">
        <v>18.8</v>
      </c>
      <c r="L178" s="64">
        <v>8</v>
      </c>
      <c r="M178" s="64"/>
      <c r="N178" s="34"/>
      <c r="O178" s="35"/>
    </row>
    <row r="179" spans="1:15" s="36" customFormat="1" ht="12" x14ac:dyDescent="0.2">
      <c r="A179" s="33"/>
      <c r="B179" s="69">
        <v>39003</v>
      </c>
      <c r="C179" s="65">
        <v>900</v>
      </c>
      <c r="D179" s="65">
        <v>1000</v>
      </c>
      <c r="E179" s="65">
        <v>-100</v>
      </c>
      <c r="F179" s="34"/>
      <c r="G179" s="34"/>
      <c r="H179" s="33"/>
      <c r="I179" s="63">
        <v>38807</v>
      </c>
      <c r="J179" s="65">
        <v>12.7</v>
      </c>
      <c r="K179" s="65">
        <v>18.8</v>
      </c>
      <c r="L179" s="65">
        <v>10.5</v>
      </c>
      <c r="M179" s="65"/>
      <c r="N179" s="34"/>
      <c r="O179" s="35"/>
    </row>
    <row r="180" spans="1:15" s="36" customFormat="1" ht="12" x14ac:dyDescent="0.2">
      <c r="A180" s="33"/>
      <c r="B180" s="68">
        <v>39010</v>
      </c>
      <c r="C180" s="64">
        <v>730</v>
      </c>
      <c r="D180" s="64">
        <v>700</v>
      </c>
      <c r="E180" s="64">
        <v>30</v>
      </c>
      <c r="F180" s="34"/>
      <c r="G180" s="34"/>
      <c r="H180" s="33"/>
      <c r="I180" s="62">
        <v>38837</v>
      </c>
      <c r="J180" s="64">
        <v>12.5</v>
      </c>
      <c r="K180" s="64">
        <v>18.899999999999999</v>
      </c>
      <c r="L180" s="64">
        <v>11.5</v>
      </c>
      <c r="M180" s="64"/>
      <c r="N180" s="34"/>
      <c r="O180" s="35"/>
    </row>
    <row r="181" spans="1:15" s="36" customFormat="1" ht="12" x14ac:dyDescent="0.2">
      <c r="A181" s="33"/>
      <c r="B181" s="69">
        <v>39017</v>
      </c>
      <c r="C181" s="65">
        <v>420</v>
      </c>
      <c r="D181" s="65">
        <v>1200</v>
      </c>
      <c r="E181" s="65">
        <v>-780</v>
      </c>
      <c r="F181" s="34"/>
      <c r="G181" s="34"/>
      <c r="H181" s="33"/>
      <c r="I181" s="63">
        <v>38868</v>
      </c>
      <c r="J181" s="65">
        <v>14.01</v>
      </c>
      <c r="K181" s="65">
        <v>19.100000000000001</v>
      </c>
      <c r="L181" s="65">
        <v>12.75</v>
      </c>
      <c r="M181" s="65"/>
      <c r="N181" s="34"/>
      <c r="O181" s="35"/>
    </row>
    <row r="182" spans="1:15" s="36" customFormat="1" ht="12" x14ac:dyDescent="0.2">
      <c r="A182" s="33"/>
      <c r="B182" s="68">
        <v>39024</v>
      </c>
      <c r="C182" s="64">
        <v>360</v>
      </c>
      <c r="D182" s="64">
        <v>850</v>
      </c>
      <c r="E182" s="64">
        <v>-490</v>
      </c>
      <c r="F182" s="34"/>
      <c r="G182" s="34"/>
      <c r="H182" s="33"/>
      <c r="I182" s="62">
        <v>38898</v>
      </c>
      <c r="J182" s="64">
        <v>13.9</v>
      </c>
      <c r="K182" s="64">
        <v>18.43</v>
      </c>
      <c r="L182" s="64">
        <v>12.6</v>
      </c>
      <c r="M182" s="64"/>
      <c r="N182" s="34"/>
      <c r="O182" s="35"/>
    </row>
    <row r="183" spans="1:15" s="36" customFormat="1" ht="12" x14ac:dyDescent="0.2">
      <c r="A183" s="33"/>
      <c r="B183" s="69">
        <v>39031</v>
      </c>
      <c r="C183" s="65">
        <v>560</v>
      </c>
      <c r="D183" s="65">
        <v>300</v>
      </c>
      <c r="E183" s="65">
        <v>260</v>
      </c>
      <c r="F183" s="34"/>
      <c r="G183" s="34"/>
      <c r="H183" s="33"/>
      <c r="I183" s="63">
        <v>38929</v>
      </c>
      <c r="J183" s="65">
        <v>15.3</v>
      </c>
      <c r="K183" s="65">
        <v>18.399999999999999</v>
      </c>
      <c r="L183" s="65">
        <v>12.2</v>
      </c>
      <c r="M183" s="65"/>
      <c r="N183" s="34"/>
      <c r="O183" s="35"/>
    </row>
    <row r="184" spans="1:15" s="36" customFormat="1" ht="12" x14ac:dyDescent="0.2">
      <c r="A184" s="33"/>
      <c r="B184" s="68">
        <v>39038</v>
      </c>
      <c r="C184" s="64">
        <v>370</v>
      </c>
      <c r="D184" s="64">
        <v>130</v>
      </c>
      <c r="E184" s="64">
        <v>240</v>
      </c>
      <c r="F184" s="34"/>
      <c r="G184" s="34"/>
      <c r="H184" s="33"/>
      <c r="I184" s="62">
        <v>38960</v>
      </c>
      <c r="J184" s="64">
        <v>15.6</v>
      </c>
      <c r="K184" s="64">
        <v>17.899999999999999</v>
      </c>
      <c r="L184" s="64">
        <v>13.3</v>
      </c>
      <c r="M184" s="64"/>
      <c r="N184" s="34"/>
      <c r="O184" s="35"/>
    </row>
    <row r="185" spans="1:15" s="36" customFormat="1" ht="12" x14ac:dyDescent="0.2">
      <c r="A185" s="33"/>
      <c r="B185" s="69">
        <v>39045</v>
      </c>
      <c r="C185" s="65">
        <v>400</v>
      </c>
      <c r="D185" s="65">
        <v>20</v>
      </c>
      <c r="E185" s="65">
        <v>380</v>
      </c>
      <c r="F185" s="34"/>
      <c r="G185" s="34"/>
      <c r="H185" s="33"/>
      <c r="I185" s="63">
        <v>38990</v>
      </c>
      <c r="J185" s="65">
        <v>15.7</v>
      </c>
      <c r="K185" s="65">
        <v>16.829999999999998</v>
      </c>
      <c r="L185" s="65">
        <v>15.3</v>
      </c>
      <c r="M185" s="65"/>
      <c r="N185" s="34"/>
      <c r="O185" s="35"/>
    </row>
    <row r="186" spans="1:15" s="36" customFormat="1" ht="12" x14ac:dyDescent="0.2">
      <c r="A186" s="33"/>
      <c r="B186" s="68">
        <v>39052</v>
      </c>
      <c r="C186" s="64">
        <v>400</v>
      </c>
      <c r="D186" s="64">
        <v>110</v>
      </c>
      <c r="E186" s="64">
        <v>290</v>
      </c>
      <c r="F186" s="34"/>
      <c r="G186" s="34"/>
      <c r="H186" s="33"/>
      <c r="I186" s="62">
        <v>39021</v>
      </c>
      <c r="J186" s="64">
        <v>16.3</v>
      </c>
      <c r="K186" s="64">
        <v>17.100000000000001</v>
      </c>
      <c r="L186" s="64">
        <v>14</v>
      </c>
      <c r="M186" s="64"/>
      <c r="N186" s="34"/>
      <c r="O186" s="35"/>
    </row>
    <row r="187" spans="1:15" s="36" customFormat="1" ht="12" x14ac:dyDescent="0.2">
      <c r="A187" s="33"/>
      <c r="B187" s="69">
        <v>39059</v>
      </c>
      <c r="C187" s="65">
        <v>500</v>
      </c>
      <c r="D187" s="65">
        <v>250</v>
      </c>
      <c r="E187" s="65">
        <v>250</v>
      </c>
      <c r="F187" s="34"/>
      <c r="G187" s="34"/>
      <c r="H187" s="33"/>
      <c r="I187" s="63">
        <v>39051</v>
      </c>
      <c r="J187" s="65">
        <v>16.8</v>
      </c>
      <c r="K187" s="65">
        <v>16.8</v>
      </c>
      <c r="L187" s="65">
        <v>13.9</v>
      </c>
      <c r="M187" s="65"/>
      <c r="N187" s="34"/>
      <c r="O187" s="35"/>
    </row>
    <row r="188" spans="1:15" s="36" customFormat="1" ht="12" x14ac:dyDescent="0.2">
      <c r="A188" s="33"/>
      <c r="B188" s="68">
        <v>39066</v>
      </c>
      <c r="C188" s="64">
        <v>650</v>
      </c>
      <c r="D188" s="64">
        <v>1380</v>
      </c>
      <c r="E188" s="64">
        <v>-730</v>
      </c>
      <c r="F188" s="34"/>
      <c r="G188" s="34"/>
      <c r="H188" s="33"/>
      <c r="I188" s="62">
        <v>39082</v>
      </c>
      <c r="J188" s="64">
        <v>17.48</v>
      </c>
      <c r="K188" s="64">
        <v>16.940000000000001</v>
      </c>
      <c r="L188" s="64">
        <v>12.65</v>
      </c>
      <c r="M188" s="64"/>
      <c r="N188" s="34"/>
      <c r="O188" s="35"/>
    </row>
    <row r="189" spans="1:15" s="36" customFormat="1" ht="12" x14ac:dyDescent="0.2">
      <c r="A189" s="33"/>
      <c r="B189" s="69">
        <v>39073</v>
      </c>
      <c r="C189" s="65">
        <v>600</v>
      </c>
      <c r="D189" s="65">
        <v>1320.5</v>
      </c>
      <c r="E189" s="65">
        <v>-720.5</v>
      </c>
      <c r="F189" s="34"/>
      <c r="G189" s="34"/>
      <c r="H189" s="33"/>
      <c r="I189" s="63">
        <v>39113</v>
      </c>
      <c r="J189" s="65">
        <v>20.21</v>
      </c>
      <c r="K189" s="65">
        <v>15.93</v>
      </c>
      <c r="L189" s="65">
        <v>-4.6399999999999997</v>
      </c>
      <c r="M189" s="65"/>
      <c r="N189" s="34"/>
      <c r="O189" s="35"/>
    </row>
    <row r="190" spans="1:15" s="36" customFormat="1" ht="12" x14ac:dyDescent="0.2">
      <c r="A190" s="33"/>
      <c r="B190" s="68">
        <v>39080</v>
      </c>
      <c r="C190" s="64">
        <v>2080</v>
      </c>
      <c r="D190" s="64">
        <v>1230</v>
      </c>
      <c r="E190" s="64">
        <v>850</v>
      </c>
      <c r="F190" s="34"/>
      <c r="G190" s="34"/>
      <c r="H190" s="33"/>
      <c r="I190" s="62">
        <v>39141</v>
      </c>
      <c r="J190" s="64">
        <v>21</v>
      </c>
      <c r="K190" s="64">
        <v>17.8</v>
      </c>
      <c r="L190" s="64">
        <v>25.1</v>
      </c>
      <c r="M190" s="64"/>
      <c r="N190" s="34"/>
      <c r="O190" s="35"/>
    </row>
    <row r="191" spans="1:15" s="36" customFormat="1" ht="12" x14ac:dyDescent="0.2">
      <c r="A191" s="33"/>
      <c r="B191" s="69">
        <v>39087</v>
      </c>
      <c r="C191" s="65">
        <v>400</v>
      </c>
      <c r="D191" s="65">
        <v>800</v>
      </c>
      <c r="E191" s="65">
        <v>-400</v>
      </c>
      <c r="F191" s="34"/>
      <c r="G191" s="34"/>
      <c r="H191" s="33"/>
      <c r="I191" s="63">
        <v>39172</v>
      </c>
      <c r="J191" s="65">
        <v>19.8</v>
      </c>
      <c r="K191" s="65">
        <v>17.3</v>
      </c>
      <c r="L191" s="65">
        <v>16.7</v>
      </c>
      <c r="M191" s="65"/>
      <c r="N191" s="34"/>
      <c r="O191" s="35"/>
    </row>
    <row r="192" spans="1:15" s="36" customFormat="1" ht="12" x14ac:dyDescent="0.2">
      <c r="A192" s="33"/>
      <c r="B192" s="68">
        <v>39094</v>
      </c>
      <c r="C192" s="64">
        <v>1600</v>
      </c>
      <c r="D192" s="64">
        <v>3600</v>
      </c>
      <c r="E192" s="64">
        <v>-2000</v>
      </c>
      <c r="F192" s="34"/>
      <c r="G192" s="34"/>
      <c r="H192" s="33"/>
      <c r="I192" s="62">
        <v>39202</v>
      </c>
      <c r="J192" s="64">
        <v>20</v>
      </c>
      <c r="K192" s="64">
        <v>17.100000000000001</v>
      </c>
      <c r="L192" s="64">
        <v>15.1</v>
      </c>
      <c r="M192" s="64"/>
      <c r="N192" s="34"/>
      <c r="O192" s="35"/>
    </row>
    <row r="193" spans="1:15" s="36" customFormat="1" ht="12" x14ac:dyDescent="0.2">
      <c r="A193" s="33"/>
      <c r="B193" s="69">
        <v>39101</v>
      </c>
      <c r="C193" s="65">
        <v>1640</v>
      </c>
      <c r="D193" s="65">
        <v>3400</v>
      </c>
      <c r="E193" s="65">
        <v>-1760</v>
      </c>
      <c r="F193" s="34"/>
      <c r="G193" s="34"/>
      <c r="H193" s="33"/>
      <c r="I193" s="63">
        <v>39233</v>
      </c>
      <c r="J193" s="65">
        <v>19.28</v>
      </c>
      <c r="K193" s="65">
        <v>16.739999999999998</v>
      </c>
      <c r="L193" s="65">
        <v>13.91</v>
      </c>
      <c r="M193" s="65"/>
      <c r="N193" s="34"/>
      <c r="O193" s="35"/>
    </row>
    <row r="194" spans="1:15" s="36" customFormat="1" ht="12" x14ac:dyDescent="0.2">
      <c r="A194" s="33"/>
      <c r="B194" s="68">
        <v>39108</v>
      </c>
      <c r="C194" s="64">
        <v>1100</v>
      </c>
      <c r="D194" s="64">
        <v>1800</v>
      </c>
      <c r="E194" s="64">
        <v>-700</v>
      </c>
      <c r="F194" s="34"/>
      <c r="G194" s="34"/>
      <c r="H194" s="33"/>
      <c r="I194" s="62">
        <v>39263</v>
      </c>
      <c r="J194" s="64">
        <v>20.92</v>
      </c>
      <c r="K194" s="64">
        <v>17.059999999999999</v>
      </c>
      <c r="L194" s="64">
        <v>14.54</v>
      </c>
      <c r="M194" s="64"/>
      <c r="N194" s="34"/>
      <c r="O194" s="35"/>
    </row>
    <row r="195" spans="1:15" s="36" customFormat="1" ht="12" x14ac:dyDescent="0.2">
      <c r="A195" s="33"/>
      <c r="B195" s="69">
        <v>39115</v>
      </c>
      <c r="C195" s="65">
        <v>550</v>
      </c>
      <c r="D195" s="65">
        <v>1400</v>
      </c>
      <c r="E195" s="65">
        <v>-850</v>
      </c>
      <c r="F195" s="34"/>
      <c r="G195" s="34"/>
      <c r="H195" s="33"/>
      <c r="I195" s="63">
        <v>39294</v>
      </c>
      <c r="J195" s="65">
        <v>20.9</v>
      </c>
      <c r="K195" s="65">
        <v>18.5</v>
      </c>
      <c r="L195" s="65">
        <v>15.05</v>
      </c>
      <c r="M195" s="65"/>
      <c r="N195" s="34"/>
      <c r="O195" s="35"/>
    </row>
    <row r="196" spans="1:15" s="36" customFormat="1" ht="12" x14ac:dyDescent="0.2">
      <c r="A196" s="33"/>
      <c r="B196" s="68">
        <v>39122</v>
      </c>
      <c r="C196" s="64">
        <v>2800</v>
      </c>
      <c r="D196" s="64">
        <v>520</v>
      </c>
      <c r="E196" s="64">
        <v>2280</v>
      </c>
      <c r="F196" s="34"/>
      <c r="G196" s="34"/>
      <c r="H196" s="33"/>
      <c r="I196" s="62">
        <v>39325</v>
      </c>
      <c r="J196" s="64">
        <v>22.8</v>
      </c>
      <c r="K196" s="64">
        <v>18.100000000000001</v>
      </c>
      <c r="L196" s="64">
        <v>15.04</v>
      </c>
      <c r="M196" s="64"/>
      <c r="N196" s="34"/>
      <c r="O196" s="35"/>
    </row>
    <row r="197" spans="1:15" s="36" customFormat="1" ht="12" x14ac:dyDescent="0.2">
      <c r="A197" s="33"/>
      <c r="B197" s="69">
        <v>39129</v>
      </c>
      <c r="C197" s="65">
        <v>2230</v>
      </c>
      <c r="D197" s="65">
        <v>0</v>
      </c>
      <c r="E197" s="65">
        <v>2230</v>
      </c>
      <c r="F197" s="34"/>
      <c r="G197" s="34"/>
      <c r="H197" s="33"/>
      <c r="I197" s="63">
        <v>39355</v>
      </c>
      <c r="J197" s="65">
        <v>22.07</v>
      </c>
      <c r="K197" s="65">
        <v>18.45</v>
      </c>
      <c r="L197" s="65">
        <v>13.01</v>
      </c>
      <c r="M197" s="65"/>
      <c r="N197" s="34"/>
      <c r="O197" s="35"/>
    </row>
    <row r="198" spans="1:15" s="36" customFormat="1" ht="12" x14ac:dyDescent="0.2">
      <c r="A198" s="33"/>
      <c r="B198" s="68">
        <v>39143</v>
      </c>
      <c r="C198" s="64">
        <v>1510</v>
      </c>
      <c r="D198" s="64">
        <v>2650</v>
      </c>
      <c r="E198" s="64">
        <v>-1140</v>
      </c>
      <c r="F198" s="34"/>
      <c r="G198" s="34"/>
      <c r="H198" s="33"/>
      <c r="I198" s="62">
        <v>39386</v>
      </c>
      <c r="J198" s="64">
        <v>22.21</v>
      </c>
      <c r="K198" s="64">
        <v>18.47</v>
      </c>
      <c r="L198" s="64">
        <v>13.43</v>
      </c>
      <c r="M198" s="64"/>
      <c r="N198" s="34"/>
      <c r="O198" s="35"/>
    </row>
    <row r="199" spans="1:15" s="36" customFormat="1" ht="12" x14ac:dyDescent="0.2">
      <c r="A199" s="33"/>
      <c r="B199" s="69">
        <v>39150</v>
      </c>
      <c r="C199" s="65">
        <v>750</v>
      </c>
      <c r="D199" s="65">
        <v>3610</v>
      </c>
      <c r="E199" s="65">
        <v>-2860</v>
      </c>
      <c r="F199" s="34"/>
      <c r="G199" s="34"/>
      <c r="H199" s="33"/>
      <c r="I199" s="63">
        <v>39416</v>
      </c>
      <c r="J199" s="65">
        <v>21.67</v>
      </c>
      <c r="K199" s="65">
        <v>18.45</v>
      </c>
      <c r="L199" s="65">
        <v>13.56</v>
      </c>
      <c r="M199" s="65"/>
      <c r="N199" s="34"/>
      <c r="O199" s="35"/>
    </row>
    <row r="200" spans="1:15" s="36" customFormat="1" ht="12" x14ac:dyDescent="0.2">
      <c r="A200" s="33"/>
      <c r="B200" s="68">
        <v>39157</v>
      </c>
      <c r="C200" s="64">
        <v>730</v>
      </c>
      <c r="D200" s="64">
        <v>2450</v>
      </c>
      <c r="E200" s="64">
        <v>-1720</v>
      </c>
      <c r="F200" s="34"/>
      <c r="G200" s="34"/>
      <c r="H200" s="33"/>
      <c r="I200" s="62">
        <v>39447</v>
      </c>
      <c r="J200" s="64">
        <v>21.01</v>
      </c>
      <c r="K200" s="64">
        <v>16.72</v>
      </c>
      <c r="L200" s="64">
        <v>12.05</v>
      </c>
      <c r="M200" s="64"/>
      <c r="N200" s="34"/>
      <c r="O200" s="35"/>
    </row>
    <row r="201" spans="1:15" s="36" customFormat="1" ht="12" x14ac:dyDescent="0.2">
      <c r="A201" s="33"/>
      <c r="B201" s="69">
        <v>39164</v>
      </c>
      <c r="C201" s="65">
        <v>620</v>
      </c>
      <c r="D201" s="65">
        <v>1450</v>
      </c>
      <c r="E201" s="65">
        <v>-830</v>
      </c>
      <c r="F201" s="34"/>
      <c r="G201" s="34"/>
      <c r="H201" s="33"/>
      <c r="I201" s="63">
        <v>39478</v>
      </c>
      <c r="J201" s="65">
        <v>20.72</v>
      </c>
      <c r="K201" s="65">
        <v>18.940000000000001</v>
      </c>
      <c r="L201" s="65">
        <v>31.209999999999997</v>
      </c>
      <c r="M201" s="65"/>
      <c r="N201" s="34"/>
      <c r="O201" s="35"/>
    </row>
    <row r="202" spans="1:15" s="36" customFormat="1" ht="12" x14ac:dyDescent="0.2">
      <c r="A202" s="33"/>
      <c r="B202" s="68">
        <v>39171</v>
      </c>
      <c r="C202" s="64">
        <v>330</v>
      </c>
      <c r="D202" s="64">
        <v>850</v>
      </c>
      <c r="E202" s="64">
        <v>-520</v>
      </c>
      <c r="F202" s="34"/>
      <c r="G202" s="34"/>
      <c r="H202" s="33"/>
      <c r="I202" s="62">
        <v>39507</v>
      </c>
      <c r="J202" s="64">
        <v>19.2</v>
      </c>
      <c r="K202" s="64">
        <v>17.48</v>
      </c>
      <c r="L202" s="64">
        <v>5.96</v>
      </c>
      <c r="M202" s="64"/>
      <c r="N202" s="34"/>
      <c r="O202" s="35"/>
    </row>
    <row r="203" spans="1:15" s="36" customFormat="1" ht="12" x14ac:dyDescent="0.2">
      <c r="A203" s="33"/>
      <c r="B203" s="69">
        <v>39178</v>
      </c>
      <c r="C203" s="65">
        <v>400</v>
      </c>
      <c r="D203" s="65">
        <v>1400</v>
      </c>
      <c r="E203" s="65">
        <v>-1000</v>
      </c>
      <c r="F203" s="34"/>
      <c r="G203" s="34"/>
      <c r="H203" s="33"/>
      <c r="I203" s="63">
        <v>39538</v>
      </c>
      <c r="J203" s="65">
        <v>18.25</v>
      </c>
      <c r="K203" s="65">
        <v>16.29</v>
      </c>
      <c r="L203" s="65">
        <v>11.12</v>
      </c>
      <c r="M203" s="65"/>
      <c r="N203" s="34"/>
      <c r="O203" s="35"/>
    </row>
    <row r="204" spans="1:15" s="36" customFormat="1" ht="12" x14ac:dyDescent="0.2">
      <c r="A204" s="33"/>
      <c r="B204" s="68">
        <v>39185</v>
      </c>
      <c r="C204" s="64">
        <v>900</v>
      </c>
      <c r="D204" s="64">
        <v>1200</v>
      </c>
      <c r="E204" s="64">
        <v>-300</v>
      </c>
      <c r="F204" s="34"/>
      <c r="G204" s="34"/>
      <c r="H204" s="33"/>
      <c r="I204" s="62">
        <v>39568</v>
      </c>
      <c r="J204" s="64">
        <v>19.05</v>
      </c>
      <c r="K204" s="64">
        <v>16.940000000000001</v>
      </c>
      <c r="L204" s="64">
        <v>10.7</v>
      </c>
      <c r="M204" s="64"/>
      <c r="N204" s="34"/>
      <c r="O204" s="35"/>
    </row>
    <row r="205" spans="1:15" s="36" customFormat="1" ht="12" x14ac:dyDescent="0.2">
      <c r="A205" s="33"/>
      <c r="B205" s="69">
        <v>39192</v>
      </c>
      <c r="C205" s="65">
        <v>450</v>
      </c>
      <c r="D205" s="65">
        <v>450</v>
      </c>
      <c r="E205" s="65">
        <v>0</v>
      </c>
      <c r="F205" s="34"/>
      <c r="G205" s="34"/>
      <c r="H205" s="33"/>
      <c r="I205" s="63">
        <v>39599</v>
      </c>
      <c r="J205" s="65">
        <v>17.93</v>
      </c>
      <c r="K205" s="65">
        <v>18.07</v>
      </c>
      <c r="L205" s="65">
        <v>12.88</v>
      </c>
      <c r="M205" s="65"/>
      <c r="N205" s="34"/>
      <c r="O205" s="35"/>
    </row>
    <row r="206" spans="1:15" s="36" customFormat="1" ht="12" x14ac:dyDescent="0.2">
      <c r="A206" s="33"/>
      <c r="B206" s="68">
        <v>39199</v>
      </c>
      <c r="C206" s="64">
        <v>400</v>
      </c>
      <c r="D206" s="64">
        <v>170</v>
      </c>
      <c r="E206" s="64">
        <v>230</v>
      </c>
      <c r="F206" s="34"/>
      <c r="G206" s="34"/>
      <c r="H206" s="33"/>
      <c r="I206" s="62">
        <v>39629</v>
      </c>
      <c r="J206" s="64">
        <v>14.19</v>
      </c>
      <c r="K206" s="64">
        <v>17.37</v>
      </c>
      <c r="L206" s="64">
        <v>12.28</v>
      </c>
      <c r="M206" s="64"/>
      <c r="N206" s="34"/>
      <c r="O206" s="35"/>
    </row>
    <row r="207" spans="1:15" s="36" customFormat="1" ht="12" x14ac:dyDescent="0.2">
      <c r="A207" s="33"/>
      <c r="B207" s="69">
        <v>39213</v>
      </c>
      <c r="C207" s="65">
        <v>320</v>
      </c>
      <c r="D207" s="65">
        <v>1560</v>
      </c>
      <c r="E207" s="65">
        <v>-1240</v>
      </c>
      <c r="F207" s="34"/>
      <c r="G207" s="34"/>
      <c r="H207" s="33"/>
      <c r="I207" s="63">
        <v>39660</v>
      </c>
      <c r="J207" s="65">
        <v>13.96</v>
      </c>
      <c r="K207" s="65">
        <v>16.350000000000001</v>
      </c>
      <c r="L207" s="65">
        <v>12.3</v>
      </c>
      <c r="M207" s="65"/>
      <c r="N207" s="34"/>
      <c r="O207" s="35"/>
    </row>
    <row r="208" spans="1:15" s="36" customFormat="1" ht="12" x14ac:dyDescent="0.2">
      <c r="A208" s="33"/>
      <c r="B208" s="68">
        <v>39220</v>
      </c>
      <c r="C208" s="64">
        <v>1550</v>
      </c>
      <c r="D208" s="64">
        <v>420</v>
      </c>
      <c r="E208" s="64">
        <v>1130</v>
      </c>
      <c r="F208" s="34"/>
      <c r="G208" s="34"/>
      <c r="H208" s="33"/>
      <c r="I208" s="62">
        <v>39691</v>
      </c>
      <c r="J208" s="64">
        <v>11.48</v>
      </c>
      <c r="K208" s="64">
        <v>16</v>
      </c>
      <c r="L208" s="64">
        <v>10.89</v>
      </c>
      <c r="M208" s="64"/>
      <c r="N208" s="34"/>
      <c r="O208" s="35"/>
    </row>
    <row r="209" spans="1:15" s="36" customFormat="1" ht="12" x14ac:dyDescent="0.2">
      <c r="A209" s="33"/>
      <c r="B209" s="69">
        <v>39227</v>
      </c>
      <c r="C209" s="65">
        <v>450</v>
      </c>
      <c r="D209" s="65">
        <v>300</v>
      </c>
      <c r="E209" s="65">
        <v>150</v>
      </c>
      <c r="F209" s="34"/>
      <c r="G209" s="34"/>
      <c r="H209" s="33"/>
      <c r="I209" s="63">
        <v>39721</v>
      </c>
      <c r="J209" s="65">
        <v>9.43</v>
      </c>
      <c r="K209" s="65">
        <v>15.29</v>
      </c>
      <c r="L209" s="65">
        <v>9.2799999999999994</v>
      </c>
      <c r="M209" s="65"/>
      <c r="N209" s="34"/>
      <c r="O209" s="35"/>
    </row>
    <row r="210" spans="1:15" s="36" customFormat="1" ht="12" x14ac:dyDescent="0.2">
      <c r="A210" s="33"/>
      <c r="B210" s="68">
        <v>39234</v>
      </c>
      <c r="C210" s="64">
        <v>1150</v>
      </c>
      <c r="D210" s="64">
        <v>510</v>
      </c>
      <c r="E210" s="64">
        <v>640</v>
      </c>
      <c r="F210" s="34"/>
      <c r="G210" s="34"/>
      <c r="H210" s="33"/>
      <c r="I210" s="62">
        <v>39752</v>
      </c>
      <c r="J210" s="64">
        <v>8.85</v>
      </c>
      <c r="K210" s="64">
        <v>15.02</v>
      </c>
      <c r="L210" s="64">
        <v>10.59</v>
      </c>
      <c r="M210" s="64"/>
      <c r="N210" s="34"/>
      <c r="O210" s="35"/>
    </row>
    <row r="211" spans="1:15" s="36" customFormat="1" ht="12" x14ac:dyDescent="0.2">
      <c r="A211" s="33"/>
      <c r="B211" s="69">
        <v>39241</v>
      </c>
      <c r="C211" s="65">
        <v>1050</v>
      </c>
      <c r="D211" s="65">
        <v>680</v>
      </c>
      <c r="E211" s="65">
        <v>370</v>
      </c>
      <c r="F211" s="34"/>
      <c r="G211" s="34"/>
      <c r="H211" s="33"/>
      <c r="I211" s="63">
        <v>39782</v>
      </c>
      <c r="J211" s="65">
        <v>6.8</v>
      </c>
      <c r="K211" s="65">
        <v>14.8</v>
      </c>
      <c r="L211" s="65">
        <v>9.0399999999999991</v>
      </c>
      <c r="M211" s="65"/>
      <c r="N211" s="34"/>
      <c r="O211" s="35"/>
    </row>
    <row r="212" spans="1:15" s="36" customFormat="1" ht="12" x14ac:dyDescent="0.2">
      <c r="A212" s="33"/>
      <c r="B212" s="68">
        <v>39248</v>
      </c>
      <c r="C212" s="64">
        <v>1700</v>
      </c>
      <c r="D212" s="64">
        <v>700</v>
      </c>
      <c r="E212" s="64">
        <v>1000</v>
      </c>
      <c r="F212" s="34"/>
      <c r="G212" s="34"/>
      <c r="H212" s="33"/>
      <c r="I212" s="62">
        <v>39813</v>
      </c>
      <c r="J212" s="64">
        <v>9.06</v>
      </c>
      <c r="K212" s="64">
        <v>17.82</v>
      </c>
      <c r="L212" s="64">
        <v>12.65</v>
      </c>
      <c r="M212" s="64"/>
      <c r="N212" s="34"/>
      <c r="O212" s="35"/>
    </row>
    <row r="213" spans="1:15" s="36" customFormat="1" ht="12" x14ac:dyDescent="0.2">
      <c r="A213" s="33"/>
      <c r="B213" s="69">
        <v>39255</v>
      </c>
      <c r="C213" s="65">
        <v>350</v>
      </c>
      <c r="D213" s="65">
        <v>360</v>
      </c>
      <c r="E213" s="65">
        <v>-10</v>
      </c>
      <c r="F213" s="34"/>
      <c r="G213" s="34"/>
      <c r="H213" s="33"/>
      <c r="I213" s="63">
        <v>39844</v>
      </c>
      <c r="J213" s="65">
        <v>6.68</v>
      </c>
      <c r="K213" s="65">
        <v>18.79</v>
      </c>
      <c r="L213" s="65">
        <v>12.02</v>
      </c>
      <c r="M213" s="65"/>
      <c r="N213" s="34"/>
      <c r="O213" s="35"/>
    </row>
    <row r="214" spans="1:15" s="36" customFormat="1" ht="12" x14ac:dyDescent="0.2">
      <c r="A214" s="33"/>
      <c r="B214" s="68">
        <v>39262</v>
      </c>
      <c r="C214" s="64">
        <v>400</v>
      </c>
      <c r="D214" s="64">
        <v>430</v>
      </c>
      <c r="E214" s="64">
        <v>-30</v>
      </c>
      <c r="F214" s="34"/>
      <c r="G214" s="34"/>
      <c r="H214" s="33"/>
      <c r="I214" s="62">
        <v>39872</v>
      </c>
      <c r="J214" s="64">
        <v>10.87</v>
      </c>
      <c r="K214" s="64">
        <v>20.48</v>
      </c>
      <c r="L214" s="64">
        <v>8.2799999999999994</v>
      </c>
      <c r="M214" s="64"/>
      <c r="N214" s="34"/>
      <c r="O214" s="35"/>
    </row>
    <row r="215" spans="1:15" s="36" customFormat="1" ht="12" x14ac:dyDescent="0.2">
      <c r="A215" s="33"/>
      <c r="B215" s="69">
        <v>39269</v>
      </c>
      <c r="C215" s="65">
        <v>750</v>
      </c>
      <c r="D215" s="65">
        <v>621</v>
      </c>
      <c r="E215" s="65">
        <v>129</v>
      </c>
      <c r="F215" s="34"/>
      <c r="G215" s="34"/>
      <c r="H215" s="33"/>
      <c r="I215" s="63">
        <v>39903</v>
      </c>
      <c r="J215" s="65">
        <v>17.04</v>
      </c>
      <c r="K215" s="65">
        <v>25.51</v>
      </c>
      <c r="L215" s="65">
        <v>10.88</v>
      </c>
      <c r="M215" s="65"/>
      <c r="N215" s="34"/>
      <c r="O215" s="35"/>
    </row>
    <row r="216" spans="1:15" s="36" customFormat="1" ht="12" x14ac:dyDescent="0.2">
      <c r="A216" s="33"/>
      <c r="B216" s="68">
        <v>39276</v>
      </c>
      <c r="C216" s="64">
        <v>1250</v>
      </c>
      <c r="D216" s="64">
        <v>1560</v>
      </c>
      <c r="E216" s="64">
        <v>-310</v>
      </c>
      <c r="F216" s="34"/>
      <c r="G216" s="34"/>
      <c r="H216" s="33"/>
      <c r="I216" s="62">
        <v>39933</v>
      </c>
      <c r="J216" s="64">
        <v>17.48</v>
      </c>
      <c r="K216" s="64">
        <v>25.889999999999997</v>
      </c>
      <c r="L216" s="64">
        <v>11.26</v>
      </c>
      <c r="M216" s="64"/>
      <c r="N216" s="34"/>
      <c r="O216" s="35"/>
    </row>
    <row r="217" spans="1:15" s="36" customFormat="1" ht="12" x14ac:dyDescent="0.2">
      <c r="A217" s="33"/>
      <c r="B217" s="69">
        <v>39283</v>
      </c>
      <c r="C217" s="65">
        <v>250</v>
      </c>
      <c r="D217" s="65">
        <v>620</v>
      </c>
      <c r="E217" s="65">
        <v>-370</v>
      </c>
      <c r="F217" s="34"/>
      <c r="G217" s="34"/>
      <c r="H217" s="33"/>
      <c r="I217" s="63">
        <v>39964</v>
      </c>
      <c r="J217" s="65">
        <v>18.690000000000001</v>
      </c>
      <c r="K217" s="65">
        <v>25.74</v>
      </c>
      <c r="L217" s="65">
        <v>11.24</v>
      </c>
      <c r="M217" s="65"/>
      <c r="N217" s="34"/>
      <c r="O217" s="35"/>
    </row>
    <row r="218" spans="1:15" s="36" customFormat="1" ht="12" x14ac:dyDescent="0.2">
      <c r="A218" s="33"/>
      <c r="B218" s="68">
        <v>39290</v>
      </c>
      <c r="C218" s="64">
        <v>140</v>
      </c>
      <c r="D218" s="64">
        <v>460</v>
      </c>
      <c r="E218" s="64">
        <v>-320</v>
      </c>
      <c r="F218" s="34"/>
      <c r="G218" s="34"/>
      <c r="H218" s="33"/>
      <c r="I218" s="62">
        <v>39994</v>
      </c>
      <c r="J218" s="64">
        <v>24.790000000000003</v>
      </c>
      <c r="K218" s="64">
        <v>28.46</v>
      </c>
      <c r="L218" s="64">
        <v>11.46</v>
      </c>
      <c r="M218" s="64"/>
      <c r="N218" s="34"/>
      <c r="O218" s="35"/>
    </row>
    <row r="219" spans="1:15" s="36" customFormat="1" ht="12" x14ac:dyDescent="0.2">
      <c r="A219" s="33"/>
      <c r="B219" s="69">
        <v>39297</v>
      </c>
      <c r="C219" s="65">
        <v>80.900000000000006</v>
      </c>
      <c r="D219" s="65">
        <v>1200</v>
      </c>
      <c r="E219" s="65">
        <v>-1119.0999999999999</v>
      </c>
      <c r="F219" s="34"/>
      <c r="G219" s="34"/>
      <c r="H219" s="33"/>
      <c r="I219" s="63">
        <v>40025</v>
      </c>
      <c r="J219" s="65">
        <v>26.369999999999997</v>
      </c>
      <c r="K219" s="65">
        <v>28.42</v>
      </c>
      <c r="L219" s="65">
        <v>11.59</v>
      </c>
      <c r="M219" s="65"/>
      <c r="N219" s="34"/>
      <c r="O219" s="35"/>
    </row>
    <row r="220" spans="1:15" s="36" customFormat="1" ht="12" x14ac:dyDescent="0.2">
      <c r="A220" s="33"/>
      <c r="B220" s="68">
        <v>39304</v>
      </c>
      <c r="C220" s="64">
        <v>321.3</v>
      </c>
      <c r="D220" s="64">
        <v>900</v>
      </c>
      <c r="E220" s="64">
        <v>-578.70000000000005</v>
      </c>
      <c r="F220" s="34"/>
      <c r="G220" s="34"/>
      <c r="H220" s="33"/>
      <c r="I220" s="62">
        <v>40056</v>
      </c>
      <c r="J220" s="64">
        <v>27.72</v>
      </c>
      <c r="K220" s="64">
        <v>28.529999999999998</v>
      </c>
      <c r="L220" s="64">
        <v>11.52</v>
      </c>
      <c r="M220" s="64"/>
      <c r="N220" s="34"/>
      <c r="O220" s="35"/>
    </row>
    <row r="221" spans="1:15" s="36" customFormat="1" ht="12" x14ac:dyDescent="0.2">
      <c r="A221" s="33"/>
      <c r="B221" s="69">
        <v>39311</v>
      </c>
      <c r="C221" s="65">
        <v>700</v>
      </c>
      <c r="D221" s="65">
        <v>1750</v>
      </c>
      <c r="E221" s="65">
        <v>-1050</v>
      </c>
      <c r="F221" s="34"/>
      <c r="G221" s="34"/>
      <c r="H221" s="33"/>
      <c r="I221" s="63">
        <v>40086</v>
      </c>
      <c r="J221" s="65">
        <v>29.51</v>
      </c>
      <c r="K221" s="65">
        <v>29.310000000000002</v>
      </c>
      <c r="L221" s="65">
        <v>15.96</v>
      </c>
      <c r="M221" s="65"/>
      <c r="N221" s="34"/>
      <c r="O221" s="35"/>
    </row>
    <row r="222" spans="1:15" s="36" customFormat="1" ht="12" x14ac:dyDescent="0.2">
      <c r="A222" s="33"/>
      <c r="B222" s="68">
        <v>39318</v>
      </c>
      <c r="C222" s="64">
        <v>350</v>
      </c>
      <c r="D222" s="64">
        <v>570</v>
      </c>
      <c r="E222" s="64">
        <v>-220</v>
      </c>
      <c r="F222" s="34"/>
      <c r="G222" s="34"/>
      <c r="H222" s="33"/>
      <c r="I222" s="62">
        <v>40117</v>
      </c>
      <c r="J222" s="64">
        <v>32.03</v>
      </c>
      <c r="K222" s="64">
        <v>29.42</v>
      </c>
      <c r="L222" s="64">
        <v>14.09</v>
      </c>
      <c r="M222" s="64"/>
      <c r="N222" s="34"/>
      <c r="O222" s="35"/>
    </row>
    <row r="223" spans="1:15" s="36" customFormat="1" ht="12" x14ac:dyDescent="0.2">
      <c r="A223" s="33"/>
      <c r="B223" s="69">
        <v>39325</v>
      </c>
      <c r="C223" s="65">
        <v>750</v>
      </c>
      <c r="D223" s="65">
        <v>650</v>
      </c>
      <c r="E223" s="65">
        <v>100</v>
      </c>
      <c r="F223" s="34"/>
      <c r="G223" s="34"/>
      <c r="H223" s="33"/>
      <c r="I223" s="63">
        <v>40147</v>
      </c>
      <c r="J223" s="65">
        <v>34.630000000000003</v>
      </c>
      <c r="K223" s="65">
        <v>29.74</v>
      </c>
      <c r="L223" s="65">
        <v>14.99</v>
      </c>
      <c r="M223" s="65"/>
      <c r="N223" s="34"/>
      <c r="O223" s="35"/>
    </row>
    <row r="224" spans="1:15" s="36" customFormat="1" ht="12" x14ac:dyDescent="0.2">
      <c r="A224" s="33"/>
      <c r="B224" s="68">
        <v>39332</v>
      </c>
      <c r="C224" s="64">
        <v>750</v>
      </c>
      <c r="D224" s="64">
        <v>2200</v>
      </c>
      <c r="E224" s="64">
        <v>-1450</v>
      </c>
      <c r="F224" s="34"/>
      <c r="G224" s="34"/>
      <c r="H224" s="33"/>
      <c r="I224" s="62">
        <v>40178</v>
      </c>
      <c r="J224" s="64">
        <v>32.35</v>
      </c>
      <c r="K224" s="64">
        <v>27.68</v>
      </c>
      <c r="L224" s="64">
        <v>11.77</v>
      </c>
      <c r="M224" s="64"/>
      <c r="N224" s="34"/>
      <c r="O224" s="35"/>
    </row>
    <row r="225" spans="1:15" s="36" customFormat="1" ht="12" x14ac:dyDescent="0.2">
      <c r="A225" s="33"/>
      <c r="B225" s="69">
        <v>39339</v>
      </c>
      <c r="C225" s="65">
        <v>1520</v>
      </c>
      <c r="D225" s="65">
        <v>120</v>
      </c>
      <c r="E225" s="65">
        <v>1400</v>
      </c>
      <c r="F225" s="34"/>
      <c r="G225" s="34"/>
      <c r="H225" s="33"/>
      <c r="I225" s="63">
        <v>40209</v>
      </c>
      <c r="J225" s="65">
        <v>38.96</v>
      </c>
      <c r="K225" s="65">
        <v>25.98</v>
      </c>
      <c r="L225" s="65">
        <v>-0.79</v>
      </c>
      <c r="M225" s="65"/>
      <c r="N225" s="34"/>
      <c r="O225" s="35"/>
    </row>
    <row r="226" spans="1:15" s="36" customFormat="1" ht="12" x14ac:dyDescent="0.2">
      <c r="A226" s="33"/>
      <c r="B226" s="68">
        <v>39346</v>
      </c>
      <c r="C226" s="64">
        <v>1000</v>
      </c>
      <c r="D226" s="64">
        <v>60</v>
      </c>
      <c r="E226" s="64">
        <v>940</v>
      </c>
      <c r="F226" s="34"/>
      <c r="G226" s="34"/>
      <c r="H226" s="33"/>
      <c r="I226" s="62">
        <v>40237</v>
      </c>
      <c r="J226" s="64">
        <v>34.99</v>
      </c>
      <c r="K226" s="64">
        <v>25.52</v>
      </c>
      <c r="L226" s="64">
        <v>21.98</v>
      </c>
      <c r="M226" s="64"/>
      <c r="N226" s="34"/>
      <c r="O226" s="35"/>
    </row>
    <row r="227" spans="1:15" s="36" customFormat="1" ht="12" x14ac:dyDescent="0.2">
      <c r="A227" s="33"/>
      <c r="B227" s="69">
        <v>39353</v>
      </c>
      <c r="C227" s="65">
        <v>1100</v>
      </c>
      <c r="D227" s="65">
        <v>130</v>
      </c>
      <c r="E227" s="65">
        <v>970</v>
      </c>
      <c r="F227" s="34"/>
      <c r="G227" s="34"/>
      <c r="H227" s="33"/>
      <c r="I227" s="63">
        <v>40268</v>
      </c>
      <c r="J227" s="65">
        <v>29.94</v>
      </c>
      <c r="K227" s="65">
        <v>22.5</v>
      </c>
      <c r="L227" s="65">
        <v>15.81</v>
      </c>
      <c r="M227" s="65"/>
      <c r="N227" s="34"/>
      <c r="O227" s="35"/>
    </row>
    <row r="228" spans="1:15" s="36" customFormat="1" ht="12" x14ac:dyDescent="0.2">
      <c r="A228" s="33"/>
      <c r="B228" s="68">
        <v>39367</v>
      </c>
      <c r="C228" s="64">
        <v>1370</v>
      </c>
      <c r="D228" s="64">
        <v>1640</v>
      </c>
      <c r="E228" s="64">
        <v>-270</v>
      </c>
      <c r="F228" s="34"/>
      <c r="G228" s="34"/>
      <c r="H228" s="33"/>
      <c r="I228" s="62">
        <v>40298</v>
      </c>
      <c r="J228" s="64">
        <v>31.249999999999996</v>
      </c>
      <c r="K228" s="64">
        <v>21.48</v>
      </c>
      <c r="L228" s="64">
        <v>15.76</v>
      </c>
      <c r="M228" s="64"/>
      <c r="N228" s="34"/>
      <c r="O228" s="35"/>
    </row>
    <row r="229" spans="1:15" s="36" customFormat="1" ht="12" x14ac:dyDescent="0.2">
      <c r="A229" s="33"/>
      <c r="B229" s="69">
        <v>39374</v>
      </c>
      <c r="C229" s="65">
        <v>930</v>
      </c>
      <c r="D229" s="65">
        <v>450</v>
      </c>
      <c r="E229" s="65">
        <v>480</v>
      </c>
      <c r="F229" s="34"/>
      <c r="G229" s="34"/>
      <c r="H229" s="33"/>
      <c r="I229" s="63">
        <v>40329</v>
      </c>
      <c r="J229" s="65">
        <v>29.9</v>
      </c>
      <c r="K229" s="65">
        <v>21</v>
      </c>
      <c r="L229" s="65">
        <v>15.2</v>
      </c>
      <c r="M229" s="65"/>
      <c r="N229" s="34"/>
      <c r="O229" s="35"/>
    </row>
    <row r="230" spans="1:15" s="36" customFormat="1" ht="12" x14ac:dyDescent="0.2">
      <c r="A230" s="33"/>
      <c r="B230" s="68">
        <v>39381</v>
      </c>
      <c r="C230" s="64">
        <v>1300</v>
      </c>
      <c r="D230" s="64">
        <v>80</v>
      </c>
      <c r="E230" s="64">
        <v>1220</v>
      </c>
      <c r="F230" s="34"/>
      <c r="G230" s="34"/>
      <c r="H230" s="33"/>
      <c r="I230" s="62">
        <v>40359</v>
      </c>
      <c r="J230" s="64">
        <v>24.56</v>
      </c>
      <c r="K230" s="64">
        <v>18.46</v>
      </c>
      <c r="L230" s="64">
        <v>15.65</v>
      </c>
      <c r="M230" s="64"/>
      <c r="N230" s="34"/>
      <c r="O230" s="35"/>
    </row>
    <row r="231" spans="1:15" s="36" customFormat="1" ht="12" x14ac:dyDescent="0.2">
      <c r="A231" s="33"/>
      <c r="B231" s="69">
        <v>39388</v>
      </c>
      <c r="C231" s="65">
        <v>660</v>
      </c>
      <c r="D231" s="65">
        <v>145</v>
      </c>
      <c r="E231" s="65">
        <v>515</v>
      </c>
      <c r="F231" s="34"/>
      <c r="G231" s="34"/>
      <c r="H231" s="33"/>
      <c r="I231" s="63">
        <v>40390</v>
      </c>
      <c r="J231" s="65">
        <v>22.9</v>
      </c>
      <c r="K231" s="65">
        <v>17.600000000000001</v>
      </c>
      <c r="L231" s="65">
        <v>15.5</v>
      </c>
      <c r="M231" s="65"/>
      <c r="N231" s="34"/>
      <c r="O231" s="35"/>
    </row>
    <row r="232" spans="1:15" s="36" customFormat="1" ht="12" x14ac:dyDescent="0.2">
      <c r="A232" s="33"/>
      <c r="B232" s="68">
        <v>39395</v>
      </c>
      <c r="C232" s="64">
        <v>530</v>
      </c>
      <c r="D232" s="64">
        <v>645</v>
      </c>
      <c r="E232" s="64">
        <v>-115</v>
      </c>
      <c r="F232" s="34"/>
      <c r="G232" s="34"/>
      <c r="H232" s="33"/>
      <c r="I232" s="62">
        <v>40421</v>
      </c>
      <c r="J232" s="64">
        <v>21.9</v>
      </c>
      <c r="K232" s="64">
        <v>19.2</v>
      </c>
      <c r="L232" s="64">
        <v>16</v>
      </c>
      <c r="M232" s="64"/>
      <c r="N232" s="34"/>
      <c r="O232" s="35"/>
    </row>
    <row r="233" spans="1:15" s="36" customFormat="1" ht="12" x14ac:dyDescent="0.2">
      <c r="A233" s="33"/>
      <c r="B233" s="69">
        <v>39402</v>
      </c>
      <c r="C233" s="65">
        <v>650</v>
      </c>
      <c r="D233" s="65">
        <v>730</v>
      </c>
      <c r="E233" s="65">
        <v>-80</v>
      </c>
      <c r="F233" s="34"/>
      <c r="G233" s="34"/>
      <c r="H233" s="33"/>
      <c r="I233" s="63">
        <v>40451</v>
      </c>
      <c r="J233" s="65">
        <v>20.87</v>
      </c>
      <c r="K233" s="65">
        <v>18.96</v>
      </c>
      <c r="L233" s="65">
        <v>13.78</v>
      </c>
      <c r="M233" s="65"/>
      <c r="N233" s="34"/>
      <c r="O233" s="35"/>
    </row>
    <row r="234" spans="1:15" s="36" customFormat="1" ht="12" x14ac:dyDescent="0.2">
      <c r="A234" s="33"/>
      <c r="B234" s="68">
        <v>39409</v>
      </c>
      <c r="C234" s="64">
        <v>760</v>
      </c>
      <c r="D234" s="64">
        <v>285</v>
      </c>
      <c r="E234" s="64">
        <v>475</v>
      </c>
      <c r="F234" s="34"/>
      <c r="G234" s="34"/>
      <c r="H234" s="33"/>
      <c r="I234" s="62">
        <v>40482</v>
      </c>
      <c r="J234" s="64">
        <v>22.1</v>
      </c>
      <c r="K234" s="64">
        <v>19.3</v>
      </c>
      <c r="L234" s="64">
        <v>16.600000000000001</v>
      </c>
      <c r="M234" s="64"/>
      <c r="N234" s="34"/>
      <c r="O234" s="35"/>
    </row>
    <row r="235" spans="1:15" s="36" customFormat="1" ht="12" x14ac:dyDescent="0.2">
      <c r="A235" s="33"/>
      <c r="B235" s="69">
        <v>39416</v>
      </c>
      <c r="C235" s="65">
        <v>340</v>
      </c>
      <c r="D235" s="65">
        <v>1030</v>
      </c>
      <c r="E235" s="65">
        <v>-690</v>
      </c>
      <c r="F235" s="34"/>
      <c r="G235" s="34"/>
      <c r="H235" s="33"/>
      <c r="I235" s="63">
        <v>40512</v>
      </c>
      <c r="J235" s="65">
        <v>22.1</v>
      </c>
      <c r="K235" s="65">
        <v>19.5</v>
      </c>
      <c r="L235" s="65">
        <v>16.3</v>
      </c>
      <c r="M235" s="65"/>
      <c r="N235" s="34"/>
      <c r="O235" s="35"/>
    </row>
    <row r="236" spans="1:15" s="36" customFormat="1" ht="12" x14ac:dyDescent="0.2">
      <c r="A236" s="33"/>
      <c r="B236" s="68">
        <v>39423</v>
      </c>
      <c r="C236" s="64">
        <v>1020</v>
      </c>
      <c r="D236" s="64">
        <v>620</v>
      </c>
      <c r="E236" s="64">
        <v>400</v>
      </c>
      <c r="F236" s="34"/>
      <c r="G236" s="34"/>
      <c r="H236" s="33"/>
      <c r="I236" s="62">
        <v>40543</v>
      </c>
      <c r="J236" s="64">
        <v>21.19</v>
      </c>
      <c r="K236" s="64">
        <v>19.72</v>
      </c>
      <c r="L236" s="64">
        <v>16.690000000000001</v>
      </c>
      <c r="M236" s="64"/>
      <c r="N236" s="34"/>
      <c r="O236" s="35"/>
    </row>
    <row r="237" spans="1:15" s="36" customFormat="1" ht="12" x14ac:dyDescent="0.2">
      <c r="A237" s="33"/>
      <c r="B237" s="69">
        <v>39430</v>
      </c>
      <c r="C237" s="65">
        <v>1595</v>
      </c>
      <c r="D237" s="65">
        <v>800</v>
      </c>
      <c r="E237" s="65">
        <v>795</v>
      </c>
      <c r="F237" s="34"/>
      <c r="G237" s="34"/>
      <c r="H237" s="33"/>
      <c r="I237" s="63">
        <v>40574</v>
      </c>
      <c r="J237" s="65">
        <v>13.6</v>
      </c>
      <c r="K237" s="65">
        <v>17.2</v>
      </c>
      <c r="L237" s="65">
        <v>42.5</v>
      </c>
      <c r="M237" s="65"/>
      <c r="N237" s="34"/>
      <c r="O237" s="35"/>
    </row>
    <row r="238" spans="1:15" s="36" customFormat="1" ht="12" x14ac:dyDescent="0.2">
      <c r="A238" s="33"/>
      <c r="B238" s="68">
        <v>39437</v>
      </c>
      <c r="C238" s="64">
        <v>790.5</v>
      </c>
      <c r="D238" s="64">
        <v>1910</v>
      </c>
      <c r="E238" s="64">
        <v>-1119.5</v>
      </c>
      <c r="F238" s="34"/>
      <c r="G238" s="34"/>
      <c r="H238" s="33"/>
      <c r="I238" s="62">
        <v>40602</v>
      </c>
      <c r="J238" s="64">
        <v>14.5</v>
      </c>
      <c r="K238" s="64">
        <v>15.7</v>
      </c>
      <c r="L238" s="64">
        <v>10.3</v>
      </c>
      <c r="M238" s="64"/>
      <c r="N238" s="34"/>
      <c r="O238" s="35"/>
    </row>
    <row r="239" spans="1:15" s="36" customFormat="1" ht="12" x14ac:dyDescent="0.2">
      <c r="A239" s="33"/>
      <c r="B239" s="69">
        <v>39444</v>
      </c>
      <c r="C239" s="65">
        <v>1610</v>
      </c>
      <c r="D239" s="65">
        <v>3140</v>
      </c>
      <c r="E239" s="65">
        <v>-1530</v>
      </c>
      <c r="F239" s="34"/>
      <c r="G239" s="34"/>
      <c r="H239" s="33"/>
      <c r="I239" s="63">
        <v>40633</v>
      </c>
      <c r="J239" s="65">
        <v>15</v>
      </c>
      <c r="K239" s="65">
        <v>16.600000000000001</v>
      </c>
      <c r="L239" s="65">
        <v>14.8</v>
      </c>
      <c r="M239" s="65"/>
      <c r="N239" s="34"/>
      <c r="O239" s="35"/>
    </row>
    <row r="240" spans="1:15" s="36" customFormat="1" ht="12" x14ac:dyDescent="0.2">
      <c r="A240" s="33"/>
      <c r="B240" s="68">
        <v>39451</v>
      </c>
      <c r="C240" s="64">
        <v>2650</v>
      </c>
      <c r="D240" s="64">
        <v>300</v>
      </c>
      <c r="E240" s="64">
        <v>2350</v>
      </c>
      <c r="F240" s="34"/>
      <c r="G240" s="34"/>
      <c r="H240" s="33"/>
      <c r="I240" s="62">
        <v>40663</v>
      </c>
      <c r="J240" s="64">
        <v>12.9</v>
      </c>
      <c r="K240" s="64">
        <v>15.3</v>
      </c>
      <c r="L240" s="64">
        <v>14.7</v>
      </c>
      <c r="M240" s="64"/>
      <c r="N240" s="34"/>
      <c r="O240" s="35"/>
    </row>
    <row r="241" spans="1:15" s="36" customFormat="1" ht="12" x14ac:dyDescent="0.2">
      <c r="A241" s="33"/>
      <c r="B241" s="69">
        <v>39458</v>
      </c>
      <c r="C241" s="65">
        <v>2090</v>
      </c>
      <c r="D241" s="65">
        <v>5040</v>
      </c>
      <c r="E241" s="65">
        <v>-2950</v>
      </c>
      <c r="F241" s="34"/>
      <c r="G241" s="34"/>
      <c r="H241" s="33"/>
      <c r="I241" s="63">
        <v>40694</v>
      </c>
      <c r="J241" s="65">
        <v>12.7</v>
      </c>
      <c r="K241" s="65">
        <v>15.1</v>
      </c>
      <c r="L241" s="65">
        <v>15.4</v>
      </c>
      <c r="M241" s="65"/>
      <c r="N241" s="34"/>
      <c r="O241" s="35"/>
    </row>
    <row r="242" spans="1:15" s="36" customFormat="1" ht="12" x14ac:dyDescent="0.2">
      <c r="A242" s="33"/>
      <c r="B242" s="68">
        <v>39465</v>
      </c>
      <c r="C242" s="64">
        <v>6030</v>
      </c>
      <c r="D242" s="64">
        <v>3950</v>
      </c>
      <c r="E242" s="64">
        <v>2080</v>
      </c>
      <c r="F242" s="34"/>
      <c r="G242" s="34"/>
      <c r="H242" s="33"/>
      <c r="I242" s="62">
        <v>40724</v>
      </c>
      <c r="J242" s="64">
        <v>13.1</v>
      </c>
      <c r="K242" s="64">
        <v>15.9</v>
      </c>
      <c r="L242" s="64">
        <v>14.4</v>
      </c>
      <c r="M242" s="64"/>
      <c r="N242" s="34"/>
      <c r="O242" s="35"/>
    </row>
    <row r="243" spans="1:15" s="36" customFormat="1" ht="12" x14ac:dyDescent="0.2">
      <c r="A243" s="33"/>
      <c r="B243" s="69">
        <v>39472</v>
      </c>
      <c r="C243" s="65">
        <v>4740</v>
      </c>
      <c r="D243" s="65">
        <v>1490</v>
      </c>
      <c r="E243" s="65">
        <v>3250</v>
      </c>
      <c r="F243" s="34"/>
      <c r="G243" s="34"/>
      <c r="H243" s="33"/>
      <c r="I243" s="63">
        <v>40755</v>
      </c>
      <c r="J243" s="65">
        <v>11.6</v>
      </c>
      <c r="K243" s="65">
        <v>14.7</v>
      </c>
      <c r="L243" s="65">
        <v>14.3</v>
      </c>
      <c r="M243" s="65"/>
      <c r="N243" s="34"/>
      <c r="O243" s="35"/>
    </row>
    <row r="244" spans="1:15" s="36" customFormat="1" ht="12" x14ac:dyDescent="0.2">
      <c r="A244" s="33"/>
      <c r="B244" s="68">
        <v>39479</v>
      </c>
      <c r="C244" s="64">
        <v>2960</v>
      </c>
      <c r="D244" s="64">
        <v>2410</v>
      </c>
      <c r="E244" s="64">
        <v>550</v>
      </c>
      <c r="F244" s="34"/>
      <c r="G244" s="34"/>
      <c r="H244" s="33"/>
      <c r="I244" s="62">
        <v>40786</v>
      </c>
      <c r="J244" s="64">
        <v>11.2</v>
      </c>
      <c r="K244" s="64">
        <v>13.5</v>
      </c>
      <c r="L244" s="64">
        <v>14.7</v>
      </c>
      <c r="M244" s="64"/>
      <c r="N244" s="34"/>
      <c r="O244" s="35"/>
    </row>
    <row r="245" spans="1:15" s="36" customFormat="1" ht="12" x14ac:dyDescent="0.2">
      <c r="A245" s="33"/>
      <c r="B245" s="69">
        <v>39486</v>
      </c>
      <c r="C245" s="65">
        <v>800</v>
      </c>
      <c r="D245" s="65">
        <v>0</v>
      </c>
      <c r="E245" s="65">
        <v>800</v>
      </c>
      <c r="F245" s="34"/>
      <c r="G245" s="34"/>
      <c r="H245" s="33"/>
      <c r="I245" s="63">
        <v>40816</v>
      </c>
      <c r="J245" s="65">
        <v>8.9</v>
      </c>
      <c r="K245" s="65">
        <v>13</v>
      </c>
      <c r="L245" s="65">
        <v>12.7</v>
      </c>
      <c r="M245" s="65"/>
      <c r="N245" s="34"/>
      <c r="O245" s="35"/>
    </row>
    <row r="246" spans="1:15" s="36" customFormat="1" ht="12" x14ac:dyDescent="0.2">
      <c r="A246" s="33"/>
      <c r="B246" s="68">
        <v>39493</v>
      </c>
      <c r="C246" s="64">
        <v>340</v>
      </c>
      <c r="D246" s="64">
        <v>3300</v>
      </c>
      <c r="E246" s="64">
        <v>-2960</v>
      </c>
      <c r="F246" s="34"/>
      <c r="G246" s="34"/>
      <c r="H246" s="33"/>
      <c r="I246" s="62">
        <v>40847</v>
      </c>
      <c r="J246" s="64">
        <v>8.4</v>
      </c>
      <c r="K246" s="64">
        <v>12.9</v>
      </c>
      <c r="L246" s="64">
        <v>11.9</v>
      </c>
      <c r="M246" s="64"/>
      <c r="N246" s="34"/>
      <c r="O246" s="35"/>
    </row>
    <row r="247" spans="1:15" s="36" customFormat="1" ht="12" x14ac:dyDescent="0.2">
      <c r="A247" s="33"/>
      <c r="B247" s="69">
        <v>39500</v>
      </c>
      <c r="C247" s="65">
        <v>1210</v>
      </c>
      <c r="D247" s="65">
        <v>2170</v>
      </c>
      <c r="E247" s="65">
        <v>-960</v>
      </c>
      <c r="F247" s="34"/>
      <c r="G247" s="34"/>
      <c r="H247" s="33"/>
      <c r="I247" s="63">
        <v>40877</v>
      </c>
      <c r="J247" s="65">
        <v>7.8</v>
      </c>
      <c r="K247" s="65">
        <v>12.7</v>
      </c>
      <c r="L247" s="65">
        <v>12</v>
      </c>
      <c r="M247" s="65"/>
      <c r="N247" s="34"/>
      <c r="O247" s="35"/>
    </row>
    <row r="248" spans="1:15" s="36" customFormat="1" ht="12" x14ac:dyDescent="0.2">
      <c r="A248" s="33"/>
      <c r="B248" s="68">
        <v>39507</v>
      </c>
      <c r="C248" s="64">
        <v>1160</v>
      </c>
      <c r="D248" s="64">
        <v>2800</v>
      </c>
      <c r="E248" s="64">
        <v>-1640</v>
      </c>
      <c r="F248" s="34"/>
      <c r="G248" s="34"/>
      <c r="H248" s="33"/>
      <c r="I248" s="62">
        <v>40908</v>
      </c>
      <c r="J248" s="64">
        <v>7.9</v>
      </c>
      <c r="K248" s="64">
        <v>13.6</v>
      </c>
      <c r="L248" s="64">
        <v>13.8</v>
      </c>
      <c r="M248" s="64"/>
      <c r="N248" s="34"/>
      <c r="O248" s="35"/>
    </row>
    <row r="249" spans="1:15" s="36" customFormat="1" ht="12" x14ac:dyDescent="0.2">
      <c r="A249" s="33"/>
      <c r="B249" s="69">
        <v>39514</v>
      </c>
      <c r="C249" s="65">
        <v>2130</v>
      </c>
      <c r="D249" s="65">
        <v>4390</v>
      </c>
      <c r="E249" s="65">
        <v>-2260</v>
      </c>
      <c r="F249" s="34"/>
      <c r="G249" s="34"/>
      <c r="H249" s="33"/>
      <c r="I249" s="63">
        <v>40939</v>
      </c>
      <c r="J249" s="65">
        <v>3.1</v>
      </c>
      <c r="K249" s="65">
        <v>12.4</v>
      </c>
      <c r="L249" s="65">
        <v>3</v>
      </c>
      <c r="M249" s="65"/>
      <c r="N249" s="34"/>
      <c r="O249" s="35"/>
    </row>
    <row r="250" spans="1:15" s="36" customFormat="1" ht="12" x14ac:dyDescent="0.2">
      <c r="A250" s="33"/>
      <c r="B250" s="68">
        <v>39521</v>
      </c>
      <c r="C250" s="64">
        <v>1900</v>
      </c>
      <c r="D250" s="64">
        <v>4110</v>
      </c>
      <c r="E250" s="64">
        <v>-2210</v>
      </c>
      <c r="F250" s="34"/>
      <c r="G250" s="34"/>
      <c r="H250" s="33"/>
      <c r="I250" s="62">
        <v>40968</v>
      </c>
      <c r="J250" s="64">
        <v>4.3</v>
      </c>
      <c r="K250" s="64">
        <v>13</v>
      </c>
      <c r="L250" s="64">
        <v>8.8000000000000007</v>
      </c>
      <c r="M250" s="64"/>
      <c r="N250" s="34"/>
      <c r="O250" s="35"/>
    </row>
    <row r="251" spans="1:15" s="36" customFormat="1" ht="12" x14ac:dyDescent="0.2">
      <c r="A251" s="33"/>
      <c r="B251" s="69">
        <v>39528</v>
      </c>
      <c r="C251" s="65">
        <v>1580</v>
      </c>
      <c r="D251" s="65">
        <v>2660</v>
      </c>
      <c r="E251" s="65">
        <v>-1080</v>
      </c>
      <c r="F251" s="34"/>
      <c r="G251" s="34"/>
      <c r="H251" s="33"/>
      <c r="I251" s="63">
        <v>40999</v>
      </c>
      <c r="J251" s="65">
        <v>4.4000000000000004</v>
      </c>
      <c r="K251" s="65">
        <v>13.4</v>
      </c>
      <c r="L251" s="65">
        <v>10.6</v>
      </c>
      <c r="M251" s="65"/>
      <c r="N251" s="34"/>
      <c r="O251" s="35"/>
    </row>
    <row r="252" spans="1:15" s="36" customFormat="1" ht="12" x14ac:dyDescent="0.2">
      <c r="A252" s="33"/>
      <c r="B252" s="68">
        <v>39535</v>
      </c>
      <c r="C252" s="64">
        <v>1920</v>
      </c>
      <c r="D252" s="64">
        <v>3500</v>
      </c>
      <c r="E252" s="64">
        <v>-1580</v>
      </c>
      <c r="F252" s="34"/>
      <c r="G252" s="34"/>
      <c r="H252" s="33"/>
      <c r="I252" s="62">
        <v>41029</v>
      </c>
      <c r="J252" s="64">
        <v>3.1</v>
      </c>
      <c r="K252" s="64">
        <v>12.8</v>
      </c>
      <c r="L252" s="64">
        <v>10.4</v>
      </c>
      <c r="M252" s="64"/>
      <c r="N252" s="34"/>
      <c r="O252" s="35"/>
    </row>
    <row r="253" spans="1:15" s="36" customFormat="1" ht="12" x14ac:dyDescent="0.2">
      <c r="A253" s="33"/>
      <c r="B253" s="69">
        <v>39542</v>
      </c>
      <c r="C253" s="65">
        <v>1940</v>
      </c>
      <c r="D253" s="65">
        <v>1180</v>
      </c>
      <c r="E253" s="65">
        <v>760</v>
      </c>
      <c r="F253" s="34"/>
      <c r="G253" s="34"/>
      <c r="H253" s="33"/>
      <c r="I253" s="63">
        <v>41060</v>
      </c>
      <c r="J253" s="65">
        <v>3.5</v>
      </c>
      <c r="K253" s="65">
        <v>13.2</v>
      </c>
      <c r="L253" s="65">
        <v>10</v>
      </c>
      <c r="M253" s="65"/>
      <c r="N253" s="34"/>
      <c r="O253" s="35"/>
    </row>
    <row r="254" spans="1:15" s="36" customFormat="1" ht="12" x14ac:dyDescent="0.2">
      <c r="A254" s="33"/>
      <c r="B254" s="68">
        <v>39549</v>
      </c>
      <c r="C254" s="64">
        <v>3600</v>
      </c>
      <c r="D254" s="64">
        <v>2430</v>
      </c>
      <c r="E254" s="64">
        <v>1170</v>
      </c>
      <c r="F254" s="34"/>
      <c r="G254" s="34"/>
      <c r="H254" s="33"/>
      <c r="I254" s="62">
        <v>41090</v>
      </c>
      <c r="J254" s="64">
        <v>4.7</v>
      </c>
      <c r="K254" s="64">
        <v>13.6</v>
      </c>
      <c r="L254" s="64">
        <v>10.8</v>
      </c>
      <c r="M254" s="64"/>
      <c r="N254" s="34"/>
      <c r="O254" s="35"/>
    </row>
    <row r="255" spans="1:15" s="36" customFormat="1" ht="12" x14ac:dyDescent="0.2">
      <c r="A255" s="33"/>
      <c r="B255" s="69">
        <v>39556</v>
      </c>
      <c r="C255" s="65">
        <v>2030</v>
      </c>
      <c r="D255" s="65">
        <v>2740</v>
      </c>
      <c r="E255" s="65">
        <v>-710</v>
      </c>
      <c r="F255" s="34"/>
      <c r="G255" s="34"/>
      <c r="H255" s="33"/>
      <c r="I255" s="63">
        <v>41121</v>
      </c>
      <c r="J255" s="65">
        <v>4.5999999999999996</v>
      </c>
      <c r="K255" s="65">
        <v>13.9</v>
      </c>
      <c r="L255" s="65">
        <v>10</v>
      </c>
      <c r="M255" s="65"/>
      <c r="N255" s="34"/>
      <c r="O255" s="35"/>
    </row>
    <row r="256" spans="1:15" s="36" customFormat="1" ht="12" x14ac:dyDescent="0.2">
      <c r="A256" s="33"/>
      <c r="B256" s="68">
        <v>39563</v>
      </c>
      <c r="C256" s="64">
        <v>1760</v>
      </c>
      <c r="D256" s="64">
        <v>3360</v>
      </c>
      <c r="E256" s="64">
        <v>-1600</v>
      </c>
      <c r="F256" s="34"/>
      <c r="G256" s="34"/>
      <c r="H256" s="33"/>
      <c r="I256" s="62">
        <v>41152</v>
      </c>
      <c r="J256" s="64">
        <v>4.5</v>
      </c>
      <c r="K256" s="64">
        <v>13.5</v>
      </c>
      <c r="L256" s="64">
        <v>9.6999999999999993</v>
      </c>
      <c r="M256" s="64"/>
      <c r="N256" s="34"/>
      <c r="O256" s="35"/>
    </row>
    <row r="257" spans="1:15" s="36" customFormat="1" ht="12" x14ac:dyDescent="0.2">
      <c r="A257" s="33"/>
      <c r="B257" s="69">
        <v>39570</v>
      </c>
      <c r="C257" s="65">
        <v>1200</v>
      </c>
      <c r="D257" s="65">
        <v>1050</v>
      </c>
      <c r="E257" s="65">
        <v>150</v>
      </c>
      <c r="F257" s="34"/>
      <c r="G257" s="34"/>
      <c r="H257" s="33"/>
      <c r="I257" s="63">
        <v>41182</v>
      </c>
      <c r="J257" s="65">
        <v>7.3</v>
      </c>
      <c r="K257" s="65">
        <v>14.8</v>
      </c>
      <c r="L257" s="65">
        <v>13.3</v>
      </c>
      <c r="M257" s="65"/>
      <c r="N257" s="34"/>
      <c r="O257" s="35"/>
    </row>
    <row r="258" spans="1:15" s="36" customFormat="1" ht="12" x14ac:dyDescent="0.2">
      <c r="A258" s="33"/>
      <c r="B258" s="68">
        <v>39577</v>
      </c>
      <c r="C258" s="64">
        <v>800</v>
      </c>
      <c r="D258" s="64">
        <v>1380</v>
      </c>
      <c r="E258" s="64">
        <v>-580</v>
      </c>
      <c r="F258" s="34"/>
      <c r="G258" s="34"/>
      <c r="H258" s="33"/>
      <c r="I258" s="62">
        <v>41213</v>
      </c>
      <c r="J258" s="64">
        <v>6.1</v>
      </c>
      <c r="K258" s="64">
        <v>14.1</v>
      </c>
      <c r="L258" s="64">
        <v>10.5</v>
      </c>
      <c r="M258" s="64"/>
      <c r="N258" s="34"/>
      <c r="O258" s="35"/>
    </row>
    <row r="259" spans="1:15" s="36" customFormat="1" ht="12" x14ac:dyDescent="0.2">
      <c r="A259" s="33"/>
      <c r="B259" s="69">
        <v>39584</v>
      </c>
      <c r="C259" s="65">
        <v>1710</v>
      </c>
      <c r="D259" s="65">
        <v>1050</v>
      </c>
      <c r="E259" s="65">
        <v>660</v>
      </c>
      <c r="F259" s="34"/>
      <c r="G259" s="34"/>
      <c r="H259" s="33"/>
      <c r="I259" s="63">
        <v>41243</v>
      </c>
      <c r="J259" s="65">
        <v>5.5</v>
      </c>
      <c r="K259" s="65">
        <v>13.9</v>
      </c>
      <c r="L259" s="65">
        <v>10.7</v>
      </c>
      <c r="M259" s="65"/>
      <c r="N259" s="34"/>
      <c r="O259" s="35"/>
    </row>
    <row r="260" spans="1:15" s="36" customFormat="1" ht="12" x14ac:dyDescent="0.2">
      <c r="A260" s="33"/>
      <c r="B260" s="68">
        <v>39591</v>
      </c>
      <c r="C260" s="64">
        <v>1710</v>
      </c>
      <c r="D260" s="64">
        <v>730</v>
      </c>
      <c r="E260" s="64">
        <v>980</v>
      </c>
      <c r="F260" s="34"/>
      <c r="G260" s="34"/>
      <c r="H260" s="33"/>
      <c r="I260" s="62">
        <v>41274</v>
      </c>
      <c r="J260" s="64">
        <v>6.5</v>
      </c>
      <c r="K260" s="64">
        <v>13.8</v>
      </c>
      <c r="L260" s="64">
        <v>7.7</v>
      </c>
      <c r="M260" s="64"/>
      <c r="N260" s="34"/>
      <c r="O260" s="35"/>
    </row>
    <row r="261" spans="1:15" s="36" customFormat="1" ht="12" x14ac:dyDescent="0.2">
      <c r="A261" s="33"/>
      <c r="B261" s="69">
        <v>39598</v>
      </c>
      <c r="C261" s="65">
        <v>880</v>
      </c>
      <c r="D261" s="65">
        <v>1100</v>
      </c>
      <c r="E261" s="65">
        <v>-220</v>
      </c>
      <c r="F261" s="34"/>
      <c r="G261" s="34"/>
      <c r="H261" s="33"/>
      <c r="I261" s="63">
        <v>41305</v>
      </c>
      <c r="J261" s="65">
        <v>15.3</v>
      </c>
      <c r="K261" s="65">
        <v>15.9</v>
      </c>
      <c r="L261" s="65">
        <v>4.4000000000000004</v>
      </c>
      <c r="M261" s="65"/>
      <c r="N261" s="34"/>
      <c r="O261" s="35"/>
    </row>
    <row r="262" spans="1:15" s="36" customFormat="1" ht="12" x14ac:dyDescent="0.2">
      <c r="A262" s="33"/>
      <c r="B262" s="68">
        <v>39605</v>
      </c>
      <c r="C262" s="64">
        <v>1410</v>
      </c>
      <c r="D262" s="64">
        <v>880</v>
      </c>
      <c r="E262" s="64">
        <v>530</v>
      </c>
      <c r="F262" s="34"/>
      <c r="G262" s="34"/>
      <c r="H262" s="33"/>
      <c r="I262" s="62">
        <v>41333</v>
      </c>
      <c r="J262" s="64">
        <v>9.5</v>
      </c>
      <c r="K262" s="64">
        <v>15.2</v>
      </c>
      <c r="L262" s="64">
        <v>17.2</v>
      </c>
      <c r="M262" s="64"/>
      <c r="N262" s="34"/>
      <c r="O262" s="35"/>
    </row>
    <row r="263" spans="1:15" s="36" customFormat="1" ht="12" x14ac:dyDescent="0.2">
      <c r="A263" s="33"/>
      <c r="B263" s="69">
        <v>39612</v>
      </c>
      <c r="C263" s="65">
        <v>1550</v>
      </c>
      <c r="D263" s="65">
        <v>310</v>
      </c>
      <c r="E263" s="65">
        <v>1240</v>
      </c>
      <c r="F263" s="34"/>
      <c r="G263" s="34"/>
      <c r="H263" s="33"/>
      <c r="I263" s="63">
        <v>41364</v>
      </c>
      <c r="J263" s="65">
        <v>11.9</v>
      </c>
      <c r="K263" s="65">
        <v>15.7</v>
      </c>
      <c r="L263" s="65">
        <v>12.4</v>
      </c>
      <c r="M263" s="65"/>
      <c r="N263" s="34"/>
      <c r="O263" s="35"/>
    </row>
    <row r="264" spans="1:15" s="36" customFormat="1" ht="12" x14ac:dyDescent="0.2">
      <c r="A264" s="33"/>
      <c r="B264" s="68">
        <v>39619</v>
      </c>
      <c r="C264" s="64">
        <v>840</v>
      </c>
      <c r="D264" s="64">
        <v>300</v>
      </c>
      <c r="E264" s="64">
        <v>540</v>
      </c>
      <c r="F264" s="34"/>
      <c r="G264" s="34"/>
      <c r="H264" s="33"/>
      <c r="I264" s="62">
        <v>41394</v>
      </c>
      <c r="J264" s="64">
        <v>11.9</v>
      </c>
      <c r="K264" s="64">
        <v>16.100000000000001</v>
      </c>
      <c r="L264" s="64">
        <v>10.8</v>
      </c>
      <c r="M264" s="64"/>
      <c r="N264" s="34"/>
      <c r="O264" s="35"/>
    </row>
    <row r="265" spans="1:15" s="36" customFormat="1" ht="12" x14ac:dyDescent="0.2">
      <c r="A265" s="33"/>
      <c r="B265" s="69">
        <v>39626</v>
      </c>
      <c r="C265" s="65">
        <v>1070</v>
      </c>
      <c r="D265" s="65">
        <v>280</v>
      </c>
      <c r="E265" s="65">
        <v>790</v>
      </c>
      <c r="F265" s="34"/>
      <c r="G265" s="34"/>
      <c r="H265" s="33"/>
      <c r="I265" s="63">
        <v>41425</v>
      </c>
      <c r="J265" s="65">
        <v>11.3</v>
      </c>
      <c r="K265" s="65">
        <v>15.8</v>
      </c>
      <c r="L265" s="65">
        <v>10.8</v>
      </c>
      <c r="M265" s="65"/>
      <c r="N265" s="34"/>
      <c r="O265" s="35"/>
    </row>
    <row r="266" spans="1:15" s="36" customFormat="1" ht="12" x14ac:dyDescent="0.2">
      <c r="A266" s="33"/>
      <c r="B266" s="68">
        <v>39633</v>
      </c>
      <c r="C266" s="64">
        <v>421</v>
      </c>
      <c r="D266" s="64">
        <v>405</v>
      </c>
      <c r="E266" s="64">
        <v>16</v>
      </c>
      <c r="F266" s="34"/>
      <c r="G266" s="34"/>
      <c r="H266" s="33"/>
      <c r="I266" s="62">
        <v>41455</v>
      </c>
      <c r="J266" s="64">
        <v>9.1</v>
      </c>
      <c r="K266" s="64">
        <v>14</v>
      </c>
      <c r="L266" s="64">
        <v>9.9</v>
      </c>
      <c r="M266" s="64"/>
      <c r="N266" s="34"/>
      <c r="O266" s="35"/>
    </row>
    <row r="267" spans="1:15" s="36" customFormat="1" ht="12" x14ac:dyDescent="0.2">
      <c r="A267" s="33"/>
      <c r="B267" s="69">
        <v>39640</v>
      </c>
      <c r="C267" s="65">
        <v>590</v>
      </c>
      <c r="D267" s="65">
        <v>1100</v>
      </c>
      <c r="E267" s="65">
        <v>-510</v>
      </c>
      <c r="F267" s="34"/>
      <c r="G267" s="34"/>
      <c r="H267" s="33"/>
      <c r="I267" s="63">
        <v>41486</v>
      </c>
      <c r="J267" s="65">
        <v>9.6999999999999993</v>
      </c>
      <c r="K267" s="65">
        <v>14.5</v>
      </c>
      <c r="L267" s="65">
        <v>9.5</v>
      </c>
      <c r="M267" s="65"/>
      <c r="N267" s="34"/>
      <c r="O267" s="35"/>
    </row>
    <row r="268" spans="1:15" s="36" customFormat="1" ht="12" x14ac:dyDescent="0.2">
      <c r="A268" s="33"/>
      <c r="B268" s="68">
        <v>39647</v>
      </c>
      <c r="C268" s="64">
        <v>540</v>
      </c>
      <c r="D268" s="64">
        <v>870</v>
      </c>
      <c r="E268" s="64">
        <v>-330</v>
      </c>
      <c r="F268" s="34"/>
      <c r="G268" s="34"/>
      <c r="H268" s="33"/>
      <c r="I268" s="62">
        <v>41517</v>
      </c>
      <c r="J268" s="64">
        <v>9.9</v>
      </c>
      <c r="K268" s="64">
        <v>14.7</v>
      </c>
      <c r="L268" s="64">
        <v>9.3000000000000007</v>
      </c>
      <c r="M268" s="64"/>
      <c r="N268" s="34"/>
      <c r="O268" s="35"/>
    </row>
    <row r="269" spans="1:15" s="36" customFormat="1" ht="12" x14ac:dyDescent="0.2">
      <c r="A269" s="33"/>
      <c r="B269" s="69">
        <v>39654</v>
      </c>
      <c r="C269" s="65">
        <v>900</v>
      </c>
      <c r="D269" s="65">
        <v>800</v>
      </c>
      <c r="E269" s="65">
        <v>100</v>
      </c>
      <c r="F269" s="34"/>
      <c r="G269" s="34"/>
      <c r="H269" s="33"/>
      <c r="I269" s="63">
        <v>41547</v>
      </c>
      <c r="J269" s="65">
        <v>8.9</v>
      </c>
      <c r="K269" s="65">
        <v>14.2</v>
      </c>
      <c r="L269" s="65">
        <v>5.7</v>
      </c>
      <c r="M269" s="65"/>
      <c r="N269" s="34"/>
      <c r="O269" s="35"/>
    </row>
    <row r="270" spans="1:15" s="36" customFormat="1" ht="12" x14ac:dyDescent="0.2">
      <c r="A270" s="33"/>
      <c r="B270" s="68">
        <v>39661</v>
      </c>
      <c r="C270" s="64">
        <v>450</v>
      </c>
      <c r="D270" s="64">
        <v>310</v>
      </c>
      <c r="E270" s="64">
        <v>140</v>
      </c>
      <c r="F270" s="34"/>
      <c r="G270" s="34"/>
      <c r="H270" s="33"/>
      <c r="I270" s="62">
        <v>41578</v>
      </c>
      <c r="J270" s="64">
        <v>8.9</v>
      </c>
      <c r="K270" s="64">
        <v>14.3</v>
      </c>
      <c r="L270" s="64">
        <v>8</v>
      </c>
      <c r="M270" s="64"/>
      <c r="N270" s="34"/>
      <c r="O270" s="35"/>
    </row>
    <row r="271" spans="1:15" s="36" customFormat="1" ht="12" x14ac:dyDescent="0.2">
      <c r="A271" s="33"/>
      <c r="B271" s="69">
        <v>39668</v>
      </c>
      <c r="C271" s="65">
        <v>1010</v>
      </c>
      <c r="D271" s="65">
        <v>620</v>
      </c>
      <c r="E271" s="65">
        <v>390</v>
      </c>
      <c r="H271" s="33"/>
      <c r="I271" s="63">
        <v>41608</v>
      </c>
      <c r="J271" s="65">
        <v>9.4</v>
      </c>
      <c r="K271" s="65">
        <v>14.2</v>
      </c>
      <c r="L271" s="65">
        <v>7.7</v>
      </c>
      <c r="M271" s="65"/>
      <c r="N271" s="34"/>
      <c r="O271" s="35"/>
    </row>
    <row r="272" spans="1:15" s="36" customFormat="1" ht="12" x14ac:dyDescent="0.2">
      <c r="A272" s="33"/>
      <c r="B272" s="68">
        <v>39675</v>
      </c>
      <c r="C272" s="64">
        <v>900</v>
      </c>
      <c r="D272" s="64">
        <v>1790</v>
      </c>
      <c r="E272" s="64">
        <v>-890</v>
      </c>
      <c r="H272" s="33"/>
      <c r="I272" s="62">
        <v>41639</v>
      </c>
      <c r="J272" s="64">
        <v>9.3000000000000007</v>
      </c>
      <c r="K272" s="64">
        <v>13.6</v>
      </c>
      <c r="L272" s="64">
        <v>7.1</v>
      </c>
      <c r="M272" s="64"/>
      <c r="N272" s="34"/>
      <c r="O272" s="35"/>
    </row>
    <row r="273" spans="1:15" s="36" customFormat="1" ht="12" x14ac:dyDescent="0.2">
      <c r="A273" s="33"/>
      <c r="B273" s="69">
        <v>39682</v>
      </c>
      <c r="C273" s="65">
        <v>690</v>
      </c>
      <c r="D273" s="65">
        <v>975</v>
      </c>
      <c r="E273" s="65">
        <v>-285</v>
      </c>
      <c r="H273" s="33"/>
      <c r="I273" s="63">
        <v>41670</v>
      </c>
      <c r="J273" s="65">
        <v>1.2</v>
      </c>
      <c r="K273" s="65">
        <v>13.2</v>
      </c>
      <c r="L273" s="65">
        <v>22.5</v>
      </c>
      <c r="M273" s="65"/>
      <c r="N273" s="34"/>
      <c r="O273" s="35"/>
    </row>
    <row r="274" spans="1:15" s="36" customFormat="1" ht="12" x14ac:dyDescent="0.2">
      <c r="A274" s="33"/>
      <c r="B274" s="68">
        <v>39689</v>
      </c>
      <c r="C274" s="64">
        <v>780</v>
      </c>
      <c r="D274" s="64">
        <v>1200</v>
      </c>
      <c r="E274" s="64">
        <v>-420</v>
      </c>
      <c r="H274" s="33"/>
      <c r="I274" s="62">
        <v>41698</v>
      </c>
      <c r="J274" s="64">
        <v>6.9</v>
      </c>
      <c r="K274" s="64">
        <v>13.3</v>
      </c>
      <c r="L274" s="64">
        <v>3.3</v>
      </c>
      <c r="M274" s="64"/>
      <c r="N274" s="34"/>
      <c r="O274" s="35"/>
    </row>
    <row r="275" spans="1:15" s="36" customFormat="1" ht="12" x14ac:dyDescent="0.2">
      <c r="A275" s="33"/>
      <c r="B275" s="69">
        <v>39696</v>
      </c>
      <c r="C275" s="65">
        <v>930</v>
      </c>
      <c r="D275" s="65">
        <v>2120</v>
      </c>
      <c r="E275" s="65">
        <v>-1190</v>
      </c>
      <c r="H275" s="33"/>
      <c r="I275" s="63">
        <v>41729</v>
      </c>
      <c r="J275" s="65">
        <v>5.4</v>
      </c>
      <c r="K275" s="65">
        <v>12.1</v>
      </c>
      <c r="L275" s="65">
        <v>5.2</v>
      </c>
      <c r="M275" s="65"/>
      <c r="N275" s="34"/>
      <c r="O275" s="35"/>
    </row>
    <row r="276" spans="1:15" s="36" customFormat="1" ht="12" x14ac:dyDescent="0.2">
      <c r="A276" s="33"/>
      <c r="B276" s="68">
        <v>39703</v>
      </c>
      <c r="C276" s="64">
        <v>840</v>
      </c>
      <c r="D276" s="64">
        <v>2150</v>
      </c>
      <c r="E276" s="64">
        <v>-1310</v>
      </c>
      <c r="H276" s="33"/>
      <c r="I276" s="62">
        <v>41759</v>
      </c>
      <c r="J276" s="64">
        <v>5.5</v>
      </c>
      <c r="K276" s="64">
        <v>13.2</v>
      </c>
      <c r="L276" s="64">
        <v>5.4</v>
      </c>
      <c r="M276" s="64"/>
      <c r="N276" s="34"/>
      <c r="O276" s="35"/>
    </row>
    <row r="277" spans="1:15" s="36" customFormat="1" ht="12" x14ac:dyDescent="0.2">
      <c r="A277" s="33"/>
      <c r="B277" s="69">
        <v>39710</v>
      </c>
      <c r="C277" s="65">
        <v>400</v>
      </c>
      <c r="D277" s="65">
        <v>2080</v>
      </c>
      <c r="E277" s="65">
        <v>-1680</v>
      </c>
      <c r="H277" s="33"/>
      <c r="I277" s="63">
        <v>41790</v>
      </c>
      <c r="J277" s="65">
        <v>5.7</v>
      </c>
      <c r="K277" s="65">
        <v>13.4</v>
      </c>
      <c r="L277" s="65">
        <v>6.7</v>
      </c>
      <c r="M277" s="65"/>
      <c r="N277" s="34"/>
      <c r="O277" s="35"/>
    </row>
    <row r="278" spans="1:15" s="36" customFormat="1" ht="12" x14ac:dyDescent="0.2">
      <c r="A278" s="33"/>
      <c r="B278" s="68">
        <v>39717</v>
      </c>
      <c r="C278" s="64">
        <v>1850</v>
      </c>
      <c r="D278" s="64">
        <v>1390</v>
      </c>
      <c r="E278" s="64">
        <v>460</v>
      </c>
      <c r="H278" s="33"/>
      <c r="I278" s="62">
        <v>41820</v>
      </c>
      <c r="J278" s="64">
        <v>8.9</v>
      </c>
      <c r="K278" s="64">
        <v>14.7</v>
      </c>
      <c r="L278" s="64">
        <v>5.3</v>
      </c>
      <c r="M278" s="64"/>
      <c r="N278" s="34"/>
      <c r="O278" s="35"/>
    </row>
    <row r="279" spans="1:15" s="36" customFormat="1" ht="12" x14ac:dyDescent="0.2">
      <c r="A279" s="33"/>
      <c r="B279" s="69">
        <v>39724</v>
      </c>
      <c r="C279" s="65">
        <v>230</v>
      </c>
      <c r="D279" s="65">
        <v>0</v>
      </c>
      <c r="E279" s="65">
        <v>230</v>
      </c>
      <c r="H279" s="33"/>
      <c r="I279" s="63">
        <v>41851</v>
      </c>
      <c r="J279" s="65">
        <v>6.7</v>
      </c>
      <c r="K279" s="65">
        <v>13.5</v>
      </c>
      <c r="L279" s="65">
        <v>5.4</v>
      </c>
      <c r="M279" s="65"/>
      <c r="N279" s="34"/>
      <c r="O279" s="35"/>
    </row>
    <row r="280" spans="1:15" s="36" customFormat="1" ht="12" x14ac:dyDescent="0.2">
      <c r="A280" s="33"/>
      <c r="B280" s="68">
        <v>39731</v>
      </c>
      <c r="C280" s="64">
        <v>1390</v>
      </c>
      <c r="D280" s="64">
        <v>1000</v>
      </c>
      <c r="E280" s="64">
        <v>390</v>
      </c>
      <c r="H280" s="33"/>
      <c r="I280" s="62">
        <v>41882</v>
      </c>
      <c r="J280" s="64">
        <v>5.7</v>
      </c>
      <c r="K280" s="64">
        <v>12.8</v>
      </c>
      <c r="L280" s="64">
        <v>5.6</v>
      </c>
      <c r="M280" s="64"/>
      <c r="N280" s="34"/>
      <c r="O280" s="35"/>
    </row>
    <row r="281" spans="1:15" s="36" customFormat="1" ht="12" x14ac:dyDescent="0.2">
      <c r="A281" s="33"/>
      <c r="B281" s="69">
        <v>39738</v>
      </c>
      <c r="C281" s="65">
        <v>780</v>
      </c>
      <c r="D281" s="65">
        <v>1900</v>
      </c>
      <c r="E281" s="65">
        <v>-1120</v>
      </c>
      <c r="H281" s="33"/>
      <c r="I281" s="63">
        <v>41912</v>
      </c>
      <c r="J281" s="65">
        <v>4.8</v>
      </c>
      <c r="K281" s="65">
        <v>12.9</v>
      </c>
      <c r="L281" s="65">
        <v>4.2</v>
      </c>
      <c r="M281" s="65"/>
      <c r="N281" s="34"/>
      <c r="O281" s="35"/>
    </row>
    <row r="282" spans="1:15" s="36" customFormat="1" ht="12" x14ac:dyDescent="0.2">
      <c r="A282" s="33"/>
      <c r="B282" s="68">
        <v>39745</v>
      </c>
      <c r="C282" s="64">
        <v>620</v>
      </c>
      <c r="D282" s="64">
        <v>1200</v>
      </c>
      <c r="E282" s="64">
        <v>-580</v>
      </c>
      <c r="H282" s="33"/>
      <c r="I282" s="62">
        <v>41943</v>
      </c>
      <c r="J282" s="64">
        <v>3.2</v>
      </c>
      <c r="K282" s="64">
        <v>12.6</v>
      </c>
      <c r="L282" s="64">
        <v>3.8</v>
      </c>
      <c r="M282" s="64"/>
      <c r="N282" s="34"/>
      <c r="O282" s="35"/>
    </row>
    <row r="283" spans="1:15" s="36" customFormat="1" ht="12" x14ac:dyDescent="0.2">
      <c r="A283" s="33"/>
      <c r="B283" s="69">
        <v>39752</v>
      </c>
      <c r="C283" s="65">
        <v>120</v>
      </c>
      <c r="D283" s="65">
        <v>250</v>
      </c>
      <c r="E283" s="65">
        <v>-130</v>
      </c>
      <c r="H283" s="33"/>
      <c r="I283" s="63">
        <v>41973</v>
      </c>
      <c r="J283" s="65">
        <v>3.2</v>
      </c>
      <c r="K283" s="65">
        <v>12.3</v>
      </c>
      <c r="L283" s="65">
        <v>3.5</v>
      </c>
      <c r="M283" s="65"/>
      <c r="N283" s="34"/>
      <c r="O283" s="35"/>
    </row>
    <row r="284" spans="1:15" s="36" customFormat="1" ht="12" x14ac:dyDescent="0.2">
      <c r="A284" s="33"/>
      <c r="B284" s="68">
        <v>39759</v>
      </c>
      <c r="C284" s="64">
        <v>315</v>
      </c>
      <c r="D284" s="64">
        <v>200</v>
      </c>
      <c r="E284" s="64">
        <v>115</v>
      </c>
      <c r="H284" s="33"/>
      <c r="I284" s="62">
        <v>42004</v>
      </c>
      <c r="J284" s="64">
        <v>3.2</v>
      </c>
      <c r="K284" s="64">
        <v>12.2</v>
      </c>
      <c r="L284" s="64">
        <v>2.9</v>
      </c>
      <c r="M284" s="64"/>
      <c r="N284" s="34"/>
      <c r="O284" s="35"/>
    </row>
    <row r="285" spans="1:15" s="36" customFormat="1" ht="12" x14ac:dyDescent="0.2">
      <c r="A285" s="33"/>
      <c r="B285" s="69">
        <v>39766</v>
      </c>
      <c r="C285" s="65">
        <v>1045</v>
      </c>
      <c r="D285" s="65">
        <v>200</v>
      </c>
      <c r="E285" s="65">
        <v>845</v>
      </c>
      <c r="H285" s="33"/>
      <c r="I285" s="63">
        <v>42035</v>
      </c>
      <c r="J285" s="65">
        <v>10.6</v>
      </c>
      <c r="K285" s="65">
        <v>10.8</v>
      </c>
      <c r="L285" s="65">
        <v>-17.600000000000001</v>
      </c>
      <c r="M285" s="65"/>
      <c r="N285" s="34"/>
      <c r="O285" s="35"/>
    </row>
    <row r="286" spans="1:15" s="36" customFormat="1" ht="12" x14ac:dyDescent="0.2">
      <c r="A286" s="33"/>
      <c r="B286" s="68">
        <v>39773</v>
      </c>
      <c r="C286" s="64">
        <v>265</v>
      </c>
      <c r="D286" s="64">
        <v>110</v>
      </c>
      <c r="E286" s="64">
        <v>155</v>
      </c>
      <c r="H286" s="33"/>
      <c r="I286" s="62">
        <v>42063</v>
      </c>
      <c r="J286" s="64">
        <v>5.6</v>
      </c>
      <c r="K286" s="64">
        <v>12.5</v>
      </c>
      <c r="L286" s="64">
        <v>17</v>
      </c>
      <c r="M286" s="64"/>
      <c r="N286" s="34"/>
      <c r="O286" s="35"/>
    </row>
    <row r="287" spans="1:15" s="36" customFormat="1" ht="12" x14ac:dyDescent="0.2">
      <c r="A287" s="33"/>
      <c r="B287" s="69">
        <v>39780</v>
      </c>
      <c r="C287" s="65">
        <v>340</v>
      </c>
      <c r="D287" s="65">
        <v>100</v>
      </c>
      <c r="E287" s="65">
        <v>240</v>
      </c>
      <c r="H287" s="33"/>
      <c r="I287" s="63">
        <v>42094</v>
      </c>
      <c r="J287" s="65">
        <v>2.9</v>
      </c>
      <c r="K287" s="65">
        <v>11.6</v>
      </c>
      <c r="L287" s="65">
        <v>6.2</v>
      </c>
      <c r="M287" s="65"/>
      <c r="N287" s="34"/>
      <c r="O287" s="35"/>
    </row>
    <row r="288" spans="1:15" s="36" customFormat="1" ht="12" x14ac:dyDescent="0.2">
      <c r="A288" s="33"/>
      <c r="B288" s="68">
        <v>39787</v>
      </c>
      <c r="C288" s="64">
        <v>490</v>
      </c>
      <c r="D288" s="64">
        <v>200</v>
      </c>
      <c r="E288" s="64">
        <v>290</v>
      </c>
      <c r="H288" s="33"/>
      <c r="I288" s="62">
        <v>42124</v>
      </c>
      <c r="J288" s="64">
        <v>3.7</v>
      </c>
      <c r="K288" s="64">
        <v>10.1</v>
      </c>
      <c r="L288" s="64">
        <v>3.7</v>
      </c>
      <c r="M288" s="64"/>
      <c r="N288" s="34"/>
      <c r="O288" s="35"/>
    </row>
    <row r="289" spans="1:15" s="36" customFormat="1" ht="12" x14ac:dyDescent="0.2">
      <c r="A289" s="33"/>
      <c r="B289" s="69">
        <v>39794</v>
      </c>
      <c r="C289" s="65">
        <v>550</v>
      </c>
      <c r="D289" s="65">
        <v>330</v>
      </c>
      <c r="E289" s="65">
        <v>220</v>
      </c>
      <c r="H289" s="33"/>
      <c r="I289" s="63">
        <v>42155</v>
      </c>
      <c r="J289" s="65">
        <v>4.7</v>
      </c>
      <c r="K289" s="65">
        <v>10.8</v>
      </c>
      <c r="L289" s="65">
        <v>1.8</v>
      </c>
      <c r="M289" s="65"/>
      <c r="N289" s="34"/>
      <c r="O289" s="35"/>
    </row>
    <row r="290" spans="1:15" s="36" customFormat="1" ht="12" x14ac:dyDescent="0.2">
      <c r="A290" s="33"/>
      <c r="B290" s="68">
        <v>39801</v>
      </c>
      <c r="C290" s="64">
        <v>330</v>
      </c>
      <c r="D290" s="64">
        <v>700</v>
      </c>
      <c r="E290" s="64">
        <v>-370</v>
      </c>
      <c r="H290" s="33"/>
      <c r="I290" s="62">
        <v>42185</v>
      </c>
      <c r="J290" s="64">
        <v>4.3</v>
      </c>
      <c r="K290" s="64">
        <v>11.8</v>
      </c>
      <c r="L290" s="64">
        <v>2.9</v>
      </c>
      <c r="M290" s="64"/>
      <c r="N290" s="34"/>
      <c r="O290" s="35"/>
    </row>
    <row r="291" spans="1:15" s="36" customFormat="1" ht="12" x14ac:dyDescent="0.2">
      <c r="A291" s="33"/>
      <c r="B291" s="69">
        <v>39808</v>
      </c>
      <c r="C291" s="65">
        <v>330</v>
      </c>
      <c r="D291" s="65">
        <v>1000</v>
      </c>
      <c r="E291" s="65">
        <v>-670</v>
      </c>
      <c r="H291" s="33"/>
      <c r="I291" s="63">
        <v>42216</v>
      </c>
      <c r="J291" s="65">
        <v>6.6</v>
      </c>
      <c r="K291" s="65">
        <v>13.3</v>
      </c>
      <c r="L291" s="65">
        <v>2.9</v>
      </c>
      <c r="M291" s="65"/>
      <c r="N291" s="34"/>
      <c r="O291" s="35"/>
    </row>
    <row r="292" spans="1:15" s="36" customFormat="1" ht="12" x14ac:dyDescent="0.2">
      <c r="A292" s="33"/>
      <c r="B292" s="68">
        <v>39815</v>
      </c>
      <c r="C292" s="64">
        <v>100</v>
      </c>
      <c r="D292" s="64">
        <v>300</v>
      </c>
      <c r="E292" s="64">
        <v>-200</v>
      </c>
      <c r="H292" s="33"/>
      <c r="I292" s="62">
        <v>42247</v>
      </c>
      <c r="J292" s="64">
        <v>9.3000000000000007</v>
      </c>
      <c r="K292" s="64">
        <v>13.3</v>
      </c>
      <c r="L292" s="64">
        <v>1.8</v>
      </c>
      <c r="M292" s="64"/>
      <c r="N292" s="34"/>
      <c r="O292" s="35"/>
    </row>
    <row r="293" spans="1:15" s="36" customFormat="1" ht="12" x14ac:dyDescent="0.2">
      <c r="A293" s="33"/>
      <c r="B293" s="69">
        <v>39822</v>
      </c>
      <c r="C293" s="65">
        <v>1150</v>
      </c>
      <c r="D293" s="65">
        <v>1000</v>
      </c>
      <c r="E293" s="65">
        <v>150</v>
      </c>
      <c r="H293" s="33"/>
      <c r="I293" s="63">
        <v>42277</v>
      </c>
      <c r="J293" s="65">
        <v>11.4</v>
      </c>
      <c r="K293" s="65">
        <v>13.1</v>
      </c>
      <c r="L293" s="65">
        <v>3.7</v>
      </c>
      <c r="M293" s="65"/>
      <c r="N293" s="34"/>
      <c r="O293" s="35"/>
    </row>
    <row r="294" spans="1:15" s="36" customFormat="1" ht="12" x14ac:dyDescent="0.2">
      <c r="A294" s="33"/>
      <c r="B294" s="68">
        <v>39829</v>
      </c>
      <c r="C294" s="64">
        <v>2200</v>
      </c>
      <c r="D294" s="64">
        <v>600</v>
      </c>
      <c r="E294" s="64">
        <v>1600</v>
      </c>
      <c r="H294" s="33"/>
      <c r="I294" s="62">
        <v>42308</v>
      </c>
      <c r="J294" s="64">
        <v>14</v>
      </c>
      <c r="K294" s="64">
        <v>13.5</v>
      </c>
      <c r="L294" s="64">
        <v>3.8</v>
      </c>
      <c r="M294" s="64"/>
      <c r="N294" s="34"/>
      <c r="O294" s="35"/>
    </row>
    <row r="295" spans="1:15" s="36" customFormat="1" ht="12" x14ac:dyDescent="0.2">
      <c r="A295" s="33"/>
      <c r="B295" s="69">
        <v>39836</v>
      </c>
      <c r="C295" s="65">
        <v>1710</v>
      </c>
      <c r="D295" s="65">
        <v>400</v>
      </c>
      <c r="E295" s="65">
        <v>1310</v>
      </c>
      <c r="H295" s="33"/>
      <c r="I295" s="63">
        <v>42338</v>
      </c>
      <c r="J295" s="65">
        <v>15.7</v>
      </c>
      <c r="K295" s="65">
        <v>13.7</v>
      </c>
      <c r="L295" s="65">
        <v>3.2</v>
      </c>
      <c r="M295" s="65"/>
      <c r="N295" s="34"/>
      <c r="O295" s="35"/>
    </row>
    <row r="296" spans="1:15" s="36" customFormat="1" ht="12" x14ac:dyDescent="0.2">
      <c r="A296" s="33"/>
      <c r="B296" s="68">
        <v>39843</v>
      </c>
      <c r="C296" s="64">
        <v>750</v>
      </c>
      <c r="D296" s="64">
        <v>0</v>
      </c>
      <c r="E296" s="64">
        <v>750</v>
      </c>
      <c r="H296" s="33"/>
      <c r="I296" s="62">
        <v>42369</v>
      </c>
      <c r="J296" s="64">
        <v>15.2</v>
      </c>
      <c r="K296" s="64">
        <v>13.3</v>
      </c>
      <c r="L296" s="64">
        <v>4.9000000000000004</v>
      </c>
      <c r="M296" s="64"/>
      <c r="N296" s="34"/>
      <c r="O296" s="35"/>
    </row>
    <row r="297" spans="1:15" s="36" customFormat="1" ht="12" x14ac:dyDescent="0.2">
      <c r="A297" s="33"/>
      <c r="B297" s="69">
        <v>39850</v>
      </c>
      <c r="C297" s="65">
        <v>560</v>
      </c>
      <c r="D297" s="65">
        <v>1600</v>
      </c>
      <c r="E297" s="65">
        <v>-1040</v>
      </c>
      <c r="H297" s="33"/>
      <c r="I297" s="63">
        <v>42400</v>
      </c>
      <c r="J297" s="65">
        <v>18.600000000000001</v>
      </c>
      <c r="K297" s="65">
        <v>14</v>
      </c>
      <c r="L297" s="65">
        <v>15.1</v>
      </c>
      <c r="M297" s="65"/>
      <c r="N297" s="34"/>
      <c r="O297" s="35"/>
    </row>
    <row r="298" spans="1:15" s="36" customFormat="1" ht="12" x14ac:dyDescent="0.2">
      <c r="A298" s="33"/>
      <c r="B298" s="68">
        <v>39857</v>
      </c>
      <c r="C298" s="64">
        <v>440</v>
      </c>
      <c r="D298" s="64">
        <v>1000</v>
      </c>
      <c r="E298" s="64">
        <v>-560</v>
      </c>
      <c r="H298" s="33"/>
      <c r="I298" s="62">
        <v>42429</v>
      </c>
      <c r="J298" s="64">
        <v>17.399999999999999</v>
      </c>
      <c r="K298" s="64">
        <v>13.3</v>
      </c>
      <c r="L298" s="64">
        <v>-4.8</v>
      </c>
      <c r="M298" s="64"/>
      <c r="N298" s="34"/>
      <c r="O298" s="35"/>
    </row>
    <row r="299" spans="1:15" s="36" customFormat="1" ht="12" x14ac:dyDescent="0.2">
      <c r="A299" s="33"/>
      <c r="B299" s="69">
        <v>39864</v>
      </c>
      <c r="C299" s="65">
        <v>1565</v>
      </c>
      <c r="D299" s="65">
        <v>2200</v>
      </c>
      <c r="E299" s="65">
        <v>-635</v>
      </c>
      <c r="H299" s="33"/>
      <c r="I299" s="63">
        <v>42460</v>
      </c>
      <c r="J299" s="65">
        <v>22.1</v>
      </c>
      <c r="K299" s="65">
        <v>13.4</v>
      </c>
      <c r="L299" s="65">
        <v>4.4000000000000004</v>
      </c>
      <c r="M299" s="65"/>
      <c r="N299" s="34"/>
      <c r="O299" s="35"/>
    </row>
    <row r="300" spans="1:15" s="36" customFormat="1" ht="12" x14ac:dyDescent="0.2">
      <c r="A300" s="33"/>
      <c r="B300" s="68">
        <v>39871</v>
      </c>
      <c r="C300" s="64">
        <v>460</v>
      </c>
      <c r="D300" s="64">
        <v>1700</v>
      </c>
      <c r="E300" s="64">
        <v>-1240</v>
      </c>
      <c r="H300" s="33"/>
      <c r="I300" s="62">
        <v>42490</v>
      </c>
      <c r="J300" s="64">
        <v>22.9</v>
      </c>
      <c r="K300" s="64">
        <v>12.8</v>
      </c>
      <c r="L300" s="64">
        <v>6</v>
      </c>
      <c r="M300" s="64"/>
      <c r="N300" s="34"/>
      <c r="O300" s="35"/>
    </row>
    <row r="301" spans="1:15" s="36" customFormat="1" ht="12" x14ac:dyDescent="0.2">
      <c r="A301" s="33"/>
      <c r="B301" s="69">
        <v>39878</v>
      </c>
      <c r="C301" s="65">
        <v>1860</v>
      </c>
      <c r="D301" s="65">
        <v>1450</v>
      </c>
      <c r="E301" s="65">
        <v>410</v>
      </c>
      <c r="H301" s="33"/>
      <c r="I301" s="63">
        <v>42521</v>
      </c>
      <c r="J301" s="65">
        <v>23.7</v>
      </c>
      <c r="K301" s="65">
        <v>11.8</v>
      </c>
      <c r="L301" s="65">
        <v>6.3</v>
      </c>
      <c r="M301" s="65"/>
      <c r="N301" s="34"/>
      <c r="O301" s="35"/>
    </row>
    <row r="302" spans="1:15" s="36" customFormat="1" ht="12" x14ac:dyDescent="0.2">
      <c r="A302" s="33"/>
      <c r="B302" s="68">
        <v>39885</v>
      </c>
      <c r="C302" s="64">
        <v>1510</v>
      </c>
      <c r="D302" s="64">
        <v>1700</v>
      </c>
      <c r="E302" s="64">
        <v>-190</v>
      </c>
      <c r="H302" s="33"/>
      <c r="I302" s="62">
        <v>42551</v>
      </c>
      <c r="J302" s="64">
        <v>24.6</v>
      </c>
      <c r="K302" s="64">
        <v>11.8</v>
      </c>
      <c r="L302" s="64">
        <v>7.2</v>
      </c>
      <c r="M302" s="64"/>
      <c r="N302" s="34"/>
      <c r="O302" s="35"/>
    </row>
    <row r="303" spans="1:15" s="36" customFormat="1" ht="12" x14ac:dyDescent="0.2">
      <c r="A303" s="33"/>
      <c r="B303" s="69">
        <v>39892</v>
      </c>
      <c r="C303" s="65">
        <v>1410</v>
      </c>
      <c r="D303" s="65">
        <v>1700</v>
      </c>
      <c r="E303" s="65">
        <v>-290</v>
      </c>
      <c r="H303" s="33"/>
      <c r="I303" s="63">
        <v>42582</v>
      </c>
      <c r="J303" s="65">
        <v>25.4</v>
      </c>
      <c r="K303" s="65">
        <v>10.199999999999999</v>
      </c>
      <c r="L303" s="65">
        <v>7.2</v>
      </c>
      <c r="M303" s="65"/>
      <c r="N303" s="34"/>
      <c r="O303" s="35"/>
    </row>
    <row r="304" spans="1:15" s="36" customFormat="1" ht="12" x14ac:dyDescent="0.2">
      <c r="A304" s="33"/>
      <c r="B304" s="68">
        <v>39899</v>
      </c>
      <c r="C304" s="64">
        <v>2180</v>
      </c>
      <c r="D304" s="64">
        <v>1800</v>
      </c>
      <c r="E304" s="64">
        <v>380</v>
      </c>
      <c r="H304" s="33"/>
      <c r="I304" s="62">
        <v>42613</v>
      </c>
      <c r="J304" s="64">
        <v>25.3</v>
      </c>
      <c r="K304" s="64">
        <v>11.4</v>
      </c>
      <c r="L304" s="64">
        <v>7.4</v>
      </c>
      <c r="M304" s="64"/>
      <c r="N304" s="34"/>
      <c r="O304" s="35"/>
    </row>
    <row r="305" spans="1:15" s="36" customFormat="1" ht="12" x14ac:dyDescent="0.2">
      <c r="A305" s="33"/>
      <c r="B305" s="69">
        <v>39906</v>
      </c>
      <c r="C305" s="65">
        <v>1830</v>
      </c>
      <c r="D305" s="65">
        <v>1600</v>
      </c>
      <c r="E305" s="65">
        <v>230</v>
      </c>
      <c r="H305" s="33"/>
      <c r="I305" s="63">
        <v>42643</v>
      </c>
      <c r="J305" s="65">
        <v>24.7</v>
      </c>
      <c r="K305" s="65">
        <v>11.5</v>
      </c>
      <c r="L305" s="65">
        <v>6.6</v>
      </c>
      <c r="M305" s="65"/>
      <c r="N305" s="34"/>
      <c r="O305" s="35"/>
    </row>
    <row r="306" spans="1:15" s="36" customFormat="1" ht="12" x14ac:dyDescent="0.2">
      <c r="A306" s="33"/>
      <c r="B306" s="68">
        <v>39913</v>
      </c>
      <c r="C306" s="64">
        <v>1950</v>
      </c>
      <c r="D306" s="64">
        <v>2550</v>
      </c>
      <c r="E306" s="64">
        <v>-600</v>
      </c>
      <c r="H306" s="33"/>
      <c r="I306" s="62">
        <v>42674</v>
      </c>
      <c r="J306" s="64">
        <v>23.9</v>
      </c>
      <c r="K306" s="64">
        <v>11.6</v>
      </c>
      <c r="L306" s="64">
        <v>7.2</v>
      </c>
      <c r="M306" s="64"/>
      <c r="N306" s="34"/>
      <c r="O306" s="35"/>
    </row>
    <row r="307" spans="1:15" s="36" customFormat="1" ht="12" x14ac:dyDescent="0.2">
      <c r="A307" s="33"/>
      <c r="B307" s="69">
        <v>39920</v>
      </c>
      <c r="C307" s="65">
        <v>1970</v>
      </c>
      <c r="D307" s="65">
        <v>2150</v>
      </c>
      <c r="E307" s="65">
        <v>-180</v>
      </c>
      <c r="H307" s="33"/>
      <c r="I307" s="63">
        <v>42704</v>
      </c>
      <c r="J307" s="65">
        <v>22.7</v>
      </c>
      <c r="K307" s="65">
        <v>11.4</v>
      </c>
      <c r="L307" s="65">
        <v>7.6</v>
      </c>
      <c r="M307" s="65"/>
      <c r="N307" s="34"/>
      <c r="O307" s="35"/>
    </row>
    <row r="308" spans="1:15" s="36" customFormat="1" ht="12" x14ac:dyDescent="0.2">
      <c r="A308" s="33"/>
      <c r="B308" s="68">
        <v>39927</v>
      </c>
      <c r="C308" s="64">
        <v>1940</v>
      </c>
      <c r="D308" s="64">
        <v>2200</v>
      </c>
      <c r="E308" s="64">
        <v>-260</v>
      </c>
      <c r="H308" s="33"/>
      <c r="I308" s="62">
        <v>42735</v>
      </c>
      <c r="J308" s="64">
        <v>21.4</v>
      </c>
      <c r="K308" s="64">
        <v>11.3</v>
      </c>
      <c r="L308" s="64">
        <v>8.1</v>
      </c>
      <c r="M308" s="64"/>
      <c r="N308" s="34"/>
      <c r="O308" s="35"/>
    </row>
    <row r="309" spans="1:15" s="36" customFormat="1" ht="12" x14ac:dyDescent="0.2">
      <c r="A309" s="33"/>
      <c r="B309" s="69">
        <v>39934</v>
      </c>
      <c r="C309" s="65">
        <v>1320</v>
      </c>
      <c r="D309" s="65">
        <v>450</v>
      </c>
      <c r="E309" s="65">
        <v>870</v>
      </c>
      <c r="H309" s="33"/>
      <c r="I309" s="63">
        <v>42766</v>
      </c>
      <c r="J309" s="65">
        <v>14.5</v>
      </c>
      <c r="K309" s="65">
        <v>10.7</v>
      </c>
      <c r="L309" s="65">
        <v>19.399999999999999</v>
      </c>
      <c r="M309" s="65"/>
      <c r="N309" s="34"/>
      <c r="O309" s="35"/>
    </row>
    <row r="310" spans="1:15" s="36" customFormat="1" ht="12" x14ac:dyDescent="0.2">
      <c r="A310" s="33"/>
      <c r="B310" s="68">
        <v>39941</v>
      </c>
      <c r="C310" s="64">
        <v>1930</v>
      </c>
      <c r="D310" s="64">
        <v>2300</v>
      </c>
      <c r="E310" s="64">
        <v>-370</v>
      </c>
      <c r="H310" s="33"/>
      <c r="I310" s="62">
        <v>42794</v>
      </c>
      <c r="J310" s="64">
        <v>21.4</v>
      </c>
      <c r="K310" s="64">
        <v>10.4</v>
      </c>
      <c r="L310" s="64">
        <v>3.3</v>
      </c>
      <c r="M310" s="64"/>
      <c r="N310" s="34"/>
      <c r="O310" s="35"/>
    </row>
    <row r="311" spans="1:15" s="36" customFormat="1" ht="12" x14ac:dyDescent="0.2">
      <c r="A311" s="33"/>
      <c r="B311" s="69">
        <v>39948</v>
      </c>
      <c r="C311" s="65">
        <v>1460</v>
      </c>
      <c r="D311" s="65">
        <v>1500</v>
      </c>
      <c r="E311" s="65">
        <v>-40</v>
      </c>
      <c r="H311" s="33"/>
      <c r="I311" s="63">
        <v>42825</v>
      </c>
      <c r="J311" s="65">
        <v>18.8</v>
      </c>
      <c r="K311" s="65">
        <v>10.1</v>
      </c>
      <c r="L311" s="65">
        <v>6.1</v>
      </c>
      <c r="M311" s="65"/>
      <c r="N311" s="34"/>
      <c r="O311" s="35"/>
    </row>
    <row r="312" spans="1:15" s="36" customFormat="1" ht="12" x14ac:dyDescent="0.2">
      <c r="A312" s="33"/>
      <c r="B312" s="68">
        <v>39955</v>
      </c>
      <c r="C312" s="64">
        <v>2430</v>
      </c>
      <c r="D312" s="64">
        <v>1800</v>
      </c>
      <c r="E312" s="64">
        <v>630</v>
      </c>
      <c r="H312" s="33"/>
      <c r="I312" s="62">
        <v>42855</v>
      </c>
      <c r="J312" s="64">
        <v>18.5</v>
      </c>
      <c r="K312" s="64">
        <v>9.8000000000000007</v>
      </c>
      <c r="L312" s="64">
        <v>6.2</v>
      </c>
      <c r="M312" s="64"/>
      <c r="N312" s="34"/>
      <c r="O312" s="35"/>
    </row>
    <row r="313" spans="1:15" s="36" customFormat="1" ht="12" x14ac:dyDescent="0.2">
      <c r="A313" s="33"/>
      <c r="B313" s="69">
        <v>39962</v>
      </c>
      <c r="C313" s="65">
        <v>1600</v>
      </c>
      <c r="D313" s="65">
        <v>800</v>
      </c>
      <c r="E313" s="65">
        <v>800</v>
      </c>
      <c r="H313" s="33"/>
      <c r="I313" s="63">
        <v>42886</v>
      </c>
      <c r="J313" s="65">
        <v>17</v>
      </c>
      <c r="K313" s="65">
        <v>9.1</v>
      </c>
      <c r="L313" s="65">
        <v>7.3</v>
      </c>
      <c r="M313" s="65"/>
      <c r="N313" s="34"/>
      <c r="O313" s="35"/>
    </row>
    <row r="314" spans="1:15" s="36" customFormat="1" ht="12" x14ac:dyDescent="0.2">
      <c r="A314" s="33"/>
      <c r="B314" s="68">
        <v>39969</v>
      </c>
      <c r="C314" s="64">
        <v>1640</v>
      </c>
      <c r="D314" s="64">
        <v>1600</v>
      </c>
      <c r="E314" s="64">
        <v>40</v>
      </c>
      <c r="H314" s="33"/>
      <c r="I314" s="62">
        <v>42916</v>
      </c>
      <c r="J314" s="64">
        <v>15</v>
      </c>
      <c r="K314" s="64">
        <v>9.1</v>
      </c>
      <c r="L314" s="64">
        <v>6.6</v>
      </c>
      <c r="M314" s="64"/>
      <c r="N314" s="34"/>
      <c r="O314" s="35"/>
    </row>
    <row r="315" spans="1:15" s="36" customFormat="1" ht="12" x14ac:dyDescent="0.2">
      <c r="A315" s="33"/>
      <c r="B315" s="69">
        <v>39976</v>
      </c>
      <c r="C315" s="65">
        <v>1550</v>
      </c>
      <c r="D315" s="65">
        <v>1700</v>
      </c>
      <c r="E315" s="65">
        <v>-150</v>
      </c>
      <c r="H315" s="33"/>
      <c r="I315" s="63">
        <v>42947</v>
      </c>
      <c r="J315" s="65">
        <v>15.3</v>
      </c>
      <c r="K315" s="65">
        <v>8.9</v>
      </c>
      <c r="L315" s="65">
        <v>6.1</v>
      </c>
      <c r="M315" s="65"/>
      <c r="N315" s="34"/>
      <c r="O315" s="35"/>
    </row>
    <row r="316" spans="1:15" s="36" customFormat="1" ht="12" x14ac:dyDescent="0.2">
      <c r="A316" s="33"/>
      <c r="B316" s="68">
        <v>39983</v>
      </c>
      <c r="C316" s="64">
        <v>1790</v>
      </c>
      <c r="D316" s="64">
        <v>1800</v>
      </c>
      <c r="E316" s="64">
        <v>-10</v>
      </c>
      <c r="H316" s="33"/>
      <c r="I316" s="62">
        <v>42978</v>
      </c>
      <c r="J316" s="64">
        <v>14</v>
      </c>
      <c r="K316" s="64">
        <v>8.6</v>
      </c>
      <c r="L316" s="64">
        <v>6.5</v>
      </c>
      <c r="M316" s="64"/>
      <c r="N316" s="34"/>
      <c r="O316" s="35"/>
    </row>
    <row r="317" spans="1:15" s="36" customFormat="1" ht="12" x14ac:dyDescent="0.2">
      <c r="A317" s="33"/>
      <c r="B317" s="69">
        <v>39990</v>
      </c>
      <c r="C317" s="65">
        <v>1650</v>
      </c>
      <c r="D317" s="65">
        <v>500</v>
      </c>
      <c r="E317" s="65">
        <v>1150</v>
      </c>
      <c r="H317" s="33"/>
      <c r="I317" s="63">
        <v>43008</v>
      </c>
      <c r="J317" s="65">
        <v>14</v>
      </c>
      <c r="K317" s="65">
        <v>9</v>
      </c>
      <c r="L317" s="65">
        <v>7.2</v>
      </c>
      <c r="M317" s="65"/>
      <c r="N317" s="34"/>
      <c r="O317" s="35"/>
    </row>
    <row r="318" spans="1:15" s="36" customFormat="1" ht="12" x14ac:dyDescent="0.2">
      <c r="A318" s="33"/>
      <c r="B318" s="68">
        <v>39997</v>
      </c>
      <c r="C318" s="64">
        <v>1615</v>
      </c>
      <c r="D318" s="64">
        <v>1300</v>
      </c>
      <c r="E318" s="64">
        <v>315</v>
      </c>
      <c r="H318" s="33"/>
      <c r="I318" s="62">
        <v>43039</v>
      </c>
      <c r="J318" s="64">
        <v>13</v>
      </c>
      <c r="K318" s="64">
        <v>8.9</v>
      </c>
      <c r="L318" s="64">
        <v>6.3</v>
      </c>
      <c r="M318" s="64"/>
      <c r="N318" s="34"/>
      <c r="O318" s="35"/>
    </row>
    <row r="319" spans="1:15" s="36" customFormat="1" ht="12" x14ac:dyDescent="0.2">
      <c r="A319" s="33"/>
      <c r="B319" s="69">
        <v>40004</v>
      </c>
      <c r="C319" s="65">
        <v>2600</v>
      </c>
      <c r="D319" s="65">
        <v>2700</v>
      </c>
      <c r="E319" s="65">
        <v>-100</v>
      </c>
      <c r="H319" s="33"/>
      <c r="I319" s="63">
        <v>43069</v>
      </c>
      <c r="J319" s="65">
        <v>12.7</v>
      </c>
      <c r="K319" s="65">
        <v>9.1</v>
      </c>
      <c r="L319" s="65">
        <v>5.7</v>
      </c>
      <c r="M319" s="65"/>
      <c r="N319" s="34"/>
      <c r="O319" s="35"/>
    </row>
    <row r="320" spans="1:15" s="36" customFormat="1" ht="12" x14ac:dyDescent="0.2">
      <c r="A320" s="33"/>
      <c r="B320" s="68">
        <v>40011</v>
      </c>
      <c r="C320" s="64">
        <v>2400</v>
      </c>
      <c r="D320" s="64">
        <v>2000</v>
      </c>
      <c r="E320" s="64">
        <v>400</v>
      </c>
      <c r="H320" s="33"/>
      <c r="I320" s="62">
        <v>43100</v>
      </c>
      <c r="J320" s="64">
        <v>11.8</v>
      </c>
      <c r="K320" s="64">
        <v>8.1</v>
      </c>
      <c r="L320" s="64">
        <v>3.4</v>
      </c>
      <c r="M320" s="64"/>
      <c r="N320" s="34"/>
      <c r="O320" s="35"/>
    </row>
    <row r="321" spans="1:15" s="36" customFormat="1" ht="12" x14ac:dyDescent="0.2">
      <c r="A321" s="33"/>
      <c r="B321" s="69">
        <v>40018</v>
      </c>
      <c r="C321" s="65">
        <v>1760</v>
      </c>
      <c r="D321" s="65">
        <v>350</v>
      </c>
      <c r="E321" s="65">
        <v>1410</v>
      </c>
      <c r="H321" s="33"/>
      <c r="I321" s="63">
        <v>43131</v>
      </c>
      <c r="J321" s="65">
        <v>15</v>
      </c>
      <c r="K321" s="65">
        <v>8.6</v>
      </c>
      <c r="L321" s="65">
        <v>-13.8</v>
      </c>
      <c r="M321" s="65"/>
      <c r="N321" s="34"/>
      <c r="O321" s="35"/>
    </row>
    <row r="322" spans="1:15" s="36" customFormat="1" ht="12" x14ac:dyDescent="0.2">
      <c r="A322" s="33"/>
      <c r="B322" s="68">
        <v>40025</v>
      </c>
      <c r="C322" s="64">
        <v>580</v>
      </c>
      <c r="D322" s="64">
        <v>1100</v>
      </c>
      <c r="E322" s="64">
        <v>-520</v>
      </c>
      <c r="H322" s="33"/>
      <c r="I322" s="62">
        <v>43159</v>
      </c>
      <c r="J322" s="64">
        <v>8.5</v>
      </c>
      <c r="K322" s="64">
        <v>8.8000000000000007</v>
      </c>
      <c r="L322" s="64">
        <v>13.5</v>
      </c>
      <c r="M322" s="64"/>
      <c r="N322" s="34"/>
      <c r="O322" s="35"/>
    </row>
    <row r="323" spans="1:15" s="36" customFormat="1" ht="12" x14ac:dyDescent="0.2">
      <c r="A323" s="33"/>
      <c r="B323" s="69">
        <v>40032</v>
      </c>
      <c r="C323" s="65">
        <v>2460</v>
      </c>
      <c r="D323" s="65">
        <v>2130</v>
      </c>
      <c r="E323" s="65">
        <v>330</v>
      </c>
      <c r="H323" s="33"/>
      <c r="I323" s="63">
        <v>43190</v>
      </c>
      <c r="J323" s="65">
        <v>7.1</v>
      </c>
      <c r="K323" s="65">
        <v>8.1999999999999993</v>
      </c>
      <c r="L323" s="65">
        <v>6</v>
      </c>
      <c r="M323" s="65"/>
      <c r="N323" s="34"/>
      <c r="O323" s="35"/>
    </row>
    <row r="324" spans="1:15" s="36" customFormat="1" ht="12" x14ac:dyDescent="0.2">
      <c r="A324" s="33"/>
      <c r="B324" s="68">
        <v>40039</v>
      </c>
      <c r="C324" s="64">
        <v>2220</v>
      </c>
      <c r="D324" s="64">
        <v>1950</v>
      </c>
      <c r="E324" s="64">
        <v>270</v>
      </c>
      <c r="H324" s="33"/>
      <c r="I324" s="62">
        <v>43220</v>
      </c>
      <c r="J324" s="64">
        <v>7.2</v>
      </c>
      <c r="K324" s="64">
        <v>8.3000000000000007</v>
      </c>
      <c r="L324" s="64">
        <v>4.5</v>
      </c>
      <c r="M324" s="64"/>
      <c r="N324" s="34"/>
      <c r="O324" s="35"/>
    </row>
    <row r="325" spans="1:15" s="36" customFormat="1" ht="12" x14ac:dyDescent="0.2">
      <c r="A325" s="33"/>
      <c r="B325" s="69">
        <v>40046</v>
      </c>
      <c r="C325" s="65">
        <v>1470</v>
      </c>
      <c r="D325" s="65">
        <v>1550</v>
      </c>
      <c r="E325" s="65">
        <v>-80</v>
      </c>
      <c r="H325" s="33"/>
      <c r="I325" s="63">
        <v>43251</v>
      </c>
      <c r="J325" s="65">
        <v>6</v>
      </c>
      <c r="K325" s="65">
        <v>8.3000000000000007</v>
      </c>
      <c r="L325" s="65">
        <v>3.6</v>
      </c>
      <c r="M325" s="65"/>
      <c r="N325" s="34"/>
      <c r="O325" s="35"/>
    </row>
    <row r="326" spans="1:15" s="36" customFormat="1" ht="12" x14ac:dyDescent="0.2">
      <c r="A326" s="33"/>
      <c r="B326" s="68">
        <v>40053</v>
      </c>
      <c r="C326" s="64">
        <v>1000</v>
      </c>
      <c r="D326" s="64">
        <v>1400</v>
      </c>
      <c r="E326" s="64">
        <v>-400</v>
      </c>
      <c r="F326" s="34"/>
      <c r="G326" s="34"/>
      <c r="H326" s="33"/>
      <c r="I326" s="62">
        <v>43281</v>
      </c>
      <c r="J326" s="64">
        <v>6.6</v>
      </c>
      <c r="K326" s="64">
        <v>8</v>
      </c>
      <c r="L326" s="64">
        <v>3.9</v>
      </c>
      <c r="M326" s="64"/>
      <c r="N326" s="34"/>
      <c r="O326" s="35"/>
    </row>
    <row r="327" spans="1:15" s="36" customFormat="1" ht="12" x14ac:dyDescent="0.2">
      <c r="A327" s="33"/>
      <c r="B327" s="69">
        <v>40060</v>
      </c>
      <c r="C327" s="65">
        <v>2820</v>
      </c>
      <c r="D327" s="65">
        <v>2100</v>
      </c>
      <c r="E327" s="65">
        <v>720</v>
      </c>
      <c r="F327" s="34"/>
      <c r="G327" s="34"/>
      <c r="H327" s="33"/>
      <c r="I327" s="63">
        <v>43312</v>
      </c>
      <c r="J327" s="65">
        <v>5.0999999999999996</v>
      </c>
      <c r="K327" s="65">
        <v>8.5</v>
      </c>
      <c r="L327" s="65">
        <v>3.6</v>
      </c>
      <c r="M327" s="65"/>
      <c r="N327" s="34"/>
      <c r="O327" s="35"/>
    </row>
    <row r="328" spans="1:15" s="36" customFormat="1" ht="12" x14ac:dyDescent="0.2">
      <c r="A328" s="33"/>
      <c r="B328" s="68">
        <v>40067</v>
      </c>
      <c r="C328" s="64">
        <v>2650</v>
      </c>
      <c r="D328" s="64">
        <v>2250</v>
      </c>
      <c r="E328" s="64">
        <v>400</v>
      </c>
      <c r="F328" s="34"/>
      <c r="G328" s="34"/>
      <c r="H328" s="33"/>
      <c r="I328" s="62">
        <v>43343</v>
      </c>
      <c r="J328" s="64">
        <v>3.9</v>
      </c>
      <c r="K328" s="64">
        <v>8.1999999999999993</v>
      </c>
      <c r="L328" s="64">
        <v>3.3</v>
      </c>
      <c r="M328" s="64"/>
      <c r="N328" s="34"/>
      <c r="O328" s="35"/>
    </row>
    <row r="329" spans="1:15" s="36" customFormat="1" ht="12" x14ac:dyDescent="0.2">
      <c r="A329" s="33"/>
      <c r="B329" s="69">
        <v>40074</v>
      </c>
      <c r="C329" s="65">
        <v>2850</v>
      </c>
      <c r="D329" s="65">
        <v>2250</v>
      </c>
      <c r="E329" s="65">
        <v>600</v>
      </c>
      <c r="F329" s="34"/>
      <c r="G329" s="34"/>
      <c r="H329" s="33"/>
      <c r="I329" s="63">
        <v>43373</v>
      </c>
      <c r="J329" s="65">
        <v>4</v>
      </c>
      <c r="K329" s="65">
        <v>8.3000000000000007</v>
      </c>
      <c r="L329" s="65">
        <v>2.2000000000000002</v>
      </c>
      <c r="M329" s="65"/>
      <c r="N329" s="34"/>
      <c r="O329" s="35"/>
    </row>
    <row r="330" spans="1:15" s="36" customFormat="1" ht="12" x14ac:dyDescent="0.2">
      <c r="A330" s="33"/>
      <c r="B330" s="68">
        <v>40081</v>
      </c>
      <c r="C330" s="64">
        <v>1600</v>
      </c>
      <c r="D330" s="64">
        <v>1530</v>
      </c>
      <c r="E330" s="64">
        <v>70</v>
      </c>
      <c r="F330" s="34"/>
      <c r="G330" s="34"/>
      <c r="H330" s="33"/>
      <c r="I330" s="62">
        <v>43404</v>
      </c>
      <c r="J330" s="64">
        <v>2.7</v>
      </c>
      <c r="K330" s="64">
        <v>8</v>
      </c>
      <c r="L330" s="64">
        <v>2.8</v>
      </c>
      <c r="M330" s="64"/>
      <c r="N330" s="34"/>
      <c r="O330" s="35"/>
    </row>
    <row r="331" spans="1:15" s="36" customFormat="1" ht="12" x14ac:dyDescent="0.2">
      <c r="A331" s="33"/>
      <c r="B331" s="69">
        <v>40088</v>
      </c>
      <c r="C331" s="65">
        <v>1100</v>
      </c>
      <c r="D331" s="65">
        <v>100</v>
      </c>
      <c r="E331" s="65">
        <v>1000</v>
      </c>
      <c r="F331" s="34"/>
      <c r="G331" s="34"/>
      <c r="H331" s="33"/>
      <c r="I331" s="63">
        <v>43434</v>
      </c>
      <c r="J331" s="65">
        <v>1.5</v>
      </c>
      <c r="K331" s="65">
        <v>8</v>
      </c>
      <c r="L331" s="65">
        <v>2.8</v>
      </c>
      <c r="M331" s="65"/>
      <c r="N331" s="34"/>
      <c r="O331" s="35"/>
    </row>
    <row r="332" spans="1:15" s="36" customFormat="1" ht="12" x14ac:dyDescent="0.2">
      <c r="A332" s="33"/>
      <c r="B332" s="68">
        <v>40095</v>
      </c>
      <c r="C332" s="64">
        <v>2100</v>
      </c>
      <c r="D332" s="64">
        <v>0</v>
      </c>
      <c r="E332" s="64">
        <v>2100</v>
      </c>
      <c r="F332" s="34"/>
      <c r="G332" s="34"/>
      <c r="H332" s="33"/>
      <c r="I332" s="62">
        <v>43465</v>
      </c>
      <c r="J332" s="64">
        <v>1.5</v>
      </c>
      <c r="K332" s="64">
        <v>8.1</v>
      </c>
      <c r="L332" s="64">
        <v>3.6</v>
      </c>
      <c r="M332" s="64"/>
      <c r="N332" s="34"/>
      <c r="O332" s="35"/>
    </row>
    <row r="333" spans="1:15" s="36" customFormat="1" ht="12" x14ac:dyDescent="0.2">
      <c r="A333" s="33"/>
      <c r="B333" s="69">
        <v>40102</v>
      </c>
      <c r="C333" s="65">
        <v>2100</v>
      </c>
      <c r="D333" s="65">
        <v>2830</v>
      </c>
      <c r="E333" s="65">
        <v>-730</v>
      </c>
      <c r="F333" s="34"/>
      <c r="G333" s="34"/>
      <c r="H333" s="33"/>
      <c r="I333" s="63">
        <v>43496</v>
      </c>
      <c r="J333" s="65">
        <v>0.4</v>
      </c>
      <c r="K333" s="65">
        <v>8.4</v>
      </c>
      <c r="L333" s="65">
        <v>17.2</v>
      </c>
      <c r="M333" s="65"/>
      <c r="N333" s="34"/>
      <c r="O333" s="35"/>
    </row>
    <row r="334" spans="1:15" s="36" customFormat="1" ht="12" x14ac:dyDescent="0.2">
      <c r="A334" s="33"/>
      <c r="B334" s="68">
        <v>40109</v>
      </c>
      <c r="C334" s="64">
        <v>850</v>
      </c>
      <c r="D334" s="64">
        <v>2450</v>
      </c>
      <c r="E334" s="64">
        <v>-1600</v>
      </c>
      <c r="F334" s="34"/>
      <c r="G334" s="34"/>
      <c r="H334" s="33"/>
      <c r="I334" s="62">
        <v>43524</v>
      </c>
      <c r="J334" s="64">
        <v>2</v>
      </c>
      <c r="K334" s="64">
        <v>8</v>
      </c>
      <c r="L334" s="64">
        <v>-2.4</v>
      </c>
      <c r="M334" s="64"/>
      <c r="N334" s="34"/>
      <c r="O334" s="35"/>
    </row>
    <row r="335" spans="1:15" s="36" customFormat="1" ht="12" x14ac:dyDescent="0.2">
      <c r="A335" s="33"/>
      <c r="B335" s="69">
        <v>40116</v>
      </c>
      <c r="C335" s="65">
        <v>550</v>
      </c>
      <c r="D335" s="65">
        <v>1880</v>
      </c>
      <c r="E335" s="65">
        <v>-1330</v>
      </c>
      <c r="F335" s="34"/>
      <c r="G335" s="34"/>
      <c r="H335" s="33"/>
      <c r="I335" s="63">
        <v>43555</v>
      </c>
      <c r="J335" s="65">
        <v>4.5999999999999996</v>
      </c>
      <c r="K335" s="65">
        <v>8.6</v>
      </c>
      <c r="L335" s="65">
        <v>3.1</v>
      </c>
      <c r="M335" s="65"/>
      <c r="N335" s="34"/>
      <c r="O335" s="35"/>
    </row>
    <row r="336" spans="1:15" s="36" customFormat="1" ht="12" x14ac:dyDescent="0.2">
      <c r="A336" s="33"/>
      <c r="B336" s="68">
        <v>40123</v>
      </c>
      <c r="C336" s="64">
        <v>850</v>
      </c>
      <c r="D336" s="64">
        <v>2080</v>
      </c>
      <c r="E336" s="64">
        <v>-1230</v>
      </c>
      <c r="F336" s="34"/>
      <c r="G336" s="34"/>
      <c r="H336" s="33"/>
      <c r="I336" s="62">
        <v>43585</v>
      </c>
      <c r="J336" s="64">
        <v>2.9</v>
      </c>
      <c r="K336" s="64">
        <v>8.5</v>
      </c>
      <c r="L336" s="64">
        <v>3.5</v>
      </c>
      <c r="M336" s="64"/>
      <c r="N336" s="34"/>
      <c r="O336" s="35"/>
    </row>
    <row r="337" spans="1:15" s="36" customFormat="1" ht="12" x14ac:dyDescent="0.2">
      <c r="A337" s="33"/>
      <c r="B337" s="69">
        <v>40130</v>
      </c>
      <c r="C337" s="65">
        <v>1200</v>
      </c>
      <c r="D337" s="65">
        <v>2010</v>
      </c>
      <c r="E337" s="65">
        <v>-810</v>
      </c>
      <c r="F337" s="34"/>
      <c r="G337" s="34"/>
      <c r="H337" s="33"/>
      <c r="I337" s="63">
        <v>43616</v>
      </c>
      <c r="J337" s="65">
        <v>3.4</v>
      </c>
      <c r="K337" s="65">
        <v>8.5</v>
      </c>
      <c r="L337" s="65">
        <v>4.3</v>
      </c>
      <c r="M337" s="65"/>
      <c r="N337" s="34"/>
      <c r="O337" s="35"/>
    </row>
    <row r="338" spans="1:15" s="36" customFormat="1" ht="12" x14ac:dyDescent="0.2">
      <c r="A338" s="33"/>
      <c r="B338" s="68">
        <v>40137</v>
      </c>
      <c r="C338" s="64">
        <v>950</v>
      </c>
      <c r="D338" s="64">
        <v>1880</v>
      </c>
      <c r="E338" s="64">
        <v>-930</v>
      </c>
      <c r="F338" s="34"/>
      <c r="G338" s="34"/>
      <c r="H338" s="33"/>
      <c r="I338" s="62">
        <v>43646</v>
      </c>
      <c r="J338" s="64">
        <v>4.4000000000000004</v>
      </c>
      <c r="K338" s="64">
        <v>8.5</v>
      </c>
      <c r="L338" s="64">
        <v>4.3</v>
      </c>
      <c r="M338" s="64"/>
      <c r="N338" s="34"/>
      <c r="O338" s="35"/>
    </row>
    <row r="339" spans="1:15" s="36" customFormat="1" ht="12" x14ac:dyDescent="0.2">
      <c r="A339" s="33"/>
      <c r="B339" s="69">
        <v>40144</v>
      </c>
      <c r="C339" s="65">
        <v>1250</v>
      </c>
      <c r="D339" s="65">
        <v>1270</v>
      </c>
      <c r="E339" s="65">
        <v>-20</v>
      </c>
      <c r="F339" s="34"/>
      <c r="G339" s="34"/>
      <c r="H339" s="33"/>
      <c r="I339" s="63">
        <v>43677</v>
      </c>
      <c r="J339" s="65">
        <v>3.1</v>
      </c>
      <c r="K339" s="65">
        <v>8.1</v>
      </c>
      <c r="L339" s="65">
        <v>4.5</v>
      </c>
      <c r="M339" s="65"/>
      <c r="N339" s="34"/>
      <c r="O339" s="35"/>
    </row>
    <row r="340" spans="1:15" s="36" customFormat="1" ht="12" x14ac:dyDescent="0.2">
      <c r="A340" s="33"/>
      <c r="B340" s="68">
        <v>40151</v>
      </c>
      <c r="C340" s="64">
        <v>1350</v>
      </c>
      <c r="D340" s="64">
        <v>1570</v>
      </c>
      <c r="E340" s="64">
        <v>-220</v>
      </c>
      <c r="F340" s="34"/>
      <c r="G340" s="34"/>
      <c r="H340" s="33"/>
      <c r="I340" s="62">
        <v>43708</v>
      </c>
      <c r="J340" s="64">
        <v>3.4</v>
      </c>
      <c r="K340" s="64">
        <v>8.1999999999999993</v>
      </c>
      <c r="L340" s="64">
        <v>4.8</v>
      </c>
      <c r="M340" s="64"/>
      <c r="N340" s="34"/>
      <c r="O340" s="35"/>
    </row>
    <row r="341" spans="1:15" s="36" customFormat="1" ht="12" x14ac:dyDescent="0.2">
      <c r="A341" s="33"/>
      <c r="B341" s="69">
        <v>40158</v>
      </c>
      <c r="C341" s="65">
        <v>1900</v>
      </c>
      <c r="D341" s="65">
        <v>1910</v>
      </c>
      <c r="E341" s="65">
        <v>-10</v>
      </c>
      <c r="F341" s="34"/>
      <c r="G341" s="34"/>
      <c r="H341" s="33"/>
      <c r="I341" s="63">
        <v>43738</v>
      </c>
      <c r="J341" s="65">
        <v>3.4</v>
      </c>
      <c r="K341" s="65">
        <v>8.4</v>
      </c>
      <c r="L341" s="65">
        <v>4</v>
      </c>
      <c r="M341" s="65"/>
      <c r="N341" s="34"/>
      <c r="O341" s="35"/>
    </row>
    <row r="342" spans="1:15" s="36" customFormat="1" ht="12" x14ac:dyDescent="0.2">
      <c r="A342" s="33"/>
      <c r="B342" s="68">
        <v>40165</v>
      </c>
      <c r="C342" s="64">
        <v>1850</v>
      </c>
      <c r="D342" s="64">
        <v>1950</v>
      </c>
      <c r="E342" s="64">
        <v>-100</v>
      </c>
      <c r="F342" s="34"/>
      <c r="G342" s="34"/>
      <c r="H342" s="33"/>
      <c r="I342" s="62">
        <v>43769</v>
      </c>
      <c r="J342" s="64">
        <v>3.3</v>
      </c>
      <c r="K342" s="64">
        <v>8.4</v>
      </c>
      <c r="L342" s="64">
        <v>4.7</v>
      </c>
      <c r="M342" s="64"/>
      <c r="N342" s="34"/>
      <c r="O342" s="35"/>
    </row>
    <row r="343" spans="1:15" s="36" customFormat="1" ht="12" x14ac:dyDescent="0.2">
      <c r="A343" s="33"/>
      <c r="B343" s="69">
        <v>40172</v>
      </c>
      <c r="C343" s="65">
        <v>700</v>
      </c>
      <c r="D343" s="65">
        <v>800</v>
      </c>
      <c r="E343" s="65">
        <v>-100</v>
      </c>
      <c r="F343" s="34"/>
      <c r="G343" s="34"/>
      <c r="H343" s="33"/>
      <c r="I343" s="63">
        <v>43799</v>
      </c>
      <c r="J343" s="65">
        <v>3.5</v>
      </c>
      <c r="K343" s="65">
        <v>8.1999999999999993</v>
      </c>
      <c r="L343" s="65">
        <v>4.8</v>
      </c>
      <c r="M343" s="65"/>
      <c r="N343" s="34"/>
      <c r="O343" s="35"/>
    </row>
    <row r="344" spans="1:15" s="36" customFormat="1" ht="12" x14ac:dyDescent="0.2">
      <c r="A344" s="33"/>
      <c r="B344" s="68">
        <v>40179</v>
      </c>
      <c r="C344" s="64">
        <v>450</v>
      </c>
      <c r="D344" s="64">
        <v>510</v>
      </c>
      <c r="E344" s="64">
        <v>-60</v>
      </c>
      <c r="F344" s="34"/>
      <c r="G344" s="34"/>
      <c r="H344" s="33"/>
      <c r="I344" s="62">
        <v>43830</v>
      </c>
      <c r="J344" s="64">
        <v>4.4000000000000004</v>
      </c>
      <c r="K344" s="64">
        <v>8.6999999999999993</v>
      </c>
      <c r="L344" s="64">
        <v>5.4</v>
      </c>
      <c r="M344" s="64"/>
      <c r="N344" s="34"/>
      <c r="O344" s="35"/>
    </row>
    <row r="345" spans="1:15" s="36" customFormat="1" ht="12" x14ac:dyDescent="0.2">
      <c r="A345" s="33"/>
      <c r="B345" s="69">
        <v>40186</v>
      </c>
      <c r="C345" s="65">
        <v>400</v>
      </c>
      <c r="D345" s="65">
        <v>1770</v>
      </c>
      <c r="E345" s="65">
        <v>-1370</v>
      </c>
      <c r="F345" s="34"/>
      <c r="G345" s="34"/>
      <c r="H345" s="33"/>
      <c r="I345" s="63">
        <v>43861</v>
      </c>
      <c r="J345" s="65">
        <v>0</v>
      </c>
      <c r="K345" s="65">
        <v>8.4</v>
      </c>
      <c r="L345" s="65">
        <v>6.6</v>
      </c>
      <c r="M345" s="65"/>
      <c r="N345" s="34"/>
      <c r="O345" s="35"/>
    </row>
    <row r="346" spans="1:15" s="36" customFormat="1" ht="12" x14ac:dyDescent="0.2">
      <c r="A346" s="33"/>
      <c r="B346" s="68">
        <v>40193</v>
      </c>
      <c r="C346" s="64">
        <v>2080</v>
      </c>
      <c r="D346" s="64">
        <v>3100</v>
      </c>
      <c r="E346" s="64">
        <v>-1020</v>
      </c>
      <c r="F346" s="34"/>
      <c r="G346" s="34"/>
      <c r="H346" s="33"/>
      <c r="I346" s="62">
        <v>43890</v>
      </c>
      <c r="J346" s="64">
        <v>4.8</v>
      </c>
      <c r="K346" s="64">
        <v>8.8000000000000007</v>
      </c>
      <c r="L346" s="64">
        <v>10.9</v>
      </c>
      <c r="M346" s="64"/>
      <c r="N346" s="34"/>
      <c r="O346" s="35"/>
    </row>
    <row r="347" spans="1:15" s="36" customFormat="1" ht="12" x14ac:dyDescent="0.2">
      <c r="A347" s="33"/>
      <c r="B347" s="69">
        <v>40200</v>
      </c>
      <c r="C347" s="65">
        <v>1900</v>
      </c>
      <c r="D347" s="65">
        <v>1620</v>
      </c>
      <c r="E347" s="65">
        <v>280</v>
      </c>
      <c r="F347" s="34"/>
      <c r="G347" s="34"/>
      <c r="H347" s="33"/>
      <c r="I347" s="63">
        <v>43921</v>
      </c>
      <c r="J347" s="65">
        <v>5</v>
      </c>
      <c r="K347" s="65">
        <v>10.1</v>
      </c>
      <c r="L347" s="65">
        <v>10.8</v>
      </c>
      <c r="M347" s="65"/>
      <c r="N347" s="34"/>
      <c r="O347" s="35"/>
    </row>
    <row r="348" spans="1:15" s="36" customFormat="1" ht="12" x14ac:dyDescent="0.2">
      <c r="A348" s="33"/>
      <c r="B348" s="68">
        <v>40207</v>
      </c>
      <c r="C348" s="64">
        <v>2060</v>
      </c>
      <c r="D348" s="64">
        <v>600</v>
      </c>
      <c r="E348" s="64">
        <v>1460</v>
      </c>
      <c r="F348" s="34"/>
      <c r="G348" s="34"/>
      <c r="H348" s="33"/>
      <c r="I348" s="62">
        <v>43951</v>
      </c>
      <c r="J348" s="64">
        <v>5.5</v>
      </c>
      <c r="K348" s="64">
        <v>11.1</v>
      </c>
      <c r="L348" s="64">
        <v>10.199999999999999</v>
      </c>
      <c r="M348" s="64"/>
      <c r="N348" s="34"/>
      <c r="O348" s="35"/>
    </row>
    <row r="349" spans="1:15" s="36" customFormat="1" ht="12" x14ac:dyDescent="0.2">
      <c r="A349" s="33"/>
      <c r="B349" s="69">
        <v>40214</v>
      </c>
      <c r="C349" s="65">
        <v>2660</v>
      </c>
      <c r="D349" s="65">
        <v>520</v>
      </c>
      <c r="E349" s="65">
        <v>2140</v>
      </c>
      <c r="F349" s="34"/>
      <c r="G349" s="34"/>
      <c r="H349" s="33"/>
      <c r="I349" s="63">
        <v>43982</v>
      </c>
      <c r="J349" s="65">
        <v>6.8</v>
      </c>
      <c r="K349" s="65">
        <v>11.1</v>
      </c>
      <c r="L349" s="65">
        <v>9.5</v>
      </c>
      <c r="M349" s="65"/>
      <c r="N349" s="34"/>
      <c r="O349" s="35"/>
    </row>
    <row r="350" spans="1:15" s="36" customFormat="1" ht="12" x14ac:dyDescent="0.2">
      <c r="A350" s="33"/>
      <c r="B350" s="68">
        <v>40221</v>
      </c>
      <c r="C350" s="64">
        <v>3480</v>
      </c>
      <c r="D350" s="64">
        <v>540</v>
      </c>
      <c r="E350" s="64">
        <v>2940</v>
      </c>
      <c r="F350" s="34"/>
      <c r="G350" s="34"/>
      <c r="H350" s="33"/>
      <c r="I350" s="62">
        <v>44012</v>
      </c>
      <c r="J350" s="64">
        <v>6.5</v>
      </c>
      <c r="K350" s="64">
        <v>11.1</v>
      </c>
      <c r="L350" s="64">
        <v>9.5</v>
      </c>
      <c r="M350" s="64"/>
      <c r="N350" s="34"/>
      <c r="O350" s="35"/>
    </row>
    <row r="351" spans="1:15" s="36" customFormat="1" ht="12" x14ac:dyDescent="0.2">
      <c r="A351" s="33"/>
      <c r="B351" s="69">
        <v>40228</v>
      </c>
      <c r="C351" s="65">
        <v>750</v>
      </c>
      <c r="D351" s="65">
        <v>0</v>
      </c>
      <c r="E351" s="65">
        <v>750</v>
      </c>
      <c r="F351" s="34"/>
      <c r="G351" s="34"/>
      <c r="H351" s="33"/>
      <c r="I351" s="63">
        <v>44043</v>
      </c>
      <c r="J351" s="65">
        <v>6.9</v>
      </c>
      <c r="K351" s="65">
        <v>10.7</v>
      </c>
      <c r="L351" s="65">
        <v>9.9</v>
      </c>
      <c r="M351" s="65"/>
      <c r="N351" s="34"/>
      <c r="O351" s="35"/>
    </row>
    <row r="352" spans="1:15" s="36" customFormat="1" ht="12" x14ac:dyDescent="0.2">
      <c r="A352" s="33"/>
      <c r="B352" s="68">
        <v>40235</v>
      </c>
      <c r="C352" s="64">
        <v>760</v>
      </c>
      <c r="D352" s="64">
        <v>1370</v>
      </c>
      <c r="E352" s="64">
        <v>-610</v>
      </c>
      <c r="F352" s="34"/>
      <c r="G352" s="34"/>
      <c r="H352" s="33"/>
      <c r="I352" s="62">
        <v>44074</v>
      </c>
      <c r="J352" s="64">
        <v>8</v>
      </c>
      <c r="K352" s="64">
        <v>10.4</v>
      </c>
      <c r="L352" s="64">
        <v>9.4</v>
      </c>
      <c r="M352" s="64"/>
      <c r="N352" s="34"/>
      <c r="O352" s="35"/>
    </row>
    <row r="353" spans="1:15" s="36" customFormat="1" ht="12" x14ac:dyDescent="0.2">
      <c r="A353" s="33"/>
      <c r="B353" s="69">
        <v>40242</v>
      </c>
      <c r="C353" s="65">
        <v>1400</v>
      </c>
      <c r="D353" s="65">
        <v>1990</v>
      </c>
      <c r="E353" s="65">
        <v>-590</v>
      </c>
      <c r="F353" s="34"/>
      <c r="G353" s="34"/>
      <c r="H353" s="33"/>
      <c r="I353" s="63">
        <v>44104</v>
      </c>
      <c r="J353" s="65">
        <v>8.1</v>
      </c>
      <c r="K353" s="65">
        <v>10.9</v>
      </c>
      <c r="L353" s="65">
        <v>11.1</v>
      </c>
      <c r="M353" s="65"/>
      <c r="N353" s="34"/>
      <c r="O353" s="35"/>
    </row>
    <row r="354" spans="1:15" s="36" customFormat="1" ht="12" x14ac:dyDescent="0.2">
      <c r="A354" s="33"/>
      <c r="B354" s="68">
        <v>40249</v>
      </c>
      <c r="C354" s="64">
        <v>2710</v>
      </c>
      <c r="D354" s="64">
        <v>3530</v>
      </c>
      <c r="E354" s="64">
        <v>-820</v>
      </c>
      <c r="F354" s="34"/>
      <c r="G354" s="34"/>
      <c r="H354" s="33"/>
      <c r="I354" s="62">
        <v>44135</v>
      </c>
      <c r="J354" s="64">
        <v>9.1</v>
      </c>
      <c r="K354" s="64">
        <v>10.5</v>
      </c>
      <c r="L354" s="64">
        <v>10.4</v>
      </c>
      <c r="M354" s="64"/>
      <c r="N354" s="34"/>
      <c r="O354" s="35"/>
    </row>
    <row r="355" spans="1:15" s="36" customFormat="1" ht="12" x14ac:dyDescent="0.2">
      <c r="A355" s="33"/>
      <c r="B355" s="69">
        <v>40256</v>
      </c>
      <c r="C355" s="65">
        <v>1900</v>
      </c>
      <c r="D355" s="65">
        <v>4030</v>
      </c>
      <c r="E355" s="65">
        <v>-2130</v>
      </c>
      <c r="F355" s="34"/>
      <c r="G355" s="34"/>
      <c r="H355" s="33"/>
      <c r="I355" s="63">
        <v>44165</v>
      </c>
      <c r="J355" s="65">
        <v>10</v>
      </c>
      <c r="K355" s="65">
        <v>10.7</v>
      </c>
      <c r="L355" s="65">
        <v>10.3</v>
      </c>
      <c r="M355" s="65"/>
      <c r="N355" s="34"/>
      <c r="O355" s="35"/>
    </row>
    <row r="356" spans="1:15" s="36" customFormat="1" ht="12" x14ac:dyDescent="0.2">
      <c r="A356" s="33"/>
      <c r="B356" s="68">
        <v>40263</v>
      </c>
      <c r="C356" s="64">
        <v>1150</v>
      </c>
      <c r="D356" s="64">
        <v>3330</v>
      </c>
      <c r="E356" s="64">
        <v>-2180</v>
      </c>
      <c r="F356" s="34"/>
      <c r="G356" s="34"/>
      <c r="H356" s="33"/>
      <c r="I356" s="62">
        <v>44196</v>
      </c>
      <c r="J356" s="64">
        <v>8.6</v>
      </c>
      <c r="K356" s="64">
        <v>10.1</v>
      </c>
      <c r="L356" s="64">
        <v>9.1999999999999993</v>
      </c>
      <c r="M356" s="64"/>
      <c r="N356" s="34"/>
      <c r="O356" s="35"/>
    </row>
    <row r="357" spans="1:15" s="36" customFormat="1" ht="12" x14ac:dyDescent="0.2">
      <c r="A357" s="33"/>
      <c r="B357" s="69">
        <v>40270</v>
      </c>
      <c r="C357" s="65">
        <v>600</v>
      </c>
      <c r="D357" s="65">
        <v>2230</v>
      </c>
      <c r="E357" s="65">
        <v>-1630</v>
      </c>
      <c r="F357" s="34"/>
      <c r="G357" s="34"/>
      <c r="H357" s="33"/>
      <c r="I357" s="63">
        <v>44227</v>
      </c>
      <c r="J357" s="65">
        <v>14.7</v>
      </c>
      <c r="K357" s="65">
        <v>9.4</v>
      </c>
      <c r="L357" s="65">
        <v>-3.9</v>
      </c>
      <c r="M357" s="65"/>
      <c r="N357" s="34"/>
      <c r="O357" s="35"/>
    </row>
    <row r="358" spans="1:15" s="36" customFormat="1" ht="12" x14ac:dyDescent="0.2">
      <c r="A358" s="33"/>
      <c r="B358" s="68">
        <v>40277</v>
      </c>
      <c r="C358" s="64">
        <v>1800</v>
      </c>
      <c r="D358" s="64">
        <v>2900</v>
      </c>
      <c r="E358" s="64">
        <v>-1100</v>
      </c>
      <c r="F358" s="34"/>
      <c r="G358" s="34"/>
      <c r="H358" s="33"/>
      <c r="I358" s="62">
        <v>44255</v>
      </c>
      <c r="J358" s="64">
        <v>7.4</v>
      </c>
      <c r="K358" s="64">
        <v>10.1</v>
      </c>
      <c r="L358" s="64">
        <v>4.2</v>
      </c>
      <c r="M358" s="64"/>
      <c r="N358" s="34"/>
      <c r="O358" s="35"/>
    </row>
    <row r="359" spans="1:15" s="36" customFormat="1" ht="12" x14ac:dyDescent="0.2">
      <c r="A359" s="33"/>
      <c r="B359" s="69">
        <v>40284</v>
      </c>
      <c r="C359" s="65">
        <v>2280</v>
      </c>
      <c r="D359" s="65">
        <v>2420</v>
      </c>
      <c r="E359" s="65">
        <v>-140</v>
      </c>
      <c r="F359" s="34"/>
      <c r="G359" s="34"/>
      <c r="H359" s="33"/>
      <c r="I359" s="63">
        <v>44286</v>
      </c>
      <c r="J359" s="65">
        <v>7.1</v>
      </c>
      <c r="K359" s="65">
        <v>9.4</v>
      </c>
      <c r="L359" s="65">
        <v>4.2</v>
      </c>
      <c r="M359" s="65"/>
      <c r="N359" s="34"/>
      <c r="O359" s="35"/>
    </row>
    <row r="360" spans="1:15" s="36" customFormat="1" ht="12" x14ac:dyDescent="0.2">
      <c r="A360" s="33"/>
      <c r="B360" s="68">
        <v>40291</v>
      </c>
      <c r="C360" s="64">
        <v>1980</v>
      </c>
      <c r="D360" s="64">
        <v>2630</v>
      </c>
      <c r="E360" s="64">
        <v>-650</v>
      </c>
      <c r="F360" s="34"/>
      <c r="G360" s="34"/>
      <c r="H360" s="33"/>
      <c r="I360" s="62">
        <v>44316</v>
      </c>
      <c r="J360" s="64">
        <v>6.2</v>
      </c>
      <c r="K360" s="64">
        <v>8.1</v>
      </c>
      <c r="L360" s="64">
        <v>5.3</v>
      </c>
      <c r="M360" s="64"/>
      <c r="N360" s="34"/>
      <c r="O360" s="35"/>
    </row>
    <row r="361" spans="1:15" s="36" customFormat="1" ht="12" x14ac:dyDescent="0.2">
      <c r="A361" s="33"/>
      <c r="B361" s="69">
        <v>40298</v>
      </c>
      <c r="C361" s="65">
        <v>850</v>
      </c>
      <c r="D361" s="65">
        <v>2000</v>
      </c>
      <c r="E361" s="65">
        <v>-1150</v>
      </c>
      <c r="F361" s="34"/>
      <c r="G361" s="34"/>
      <c r="H361" s="33"/>
      <c r="I361" s="63">
        <v>44347</v>
      </c>
      <c r="J361" s="65">
        <v>6.1</v>
      </c>
      <c r="K361" s="65">
        <v>8.3000000000000007</v>
      </c>
      <c r="L361" s="65">
        <v>5.6</v>
      </c>
      <c r="M361" s="65"/>
      <c r="N361" s="34"/>
      <c r="O361" s="35"/>
    </row>
    <row r="362" spans="1:15" s="36" customFormat="1" ht="12" x14ac:dyDescent="0.2">
      <c r="A362" s="33"/>
      <c r="B362" s="68">
        <v>40305</v>
      </c>
      <c r="C362" s="64">
        <v>1220</v>
      </c>
      <c r="D362" s="64">
        <v>1440</v>
      </c>
      <c r="E362" s="64">
        <v>-220</v>
      </c>
      <c r="F362" s="34"/>
      <c r="G362" s="34"/>
      <c r="H362" s="33"/>
      <c r="I362" s="62">
        <v>44377</v>
      </c>
      <c r="J362" s="64">
        <v>5.5</v>
      </c>
      <c r="K362" s="64">
        <v>8.6</v>
      </c>
      <c r="L362" s="64">
        <v>6.2</v>
      </c>
      <c r="M362" s="64"/>
      <c r="N362" s="34"/>
      <c r="O362" s="35"/>
    </row>
    <row r="363" spans="1:15" s="36" customFormat="1" ht="12" x14ac:dyDescent="0.2">
      <c r="A363" s="33"/>
      <c r="B363" s="69">
        <v>40312</v>
      </c>
      <c r="C363" s="65">
        <v>2160</v>
      </c>
      <c r="D363" s="65">
        <v>640</v>
      </c>
      <c r="E363" s="65">
        <v>1520</v>
      </c>
      <c r="F363" s="34"/>
      <c r="G363" s="34"/>
      <c r="H363" s="33"/>
      <c r="I363" s="63">
        <v>44408</v>
      </c>
      <c r="J363" s="65">
        <v>4.9000000000000004</v>
      </c>
      <c r="K363" s="65">
        <v>8.3000000000000007</v>
      </c>
      <c r="L363" s="65">
        <v>6.1</v>
      </c>
      <c r="M363" s="65"/>
      <c r="N363" s="34"/>
      <c r="O363" s="35"/>
    </row>
    <row r="364" spans="1:15" s="36" customFormat="1" ht="12" x14ac:dyDescent="0.2">
      <c r="A364" s="33"/>
      <c r="B364" s="68">
        <v>40319</v>
      </c>
      <c r="C364" s="64">
        <v>950</v>
      </c>
      <c r="D364" s="64">
        <v>1460</v>
      </c>
      <c r="E364" s="64">
        <v>-510</v>
      </c>
      <c r="F364" s="34"/>
      <c r="G364" s="34"/>
      <c r="H364" s="33"/>
      <c r="I364" s="62">
        <v>44439</v>
      </c>
      <c r="J364" s="64">
        <v>4.2</v>
      </c>
      <c r="K364" s="64">
        <v>8.1999999999999993</v>
      </c>
      <c r="L364" s="64">
        <v>6.3</v>
      </c>
      <c r="M364" s="64"/>
      <c r="N364" s="34"/>
      <c r="O364" s="35"/>
    </row>
    <row r="365" spans="1:15" s="36" customFormat="1" ht="12" x14ac:dyDescent="0.2">
      <c r="A365" s="33"/>
      <c r="B365" s="69">
        <v>40326</v>
      </c>
      <c r="C365" s="65">
        <v>1800</v>
      </c>
      <c r="D365" s="65">
        <v>350</v>
      </c>
      <c r="E365" s="65">
        <v>1450</v>
      </c>
      <c r="F365" s="34"/>
      <c r="G365" s="34"/>
      <c r="H365" s="33"/>
      <c r="I365" s="63">
        <v>44469</v>
      </c>
      <c r="J365" s="65">
        <v>3.7</v>
      </c>
      <c r="K365" s="65">
        <v>8.3000000000000007</v>
      </c>
      <c r="L365" s="65">
        <v>5.5</v>
      </c>
      <c r="M365" s="65"/>
      <c r="N365" s="34"/>
      <c r="O365" s="35"/>
    </row>
    <row r="366" spans="1:15" s="36" customFormat="1" ht="12" x14ac:dyDescent="0.2">
      <c r="A366" s="33"/>
      <c r="B366" s="68">
        <v>40333</v>
      </c>
      <c r="C366" s="64">
        <v>1440</v>
      </c>
      <c r="D366" s="64">
        <v>1300</v>
      </c>
      <c r="E366" s="64">
        <v>140</v>
      </c>
      <c r="F366" s="34"/>
      <c r="G366" s="34"/>
      <c r="H366" s="33"/>
      <c r="I366" s="62">
        <v>44500</v>
      </c>
      <c r="J366" s="64">
        <v>2.8</v>
      </c>
      <c r="K366" s="64">
        <v>8.6999999999999993</v>
      </c>
      <c r="L366" s="64">
        <v>6.2</v>
      </c>
      <c r="M366" s="64"/>
      <c r="N366" s="34"/>
      <c r="O366" s="35"/>
    </row>
    <row r="367" spans="1:15" s="36" customFormat="1" ht="12" x14ac:dyDescent="0.2">
      <c r="A367" s="33"/>
      <c r="B367" s="69">
        <v>40340</v>
      </c>
      <c r="C367" s="65">
        <v>2110</v>
      </c>
      <c r="D367" s="65">
        <v>450</v>
      </c>
      <c r="E367" s="65">
        <v>1660</v>
      </c>
      <c r="F367" s="34"/>
      <c r="G367" s="34"/>
      <c r="H367" s="33"/>
      <c r="I367" s="63">
        <v>44530</v>
      </c>
      <c r="J367" s="65">
        <v>3</v>
      </c>
      <c r="K367" s="65">
        <v>8.5</v>
      </c>
      <c r="L367" s="65">
        <v>7.2</v>
      </c>
      <c r="M367" s="65"/>
      <c r="N367" s="34"/>
      <c r="O367" s="35"/>
    </row>
    <row r="368" spans="1:15" s="36" customFormat="1" ht="12" x14ac:dyDescent="0.2">
      <c r="A368" s="33"/>
      <c r="B368" s="68">
        <v>40347</v>
      </c>
      <c r="C368" s="64">
        <v>2130</v>
      </c>
      <c r="D368" s="64">
        <v>230</v>
      </c>
      <c r="E368" s="64">
        <v>1900</v>
      </c>
      <c r="F368" s="34"/>
      <c r="G368" s="34"/>
      <c r="H368" s="33"/>
      <c r="I368" s="62">
        <v>44561</v>
      </c>
      <c r="J368" s="64">
        <v>3.5</v>
      </c>
      <c r="K368" s="64">
        <v>9</v>
      </c>
      <c r="L368" s="64">
        <v>7.7</v>
      </c>
      <c r="M368" s="64"/>
      <c r="N368" s="34"/>
      <c r="O368" s="35"/>
    </row>
    <row r="369" spans="1:15" s="36" customFormat="1" ht="12" x14ac:dyDescent="0.2">
      <c r="A369" s="33"/>
      <c r="B369" s="69">
        <v>40354</v>
      </c>
      <c r="C369" s="65">
        <v>2110</v>
      </c>
      <c r="D369" s="65">
        <v>100</v>
      </c>
      <c r="E369" s="65">
        <v>2010</v>
      </c>
      <c r="F369" s="34"/>
      <c r="G369" s="34"/>
      <c r="H369" s="33"/>
      <c r="I369" s="63">
        <v>44592</v>
      </c>
      <c r="J369" s="65">
        <v>-1.9</v>
      </c>
      <c r="K369" s="65">
        <v>9.8000000000000007</v>
      </c>
      <c r="L369" s="65">
        <v>18.5</v>
      </c>
      <c r="M369" s="65"/>
      <c r="N369" s="34"/>
      <c r="O369" s="35"/>
    </row>
    <row r="370" spans="1:15" s="36" customFormat="1" ht="12" x14ac:dyDescent="0.2">
      <c r="A370" s="33"/>
      <c r="B370" s="68">
        <v>40361</v>
      </c>
      <c r="C370" s="64">
        <v>1440</v>
      </c>
      <c r="D370" s="64">
        <v>770</v>
      </c>
      <c r="E370" s="64">
        <v>670</v>
      </c>
      <c r="F370" s="34"/>
      <c r="G370" s="34"/>
      <c r="H370" s="33"/>
      <c r="I370" s="62">
        <v>44620</v>
      </c>
      <c r="J370" s="64">
        <v>4.7</v>
      </c>
      <c r="K370" s="64">
        <v>9.1999999999999993</v>
      </c>
      <c r="L370" s="64">
        <v>5.8</v>
      </c>
      <c r="M370" s="64"/>
      <c r="N370" s="34"/>
      <c r="O370" s="35"/>
    </row>
    <row r="371" spans="1:15" s="36" customFormat="1" ht="12" x14ac:dyDescent="0.2">
      <c r="A371" s="33"/>
      <c r="B371" s="69">
        <v>40368</v>
      </c>
      <c r="C371" s="65">
        <v>1360</v>
      </c>
      <c r="D371" s="65">
        <v>310</v>
      </c>
      <c r="E371" s="65">
        <v>1050</v>
      </c>
      <c r="F371" s="34"/>
      <c r="G371" s="34"/>
      <c r="H371" s="33"/>
      <c r="I371" s="63">
        <v>44651</v>
      </c>
      <c r="J371" s="65">
        <v>4.7</v>
      </c>
      <c r="K371" s="65">
        <v>9.6999999999999993</v>
      </c>
      <c r="L371" s="65">
        <v>10</v>
      </c>
      <c r="M371" s="65"/>
      <c r="N371" s="34"/>
      <c r="O371" s="35"/>
    </row>
    <row r="372" spans="1:15" s="36" customFormat="1" ht="12" x14ac:dyDescent="0.2">
      <c r="A372" s="33"/>
      <c r="B372" s="68">
        <v>40375</v>
      </c>
      <c r="C372" s="64">
        <v>2890</v>
      </c>
      <c r="D372" s="64">
        <v>2400</v>
      </c>
      <c r="E372" s="64">
        <v>490</v>
      </c>
      <c r="F372" s="34"/>
      <c r="G372" s="34"/>
      <c r="H372" s="33"/>
      <c r="I372" s="62">
        <v>44681</v>
      </c>
      <c r="J372" s="64">
        <v>5.0999999999999996</v>
      </c>
      <c r="K372" s="64">
        <v>10.5</v>
      </c>
      <c r="L372" s="64">
        <v>11.5</v>
      </c>
      <c r="M372" s="64"/>
      <c r="N372" s="34"/>
      <c r="O372" s="35"/>
    </row>
    <row r="373" spans="1:15" s="36" customFormat="1" ht="12" x14ac:dyDescent="0.2">
      <c r="A373" s="33"/>
      <c r="B373" s="69">
        <v>40382</v>
      </c>
      <c r="C373" s="65">
        <v>940</v>
      </c>
      <c r="D373" s="65">
        <v>1750</v>
      </c>
      <c r="E373" s="65">
        <v>-810</v>
      </c>
      <c r="F373" s="34"/>
      <c r="G373" s="34"/>
      <c r="H373" s="33"/>
      <c r="I373" s="63">
        <v>44712</v>
      </c>
      <c r="J373" s="65">
        <v>4.5999999999999996</v>
      </c>
      <c r="K373" s="65">
        <v>11.1</v>
      </c>
      <c r="L373" s="65">
        <v>13.5</v>
      </c>
      <c r="M373" s="65"/>
      <c r="N373" s="34"/>
      <c r="O373" s="35"/>
    </row>
    <row r="374" spans="1:15" s="36" customFormat="1" ht="12" x14ac:dyDescent="0.2">
      <c r="A374" s="33"/>
      <c r="B374" s="68">
        <v>40389</v>
      </c>
      <c r="C374" s="64">
        <v>860</v>
      </c>
      <c r="D374" s="64">
        <v>1700</v>
      </c>
      <c r="E374" s="64">
        <v>-840</v>
      </c>
      <c r="F374" s="34"/>
      <c r="G374" s="34"/>
      <c r="H374" s="33"/>
      <c r="I374" s="62">
        <v>44742</v>
      </c>
      <c r="J374" s="64">
        <v>5.8</v>
      </c>
      <c r="K374" s="64">
        <v>11.4</v>
      </c>
      <c r="L374" s="64">
        <v>13.9</v>
      </c>
      <c r="M374" s="64"/>
      <c r="N374" s="34"/>
      <c r="O374" s="35"/>
    </row>
    <row r="375" spans="1:15" s="36" customFormat="1" ht="12" x14ac:dyDescent="0.2">
      <c r="A375" s="33"/>
      <c r="B375" s="69">
        <v>40396</v>
      </c>
      <c r="C375" s="65">
        <v>580</v>
      </c>
      <c r="D375" s="65">
        <v>600</v>
      </c>
      <c r="E375" s="65">
        <v>-20</v>
      </c>
      <c r="F375" s="34"/>
      <c r="G375" s="34"/>
      <c r="H375" s="33"/>
      <c r="I375" s="63">
        <v>44773</v>
      </c>
      <c r="J375" s="65">
        <v>6.7</v>
      </c>
      <c r="K375" s="65">
        <v>12</v>
      </c>
      <c r="L375" s="65">
        <v>13.9</v>
      </c>
      <c r="M375" s="65"/>
      <c r="N375" s="34"/>
      <c r="O375" s="35"/>
    </row>
    <row r="376" spans="1:15" s="36" customFormat="1" ht="12" x14ac:dyDescent="0.2">
      <c r="A376" s="33"/>
      <c r="B376" s="68">
        <v>40403</v>
      </c>
      <c r="C376" s="64">
        <v>920</v>
      </c>
      <c r="D376" s="64">
        <v>1590</v>
      </c>
      <c r="E376" s="64">
        <v>-670</v>
      </c>
      <c r="F376" s="34"/>
      <c r="G376" s="34"/>
      <c r="H376" s="33"/>
      <c r="I376" s="62">
        <v>44804</v>
      </c>
      <c r="J376" s="64">
        <v>6.1</v>
      </c>
      <c r="K376" s="64">
        <v>12.2</v>
      </c>
      <c r="L376" s="64">
        <v>14.3</v>
      </c>
      <c r="M376" s="64"/>
      <c r="N376" s="34"/>
      <c r="O376" s="35"/>
    </row>
    <row r="377" spans="1:15" s="36" customFormat="1" ht="12" x14ac:dyDescent="0.2">
      <c r="A377" s="33"/>
      <c r="B377" s="69">
        <v>40410</v>
      </c>
      <c r="C377" s="65">
        <v>1660</v>
      </c>
      <c r="D377" s="65">
        <v>1250</v>
      </c>
      <c r="E377" s="65">
        <v>410</v>
      </c>
      <c r="F377" s="34"/>
      <c r="G377" s="34"/>
      <c r="H377" s="33"/>
      <c r="I377" s="63">
        <v>44834</v>
      </c>
      <c r="J377" s="65">
        <v>6.4</v>
      </c>
      <c r="K377" s="65">
        <v>12.1</v>
      </c>
      <c r="L377" s="65">
        <v>13.6</v>
      </c>
      <c r="M377" s="65"/>
      <c r="N377" s="34"/>
      <c r="O377" s="35"/>
    </row>
    <row r="378" spans="1:15" s="36" customFormat="1" ht="12" x14ac:dyDescent="0.2">
      <c r="A378" s="33"/>
      <c r="B378" s="68">
        <v>40417</v>
      </c>
      <c r="C378" s="64">
        <v>600</v>
      </c>
      <c r="D378" s="64">
        <v>1510</v>
      </c>
      <c r="E378" s="64">
        <v>-910</v>
      </c>
      <c r="F378" s="34"/>
      <c r="G378" s="34"/>
      <c r="H378" s="33"/>
      <c r="I378" s="62">
        <v>44865</v>
      </c>
      <c r="J378" s="64">
        <v>5.8</v>
      </c>
      <c r="K378" s="64">
        <v>11.8</v>
      </c>
      <c r="L378" s="64">
        <v>14.4</v>
      </c>
      <c r="M378" s="64"/>
      <c r="N378" s="34"/>
      <c r="O378" s="35"/>
    </row>
    <row r="379" spans="1:15" s="36" customFormat="1" ht="12" x14ac:dyDescent="0.2">
      <c r="A379" s="33"/>
      <c r="B379" s="69">
        <v>40424</v>
      </c>
      <c r="C379" s="65">
        <v>1000</v>
      </c>
      <c r="D379" s="65">
        <v>300</v>
      </c>
      <c r="E379" s="65">
        <v>700</v>
      </c>
      <c r="F379" s="34"/>
      <c r="G379" s="34"/>
      <c r="H379" s="33"/>
      <c r="I379" s="63">
        <v>44895</v>
      </c>
      <c r="J379" s="65">
        <v>4.5999999999999996</v>
      </c>
      <c r="K379" s="65">
        <v>12.4</v>
      </c>
      <c r="L379" s="65">
        <v>14.1</v>
      </c>
      <c r="M379" s="65"/>
      <c r="N379" s="34"/>
      <c r="O379" s="35"/>
    </row>
    <row r="380" spans="1:15" s="36" customFormat="1" ht="12" x14ac:dyDescent="0.2">
      <c r="A380" s="33"/>
      <c r="B380" s="68">
        <v>40431</v>
      </c>
      <c r="C380" s="64">
        <v>2740</v>
      </c>
      <c r="D380" s="64">
        <v>2030</v>
      </c>
      <c r="E380" s="64">
        <v>710</v>
      </c>
      <c r="F380" s="34"/>
      <c r="G380" s="34"/>
      <c r="H380" s="33"/>
      <c r="I380" s="62">
        <v>44926</v>
      </c>
      <c r="J380" s="64">
        <v>3.7</v>
      </c>
      <c r="K380" s="64">
        <v>11.8</v>
      </c>
      <c r="L380" s="64">
        <v>15.3</v>
      </c>
      <c r="M380" s="64"/>
      <c r="N380" s="34"/>
      <c r="O380" s="35"/>
    </row>
    <row r="381" spans="1:15" s="36" customFormat="1" ht="12" x14ac:dyDescent="0.2">
      <c r="A381" s="33"/>
      <c r="B381" s="69">
        <v>40438</v>
      </c>
      <c r="C381" s="65">
        <v>850</v>
      </c>
      <c r="D381" s="65">
        <v>1230</v>
      </c>
      <c r="E381" s="65">
        <v>-380</v>
      </c>
      <c r="F381" s="34"/>
      <c r="G381" s="34"/>
      <c r="H381" s="33"/>
      <c r="I381" s="63">
        <v>44957</v>
      </c>
      <c r="J381" s="65">
        <v>6.7</v>
      </c>
      <c r="K381" s="65">
        <v>12.6</v>
      </c>
      <c r="L381" s="65">
        <v>7.9</v>
      </c>
      <c r="M381" s="65"/>
      <c r="N381" s="34"/>
      <c r="O381" s="35"/>
    </row>
    <row r="382" spans="1:15" s="36" customFormat="1" ht="12" x14ac:dyDescent="0.2">
      <c r="A382" s="33"/>
      <c r="B382" s="68">
        <v>40445</v>
      </c>
      <c r="C382" s="64">
        <v>980</v>
      </c>
      <c r="D382" s="64">
        <v>80</v>
      </c>
      <c r="E382" s="64">
        <v>900</v>
      </c>
      <c r="F382" s="34"/>
      <c r="G382" s="34"/>
      <c r="H382" s="33"/>
      <c r="I382" s="62">
        <v>44985</v>
      </c>
      <c r="J382" s="64">
        <v>5.8</v>
      </c>
      <c r="K382" s="64">
        <v>12.9</v>
      </c>
      <c r="L382" s="64">
        <v>10.6</v>
      </c>
      <c r="M382" s="64"/>
      <c r="N382" s="34"/>
      <c r="O382" s="35"/>
    </row>
    <row r="383" spans="1:15" s="36" customFormat="1" ht="12" x14ac:dyDescent="0.2">
      <c r="A383" s="33"/>
      <c r="B383" s="69">
        <v>40452</v>
      </c>
      <c r="C383" s="65">
        <v>0</v>
      </c>
      <c r="D383" s="65">
        <v>540</v>
      </c>
      <c r="E383" s="65">
        <v>-540</v>
      </c>
      <c r="F383" s="34"/>
      <c r="G383" s="34"/>
      <c r="H383" s="33"/>
      <c r="I383" s="63">
        <v>45016</v>
      </c>
      <c r="J383" s="65">
        <v>5.0999999999999996</v>
      </c>
      <c r="K383" s="65">
        <v>12.7</v>
      </c>
      <c r="L383" s="65">
        <v>11</v>
      </c>
      <c r="M383" s="65"/>
      <c r="N383" s="34"/>
      <c r="O383" s="35"/>
    </row>
    <row r="384" spans="1:15" s="36" customFormat="1" ht="12" x14ac:dyDescent="0.2">
      <c r="A384" s="33"/>
      <c r="B384" s="68">
        <v>40459</v>
      </c>
      <c r="C384" s="64">
        <v>250</v>
      </c>
      <c r="D384" s="64">
        <v>0</v>
      </c>
      <c r="E384" s="64">
        <v>250</v>
      </c>
      <c r="F384" s="34"/>
      <c r="G384" s="34"/>
      <c r="H384" s="33"/>
      <c r="I384" s="62">
        <v>45046</v>
      </c>
      <c r="J384" s="64">
        <v>5.3</v>
      </c>
      <c r="K384" s="64">
        <v>12.4</v>
      </c>
      <c r="L384" s="64">
        <v>10.7</v>
      </c>
      <c r="M384" s="64"/>
      <c r="N384" s="34"/>
      <c r="O384" s="35"/>
    </row>
    <row r="385" spans="1:15" s="36" customFormat="1" ht="12" x14ac:dyDescent="0.2">
      <c r="A385" s="33"/>
      <c r="B385" s="69">
        <v>40466</v>
      </c>
      <c r="C385" s="65">
        <v>2950</v>
      </c>
      <c r="D385" s="65">
        <v>1140</v>
      </c>
      <c r="E385" s="65">
        <v>1810</v>
      </c>
      <c r="F385" s="34"/>
      <c r="G385" s="34"/>
      <c r="H385" s="33"/>
      <c r="I385" s="63">
        <v>45077</v>
      </c>
      <c r="J385" s="65">
        <v>4.7</v>
      </c>
      <c r="K385" s="65">
        <v>11.6</v>
      </c>
      <c r="L385" s="65">
        <v>9.6</v>
      </c>
      <c r="M385" s="65"/>
      <c r="N385" s="34"/>
      <c r="O385" s="35"/>
    </row>
    <row r="386" spans="1:15" s="36" customFormat="1" ht="12" x14ac:dyDescent="0.2">
      <c r="A386" s="33"/>
      <c r="B386" s="68">
        <v>40473</v>
      </c>
      <c r="C386" s="64">
        <v>1770</v>
      </c>
      <c r="D386" s="64">
        <v>2380</v>
      </c>
      <c r="E386" s="64">
        <v>-610</v>
      </c>
      <c r="F386" s="34"/>
      <c r="G386" s="34"/>
      <c r="H386" s="33"/>
      <c r="I386" s="62">
        <v>45107</v>
      </c>
      <c r="J386" s="64">
        <v>3.1</v>
      </c>
      <c r="K386" s="64">
        <v>11.3</v>
      </c>
      <c r="L386" s="64">
        <v>9.8000000000000007</v>
      </c>
      <c r="M386" s="64"/>
      <c r="N386" s="34"/>
      <c r="O386" s="35"/>
    </row>
    <row r="387" spans="1:15" s="36" customFormat="1" ht="12" x14ac:dyDescent="0.2">
      <c r="A387" s="33"/>
      <c r="B387" s="69">
        <v>40480</v>
      </c>
      <c r="C387" s="65">
        <v>750</v>
      </c>
      <c r="D387" s="65">
        <v>1370</v>
      </c>
      <c r="E387" s="65">
        <v>-620</v>
      </c>
      <c r="F387" s="34"/>
      <c r="G387" s="34"/>
      <c r="H387" s="33"/>
      <c r="I387" s="63">
        <v>45138</v>
      </c>
      <c r="J387" s="65">
        <v>2.2999999999999998</v>
      </c>
      <c r="K387" s="65">
        <v>10.7</v>
      </c>
      <c r="L387" s="65">
        <v>9.9</v>
      </c>
      <c r="M387" s="65"/>
      <c r="N387" s="34"/>
      <c r="O387" s="35"/>
    </row>
    <row r="388" spans="1:15" s="36" customFormat="1" ht="12" x14ac:dyDescent="0.2">
      <c r="A388" s="33"/>
      <c r="B388" s="68">
        <v>40487</v>
      </c>
      <c r="C388" s="64">
        <v>655</v>
      </c>
      <c r="D388" s="64">
        <v>660</v>
      </c>
      <c r="E388" s="64">
        <v>-5</v>
      </c>
      <c r="F388" s="34"/>
      <c r="G388" s="34"/>
      <c r="H388" s="33"/>
      <c r="I388" s="62">
        <v>45169</v>
      </c>
      <c r="J388" s="64">
        <v>2.2000000000000002</v>
      </c>
      <c r="K388" s="64">
        <v>10.6</v>
      </c>
      <c r="L388" s="64">
        <v>9.5</v>
      </c>
      <c r="M388" s="64"/>
      <c r="N388" s="34"/>
      <c r="O388" s="35"/>
    </row>
    <row r="389" spans="1:15" s="36" customFormat="1" ht="12" x14ac:dyDescent="0.2">
      <c r="A389" s="33"/>
      <c r="B389" s="69">
        <v>40494</v>
      </c>
      <c r="C389" s="65">
        <v>670</v>
      </c>
      <c r="D389" s="65">
        <v>970</v>
      </c>
      <c r="E389" s="65">
        <v>-300</v>
      </c>
      <c r="F389" s="34"/>
      <c r="G389" s="34"/>
      <c r="H389" s="33"/>
      <c r="I389" s="63">
        <v>45199</v>
      </c>
      <c r="J389" s="65">
        <v>2.1</v>
      </c>
      <c r="K389" s="65">
        <v>10.3</v>
      </c>
      <c r="L389" s="65">
        <v>10.7</v>
      </c>
      <c r="M389" s="65"/>
      <c r="N389" s="34"/>
      <c r="O389" s="35"/>
    </row>
    <row r="390" spans="1:15" s="36" customFormat="1" ht="12" x14ac:dyDescent="0.2">
      <c r="A390" s="33"/>
      <c r="B390" s="68">
        <v>40501</v>
      </c>
      <c r="C390" s="64">
        <v>1000</v>
      </c>
      <c r="D390" s="64">
        <v>260</v>
      </c>
      <c r="E390" s="64">
        <v>740</v>
      </c>
      <c r="F390" s="34"/>
      <c r="G390" s="34"/>
      <c r="H390" s="33"/>
      <c r="I390" s="62">
        <v>45230</v>
      </c>
      <c r="J390" s="64">
        <v>1.9</v>
      </c>
      <c r="K390" s="64">
        <v>10.3</v>
      </c>
      <c r="L390" s="64">
        <v>10.199999999999999</v>
      </c>
      <c r="M390" s="64"/>
      <c r="N390" s="34"/>
      <c r="O390" s="35"/>
    </row>
    <row r="391" spans="1:15" s="36" customFormat="1" ht="12" x14ac:dyDescent="0.2">
      <c r="A391" s="33"/>
      <c r="B391" s="69">
        <v>40508</v>
      </c>
      <c r="C391" s="65">
        <v>600</v>
      </c>
      <c r="D391" s="65">
        <v>60</v>
      </c>
      <c r="E391" s="65">
        <v>540</v>
      </c>
      <c r="F391" s="34"/>
      <c r="G391" s="34"/>
      <c r="H391" s="33"/>
      <c r="I391" s="63">
        <v>45260</v>
      </c>
      <c r="J391" s="65">
        <v>1.3</v>
      </c>
      <c r="K391" s="65">
        <v>10</v>
      </c>
      <c r="L391" s="65">
        <v>10.4</v>
      </c>
      <c r="M391" s="65"/>
      <c r="N391" s="34"/>
      <c r="O391" s="35"/>
    </row>
    <row r="392" spans="1:15" s="36" customFormat="1" ht="12" x14ac:dyDescent="0.2">
      <c r="A392" s="33"/>
      <c r="B392" s="68">
        <v>40515</v>
      </c>
      <c r="C392" s="64">
        <v>400</v>
      </c>
      <c r="D392" s="64">
        <v>20</v>
      </c>
      <c r="E392" s="64">
        <v>380</v>
      </c>
      <c r="F392" s="34"/>
      <c r="G392" s="34"/>
      <c r="H392" s="33"/>
      <c r="I392" s="62">
        <v>45291</v>
      </c>
      <c r="J392" s="64">
        <v>1.3</v>
      </c>
      <c r="K392" s="64">
        <v>9.6999999999999993</v>
      </c>
      <c r="L392" s="64">
        <v>8.3000000000000007</v>
      </c>
      <c r="M392" s="64"/>
      <c r="N392" s="34"/>
      <c r="O392" s="35"/>
    </row>
    <row r="393" spans="1:15" s="36" customFormat="1" ht="12" x14ac:dyDescent="0.2">
      <c r="A393" s="33"/>
      <c r="B393" s="69">
        <v>40522</v>
      </c>
      <c r="C393" s="65">
        <v>750</v>
      </c>
      <c r="D393" s="65">
        <v>110</v>
      </c>
      <c r="E393" s="65">
        <v>640</v>
      </c>
      <c r="F393" s="34"/>
      <c r="G393" s="34"/>
      <c r="H393" s="33"/>
      <c r="I393" s="63">
        <v>45322</v>
      </c>
      <c r="J393" s="65">
        <v>5.9</v>
      </c>
      <c r="K393" s="65">
        <v>8.6999999999999993</v>
      </c>
      <c r="L393" s="65">
        <v>5.9</v>
      </c>
      <c r="M393" s="65"/>
      <c r="N393" s="34"/>
      <c r="O393" s="35"/>
    </row>
    <row r="394" spans="1:15" s="36" customFormat="1" ht="12" x14ac:dyDescent="0.2">
      <c r="A394" s="33"/>
      <c r="B394" s="68">
        <v>40529</v>
      </c>
      <c r="C394" s="64">
        <v>520</v>
      </c>
      <c r="D394" s="64">
        <v>20</v>
      </c>
      <c r="E394" s="64">
        <v>500</v>
      </c>
      <c r="F394" s="34"/>
      <c r="G394" s="34"/>
      <c r="H394" s="33"/>
      <c r="I394" s="62">
        <v>45351</v>
      </c>
      <c r="J394" s="64">
        <v>1.2</v>
      </c>
      <c r="K394" s="64">
        <v>8.6999999999999993</v>
      </c>
      <c r="L394" s="64">
        <v>12.5</v>
      </c>
      <c r="M394" s="64"/>
      <c r="N394" s="34"/>
      <c r="O394" s="35"/>
    </row>
    <row r="395" spans="1:15" s="36" customFormat="1" ht="12" x14ac:dyDescent="0.2">
      <c r="A395" s="33"/>
      <c r="B395" s="69">
        <v>40536</v>
      </c>
      <c r="C395" s="65">
        <v>280</v>
      </c>
      <c r="D395" s="65">
        <v>20</v>
      </c>
      <c r="E395" s="65">
        <v>260</v>
      </c>
      <c r="F395" s="34"/>
      <c r="G395" s="34"/>
      <c r="H395" s="33"/>
      <c r="I395" s="63">
        <v>45382</v>
      </c>
      <c r="J395" s="65">
        <v>1.1000000000000001</v>
      </c>
      <c r="K395" s="65">
        <v>8.3000000000000007</v>
      </c>
      <c r="L395" s="65">
        <v>11</v>
      </c>
      <c r="M395" s="65"/>
      <c r="N395" s="34"/>
      <c r="O395" s="35"/>
    </row>
    <row r="396" spans="1:15" s="36" customFormat="1" ht="12" x14ac:dyDescent="0.2">
      <c r="A396" s="33"/>
      <c r="B396" s="68">
        <v>40543</v>
      </c>
      <c r="C396" s="64">
        <v>370</v>
      </c>
      <c r="D396" s="64">
        <v>20</v>
      </c>
      <c r="E396" s="64">
        <v>350</v>
      </c>
      <c r="F396" s="34"/>
      <c r="G396" s="34"/>
      <c r="H396" s="33"/>
      <c r="I396" s="62">
        <v>45412</v>
      </c>
      <c r="J396" s="64">
        <v>-1.4</v>
      </c>
      <c r="K396" s="64">
        <v>7.2</v>
      </c>
      <c r="L396" s="64">
        <v>10.8</v>
      </c>
      <c r="M396" s="64"/>
      <c r="N396" s="34"/>
      <c r="O396" s="35"/>
    </row>
    <row r="397" spans="1:15" s="36" customFormat="1" ht="12" x14ac:dyDescent="0.2">
      <c r="A397" s="33"/>
      <c r="B397" s="69">
        <v>40550</v>
      </c>
      <c r="C397" s="65">
        <v>180</v>
      </c>
      <c r="D397" s="65">
        <v>20</v>
      </c>
      <c r="E397" s="65">
        <v>160</v>
      </c>
      <c r="F397" s="34"/>
      <c r="G397" s="34"/>
      <c r="H397" s="33"/>
      <c r="I397" s="63">
        <v>45443</v>
      </c>
      <c r="J397" s="65">
        <v>-4.2</v>
      </c>
      <c r="K397" s="65">
        <v>7</v>
      </c>
      <c r="L397" s="65">
        <v>11.7</v>
      </c>
      <c r="M397" s="65"/>
      <c r="N397" s="34"/>
      <c r="O397" s="35"/>
    </row>
    <row r="398" spans="1:15" s="36" customFormat="1" ht="12" x14ac:dyDescent="0.2">
      <c r="A398" s="33"/>
      <c r="B398" s="68">
        <v>40557</v>
      </c>
      <c r="C398" s="64">
        <v>1110</v>
      </c>
      <c r="D398" s="64">
        <v>920</v>
      </c>
      <c r="E398" s="64">
        <v>190</v>
      </c>
      <c r="F398" s="34"/>
      <c r="G398" s="34"/>
      <c r="H398" s="33"/>
      <c r="I398" s="68"/>
      <c r="J398" s="64"/>
      <c r="K398" s="64"/>
      <c r="L398" s="64"/>
      <c r="M398" s="64"/>
      <c r="N398" s="34"/>
      <c r="O398" s="35"/>
    </row>
    <row r="399" spans="1:15" s="36" customFormat="1" ht="12" x14ac:dyDescent="0.2">
      <c r="A399" s="33"/>
      <c r="B399" s="69">
        <v>40564</v>
      </c>
      <c r="C399" s="65">
        <v>2490</v>
      </c>
      <c r="D399" s="65">
        <v>0</v>
      </c>
      <c r="E399" s="65">
        <v>2490</v>
      </c>
      <c r="F399" s="34"/>
      <c r="G399" s="34"/>
      <c r="H399" s="33"/>
      <c r="I399" s="69"/>
      <c r="J399" s="65"/>
      <c r="K399" s="65"/>
      <c r="L399" s="65"/>
      <c r="M399" s="65"/>
      <c r="N399" s="34"/>
      <c r="O399" s="35"/>
    </row>
    <row r="400" spans="1:15" s="36" customFormat="1" ht="12" x14ac:dyDescent="0.2">
      <c r="A400" s="33"/>
      <c r="B400" s="68">
        <v>40571</v>
      </c>
      <c r="C400" s="64">
        <v>1700</v>
      </c>
      <c r="D400" s="64">
        <v>0</v>
      </c>
      <c r="E400" s="64">
        <v>1700</v>
      </c>
      <c r="F400" s="34"/>
      <c r="G400" s="34"/>
      <c r="H400" s="33"/>
      <c r="I400" s="68"/>
      <c r="J400" s="64"/>
      <c r="K400" s="64"/>
      <c r="L400" s="64"/>
      <c r="M400" s="64"/>
      <c r="N400" s="34"/>
      <c r="O400" s="35"/>
    </row>
    <row r="401" spans="1:15" s="36" customFormat="1" ht="12" x14ac:dyDescent="0.2">
      <c r="A401" s="33"/>
      <c r="B401" s="69">
        <v>40578</v>
      </c>
      <c r="C401" s="65">
        <v>480</v>
      </c>
      <c r="D401" s="65">
        <v>0</v>
      </c>
      <c r="E401" s="65">
        <v>480</v>
      </c>
      <c r="F401" s="34"/>
      <c r="G401" s="34"/>
      <c r="H401" s="33"/>
      <c r="I401" s="69"/>
      <c r="J401" s="65"/>
      <c r="K401" s="65"/>
      <c r="L401" s="65"/>
      <c r="M401" s="65"/>
      <c r="N401" s="34"/>
      <c r="O401" s="35"/>
    </row>
    <row r="402" spans="1:15" s="36" customFormat="1" ht="12" x14ac:dyDescent="0.2">
      <c r="A402" s="33"/>
      <c r="B402" s="68">
        <v>40585</v>
      </c>
      <c r="C402" s="64">
        <v>790</v>
      </c>
      <c r="D402" s="64">
        <v>10</v>
      </c>
      <c r="E402" s="64">
        <v>780</v>
      </c>
      <c r="F402" s="34"/>
      <c r="G402" s="34"/>
      <c r="H402" s="33"/>
      <c r="I402" s="68"/>
      <c r="J402" s="64"/>
      <c r="K402" s="64"/>
      <c r="L402" s="64"/>
      <c r="M402" s="64"/>
      <c r="N402" s="34"/>
      <c r="O402" s="35"/>
    </row>
    <row r="403" spans="1:15" s="36" customFormat="1" ht="12" x14ac:dyDescent="0.2">
      <c r="A403" s="33"/>
      <c r="B403" s="69">
        <v>40592</v>
      </c>
      <c r="C403" s="65">
        <v>1060</v>
      </c>
      <c r="D403" s="65">
        <v>510</v>
      </c>
      <c r="E403" s="65">
        <v>550</v>
      </c>
      <c r="F403" s="34"/>
      <c r="G403" s="34"/>
      <c r="H403" s="33"/>
      <c r="I403" s="69"/>
      <c r="J403" s="65"/>
      <c r="K403" s="65"/>
      <c r="L403" s="65"/>
      <c r="M403" s="65"/>
      <c r="N403" s="34"/>
      <c r="O403" s="35"/>
    </row>
    <row r="404" spans="1:15" s="36" customFormat="1" ht="12" x14ac:dyDescent="0.2">
      <c r="A404" s="33"/>
      <c r="B404" s="68">
        <v>40599</v>
      </c>
      <c r="C404" s="64">
        <v>980</v>
      </c>
      <c r="D404" s="64">
        <v>220</v>
      </c>
      <c r="E404" s="64">
        <v>760</v>
      </c>
      <c r="F404" s="34"/>
      <c r="G404" s="34"/>
      <c r="H404" s="33"/>
      <c r="I404" s="68"/>
      <c r="J404" s="64"/>
      <c r="K404" s="64"/>
      <c r="L404" s="64"/>
      <c r="M404" s="64"/>
      <c r="N404" s="34"/>
      <c r="O404" s="35"/>
    </row>
    <row r="405" spans="1:15" s="36" customFormat="1" ht="12" x14ac:dyDescent="0.2">
      <c r="A405" s="33"/>
      <c r="B405" s="69">
        <v>40606</v>
      </c>
      <c r="C405" s="65">
        <v>1450</v>
      </c>
      <c r="D405" s="65">
        <v>420</v>
      </c>
      <c r="E405" s="65">
        <v>1030</v>
      </c>
      <c r="F405" s="34"/>
      <c r="G405" s="34"/>
      <c r="H405" s="33"/>
      <c r="I405" s="69"/>
      <c r="J405" s="65"/>
      <c r="K405" s="65"/>
      <c r="L405" s="65"/>
      <c r="M405" s="65"/>
      <c r="N405" s="34"/>
      <c r="O405" s="35"/>
    </row>
    <row r="406" spans="1:15" s="36" customFormat="1" ht="12" x14ac:dyDescent="0.2">
      <c r="A406" s="33"/>
      <c r="B406" s="68">
        <v>40613</v>
      </c>
      <c r="C406" s="64">
        <v>2050</v>
      </c>
      <c r="D406" s="64">
        <v>2150</v>
      </c>
      <c r="E406" s="64">
        <v>-100</v>
      </c>
      <c r="F406" s="34"/>
      <c r="G406" s="34"/>
      <c r="H406" s="33"/>
      <c r="I406" s="68"/>
      <c r="J406" s="64"/>
      <c r="K406" s="64"/>
      <c r="L406" s="64"/>
      <c r="M406" s="64"/>
      <c r="N406" s="34"/>
      <c r="O406" s="35"/>
    </row>
    <row r="407" spans="1:15" s="36" customFormat="1" ht="12" x14ac:dyDescent="0.2">
      <c r="A407" s="33"/>
      <c r="B407" s="69">
        <v>40620</v>
      </c>
      <c r="C407" s="65">
        <v>1810</v>
      </c>
      <c r="D407" s="65">
        <v>2300</v>
      </c>
      <c r="E407" s="65">
        <v>-490</v>
      </c>
      <c r="F407" s="34"/>
      <c r="G407" s="34"/>
      <c r="H407" s="33"/>
      <c r="I407" s="69"/>
      <c r="J407" s="65"/>
      <c r="K407" s="65"/>
      <c r="L407" s="65"/>
      <c r="M407" s="65"/>
      <c r="N407" s="34"/>
      <c r="O407" s="35"/>
    </row>
    <row r="408" spans="1:15" s="36" customFormat="1" ht="12" x14ac:dyDescent="0.2">
      <c r="A408" s="33"/>
      <c r="B408" s="68">
        <v>40627</v>
      </c>
      <c r="C408" s="64">
        <v>1090</v>
      </c>
      <c r="D408" s="64">
        <v>2120</v>
      </c>
      <c r="E408" s="64">
        <v>-1030</v>
      </c>
      <c r="F408" s="34"/>
      <c r="G408" s="34"/>
      <c r="H408" s="33"/>
      <c r="I408" s="68"/>
      <c r="J408" s="64"/>
      <c r="K408" s="64"/>
      <c r="L408" s="64"/>
      <c r="M408" s="64"/>
      <c r="N408" s="34"/>
      <c r="O408" s="35"/>
    </row>
    <row r="409" spans="1:15" s="36" customFormat="1" ht="12" x14ac:dyDescent="0.2">
      <c r="A409" s="33"/>
      <c r="B409" s="69">
        <v>40634</v>
      </c>
      <c r="C409" s="65">
        <v>1320</v>
      </c>
      <c r="D409" s="65">
        <v>2850</v>
      </c>
      <c r="E409" s="65">
        <v>-1530</v>
      </c>
      <c r="F409" s="34"/>
      <c r="G409" s="34"/>
      <c r="H409" s="33"/>
      <c r="I409" s="69"/>
      <c r="J409" s="65"/>
      <c r="K409" s="65"/>
      <c r="L409" s="65"/>
      <c r="M409" s="65"/>
      <c r="N409" s="34"/>
      <c r="O409" s="35"/>
    </row>
    <row r="410" spans="1:15" s="36" customFormat="1" ht="12" x14ac:dyDescent="0.2">
      <c r="A410" s="33"/>
      <c r="B410" s="68">
        <v>40641</v>
      </c>
      <c r="C410" s="64">
        <v>2110</v>
      </c>
      <c r="D410" s="64">
        <v>1830</v>
      </c>
      <c r="E410" s="64">
        <v>280</v>
      </c>
      <c r="F410" s="34"/>
      <c r="G410" s="34"/>
      <c r="H410" s="33"/>
      <c r="I410" s="68"/>
      <c r="J410" s="64"/>
      <c r="K410" s="64"/>
      <c r="L410" s="64"/>
      <c r="M410" s="64"/>
      <c r="N410" s="34"/>
      <c r="O410" s="35"/>
    </row>
    <row r="411" spans="1:15" s="36" customFormat="1" ht="12" x14ac:dyDescent="0.2">
      <c r="A411" s="33"/>
      <c r="B411" s="69">
        <v>40648</v>
      </c>
      <c r="C411" s="65">
        <v>2120</v>
      </c>
      <c r="D411" s="65">
        <v>2950</v>
      </c>
      <c r="E411" s="65">
        <v>-830</v>
      </c>
      <c r="F411" s="34"/>
      <c r="G411" s="34"/>
      <c r="H411" s="33"/>
      <c r="I411" s="69"/>
      <c r="J411" s="65"/>
      <c r="K411" s="65"/>
      <c r="L411" s="65"/>
      <c r="M411" s="65"/>
      <c r="N411" s="34"/>
      <c r="O411" s="35"/>
    </row>
    <row r="412" spans="1:15" s="36" customFormat="1" ht="12" x14ac:dyDescent="0.2">
      <c r="A412" s="33"/>
      <c r="B412" s="68">
        <v>40655</v>
      </c>
      <c r="C412" s="64">
        <v>1910</v>
      </c>
      <c r="D412" s="64">
        <v>970</v>
      </c>
      <c r="E412" s="64">
        <v>940</v>
      </c>
      <c r="F412" s="34"/>
      <c r="G412" s="34"/>
      <c r="H412" s="33"/>
      <c r="I412" s="68"/>
      <c r="J412" s="64"/>
      <c r="K412" s="64"/>
      <c r="L412" s="64"/>
      <c r="M412" s="64"/>
      <c r="N412" s="34"/>
      <c r="O412" s="35"/>
    </row>
    <row r="413" spans="1:15" s="36" customFormat="1" ht="12" x14ac:dyDescent="0.2">
      <c r="A413" s="33"/>
      <c r="B413" s="69">
        <v>40662</v>
      </c>
      <c r="C413" s="65">
        <v>2550</v>
      </c>
      <c r="D413" s="65">
        <v>140</v>
      </c>
      <c r="E413" s="65">
        <v>2410</v>
      </c>
      <c r="F413" s="34"/>
      <c r="G413" s="34"/>
      <c r="H413" s="33"/>
      <c r="I413" s="69"/>
      <c r="J413" s="65"/>
      <c r="K413" s="65"/>
      <c r="L413" s="65"/>
      <c r="M413" s="65"/>
      <c r="N413" s="34"/>
      <c r="O413" s="35"/>
    </row>
    <row r="414" spans="1:15" s="36" customFormat="1" ht="12" x14ac:dyDescent="0.2">
      <c r="A414" s="33"/>
      <c r="B414" s="68">
        <v>40669</v>
      </c>
      <c r="C414" s="64">
        <v>1580</v>
      </c>
      <c r="D414" s="64">
        <v>910</v>
      </c>
      <c r="E414" s="64">
        <v>670</v>
      </c>
      <c r="F414" s="34"/>
      <c r="G414" s="34"/>
      <c r="H414" s="33"/>
      <c r="I414" s="68"/>
      <c r="J414" s="64"/>
      <c r="K414" s="64"/>
      <c r="L414" s="64"/>
      <c r="M414" s="64"/>
      <c r="N414" s="34"/>
      <c r="O414" s="35"/>
    </row>
    <row r="415" spans="1:15" s="36" customFormat="1" ht="12" x14ac:dyDescent="0.2">
      <c r="A415" s="33"/>
      <c r="B415" s="69">
        <v>40676</v>
      </c>
      <c r="C415" s="65">
        <v>1980</v>
      </c>
      <c r="D415" s="65">
        <v>2100</v>
      </c>
      <c r="E415" s="65">
        <v>-120</v>
      </c>
      <c r="F415" s="34"/>
      <c r="G415" s="34"/>
      <c r="H415" s="33"/>
      <c r="I415" s="69"/>
      <c r="J415" s="65"/>
      <c r="K415" s="65"/>
      <c r="L415" s="65"/>
      <c r="M415" s="65"/>
      <c r="N415" s="34"/>
      <c r="O415" s="35"/>
    </row>
    <row r="416" spans="1:15" s="36" customFormat="1" ht="12" x14ac:dyDescent="0.2">
      <c r="A416" s="33"/>
      <c r="B416" s="68">
        <v>40683</v>
      </c>
      <c r="C416" s="64">
        <v>970</v>
      </c>
      <c r="D416" s="64">
        <v>300</v>
      </c>
      <c r="E416" s="64">
        <v>670</v>
      </c>
      <c r="F416" s="34"/>
      <c r="G416" s="34"/>
      <c r="H416" s="33"/>
      <c r="I416" s="68"/>
      <c r="J416" s="64"/>
      <c r="K416" s="64"/>
      <c r="L416" s="64"/>
      <c r="M416" s="64"/>
      <c r="N416" s="34"/>
      <c r="O416" s="35"/>
    </row>
    <row r="417" spans="1:15" s="36" customFormat="1" ht="12" x14ac:dyDescent="0.2">
      <c r="A417" s="33"/>
      <c r="B417" s="69">
        <v>40690</v>
      </c>
      <c r="C417" s="65">
        <v>630</v>
      </c>
      <c r="D417" s="65">
        <v>40</v>
      </c>
      <c r="E417" s="65">
        <v>590</v>
      </c>
      <c r="F417" s="34"/>
      <c r="G417" s="34"/>
      <c r="H417" s="33"/>
      <c r="I417" s="69"/>
      <c r="J417" s="65"/>
      <c r="K417" s="65"/>
      <c r="L417" s="65"/>
      <c r="M417" s="65"/>
      <c r="N417" s="34"/>
      <c r="O417" s="35"/>
    </row>
    <row r="418" spans="1:15" s="36" customFormat="1" ht="12" x14ac:dyDescent="0.2">
      <c r="A418" s="33"/>
      <c r="B418" s="68">
        <v>40697</v>
      </c>
      <c r="C418" s="64">
        <v>1220</v>
      </c>
      <c r="D418" s="64">
        <v>410</v>
      </c>
      <c r="E418" s="64">
        <v>810</v>
      </c>
      <c r="F418" s="34"/>
      <c r="G418" s="34"/>
      <c r="H418" s="33"/>
      <c r="I418" s="68"/>
      <c r="J418" s="64"/>
      <c r="K418" s="64"/>
      <c r="L418" s="64"/>
      <c r="M418" s="64"/>
      <c r="N418" s="34"/>
      <c r="O418" s="35"/>
    </row>
    <row r="419" spans="1:15" s="36" customFormat="1" ht="12" x14ac:dyDescent="0.2">
      <c r="A419" s="33"/>
      <c r="B419" s="69">
        <v>40704</v>
      </c>
      <c r="C419" s="65">
        <v>2260</v>
      </c>
      <c r="D419" s="65">
        <v>1390</v>
      </c>
      <c r="E419" s="65">
        <v>870</v>
      </c>
      <c r="F419" s="34"/>
      <c r="G419" s="34"/>
      <c r="H419" s="33"/>
      <c r="I419" s="69"/>
      <c r="J419" s="65"/>
      <c r="K419" s="65"/>
      <c r="L419" s="65"/>
      <c r="M419" s="65"/>
      <c r="N419" s="34"/>
      <c r="O419" s="35"/>
    </row>
    <row r="420" spans="1:15" s="36" customFormat="1" ht="12" x14ac:dyDescent="0.2">
      <c r="A420" s="33"/>
      <c r="B420" s="68">
        <v>40711</v>
      </c>
      <c r="C420" s="64">
        <v>1150</v>
      </c>
      <c r="D420" s="64">
        <v>20</v>
      </c>
      <c r="E420" s="64">
        <v>1130</v>
      </c>
      <c r="F420" s="34"/>
      <c r="G420" s="34"/>
      <c r="H420" s="33"/>
      <c r="I420" s="68"/>
      <c r="J420" s="64"/>
      <c r="K420" s="64"/>
      <c r="L420" s="64"/>
      <c r="M420" s="64"/>
      <c r="N420" s="34"/>
      <c r="O420" s="35"/>
    </row>
    <row r="421" spans="1:15" s="36" customFormat="1" ht="12" x14ac:dyDescent="0.2">
      <c r="A421" s="33"/>
      <c r="B421" s="69">
        <v>40718</v>
      </c>
      <c r="C421" s="65">
        <v>880</v>
      </c>
      <c r="D421" s="65">
        <v>10</v>
      </c>
      <c r="E421" s="65">
        <v>870</v>
      </c>
      <c r="F421" s="34"/>
      <c r="G421" s="34"/>
      <c r="H421" s="33"/>
      <c r="I421" s="69"/>
      <c r="J421" s="65"/>
      <c r="K421" s="65"/>
      <c r="L421" s="65"/>
      <c r="M421" s="65"/>
      <c r="N421" s="34"/>
      <c r="O421" s="35"/>
    </row>
    <row r="422" spans="1:15" s="36" customFormat="1" ht="12" x14ac:dyDescent="0.2">
      <c r="A422" s="33"/>
      <c r="B422" s="68">
        <v>40725</v>
      </c>
      <c r="C422" s="64">
        <v>1420</v>
      </c>
      <c r="D422" s="64">
        <v>220</v>
      </c>
      <c r="E422" s="64">
        <v>1200</v>
      </c>
      <c r="F422" s="34"/>
      <c r="G422" s="34"/>
      <c r="H422" s="33"/>
      <c r="I422" s="68"/>
      <c r="J422" s="64"/>
      <c r="K422" s="64"/>
      <c r="L422" s="64"/>
      <c r="M422" s="64"/>
      <c r="N422" s="34"/>
      <c r="O422" s="35"/>
    </row>
    <row r="423" spans="1:15" s="36" customFormat="1" ht="12" x14ac:dyDescent="0.2">
      <c r="A423" s="33"/>
      <c r="B423" s="69">
        <v>40732</v>
      </c>
      <c r="C423" s="65">
        <v>1320</v>
      </c>
      <c r="D423" s="65">
        <v>1140</v>
      </c>
      <c r="E423" s="65">
        <v>180</v>
      </c>
      <c r="F423" s="34"/>
      <c r="G423" s="34"/>
      <c r="H423" s="33"/>
      <c r="I423" s="69"/>
      <c r="J423" s="65"/>
      <c r="K423" s="65"/>
      <c r="L423" s="65"/>
      <c r="M423" s="65"/>
      <c r="N423" s="34"/>
      <c r="O423" s="35"/>
    </row>
    <row r="424" spans="1:15" s="36" customFormat="1" ht="12" x14ac:dyDescent="0.2">
      <c r="A424" s="33"/>
      <c r="B424" s="68">
        <v>40739</v>
      </c>
      <c r="C424" s="64">
        <v>1250</v>
      </c>
      <c r="D424" s="64">
        <v>2110</v>
      </c>
      <c r="E424" s="64">
        <v>-860</v>
      </c>
      <c r="F424" s="34"/>
      <c r="G424" s="34"/>
      <c r="H424" s="33"/>
      <c r="I424" s="68"/>
      <c r="J424" s="64"/>
      <c r="K424" s="64"/>
      <c r="L424" s="64"/>
      <c r="M424" s="64"/>
      <c r="N424" s="34"/>
      <c r="O424" s="35"/>
    </row>
    <row r="425" spans="1:15" s="36" customFormat="1" ht="12" x14ac:dyDescent="0.2">
      <c r="A425" s="33"/>
      <c r="B425" s="69">
        <v>40746</v>
      </c>
      <c r="C425" s="65">
        <v>550</v>
      </c>
      <c r="D425" s="65">
        <v>360</v>
      </c>
      <c r="E425" s="65">
        <v>190</v>
      </c>
      <c r="F425" s="34"/>
      <c r="G425" s="34"/>
      <c r="H425" s="33"/>
      <c r="I425" s="69"/>
      <c r="J425" s="65"/>
      <c r="K425" s="65"/>
      <c r="L425" s="65"/>
      <c r="M425" s="65"/>
      <c r="N425" s="34"/>
      <c r="O425" s="35"/>
    </row>
    <row r="426" spans="1:15" s="36" customFormat="1" ht="12" x14ac:dyDescent="0.2">
      <c r="A426" s="33"/>
      <c r="B426" s="68">
        <v>40753</v>
      </c>
      <c r="C426" s="64">
        <v>340</v>
      </c>
      <c r="D426" s="64">
        <v>20</v>
      </c>
      <c r="E426" s="64">
        <v>320</v>
      </c>
      <c r="F426" s="34"/>
      <c r="G426" s="34"/>
      <c r="H426" s="33"/>
      <c r="I426" s="68"/>
      <c r="J426" s="64"/>
      <c r="K426" s="64"/>
      <c r="L426" s="64"/>
      <c r="M426" s="64"/>
      <c r="N426" s="34"/>
      <c r="O426" s="35"/>
    </row>
    <row r="427" spans="1:15" s="36" customFormat="1" ht="12" x14ac:dyDescent="0.2">
      <c r="A427" s="33"/>
      <c r="B427" s="69">
        <v>40760</v>
      </c>
      <c r="C427" s="65">
        <v>460</v>
      </c>
      <c r="D427" s="65">
        <v>20</v>
      </c>
      <c r="E427" s="65">
        <v>440</v>
      </c>
      <c r="F427" s="34"/>
      <c r="G427" s="34"/>
      <c r="H427" s="33"/>
      <c r="I427" s="69"/>
      <c r="J427" s="65"/>
      <c r="K427" s="65"/>
      <c r="L427" s="65"/>
      <c r="M427" s="65"/>
      <c r="N427" s="34"/>
      <c r="O427" s="35"/>
    </row>
    <row r="428" spans="1:15" s="36" customFormat="1" ht="12" x14ac:dyDescent="0.2">
      <c r="A428" s="33"/>
      <c r="B428" s="68">
        <v>40767</v>
      </c>
      <c r="C428" s="64">
        <v>1920</v>
      </c>
      <c r="D428" s="64">
        <v>1220</v>
      </c>
      <c r="E428" s="64">
        <v>700</v>
      </c>
      <c r="F428" s="34"/>
      <c r="G428" s="34"/>
      <c r="H428" s="33"/>
      <c r="I428" s="68"/>
      <c r="J428" s="64"/>
      <c r="K428" s="64"/>
      <c r="L428" s="64"/>
      <c r="M428" s="64"/>
      <c r="N428" s="34"/>
      <c r="O428" s="35"/>
    </row>
    <row r="429" spans="1:15" s="36" customFormat="1" ht="12" x14ac:dyDescent="0.2">
      <c r="A429" s="33"/>
      <c r="B429" s="69">
        <v>40774</v>
      </c>
      <c r="C429" s="65">
        <v>890</v>
      </c>
      <c r="D429" s="65">
        <v>510</v>
      </c>
      <c r="E429" s="65">
        <v>380</v>
      </c>
      <c r="F429" s="34"/>
      <c r="G429" s="34"/>
      <c r="H429" s="33"/>
      <c r="I429" s="69"/>
      <c r="J429" s="65"/>
      <c r="K429" s="65"/>
      <c r="L429" s="65"/>
      <c r="M429" s="65"/>
      <c r="N429" s="34"/>
      <c r="O429" s="35"/>
    </row>
    <row r="430" spans="1:15" s="36" customFormat="1" ht="12" x14ac:dyDescent="0.2">
      <c r="A430" s="33"/>
      <c r="B430" s="68">
        <v>40781</v>
      </c>
      <c r="C430" s="64">
        <v>250</v>
      </c>
      <c r="D430" s="64">
        <v>90</v>
      </c>
      <c r="E430" s="64">
        <v>160</v>
      </c>
      <c r="F430" s="34"/>
      <c r="G430" s="34"/>
      <c r="H430" s="33"/>
      <c r="I430" s="68"/>
      <c r="J430" s="64"/>
      <c r="K430" s="64"/>
      <c r="L430" s="64"/>
      <c r="M430" s="64"/>
      <c r="N430" s="34"/>
      <c r="O430" s="35"/>
    </row>
    <row r="431" spans="1:15" s="36" customFormat="1" ht="12" x14ac:dyDescent="0.2">
      <c r="A431" s="33"/>
      <c r="B431" s="69">
        <v>40788</v>
      </c>
      <c r="C431" s="65">
        <v>270</v>
      </c>
      <c r="D431" s="65">
        <v>20</v>
      </c>
      <c r="E431" s="65">
        <v>250</v>
      </c>
      <c r="F431" s="34"/>
      <c r="G431" s="34"/>
      <c r="H431" s="33"/>
      <c r="I431" s="69"/>
      <c r="J431" s="65"/>
      <c r="K431" s="65"/>
      <c r="L431" s="65"/>
      <c r="M431" s="65"/>
      <c r="N431" s="34"/>
      <c r="O431" s="35"/>
    </row>
    <row r="432" spans="1:15" s="36" customFormat="1" ht="12" x14ac:dyDescent="0.2">
      <c r="A432" s="33"/>
      <c r="B432" s="68">
        <v>40795</v>
      </c>
      <c r="C432" s="64">
        <v>1760</v>
      </c>
      <c r="D432" s="64">
        <v>760</v>
      </c>
      <c r="E432" s="64">
        <v>1000</v>
      </c>
      <c r="F432" s="34"/>
      <c r="G432" s="34"/>
      <c r="H432" s="33"/>
      <c r="I432" s="68"/>
      <c r="J432" s="64"/>
      <c r="K432" s="64"/>
      <c r="L432" s="64"/>
      <c r="M432" s="64"/>
      <c r="N432" s="34"/>
      <c r="O432" s="35"/>
    </row>
    <row r="433" spans="1:15" s="36" customFormat="1" ht="12" x14ac:dyDescent="0.2">
      <c r="A433" s="33"/>
      <c r="B433" s="69">
        <v>40802</v>
      </c>
      <c r="C433" s="65">
        <v>1390</v>
      </c>
      <c r="D433" s="65">
        <v>1320</v>
      </c>
      <c r="E433" s="65">
        <v>70</v>
      </c>
      <c r="F433" s="34"/>
      <c r="G433" s="34"/>
      <c r="H433" s="33"/>
      <c r="I433" s="69"/>
      <c r="J433" s="65"/>
      <c r="K433" s="65"/>
      <c r="L433" s="65"/>
      <c r="M433" s="65"/>
      <c r="N433" s="34"/>
      <c r="O433" s="35"/>
    </row>
    <row r="434" spans="1:15" s="36" customFormat="1" ht="12" x14ac:dyDescent="0.2">
      <c r="A434" s="33"/>
      <c r="B434" s="68">
        <v>40809</v>
      </c>
      <c r="C434" s="64">
        <v>800</v>
      </c>
      <c r="D434" s="64">
        <v>320</v>
      </c>
      <c r="E434" s="64">
        <v>480</v>
      </c>
      <c r="F434" s="34"/>
      <c r="G434" s="34"/>
      <c r="H434" s="33"/>
      <c r="I434" s="68"/>
      <c r="J434" s="64"/>
      <c r="K434" s="64"/>
      <c r="L434" s="64"/>
      <c r="M434" s="64"/>
      <c r="N434" s="34"/>
      <c r="O434" s="35"/>
    </row>
    <row r="435" spans="1:15" s="36" customFormat="1" ht="12" x14ac:dyDescent="0.2">
      <c r="A435" s="33"/>
      <c r="B435" s="69">
        <v>40816</v>
      </c>
      <c r="C435" s="65">
        <v>590</v>
      </c>
      <c r="D435" s="65">
        <v>40</v>
      </c>
      <c r="E435" s="65">
        <v>550</v>
      </c>
      <c r="F435" s="34"/>
      <c r="G435" s="34"/>
      <c r="H435" s="33"/>
      <c r="I435" s="69"/>
      <c r="J435" s="65"/>
      <c r="K435" s="65"/>
      <c r="L435" s="65"/>
      <c r="M435" s="65"/>
      <c r="N435" s="34"/>
      <c r="O435" s="35"/>
    </row>
    <row r="436" spans="1:15" s="36" customFormat="1" ht="12" x14ac:dyDescent="0.2">
      <c r="A436" s="33"/>
      <c r="B436" s="68">
        <v>40823</v>
      </c>
      <c r="C436" s="64">
        <v>1390</v>
      </c>
      <c r="D436" s="64">
        <v>0</v>
      </c>
      <c r="E436" s="64">
        <v>1390</v>
      </c>
      <c r="F436" s="34"/>
      <c r="G436" s="34"/>
      <c r="H436" s="33"/>
      <c r="I436" s="68"/>
      <c r="J436" s="64"/>
      <c r="K436" s="64"/>
      <c r="L436" s="64"/>
      <c r="M436" s="64"/>
      <c r="N436" s="34"/>
      <c r="O436" s="35"/>
    </row>
    <row r="437" spans="1:15" s="36" customFormat="1" ht="12" x14ac:dyDescent="0.2">
      <c r="A437" s="33"/>
      <c r="B437" s="69">
        <v>40830</v>
      </c>
      <c r="C437" s="65">
        <v>1480</v>
      </c>
      <c r="D437" s="65">
        <v>1570</v>
      </c>
      <c r="E437" s="65">
        <v>-90</v>
      </c>
      <c r="F437" s="34"/>
      <c r="G437" s="34"/>
      <c r="H437" s="33"/>
      <c r="I437" s="69"/>
      <c r="J437" s="65"/>
      <c r="K437" s="65"/>
      <c r="L437" s="65"/>
      <c r="M437" s="65"/>
      <c r="N437" s="34"/>
      <c r="O437" s="35"/>
    </row>
    <row r="438" spans="1:15" s="36" customFormat="1" ht="12" x14ac:dyDescent="0.2">
      <c r="A438" s="33"/>
      <c r="B438" s="68">
        <v>40837</v>
      </c>
      <c r="C438" s="64">
        <v>990</v>
      </c>
      <c r="D438" s="64">
        <v>1210</v>
      </c>
      <c r="E438" s="64">
        <v>-220</v>
      </c>
      <c r="F438" s="34"/>
      <c r="G438" s="34"/>
      <c r="H438" s="33"/>
      <c r="I438" s="68"/>
      <c r="J438" s="64"/>
      <c r="K438" s="64"/>
      <c r="L438" s="64"/>
      <c r="M438" s="64"/>
      <c r="N438" s="34"/>
      <c r="O438" s="35"/>
    </row>
    <row r="439" spans="1:15" s="36" customFormat="1" ht="12" x14ac:dyDescent="0.2">
      <c r="A439" s="33"/>
      <c r="B439" s="69">
        <v>40844</v>
      </c>
      <c r="C439" s="65">
        <v>1010</v>
      </c>
      <c r="D439" s="65">
        <v>1200</v>
      </c>
      <c r="E439" s="65">
        <v>-190</v>
      </c>
      <c r="F439" s="34"/>
      <c r="G439" s="34"/>
      <c r="H439" s="33"/>
      <c r="I439" s="69"/>
      <c r="J439" s="65"/>
      <c r="K439" s="65"/>
      <c r="L439" s="65"/>
      <c r="M439" s="65"/>
      <c r="N439" s="34"/>
      <c r="O439" s="35"/>
    </row>
    <row r="440" spans="1:15" s="36" customFormat="1" ht="12" x14ac:dyDescent="0.2">
      <c r="A440" s="33"/>
      <c r="B440" s="68">
        <v>40851</v>
      </c>
      <c r="C440" s="64">
        <v>1070</v>
      </c>
      <c r="D440" s="64">
        <v>110</v>
      </c>
      <c r="E440" s="64">
        <v>960</v>
      </c>
      <c r="F440" s="34"/>
      <c r="G440" s="34"/>
      <c r="H440" s="33"/>
      <c r="I440" s="68"/>
      <c r="J440" s="64"/>
      <c r="K440" s="64"/>
      <c r="L440" s="64"/>
      <c r="M440" s="64"/>
      <c r="N440" s="34"/>
      <c r="O440" s="35"/>
    </row>
    <row r="441" spans="1:15" s="36" customFormat="1" ht="12" x14ac:dyDescent="0.2">
      <c r="A441" s="33"/>
      <c r="B441" s="69">
        <v>40858</v>
      </c>
      <c r="C441" s="65">
        <v>1090</v>
      </c>
      <c r="D441" s="65">
        <v>420</v>
      </c>
      <c r="E441" s="65">
        <v>670</v>
      </c>
      <c r="F441" s="34"/>
      <c r="G441" s="34"/>
      <c r="H441" s="33"/>
      <c r="I441" s="69"/>
      <c r="J441" s="65"/>
      <c r="K441" s="65"/>
      <c r="L441" s="65"/>
      <c r="M441" s="65"/>
      <c r="N441" s="34"/>
      <c r="O441" s="35"/>
    </row>
    <row r="442" spans="1:15" s="36" customFormat="1" ht="12" x14ac:dyDescent="0.2">
      <c r="A442" s="33"/>
      <c r="B442" s="68">
        <v>40865</v>
      </c>
      <c r="C442" s="64">
        <v>560</v>
      </c>
      <c r="D442" s="64">
        <v>580</v>
      </c>
      <c r="E442" s="64">
        <v>-20</v>
      </c>
      <c r="F442" s="34"/>
      <c r="G442" s="34"/>
      <c r="H442" s="33"/>
      <c r="I442" s="68"/>
      <c r="J442" s="64"/>
      <c r="K442" s="64"/>
      <c r="L442" s="64"/>
      <c r="M442" s="64"/>
      <c r="N442" s="34"/>
      <c r="O442" s="35"/>
    </row>
    <row r="443" spans="1:15" s="36" customFormat="1" ht="12" x14ac:dyDescent="0.2">
      <c r="A443" s="33"/>
      <c r="B443" s="69">
        <v>40872</v>
      </c>
      <c r="C443" s="65">
        <v>530</v>
      </c>
      <c r="D443" s="65">
        <v>310</v>
      </c>
      <c r="E443" s="65">
        <v>220</v>
      </c>
      <c r="F443" s="34"/>
      <c r="G443" s="34"/>
      <c r="H443" s="33"/>
      <c r="I443" s="69"/>
      <c r="J443" s="65"/>
      <c r="K443" s="65"/>
      <c r="L443" s="65"/>
      <c r="M443" s="65"/>
      <c r="N443" s="34"/>
      <c r="O443" s="35"/>
    </row>
    <row r="444" spans="1:15" s="36" customFormat="1" ht="12" x14ac:dyDescent="0.2">
      <c r="A444" s="33"/>
      <c r="B444" s="68">
        <v>40879</v>
      </c>
      <c r="C444" s="64">
        <v>20</v>
      </c>
      <c r="D444" s="64">
        <v>260</v>
      </c>
      <c r="E444" s="64">
        <v>-240</v>
      </c>
      <c r="F444" s="34"/>
      <c r="G444" s="34"/>
      <c r="H444" s="33"/>
      <c r="I444" s="68"/>
      <c r="J444" s="64"/>
      <c r="K444" s="64"/>
      <c r="L444" s="64"/>
      <c r="M444" s="64"/>
      <c r="N444" s="34"/>
      <c r="O444" s="35"/>
    </row>
    <row r="445" spans="1:15" s="36" customFormat="1" ht="12" x14ac:dyDescent="0.2">
      <c r="A445" s="33"/>
      <c r="B445" s="69">
        <v>40886</v>
      </c>
      <c r="C445" s="65">
        <v>350</v>
      </c>
      <c r="D445" s="65">
        <v>1360</v>
      </c>
      <c r="E445" s="65">
        <v>-1010</v>
      </c>
      <c r="F445" s="34"/>
      <c r="G445" s="34"/>
      <c r="H445" s="33"/>
      <c r="I445" s="69"/>
      <c r="J445" s="65"/>
      <c r="K445" s="65"/>
      <c r="L445" s="65"/>
      <c r="M445" s="65"/>
      <c r="N445" s="34"/>
      <c r="O445" s="35"/>
    </row>
    <row r="446" spans="1:15" s="36" customFormat="1" ht="12" x14ac:dyDescent="0.2">
      <c r="A446" s="33"/>
      <c r="B446" s="68">
        <v>40893</v>
      </c>
      <c r="C446" s="64">
        <v>130</v>
      </c>
      <c r="D446" s="64">
        <v>860</v>
      </c>
      <c r="E446" s="64">
        <v>-730</v>
      </c>
      <c r="F446" s="34"/>
      <c r="G446" s="34"/>
      <c r="H446" s="33"/>
      <c r="I446" s="68"/>
      <c r="J446" s="64"/>
      <c r="K446" s="64"/>
      <c r="L446" s="64"/>
      <c r="M446" s="64"/>
      <c r="N446" s="34"/>
      <c r="O446" s="35"/>
    </row>
    <row r="447" spans="1:15" s="36" customFormat="1" ht="12" x14ac:dyDescent="0.2">
      <c r="A447" s="33"/>
      <c r="B447" s="69">
        <v>40900</v>
      </c>
      <c r="C447" s="65">
        <v>170</v>
      </c>
      <c r="D447" s="65">
        <v>270</v>
      </c>
      <c r="E447" s="65">
        <v>-100</v>
      </c>
      <c r="F447" s="34"/>
      <c r="G447" s="34"/>
      <c r="H447" s="33"/>
      <c r="I447" s="69"/>
      <c r="J447" s="65"/>
      <c r="K447" s="65"/>
      <c r="L447" s="65"/>
      <c r="M447" s="65"/>
      <c r="N447" s="34"/>
      <c r="O447" s="35"/>
    </row>
    <row r="448" spans="1:15" s="36" customFormat="1" ht="12" x14ac:dyDescent="0.2">
      <c r="A448" s="33"/>
      <c r="B448" s="68">
        <v>40907</v>
      </c>
      <c r="C448" s="64">
        <v>130</v>
      </c>
      <c r="D448" s="64">
        <v>40</v>
      </c>
      <c r="E448" s="64">
        <v>90</v>
      </c>
      <c r="F448" s="34"/>
      <c r="G448" s="34"/>
      <c r="H448" s="33"/>
      <c r="I448" s="68"/>
      <c r="J448" s="64"/>
      <c r="K448" s="64"/>
      <c r="L448" s="64"/>
      <c r="M448" s="64"/>
      <c r="N448" s="34"/>
      <c r="O448" s="35"/>
    </row>
    <row r="449" spans="1:15" s="36" customFormat="1" ht="12" x14ac:dyDescent="0.2">
      <c r="A449" s="33"/>
      <c r="B449" s="69">
        <v>40914</v>
      </c>
      <c r="C449" s="65">
        <v>510</v>
      </c>
      <c r="D449" s="65">
        <v>0</v>
      </c>
      <c r="E449" s="65">
        <v>510</v>
      </c>
      <c r="F449" s="34"/>
      <c r="G449" s="34"/>
      <c r="H449" s="33"/>
      <c r="I449" s="69"/>
      <c r="J449" s="65"/>
      <c r="K449" s="65"/>
      <c r="L449" s="65"/>
      <c r="M449" s="65"/>
      <c r="N449" s="34"/>
      <c r="O449" s="35"/>
    </row>
    <row r="450" spans="1:15" s="36" customFormat="1" ht="12" x14ac:dyDescent="0.2">
      <c r="A450" s="33"/>
      <c r="B450" s="68">
        <v>40921</v>
      </c>
      <c r="C450" s="64">
        <v>730</v>
      </c>
      <c r="D450" s="64">
        <v>0</v>
      </c>
      <c r="E450" s="64">
        <v>730</v>
      </c>
      <c r="F450" s="34"/>
      <c r="G450" s="34"/>
      <c r="H450" s="33"/>
      <c r="I450" s="68"/>
      <c r="J450" s="64"/>
      <c r="K450" s="64"/>
      <c r="L450" s="64"/>
      <c r="M450" s="64"/>
      <c r="N450" s="34"/>
      <c r="O450" s="35"/>
    </row>
    <row r="451" spans="1:15" s="36" customFormat="1" ht="12" x14ac:dyDescent="0.2">
      <c r="A451" s="33"/>
      <c r="B451" s="69">
        <v>40928</v>
      </c>
      <c r="C451" s="65">
        <v>3530</v>
      </c>
      <c r="D451" s="65">
        <v>0</v>
      </c>
      <c r="E451" s="65">
        <v>3530</v>
      </c>
      <c r="F451" s="34"/>
      <c r="G451" s="34"/>
      <c r="H451" s="33"/>
      <c r="I451" s="69"/>
      <c r="J451" s="65"/>
      <c r="K451" s="65"/>
      <c r="L451" s="65"/>
      <c r="M451" s="65"/>
      <c r="N451" s="34"/>
      <c r="O451" s="35"/>
    </row>
    <row r="452" spans="1:15" s="36" customFormat="1" ht="12" x14ac:dyDescent="0.2">
      <c r="A452" s="33"/>
      <c r="B452" s="68">
        <v>40935</v>
      </c>
      <c r="C452" s="64">
        <v>10</v>
      </c>
      <c r="D452" s="64">
        <v>0</v>
      </c>
      <c r="E452" s="64">
        <v>10</v>
      </c>
      <c r="F452" s="34"/>
      <c r="G452" s="34"/>
      <c r="H452" s="33"/>
      <c r="I452" s="68"/>
      <c r="J452" s="64"/>
      <c r="K452" s="64"/>
      <c r="L452" s="64"/>
      <c r="M452" s="64"/>
      <c r="N452" s="34"/>
      <c r="O452" s="35"/>
    </row>
    <row r="453" spans="1:15" s="36" customFormat="1" ht="12" x14ac:dyDescent="0.2">
      <c r="A453" s="33"/>
      <c r="B453" s="69">
        <v>40942</v>
      </c>
      <c r="C453" s="65">
        <v>10</v>
      </c>
      <c r="D453" s="65">
        <v>3520</v>
      </c>
      <c r="E453" s="65">
        <v>-3510</v>
      </c>
      <c r="F453" s="34"/>
      <c r="G453" s="34"/>
      <c r="H453" s="33"/>
      <c r="I453" s="69"/>
      <c r="J453" s="65"/>
      <c r="K453" s="65"/>
      <c r="L453" s="65"/>
      <c r="M453" s="65"/>
      <c r="N453" s="34"/>
      <c r="O453" s="35"/>
    </row>
    <row r="454" spans="1:15" s="36" customFormat="1" ht="12" x14ac:dyDescent="0.2">
      <c r="A454" s="33"/>
      <c r="B454" s="68">
        <v>40949</v>
      </c>
      <c r="C454" s="64">
        <v>20</v>
      </c>
      <c r="D454" s="64">
        <v>460</v>
      </c>
      <c r="E454" s="64">
        <v>-440</v>
      </c>
      <c r="F454" s="34"/>
      <c r="G454" s="34"/>
      <c r="H454" s="33"/>
      <c r="I454" s="68"/>
      <c r="J454" s="64"/>
      <c r="K454" s="64"/>
      <c r="L454" s="64"/>
      <c r="M454" s="64"/>
      <c r="N454" s="34"/>
      <c r="O454" s="35"/>
    </row>
    <row r="455" spans="1:15" s="36" customFormat="1" ht="12" x14ac:dyDescent="0.2">
      <c r="A455" s="33"/>
      <c r="B455" s="69">
        <v>40956</v>
      </c>
      <c r="C455" s="65">
        <v>70</v>
      </c>
      <c r="D455" s="65">
        <v>160</v>
      </c>
      <c r="E455" s="65">
        <v>-90</v>
      </c>
      <c r="F455" s="34"/>
      <c r="G455" s="34"/>
      <c r="H455" s="33"/>
      <c r="I455" s="69"/>
      <c r="J455" s="65"/>
      <c r="K455" s="65"/>
      <c r="L455" s="65"/>
      <c r="M455" s="65"/>
      <c r="N455" s="34"/>
      <c r="O455" s="35"/>
    </row>
    <row r="456" spans="1:15" s="36" customFormat="1" ht="12" x14ac:dyDescent="0.2">
      <c r="A456" s="33"/>
      <c r="B456" s="68">
        <v>40963</v>
      </c>
      <c r="C456" s="64">
        <v>20</v>
      </c>
      <c r="D456" s="64">
        <v>0</v>
      </c>
      <c r="E456" s="64">
        <v>20</v>
      </c>
      <c r="F456" s="34"/>
      <c r="G456" s="34"/>
      <c r="H456" s="33"/>
      <c r="I456" s="68"/>
      <c r="J456" s="64"/>
      <c r="K456" s="64"/>
      <c r="L456" s="64"/>
      <c r="M456" s="64"/>
      <c r="N456" s="34"/>
      <c r="O456" s="35"/>
    </row>
    <row r="457" spans="1:15" s="36" customFormat="1" ht="12" x14ac:dyDescent="0.2">
      <c r="A457" s="33"/>
      <c r="B457" s="69">
        <v>40970</v>
      </c>
      <c r="C457" s="65">
        <v>20</v>
      </c>
      <c r="D457" s="65">
        <v>300</v>
      </c>
      <c r="E457" s="65">
        <v>-280</v>
      </c>
      <c r="F457" s="34"/>
      <c r="G457" s="34"/>
      <c r="H457" s="33"/>
      <c r="I457" s="69"/>
      <c r="J457" s="65"/>
      <c r="K457" s="65"/>
      <c r="L457" s="65"/>
      <c r="M457" s="65"/>
      <c r="N457" s="34"/>
      <c r="O457" s="35"/>
    </row>
    <row r="458" spans="1:15" s="36" customFormat="1" ht="12" x14ac:dyDescent="0.2">
      <c r="A458" s="33"/>
      <c r="B458" s="68">
        <v>40977</v>
      </c>
      <c r="C458" s="64">
        <v>630</v>
      </c>
      <c r="D458" s="64">
        <v>600</v>
      </c>
      <c r="E458" s="64">
        <v>30</v>
      </c>
      <c r="F458" s="34"/>
      <c r="G458" s="34"/>
      <c r="H458" s="33"/>
      <c r="I458" s="68"/>
      <c r="J458" s="64"/>
      <c r="K458" s="64"/>
      <c r="L458" s="64"/>
      <c r="M458" s="64"/>
      <c r="N458" s="34"/>
      <c r="O458" s="35"/>
    </row>
    <row r="459" spans="1:15" s="36" customFormat="1" ht="12" x14ac:dyDescent="0.2">
      <c r="A459" s="33"/>
      <c r="B459" s="69">
        <v>40984</v>
      </c>
      <c r="C459" s="65">
        <v>290</v>
      </c>
      <c r="D459" s="65">
        <v>860</v>
      </c>
      <c r="E459" s="65">
        <v>-570</v>
      </c>
      <c r="F459" s="34"/>
      <c r="G459" s="34"/>
      <c r="H459" s="33"/>
      <c r="I459" s="69"/>
      <c r="J459" s="65"/>
      <c r="K459" s="65"/>
      <c r="L459" s="65"/>
      <c r="M459" s="65"/>
      <c r="N459" s="34"/>
      <c r="O459" s="35"/>
    </row>
    <row r="460" spans="1:15" s="36" customFormat="1" ht="12" x14ac:dyDescent="0.2">
      <c r="A460" s="33"/>
      <c r="B460" s="68">
        <v>40991</v>
      </c>
      <c r="C460" s="64">
        <v>510</v>
      </c>
      <c r="D460" s="64">
        <v>700</v>
      </c>
      <c r="E460" s="64">
        <v>-190</v>
      </c>
      <c r="F460" s="34"/>
      <c r="G460" s="34"/>
      <c r="H460" s="33"/>
      <c r="I460" s="68"/>
      <c r="J460" s="64"/>
      <c r="K460" s="64"/>
      <c r="L460" s="64"/>
      <c r="M460" s="64"/>
      <c r="N460" s="34"/>
      <c r="O460" s="35"/>
    </row>
    <row r="461" spans="1:15" s="36" customFormat="1" ht="12" x14ac:dyDescent="0.2">
      <c r="A461" s="33"/>
      <c r="B461" s="69">
        <v>40998</v>
      </c>
      <c r="C461" s="65">
        <v>1090</v>
      </c>
      <c r="D461" s="65">
        <v>900</v>
      </c>
      <c r="E461" s="65">
        <v>190</v>
      </c>
      <c r="F461" s="34"/>
      <c r="G461" s="34"/>
      <c r="H461" s="33"/>
      <c r="I461" s="69"/>
      <c r="J461" s="65"/>
      <c r="K461" s="65"/>
      <c r="L461" s="65"/>
      <c r="M461" s="65"/>
      <c r="N461" s="34"/>
      <c r="O461" s="35"/>
    </row>
    <row r="462" spans="1:15" s="36" customFormat="1" ht="12" x14ac:dyDescent="0.2">
      <c r="A462" s="33"/>
      <c r="B462" s="68">
        <v>41005</v>
      </c>
      <c r="C462" s="64">
        <v>300</v>
      </c>
      <c r="D462" s="64">
        <v>50</v>
      </c>
      <c r="E462" s="64">
        <v>250</v>
      </c>
      <c r="F462" s="34"/>
      <c r="G462" s="34"/>
      <c r="H462" s="33"/>
      <c r="I462" s="68"/>
      <c r="J462" s="64"/>
      <c r="K462" s="64"/>
      <c r="L462" s="64"/>
      <c r="M462" s="64"/>
      <c r="N462" s="34"/>
      <c r="O462" s="35"/>
    </row>
    <row r="463" spans="1:15" s="36" customFormat="1" ht="12" x14ac:dyDescent="0.2">
      <c r="A463" s="33"/>
      <c r="B463" s="69">
        <v>41012</v>
      </c>
      <c r="C463" s="65">
        <v>1910</v>
      </c>
      <c r="D463" s="65">
        <v>790</v>
      </c>
      <c r="E463" s="65">
        <v>1120</v>
      </c>
      <c r="F463" s="34"/>
      <c r="G463" s="34"/>
      <c r="H463" s="33"/>
      <c r="I463" s="69"/>
      <c r="J463" s="65"/>
      <c r="K463" s="65"/>
      <c r="L463" s="65"/>
      <c r="M463" s="65"/>
      <c r="N463" s="34"/>
      <c r="O463" s="35"/>
    </row>
    <row r="464" spans="1:15" s="36" customFormat="1" ht="12" x14ac:dyDescent="0.2">
      <c r="A464" s="33"/>
      <c r="B464" s="68">
        <v>41019</v>
      </c>
      <c r="C464" s="64">
        <v>1050</v>
      </c>
      <c r="D464" s="64">
        <v>530</v>
      </c>
      <c r="E464" s="64">
        <v>520</v>
      </c>
      <c r="F464" s="34"/>
      <c r="G464" s="34"/>
      <c r="H464" s="33"/>
      <c r="I464" s="68"/>
      <c r="J464" s="64"/>
      <c r="K464" s="64"/>
      <c r="L464" s="64"/>
      <c r="M464" s="64"/>
      <c r="N464" s="34"/>
      <c r="O464" s="35"/>
    </row>
    <row r="465" spans="1:15" s="36" customFormat="1" ht="12" x14ac:dyDescent="0.2">
      <c r="A465" s="33"/>
      <c r="B465" s="69">
        <v>41026</v>
      </c>
      <c r="C465" s="65">
        <v>730</v>
      </c>
      <c r="D465" s="65">
        <v>90</v>
      </c>
      <c r="E465" s="65">
        <v>640</v>
      </c>
      <c r="F465" s="34"/>
      <c r="G465" s="34"/>
      <c r="H465" s="33"/>
      <c r="I465" s="69"/>
      <c r="J465" s="65"/>
      <c r="K465" s="65"/>
      <c r="L465" s="65"/>
      <c r="M465" s="65"/>
      <c r="N465" s="34"/>
      <c r="O465" s="35"/>
    </row>
    <row r="466" spans="1:15" s="36" customFormat="1" ht="12" x14ac:dyDescent="0.2">
      <c r="A466" s="33"/>
      <c r="B466" s="68">
        <v>41033</v>
      </c>
      <c r="C466" s="64">
        <v>1170</v>
      </c>
      <c r="D466" s="64">
        <v>0</v>
      </c>
      <c r="E466" s="64">
        <v>1170</v>
      </c>
      <c r="F466" s="34"/>
      <c r="G466" s="34"/>
      <c r="H466" s="33"/>
      <c r="I466" s="68"/>
      <c r="J466" s="64"/>
      <c r="K466" s="64"/>
      <c r="L466" s="64"/>
      <c r="M466" s="64"/>
      <c r="N466" s="34"/>
      <c r="O466" s="35"/>
    </row>
    <row r="467" spans="1:15" s="36" customFormat="1" ht="12" x14ac:dyDescent="0.2">
      <c r="A467" s="33"/>
      <c r="B467" s="69">
        <v>41040</v>
      </c>
      <c r="C467" s="65">
        <v>1260</v>
      </c>
      <c r="D467" s="65">
        <v>850</v>
      </c>
      <c r="E467" s="65">
        <v>410</v>
      </c>
      <c r="F467" s="34"/>
      <c r="G467" s="34"/>
      <c r="H467" s="33"/>
      <c r="I467" s="69"/>
      <c r="J467" s="65"/>
      <c r="K467" s="65"/>
      <c r="L467" s="65"/>
      <c r="M467" s="65"/>
      <c r="N467" s="34"/>
      <c r="O467" s="35"/>
    </row>
    <row r="468" spans="1:15" s="36" customFormat="1" ht="12" x14ac:dyDescent="0.2">
      <c r="A468" s="33"/>
      <c r="B468" s="68">
        <v>41047</v>
      </c>
      <c r="C468" s="64">
        <v>500</v>
      </c>
      <c r="D468" s="64">
        <v>1140</v>
      </c>
      <c r="E468" s="64">
        <v>-640</v>
      </c>
      <c r="F468" s="34"/>
      <c r="G468" s="34"/>
      <c r="H468" s="33"/>
      <c r="I468" s="68"/>
      <c r="J468" s="64"/>
      <c r="K468" s="64"/>
      <c r="L468" s="64"/>
      <c r="M468" s="64"/>
      <c r="N468" s="34"/>
      <c r="O468" s="35"/>
    </row>
    <row r="469" spans="1:15" s="36" customFormat="1" ht="12" x14ac:dyDescent="0.2">
      <c r="A469" s="33"/>
      <c r="B469" s="69">
        <v>41054</v>
      </c>
      <c r="C469" s="65">
        <v>120</v>
      </c>
      <c r="D469" s="65">
        <v>900</v>
      </c>
      <c r="E469" s="65">
        <v>-780</v>
      </c>
      <c r="F469" s="34"/>
      <c r="G469" s="34"/>
      <c r="H469" s="33"/>
      <c r="I469" s="69"/>
      <c r="J469" s="65"/>
      <c r="K469" s="65"/>
      <c r="L469" s="65"/>
      <c r="M469" s="65"/>
      <c r="N469" s="34"/>
      <c r="O469" s="35"/>
    </row>
    <row r="470" spans="1:15" s="36" customFormat="1" ht="12" x14ac:dyDescent="0.2">
      <c r="A470" s="33"/>
      <c r="B470" s="68">
        <v>41061</v>
      </c>
      <c r="C470" s="64">
        <v>230</v>
      </c>
      <c r="D470" s="64">
        <v>800</v>
      </c>
      <c r="E470" s="64">
        <v>-570</v>
      </c>
      <c r="F470" s="34"/>
      <c r="G470" s="34"/>
      <c r="H470" s="33"/>
      <c r="I470" s="68"/>
      <c r="J470" s="64"/>
      <c r="K470" s="64"/>
      <c r="L470" s="64"/>
      <c r="M470" s="64"/>
      <c r="N470" s="34"/>
      <c r="O470" s="35"/>
    </row>
    <row r="471" spans="1:15" s="36" customFormat="1" ht="12" x14ac:dyDescent="0.2">
      <c r="A471" s="33"/>
      <c r="B471" s="69">
        <v>41068</v>
      </c>
      <c r="C471" s="65">
        <v>520</v>
      </c>
      <c r="D471" s="65">
        <v>500</v>
      </c>
      <c r="E471" s="65">
        <v>20</v>
      </c>
      <c r="F471" s="34"/>
      <c r="G471" s="34"/>
      <c r="H471" s="33"/>
      <c r="I471" s="69"/>
      <c r="J471" s="65"/>
      <c r="K471" s="65"/>
      <c r="L471" s="65"/>
      <c r="M471" s="65"/>
      <c r="N471" s="34"/>
      <c r="O471" s="35"/>
    </row>
    <row r="472" spans="1:15" s="36" customFormat="1" ht="12" x14ac:dyDescent="0.2">
      <c r="A472" s="33"/>
      <c r="B472" s="68">
        <v>41075</v>
      </c>
      <c r="C472" s="64">
        <v>810</v>
      </c>
      <c r="D472" s="64">
        <v>450</v>
      </c>
      <c r="E472" s="64">
        <v>360</v>
      </c>
      <c r="F472" s="34"/>
      <c r="G472" s="34"/>
      <c r="H472" s="33"/>
      <c r="I472" s="68"/>
      <c r="J472" s="64"/>
      <c r="K472" s="64"/>
      <c r="L472" s="64"/>
      <c r="M472" s="64"/>
      <c r="N472" s="34"/>
      <c r="O472" s="35"/>
    </row>
    <row r="473" spans="1:15" s="36" customFormat="1" ht="12" x14ac:dyDescent="0.2">
      <c r="A473" s="33"/>
      <c r="B473" s="69">
        <v>41082</v>
      </c>
      <c r="C473" s="65">
        <v>810</v>
      </c>
      <c r="D473" s="65">
        <v>250</v>
      </c>
      <c r="E473" s="65">
        <v>560</v>
      </c>
      <c r="F473" s="34"/>
      <c r="G473" s="34"/>
      <c r="H473" s="33"/>
      <c r="I473" s="69"/>
      <c r="J473" s="65"/>
      <c r="K473" s="65"/>
      <c r="L473" s="65"/>
      <c r="M473" s="65"/>
      <c r="N473" s="34"/>
      <c r="O473" s="35"/>
    </row>
    <row r="474" spans="1:15" s="36" customFormat="1" ht="12" x14ac:dyDescent="0.2">
      <c r="A474" s="33"/>
      <c r="B474" s="68">
        <v>41089</v>
      </c>
      <c r="C474" s="64">
        <v>1970</v>
      </c>
      <c r="D474" s="64">
        <v>0</v>
      </c>
      <c r="E474" s="64">
        <v>1970</v>
      </c>
      <c r="F474" s="34"/>
      <c r="G474" s="34"/>
      <c r="H474" s="33"/>
      <c r="I474" s="68"/>
      <c r="J474" s="64"/>
      <c r="K474" s="64"/>
      <c r="L474" s="64"/>
      <c r="M474" s="64"/>
      <c r="N474" s="34"/>
      <c r="O474" s="35"/>
    </row>
    <row r="475" spans="1:15" s="36" customFormat="1" ht="12" x14ac:dyDescent="0.2">
      <c r="A475" s="33"/>
      <c r="B475" s="69">
        <v>41096</v>
      </c>
      <c r="C475" s="65">
        <v>2250</v>
      </c>
      <c r="D475" s="65">
        <v>0</v>
      </c>
      <c r="E475" s="65">
        <v>2250</v>
      </c>
      <c r="F475" s="34"/>
      <c r="G475" s="34"/>
      <c r="H475" s="33"/>
      <c r="I475" s="69"/>
      <c r="J475" s="65"/>
      <c r="K475" s="65"/>
      <c r="L475" s="65"/>
      <c r="M475" s="65"/>
      <c r="N475" s="34"/>
      <c r="O475" s="35"/>
    </row>
    <row r="476" spans="1:15" s="36" customFormat="1" ht="12" x14ac:dyDescent="0.2">
      <c r="A476" s="33"/>
      <c r="B476" s="68">
        <v>41103</v>
      </c>
      <c r="C476" s="64">
        <v>1280</v>
      </c>
      <c r="D476" s="64">
        <v>1680</v>
      </c>
      <c r="E476" s="64">
        <v>-400</v>
      </c>
      <c r="F476" s="34"/>
      <c r="G476" s="34"/>
      <c r="H476" s="33"/>
      <c r="I476" s="68"/>
      <c r="J476" s="64"/>
      <c r="K476" s="64"/>
      <c r="L476" s="64"/>
      <c r="M476" s="64"/>
      <c r="N476" s="34"/>
      <c r="O476" s="35"/>
    </row>
    <row r="477" spans="1:15" s="36" customFormat="1" ht="12" x14ac:dyDescent="0.2">
      <c r="A477" s="33"/>
      <c r="B477" s="69">
        <v>41110</v>
      </c>
      <c r="C477" s="65">
        <v>1450</v>
      </c>
      <c r="D477" s="65">
        <v>2050</v>
      </c>
      <c r="E477" s="65">
        <v>-600</v>
      </c>
      <c r="F477" s="34"/>
      <c r="G477" s="34"/>
      <c r="H477" s="33"/>
      <c r="I477" s="69"/>
      <c r="J477" s="65"/>
      <c r="K477" s="65"/>
      <c r="L477" s="65"/>
      <c r="M477" s="65"/>
      <c r="N477" s="34"/>
      <c r="O477" s="35"/>
    </row>
    <row r="478" spans="1:15" s="36" customFormat="1" ht="12" x14ac:dyDescent="0.2">
      <c r="A478" s="33"/>
      <c r="B478" s="68">
        <v>41117</v>
      </c>
      <c r="C478" s="64">
        <v>1460</v>
      </c>
      <c r="D478" s="64">
        <v>1000</v>
      </c>
      <c r="E478" s="64">
        <v>460</v>
      </c>
      <c r="F478" s="34"/>
      <c r="G478" s="34"/>
      <c r="H478" s="33"/>
      <c r="I478" s="68"/>
      <c r="J478" s="64"/>
      <c r="K478" s="64"/>
      <c r="L478" s="64"/>
      <c r="M478" s="64"/>
      <c r="N478" s="34"/>
      <c r="O478" s="35"/>
    </row>
    <row r="479" spans="1:15" s="36" customFormat="1" ht="12" x14ac:dyDescent="0.2">
      <c r="A479" s="33"/>
      <c r="B479" s="69">
        <v>41124</v>
      </c>
      <c r="C479" s="65">
        <v>590</v>
      </c>
      <c r="D479" s="65">
        <v>1450</v>
      </c>
      <c r="E479" s="65">
        <v>-860</v>
      </c>
      <c r="F479" s="34"/>
      <c r="G479" s="34"/>
      <c r="H479" s="33"/>
      <c r="I479" s="69"/>
      <c r="J479" s="65"/>
      <c r="K479" s="65"/>
      <c r="L479" s="65"/>
      <c r="M479" s="65"/>
      <c r="N479" s="34"/>
      <c r="O479" s="35"/>
    </row>
    <row r="480" spans="1:15" s="36" customFormat="1" ht="12" x14ac:dyDescent="0.2">
      <c r="A480" s="33"/>
      <c r="B480" s="68">
        <v>41131</v>
      </c>
      <c r="C480" s="64">
        <v>1020</v>
      </c>
      <c r="D480" s="64">
        <v>580</v>
      </c>
      <c r="E480" s="64">
        <v>440</v>
      </c>
      <c r="F480" s="34"/>
      <c r="G480" s="34"/>
      <c r="H480" s="33"/>
      <c r="I480" s="68"/>
      <c r="J480" s="64"/>
      <c r="K480" s="64"/>
      <c r="L480" s="64"/>
      <c r="M480" s="64"/>
      <c r="N480" s="34"/>
      <c r="O480" s="35"/>
    </row>
    <row r="481" spans="1:15" s="36" customFormat="1" ht="12" x14ac:dyDescent="0.2">
      <c r="A481" s="33"/>
      <c r="B481" s="69">
        <v>41138</v>
      </c>
      <c r="C481" s="65">
        <v>1750</v>
      </c>
      <c r="D481" s="65">
        <v>1000</v>
      </c>
      <c r="E481" s="65">
        <v>750</v>
      </c>
      <c r="F481" s="34"/>
      <c r="G481" s="34"/>
      <c r="H481" s="33"/>
      <c r="I481" s="69"/>
      <c r="J481" s="65"/>
      <c r="K481" s="65"/>
      <c r="L481" s="65"/>
      <c r="M481" s="65"/>
      <c r="N481" s="34"/>
      <c r="O481" s="35"/>
    </row>
    <row r="482" spans="1:15" s="36" customFormat="1" ht="12" x14ac:dyDescent="0.2">
      <c r="A482" s="33"/>
      <c r="B482" s="68">
        <v>41145</v>
      </c>
      <c r="C482" s="64">
        <v>3980</v>
      </c>
      <c r="D482" s="64">
        <v>1200</v>
      </c>
      <c r="E482" s="64">
        <v>2780</v>
      </c>
      <c r="F482" s="34"/>
      <c r="G482" s="34"/>
      <c r="H482" s="33"/>
      <c r="I482" s="68"/>
      <c r="J482" s="64"/>
      <c r="K482" s="64"/>
      <c r="L482" s="64"/>
      <c r="M482" s="64"/>
      <c r="N482" s="34"/>
      <c r="O482" s="35"/>
    </row>
    <row r="483" spans="1:15" s="36" customFormat="1" ht="12" x14ac:dyDescent="0.2">
      <c r="A483" s="33"/>
      <c r="B483" s="69">
        <v>41152</v>
      </c>
      <c r="C483" s="65">
        <v>1960</v>
      </c>
      <c r="D483" s="65">
        <v>2500</v>
      </c>
      <c r="E483" s="65">
        <v>-540</v>
      </c>
      <c r="F483" s="34"/>
      <c r="G483" s="34"/>
      <c r="H483" s="33"/>
      <c r="I483" s="69"/>
      <c r="J483" s="65"/>
      <c r="K483" s="65"/>
      <c r="L483" s="65"/>
      <c r="M483" s="65"/>
      <c r="N483" s="34"/>
      <c r="O483" s="35"/>
    </row>
    <row r="484" spans="1:15" s="36" customFormat="1" ht="12" x14ac:dyDescent="0.2">
      <c r="A484" s="33"/>
      <c r="B484" s="68">
        <v>41159</v>
      </c>
      <c r="C484" s="64">
        <v>1580</v>
      </c>
      <c r="D484" s="64">
        <v>2100</v>
      </c>
      <c r="E484" s="64">
        <v>-520</v>
      </c>
      <c r="F484" s="34"/>
      <c r="G484" s="34"/>
      <c r="H484" s="33"/>
      <c r="I484" s="68"/>
      <c r="J484" s="64"/>
      <c r="K484" s="64"/>
      <c r="L484" s="64"/>
      <c r="M484" s="64"/>
      <c r="N484" s="34"/>
      <c r="O484" s="35"/>
    </row>
    <row r="485" spans="1:15" s="36" customFormat="1" ht="12" x14ac:dyDescent="0.2">
      <c r="A485" s="33"/>
      <c r="B485" s="69">
        <v>41166</v>
      </c>
      <c r="C485" s="65">
        <v>1570</v>
      </c>
      <c r="D485" s="65">
        <v>1650</v>
      </c>
      <c r="E485" s="65">
        <v>-80</v>
      </c>
      <c r="F485" s="34"/>
      <c r="G485" s="34"/>
      <c r="H485" s="33"/>
      <c r="I485" s="69"/>
      <c r="J485" s="65"/>
      <c r="K485" s="65"/>
      <c r="L485" s="65"/>
      <c r="M485" s="65"/>
      <c r="N485" s="34"/>
      <c r="O485" s="35"/>
    </row>
    <row r="486" spans="1:15" s="36" customFormat="1" ht="12" x14ac:dyDescent="0.2">
      <c r="A486" s="33"/>
      <c r="B486" s="68">
        <v>41173</v>
      </c>
      <c r="C486" s="64">
        <v>2410</v>
      </c>
      <c r="D486" s="64">
        <v>1400</v>
      </c>
      <c r="E486" s="64">
        <v>1010</v>
      </c>
      <c r="F486" s="34"/>
      <c r="G486" s="34"/>
      <c r="H486" s="33"/>
      <c r="I486" s="68"/>
      <c r="J486" s="64"/>
      <c r="K486" s="64"/>
      <c r="L486" s="64"/>
      <c r="M486" s="64"/>
      <c r="N486" s="34"/>
      <c r="O486" s="35"/>
    </row>
    <row r="487" spans="1:15" s="36" customFormat="1" ht="12" x14ac:dyDescent="0.2">
      <c r="A487" s="33"/>
      <c r="B487" s="69">
        <v>41180</v>
      </c>
      <c r="C487" s="65">
        <v>4720</v>
      </c>
      <c r="D487" s="65">
        <v>1070</v>
      </c>
      <c r="E487" s="65">
        <v>3650</v>
      </c>
      <c r="F487" s="34"/>
      <c r="G487" s="34"/>
      <c r="H487" s="33"/>
      <c r="I487" s="69"/>
      <c r="J487" s="65"/>
      <c r="K487" s="65"/>
      <c r="L487" s="65"/>
      <c r="M487" s="65"/>
      <c r="N487" s="34"/>
      <c r="O487" s="35"/>
    </row>
    <row r="488" spans="1:15" s="36" customFormat="1" ht="12" x14ac:dyDescent="0.2">
      <c r="A488" s="33"/>
      <c r="B488" s="68">
        <v>41194</v>
      </c>
      <c r="C488" s="64">
        <v>3340</v>
      </c>
      <c r="D488" s="64">
        <v>1700</v>
      </c>
      <c r="E488" s="64">
        <v>1640</v>
      </c>
      <c r="F488" s="34"/>
      <c r="G488" s="34"/>
      <c r="H488" s="33"/>
      <c r="I488" s="68"/>
      <c r="J488" s="64"/>
      <c r="K488" s="64"/>
      <c r="L488" s="64"/>
      <c r="M488" s="64"/>
      <c r="N488" s="34"/>
      <c r="O488" s="35"/>
    </row>
    <row r="489" spans="1:15" s="36" customFormat="1" ht="12" x14ac:dyDescent="0.2">
      <c r="A489" s="33"/>
      <c r="B489" s="69">
        <v>41201</v>
      </c>
      <c r="C489" s="65">
        <v>1160</v>
      </c>
      <c r="D489" s="65">
        <v>3370</v>
      </c>
      <c r="E489" s="65">
        <v>-2210</v>
      </c>
      <c r="F489" s="34"/>
      <c r="G489" s="34"/>
      <c r="H489" s="33"/>
      <c r="I489" s="69"/>
      <c r="J489" s="65"/>
      <c r="K489" s="65"/>
      <c r="L489" s="65"/>
      <c r="M489" s="65"/>
      <c r="N489" s="34"/>
      <c r="O489" s="35"/>
    </row>
    <row r="490" spans="1:15" s="36" customFormat="1" ht="12" x14ac:dyDescent="0.2">
      <c r="A490" s="33"/>
      <c r="B490" s="68">
        <v>41208</v>
      </c>
      <c r="C490" s="64">
        <v>3350</v>
      </c>
      <c r="D490" s="64">
        <v>4050</v>
      </c>
      <c r="E490" s="64">
        <v>-700</v>
      </c>
      <c r="F490" s="34"/>
      <c r="G490" s="34"/>
      <c r="H490" s="33"/>
      <c r="I490" s="68"/>
      <c r="J490" s="64"/>
      <c r="K490" s="64"/>
      <c r="L490" s="64"/>
      <c r="M490" s="64"/>
      <c r="N490" s="34"/>
      <c r="O490" s="35"/>
    </row>
    <row r="491" spans="1:15" s="36" customFormat="1" ht="12" x14ac:dyDescent="0.2">
      <c r="A491" s="33"/>
      <c r="B491" s="69">
        <v>41215</v>
      </c>
      <c r="C491" s="65">
        <v>5780</v>
      </c>
      <c r="D491" s="65">
        <v>1990</v>
      </c>
      <c r="E491" s="65">
        <v>3790</v>
      </c>
      <c r="F491" s="34"/>
      <c r="G491" s="34"/>
      <c r="H491" s="33"/>
      <c r="I491" s="69"/>
      <c r="J491" s="65"/>
      <c r="K491" s="65"/>
      <c r="L491" s="65"/>
      <c r="M491" s="65"/>
      <c r="N491" s="34"/>
      <c r="O491" s="35"/>
    </row>
    <row r="492" spans="1:15" s="36" customFormat="1" ht="12" x14ac:dyDescent="0.2">
      <c r="A492" s="33"/>
      <c r="B492" s="68">
        <v>41222</v>
      </c>
      <c r="C492" s="64">
        <v>4320</v>
      </c>
      <c r="D492" s="64">
        <v>5330</v>
      </c>
      <c r="E492" s="64">
        <v>-1010</v>
      </c>
      <c r="F492" s="34"/>
      <c r="G492" s="34"/>
      <c r="H492" s="33"/>
      <c r="I492" s="68"/>
      <c r="J492" s="64"/>
      <c r="K492" s="64"/>
      <c r="L492" s="64"/>
      <c r="M492" s="64"/>
      <c r="N492" s="34"/>
      <c r="O492" s="35"/>
    </row>
    <row r="493" spans="1:15" s="36" customFormat="1" ht="12" x14ac:dyDescent="0.2">
      <c r="A493" s="33"/>
      <c r="B493" s="69">
        <v>41229</v>
      </c>
      <c r="C493" s="65">
        <v>3290</v>
      </c>
      <c r="D493" s="65">
        <v>4040</v>
      </c>
      <c r="E493" s="65">
        <v>-750</v>
      </c>
      <c r="F493" s="34"/>
      <c r="G493" s="34"/>
      <c r="H493" s="33"/>
      <c r="I493" s="69"/>
      <c r="J493" s="65"/>
      <c r="K493" s="65"/>
      <c r="L493" s="65"/>
      <c r="M493" s="65"/>
      <c r="N493" s="34"/>
      <c r="O493" s="35"/>
    </row>
    <row r="494" spans="1:15" s="36" customFormat="1" ht="12" x14ac:dyDescent="0.2">
      <c r="A494" s="33"/>
      <c r="B494" s="68">
        <v>41236</v>
      </c>
      <c r="C494" s="64">
        <v>2180</v>
      </c>
      <c r="D494" s="64">
        <v>2420</v>
      </c>
      <c r="E494" s="64">
        <v>-240</v>
      </c>
      <c r="F494" s="34"/>
      <c r="G494" s="34"/>
      <c r="H494" s="33"/>
      <c r="I494" s="68"/>
      <c r="J494" s="64"/>
      <c r="K494" s="64"/>
      <c r="L494" s="64"/>
      <c r="M494" s="64"/>
      <c r="N494" s="34"/>
      <c r="O494" s="35"/>
    </row>
    <row r="495" spans="1:15" s="36" customFormat="1" ht="12" x14ac:dyDescent="0.2">
      <c r="A495" s="33"/>
      <c r="B495" s="69">
        <v>41243</v>
      </c>
      <c r="C495" s="65">
        <v>2290</v>
      </c>
      <c r="D495" s="65">
        <v>2690</v>
      </c>
      <c r="E495" s="65">
        <v>-400</v>
      </c>
      <c r="F495" s="34"/>
      <c r="G495" s="34"/>
      <c r="H495" s="33"/>
      <c r="I495" s="69"/>
      <c r="J495" s="65"/>
      <c r="K495" s="65"/>
      <c r="L495" s="65"/>
      <c r="M495" s="65"/>
      <c r="N495" s="34"/>
      <c r="O495" s="35"/>
    </row>
    <row r="496" spans="1:15" s="36" customFormat="1" ht="12" x14ac:dyDescent="0.2">
      <c r="A496" s="33"/>
      <c r="B496" s="68">
        <v>41250</v>
      </c>
      <c r="C496" s="64">
        <v>2640</v>
      </c>
      <c r="D496" s="64">
        <v>2530</v>
      </c>
      <c r="E496" s="64">
        <v>110</v>
      </c>
      <c r="F496" s="34"/>
      <c r="G496" s="34"/>
      <c r="H496" s="33"/>
      <c r="I496" s="68"/>
      <c r="J496" s="64"/>
      <c r="K496" s="64"/>
      <c r="L496" s="64"/>
      <c r="M496" s="64"/>
      <c r="N496" s="34"/>
      <c r="O496" s="35"/>
    </row>
    <row r="497" spans="1:15" s="36" customFormat="1" ht="12" x14ac:dyDescent="0.2">
      <c r="A497" s="33"/>
      <c r="B497" s="69">
        <v>41257</v>
      </c>
      <c r="C497" s="65">
        <v>1370</v>
      </c>
      <c r="D497" s="65">
        <v>2620</v>
      </c>
      <c r="E497" s="65">
        <v>-1250</v>
      </c>
      <c r="F497" s="34"/>
      <c r="G497" s="34"/>
      <c r="H497" s="33"/>
      <c r="I497" s="69"/>
      <c r="J497" s="65"/>
      <c r="K497" s="65"/>
      <c r="L497" s="65"/>
      <c r="M497" s="65"/>
      <c r="N497" s="34"/>
      <c r="O497" s="35"/>
    </row>
    <row r="498" spans="1:15" s="36" customFormat="1" ht="12" x14ac:dyDescent="0.2">
      <c r="A498" s="33"/>
      <c r="B498" s="68">
        <v>41264</v>
      </c>
      <c r="C498" s="64">
        <v>1940</v>
      </c>
      <c r="D498" s="64">
        <v>1020</v>
      </c>
      <c r="E498" s="64">
        <v>920</v>
      </c>
      <c r="F498" s="34"/>
      <c r="G498" s="34"/>
      <c r="H498" s="33"/>
      <c r="I498" s="68"/>
      <c r="J498" s="64"/>
      <c r="K498" s="64"/>
      <c r="L498" s="64"/>
      <c r="M498" s="64"/>
      <c r="N498" s="34"/>
      <c r="O498" s="35"/>
    </row>
    <row r="499" spans="1:15" s="36" customFormat="1" ht="12" x14ac:dyDescent="0.2">
      <c r="A499" s="33"/>
      <c r="B499" s="69">
        <v>41271</v>
      </c>
      <c r="C499" s="65">
        <v>2720</v>
      </c>
      <c r="D499" s="65">
        <v>1550</v>
      </c>
      <c r="E499" s="65">
        <v>1170</v>
      </c>
      <c r="F499" s="34"/>
      <c r="G499" s="34"/>
      <c r="H499" s="33"/>
      <c r="I499" s="69"/>
      <c r="J499" s="65"/>
      <c r="K499" s="65"/>
      <c r="L499" s="65"/>
      <c r="M499" s="65"/>
      <c r="N499" s="34"/>
      <c r="O499" s="35"/>
    </row>
    <row r="500" spans="1:15" s="36" customFormat="1" ht="12" x14ac:dyDescent="0.2">
      <c r="A500" s="33"/>
      <c r="B500" s="68">
        <v>41278</v>
      </c>
      <c r="C500" s="64">
        <v>0</v>
      </c>
      <c r="D500" s="64">
        <v>1100</v>
      </c>
      <c r="E500" s="64">
        <v>-1100</v>
      </c>
      <c r="F500" s="34"/>
      <c r="G500" s="34"/>
      <c r="H500" s="33"/>
      <c r="I500" s="68"/>
      <c r="J500" s="64"/>
      <c r="K500" s="64"/>
      <c r="L500" s="64"/>
      <c r="M500" s="64"/>
      <c r="N500" s="34"/>
      <c r="O500" s="35"/>
    </row>
    <row r="501" spans="1:15" s="36" customFormat="1" ht="12" x14ac:dyDescent="0.2">
      <c r="A501" s="33"/>
      <c r="B501" s="69">
        <v>41285</v>
      </c>
      <c r="C501" s="65">
        <v>1830</v>
      </c>
      <c r="D501" s="65">
        <v>3130</v>
      </c>
      <c r="E501" s="65">
        <v>-1300</v>
      </c>
      <c r="F501" s="34"/>
      <c r="G501" s="34"/>
      <c r="H501" s="33"/>
      <c r="I501" s="69"/>
      <c r="J501" s="65"/>
      <c r="K501" s="65"/>
      <c r="L501" s="65"/>
      <c r="M501" s="65"/>
      <c r="N501" s="34"/>
      <c r="O501" s="35"/>
    </row>
    <row r="502" spans="1:15" s="36" customFormat="1" ht="12" x14ac:dyDescent="0.2">
      <c r="A502" s="33"/>
      <c r="B502" s="68">
        <v>41292</v>
      </c>
      <c r="C502" s="64">
        <v>200</v>
      </c>
      <c r="D502" s="64">
        <v>900</v>
      </c>
      <c r="E502" s="64">
        <v>-700</v>
      </c>
      <c r="F502" s="34"/>
      <c r="G502" s="34"/>
      <c r="H502" s="33"/>
      <c r="I502" s="68"/>
      <c r="J502" s="64"/>
      <c r="K502" s="64"/>
      <c r="L502" s="64"/>
      <c r="M502" s="64"/>
      <c r="N502" s="34"/>
      <c r="O502" s="35"/>
    </row>
    <row r="503" spans="1:15" s="36" customFormat="1" ht="12" x14ac:dyDescent="0.2">
      <c r="A503" s="33"/>
      <c r="B503" s="69">
        <v>41299</v>
      </c>
      <c r="C503" s="65">
        <v>1010</v>
      </c>
      <c r="D503" s="65">
        <v>1500</v>
      </c>
      <c r="E503" s="65">
        <v>-490</v>
      </c>
      <c r="F503" s="34"/>
      <c r="G503" s="34"/>
      <c r="H503" s="33"/>
      <c r="I503" s="69"/>
      <c r="J503" s="65"/>
      <c r="K503" s="65"/>
      <c r="L503" s="65"/>
      <c r="M503" s="65"/>
      <c r="N503" s="34"/>
      <c r="O503" s="35"/>
    </row>
    <row r="504" spans="1:15" s="36" customFormat="1" ht="12" x14ac:dyDescent="0.2">
      <c r="A504" s="33"/>
      <c r="B504" s="68">
        <v>41306</v>
      </c>
      <c r="C504" s="64">
        <v>1800</v>
      </c>
      <c r="D504" s="64">
        <v>1210</v>
      </c>
      <c r="E504" s="64">
        <v>590</v>
      </c>
      <c r="F504" s="34"/>
      <c r="G504" s="34"/>
      <c r="H504" s="33"/>
      <c r="I504" s="68"/>
      <c r="J504" s="64"/>
      <c r="K504" s="64"/>
      <c r="L504" s="64"/>
      <c r="M504" s="64"/>
      <c r="N504" s="34"/>
      <c r="O504" s="35"/>
    </row>
    <row r="505" spans="1:15" s="36" customFormat="1" ht="12" x14ac:dyDescent="0.2">
      <c r="A505" s="33"/>
      <c r="B505" s="69">
        <v>41313</v>
      </c>
      <c r="C505" s="65">
        <v>8600</v>
      </c>
      <c r="D505" s="65">
        <v>1980</v>
      </c>
      <c r="E505" s="65">
        <v>6620</v>
      </c>
      <c r="F505" s="34"/>
      <c r="G505" s="34"/>
      <c r="H505" s="33"/>
      <c r="I505" s="69"/>
      <c r="J505" s="65"/>
      <c r="K505" s="65"/>
      <c r="L505" s="65"/>
      <c r="M505" s="65"/>
      <c r="N505" s="34"/>
      <c r="O505" s="35"/>
    </row>
    <row r="506" spans="1:15" s="36" customFormat="1" ht="12" x14ac:dyDescent="0.2">
      <c r="A506" s="33"/>
      <c r="B506" s="68">
        <v>41327</v>
      </c>
      <c r="C506" s="64">
        <v>0</v>
      </c>
      <c r="D506" s="64">
        <v>9100</v>
      </c>
      <c r="E506" s="64">
        <v>-9100</v>
      </c>
      <c r="F506" s="34"/>
      <c r="G506" s="34"/>
      <c r="H506" s="33"/>
      <c r="I506" s="68"/>
      <c r="J506" s="64"/>
      <c r="K506" s="64"/>
      <c r="L506" s="64"/>
      <c r="M506" s="64"/>
      <c r="N506" s="34"/>
      <c r="O506" s="35"/>
    </row>
    <row r="507" spans="1:15" s="36" customFormat="1" ht="12" x14ac:dyDescent="0.2">
      <c r="A507" s="33"/>
      <c r="B507" s="69">
        <v>41334</v>
      </c>
      <c r="C507" s="65">
        <v>0</v>
      </c>
      <c r="D507" s="65">
        <v>50</v>
      </c>
      <c r="E507" s="65">
        <v>-50</v>
      </c>
      <c r="F507" s="34"/>
      <c r="G507" s="34"/>
      <c r="H507" s="33"/>
      <c r="I507" s="69"/>
      <c r="J507" s="65"/>
      <c r="K507" s="65"/>
      <c r="L507" s="65"/>
      <c r="M507" s="65"/>
      <c r="N507" s="34"/>
      <c r="O507" s="35"/>
    </row>
    <row r="508" spans="1:15" s="36" customFormat="1" ht="12" x14ac:dyDescent="0.2">
      <c r="A508" s="33"/>
      <c r="B508" s="68">
        <v>41341</v>
      </c>
      <c r="C508" s="64">
        <v>0</v>
      </c>
      <c r="D508" s="64">
        <v>50</v>
      </c>
      <c r="E508" s="64">
        <v>-50</v>
      </c>
      <c r="F508" s="34"/>
      <c r="G508" s="34"/>
      <c r="H508" s="33"/>
      <c r="I508" s="68"/>
      <c r="J508" s="64"/>
      <c r="K508" s="64"/>
      <c r="L508" s="64"/>
      <c r="M508" s="64"/>
      <c r="N508" s="34"/>
      <c r="O508" s="35"/>
    </row>
    <row r="509" spans="1:15" s="36" customFormat="1" ht="12" x14ac:dyDescent="0.2">
      <c r="A509" s="33"/>
      <c r="B509" s="69">
        <v>41348</v>
      </c>
      <c r="C509" s="65">
        <v>0</v>
      </c>
      <c r="D509" s="65">
        <v>440</v>
      </c>
      <c r="E509" s="65">
        <v>-440</v>
      </c>
      <c r="F509" s="34"/>
      <c r="G509" s="34"/>
      <c r="H509" s="33"/>
      <c r="I509" s="69"/>
      <c r="J509" s="65"/>
      <c r="K509" s="65"/>
      <c r="L509" s="65"/>
      <c r="M509" s="65"/>
      <c r="N509" s="34"/>
      <c r="O509" s="35"/>
    </row>
    <row r="510" spans="1:15" s="36" customFormat="1" ht="12" x14ac:dyDescent="0.2">
      <c r="A510" s="33"/>
      <c r="B510" s="68">
        <v>41355</v>
      </c>
      <c r="C510" s="64">
        <v>400</v>
      </c>
      <c r="D510" s="64">
        <v>870</v>
      </c>
      <c r="E510" s="64">
        <v>-470</v>
      </c>
      <c r="F510" s="34"/>
      <c r="G510" s="34"/>
      <c r="H510" s="33"/>
      <c r="I510" s="68"/>
      <c r="J510" s="64"/>
      <c r="K510" s="64"/>
      <c r="L510" s="64"/>
      <c r="M510" s="64"/>
      <c r="N510" s="34"/>
      <c r="O510" s="35"/>
    </row>
    <row r="511" spans="1:15" s="36" customFormat="1" ht="12" x14ac:dyDescent="0.2">
      <c r="A511" s="33"/>
      <c r="B511" s="69">
        <v>41362</v>
      </c>
      <c r="C511" s="65">
        <v>50</v>
      </c>
      <c r="D511" s="65">
        <v>620</v>
      </c>
      <c r="E511" s="65">
        <v>-570</v>
      </c>
      <c r="F511" s="34"/>
      <c r="G511" s="34"/>
      <c r="H511" s="33"/>
      <c r="I511" s="69"/>
      <c r="J511" s="65"/>
      <c r="K511" s="65"/>
      <c r="L511" s="65"/>
      <c r="M511" s="65"/>
      <c r="N511" s="34"/>
      <c r="O511" s="35"/>
    </row>
    <row r="512" spans="1:15" s="36" customFormat="1" ht="12" x14ac:dyDescent="0.2">
      <c r="A512" s="33"/>
      <c r="B512" s="68">
        <v>41369</v>
      </c>
      <c r="C512" s="64">
        <v>50</v>
      </c>
      <c r="D512" s="64">
        <v>300</v>
      </c>
      <c r="E512" s="64">
        <v>-250</v>
      </c>
      <c r="F512" s="34"/>
      <c r="G512" s="34"/>
      <c r="H512" s="33"/>
      <c r="I512" s="68"/>
      <c r="J512" s="64"/>
      <c r="K512" s="64"/>
      <c r="L512" s="64"/>
      <c r="M512" s="64"/>
      <c r="N512" s="34"/>
      <c r="O512" s="35"/>
    </row>
    <row r="513" spans="1:15" s="36" customFormat="1" ht="12" x14ac:dyDescent="0.2">
      <c r="A513" s="33"/>
      <c r="B513" s="69">
        <v>41376</v>
      </c>
      <c r="C513" s="65">
        <v>590</v>
      </c>
      <c r="D513" s="65">
        <v>760</v>
      </c>
      <c r="E513" s="65">
        <v>-170</v>
      </c>
      <c r="F513" s="34"/>
      <c r="G513" s="34"/>
      <c r="H513" s="33"/>
      <c r="I513" s="69"/>
      <c r="J513" s="65"/>
      <c r="K513" s="65"/>
      <c r="L513" s="65"/>
      <c r="M513" s="65"/>
      <c r="N513" s="34"/>
      <c r="O513" s="35"/>
    </row>
    <row r="514" spans="1:15" s="36" customFormat="1" ht="12" x14ac:dyDescent="0.2">
      <c r="A514" s="33"/>
      <c r="B514" s="68">
        <v>41383</v>
      </c>
      <c r="C514" s="64">
        <v>870</v>
      </c>
      <c r="D514" s="64">
        <v>1010</v>
      </c>
      <c r="E514" s="64">
        <v>-140</v>
      </c>
      <c r="F514" s="34"/>
      <c r="G514" s="34"/>
      <c r="H514" s="33"/>
      <c r="I514" s="68"/>
      <c r="J514" s="64"/>
      <c r="K514" s="64"/>
      <c r="L514" s="64"/>
      <c r="M514" s="64"/>
      <c r="N514" s="34"/>
      <c r="O514" s="35"/>
    </row>
    <row r="515" spans="1:15" s="36" customFormat="1" ht="12" x14ac:dyDescent="0.2">
      <c r="A515" s="33"/>
      <c r="B515" s="69">
        <v>41390</v>
      </c>
      <c r="C515" s="65">
        <v>1520</v>
      </c>
      <c r="D515" s="65">
        <v>280</v>
      </c>
      <c r="E515" s="65">
        <v>1240</v>
      </c>
      <c r="F515" s="34"/>
      <c r="G515" s="34"/>
      <c r="H515" s="33"/>
      <c r="I515" s="69"/>
      <c r="J515" s="65"/>
      <c r="K515" s="65"/>
      <c r="L515" s="65"/>
      <c r="M515" s="65"/>
      <c r="N515" s="34"/>
      <c r="O515" s="35"/>
    </row>
    <row r="516" spans="1:15" s="36" customFormat="1" ht="12" x14ac:dyDescent="0.2">
      <c r="A516" s="33"/>
      <c r="B516" s="68">
        <v>41397</v>
      </c>
      <c r="C516" s="64">
        <v>300</v>
      </c>
      <c r="D516" s="64">
        <v>300</v>
      </c>
      <c r="E516" s="64">
        <v>0</v>
      </c>
      <c r="F516" s="34"/>
      <c r="G516" s="34"/>
      <c r="H516" s="33"/>
      <c r="I516" s="68"/>
      <c r="J516" s="64"/>
      <c r="K516" s="64"/>
      <c r="L516" s="64"/>
      <c r="M516" s="64"/>
      <c r="N516" s="34"/>
      <c r="O516" s="35"/>
    </row>
    <row r="517" spans="1:15" s="36" customFormat="1" ht="12" x14ac:dyDescent="0.2">
      <c r="A517" s="33"/>
      <c r="B517" s="69">
        <v>41404</v>
      </c>
      <c r="C517" s="65">
        <v>1860</v>
      </c>
      <c r="D517" s="65">
        <v>1020</v>
      </c>
      <c r="E517" s="65">
        <v>840</v>
      </c>
      <c r="F517" s="34"/>
      <c r="G517" s="34"/>
      <c r="H517" s="33"/>
      <c r="I517" s="69"/>
      <c r="J517" s="65"/>
      <c r="K517" s="65"/>
      <c r="L517" s="65"/>
      <c r="M517" s="65"/>
      <c r="N517" s="34"/>
      <c r="O517" s="35"/>
    </row>
    <row r="518" spans="1:15" s="36" customFormat="1" ht="12" x14ac:dyDescent="0.2">
      <c r="A518" s="33"/>
      <c r="B518" s="68">
        <v>41411</v>
      </c>
      <c r="C518" s="64">
        <v>1010</v>
      </c>
      <c r="D518" s="64">
        <v>1360</v>
      </c>
      <c r="E518" s="64">
        <v>-350</v>
      </c>
      <c r="F518" s="34"/>
      <c r="G518" s="34"/>
      <c r="H518" s="33"/>
      <c r="I518" s="68"/>
      <c r="J518" s="64"/>
      <c r="K518" s="64"/>
      <c r="L518" s="64"/>
      <c r="M518" s="64"/>
      <c r="N518" s="34"/>
      <c r="O518" s="35"/>
    </row>
    <row r="519" spans="1:15" s="36" customFormat="1" ht="12" x14ac:dyDescent="0.2">
      <c r="A519" s="33"/>
      <c r="B519" s="69">
        <v>41418</v>
      </c>
      <c r="C519" s="65">
        <v>1580</v>
      </c>
      <c r="D519" s="65">
        <v>300</v>
      </c>
      <c r="E519" s="65">
        <v>1280</v>
      </c>
      <c r="F519" s="34"/>
      <c r="G519" s="34"/>
      <c r="H519" s="33"/>
      <c r="I519" s="69"/>
      <c r="J519" s="65"/>
      <c r="K519" s="65"/>
      <c r="L519" s="65"/>
      <c r="M519" s="65"/>
      <c r="N519" s="34"/>
      <c r="O519" s="35"/>
    </row>
    <row r="520" spans="1:15" s="36" customFormat="1" ht="12" x14ac:dyDescent="0.2">
      <c r="A520" s="33"/>
      <c r="B520" s="68">
        <v>41425</v>
      </c>
      <c r="C520" s="64">
        <v>300</v>
      </c>
      <c r="D520" s="64">
        <v>470</v>
      </c>
      <c r="E520" s="64">
        <v>-170</v>
      </c>
      <c r="F520" s="34"/>
      <c r="G520" s="34"/>
      <c r="H520" s="33"/>
      <c r="I520" s="68"/>
      <c r="J520" s="64"/>
      <c r="K520" s="64"/>
      <c r="L520" s="64"/>
      <c r="M520" s="64"/>
      <c r="N520" s="34"/>
      <c r="O520" s="35"/>
    </row>
    <row r="521" spans="1:15" s="36" customFormat="1" ht="12" x14ac:dyDescent="0.2">
      <c r="A521" s="33"/>
      <c r="B521" s="69">
        <v>41432</v>
      </c>
      <c r="C521" s="65">
        <v>2020</v>
      </c>
      <c r="D521" s="65">
        <v>420</v>
      </c>
      <c r="E521" s="65">
        <v>1600</v>
      </c>
      <c r="F521" s="34"/>
      <c r="G521" s="34"/>
      <c r="H521" s="33"/>
      <c r="I521" s="69"/>
      <c r="J521" s="65"/>
      <c r="K521" s="65"/>
      <c r="L521" s="65"/>
      <c r="M521" s="65"/>
      <c r="N521" s="34"/>
      <c r="O521" s="35"/>
    </row>
    <row r="522" spans="1:15" s="36" customFormat="1" ht="12" x14ac:dyDescent="0.2">
      <c r="A522" s="33"/>
      <c r="B522" s="68">
        <v>41439</v>
      </c>
      <c r="C522" s="64">
        <v>920</v>
      </c>
      <c r="D522" s="64">
        <v>0</v>
      </c>
      <c r="E522" s="64">
        <v>920</v>
      </c>
      <c r="F522" s="34"/>
      <c r="G522" s="34"/>
      <c r="H522" s="33"/>
      <c r="I522" s="68"/>
      <c r="J522" s="64"/>
      <c r="K522" s="64"/>
      <c r="L522" s="64"/>
      <c r="M522" s="64"/>
      <c r="N522" s="34"/>
      <c r="O522" s="35"/>
    </row>
    <row r="523" spans="1:15" s="36" customFormat="1" ht="12" x14ac:dyDescent="0.2">
      <c r="A523" s="33"/>
      <c r="B523" s="69">
        <v>41446</v>
      </c>
      <c r="C523" s="65">
        <v>320</v>
      </c>
      <c r="D523" s="65">
        <v>40</v>
      </c>
      <c r="E523" s="65">
        <v>280</v>
      </c>
      <c r="F523" s="34"/>
      <c r="G523" s="34"/>
      <c r="H523" s="33"/>
      <c r="I523" s="69"/>
      <c r="J523" s="65"/>
      <c r="K523" s="65"/>
      <c r="L523" s="65"/>
      <c r="M523" s="65"/>
      <c r="N523" s="34"/>
      <c r="O523" s="35"/>
    </row>
    <row r="524" spans="1:15" s="36" customFormat="1" ht="12" x14ac:dyDescent="0.2">
      <c r="A524" s="33"/>
      <c r="B524" s="68">
        <v>41453</v>
      </c>
      <c r="C524" s="64">
        <v>250</v>
      </c>
      <c r="D524" s="64">
        <v>0</v>
      </c>
      <c r="E524" s="64">
        <v>250</v>
      </c>
      <c r="F524" s="34"/>
      <c r="G524" s="34"/>
      <c r="H524" s="33"/>
      <c r="I524" s="68"/>
      <c r="J524" s="64"/>
      <c r="K524" s="64"/>
      <c r="L524" s="64"/>
      <c r="M524" s="64"/>
      <c r="N524" s="34"/>
      <c r="O524" s="35"/>
    </row>
    <row r="525" spans="1:15" s="36" customFormat="1" ht="12" x14ac:dyDescent="0.2">
      <c r="A525" s="33"/>
      <c r="B525" s="69">
        <v>41460</v>
      </c>
      <c r="C525" s="65">
        <v>460</v>
      </c>
      <c r="D525" s="65">
        <v>0</v>
      </c>
      <c r="E525" s="65">
        <v>460</v>
      </c>
      <c r="F525" s="34"/>
      <c r="G525" s="34"/>
      <c r="H525" s="33"/>
      <c r="I525" s="69"/>
      <c r="J525" s="65"/>
      <c r="K525" s="65"/>
      <c r="L525" s="65"/>
      <c r="M525" s="65"/>
      <c r="N525" s="34"/>
      <c r="O525" s="35"/>
    </row>
    <row r="526" spans="1:15" s="36" customFormat="1" ht="12" x14ac:dyDescent="0.2">
      <c r="A526" s="33"/>
      <c r="B526" s="68">
        <v>41474</v>
      </c>
      <c r="C526" s="64">
        <v>1600</v>
      </c>
      <c r="D526" s="64">
        <v>1103</v>
      </c>
      <c r="E526" s="64">
        <v>497</v>
      </c>
      <c r="F526" s="34"/>
      <c r="G526" s="34"/>
      <c r="H526" s="33"/>
      <c r="I526" s="68"/>
      <c r="J526" s="64"/>
      <c r="K526" s="64"/>
      <c r="L526" s="64"/>
      <c r="M526" s="64"/>
      <c r="N526" s="34"/>
      <c r="O526" s="35"/>
    </row>
    <row r="527" spans="1:15" s="36" customFormat="1" ht="12" x14ac:dyDescent="0.2">
      <c r="A527" s="33"/>
      <c r="B527" s="69">
        <v>41488</v>
      </c>
      <c r="C527" s="65">
        <v>1360</v>
      </c>
      <c r="D527" s="65">
        <v>735</v>
      </c>
      <c r="E527" s="65">
        <v>625</v>
      </c>
      <c r="F527" s="34"/>
      <c r="G527" s="34"/>
      <c r="H527" s="33"/>
      <c r="I527" s="69"/>
      <c r="J527" s="65"/>
      <c r="K527" s="65"/>
      <c r="L527" s="65"/>
      <c r="M527" s="65"/>
      <c r="N527" s="34"/>
      <c r="O527" s="35"/>
    </row>
    <row r="528" spans="1:15" s="36" customFormat="1" ht="12" x14ac:dyDescent="0.2">
      <c r="A528" s="33"/>
      <c r="B528" s="68">
        <v>41495</v>
      </c>
      <c r="C528" s="64">
        <v>370</v>
      </c>
      <c r="D528" s="64">
        <v>170</v>
      </c>
      <c r="E528" s="64">
        <v>200</v>
      </c>
      <c r="F528" s="34"/>
      <c r="G528" s="34"/>
      <c r="H528" s="33"/>
      <c r="I528" s="68"/>
      <c r="J528" s="64"/>
      <c r="K528" s="64"/>
      <c r="L528" s="64"/>
      <c r="M528" s="64"/>
      <c r="N528" s="34"/>
      <c r="O528" s="35"/>
    </row>
    <row r="529" spans="1:15" s="36" customFormat="1" ht="12" x14ac:dyDescent="0.2">
      <c r="A529" s="33"/>
      <c r="B529" s="69">
        <v>41502</v>
      </c>
      <c r="C529" s="65">
        <v>1690</v>
      </c>
      <c r="D529" s="65">
        <v>1215</v>
      </c>
      <c r="E529" s="65">
        <v>475</v>
      </c>
      <c r="F529" s="34"/>
      <c r="G529" s="34"/>
      <c r="H529" s="33"/>
      <c r="I529" s="69"/>
      <c r="J529" s="65"/>
      <c r="K529" s="65"/>
      <c r="L529" s="65"/>
      <c r="M529" s="65"/>
      <c r="N529" s="34"/>
      <c r="O529" s="35"/>
    </row>
    <row r="530" spans="1:15" s="36" customFormat="1" ht="12" x14ac:dyDescent="0.2">
      <c r="A530" s="33"/>
      <c r="B530" s="68">
        <v>41509</v>
      </c>
      <c r="C530" s="64">
        <v>980</v>
      </c>
      <c r="D530" s="64">
        <v>260</v>
      </c>
      <c r="E530" s="64">
        <v>720</v>
      </c>
      <c r="F530" s="34"/>
      <c r="G530" s="34"/>
      <c r="H530" s="33"/>
      <c r="I530" s="68"/>
      <c r="J530" s="64"/>
      <c r="K530" s="64"/>
      <c r="L530" s="64"/>
      <c r="M530" s="64"/>
      <c r="N530" s="34"/>
      <c r="O530" s="35"/>
    </row>
    <row r="531" spans="1:15" s="36" customFormat="1" ht="12" x14ac:dyDescent="0.2">
      <c r="A531" s="33"/>
      <c r="B531" s="69">
        <v>41516</v>
      </c>
      <c r="C531" s="65">
        <v>1570</v>
      </c>
      <c r="D531" s="65">
        <v>1155</v>
      </c>
      <c r="E531" s="65">
        <v>415</v>
      </c>
      <c r="F531" s="34"/>
      <c r="G531" s="34"/>
      <c r="H531" s="33"/>
      <c r="I531" s="69"/>
      <c r="J531" s="65"/>
      <c r="K531" s="65"/>
      <c r="L531" s="65"/>
      <c r="M531" s="65"/>
      <c r="N531" s="34"/>
      <c r="O531" s="35"/>
    </row>
    <row r="532" spans="1:15" s="36" customFormat="1" ht="12" x14ac:dyDescent="0.2">
      <c r="A532" s="33"/>
      <c r="B532" s="68">
        <v>41523</v>
      </c>
      <c r="C532" s="64">
        <v>380</v>
      </c>
      <c r="D532" s="64">
        <v>750</v>
      </c>
      <c r="E532" s="64">
        <v>-370</v>
      </c>
      <c r="F532" s="34"/>
      <c r="G532" s="34"/>
      <c r="H532" s="33"/>
      <c r="I532" s="68"/>
      <c r="J532" s="64"/>
      <c r="K532" s="64"/>
      <c r="L532" s="64"/>
      <c r="M532" s="64"/>
      <c r="N532" s="34"/>
      <c r="O532" s="35"/>
    </row>
    <row r="533" spans="1:15" s="36" customFormat="1" ht="12" x14ac:dyDescent="0.2">
      <c r="A533" s="33"/>
      <c r="B533" s="69">
        <v>41530</v>
      </c>
      <c r="C533" s="65">
        <v>1200</v>
      </c>
      <c r="D533" s="65">
        <v>1211</v>
      </c>
      <c r="E533" s="65">
        <v>-11</v>
      </c>
      <c r="F533" s="34"/>
      <c r="G533" s="34"/>
      <c r="H533" s="33"/>
      <c r="I533" s="69"/>
      <c r="J533" s="65"/>
      <c r="K533" s="65"/>
      <c r="L533" s="65"/>
      <c r="M533" s="65"/>
      <c r="N533" s="34"/>
      <c r="O533" s="35"/>
    </row>
    <row r="534" spans="1:15" s="36" customFormat="1" ht="12" x14ac:dyDescent="0.2">
      <c r="A534" s="33"/>
      <c r="B534" s="68">
        <v>41537</v>
      </c>
      <c r="C534" s="64">
        <v>120</v>
      </c>
      <c r="D534" s="64">
        <v>200</v>
      </c>
      <c r="E534" s="64">
        <v>-80</v>
      </c>
      <c r="F534" s="34"/>
      <c r="G534" s="34"/>
      <c r="H534" s="33"/>
      <c r="I534" s="68"/>
      <c r="J534" s="64"/>
      <c r="K534" s="64"/>
      <c r="L534" s="64"/>
      <c r="M534" s="64"/>
      <c r="N534" s="34"/>
      <c r="O534" s="35"/>
    </row>
    <row r="535" spans="1:15" s="36" customFormat="1" ht="12" x14ac:dyDescent="0.2">
      <c r="A535" s="33"/>
      <c r="B535" s="69">
        <v>41544</v>
      </c>
      <c r="C535" s="65">
        <v>1730</v>
      </c>
      <c r="D535" s="65">
        <v>229</v>
      </c>
      <c r="E535" s="65">
        <v>1501</v>
      </c>
      <c r="F535" s="34"/>
      <c r="G535" s="34"/>
      <c r="H535" s="33"/>
      <c r="I535" s="69"/>
      <c r="J535" s="65"/>
      <c r="K535" s="65"/>
      <c r="L535" s="65"/>
      <c r="M535" s="65"/>
      <c r="N535" s="34"/>
      <c r="O535" s="35"/>
    </row>
    <row r="536" spans="1:15" s="36" customFormat="1" ht="12" x14ac:dyDescent="0.2">
      <c r="A536" s="33"/>
      <c r="B536" s="68">
        <v>41551</v>
      </c>
      <c r="C536" s="64">
        <v>0</v>
      </c>
      <c r="D536" s="64">
        <v>880</v>
      </c>
      <c r="E536" s="64">
        <v>-880</v>
      </c>
      <c r="F536" s="34"/>
      <c r="G536" s="34"/>
      <c r="H536" s="33"/>
      <c r="I536" s="68"/>
      <c r="J536" s="64"/>
      <c r="K536" s="64"/>
      <c r="L536" s="64"/>
      <c r="M536" s="64"/>
      <c r="N536" s="34"/>
      <c r="O536" s="35"/>
    </row>
    <row r="537" spans="1:15" s="36" customFormat="1" ht="12" x14ac:dyDescent="0.2">
      <c r="A537" s="33"/>
      <c r="B537" s="69">
        <v>41558</v>
      </c>
      <c r="C537" s="65">
        <v>1130</v>
      </c>
      <c r="D537" s="65">
        <v>800</v>
      </c>
      <c r="E537" s="65">
        <v>330</v>
      </c>
      <c r="F537" s="34"/>
      <c r="G537" s="34"/>
      <c r="H537" s="33"/>
      <c r="I537" s="69"/>
      <c r="J537" s="65"/>
      <c r="K537" s="65"/>
      <c r="L537" s="65"/>
      <c r="M537" s="65"/>
      <c r="N537" s="34"/>
      <c r="O537" s="35"/>
    </row>
    <row r="538" spans="1:15" s="36" customFormat="1" ht="12" x14ac:dyDescent="0.2">
      <c r="A538" s="33"/>
      <c r="B538" s="68">
        <v>41565</v>
      </c>
      <c r="C538" s="64">
        <v>260</v>
      </c>
      <c r="D538" s="64">
        <v>705</v>
      </c>
      <c r="E538" s="64">
        <v>-445</v>
      </c>
      <c r="F538" s="34"/>
      <c r="G538" s="34"/>
      <c r="H538" s="33"/>
      <c r="I538" s="68"/>
      <c r="J538" s="64"/>
      <c r="K538" s="64"/>
      <c r="L538" s="64"/>
      <c r="M538" s="64"/>
      <c r="N538" s="34"/>
      <c r="O538" s="35"/>
    </row>
    <row r="539" spans="1:15" s="36" customFormat="1" ht="12" x14ac:dyDescent="0.2">
      <c r="A539" s="33"/>
      <c r="B539" s="69">
        <v>41572</v>
      </c>
      <c r="C539" s="65">
        <v>0</v>
      </c>
      <c r="D539" s="65">
        <v>580</v>
      </c>
      <c r="E539" s="65">
        <v>-580</v>
      </c>
      <c r="F539" s="34"/>
      <c r="G539" s="34"/>
      <c r="H539" s="33"/>
      <c r="I539" s="69"/>
      <c r="J539" s="65"/>
      <c r="K539" s="65"/>
      <c r="L539" s="65"/>
      <c r="M539" s="65"/>
      <c r="N539" s="34"/>
      <c r="O539" s="35"/>
    </row>
    <row r="540" spans="1:15" s="36" customFormat="1" ht="12" x14ac:dyDescent="0.2">
      <c r="A540" s="33"/>
      <c r="B540" s="68">
        <v>41579</v>
      </c>
      <c r="C540" s="64">
        <v>350</v>
      </c>
      <c r="D540" s="64">
        <v>59</v>
      </c>
      <c r="E540" s="64">
        <v>291</v>
      </c>
      <c r="F540" s="34"/>
      <c r="G540" s="34"/>
      <c r="H540" s="33"/>
      <c r="I540" s="68"/>
      <c r="J540" s="64"/>
      <c r="K540" s="64"/>
      <c r="L540" s="64"/>
      <c r="M540" s="64"/>
      <c r="N540" s="34"/>
      <c r="O540" s="35"/>
    </row>
    <row r="541" spans="1:15" s="36" customFormat="1" ht="12" x14ac:dyDescent="0.2">
      <c r="A541" s="33"/>
      <c r="B541" s="69">
        <v>41586</v>
      </c>
      <c r="C541" s="65">
        <v>80</v>
      </c>
      <c r="D541" s="65">
        <v>130</v>
      </c>
      <c r="E541" s="65">
        <v>-50</v>
      </c>
      <c r="F541" s="34"/>
      <c r="G541" s="34"/>
      <c r="H541" s="33"/>
      <c r="I541" s="69"/>
      <c r="J541" s="65"/>
      <c r="K541" s="65"/>
      <c r="L541" s="65"/>
      <c r="M541" s="65"/>
      <c r="N541" s="34"/>
      <c r="O541" s="35"/>
    </row>
    <row r="542" spans="1:15" s="36" customFormat="1" ht="12" x14ac:dyDescent="0.2">
      <c r="A542" s="33"/>
      <c r="B542" s="68">
        <v>41593</v>
      </c>
      <c r="C542" s="64">
        <v>190</v>
      </c>
      <c r="D542" s="64">
        <v>340</v>
      </c>
      <c r="E542" s="64">
        <v>-150</v>
      </c>
      <c r="F542" s="34"/>
      <c r="G542" s="34"/>
      <c r="H542" s="33"/>
      <c r="I542" s="68"/>
      <c r="J542" s="64"/>
      <c r="K542" s="64"/>
      <c r="L542" s="64"/>
      <c r="M542" s="64"/>
      <c r="N542" s="34"/>
      <c r="O542" s="35"/>
    </row>
    <row r="543" spans="1:15" s="36" customFormat="1" ht="12" x14ac:dyDescent="0.2">
      <c r="A543" s="33"/>
      <c r="B543" s="69">
        <v>41600</v>
      </c>
      <c r="C543" s="65">
        <v>680</v>
      </c>
      <c r="D543" s="65">
        <v>90</v>
      </c>
      <c r="E543" s="65">
        <v>590</v>
      </c>
      <c r="F543" s="34"/>
      <c r="G543" s="34"/>
      <c r="H543" s="33"/>
      <c r="I543" s="69"/>
      <c r="J543" s="65"/>
      <c r="K543" s="65"/>
      <c r="L543" s="65"/>
      <c r="M543" s="65"/>
      <c r="N543" s="34"/>
      <c r="O543" s="35"/>
    </row>
    <row r="544" spans="1:15" s="36" customFormat="1" ht="12" x14ac:dyDescent="0.2">
      <c r="A544" s="33"/>
      <c r="B544" s="68">
        <v>41607</v>
      </c>
      <c r="C544" s="64">
        <v>520</v>
      </c>
      <c r="D544" s="64">
        <v>350</v>
      </c>
      <c r="E544" s="64">
        <v>170</v>
      </c>
      <c r="F544" s="34"/>
      <c r="G544" s="34"/>
      <c r="H544" s="33"/>
      <c r="I544" s="68"/>
      <c r="J544" s="64"/>
      <c r="K544" s="64"/>
      <c r="L544" s="64"/>
      <c r="M544" s="64"/>
      <c r="N544" s="34"/>
      <c r="O544" s="35"/>
    </row>
    <row r="545" spans="1:15" s="36" customFormat="1" ht="12" x14ac:dyDescent="0.2">
      <c r="A545" s="33"/>
      <c r="B545" s="69">
        <v>41614</v>
      </c>
      <c r="C545" s="65">
        <v>180</v>
      </c>
      <c r="D545" s="65">
        <v>650</v>
      </c>
      <c r="E545" s="65">
        <v>-470</v>
      </c>
      <c r="F545" s="34"/>
      <c r="G545" s="34"/>
      <c r="H545" s="33"/>
      <c r="I545" s="69"/>
      <c r="J545" s="65"/>
      <c r="K545" s="65"/>
      <c r="L545" s="65"/>
      <c r="M545" s="65"/>
      <c r="N545" s="34"/>
      <c r="O545" s="35"/>
    </row>
    <row r="546" spans="1:15" s="36" customFormat="1" ht="12" x14ac:dyDescent="0.2">
      <c r="A546" s="33"/>
      <c r="B546" s="68">
        <v>41621</v>
      </c>
      <c r="C546" s="64">
        <v>0</v>
      </c>
      <c r="D546" s="64">
        <v>370</v>
      </c>
      <c r="E546" s="64">
        <v>-370</v>
      </c>
      <c r="F546" s="34"/>
      <c r="G546" s="34"/>
      <c r="H546" s="33"/>
      <c r="I546" s="68"/>
      <c r="J546" s="64"/>
      <c r="K546" s="64"/>
      <c r="L546" s="64"/>
      <c r="M546" s="64"/>
      <c r="N546" s="34"/>
      <c r="O546" s="35"/>
    </row>
    <row r="547" spans="1:15" s="36" customFormat="1" ht="12" x14ac:dyDescent="0.2">
      <c r="A547" s="33"/>
      <c r="B547" s="69">
        <v>41635</v>
      </c>
      <c r="C547" s="65">
        <v>290</v>
      </c>
      <c r="D547" s="65">
        <v>0</v>
      </c>
      <c r="E547" s="65">
        <v>290</v>
      </c>
      <c r="F547" s="34"/>
      <c r="G547" s="34"/>
      <c r="H547" s="33"/>
      <c r="I547" s="69"/>
      <c r="J547" s="65"/>
      <c r="K547" s="65"/>
      <c r="L547" s="65"/>
      <c r="M547" s="65"/>
      <c r="N547" s="34"/>
      <c r="O547" s="35"/>
    </row>
    <row r="548" spans="1:15" s="36" customFormat="1" ht="12" x14ac:dyDescent="0.2">
      <c r="A548" s="33"/>
      <c r="B548" s="68">
        <v>41642</v>
      </c>
      <c r="C548" s="64">
        <v>0</v>
      </c>
      <c r="D548" s="64">
        <v>290</v>
      </c>
      <c r="E548" s="64">
        <v>-290</v>
      </c>
      <c r="F548" s="34"/>
      <c r="G548" s="34"/>
      <c r="H548" s="33"/>
      <c r="I548" s="68"/>
      <c r="J548" s="64"/>
      <c r="K548" s="64"/>
      <c r="L548" s="64"/>
      <c r="M548" s="64"/>
      <c r="N548" s="34"/>
      <c r="O548" s="35"/>
    </row>
    <row r="549" spans="1:15" s="36" customFormat="1" ht="12" x14ac:dyDescent="0.2">
      <c r="A549" s="33"/>
      <c r="B549" s="69">
        <v>41663</v>
      </c>
      <c r="C549" s="65">
        <v>3750</v>
      </c>
      <c r="D549" s="65">
        <v>0</v>
      </c>
      <c r="E549" s="65">
        <v>3750</v>
      </c>
      <c r="F549" s="34"/>
      <c r="G549" s="34"/>
      <c r="H549" s="33"/>
      <c r="I549" s="69"/>
      <c r="J549" s="65"/>
      <c r="K549" s="65"/>
      <c r="L549" s="65"/>
      <c r="M549" s="65"/>
      <c r="N549" s="34"/>
      <c r="O549" s="35"/>
    </row>
    <row r="550" spans="1:15" s="36" customFormat="1" ht="12" x14ac:dyDescent="0.2">
      <c r="A550" s="33"/>
      <c r="B550" s="68">
        <v>41670</v>
      </c>
      <c r="C550" s="64">
        <v>1500</v>
      </c>
      <c r="D550" s="64">
        <v>750</v>
      </c>
      <c r="E550" s="64">
        <v>750</v>
      </c>
      <c r="F550" s="34"/>
      <c r="G550" s="34"/>
      <c r="H550" s="33"/>
      <c r="I550" s="68"/>
      <c r="J550" s="64"/>
      <c r="K550" s="64"/>
      <c r="L550" s="64"/>
      <c r="M550" s="64"/>
      <c r="N550" s="34"/>
      <c r="O550" s="35"/>
    </row>
    <row r="551" spans="1:15" s="36" customFormat="1" ht="12" x14ac:dyDescent="0.2">
      <c r="A551" s="33"/>
      <c r="B551" s="69">
        <v>41684</v>
      </c>
      <c r="C551" s="65">
        <v>0</v>
      </c>
      <c r="D551" s="65">
        <v>4500</v>
      </c>
      <c r="E551" s="65">
        <v>-4500</v>
      </c>
      <c r="F551" s="34"/>
      <c r="G551" s="34"/>
      <c r="H551" s="33"/>
      <c r="I551" s="69"/>
      <c r="J551" s="65"/>
      <c r="K551" s="65"/>
      <c r="L551" s="65"/>
      <c r="M551" s="65"/>
      <c r="N551" s="34"/>
      <c r="O551" s="35"/>
    </row>
    <row r="552" spans="1:15" s="36" customFormat="1" ht="12" x14ac:dyDescent="0.2">
      <c r="A552" s="33"/>
      <c r="B552" s="68">
        <v>41691</v>
      </c>
      <c r="C552" s="64">
        <v>0</v>
      </c>
      <c r="D552" s="64">
        <v>1080</v>
      </c>
      <c r="E552" s="64">
        <v>-1080</v>
      </c>
      <c r="F552" s="34"/>
      <c r="G552" s="34"/>
      <c r="H552" s="33"/>
      <c r="I552" s="68"/>
      <c r="J552" s="64"/>
      <c r="K552" s="64"/>
      <c r="L552" s="64"/>
      <c r="M552" s="64"/>
      <c r="N552" s="34"/>
      <c r="O552" s="35"/>
    </row>
    <row r="553" spans="1:15" s="36" customFormat="1" ht="12" x14ac:dyDescent="0.2">
      <c r="A553" s="33"/>
      <c r="B553" s="69">
        <v>41698</v>
      </c>
      <c r="C553" s="65">
        <v>0</v>
      </c>
      <c r="D553" s="65">
        <v>1600</v>
      </c>
      <c r="E553" s="65">
        <v>-1600</v>
      </c>
      <c r="F553" s="34"/>
      <c r="G553" s="34"/>
      <c r="H553" s="33"/>
      <c r="I553" s="69"/>
      <c r="J553" s="65"/>
      <c r="K553" s="65"/>
      <c r="L553" s="65"/>
      <c r="M553" s="65"/>
      <c r="N553" s="34"/>
      <c r="O553" s="35"/>
    </row>
    <row r="554" spans="1:15" s="36" customFormat="1" ht="12" x14ac:dyDescent="0.2">
      <c r="A554" s="33"/>
      <c r="B554" s="68">
        <v>41705</v>
      </c>
      <c r="C554" s="64">
        <v>1080</v>
      </c>
      <c r="D554" s="64">
        <v>1780</v>
      </c>
      <c r="E554" s="64">
        <v>-700</v>
      </c>
      <c r="F554" s="34"/>
      <c r="G554" s="34"/>
      <c r="H554" s="33"/>
      <c r="I554" s="68"/>
      <c r="J554" s="64"/>
      <c r="K554" s="64"/>
      <c r="L554" s="64"/>
      <c r="M554" s="64"/>
      <c r="N554" s="34"/>
      <c r="O554" s="35"/>
    </row>
    <row r="555" spans="1:15" s="36" customFormat="1" ht="12" x14ac:dyDescent="0.2">
      <c r="A555" s="33"/>
      <c r="B555" s="69">
        <v>41712</v>
      </c>
      <c r="C555" s="65">
        <v>1600</v>
      </c>
      <c r="D555" s="65">
        <v>2000</v>
      </c>
      <c r="E555" s="65">
        <v>-400</v>
      </c>
      <c r="F555" s="34"/>
      <c r="G555" s="34"/>
      <c r="H555" s="33"/>
      <c r="I555" s="69"/>
      <c r="J555" s="65"/>
      <c r="K555" s="65"/>
      <c r="L555" s="65"/>
      <c r="M555" s="65"/>
      <c r="N555" s="34"/>
      <c r="O555" s="35"/>
    </row>
    <row r="556" spans="1:15" s="36" customFormat="1" ht="12" x14ac:dyDescent="0.2">
      <c r="A556" s="33"/>
      <c r="B556" s="68">
        <v>41719</v>
      </c>
      <c r="C556" s="64">
        <v>780</v>
      </c>
      <c r="D556" s="64">
        <v>1260</v>
      </c>
      <c r="E556" s="64">
        <v>-480</v>
      </c>
      <c r="F556" s="34"/>
      <c r="G556" s="34"/>
      <c r="H556" s="33"/>
      <c r="I556" s="68"/>
      <c r="J556" s="64"/>
      <c r="K556" s="64"/>
      <c r="L556" s="64"/>
      <c r="M556" s="64"/>
      <c r="N556" s="34"/>
      <c r="O556" s="35"/>
    </row>
    <row r="557" spans="1:15" s="36" customFormat="1" ht="12" x14ac:dyDescent="0.2">
      <c r="A557" s="33"/>
      <c r="B557" s="69">
        <v>41726</v>
      </c>
      <c r="C557" s="65">
        <v>0</v>
      </c>
      <c r="D557" s="65">
        <v>980</v>
      </c>
      <c r="E557" s="65">
        <v>-980</v>
      </c>
      <c r="H557" s="33"/>
      <c r="I557" s="69"/>
      <c r="J557" s="65"/>
      <c r="K557" s="65"/>
      <c r="L557" s="65"/>
      <c r="M557" s="65"/>
      <c r="N557" s="34"/>
      <c r="O557" s="35"/>
    </row>
    <row r="558" spans="1:15" s="36" customFormat="1" ht="12" x14ac:dyDescent="0.2">
      <c r="A558" s="33"/>
      <c r="B558" s="68">
        <v>41733</v>
      </c>
      <c r="C558" s="64">
        <v>1000</v>
      </c>
      <c r="D558" s="64">
        <v>1620</v>
      </c>
      <c r="E558" s="64">
        <v>-620</v>
      </c>
      <c r="H558" s="33"/>
      <c r="I558" s="68"/>
      <c r="J558" s="64"/>
      <c r="K558" s="64"/>
      <c r="L558" s="64"/>
      <c r="M558" s="64"/>
      <c r="N558" s="34"/>
      <c r="O558" s="35"/>
    </row>
    <row r="559" spans="1:15" s="36" customFormat="1" ht="12" x14ac:dyDescent="0.2">
      <c r="A559" s="33"/>
      <c r="B559" s="69">
        <v>41740</v>
      </c>
      <c r="C559" s="65">
        <v>2320</v>
      </c>
      <c r="D559" s="65">
        <v>1770</v>
      </c>
      <c r="E559" s="65">
        <v>550</v>
      </c>
      <c r="H559" s="33"/>
      <c r="I559" s="69"/>
      <c r="J559" s="65"/>
      <c r="K559" s="65"/>
      <c r="L559" s="65"/>
      <c r="M559" s="65"/>
      <c r="N559" s="34"/>
      <c r="O559" s="35"/>
    </row>
    <row r="560" spans="1:15" s="36" customFormat="1" ht="12" x14ac:dyDescent="0.2">
      <c r="A560" s="33"/>
      <c r="B560" s="68">
        <v>41747</v>
      </c>
      <c r="C560" s="64">
        <v>2260</v>
      </c>
      <c r="D560" s="64">
        <v>2670</v>
      </c>
      <c r="E560" s="64">
        <v>-410</v>
      </c>
      <c r="H560" s="33"/>
      <c r="I560" s="68"/>
      <c r="J560" s="64"/>
      <c r="K560" s="64"/>
      <c r="L560" s="64"/>
      <c r="M560" s="64"/>
      <c r="N560" s="34"/>
      <c r="O560" s="35"/>
    </row>
    <row r="561" spans="1:15" s="36" customFormat="1" ht="12" x14ac:dyDescent="0.2">
      <c r="A561" s="33"/>
      <c r="B561" s="69">
        <v>41754</v>
      </c>
      <c r="C561" s="65">
        <v>1830</v>
      </c>
      <c r="D561" s="65">
        <v>1850</v>
      </c>
      <c r="E561" s="65">
        <v>-20</v>
      </c>
      <c r="H561" s="33"/>
      <c r="I561" s="69"/>
      <c r="J561" s="65"/>
      <c r="K561" s="65"/>
      <c r="L561" s="65"/>
      <c r="M561" s="65"/>
      <c r="N561" s="34"/>
      <c r="O561" s="35"/>
    </row>
    <row r="562" spans="1:15" s="36" customFormat="1" ht="12" x14ac:dyDescent="0.2">
      <c r="A562" s="33"/>
      <c r="B562" s="68">
        <v>41761</v>
      </c>
      <c r="C562" s="64">
        <v>1410</v>
      </c>
      <c r="D562" s="64">
        <v>500</v>
      </c>
      <c r="E562" s="64">
        <v>910</v>
      </c>
      <c r="H562" s="33"/>
      <c r="I562" s="68"/>
      <c r="J562" s="64"/>
      <c r="K562" s="64"/>
      <c r="L562" s="64"/>
      <c r="M562" s="64"/>
      <c r="N562" s="34"/>
      <c r="O562" s="35"/>
    </row>
    <row r="563" spans="1:15" s="36" customFormat="1" ht="12" x14ac:dyDescent="0.2">
      <c r="A563" s="33"/>
      <c r="B563" s="69">
        <v>41768</v>
      </c>
      <c r="C563" s="65">
        <v>600</v>
      </c>
      <c r="D563" s="65">
        <v>1200</v>
      </c>
      <c r="E563" s="65">
        <v>-600</v>
      </c>
      <c r="H563" s="33"/>
      <c r="I563" s="69"/>
      <c r="J563" s="65"/>
      <c r="K563" s="65"/>
      <c r="L563" s="65"/>
      <c r="M563" s="65"/>
      <c r="N563" s="34"/>
      <c r="O563" s="35"/>
    </row>
    <row r="564" spans="1:15" s="36" customFormat="1" ht="12" x14ac:dyDescent="0.2">
      <c r="A564" s="33"/>
      <c r="B564" s="68">
        <v>41775</v>
      </c>
      <c r="C564" s="64">
        <v>2280</v>
      </c>
      <c r="D564" s="64">
        <v>1840</v>
      </c>
      <c r="E564" s="64">
        <v>440</v>
      </c>
      <c r="H564" s="33"/>
      <c r="I564" s="68"/>
      <c r="J564" s="64"/>
      <c r="K564" s="64"/>
      <c r="L564" s="64"/>
      <c r="M564" s="64"/>
      <c r="N564" s="34"/>
      <c r="O564" s="35"/>
    </row>
    <row r="565" spans="1:15" s="36" customFormat="1" ht="12" x14ac:dyDescent="0.2">
      <c r="A565" s="33"/>
      <c r="B565" s="69">
        <v>41782</v>
      </c>
      <c r="C565" s="65">
        <v>1850</v>
      </c>
      <c r="D565" s="65">
        <v>650</v>
      </c>
      <c r="E565" s="65">
        <v>1200</v>
      </c>
      <c r="H565" s="33"/>
      <c r="I565" s="69"/>
      <c r="J565" s="65"/>
      <c r="K565" s="65"/>
      <c r="L565" s="65"/>
      <c r="M565" s="65"/>
      <c r="N565" s="34"/>
      <c r="O565" s="35"/>
    </row>
    <row r="566" spans="1:15" s="36" customFormat="1" ht="12" x14ac:dyDescent="0.2">
      <c r="A566" s="33"/>
      <c r="B566" s="68">
        <v>41789</v>
      </c>
      <c r="C566" s="64">
        <v>500</v>
      </c>
      <c r="D566" s="64">
        <v>300</v>
      </c>
      <c r="E566" s="64">
        <v>200</v>
      </c>
      <c r="H566" s="33"/>
      <c r="I566" s="68"/>
      <c r="J566" s="64"/>
      <c r="K566" s="64"/>
      <c r="L566" s="64"/>
      <c r="M566" s="64"/>
      <c r="N566" s="34"/>
      <c r="O566" s="35"/>
    </row>
    <row r="567" spans="1:15" s="36" customFormat="1" ht="12" x14ac:dyDescent="0.2">
      <c r="A567" s="33"/>
      <c r="B567" s="69">
        <v>41796</v>
      </c>
      <c r="C567" s="65">
        <v>1430</v>
      </c>
      <c r="D567" s="65">
        <v>700</v>
      </c>
      <c r="E567" s="65">
        <v>730</v>
      </c>
      <c r="H567" s="33"/>
      <c r="I567" s="69"/>
      <c r="J567" s="65"/>
      <c r="K567" s="65"/>
      <c r="L567" s="65"/>
      <c r="M567" s="65"/>
      <c r="N567" s="34"/>
      <c r="O567" s="35"/>
    </row>
    <row r="568" spans="1:15" s="36" customFormat="1" ht="12" x14ac:dyDescent="0.2">
      <c r="A568" s="33"/>
      <c r="B568" s="68">
        <v>41803</v>
      </c>
      <c r="C568" s="64">
        <v>1840</v>
      </c>
      <c r="D568" s="64">
        <v>800</v>
      </c>
      <c r="E568" s="64">
        <v>1040</v>
      </c>
      <c r="H568" s="33"/>
      <c r="I568" s="68"/>
      <c r="J568" s="64"/>
      <c r="K568" s="64"/>
      <c r="L568" s="64"/>
      <c r="M568" s="64"/>
      <c r="N568" s="34"/>
      <c r="O568" s="35"/>
    </row>
    <row r="569" spans="1:15" s="36" customFormat="1" ht="12" x14ac:dyDescent="0.2">
      <c r="A569" s="33"/>
      <c r="B569" s="69">
        <v>41810</v>
      </c>
      <c r="C569" s="65">
        <v>650</v>
      </c>
      <c r="D569" s="65">
        <v>500</v>
      </c>
      <c r="E569" s="65">
        <v>150</v>
      </c>
      <c r="H569" s="33"/>
      <c r="I569" s="69"/>
      <c r="J569" s="65"/>
      <c r="K569" s="65"/>
      <c r="L569" s="65"/>
      <c r="M569" s="65"/>
      <c r="N569" s="34"/>
      <c r="O569" s="35"/>
    </row>
    <row r="570" spans="1:15" s="36" customFormat="1" ht="12" x14ac:dyDescent="0.2">
      <c r="A570" s="33"/>
      <c r="B570" s="68">
        <v>41817</v>
      </c>
      <c r="C570" s="64">
        <v>300</v>
      </c>
      <c r="D570" s="64">
        <v>180</v>
      </c>
      <c r="E570" s="64">
        <v>120</v>
      </c>
      <c r="H570" s="33"/>
      <c r="I570" s="68"/>
      <c r="J570" s="64"/>
      <c r="K570" s="64"/>
      <c r="L570" s="64"/>
      <c r="M570" s="64"/>
      <c r="N570" s="34"/>
      <c r="O570" s="35"/>
    </row>
    <row r="571" spans="1:15" s="36" customFormat="1" ht="12" x14ac:dyDescent="0.2">
      <c r="A571" s="33"/>
      <c r="B571" s="69">
        <v>41824</v>
      </c>
      <c r="C571" s="65">
        <v>850</v>
      </c>
      <c r="D571" s="65">
        <v>300</v>
      </c>
      <c r="E571" s="65">
        <v>550</v>
      </c>
      <c r="H571" s="33"/>
      <c r="I571" s="69"/>
      <c r="J571" s="65"/>
      <c r="K571" s="65"/>
      <c r="L571" s="65"/>
      <c r="M571" s="65"/>
      <c r="N571" s="34"/>
      <c r="O571" s="35"/>
    </row>
    <row r="572" spans="1:15" s="36" customFormat="1" ht="12" x14ac:dyDescent="0.2">
      <c r="A572" s="33"/>
      <c r="B572" s="68">
        <v>41831</v>
      </c>
      <c r="C572" s="64">
        <v>800</v>
      </c>
      <c r="D572" s="64">
        <v>300</v>
      </c>
      <c r="E572" s="64">
        <v>500</v>
      </c>
      <c r="H572" s="33"/>
      <c r="I572" s="68"/>
      <c r="J572" s="64"/>
      <c r="K572" s="64"/>
      <c r="L572" s="64"/>
      <c r="M572" s="64"/>
      <c r="N572" s="34"/>
      <c r="O572" s="35"/>
    </row>
    <row r="573" spans="1:15" s="36" customFormat="1" ht="12" x14ac:dyDescent="0.2">
      <c r="A573" s="33"/>
      <c r="B573" s="69">
        <v>41838</v>
      </c>
      <c r="C573" s="65">
        <v>550</v>
      </c>
      <c r="D573" s="65">
        <v>380</v>
      </c>
      <c r="E573" s="65">
        <v>170</v>
      </c>
      <c r="H573" s="33"/>
      <c r="I573" s="69"/>
      <c r="J573" s="65"/>
      <c r="K573" s="65"/>
      <c r="L573" s="65"/>
      <c r="M573" s="65"/>
      <c r="N573" s="34"/>
      <c r="O573" s="35"/>
    </row>
    <row r="574" spans="1:15" s="36" customFormat="1" ht="12" x14ac:dyDescent="0.2">
      <c r="A574" s="33"/>
      <c r="B574" s="68">
        <v>41845</v>
      </c>
      <c r="C574" s="64">
        <v>180</v>
      </c>
      <c r="D574" s="64">
        <v>0</v>
      </c>
      <c r="E574" s="64">
        <v>180</v>
      </c>
      <c r="H574" s="33"/>
      <c r="I574" s="68"/>
      <c r="J574" s="64"/>
      <c r="K574" s="64"/>
      <c r="L574" s="64"/>
      <c r="M574" s="64"/>
      <c r="N574" s="34"/>
      <c r="O574" s="35"/>
    </row>
    <row r="575" spans="1:15" s="36" customFormat="1" ht="12" x14ac:dyDescent="0.2">
      <c r="A575" s="33"/>
      <c r="B575" s="69">
        <v>41852</v>
      </c>
      <c r="C575" s="65">
        <v>300</v>
      </c>
      <c r="D575" s="65">
        <v>410</v>
      </c>
      <c r="E575" s="65">
        <v>-110</v>
      </c>
      <c r="H575" s="33"/>
      <c r="I575" s="69"/>
      <c r="J575" s="65"/>
      <c r="K575" s="65"/>
      <c r="L575" s="65"/>
      <c r="M575" s="65"/>
      <c r="N575" s="34"/>
      <c r="O575" s="35"/>
    </row>
    <row r="576" spans="1:15" s="36" customFormat="1" ht="12" x14ac:dyDescent="0.2">
      <c r="A576" s="33"/>
      <c r="B576" s="68">
        <v>41859</v>
      </c>
      <c r="C576" s="64">
        <v>300</v>
      </c>
      <c r="D576" s="64">
        <v>500</v>
      </c>
      <c r="E576" s="64">
        <v>-200</v>
      </c>
      <c r="H576" s="33"/>
      <c r="I576" s="68"/>
      <c r="J576" s="64"/>
      <c r="K576" s="64"/>
      <c r="L576" s="64"/>
      <c r="M576" s="64"/>
      <c r="N576" s="34"/>
      <c r="O576" s="35"/>
    </row>
    <row r="577" spans="1:15" s="36" customFormat="1" ht="12" x14ac:dyDescent="0.2">
      <c r="A577" s="33"/>
      <c r="B577" s="69">
        <v>41866</v>
      </c>
      <c r="C577" s="65">
        <v>640</v>
      </c>
      <c r="D577" s="65">
        <v>500</v>
      </c>
      <c r="E577" s="65">
        <v>140</v>
      </c>
      <c r="H577" s="33"/>
      <c r="I577" s="69"/>
      <c r="J577" s="65"/>
      <c r="K577" s="65"/>
      <c r="L577" s="65"/>
      <c r="M577" s="65"/>
      <c r="N577" s="34"/>
      <c r="O577" s="35"/>
    </row>
    <row r="578" spans="1:15" s="36" customFormat="1" ht="12" x14ac:dyDescent="0.2">
      <c r="A578" s="33"/>
      <c r="B578" s="68">
        <v>41873</v>
      </c>
      <c r="C578" s="64">
        <v>510</v>
      </c>
      <c r="D578" s="64">
        <v>400</v>
      </c>
      <c r="E578" s="64">
        <v>110</v>
      </c>
      <c r="H578" s="33"/>
      <c r="I578" s="68"/>
      <c r="J578" s="64"/>
      <c r="K578" s="64"/>
      <c r="L578" s="64"/>
      <c r="M578" s="64"/>
      <c r="N578" s="34"/>
      <c r="O578" s="35"/>
    </row>
    <row r="579" spans="1:15" s="36" customFormat="1" ht="12" x14ac:dyDescent="0.2">
      <c r="A579" s="33"/>
      <c r="B579" s="69">
        <v>41880</v>
      </c>
      <c r="C579" s="65">
        <v>650</v>
      </c>
      <c r="D579" s="65">
        <v>200</v>
      </c>
      <c r="E579" s="65">
        <v>450</v>
      </c>
      <c r="H579" s="33"/>
      <c r="I579" s="69"/>
      <c r="J579" s="65"/>
      <c r="K579" s="65"/>
      <c r="L579" s="65"/>
      <c r="M579" s="65"/>
      <c r="N579" s="34"/>
      <c r="O579" s="35"/>
    </row>
    <row r="580" spans="1:15" s="36" customFormat="1" ht="12" x14ac:dyDescent="0.2">
      <c r="A580" s="33"/>
      <c r="B580" s="68">
        <v>41887</v>
      </c>
      <c r="C580" s="64">
        <v>400</v>
      </c>
      <c r="D580" s="64">
        <v>330</v>
      </c>
      <c r="E580" s="64">
        <v>70</v>
      </c>
      <c r="H580" s="33"/>
      <c r="I580" s="68"/>
      <c r="J580" s="64"/>
      <c r="K580" s="64"/>
      <c r="L580" s="64"/>
      <c r="M580" s="64"/>
      <c r="N580" s="34"/>
      <c r="O580" s="35"/>
    </row>
    <row r="581" spans="1:15" s="36" customFormat="1" ht="12" x14ac:dyDescent="0.2">
      <c r="A581" s="33"/>
      <c r="B581" s="69">
        <v>41894</v>
      </c>
      <c r="C581" s="65">
        <v>200</v>
      </c>
      <c r="D581" s="65">
        <v>250</v>
      </c>
      <c r="E581" s="65">
        <v>-50</v>
      </c>
      <c r="H581" s="33"/>
      <c r="I581" s="69"/>
      <c r="J581" s="65"/>
      <c r="K581" s="65"/>
      <c r="L581" s="65"/>
      <c r="M581" s="65"/>
      <c r="N581" s="34"/>
      <c r="O581" s="35"/>
    </row>
    <row r="582" spans="1:15" s="36" customFormat="1" ht="12" x14ac:dyDescent="0.2">
      <c r="A582" s="33"/>
      <c r="B582" s="68">
        <v>41901</v>
      </c>
      <c r="C582" s="64">
        <v>330</v>
      </c>
      <c r="D582" s="64">
        <v>250</v>
      </c>
      <c r="E582" s="64">
        <v>80</v>
      </c>
      <c r="H582" s="33"/>
      <c r="I582" s="68"/>
      <c r="J582" s="64"/>
      <c r="K582" s="64"/>
      <c r="L582" s="64"/>
      <c r="M582" s="64"/>
      <c r="N582" s="34"/>
      <c r="O582" s="35"/>
    </row>
    <row r="583" spans="1:15" s="36" customFormat="1" ht="12" x14ac:dyDescent="0.2">
      <c r="A583" s="33"/>
      <c r="B583" s="69">
        <v>41908</v>
      </c>
      <c r="C583" s="65">
        <v>250</v>
      </c>
      <c r="D583" s="65">
        <v>360</v>
      </c>
      <c r="E583" s="65">
        <v>-110</v>
      </c>
      <c r="H583" s="33"/>
      <c r="I583" s="69"/>
      <c r="J583" s="65"/>
      <c r="K583" s="65"/>
      <c r="L583" s="65"/>
      <c r="M583" s="65"/>
      <c r="N583" s="34"/>
      <c r="O583" s="35"/>
    </row>
    <row r="584" spans="1:15" s="36" customFormat="1" ht="12" x14ac:dyDescent="0.2">
      <c r="A584" s="33"/>
      <c r="B584" s="68">
        <v>41915</v>
      </c>
      <c r="C584" s="64">
        <v>250</v>
      </c>
      <c r="D584" s="64">
        <v>200</v>
      </c>
      <c r="E584" s="64">
        <v>50</v>
      </c>
      <c r="H584" s="33"/>
      <c r="I584" s="68"/>
      <c r="J584" s="64"/>
      <c r="K584" s="64"/>
      <c r="L584" s="64"/>
      <c r="M584" s="64"/>
      <c r="N584" s="34"/>
      <c r="O584" s="35"/>
    </row>
    <row r="585" spans="1:15" s="36" customFormat="1" ht="12" x14ac:dyDescent="0.2">
      <c r="A585" s="33"/>
      <c r="B585" s="69">
        <v>41922</v>
      </c>
      <c r="C585" s="65">
        <v>360</v>
      </c>
      <c r="D585" s="65">
        <v>200</v>
      </c>
      <c r="E585" s="65">
        <v>160</v>
      </c>
      <c r="H585" s="33"/>
      <c r="I585" s="69"/>
      <c r="J585" s="65"/>
      <c r="K585" s="65"/>
      <c r="L585" s="65"/>
      <c r="M585" s="65"/>
      <c r="N585" s="34"/>
      <c r="O585" s="35"/>
    </row>
    <row r="586" spans="1:15" s="36" customFormat="1" ht="12" x14ac:dyDescent="0.2">
      <c r="A586" s="33"/>
      <c r="B586" s="68">
        <v>41929</v>
      </c>
      <c r="C586" s="64">
        <v>400</v>
      </c>
      <c r="D586" s="64">
        <v>400</v>
      </c>
      <c r="E586" s="64">
        <v>0</v>
      </c>
      <c r="H586" s="33"/>
      <c r="I586" s="68"/>
      <c r="J586" s="64"/>
      <c r="K586" s="64"/>
      <c r="L586" s="64"/>
      <c r="M586" s="64"/>
      <c r="N586" s="34"/>
      <c r="O586" s="35"/>
    </row>
    <row r="587" spans="1:15" s="36" customFormat="1" ht="12" x14ac:dyDescent="0.2">
      <c r="A587" s="33"/>
      <c r="B587" s="69">
        <v>41936</v>
      </c>
      <c r="C587" s="65">
        <v>400</v>
      </c>
      <c r="D587" s="65">
        <v>400</v>
      </c>
      <c r="E587" s="65">
        <v>0</v>
      </c>
      <c r="H587" s="33"/>
      <c r="I587" s="69"/>
      <c r="J587" s="65"/>
      <c r="K587" s="65"/>
      <c r="L587" s="65"/>
      <c r="M587" s="65"/>
      <c r="N587" s="34"/>
      <c r="O587" s="35"/>
    </row>
    <row r="588" spans="1:15" s="36" customFormat="1" ht="12" x14ac:dyDescent="0.2">
      <c r="A588" s="33"/>
      <c r="B588" s="68">
        <v>41943</v>
      </c>
      <c r="C588" s="64">
        <v>400</v>
      </c>
      <c r="D588" s="64">
        <v>400</v>
      </c>
      <c r="E588" s="64">
        <v>0</v>
      </c>
      <c r="H588" s="33"/>
      <c r="I588" s="68"/>
      <c r="J588" s="64"/>
      <c r="K588" s="64"/>
      <c r="L588" s="64"/>
      <c r="M588" s="64"/>
      <c r="N588" s="34"/>
      <c r="O588" s="35"/>
    </row>
    <row r="589" spans="1:15" s="36" customFormat="1" ht="12" x14ac:dyDescent="0.2">
      <c r="A589" s="33"/>
      <c r="B589" s="69">
        <v>41950</v>
      </c>
      <c r="C589" s="65">
        <v>400</v>
      </c>
      <c r="D589" s="65">
        <v>400</v>
      </c>
      <c r="E589" s="65">
        <v>0</v>
      </c>
      <c r="H589" s="33"/>
      <c r="I589" s="69"/>
      <c r="J589" s="65"/>
      <c r="K589" s="65"/>
      <c r="L589" s="65"/>
      <c r="M589" s="65"/>
      <c r="N589" s="34"/>
      <c r="O589" s="35"/>
    </row>
    <row r="590" spans="1:15" s="36" customFormat="1" ht="12" x14ac:dyDescent="0.2">
      <c r="A590" s="33"/>
      <c r="B590" s="68">
        <v>41957</v>
      </c>
      <c r="C590" s="64">
        <v>400</v>
      </c>
      <c r="D590" s="64">
        <v>400</v>
      </c>
      <c r="E590" s="64">
        <v>0</v>
      </c>
      <c r="H590" s="33"/>
      <c r="I590" s="68"/>
      <c r="J590" s="64"/>
      <c r="K590" s="64"/>
      <c r="L590" s="64"/>
      <c r="M590" s="64"/>
      <c r="N590" s="34"/>
      <c r="O590" s="35"/>
    </row>
    <row r="591" spans="1:15" s="36" customFormat="1" ht="12" x14ac:dyDescent="0.2">
      <c r="A591" s="33"/>
      <c r="B591" s="69">
        <v>41964</v>
      </c>
      <c r="C591" s="65">
        <v>400</v>
      </c>
      <c r="D591" s="65">
        <v>300</v>
      </c>
      <c r="E591" s="65">
        <v>100</v>
      </c>
      <c r="H591" s="33"/>
      <c r="I591" s="69"/>
      <c r="J591" s="65"/>
      <c r="K591" s="65"/>
      <c r="L591" s="65"/>
      <c r="M591" s="65"/>
      <c r="N591" s="34"/>
      <c r="O591" s="35"/>
    </row>
    <row r="592" spans="1:15" s="36" customFormat="1" ht="12" x14ac:dyDescent="0.2">
      <c r="A592" s="33"/>
      <c r="B592" s="68">
        <v>41971</v>
      </c>
      <c r="C592" s="64">
        <v>400</v>
      </c>
      <c r="D592" s="64">
        <v>50</v>
      </c>
      <c r="E592" s="64">
        <v>350</v>
      </c>
      <c r="H592" s="33"/>
      <c r="I592" s="68"/>
      <c r="J592" s="64"/>
      <c r="K592" s="64"/>
      <c r="L592" s="64"/>
      <c r="M592" s="64"/>
      <c r="N592" s="34"/>
      <c r="O592" s="35"/>
    </row>
    <row r="593" spans="1:15" s="36" customFormat="1" ht="12" x14ac:dyDescent="0.2">
      <c r="A593" s="33"/>
      <c r="B593" s="69">
        <v>41978</v>
      </c>
      <c r="C593" s="65">
        <v>300</v>
      </c>
      <c r="D593" s="65">
        <v>0</v>
      </c>
      <c r="E593" s="65">
        <v>300</v>
      </c>
      <c r="H593" s="33"/>
      <c r="I593" s="69"/>
      <c r="J593" s="65"/>
      <c r="K593" s="65"/>
      <c r="L593" s="65"/>
      <c r="M593" s="65"/>
      <c r="N593" s="34"/>
      <c r="O593" s="35"/>
    </row>
    <row r="594" spans="1:15" s="36" customFormat="1" ht="12" x14ac:dyDescent="0.2">
      <c r="A594" s="33"/>
      <c r="B594" s="68">
        <v>41985</v>
      </c>
      <c r="C594" s="64">
        <v>50</v>
      </c>
      <c r="D594" s="64">
        <v>0</v>
      </c>
      <c r="E594" s="64">
        <v>50</v>
      </c>
      <c r="H594" s="33"/>
      <c r="I594" s="68"/>
      <c r="J594" s="64"/>
      <c r="K594" s="64"/>
      <c r="L594" s="64"/>
      <c r="M594" s="64"/>
      <c r="N594" s="34"/>
      <c r="O594" s="35"/>
    </row>
    <row r="595" spans="1:15" s="36" customFormat="1" ht="12" x14ac:dyDescent="0.2">
      <c r="A595" s="33"/>
      <c r="B595" s="69">
        <v>42027</v>
      </c>
      <c r="C595" s="65">
        <v>500</v>
      </c>
      <c r="D595" s="65">
        <v>0</v>
      </c>
      <c r="E595" s="65">
        <v>500</v>
      </c>
      <c r="H595" s="33"/>
      <c r="I595" s="69"/>
      <c r="J595" s="65"/>
      <c r="K595" s="65"/>
      <c r="L595" s="65"/>
      <c r="M595" s="65"/>
      <c r="N595" s="34"/>
      <c r="O595" s="35"/>
    </row>
    <row r="596" spans="1:15" s="36" customFormat="1" ht="12" x14ac:dyDescent="0.2">
      <c r="A596" s="33"/>
      <c r="B596" s="68">
        <v>42034</v>
      </c>
      <c r="C596" s="64">
        <v>1050</v>
      </c>
      <c r="D596" s="64">
        <v>500</v>
      </c>
      <c r="E596" s="64">
        <v>550</v>
      </c>
      <c r="H596" s="33"/>
      <c r="I596" s="68"/>
      <c r="J596" s="64"/>
      <c r="K596" s="64"/>
      <c r="L596" s="64"/>
      <c r="M596" s="64"/>
      <c r="N596" s="34"/>
      <c r="O596" s="35"/>
    </row>
    <row r="597" spans="1:15" s="36" customFormat="1" ht="12" x14ac:dyDescent="0.2">
      <c r="A597" s="33"/>
      <c r="B597" s="69">
        <v>42041</v>
      </c>
      <c r="C597" s="65">
        <v>1200</v>
      </c>
      <c r="D597" s="65">
        <v>300</v>
      </c>
      <c r="E597" s="65">
        <v>900</v>
      </c>
      <c r="H597" s="33"/>
      <c r="I597" s="69"/>
      <c r="J597" s="65"/>
      <c r="K597" s="65"/>
      <c r="L597" s="65"/>
      <c r="M597" s="65"/>
      <c r="N597" s="34"/>
      <c r="O597" s="35"/>
    </row>
    <row r="598" spans="1:15" s="36" customFormat="1" ht="12" x14ac:dyDescent="0.2">
      <c r="A598" s="33"/>
      <c r="B598" s="68">
        <v>42048</v>
      </c>
      <c r="C598" s="64">
        <v>2400</v>
      </c>
      <c r="D598" s="64">
        <v>350</v>
      </c>
      <c r="E598" s="64">
        <v>2050</v>
      </c>
      <c r="H598" s="33"/>
      <c r="I598" s="68"/>
      <c r="J598" s="64"/>
      <c r="K598" s="64"/>
      <c r="L598" s="64"/>
      <c r="M598" s="64"/>
      <c r="N598" s="34"/>
      <c r="O598" s="35"/>
    </row>
    <row r="599" spans="1:15" s="36" customFormat="1" ht="12" x14ac:dyDescent="0.2">
      <c r="A599" s="33"/>
      <c r="B599" s="69">
        <v>42062</v>
      </c>
      <c r="C599" s="65">
        <v>380</v>
      </c>
      <c r="D599" s="65">
        <v>1800</v>
      </c>
      <c r="E599" s="65">
        <v>-1420</v>
      </c>
      <c r="H599" s="33"/>
      <c r="I599" s="69"/>
      <c r="J599" s="65"/>
      <c r="K599" s="65"/>
      <c r="L599" s="65"/>
      <c r="M599" s="65"/>
      <c r="N599" s="34"/>
      <c r="O599" s="35"/>
    </row>
    <row r="600" spans="1:15" s="36" customFormat="1" ht="12" x14ac:dyDescent="0.2">
      <c r="A600" s="33"/>
      <c r="B600" s="68">
        <v>42069</v>
      </c>
      <c r="C600" s="64">
        <v>750</v>
      </c>
      <c r="D600" s="64">
        <v>2200</v>
      </c>
      <c r="E600" s="64">
        <v>-1450</v>
      </c>
      <c r="H600" s="33"/>
      <c r="I600" s="68"/>
      <c r="J600" s="64"/>
      <c r="K600" s="64"/>
      <c r="L600" s="64"/>
      <c r="M600" s="64"/>
      <c r="N600" s="34"/>
      <c r="O600" s="35"/>
    </row>
    <row r="601" spans="1:15" s="36" customFormat="1" ht="12" x14ac:dyDescent="0.2">
      <c r="A601" s="33"/>
      <c r="B601" s="69">
        <v>42076</v>
      </c>
      <c r="C601" s="65">
        <v>600</v>
      </c>
      <c r="D601" s="65">
        <v>1130</v>
      </c>
      <c r="E601" s="65">
        <v>-530</v>
      </c>
      <c r="H601" s="33"/>
      <c r="I601" s="69"/>
      <c r="J601" s="65"/>
      <c r="K601" s="65"/>
      <c r="L601" s="65"/>
      <c r="M601" s="65"/>
      <c r="N601" s="34"/>
      <c r="O601" s="35"/>
    </row>
    <row r="602" spans="1:15" s="36" customFormat="1" ht="12" x14ac:dyDescent="0.2">
      <c r="A602" s="33"/>
      <c r="B602" s="68">
        <v>42083</v>
      </c>
      <c r="C602" s="64">
        <v>350</v>
      </c>
      <c r="D602" s="64">
        <v>600</v>
      </c>
      <c r="E602" s="64">
        <v>-250</v>
      </c>
      <c r="H602" s="33"/>
      <c r="I602" s="68"/>
      <c r="J602" s="64"/>
      <c r="K602" s="64"/>
      <c r="L602" s="64"/>
      <c r="M602" s="64"/>
      <c r="N602" s="34"/>
      <c r="O602" s="35"/>
    </row>
    <row r="603" spans="1:15" s="36" customFormat="1" ht="12" x14ac:dyDescent="0.2">
      <c r="A603" s="33"/>
      <c r="B603" s="69">
        <v>42090</v>
      </c>
      <c r="C603" s="65">
        <v>450</v>
      </c>
      <c r="D603" s="65">
        <v>350</v>
      </c>
      <c r="E603" s="65">
        <v>100</v>
      </c>
      <c r="H603" s="33"/>
      <c r="I603" s="69"/>
      <c r="J603" s="65"/>
      <c r="K603" s="65"/>
      <c r="L603" s="65"/>
      <c r="M603" s="65"/>
      <c r="N603" s="34"/>
      <c r="O603" s="35"/>
    </row>
    <row r="604" spans="1:15" s="36" customFormat="1" ht="12" x14ac:dyDescent="0.2">
      <c r="A604" s="33"/>
      <c r="B604" s="68">
        <v>42097</v>
      </c>
      <c r="C604" s="64">
        <v>500</v>
      </c>
      <c r="D604" s="64">
        <v>450</v>
      </c>
      <c r="E604" s="64">
        <v>50</v>
      </c>
      <c r="H604" s="33"/>
      <c r="I604" s="68"/>
      <c r="J604" s="64"/>
      <c r="K604" s="64"/>
      <c r="L604" s="64"/>
      <c r="M604" s="64"/>
      <c r="N604" s="34"/>
      <c r="O604" s="35"/>
    </row>
    <row r="605" spans="1:15" s="36" customFormat="1" ht="12" x14ac:dyDescent="0.2">
      <c r="A605" s="33"/>
      <c r="B605" s="69">
        <v>42104</v>
      </c>
      <c r="C605" s="65">
        <v>350</v>
      </c>
      <c r="D605" s="65">
        <v>500</v>
      </c>
      <c r="E605" s="65">
        <v>-150</v>
      </c>
      <c r="H605" s="33"/>
      <c r="I605" s="69"/>
      <c r="J605" s="65"/>
      <c r="K605" s="65"/>
      <c r="L605" s="65"/>
      <c r="M605" s="65"/>
      <c r="N605" s="34"/>
      <c r="O605" s="35"/>
    </row>
    <row r="606" spans="1:15" s="36" customFormat="1" ht="12" x14ac:dyDescent="0.2">
      <c r="A606" s="33"/>
      <c r="B606" s="68">
        <v>42111</v>
      </c>
      <c r="C606" s="64">
        <v>200</v>
      </c>
      <c r="D606" s="64">
        <v>350</v>
      </c>
      <c r="E606" s="64">
        <v>-150</v>
      </c>
      <c r="H606" s="33"/>
      <c r="I606" s="68"/>
      <c r="J606" s="64"/>
      <c r="K606" s="64"/>
      <c r="L606" s="64"/>
      <c r="M606" s="64"/>
      <c r="N606" s="34"/>
      <c r="O606" s="35"/>
    </row>
    <row r="607" spans="1:15" s="36" customFormat="1" ht="12" x14ac:dyDescent="0.2">
      <c r="A607" s="33"/>
      <c r="B607" s="69">
        <v>42118</v>
      </c>
      <c r="C607" s="65">
        <v>0</v>
      </c>
      <c r="D607" s="65">
        <v>200</v>
      </c>
      <c r="E607" s="65">
        <v>-200</v>
      </c>
      <c r="H607" s="33"/>
      <c r="I607" s="69"/>
      <c r="J607" s="65"/>
      <c r="K607" s="65"/>
      <c r="L607" s="65"/>
      <c r="M607" s="65"/>
      <c r="N607" s="34"/>
      <c r="O607" s="35"/>
    </row>
    <row r="608" spans="1:15" s="36" customFormat="1" ht="12" x14ac:dyDescent="0.2">
      <c r="A608" s="33"/>
      <c r="B608" s="68">
        <v>42181</v>
      </c>
      <c r="C608" s="64">
        <v>350</v>
      </c>
      <c r="D608" s="64">
        <v>0</v>
      </c>
      <c r="E608" s="64">
        <v>350</v>
      </c>
      <c r="H608" s="33"/>
      <c r="I608" s="68"/>
      <c r="J608" s="64"/>
      <c r="K608" s="64"/>
      <c r="L608" s="64"/>
      <c r="M608" s="64"/>
      <c r="N608" s="34"/>
      <c r="O608" s="35"/>
    </row>
    <row r="609" spans="1:15" s="36" customFormat="1" ht="12" x14ac:dyDescent="0.2">
      <c r="A609" s="33"/>
      <c r="B609" s="69">
        <v>42188</v>
      </c>
      <c r="C609" s="65">
        <v>850</v>
      </c>
      <c r="D609" s="65">
        <v>350</v>
      </c>
      <c r="E609" s="65">
        <v>500</v>
      </c>
      <c r="H609" s="33"/>
      <c r="I609" s="69"/>
      <c r="J609" s="65"/>
      <c r="K609" s="65"/>
      <c r="L609" s="65"/>
      <c r="M609" s="65"/>
      <c r="N609" s="34"/>
      <c r="O609" s="35"/>
    </row>
    <row r="610" spans="1:15" s="36" customFormat="1" ht="12" x14ac:dyDescent="0.2">
      <c r="A610" s="33"/>
      <c r="B610" s="68">
        <v>42195</v>
      </c>
      <c r="C610" s="64">
        <v>850</v>
      </c>
      <c r="D610" s="64">
        <v>850</v>
      </c>
      <c r="E610" s="64">
        <v>0</v>
      </c>
      <c r="H610" s="33"/>
      <c r="I610" s="68"/>
      <c r="J610" s="64"/>
      <c r="K610" s="64"/>
      <c r="L610" s="64"/>
      <c r="M610" s="64"/>
      <c r="N610" s="34"/>
      <c r="O610" s="35"/>
    </row>
    <row r="611" spans="1:15" s="36" customFormat="1" ht="12" x14ac:dyDescent="0.2">
      <c r="A611" s="33"/>
      <c r="B611" s="69">
        <v>42202</v>
      </c>
      <c r="C611" s="65">
        <v>400</v>
      </c>
      <c r="D611" s="65">
        <v>850</v>
      </c>
      <c r="E611" s="65">
        <v>-450</v>
      </c>
      <c r="H611" s="33"/>
      <c r="I611" s="69"/>
      <c r="J611" s="65"/>
      <c r="K611" s="65"/>
      <c r="L611" s="65"/>
      <c r="M611" s="65"/>
      <c r="N611" s="34"/>
      <c r="O611" s="35"/>
    </row>
    <row r="612" spans="1:15" s="36" customFormat="1" ht="12" x14ac:dyDescent="0.2">
      <c r="A612" s="33"/>
      <c r="B612" s="68">
        <v>42209</v>
      </c>
      <c r="C612" s="64">
        <v>700</v>
      </c>
      <c r="D612" s="64">
        <v>400</v>
      </c>
      <c r="E612" s="64">
        <v>300</v>
      </c>
      <c r="F612" s="34"/>
      <c r="G612" s="34"/>
      <c r="H612" s="33"/>
      <c r="I612" s="68"/>
      <c r="J612" s="64"/>
      <c r="K612" s="64"/>
      <c r="L612" s="64"/>
      <c r="M612" s="64"/>
      <c r="N612" s="34"/>
      <c r="O612" s="35"/>
    </row>
    <row r="613" spans="1:15" s="36" customFormat="1" ht="12" x14ac:dyDescent="0.2">
      <c r="A613" s="33"/>
      <c r="B613" s="69">
        <v>42216</v>
      </c>
      <c r="C613" s="65">
        <v>900</v>
      </c>
      <c r="D613" s="65">
        <v>700</v>
      </c>
      <c r="E613" s="65">
        <v>200</v>
      </c>
      <c r="F613" s="34"/>
      <c r="G613" s="34"/>
      <c r="H613" s="33"/>
      <c r="I613" s="69"/>
      <c r="J613" s="65"/>
      <c r="K613" s="65"/>
      <c r="L613" s="65"/>
      <c r="M613" s="65"/>
      <c r="N613" s="34"/>
      <c r="O613" s="35"/>
    </row>
    <row r="614" spans="1:15" s="36" customFormat="1" ht="12" x14ac:dyDescent="0.2">
      <c r="A614" s="33"/>
      <c r="B614" s="68">
        <v>42223</v>
      </c>
      <c r="C614" s="64">
        <v>850</v>
      </c>
      <c r="D614" s="64">
        <v>900</v>
      </c>
      <c r="E614" s="64">
        <v>-50</v>
      </c>
      <c r="F614" s="34"/>
      <c r="G614" s="34"/>
      <c r="H614" s="33"/>
      <c r="I614" s="68"/>
      <c r="J614" s="64"/>
      <c r="K614" s="64"/>
      <c r="L614" s="64"/>
      <c r="M614" s="64"/>
      <c r="N614" s="34"/>
      <c r="O614" s="35"/>
    </row>
    <row r="615" spans="1:15" s="36" customFormat="1" ht="12" x14ac:dyDescent="0.2">
      <c r="A615" s="33"/>
      <c r="B615" s="69">
        <v>42230</v>
      </c>
      <c r="C615" s="65">
        <v>900</v>
      </c>
      <c r="D615" s="65">
        <v>850</v>
      </c>
      <c r="E615" s="65">
        <v>50</v>
      </c>
      <c r="F615" s="34"/>
      <c r="G615" s="34"/>
      <c r="H615" s="33"/>
      <c r="I615" s="69"/>
      <c r="J615" s="65"/>
      <c r="K615" s="65"/>
      <c r="L615" s="65"/>
      <c r="M615" s="65"/>
      <c r="N615" s="34"/>
      <c r="O615" s="35"/>
    </row>
    <row r="616" spans="1:15" s="36" customFormat="1" ht="12" x14ac:dyDescent="0.2">
      <c r="A616" s="33"/>
      <c r="B616" s="68">
        <v>42237</v>
      </c>
      <c r="C616" s="64">
        <v>2400</v>
      </c>
      <c r="D616" s="64">
        <v>900</v>
      </c>
      <c r="E616" s="64">
        <v>1500</v>
      </c>
      <c r="F616" s="34"/>
      <c r="G616" s="34"/>
      <c r="H616" s="33"/>
      <c r="I616" s="68"/>
      <c r="J616" s="64"/>
      <c r="K616" s="64"/>
      <c r="L616" s="64"/>
      <c r="M616" s="64"/>
      <c r="N616" s="34"/>
      <c r="O616" s="35"/>
    </row>
    <row r="617" spans="1:15" s="36" customFormat="1" ht="12" x14ac:dyDescent="0.2">
      <c r="A617" s="33"/>
      <c r="B617" s="69">
        <v>42244</v>
      </c>
      <c r="C617" s="65">
        <v>3000</v>
      </c>
      <c r="D617" s="65">
        <v>2400</v>
      </c>
      <c r="E617" s="65">
        <v>600</v>
      </c>
      <c r="F617" s="34"/>
      <c r="G617" s="34"/>
      <c r="H617" s="33"/>
      <c r="I617" s="69"/>
      <c r="J617" s="65"/>
      <c r="K617" s="65"/>
      <c r="L617" s="65"/>
      <c r="M617" s="65"/>
      <c r="N617" s="34"/>
      <c r="O617" s="35"/>
    </row>
    <row r="618" spans="1:15" s="36" customFormat="1" ht="12" x14ac:dyDescent="0.2">
      <c r="A618" s="33"/>
      <c r="B618" s="68">
        <v>42251</v>
      </c>
      <c r="C618" s="64">
        <v>1500</v>
      </c>
      <c r="D618" s="64">
        <v>3000</v>
      </c>
      <c r="E618" s="64">
        <v>-1500</v>
      </c>
      <c r="F618" s="34"/>
      <c r="G618" s="34"/>
      <c r="H618" s="33"/>
      <c r="I618" s="68"/>
      <c r="J618" s="64"/>
      <c r="K618" s="64"/>
      <c r="L618" s="64"/>
      <c r="M618" s="64"/>
      <c r="N618" s="34"/>
      <c r="O618" s="35"/>
    </row>
    <row r="619" spans="1:15" s="36" customFormat="1" ht="12" x14ac:dyDescent="0.2">
      <c r="A619" s="33"/>
      <c r="B619" s="69">
        <v>42258</v>
      </c>
      <c r="C619" s="65">
        <v>2300</v>
      </c>
      <c r="D619" s="65">
        <v>1500</v>
      </c>
      <c r="E619" s="65">
        <v>800</v>
      </c>
      <c r="F619" s="34"/>
      <c r="G619" s="34"/>
      <c r="H619" s="33"/>
      <c r="I619" s="69"/>
      <c r="J619" s="65"/>
      <c r="K619" s="65"/>
      <c r="L619" s="65"/>
      <c r="M619" s="65"/>
      <c r="N619" s="34"/>
      <c r="O619" s="35"/>
    </row>
    <row r="620" spans="1:15" s="36" customFormat="1" ht="12" x14ac:dyDescent="0.2">
      <c r="A620" s="33"/>
      <c r="B620" s="68">
        <v>42265</v>
      </c>
      <c r="C620" s="64">
        <v>900</v>
      </c>
      <c r="D620" s="64">
        <v>2300</v>
      </c>
      <c r="E620" s="64">
        <v>-1400</v>
      </c>
      <c r="F620" s="34"/>
      <c r="G620" s="34"/>
      <c r="H620" s="33"/>
      <c r="I620" s="68"/>
      <c r="J620" s="64"/>
      <c r="K620" s="64"/>
      <c r="L620" s="64"/>
      <c r="M620" s="64"/>
      <c r="N620" s="34"/>
      <c r="O620" s="35"/>
    </row>
    <row r="621" spans="1:15" s="36" customFormat="1" ht="12" x14ac:dyDescent="0.2">
      <c r="A621" s="33"/>
      <c r="B621" s="69">
        <v>42272</v>
      </c>
      <c r="C621" s="65">
        <v>1300</v>
      </c>
      <c r="D621" s="65">
        <v>900</v>
      </c>
      <c r="E621" s="65">
        <v>400</v>
      </c>
      <c r="F621" s="34"/>
      <c r="G621" s="34"/>
      <c r="H621" s="33"/>
      <c r="I621" s="69"/>
      <c r="J621" s="65"/>
      <c r="K621" s="65"/>
      <c r="L621" s="65"/>
      <c r="M621" s="65"/>
      <c r="N621" s="34"/>
      <c r="O621" s="35"/>
    </row>
    <row r="622" spans="1:15" s="36" customFormat="1" ht="12" x14ac:dyDescent="0.2">
      <c r="A622" s="33"/>
      <c r="B622" s="68">
        <v>42279</v>
      </c>
      <c r="C622" s="64">
        <v>400</v>
      </c>
      <c r="D622" s="64">
        <v>500</v>
      </c>
      <c r="E622" s="64">
        <v>-100</v>
      </c>
      <c r="F622" s="34"/>
      <c r="G622" s="34"/>
      <c r="H622" s="33"/>
      <c r="I622" s="68"/>
      <c r="J622" s="64"/>
      <c r="K622" s="64"/>
      <c r="L622" s="64"/>
      <c r="M622" s="64"/>
      <c r="N622" s="34"/>
      <c r="O622" s="35"/>
    </row>
    <row r="623" spans="1:15" s="36" customFormat="1" ht="12" x14ac:dyDescent="0.2">
      <c r="A623" s="33"/>
      <c r="B623" s="69">
        <v>42286</v>
      </c>
      <c r="C623" s="65">
        <v>1200</v>
      </c>
      <c r="D623" s="65">
        <v>800</v>
      </c>
      <c r="E623" s="65">
        <v>400</v>
      </c>
      <c r="F623" s="34"/>
      <c r="G623" s="34"/>
      <c r="H623" s="33"/>
      <c r="I623" s="69"/>
      <c r="J623" s="65"/>
      <c r="K623" s="65"/>
      <c r="L623" s="65"/>
      <c r="M623" s="65"/>
      <c r="N623" s="34"/>
      <c r="O623" s="35"/>
    </row>
    <row r="624" spans="1:15" s="36" customFormat="1" ht="12" x14ac:dyDescent="0.2">
      <c r="A624" s="33"/>
      <c r="B624" s="68">
        <v>42293</v>
      </c>
      <c r="C624" s="64">
        <v>900</v>
      </c>
      <c r="D624" s="64">
        <v>1600</v>
      </c>
      <c r="E624" s="64">
        <v>-700</v>
      </c>
      <c r="F624" s="34"/>
      <c r="G624" s="34"/>
      <c r="H624" s="33"/>
      <c r="I624" s="68"/>
      <c r="J624" s="64"/>
      <c r="K624" s="64"/>
      <c r="L624" s="64"/>
      <c r="M624" s="64"/>
      <c r="N624" s="34"/>
      <c r="O624" s="35"/>
    </row>
    <row r="625" spans="1:15" s="36" customFormat="1" ht="12" x14ac:dyDescent="0.2">
      <c r="A625" s="33"/>
      <c r="B625" s="69">
        <v>42300</v>
      </c>
      <c r="C625" s="65">
        <v>450</v>
      </c>
      <c r="D625" s="65">
        <v>900</v>
      </c>
      <c r="E625" s="65">
        <v>-450</v>
      </c>
      <c r="F625" s="34"/>
      <c r="G625" s="34"/>
      <c r="H625" s="33"/>
      <c r="I625" s="69"/>
      <c r="J625" s="65"/>
      <c r="K625" s="65"/>
      <c r="L625" s="65"/>
      <c r="M625" s="65"/>
      <c r="N625" s="34"/>
      <c r="O625" s="35"/>
    </row>
    <row r="626" spans="1:15" s="36" customFormat="1" ht="12" x14ac:dyDescent="0.2">
      <c r="A626" s="33"/>
      <c r="B626" s="68">
        <v>42307</v>
      </c>
      <c r="C626" s="64">
        <v>200</v>
      </c>
      <c r="D626" s="64">
        <v>450</v>
      </c>
      <c r="E626" s="64">
        <v>-250</v>
      </c>
      <c r="F626" s="34"/>
      <c r="G626" s="34"/>
      <c r="H626" s="33"/>
      <c r="I626" s="68"/>
      <c r="J626" s="64"/>
      <c r="K626" s="64"/>
      <c r="L626" s="64"/>
      <c r="M626" s="64"/>
      <c r="N626" s="34"/>
      <c r="O626" s="35"/>
    </row>
    <row r="627" spans="1:15" s="36" customFormat="1" ht="12" x14ac:dyDescent="0.2">
      <c r="A627" s="33"/>
      <c r="B627" s="69">
        <v>42314</v>
      </c>
      <c r="C627" s="65">
        <v>200</v>
      </c>
      <c r="D627" s="65">
        <v>200</v>
      </c>
      <c r="E627" s="65">
        <v>0</v>
      </c>
      <c r="F627" s="34"/>
      <c r="G627" s="34"/>
      <c r="H627" s="33"/>
      <c r="I627" s="69"/>
      <c r="J627" s="65"/>
      <c r="K627" s="65"/>
      <c r="L627" s="65"/>
      <c r="M627" s="65"/>
      <c r="N627" s="34"/>
      <c r="O627" s="35"/>
    </row>
    <row r="628" spans="1:15" s="36" customFormat="1" ht="12" x14ac:dyDescent="0.2">
      <c r="A628" s="33"/>
      <c r="B628" s="68">
        <v>42321</v>
      </c>
      <c r="C628" s="64">
        <v>200</v>
      </c>
      <c r="D628" s="64">
        <v>200</v>
      </c>
      <c r="E628" s="64">
        <v>0</v>
      </c>
      <c r="F628" s="34"/>
      <c r="G628" s="34"/>
      <c r="H628" s="33"/>
      <c r="I628" s="68"/>
      <c r="J628" s="64"/>
      <c r="K628" s="64"/>
      <c r="L628" s="64"/>
      <c r="M628" s="64"/>
      <c r="N628" s="34"/>
      <c r="O628" s="35"/>
    </row>
    <row r="629" spans="1:15" s="36" customFormat="1" ht="12" x14ac:dyDescent="0.2">
      <c r="A629" s="33"/>
      <c r="B629" s="69">
        <v>42328</v>
      </c>
      <c r="C629" s="65">
        <v>300</v>
      </c>
      <c r="D629" s="65">
        <v>200</v>
      </c>
      <c r="E629" s="65">
        <v>100</v>
      </c>
      <c r="F629" s="34"/>
      <c r="G629" s="34"/>
      <c r="H629" s="33"/>
      <c r="I629" s="69"/>
      <c r="J629" s="65"/>
      <c r="K629" s="65"/>
      <c r="L629" s="65"/>
      <c r="M629" s="65"/>
      <c r="N629" s="34"/>
      <c r="O629" s="35"/>
    </row>
    <row r="630" spans="1:15" s="36" customFormat="1" ht="12" x14ac:dyDescent="0.2">
      <c r="A630" s="33"/>
      <c r="B630" s="68">
        <v>42335</v>
      </c>
      <c r="C630" s="64">
        <v>300</v>
      </c>
      <c r="D630" s="64">
        <v>300</v>
      </c>
      <c r="E630" s="64">
        <v>0</v>
      </c>
      <c r="F630" s="34"/>
      <c r="G630" s="34"/>
      <c r="H630" s="33"/>
      <c r="I630" s="68"/>
      <c r="J630" s="64"/>
      <c r="K630" s="64"/>
      <c r="L630" s="64"/>
      <c r="M630" s="64"/>
      <c r="N630" s="34"/>
      <c r="O630" s="35"/>
    </row>
    <row r="631" spans="1:15" s="36" customFormat="1" ht="12" x14ac:dyDescent="0.2">
      <c r="A631" s="33"/>
      <c r="B631" s="69">
        <v>42342</v>
      </c>
      <c r="C631" s="65">
        <v>800</v>
      </c>
      <c r="D631" s="65">
        <v>300</v>
      </c>
      <c r="E631" s="65">
        <v>500</v>
      </c>
      <c r="F631" s="34"/>
      <c r="G631" s="34"/>
      <c r="H631" s="33"/>
      <c r="I631" s="69"/>
      <c r="J631" s="65"/>
      <c r="K631" s="65"/>
      <c r="L631" s="65"/>
      <c r="M631" s="65"/>
      <c r="N631" s="34"/>
      <c r="O631" s="35"/>
    </row>
    <row r="632" spans="1:15" s="36" customFormat="1" ht="12" x14ac:dyDescent="0.2">
      <c r="A632" s="33"/>
      <c r="B632" s="68">
        <v>42349</v>
      </c>
      <c r="C632" s="64">
        <v>300</v>
      </c>
      <c r="D632" s="64">
        <v>800</v>
      </c>
      <c r="E632" s="64">
        <v>-500</v>
      </c>
      <c r="F632" s="34"/>
      <c r="G632" s="34"/>
      <c r="H632" s="33"/>
      <c r="I632" s="68"/>
      <c r="J632" s="64"/>
      <c r="K632" s="64"/>
      <c r="L632" s="64"/>
      <c r="M632" s="64"/>
      <c r="N632" s="34"/>
      <c r="O632" s="35"/>
    </row>
    <row r="633" spans="1:15" s="36" customFormat="1" ht="12" x14ac:dyDescent="0.2">
      <c r="A633" s="33"/>
      <c r="B633" s="69">
        <v>42356</v>
      </c>
      <c r="C633" s="65">
        <v>400</v>
      </c>
      <c r="D633" s="65">
        <v>300</v>
      </c>
      <c r="E633" s="65">
        <v>100</v>
      </c>
      <c r="F633" s="34"/>
      <c r="G633" s="34"/>
      <c r="H633" s="33"/>
      <c r="I633" s="69"/>
      <c r="J633" s="65"/>
      <c r="K633" s="65"/>
      <c r="L633" s="65"/>
      <c r="M633" s="65"/>
      <c r="N633" s="34"/>
      <c r="O633" s="35"/>
    </row>
    <row r="634" spans="1:15" s="36" customFormat="1" ht="12" x14ac:dyDescent="0.2">
      <c r="A634" s="33"/>
      <c r="B634" s="68">
        <v>42363</v>
      </c>
      <c r="C634" s="64">
        <v>700</v>
      </c>
      <c r="D634" s="64">
        <v>400</v>
      </c>
      <c r="E634" s="64">
        <v>300</v>
      </c>
      <c r="F634" s="34"/>
      <c r="G634" s="34"/>
      <c r="H634" s="33"/>
      <c r="I634" s="68"/>
      <c r="J634" s="64"/>
      <c r="K634" s="64"/>
      <c r="L634" s="64"/>
      <c r="M634" s="64"/>
      <c r="N634" s="34"/>
      <c r="O634" s="35"/>
    </row>
    <row r="635" spans="1:15" s="36" customFormat="1" ht="12" x14ac:dyDescent="0.2">
      <c r="A635" s="33"/>
      <c r="B635" s="69">
        <v>42370</v>
      </c>
      <c r="C635" s="65">
        <v>100</v>
      </c>
      <c r="D635" s="65">
        <v>700</v>
      </c>
      <c r="E635" s="65">
        <v>-600</v>
      </c>
      <c r="F635" s="34"/>
      <c r="G635" s="34"/>
      <c r="H635" s="33"/>
      <c r="I635" s="69"/>
      <c r="J635" s="65"/>
      <c r="K635" s="65"/>
      <c r="L635" s="65"/>
      <c r="M635" s="65"/>
      <c r="N635" s="34"/>
      <c r="O635" s="35"/>
    </row>
    <row r="636" spans="1:15" s="36" customFormat="1" ht="12" x14ac:dyDescent="0.2">
      <c r="A636" s="33"/>
      <c r="B636" s="68">
        <v>42377</v>
      </c>
      <c r="C636" s="64">
        <v>2000</v>
      </c>
      <c r="D636" s="64">
        <v>100</v>
      </c>
      <c r="E636" s="64">
        <v>1900</v>
      </c>
      <c r="F636" s="34"/>
      <c r="G636" s="34"/>
      <c r="H636" s="33"/>
      <c r="I636" s="68"/>
      <c r="J636" s="64"/>
      <c r="K636" s="64"/>
      <c r="L636" s="64"/>
      <c r="M636" s="64"/>
      <c r="N636" s="34"/>
      <c r="O636" s="35"/>
    </row>
    <row r="637" spans="1:15" s="36" customFormat="1" ht="12" x14ac:dyDescent="0.2">
      <c r="A637" s="33"/>
      <c r="B637" s="69">
        <v>42384</v>
      </c>
      <c r="C637" s="65">
        <v>2400</v>
      </c>
      <c r="D637" s="65">
        <v>2000</v>
      </c>
      <c r="E637" s="65">
        <v>400</v>
      </c>
      <c r="F637" s="34"/>
      <c r="G637" s="34"/>
      <c r="H637" s="33"/>
      <c r="I637" s="69"/>
      <c r="J637" s="65"/>
      <c r="K637" s="65"/>
      <c r="L637" s="65"/>
      <c r="M637" s="65"/>
      <c r="N637" s="34"/>
      <c r="O637" s="35"/>
    </row>
    <row r="638" spans="1:15" s="36" customFormat="1" ht="12" x14ac:dyDescent="0.2">
      <c r="A638" s="33"/>
      <c r="B638" s="68">
        <v>42391</v>
      </c>
      <c r="C638" s="64">
        <v>5550</v>
      </c>
      <c r="D638" s="64">
        <v>2400</v>
      </c>
      <c r="E638" s="64">
        <v>3150</v>
      </c>
      <c r="F638" s="34"/>
      <c r="G638" s="34"/>
      <c r="H638" s="33"/>
      <c r="I638" s="68"/>
      <c r="J638" s="64"/>
      <c r="K638" s="64"/>
      <c r="L638" s="64"/>
      <c r="M638" s="64"/>
      <c r="N638" s="34"/>
      <c r="O638" s="35"/>
    </row>
    <row r="639" spans="1:15" s="36" customFormat="1" ht="12" x14ac:dyDescent="0.2">
      <c r="A639" s="33"/>
      <c r="B639" s="69">
        <v>42398</v>
      </c>
      <c r="C639" s="65">
        <v>8800</v>
      </c>
      <c r="D639" s="65">
        <v>1900</v>
      </c>
      <c r="E639" s="65">
        <v>6900</v>
      </c>
      <c r="F639" s="34"/>
      <c r="G639" s="34"/>
      <c r="H639" s="33"/>
      <c r="I639" s="69"/>
      <c r="J639" s="65"/>
      <c r="K639" s="65"/>
      <c r="L639" s="65"/>
      <c r="M639" s="65"/>
      <c r="N639" s="34"/>
      <c r="O639" s="35"/>
    </row>
    <row r="640" spans="1:15" s="36" customFormat="1" ht="12" x14ac:dyDescent="0.2">
      <c r="A640" s="33"/>
      <c r="B640" s="68">
        <v>42405</v>
      </c>
      <c r="C640" s="64">
        <v>5100</v>
      </c>
      <c r="D640" s="64">
        <v>1800</v>
      </c>
      <c r="E640" s="64">
        <v>3300</v>
      </c>
      <c r="F640" s="34"/>
      <c r="G640" s="34"/>
      <c r="H640" s="33"/>
      <c r="I640" s="68"/>
      <c r="J640" s="64"/>
      <c r="K640" s="64"/>
      <c r="L640" s="64"/>
      <c r="M640" s="64"/>
      <c r="N640" s="34"/>
      <c r="O640" s="35"/>
    </row>
    <row r="641" spans="1:15" s="36" customFormat="1" ht="12" x14ac:dyDescent="0.2">
      <c r="A641" s="33"/>
      <c r="B641" s="69">
        <v>42412</v>
      </c>
      <c r="C641" s="65">
        <v>1100</v>
      </c>
      <c r="D641" s="65">
        <v>0</v>
      </c>
      <c r="E641" s="65">
        <v>1100</v>
      </c>
      <c r="F641" s="34"/>
      <c r="G641" s="34"/>
      <c r="H641" s="33"/>
      <c r="I641" s="69"/>
      <c r="J641" s="65"/>
      <c r="K641" s="65"/>
      <c r="L641" s="65"/>
      <c r="M641" s="65"/>
      <c r="N641" s="34"/>
      <c r="O641" s="35"/>
    </row>
    <row r="642" spans="1:15" s="36" customFormat="1" ht="12" x14ac:dyDescent="0.2">
      <c r="A642" s="33"/>
      <c r="B642" s="68">
        <v>42419</v>
      </c>
      <c r="C642" s="64">
        <v>1500</v>
      </c>
      <c r="D642" s="64">
        <v>5950</v>
      </c>
      <c r="E642" s="64">
        <v>-4450</v>
      </c>
      <c r="F642" s="34"/>
      <c r="G642" s="34"/>
      <c r="H642" s="33"/>
      <c r="I642" s="68"/>
      <c r="J642" s="64"/>
      <c r="K642" s="64"/>
      <c r="L642" s="64"/>
      <c r="M642" s="64"/>
      <c r="N642" s="34"/>
      <c r="O642" s="35"/>
    </row>
    <row r="643" spans="1:15" s="36" customFormat="1" ht="12" x14ac:dyDescent="0.2">
      <c r="A643" s="33"/>
      <c r="B643" s="69">
        <v>42426</v>
      </c>
      <c r="C643" s="65">
        <v>8800</v>
      </c>
      <c r="D643" s="65">
        <v>9600</v>
      </c>
      <c r="E643" s="65">
        <v>-800</v>
      </c>
      <c r="F643" s="34"/>
      <c r="G643" s="34"/>
      <c r="H643" s="33"/>
      <c r="I643" s="69"/>
      <c r="J643" s="65"/>
      <c r="K643" s="65"/>
      <c r="L643" s="65"/>
      <c r="M643" s="65"/>
      <c r="N643" s="34"/>
      <c r="O643" s="35"/>
    </row>
    <row r="644" spans="1:15" s="36" customFormat="1" ht="12" x14ac:dyDescent="0.2">
      <c r="A644" s="33"/>
      <c r="B644" s="68">
        <v>42433</v>
      </c>
      <c r="C644" s="64">
        <v>3200</v>
      </c>
      <c r="D644" s="64">
        <v>11600</v>
      </c>
      <c r="E644" s="64">
        <v>-8400</v>
      </c>
      <c r="F644" s="34"/>
      <c r="G644" s="34"/>
      <c r="H644" s="33"/>
      <c r="I644" s="68"/>
      <c r="J644" s="64"/>
      <c r="K644" s="64"/>
      <c r="L644" s="64"/>
      <c r="M644" s="64"/>
      <c r="N644" s="34"/>
      <c r="O644" s="35"/>
    </row>
    <row r="645" spans="1:15" s="36" customFormat="1" ht="12" x14ac:dyDescent="0.2">
      <c r="A645" s="33"/>
      <c r="B645" s="69">
        <v>42440</v>
      </c>
      <c r="C645" s="65">
        <v>1150</v>
      </c>
      <c r="D645" s="65">
        <v>3200</v>
      </c>
      <c r="E645" s="65">
        <v>-2050</v>
      </c>
      <c r="F645" s="34"/>
      <c r="G645" s="34"/>
      <c r="H645" s="33"/>
      <c r="I645" s="69"/>
      <c r="J645" s="65"/>
      <c r="K645" s="65"/>
      <c r="L645" s="65"/>
      <c r="M645" s="65"/>
      <c r="N645" s="34"/>
      <c r="O645" s="35"/>
    </row>
    <row r="646" spans="1:15" s="36" customFormat="1" ht="12" x14ac:dyDescent="0.2">
      <c r="A646" s="33"/>
      <c r="B646" s="68">
        <v>42447</v>
      </c>
      <c r="C646" s="64">
        <v>2000</v>
      </c>
      <c r="D646" s="64">
        <v>1150</v>
      </c>
      <c r="E646" s="64">
        <v>850</v>
      </c>
      <c r="F646" s="34"/>
      <c r="G646" s="34"/>
      <c r="H646" s="33"/>
      <c r="I646" s="68"/>
      <c r="J646" s="64"/>
      <c r="K646" s="64"/>
      <c r="L646" s="64"/>
      <c r="M646" s="64"/>
      <c r="N646" s="34"/>
      <c r="O646" s="35"/>
    </row>
    <row r="647" spans="1:15" s="36" customFormat="1" ht="12" x14ac:dyDescent="0.2">
      <c r="A647" s="33"/>
      <c r="B647" s="69">
        <v>42454</v>
      </c>
      <c r="C647" s="65">
        <v>3800</v>
      </c>
      <c r="D647" s="65">
        <v>2000</v>
      </c>
      <c r="E647" s="65">
        <v>1800</v>
      </c>
      <c r="F647" s="34"/>
      <c r="G647" s="34"/>
      <c r="H647" s="33"/>
      <c r="I647" s="69"/>
      <c r="J647" s="65"/>
      <c r="K647" s="65"/>
      <c r="L647" s="65"/>
      <c r="M647" s="65"/>
      <c r="N647" s="34"/>
      <c r="O647" s="35"/>
    </row>
    <row r="648" spans="1:15" s="36" customFormat="1" ht="12" x14ac:dyDescent="0.2">
      <c r="A648" s="33"/>
      <c r="B648" s="68">
        <v>42461</v>
      </c>
      <c r="C648" s="64">
        <v>3950</v>
      </c>
      <c r="D648" s="64">
        <v>3800</v>
      </c>
      <c r="E648" s="64">
        <v>150</v>
      </c>
      <c r="F648" s="34"/>
      <c r="G648" s="34"/>
      <c r="H648" s="33"/>
      <c r="I648" s="68"/>
      <c r="J648" s="64"/>
      <c r="K648" s="64"/>
      <c r="L648" s="64"/>
      <c r="M648" s="64"/>
      <c r="N648" s="34"/>
      <c r="O648" s="35"/>
    </row>
    <row r="649" spans="1:15" s="36" customFormat="1" ht="12" x14ac:dyDescent="0.2">
      <c r="A649" s="33"/>
      <c r="B649" s="69">
        <v>42468</v>
      </c>
      <c r="C649" s="65">
        <v>1200</v>
      </c>
      <c r="D649" s="65">
        <v>3950</v>
      </c>
      <c r="E649" s="65">
        <v>-2750</v>
      </c>
      <c r="F649" s="34"/>
      <c r="G649" s="34"/>
      <c r="H649" s="33"/>
      <c r="I649" s="69"/>
      <c r="J649" s="65"/>
      <c r="K649" s="65"/>
      <c r="L649" s="65"/>
      <c r="M649" s="65"/>
      <c r="N649" s="34"/>
      <c r="O649" s="35"/>
    </row>
    <row r="650" spans="1:15" s="36" customFormat="1" ht="12" x14ac:dyDescent="0.2">
      <c r="A650" s="33"/>
      <c r="B650" s="68">
        <v>42475</v>
      </c>
      <c r="C650" s="64">
        <v>1900</v>
      </c>
      <c r="D650" s="64">
        <v>1200</v>
      </c>
      <c r="E650" s="64">
        <v>700</v>
      </c>
      <c r="F650" s="34"/>
      <c r="G650" s="34"/>
      <c r="H650" s="33"/>
      <c r="I650" s="68"/>
      <c r="J650" s="64"/>
      <c r="K650" s="64"/>
      <c r="L650" s="64"/>
      <c r="M650" s="64"/>
      <c r="N650" s="34"/>
      <c r="O650" s="35"/>
    </row>
    <row r="651" spans="1:15" s="36" customFormat="1" ht="12" x14ac:dyDescent="0.2">
      <c r="A651" s="33"/>
      <c r="B651" s="69">
        <v>42482</v>
      </c>
      <c r="C651" s="65">
        <v>8700</v>
      </c>
      <c r="D651" s="65">
        <v>1900</v>
      </c>
      <c r="E651" s="65">
        <v>6800</v>
      </c>
      <c r="F651" s="34"/>
      <c r="G651" s="34"/>
      <c r="H651" s="33"/>
      <c r="I651" s="69"/>
      <c r="J651" s="65"/>
      <c r="K651" s="65"/>
      <c r="L651" s="65"/>
      <c r="M651" s="65"/>
      <c r="N651" s="34"/>
      <c r="O651" s="35"/>
    </row>
    <row r="652" spans="1:15" s="36" customFormat="1" ht="12" x14ac:dyDescent="0.2">
      <c r="A652" s="33"/>
      <c r="B652" s="68">
        <v>42489</v>
      </c>
      <c r="C652" s="64">
        <v>5800</v>
      </c>
      <c r="D652" s="64">
        <v>8700</v>
      </c>
      <c r="E652" s="64">
        <v>-2900</v>
      </c>
      <c r="F652" s="34"/>
      <c r="G652" s="34"/>
      <c r="H652" s="33"/>
      <c r="I652" s="68"/>
      <c r="J652" s="64"/>
      <c r="K652" s="64"/>
      <c r="L652" s="64"/>
      <c r="M652" s="64"/>
      <c r="N652" s="34"/>
      <c r="O652" s="35"/>
    </row>
    <row r="653" spans="1:15" s="36" customFormat="1" ht="12" x14ac:dyDescent="0.2">
      <c r="A653" s="33"/>
      <c r="B653" s="69">
        <v>42496</v>
      </c>
      <c r="C653" s="65">
        <v>3600</v>
      </c>
      <c r="D653" s="65">
        <v>5800</v>
      </c>
      <c r="E653" s="65">
        <v>-2200</v>
      </c>
      <c r="F653" s="34"/>
      <c r="G653" s="34"/>
      <c r="H653" s="33"/>
      <c r="I653" s="69"/>
      <c r="J653" s="65"/>
      <c r="K653" s="65"/>
      <c r="L653" s="65"/>
      <c r="M653" s="65"/>
      <c r="N653" s="34"/>
      <c r="O653" s="35"/>
    </row>
    <row r="654" spans="1:15" s="36" customFormat="1" ht="12" x14ac:dyDescent="0.2">
      <c r="A654" s="33"/>
      <c r="B654" s="68">
        <v>42503</v>
      </c>
      <c r="C654" s="64">
        <v>2500</v>
      </c>
      <c r="D654" s="64">
        <v>3600</v>
      </c>
      <c r="E654" s="64">
        <v>-1100</v>
      </c>
      <c r="F654" s="34"/>
      <c r="G654" s="34"/>
      <c r="H654" s="33"/>
      <c r="I654" s="68"/>
      <c r="J654" s="64"/>
      <c r="K654" s="64"/>
      <c r="L654" s="64"/>
      <c r="M654" s="64"/>
      <c r="N654" s="34"/>
      <c r="O654" s="35"/>
    </row>
    <row r="655" spans="1:15" s="36" customFormat="1" ht="12" x14ac:dyDescent="0.2">
      <c r="A655" s="33"/>
      <c r="B655" s="69">
        <v>42510</v>
      </c>
      <c r="C655" s="65">
        <v>3000</v>
      </c>
      <c r="D655" s="65">
        <v>2500</v>
      </c>
      <c r="E655" s="65">
        <v>500</v>
      </c>
      <c r="F655" s="34"/>
      <c r="G655" s="34"/>
      <c r="H655" s="33"/>
      <c r="I655" s="69"/>
      <c r="J655" s="65"/>
      <c r="K655" s="65"/>
      <c r="L655" s="65"/>
      <c r="M655" s="65"/>
      <c r="N655" s="34"/>
      <c r="O655" s="35"/>
    </row>
    <row r="656" spans="1:15" s="36" customFormat="1" ht="12" x14ac:dyDescent="0.2">
      <c r="A656" s="33"/>
      <c r="B656" s="68">
        <v>42517</v>
      </c>
      <c r="C656" s="64">
        <v>3700</v>
      </c>
      <c r="D656" s="64">
        <v>3000</v>
      </c>
      <c r="E656" s="64">
        <v>700</v>
      </c>
      <c r="F656" s="34"/>
      <c r="G656" s="34"/>
      <c r="H656" s="33"/>
      <c r="I656" s="68"/>
      <c r="J656" s="64"/>
      <c r="K656" s="64"/>
      <c r="L656" s="64"/>
      <c r="M656" s="64"/>
      <c r="N656" s="34"/>
      <c r="O656" s="35"/>
    </row>
    <row r="657" spans="1:15" s="36" customFormat="1" ht="12" x14ac:dyDescent="0.2">
      <c r="A657" s="33"/>
      <c r="B657" s="69">
        <v>42524</v>
      </c>
      <c r="C657" s="65">
        <v>3900</v>
      </c>
      <c r="D657" s="65">
        <v>3700</v>
      </c>
      <c r="E657" s="65">
        <v>200</v>
      </c>
      <c r="F657" s="34"/>
      <c r="G657" s="34"/>
      <c r="H657" s="33"/>
      <c r="I657" s="69"/>
      <c r="J657" s="65"/>
      <c r="K657" s="65"/>
      <c r="L657" s="65"/>
      <c r="M657" s="65"/>
      <c r="N657" s="34"/>
      <c r="O657" s="35"/>
    </row>
    <row r="658" spans="1:15" s="36" customFormat="1" ht="12" x14ac:dyDescent="0.2">
      <c r="A658" s="33"/>
      <c r="B658" s="68">
        <v>42531</v>
      </c>
      <c r="C658" s="64">
        <v>1450</v>
      </c>
      <c r="D658" s="64">
        <v>3900</v>
      </c>
      <c r="E658" s="64">
        <v>-2450</v>
      </c>
      <c r="F658" s="34"/>
      <c r="G658" s="34"/>
      <c r="H658" s="33"/>
      <c r="I658" s="68"/>
      <c r="J658" s="64"/>
      <c r="K658" s="64"/>
      <c r="L658" s="64"/>
      <c r="M658" s="64"/>
      <c r="N658" s="34"/>
      <c r="O658" s="35"/>
    </row>
    <row r="659" spans="1:15" s="36" customFormat="1" ht="12" x14ac:dyDescent="0.2">
      <c r="A659" s="33"/>
      <c r="B659" s="69">
        <v>42538</v>
      </c>
      <c r="C659" s="65">
        <v>3200</v>
      </c>
      <c r="D659" s="65">
        <v>1450</v>
      </c>
      <c r="E659" s="65">
        <v>1750</v>
      </c>
      <c r="F659" s="34"/>
      <c r="G659" s="34"/>
      <c r="H659" s="33"/>
      <c r="I659" s="69"/>
      <c r="J659" s="65"/>
      <c r="K659" s="65"/>
      <c r="L659" s="65"/>
      <c r="M659" s="65"/>
      <c r="N659" s="34"/>
      <c r="O659" s="35"/>
    </row>
    <row r="660" spans="1:15" s="36" customFormat="1" ht="12" x14ac:dyDescent="0.2">
      <c r="A660" s="33"/>
      <c r="B660" s="68">
        <v>42545</v>
      </c>
      <c r="C660" s="64">
        <v>6600</v>
      </c>
      <c r="D660" s="64">
        <v>3200</v>
      </c>
      <c r="E660" s="64">
        <v>3400</v>
      </c>
      <c r="F660" s="34"/>
      <c r="G660" s="34"/>
      <c r="H660" s="33"/>
      <c r="I660" s="68"/>
      <c r="J660" s="64"/>
      <c r="K660" s="64"/>
      <c r="L660" s="64"/>
      <c r="M660" s="64"/>
      <c r="N660" s="34"/>
      <c r="O660" s="35"/>
    </row>
    <row r="661" spans="1:15" s="36" customFormat="1" ht="12" x14ac:dyDescent="0.2">
      <c r="A661" s="33"/>
      <c r="B661" s="69">
        <v>42552</v>
      </c>
      <c r="C661" s="65">
        <v>8400</v>
      </c>
      <c r="D661" s="65">
        <v>6600</v>
      </c>
      <c r="E661" s="65">
        <v>1800</v>
      </c>
      <c r="F661" s="34"/>
      <c r="G661" s="34"/>
      <c r="H661" s="33"/>
      <c r="I661" s="69"/>
      <c r="J661" s="65"/>
      <c r="K661" s="65"/>
      <c r="L661" s="65"/>
      <c r="M661" s="65"/>
      <c r="N661" s="34"/>
      <c r="O661" s="35"/>
    </row>
    <row r="662" spans="1:15" s="36" customFormat="1" ht="12" x14ac:dyDescent="0.2">
      <c r="A662" s="33"/>
      <c r="B662" s="68">
        <v>42559</v>
      </c>
      <c r="C662" s="64">
        <v>1950</v>
      </c>
      <c r="D662" s="64">
        <v>8400</v>
      </c>
      <c r="E662" s="64">
        <v>-6450</v>
      </c>
      <c r="F662" s="34"/>
      <c r="G662" s="34"/>
      <c r="H662" s="33"/>
      <c r="I662" s="68"/>
      <c r="J662" s="64"/>
      <c r="K662" s="64"/>
      <c r="L662" s="64"/>
      <c r="M662" s="64"/>
      <c r="N662" s="34"/>
      <c r="O662" s="35"/>
    </row>
    <row r="663" spans="1:15" s="36" customFormat="1" ht="12" x14ac:dyDescent="0.2">
      <c r="A663" s="33"/>
      <c r="B663" s="69">
        <v>42566</v>
      </c>
      <c r="C663" s="65">
        <v>1300</v>
      </c>
      <c r="D663" s="65">
        <v>1950</v>
      </c>
      <c r="E663" s="65">
        <v>-650</v>
      </c>
      <c r="F663" s="34"/>
      <c r="G663" s="34"/>
      <c r="H663" s="33"/>
      <c r="I663" s="69"/>
      <c r="J663" s="65"/>
      <c r="K663" s="65"/>
      <c r="L663" s="65"/>
      <c r="M663" s="65"/>
      <c r="N663" s="34"/>
      <c r="O663" s="35"/>
    </row>
    <row r="664" spans="1:15" s="36" customFormat="1" ht="12" x14ac:dyDescent="0.2">
      <c r="A664" s="33"/>
      <c r="B664" s="68">
        <v>42573</v>
      </c>
      <c r="C664" s="64">
        <v>3953</v>
      </c>
      <c r="D664" s="64">
        <v>1300</v>
      </c>
      <c r="E664" s="64">
        <v>2653</v>
      </c>
      <c r="F664" s="34"/>
      <c r="G664" s="34"/>
      <c r="H664" s="33"/>
      <c r="I664" s="68"/>
      <c r="J664" s="64"/>
      <c r="K664" s="64"/>
      <c r="L664" s="64"/>
      <c r="M664" s="64"/>
      <c r="N664" s="34"/>
      <c r="O664" s="35"/>
    </row>
    <row r="665" spans="1:15" s="36" customFormat="1" ht="12" x14ac:dyDescent="0.2">
      <c r="A665" s="33"/>
      <c r="B665" s="69">
        <v>42580</v>
      </c>
      <c r="C665" s="65">
        <v>6100</v>
      </c>
      <c r="D665" s="65">
        <v>2850</v>
      </c>
      <c r="E665" s="65">
        <v>3250</v>
      </c>
      <c r="F665" s="34"/>
      <c r="G665" s="34"/>
      <c r="H665" s="33"/>
      <c r="I665" s="69"/>
      <c r="J665" s="65"/>
      <c r="K665" s="65"/>
      <c r="L665" s="65"/>
      <c r="M665" s="65"/>
      <c r="N665" s="34"/>
      <c r="O665" s="35"/>
    </row>
    <row r="666" spans="1:15" s="36" customFormat="1" ht="12" x14ac:dyDescent="0.2">
      <c r="A666" s="33"/>
      <c r="B666" s="68">
        <v>42587</v>
      </c>
      <c r="C666" s="64">
        <v>4485</v>
      </c>
      <c r="D666" s="64">
        <v>6100</v>
      </c>
      <c r="E666" s="64">
        <v>-1615</v>
      </c>
      <c r="F666" s="34"/>
      <c r="G666" s="34"/>
      <c r="H666" s="33"/>
      <c r="I666" s="68"/>
      <c r="J666" s="64"/>
      <c r="K666" s="64"/>
      <c r="L666" s="64"/>
      <c r="M666" s="64"/>
      <c r="N666" s="34"/>
      <c r="O666" s="35"/>
    </row>
    <row r="667" spans="1:15" s="36" customFormat="1" ht="12" x14ac:dyDescent="0.2">
      <c r="A667" s="33"/>
      <c r="B667" s="69">
        <v>42594</v>
      </c>
      <c r="C667" s="65">
        <v>4650</v>
      </c>
      <c r="D667" s="65">
        <v>3750</v>
      </c>
      <c r="E667" s="65">
        <v>900</v>
      </c>
      <c r="F667" s="34"/>
      <c r="G667" s="34"/>
      <c r="H667" s="33"/>
      <c r="I667" s="69"/>
      <c r="J667" s="65"/>
      <c r="K667" s="65"/>
      <c r="L667" s="65"/>
      <c r="M667" s="65"/>
      <c r="N667" s="34"/>
      <c r="O667" s="35"/>
    </row>
    <row r="668" spans="1:15" s="36" customFormat="1" ht="12" x14ac:dyDescent="0.2">
      <c r="A668" s="33"/>
      <c r="B668" s="68">
        <v>42601</v>
      </c>
      <c r="C668" s="64">
        <v>4805</v>
      </c>
      <c r="D668" s="64">
        <v>4650</v>
      </c>
      <c r="E668" s="64">
        <v>155</v>
      </c>
      <c r="F668" s="34"/>
      <c r="G668" s="34"/>
      <c r="H668" s="33"/>
      <c r="I668" s="68"/>
      <c r="J668" s="64"/>
      <c r="K668" s="64"/>
      <c r="L668" s="64"/>
      <c r="M668" s="64"/>
      <c r="N668" s="34"/>
      <c r="O668" s="35"/>
    </row>
    <row r="669" spans="1:15" s="36" customFormat="1" ht="12" x14ac:dyDescent="0.2">
      <c r="A669" s="33"/>
      <c r="B669" s="69">
        <v>42608</v>
      </c>
      <c r="C669" s="65">
        <v>7150</v>
      </c>
      <c r="D669" s="65">
        <v>4050</v>
      </c>
      <c r="E669" s="65">
        <v>3100</v>
      </c>
      <c r="F669" s="34"/>
      <c r="G669" s="34"/>
      <c r="H669" s="33"/>
      <c r="I669" s="69"/>
      <c r="J669" s="65"/>
      <c r="K669" s="65"/>
      <c r="L669" s="65"/>
      <c r="M669" s="65"/>
      <c r="N669" s="34"/>
      <c r="O669" s="35"/>
    </row>
    <row r="670" spans="1:15" s="36" customFormat="1" ht="12" x14ac:dyDescent="0.2">
      <c r="A670" s="33"/>
      <c r="B670" s="68">
        <v>42615</v>
      </c>
      <c r="C670" s="64">
        <v>3615</v>
      </c>
      <c r="D670" s="64">
        <v>5350</v>
      </c>
      <c r="E670" s="64">
        <v>-1735</v>
      </c>
      <c r="F670" s="34"/>
      <c r="G670" s="34"/>
      <c r="H670" s="33"/>
      <c r="I670" s="68"/>
      <c r="J670" s="64"/>
      <c r="K670" s="64"/>
      <c r="L670" s="64"/>
      <c r="M670" s="64"/>
      <c r="N670" s="34"/>
      <c r="O670" s="35"/>
    </row>
    <row r="671" spans="1:15" s="36" customFormat="1" ht="12" x14ac:dyDescent="0.2">
      <c r="A671" s="33"/>
      <c r="B671" s="69">
        <v>42622</v>
      </c>
      <c r="C671" s="65">
        <v>2400</v>
      </c>
      <c r="D671" s="65">
        <v>3900</v>
      </c>
      <c r="E671" s="65">
        <v>-1500</v>
      </c>
      <c r="F671" s="34"/>
      <c r="G671" s="34"/>
      <c r="H671" s="33"/>
      <c r="I671" s="69"/>
      <c r="J671" s="65"/>
      <c r="K671" s="65"/>
      <c r="L671" s="65"/>
      <c r="M671" s="65"/>
      <c r="N671" s="34"/>
      <c r="O671" s="35"/>
    </row>
    <row r="672" spans="1:15" s="36" customFormat="1" ht="12" x14ac:dyDescent="0.2">
      <c r="A672" s="33"/>
      <c r="B672" s="68">
        <v>42629</v>
      </c>
      <c r="C672" s="64">
        <v>5251</v>
      </c>
      <c r="D672" s="64">
        <v>2700</v>
      </c>
      <c r="E672" s="64">
        <v>2551</v>
      </c>
      <c r="F672" s="34"/>
      <c r="G672" s="34"/>
      <c r="H672" s="33"/>
      <c r="I672" s="68"/>
      <c r="J672" s="64"/>
      <c r="K672" s="64"/>
      <c r="L672" s="64"/>
      <c r="M672" s="64"/>
      <c r="N672" s="34"/>
      <c r="O672" s="35"/>
    </row>
    <row r="673" spans="1:15" s="36" customFormat="1" ht="12" x14ac:dyDescent="0.2">
      <c r="A673" s="33"/>
      <c r="B673" s="69">
        <v>42636</v>
      </c>
      <c r="C673" s="65">
        <v>12200</v>
      </c>
      <c r="D673" s="65">
        <v>2800</v>
      </c>
      <c r="E673" s="65">
        <v>9400</v>
      </c>
      <c r="F673" s="34"/>
      <c r="G673" s="34"/>
      <c r="H673" s="33"/>
      <c r="I673" s="69"/>
      <c r="J673" s="65"/>
      <c r="K673" s="65"/>
      <c r="L673" s="65"/>
      <c r="M673" s="65"/>
      <c r="N673" s="34"/>
      <c r="O673" s="35"/>
    </row>
    <row r="674" spans="1:15" s="36" customFormat="1" ht="12" x14ac:dyDescent="0.2">
      <c r="A674" s="33"/>
      <c r="B674" s="68">
        <v>42643</v>
      </c>
      <c r="C674" s="64">
        <v>4949</v>
      </c>
      <c r="D674" s="64">
        <v>9150</v>
      </c>
      <c r="E674" s="64">
        <v>-4201</v>
      </c>
      <c r="F674" s="34"/>
      <c r="G674" s="34"/>
      <c r="H674" s="33"/>
      <c r="I674" s="68"/>
      <c r="J674" s="64"/>
      <c r="K674" s="64"/>
      <c r="L674" s="64"/>
      <c r="M674" s="64"/>
      <c r="N674" s="34"/>
      <c r="O674" s="35"/>
    </row>
    <row r="675" spans="1:15" s="36" customFormat="1" ht="12" x14ac:dyDescent="0.2">
      <c r="A675" s="33"/>
      <c r="B675" s="69">
        <v>42657</v>
      </c>
      <c r="C675" s="65">
        <v>2100</v>
      </c>
      <c r="D675" s="65">
        <v>5650</v>
      </c>
      <c r="E675" s="65">
        <v>-3550</v>
      </c>
      <c r="F675" s="34"/>
      <c r="G675" s="34"/>
      <c r="H675" s="33"/>
      <c r="I675" s="69"/>
      <c r="J675" s="65"/>
      <c r="K675" s="65"/>
      <c r="L675" s="65"/>
      <c r="M675" s="65"/>
      <c r="N675" s="34"/>
      <c r="O675" s="35"/>
    </row>
    <row r="676" spans="1:15" s="36" customFormat="1" ht="12" x14ac:dyDescent="0.2">
      <c r="A676" s="33"/>
      <c r="B676" s="68">
        <v>42664</v>
      </c>
      <c r="C676" s="64">
        <v>6655</v>
      </c>
      <c r="D676" s="64">
        <v>5700</v>
      </c>
      <c r="E676" s="64">
        <v>955</v>
      </c>
      <c r="F676" s="34"/>
      <c r="G676" s="34"/>
      <c r="H676" s="33"/>
      <c r="I676" s="68"/>
      <c r="J676" s="64"/>
      <c r="K676" s="64"/>
      <c r="L676" s="64"/>
      <c r="M676" s="64"/>
      <c r="N676" s="34"/>
      <c r="O676" s="35"/>
    </row>
    <row r="677" spans="1:15" s="36" customFormat="1" ht="12" x14ac:dyDescent="0.2">
      <c r="A677" s="33"/>
      <c r="B677" s="69">
        <v>42671</v>
      </c>
      <c r="C677" s="65">
        <v>10200</v>
      </c>
      <c r="D677" s="65">
        <v>4250</v>
      </c>
      <c r="E677" s="65">
        <v>5950</v>
      </c>
      <c r="F677" s="34"/>
      <c r="G677" s="34"/>
      <c r="H677" s="33"/>
      <c r="I677" s="69"/>
      <c r="J677" s="65"/>
      <c r="K677" s="65"/>
      <c r="L677" s="65"/>
      <c r="M677" s="65"/>
      <c r="N677" s="34"/>
      <c r="O677" s="35"/>
    </row>
    <row r="678" spans="1:15" s="36" customFormat="1" ht="12" x14ac:dyDescent="0.2">
      <c r="A678" s="33"/>
      <c r="B678" s="68">
        <v>42678</v>
      </c>
      <c r="C678" s="64">
        <v>5959</v>
      </c>
      <c r="D678" s="64">
        <v>7000</v>
      </c>
      <c r="E678" s="64">
        <v>-1041</v>
      </c>
      <c r="F678" s="34"/>
      <c r="G678" s="34"/>
      <c r="H678" s="33"/>
      <c r="I678" s="68"/>
      <c r="J678" s="64"/>
      <c r="K678" s="64"/>
      <c r="L678" s="64"/>
      <c r="M678" s="64"/>
      <c r="N678" s="34"/>
      <c r="O678" s="35"/>
    </row>
    <row r="679" spans="1:15" s="36" customFormat="1" ht="12" x14ac:dyDescent="0.2">
      <c r="A679" s="33"/>
      <c r="B679" s="69">
        <v>42685</v>
      </c>
      <c r="C679" s="65">
        <v>3700</v>
      </c>
      <c r="D679" s="65">
        <v>6700</v>
      </c>
      <c r="E679" s="65">
        <v>-3000</v>
      </c>
      <c r="F679" s="34"/>
      <c r="G679" s="34"/>
      <c r="H679" s="33"/>
      <c r="I679" s="69"/>
      <c r="J679" s="65"/>
      <c r="K679" s="65"/>
      <c r="L679" s="65"/>
      <c r="M679" s="65"/>
      <c r="N679" s="34"/>
      <c r="O679" s="35"/>
    </row>
    <row r="680" spans="1:15" s="36" customFormat="1" ht="12" x14ac:dyDescent="0.2">
      <c r="A680" s="33"/>
      <c r="B680" s="68">
        <v>42692</v>
      </c>
      <c r="C680" s="64">
        <v>10000</v>
      </c>
      <c r="D680" s="64">
        <v>5750</v>
      </c>
      <c r="E680" s="64">
        <v>4250</v>
      </c>
      <c r="F680" s="34"/>
      <c r="G680" s="34"/>
      <c r="H680" s="33"/>
      <c r="I680" s="68"/>
      <c r="J680" s="64"/>
      <c r="K680" s="64"/>
      <c r="L680" s="64"/>
      <c r="M680" s="64"/>
      <c r="N680" s="34"/>
      <c r="O680" s="35"/>
    </row>
    <row r="681" spans="1:15" s="36" customFormat="1" ht="12" x14ac:dyDescent="0.2">
      <c r="A681" s="33"/>
      <c r="B681" s="69">
        <v>42699</v>
      </c>
      <c r="C681" s="65">
        <v>9000</v>
      </c>
      <c r="D681" s="65">
        <v>8600</v>
      </c>
      <c r="E681" s="65">
        <v>400</v>
      </c>
      <c r="F681" s="34"/>
      <c r="G681" s="34"/>
      <c r="H681" s="33"/>
      <c r="I681" s="69"/>
      <c r="J681" s="65"/>
      <c r="K681" s="65"/>
      <c r="L681" s="65"/>
      <c r="M681" s="65"/>
      <c r="N681" s="34"/>
      <c r="O681" s="35"/>
    </row>
    <row r="682" spans="1:15" s="36" customFormat="1" ht="12" x14ac:dyDescent="0.2">
      <c r="A682" s="33"/>
      <c r="B682" s="68">
        <v>42706</v>
      </c>
      <c r="C682" s="64">
        <v>10100</v>
      </c>
      <c r="D682" s="64">
        <v>9400</v>
      </c>
      <c r="E682" s="64">
        <v>700</v>
      </c>
      <c r="F682" s="34"/>
      <c r="G682" s="34"/>
      <c r="H682" s="33"/>
      <c r="I682" s="68"/>
      <c r="J682" s="64"/>
      <c r="K682" s="64"/>
      <c r="L682" s="64"/>
      <c r="M682" s="64"/>
      <c r="N682" s="34"/>
      <c r="O682" s="35"/>
    </row>
    <row r="683" spans="1:15" s="36" customFormat="1" ht="12" x14ac:dyDescent="0.2">
      <c r="A683" s="33"/>
      <c r="B683" s="69">
        <v>42713</v>
      </c>
      <c r="C683" s="65">
        <v>4000</v>
      </c>
      <c r="D683" s="65">
        <v>9350</v>
      </c>
      <c r="E683" s="65">
        <v>-5350</v>
      </c>
      <c r="F683" s="34"/>
      <c r="G683" s="34"/>
      <c r="H683" s="33"/>
      <c r="I683" s="69"/>
      <c r="J683" s="65"/>
      <c r="K683" s="65"/>
      <c r="L683" s="65"/>
      <c r="M683" s="65"/>
      <c r="N683" s="34"/>
      <c r="O683" s="35"/>
    </row>
    <row r="684" spans="1:15" s="36" customFormat="1" ht="12" x14ac:dyDescent="0.2">
      <c r="A684" s="33"/>
      <c r="B684" s="68">
        <v>42720</v>
      </c>
      <c r="C684" s="64">
        <v>8400</v>
      </c>
      <c r="D684" s="64">
        <v>5900</v>
      </c>
      <c r="E684" s="64">
        <v>2500</v>
      </c>
      <c r="F684" s="34"/>
      <c r="G684" s="34"/>
      <c r="H684" s="33"/>
      <c r="I684" s="68"/>
      <c r="J684" s="64"/>
      <c r="K684" s="64"/>
      <c r="L684" s="64"/>
      <c r="M684" s="64"/>
      <c r="N684" s="34"/>
      <c r="O684" s="35"/>
    </row>
    <row r="685" spans="1:15" s="36" customFormat="1" ht="12" x14ac:dyDescent="0.2">
      <c r="A685" s="33"/>
      <c r="B685" s="69">
        <v>42727</v>
      </c>
      <c r="C685" s="65">
        <v>10050</v>
      </c>
      <c r="D685" s="65">
        <v>6300</v>
      </c>
      <c r="E685" s="65">
        <v>3750</v>
      </c>
      <c r="F685" s="34"/>
      <c r="G685" s="34"/>
      <c r="H685" s="33"/>
      <c r="I685" s="69"/>
      <c r="J685" s="65"/>
      <c r="K685" s="65"/>
      <c r="L685" s="65"/>
      <c r="M685" s="65"/>
      <c r="N685" s="34"/>
      <c r="O685" s="35"/>
    </row>
    <row r="686" spans="1:15" s="36" customFormat="1" ht="12" x14ac:dyDescent="0.2">
      <c r="A686" s="33"/>
      <c r="B686" s="68">
        <v>42734</v>
      </c>
      <c r="C686" s="64">
        <v>6000</v>
      </c>
      <c r="D686" s="64">
        <v>8450</v>
      </c>
      <c r="E686" s="64">
        <v>-2450</v>
      </c>
      <c r="F686" s="34"/>
      <c r="G686" s="34"/>
      <c r="H686" s="33"/>
      <c r="I686" s="68"/>
      <c r="J686" s="64"/>
      <c r="K686" s="64"/>
      <c r="L686" s="64"/>
      <c r="M686" s="64"/>
      <c r="N686" s="34"/>
      <c r="O686" s="35"/>
    </row>
    <row r="687" spans="1:15" s="36" customFormat="1" ht="12" x14ac:dyDescent="0.2">
      <c r="A687" s="33"/>
      <c r="B687" s="69">
        <v>42741</v>
      </c>
      <c r="C687" s="65">
        <v>1500</v>
      </c>
      <c r="D687" s="65">
        <v>7450</v>
      </c>
      <c r="E687" s="65">
        <v>-5950</v>
      </c>
      <c r="F687" s="34"/>
      <c r="G687" s="34"/>
      <c r="H687" s="33"/>
      <c r="I687" s="69"/>
      <c r="J687" s="65"/>
      <c r="K687" s="65"/>
      <c r="L687" s="65"/>
      <c r="M687" s="65"/>
      <c r="N687" s="34"/>
      <c r="O687" s="35"/>
    </row>
    <row r="688" spans="1:15" s="36" customFormat="1" ht="12" x14ac:dyDescent="0.2">
      <c r="A688" s="33"/>
      <c r="B688" s="68">
        <v>42748</v>
      </c>
      <c r="C688" s="64">
        <v>5300</v>
      </c>
      <c r="D688" s="64">
        <v>4300</v>
      </c>
      <c r="E688" s="64">
        <v>1000</v>
      </c>
      <c r="F688" s="34"/>
      <c r="G688" s="34"/>
      <c r="H688" s="33"/>
      <c r="I688" s="68"/>
      <c r="J688" s="64"/>
      <c r="K688" s="64"/>
      <c r="L688" s="64"/>
      <c r="M688" s="64"/>
      <c r="N688" s="34"/>
      <c r="O688" s="35"/>
    </row>
    <row r="689" spans="1:15" s="36" customFormat="1" ht="12" x14ac:dyDescent="0.2">
      <c r="A689" s="33"/>
      <c r="B689" s="69">
        <v>42755</v>
      </c>
      <c r="C689" s="65">
        <v>13800</v>
      </c>
      <c r="D689" s="65">
        <v>2500</v>
      </c>
      <c r="E689" s="65">
        <v>11300</v>
      </c>
      <c r="F689" s="34"/>
      <c r="G689" s="34"/>
      <c r="H689" s="33"/>
      <c r="I689" s="69"/>
      <c r="J689" s="65"/>
      <c r="K689" s="65"/>
      <c r="L689" s="65"/>
      <c r="M689" s="65"/>
      <c r="N689" s="34"/>
      <c r="O689" s="35"/>
    </row>
    <row r="690" spans="1:15" s="36" customFormat="1" ht="12" x14ac:dyDescent="0.2">
      <c r="A690" s="33"/>
      <c r="B690" s="68">
        <v>42762</v>
      </c>
      <c r="C690" s="64">
        <v>2100</v>
      </c>
      <c r="D690" s="64">
        <v>4600</v>
      </c>
      <c r="E690" s="64">
        <v>-2500</v>
      </c>
      <c r="F690" s="34"/>
      <c r="G690" s="34"/>
      <c r="H690" s="33"/>
      <c r="I690" s="68"/>
      <c r="J690" s="64"/>
      <c r="K690" s="64"/>
      <c r="L690" s="64"/>
      <c r="M690" s="64"/>
      <c r="N690" s="34"/>
      <c r="O690" s="35"/>
    </row>
    <row r="691" spans="1:15" s="36" customFormat="1" ht="12" x14ac:dyDescent="0.2">
      <c r="A691" s="33"/>
      <c r="B691" s="69">
        <v>42769</v>
      </c>
      <c r="C691" s="65">
        <v>500</v>
      </c>
      <c r="D691" s="65">
        <v>1200</v>
      </c>
      <c r="E691" s="65">
        <v>-700</v>
      </c>
      <c r="F691" s="34"/>
      <c r="G691" s="34"/>
      <c r="H691" s="33"/>
      <c r="I691" s="69"/>
      <c r="J691" s="65"/>
      <c r="K691" s="65"/>
      <c r="L691" s="65"/>
      <c r="M691" s="65"/>
      <c r="N691" s="34"/>
      <c r="O691" s="35"/>
    </row>
    <row r="692" spans="1:15" s="36" customFormat="1" ht="12" x14ac:dyDescent="0.2">
      <c r="A692" s="33"/>
      <c r="B692" s="68">
        <v>42776</v>
      </c>
      <c r="C692" s="64">
        <v>0</v>
      </c>
      <c r="D692" s="64">
        <v>6250</v>
      </c>
      <c r="E692" s="64">
        <v>-6250</v>
      </c>
      <c r="F692" s="34"/>
      <c r="G692" s="34"/>
      <c r="H692" s="33"/>
      <c r="I692" s="68"/>
      <c r="J692" s="64"/>
      <c r="K692" s="64"/>
      <c r="L692" s="64"/>
      <c r="M692" s="64"/>
      <c r="N692" s="34"/>
      <c r="O692" s="35"/>
    </row>
    <row r="693" spans="1:15" s="36" customFormat="1" ht="12" x14ac:dyDescent="0.2">
      <c r="A693" s="33"/>
      <c r="B693" s="69">
        <v>42783</v>
      </c>
      <c r="C693" s="65">
        <v>7500</v>
      </c>
      <c r="D693" s="65">
        <v>9000</v>
      </c>
      <c r="E693" s="65">
        <v>-1500</v>
      </c>
      <c r="F693" s="34"/>
      <c r="G693" s="34"/>
      <c r="H693" s="33"/>
      <c r="I693" s="69"/>
      <c r="J693" s="65"/>
      <c r="K693" s="65"/>
      <c r="L693" s="65"/>
      <c r="M693" s="65"/>
      <c r="N693" s="34"/>
      <c r="O693" s="35"/>
    </row>
    <row r="694" spans="1:15" s="36" customFormat="1" ht="12" x14ac:dyDescent="0.2">
      <c r="A694" s="33"/>
      <c r="B694" s="68">
        <v>42790</v>
      </c>
      <c r="C694" s="64">
        <v>4700</v>
      </c>
      <c r="D694" s="64">
        <v>3150</v>
      </c>
      <c r="E694" s="64">
        <v>1550</v>
      </c>
      <c r="F694" s="34"/>
      <c r="G694" s="34"/>
      <c r="H694" s="33"/>
      <c r="I694" s="68"/>
      <c r="J694" s="64"/>
      <c r="K694" s="64"/>
      <c r="L694" s="64"/>
      <c r="M694" s="64"/>
      <c r="N694" s="34"/>
      <c r="O694" s="35"/>
    </row>
    <row r="695" spans="1:15" s="36" customFormat="1" ht="12" x14ac:dyDescent="0.2">
      <c r="A695" s="33"/>
      <c r="B695" s="69">
        <v>42797</v>
      </c>
      <c r="C695" s="65">
        <v>1500</v>
      </c>
      <c r="D695" s="65">
        <v>4300</v>
      </c>
      <c r="E695" s="65">
        <v>-2800</v>
      </c>
      <c r="F695" s="34"/>
      <c r="G695" s="34"/>
      <c r="H695" s="33"/>
      <c r="I695" s="69"/>
      <c r="J695" s="65"/>
      <c r="K695" s="65"/>
      <c r="L695" s="65"/>
      <c r="M695" s="65"/>
      <c r="N695" s="34"/>
      <c r="O695" s="35"/>
    </row>
    <row r="696" spans="1:15" s="36" customFormat="1" ht="12" x14ac:dyDescent="0.2">
      <c r="A696" s="33"/>
      <c r="B696" s="68">
        <v>42804</v>
      </c>
      <c r="C696" s="64">
        <v>1000</v>
      </c>
      <c r="D696" s="64">
        <v>2100</v>
      </c>
      <c r="E696" s="64">
        <v>-1100</v>
      </c>
      <c r="F696" s="34"/>
      <c r="G696" s="34"/>
      <c r="H696" s="33"/>
      <c r="I696" s="68"/>
      <c r="J696" s="64"/>
      <c r="K696" s="64"/>
      <c r="L696" s="64"/>
      <c r="M696" s="64"/>
      <c r="N696" s="34"/>
      <c r="O696" s="35"/>
    </row>
    <row r="697" spans="1:15" s="36" customFormat="1" ht="12" x14ac:dyDescent="0.2">
      <c r="A697" s="33"/>
      <c r="B697" s="69">
        <v>42811</v>
      </c>
      <c r="C697" s="65">
        <v>2700</v>
      </c>
      <c r="D697" s="65">
        <v>3900</v>
      </c>
      <c r="E697" s="65">
        <v>-1200</v>
      </c>
      <c r="F697" s="34"/>
      <c r="G697" s="34"/>
      <c r="H697" s="33"/>
      <c r="I697" s="69"/>
      <c r="J697" s="65"/>
      <c r="K697" s="65"/>
      <c r="L697" s="65"/>
      <c r="M697" s="65"/>
      <c r="N697" s="34"/>
      <c r="O697" s="35"/>
    </row>
    <row r="698" spans="1:15" s="36" customFormat="1" ht="12" x14ac:dyDescent="0.2">
      <c r="A698" s="33"/>
      <c r="B698" s="68">
        <v>42818</v>
      </c>
      <c r="C698" s="64">
        <v>3000</v>
      </c>
      <c r="D698" s="64">
        <v>2200</v>
      </c>
      <c r="E698" s="64">
        <v>800</v>
      </c>
      <c r="F698" s="34"/>
      <c r="G698" s="34"/>
      <c r="H698" s="33"/>
      <c r="I698" s="68"/>
      <c r="J698" s="64"/>
      <c r="K698" s="64"/>
      <c r="L698" s="64"/>
      <c r="M698" s="64"/>
      <c r="N698" s="34"/>
      <c r="O698" s="35"/>
    </row>
    <row r="699" spans="1:15" s="36" customFormat="1" ht="12" x14ac:dyDescent="0.2">
      <c r="A699" s="33"/>
      <c r="B699" s="69">
        <v>42825</v>
      </c>
      <c r="C699" s="65">
        <v>0</v>
      </c>
      <c r="D699" s="65">
        <v>2900</v>
      </c>
      <c r="E699" s="65">
        <v>-2900</v>
      </c>
      <c r="F699" s="34"/>
      <c r="G699" s="34"/>
      <c r="H699" s="33"/>
      <c r="I699" s="69"/>
      <c r="J699" s="65"/>
      <c r="K699" s="65"/>
      <c r="L699" s="65"/>
      <c r="M699" s="65"/>
      <c r="N699" s="34"/>
      <c r="O699" s="35"/>
    </row>
    <row r="700" spans="1:15" s="36" customFormat="1" ht="12" x14ac:dyDescent="0.2">
      <c r="A700" s="33"/>
      <c r="B700" s="68">
        <v>42832</v>
      </c>
      <c r="C700" s="64">
        <v>0</v>
      </c>
      <c r="D700" s="64">
        <v>1000</v>
      </c>
      <c r="E700" s="64">
        <v>-1000</v>
      </c>
      <c r="F700" s="34"/>
      <c r="G700" s="34"/>
      <c r="H700" s="33"/>
      <c r="I700" s="68"/>
      <c r="J700" s="64"/>
      <c r="K700" s="64"/>
      <c r="L700" s="64"/>
      <c r="M700" s="64"/>
      <c r="N700" s="34"/>
      <c r="O700" s="35"/>
    </row>
    <row r="701" spans="1:15" s="36" customFormat="1" ht="12" x14ac:dyDescent="0.2">
      <c r="A701" s="33"/>
      <c r="B701" s="69">
        <v>42839</v>
      </c>
      <c r="C701" s="65">
        <v>2000</v>
      </c>
      <c r="D701" s="65">
        <v>1300</v>
      </c>
      <c r="E701" s="65">
        <v>700</v>
      </c>
      <c r="F701" s="34"/>
      <c r="G701" s="34"/>
      <c r="H701" s="33"/>
      <c r="I701" s="69"/>
      <c r="J701" s="65"/>
      <c r="K701" s="65"/>
      <c r="L701" s="65"/>
      <c r="M701" s="65"/>
      <c r="N701" s="34"/>
      <c r="O701" s="35"/>
    </row>
    <row r="702" spans="1:15" s="36" customFormat="1" ht="12" x14ac:dyDescent="0.2">
      <c r="A702" s="33"/>
      <c r="B702" s="68">
        <v>42846</v>
      </c>
      <c r="C702" s="64">
        <v>3600</v>
      </c>
      <c r="D702" s="64">
        <v>1900</v>
      </c>
      <c r="E702" s="64">
        <v>1700</v>
      </c>
      <c r="F702" s="34"/>
      <c r="G702" s="34"/>
      <c r="H702" s="33"/>
      <c r="I702" s="68"/>
      <c r="J702" s="64"/>
      <c r="K702" s="64"/>
      <c r="L702" s="64"/>
      <c r="M702" s="64"/>
      <c r="N702" s="34"/>
      <c r="O702" s="35"/>
    </row>
    <row r="703" spans="1:15" s="36" customFormat="1" ht="12" x14ac:dyDescent="0.2">
      <c r="A703" s="33"/>
      <c r="B703" s="69">
        <v>42853</v>
      </c>
      <c r="C703" s="65">
        <v>3200</v>
      </c>
      <c r="D703" s="65">
        <v>2500</v>
      </c>
      <c r="E703" s="65">
        <v>700</v>
      </c>
      <c r="F703" s="34"/>
      <c r="G703" s="34"/>
      <c r="H703" s="33"/>
      <c r="I703" s="69"/>
      <c r="J703" s="65"/>
      <c r="K703" s="65"/>
      <c r="L703" s="65"/>
      <c r="M703" s="65"/>
      <c r="N703" s="34"/>
      <c r="O703" s="35"/>
    </row>
    <row r="704" spans="1:15" s="36" customFormat="1" ht="12" x14ac:dyDescent="0.2">
      <c r="A704" s="33"/>
      <c r="B704" s="68">
        <v>42860</v>
      </c>
      <c r="C704" s="64">
        <v>2500</v>
      </c>
      <c r="D704" s="64">
        <v>2400</v>
      </c>
      <c r="E704" s="64">
        <v>100</v>
      </c>
      <c r="F704" s="34"/>
      <c r="G704" s="34"/>
      <c r="H704" s="33"/>
      <c r="I704" s="68"/>
      <c r="J704" s="64"/>
      <c r="K704" s="64"/>
      <c r="L704" s="64"/>
      <c r="M704" s="64"/>
      <c r="N704" s="34"/>
      <c r="O704" s="35"/>
    </row>
    <row r="705" spans="1:15" s="36" customFormat="1" ht="12" x14ac:dyDescent="0.2">
      <c r="A705" s="33"/>
      <c r="B705" s="69">
        <v>42867</v>
      </c>
      <c r="C705" s="65">
        <v>1900</v>
      </c>
      <c r="D705" s="65">
        <v>3100</v>
      </c>
      <c r="E705" s="65">
        <v>-1200</v>
      </c>
      <c r="F705" s="34"/>
      <c r="G705" s="34"/>
      <c r="H705" s="33"/>
      <c r="I705" s="69"/>
      <c r="J705" s="65"/>
      <c r="K705" s="65"/>
      <c r="L705" s="65"/>
      <c r="M705" s="65"/>
      <c r="N705" s="34"/>
      <c r="O705" s="35"/>
    </row>
    <row r="706" spans="1:15" s="36" customFormat="1" ht="12" x14ac:dyDescent="0.2">
      <c r="A706" s="33"/>
      <c r="B706" s="68">
        <v>42874</v>
      </c>
      <c r="C706" s="64">
        <v>4100</v>
      </c>
      <c r="D706" s="64">
        <v>2500</v>
      </c>
      <c r="E706" s="64">
        <v>1600</v>
      </c>
      <c r="F706" s="34"/>
      <c r="G706" s="34"/>
      <c r="H706" s="33"/>
      <c r="I706" s="68"/>
      <c r="J706" s="64"/>
      <c r="K706" s="64"/>
      <c r="L706" s="64"/>
      <c r="M706" s="64"/>
      <c r="N706" s="34"/>
      <c r="O706" s="35"/>
    </row>
    <row r="707" spans="1:15" s="36" customFormat="1" ht="12" x14ac:dyDescent="0.2">
      <c r="A707" s="33"/>
      <c r="B707" s="69">
        <v>42881</v>
      </c>
      <c r="C707" s="65">
        <v>3800</v>
      </c>
      <c r="D707" s="65">
        <v>4100</v>
      </c>
      <c r="E707" s="65">
        <v>-300</v>
      </c>
      <c r="F707" s="34"/>
      <c r="G707" s="34"/>
      <c r="H707" s="33"/>
      <c r="I707" s="69"/>
      <c r="J707" s="65"/>
      <c r="K707" s="65"/>
      <c r="L707" s="65"/>
      <c r="M707" s="65"/>
      <c r="N707" s="34"/>
      <c r="O707" s="35"/>
    </row>
    <row r="708" spans="1:15" s="36" customFormat="1" ht="12" x14ac:dyDescent="0.2">
      <c r="A708" s="33"/>
      <c r="B708" s="68">
        <v>42888</v>
      </c>
      <c r="C708" s="64">
        <v>3600</v>
      </c>
      <c r="D708" s="64">
        <v>3300</v>
      </c>
      <c r="E708" s="64">
        <v>300</v>
      </c>
      <c r="F708" s="34"/>
      <c r="G708" s="34"/>
      <c r="H708" s="33"/>
      <c r="I708" s="68"/>
      <c r="J708" s="64"/>
      <c r="K708" s="64"/>
      <c r="L708" s="64"/>
      <c r="M708" s="64"/>
      <c r="N708" s="34"/>
      <c r="O708" s="35"/>
    </row>
    <row r="709" spans="1:15" s="36" customFormat="1" ht="12" x14ac:dyDescent="0.2">
      <c r="A709" s="33"/>
      <c r="B709" s="69">
        <v>42895</v>
      </c>
      <c r="C709" s="65">
        <v>4600</v>
      </c>
      <c r="D709" s="65">
        <v>4700</v>
      </c>
      <c r="E709" s="65">
        <v>-100</v>
      </c>
      <c r="F709" s="34"/>
      <c r="G709" s="34"/>
      <c r="H709" s="33"/>
      <c r="I709" s="69"/>
      <c r="J709" s="65"/>
      <c r="K709" s="65"/>
      <c r="L709" s="65"/>
      <c r="M709" s="65"/>
      <c r="N709" s="34"/>
      <c r="O709" s="35"/>
    </row>
    <row r="710" spans="1:15" s="36" customFormat="1" ht="12" x14ac:dyDescent="0.2">
      <c r="A710" s="33"/>
      <c r="B710" s="68">
        <v>42902</v>
      </c>
      <c r="C710" s="64">
        <v>6200</v>
      </c>
      <c r="D710" s="64">
        <v>2100</v>
      </c>
      <c r="E710" s="64">
        <v>4100</v>
      </c>
      <c r="F710" s="34"/>
      <c r="G710" s="34"/>
      <c r="H710" s="33"/>
      <c r="I710" s="68"/>
      <c r="J710" s="64"/>
      <c r="K710" s="64"/>
      <c r="L710" s="64"/>
      <c r="M710" s="64"/>
      <c r="N710" s="34"/>
      <c r="O710" s="35"/>
    </row>
    <row r="711" spans="1:15" s="36" customFormat="1" ht="12" x14ac:dyDescent="0.2">
      <c r="A711" s="33"/>
      <c r="B711" s="69">
        <v>42909</v>
      </c>
      <c r="C711" s="65">
        <v>1900</v>
      </c>
      <c r="D711" s="65">
        <v>2500</v>
      </c>
      <c r="E711" s="65">
        <v>-600</v>
      </c>
      <c r="F711" s="34"/>
      <c r="G711" s="34"/>
      <c r="H711" s="33"/>
      <c r="I711" s="69"/>
      <c r="J711" s="65"/>
      <c r="K711" s="65"/>
      <c r="L711" s="65"/>
      <c r="M711" s="65"/>
      <c r="N711" s="34"/>
      <c r="O711" s="35"/>
    </row>
    <row r="712" spans="1:15" s="36" customFormat="1" ht="12" x14ac:dyDescent="0.2">
      <c r="A712" s="33"/>
      <c r="B712" s="68">
        <v>42916</v>
      </c>
      <c r="C712" s="64">
        <v>0</v>
      </c>
      <c r="D712" s="64">
        <v>3300</v>
      </c>
      <c r="E712" s="64">
        <v>-3300</v>
      </c>
      <c r="F712" s="34"/>
      <c r="G712" s="34"/>
      <c r="H712" s="33"/>
      <c r="I712" s="68"/>
      <c r="J712" s="64"/>
      <c r="K712" s="64"/>
      <c r="L712" s="64"/>
      <c r="M712" s="64"/>
      <c r="N712" s="34"/>
      <c r="O712" s="35"/>
    </row>
    <row r="713" spans="1:15" s="36" customFormat="1" ht="12" x14ac:dyDescent="0.2">
      <c r="A713" s="33"/>
      <c r="B713" s="69">
        <v>42923</v>
      </c>
      <c r="C713" s="65">
        <v>0</v>
      </c>
      <c r="D713" s="65">
        <v>2500</v>
      </c>
      <c r="E713" s="65">
        <v>-2500</v>
      </c>
      <c r="F713" s="34"/>
      <c r="G713" s="34"/>
      <c r="H713" s="33"/>
      <c r="I713" s="69"/>
      <c r="J713" s="65"/>
      <c r="K713" s="65"/>
      <c r="L713" s="65"/>
      <c r="M713" s="65"/>
      <c r="N713" s="34"/>
      <c r="O713" s="35"/>
    </row>
    <row r="714" spans="1:15" s="36" customFormat="1" ht="12" x14ac:dyDescent="0.2">
      <c r="A714" s="33"/>
      <c r="B714" s="68">
        <v>42930</v>
      </c>
      <c r="C714" s="64">
        <v>2100</v>
      </c>
      <c r="D714" s="64">
        <v>2800</v>
      </c>
      <c r="E714" s="64">
        <v>-700</v>
      </c>
      <c r="F714" s="34"/>
      <c r="G714" s="34"/>
      <c r="H714" s="33"/>
      <c r="I714" s="68"/>
      <c r="J714" s="64"/>
      <c r="K714" s="64"/>
      <c r="L714" s="64"/>
      <c r="M714" s="64"/>
      <c r="N714" s="34"/>
      <c r="O714" s="35"/>
    </row>
    <row r="715" spans="1:15" s="36" customFormat="1" ht="12" x14ac:dyDescent="0.2">
      <c r="A715" s="33"/>
      <c r="B715" s="69">
        <v>42937</v>
      </c>
      <c r="C715" s="65">
        <v>7100</v>
      </c>
      <c r="D715" s="65">
        <v>2000</v>
      </c>
      <c r="E715" s="65">
        <v>5100</v>
      </c>
      <c r="F715" s="34"/>
      <c r="G715" s="34"/>
      <c r="H715" s="33"/>
      <c r="I715" s="69"/>
      <c r="J715" s="65"/>
      <c r="K715" s="65"/>
      <c r="L715" s="65"/>
      <c r="M715" s="65"/>
      <c r="N715" s="34"/>
      <c r="O715" s="35"/>
    </row>
    <row r="716" spans="1:15" s="36" customFormat="1" ht="12" x14ac:dyDescent="0.2">
      <c r="A716" s="33"/>
      <c r="B716" s="68">
        <v>42944</v>
      </c>
      <c r="C716" s="64">
        <v>8200</v>
      </c>
      <c r="D716" s="64">
        <v>5400</v>
      </c>
      <c r="E716" s="64">
        <v>2800</v>
      </c>
      <c r="F716" s="34"/>
      <c r="G716" s="34"/>
      <c r="H716" s="33"/>
      <c r="I716" s="68"/>
      <c r="J716" s="64"/>
      <c r="K716" s="64"/>
      <c r="L716" s="64"/>
      <c r="M716" s="64"/>
      <c r="N716" s="34"/>
      <c r="O716" s="35"/>
    </row>
    <row r="717" spans="1:15" s="36" customFormat="1" ht="12" x14ac:dyDescent="0.2">
      <c r="A717" s="33"/>
      <c r="B717" s="69">
        <v>42951</v>
      </c>
      <c r="C717" s="65">
        <v>7100</v>
      </c>
      <c r="D717" s="65">
        <v>7500</v>
      </c>
      <c r="E717" s="65">
        <v>-400</v>
      </c>
      <c r="F717" s="34"/>
      <c r="G717" s="34"/>
      <c r="H717" s="33"/>
      <c r="I717" s="69"/>
      <c r="J717" s="65"/>
      <c r="K717" s="65"/>
      <c r="L717" s="65"/>
      <c r="M717" s="65"/>
      <c r="N717" s="34"/>
      <c r="O717" s="35"/>
    </row>
    <row r="718" spans="1:15" s="36" customFormat="1" ht="12" x14ac:dyDescent="0.2">
      <c r="A718" s="33"/>
      <c r="B718" s="68">
        <v>42958</v>
      </c>
      <c r="C718" s="64">
        <v>7500</v>
      </c>
      <c r="D718" s="64">
        <v>7800</v>
      </c>
      <c r="E718" s="64">
        <v>-300</v>
      </c>
      <c r="F718" s="34"/>
      <c r="G718" s="34"/>
      <c r="H718" s="33"/>
      <c r="I718" s="68"/>
      <c r="J718" s="64"/>
      <c r="K718" s="64"/>
      <c r="L718" s="64"/>
      <c r="M718" s="64"/>
      <c r="N718" s="34"/>
      <c r="O718" s="35"/>
    </row>
    <row r="719" spans="1:15" s="36" customFormat="1" ht="12" x14ac:dyDescent="0.2">
      <c r="A719" s="33"/>
      <c r="B719" s="69">
        <v>42965</v>
      </c>
      <c r="C719" s="65">
        <v>7100</v>
      </c>
      <c r="D719" s="65">
        <v>6000</v>
      </c>
      <c r="E719" s="65">
        <v>1100</v>
      </c>
      <c r="F719" s="34"/>
      <c r="G719" s="34"/>
      <c r="H719" s="33"/>
      <c r="I719" s="69"/>
      <c r="J719" s="65"/>
      <c r="K719" s="65"/>
      <c r="L719" s="65"/>
      <c r="M719" s="65"/>
      <c r="N719" s="34"/>
      <c r="O719" s="35"/>
    </row>
    <row r="720" spans="1:15" s="36" customFormat="1" ht="12" x14ac:dyDescent="0.2">
      <c r="A720" s="33"/>
      <c r="B720" s="68">
        <v>42972</v>
      </c>
      <c r="C720" s="64">
        <v>4200</v>
      </c>
      <c r="D720" s="64">
        <v>7500</v>
      </c>
      <c r="E720" s="64">
        <v>-3300</v>
      </c>
      <c r="F720" s="34"/>
      <c r="G720" s="34"/>
      <c r="H720" s="33"/>
      <c r="I720" s="68"/>
      <c r="J720" s="64"/>
      <c r="K720" s="64"/>
      <c r="L720" s="64"/>
      <c r="M720" s="64"/>
      <c r="N720" s="34"/>
      <c r="O720" s="35"/>
    </row>
    <row r="721" spans="1:15" s="36" customFormat="1" ht="12" x14ac:dyDescent="0.2">
      <c r="A721" s="33"/>
      <c r="B721" s="69">
        <v>42979</v>
      </c>
      <c r="C721" s="65">
        <v>2800</v>
      </c>
      <c r="D721" s="65">
        <v>5600</v>
      </c>
      <c r="E721" s="65">
        <v>-2800</v>
      </c>
      <c r="F721" s="34"/>
      <c r="G721" s="34"/>
      <c r="H721" s="33"/>
      <c r="I721" s="69"/>
      <c r="J721" s="65"/>
      <c r="K721" s="65"/>
      <c r="L721" s="65"/>
      <c r="M721" s="65"/>
      <c r="N721" s="34"/>
      <c r="O721" s="35"/>
    </row>
    <row r="722" spans="1:15" s="36" customFormat="1" ht="12" x14ac:dyDescent="0.2">
      <c r="A722" s="33"/>
      <c r="B722" s="68">
        <v>42986</v>
      </c>
      <c r="C722" s="64">
        <v>400</v>
      </c>
      <c r="D722" s="64">
        <v>3700</v>
      </c>
      <c r="E722" s="64">
        <v>-3300</v>
      </c>
      <c r="F722" s="34"/>
      <c r="G722" s="34"/>
      <c r="H722" s="33"/>
      <c r="I722" s="68"/>
      <c r="J722" s="64"/>
      <c r="K722" s="64"/>
      <c r="L722" s="64"/>
      <c r="M722" s="64"/>
      <c r="N722" s="34"/>
      <c r="O722" s="35"/>
    </row>
    <row r="723" spans="1:15" s="36" customFormat="1" ht="12" x14ac:dyDescent="0.2">
      <c r="A723" s="33"/>
      <c r="B723" s="69">
        <v>42993</v>
      </c>
      <c r="C723" s="65">
        <v>3700</v>
      </c>
      <c r="D723" s="65">
        <v>1100</v>
      </c>
      <c r="E723" s="65">
        <v>2600</v>
      </c>
      <c r="F723" s="34"/>
      <c r="G723" s="34"/>
      <c r="H723" s="33"/>
      <c r="I723" s="69"/>
      <c r="J723" s="65"/>
      <c r="K723" s="65"/>
      <c r="L723" s="65"/>
      <c r="M723" s="65"/>
      <c r="N723" s="34"/>
      <c r="O723" s="35"/>
    </row>
    <row r="724" spans="1:15" s="36" customFormat="1" ht="12" x14ac:dyDescent="0.2">
      <c r="A724" s="33"/>
      <c r="B724" s="68">
        <v>43000</v>
      </c>
      <c r="C724" s="64">
        <v>6600</v>
      </c>
      <c r="D724" s="64">
        <v>2100</v>
      </c>
      <c r="E724" s="64">
        <v>4500</v>
      </c>
      <c r="F724" s="34"/>
      <c r="G724" s="34"/>
      <c r="H724" s="33"/>
      <c r="I724" s="68"/>
      <c r="J724" s="64"/>
      <c r="K724" s="64"/>
      <c r="L724" s="64"/>
      <c r="M724" s="64"/>
      <c r="N724" s="34"/>
      <c r="O724" s="35"/>
    </row>
    <row r="725" spans="1:15" s="36" customFormat="1" ht="12" x14ac:dyDescent="0.2">
      <c r="A725" s="33"/>
      <c r="B725" s="69">
        <v>43007</v>
      </c>
      <c r="C725" s="65">
        <v>3200</v>
      </c>
      <c r="D725" s="65">
        <v>6800</v>
      </c>
      <c r="E725" s="65">
        <v>-3600</v>
      </c>
      <c r="F725" s="34"/>
      <c r="G725" s="34"/>
      <c r="H725" s="33"/>
      <c r="I725" s="69"/>
      <c r="J725" s="65"/>
      <c r="K725" s="65"/>
      <c r="L725" s="65"/>
      <c r="M725" s="65"/>
      <c r="N725" s="34"/>
      <c r="O725" s="35"/>
    </row>
    <row r="726" spans="1:15" s="36" customFormat="1" ht="12" x14ac:dyDescent="0.2">
      <c r="A726" s="33"/>
      <c r="B726" s="68">
        <v>43014</v>
      </c>
      <c r="C726" s="64">
        <v>0</v>
      </c>
      <c r="D726" s="64">
        <v>200</v>
      </c>
      <c r="E726" s="64">
        <v>-200</v>
      </c>
      <c r="F726" s="34"/>
      <c r="G726" s="34"/>
      <c r="H726" s="33"/>
      <c r="I726" s="68"/>
      <c r="J726" s="64"/>
      <c r="K726" s="64"/>
      <c r="L726" s="64"/>
      <c r="M726" s="64"/>
      <c r="N726" s="34"/>
      <c r="O726" s="35"/>
    </row>
    <row r="727" spans="1:15" s="36" customFormat="1" ht="12" x14ac:dyDescent="0.2">
      <c r="A727" s="33"/>
      <c r="B727" s="69">
        <v>43021</v>
      </c>
      <c r="C727" s="65">
        <v>800</v>
      </c>
      <c r="D727" s="65">
        <v>3000</v>
      </c>
      <c r="E727" s="65">
        <v>-2200</v>
      </c>
      <c r="F727" s="34"/>
      <c r="G727" s="34"/>
      <c r="H727" s="33"/>
      <c r="I727" s="69"/>
      <c r="J727" s="65"/>
      <c r="K727" s="65"/>
      <c r="L727" s="65"/>
      <c r="M727" s="65"/>
      <c r="N727" s="34"/>
      <c r="O727" s="35"/>
    </row>
    <row r="728" spans="1:15" s="36" customFormat="1" ht="12" x14ac:dyDescent="0.2">
      <c r="A728" s="33"/>
      <c r="B728" s="68">
        <v>43028</v>
      </c>
      <c r="C728" s="64">
        <v>7300</v>
      </c>
      <c r="D728" s="64">
        <v>1700</v>
      </c>
      <c r="E728" s="64">
        <v>5600</v>
      </c>
      <c r="F728" s="34"/>
      <c r="G728" s="34"/>
      <c r="H728" s="33"/>
      <c r="I728" s="68"/>
      <c r="J728" s="64"/>
      <c r="K728" s="64"/>
      <c r="L728" s="64"/>
      <c r="M728" s="64"/>
      <c r="N728" s="34"/>
      <c r="O728" s="35"/>
    </row>
    <row r="729" spans="1:15" s="36" customFormat="1" ht="12" x14ac:dyDescent="0.2">
      <c r="A729" s="33"/>
      <c r="B729" s="69">
        <v>43035</v>
      </c>
      <c r="C729" s="65">
        <v>8700</v>
      </c>
      <c r="D729" s="65">
        <v>4800</v>
      </c>
      <c r="E729" s="65">
        <v>3900</v>
      </c>
      <c r="F729" s="34"/>
      <c r="G729" s="34"/>
      <c r="H729" s="33"/>
      <c r="I729" s="69"/>
      <c r="J729" s="65"/>
      <c r="K729" s="65"/>
      <c r="L729" s="65"/>
      <c r="M729" s="65"/>
      <c r="N729" s="34"/>
      <c r="O729" s="35"/>
    </row>
    <row r="730" spans="1:15" s="36" customFormat="1" ht="12" x14ac:dyDescent="0.2">
      <c r="A730" s="33"/>
      <c r="B730" s="68">
        <v>43042</v>
      </c>
      <c r="C730" s="64">
        <v>6900</v>
      </c>
      <c r="D730" s="64">
        <v>8000</v>
      </c>
      <c r="E730" s="64">
        <v>-1100</v>
      </c>
      <c r="F730" s="34"/>
      <c r="G730" s="34"/>
      <c r="H730" s="33"/>
      <c r="I730" s="68"/>
      <c r="J730" s="64"/>
      <c r="K730" s="64"/>
      <c r="L730" s="64"/>
      <c r="M730" s="64"/>
      <c r="N730" s="34"/>
      <c r="O730" s="35"/>
    </row>
    <row r="731" spans="1:15" s="36" customFormat="1" ht="12" x14ac:dyDescent="0.2">
      <c r="A731" s="33"/>
      <c r="B731" s="69">
        <v>43049</v>
      </c>
      <c r="C731" s="65">
        <v>4600</v>
      </c>
      <c r="D731" s="65">
        <v>6900</v>
      </c>
      <c r="E731" s="65">
        <v>-2300</v>
      </c>
      <c r="F731" s="34"/>
      <c r="G731" s="34"/>
      <c r="H731" s="33"/>
      <c r="I731" s="69"/>
      <c r="J731" s="65"/>
      <c r="K731" s="65"/>
      <c r="L731" s="65"/>
      <c r="M731" s="65"/>
      <c r="N731" s="34"/>
      <c r="O731" s="35"/>
    </row>
    <row r="732" spans="1:15" s="36" customFormat="1" ht="12" x14ac:dyDescent="0.2">
      <c r="A732" s="33"/>
      <c r="B732" s="68">
        <v>43056</v>
      </c>
      <c r="C732" s="64">
        <v>11500</v>
      </c>
      <c r="D732" s="64">
        <v>3400</v>
      </c>
      <c r="E732" s="64">
        <v>8100</v>
      </c>
      <c r="F732" s="34"/>
      <c r="G732" s="34"/>
      <c r="H732" s="33"/>
      <c r="I732" s="68"/>
      <c r="J732" s="64"/>
      <c r="K732" s="64"/>
      <c r="L732" s="64"/>
      <c r="M732" s="64"/>
      <c r="N732" s="34"/>
      <c r="O732" s="35"/>
    </row>
    <row r="733" spans="1:15" s="36" customFormat="1" ht="12" x14ac:dyDescent="0.2">
      <c r="A733" s="33"/>
      <c r="B733" s="69">
        <v>43063</v>
      </c>
      <c r="C733" s="65">
        <v>7900</v>
      </c>
      <c r="D733" s="65">
        <v>6400</v>
      </c>
      <c r="E733" s="65">
        <v>1500</v>
      </c>
      <c r="F733" s="34"/>
      <c r="G733" s="34"/>
      <c r="H733" s="33"/>
      <c r="I733" s="69"/>
      <c r="J733" s="65"/>
      <c r="K733" s="65"/>
      <c r="L733" s="65"/>
      <c r="M733" s="65"/>
      <c r="N733" s="34"/>
      <c r="O733" s="35"/>
    </row>
    <row r="734" spans="1:15" s="36" customFormat="1" ht="12" x14ac:dyDescent="0.2">
      <c r="A734" s="33"/>
      <c r="B734" s="68">
        <v>43070</v>
      </c>
      <c r="C734" s="64">
        <v>9100</v>
      </c>
      <c r="D734" s="64">
        <v>9500</v>
      </c>
      <c r="E734" s="64">
        <v>-400</v>
      </c>
      <c r="F734" s="34"/>
      <c r="G734" s="34"/>
      <c r="H734" s="33"/>
      <c r="I734" s="68"/>
      <c r="J734" s="64"/>
      <c r="K734" s="64"/>
      <c r="L734" s="64"/>
      <c r="M734" s="64"/>
      <c r="N734" s="34"/>
      <c r="O734" s="35"/>
    </row>
    <row r="735" spans="1:15" s="36" customFormat="1" ht="12" x14ac:dyDescent="0.2">
      <c r="A735" s="33"/>
      <c r="B735" s="69">
        <v>43077</v>
      </c>
      <c r="C735" s="65">
        <v>2700</v>
      </c>
      <c r="D735" s="65">
        <v>7800</v>
      </c>
      <c r="E735" s="65">
        <v>-5100</v>
      </c>
      <c r="F735" s="34"/>
      <c r="G735" s="34"/>
      <c r="H735" s="33"/>
      <c r="I735" s="69"/>
      <c r="J735" s="65"/>
      <c r="K735" s="65"/>
      <c r="L735" s="65"/>
      <c r="M735" s="65"/>
      <c r="N735" s="34"/>
      <c r="O735" s="35"/>
    </row>
    <row r="736" spans="1:15" s="36" customFormat="1" ht="12" x14ac:dyDescent="0.2">
      <c r="A736" s="33"/>
      <c r="B736" s="68">
        <v>43084</v>
      </c>
      <c r="C736" s="64">
        <v>5600</v>
      </c>
      <c r="D736" s="64">
        <v>4800</v>
      </c>
      <c r="E736" s="64">
        <v>800</v>
      </c>
      <c r="F736" s="34"/>
      <c r="G736" s="34"/>
      <c r="H736" s="33"/>
      <c r="I736" s="68"/>
      <c r="J736" s="64"/>
      <c r="K736" s="64"/>
      <c r="L736" s="64"/>
      <c r="M736" s="64"/>
      <c r="N736" s="34"/>
      <c r="O736" s="35"/>
    </row>
    <row r="737" spans="1:15" s="36" customFormat="1" ht="12" x14ac:dyDescent="0.2">
      <c r="A737" s="33"/>
      <c r="B737" s="69">
        <v>43091</v>
      </c>
      <c r="C737" s="65">
        <v>5500</v>
      </c>
      <c r="D737" s="65">
        <v>3500</v>
      </c>
      <c r="E737" s="65">
        <v>2000</v>
      </c>
      <c r="F737" s="34"/>
      <c r="G737" s="34"/>
      <c r="H737" s="33"/>
      <c r="I737" s="69"/>
      <c r="J737" s="65"/>
      <c r="K737" s="65"/>
      <c r="L737" s="65"/>
      <c r="M737" s="65"/>
      <c r="N737" s="34"/>
      <c r="O737" s="35"/>
    </row>
    <row r="738" spans="1:15" s="36" customFormat="1" ht="12" x14ac:dyDescent="0.2">
      <c r="A738" s="33"/>
      <c r="B738" s="68">
        <v>43098</v>
      </c>
      <c r="C738" s="64">
        <v>0</v>
      </c>
      <c r="D738" s="64">
        <v>2900</v>
      </c>
      <c r="E738" s="64">
        <v>-2900</v>
      </c>
      <c r="F738" s="34"/>
      <c r="G738" s="34"/>
      <c r="H738" s="33"/>
      <c r="I738" s="68"/>
      <c r="J738" s="64"/>
      <c r="K738" s="64"/>
      <c r="L738" s="64"/>
      <c r="M738" s="64"/>
      <c r="N738" s="34"/>
      <c r="O738" s="35"/>
    </row>
    <row r="739" spans="1:15" s="36" customFormat="1" ht="12" x14ac:dyDescent="0.2">
      <c r="A739" s="33"/>
      <c r="B739" s="69">
        <v>43105</v>
      </c>
      <c r="C739" s="65">
        <v>0</v>
      </c>
      <c r="D739" s="65">
        <v>5100</v>
      </c>
      <c r="E739" s="65">
        <v>-5100</v>
      </c>
      <c r="F739" s="34"/>
      <c r="G739" s="34"/>
      <c r="H739" s="33"/>
      <c r="I739" s="69"/>
      <c r="J739" s="65"/>
      <c r="K739" s="65"/>
      <c r="L739" s="65"/>
      <c r="M739" s="65"/>
      <c r="N739" s="34"/>
      <c r="O739" s="35"/>
    </row>
    <row r="740" spans="1:15" s="36" customFormat="1" ht="12" x14ac:dyDescent="0.2">
      <c r="A740" s="33"/>
      <c r="B740" s="68">
        <v>43112</v>
      </c>
      <c r="C740" s="64">
        <v>4500</v>
      </c>
      <c r="D740" s="64">
        <v>4100</v>
      </c>
      <c r="E740" s="64">
        <v>400</v>
      </c>
      <c r="F740" s="34"/>
      <c r="G740" s="34"/>
      <c r="H740" s="33"/>
      <c r="I740" s="68"/>
      <c r="J740" s="64"/>
      <c r="K740" s="64"/>
      <c r="L740" s="64"/>
      <c r="M740" s="64"/>
      <c r="N740" s="34"/>
      <c r="O740" s="35"/>
    </row>
    <row r="741" spans="1:15" s="36" customFormat="1" ht="12" x14ac:dyDescent="0.2">
      <c r="A741" s="33"/>
      <c r="B741" s="69">
        <v>43119</v>
      </c>
      <c r="C741" s="65">
        <v>10600</v>
      </c>
      <c r="D741" s="65">
        <v>4700</v>
      </c>
      <c r="E741" s="65">
        <v>5900</v>
      </c>
      <c r="F741" s="34"/>
      <c r="G741" s="34"/>
      <c r="H741" s="33"/>
      <c r="I741" s="69"/>
      <c r="J741" s="65"/>
      <c r="K741" s="65"/>
      <c r="L741" s="65"/>
      <c r="M741" s="65"/>
      <c r="N741" s="34"/>
      <c r="O741" s="35"/>
    </row>
    <row r="742" spans="1:15" s="36" customFormat="1" ht="12" x14ac:dyDescent="0.2">
      <c r="A742" s="33"/>
      <c r="B742" s="68">
        <v>43126</v>
      </c>
      <c r="C742" s="64">
        <v>5000</v>
      </c>
      <c r="D742" s="64">
        <v>8200</v>
      </c>
      <c r="E742" s="64">
        <v>-3200</v>
      </c>
      <c r="F742" s="34"/>
      <c r="G742" s="34"/>
      <c r="H742" s="33"/>
      <c r="I742" s="68"/>
      <c r="J742" s="64"/>
      <c r="K742" s="64"/>
      <c r="L742" s="64"/>
      <c r="M742" s="64"/>
      <c r="N742" s="34"/>
      <c r="O742" s="35"/>
    </row>
    <row r="743" spans="1:15" s="36" customFormat="1" ht="12" x14ac:dyDescent="0.2">
      <c r="A743" s="33"/>
      <c r="B743" s="69">
        <v>43133</v>
      </c>
      <c r="C743" s="65">
        <v>0</v>
      </c>
      <c r="D743" s="65">
        <v>7600</v>
      </c>
      <c r="E743" s="65">
        <v>-7600</v>
      </c>
      <c r="F743" s="34"/>
      <c r="G743" s="34"/>
      <c r="H743" s="33"/>
      <c r="I743" s="69"/>
      <c r="J743" s="65"/>
      <c r="K743" s="65"/>
      <c r="L743" s="65"/>
      <c r="M743" s="65"/>
      <c r="N743" s="34"/>
      <c r="O743" s="35"/>
    </row>
    <row r="744" spans="1:15" s="36" customFormat="1" ht="12" x14ac:dyDescent="0.2">
      <c r="A744" s="33"/>
      <c r="B744" s="68">
        <v>43140</v>
      </c>
      <c r="C744" s="64">
        <v>0</v>
      </c>
      <c r="D744" s="64">
        <v>2200</v>
      </c>
      <c r="E744" s="64">
        <v>-2200</v>
      </c>
      <c r="F744" s="34"/>
      <c r="G744" s="34"/>
      <c r="H744" s="33"/>
      <c r="I744" s="68"/>
      <c r="J744" s="64"/>
      <c r="K744" s="64"/>
      <c r="L744" s="64"/>
      <c r="M744" s="64"/>
      <c r="N744" s="34"/>
      <c r="O744" s="35"/>
    </row>
    <row r="745" spans="1:15" s="36" customFormat="1" ht="12" x14ac:dyDescent="0.2">
      <c r="A745" s="33"/>
      <c r="B745" s="69">
        <v>43147</v>
      </c>
      <c r="C745" s="65">
        <v>0</v>
      </c>
      <c r="D745" s="65">
        <v>0</v>
      </c>
      <c r="E745" s="65">
        <v>0</v>
      </c>
      <c r="F745" s="34"/>
      <c r="G745" s="34"/>
      <c r="H745" s="33"/>
      <c r="I745" s="69"/>
      <c r="J745" s="65"/>
      <c r="K745" s="65"/>
      <c r="L745" s="65"/>
      <c r="M745" s="65"/>
      <c r="N745" s="34"/>
      <c r="O745" s="35"/>
    </row>
    <row r="746" spans="1:15" s="36" customFormat="1" ht="12" x14ac:dyDescent="0.2">
      <c r="A746" s="33"/>
      <c r="B746" s="68">
        <v>43154</v>
      </c>
      <c r="C746" s="64">
        <v>5800</v>
      </c>
      <c r="D746" s="64">
        <v>0</v>
      </c>
      <c r="E746" s="64">
        <v>5800</v>
      </c>
      <c r="F746" s="34"/>
      <c r="G746" s="34"/>
      <c r="H746" s="33"/>
      <c r="I746" s="68"/>
      <c r="J746" s="64"/>
      <c r="K746" s="64"/>
      <c r="L746" s="64"/>
      <c r="M746" s="64"/>
      <c r="N746" s="34"/>
      <c r="O746" s="35"/>
    </row>
    <row r="747" spans="1:15" s="36" customFormat="1" ht="12" x14ac:dyDescent="0.2">
      <c r="A747" s="33"/>
      <c r="B747" s="69">
        <v>43161</v>
      </c>
      <c r="C747" s="65">
        <v>3900</v>
      </c>
      <c r="D747" s="65">
        <v>2700</v>
      </c>
      <c r="E747" s="65">
        <v>1200</v>
      </c>
      <c r="F747" s="34"/>
      <c r="G747" s="34"/>
      <c r="H747" s="33"/>
      <c r="I747" s="69"/>
      <c r="J747" s="65"/>
      <c r="K747" s="65"/>
      <c r="L747" s="65"/>
      <c r="M747" s="65"/>
      <c r="N747" s="34"/>
      <c r="O747" s="35"/>
    </row>
    <row r="748" spans="1:15" s="36" customFormat="1" ht="12" x14ac:dyDescent="0.2">
      <c r="A748" s="33"/>
      <c r="B748" s="68">
        <v>43168</v>
      </c>
      <c r="C748" s="64">
        <v>0</v>
      </c>
      <c r="D748" s="64">
        <v>2400</v>
      </c>
      <c r="E748" s="64">
        <v>-2400</v>
      </c>
      <c r="F748" s="34"/>
      <c r="G748" s="34"/>
      <c r="H748" s="33"/>
      <c r="I748" s="68"/>
      <c r="J748" s="64"/>
      <c r="K748" s="64"/>
      <c r="L748" s="64"/>
      <c r="M748" s="64"/>
      <c r="N748" s="34"/>
      <c r="O748" s="35"/>
    </row>
    <row r="749" spans="1:15" s="36" customFormat="1" ht="12" x14ac:dyDescent="0.2">
      <c r="A749" s="33"/>
      <c r="B749" s="69">
        <v>43175</v>
      </c>
      <c r="C749" s="65">
        <v>2400</v>
      </c>
      <c r="D749" s="65">
        <v>0</v>
      </c>
      <c r="E749" s="65">
        <v>2400</v>
      </c>
      <c r="F749" s="34"/>
      <c r="G749" s="34"/>
      <c r="H749" s="33"/>
      <c r="I749" s="69"/>
      <c r="J749" s="65"/>
      <c r="K749" s="65"/>
      <c r="L749" s="65"/>
      <c r="M749" s="65"/>
      <c r="N749" s="34"/>
      <c r="O749" s="35"/>
    </row>
    <row r="750" spans="1:15" s="36" customFormat="1" ht="12" x14ac:dyDescent="0.2">
      <c r="A750" s="33"/>
      <c r="B750" s="68">
        <v>43182</v>
      </c>
      <c r="C750" s="64">
        <v>600</v>
      </c>
      <c r="D750" s="64">
        <v>3800</v>
      </c>
      <c r="E750" s="64">
        <v>-3200</v>
      </c>
      <c r="F750" s="34"/>
      <c r="G750" s="34"/>
      <c r="H750" s="33"/>
      <c r="I750" s="68"/>
      <c r="J750" s="64"/>
      <c r="K750" s="64"/>
      <c r="L750" s="64"/>
      <c r="M750" s="64"/>
      <c r="N750" s="34"/>
      <c r="O750" s="35"/>
    </row>
    <row r="751" spans="1:15" s="36" customFormat="1" ht="12" x14ac:dyDescent="0.2">
      <c r="A751" s="33"/>
      <c r="B751" s="69">
        <v>43189</v>
      </c>
      <c r="C751" s="65">
        <v>0</v>
      </c>
      <c r="D751" s="65">
        <v>1600</v>
      </c>
      <c r="E751" s="65">
        <v>-1600</v>
      </c>
      <c r="F751" s="34"/>
      <c r="G751" s="34"/>
      <c r="H751" s="33"/>
      <c r="I751" s="69"/>
      <c r="J751" s="65"/>
      <c r="K751" s="65"/>
      <c r="L751" s="65"/>
      <c r="M751" s="65"/>
      <c r="N751" s="34"/>
      <c r="O751" s="35"/>
    </row>
    <row r="752" spans="1:15" s="36" customFormat="1" ht="12" x14ac:dyDescent="0.2">
      <c r="A752" s="33"/>
      <c r="B752" s="68">
        <v>43196</v>
      </c>
      <c r="C752" s="64">
        <v>0</v>
      </c>
      <c r="D752" s="64">
        <v>200</v>
      </c>
      <c r="E752" s="64">
        <v>-200</v>
      </c>
      <c r="F752" s="34"/>
      <c r="G752" s="34"/>
      <c r="H752" s="33"/>
      <c r="I752" s="68"/>
      <c r="J752" s="64"/>
      <c r="K752" s="64"/>
      <c r="L752" s="64"/>
      <c r="M752" s="64"/>
      <c r="N752" s="34"/>
      <c r="O752" s="35"/>
    </row>
    <row r="753" spans="1:15" s="36" customFormat="1" ht="12" x14ac:dyDescent="0.2">
      <c r="A753" s="33"/>
      <c r="B753" s="69">
        <v>43203</v>
      </c>
      <c r="C753" s="65">
        <v>200</v>
      </c>
      <c r="D753" s="65">
        <v>1100</v>
      </c>
      <c r="E753" s="65">
        <v>-900</v>
      </c>
      <c r="F753" s="34"/>
      <c r="G753" s="34"/>
      <c r="H753" s="33"/>
      <c r="I753" s="69"/>
      <c r="J753" s="65"/>
      <c r="K753" s="65"/>
      <c r="L753" s="65"/>
      <c r="M753" s="65"/>
      <c r="N753" s="34"/>
      <c r="O753" s="35"/>
    </row>
    <row r="754" spans="1:15" s="36" customFormat="1" ht="12" x14ac:dyDescent="0.2">
      <c r="A754" s="33"/>
      <c r="B754" s="68">
        <v>43210</v>
      </c>
      <c r="C754" s="64">
        <v>4900</v>
      </c>
      <c r="D754" s="64">
        <v>200</v>
      </c>
      <c r="E754" s="64">
        <v>4700</v>
      </c>
      <c r="F754" s="34"/>
      <c r="G754" s="34"/>
      <c r="H754" s="33"/>
      <c r="I754" s="68"/>
      <c r="J754" s="64"/>
      <c r="K754" s="64"/>
      <c r="L754" s="64"/>
      <c r="M754" s="64"/>
      <c r="N754" s="34"/>
      <c r="O754" s="35"/>
    </row>
    <row r="755" spans="1:15" s="36" customFormat="1" ht="12" x14ac:dyDescent="0.2">
      <c r="A755" s="33"/>
      <c r="B755" s="69">
        <v>43217</v>
      </c>
      <c r="C755" s="65">
        <v>2500</v>
      </c>
      <c r="D755" s="65">
        <v>5200</v>
      </c>
      <c r="E755" s="65">
        <v>-2700</v>
      </c>
      <c r="F755" s="34"/>
      <c r="G755" s="34"/>
      <c r="H755" s="33"/>
      <c r="I755" s="69"/>
      <c r="J755" s="65"/>
      <c r="K755" s="65"/>
      <c r="L755" s="65"/>
      <c r="M755" s="65"/>
      <c r="N755" s="34"/>
      <c r="O755" s="35"/>
    </row>
    <row r="756" spans="1:15" s="36" customFormat="1" ht="12" x14ac:dyDescent="0.2">
      <c r="A756" s="33"/>
      <c r="B756" s="68">
        <v>43224</v>
      </c>
      <c r="C756" s="64">
        <v>2700</v>
      </c>
      <c r="D756" s="64">
        <v>3800</v>
      </c>
      <c r="E756" s="64">
        <v>-1100</v>
      </c>
      <c r="F756" s="34"/>
      <c r="G756" s="34"/>
      <c r="H756" s="33"/>
      <c r="I756" s="68"/>
      <c r="J756" s="64"/>
      <c r="K756" s="64"/>
      <c r="L756" s="64"/>
      <c r="M756" s="64"/>
      <c r="N756" s="34"/>
      <c r="O756" s="35"/>
    </row>
    <row r="757" spans="1:15" s="36" customFormat="1" ht="12" x14ac:dyDescent="0.2">
      <c r="A757" s="33"/>
      <c r="B757" s="69">
        <v>43231</v>
      </c>
      <c r="C757" s="65">
        <v>1300</v>
      </c>
      <c r="D757" s="65">
        <v>2700</v>
      </c>
      <c r="E757" s="65">
        <v>-1400</v>
      </c>
      <c r="F757" s="34"/>
      <c r="G757" s="34"/>
      <c r="H757" s="33"/>
      <c r="I757" s="69"/>
      <c r="J757" s="65"/>
      <c r="K757" s="65"/>
      <c r="L757" s="65"/>
      <c r="M757" s="65"/>
      <c r="N757" s="34"/>
      <c r="O757" s="35"/>
    </row>
    <row r="758" spans="1:15" s="36" customFormat="1" ht="12" x14ac:dyDescent="0.2">
      <c r="A758" s="33"/>
      <c r="B758" s="68">
        <v>43238</v>
      </c>
      <c r="C758" s="64">
        <v>4900</v>
      </c>
      <c r="D758" s="64">
        <v>800</v>
      </c>
      <c r="E758" s="64">
        <v>4100</v>
      </c>
      <c r="F758" s="34"/>
      <c r="G758" s="34"/>
      <c r="H758" s="33"/>
      <c r="I758" s="68"/>
      <c r="J758" s="64"/>
      <c r="K758" s="64"/>
      <c r="L758" s="64"/>
      <c r="M758" s="64"/>
      <c r="N758" s="34"/>
      <c r="O758" s="35"/>
    </row>
    <row r="759" spans="1:15" s="36" customFormat="1" ht="12" x14ac:dyDescent="0.2">
      <c r="A759" s="33"/>
      <c r="B759" s="69">
        <v>43245</v>
      </c>
      <c r="C759" s="65">
        <v>2900</v>
      </c>
      <c r="D759" s="65">
        <v>3200</v>
      </c>
      <c r="E759" s="65">
        <v>-300</v>
      </c>
      <c r="F759" s="34"/>
      <c r="G759" s="34"/>
      <c r="H759" s="33"/>
      <c r="I759" s="69"/>
      <c r="J759" s="65"/>
      <c r="K759" s="65"/>
      <c r="L759" s="65"/>
      <c r="M759" s="65"/>
      <c r="N759" s="34"/>
      <c r="O759" s="35"/>
    </row>
    <row r="760" spans="1:15" s="36" customFormat="1" ht="12" x14ac:dyDescent="0.2">
      <c r="A760" s="33"/>
      <c r="B760" s="68">
        <v>43252</v>
      </c>
      <c r="C760" s="64">
        <v>7800</v>
      </c>
      <c r="D760" s="64">
        <v>3700</v>
      </c>
      <c r="E760" s="64">
        <v>4100</v>
      </c>
      <c r="F760" s="34"/>
      <c r="G760" s="34"/>
      <c r="H760" s="33"/>
      <c r="I760" s="68"/>
      <c r="J760" s="64"/>
      <c r="K760" s="64"/>
      <c r="L760" s="64"/>
      <c r="M760" s="64"/>
      <c r="N760" s="34"/>
      <c r="O760" s="35"/>
    </row>
    <row r="761" spans="1:15" s="36" customFormat="1" ht="12" x14ac:dyDescent="0.2">
      <c r="A761" s="33"/>
      <c r="B761" s="69">
        <v>43259</v>
      </c>
      <c r="C761" s="65">
        <v>2000</v>
      </c>
      <c r="D761" s="65">
        <v>5000</v>
      </c>
      <c r="E761" s="65">
        <v>-3000</v>
      </c>
      <c r="F761" s="34"/>
      <c r="G761" s="34"/>
      <c r="H761" s="33"/>
      <c r="I761" s="69"/>
      <c r="J761" s="65"/>
      <c r="K761" s="65"/>
      <c r="L761" s="65"/>
      <c r="M761" s="65"/>
      <c r="N761" s="34"/>
      <c r="O761" s="35"/>
    </row>
    <row r="762" spans="1:15" s="36" customFormat="1" ht="12" x14ac:dyDescent="0.2">
      <c r="A762" s="33"/>
      <c r="B762" s="68">
        <v>43266</v>
      </c>
      <c r="C762" s="64">
        <v>4800</v>
      </c>
      <c r="D762" s="64">
        <v>2400</v>
      </c>
      <c r="E762" s="64">
        <v>2400</v>
      </c>
      <c r="F762" s="34"/>
      <c r="G762" s="34"/>
      <c r="H762" s="33"/>
      <c r="I762" s="68"/>
      <c r="J762" s="64"/>
      <c r="K762" s="64"/>
      <c r="L762" s="64"/>
      <c r="M762" s="64"/>
      <c r="N762" s="34"/>
      <c r="O762" s="35"/>
    </row>
    <row r="763" spans="1:15" s="36" customFormat="1" ht="12" x14ac:dyDescent="0.2">
      <c r="A763" s="33"/>
      <c r="B763" s="69">
        <v>43273</v>
      </c>
      <c r="C763" s="65">
        <v>3700</v>
      </c>
      <c r="D763" s="65">
        <v>2300</v>
      </c>
      <c r="E763" s="65">
        <v>1400</v>
      </c>
      <c r="F763" s="34"/>
      <c r="G763" s="34"/>
      <c r="H763" s="33"/>
      <c r="I763" s="69"/>
      <c r="J763" s="65"/>
      <c r="K763" s="65"/>
      <c r="L763" s="65"/>
      <c r="M763" s="65"/>
      <c r="N763" s="34"/>
      <c r="O763" s="35"/>
    </row>
    <row r="764" spans="1:15" s="36" customFormat="1" ht="12" x14ac:dyDescent="0.2">
      <c r="A764" s="33"/>
      <c r="B764" s="68">
        <v>43280</v>
      </c>
      <c r="C764" s="64">
        <v>3000</v>
      </c>
      <c r="D764" s="64">
        <v>6700</v>
      </c>
      <c r="E764" s="64">
        <v>-3700</v>
      </c>
      <c r="F764" s="34"/>
      <c r="G764" s="34"/>
      <c r="H764" s="33"/>
      <c r="I764" s="68"/>
      <c r="J764" s="64"/>
      <c r="K764" s="64"/>
      <c r="L764" s="64"/>
      <c r="M764" s="64"/>
      <c r="N764" s="34"/>
      <c r="O764" s="35"/>
    </row>
    <row r="765" spans="1:15" s="36" customFormat="1" ht="12" x14ac:dyDescent="0.2">
      <c r="A765" s="33"/>
      <c r="B765" s="69">
        <v>43287</v>
      </c>
      <c r="C765" s="65">
        <v>100</v>
      </c>
      <c r="D765" s="65">
        <v>5100</v>
      </c>
      <c r="E765" s="65">
        <v>-5000</v>
      </c>
      <c r="F765" s="34"/>
      <c r="G765" s="34"/>
      <c r="H765" s="33"/>
      <c r="I765" s="69"/>
      <c r="J765" s="65"/>
      <c r="K765" s="65"/>
      <c r="L765" s="65"/>
      <c r="M765" s="65"/>
      <c r="N765" s="34"/>
      <c r="O765" s="35"/>
    </row>
    <row r="766" spans="1:15" s="36" customFormat="1" ht="12" x14ac:dyDescent="0.2">
      <c r="A766" s="33"/>
      <c r="B766" s="68">
        <v>43294</v>
      </c>
      <c r="C766" s="64">
        <v>2185</v>
      </c>
      <c r="D766" s="64">
        <v>3085</v>
      </c>
      <c r="E766" s="64">
        <v>-900</v>
      </c>
      <c r="F766" s="34"/>
      <c r="G766" s="34"/>
      <c r="H766" s="33"/>
      <c r="I766" s="68"/>
      <c r="J766" s="64"/>
      <c r="K766" s="64"/>
      <c r="L766" s="64"/>
      <c r="M766" s="64"/>
      <c r="N766" s="34"/>
      <c r="O766" s="35"/>
    </row>
    <row r="767" spans="1:15" s="36" customFormat="1" ht="12" x14ac:dyDescent="0.2">
      <c r="A767" s="33"/>
      <c r="B767" s="69">
        <v>43301</v>
      </c>
      <c r="C767" s="65">
        <v>5800</v>
      </c>
      <c r="D767" s="65">
        <v>400</v>
      </c>
      <c r="E767" s="65">
        <v>5400</v>
      </c>
      <c r="F767" s="34"/>
      <c r="G767" s="34"/>
      <c r="H767" s="33"/>
      <c r="I767" s="69"/>
      <c r="J767" s="65"/>
      <c r="K767" s="65"/>
      <c r="L767" s="65"/>
      <c r="M767" s="65"/>
      <c r="N767" s="34"/>
      <c r="O767" s="35"/>
    </row>
    <row r="768" spans="1:15" s="36" customFormat="1" ht="12" x14ac:dyDescent="0.2">
      <c r="A768" s="33"/>
      <c r="B768" s="68">
        <v>43308</v>
      </c>
      <c r="C768" s="64">
        <v>0</v>
      </c>
      <c r="D768" s="64">
        <v>3700</v>
      </c>
      <c r="E768" s="64">
        <v>-3700</v>
      </c>
      <c r="F768" s="34"/>
      <c r="G768" s="34"/>
      <c r="H768" s="33"/>
      <c r="I768" s="68"/>
      <c r="J768" s="64"/>
      <c r="K768" s="64"/>
      <c r="L768" s="64"/>
      <c r="M768" s="64"/>
      <c r="N768" s="34"/>
      <c r="O768" s="35"/>
    </row>
    <row r="769" spans="1:15" s="36" customFormat="1" ht="12" x14ac:dyDescent="0.2">
      <c r="A769" s="33"/>
      <c r="B769" s="69">
        <v>43315</v>
      </c>
      <c r="C769" s="65">
        <v>0</v>
      </c>
      <c r="D769" s="65">
        <v>2100</v>
      </c>
      <c r="E769" s="65">
        <v>-2100</v>
      </c>
      <c r="F769" s="34"/>
      <c r="G769" s="34"/>
      <c r="H769" s="33"/>
      <c r="I769" s="69"/>
      <c r="J769" s="65"/>
      <c r="K769" s="65"/>
      <c r="L769" s="65"/>
      <c r="M769" s="65"/>
      <c r="N769" s="34"/>
      <c r="O769" s="35"/>
    </row>
    <row r="770" spans="1:15" s="36" customFormat="1" ht="12" x14ac:dyDescent="0.2">
      <c r="A770" s="33"/>
      <c r="B770" s="68">
        <v>43322</v>
      </c>
      <c r="C770" s="64">
        <v>0</v>
      </c>
      <c r="D770" s="64">
        <v>0</v>
      </c>
      <c r="E770" s="64">
        <v>0</v>
      </c>
      <c r="F770" s="34"/>
      <c r="G770" s="34"/>
      <c r="H770" s="33"/>
      <c r="I770" s="68"/>
      <c r="J770" s="64"/>
      <c r="K770" s="64"/>
      <c r="L770" s="64"/>
      <c r="M770" s="64"/>
      <c r="N770" s="34"/>
      <c r="O770" s="35"/>
    </row>
    <row r="771" spans="1:15" s="36" customFormat="1" ht="12" x14ac:dyDescent="0.2">
      <c r="A771" s="33"/>
      <c r="B771" s="69">
        <v>43329</v>
      </c>
      <c r="C771" s="65">
        <v>1300</v>
      </c>
      <c r="D771" s="65">
        <v>0</v>
      </c>
      <c r="E771" s="65">
        <v>1300</v>
      </c>
      <c r="F771" s="34"/>
      <c r="G771" s="34"/>
      <c r="H771" s="33"/>
      <c r="I771" s="69"/>
      <c r="J771" s="65"/>
      <c r="K771" s="65"/>
      <c r="L771" s="65"/>
      <c r="M771" s="65"/>
      <c r="N771" s="34"/>
      <c r="O771" s="35"/>
    </row>
    <row r="772" spans="1:15" s="36" customFormat="1" ht="12" x14ac:dyDescent="0.2">
      <c r="A772" s="33"/>
      <c r="B772" s="68">
        <v>43336</v>
      </c>
      <c r="C772" s="64">
        <v>1700</v>
      </c>
      <c r="D772" s="64">
        <v>1300</v>
      </c>
      <c r="E772" s="64">
        <v>400</v>
      </c>
      <c r="F772" s="34"/>
      <c r="G772" s="34"/>
      <c r="H772" s="33"/>
      <c r="I772" s="68"/>
      <c r="J772" s="64"/>
      <c r="K772" s="64"/>
      <c r="L772" s="64"/>
      <c r="M772" s="64"/>
      <c r="N772" s="34"/>
      <c r="O772" s="35"/>
    </row>
    <row r="773" spans="1:15" s="36" customFormat="1" ht="12" x14ac:dyDescent="0.2">
      <c r="A773" s="33"/>
      <c r="B773" s="69">
        <v>43343</v>
      </c>
      <c r="C773" s="65">
        <v>0</v>
      </c>
      <c r="D773" s="65">
        <v>1700</v>
      </c>
      <c r="E773" s="65">
        <v>-1700</v>
      </c>
      <c r="F773" s="34"/>
      <c r="G773" s="34"/>
      <c r="H773" s="33"/>
      <c r="I773" s="69"/>
      <c r="J773" s="65"/>
      <c r="K773" s="65"/>
      <c r="L773" s="65"/>
      <c r="M773" s="65"/>
      <c r="N773" s="34"/>
      <c r="O773" s="35"/>
    </row>
    <row r="774" spans="1:15" s="36" customFormat="1" ht="12" x14ac:dyDescent="0.2">
      <c r="A774" s="33"/>
      <c r="B774" s="68">
        <v>43350</v>
      </c>
      <c r="C774" s="64">
        <v>0</v>
      </c>
      <c r="D774" s="64">
        <v>0</v>
      </c>
      <c r="E774" s="64">
        <v>0</v>
      </c>
      <c r="F774" s="34"/>
      <c r="G774" s="34"/>
      <c r="H774" s="33"/>
      <c r="I774" s="68"/>
      <c r="J774" s="64"/>
      <c r="K774" s="64"/>
      <c r="L774" s="64"/>
      <c r="M774" s="64"/>
      <c r="N774" s="34"/>
      <c r="O774" s="35"/>
    </row>
    <row r="775" spans="1:15" s="36" customFormat="1" ht="12" x14ac:dyDescent="0.2">
      <c r="A775" s="33"/>
      <c r="B775" s="69">
        <v>43357</v>
      </c>
      <c r="C775" s="65">
        <v>3300</v>
      </c>
      <c r="D775" s="65">
        <v>0</v>
      </c>
      <c r="E775" s="65">
        <v>3300</v>
      </c>
      <c r="F775" s="34"/>
      <c r="G775" s="34"/>
      <c r="H775" s="33"/>
      <c r="I775" s="69"/>
      <c r="J775" s="65"/>
      <c r="K775" s="65"/>
      <c r="L775" s="65"/>
      <c r="M775" s="65"/>
      <c r="N775" s="34"/>
      <c r="O775" s="35"/>
    </row>
    <row r="776" spans="1:15" s="36" customFormat="1" ht="12" x14ac:dyDescent="0.2">
      <c r="A776" s="33"/>
      <c r="B776" s="68">
        <v>43364</v>
      </c>
      <c r="C776" s="64">
        <v>3300</v>
      </c>
      <c r="D776" s="64">
        <v>2700</v>
      </c>
      <c r="E776" s="64">
        <v>600</v>
      </c>
      <c r="F776" s="34"/>
      <c r="G776" s="34"/>
      <c r="H776" s="33"/>
      <c r="I776" s="68"/>
      <c r="J776" s="64"/>
      <c r="K776" s="64"/>
      <c r="L776" s="64"/>
      <c r="M776" s="64"/>
      <c r="N776" s="34"/>
      <c r="O776" s="35"/>
    </row>
    <row r="777" spans="1:15" s="36" customFormat="1" ht="12" x14ac:dyDescent="0.2">
      <c r="A777" s="33"/>
      <c r="B777" s="69">
        <v>43371</v>
      </c>
      <c r="C777" s="65">
        <v>600</v>
      </c>
      <c r="D777" s="65">
        <v>2900</v>
      </c>
      <c r="E777" s="65">
        <v>-2300</v>
      </c>
      <c r="F777" s="34"/>
      <c r="G777" s="34"/>
      <c r="H777" s="33"/>
      <c r="I777" s="69"/>
      <c r="J777" s="65"/>
      <c r="K777" s="65"/>
      <c r="L777" s="65"/>
      <c r="M777" s="65"/>
      <c r="N777" s="34"/>
      <c r="O777" s="35"/>
    </row>
    <row r="778" spans="1:15" s="36" customFormat="1" ht="12" x14ac:dyDescent="0.2">
      <c r="A778" s="33"/>
      <c r="B778" s="68">
        <v>43378</v>
      </c>
      <c r="C778" s="64">
        <v>0</v>
      </c>
      <c r="D778" s="64">
        <v>1000</v>
      </c>
      <c r="E778" s="64">
        <v>-1000</v>
      </c>
      <c r="F778" s="34"/>
      <c r="G778" s="34"/>
      <c r="H778" s="33"/>
      <c r="I778" s="68"/>
      <c r="J778" s="64"/>
      <c r="K778" s="64"/>
      <c r="L778" s="64"/>
      <c r="M778" s="64"/>
      <c r="N778" s="34"/>
      <c r="O778" s="35"/>
    </row>
    <row r="779" spans="1:15" s="36" customFormat="1" ht="12" x14ac:dyDescent="0.2">
      <c r="A779" s="33"/>
      <c r="B779" s="69">
        <v>43385</v>
      </c>
      <c r="C779" s="65">
        <v>0</v>
      </c>
      <c r="D779" s="65">
        <v>600</v>
      </c>
      <c r="E779" s="65">
        <v>-600</v>
      </c>
      <c r="F779" s="34"/>
      <c r="G779" s="34"/>
      <c r="H779" s="33"/>
      <c r="I779" s="69"/>
      <c r="J779" s="65"/>
      <c r="K779" s="65"/>
      <c r="L779" s="65"/>
      <c r="M779" s="65"/>
      <c r="N779" s="34"/>
      <c r="O779" s="35"/>
    </row>
    <row r="780" spans="1:15" s="36" customFormat="1" ht="12" x14ac:dyDescent="0.2">
      <c r="A780" s="33"/>
      <c r="B780" s="68">
        <v>43392</v>
      </c>
      <c r="C780" s="64">
        <v>300</v>
      </c>
      <c r="D780" s="64">
        <v>0</v>
      </c>
      <c r="E780" s="64">
        <v>300</v>
      </c>
      <c r="F780" s="34"/>
      <c r="G780" s="34"/>
      <c r="H780" s="33"/>
      <c r="I780" s="68"/>
      <c r="J780" s="64"/>
      <c r="K780" s="64"/>
      <c r="L780" s="64"/>
      <c r="M780" s="64"/>
      <c r="N780" s="34"/>
      <c r="O780" s="35"/>
    </row>
    <row r="781" spans="1:15" s="36" customFormat="1" ht="12" x14ac:dyDescent="0.2">
      <c r="A781" s="33"/>
      <c r="B781" s="69">
        <v>43399</v>
      </c>
      <c r="C781" s="65">
        <v>4900</v>
      </c>
      <c r="D781" s="65">
        <v>300</v>
      </c>
      <c r="E781" s="65">
        <v>4600</v>
      </c>
      <c r="F781" s="34"/>
      <c r="G781" s="34"/>
      <c r="H781" s="33"/>
      <c r="I781" s="69"/>
      <c r="J781" s="65"/>
      <c r="K781" s="65"/>
      <c r="L781" s="65"/>
      <c r="M781" s="65"/>
      <c r="N781" s="34"/>
      <c r="O781" s="35"/>
    </row>
    <row r="782" spans="1:15" s="36" customFormat="1" ht="12" x14ac:dyDescent="0.2">
      <c r="A782" s="33"/>
      <c r="B782" s="68">
        <v>43406</v>
      </c>
      <c r="C782" s="64">
        <v>0</v>
      </c>
      <c r="D782" s="64">
        <v>4900</v>
      </c>
      <c r="E782" s="64">
        <v>-4900</v>
      </c>
      <c r="F782" s="34"/>
      <c r="G782" s="34"/>
      <c r="H782" s="33"/>
      <c r="I782" s="68"/>
      <c r="J782" s="64"/>
      <c r="K782" s="64"/>
      <c r="L782" s="64"/>
      <c r="M782" s="64"/>
      <c r="N782" s="34"/>
      <c r="O782" s="35"/>
    </row>
    <row r="783" spans="1:15" s="36" customFormat="1" ht="12" x14ac:dyDescent="0.2">
      <c r="A783" s="33"/>
      <c r="B783" s="69">
        <v>43413</v>
      </c>
      <c r="C783" s="65">
        <v>0</v>
      </c>
      <c r="D783" s="65">
        <v>0</v>
      </c>
      <c r="E783" s="65">
        <v>0</v>
      </c>
      <c r="F783" s="34"/>
      <c r="G783" s="34"/>
      <c r="H783" s="33"/>
      <c r="I783" s="69"/>
      <c r="J783" s="65"/>
      <c r="K783" s="65"/>
      <c r="L783" s="65"/>
      <c r="M783" s="65"/>
      <c r="N783" s="34"/>
      <c r="O783" s="35"/>
    </row>
    <row r="784" spans="1:15" s="36" customFormat="1" ht="12" x14ac:dyDescent="0.2">
      <c r="A784" s="33"/>
      <c r="B784" s="68">
        <v>43420</v>
      </c>
      <c r="C784" s="64">
        <v>0</v>
      </c>
      <c r="D784" s="64">
        <v>0</v>
      </c>
      <c r="E784" s="64">
        <v>0</v>
      </c>
      <c r="F784" s="34"/>
      <c r="G784" s="34"/>
      <c r="H784" s="33"/>
      <c r="I784" s="68"/>
      <c r="J784" s="64"/>
      <c r="K784" s="64"/>
      <c r="L784" s="64"/>
      <c r="M784" s="64"/>
      <c r="N784" s="34"/>
      <c r="O784" s="35"/>
    </row>
    <row r="785" spans="1:15" s="36" customFormat="1" ht="12" x14ac:dyDescent="0.2">
      <c r="A785" s="33"/>
      <c r="B785" s="69">
        <v>43427</v>
      </c>
      <c r="C785" s="65">
        <v>0</v>
      </c>
      <c r="D785" s="65">
        <v>0</v>
      </c>
      <c r="E785" s="65">
        <v>0</v>
      </c>
      <c r="F785" s="34"/>
      <c r="G785" s="34"/>
      <c r="H785" s="33"/>
      <c r="I785" s="69"/>
      <c r="J785" s="65"/>
      <c r="K785" s="65"/>
      <c r="L785" s="65"/>
      <c r="M785" s="65"/>
      <c r="N785" s="34"/>
      <c r="O785" s="35"/>
    </row>
    <row r="786" spans="1:15" s="36" customFormat="1" ht="12" x14ac:dyDescent="0.2">
      <c r="A786" s="33"/>
      <c r="B786" s="68">
        <v>43434</v>
      </c>
      <c r="C786" s="64">
        <v>0</v>
      </c>
      <c r="D786" s="64">
        <v>0</v>
      </c>
      <c r="E786" s="64">
        <v>0</v>
      </c>
      <c r="F786" s="34"/>
      <c r="G786" s="34"/>
      <c r="H786" s="33"/>
      <c r="I786" s="68"/>
      <c r="J786" s="64"/>
      <c r="K786" s="64"/>
      <c r="L786" s="64"/>
      <c r="M786" s="64"/>
      <c r="N786" s="34"/>
      <c r="O786" s="35"/>
    </row>
    <row r="787" spans="1:15" s="36" customFormat="1" ht="12" x14ac:dyDescent="0.2">
      <c r="A787" s="33"/>
      <c r="B787" s="69">
        <v>43441</v>
      </c>
      <c r="C787" s="65">
        <v>0</v>
      </c>
      <c r="D787" s="65">
        <v>0</v>
      </c>
      <c r="E787" s="65">
        <v>0</v>
      </c>
      <c r="F787" s="34"/>
      <c r="G787" s="34"/>
      <c r="H787" s="33"/>
      <c r="I787" s="69"/>
      <c r="J787" s="65"/>
      <c r="K787" s="65"/>
      <c r="L787" s="65"/>
      <c r="M787" s="65"/>
      <c r="N787" s="34"/>
      <c r="O787" s="35"/>
    </row>
    <row r="788" spans="1:15" s="36" customFormat="1" ht="12" x14ac:dyDescent="0.2">
      <c r="A788" s="33"/>
      <c r="B788" s="68">
        <v>43448</v>
      </c>
      <c r="C788" s="64">
        <v>0</v>
      </c>
      <c r="D788" s="64">
        <v>0</v>
      </c>
      <c r="E788" s="64">
        <v>0</v>
      </c>
      <c r="F788" s="34"/>
      <c r="G788" s="34"/>
      <c r="H788" s="33"/>
      <c r="I788" s="68"/>
      <c r="J788" s="64"/>
      <c r="K788" s="64"/>
      <c r="L788" s="64"/>
      <c r="M788" s="64"/>
      <c r="N788" s="34"/>
      <c r="O788" s="35"/>
    </row>
    <row r="789" spans="1:15" s="36" customFormat="1" ht="12" x14ac:dyDescent="0.2">
      <c r="A789" s="33"/>
      <c r="B789" s="69">
        <v>43455</v>
      </c>
      <c r="C789" s="65">
        <v>6000</v>
      </c>
      <c r="D789" s="65">
        <v>0</v>
      </c>
      <c r="E789" s="65">
        <v>6000</v>
      </c>
      <c r="F789" s="34"/>
      <c r="G789" s="34"/>
      <c r="H789" s="33"/>
      <c r="I789" s="69"/>
      <c r="J789" s="65"/>
      <c r="K789" s="65"/>
      <c r="L789" s="65"/>
      <c r="M789" s="65"/>
      <c r="N789" s="34"/>
      <c r="O789" s="35"/>
    </row>
    <row r="790" spans="1:15" s="36" customFormat="1" ht="12" x14ac:dyDescent="0.2">
      <c r="A790" s="33"/>
      <c r="B790" s="68">
        <v>43462</v>
      </c>
      <c r="C790" s="64">
        <v>5000</v>
      </c>
      <c r="D790" s="64">
        <v>4900</v>
      </c>
      <c r="E790" s="64">
        <v>100</v>
      </c>
      <c r="F790" s="34"/>
      <c r="G790" s="34"/>
      <c r="H790" s="33"/>
      <c r="I790" s="68"/>
      <c r="J790" s="64"/>
      <c r="K790" s="64"/>
      <c r="L790" s="64"/>
      <c r="M790" s="64"/>
      <c r="N790" s="34"/>
      <c r="O790" s="35"/>
    </row>
    <row r="791" spans="1:15" s="36" customFormat="1" ht="12" x14ac:dyDescent="0.2">
      <c r="A791" s="33"/>
      <c r="B791" s="69">
        <v>43469</v>
      </c>
      <c r="C791" s="65">
        <v>3400</v>
      </c>
      <c r="D791" s="65">
        <v>4300</v>
      </c>
      <c r="E791" s="65">
        <v>-900</v>
      </c>
      <c r="F791" s="34"/>
      <c r="G791" s="34"/>
      <c r="H791" s="33"/>
      <c r="I791" s="69"/>
      <c r="J791" s="65"/>
      <c r="K791" s="65"/>
      <c r="L791" s="65"/>
      <c r="M791" s="65"/>
      <c r="N791" s="34"/>
      <c r="O791" s="35"/>
    </row>
    <row r="792" spans="1:15" s="36" customFormat="1" ht="12" x14ac:dyDescent="0.2">
      <c r="A792" s="33"/>
      <c r="B792" s="68">
        <v>43476</v>
      </c>
      <c r="C792" s="64">
        <v>0</v>
      </c>
      <c r="D792" s="64">
        <v>4100</v>
      </c>
      <c r="E792" s="64">
        <v>-4100</v>
      </c>
      <c r="F792" s="34"/>
      <c r="G792" s="34"/>
      <c r="H792" s="33"/>
      <c r="I792" s="68"/>
      <c r="J792" s="64"/>
      <c r="K792" s="64"/>
      <c r="L792" s="64"/>
      <c r="M792" s="64"/>
      <c r="N792" s="34"/>
      <c r="O792" s="35"/>
    </row>
    <row r="793" spans="1:15" s="36" customFormat="1" ht="12" x14ac:dyDescent="0.2">
      <c r="A793" s="33"/>
      <c r="B793" s="69">
        <v>43483</v>
      </c>
      <c r="C793" s="65">
        <v>12700</v>
      </c>
      <c r="D793" s="65">
        <v>1100</v>
      </c>
      <c r="E793" s="65">
        <v>11600</v>
      </c>
      <c r="F793" s="34"/>
      <c r="G793" s="34"/>
      <c r="H793" s="33"/>
      <c r="I793" s="69"/>
      <c r="J793" s="65"/>
      <c r="K793" s="65"/>
      <c r="L793" s="65"/>
      <c r="M793" s="65"/>
      <c r="N793" s="34"/>
      <c r="O793" s="35"/>
    </row>
    <row r="794" spans="1:15" s="36" customFormat="1" ht="12" x14ac:dyDescent="0.2">
      <c r="A794" s="33"/>
      <c r="B794" s="68">
        <v>43490</v>
      </c>
      <c r="C794" s="64">
        <v>0</v>
      </c>
      <c r="D794" s="64">
        <v>7700</v>
      </c>
      <c r="E794" s="64">
        <v>-7700</v>
      </c>
      <c r="F794" s="34"/>
      <c r="G794" s="34"/>
      <c r="H794" s="33"/>
      <c r="I794" s="68"/>
      <c r="J794" s="64"/>
      <c r="K794" s="64"/>
      <c r="L794" s="64"/>
      <c r="M794" s="64"/>
      <c r="N794" s="34"/>
      <c r="O794" s="35"/>
    </row>
    <row r="795" spans="1:15" s="36" customFormat="1" ht="12" x14ac:dyDescent="0.2">
      <c r="A795" s="33"/>
      <c r="B795" s="69">
        <v>43497</v>
      </c>
      <c r="C795" s="65">
        <v>1800</v>
      </c>
      <c r="D795" s="65">
        <v>0</v>
      </c>
      <c r="E795" s="65">
        <v>1800</v>
      </c>
      <c r="F795" s="34"/>
      <c r="G795" s="34"/>
      <c r="H795" s="33"/>
      <c r="I795" s="69"/>
      <c r="J795" s="65"/>
      <c r="K795" s="65"/>
      <c r="L795" s="65"/>
      <c r="M795" s="65"/>
      <c r="N795" s="34"/>
      <c r="O795" s="35"/>
    </row>
    <row r="796" spans="1:15" s="36" customFormat="1" ht="12" x14ac:dyDescent="0.2">
      <c r="A796" s="33"/>
      <c r="B796" s="68">
        <v>43511</v>
      </c>
      <c r="C796" s="64">
        <v>0</v>
      </c>
      <c r="D796" s="64">
        <v>6800</v>
      </c>
      <c r="E796" s="64">
        <v>-6800</v>
      </c>
      <c r="F796" s="34"/>
      <c r="G796" s="34"/>
      <c r="H796" s="33"/>
      <c r="I796" s="68"/>
      <c r="J796" s="64"/>
      <c r="K796" s="64"/>
      <c r="L796" s="64"/>
      <c r="M796" s="64"/>
      <c r="N796" s="34"/>
      <c r="O796" s="35"/>
    </row>
    <row r="797" spans="1:15" s="36" customFormat="1" ht="12" x14ac:dyDescent="0.2">
      <c r="A797" s="33"/>
      <c r="B797" s="69">
        <v>43518</v>
      </c>
      <c r="C797" s="65">
        <v>600</v>
      </c>
      <c r="D797" s="65">
        <v>15</v>
      </c>
      <c r="E797" s="65">
        <v>585</v>
      </c>
      <c r="F797" s="34"/>
      <c r="G797" s="34"/>
      <c r="H797" s="33"/>
      <c r="I797" s="69"/>
      <c r="J797" s="65"/>
      <c r="K797" s="65"/>
      <c r="L797" s="65"/>
      <c r="M797" s="65"/>
      <c r="N797" s="34"/>
      <c r="O797" s="35"/>
    </row>
    <row r="798" spans="1:15" s="36" customFormat="1" ht="12" x14ac:dyDescent="0.2">
      <c r="A798" s="33"/>
      <c r="B798" s="68">
        <v>43525</v>
      </c>
      <c r="C798" s="64">
        <v>2200</v>
      </c>
      <c r="D798" s="64">
        <v>600</v>
      </c>
      <c r="E798" s="64">
        <v>1600</v>
      </c>
      <c r="F798" s="34"/>
      <c r="G798" s="34"/>
      <c r="H798" s="33"/>
      <c r="I798" s="68"/>
      <c r="J798" s="64"/>
      <c r="K798" s="64"/>
      <c r="L798" s="64"/>
      <c r="M798" s="64"/>
      <c r="N798" s="34"/>
      <c r="O798" s="35"/>
    </row>
    <row r="799" spans="1:15" s="36" customFormat="1" ht="12" x14ac:dyDescent="0.2">
      <c r="A799" s="33"/>
      <c r="B799" s="69">
        <v>43532</v>
      </c>
      <c r="C799" s="65">
        <v>0</v>
      </c>
      <c r="D799" s="65">
        <v>2200</v>
      </c>
      <c r="E799" s="65">
        <v>-2200</v>
      </c>
      <c r="F799" s="34"/>
      <c r="G799" s="34"/>
      <c r="H799" s="33"/>
      <c r="I799" s="69"/>
      <c r="J799" s="65"/>
      <c r="K799" s="65"/>
      <c r="L799" s="65"/>
      <c r="M799" s="65"/>
      <c r="N799" s="34"/>
      <c r="O799" s="35"/>
    </row>
    <row r="800" spans="1:15" s="36" customFormat="1" ht="12" x14ac:dyDescent="0.2">
      <c r="A800" s="33"/>
      <c r="B800" s="68">
        <v>43539</v>
      </c>
      <c r="C800" s="64">
        <v>200</v>
      </c>
      <c r="D800" s="64">
        <v>0</v>
      </c>
      <c r="E800" s="64">
        <v>200</v>
      </c>
      <c r="F800" s="34"/>
      <c r="G800" s="34"/>
      <c r="H800" s="33"/>
      <c r="I800" s="68"/>
      <c r="J800" s="64"/>
      <c r="K800" s="64"/>
      <c r="L800" s="64"/>
      <c r="M800" s="64"/>
      <c r="N800" s="34"/>
      <c r="O800" s="35"/>
    </row>
    <row r="801" spans="1:15" s="36" customFormat="1" ht="12" x14ac:dyDescent="0.2">
      <c r="A801" s="33"/>
      <c r="B801" s="69">
        <v>43546</v>
      </c>
      <c r="C801" s="65">
        <v>1100</v>
      </c>
      <c r="D801" s="65">
        <v>200</v>
      </c>
      <c r="E801" s="65">
        <v>900</v>
      </c>
      <c r="F801" s="34"/>
      <c r="G801" s="34"/>
      <c r="H801" s="33"/>
      <c r="I801" s="69"/>
      <c r="J801" s="65"/>
      <c r="K801" s="65"/>
      <c r="L801" s="65"/>
      <c r="M801" s="65"/>
      <c r="N801" s="34"/>
      <c r="O801" s="35"/>
    </row>
    <row r="802" spans="1:15" s="36" customFormat="1" ht="12" x14ac:dyDescent="0.2">
      <c r="A802" s="33"/>
      <c r="B802" s="68">
        <v>43553</v>
      </c>
      <c r="C802" s="64">
        <v>0</v>
      </c>
      <c r="D802" s="64">
        <v>1100</v>
      </c>
      <c r="E802" s="64">
        <v>-1100</v>
      </c>
      <c r="F802" s="34"/>
      <c r="G802" s="34"/>
      <c r="H802" s="33"/>
      <c r="I802" s="68"/>
      <c r="J802" s="64"/>
      <c r="K802" s="64"/>
      <c r="L802" s="64"/>
      <c r="M802" s="64"/>
      <c r="N802" s="34"/>
      <c r="O802" s="35"/>
    </row>
    <row r="803" spans="1:15" s="36" customFormat="1" ht="12" x14ac:dyDescent="0.2">
      <c r="A803" s="33"/>
      <c r="B803" s="69">
        <v>43560</v>
      </c>
      <c r="C803" s="65">
        <v>0</v>
      </c>
      <c r="D803" s="65">
        <v>0</v>
      </c>
      <c r="E803" s="65">
        <v>0</v>
      </c>
      <c r="F803" s="34"/>
      <c r="G803" s="34"/>
      <c r="H803" s="33"/>
      <c r="I803" s="69"/>
      <c r="J803" s="65"/>
      <c r="K803" s="65"/>
      <c r="L803" s="65"/>
      <c r="M803" s="65"/>
      <c r="N803" s="34"/>
      <c r="O803" s="35"/>
    </row>
    <row r="804" spans="1:15" s="36" customFormat="1" ht="12" x14ac:dyDescent="0.2">
      <c r="A804" s="33"/>
      <c r="B804" s="68">
        <v>43567</v>
      </c>
      <c r="C804" s="64">
        <v>0</v>
      </c>
      <c r="D804" s="64">
        <v>0</v>
      </c>
      <c r="E804" s="64">
        <v>0</v>
      </c>
      <c r="F804" s="34"/>
      <c r="G804" s="34"/>
      <c r="H804" s="33"/>
      <c r="I804" s="68"/>
      <c r="J804" s="64"/>
      <c r="K804" s="64"/>
      <c r="L804" s="64"/>
      <c r="M804" s="64"/>
      <c r="N804" s="34"/>
      <c r="O804" s="35"/>
    </row>
    <row r="805" spans="1:15" s="36" customFormat="1" ht="12" x14ac:dyDescent="0.2">
      <c r="A805" s="33"/>
      <c r="B805" s="69">
        <v>43574</v>
      </c>
      <c r="C805" s="65">
        <v>3000</v>
      </c>
      <c r="D805" s="65">
        <v>0</v>
      </c>
      <c r="E805" s="65">
        <v>3000</v>
      </c>
      <c r="F805" s="34"/>
      <c r="G805" s="34"/>
      <c r="H805" s="33"/>
      <c r="I805" s="69"/>
      <c r="J805" s="65"/>
      <c r="K805" s="65"/>
      <c r="L805" s="65"/>
      <c r="M805" s="65"/>
      <c r="N805" s="34"/>
      <c r="O805" s="35"/>
    </row>
    <row r="806" spans="1:15" s="36" customFormat="1" ht="12" x14ac:dyDescent="0.2">
      <c r="A806" s="33"/>
      <c r="B806" s="68">
        <v>43581</v>
      </c>
      <c r="C806" s="64">
        <v>0</v>
      </c>
      <c r="D806" s="64">
        <v>3000</v>
      </c>
      <c r="E806" s="64">
        <v>-3000</v>
      </c>
      <c r="F806" s="34"/>
      <c r="G806" s="34"/>
      <c r="H806" s="33"/>
      <c r="I806" s="68"/>
      <c r="J806" s="64"/>
      <c r="K806" s="64"/>
      <c r="L806" s="64"/>
      <c r="M806" s="64"/>
      <c r="N806" s="34"/>
      <c r="O806" s="35"/>
    </row>
    <row r="807" spans="1:15" s="36" customFormat="1" ht="12" x14ac:dyDescent="0.2">
      <c r="A807" s="33"/>
      <c r="B807" s="69">
        <v>43595</v>
      </c>
      <c r="C807" s="65">
        <v>500</v>
      </c>
      <c r="D807" s="65">
        <v>0</v>
      </c>
      <c r="E807" s="65">
        <v>500</v>
      </c>
      <c r="F807" s="34"/>
      <c r="G807" s="34"/>
      <c r="H807" s="33"/>
      <c r="I807" s="69"/>
      <c r="J807" s="65"/>
      <c r="K807" s="65"/>
      <c r="L807" s="65"/>
      <c r="M807" s="65"/>
      <c r="N807" s="34"/>
      <c r="O807" s="35"/>
    </row>
    <row r="808" spans="1:15" s="36" customFormat="1" ht="12" x14ac:dyDescent="0.2">
      <c r="A808" s="33"/>
      <c r="B808" s="68">
        <v>43602</v>
      </c>
      <c r="C808" s="64">
        <v>0</v>
      </c>
      <c r="D808" s="64">
        <v>500</v>
      </c>
      <c r="E808" s="64">
        <v>-500</v>
      </c>
      <c r="F808" s="34"/>
      <c r="G808" s="34"/>
      <c r="H808" s="33"/>
      <c r="I808" s="68"/>
      <c r="J808" s="64"/>
      <c r="K808" s="64"/>
      <c r="L808" s="64"/>
      <c r="M808" s="64"/>
      <c r="N808" s="34"/>
      <c r="O808" s="35"/>
    </row>
    <row r="809" spans="1:15" s="36" customFormat="1" ht="12" x14ac:dyDescent="0.2">
      <c r="A809" s="33"/>
      <c r="B809" s="69">
        <v>43609</v>
      </c>
      <c r="C809" s="65">
        <v>1000</v>
      </c>
      <c r="D809" s="65">
        <v>0</v>
      </c>
      <c r="E809" s="65">
        <v>1000</v>
      </c>
      <c r="F809" s="34"/>
      <c r="G809" s="34"/>
      <c r="H809" s="33"/>
      <c r="I809" s="69"/>
      <c r="J809" s="65"/>
      <c r="K809" s="65"/>
      <c r="L809" s="65"/>
      <c r="M809" s="65"/>
      <c r="N809" s="34"/>
      <c r="O809" s="35"/>
    </row>
    <row r="810" spans="1:15" s="36" customFormat="1" ht="12" x14ac:dyDescent="0.2">
      <c r="A810" s="33"/>
      <c r="B810" s="68">
        <v>43616</v>
      </c>
      <c r="C810" s="64">
        <v>5300</v>
      </c>
      <c r="D810" s="64">
        <v>1000</v>
      </c>
      <c r="E810" s="64">
        <v>4300</v>
      </c>
      <c r="F810" s="34"/>
      <c r="G810" s="34"/>
      <c r="H810" s="33"/>
      <c r="I810" s="68"/>
      <c r="J810" s="64"/>
      <c r="K810" s="64"/>
      <c r="L810" s="64"/>
      <c r="M810" s="64"/>
      <c r="N810" s="34"/>
      <c r="O810" s="35"/>
    </row>
    <row r="811" spans="1:15" s="36" customFormat="1" ht="12" x14ac:dyDescent="0.2">
      <c r="A811" s="33"/>
      <c r="B811" s="69">
        <v>43623</v>
      </c>
      <c r="C811" s="65">
        <v>2100</v>
      </c>
      <c r="D811" s="65">
        <v>5300</v>
      </c>
      <c r="E811" s="65">
        <v>-3200</v>
      </c>
      <c r="F811" s="34"/>
      <c r="G811" s="34"/>
      <c r="H811" s="33"/>
      <c r="I811" s="69"/>
      <c r="J811" s="65"/>
      <c r="K811" s="65"/>
      <c r="L811" s="65"/>
      <c r="M811" s="65"/>
      <c r="N811" s="34"/>
      <c r="O811" s="35"/>
    </row>
    <row r="812" spans="1:15" s="36" customFormat="1" ht="12" x14ac:dyDescent="0.2">
      <c r="A812" s="33"/>
      <c r="B812" s="68">
        <v>43630</v>
      </c>
      <c r="C812" s="64">
        <v>2750</v>
      </c>
      <c r="D812" s="64">
        <v>2100</v>
      </c>
      <c r="E812" s="64">
        <v>650</v>
      </c>
      <c r="F812" s="34"/>
      <c r="G812" s="34"/>
      <c r="H812" s="33"/>
      <c r="I812" s="68"/>
      <c r="J812" s="64"/>
      <c r="K812" s="64"/>
      <c r="L812" s="64"/>
      <c r="M812" s="64"/>
      <c r="N812" s="34"/>
      <c r="O812" s="35"/>
    </row>
    <row r="813" spans="1:15" s="36" customFormat="1" ht="12" x14ac:dyDescent="0.2">
      <c r="A813" s="33"/>
      <c r="B813" s="69">
        <v>43637</v>
      </c>
      <c r="C813" s="65">
        <v>3400</v>
      </c>
      <c r="D813" s="65">
        <v>550</v>
      </c>
      <c r="E813" s="65">
        <v>2850</v>
      </c>
      <c r="F813" s="34"/>
      <c r="G813" s="34"/>
      <c r="H813" s="33"/>
      <c r="I813" s="69"/>
      <c r="J813" s="65"/>
      <c r="K813" s="65"/>
      <c r="L813" s="65"/>
      <c r="M813" s="65"/>
      <c r="N813" s="34"/>
      <c r="O813" s="35"/>
    </row>
    <row r="814" spans="1:15" s="36" customFormat="1" ht="12" x14ac:dyDescent="0.2">
      <c r="A814" s="33"/>
      <c r="B814" s="68">
        <v>43644</v>
      </c>
      <c r="C814" s="64">
        <v>0</v>
      </c>
      <c r="D814" s="64">
        <v>25</v>
      </c>
      <c r="E814" s="64">
        <v>-25</v>
      </c>
      <c r="F814" s="34"/>
      <c r="G814" s="34"/>
      <c r="H814" s="33"/>
      <c r="I814" s="68"/>
      <c r="J814" s="64"/>
      <c r="K814" s="64"/>
      <c r="L814" s="64"/>
      <c r="M814" s="64"/>
      <c r="N814" s="34"/>
      <c r="O814" s="35"/>
    </row>
    <row r="815" spans="1:15" s="36" customFormat="1" ht="12" x14ac:dyDescent="0.2">
      <c r="A815" s="33"/>
      <c r="B815" s="69">
        <v>43651</v>
      </c>
      <c r="C815" s="65">
        <v>0</v>
      </c>
      <c r="D815" s="65">
        <v>3400</v>
      </c>
      <c r="E815" s="65">
        <v>-3400</v>
      </c>
      <c r="F815" s="34"/>
      <c r="G815" s="34"/>
      <c r="H815" s="33"/>
      <c r="I815" s="69"/>
      <c r="J815" s="65"/>
      <c r="K815" s="65"/>
      <c r="L815" s="65"/>
      <c r="M815" s="65"/>
      <c r="N815" s="34"/>
      <c r="O815" s="35"/>
    </row>
    <row r="816" spans="1:15" s="36" customFormat="1" ht="12" x14ac:dyDescent="0.2">
      <c r="A816" s="33"/>
      <c r="B816" s="68">
        <v>43658</v>
      </c>
      <c r="C816" s="64">
        <v>0</v>
      </c>
      <c r="D816" s="64">
        <v>2200</v>
      </c>
      <c r="E816" s="64">
        <v>-2200</v>
      </c>
      <c r="F816" s="34"/>
      <c r="G816" s="34"/>
      <c r="H816" s="33"/>
      <c r="I816" s="68"/>
      <c r="J816" s="64"/>
      <c r="K816" s="64"/>
      <c r="L816" s="64"/>
      <c r="M816" s="64"/>
      <c r="N816" s="34"/>
      <c r="O816" s="35"/>
    </row>
    <row r="817" spans="1:15" s="36" customFormat="1" ht="12" x14ac:dyDescent="0.2">
      <c r="A817" s="33"/>
      <c r="B817" s="69">
        <v>43665</v>
      </c>
      <c r="C817" s="65">
        <v>4600</v>
      </c>
      <c r="D817" s="65">
        <v>0</v>
      </c>
      <c r="E817" s="65">
        <v>4600</v>
      </c>
      <c r="F817" s="34"/>
      <c r="G817" s="34"/>
      <c r="H817" s="33"/>
      <c r="I817" s="69"/>
      <c r="J817" s="65"/>
      <c r="K817" s="65"/>
      <c r="L817" s="65"/>
      <c r="M817" s="65"/>
      <c r="N817" s="34"/>
      <c r="O817" s="35"/>
    </row>
    <row r="818" spans="1:15" s="36" customFormat="1" ht="12" x14ac:dyDescent="0.2">
      <c r="A818" s="33"/>
      <c r="B818" s="68">
        <v>43672</v>
      </c>
      <c r="C818" s="64">
        <v>500</v>
      </c>
      <c r="D818" s="64">
        <v>4600</v>
      </c>
      <c r="E818" s="64">
        <v>-4100</v>
      </c>
      <c r="F818" s="34"/>
      <c r="G818" s="34"/>
      <c r="H818" s="33"/>
      <c r="I818" s="68"/>
      <c r="J818" s="64"/>
      <c r="K818" s="64"/>
      <c r="L818" s="64"/>
      <c r="M818" s="64"/>
      <c r="N818" s="34"/>
      <c r="O818" s="35"/>
    </row>
    <row r="819" spans="1:15" s="36" customFormat="1" ht="12" x14ac:dyDescent="0.2">
      <c r="A819" s="33"/>
      <c r="B819" s="69">
        <v>43679</v>
      </c>
      <c r="C819" s="65">
        <v>0</v>
      </c>
      <c r="D819" s="65">
        <v>500</v>
      </c>
      <c r="E819" s="65">
        <v>-500</v>
      </c>
      <c r="F819" s="34"/>
      <c r="G819" s="34"/>
      <c r="H819" s="33"/>
      <c r="I819" s="69"/>
      <c r="J819" s="65"/>
      <c r="K819" s="65"/>
      <c r="L819" s="65"/>
      <c r="M819" s="65"/>
      <c r="N819" s="34"/>
      <c r="O819" s="35"/>
    </row>
    <row r="820" spans="1:15" s="36" customFormat="1" ht="12" x14ac:dyDescent="0.2">
      <c r="A820" s="33"/>
      <c r="B820" s="68">
        <v>43686</v>
      </c>
      <c r="C820" s="64">
        <v>0</v>
      </c>
      <c r="D820" s="64">
        <v>50</v>
      </c>
      <c r="E820" s="64">
        <v>-50</v>
      </c>
      <c r="F820" s="34"/>
      <c r="G820" s="34"/>
      <c r="H820" s="33"/>
      <c r="I820" s="68"/>
      <c r="J820" s="64"/>
      <c r="K820" s="64"/>
      <c r="L820" s="64"/>
      <c r="M820" s="64"/>
      <c r="N820" s="34"/>
      <c r="O820" s="35"/>
    </row>
    <row r="821" spans="1:15" s="36" customFormat="1" ht="12" x14ac:dyDescent="0.2">
      <c r="A821" s="33"/>
      <c r="B821" s="69">
        <v>43693</v>
      </c>
      <c r="C821" s="65">
        <v>3000</v>
      </c>
      <c r="D821" s="65">
        <v>0</v>
      </c>
      <c r="E821" s="65">
        <v>3000</v>
      </c>
      <c r="F821" s="34"/>
      <c r="G821" s="34"/>
      <c r="H821" s="33"/>
      <c r="I821" s="69"/>
      <c r="J821" s="65"/>
      <c r="K821" s="65"/>
      <c r="L821" s="65"/>
      <c r="M821" s="65"/>
      <c r="N821" s="34"/>
      <c r="O821" s="35"/>
    </row>
    <row r="822" spans="1:15" s="36" customFormat="1" ht="12" x14ac:dyDescent="0.2">
      <c r="A822" s="33"/>
      <c r="B822" s="68">
        <v>43700</v>
      </c>
      <c r="C822" s="64">
        <v>2700</v>
      </c>
      <c r="D822" s="64">
        <v>3000</v>
      </c>
      <c r="E822" s="64">
        <v>-300</v>
      </c>
      <c r="F822" s="34"/>
      <c r="G822" s="34"/>
      <c r="H822" s="33"/>
      <c r="I822" s="68"/>
      <c r="J822" s="64"/>
      <c r="K822" s="64"/>
      <c r="L822" s="64"/>
      <c r="M822" s="64"/>
      <c r="N822" s="34"/>
      <c r="O822" s="35"/>
    </row>
    <row r="823" spans="1:15" s="36" customFormat="1" ht="12" x14ac:dyDescent="0.2">
      <c r="A823" s="33"/>
      <c r="B823" s="69">
        <v>43707</v>
      </c>
      <c r="C823" s="65">
        <v>1400</v>
      </c>
      <c r="D823" s="65">
        <v>2700</v>
      </c>
      <c r="E823" s="65">
        <v>-1300</v>
      </c>
      <c r="F823" s="34"/>
      <c r="G823" s="34"/>
      <c r="H823" s="33"/>
      <c r="I823" s="69"/>
      <c r="J823" s="65"/>
      <c r="K823" s="65"/>
      <c r="L823" s="65"/>
      <c r="M823" s="65"/>
      <c r="N823" s="34"/>
      <c r="O823" s="35"/>
    </row>
    <row r="824" spans="1:15" s="36" customFormat="1" ht="12" x14ac:dyDescent="0.2">
      <c r="A824" s="33"/>
      <c r="B824" s="68">
        <v>43714</v>
      </c>
      <c r="C824" s="64">
        <v>400</v>
      </c>
      <c r="D824" s="64">
        <v>1400</v>
      </c>
      <c r="E824" s="64">
        <v>-1000</v>
      </c>
      <c r="F824" s="34"/>
      <c r="G824" s="34"/>
      <c r="H824" s="33"/>
      <c r="I824" s="68"/>
      <c r="J824" s="64"/>
      <c r="K824" s="64"/>
      <c r="L824" s="64"/>
      <c r="M824" s="64"/>
      <c r="N824" s="34"/>
      <c r="O824" s="35"/>
    </row>
    <row r="825" spans="1:15" s="36" customFormat="1" ht="12" x14ac:dyDescent="0.2">
      <c r="A825" s="33"/>
      <c r="B825" s="69">
        <v>43721</v>
      </c>
      <c r="C825" s="65">
        <v>2300</v>
      </c>
      <c r="D825" s="65">
        <v>450</v>
      </c>
      <c r="E825" s="65">
        <v>1850</v>
      </c>
      <c r="F825" s="34"/>
      <c r="G825" s="34"/>
      <c r="H825" s="33"/>
      <c r="I825" s="69"/>
      <c r="J825" s="65"/>
      <c r="K825" s="65"/>
      <c r="L825" s="65"/>
      <c r="M825" s="65"/>
      <c r="N825" s="34"/>
      <c r="O825" s="35"/>
    </row>
    <row r="826" spans="1:15" s="36" customFormat="1" ht="12" x14ac:dyDescent="0.2">
      <c r="A826" s="33"/>
      <c r="B826" s="68">
        <v>43728</v>
      </c>
      <c r="C826" s="64">
        <v>3200</v>
      </c>
      <c r="D826" s="64">
        <v>2300</v>
      </c>
      <c r="E826" s="64">
        <v>900</v>
      </c>
      <c r="F826" s="34"/>
      <c r="G826" s="34"/>
      <c r="H826" s="33"/>
      <c r="I826" s="68"/>
      <c r="J826" s="64"/>
      <c r="K826" s="64"/>
      <c r="L826" s="64"/>
      <c r="M826" s="64"/>
      <c r="N826" s="34"/>
      <c r="O826" s="35"/>
    </row>
    <row r="827" spans="1:15" s="36" customFormat="1" ht="12" x14ac:dyDescent="0.2">
      <c r="A827" s="33"/>
      <c r="B827" s="69">
        <v>43735</v>
      </c>
      <c r="C827" s="65">
        <v>2100</v>
      </c>
      <c r="D827" s="65">
        <v>1900</v>
      </c>
      <c r="E827" s="65">
        <v>200</v>
      </c>
      <c r="F827" s="34"/>
      <c r="G827" s="34"/>
      <c r="H827" s="33"/>
      <c r="I827" s="69"/>
      <c r="J827" s="65"/>
      <c r="K827" s="65"/>
      <c r="L827" s="65"/>
      <c r="M827" s="65"/>
      <c r="N827" s="34"/>
      <c r="O827" s="35"/>
    </row>
    <row r="828" spans="1:15" s="36" customFormat="1" ht="12" x14ac:dyDescent="0.2">
      <c r="A828" s="33"/>
      <c r="B828" s="68">
        <v>43742</v>
      </c>
      <c r="C828" s="64">
        <v>0</v>
      </c>
      <c r="D828" s="64">
        <v>1500</v>
      </c>
      <c r="E828" s="64">
        <v>-1500</v>
      </c>
      <c r="F828" s="34"/>
      <c r="G828" s="34"/>
      <c r="H828" s="33"/>
      <c r="I828" s="68"/>
      <c r="J828" s="64"/>
      <c r="K828" s="64"/>
      <c r="L828" s="64"/>
      <c r="M828" s="64"/>
      <c r="N828" s="34"/>
      <c r="O828" s="35"/>
    </row>
    <row r="829" spans="1:15" s="36" customFormat="1" ht="12" x14ac:dyDescent="0.2">
      <c r="A829" s="33"/>
      <c r="B829" s="69">
        <v>43749</v>
      </c>
      <c r="C829" s="65">
        <v>0</v>
      </c>
      <c r="D829" s="65">
        <v>1900</v>
      </c>
      <c r="E829" s="65">
        <v>-1900</v>
      </c>
      <c r="F829" s="34"/>
      <c r="G829" s="34"/>
      <c r="H829" s="33"/>
      <c r="I829" s="69"/>
      <c r="J829" s="65"/>
      <c r="K829" s="65"/>
      <c r="L829" s="65"/>
      <c r="M829" s="65"/>
      <c r="N829" s="34"/>
      <c r="O829" s="35"/>
    </row>
    <row r="830" spans="1:15" s="36" customFormat="1" ht="12" x14ac:dyDescent="0.2">
      <c r="A830" s="33"/>
      <c r="B830" s="68">
        <v>43756</v>
      </c>
      <c r="C830" s="64">
        <v>300</v>
      </c>
      <c r="D830" s="64">
        <v>60</v>
      </c>
      <c r="E830" s="64">
        <v>240</v>
      </c>
      <c r="F830" s="34"/>
      <c r="G830" s="34"/>
      <c r="H830" s="33"/>
      <c r="I830" s="68"/>
      <c r="J830" s="64"/>
      <c r="K830" s="64"/>
      <c r="L830" s="64"/>
      <c r="M830" s="64"/>
      <c r="N830" s="34"/>
      <c r="O830" s="35"/>
    </row>
    <row r="831" spans="1:15" s="36" customFormat="1" ht="12" x14ac:dyDescent="0.2">
      <c r="A831" s="33"/>
      <c r="B831" s="69">
        <v>43763</v>
      </c>
      <c r="C831" s="65">
        <v>5900</v>
      </c>
      <c r="D831" s="65">
        <v>300</v>
      </c>
      <c r="E831" s="65">
        <v>5600</v>
      </c>
      <c r="F831" s="34"/>
      <c r="G831" s="34"/>
      <c r="H831" s="33"/>
      <c r="I831" s="69"/>
      <c r="J831" s="65"/>
      <c r="K831" s="65"/>
      <c r="L831" s="65"/>
      <c r="M831" s="65"/>
      <c r="N831" s="34"/>
      <c r="O831" s="35"/>
    </row>
    <row r="832" spans="1:15" s="36" customFormat="1" ht="12" x14ac:dyDescent="0.2">
      <c r="A832" s="33"/>
      <c r="B832" s="68">
        <v>43770</v>
      </c>
      <c r="C832" s="64">
        <v>0</v>
      </c>
      <c r="D832" s="64">
        <v>5900</v>
      </c>
      <c r="E832" s="64">
        <v>-5900</v>
      </c>
      <c r="F832" s="34"/>
      <c r="G832" s="34"/>
      <c r="H832" s="33"/>
      <c r="I832" s="68"/>
      <c r="J832" s="64"/>
      <c r="K832" s="64"/>
      <c r="L832" s="64"/>
      <c r="M832" s="64"/>
      <c r="N832" s="34"/>
      <c r="O832" s="35"/>
    </row>
    <row r="833" spans="1:15" s="36" customFormat="1" ht="12" x14ac:dyDescent="0.2">
      <c r="A833" s="33"/>
      <c r="B833" s="69">
        <v>43777</v>
      </c>
      <c r="C833" s="65">
        <v>50</v>
      </c>
      <c r="D833" s="65">
        <v>0</v>
      </c>
      <c r="E833" s="65">
        <v>50</v>
      </c>
      <c r="F833" s="34"/>
      <c r="G833" s="34"/>
      <c r="H833" s="33"/>
      <c r="I833" s="69"/>
      <c r="J833" s="65"/>
      <c r="K833" s="65"/>
      <c r="L833" s="65"/>
      <c r="M833" s="65"/>
      <c r="N833" s="34"/>
      <c r="O833" s="35"/>
    </row>
    <row r="834" spans="1:15" s="36" customFormat="1" ht="12" x14ac:dyDescent="0.2">
      <c r="A834" s="33"/>
      <c r="B834" s="68">
        <v>43784</v>
      </c>
      <c r="C834" s="64">
        <v>0</v>
      </c>
      <c r="D834" s="64">
        <v>0</v>
      </c>
      <c r="E834" s="64">
        <v>0</v>
      </c>
      <c r="F834" s="34"/>
      <c r="G834" s="34"/>
      <c r="H834" s="33"/>
      <c r="I834" s="68"/>
      <c r="J834" s="64"/>
      <c r="K834" s="64"/>
      <c r="L834" s="64"/>
      <c r="M834" s="64"/>
      <c r="N834" s="34"/>
      <c r="O834" s="35"/>
    </row>
    <row r="835" spans="1:15" s="36" customFormat="1" ht="12" x14ac:dyDescent="0.2">
      <c r="A835" s="33"/>
      <c r="B835" s="69">
        <v>43791</v>
      </c>
      <c r="C835" s="65">
        <v>3000</v>
      </c>
      <c r="D835" s="65">
        <v>0</v>
      </c>
      <c r="E835" s="65">
        <v>3000</v>
      </c>
      <c r="F835" s="34"/>
      <c r="G835" s="34"/>
      <c r="H835" s="33"/>
      <c r="I835" s="69"/>
      <c r="J835" s="65"/>
      <c r="K835" s="65"/>
      <c r="L835" s="65"/>
      <c r="M835" s="65"/>
      <c r="N835" s="34"/>
      <c r="O835" s="35"/>
    </row>
    <row r="836" spans="1:15" s="36" customFormat="1" ht="12" x14ac:dyDescent="0.2">
      <c r="A836" s="33"/>
      <c r="B836" s="68">
        <v>43798</v>
      </c>
      <c r="C836" s="64">
        <v>0</v>
      </c>
      <c r="D836" s="64">
        <v>3060</v>
      </c>
      <c r="E836" s="64">
        <v>-3060</v>
      </c>
      <c r="F836" s="34"/>
      <c r="G836" s="34"/>
      <c r="H836" s="33"/>
      <c r="I836" s="68"/>
      <c r="J836" s="64"/>
      <c r="K836" s="64"/>
      <c r="L836" s="64"/>
      <c r="M836" s="64"/>
      <c r="N836" s="34"/>
      <c r="O836" s="35"/>
    </row>
    <row r="837" spans="1:15" s="36" customFormat="1" ht="12" x14ac:dyDescent="0.2">
      <c r="A837" s="33"/>
      <c r="B837" s="69">
        <v>43805</v>
      </c>
      <c r="C837" s="65">
        <v>0</v>
      </c>
      <c r="D837" s="65">
        <v>0</v>
      </c>
      <c r="E837" s="65">
        <v>0</v>
      </c>
      <c r="F837" s="34"/>
      <c r="G837" s="34"/>
      <c r="H837" s="33"/>
      <c r="I837" s="69"/>
      <c r="J837" s="65"/>
      <c r="K837" s="65"/>
      <c r="L837" s="65"/>
      <c r="M837" s="65"/>
      <c r="N837" s="34"/>
      <c r="O837" s="35"/>
    </row>
    <row r="838" spans="1:15" s="36" customFormat="1" ht="12" x14ac:dyDescent="0.2">
      <c r="A838" s="33"/>
      <c r="B838" s="68">
        <v>43812</v>
      </c>
      <c r="C838" s="64">
        <v>50</v>
      </c>
      <c r="D838" s="64">
        <v>0</v>
      </c>
      <c r="E838" s="64">
        <v>50</v>
      </c>
      <c r="F838" s="34"/>
      <c r="G838" s="34"/>
      <c r="H838" s="33"/>
      <c r="I838" s="68"/>
      <c r="J838" s="64"/>
      <c r="K838" s="64"/>
      <c r="L838" s="64"/>
      <c r="M838" s="64"/>
      <c r="N838" s="34"/>
      <c r="O838" s="35"/>
    </row>
    <row r="839" spans="1:15" s="36" customFormat="1" ht="12" x14ac:dyDescent="0.2">
      <c r="A839" s="33"/>
      <c r="B839" s="69">
        <v>43819</v>
      </c>
      <c r="C839" s="65">
        <v>6300</v>
      </c>
      <c r="D839" s="65">
        <v>0</v>
      </c>
      <c r="E839" s="65">
        <v>6300</v>
      </c>
      <c r="F839" s="34"/>
      <c r="G839" s="34"/>
      <c r="H839" s="33"/>
      <c r="I839" s="69"/>
      <c r="J839" s="65"/>
      <c r="K839" s="65"/>
      <c r="L839" s="65"/>
      <c r="M839" s="65"/>
      <c r="N839" s="34"/>
      <c r="O839" s="35"/>
    </row>
    <row r="840" spans="1:15" s="36" customFormat="1" ht="12" x14ac:dyDescent="0.2">
      <c r="A840" s="33"/>
      <c r="B840" s="68">
        <v>43826</v>
      </c>
      <c r="C840" s="64">
        <v>500</v>
      </c>
      <c r="D840" s="64">
        <v>860</v>
      </c>
      <c r="E840" s="64">
        <v>-360</v>
      </c>
      <c r="F840" s="34"/>
      <c r="G840" s="34"/>
      <c r="H840" s="33"/>
      <c r="I840" s="68"/>
      <c r="J840" s="64"/>
      <c r="K840" s="64"/>
      <c r="L840" s="64"/>
      <c r="M840" s="64"/>
      <c r="N840" s="34"/>
      <c r="O840" s="35"/>
    </row>
    <row r="841" spans="1:15" s="36" customFormat="1" ht="12" x14ac:dyDescent="0.2">
      <c r="A841" s="33"/>
      <c r="B841" s="69">
        <v>43833</v>
      </c>
      <c r="C841" s="65">
        <v>0</v>
      </c>
      <c r="D841" s="65">
        <v>5500</v>
      </c>
      <c r="E841" s="65">
        <v>-5500</v>
      </c>
      <c r="F841" s="34"/>
      <c r="G841" s="34"/>
      <c r="H841" s="33"/>
      <c r="I841" s="69"/>
      <c r="J841" s="65"/>
      <c r="K841" s="65"/>
      <c r="L841" s="65"/>
      <c r="M841" s="65"/>
      <c r="N841" s="34"/>
      <c r="O841" s="35"/>
    </row>
    <row r="842" spans="1:15" s="36" customFormat="1" ht="12" x14ac:dyDescent="0.2">
      <c r="A842" s="33"/>
      <c r="B842" s="68">
        <v>43840</v>
      </c>
      <c r="C842" s="64">
        <v>0</v>
      </c>
      <c r="D842" s="64">
        <v>500</v>
      </c>
      <c r="E842" s="64">
        <v>-500</v>
      </c>
      <c r="F842" s="34"/>
      <c r="G842" s="34"/>
      <c r="H842" s="33"/>
      <c r="I842" s="68"/>
      <c r="J842" s="64"/>
      <c r="K842" s="64"/>
      <c r="L842" s="64"/>
      <c r="M842" s="64"/>
      <c r="N842" s="34"/>
      <c r="O842" s="35"/>
    </row>
    <row r="843" spans="1:15" s="36" customFormat="1" ht="12" x14ac:dyDescent="0.2">
      <c r="A843" s="33"/>
      <c r="B843" s="69">
        <v>43847</v>
      </c>
      <c r="C843" s="65">
        <v>6060</v>
      </c>
      <c r="D843" s="65">
        <v>0</v>
      </c>
      <c r="E843" s="65">
        <v>6060</v>
      </c>
      <c r="H843" s="33"/>
      <c r="I843" s="69"/>
      <c r="J843" s="65"/>
      <c r="K843" s="65"/>
      <c r="L843" s="65"/>
      <c r="M843" s="65"/>
      <c r="N843" s="34"/>
      <c r="O843" s="35"/>
    </row>
    <row r="844" spans="1:15" s="36" customFormat="1" ht="12" x14ac:dyDescent="0.2">
      <c r="A844" s="33"/>
      <c r="B844" s="68">
        <v>43854</v>
      </c>
      <c r="C844" s="64">
        <v>5800</v>
      </c>
      <c r="D844" s="64">
        <v>60</v>
      </c>
      <c r="E844" s="64">
        <v>5740</v>
      </c>
      <c r="H844" s="33"/>
      <c r="I844" s="68"/>
      <c r="J844" s="64"/>
      <c r="K844" s="64"/>
      <c r="L844" s="64"/>
      <c r="M844" s="64"/>
      <c r="N844" s="34"/>
      <c r="O844" s="35"/>
    </row>
    <row r="845" spans="1:15" s="36" customFormat="1" ht="12" x14ac:dyDescent="0.2">
      <c r="A845" s="33"/>
      <c r="B845" s="69">
        <v>43861</v>
      </c>
      <c r="C845" s="65">
        <v>0</v>
      </c>
      <c r="D845" s="65">
        <v>6000</v>
      </c>
      <c r="E845" s="65">
        <v>-6000</v>
      </c>
      <c r="H845" s="33"/>
      <c r="I845" s="69"/>
      <c r="J845" s="65"/>
      <c r="K845" s="65"/>
      <c r="L845" s="65"/>
      <c r="M845" s="65"/>
      <c r="N845" s="34"/>
      <c r="O845" s="35"/>
    </row>
    <row r="846" spans="1:15" s="36" customFormat="1" ht="12" x14ac:dyDescent="0.2">
      <c r="A846" s="33"/>
      <c r="B846" s="68">
        <v>43868</v>
      </c>
      <c r="C846" s="64">
        <v>17000</v>
      </c>
      <c r="D846" s="64">
        <v>5800</v>
      </c>
      <c r="E846" s="64">
        <v>11200</v>
      </c>
      <c r="H846" s="33"/>
      <c r="I846" s="68"/>
      <c r="J846" s="64"/>
      <c r="K846" s="64"/>
      <c r="L846" s="64"/>
      <c r="M846" s="64"/>
      <c r="N846" s="34"/>
      <c r="O846" s="35"/>
    </row>
    <row r="847" spans="1:15" s="36" customFormat="1" ht="12" x14ac:dyDescent="0.2">
      <c r="A847" s="33"/>
      <c r="B847" s="69">
        <v>43875</v>
      </c>
      <c r="C847" s="65">
        <v>10000</v>
      </c>
      <c r="D847" s="65">
        <v>12800</v>
      </c>
      <c r="E847" s="65">
        <v>-2800</v>
      </c>
      <c r="H847" s="33"/>
      <c r="I847" s="69"/>
      <c r="J847" s="65"/>
      <c r="K847" s="65"/>
      <c r="L847" s="65"/>
      <c r="M847" s="65"/>
      <c r="N847" s="34"/>
      <c r="O847" s="35"/>
    </row>
    <row r="848" spans="1:15" s="36" customFormat="1" ht="12" x14ac:dyDescent="0.2">
      <c r="A848" s="33"/>
      <c r="B848" s="68">
        <v>43882</v>
      </c>
      <c r="C848" s="64">
        <v>1015</v>
      </c>
      <c r="D848" s="64">
        <v>12200</v>
      </c>
      <c r="E848" s="64">
        <v>-11185</v>
      </c>
      <c r="H848" s="33"/>
      <c r="I848" s="68"/>
      <c r="J848" s="64"/>
      <c r="K848" s="64"/>
      <c r="L848" s="64"/>
      <c r="M848" s="64"/>
      <c r="N848" s="34"/>
      <c r="O848" s="35"/>
    </row>
    <row r="849" spans="1:15" s="36" customFormat="1" ht="12" x14ac:dyDescent="0.2">
      <c r="A849" s="33"/>
      <c r="B849" s="69">
        <v>43889</v>
      </c>
      <c r="C849" s="65">
        <v>60</v>
      </c>
      <c r="D849" s="65">
        <v>3050</v>
      </c>
      <c r="E849" s="65">
        <v>-2990</v>
      </c>
      <c r="H849" s="33"/>
      <c r="I849" s="69"/>
      <c r="J849" s="65"/>
      <c r="K849" s="65"/>
      <c r="L849" s="65"/>
      <c r="M849" s="65"/>
      <c r="N849" s="34"/>
      <c r="O849" s="35"/>
    </row>
    <row r="850" spans="1:15" s="36" customFormat="1" ht="12" x14ac:dyDescent="0.2">
      <c r="A850" s="33"/>
      <c r="B850" s="68">
        <v>43896</v>
      </c>
      <c r="C850" s="64">
        <v>0</v>
      </c>
      <c r="D850" s="64">
        <v>0</v>
      </c>
      <c r="E850" s="64">
        <v>0</v>
      </c>
      <c r="H850" s="33"/>
      <c r="I850" s="68"/>
      <c r="J850" s="64"/>
      <c r="K850" s="64"/>
      <c r="L850" s="64"/>
      <c r="M850" s="64"/>
      <c r="N850" s="34"/>
      <c r="O850" s="35"/>
    </row>
    <row r="851" spans="1:15" s="36" customFormat="1" ht="12" x14ac:dyDescent="0.2">
      <c r="A851" s="33"/>
      <c r="B851" s="69">
        <v>43903</v>
      </c>
      <c r="C851" s="65">
        <v>0</v>
      </c>
      <c r="D851" s="65">
        <v>0</v>
      </c>
      <c r="E851" s="65">
        <v>0</v>
      </c>
      <c r="H851" s="33"/>
      <c r="I851" s="69"/>
      <c r="J851" s="65"/>
      <c r="K851" s="65"/>
      <c r="L851" s="65"/>
      <c r="M851" s="65"/>
      <c r="N851" s="34"/>
      <c r="O851" s="35"/>
    </row>
    <row r="852" spans="1:15" s="36" customFormat="1" ht="12" x14ac:dyDescent="0.2">
      <c r="A852" s="33"/>
      <c r="B852" s="68">
        <v>43910</v>
      </c>
      <c r="C852" s="64">
        <v>0</v>
      </c>
      <c r="D852" s="64">
        <v>0</v>
      </c>
      <c r="E852" s="64">
        <v>0</v>
      </c>
      <c r="H852" s="33"/>
      <c r="I852" s="68"/>
      <c r="J852" s="64"/>
      <c r="K852" s="64"/>
      <c r="L852" s="64"/>
      <c r="M852" s="64"/>
      <c r="N852" s="34"/>
      <c r="O852" s="35"/>
    </row>
    <row r="853" spans="1:15" s="36" customFormat="1" ht="12" x14ac:dyDescent="0.2">
      <c r="A853" s="33"/>
      <c r="B853" s="69">
        <v>43917</v>
      </c>
      <c r="C853" s="65">
        <v>60</v>
      </c>
      <c r="D853" s="65">
        <v>50</v>
      </c>
      <c r="E853" s="65">
        <v>10</v>
      </c>
      <c r="H853" s="33"/>
      <c r="I853" s="69"/>
      <c r="J853" s="65"/>
      <c r="K853" s="65"/>
      <c r="L853" s="65"/>
      <c r="M853" s="65"/>
      <c r="N853" s="34"/>
      <c r="O853" s="35"/>
    </row>
    <row r="854" spans="1:15" s="36" customFormat="1" ht="12" x14ac:dyDescent="0.2">
      <c r="A854" s="33"/>
      <c r="B854" s="68">
        <v>43924</v>
      </c>
      <c r="C854" s="64">
        <v>700</v>
      </c>
      <c r="D854" s="64">
        <v>0</v>
      </c>
      <c r="E854" s="64">
        <v>700</v>
      </c>
      <c r="H854" s="33"/>
      <c r="I854" s="68"/>
      <c r="J854" s="64"/>
      <c r="K854" s="64"/>
      <c r="L854" s="64"/>
      <c r="M854" s="64"/>
      <c r="N854" s="34"/>
      <c r="O854" s="35"/>
    </row>
    <row r="855" spans="1:15" s="36" customFormat="1" ht="12" x14ac:dyDescent="0.2">
      <c r="A855" s="33"/>
      <c r="B855" s="69">
        <v>43931</v>
      </c>
      <c r="C855" s="65">
        <v>0</v>
      </c>
      <c r="D855" s="65">
        <v>700</v>
      </c>
      <c r="E855" s="65">
        <v>-700</v>
      </c>
      <c r="H855" s="33"/>
      <c r="I855" s="69"/>
      <c r="J855" s="65"/>
      <c r="K855" s="65"/>
      <c r="L855" s="65"/>
      <c r="M855" s="65"/>
      <c r="N855" s="34"/>
      <c r="O855" s="35"/>
    </row>
    <row r="856" spans="1:15" s="36" customFormat="1" ht="12" x14ac:dyDescent="0.2">
      <c r="A856" s="33"/>
      <c r="B856" s="68">
        <v>43938</v>
      </c>
      <c r="C856" s="64">
        <v>0</v>
      </c>
      <c r="D856" s="64">
        <v>0</v>
      </c>
      <c r="E856" s="64">
        <v>0</v>
      </c>
      <c r="H856" s="33"/>
      <c r="I856" s="68"/>
      <c r="J856" s="64"/>
      <c r="K856" s="64"/>
      <c r="L856" s="64"/>
      <c r="M856" s="64"/>
      <c r="N856" s="34"/>
      <c r="O856" s="35"/>
    </row>
    <row r="857" spans="1:15" s="36" customFormat="1" ht="12" x14ac:dyDescent="0.2">
      <c r="A857" s="33"/>
      <c r="B857" s="69">
        <v>43945</v>
      </c>
      <c r="C857" s="65">
        <v>60</v>
      </c>
      <c r="D857" s="65">
        <v>50</v>
      </c>
      <c r="E857" s="65">
        <v>10</v>
      </c>
      <c r="H857" s="33"/>
      <c r="I857" s="69"/>
      <c r="J857" s="65"/>
      <c r="K857" s="65"/>
      <c r="L857" s="65"/>
      <c r="M857" s="65"/>
      <c r="N857" s="34"/>
      <c r="O857" s="35"/>
    </row>
    <row r="858" spans="1:15" s="36" customFormat="1" ht="12" x14ac:dyDescent="0.2">
      <c r="A858" s="33"/>
      <c r="B858" s="68">
        <v>43952</v>
      </c>
      <c r="C858" s="64">
        <v>0</v>
      </c>
      <c r="D858" s="64">
        <v>0</v>
      </c>
      <c r="E858" s="64">
        <v>0</v>
      </c>
      <c r="H858" s="33"/>
      <c r="I858" s="68"/>
      <c r="J858" s="64"/>
      <c r="K858" s="64"/>
      <c r="L858" s="64"/>
      <c r="M858" s="64"/>
      <c r="N858" s="34"/>
      <c r="O858" s="35"/>
    </row>
    <row r="859" spans="1:15" s="36" customFormat="1" ht="12" x14ac:dyDescent="0.2">
      <c r="A859" s="33"/>
      <c r="B859" s="69">
        <v>43959</v>
      </c>
      <c r="C859" s="65">
        <v>0</v>
      </c>
      <c r="D859" s="65">
        <v>0</v>
      </c>
      <c r="E859" s="65">
        <v>0</v>
      </c>
      <c r="H859" s="33"/>
      <c r="I859" s="69"/>
      <c r="J859" s="65"/>
      <c r="K859" s="65"/>
      <c r="L859" s="65"/>
      <c r="M859" s="65"/>
      <c r="N859" s="34"/>
      <c r="O859" s="35"/>
    </row>
    <row r="860" spans="1:15" s="36" customFormat="1" ht="12" x14ac:dyDescent="0.2">
      <c r="A860" s="33"/>
      <c r="B860" s="68">
        <v>43966</v>
      </c>
      <c r="C860" s="64">
        <v>0</v>
      </c>
      <c r="D860" s="64">
        <v>0</v>
      </c>
      <c r="E860" s="64">
        <v>0</v>
      </c>
      <c r="H860" s="33"/>
      <c r="I860" s="68"/>
      <c r="J860" s="64"/>
      <c r="K860" s="64"/>
      <c r="L860" s="64"/>
      <c r="M860" s="64"/>
      <c r="N860" s="34"/>
      <c r="O860" s="35"/>
    </row>
    <row r="861" spans="1:15" s="36" customFormat="1" ht="12" x14ac:dyDescent="0.2">
      <c r="A861" s="33"/>
      <c r="B861" s="69">
        <v>43973</v>
      </c>
      <c r="C861" s="65">
        <v>0</v>
      </c>
      <c r="D861" s="65">
        <v>0</v>
      </c>
      <c r="E861" s="65">
        <v>0</v>
      </c>
      <c r="H861" s="33"/>
      <c r="I861" s="69"/>
      <c r="J861" s="65"/>
      <c r="K861" s="65"/>
      <c r="L861" s="65"/>
      <c r="M861" s="65"/>
      <c r="N861" s="34"/>
      <c r="O861" s="35"/>
    </row>
    <row r="862" spans="1:15" s="36" customFormat="1" ht="12" x14ac:dyDescent="0.2">
      <c r="A862" s="33"/>
      <c r="B862" s="68">
        <v>43980</v>
      </c>
      <c r="C862" s="64">
        <v>6750</v>
      </c>
      <c r="D862" s="64">
        <v>50</v>
      </c>
      <c r="E862" s="64">
        <v>6700</v>
      </c>
      <c r="H862" s="33"/>
      <c r="I862" s="68"/>
      <c r="J862" s="64"/>
      <c r="K862" s="64"/>
      <c r="L862" s="64"/>
      <c r="M862" s="64"/>
      <c r="N862" s="34"/>
      <c r="O862" s="35"/>
    </row>
    <row r="863" spans="1:15" s="36" customFormat="1" ht="12" x14ac:dyDescent="0.2">
      <c r="A863" s="33"/>
      <c r="B863" s="69">
        <v>43987</v>
      </c>
      <c r="C863" s="65">
        <v>2200</v>
      </c>
      <c r="D863" s="65">
        <v>6700</v>
      </c>
      <c r="E863" s="65">
        <v>-4500</v>
      </c>
      <c r="H863" s="33"/>
      <c r="I863" s="69"/>
      <c r="J863" s="65"/>
      <c r="K863" s="65"/>
      <c r="L863" s="65"/>
      <c r="M863" s="65"/>
      <c r="N863" s="34"/>
      <c r="O863" s="35"/>
    </row>
    <row r="864" spans="1:15" s="36" customFormat="1" ht="12" x14ac:dyDescent="0.2">
      <c r="A864" s="33"/>
      <c r="B864" s="68">
        <v>43994</v>
      </c>
      <c r="C864" s="64">
        <v>4200</v>
      </c>
      <c r="D864" s="64">
        <v>2200</v>
      </c>
      <c r="E864" s="64">
        <v>2000</v>
      </c>
      <c r="H864" s="33"/>
      <c r="I864" s="68"/>
      <c r="J864" s="64"/>
      <c r="K864" s="64"/>
      <c r="L864" s="64"/>
      <c r="M864" s="64"/>
      <c r="N864" s="34"/>
      <c r="O864" s="35"/>
    </row>
    <row r="865" spans="1:15" s="36" customFormat="1" ht="12" x14ac:dyDescent="0.2">
      <c r="A865" s="33"/>
      <c r="B865" s="69">
        <v>44001</v>
      </c>
      <c r="C865" s="65">
        <v>3000</v>
      </c>
      <c r="D865" s="65">
        <v>4200</v>
      </c>
      <c r="E865" s="65">
        <v>-1200</v>
      </c>
      <c r="H865" s="33"/>
      <c r="I865" s="69"/>
      <c r="J865" s="65"/>
      <c r="K865" s="65"/>
      <c r="L865" s="65"/>
      <c r="M865" s="65"/>
      <c r="N865" s="34"/>
      <c r="O865" s="35"/>
    </row>
    <row r="866" spans="1:15" s="36" customFormat="1" ht="12" x14ac:dyDescent="0.2">
      <c r="A866" s="33"/>
      <c r="B866" s="68">
        <v>44008</v>
      </c>
      <c r="C866" s="64">
        <v>5050</v>
      </c>
      <c r="D866" s="64">
        <v>1200</v>
      </c>
      <c r="E866" s="64">
        <v>3850</v>
      </c>
      <c r="H866" s="33"/>
      <c r="I866" s="68"/>
      <c r="J866" s="64"/>
      <c r="K866" s="64"/>
      <c r="L866" s="64"/>
      <c r="M866" s="64"/>
      <c r="N866" s="34"/>
      <c r="O866" s="35"/>
    </row>
    <row r="867" spans="1:15" s="36" customFormat="1" ht="12" x14ac:dyDescent="0.2">
      <c r="A867" s="33"/>
      <c r="B867" s="69">
        <v>44015</v>
      </c>
      <c r="C867" s="65">
        <v>1025</v>
      </c>
      <c r="D867" s="65">
        <v>4950</v>
      </c>
      <c r="E867" s="65">
        <v>-3925</v>
      </c>
      <c r="H867" s="33"/>
      <c r="I867" s="69"/>
      <c r="J867" s="65"/>
      <c r="K867" s="65"/>
      <c r="L867" s="65"/>
      <c r="M867" s="65"/>
      <c r="N867" s="34"/>
      <c r="O867" s="35"/>
    </row>
    <row r="868" spans="1:15" s="36" customFormat="1" ht="12" x14ac:dyDescent="0.2">
      <c r="A868" s="33"/>
      <c r="B868" s="68">
        <v>44022</v>
      </c>
      <c r="C868" s="64">
        <v>0</v>
      </c>
      <c r="D868" s="64">
        <v>2900</v>
      </c>
      <c r="E868" s="64">
        <v>-2900</v>
      </c>
      <c r="H868" s="33"/>
      <c r="I868" s="68"/>
      <c r="J868" s="64"/>
      <c r="K868" s="64"/>
      <c r="L868" s="64"/>
      <c r="M868" s="64"/>
      <c r="N868" s="34"/>
      <c r="O868" s="35"/>
    </row>
    <row r="869" spans="1:15" s="36" customFormat="1" ht="12" x14ac:dyDescent="0.2">
      <c r="A869" s="33"/>
      <c r="B869" s="69">
        <v>44029</v>
      </c>
      <c r="C869" s="65">
        <v>3300</v>
      </c>
      <c r="D869" s="65">
        <v>0</v>
      </c>
      <c r="E869" s="65">
        <v>3300</v>
      </c>
      <c r="H869" s="33"/>
      <c r="I869" s="69"/>
      <c r="J869" s="65"/>
      <c r="K869" s="65"/>
      <c r="L869" s="65"/>
      <c r="M869" s="65"/>
      <c r="N869" s="34"/>
      <c r="O869" s="35"/>
    </row>
    <row r="870" spans="1:15" s="36" customFormat="1" ht="12" x14ac:dyDescent="0.2">
      <c r="A870" s="33"/>
      <c r="B870" s="68">
        <v>44036</v>
      </c>
      <c r="C870" s="64">
        <v>1650</v>
      </c>
      <c r="D870" s="64">
        <v>3300</v>
      </c>
      <c r="E870" s="64">
        <v>-1650</v>
      </c>
      <c r="H870" s="33"/>
      <c r="I870" s="68"/>
      <c r="J870" s="64"/>
      <c r="K870" s="64"/>
      <c r="L870" s="64"/>
      <c r="M870" s="64"/>
      <c r="N870" s="34"/>
      <c r="O870" s="35"/>
    </row>
    <row r="871" spans="1:15" s="36" customFormat="1" ht="12" x14ac:dyDescent="0.2">
      <c r="A871" s="33"/>
      <c r="B871" s="69">
        <v>44043</v>
      </c>
      <c r="C871" s="65">
        <v>2800</v>
      </c>
      <c r="D871" s="65">
        <v>1650</v>
      </c>
      <c r="E871" s="65">
        <v>1150</v>
      </c>
      <c r="H871" s="33"/>
      <c r="I871" s="69"/>
      <c r="J871" s="65"/>
      <c r="K871" s="65"/>
      <c r="L871" s="65"/>
      <c r="M871" s="65"/>
      <c r="N871" s="34"/>
      <c r="O871" s="35"/>
    </row>
    <row r="872" spans="1:15" s="36" customFormat="1" ht="12" x14ac:dyDescent="0.2">
      <c r="A872" s="33"/>
      <c r="B872" s="68">
        <v>44050</v>
      </c>
      <c r="C872" s="64">
        <v>100</v>
      </c>
      <c r="D872" s="64">
        <v>2800</v>
      </c>
      <c r="E872" s="64">
        <v>-2700</v>
      </c>
      <c r="H872" s="33"/>
      <c r="I872" s="68"/>
      <c r="J872" s="64"/>
      <c r="K872" s="64"/>
      <c r="L872" s="64"/>
      <c r="M872" s="64"/>
      <c r="N872" s="34"/>
      <c r="O872" s="35"/>
    </row>
    <row r="873" spans="1:15" s="36" customFormat="1" ht="12" x14ac:dyDescent="0.2">
      <c r="A873" s="33"/>
      <c r="B873" s="69">
        <v>44057</v>
      </c>
      <c r="C873" s="65">
        <v>5000</v>
      </c>
      <c r="D873" s="65">
        <v>100</v>
      </c>
      <c r="E873" s="65">
        <v>4900</v>
      </c>
      <c r="H873" s="33"/>
      <c r="I873" s="69"/>
      <c r="J873" s="65"/>
      <c r="K873" s="65"/>
      <c r="L873" s="65"/>
      <c r="M873" s="65"/>
      <c r="N873" s="34"/>
      <c r="O873" s="35"/>
    </row>
    <row r="874" spans="1:15" s="36" customFormat="1" ht="12" x14ac:dyDescent="0.2">
      <c r="A874" s="33"/>
      <c r="B874" s="68">
        <v>44064</v>
      </c>
      <c r="C874" s="64">
        <v>6600</v>
      </c>
      <c r="D874" s="64">
        <v>5000</v>
      </c>
      <c r="E874" s="64">
        <v>1600</v>
      </c>
      <c r="H874" s="33"/>
      <c r="I874" s="68"/>
      <c r="J874" s="64"/>
      <c r="K874" s="64"/>
      <c r="L874" s="64"/>
      <c r="M874" s="64"/>
      <c r="N874" s="34"/>
      <c r="O874" s="35"/>
    </row>
    <row r="875" spans="1:15" s="36" customFormat="1" ht="12" x14ac:dyDescent="0.2">
      <c r="A875" s="33"/>
      <c r="B875" s="69">
        <v>44071</v>
      </c>
      <c r="C875" s="65">
        <v>8150</v>
      </c>
      <c r="D875" s="65">
        <v>6150</v>
      </c>
      <c r="E875" s="65">
        <v>2000</v>
      </c>
      <c r="H875" s="33"/>
      <c r="I875" s="69"/>
      <c r="J875" s="65"/>
      <c r="K875" s="65"/>
      <c r="L875" s="65"/>
      <c r="M875" s="65"/>
      <c r="N875" s="34"/>
      <c r="O875" s="35"/>
    </row>
    <row r="876" spans="1:15" s="36" customFormat="1" ht="12" x14ac:dyDescent="0.2">
      <c r="A876" s="33"/>
      <c r="B876" s="68">
        <v>44078</v>
      </c>
      <c r="C876" s="64">
        <v>2800</v>
      </c>
      <c r="D876" s="64">
        <v>7500</v>
      </c>
      <c r="E876" s="64">
        <v>-4700</v>
      </c>
      <c r="H876" s="33"/>
      <c r="I876" s="68"/>
      <c r="J876" s="64"/>
      <c r="K876" s="64"/>
      <c r="L876" s="64"/>
      <c r="M876" s="64"/>
      <c r="N876" s="34"/>
      <c r="O876" s="35"/>
    </row>
    <row r="877" spans="1:15" s="36" customFormat="1" ht="12" x14ac:dyDescent="0.2">
      <c r="A877" s="33"/>
      <c r="B877" s="69">
        <v>44085</v>
      </c>
      <c r="C877" s="65">
        <v>6200</v>
      </c>
      <c r="D877" s="65">
        <v>3900</v>
      </c>
      <c r="E877" s="65">
        <v>2300</v>
      </c>
      <c r="H877" s="33"/>
      <c r="I877" s="69"/>
      <c r="J877" s="65"/>
      <c r="K877" s="65"/>
      <c r="L877" s="65"/>
      <c r="M877" s="65"/>
      <c r="N877" s="34"/>
      <c r="O877" s="35"/>
    </row>
    <row r="878" spans="1:15" s="36" customFormat="1" ht="12" x14ac:dyDescent="0.2">
      <c r="A878" s="33"/>
      <c r="B878" s="68">
        <v>44092</v>
      </c>
      <c r="C878" s="64">
        <v>4800</v>
      </c>
      <c r="D878" s="64">
        <v>6200</v>
      </c>
      <c r="E878" s="64">
        <v>-1400</v>
      </c>
      <c r="H878" s="33"/>
      <c r="I878" s="68"/>
      <c r="J878" s="64"/>
      <c r="K878" s="64"/>
      <c r="L878" s="64"/>
      <c r="M878" s="64"/>
      <c r="N878" s="34"/>
      <c r="O878" s="35"/>
    </row>
    <row r="879" spans="1:15" s="36" customFormat="1" ht="12" x14ac:dyDescent="0.2">
      <c r="A879" s="33"/>
      <c r="B879" s="69">
        <v>44099</v>
      </c>
      <c r="C879" s="65">
        <v>9000</v>
      </c>
      <c r="D879" s="65">
        <v>4200</v>
      </c>
      <c r="E879" s="65">
        <v>4800</v>
      </c>
      <c r="H879" s="33"/>
      <c r="I879" s="69"/>
      <c r="J879" s="65"/>
      <c r="K879" s="65"/>
      <c r="L879" s="65"/>
      <c r="M879" s="65"/>
      <c r="N879" s="34"/>
      <c r="O879" s="35"/>
    </row>
    <row r="880" spans="1:15" s="36" customFormat="1" ht="12" x14ac:dyDescent="0.2">
      <c r="A880" s="33"/>
      <c r="B880" s="68">
        <v>44106</v>
      </c>
      <c r="C880" s="64">
        <v>2150</v>
      </c>
      <c r="D880" s="64">
        <v>4650</v>
      </c>
      <c r="E880" s="64">
        <v>-2500</v>
      </c>
      <c r="H880" s="33"/>
      <c r="I880" s="68"/>
      <c r="J880" s="64"/>
      <c r="K880" s="64"/>
      <c r="L880" s="64"/>
      <c r="M880" s="64"/>
      <c r="N880" s="34"/>
      <c r="O880" s="35"/>
    </row>
    <row r="881" spans="1:15" s="36" customFormat="1" ht="12" x14ac:dyDescent="0.2">
      <c r="A881" s="33"/>
      <c r="B881" s="69">
        <v>44113</v>
      </c>
      <c r="C881" s="65">
        <v>0</v>
      </c>
      <c r="D881" s="65">
        <v>5000</v>
      </c>
      <c r="E881" s="65">
        <v>-5000</v>
      </c>
      <c r="H881" s="33"/>
      <c r="I881" s="69"/>
      <c r="J881" s="65"/>
      <c r="K881" s="65"/>
      <c r="L881" s="65"/>
      <c r="M881" s="65"/>
      <c r="N881" s="34"/>
      <c r="O881" s="35"/>
    </row>
    <row r="882" spans="1:15" s="36" customFormat="1" ht="12" x14ac:dyDescent="0.2">
      <c r="A882" s="33"/>
      <c r="B882" s="68">
        <v>44120</v>
      </c>
      <c r="C882" s="64">
        <v>1000</v>
      </c>
      <c r="D882" s="64">
        <v>2100</v>
      </c>
      <c r="E882" s="64">
        <v>-1100</v>
      </c>
      <c r="H882" s="33"/>
      <c r="I882" s="68"/>
      <c r="J882" s="64"/>
      <c r="K882" s="64"/>
      <c r="L882" s="64"/>
      <c r="M882" s="64"/>
      <c r="N882" s="34"/>
      <c r="O882" s="35"/>
    </row>
    <row r="883" spans="1:15" s="36" customFormat="1" ht="12" x14ac:dyDescent="0.2">
      <c r="A883" s="33"/>
      <c r="B883" s="69">
        <v>44127</v>
      </c>
      <c r="C883" s="65">
        <v>3200</v>
      </c>
      <c r="D883" s="65">
        <v>1000</v>
      </c>
      <c r="E883" s="65">
        <v>2200</v>
      </c>
      <c r="H883" s="33"/>
      <c r="I883" s="69"/>
      <c r="J883" s="65"/>
      <c r="K883" s="65"/>
      <c r="L883" s="65"/>
      <c r="M883" s="65"/>
      <c r="N883" s="34"/>
      <c r="O883" s="35"/>
    </row>
    <row r="884" spans="1:15" s="36" customFormat="1" ht="12" x14ac:dyDescent="0.2">
      <c r="A884" s="33"/>
      <c r="B884" s="68">
        <v>44134</v>
      </c>
      <c r="C884" s="64">
        <v>5150</v>
      </c>
      <c r="D884" s="64">
        <v>3250</v>
      </c>
      <c r="E884" s="64">
        <v>1900</v>
      </c>
      <c r="H884" s="33"/>
      <c r="I884" s="68"/>
      <c r="J884" s="64"/>
      <c r="K884" s="64"/>
      <c r="L884" s="64"/>
      <c r="M884" s="64"/>
      <c r="N884" s="34"/>
      <c r="O884" s="35"/>
    </row>
    <row r="885" spans="1:15" s="36" customFormat="1" ht="12" x14ac:dyDescent="0.2">
      <c r="A885" s="33"/>
      <c r="B885" s="69">
        <v>44141</v>
      </c>
      <c r="C885" s="65">
        <v>3200</v>
      </c>
      <c r="D885" s="65">
        <v>5100</v>
      </c>
      <c r="E885" s="65">
        <v>-1900</v>
      </c>
      <c r="H885" s="33"/>
      <c r="I885" s="69"/>
      <c r="J885" s="65"/>
      <c r="K885" s="65"/>
      <c r="L885" s="65"/>
      <c r="M885" s="65"/>
      <c r="N885" s="34"/>
      <c r="O885" s="35"/>
    </row>
    <row r="886" spans="1:15" s="36" customFormat="1" ht="12" x14ac:dyDescent="0.2">
      <c r="A886" s="33"/>
      <c r="B886" s="68">
        <v>44148</v>
      </c>
      <c r="C886" s="64">
        <v>5500</v>
      </c>
      <c r="D886" s="64">
        <v>3200</v>
      </c>
      <c r="E886" s="64">
        <v>2300</v>
      </c>
      <c r="H886" s="33"/>
      <c r="I886" s="68"/>
      <c r="J886" s="64"/>
      <c r="K886" s="64"/>
      <c r="L886" s="64"/>
      <c r="M886" s="64"/>
      <c r="N886" s="34"/>
      <c r="O886" s="35"/>
    </row>
    <row r="887" spans="1:15" s="36" customFormat="1" ht="12" x14ac:dyDescent="0.2">
      <c r="A887" s="33"/>
      <c r="B887" s="69">
        <v>44155</v>
      </c>
      <c r="C887" s="65">
        <v>3000</v>
      </c>
      <c r="D887" s="65">
        <v>5500</v>
      </c>
      <c r="E887" s="65">
        <v>-2500</v>
      </c>
      <c r="H887" s="33"/>
      <c r="I887" s="69"/>
      <c r="J887" s="65"/>
      <c r="K887" s="65"/>
      <c r="L887" s="65"/>
      <c r="M887" s="65"/>
      <c r="N887" s="34"/>
      <c r="O887" s="35"/>
    </row>
    <row r="888" spans="1:15" s="36" customFormat="1" ht="12" x14ac:dyDescent="0.2">
      <c r="A888" s="33"/>
      <c r="B888" s="68">
        <v>44162</v>
      </c>
      <c r="C888" s="64">
        <v>4350</v>
      </c>
      <c r="D888" s="64">
        <v>3050</v>
      </c>
      <c r="E888" s="64">
        <v>1300</v>
      </c>
      <c r="H888" s="33"/>
      <c r="I888" s="68"/>
      <c r="J888" s="64"/>
      <c r="K888" s="64"/>
      <c r="L888" s="64"/>
      <c r="M888" s="64"/>
      <c r="N888" s="34"/>
      <c r="O888" s="35"/>
    </row>
    <row r="889" spans="1:15" s="36" customFormat="1" ht="12" x14ac:dyDescent="0.2">
      <c r="A889" s="33"/>
      <c r="B889" s="69">
        <v>44169</v>
      </c>
      <c r="C889" s="65">
        <v>2000</v>
      </c>
      <c r="D889" s="65">
        <v>4300</v>
      </c>
      <c r="E889" s="65">
        <v>-2300</v>
      </c>
      <c r="H889" s="33"/>
      <c r="I889" s="69"/>
      <c r="J889" s="65"/>
      <c r="K889" s="65"/>
      <c r="L889" s="65"/>
      <c r="M889" s="65"/>
      <c r="N889" s="34"/>
      <c r="O889" s="35"/>
    </row>
    <row r="890" spans="1:15" s="36" customFormat="1" ht="12" x14ac:dyDescent="0.2">
      <c r="A890" s="33"/>
      <c r="B890" s="68">
        <v>44176</v>
      </c>
      <c r="C890" s="64">
        <v>1500</v>
      </c>
      <c r="D890" s="64">
        <v>2000</v>
      </c>
      <c r="E890" s="64">
        <v>-500</v>
      </c>
      <c r="H890" s="33"/>
      <c r="I890" s="68"/>
      <c r="J890" s="64"/>
      <c r="K890" s="64"/>
      <c r="L890" s="64"/>
      <c r="M890" s="64"/>
      <c r="N890" s="34"/>
      <c r="O890" s="35"/>
    </row>
    <row r="891" spans="1:15" s="36" customFormat="1" ht="12" x14ac:dyDescent="0.2">
      <c r="A891" s="33"/>
      <c r="B891" s="69">
        <v>44183</v>
      </c>
      <c r="C891" s="65">
        <v>600</v>
      </c>
      <c r="D891" s="65">
        <v>1500</v>
      </c>
      <c r="E891" s="65">
        <v>-900</v>
      </c>
      <c r="H891" s="33"/>
      <c r="I891" s="69"/>
      <c r="J891" s="65"/>
      <c r="K891" s="65"/>
      <c r="L891" s="65"/>
      <c r="M891" s="65"/>
      <c r="N891" s="34"/>
      <c r="O891" s="35"/>
    </row>
    <row r="892" spans="1:15" s="36" customFormat="1" ht="12" x14ac:dyDescent="0.2">
      <c r="A892" s="33"/>
      <c r="B892" s="68">
        <v>44190</v>
      </c>
      <c r="C892" s="64">
        <v>4300</v>
      </c>
      <c r="D892" s="64">
        <v>650</v>
      </c>
      <c r="E892" s="64">
        <v>3650</v>
      </c>
      <c r="H892" s="33"/>
      <c r="I892" s="68"/>
      <c r="J892" s="64"/>
      <c r="K892" s="64"/>
      <c r="L892" s="64"/>
      <c r="M892" s="64"/>
      <c r="N892" s="34"/>
      <c r="O892" s="35"/>
    </row>
    <row r="893" spans="1:15" s="36" customFormat="1" ht="12" x14ac:dyDescent="0.2">
      <c r="A893" s="33"/>
      <c r="B893" s="69">
        <v>44197</v>
      </c>
      <c r="C893" s="65">
        <v>1750</v>
      </c>
      <c r="D893" s="65">
        <v>800</v>
      </c>
      <c r="E893" s="65">
        <v>950</v>
      </c>
      <c r="H893" s="33"/>
      <c r="I893" s="69"/>
      <c r="J893" s="65"/>
      <c r="K893" s="65"/>
      <c r="L893" s="65"/>
      <c r="M893" s="65"/>
      <c r="N893" s="34"/>
      <c r="O893" s="35"/>
    </row>
    <row r="894" spans="1:15" s="36" customFormat="1" ht="12" x14ac:dyDescent="0.2">
      <c r="A894" s="33"/>
      <c r="B894" s="68">
        <v>44204</v>
      </c>
      <c r="C894" s="64">
        <v>550</v>
      </c>
      <c r="D894" s="64">
        <v>5200</v>
      </c>
      <c r="E894" s="64">
        <v>-4650</v>
      </c>
      <c r="H894" s="33"/>
      <c r="I894" s="68"/>
      <c r="J894" s="64"/>
      <c r="K894" s="64"/>
      <c r="L894" s="64"/>
      <c r="M894" s="64"/>
      <c r="N894" s="34"/>
      <c r="O894" s="35"/>
    </row>
    <row r="895" spans="1:15" s="36" customFormat="1" ht="12" x14ac:dyDescent="0.2">
      <c r="A895" s="33"/>
      <c r="B895" s="69">
        <v>44211</v>
      </c>
      <c r="C895" s="65">
        <v>160</v>
      </c>
      <c r="D895" s="65">
        <v>550</v>
      </c>
      <c r="E895" s="65">
        <v>-390</v>
      </c>
      <c r="H895" s="33"/>
      <c r="I895" s="69"/>
      <c r="J895" s="65"/>
      <c r="K895" s="65"/>
      <c r="L895" s="65"/>
      <c r="M895" s="65"/>
      <c r="N895" s="34"/>
      <c r="O895" s="35"/>
    </row>
    <row r="896" spans="1:15" s="36" customFormat="1" ht="12" x14ac:dyDescent="0.2">
      <c r="A896" s="33"/>
      <c r="B896" s="68">
        <v>44218</v>
      </c>
      <c r="C896" s="64">
        <v>6140</v>
      </c>
      <c r="D896" s="64">
        <v>160</v>
      </c>
      <c r="E896" s="64">
        <v>5980</v>
      </c>
      <c r="H896" s="33"/>
      <c r="I896" s="68"/>
      <c r="J896" s="64"/>
      <c r="K896" s="64"/>
      <c r="L896" s="64"/>
      <c r="M896" s="64"/>
      <c r="N896" s="34"/>
      <c r="O896" s="35"/>
    </row>
    <row r="897" spans="1:15" s="36" customFormat="1" ht="12" x14ac:dyDescent="0.2">
      <c r="A897" s="33"/>
      <c r="B897" s="69">
        <v>44225</v>
      </c>
      <c r="C897" s="65">
        <v>3890</v>
      </c>
      <c r="D897" s="65">
        <v>6190</v>
      </c>
      <c r="E897" s="65">
        <v>-2300</v>
      </c>
      <c r="H897" s="33"/>
      <c r="I897" s="69"/>
      <c r="J897" s="65"/>
      <c r="K897" s="65"/>
      <c r="L897" s="65"/>
      <c r="M897" s="65"/>
      <c r="N897" s="34"/>
      <c r="O897" s="35"/>
    </row>
    <row r="898" spans="1:15" s="36" customFormat="1" ht="12" x14ac:dyDescent="0.2">
      <c r="A898" s="33"/>
      <c r="B898" s="68">
        <v>44232</v>
      </c>
      <c r="C898" s="64">
        <v>4800</v>
      </c>
      <c r="D898" s="64">
        <v>3840</v>
      </c>
      <c r="E898" s="64">
        <v>960</v>
      </c>
      <c r="F898" s="34"/>
      <c r="G898" s="34"/>
      <c r="H898" s="33"/>
      <c r="I898" s="68"/>
      <c r="J898" s="64"/>
      <c r="K898" s="64"/>
      <c r="L898" s="64"/>
      <c r="M898" s="64"/>
      <c r="N898" s="34"/>
      <c r="O898" s="35"/>
    </row>
    <row r="899" spans="1:15" s="36" customFormat="1" ht="12" x14ac:dyDescent="0.2">
      <c r="A899" s="33"/>
      <c r="B899" s="69">
        <v>44239</v>
      </c>
      <c r="C899" s="65">
        <v>2300</v>
      </c>
      <c r="D899" s="65">
        <v>2800</v>
      </c>
      <c r="E899" s="65">
        <v>-500</v>
      </c>
      <c r="F899" s="34"/>
      <c r="G899" s="34"/>
      <c r="H899" s="33"/>
      <c r="I899" s="69"/>
      <c r="J899" s="65"/>
      <c r="K899" s="65"/>
      <c r="L899" s="65"/>
      <c r="M899" s="65"/>
      <c r="N899" s="34"/>
      <c r="O899" s="35"/>
    </row>
    <row r="900" spans="1:15" s="36" customFormat="1" ht="12" x14ac:dyDescent="0.2">
      <c r="A900" s="33"/>
      <c r="B900" s="68">
        <v>44246</v>
      </c>
      <c r="C900" s="64">
        <v>400</v>
      </c>
      <c r="D900" s="64">
        <v>3800</v>
      </c>
      <c r="E900" s="64">
        <v>-3400</v>
      </c>
      <c r="F900" s="34"/>
      <c r="G900" s="34"/>
      <c r="H900" s="33"/>
      <c r="I900" s="68"/>
      <c r="J900" s="64"/>
      <c r="K900" s="64"/>
      <c r="L900" s="64"/>
      <c r="M900" s="64"/>
      <c r="N900" s="34"/>
      <c r="O900" s="35"/>
    </row>
    <row r="901" spans="1:15" s="36" customFormat="1" ht="12" x14ac:dyDescent="0.2">
      <c r="A901" s="33"/>
      <c r="B901" s="69">
        <v>44253</v>
      </c>
      <c r="C901" s="65">
        <v>800</v>
      </c>
      <c r="D901" s="65">
        <v>950</v>
      </c>
      <c r="E901" s="65">
        <v>-150</v>
      </c>
      <c r="F901" s="34"/>
      <c r="G901" s="34"/>
      <c r="H901" s="33"/>
      <c r="I901" s="69"/>
      <c r="J901" s="65"/>
      <c r="K901" s="65"/>
      <c r="L901" s="65"/>
      <c r="M901" s="65"/>
      <c r="N901" s="34"/>
      <c r="O901" s="35"/>
    </row>
    <row r="902" spans="1:15" s="36" customFormat="1" ht="12" x14ac:dyDescent="0.2">
      <c r="A902" s="33"/>
      <c r="B902" s="68">
        <v>44260</v>
      </c>
      <c r="C902" s="64">
        <v>550</v>
      </c>
      <c r="D902" s="64">
        <v>800</v>
      </c>
      <c r="E902" s="64">
        <v>-250</v>
      </c>
      <c r="F902" s="34"/>
      <c r="G902" s="34"/>
      <c r="H902" s="33"/>
      <c r="I902" s="68"/>
      <c r="J902" s="64"/>
      <c r="K902" s="64"/>
      <c r="L902" s="64"/>
      <c r="M902" s="64"/>
      <c r="N902" s="34"/>
      <c r="O902" s="35"/>
    </row>
    <row r="903" spans="1:15" s="36" customFormat="1" ht="12" x14ac:dyDescent="0.2">
      <c r="A903" s="33"/>
      <c r="B903" s="69">
        <v>44267</v>
      </c>
      <c r="C903" s="65">
        <v>500</v>
      </c>
      <c r="D903" s="65">
        <v>500</v>
      </c>
      <c r="E903" s="65">
        <v>0</v>
      </c>
      <c r="F903" s="34"/>
      <c r="G903" s="34"/>
      <c r="H903" s="33"/>
      <c r="I903" s="69"/>
      <c r="J903" s="65"/>
      <c r="K903" s="65"/>
      <c r="L903" s="65"/>
      <c r="M903" s="65"/>
      <c r="N903" s="34"/>
      <c r="O903" s="35"/>
    </row>
    <row r="904" spans="1:15" s="36" customFormat="1" ht="12" x14ac:dyDescent="0.2">
      <c r="A904" s="33"/>
      <c r="B904" s="68">
        <v>44274</v>
      </c>
      <c r="C904" s="64">
        <v>500</v>
      </c>
      <c r="D904" s="64">
        <v>500</v>
      </c>
      <c r="E904" s="64">
        <v>0</v>
      </c>
      <c r="F904" s="34"/>
      <c r="G904" s="34"/>
      <c r="H904" s="33"/>
      <c r="I904" s="68"/>
      <c r="J904" s="64"/>
      <c r="K904" s="64"/>
      <c r="L904" s="64"/>
      <c r="M904" s="64"/>
      <c r="N904" s="34"/>
      <c r="O904" s="35"/>
    </row>
    <row r="905" spans="1:15" s="36" customFormat="1" ht="12" x14ac:dyDescent="0.2">
      <c r="A905" s="33"/>
      <c r="B905" s="69">
        <v>44281</v>
      </c>
      <c r="C905" s="65">
        <v>550</v>
      </c>
      <c r="D905" s="65">
        <v>550</v>
      </c>
      <c r="E905" s="65">
        <v>0</v>
      </c>
      <c r="F905" s="34"/>
      <c r="G905" s="34"/>
      <c r="H905" s="33"/>
      <c r="I905" s="69"/>
      <c r="J905" s="65"/>
      <c r="K905" s="65"/>
      <c r="L905" s="65"/>
      <c r="M905" s="65"/>
      <c r="N905" s="34"/>
      <c r="O905" s="35"/>
    </row>
    <row r="906" spans="1:15" s="36" customFormat="1" ht="12" x14ac:dyDescent="0.2">
      <c r="A906" s="33"/>
      <c r="B906" s="68">
        <v>44288</v>
      </c>
      <c r="C906" s="64">
        <v>500</v>
      </c>
      <c r="D906" s="64">
        <v>500</v>
      </c>
      <c r="E906" s="64">
        <v>0</v>
      </c>
      <c r="F906" s="34"/>
      <c r="G906" s="34"/>
      <c r="H906" s="33"/>
      <c r="I906" s="68"/>
      <c r="J906" s="64"/>
      <c r="K906" s="64"/>
      <c r="L906" s="64"/>
      <c r="M906" s="64"/>
      <c r="N906" s="34"/>
      <c r="O906" s="35"/>
    </row>
    <row r="907" spans="1:15" s="36" customFormat="1" ht="12" x14ac:dyDescent="0.2">
      <c r="A907" s="33"/>
      <c r="B907" s="69">
        <v>44295</v>
      </c>
      <c r="C907" s="65">
        <v>400</v>
      </c>
      <c r="D907" s="65">
        <v>500</v>
      </c>
      <c r="E907" s="65">
        <v>-100</v>
      </c>
      <c r="F907" s="34"/>
      <c r="G907" s="34"/>
      <c r="H907" s="33"/>
      <c r="I907" s="69"/>
      <c r="J907" s="65"/>
      <c r="K907" s="65"/>
      <c r="L907" s="65"/>
      <c r="M907" s="65"/>
      <c r="N907" s="34"/>
      <c r="O907" s="35"/>
    </row>
    <row r="908" spans="1:15" s="36" customFormat="1" ht="12" x14ac:dyDescent="0.2">
      <c r="A908" s="33"/>
      <c r="B908" s="68">
        <v>44302</v>
      </c>
      <c r="C908" s="64">
        <v>500</v>
      </c>
      <c r="D908" s="64">
        <v>400</v>
      </c>
      <c r="E908" s="64">
        <v>100</v>
      </c>
      <c r="F908" s="34"/>
      <c r="G908" s="34"/>
      <c r="H908" s="33"/>
      <c r="I908" s="68"/>
      <c r="J908" s="64"/>
      <c r="K908" s="64"/>
      <c r="L908" s="64"/>
      <c r="M908" s="64"/>
      <c r="N908" s="34"/>
      <c r="O908" s="35"/>
    </row>
    <row r="909" spans="1:15" s="36" customFormat="1" ht="12" x14ac:dyDescent="0.2">
      <c r="A909" s="33"/>
      <c r="B909" s="69">
        <v>44309</v>
      </c>
      <c r="C909" s="65">
        <v>500</v>
      </c>
      <c r="D909" s="65">
        <v>500</v>
      </c>
      <c r="E909" s="65">
        <v>0</v>
      </c>
      <c r="F909" s="34"/>
      <c r="G909" s="34"/>
      <c r="H909" s="33"/>
      <c r="I909" s="69"/>
      <c r="J909" s="65"/>
      <c r="K909" s="65"/>
      <c r="L909" s="65"/>
      <c r="M909" s="65"/>
      <c r="N909" s="34"/>
      <c r="O909" s="35"/>
    </row>
    <row r="910" spans="1:15" s="36" customFormat="1" ht="12" x14ac:dyDescent="0.2">
      <c r="A910" s="33"/>
      <c r="B910" s="68">
        <v>44316</v>
      </c>
      <c r="C910" s="64">
        <v>650</v>
      </c>
      <c r="D910" s="64">
        <v>550</v>
      </c>
      <c r="E910" s="64">
        <v>100</v>
      </c>
      <c r="F910" s="34"/>
      <c r="G910" s="34"/>
      <c r="H910" s="33"/>
      <c r="I910" s="68"/>
      <c r="J910" s="64"/>
      <c r="K910" s="64"/>
      <c r="L910" s="64"/>
      <c r="M910" s="64"/>
      <c r="N910" s="34"/>
      <c r="O910" s="35"/>
    </row>
    <row r="911" spans="1:15" s="36" customFormat="1" ht="12" x14ac:dyDescent="0.2">
      <c r="A911" s="33"/>
      <c r="B911" s="69">
        <v>44323</v>
      </c>
      <c r="C911" s="65">
        <v>200</v>
      </c>
      <c r="D911" s="65">
        <v>600</v>
      </c>
      <c r="E911" s="65">
        <v>-400</v>
      </c>
      <c r="F911" s="34"/>
      <c r="G911" s="34"/>
      <c r="H911" s="33"/>
      <c r="I911" s="69"/>
      <c r="J911" s="65"/>
      <c r="K911" s="65"/>
      <c r="L911" s="65"/>
      <c r="M911" s="65"/>
      <c r="N911" s="34"/>
      <c r="O911" s="35"/>
    </row>
    <row r="912" spans="1:15" s="36" customFormat="1" ht="12" x14ac:dyDescent="0.2">
      <c r="A912" s="33"/>
      <c r="B912" s="68">
        <v>44330</v>
      </c>
      <c r="C912" s="64">
        <v>600</v>
      </c>
      <c r="D912" s="64">
        <v>200</v>
      </c>
      <c r="E912" s="64">
        <v>400</v>
      </c>
      <c r="F912" s="34"/>
      <c r="G912" s="34"/>
      <c r="H912" s="33"/>
      <c r="I912" s="68"/>
      <c r="J912" s="64"/>
      <c r="K912" s="64"/>
      <c r="L912" s="64"/>
      <c r="M912" s="64"/>
      <c r="N912" s="34"/>
      <c r="O912" s="35"/>
    </row>
    <row r="913" spans="1:15" s="36" customFormat="1" ht="12" x14ac:dyDescent="0.2">
      <c r="A913" s="33"/>
      <c r="B913" s="69">
        <v>44337</v>
      </c>
      <c r="C913" s="65">
        <v>500</v>
      </c>
      <c r="D913" s="65">
        <v>600</v>
      </c>
      <c r="E913" s="65">
        <v>-100</v>
      </c>
      <c r="F913" s="34"/>
      <c r="G913" s="34"/>
      <c r="H913" s="33"/>
      <c r="I913" s="69"/>
      <c r="J913" s="65"/>
      <c r="K913" s="65"/>
      <c r="L913" s="65"/>
      <c r="M913" s="65"/>
      <c r="N913" s="34"/>
      <c r="O913" s="35"/>
    </row>
    <row r="914" spans="1:15" s="36" customFormat="1" ht="12" x14ac:dyDescent="0.2">
      <c r="A914" s="33"/>
      <c r="B914" s="68">
        <v>44344</v>
      </c>
      <c r="C914" s="64">
        <v>550</v>
      </c>
      <c r="D914" s="64">
        <v>550</v>
      </c>
      <c r="E914" s="64">
        <v>0</v>
      </c>
      <c r="F914" s="34"/>
      <c r="G914" s="34"/>
      <c r="H914" s="33"/>
      <c r="I914" s="68"/>
      <c r="J914" s="64"/>
      <c r="K914" s="64"/>
      <c r="L914" s="64"/>
      <c r="M914" s="64"/>
      <c r="N914" s="34"/>
      <c r="O914" s="35"/>
    </row>
    <row r="915" spans="1:15" s="36" customFormat="1" ht="12" x14ac:dyDescent="0.2">
      <c r="A915" s="33"/>
      <c r="B915" s="69">
        <v>44351</v>
      </c>
      <c r="C915" s="65">
        <v>500</v>
      </c>
      <c r="D915" s="65">
        <v>500</v>
      </c>
      <c r="E915" s="65">
        <v>0</v>
      </c>
      <c r="F915" s="34"/>
      <c r="G915" s="34"/>
      <c r="H915" s="33"/>
      <c r="I915" s="69"/>
      <c r="J915" s="65"/>
      <c r="K915" s="65"/>
      <c r="L915" s="65"/>
      <c r="M915" s="65"/>
      <c r="N915" s="34"/>
      <c r="O915" s="35"/>
    </row>
    <row r="916" spans="1:15" s="36" customFormat="1" ht="12" x14ac:dyDescent="0.2">
      <c r="A916" s="33"/>
      <c r="B916" s="68">
        <v>44358</v>
      </c>
      <c r="C916" s="64">
        <v>500</v>
      </c>
      <c r="D916" s="64">
        <v>500</v>
      </c>
      <c r="E916" s="64">
        <v>0</v>
      </c>
      <c r="F916" s="34"/>
      <c r="G916" s="34"/>
      <c r="H916" s="33"/>
      <c r="I916" s="68"/>
      <c r="J916" s="64"/>
      <c r="K916" s="64"/>
      <c r="L916" s="64"/>
      <c r="M916" s="64"/>
      <c r="N916" s="34"/>
      <c r="O916" s="35"/>
    </row>
    <row r="917" spans="1:15" s="36" customFormat="1" ht="12" x14ac:dyDescent="0.2">
      <c r="A917" s="33"/>
      <c r="B917" s="69">
        <v>44365</v>
      </c>
      <c r="C917" s="65">
        <v>400</v>
      </c>
      <c r="D917" s="65">
        <v>500</v>
      </c>
      <c r="E917" s="65">
        <v>-100</v>
      </c>
      <c r="F917" s="34"/>
      <c r="G917" s="34"/>
      <c r="H917" s="33"/>
      <c r="I917" s="69"/>
      <c r="J917" s="65"/>
      <c r="K917" s="65"/>
      <c r="L917" s="65"/>
      <c r="M917" s="65"/>
      <c r="N917" s="34"/>
      <c r="O917" s="35"/>
    </row>
    <row r="918" spans="1:15" s="36" customFormat="1" ht="12" x14ac:dyDescent="0.2">
      <c r="A918" s="33"/>
      <c r="B918" s="68">
        <v>44372</v>
      </c>
      <c r="C918" s="64">
        <v>900</v>
      </c>
      <c r="D918" s="64">
        <v>450</v>
      </c>
      <c r="E918" s="64">
        <v>450</v>
      </c>
      <c r="F918" s="34"/>
      <c r="G918" s="34"/>
      <c r="H918" s="33"/>
      <c r="I918" s="68"/>
      <c r="J918" s="64"/>
      <c r="K918" s="64"/>
      <c r="L918" s="64"/>
      <c r="M918" s="64"/>
      <c r="N918" s="34"/>
      <c r="O918" s="35"/>
    </row>
    <row r="919" spans="1:15" s="36" customFormat="1" ht="12" x14ac:dyDescent="0.2">
      <c r="A919" s="33"/>
      <c r="B919" s="69">
        <v>44379</v>
      </c>
      <c r="C919" s="65">
        <v>1150</v>
      </c>
      <c r="D919" s="65">
        <v>900</v>
      </c>
      <c r="E919" s="65">
        <v>250</v>
      </c>
      <c r="F919" s="34"/>
      <c r="G919" s="34"/>
      <c r="H919" s="33"/>
      <c r="I919" s="69"/>
      <c r="J919" s="65"/>
      <c r="K919" s="65"/>
      <c r="L919" s="65"/>
      <c r="M919" s="65"/>
      <c r="N919" s="34"/>
      <c r="O919" s="35"/>
    </row>
    <row r="920" spans="1:15" s="36" customFormat="1" ht="12" x14ac:dyDescent="0.2">
      <c r="A920" s="33"/>
      <c r="B920" s="68">
        <v>44386</v>
      </c>
      <c r="C920" s="64">
        <v>500</v>
      </c>
      <c r="D920" s="64">
        <v>1100</v>
      </c>
      <c r="E920" s="64">
        <v>-600</v>
      </c>
      <c r="F920" s="34"/>
      <c r="G920" s="34"/>
      <c r="H920" s="33"/>
      <c r="I920" s="68"/>
      <c r="J920" s="64"/>
      <c r="K920" s="64"/>
      <c r="L920" s="64"/>
      <c r="M920" s="64"/>
      <c r="N920" s="34"/>
      <c r="O920" s="35"/>
    </row>
    <row r="921" spans="1:15" s="36" customFormat="1" ht="12" x14ac:dyDescent="0.2">
      <c r="A921" s="33"/>
      <c r="B921" s="69">
        <v>44393</v>
      </c>
      <c r="C921" s="65">
        <v>500</v>
      </c>
      <c r="D921" s="65">
        <v>500</v>
      </c>
      <c r="E921" s="65">
        <v>0</v>
      </c>
      <c r="F921" s="34"/>
      <c r="G921" s="34"/>
      <c r="H921" s="33"/>
      <c r="I921" s="69"/>
      <c r="J921" s="65"/>
      <c r="K921" s="65"/>
      <c r="L921" s="65"/>
      <c r="M921" s="65"/>
      <c r="N921" s="34"/>
      <c r="O921" s="35"/>
    </row>
    <row r="922" spans="1:15" s="36" customFormat="1" ht="12" x14ac:dyDescent="0.2">
      <c r="A922" s="33"/>
      <c r="B922" s="68">
        <v>44400</v>
      </c>
      <c r="C922" s="64">
        <v>500</v>
      </c>
      <c r="D922" s="64">
        <v>500</v>
      </c>
      <c r="E922" s="64">
        <v>0</v>
      </c>
      <c r="F922" s="34"/>
      <c r="G922" s="34"/>
      <c r="H922" s="33"/>
      <c r="I922" s="68"/>
      <c r="J922" s="64"/>
      <c r="K922" s="64"/>
      <c r="L922" s="64"/>
      <c r="M922" s="64"/>
      <c r="N922" s="34"/>
      <c r="O922" s="35"/>
    </row>
    <row r="923" spans="1:15" s="36" customFormat="1" ht="12" x14ac:dyDescent="0.2">
      <c r="A923" s="33"/>
      <c r="B923" s="69">
        <v>44407</v>
      </c>
      <c r="C923" s="65">
        <v>950</v>
      </c>
      <c r="D923" s="65">
        <v>550</v>
      </c>
      <c r="E923" s="65">
        <v>400</v>
      </c>
      <c r="F923" s="34"/>
      <c r="G923" s="34"/>
      <c r="H923" s="33"/>
      <c r="I923" s="69"/>
      <c r="J923" s="65"/>
      <c r="K923" s="65"/>
      <c r="L923" s="65"/>
      <c r="M923" s="65"/>
      <c r="N923" s="34"/>
      <c r="O923" s="35"/>
    </row>
    <row r="924" spans="1:15" s="36" customFormat="1" ht="12" x14ac:dyDescent="0.2">
      <c r="A924" s="33"/>
      <c r="B924" s="68">
        <v>44414</v>
      </c>
      <c r="C924" s="64">
        <v>500</v>
      </c>
      <c r="D924" s="64">
        <v>900</v>
      </c>
      <c r="E924" s="64">
        <v>-400</v>
      </c>
      <c r="F924" s="34"/>
      <c r="G924" s="34"/>
      <c r="H924" s="33"/>
      <c r="I924" s="68"/>
      <c r="J924" s="64"/>
      <c r="K924" s="64"/>
      <c r="L924" s="64"/>
      <c r="M924" s="64"/>
      <c r="N924" s="34"/>
      <c r="O924" s="35"/>
    </row>
    <row r="925" spans="1:15" s="36" customFormat="1" ht="12" x14ac:dyDescent="0.2">
      <c r="A925" s="33"/>
      <c r="B925" s="69">
        <v>44421</v>
      </c>
      <c r="C925" s="65">
        <v>500</v>
      </c>
      <c r="D925" s="65">
        <v>500</v>
      </c>
      <c r="E925" s="65">
        <v>0</v>
      </c>
      <c r="F925" s="34"/>
      <c r="G925" s="34"/>
      <c r="H925" s="33"/>
      <c r="I925" s="69"/>
      <c r="J925" s="65"/>
      <c r="K925" s="65"/>
      <c r="L925" s="65"/>
      <c r="M925" s="65"/>
      <c r="N925" s="34"/>
      <c r="O925" s="35"/>
    </row>
    <row r="926" spans="1:15" s="36" customFormat="1" ht="12" x14ac:dyDescent="0.2">
      <c r="A926" s="33"/>
      <c r="B926" s="68">
        <v>44428</v>
      </c>
      <c r="C926" s="64">
        <v>500</v>
      </c>
      <c r="D926" s="64">
        <v>500</v>
      </c>
      <c r="E926" s="64">
        <v>0</v>
      </c>
      <c r="F926" s="34"/>
      <c r="G926" s="34"/>
      <c r="H926" s="33"/>
      <c r="I926" s="68"/>
      <c r="J926" s="64"/>
      <c r="K926" s="64"/>
      <c r="L926" s="64"/>
      <c r="M926" s="64"/>
      <c r="N926" s="34"/>
      <c r="O926" s="35"/>
    </row>
    <row r="927" spans="1:15" s="36" customFormat="1" ht="12" x14ac:dyDescent="0.2">
      <c r="A927" s="33"/>
      <c r="B927" s="69">
        <v>44435</v>
      </c>
      <c r="C927" s="65">
        <v>1750</v>
      </c>
      <c r="D927" s="65">
        <v>500</v>
      </c>
      <c r="E927" s="65">
        <v>1250</v>
      </c>
      <c r="F927" s="34"/>
      <c r="G927" s="34"/>
      <c r="H927" s="33"/>
      <c r="I927" s="69"/>
      <c r="J927" s="65"/>
      <c r="K927" s="65"/>
      <c r="L927" s="65"/>
      <c r="M927" s="65"/>
      <c r="N927" s="34"/>
      <c r="O927" s="35"/>
    </row>
    <row r="928" spans="1:15" s="36" customFormat="1" ht="12" x14ac:dyDescent="0.2">
      <c r="A928" s="33"/>
      <c r="B928" s="68">
        <v>44442</v>
      </c>
      <c r="C928" s="64">
        <v>1300</v>
      </c>
      <c r="D928" s="64">
        <v>1750</v>
      </c>
      <c r="E928" s="64">
        <v>-450</v>
      </c>
      <c r="F928" s="34"/>
      <c r="G928" s="34"/>
      <c r="H928" s="33"/>
      <c r="I928" s="68"/>
      <c r="J928" s="64"/>
      <c r="K928" s="64"/>
      <c r="L928" s="64"/>
      <c r="M928" s="64"/>
      <c r="N928" s="34"/>
      <c r="O928" s="35"/>
    </row>
    <row r="929" spans="1:15" s="36" customFormat="1" ht="12" x14ac:dyDescent="0.2">
      <c r="A929" s="33"/>
      <c r="B929" s="69">
        <v>44449</v>
      </c>
      <c r="C929" s="65">
        <v>500</v>
      </c>
      <c r="D929" s="65">
        <v>1300</v>
      </c>
      <c r="E929" s="65">
        <v>-800</v>
      </c>
      <c r="F929" s="34"/>
      <c r="G929" s="34"/>
      <c r="H929" s="33"/>
      <c r="I929" s="69"/>
      <c r="J929" s="65"/>
      <c r="K929" s="65"/>
      <c r="L929" s="65"/>
      <c r="M929" s="65"/>
      <c r="N929" s="34"/>
      <c r="O929" s="35"/>
    </row>
    <row r="930" spans="1:15" s="36" customFormat="1" ht="12" x14ac:dyDescent="0.2">
      <c r="A930" s="33"/>
      <c r="B930" s="68">
        <v>44456</v>
      </c>
      <c r="C930" s="64">
        <v>1400</v>
      </c>
      <c r="D930" s="64">
        <v>500</v>
      </c>
      <c r="E930" s="64">
        <v>900</v>
      </c>
      <c r="F930" s="34"/>
      <c r="G930" s="34"/>
      <c r="H930" s="33"/>
      <c r="I930" s="68"/>
      <c r="J930" s="64"/>
      <c r="K930" s="64"/>
      <c r="L930" s="64"/>
      <c r="M930" s="64"/>
      <c r="N930" s="34"/>
      <c r="O930" s="35"/>
    </row>
    <row r="931" spans="1:15" s="36" customFormat="1" ht="12" x14ac:dyDescent="0.2">
      <c r="A931" s="33"/>
      <c r="B931" s="69">
        <v>44463</v>
      </c>
      <c r="C931" s="65">
        <v>4600</v>
      </c>
      <c r="D931" s="65">
        <v>900</v>
      </c>
      <c r="E931" s="65">
        <v>3700</v>
      </c>
      <c r="F931" s="34"/>
      <c r="G931" s="34"/>
      <c r="H931" s="33"/>
      <c r="I931" s="69"/>
      <c r="J931" s="65"/>
      <c r="K931" s="65"/>
      <c r="L931" s="65"/>
      <c r="M931" s="65"/>
      <c r="N931" s="34"/>
      <c r="O931" s="35"/>
    </row>
    <row r="932" spans="1:15" s="36" customFormat="1" ht="12" x14ac:dyDescent="0.2">
      <c r="A932" s="33"/>
      <c r="B932" s="68">
        <v>44470</v>
      </c>
      <c r="C932" s="64">
        <v>5050</v>
      </c>
      <c r="D932" s="64">
        <v>2250</v>
      </c>
      <c r="E932" s="64">
        <v>2800</v>
      </c>
      <c r="F932" s="34"/>
      <c r="G932" s="34"/>
      <c r="H932" s="33"/>
      <c r="I932" s="68"/>
      <c r="J932" s="64"/>
      <c r="K932" s="64"/>
      <c r="L932" s="64"/>
      <c r="M932" s="64"/>
      <c r="N932" s="34"/>
      <c r="O932" s="35"/>
    </row>
    <row r="933" spans="1:15" s="36" customFormat="1" ht="12" x14ac:dyDescent="0.2">
      <c r="A933" s="33"/>
      <c r="B933" s="69">
        <v>44477</v>
      </c>
      <c r="C933" s="65">
        <v>100</v>
      </c>
      <c r="D933" s="65">
        <v>2900</v>
      </c>
      <c r="E933" s="65">
        <v>-2800</v>
      </c>
      <c r="F933" s="34"/>
      <c r="G933" s="34"/>
      <c r="H933" s="33"/>
      <c r="I933" s="69"/>
      <c r="J933" s="65"/>
      <c r="K933" s="65"/>
      <c r="L933" s="65"/>
      <c r="M933" s="65"/>
      <c r="N933" s="34"/>
      <c r="O933" s="35"/>
    </row>
    <row r="934" spans="1:15" s="36" customFormat="1" ht="12" x14ac:dyDescent="0.2">
      <c r="A934" s="33"/>
      <c r="B934" s="68">
        <v>44484</v>
      </c>
      <c r="C934" s="64">
        <v>600</v>
      </c>
      <c r="D934" s="64">
        <v>5100</v>
      </c>
      <c r="E934" s="64">
        <v>-4500</v>
      </c>
      <c r="F934" s="34"/>
      <c r="G934" s="34"/>
      <c r="H934" s="33"/>
      <c r="I934" s="68"/>
      <c r="J934" s="64"/>
      <c r="K934" s="64"/>
      <c r="L934" s="64"/>
      <c r="M934" s="64"/>
      <c r="N934" s="34"/>
      <c r="O934" s="35"/>
    </row>
    <row r="935" spans="1:15" s="36" customFormat="1" ht="12" x14ac:dyDescent="0.2">
      <c r="A935" s="33"/>
      <c r="B935" s="69">
        <v>44491</v>
      </c>
      <c r="C935" s="65">
        <v>3200</v>
      </c>
      <c r="D935" s="65">
        <v>600</v>
      </c>
      <c r="E935" s="65">
        <v>2600</v>
      </c>
      <c r="F935" s="34"/>
      <c r="G935" s="34"/>
      <c r="H935" s="33"/>
      <c r="I935" s="69"/>
      <c r="J935" s="65"/>
      <c r="K935" s="65"/>
      <c r="L935" s="65"/>
      <c r="M935" s="65"/>
      <c r="N935" s="34"/>
      <c r="O935" s="35"/>
    </row>
    <row r="936" spans="1:15" s="36" customFormat="1" ht="12" x14ac:dyDescent="0.2">
      <c r="A936" s="33"/>
      <c r="B936" s="68">
        <v>44498</v>
      </c>
      <c r="C936" s="64">
        <v>10050</v>
      </c>
      <c r="D936" s="64">
        <v>3250</v>
      </c>
      <c r="E936" s="64">
        <v>6800</v>
      </c>
      <c r="F936" s="34"/>
      <c r="G936" s="34"/>
      <c r="H936" s="33"/>
      <c r="I936" s="68"/>
      <c r="J936" s="64"/>
      <c r="K936" s="64"/>
      <c r="L936" s="64"/>
      <c r="M936" s="64"/>
      <c r="N936" s="34"/>
      <c r="O936" s="35"/>
    </row>
    <row r="937" spans="1:15" s="36" customFormat="1" ht="12" x14ac:dyDescent="0.2">
      <c r="A937" s="33"/>
      <c r="B937" s="69">
        <v>44505</v>
      </c>
      <c r="C937" s="65">
        <v>2200</v>
      </c>
      <c r="D937" s="65">
        <v>10000</v>
      </c>
      <c r="E937" s="65">
        <v>-7800</v>
      </c>
      <c r="F937" s="34"/>
      <c r="G937" s="34"/>
      <c r="H937" s="33"/>
      <c r="I937" s="69"/>
      <c r="J937" s="65"/>
      <c r="K937" s="65"/>
      <c r="L937" s="65"/>
      <c r="M937" s="65"/>
      <c r="N937" s="34"/>
      <c r="O937" s="35"/>
    </row>
    <row r="938" spans="1:15" s="36" customFormat="1" ht="12" x14ac:dyDescent="0.2">
      <c r="A938" s="33"/>
      <c r="B938" s="68">
        <v>44512</v>
      </c>
      <c r="C938" s="64">
        <v>5000</v>
      </c>
      <c r="D938" s="64">
        <v>2200</v>
      </c>
      <c r="E938" s="64">
        <v>2800</v>
      </c>
      <c r="F938" s="34"/>
      <c r="G938" s="34"/>
      <c r="H938" s="33"/>
      <c r="I938" s="68"/>
      <c r="J938" s="64"/>
      <c r="K938" s="64"/>
      <c r="L938" s="64"/>
      <c r="M938" s="64"/>
      <c r="N938" s="34"/>
      <c r="O938" s="35"/>
    </row>
    <row r="939" spans="1:15" s="36" customFormat="1" ht="12" x14ac:dyDescent="0.2">
      <c r="A939" s="33"/>
      <c r="B939" s="69">
        <v>44519</v>
      </c>
      <c r="C939" s="65">
        <v>2100</v>
      </c>
      <c r="D939" s="65">
        <v>5000</v>
      </c>
      <c r="E939" s="65">
        <v>-2900</v>
      </c>
      <c r="F939" s="34"/>
      <c r="G939" s="34"/>
      <c r="H939" s="33"/>
      <c r="I939" s="69"/>
      <c r="J939" s="65"/>
      <c r="K939" s="65"/>
      <c r="L939" s="65"/>
      <c r="M939" s="65"/>
      <c r="N939" s="34"/>
      <c r="O939" s="35"/>
    </row>
    <row r="940" spans="1:15" s="36" customFormat="1" ht="12" x14ac:dyDescent="0.2">
      <c r="A940" s="33"/>
      <c r="B940" s="68">
        <v>44526</v>
      </c>
      <c r="C940" s="64">
        <v>4000</v>
      </c>
      <c r="D940" s="64">
        <v>2100</v>
      </c>
      <c r="E940" s="64">
        <v>1900</v>
      </c>
      <c r="F940" s="34"/>
      <c r="G940" s="34"/>
      <c r="H940" s="33"/>
      <c r="I940" s="68"/>
      <c r="J940" s="64"/>
      <c r="K940" s="64"/>
      <c r="L940" s="64"/>
      <c r="M940" s="64"/>
      <c r="N940" s="34"/>
      <c r="O940" s="35"/>
    </row>
    <row r="941" spans="1:15" s="36" customFormat="1" ht="12" x14ac:dyDescent="0.2">
      <c r="A941" s="33"/>
      <c r="B941" s="69">
        <v>44533</v>
      </c>
      <c r="C941" s="65">
        <v>2350</v>
      </c>
      <c r="D941" s="65">
        <v>4050</v>
      </c>
      <c r="E941" s="65">
        <v>-1700</v>
      </c>
      <c r="F941" s="34"/>
      <c r="G941" s="34"/>
      <c r="H941" s="33"/>
      <c r="I941" s="69"/>
      <c r="J941" s="65"/>
      <c r="K941" s="65"/>
      <c r="L941" s="65"/>
      <c r="M941" s="65"/>
      <c r="N941" s="34"/>
      <c r="O941" s="35"/>
    </row>
    <row r="942" spans="1:15" s="36" customFormat="1" ht="12" x14ac:dyDescent="0.2">
      <c r="A942" s="33"/>
      <c r="B942" s="68">
        <v>44540</v>
      </c>
      <c r="C942" s="64">
        <v>500</v>
      </c>
      <c r="D942" s="64">
        <v>2300</v>
      </c>
      <c r="E942" s="64">
        <v>-1800</v>
      </c>
      <c r="F942" s="34"/>
      <c r="G942" s="34"/>
      <c r="H942" s="33"/>
      <c r="I942" s="68"/>
      <c r="J942" s="64"/>
      <c r="K942" s="64"/>
      <c r="L942" s="64"/>
      <c r="M942" s="64"/>
      <c r="N942" s="34"/>
      <c r="O942" s="35"/>
    </row>
    <row r="943" spans="1:15" s="36" customFormat="1" ht="12" x14ac:dyDescent="0.2">
      <c r="A943" s="33"/>
      <c r="B943" s="69">
        <v>44547</v>
      </c>
      <c r="C943" s="65">
        <v>500</v>
      </c>
      <c r="D943" s="65">
        <v>500</v>
      </c>
      <c r="E943" s="65">
        <v>0</v>
      </c>
      <c r="F943" s="34"/>
      <c r="G943" s="34"/>
      <c r="H943" s="33"/>
      <c r="I943" s="69"/>
      <c r="J943" s="65"/>
      <c r="K943" s="65"/>
      <c r="L943" s="65"/>
      <c r="M943" s="65"/>
      <c r="N943" s="34"/>
      <c r="O943" s="35"/>
    </row>
    <row r="944" spans="1:15" s="36" customFormat="1" ht="12" x14ac:dyDescent="0.2">
      <c r="A944" s="33"/>
      <c r="B944" s="68">
        <v>44554</v>
      </c>
      <c r="C944" s="64">
        <v>1000</v>
      </c>
      <c r="D944" s="64">
        <v>500</v>
      </c>
      <c r="E944" s="64">
        <v>500</v>
      </c>
      <c r="F944" s="34"/>
      <c r="G944" s="34"/>
      <c r="H944" s="33"/>
      <c r="I944" s="68"/>
      <c r="J944" s="64"/>
      <c r="K944" s="64"/>
      <c r="L944" s="64"/>
      <c r="M944" s="64"/>
      <c r="N944" s="34"/>
      <c r="O944" s="35"/>
    </row>
    <row r="945" spans="1:15" s="36" customFormat="1" ht="12" x14ac:dyDescent="0.2">
      <c r="A945" s="33"/>
      <c r="B945" s="69">
        <v>44561</v>
      </c>
      <c r="C945" s="65">
        <v>6550</v>
      </c>
      <c r="D945" s="65">
        <v>550</v>
      </c>
      <c r="E945" s="65">
        <v>6000</v>
      </c>
      <c r="F945" s="34"/>
      <c r="G945" s="34"/>
      <c r="H945" s="33"/>
      <c r="I945" s="69"/>
      <c r="J945" s="65"/>
      <c r="K945" s="65"/>
      <c r="L945" s="65"/>
      <c r="M945" s="65"/>
      <c r="N945" s="34"/>
      <c r="O945" s="35"/>
    </row>
    <row r="946" spans="1:15" s="36" customFormat="1" ht="12" x14ac:dyDescent="0.2">
      <c r="A946" s="33"/>
      <c r="B946" s="68">
        <v>44568</v>
      </c>
      <c r="C946" s="64">
        <v>400</v>
      </c>
      <c r="D946" s="64">
        <v>7000</v>
      </c>
      <c r="E946" s="64">
        <v>-6600</v>
      </c>
      <c r="F946" s="34"/>
      <c r="G946" s="34"/>
      <c r="H946" s="33"/>
      <c r="I946" s="68"/>
      <c r="J946" s="64"/>
      <c r="K946" s="64"/>
      <c r="L946" s="64"/>
      <c r="M946" s="64"/>
      <c r="N946" s="34"/>
      <c r="O946" s="35"/>
    </row>
    <row r="947" spans="1:15" s="36" customFormat="1" ht="12" x14ac:dyDescent="0.2">
      <c r="A947" s="33"/>
      <c r="B947" s="69">
        <v>44575</v>
      </c>
      <c r="C947" s="65">
        <v>500</v>
      </c>
      <c r="D947" s="65">
        <v>400</v>
      </c>
      <c r="E947" s="65">
        <v>100</v>
      </c>
      <c r="F947" s="34"/>
      <c r="G947" s="34"/>
      <c r="H947" s="33"/>
      <c r="I947" s="69"/>
      <c r="J947" s="65"/>
      <c r="K947" s="65"/>
      <c r="L947" s="65"/>
      <c r="M947" s="65"/>
      <c r="N947" s="34"/>
      <c r="O947" s="35"/>
    </row>
    <row r="948" spans="1:15" s="36" customFormat="1" ht="12" x14ac:dyDescent="0.2">
      <c r="A948" s="33"/>
      <c r="B948" s="68">
        <v>44582</v>
      </c>
      <c r="C948" s="64">
        <v>5000</v>
      </c>
      <c r="D948" s="64">
        <v>500</v>
      </c>
      <c r="E948" s="64">
        <v>4500</v>
      </c>
      <c r="F948" s="34"/>
      <c r="G948" s="34"/>
      <c r="H948" s="33"/>
      <c r="I948" s="68"/>
      <c r="J948" s="64"/>
      <c r="K948" s="64"/>
      <c r="L948" s="64"/>
      <c r="M948" s="64"/>
      <c r="N948" s="34"/>
      <c r="O948" s="35"/>
    </row>
    <row r="949" spans="1:15" s="36" customFormat="1" ht="12" x14ac:dyDescent="0.2">
      <c r="A949" s="33"/>
      <c r="B949" s="69">
        <v>44589</v>
      </c>
      <c r="C949" s="65">
        <v>9000</v>
      </c>
      <c r="D949" s="65">
        <v>5000</v>
      </c>
      <c r="E949" s="65">
        <v>4000</v>
      </c>
      <c r="F949" s="34"/>
      <c r="G949" s="34"/>
      <c r="H949" s="33"/>
      <c r="I949" s="69"/>
      <c r="J949" s="65"/>
      <c r="K949" s="65"/>
      <c r="L949" s="65"/>
      <c r="M949" s="65"/>
      <c r="N949" s="34"/>
      <c r="O949" s="35"/>
    </row>
    <row r="950" spans="1:15" s="36" customFormat="1" ht="12" x14ac:dyDescent="0.2">
      <c r="A950" s="33"/>
      <c r="B950" s="68">
        <v>44596</v>
      </c>
      <c r="C950" s="64">
        <v>2050</v>
      </c>
      <c r="D950" s="64">
        <v>50</v>
      </c>
      <c r="E950" s="64">
        <v>2000</v>
      </c>
      <c r="F950" s="34"/>
      <c r="G950" s="34"/>
      <c r="H950" s="33"/>
      <c r="I950" s="68"/>
      <c r="J950" s="64"/>
      <c r="K950" s="64"/>
      <c r="L950" s="64"/>
      <c r="M950" s="64"/>
      <c r="N950" s="34"/>
      <c r="O950" s="35"/>
    </row>
    <row r="951" spans="1:15" s="36" customFormat="1" ht="12" x14ac:dyDescent="0.2">
      <c r="A951" s="33"/>
      <c r="B951" s="69">
        <v>44603</v>
      </c>
      <c r="C951" s="65">
        <v>1000</v>
      </c>
      <c r="D951" s="65">
        <v>9000</v>
      </c>
      <c r="E951" s="65">
        <v>-8000</v>
      </c>
      <c r="F951" s="34"/>
      <c r="G951" s="34"/>
      <c r="H951" s="33"/>
      <c r="I951" s="69"/>
      <c r="J951" s="65"/>
      <c r="K951" s="65"/>
      <c r="L951" s="65"/>
      <c r="M951" s="65"/>
      <c r="N951" s="34"/>
      <c r="O951" s="35"/>
    </row>
    <row r="952" spans="1:15" s="36" customFormat="1" ht="12" x14ac:dyDescent="0.2">
      <c r="A952" s="33"/>
      <c r="B952" s="68">
        <v>44610</v>
      </c>
      <c r="C952" s="64">
        <v>500</v>
      </c>
      <c r="D952" s="64">
        <v>3000</v>
      </c>
      <c r="E952" s="64">
        <v>-2500</v>
      </c>
      <c r="F952" s="34"/>
      <c r="G952" s="34"/>
      <c r="H952" s="33"/>
      <c r="I952" s="68"/>
      <c r="J952" s="64"/>
      <c r="K952" s="64"/>
      <c r="L952" s="64"/>
      <c r="M952" s="64"/>
      <c r="N952" s="34"/>
      <c r="O952" s="35"/>
    </row>
    <row r="953" spans="1:15" s="36" customFormat="1" ht="12" x14ac:dyDescent="0.2">
      <c r="A953" s="33"/>
      <c r="B953" s="69">
        <v>44617</v>
      </c>
      <c r="C953" s="65">
        <v>8100</v>
      </c>
      <c r="D953" s="65">
        <v>500</v>
      </c>
      <c r="E953" s="65">
        <v>7600</v>
      </c>
      <c r="F953" s="34"/>
      <c r="G953" s="34"/>
      <c r="H953" s="33"/>
      <c r="I953" s="69"/>
      <c r="J953" s="65"/>
      <c r="K953" s="65"/>
      <c r="L953" s="65"/>
      <c r="M953" s="65"/>
      <c r="N953" s="34"/>
      <c r="O953" s="35"/>
    </row>
    <row r="954" spans="1:15" s="36" customFormat="1" ht="12" x14ac:dyDescent="0.2">
      <c r="A954" s="33"/>
      <c r="B954" s="68">
        <v>44624</v>
      </c>
      <c r="C954" s="64">
        <v>3850</v>
      </c>
      <c r="D954" s="64">
        <v>8150</v>
      </c>
      <c r="E954" s="64">
        <v>-4300</v>
      </c>
      <c r="F954" s="34"/>
      <c r="G954" s="34"/>
      <c r="H954" s="33"/>
      <c r="I954" s="68"/>
      <c r="J954" s="64"/>
      <c r="K954" s="64"/>
      <c r="L954" s="64"/>
      <c r="M954" s="64"/>
      <c r="N954" s="34"/>
      <c r="O954" s="35"/>
    </row>
    <row r="955" spans="1:15" s="36" customFormat="1" ht="12" x14ac:dyDescent="0.2">
      <c r="A955" s="33"/>
      <c r="B955" s="69">
        <v>44631</v>
      </c>
      <c r="C955" s="65">
        <v>500</v>
      </c>
      <c r="D955" s="65">
        <v>3800</v>
      </c>
      <c r="E955" s="65">
        <v>-3300</v>
      </c>
      <c r="F955" s="34"/>
      <c r="G955" s="34"/>
      <c r="H955" s="33"/>
      <c r="I955" s="69"/>
      <c r="J955" s="65"/>
      <c r="K955" s="65"/>
      <c r="L955" s="65"/>
      <c r="M955" s="65"/>
      <c r="N955" s="34"/>
      <c r="O955" s="35"/>
    </row>
    <row r="956" spans="1:15" s="36" customFormat="1" ht="12" x14ac:dyDescent="0.2">
      <c r="A956" s="33"/>
      <c r="B956" s="68">
        <v>44638</v>
      </c>
      <c r="C956" s="64">
        <v>1400</v>
      </c>
      <c r="D956" s="64">
        <v>500</v>
      </c>
      <c r="E956" s="64">
        <v>900</v>
      </c>
      <c r="F956" s="34"/>
      <c r="G956" s="34"/>
      <c r="H956" s="33"/>
      <c r="I956" s="68"/>
      <c r="J956" s="64"/>
      <c r="K956" s="64"/>
      <c r="L956" s="64"/>
      <c r="M956" s="64"/>
      <c r="N956" s="34"/>
      <c r="O956" s="35"/>
    </row>
    <row r="957" spans="1:15" s="36" customFormat="1" ht="12" x14ac:dyDescent="0.2">
      <c r="A957" s="33"/>
      <c r="B957" s="69">
        <v>44645</v>
      </c>
      <c r="C957" s="65">
        <v>1900</v>
      </c>
      <c r="D957" s="65">
        <v>1400</v>
      </c>
      <c r="E957" s="65">
        <v>500</v>
      </c>
      <c r="F957" s="34"/>
      <c r="G957" s="34"/>
      <c r="H957" s="33"/>
      <c r="I957" s="69"/>
      <c r="J957" s="65"/>
      <c r="K957" s="65"/>
      <c r="L957" s="65"/>
      <c r="M957" s="65"/>
      <c r="N957" s="34"/>
      <c r="O957" s="35"/>
    </row>
    <row r="958" spans="1:15" s="36" customFormat="1" ht="12" x14ac:dyDescent="0.2">
      <c r="A958" s="33"/>
      <c r="B958" s="68">
        <v>44652</v>
      </c>
      <c r="C958" s="64">
        <v>6150</v>
      </c>
      <c r="D958" s="64">
        <v>1950</v>
      </c>
      <c r="E958" s="64">
        <v>4200</v>
      </c>
      <c r="F958" s="34"/>
      <c r="G958" s="34"/>
      <c r="H958" s="33"/>
      <c r="I958" s="68"/>
      <c r="J958" s="64"/>
      <c r="K958" s="64"/>
      <c r="L958" s="64"/>
      <c r="M958" s="64"/>
      <c r="N958" s="34"/>
      <c r="O958" s="35"/>
    </row>
    <row r="959" spans="1:15" s="36" customFormat="1" ht="12" x14ac:dyDescent="0.2">
      <c r="A959" s="33"/>
      <c r="B959" s="69">
        <v>44659</v>
      </c>
      <c r="C959" s="65">
        <v>400</v>
      </c>
      <c r="D959" s="65">
        <v>6100</v>
      </c>
      <c r="E959" s="65">
        <v>-5700</v>
      </c>
      <c r="F959" s="34"/>
      <c r="G959" s="34"/>
      <c r="H959" s="33"/>
      <c r="I959" s="69"/>
      <c r="J959" s="65"/>
      <c r="K959" s="65"/>
      <c r="L959" s="65"/>
      <c r="M959" s="65"/>
      <c r="N959" s="34"/>
      <c r="O959" s="35"/>
    </row>
    <row r="960" spans="1:15" s="36" customFormat="1" ht="12" x14ac:dyDescent="0.2">
      <c r="A960" s="33"/>
      <c r="B960" s="68">
        <v>44666</v>
      </c>
      <c r="C960" s="64">
        <v>600</v>
      </c>
      <c r="D960" s="64">
        <v>400</v>
      </c>
      <c r="E960" s="64">
        <v>200</v>
      </c>
      <c r="F960" s="34"/>
      <c r="G960" s="34"/>
      <c r="H960" s="33"/>
      <c r="I960" s="68"/>
      <c r="J960" s="64"/>
      <c r="K960" s="64"/>
      <c r="L960" s="64"/>
      <c r="M960" s="64"/>
      <c r="N960" s="34"/>
      <c r="O960" s="35"/>
    </row>
    <row r="961" spans="1:15" s="36" customFormat="1" ht="12" x14ac:dyDescent="0.2">
      <c r="A961" s="33"/>
      <c r="B961" s="69">
        <v>44673</v>
      </c>
      <c r="C961" s="65">
        <v>500</v>
      </c>
      <c r="D961" s="65">
        <v>600</v>
      </c>
      <c r="E961" s="65">
        <v>-100</v>
      </c>
      <c r="F961" s="34"/>
      <c r="G961" s="34"/>
      <c r="H961" s="33"/>
      <c r="I961" s="69"/>
      <c r="J961" s="65"/>
      <c r="K961" s="65"/>
      <c r="L961" s="65"/>
      <c r="M961" s="65"/>
      <c r="N961" s="34"/>
      <c r="O961" s="35"/>
    </row>
    <row r="962" spans="1:15" s="36" customFormat="1" ht="12" x14ac:dyDescent="0.2">
      <c r="A962" s="33"/>
      <c r="B962" s="68">
        <v>44680</v>
      </c>
      <c r="C962" s="64">
        <v>650</v>
      </c>
      <c r="D962" s="64">
        <v>550</v>
      </c>
      <c r="E962" s="64">
        <v>100</v>
      </c>
      <c r="F962" s="34"/>
      <c r="G962" s="34"/>
      <c r="H962" s="33"/>
      <c r="I962" s="68"/>
      <c r="J962" s="64"/>
      <c r="K962" s="64"/>
      <c r="L962" s="64"/>
      <c r="M962" s="64"/>
      <c r="N962" s="34"/>
      <c r="O962" s="35"/>
    </row>
    <row r="963" spans="1:15" s="36" customFormat="1" ht="12" x14ac:dyDescent="0.2">
      <c r="A963" s="33"/>
      <c r="B963" s="69">
        <v>44687</v>
      </c>
      <c r="C963" s="65">
        <v>200</v>
      </c>
      <c r="D963" s="65">
        <v>600</v>
      </c>
      <c r="E963" s="65">
        <v>-400</v>
      </c>
      <c r="F963" s="34"/>
      <c r="G963" s="34"/>
      <c r="H963" s="33"/>
      <c r="I963" s="69"/>
      <c r="J963" s="65"/>
      <c r="K963" s="65"/>
      <c r="L963" s="65"/>
      <c r="M963" s="65"/>
      <c r="N963" s="34"/>
      <c r="O963" s="35"/>
    </row>
    <row r="964" spans="1:15" s="36" customFormat="1" ht="12" x14ac:dyDescent="0.2">
      <c r="A964" s="33"/>
      <c r="B964" s="68">
        <v>44694</v>
      </c>
      <c r="C964" s="64">
        <v>600</v>
      </c>
      <c r="D964" s="64">
        <v>200</v>
      </c>
      <c r="E964" s="64">
        <v>400</v>
      </c>
      <c r="F964" s="34"/>
      <c r="G964" s="34"/>
      <c r="H964" s="33"/>
      <c r="I964" s="68"/>
      <c r="J964" s="64"/>
      <c r="K964" s="64"/>
      <c r="L964" s="64"/>
      <c r="M964" s="64"/>
      <c r="N964" s="34"/>
      <c r="O964" s="35"/>
    </row>
    <row r="965" spans="1:15" s="36" customFormat="1" ht="12" x14ac:dyDescent="0.2">
      <c r="A965" s="33"/>
      <c r="B965" s="69">
        <v>44701</v>
      </c>
      <c r="C965" s="65">
        <v>500</v>
      </c>
      <c r="D965" s="65">
        <v>600</v>
      </c>
      <c r="E965" s="65">
        <v>-100</v>
      </c>
      <c r="F965" s="34"/>
      <c r="G965" s="34"/>
      <c r="H965" s="33"/>
      <c r="I965" s="69"/>
      <c r="J965" s="65"/>
      <c r="K965" s="65"/>
      <c r="L965" s="65"/>
      <c r="M965" s="65"/>
      <c r="N965" s="34"/>
      <c r="O965" s="35"/>
    </row>
    <row r="966" spans="1:15" s="36" customFormat="1" ht="12" x14ac:dyDescent="0.2">
      <c r="A966" s="33"/>
      <c r="B966" s="68">
        <v>44708</v>
      </c>
      <c r="C966" s="64">
        <v>500</v>
      </c>
      <c r="D966" s="64">
        <v>500</v>
      </c>
      <c r="E966" s="64">
        <v>0</v>
      </c>
      <c r="F966" s="34"/>
      <c r="G966" s="34"/>
      <c r="H966" s="33"/>
      <c r="I966" s="68"/>
      <c r="J966" s="64"/>
      <c r="K966" s="64"/>
      <c r="L966" s="64"/>
      <c r="M966" s="64"/>
      <c r="N966" s="34"/>
      <c r="O966" s="35"/>
    </row>
    <row r="967" spans="1:15" s="36" customFormat="1" ht="12" x14ac:dyDescent="0.2">
      <c r="A967" s="33"/>
      <c r="B967" s="69">
        <v>44715</v>
      </c>
      <c r="C967" s="65">
        <v>450</v>
      </c>
      <c r="D967" s="65">
        <v>450</v>
      </c>
      <c r="E967" s="65">
        <v>0</v>
      </c>
      <c r="F967" s="34"/>
      <c r="G967" s="34"/>
      <c r="H967" s="33"/>
      <c r="I967" s="69"/>
      <c r="J967" s="65"/>
      <c r="K967" s="65"/>
      <c r="L967" s="65"/>
      <c r="M967" s="65"/>
      <c r="N967" s="34"/>
      <c r="O967" s="35"/>
    </row>
    <row r="968" spans="1:15" s="36" customFormat="1" ht="12" x14ac:dyDescent="0.2">
      <c r="A968" s="33"/>
      <c r="B968" s="68">
        <v>44722</v>
      </c>
      <c r="C968" s="64">
        <v>500</v>
      </c>
      <c r="D968" s="64">
        <v>500</v>
      </c>
      <c r="E968" s="64">
        <v>0</v>
      </c>
      <c r="F968" s="34"/>
      <c r="G968" s="34"/>
      <c r="H968" s="33"/>
      <c r="I968" s="68"/>
      <c r="J968" s="64"/>
      <c r="K968" s="64"/>
      <c r="L968" s="64"/>
      <c r="M968" s="64"/>
      <c r="N968" s="34"/>
      <c r="O968" s="35"/>
    </row>
    <row r="969" spans="1:15" s="36" customFormat="1" ht="12" x14ac:dyDescent="0.2">
      <c r="A969" s="33"/>
      <c r="B969" s="69">
        <v>44729</v>
      </c>
      <c r="C969" s="65">
        <v>500</v>
      </c>
      <c r="D969" s="65">
        <v>500</v>
      </c>
      <c r="E969" s="65">
        <v>0</v>
      </c>
      <c r="F969" s="34"/>
      <c r="G969" s="34"/>
      <c r="H969" s="33"/>
      <c r="I969" s="69"/>
      <c r="J969" s="65"/>
      <c r="K969" s="65"/>
      <c r="L969" s="65"/>
      <c r="M969" s="65"/>
      <c r="N969" s="34"/>
      <c r="O969" s="35"/>
    </row>
    <row r="970" spans="1:15" s="36" customFormat="1" ht="12" x14ac:dyDescent="0.2">
      <c r="A970" s="33"/>
      <c r="B970" s="68">
        <v>44736</v>
      </c>
      <c r="C970" s="64">
        <v>1000</v>
      </c>
      <c r="D970" s="64">
        <v>500</v>
      </c>
      <c r="E970" s="64">
        <v>500</v>
      </c>
      <c r="F970" s="34"/>
      <c r="G970" s="34"/>
      <c r="H970" s="33"/>
      <c r="I970" s="68"/>
      <c r="J970" s="64"/>
      <c r="K970" s="64"/>
      <c r="L970" s="64"/>
      <c r="M970" s="64"/>
      <c r="N970" s="34"/>
      <c r="O970" s="35"/>
    </row>
    <row r="971" spans="1:15" s="36" customFormat="1" ht="12" x14ac:dyDescent="0.2">
      <c r="A971" s="33"/>
      <c r="B971" s="69">
        <v>44743</v>
      </c>
      <c r="C971" s="65">
        <v>4050</v>
      </c>
      <c r="D971" s="65">
        <v>1050</v>
      </c>
      <c r="E971" s="65">
        <v>3000</v>
      </c>
      <c r="F971" s="34"/>
      <c r="G971" s="34"/>
      <c r="H971" s="33"/>
      <c r="I971" s="69"/>
      <c r="J971" s="65"/>
      <c r="K971" s="65"/>
      <c r="L971" s="65"/>
      <c r="M971" s="65"/>
      <c r="N971" s="34"/>
      <c r="O971" s="35"/>
    </row>
    <row r="972" spans="1:15" s="36" customFormat="1" ht="12" x14ac:dyDescent="0.2">
      <c r="A972" s="33"/>
      <c r="B972" s="68">
        <v>44750</v>
      </c>
      <c r="C972" s="64">
        <v>150</v>
      </c>
      <c r="D972" s="64">
        <v>4000</v>
      </c>
      <c r="E972" s="64">
        <v>-3850</v>
      </c>
      <c r="F972" s="34"/>
      <c r="G972" s="34"/>
      <c r="H972" s="33"/>
      <c r="I972" s="68"/>
      <c r="J972" s="64"/>
      <c r="K972" s="64"/>
      <c r="L972" s="64"/>
      <c r="M972" s="64"/>
      <c r="N972" s="34"/>
      <c r="O972" s="35"/>
    </row>
    <row r="973" spans="1:15" s="36" customFormat="1" ht="12" x14ac:dyDescent="0.2">
      <c r="A973" s="33"/>
      <c r="B973" s="69">
        <v>44757</v>
      </c>
      <c r="C973" s="65">
        <v>150</v>
      </c>
      <c r="D973" s="65">
        <v>150</v>
      </c>
      <c r="E973" s="65">
        <v>0</v>
      </c>
      <c r="F973" s="34"/>
      <c r="G973" s="34"/>
      <c r="H973" s="33"/>
      <c r="I973" s="69"/>
      <c r="J973" s="65"/>
      <c r="K973" s="65"/>
      <c r="L973" s="65"/>
      <c r="M973" s="65"/>
      <c r="N973" s="34"/>
      <c r="O973" s="35"/>
    </row>
    <row r="974" spans="1:15" s="36" customFormat="1" ht="12" x14ac:dyDescent="0.2">
      <c r="A974" s="33"/>
      <c r="B974" s="68">
        <v>44764</v>
      </c>
      <c r="C974" s="64">
        <v>280</v>
      </c>
      <c r="D974" s="64">
        <v>150</v>
      </c>
      <c r="E974" s="64">
        <v>130</v>
      </c>
      <c r="F974" s="34"/>
      <c r="G974" s="34"/>
      <c r="H974" s="33"/>
      <c r="I974" s="68"/>
      <c r="J974" s="64"/>
      <c r="K974" s="64"/>
      <c r="L974" s="64"/>
      <c r="M974" s="64"/>
      <c r="N974" s="34"/>
      <c r="O974" s="35"/>
    </row>
    <row r="975" spans="1:15" s="36" customFormat="1" ht="12" x14ac:dyDescent="0.2">
      <c r="A975" s="33"/>
      <c r="B975" s="69">
        <v>44771</v>
      </c>
      <c r="C975" s="65">
        <v>210</v>
      </c>
      <c r="D975" s="65">
        <v>330</v>
      </c>
      <c r="E975" s="65">
        <v>-120</v>
      </c>
      <c r="F975" s="34"/>
      <c r="G975" s="34"/>
      <c r="H975" s="33"/>
      <c r="I975" s="69"/>
      <c r="J975" s="65"/>
      <c r="K975" s="65"/>
      <c r="L975" s="65"/>
      <c r="M975" s="65"/>
      <c r="N975" s="34"/>
      <c r="O975" s="35"/>
    </row>
    <row r="976" spans="1:15" s="36" customFormat="1" ht="12" x14ac:dyDescent="0.2">
      <c r="A976" s="33"/>
      <c r="B976" s="68">
        <v>44778</v>
      </c>
      <c r="C976" s="64">
        <v>100</v>
      </c>
      <c r="D976" s="64">
        <v>160</v>
      </c>
      <c r="E976" s="64">
        <v>-60</v>
      </c>
      <c r="F976" s="34"/>
      <c r="G976" s="34"/>
      <c r="H976" s="33"/>
      <c r="I976" s="68"/>
      <c r="J976" s="64"/>
      <c r="K976" s="64"/>
      <c r="L976" s="64"/>
      <c r="M976" s="64"/>
      <c r="N976" s="34"/>
      <c r="O976" s="35"/>
    </row>
    <row r="977" spans="1:15" s="36" customFormat="1" ht="12" x14ac:dyDescent="0.2">
      <c r="A977" s="33"/>
      <c r="B977" s="69">
        <v>44785</v>
      </c>
      <c r="C977" s="65">
        <v>100</v>
      </c>
      <c r="D977" s="65">
        <v>100</v>
      </c>
      <c r="E977" s="65">
        <v>0</v>
      </c>
      <c r="F977" s="34"/>
      <c r="G977" s="34"/>
      <c r="H977" s="33"/>
      <c r="I977" s="69"/>
      <c r="J977" s="65"/>
      <c r="K977" s="65"/>
      <c r="L977" s="65"/>
      <c r="M977" s="65"/>
      <c r="N977" s="34"/>
      <c r="O977" s="35"/>
    </row>
    <row r="978" spans="1:15" s="36" customFormat="1" ht="12" x14ac:dyDescent="0.2">
      <c r="A978" s="33"/>
      <c r="B978" s="68">
        <v>44792</v>
      </c>
      <c r="C978" s="64">
        <v>100</v>
      </c>
      <c r="D978" s="64">
        <v>100</v>
      </c>
      <c r="E978" s="64">
        <v>0</v>
      </c>
      <c r="F978" s="34"/>
      <c r="G978" s="34"/>
      <c r="H978" s="33"/>
      <c r="I978" s="68"/>
      <c r="J978" s="64"/>
      <c r="K978" s="64"/>
      <c r="L978" s="64"/>
      <c r="M978" s="64"/>
      <c r="N978" s="34"/>
      <c r="O978" s="35"/>
    </row>
    <row r="979" spans="1:15" s="36" customFormat="1" ht="12" x14ac:dyDescent="0.2">
      <c r="A979" s="33"/>
      <c r="B979" s="69">
        <v>44799</v>
      </c>
      <c r="C979" s="65">
        <v>100</v>
      </c>
      <c r="D979" s="65">
        <v>100</v>
      </c>
      <c r="E979" s="65">
        <v>0</v>
      </c>
      <c r="F979" s="34"/>
      <c r="G979" s="34"/>
      <c r="H979" s="33"/>
      <c r="I979" s="69"/>
      <c r="J979" s="65"/>
      <c r="K979" s="65"/>
      <c r="L979" s="65"/>
      <c r="M979" s="65"/>
      <c r="N979" s="34"/>
      <c r="O979" s="35"/>
    </row>
    <row r="980" spans="1:15" s="36" customFormat="1" ht="12" x14ac:dyDescent="0.2">
      <c r="A980" s="33"/>
      <c r="B980" s="68">
        <v>44806</v>
      </c>
      <c r="C980" s="64">
        <v>150</v>
      </c>
      <c r="D980" s="64">
        <v>150</v>
      </c>
      <c r="E980" s="64">
        <v>0</v>
      </c>
      <c r="F980" s="34"/>
      <c r="G980" s="34"/>
      <c r="H980" s="33"/>
      <c r="I980" s="68"/>
      <c r="J980" s="64"/>
      <c r="K980" s="64"/>
      <c r="L980" s="64"/>
      <c r="M980" s="64"/>
      <c r="N980" s="34"/>
      <c r="O980" s="35"/>
    </row>
    <row r="981" spans="1:15" s="36" customFormat="1" ht="12" x14ac:dyDescent="0.2">
      <c r="A981" s="33"/>
      <c r="B981" s="69">
        <v>44813</v>
      </c>
      <c r="C981" s="65">
        <v>100</v>
      </c>
      <c r="D981" s="65">
        <v>100</v>
      </c>
      <c r="E981" s="65">
        <v>0</v>
      </c>
      <c r="F981" s="34"/>
      <c r="G981" s="34"/>
      <c r="H981" s="33"/>
      <c r="I981" s="69"/>
      <c r="J981" s="65"/>
      <c r="K981" s="65"/>
      <c r="L981" s="65"/>
      <c r="M981" s="65"/>
      <c r="N981" s="34"/>
      <c r="O981" s="35"/>
    </row>
    <row r="982" spans="1:15" s="36" customFormat="1" ht="12" x14ac:dyDescent="0.2">
      <c r="A982" s="33"/>
      <c r="B982" s="68">
        <v>44820</v>
      </c>
      <c r="C982" s="64">
        <v>80</v>
      </c>
      <c r="D982" s="64">
        <v>100</v>
      </c>
      <c r="E982" s="64">
        <v>-20</v>
      </c>
      <c r="F982" s="34"/>
      <c r="G982" s="34"/>
      <c r="H982" s="33"/>
      <c r="I982" s="68"/>
      <c r="J982" s="64"/>
      <c r="K982" s="64"/>
      <c r="L982" s="64"/>
      <c r="M982" s="64"/>
      <c r="N982" s="34"/>
      <c r="O982" s="35"/>
    </row>
    <row r="983" spans="1:15" s="36" customFormat="1" ht="12" x14ac:dyDescent="0.2">
      <c r="A983" s="33"/>
      <c r="B983" s="69">
        <v>44827</v>
      </c>
      <c r="C983" s="65">
        <v>1000</v>
      </c>
      <c r="D983" s="65">
        <v>80</v>
      </c>
      <c r="E983" s="65">
        <v>920</v>
      </c>
      <c r="F983" s="34"/>
      <c r="G983" s="34"/>
      <c r="H983" s="33"/>
      <c r="I983" s="69"/>
      <c r="J983" s="65"/>
      <c r="K983" s="65"/>
      <c r="L983" s="65"/>
      <c r="M983" s="65"/>
      <c r="N983" s="34"/>
      <c r="O983" s="35"/>
    </row>
    <row r="984" spans="1:15" s="36" customFormat="1" ht="12" x14ac:dyDescent="0.2">
      <c r="A984" s="33"/>
      <c r="B984" s="68">
        <v>44834</v>
      </c>
      <c r="C984" s="64">
        <v>8830</v>
      </c>
      <c r="D984" s="64">
        <v>150</v>
      </c>
      <c r="E984" s="64">
        <v>8680</v>
      </c>
      <c r="F984" s="34"/>
      <c r="G984" s="34"/>
      <c r="H984" s="33"/>
      <c r="I984" s="68"/>
      <c r="J984" s="64"/>
      <c r="K984" s="64"/>
      <c r="L984" s="64"/>
      <c r="M984" s="64"/>
      <c r="N984" s="34"/>
      <c r="O984" s="35"/>
    </row>
    <row r="985" spans="1:15" s="36" customFormat="1" ht="12" x14ac:dyDescent="0.2">
      <c r="A985" s="33"/>
      <c r="B985" s="69">
        <v>44841</v>
      </c>
      <c r="C985" s="65">
        <v>0</v>
      </c>
      <c r="D985" s="65">
        <v>6110</v>
      </c>
      <c r="E985" s="65">
        <v>-6110</v>
      </c>
      <c r="F985" s="34"/>
      <c r="G985" s="34"/>
      <c r="H985" s="33"/>
      <c r="I985" s="69"/>
      <c r="J985" s="65"/>
      <c r="K985" s="65"/>
      <c r="L985" s="65"/>
      <c r="M985" s="65"/>
      <c r="N985" s="34"/>
      <c r="O985" s="35"/>
    </row>
    <row r="986" spans="1:15" s="36" customFormat="1" ht="12" x14ac:dyDescent="0.2">
      <c r="A986" s="33"/>
      <c r="B986" s="68">
        <v>44848</v>
      </c>
      <c r="C986" s="64">
        <v>290</v>
      </c>
      <c r="D986" s="64">
        <v>3570</v>
      </c>
      <c r="E986" s="64">
        <v>-3280</v>
      </c>
      <c r="F986" s="34"/>
      <c r="G986" s="34"/>
      <c r="H986" s="33"/>
      <c r="I986" s="68"/>
      <c r="J986" s="64"/>
      <c r="K986" s="64"/>
      <c r="L986" s="64"/>
      <c r="M986" s="64"/>
      <c r="N986" s="34"/>
      <c r="O986" s="35"/>
    </row>
    <row r="987" spans="1:15" s="36" customFormat="1" ht="12" x14ac:dyDescent="0.2">
      <c r="A987" s="33"/>
      <c r="B987" s="69">
        <v>44855</v>
      </c>
      <c r="C987" s="65">
        <v>100</v>
      </c>
      <c r="D987" s="65">
        <v>290</v>
      </c>
      <c r="E987" s="65">
        <v>-190</v>
      </c>
      <c r="F987" s="34"/>
      <c r="G987" s="34"/>
      <c r="H987" s="33"/>
      <c r="I987" s="69"/>
      <c r="J987" s="65"/>
      <c r="K987" s="65"/>
      <c r="L987" s="65"/>
      <c r="M987" s="65"/>
      <c r="N987" s="34"/>
      <c r="O987" s="35"/>
    </row>
    <row r="988" spans="1:15" s="36" customFormat="1" ht="12" x14ac:dyDescent="0.2">
      <c r="A988" s="33"/>
      <c r="B988" s="68">
        <v>44862</v>
      </c>
      <c r="C988" s="64">
        <v>8500</v>
      </c>
      <c r="D988" s="64">
        <v>100</v>
      </c>
      <c r="E988" s="64">
        <v>8400</v>
      </c>
      <c r="F988" s="34"/>
      <c r="G988" s="34"/>
      <c r="H988" s="33"/>
      <c r="I988" s="68"/>
      <c r="J988" s="64"/>
      <c r="K988" s="64"/>
      <c r="L988" s="64"/>
      <c r="M988" s="64"/>
      <c r="N988" s="34"/>
      <c r="O988" s="35"/>
    </row>
    <row r="989" spans="1:15" s="36" customFormat="1" ht="12" x14ac:dyDescent="0.2">
      <c r="A989" s="33"/>
      <c r="B989" s="69">
        <v>44869</v>
      </c>
      <c r="C989" s="65">
        <v>1180</v>
      </c>
      <c r="D989" s="65">
        <v>8550</v>
      </c>
      <c r="E989" s="65">
        <v>-7370</v>
      </c>
      <c r="F989" s="34"/>
      <c r="G989" s="34"/>
      <c r="H989" s="33"/>
      <c r="I989" s="69"/>
      <c r="J989" s="65"/>
      <c r="K989" s="65"/>
      <c r="L989" s="65"/>
      <c r="M989" s="65"/>
      <c r="N989" s="34"/>
      <c r="O989" s="35"/>
    </row>
    <row r="990" spans="1:15" s="36" customFormat="1" ht="12" x14ac:dyDescent="0.2">
      <c r="A990" s="33"/>
      <c r="B990" s="68">
        <v>44876</v>
      </c>
      <c r="C990" s="64">
        <v>330</v>
      </c>
      <c r="D990" s="64">
        <v>1130</v>
      </c>
      <c r="E990" s="64">
        <v>-800</v>
      </c>
      <c r="F990" s="34"/>
      <c r="G990" s="34"/>
      <c r="H990" s="33"/>
      <c r="I990" s="68"/>
      <c r="J990" s="64"/>
      <c r="K990" s="64"/>
      <c r="L990" s="64"/>
      <c r="M990" s="64"/>
      <c r="N990" s="34"/>
      <c r="O990" s="35"/>
    </row>
    <row r="991" spans="1:15" s="36" customFormat="1" ht="12" x14ac:dyDescent="0.2">
      <c r="A991" s="33"/>
      <c r="B991" s="69">
        <v>44883</v>
      </c>
      <c r="C991" s="65">
        <v>4010</v>
      </c>
      <c r="D991" s="65">
        <v>330</v>
      </c>
      <c r="E991" s="65">
        <v>3680</v>
      </c>
      <c r="F991" s="34"/>
      <c r="G991" s="34"/>
      <c r="H991" s="33"/>
      <c r="I991" s="69"/>
      <c r="J991" s="65"/>
      <c r="K991" s="65"/>
      <c r="L991" s="65"/>
      <c r="M991" s="65"/>
      <c r="N991" s="34"/>
      <c r="O991" s="35"/>
    </row>
    <row r="992" spans="1:15" s="36" customFormat="1" ht="12" x14ac:dyDescent="0.2">
      <c r="A992" s="33"/>
      <c r="B992" s="68">
        <v>44890</v>
      </c>
      <c r="C992" s="64">
        <v>230</v>
      </c>
      <c r="D992" s="64">
        <v>4010</v>
      </c>
      <c r="E992" s="64">
        <v>-3780</v>
      </c>
      <c r="F992" s="34"/>
      <c r="G992" s="34"/>
      <c r="H992" s="33"/>
      <c r="I992" s="68"/>
      <c r="J992" s="64"/>
      <c r="K992" s="64"/>
      <c r="L992" s="64"/>
      <c r="M992" s="64"/>
      <c r="N992" s="34"/>
      <c r="O992" s="35"/>
    </row>
    <row r="993" spans="1:15" s="36" customFormat="1" ht="12" x14ac:dyDescent="0.2">
      <c r="A993" s="33"/>
      <c r="B993" s="69">
        <v>44897</v>
      </c>
      <c r="C993" s="65">
        <v>3220</v>
      </c>
      <c r="D993" s="65">
        <v>280</v>
      </c>
      <c r="E993" s="65">
        <v>2940</v>
      </c>
      <c r="F993" s="34"/>
      <c r="G993" s="34"/>
      <c r="H993" s="33"/>
      <c r="I993" s="69"/>
      <c r="J993" s="65"/>
      <c r="K993" s="65"/>
      <c r="L993" s="65"/>
      <c r="M993" s="65"/>
      <c r="N993" s="34"/>
      <c r="O993" s="35"/>
    </row>
    <row r="994" spans="1:15" s="36" customFormat="1" ht="12" x14ac:dyDescent="0.2">
      <c r="A994" s="33"/>
      <c r="B994" s="68">
        <v>44904</v>
      </c>
      <c r="C994" s="64">
        <v>100</v>
      </c>
      <c r="D994" s="64">
        <v>3170</v>
      </c>
      <c r="E994" s="64">
        <v>-3070</v>
      </c>
      <c r="F994" s="34"/>
      <c r="G994" s="34"/>
      <c r="H994" s="33"/>
      <c r="I994" s="68"/>
      <c r="J994" s="64"/>
      <c r="K994" s="64"/>
      <c r="L994" s="64"/>
      <c r="M994" s="64"/>
      <c r="N994" s="34"/>
      <c r="O994" s="35"/>
    </row>
    <row r="995" spans="1:15" s="36" customFormat="1" ht="12" x14ac:dyDescent="0.2">
      <c r="A995" s="33"/>
      <c r="B995" s="69">
        <v>44911</v>
      </c>
      <c r="C995" s="65">
        <v>490</v>
      </c>
      <c r="D995" s="65">
        <v>100</v>
      </c>
      <c r="E995" s="65">
        <v>390</v>
      </c>
      <c r="F995" s="34"/>
      <c r="G995" s="34"/>
      <c r="H995" s="33"/>
      <c r="I995" s="69"/>
      <c r="J995" s="65"/>
      <c r="K995" s="65"/>
      <c r="L995" s="65"/>
      <c r="M995" s="65"/>
      <c r="N995" s="34"/>
      <c r="O995" s="35"/>
    </row>
    <row r="996" spans="1:15" s="36" customFormat="1" ht="12" x14ac:dyDescent="0.2">
      <c r="A996" s="33"/>
      <c r="B996" s="68">
        <v>44918</v>
      </c>
      <c r="C996" s="64">
        <v>7530</v>
      </c>
      <c r="D996" s="64">
        <v>490</v>
      </c>
      <c r="E996" s="64">
        <v>7040</v>
      </c>
      <c r="F996" s="34"/>
      <c r="G996" s="34"/>
      <c r="H996" s="33"/>
      <c r="I996" s="68"/>
      <c r="J996" s="64"/>
      <c r="K996" s="64"/>
      <c r="L996" s="64"/>
      <c r="M996" s="64"/>
      <c r="N996" s="34"/>
      <c r="O996" s="35"/>
    </row>
    <row r="997" spans="1:15" s="36" customFormat="1" ht="12" x14ac:dyDescent="0.2">
      <c r="A997" s="33"/>
      <c r="B997" s="69">
        <v>44925</v>
      </c>
      <c r="C997" s="65">
        <v>10190</v>
      </c>
      <c r="D997" s="65">
        <v>440</v>
      </c>
      <c r="E997" s="65">
        <v>9750</v>
      </c>
      <c r="F997" s="34"/>
      <c r="G997" s="34"/>
      <c r="H997" s="33"/>
      <c r="I997" s="69"/>
      <c r="J997" s="65"/>
      <c r="K997" s="65"/>
      <c r="L997" s="65"/>
      <c r="M997" s="65"/>
      <c r="N997" s="34"/>
      <c r="O997" s="35"/>
    </row>
    <row r="998" spans="1:15" s="36" customFormat="1" ht="12" x14ac:dyDescent="0.2">
      <c r="A998" s="33"/>
      <c r="B998" s="68">
        <v>44932</v>
      </c>
      <c r="C998" s="64">
        <v>570</v>
      </c>
      <c r="D998" s="64">
        <v>16580</v>
      </c>
      <c r="E998" s="64">
        <v>-16010</v>
      </c>
      <c r="F998" s="34"/>
      <c r="G998" s="34"/>
      <c r="H998" s="33"/>
      <c r="I998" s="68"/>
      <c r="J998" s="64"/>
      <c r="K998" s="64"/>
      <c r="L998" s="64"/>
      <c r="M998" s="64"/>
      <c r="N998" s="34"/>
      <c r="O998" s="35"/>
    </row>
    <row r="999" spans="1:15" s="36" customFormat="1" ht="12" x14ac:dyDescent="0.2">
      <c r="A999" s="33"/>
      <c r="B999" s="69">
        <v>44939</v>
      </c>
      <c r="C999" s="65">
        <v>3400</v>
      </c>
      <c r="D999" s="65">
        <v>1270</v>
      </c>
      <c r="E999" s="65">
        <v>2130</v>
      </c>
      <c r="F999" s="34"/>
      <c r="G999" s="34"/>
      <c r="H999" s="33"/>
      <c r="I999" s="69"/>
      <c r="J999" s="65"/>
      <c r="K999" s="65"/>
      <c r="L999" s="65"/>
      <c r="M999" s="65"/>
      <c r="N999" s="34"/>
      <c r="O999" s="35"/>
    </row>
    <row r="1000" spans="1:15" s="36" customFormat="1" ht="12" x14ac:dyDescent="0.2">
      <c r="A1000" s="33"/>
      <c r="B1000" s="68">
        <v>44946</v>
      </c>
      <c r="C1000" s="64">
        <v>21550</v>
      </c>
      <c r="D1000" s="64">
        <v>1890</v>
      </c>
      <c r="E1000" s="64">
        <v>19660</v>
      </c>
      <c r="F1000" s="34"/>
      <c r="G1000" s="34"/>
      <c r="H1000" s="33"/>
      <c r="I1000" s="68"/>
      <c r="J1000" s="64"/>
      <c r="K1000" s="64"/>
      <c r="L1000" s="64"/>
      <c r="M1000" s="64"/>
      <c r="N1000" s="34"/>
      <c r="O1000" s="35"/>
    </row>
    <row r="1001" spans="1:15" s="36" customFormat="1" ht="12" x14ac:dyDescent="0.2">
      <c r="A1001" s="33"/>
      <c r="B1001" s="69">
        <v>44953</v>
      </c>
      <c r="C1001" s="65">
        <v>0</v>
      </c>
      <c r="D1001" s="65">
        <v>6980</v>
      </c>
      <c r="E1001" s="65">
        <v>-6980</v>
      </c>
      <c r="F1001" s="34"/>
      <c r="G1001" s="34"/>
      <c r="H1001" s="33"/>
      <c r="I1001" s="69"/>
      <c r="J1001" s="65"/>
      <c r="K1001" s="65"/>
      <c r="L1001" s="65"/>
      <c r="M1001" s="65"/>
      <c r="N1001" s="34"/>
      <c r="O1001" s="35"/>
    </row>
    <row r="1002" spans="1:15" s="36" customFormat="1" ht="12" x14ac:dyDescent="0.2">
      <c r="A1002" s="33"/>
      <c r="B1002" s="68">
        <v>44960</v>
      </c>
      <c r="C1002" s="64">
        <v>12430</v>
      </c>
      <c r="D1002" s="64">
        <v>23110</v>
      </c>
      <c r="E1002" s="64">
        <v>-10680</v>
      </c>
      <c r="F1002" s="34"/>
      <c r="G1002" s="34"/>
      <c r="H1002" s="33"/>
      <c r="I1002" s="68"/>
      <c r="J1002" s="64"/>
      <c r="K1002" s="64"/>
      <c r="L1002" s="64"/>
      <c r="M1002" s="64"/>
      <c r="N1002" s="34"/>
      <c r="O1002" s="35"/>
    </row>
    <row r="1003" spans="1:15" s="36" customFormat="1" ht="12" x14ac:dyDescent="0.2">
      <c r="A1003" s="33"/>
      <c r="B1003" s="69">
        <v>44967</v>
      </c>
      <c r="C1003" s="65">
        <v>18400</v>
      </c>
      <c r="D1003" s="65">
        <v>12380</v>
      </c>
      <c r="E1003" s="65">
        <v>6020</v>
      </c>
      <c r="F1003" s="34"/>
      <c r="G1003" s="34"/>
      <c r="H1003" s="33"/>
      <c r="I1003" s="69"/>
      <c r="J1003" s="65"/>
      <c r="K1003" s="65"/>
      <c r="L1003" s="65"/>
      <c r="M1003" s="65"/>
      <c r="N1003" s="34"/>
      <c r="O1003" s="35"/>
    </row>
    <row r="1004" spans="1:15" s="36" customFormat="1" ht="12" x14ac:dyDescent="0.2">
      <c r="A1004" s="33"/>
      <c r="B1004" s="68">
        <v>44974</v>
      </c>
      <c r="C1004" s="64">
        <v>16620</v>
      </c>
      <c r="D1004" s="64">
        <v>18400</v>
      </c>
      <c r="E1004" s="64">
        <v>-1780</v>
      </c>
      <c r="F1004" s="34"/>
      <c r="G1004" s="34"/>
      <c r="H1004" s="33"/>
      <c r="I1004" s="68"/>
      <c r="J1004" s="64"/>
      <c r="K1004" s="64"/>
      <c r="L1004" s="64"/>
      <c r="M1004" s="64"/>
      <c r="N1004" s="34"/>
      <c r="O1004" s="35"/>
    </row>
    <row r="1005" spans="1:15" s="36" customFormat="1" ht="12" x14ac:dyDescent="0.2">
      <c r="A1005" s="33"/>
      <c r="B1005" s="69">
        <v>44981</v>
      </c>
      <c r="C1005" s="65">
        <v>14900</v>
      </c>
      <c r="D1005" s="65">
        <v>16620</v>
      </c>
      <c r="E1005" s="65">
        <v>-1720</v>
      </c>
      <c r="F1005" s="34"/>
      <c r="G1005" s="34"/>
      <c r="H1005" s="33"/>
      <c r="I1005" s="69"/>
      <c r="J1005" s="65"/>
      <c r="K1005" s="65"/>
      <c r="L1005" s="65"/>
      <c r="M1005" s="65"/>
      <c r="N1005" s="34"/>
      <c r="O1005" s="35"/>
    </row>
    <row r="1006" spans="1:15" s="36" customFormat="1" ht="12" x14ac:dyDescent="0.2">
      <c r="A1006" s="33"/>
      <c r="B1006" s="68">
        <v>44988</v>
      </c>
      <c r="C1006" s="64">
        <v>10200</v>
      </c>
      <c r="D1006" s="64">
        <v>14950</v>
      </c>
      <c r="E1006" s="64">
        <v>-4750</v>
      </c>
      <c r="F1006" s="34"/>
      <c r="G1006" s="34"/>
      <c r="H1006" s="33"/>
      <c r="I1006" s="68"/>
      <c r="J1006" s="64"/>
      <c r="K1006" s="64"/>
      <c r="L1006" s="64"/>
      <c r="M1006" s="64"/>
      <c r="N1006" s="34"/>
      <c r="O1006" s="35"/>
    </row>
    <row r="1007" spans="1:15" s="36" customFormat="1" ht="12" x14ac:dyDescent="0.2">
      <c r="A1007" s="33"/>
      <c r="B1007" s="69">
        <v>44995</v>
      </c>
      <c r="C1007" s="65">
        <v>320</v>
      </c>
      <c r="D1007" s="65">
        <v>10150</v>
      </c>
      <c r="E1007" s="65">
        <v>-9830</v>
      </c>
      <c r="F1007" s="34"/>
      <c r="G1007" s="34"/>
      <c r="H1007" s="33"/>
      <c r="I1007" s="69"/>
      <c r="J1007" s="65"/>
      <c r="K1007" s="65"/>
      <c r="L1007" s="65"/>
      <c r="M1007" s="65"/>
      <c r="N1007" s="34"/>
      <c r="O1007" s="35"/>
    </row>
    <row r="1008" spans="1:15" s="36" customFormat="1" ht="12" x14ac:dyDescent="0.2">
      <c r="A1008" s="33"/>
      <c r="B1008" s="68">
        <v>45002</v>
      </c>
      <c r="C1008" s="64">
        <v>4630</v>
      </c>
      <c r="D1008" s="64">
        <v>320</v>
      </c>
      <c r="E1008" s="64">
        <v>4310</v>
      </c>
      <c r="F1008" s="34"/>
      <c r="G1008" s="34"/>
      <c r="H1008" s="33"/>
      <c r="I1008" s="68"/>
      <c r="J1008" s="64"/>
      <c r="K1008" s="64"/>
      <c r="L1008" s="64"/>
      <c r="M1008" s="64"/>
      <c r="N1008" s="34"/>
      <c r="O1008" s="35"/>
    </row>
    <row r="1009" spans="1:15" s="36" customFormat="1" ht="12" x14ac:dyDescent="0.2">
      <c r="A1009" s="33"/>
      <c r="B1009" s="69">
        <v>45009</v>
      </c>
      <c r="C1009" s="65">
        <v>3500</v>
      </c>
      <c r="D1009" s="65">
        <v>4630</v>
      </c>
      <c r="E1009" s="65">
        <v>-1130</v>
      </c>
      <c r="F1009" s="34"/>
      <c r="G1009" s="34"/>
      <c r="H1009" s="33"/>
      <c r="I1009" s="69"/>
      <c r="J1009" s="65"/>
      <c r="K1009" s="65"/>
      <c r="L1009" s="65"/>
      <c r="M1009" s="65"/>
      <c r="N1009" s="34"/>
      <c r="O1009" s="35"/>
    </row>
    <row r="1010" spans="1:15" s="36" customFormat="1" ht="12" x14ac:dyDescent="0.2">
      <c r="A1010" s="33"/>
      <c r="B1010" s="68">
        <v>45016</v>
      </c>
      <c r="C1010" s="64">
        <v>11660</v>
      </c>
      <c r="D1010" s="64">
        <v>3550</v>
      </c>
      <c r="E1010" s="64">
        <v>8110</v>
      </c>
      <c r="F1010" s="34"/>
      <c r="G1010" s="34"/>
      <c r="H1010" s="33"/>
      <c r="I1010" s="68"/>
      <c r="J1010" s="64"/>
      <c r="K1010" s="64"/>
      <c r="L1010" s="64"/>
      <c r="M1010" s="64"/>
      <c r="N1010" s="34"/>
      <c r="O1010" s="35"/>
    </row>
    <row r="1011" spans="1:15" s="36" customFormat="1" ht="12" x14ac:dyDescent="0.2">
      <c r="A1011" s="33"/>
      <c r="B1011" s="69">
        <v>45023</v>
      </c>
      <c r="C1011" s="65">
        <v>290</v>
      </c>
      <c r="D1011" s="65">
        <v>11610</v>
      </c>
      <c r="E1011" s="65">
        <v>-11320</v>
      </c>
      <c r="F1011" s="34"/>
      <c r="G1011" s="34"/>
      <c r="H1011" s="33"/>
      <c r="I1011" s="69"/>
      <c r="J1011" s="65"/>
      <c r="K1011" s="65"/>
      <c r="L1011" s="65"/>
      <c r="M1011" s="65"/>
      <c r="N1011" s="34"/>
      <c r="O1011" s="35"/>
    </row>
    <row r="1012" spans="1:15" s="36" customFormat="1" ht="12" x14ac:dyDescent="0.2">
      <c r="A1012" s="33"/>
      <c r="B1012" s="68">
        <v>45030</v>
      </c>
      <c r="C1012" s="64">
        <v>540</v>
      </c>
      <c r="D1012" s="64">
        <v>290</v>
      </c>
      <c r="E1012" s="64">
        <v>250</v>
      </c>
      <c r="F1012" s="34"/>
      <c r="G1012" s="34"/>
      <c r="H1012" s="33"/>
      <c r="I1012" s="68"/>
      <c r="J1012" s="64"/>
      <c r="K1012" s="64"/>
      <c r="L1012" s="64"/>
      <c r="M1012" s="64"/>
      <c r="N1012" s="34"/>
      <c r="O1012" s="35"/>
    </row>
    <row r="1013" spans="1:15" s="36" customFormat="1" ht="12" x14ac:dyDescent="0.2">
      <c r="A1013" s="33"/>
      <c r="B1013" s="69">
        <v>45037</v>
      </c>
      <c r="C1013" s="65">
        <v>2120</v>
      </c>
      <c r="D1013" s="65">
        <v>540</v>
      </c>
      <c r="E1013" s="65">
        <v>1580</v>
      </c>
      <c r="F1013" s="34"/>
      <c r="G1013" s="34"/>
      <c r="H1013" s="33"/>
      <c r="I1013" s="69"/>
      <c r="J1013" s="65"/>
      <c r="K1013" s="65"/>
      <c r="L1013" s="65"/>
      <c r="M1013" s="65"/>
      <c r="N1013" s="34"/>
      <c r="O1013" s="35"/>
    </row>
    <row r="1014" spans="1:15" s="36" customFormat="1" ht="12" x14ac:dyDescent="0.2">
      <c r="A1014" s="33"/>
      <c r="B1014" s="68">
        <v>45044</v>
      </c>
      <c r="C1014" s="64">
        <v>7270</v>
      </c>
      <c r="D1014" s="64">
        <v>2170</v>
      </c>
      <c r="E1014" s="64">
        <v>5100</v>
      </c>
      <c r="F1014" s="34"/>
      <c r="G1014" s="34"/>
      <c r="H1014" s="33"/>
      <c r="I1014" s="68"/>
      <c r="J1014" s="64"/>
      <c r="K1014" s="64"/>
      <c r="L1014" s="64"/>
      <c r="M1014" s="64"/>
      <c r="N1014" s="34"/>
      <c r="O1014" s="35"/>
    </row>
    <row r="1015" spans="1:15" s="36" customFormat="1" ht="12" x14ac:dyDescent="0.2">
      <c r="A1015" s="33"/>
      <c r="B1015" s="69">
        <v>45051</v>
      </c>
      <c r="C1015" s="65">
        <v>410</v>
      </c>
      <c r="D1015" s="65">
        <v>7270</v>
      </c>
      <c r="E1015" s="65">
        <v>-6860</v>
      </c>
      <c r="F1015" s="34"/>
      <c r="G1015" s="34"/>
      <c r="H1015" s="33"/>
      <c r="I1015" s="69"/>
      <c r="J1015" s="65"/>
      <c r="K1015" s="65"/>
      <c r="L1015" s="65"/>
      <c r="M1015" s="65"/>
      <c r="N1015" s="34"/>
      <c r="O1015" s="35"/>
    </row>
    <row r="1016" spans="1:15" s="36" customFormat="1" ht="12" x14ac:dyDescent="0.2">
      <c r="A1016" s="33"/>
      <c r="B1016" s="68">
        <v>45058</v>
      </c>
      <c r="C1016" s="64">
        <v>120</v>
      </c>
      <c r="D1016" s="64">
        <v>360</v>
      </c>
      <c r="E1016" s="64">
        <v>-240</v>
      </c>
      <c r="F1016" s="34"/>
      <c r="G1016" s="34"/>
      <c r="H1016" s="33"/>
      <c r="I1016" s="68"/>
      <c r="J1016" s="64"/>
      <c r="K1016" s="64"/>
      <c r="L1016" s="64"/>
      <c r="M1016" s="64"/>
      <c r="N1016" s="34"/>
      <c r="O1016" s="35"/>
    </row>
    <row r="1017" spans="1:15" s="36" customFormat="1" ht="12" x14ac:dyDescent="0.2">
      <c r="A1017" s="33"/>
      <c r="B1017" s="69">
        <v>45065</v>
      </c>
      <c r="C1017" s="65">
        <v>100</v>
      </c>
      <c r="D1017" s="65">
        <v>120</v>
      </c>
      <c r="E1017" s="65">
        <v>-20</v>
      </c>
      <c r="F1017" s="34"/>
      <c r="G1017" s="34"/>
      <c r="H1017" s="33"/>
      <c r="I1017" s="69"/>
      <c r="J1017" s="65"/>
      <c r="K1017" s="65"/>
      <c r="L1017" s="65"/>
      <c r="M1017" s="65"/>
      <c r="N1017" s="34"/>
      <c r="O1017" s="35"/>
    </row>
    <row r="1018" spans="1:15" s="36" customFormat="1" ht="12" x14ac:dyDescent="0.2">
      <c r="A1018" s="33"/>
      <c r="B1018" s="68">
        <v>45072</v>
      </c>
      <c r="C1018" s="64">
        <v>180</v>
      </c>
      <c r="D1018" s="64">
        <v>100</v>
      </c>
      <c r="E1018" s="64">
        <v>80</v>
      </c>
      <c r="F1018" s="34"/>
      <c r="G1018" s="34"/>
      <c r="H1018" s="33"/>
      <c r="I1018" s="68"/>
      <c r="J1018" s="64"/>
      <c r="K1018" s="64"/>
      <c r="L1018" s="64"/>
      <c r="M1018" s="64"/>
      <c r="N1018" s="34"/>
      <c r="O1018" s="35"/>
    </row>
    <row r="1019" spans="1:15" s="36" customFormat="1" ht="12" x14ac:dyDescent="0.2">
      <c r="A1019" s="33"/>
      <c r="B1019" s="69">
        <v>45079</v>
      </c>
      <c r="C1019" s="65">
        <v>840</v>
      </c>
      <c r="D1019" s="65">
        <v>230</v>
      </c>
      <c r="E1019" s="65">
        <v>610</v>
      </c>
      <c r="F1019" s="34"/>
      <c r="G1019" s="34"/>
      <c r="H1019" s="33"/>
      <c r="I1019" s="69"/>
      <c r="J1019" s="65"/>
      <c r="K1019" s="65"/>
      <c r="L1019" s="65"/>
      <c r="M1019" s="65"/>
      <c r="N1019" s="34"/>
      <c r="O1019" s="35"/>
    </row>
    <row r="1020" spans="1:15" s="36" customFormat="1" ht="12" x14ac:dyDescent="0.2">
      <c r="A1020" s="33"/>
      <c r="B1020" s="68">
        <v>45086</v>
      </c>
      <c r="C1020" s="64">
        <v>100</v>
      </c>
      <c r="D1020" s="64">
        <v>790</v>
      </c>
      <c r="E1020" s="64">
        <v>-690</v>
      </c>
      <c r="F1020" s="34"/>
      <c r="G1020" s="34"/>
      <c r="H1020" s="33"/>
      <c r="I1020" s="68"/>
      <c r="J1020" s="64"/>
      <c r="K1020" s="64"/>
      <c r="L1020" s="64"/>
      <c r="M1020" s="64"/>
      <c r="N1020" s="34"/>
      <c r="O1020" s="35"/>
    </row>
    <row r="1021" spans="1:15" s="36" customFormat="1" ht="12" x14ac:dyDescent="0.2">
      <c r="A1021" s="33"/>
      <c r="B1021" s="69">
        <v>45093</v>
      </c>
      <c r="C1021" s="65">
        <v>500</v>
      </c>
      <c r="D1021" s="65">
        <v>100</v>
      </c>
      <c r="E1021" s="65">
        <v>400</v>
      </c>
      <c r="F1021" s="34"/>
      <c r="G1021" s="34"/>
      <c r="H1021" s="33"/>
      <c r="I1021" s="69"/>
      <c r="J1021" s="65"/>
      <c r="K1021" s="65"/>
      <c r="L1021" s="65"/>
      <c r="M1021" s="65"/>
      <c r="N1021" s="34"/>
      <c r="O1021" s="35"/>
    </row>
    <row r="1022" spans="1:15" s="36" customFormat="1" ht="12" x14ac:dyDescent="0.2">
      <c r="A1022" s="33"/>
      <c r="B1022" s="68">
        <v>45100</v>
      </c>
      <c r="C1022" s="64">
        <v>4160</v>
      </c>
      <c r="D1022" s="64">
        <v>60</v>
      </c>
      <c r="E1022" s="64">
        <v>4100</v>
      </c>
      <c r="F1022" s="34"/>
      <c r="G1022" s="34"/>
      <c r="H1022" s="33"/>
      <c r="I1022" s="68"/>
      <c r="J1022" s="64"/>
      <c r="K1022" s="64"/>
      <c r="L1022" s="64"/>
      <c r="M1022" s="64"/>
      <c r="N1022" s="34"/>
      <c r="O1022" s="35"/>
    </row>
    <row r="1023" spans="1:15" s="36" customFormat="1" ht="12" x14ac:dyDescent="0.2">
      <c r="A1023" s="33"/>
      <c r="B1023" s="69">
        <v>45107</v>
      </c>
      <c r="C1023" s="65">
        <v>11740</v>
      </c>
      <c r="D1023" s="65">
        <v>4650</v>
      </c>
      <c r="E1023" s="65">
        <v>7090</v>
      </c>
      <c r="F1023" s="34"/>
      <c r="G1023" s="34"/>
      <c r="H1023" s="33"/>
      <c r="I1023" s="69"/>
      <c r="J1023" s="65"/>
      <c r="K1023" s="65"/>
      <c r="L1023" s="65"/>
      <c r="M1023" s="65"/>
      <c r="N1023" s="34"/>
      <c r="O1023" s="35"/>
    </row>
    <row r="1024" spans="1:15" s="36" customFormat="1" ht="12" x14ac:dyDescent="0.2">
      <c r="A1024" s="33"/>
      <c r="B1024" s="68">
        <v>45114</v>
      </c>
      <c r="C1024" s="64">
        <v>130</v>
      </c>
      <c r="D1024" s="64">
        <v>11690</v>
      </c>
      <c r="E1024" s="64">
        <v>-11560</v>
      </c>
      <c r="F1024" s="34"/>
      <c r="G1024" s="34"/>
      <c r="H1024" s="33"/>
      <c r="I1024" s="68"/>
      <c r="J1024" s="64"/>
      <c r="K1024" s="64"/>
      <c r="L1024" s="64"/>
      <c r="M1024" s="64"/>
      <c r="N1024" s="34"/>
      <c r="O1024" s="35"/>
    </row>
    <row r="1025" spans="1:15" s="36" customFormat="1" ht="12" x14ac:dyDescent="0.2">
      <c r="A1025" s="33"/>
      <c r="B1025" s="69">
        <v>45121</v>
      </c>
      <c r="C1025" s="65">
        <v>310</v>
      </c>
      <c r="D1025" s="65">
        <v>130</v>
      </c>
      <c r="E1025" s="65">
        <v>180</v>
      </c>
      <c r="F1025" s="34"/>
      <c r="G1025" s="34"/>
      <c r="H1025" s="33"/>
      <c r="I1025" s="69"/>
      <c r="J1025" s="65"/>
      <c r="K1025" s="65"/>
      <c r="L1025" s="65"/>
      <c r="M1025" s="65"/>
      <c r="N1025" s="34"/>
      <c r="O1025" s="35"/>
    </row>
    <row r="1026" spans="1:15" s="36" customFormat="1" ht="12" x14ac:dyDescent="0.2">
      <c r="A1026" s="33"/>
      <c r="B1026" s="68">
        <v>45128</v>
      </c>
      <c r="C1026" s="64">
        <v>1120</v>
      </c>
      <c r="D1026" s="64">
        <v>310</v>
      </c>
      <c r="E1026" s="64">
        <v>810</v>
      </c>
      <c r="F1026" s="34"/>
      <c r="G1026" s="34"/>
      <c r="H1026" s="33"/>
      <c r="I1026" s="68"/>
      <c r="J1026" s="64"/>
      <c r="K1026" s="64"/>
      <c r="L1026" s="64"/>
      <c r="M1026" s="64"/>
      <c r="N1026" s="34"/>
      <c r="O1026" s="35"/>
    </row>
    <row r="1027" spans="1:15" s="36" customFormat="1" ht="12" x14ac:dyDescent="0.2">
      <c r="A1027" s="33"/>
      <c r="B1027" s="69">
        <v>45135</v>
      </c>
      <c r="C1027" s="65">
        <v>3460</v>
      </c>
      <c r="D1027" s="65">
        <v>1170</v>
      </c>
      <c r="E1027" s="65">
        <v>2290</v>
      </c>
      <c r="F1027" s="34"/>
      <c r="G1027" s="34"/>
      <c r="H1027" s="33"/>
      <c r="I1027" s="69"/>
      <c r="J1027" s="65"/>
      <c r="K1027" s="65"/>
      <c r="L1027" s="65"/>
      <c r="M1027" s="65"/>
      <c r="N1027" s="34"/>
      <c r="O1027" s="35"/>
    </row>
    <row r="1028" spans="1:15" s="36" customFormat="1" ht="12" x14ac:dyDescent="0.2">
      <c r="A1028" s="33"/>
      <c r="B1028" s="68">
        <v>45142</v>
      </c>
      <c r="C1028" s="64">
        <v>530</v>
      </c>
      <c r="D1028" s="64">
        <v>3410</v>
      </c>
      <c r="E1028" s="64">
        <v>-2880</v>
      </c>
      <c r="F1028" s="34"/>
      <c r="G1028" s="34"/>
      <c r="H1028" s="33"/>
      <c r="I1028" s="68"/>
      <c r="J1028" s="64"/>
      <c r="K1028" s="64"/>
      <c r="L1028" s="64"/>
      <c r="M1028" s="64"/>
      <c r="N1028" s="34"/>
      <c r="O1028" s="35"/>
    </row>
    <row r="1029" spans="1:15" s="36" customFormat="1" ht="12" x14ac:dyDescent="0.2">
      <c r="A1029" s="33"/>
      <c r="B1029" s="69">
        <v>45149</v>
      </c>
      <c r="C1029" s="65">
        <v>180</v>
      </c>
      <c r="D1029" s="65">
        <v>530</v>
      </c>
      <c r="E1029" s="65">
        <v>-350</v>
      </c>
      <c r="F1029" s="34"/>
      <c r="G1029" s="34"/>
      <c r="H1029" s="33"/>
      <c r="I1029" s="69"/>
      <c r="J1029" s="65"/>
      <c r="K1029" s="65"/>
      <c r="L1029" s="65"/>
      <c r="M1029" s="65"/>
      <c r="N1029" s="34"/>
      <c r="O1029" s="35"/>
    </row>
    <row r="1030" spans="1:15" s="36" customFormat="1" ht="12" x14ac:dyDescent="0.2">
      <c r="A1030" s="33"/>
      <c r="B1030" s="68">
        <v>45156</v>
      </c>
      <c r="C1030" s="64">
        <v>7750</v>
      </c>
      <c r="D1030" s="64">
        <v>180</v>
      </c>
      <c r="E1030" s="64">
        <v>7570</v>
      </c>
      <c r="F1030" s="34"/>
      <c r="G1030" s="34"/>
      <c r="H1030" s="33"/>
      <c r="I1030" s="68"/>
      <c r="J1030" s="64"/>
      <c r="K1030" s="64"/>
      <c r="L1030" s="64"/>
      <c r="M1030" s="64"/>
      <c r="N1030" s="34"/>
      <c r="O1030" s="35"/>
    </row>
    <row r="1031" spans="1:15" s="36" customFormat="1" ht="12" x14ac:dyDescent="0.2">
      <c r="A1031" s="33"/>
      <c r="B1031" s="69">
        <v>45163</v>
      </c>
      <c r="C1031" s="65">
        <v>7280</v>
      </c>
      <c r="D1031" s="65">
        <v>7750</v>
      </c>
      <c r="E1031" s="65">
        <v>-470</v>
      </c>
      <c r="F1031" s="34"/>
      <c r="G1031" s="34"/>
      <c r="H1031" s="33"/>
      <c r="I1031" s="69"/>
      <c r="J1031" s="65"/>
      <c r="K1031" s="65"/>
      <c r="L1031" s="65"/>
      <c r="M1031" s="65"/>
      <c r="N1031" s="34"/>
      <c r="O1031" s="35"/>
    </row>
    <row r="1032" spans="1:15" s="36" customFormat="1" ht="12" x14ac:dyDescent="0.2">
      <c r="A1032" s="33"/>
      <c r="B1032" s="68">
        <v>45170</v>
      </c>
      <c r="C1032" s="64">
        <v>14140</v>
      </c>
      <c r="D1032" s="64">
        <v>7330</v>
      </c>
      <c r="E1032" s="64">
        <v>6810</v>
      </c>
      <c r="F1032" s="34"/>
      <c r="G1032" s="34"/>
      <c r="H1032" s="33"/>
      <c r="I1032" s="68"/>
      <c r="J1032" s="64"/>
      <c r="K1032" s="64"/>
      <c r="L1032" s="64"/>
      <c r="M1032" s="64"/>
      <c r="N1032" s="34"/>
      <c r="O1032" s="35"/>
    </row>
    <row r="1033" spans="1:15" s="36" customFormat="1" ht="12" x14ac:dyDescent="0.2">
      <c r="A1033" s="33"/>
      <c r="B1033" s="69">
        <v>45177</v>
      </c>
      <c r="C1033" s="65">
        <v>7450</v>
      </c>
      <c r="D1033" s="65">
        <v>14090</v>
      </c>
      <c r="E1033" s="65">
        <v>-6640</v>
      </c>
      <c r="F1033" s="34"/>
      <c r="G1033" s="34"/>
      <c r="H1033" s="33"/>
      <c r="I1033" s="69"/>
      <c r="J1033" s="65"/>
      <c r="K1033" s="65"/>
      <c r="L1033" s="65"/>
      <c r="M1033" s="65"/>
      <c r="N1033" s="34"/>
      <c r="O1033" s="35"/>
    </row>
    <row r="1034" spans="1:15" s="36" customFormat="1" ht="12" x14ac:dyDescent="0.2">
      <c r="A1034" s="33"/>
      <c r="B1034" s="68">
        <v>45184</v>
      </c>
      <c r="C1034" s="64">
        <v>7380</v>
      </c>
      <c r="D1034" s="64">
        <v>7450</v>
      </c>
      <c r="E1034" s="64">
        <v>-70</v>
      </c>
      <c r="F1034" s="34"/>
      <c r="G1034" s="34"/>
      <c r="H1034" s="33"/>
      <c r="I1034" s="68"/>
      <c r="J1034" s="64"/>
      <c r="K1034" s="64"/>
      <c r="L1034" s="64"/>
      <c r="M1034" s="64"/>
      <c r="N1034" s="34"/>
      <c r="O1034" s="35"/>
    </row>
    <row r="1035" spans="1:15" s="36" customFormat="1" ht="12" x14ac:dyDescent="0.2">
      <c r="A1035" s="33"/>
      <c r="B1035" s="69">
        <v>45191</v>
      </c>
      <c r="C1035" s="65">
        <v>12560</v>
      </c>
      <c r="D1035" s="65">
        <v>7040</v>
      </c>
      <c r="E1035" s="65">
        <v>5520</v>
      </c>
      <c r="F1035" s="34"/>
      <c r="G1035" s="34"/>
      <c r="H1035" s="33"/>
      <c r="I1035" s="69"/>
      <c r="J1035" s="65"/>
      <c r="K1035" s="65"/>
      <c r="L1035" s="65"/>
      <c r="M1035" s="65"/>
      <c r="N1035" s="34"/>
      <c r="O1035" s="35"/>
    </row>
    <row r="1036" spans="1:15" s="36" customFormat="1" ht="12" x14ac:dyDescent="0.2">
      <c r="A1036" s="33"/>
      <c r="B1036" s="68">
        <v>45198</v>
      </c>
      <c r="C1036" s="64">
        <v>19280</v>
      </c>
      <c r="D1036" s="64">
        <v>7710</v>
      </c>
      <c r="E1036" s="64">
        <v>11570</v>
      </c>
      <c r="F1036" s="34"/>
      <c r="G1036" s="34"/>
      <c r="H1036" s="33"/>
      <c r="I1036" s="68"/>
      <c r="J1036" s="64"/>
      <c r="K1036" s="64"/>
      <c r="L1036" s="64"/>
      <c r="M1036" s="64"/>
      <c r="N1036" s="34"/>
      <c r="O1036" s="35"/>
    </row>
    <row r="1037" spans="1:15" s="36" customFormat="1" ht="12" x14ac:dyDescent="0.2">
      <c r="A1037" s="33"/>
      <c r="B1037" s="69">
        <v>45212</v>
      </c>
      <c r="C1037" s="65">
        <v>6660</v>
      </c>
      <c r="D1037" s="65">
        <v>24470</v>
      </c>
      <c r="E1037" s="65">
        <v>-17810</v>
      </c>
      <c r="F1037" s="34"/>
      <c r="G1037" s="34"/>
      <c r="H1037" s="33"/>
      <c r="I1037" s="69"/>
      <c r="J1037" s="65"/>
      <c r="K1037" s="65"/>
      <c r="L1037" s="65"/>
      <c r="M1037" s="65"/>
      <c r="N1037" s="34"/>
      <c r="O1037" s="35"/>
    </row>
    <row r="1038" spans="1:15" s="36" customFormat="1" ht="12" x14ac:dyDescent="0.2">
      <c r="A1038" s="33"/>
      <c r="B1038" s="68">
        <v>45219</v>
      </c>
      <c r="C1038" s="64">
        <v>14540</v>
      </c>
      <c r="D1038" s="64">
        <v>6660</v>
      </c>
      <c r="E1038" s="64">
        <v>7880</v>
      </c>
      <c r="F1038" s="34"/>
      <c r="G1038" s="34"/>
      <c r="H1038" s="33"/>
      <c r="I1038" s="68"/>
      <c r="J1038" s="64"/>
      <c r="K1038" s="64"/>
      <c r="L1038" s="64"/>
      <c r="M1038" s="64"/>
      <c r="N1038" s="34"/>
      <c r="O1038" s="35"/>
    </row>
    <row r="1039" spans="1:15" s="36" customFormat="1" ht="12" x14ac:dyDescent="0.2">
      <c r="A1039" s="33"/>
      <c r="B1039" s="69">
        <v>45226</v>
      </c>
      <c r="C1039" s="65">
        <v>28290</v>
      </c>
      <c r="D1039" s="65">
        <v>14590</v>
      </c>
      <c r="E1039" s="65">
        <v>13700</v>
      </c>
      <c r="F1039" s="34"/>
      <c r="G1039" s="34"/>
      <c r="H1039" s="33"/>
      <c r="I1039" s="69"/>
      <c r="J1039" s="65"/>
      <c r="K1039" s="65"/>
      <c r="L1039" s="65"/>
      <c r="M1039" s="65"/>
      <c r="N1039" s="34"/>
      <c r="O1039" s="35"/>
    </row>
    <row r="1040" spans="1:15" s="36" customFormat="1" ht="12" x14ac:dyDescent="0.2">
      <c r="A1040" s="33"/>
      <c r="B1040" s="68">
        <v>45233</v>
      </c>
      <c r="C1040" s="64">
        <v>18980</v>
      </c>
      <c r="D1040" s="64">
        <v>28240</v>
      </c>
      <c r="E1040" s="64">
        <v>-9260</v>
      </c>
      <c r="F1040" s="34"/>
      <c r="G1040" s="34"/>
      <c r="H1040" s="33"/>
      <c r="I1040" s="68"/>
      <c r="J1040" s="64"/>
      <c r="K1040" s="64"/>
      <c r="L1040" s="64"/>
      <c r="M1040" s="64"/>
      <c r="N1040" s="34"/>
      <c r="O1040" s="35"/>
    </row>
    <row r="1041" spans="1:15" s="36" customFormat="1" ht="12" x14ac:dyDescent="0.2">
      <c r="A1041" s="33"/>
      <c r="B1041" s="69">
        <v>45240</v>
      </c>
      <c r="C1041" s="65">
        <v>12500</v>
      </c>
      <c r="D1041" s="65">
        <v>18980</v>
      </c>
      <c r="E1041" s="65">
        <v>-6480</v>
      </c>
      <c r="F1041" s="34"/>
      <c r="G1041" s="34"/>
      <c r="H1041" s="33"/>
      <c r="I1041" s="69"/>
      <c r="J1041" s="65"/>
      <c r="K1041" s="65"/>
      <c r="L1041" s="65"/>
      <c r="M1041" s="65"/>
      <c r="N1041" s="34"/>
      <c r="O1041" s="35"/>
    </row>
    <row r="1042" spans="1:15" s="36" customFormat="1" ht="12" x14ac:dyDescent="0.2">
      <c r="A1042" s="33"/>
      <c r="B1042" s="68">
        <v>45247</v>
      </c>
      <c r="C1042" s="64">
        <v>17610</v>
      </c>
      <c r="D1042" s="64">
        <v>12500</v>
      </c>
      <c r="E1042" s="64">
        <v>5110</v>
      </c>
      <c r="F1042" s="34"/>
      <c r="G1042" s="34"/>
      <c r="H1042" s="33"/>
      <c r="I1042" s="68"/>
      <c r="J1042" s="64"/>
      <c r="K1042" s="64"/>
      <c r="L1042" s="64"/>
      <c r="M1042" s="64"/>
      <c r="N1042" s="34"/>
      <c r="O1042" s="35"/>
    </row>
    <row r="1043" spans="1:15" s="36" customFormat="1" ht="12" x14ac:dyDescent="0.2">
      <c r="A1043" s="33"/>
      <c r="B1043" s="69">
        <v>45254</v>
      </c>
      <c r="C1043" s="65">
        <v>21670</v>
      </c>
      <c r="D1043" s="65">
        <v>17610</v>
      </c>
      <c r="E1043" s="65">
        <v>4060</v>
      </c>
      <c r="F1043" s="34"/>
      <c r="G1043" s="34"/>
      <c r="H1043" s="33"/>
      <c r="I1043" s="69"/>
      <c r="J1043" s="65"/>
      <c r="K1043" s="65"/>
      <c r="L1043" s="65"/>
      <c r="M1043" s="65"/>
      <c r="N1043" s="34"/>
      <c r="O1043" s="35"/>
    </row>
    <row r="1044" spans="1:15" s="36" customFormat="1" ht="12" x14ac:dyDescent="0.2">
      <c r="A1044" s="33"/>
      <c r="B1044" s="68">
        <v>45261</v>
      </c>
      <c r="C1044" s="64">
        <v>21410</v>
      </c>
      <c r="D1044" s="64">
        <v>21720</v>
      </c>
      <c r="E1044" s="64">
        <v>-310</v>
      </c>
      <c r="F1044" s="34"/>
      <c r="G1044" s="34"/>
      <c r="H1044" s="33"/>
      <c r="I1044" s="68"/>
      <c r="J1044" s="64"/>
      <c r="K1044" s="64"/>
      <c r="L1044" s="64"/>
      <c r="M1044" s="64"/>
      <c r="N1044" s="34"/>
      <c r="O1044" s="35"/>
    </row>
    <row r="1045" spans="1:15" s="36" customFormat="1" ht="12" x14ac:dyDescent="0.2">
      <c r="A1045" s="33"/>
      <c r="B1045" s="69">
        <v>45268</v>
      </c>
      <c r="C1045" s="65">
        <v>10770</v>
      </c>
      <c r="D1045" s="65">
        <v>21360</v>
      </c>
      <c r="E1045" s="65">
        <v>-10590</v>
      </c>
      <c r="F1045" s="34"/>
      <c r="G1045" s="34"/>
      <c r="H1045" s="33"/>
      <c r="I1045" s="69"/>
      <c r="J1045" s="65"/>
      <c r="K1045" s="65"/>
      <c r="L1045" s="65"/>
      <c r="M1045" s="65"/>
      <c r="N1045" s="34"/>
      <c r="O1045" s="35"/>
    </row>
    <row r="1046" spans="1:15" s="36" customFormat="1" ht="12" x14ac:dyDescent="0.2">
      <c r="A1046" s="33"/>
      <c r="B1046" s="68">
        <v>45275</v>
      </c>
      <c r="C1046" s="64">
        <v>12760</v>
      </c>
      <c r="D1046" s="64">
        <v>10770</v>
      </c>
      <c r="E1046" s="64">
        <v>1990</v>
      </c>
      <c r="F1046" s="34"/>
      <c r="G1046" s="34"/>
      <c r="H1046" s="33"/>
      <c r="I1046" s="68"/>
      <c r="J1046" s="64"/>
      <c r="K1046" s="64"/>
      <c r="L1046" s="64"/>
      <c r="M1046" s="64"/>
      <c r="N1046" s="34"/>
      <c r="O1046" s="35"/>
    </row>
    <row r="1047" spans="1:15" s="36" customFormat="1" ht="12" x14ac:dyDescent="0.2">
      <c r="A1047" s="33"/>
      <c r="B1047" s="69">
        <v>45282</v>
      </c>
      <c r="C1047" s="65">
        <v>15820</v>
      </c>
      <c r="D1047" s="65">
        <v>12760</v>
      </c>
      <c r="E1047" s="65">
        <v>3060</v>
      </c>
      <c r="F1047" s="34"/>
      <c r="G1047" s="34"/>
      <c r="H1047" s="33"/>
      <c r="I1047" s="69"/>
      <c r="J1047" s="65"/>
      <c r="K1047" s="65"/>
      <c r="L1047" s="65"/>
      <c r="M1047" s="65"/>
      <c r="N1047" s="34"/>
      <c r="O1047" s="35"/>
    </row>
    <row r="1048" spans="1:15" s="36" customFormat="1" ht="12" x14ac:dyDescent="0.2">
      <c r="A1048" s="33"/>
      <c r="B1048" s="68">
        <v>45289</v>
      </c>
      <c r="C1048" s="64">
        <v>19340</v>
      </c>
      <c r="D1048" s="64">
        <v>6770</v>
      </c>
      <c r="E1048" s="64">
        <v>12570</v>
      </c>
      <c r="F1048" s="34"/>
      <c r="G1048" s="34"/>
      <c r="H1048" s="33"/>
      <c r="I1048" s="68"/>
      <c r="J1048" s="64"/>
      <c r="K1048" s="64"/>
      <c r="L1048" s="64"/>
      <c r="M1048" s="64"/>
      <c r="N1048" s="34"/>
      <c r="O1048" s="35"/>
    </row>
    <row r="1049" spans="1:15" s="36" customFormat="1" ht="12" x14ac:dyDescent="0.2">
      <c r="A1049" s="33"/>
      <c r="B1049" s="69">
        <v>45296</v>
      </c>
      <c r="C1049" s="65">
        <v>2410</v>
      </c>
      <c r="D1049" s="65">
        <v>26640</v>
      </c>
      <c r="E1049" s="65">
        <v>-24230</v>
      </c>
      <c r="F1049" s="34"/>
      <c r="G1049" s="34"/>
      <c r="H1049" s="33"/>
      <c r="I1049" s="69"/>
      <c r="J1049" s="65"/>
      <c r="K1049" s="65"/>
      <c r="L1049" s="65"/>
      <c r="M1049" s="65"/>
      <c r="N1049" s="34"/>
      <c r="O1049" s="35"/>
    </row>
    <row r="1050" spans="1:15" s="36" customFormat="1" ht="12" x14ac:dyDescent="0.2">
      <c r="A1050" s="33"/>
      <c r="B1050" s="68">
        <v>45303</v>
      </c>
      <c r="C1050" s="64">
        <v>2270</v>
      </c>
      <c r="D1050" s="64">
        <v>4160</v>
      </c>
      <c r="E1050" s="64">
        <v>-1890</v>
      </c>
      <c r="F1050" s="34"/>
      <c r="G1050" s="34"/>
      <c r="H1050" s="33"/>
      <c r="I1050" s="68"/>
      <c r="J1050" s="64"/>
      <c r="K1050" s="64"/>
      <c r="L1050" s="64"/>
      <c r="M1050" s="64"/>
      <c r="N1050" s="34"/>
      <c r="O1050" s="35"/>
    </row>
    <row r="1051" spans="1:15" s="36" customFormat="1" ht="12" x14ac:dyDescent="0.2">
      <c r="A1051" s="33"/>
      <c r="B1051" s="69">
        <v>45310</v>
      </c>
      <c r="C1051" s="65">
        <v>15670</v>
      </c>
      <c r="D1051" s="65">
        <v>2270</v>
      </c>
      <c r="E1051" s="65">
        <v>13400</v>
      </c>
      <c r="F1051" s="34"/>
      <c r="G1051" s="34"/>
      <c r="H1051" s="33"/>
      <c r="I1051" s="69"/>
      <c r="J1051" s="65"/>
      <c r="K1051" s="65"/>
      <c r="L1051" s="65"/>
      <c r="M1051" s="65"/>
      <c r="N1051" s="34"/>
      <c r="O1051" s="35"/>
    </row>
    <row r="1052" spans="1:15" s="36" customFormat="1" ht="12" x14ac:dyDescent="0.2">
      <c r="A1052" s="33"/>
      <c r="B1052" s="68">
        <v>45317</v>
      </c>
      <c r="C1052" s="64">
        <v>19820</v>
      </c>
      <c r="D1052" s="64">
        <v>15720</v>
      </c>
      <c r="E1052" s="64">
        <v>4100</v>
      </c>
      <c r="F1052" s="34"/>
      <c r="G1052" s="34"/>
      <c r="H1052" s="33"/>
      <c r="I1052" s="68"/>
      <c r="J1052" s="64"/>
      <c r="K1052" s="64"/>
      <c r="L1052" s="64"/>
      <c r="M1052" s="64"/>
      <c r="N1052" s="34"/>
      <c r="O1052" s="35"/>
    </row>
    <row r="1053" spans="1:15" s="36" customFormat="1" ht="12" x14ac:dyDescent="0.2">
      <c r="A1053" s="33"/>
      <c r="B1053" s="69">
        <v>45324</v>
      </c>
      <c r="C1053" s="65">
        <v>17470</v>
      </c>
      <c r="D1053" s="65">
        <v>19770</v>
      </c>
      <c r="E1053" s="65">
        <v>-2300</v>
      </c>
      <c r="F1053" s="34"/>
      <c r="G1053" s="34"/>
      <c r="H1053" s="33"/>
      <c r="I1053" s="69"/>
      <c r="J1053" s="65"/>
      <c r="K1053" s="65"/>
      <c r="L1053" s="65"/>
      <c r="M1053" s="65"/>
      <c r="N1053" s="34"/>
      <c r="O1053" s="35"/>
    </row>
    <row r="1054" spans="1:15" s="36" customFormat="1" ht="12" x14ac:dyDescent="0.2">
      <c r="A1054" s="33"/>
      <c r="B1054" s="68">
        <v>45331</v>
      </c>
      <c r="C1054" s="64">
        <v>13160</v>
      </c>
      <c r="D1054" s="64">
        <v>17330</v>
      </c>
      <c r="E1054" s="64">
        <v>-4170</v>
      </c>
      <c r="F1054" s="34"/>
      <c r="G1054" s="34"/>
      <c r="H1054" s="33"/>
      <c r="I1054" s="68"/>
      <c r="J1054" s="64"/>
      <c r="K1054" s="64"/>
      <c r="L1054" s="64"/>
      <c r="M1054" s="64"/>
      <c r="N1054" s="34"/>
      <c r="O1054" s="35"/>
    </row>
    <row r="1055" spans="1:15" s="36" customFormat="1" ht="12" x14ac:dyDescent="0.2">
      <c r="A1055" s="33"/>
      <c r="B1055" s="69">
        <v>45345</v>
      </c>
      <c r="C1055" s="65">
        <v>5320</v>
      </c>
      <c r="D1055" s="65">
        <v>13730</v>
      </c>
      <c r="E1055" s="65">
        <v>-8410</v>
      </c>
      <c r="F1055" s="34"/>
      <c r="G1055" s="34"/>
      <c r="H1055" s="33"/>
      <c r="I1055" s="69"/>
      <c r="J1055" s="65"/>
      <c r="K1055" s="65"/>
      <c r="L1055" s="65"/>
      <c r="M1055" s="65"/>
      <c r="N1055" s="34"/>
      <c r="O1055" s="35"/>
    </row>
    <row r="1056" spans="1:15" s="36" customFormat="1" ht="12" x14ac:dyDescent="0.2">
      <c r="A1056" s="33"/>
      <c r="B1056" s="68">
        <v>45352</v>
      </c>
      <c r="C1056" s="64">
        <v>11690</v>
      </c>
      <c r="D1056" s="64">
        <v>5370</v>
      </c>
      <c r="E1056" s="64">
        <v>6320</v>
      </c>
      <c r="F1056" s="34"/>
      <c r="G1056" s="34"/>
      <c r="H1056" s="33"/>
      <c r="I1056" s="68"/>
      <c r="J1056" s="64"/>
      <c r="K1056" s="64"/>
      <c r="L1056" s="64"/>
      <c r="M1056" s="64"/>
      <c r="N1056" s="34"/>
      <c r="O1056" s="35"/>
    </row>
    <row r="1057" spans="1:15" s="36" customFormat="1" ht="12" x14ac:dyDescent="0.2">
      <c r="A1057" s="33"/>
      <c r="B1057" s="69">
        <v>45359</v>
      </c>
      <c r="C1057" s="65">
        <v>500</v>
      </c>
      <c r="D1057" s="65">
        <v>11640</v>
      </c>
      <c r="E1057" s="65">
        <v>-11140</v>
      </c>
      <c r="F1057" s="34"/>
      <c r="G1057" s="34"/>
      <c r="H1057" s="33"/>
      <c r="I1057" s="69"/>
      <c r="J1057" s="65"/>
      <c r="K1057" s="65"/>
      <c r="L1057" s="65"/>
      <c r="M1057" s="65"/>
      <c r="N1057" s="34"/>
      <c r="O1057" s="35"/>
    </row>
    <row r="1058" spans="1:15" s="36" customFormat="1" ht="12" x14ac:dyDescent="0.2">
      <c r="A1058" s="33"/>
      <c r="B1058" s="68">
        <v>45366</v>
      </c>
      <c r="C1058" s="64">
        <v>390</v>
      </c>
      <c r="D1058" s="64">
        <v>500</v>
      </c>
      <c r="E1058" s="64">
        <v>-110</v>
      </c>
      <c r="F1058" s="34"/>
      <c r="G1058" s="34"/>
      <c r="H1058" s="33"/>
      <c r="I1058" s="68"/>
      <c r="J1058" s="64"/>
      <c r="K1058" s="64"/>
      <c r="L1058" s="64"/>
      <c r="M1058" s="64"/>
      <c r="N1058" s="34"/>
      <c r="O1058" s="35"/>
    </row>
    <row r="1059" spans="1:15" s="36" customFormat="1" ht="12" x14ac:dyDescent="0.2">
      <c r="A1059" s="33"/>
      <c r="B1059" s="69">
        <v>45373</v>
      </c>
      <c r="C1059" s="65">
        <v>220</v>
      </c>
      <c r="D1059" s="65">
        <v>390</v>
      </c>
      <c r="E1059" s="65">
        <v>-170</v>
      </c>
      <c r="F1059" s="34"/>
      <c r="G1059" s="34"/>
      <c r="H1059" s="33"/>
      <c r="I1059" s="69"/>
      <c r="J1059" s="65"/>
      <c r="K1059" s="65"/>
      <c r="L1059" s="65"/>
      <c r="M1059" s="65"/>
      <c r="N1059" s="34"/>
      <c r="O1059" s="35"/>
    </row>
    <row r="1060" spans="1:15" s="36" customFormat="1" ht="12" x14ac:dyDescent="0.2">
      <c r="A1060" s="33"/>
      <c r="B1060" s="68">
        <v>45380</v>
      </c>
      <c r="C1060" s="64">
        <v>8550</v>
      </c>
      <c r="D1060" s="64">
        <v>270</v>
      </c>
      <c r="E1060" s="64">
        <v>8280</v>
      </c>
      <c r="F1060" s="34"/>
      <c r="G1060" s="34"/>
      <c r="H1060" s="33"/>
      <c r="I1060" s="68"/>
      <c r="J1060" s="64"/>
      <c r="K1060" s="64"/>
      <c r="L1060" s="64"/>
      <c r="M1060" s="64"/>
      <c r="N1060" s="34"/>
      <c r="O1060" s="35"/>
    </row>
    <row r="1061" spans="1:15" s="36" customFormat="1" ht="12" x14ac:dyDescent="0.2">
      <c r="A1061" s="33"/>
      <c r="B1061" s="69">
        <v>45387</v>
      </c>
      <c r="C1061" s="65">
        <v>60</v>
      </c>
      <c r="D1061" s="65">
        <v>4500</v>
      </c>
      <c r="E1061" s="65">
        <v>-4440</v>
      </c>
      <c r="F1061" s="34"/>
      <c r="G1061" s="34"/>
      <c r="H1061" s="33"/>
      <c r="I1061" s="69"/>
      <c r="J1061" s="65"/>
      <c r="K1061" s="65"/>
      <c r="L1061" s="65"/>
      <c r="M1061" s="65"/>
      <c r="N1061" s="34"/>
      <c r="O1061" s="35"/>
    </row>
    <row r="1062" spans="1:15" s="36" customFormat="1" ht="12" x14ac:dyDescent="0.2">
      <c r="A1062" s="33"/>
      <c r="B1062" s="68">
        <v>45394</v>
      </c>
      <c r="C1062" s="64">
        <v>120</v>
      </c>
      <c r="D1062" s="64">
        <v>4060</v>
      </c>
      <c r="E1062" s="64">
        <v>-3940</v>
      </c>
      <c r="F1062" s="34"/>
      <c r="G1062" s="34"/>
      <c r="H1062" s="33"/>
      <c r="I1062" s="68"/>
      <c r="J1062" s="64"/>
      <c r="K1062" s="64"/>
      <c r="L1062" s="64"/>
      <c r="M1062" s="64"/>
      <c r="N1062" s="34"/>
      <c r="O1062" s="35"/>
    </row>
    <row r="1063" spans="1:15" s="36" customFormat="1" ht="12" x14ac:dyDescent="0.2">
      <c r="A1063" s="33"/>
      <c r="B1063" s="69">
        <v>45401</v>
      </c>
      <c r="C1063" s="65">
        <v>100</v>
      </c>
      <c r="D1063" s="65">
        <v>120</v>
      </c>
      <c r="E1063" s="65">
        <v>-20</v>
      </c>
      <c r="F1063" s="34"/>
      <c r="G1063" s="34"/>
      <c r="H1063" s="33"/>
      <c r="I1063" s="69"/>
      <c r="J1063" s="65"/>
      <c r="K1063" s="65"/>
      <c r="L1063" s="65"/>
      <c r="M1063" s="65"/>
      <c r="N1063" s="34"/>
      <c r="O1063" s="35"/>
    </row>
    <row r="1064" spans="1:15" s="36" customFormat="1" ht="12" x14ac:dyDescent="0.2">
      <c r="A1064" s="33"/>
      <c r="B1064" s="68">
        <v>45408</v>
      </c>
      <c r="C1064" s="64">
        <v>150</v>
      </c>
      <c r="D1064" s="64">
        <v>150</v>
      </c>
      <c r="E1064" s="64">
        <v>0</v>
      </c>
      <c r="F1064" s="34"/>
      <c r="G1064" s="34"/>
      <c r="H1064" s="33"/>
      <c r="I1064" s="68"/>
      <c r="J1064" s="64"/>
      <c r="K1064" s="64"/>
      <c r="L1064" s="64"/>
      <c r="M1064" s="64"/>
      <c r="N1064" s="34"/>
      <c r="O1064" s="35"/>
    </row>
    <row r="1065" spans="1:15" s="36" customFormat="1" ht="12" x14ac:dyDescent="0.2">
      <c r="A1065" s="33"/>
      <c r="B1065" s="69">
        <v>45415</v>
      </c>
      <c r="C1065" s="65">
        <v>4440</v>
      </c>
      <c r="D1065" s="65">
        <v>40</v>
      </c>
      <c r="E1065" s="65">
        <v>4400</v>
      </c>
      <c r="F1065" s="34"/>
      <c r="G1065" s="34"/>
      <c r="H1065" s="33"/>
      <c r="I1065" s="69"/>
      <c r="J1065" s="65"/>
      <c r="K1065" s="65"/>
      <c r="L1065" s="65"/>
      <c r="M1065" s="65"/>
      <c r="N1065" s="34"/>
      <c r="O1065" s="35"/>
    </row>
    <row r="1066" spans="1:15" s="36" customFormat="1" ht="12" x14ac:dyDescent="0.2">
      <c r="A1066" s="33"/>
      <c r="B1066" s="68">
        <v>45422</v>
      </c>
      <c r="C1066" s="64">
        <v>100</v>
      </c>
      <c r="D1066" s="64">
        <v>4500</v>
      </c>
      <c r="E1066" s="64">
        <v>-4400</v>
      </c>
      <c r="F1066" s="34"/>
      <c r="G1066" s="34"/>
      <c r="H1066" s="33"/>
      <c r="I1066" s="68"/>
      <c r="J1066" s="64"/>
      <c r="K1066" s="64"/>
      <c r="L1066" s="64"/>
      <c r="M1066" s="64"/>
      <c r="N1066" s="34"/>
      <c r="O1066" s="35"/>
    </row>
    <row r="1067" spans="1:15" s="36" customFormat="1" ht="12" x14ac:dyDescent="0.2">
      <c r="A1067" s="33"/>
      <c r="B1067" s="69">
        <v>45429</v>
      </c>
      <c r="C1067" s="65">
        <v>120</v>
      </c>
      <c r="D1067" s="65">
        <v>100</v>
      </c>
      <c r="E1067" s="65">
        <v>20</v>
      </c>
      <c r="F1067" s="34"/>
      <c r="G1067" s="34"/>
      <c r="H1067" s="33"/>
      <c r="I1067" s="69"/>
      <c r="J1067" s="65"/>
      <c r="K1067" s="65"/>
      <c r="L1067" s="65"/>
      <c r="M1067" s="65"/>
      <c r="N1067" s="34"/>
      <c r="O1067" s="35"/>
    </row>
    <row r="1068" spans="1:15" s="36" customFormat="1" ht="12" x14ac:dyDescent="0.2">
      <c r="A1068" s="33"/>
      <c r="B1068" s="68">
        <v>45436</v>
      </c>
      <c r="C1068" s="64">
        <v>100</v>
      </c>
      <c r="D1068" s="64">
        <v>120</v>
      </c>
      <c r="E1068" s="64">
        <v>-20</v>
      </c>
      <c r="F1068" s="34"/>
      <c r="G1068" s="34"/>
      <c r="H1068" s="33"/>
      <c r="I1068" s="68"/>
      <c r="J1068" s="64"/>
      <c r="K1068" s="64"/>
      <c r="L1068" s="64"/>
      <c r="M1068" s="64"/>
      <c r="N1068" s="34"/>
      <c r="O1068" s="35"/>
    </row>
    <row r="1069" spans="1:15" s="36" customFormat="1" ht="12" x14ac:dyDescent="0.2">
      <c r="A1069" s="33"/>
      <c r="B1069" s="69">
        <v>45443</v>
      </c>
      <c r="C1069" s="65">
        <v>6190</v>
      </c>
      <c r="D1069" s="65">
        <v>150</v>
      </c>
      <c r="E1069" s="65">
        <v>6040</v>
      </c>
      <c r="F1069" s="34"/>
      <c r="G1069" s="34"/>
      <c r="H1069" s="33"/>
      <c r="I1069" s="69"/>
      <c r="J1069" s="65"/>
      <c r="K1069" s="65"/>
      <c r="L1069" s="65"/>
      <c r="M1069" s="65"/>
      <c r="N1069" s="34"/>
      <c r="O1069" s="35"/>
    </row>
    <row r="1070" spans="1:15" s="36" customFormat="1" ht="12" x14ac:dyDescent="0.2">
      <c r="A1070" s="33"/>
      <c r="B1070" s="68">
        <v>45450</v>
      </c>
      <c r="C1070" s="64">
        <v>100</v>
      </c>
      <c r="D1070" s="64">
        <v>6140</v>
      </c>
      <c r="E1070" s="64">
        <v>-6040</v>
      </c>
      <c r="F1070" s="34"/>
      <c r="G1070" s="34"/>
      <c r="H1070" s="33"/>
      <c r="I1070" s="68"/>
      <c r="J1070" s="64"/>
      <c r="K1070" s="64"/>
      <c r="L1070" s="64"/>
      <c r="M1070" s="64"/>
      <c r="N1070" s="34"/>
      <c r="O1070" s="35"/>
    </row>
    <row r="1071" spans="1:15" s="36" customFormat="1" ht="12" x14ac:dyDescent="0.2">
      <c r="A1071" s="33"/>
      <c r="B1071" s="69">
        <v>45457</v>
      </c>
      <c r="C1071" s="65">
        <v>80</v>
      </c>
      <c r="D1071" s="65">
        <v>100</v>
      </c>
      <c r="E1071" s="65">
        <v>-20</v>
      </c>
      <c r="F1071" s="34"/>
      <c r="G1071" s="34"/>
      <c r="H1071" s="33"/>
      <c r="I1071" s="69"/>
      <c r="J1071" s="65"/>
      <c r="K1071" s="65"/>
      <c r="L1071" s="65"/>
      <c r="M1071" s="65"/>
      <c r="N1071" s="34"/>
      <c r="O1071" s="35"/>
    </row>
    <row r="1072" spans="1:15" s="36" customFormat="1" ht="12" x14ac:dyDescent="0.2">
      <c r="A1072" s="33"/>
      <c r="B1072" s="55"/>
      <c r="C1072" s="57"/>
      <c r="D1072" s="57"/>
      <c r="E1072" s="57"/>
      <c r="F1072" s="34"/>
      <c r="G1072" s="34"/>
      <c r="H1072" s="33"/>
      <c r="I1072" s="55"/>
      <c r="J1072" s="57"/>
      <c r="K1072" s="57"/>
      <c r="L1072" s="57"/>
      <c r="M1072" s="57"/>
      <c r="N1072" s="34"/>
      <c r="O1072" s="35"/>
    </row>
    <row r="1073" spans="1:15" s="36" customFormat="1" ht="12" x14ac:dyDescent="0.2">
      <c r="A1073" s="33"/>
      <c r="B1073" s="56"/>
      <c r="C1073" s="58"/>
      <c r="D1073" s="58"/>
      <c r="E1073" s="58"/>
      <c r="F1073" s="34"/>
      <c r="G1073" s="34"/>
      <c r="H1073" s="33"/>
      <c r="I1073" s="56"/>
      <c r="J1073" s="58"/>
      <c r="K1073" s="58"/>
      <c r="L1073" s="58"/>
      <c r="M1073" s="58"/>
      <c r="N1073" s="34"/>
      <c r="O1073" s="35"/>
    </row>
    <row r="1074" spans="1:15" s="36" customFormat="1" ht="12" x14ac:dyDescent="0.2">
      <c r="A1074" s="33"/>
      <c r="B1074" s="55"/>
      <c r="C1074" s="57"/>
      <c r="D1074" s="57"/>
      <c r="E1074" s="57"/>
      <c r="F1074" s="34"/>
      <c r="G1074" s="34"/>
      <c r="H1074" s="33"/>
      <c r="I1074" s="55"/>
      <c r="J1074" s="57"/>
      <c r="K1074" s="57"/>
      <c r="L1074" s="57"/>
      <c r="M1074" s="57"/>
      <c r="N1074" s="34"/>
      <c r="O1074" s="35"/>
    </row>
    <row r="1075" spans="1:15" s="36" customFormat="1" ht="12" x14ac:dyDescent="0.2">
      <c r="A1075" s="33"/>
      <c r="B1075" s="56"/>
      <c r="C1075" s="58"/>
      <c r="D1075" s="58"/>
      <c r="E1075" s="58"/>
      <c r="F1075" s="34"/>
      <c r="G1075" s="34"/>
      <c r="H1075" s="33"/>
      <c r="I1075" s="56"/>
      <c r="J1075" s="58"/>
      <c r="K1075" s="58"/>
      <c r="L1075" s="58"/>
      <c r="M1075" s="58"/>
      <c r="N1075" s="34"/>
      <c r="O1075" s="35"/>
    </row>
    <row r="1076" spans="1:15" s="36" customFormat="1" ht="12" x14ac:dyDescent="0.2">
      <c r="A1076" s="33"/>
      <c r="B1076" s="55"/>
      <c r="C1076" s="57"/>
      <c r="D1076" s="57"/>
      <c r="E1076" s="57"/>
      <c r="F1076" s="34"/>
      <c r="G1076" s="34"/>
      <c r="H1076" s="33"/>
      <c r="I1076" s="55"/>
      <c r="J1076" s="57"/>
      <c r="K1076" s="57"/>
      <c r="L1076" s="57"/>
      <c r="M1076" s="57"/>
      <c r="N1076" s="34"/>
      <c r="O1076" s="35"/>
    </row>
    <row r="1077" spans="1:15" s="36" customFormat="1" ht="12" x14ac:dyDescent="0.2">
      <c r="A1077" s="33"/>
      <c r="B1077" s="56"/>
      <c r="C1077" s="58"/>
      <c r="D1077" s="58"/>
      <c r="E1077" s="58"/>
      <c r="F1077" s="34"/>
      <c r="G1077" s="34"/>
      <c r="H1077" s="33"/>
      <c r="I1077" s="56"/>
      <c r="J1077" s="58"/>
      <c r="K1077" s="58"/>
      <c r="L1077" s="58"/>
      <c r="M1077" s="58"/>
      <c r="N1077" s="34"/>
      <c r="O1077" s="35"/>
    </row>
    <row r="1078" spans="1:15" s="36" customFormat="1" ht="12" x14ac:dyDescent="0.2">
      <c r="A1078" s="33"/>
      <c r="B1078" s="55"/>
      <c r="C1078" s="57"/>
      <c r="D1078" s="57"/>
      <c r="E1078" s="57"/>
      <c r="F1078" s="34"/>
      <c r="G1078" s="34"/>
      <c r="H1078" s="33"/>
      <c r="I1078" s="55"/>
      <c r="J1078" s="57"/>
      <c r="K1078" s="57"/>
      <c r="L1078" s="57"/>
      <c r="M1078" s="57"/>
      <c r="N1078" s="34"/>
      <c r="O1078" s="35"/>
    </row>
    <row r="1079" spans="1:15" s="36" customFormat="1" ht="12" x14ac:dyDescent="0.2">
      <c r="A1079" s="33"/>
      <c r="B1079" s="56"/>
      <c r="C1079" s="58"/>
      <c r="D1079" s="58"/>
      <c r="E1079" s="58"/>
      <c r="F1079" s="34"/>
      <c r="G1079" s="34"/>
      <c r="H1079" s="33"/>
      <c r="I1079" s="56"/>
      <c r="J1079" s="58"/>
      <c r="K1079" s="58"/>
      <c r="L1079" s="58"/>
      <c r="M1079" s="58"/>
      <c r="N1079" s="34"/>
      <c r="O1079" s="35"/>
    </row>
    <row r="1080" spans="1:15" s="36" customFormat="1" ht="12" x14ac:dyDescent="0.2">
      <c r="A1080" s="33"/>
      <c r="B1080" s="55"/>
      <c r="C1080" s="57"/>
      <c r="D1080" s="57"/>
      <c r="E1080" s="57"/>
      <c r="F1080" s="34"/>
      <c r="G1080" s="34"/>
      <c r="H1080" s="33"/>
      <c r="I1080" s="55"/>
      <c r="J1080" s="57"/>
      <c r="K1080" s="57"/>
      <c r="L1080" s="57"/>
      <c r="M1080" s="57"/>
      <c r="N1080" s="34"/>
      <c r="O1080" s="35"/>
    </row>
    <row r="1081" spans="1:15" s="36" customFormat="1" ht="12" x14ac:dyDescent="0.2">
      <c r="A1081" s="33"/>
      <c r="B1081" s="56"/>
      <c r="C1081" s="58"/>
      <c r="D1081" s="58"/>
      <c r="E1081" s="58"/>
      <c r="F1081" s="34"/>
      <c r="G1081" s="34"/>
      <c r="H1081" s="33"/>
      <c r="I1081" s="56"/>
      <c r="J1081" s="58"/>
      <c r="K1081" s="58"/>
      <c r="L1081" s="58"/>
      <c r="M1081" s="58"/>
      <c r="N1081" s="34"/>
      <c r="O1081" s="35"/>
    </row>
    <row r="1082" spans="1:15" s="36" customFormat="1" ht="12" x14ac:dyDescent="0.2">
      <c r="A1082" s="33"/>
      <c r="B1082" s="55"/>
      <c r="C1082" s="57"/>
      <c r="D1082" s="57"/>
      <c r="E1082" s="57"/>
      <c r="F1082" s="34"/>
      <c r="G1082" s="34"/>
      <c r="H1082" s="33"/>
      <c r="I1082" s="55"/>
      <c r="J1082" s="57"/>
      <c r="K1082" s="57"/>
      <c r="L1082" s="57"/>
      <c r="M1082" s="57"/>
      <c r="N1082" s="34"/>
      <c r="O1082" s="35"/>
    </row>
    <row r="1083" spans="1:15" s="36" customFormat="1" ht="12" x14ac:dyDescent="0.2">
      <c r="A1083" s="33"/>
      <c r="B1083" s="56"/>
      <c r="C1083" s="58"/>
      <c r="D1083" s="58"/>
      <c r="E1083" s="58"/>
      <c r="F1083" s="34"/>
      <c r="G1083" s="34"/>
      <c r="H1083" s="33"/>
      <c r="I1083" s="56"/>
      <c r="J1083" s="58"/>
      <c r="K1083" s="58"/>
      <c r="L1083" s="58"/>
      <c r="M1083" s="58"/>
      <c r="N1083" s="34"/>
      <c r="O1083" s="35"/>
    </row>
    <row r="1084" spans="1:15" s="36" customFormat="1" ht="12" x14ac:dyDescent="0.2">
      <c r="A1084" s="33"/>
      <c r="B1084" s="55"/>
      <c r="C1084" s="57"/>
      <c r="D1084" s="57"/>
      <c r="E1084" s="57"/>
      <c r="F1084" s="34"/>
      <c r="G1084" s="34"/>
      <c r="H1084" s="33"/>
      <c r="I1084" s="55"/>
      <c r="J1084" s="57"/>
      <c r="K1084" s="57"/>
      <c r="L1084" s="57"/>
      <c r="M1084" s="57"/>
      <c r="N1084" s="34"/>
      <c r="O1084" s="35"/>
    </row>
    <row r="1085" spans="1:15" s="36" customFormat="1" ht="12" x14ac:dyDescent="0.2">
      <c r="A1085" s="33"/>
      <c r="B1085" s="56"/>
      <c r="C1085" s="58"/>
      <c r="D1085" s="58"/>
      <c r="E1085" s="58"/>
      <c r="F1085" s="34"/>
      <c r="G1085" s="34"/>
      <c r="H1085" s="33"/>
      <c r="I1085" s="56"/>
      <c r="J1085" s="58"/>
      <c r="K1085" s="58"/>
      <c r="L1085" s="58"/>
      <c r="M1085" s="58"/>
      <c r="N1085" s="34"/>
      <c r="O1085" s="35"/>
    </row>
    <row r="1086" spans="1:15" s="36" customFormat="1" ht="12" x14ac:dyDescent="0.2">
      <c r="A1086" s="33"/>
      <c r="B1086" s="55"/>
      <c r="C1086" s="57"/>
      <c r="D1086" s="57"/>
      <c r="E1086" s="57"/>
      <c r="F1086" s="34"/>
      <c r="G1086" s="34"/>
      <c r="H1086" s="33"/>
      <c r="I1086" s="55"/>
      <c r="J1086" s="57"/>
      <c r="K1086" s="57"/>
      <c r="L1086" s="57"/>
      <c r="M1086" s="57"/>
      <c r="N1086" s="34"/>
      <c r="O1086" s="35"/>
    </row>
    <row r="1087" spans="1:15" s="36" customFormat="1" ht="12" x14ac:dyDescent="0.2">
      <c r="A1087" s="33"/>
      <c r="B1087" s="56"/>
      <c r="C1087" s="58"/>
      <c r="D1087" s="58"/>
      <c r="E1087" s="58"/>
      <c r="F1087" s="34"/>
      <c r="G1087" s="34"/>
      <c r="H1087" s="33"/>
      <c r="I1087" s="56"/>
      <c r="J1087" s="58"/>
      <c r="K1087" s="58"/>
      <c r="L1087" s="58"/>
      <c r="M1087" s="58"/>
      <c r="N1087" s="34"/>
      <c r="O1087" s="35"/>
    </row>
    <row r="1088" spans="1:15" s="36" customFormat="1" ht="12" x14ac:dyDescent="0.2">
      <c r="A1088" s="33"/>
      <c r="B1088" s="55"/>
      <c r="C1088" s="57"/>
      <c r="D1088" s="57"/>
      <c r="E1088" s="57"/>
      <c r="F1088" s="34"/>
      <c r="G1088" s="34"/>
      <c r="H1088" s="33"/>
      <c r="I1088" s="55"/>
      <c r="J1088" s="57"/>
      <c r="K1088" s="57"/>
      <c r="L1088" s="57"/>
      <c r="M1088" s="57"/>
      <c r="N1088" s="34"/>
      <c r="O1088" s="35"/>
    </row>
    <row r="1089" spans="1:15" s="36" customFormat="1" ht="12" x14ac:dyDescent="0.2">
      <c r="A1089" s="33"/>
      <c r="B1089" s="56"/>
      <c r="C1089" s="58"/>
      <c r="D1089" s="58"/>
      <c r="E1089" s="58"/>
      <c r="F1089" s="34"/>
      <c r="G1089" s="34"/>
      <c r="H1089" s="33"/>
      <c r="I1089" s="56"/>
      <c r="J1089" s="58"/>
      <c r="K1089" s="58"/>
      <c r="L1089" s="58"/>
      <c r="M1089" s="58"/>
      <c r="N1089" s="34"/>
      <c r="O1089" s="35"/>
    </row>
    <row r="1090" spans="1:15" s="36" customFormat="1" ht="12" x14ac:dyDescent="0.2">
      <c r="A1090" s="33"/>
      <c r="B1090" s="55"/>
      <c r="C1090" s="57"/>
      <c r="D1090" s="57"/>
      <c r="E1090" s="57"/>
      <c r="F1090" s="34"/>
      <c r="G1090" s="34"/>
      <c r="H1090" s="33"/>
      <c r="I1090" s="55"/>
      <c r="J1090" s="57"/>
      <c r="K1090" s="57"/>
      <c r="L1090" s="57"/>
      <c r="M1090" s="57"/>
      <c r="N1090" s="34"/>
      <c r="O1090" s="35"/>
    </row>
    <row r="1091" spans="1:15" s="36" customFormat="1" ht="12" x14ac:dyDescent="0.2">
      <c r="A1091" s="33"/>
      <c r="B1091" s="56"/>
      <c r="C1091" s="58"/>
      <c r="D1091" s="58"/>
      <c r="E1091" s="58"/>
      <c r="F1091" s="34"/>
      <c r="G1091" s="34"/>
      <c r="H1091" s="33"/>
      <c r="I1091" s="56"/>
      <c r="J1091" s="58"/>
      <c r="K1091" s="58"/>
      <c r="L1091" s="58"/>
      <c r="M1091" s="58"/>
      <c r="N1091" s="34"/>
      <c r="O1091" s="35"/>
    </row>
    <row r="1092" spans="1:15" s="36" customFormat="1" ht="12" x14ac:dyDescent="0.2">
      <c r="A1092" s="33"/>
      <c r="B1092" s="55"/>
      <c r="C1092" s="57"/>
      <c r="D1092" s="57"/>
      <c r="E1092" s="57"/>
      <c r="F1092" s="34"/>
      <c r="G1092" s="34"/>
      <c r="H1092" s="33"/>
      <c r="I1092" s="55"/>
      <c r="J1092" s="57"/>
      <c r="K1092" s="57"/>
      <c r="L1092" s="57"/>
      <c r="M1092" s="57"/>
      <c r="N1092" s="34"/>
      <c r="O1092" s="35"/>
    </row>
    <row r="1093" spans="1:15" s="36" customFormat="1" ht="12" x14ac:dyDescent="0.2">
      <c r="A1093" s="33"/>
      <c r="B1093" s="56"/>
      <c r="C1093" s="58"/>
      <c r="D1093" s="58"/>
      <c r="E1093" s="58"/>
      <c r="F1093" s="34"/>
      <c r="G1093" s="34"/>
      <c r="H1093" s="33"/>
      <c r="I1093" s="56"/>
      <c r="J1093" s="58"/>
      <c r="K1093" s="58"/>
      <c r="L1093" s="58"/>
      <c r="M1093" s="58"/>
      <c r="N1093" s="34"/>
      <c r="O1093" s="35"/>
    </row>
    <row r="1094" spans="1:15" s="36" customFormat="1" ht="12" x14ac:dyDescent="0.2">
      <c r="A1094" s="33"/>
      <c r="B1094" s="55"/>
      <c r="C1094" s="57"/>
      <c r="D1094" s="57"/>
      <c r="E1094" s="57"/>
      <c r="F1094" s="34"/>
      <c r="G1094" s="34"/>
      <c r="H1094" s="33"/>
      <c r="I1094" s="55"/>
      <c r="J1094" s="57"/>
      <c r="K1094" s="57"/>
      <c r="L1094" s="57"/>
      <c r="M1094" s="57"/>
      <c r="N1094" s="34"/>
      <c r="O1094" s="35"/>
    </row>
    <row r="1095" spans="1:15" s="36" customFormat="1" ht="12" x14ac:dyDescent="0.2">
      <c r="A1095" s="33"/>
      <c r="B1095" s="56"/>
      <c r="C1095" s="58"/>
      <c r="D1095" s="58"/>
      <c r="E1095" s="58"/>
      <c r="F1095" s="34"/>
      <c r="G1095" s="34"/>
      <c r="H1095" s="33"/>
      <c r="I1095" s="56"/>
      <c r="J1095" s="58"/>
      <c r="K1095" s="58"/>
      <c r="L1095" s="58"/>
      <c r="M1095" s="58"/>
      <c r="N1095" s="34"/>
      <c r="O1095" s="35"/>
    </row>
    <row r="1096" spans="1:15" s="36" customFormat="1" ht="12" x14ac:dyDescent="0.2">
      <c r="A1096" s="33"/>
      <c r="B1096" s="55"/>
      <c r="C1096" s="57"/>
      <c r="D1096" s="57"/>
      <c r="E1096" s="57"/>
      <c r="F1096" s="34"/>
      <c r="G1096" s="34"/>
      <c r="H1096" s="33"/>
      <c r="I1096" s="55"/>
      <c r="J1096" s="57"/>
      <c r="K1096" s="57"/>
      <c r="L1096" s="57"/>
      <c r="M1096" s="57"/>
      <c r="N1096" s="34"/>
      <c r="O1096" s="35"/>
    </row>
    <row r="1097" spans="1:15" s="36" customFormat="1" ht="12" x14ac:dyDescent="0.2">
      <c r="A1097" s="33"/>
      <c r="B1097" s="56"/>
      <c r="C1097" s="58"/>
      <c r="D1097" s="58"/>
      <c r="E1097" s="58"/>
      <c r="F1097" s="34"/>
      <c r="G1097" s="34"/>
      <c r="H1097" s="33"/>
      <c r="I1097" s="56"/>
      <c r="J1097" s="58"/>
      <c r="K1097" s="58"/>
      <c r="L1097" s="58"/>
      <c r="M1097" s="58"/>
      <c r="N1097" s="34"/>
      <c r="O1097" s="35"/>
    </row>
    <row r="1098" spans="1:15" s="36" customFormat="1" ht="12" x14ac:dyDescent="0.2">
      <c r="A1098" s="33"/>
      <c r="B1098" s="55"/>
      <c r="C1098" s="57"/>
      <c r="D1098" s="57"/>
      <c r="E1098" s="57"/>
      <c r="F1098" s="34"/>
      <c r="G1098" s="34"/>
      <c r="H1098" s="33"/>
      <c r="I1098" s="55"/>
      <c r="J1098" s="57"/>
      <c r="K1098" s="57"/>
      <c r="L1098" s="57"/>
      <c r="M1098" s="57"/>
      <c r="N1098" s="34"/>
      <c r="O1098" s="35"/>
    </row>
    <row r="1099" spans="1:15" s="36" customFormat="1" ht="12" x14ac:dyDescent="0.2">
      <c r="A1099" s="33"/>
      <c r="B1099" s="56"/>
      <c r="C1099" s="58"/>
      <c r="D1099" s="58"/>
      <c r="E1099" s="58"/>
      <c r="F1099" s="34"/>
      <c r="G1099" s="34"/>
      <c r="H1099" s="33"/>
      <c r="I1099" s="56"/>
      <c r="J1099" s="58"/>
      <c r="K1099" s="58"/>
      <c r="L1099" s="58"/>
      <c r="M1099" s="58"/>
      <c r="N1099" s="34"/>
      <c r="O1099" s="35"/>
    </row>
    <row r="1100" spans="1:15" s="36" customFormat="1" ht="12" x14ac:dyDescent="0.2">
      <c r="A1100" s="33"/>
      <c r="B1100" s="55"/>
      <c r="C1100" s="57"/>
      <c r="D1100" s="57"/>
      <c r="E1100" s="57"/>
      <c r="F1100" s="34"/>
      <c r="G1100" s="34"/>
      <c r="H1100" s="33"/>
      <c r="I1100" s="55"/>
      <c r="J1100" s="57"/>
      <c r="K1100" s="57"/>
      <c r="L1100" s="57"/>
      <c r="M1100" s="57"/>
      <c r="N1100" s="34"/>
      <c r="O1100" s="35"/>
    </row>
    <row r="1101" spans="1:15" s="36" customFormat="1" ht="12" x14ac:dyDescent="0.2">
      <c r="A1101" s="33"/>
      <c r="B1101" s="56"/>
      <c r="C1101" s="58"/>
      <c r="D1101" s="58"/>
      <c r="E1101" s="58"/>
      <c r="F1101" s="34"/>
      <c r="G1101" s="34"/>
      <c r="H1101" s="33"/>
      <c r="I1101" s="56"/>
      <c r="J1101" s="58"/>
      <c r="K1101" s="58"/>
      <c r="L1101" s="58"/>
      <c r="M1101" s="58"/>
      <c r="N1101" s="34"/>
      <c r="O1101" s="35"/>
    </row>
    <row r="1102" spans="1:15" s="36" customFormat="1" ht="12" x14ac:dyDescent="0.2">
      <c r="A1102" s="33"/>
      <c r="B1102" s="55"/>
      <c r="C1102" s="57"/>
      <c r="D1102" s="57"/>
      <c r="E1102" s="57"/>
      <c r="F1102" s="34"/>
      <c r="G1102" s="34"/>
      <c r="H1102" s="33"/>
      <c r="I1102" s="55"/>
      <c r="J1102" s="57"/>
      <c r="K1102" s="57"/>
      <c r="L1102" s="57"/>
      <c r="M1102" s="57"/>
      <c r="N1102" s="34"/>
      <c r="O1102" s="35"/>
    </row>
    <row r="1103" spans="1:15" s="36" customFormat="1" ht="12" x14ac:dyDescent="0.2">
      <c r="A1103" s="33"/>
      <c r="B1103" s="56"/>
      <c r="C1103" s="58"/>
      <c r="D1103" s="58"/>
      <c r="E1103" s="58"/>
      <c r="F1103" s="34"/>
      <c r="G1103" s="34"/>
      <c r="H1103" s="33"/>
      <c r="I1103" s="56"/>
      <c r="J1103" s="58"/>
      <c r="K1103" s="58"/>
      <c r="L1103" s="58"/>
      <c r="M1103" s="58"/>
      <c r="N1103" s="34"/>
      <c r="O1103" s="35"/>
    </row>
    <row r="1104" spans="1:15" s="36" customFormat="1" ht="12" x14ac:dyDescent="0.2">
      <c r="A1104" s="33"/>
      <c r="B1104" s="55"/>
      <c r="C1104" s="57"/>
      <c r="D1104" s="57"/>
      <c r="E1104" s="57"/>
      <c r="F1104" s="34"/>
      <c r="G1104" s="34"/>
      <c r="H1104" s="33"/>
      <c r="I1104" s="55"/>
      <c r="J1104" s="57"/>
      <c r="K1104" s="57"/>
      <c r="L1104" s="57"/>
      <c r="M1104" s="57"/>
      <c r="N1104" s="34"/>
      <c r="O1104" s="35"/>
    </row>
    <row r="1105" spans="1:15" s="36" customFormat="1" ht="12" x14ac:dyDescent="0.2">
      <c r="A1105" s="33"/>
      <c r="B1105" s="56"/>
      <c r="C1105" s="58"/>
      <c r="D1105" s="58"/>
      <c r="E1105" s="58"/>
      <c r="F1105" s="34"/>
      <c r="G1105" s="34"/>
      <c r="H1105" s="33"/>
      <c r="I1105" s="56"/>
      <c r="J1105" s="58"/>
      <c r="K1105" s="58"/>
      <c r="L1105" s="58"/>
      <c r="M1105" s="58"/>
      <c r="N1105" s="34"/>
      <c r="O1105" s="35"/>
    </row>
    <row r="1106" spans="1:15" s="36" customFormat="1" ht="12" x14ac:dyDescent="0.2">
      <c r="A1106" s="33"/>
      <c r="B1106" s="55"/>
      <c r="C1106" s="57"/>
      <c r="D1106" s="57"/>
      <c r="E1106" s="57"/>
      <c r="F1106" s="34"/>
      <c r="G1106" s="34"/>
      <c r="H1106" s="33"/>
      <c r="I1106" s="55"/>
      <c r="J1106" s="57"/>
      <c r="K1106" s="57"/>
      <c r="L1106" s="57"/>
      <c r="M1106" s="57"/>
      <c r="N1106" s="34"/>
      <c r="O1106" s="35"/>
    </row>
    <row r="1107" spans="1:15" s="36" customFormat="1" ht="12" x14ac:dyDescent="0.2">
      <c r="A1107" s="33"/>
      <c r="B1107" s="56"/>
      <c r="C1107" s="58"/>
      <c r="D1107" s="58"/>
      <c r="E1107" s="58"/>
      <c r="F1107" s="34"/>
      <c r="G1107" s="34"/>
      <c r="H1107" s="33"/>
      <c r="I1107" s="56"/>
      <c r="J1107" s="58"/>
      <c r="K1107" s="58"/>
      <c r="L1107" s="58"/>
      <c r="M1107" s="58"/>
      <c r="N1107" s="34"/>
      <c r="O1107" s="35"/>
    </row>
    <row r="1108" spans="1:15" s="36" customFormat="1" ht="12" x14ac:dyDescent="0.2">
      <c r="A1108" s="33"/>
      <c r="B1108" s="55"/>
      <c r="C1108" s="57"/>
      <c r="D1108" s="57"/>
      <c r="E1108" s="57"/>
      <c r="F1108" s="34"/>
      <c r="G1108" s="34"/>
      <c r="H1108" s="33"/>
      <c r="I1108" s="55"/>
      <c r="J1108" s="57"/>
      <c r="K1108" s="57"/>
      <c r="L1108" s="57"/>
      <c r="M1108" s="57"/>
      <c r="N1108" s="34"/>
      <c r="O1108" s="35"/>
    </row>
    <row r="1109" spans="1:15" s="36" customFormat="1" ht="12" x14ac:dyDescent="0.2">
      <c r="A1109" s="33"/>
      <c r="B1109" s="56"/>
      <c r="C1109" s="58"/>
      <c r="D1109" s="58"/>
      <c r="E1109" s="58"/>
      <c r="F1109" s="34"/>
      <c r="G1109" s="34"/>
      <c r="H1109" s="33"/>
      <c r="I1109" s="56"/>
      <c r="J1109" s="58"/>
      <c r="K1109" s="58"/>
      <c r="L1109" s="58"/>
      <c r="M1109" s="58"/>
      <c r="N1109" s="34"/>
      <c r="O1109" s="35"/>
    </row>
    <row r="1110" spans="1:15" s="36" customFormat="1" ht="12" x14ac:dyDescent="0.2">
      <c r="A1110" s="33"/>
      <c r="B1110" s="55"/>
      <c r="C1110" s="57"/>
      <c r="D1110" s="57"/>
      <c r="E1110" s="57"/>
      <c r="F1110" s="34"/>
      <c r="G1110" s="34"/>
      <c r="H1110" s="33"/>
      <c r="I1110" s="55"/>
      <c r="J1110" s="57"/>
      <c r="K1110" s="57"/>
      <c r="L1110" s="57"/>
      <c r="M1110" s="57"/>
      <c r="N1110" s="34"/>
      <c r="O1110" s="35"/>
    </row>
    <row r="1111" spans="1:15" s="36" customFormat="1" ht="12" x14ac:dyDescent="0.2">
      <c r="A1111" s="33"/>
      <c r="B1111" s="56"/>
      <c r="C1111" s="58"/>
      <c r="D1111" s="58"/>
      <c r="E1111" s="58"/>
      <c r="F1111" s="34"/>
      <c r="G1111" s="34"/>
      <c r="H1111" s="33"/>
      <c r="I1111" s="56"/>
      <c r="J1111" s="58"/>
      <c r="K1111" s="58"/>
      <c r="L1111" s="58"/>
      <c r="M1111" s="58"/>
      <c r="N1111" s="34"/>
      <c r="O1111" s="35"/>
    </row>
    <row r="1112" spans="1:15" s="36" customFormat="1" ht="12" x14ac:dyDescent="0.2">
      <c r="A1112" s="33"/>
      <c r="B1112" s="55"/>
      <c r="C1112" s="57"/>
      <c r="D1112" s="57"/>
      <c r="E1112" s="57"/>
      <c r="F1112" s="34"/>
      <c r="G1112" s="34"/>
      <c r="H1112" s="33"/>
      <c r="I1112" s="55"/>
      <c r="J1112" s="57"/>
      <c r="K1112" s="57"/>
      <c r="L1112" s="57"/>
      <c r="M1112" s="57"/>
      <c r="N1112" s="34"/>
      <c r="O1112" s="35"/>
    </row>
    <row r="1113" spans="1:15" s="36" customFormat="1" ht="12" x14ac:dyDescent="0.2">
      <c r="A1113" s="33"/>
      <c r="B1113" s="56"/>
      <c r="C1113" s="58"/>
      <c r="D1113" s="58"/>
      <c r="E1113" s="58"/>
      <c r="F1113" s="34"/>
      <c r="G1113" s="34"/>
      <c r="H1113" s="33"/>
      <c r="I1113" s="56"/>
      <c r="J1113" s="58"/>
      <c r="K1113" s="58"/>
      <c r="L1113" s="58"/>
      <c r="M1113" s="58"/>
      <c r="N1113" s="34"/>
      <c r="O1113" s="35"/>
    </row>
    <row r="1114" spans="1:15" s="36" customFormat="1" ht="12" x14ac:dyDescent="0.2">
      <c r="A1114" s="33"/>
      <c r="B1114" s="55"/>
      <c r="C1114" s="57"/>
      <c r="D1114" s="57"/>
      <c r="E1114" s="57"/>
      <c r="F1114" s="34"/>
      <c r="G1114" s="34"/>
      <c r="H1114" s="33"/>
      <c r="I1114" s="55"/>
      <c r="J1114" s="57"/>
      <c r="K1114" s="57"/>
      <c r="L1114" s="57"/>
      <c r="M1114" s="57"/>
      <c r="N1114" s="34"/>
      <c r="O1114" s="35"/>
    </row>
    <row r="1115" spans="1:15" s="36" customFormat="1" ht="12" x14ac:dyDescent="0.2">
      <c r="A1115" s="33"/>
      <c r="B1115" s="56"/>
      <c r="C1115" s="58"/>
      <c r="D1115" s="58"/>
      <c r="E1115" s="58"/>
      <c r="F1115" s="34"/>
      <c r="G1115" s="34"/>
      <c r="H1115" s="33"/>
      <c r="I1115" s="56"/>
      <c r="J1115" s="58"/>
      <c r="K1115" s="58"/>
      <c r="L1115" s="58"/>
      <c r="M1115" s="58"/>
      <c r="N1115" s="34"/>
      <c r="O1115" s="35"/>
    </row>
    <row r="1116" spans="1:15" s="36" customFormat="1" ht="12" x14ac:dyDescent="0.2">
      <c r="A1116" s="33"/>
      <c r="B1116" s="55"/>
      <c r="C1116" s="57"/>
      <c r="D1116" s="57"/>
      <c r="E1116" s="57"/>
      <c r="F1116" s="34"/>
      <c r="G1116" s="34"/>
      <c r="H1116" s="33"/>
      <c r="I1116" s="55"/>
      <c r="J1116" s="57"/>
      <c r="K1116" s="57"/>
      <c r="L1116" s="57"/>
      <c r="M1116" s="57"/>
      <c r="N1116" s="34"/>
      <c r="O1116" s="35"/>
    </row>
    <row r="1117" spans="1:15" s="36" customFormat="1" ht="12" x14ac:dyDescent="0.2">
      <c r="A1117" s="33"/>
      <c r="B1117" s="56"/>
      <c r="C1117" s="58"/>
      <c r="D1117" s="58"/>
      <c r="E1117" s="58"/>
      <c r="F1117" s="34"/>
      <c r="G1117" s="34"/>
      <c r="H1117" s="33"/>
      <c r="I1117" s="56"/>
      <c r="J1117" s="58"/>
      <c r="K1117" s="58"/>
      <c r="L1117" s="58"/>
      <c r="M1117" s="58"/>
      <c r="N1117" s="34"/>
      <c r="O1117" s="35"/>
    </row>
    <row r="1118" spans="1:15" s="36" customFormat="1" ht="12" x14ac:dyDescent="0.2">
      <c r="A1118" s="33"/>
      <c r="B1118" s="55"/>
      <c r="C1118" s="57"/>
      <c r="D1118" s="57"/>
      <c r="E1118" s="57"/>
      <c r="F1118" s="34"/>
      <c r="G1118" s="34"/>
      <c r="H1118" s="33"/>
      <c r="I1118" s="55"/>
      <c r="J1118" s="57"/>
      <c r="K1118" s="57"/>
      <c r="L1118" s="57"/>
      <c r="M1118" s="57"/>
      <c r="N1118" s="34"/>
      <c r="O1118" s="35"/>
    </row>
    <row r="1119" spans="1:15" s="36" customFormat="1" ht="12" x14ac:dyDescent="0.2">
      <c r="A1119" s="33"/>
      <c r="B1119" s="56"/>
      <c r="C1119" s="58"/>
      <c r="D1119" s="58"/>
      <c r="E1119" s="58"/>
      <c r="F1119" s="34"/>
      <c r="G1119" s="34"/>
      <c r="H1119" s="33"/>
      <c r="I1119" s="56"/>
      <c r="J1119" s="58"/>
      <c r="K1119" s="58"/>
      <c r="L1119" s="58"/>
      <c r="M1119" s="58"/>
      <c r="N1119" s="34"/>
      <c r="O1119" s="35"/>
    </row>
    <row r="1120" spans="1:15" s="36" customFormat="1" ht="12" x14ac:dyDescent="0.15"/>
    <row r="1121" s="36" customFormat="1" ht="12" x14ac:dyDescent="0.15"/>
    <row r="1122" s="36" customFormat="1" ht="12" x14ac:dyDescent="0.15"/>
    <row r="1123" s="36" customFormat="1" ht="12" x14ac:dyDescent="0.15"/>
    <row r="1124" s="36" customFormat="1" ht="12" x14ac:dyDescent="0.15"/>
    <row r="1125" s="36" customFormat="1" ht="12" x14ac:dyDescent="0.15"/>
    <row r="1126" s="36" customFormat="1" ht="12" x14ac:dyDescent="0.15"/>
    <row r="1127" s="36" customFormat="1" ht="12" x14ac:dyDescent="0.15"/>
    <row r="1128" s="36" customFormat="1" ht="12" x14ac:dyDescent="0.15"/>
    <row r="1129" s="36" customFormat="1" ht="12" x14ac:dyDescent="0.15"/>
    <row r="1130" s="36" customFormat="1" ht="12" x14ac:dyDescent="0.15"/>
    <row r="1131" s="36" customFormat="1" ht="12" x14ac:dyDescent="0.15"/>
    <row r="1132" s="36" customFormat="1" ht="12" x14ac:dyDescent="0.15"/>
    <row r="1133" s="36" customFormat="1" ht="12" x14ac:dyDescent="0.15"/>
    <row r="1134" s="36" customFormat="1" ht="12" x14ac:dyDescent="0.15"/>
    <row r="1135" s="36" customFormat="1" ht="12" x14ac:dyDescent="0.15"/>
    <row r="1136" s="36" customFormat="1" ht="12" x14ac:dyDescent="0.15"/>
    <row r="1137" s="36" customFormat="1" ht="12" x14ac:dyDescent="0.15"/>
    <row r="1138" s="36" customFormat="1" ht="12" x14ac:dyDescent="0.15"/>
    <row r="1139" s="36" customFormat="1" ht="12" x14ac:dyDescent="0.15"/>
    <row r="1140" s="36" customFormat="1" ht="12" x14ac:dyDescent="0.15"/>
    <row r="1141" s="36" customFormat="1" ht="12" x14ac:dyDescent="0.15"/>
    <row r="1142" s="36" customFormat="1" ht="12" x14ac:dyDescent="0.15"/>
    <row r="1143" s="36" customFormat="1" ht="12" x14ac:dyDescent="0.15"/>
    <row r="1144" s="36" customFormat="1" ht="12" x14ac:dyDescent="0.15"/>
    <row r="1145" s="36" customFormat="1" ht="12" x14ac:dyDescent="0.15"/>
    <row r="1146" s="36" customFormat="1" ht="12" x14ac:dyDescent="0.15"/>
    <row r="1147" s="36" customFormat="1" ht="12" x14ac:dyDescent="0.15"/>
    <row r="1148" s="36" customFormat="1" ht="12" x14ac:dyDescent="0.15"/>
    <row r="1149" s="36" customFormat="1" ht="12" x14ac:dyDescent="0.15"/>
    <row r="1150" s="36" customFormat="1" ht="12" x14ac:dyDescent="0.15"/>
    <row r="1151" s="36" customFormat="1" ht="12" x14ac:dyDescent="0.15"/>
    <row r="1152" s="36" customFormat="1" ht="12" x14ac:dyDescent="0.15"/>
    <row r="1153" spans="1:15" s="36" customFormat="1" ht="12" x14ac:dyDescent="0.15"/>
    <row r="1154" spans="1:15" s="36" customFormat="1" ht="12" x14ac:dyDescent="0.15"/>
    <row r="1155" spans="1:15" s="36" customFormat="1" ht="12" x14ac:dyDescent="0.15"/>
    <row r="1156" spans="1:15" s="36" customFormat="1" ht="12" x14ac:dyDescent="0.15"/>
    <row r="1157" spans="1:15" s="36" customFormat="1" ht="12" x14ac:dyDescent="0.15"/>
    <row r="1158" spans="1:15" s="36" customFormat="1" ht="12" x14ac:dyDescent="0.15"/>
    <row r="1159" spans="1:15" s="36" customFormat="1" ht="12" x14ac:dyDescent="0.15"/>
    <row r="1160" spans="1:15" s="36" customFormat="1" ht="12" x14ac:dyDescent="0.15"/>
    <row r="1161" spans="1:15" s="36" customFormat="1" ht="12" x14ac:dyDescent="0.15"/>
    <row r="1162" spans="1:15" s="36" customFormat="1" ht="12" x14ac:dyDescent="0.15"/>
    <row r="1163" spans="1:15" s="36" customFormat="1" ht="12" x14ac:dyDescent="0.15"/>
    <row r="1164" spans="1:15" s="36" customFormat="1" ht="12" x14ac:dyDescent="0.15"/>
    <row r="1165" spans="1:15" s="36" customFormat="1" ht="12" x14ac:dyDescent="0.15"/>
    <row r="1166" spans="1:15" x14ac:dyDescent="0.15">
      <c r="A1166" s="9"/>
      <c r="B1166" s="9"/>
      <c r="H1166" s="9"/>
      <c r="I1166" s="9"/>
      <c r="O1166" s="9"/>
    </row>
    <row r="1167" spans="1:15" x14ac:dyDescent="0.15">
      <c r="A1167" s="9"/>
      <c r="B1167" s="9"/>
      <c r="H1167" s="9"/>
      <c r="I1167" s="9"/>
      <c r="O1167" s="9"/>
    </row>
    <row r="1168" spans="1:15" x14ac:dyDescent="0.15">
      <c r="A1168" s="9"/>
      <c r="B1168" s="9"/>
      <c r="H1168" s="9"/>
      <c r="I1168" s="9"/>
      <c r="O1168" s="9"/>
    </row>
    <row r="1169" spans="1:15" x14ac:dyDescent="0.15">
      <c r="A1169" s="9"/>
      <c r="B1169" s="9"/>
      <c r="H1169" s="9"/>
      <c r="I1169" s="9"/>
      <c r="O1169" s="9"/>
    </row>
    <row r="1170" spans="1:15" x14ac:dyDescent="0.15">
      <c r="A1170" s="9"/>
      <c r="B1170" s="9"/>
      <c r="H1170" s="9"/>
      <c r="I1170" s="9"/>
      <c r="O1170" s="9"/>
    </row>
    <row r="1171" spans="1:15" x14ac:dyDescent="0.15">
      <c r="A1171" s="9"/>
      <c r="B1171" s="9"/>
      <c r="H1171" s="9"/>
      <c r="I1171" s="9"/>
      <c r="O1171" s="9"/>
    </row>
    <row r="1172" spans="1:15" x14ac:dyDescent="0.15">
      <c r="A1172" s="9"/>
      <c r="B1172" s="9"/>
      <c r="H1172" s="9"/>
      <c r="I1172" s="9"/>
      <c r="O1172" s="9"/>
    </row>
    <row r="1173" spans="1:15" x14ac:dyDescent="0.15">
      <c r="A1173" s="9"/>
      <c r="B1173" s="9"/>
      <c r="H1173" s="9"/>
      <c r="I1173" s="9"/>
      <c r="O1173" s="9"/>
    </row>
    <row r="1174" spans="1:15" x14ac:dyDescent="0.15">
      <c r="A1174" s="9"/>
      <c r="B1174" s="9"/>
      <c r="H1174" s="9"/>
      <c r="I1174" s="9"/>
      <c r="O1174" s="9"/>
    </row>
    <row r="1175" spans="1:15" x14ac:dyDescent="0.15">
      <c r="A1175" s="9"/>
      <c r="B1175" s="9"/>
      <c r="H1175" s="9"/>
      <c r="I1175" s="9"/>
      <c r="O1175" s="9"/>
    </row>
    <row r="1176" spans="1:15" x14ac:dyDescent="0.15">
      <c r="A1176" s="9"/>
      <c r="B1176" s="9"/>
      <c r="H1176" s="9"/>
      <c r="I1176" s="9"/>
      <c r="O1176" s="9"/>
    </row>
    <row r="1177" spans="1:15" x14ac:dyDescent="0.15">
      <c r="A1177" s="9"/>
      <c r="B1177" s="9"/>
      <c r="H1177" s="9"/>
      <c r="I1177" s="9"/>
      <c r="O1177" s="9"/>
    </row>
    <row r="1178" spans="1:15" x14ac:dyDescent="0.15">
      <c r="A1178" s="9"/>
      <c r="B1178" s="9"/>
      <c r="H1178" s="9"/>
      <c r="I1178" s="9"/>
      <c r="O1178" s="9"/>
    </row>
    <row r="1179" spans="1:15" x14ac:dyDescent="0.15">
      <c r="A1179" s="9"/>
      <c r="B1179" s="9"/>
      <c r="H1179" s="9"/>
      <c r="I1179" s="9"/>
      <c r="O1179" s="9"/>
    </row>
    <row r="1180" spans="1:15" x14ac:dyDescent="0.15">
      <c r="A1180" s="9"/>
      <c r="B1180" s="9"/>
      <c r="H1180" s="9"/>
      <c r="I1180" s="9"/>
      <c r="O1180" s="9"/>
    </row>
    <row r="1181" spans="1:15" x14ac:dyDescent="0.15">
      <c r="A1181" s="9"/>
      <c r="B1181" s="9"/>
      <c r="H1181" s="9"/>
      <c r="I1181" s="9"/>
      <c r="O1181" s="9"/>
    </row>
    <row r="1182" spans="1:15" x14ac:dyDescent="0.15">
      <c r="A1182" s="9"/>
      <c r="B1182" s="9"/>
      <c r="H1182" s="9"/>
      <c r="I1182" s="9"/>
      <c r="O1182" s="9"/>
    </row>
    <row r="1183" spans="1:15" x14ac:dyDescent="0.15">
      <c r="A1183" s="9"/>
      <c r="B1183" s="9"/>
      <c r="H1183" s="9"/>
      <c r="I1183" s="9"/>
      <c r="O1183" s="9"/>
    </row>
    <row r="1184" spans="1:15" x14ac:dyDescent="0.15">
      <c r="A1184" s="9"/>
      <c r="B1184" s="9"/>
      <c r="H1184" s="9"/>
      <c r="I1184" s="9"/>
      <c r="O1184" s="9"/>
    </row>
    <row r="1185" spans="1:15" x14ac:dyDescent="0.15">
      <c r="A1185" s="9"/>
      <c r="B1185" s="9"/>
      <c r="H1185" s="9"/>
      <c r="I1185" s="9"/>
      <c r="O1185" s="9"/>
    </row>
    <row r="1186" spans="1:15" x14ac:dyDescent="0.15">
      <c r="A1186" s="9"/>
      <c r="B1186" s="9"/>
      <c r="H1186" s="9"/>
      <c r="I1186" s="9"/>
      <c r="O1186" s="9"/>
    </row>
    <row r="1187" spans="1:15" x14ac:dyDescent="0.15">
      <c r="A1187" s="9"/>
      <c r="B1187" s="9"/>
      <c r="H1187" s="9"/>
      <c r="I1187" s="9"/>
      <c r="O1187" s="9"/>
    </row>
    <row r="1188" spans="1:15" x14ac:dyDescent="0.15">
      <c r="A1188" s="9"/>
      <c r="B1188" s="9"/>
      <c r="H1188" s="9"/>
      <c r="I1188" s="9"/>
      <c r="O1188" s="9"/>
    </row>
    <row r="1189" spans="1:15" x14ac:dyDescent="0.15">
      <c r="A1189" s="9"/>
      <c r="B1189" s="9"/>
      <c r="H1189" s="9"/>
      <c r="I1189" s="9"/>
      <c r="O1189" s="9"/>
    </row>
    <row r="1190" spans="1:15" x14ac:dyDescent="0.15">
      <c r="A1190" s="9"/>
      <c r="B1190" s="9"/>
      <c r="H1190" s="9"/>
      <c r="I1190" s="9"/>
      <c r="O1190" s="9"/>
    </row>
    <row r="1191" spans="1:15" x14ac:dyDescent="0.15">
      <c r="A1191" s="9"/>
      <c r="B1191" s="9"/>
      <c r="H1191" s="9"/>
      <c r="I1191" s="9"/>
      <c r="O1191" s="9"/>
    </row>
    <row r="1192" spans="1:15" x14ac:dyDescent="0.15">
      <c r="A1192" s="9"/>
      <c r="B1192" s="9"/>
      <c r="H1192" s="9"/>
      <c r="I1192" s="9"/>
      <c r="O1192" s="9"/>
    </row>
    <row r="1193" spans="1:15" x14ac:dyDescent="0.15">
      <c r="A1193" s="9"/>
      <c r="B1193" s="9"/>
      <c r="H1193" s="9"/>
      <c r="I1193" s="9"/>
      <c r="O1193" s="9"/>
    </row>
    <row r="1194" spans="1:15" x14ac:dyDescent="0.15">
      <c r="A1194" s="9"/>
      <c r="B1194" s="9"/>
      <c r="H1194" s="9"/>
      <c r="I1194" s="9"/>
      <c r="O1194" s="9"/>
    </row>
    <row r="1195" spans="1:15" x14ac:dyDescent="0.15">
      <c r="A1195" s="9"/>
      <c r="B1195" s="9"/>
      <c r="H1195" s="9"/>
      <c r="I1195" s="9"/>
      <c r="O1195" s="9"/>
    </row>
    <row r="1196" spans="1:15" x14ac:dyDescent="0.15">
      <c r="A1196" s="9"/>
      <c r="B1196" s="9"/>
      <c r="H1196" s="9"/>
      <c r="I1196" s="9"/>
      <c r="O1196" s="9"/>
    </row>
    <row r="1197" spans="1:15" x14ac:dyDescent="0.15">
      <c r="A1197" s="9"/>
      <c r="B1197" s="9"/>
      <c r="H1197" s="9"/>
      <c r="I1197" s="9"/>
      <c r="O1197" s="9"/>
    </row>
    <row r="1198" spans="1:15" x14ac:dyDescent="0.15">
      <c r="A1198" s="9"/>
      <c r="B1198" s="9"/>
      <c r="H1198" s="9"/>
      <c r="I1198" s="9"/>
      <c r="O1198" s="9"/>
    </row>
    <row r="1199" spans="1:15" x14ac:dyDescent="0.15">
      <c r="A1199" s="9"/>
      <c r="B1199" s="9"/>
      <c r="H1199" s="9"/>
      <c r="I1199" s="9"/>
      <c r="O1199" s="9"/>
    </row>
    <row r="1200" spans="1:15" x14ac:dyDescent="0.15">
      <c r="A1200" s="9"/>
      <c r="B1200" s="9"/>
      <c r="H1200" s="9"/>
      <c r="I1200" s="9"/>
      <c r="O1200" s="9"/>
    </row>
    <row r="1201" spans="1:15" x14ac:dyDescent="0.15">
      <c r="A1201" s="9"/>
      <c r="B1201" s="9"/>
      <c r="H1201" s="9"/>
      <c r="I1201" s="9"/>
      <c r="O1201" s="9"/>
    </row>
    <row r="1202" spans="1:15" x14ac:dyDescent="0.15">
      <c r="A1202" s="9"/>
      <c r="B1202" s="9"/>
      <c r="H1202" s="9"/>
      <c r="I1202" s="9"/>
      <c r="O1202" s="9"/>
    </row>
    <row r="1203" spans="1:15" x14ac:dyDescent="0.15">
      <c r="A1203" s="9"/>
      <c r="B1203" s="9"/>
      <c r="H1203" s="9"/>
      <c r="I1203" s="9"/>
      <c r="O1203" s="9"/>
    </row>
    <row r="1204" spans="1:15" x14ac:dyDescent="0.15">
      <c r="A1204" s="9"/>
      <c r="B1204" s="9"/>
      <c r="H1204" s="9"/>
      <c r="I1204" s="9"/>
      <c r="O1204" s="9"/>
    </row>
    <row r="1205" spans="1:15" x14ac:dyDescent="0.15">
      <c r="A1205" s="9"/>
      <c r="B1205" s="9"/>
      <c r="H1205" s="9"/>
      <c r="I1205" s="9"/>
      <c r="O1205" s="9"/>
    </row>
    <row r="1206" spans="1:15" x14ac:dyDescent="0.15">
      <c r="A1206" s="9"/>
      <c r="B1206" s="9"/>
      <c r="H1206" s="9"/>
      <c r="I1206" s="9"/>
      <c r="O1206" s="9"/>
    </row>
    <row r="1207" spans="1:15" x14ac:dyDescent="0.15">
      <c r="A1207" s="9"/>
      <c r="B1207" s="9"/>
      <c r="H1207" s="9"/>
      <c r="I1207" s="9"/>
      <c r="O1207" s="9"/>
    </row>
    <row r="1208" spans="1:15" x14ac:dyDescent="0.15">
      <c r="A1208" s="9"/>
      <c r="B1208" s="9"/>
      <c r="H1208" s="9"/>
      <c r="I1208" s="9"/>
      <c r="O1208" s="9"/>
    </row>
    <row r="1209" spans="1:15" x14ac:dyDescent="0.15">
      <c r="A1209" s="9"/>
      <c r="B1209" s="9"/>
      <c r="H1209" s="9"/>
      <c r="I1209" s="9"/>
      <c r="O1209" s="9"/>
    </row>
    <row r="1210" spans="1:15" x14ac:dyDescent="0.15">
      <c r="A1210" s="9"/>
      <c r="B1210" s="9"/>
      <c r="H1210" s="9"/>
      <c r="I1210" s="9"/>
      <c r="O1210" s="9"/>
    </row>
    <row r="1211" spans="1:15" x14ac:dyDescent="0.15">
      <c r="A1211" s="9"/>
      <c r="B1211" s="9"/>
      <c r="H1211" s="9"/>
      <c r="I1211" s="9"/>
      <c r="O1211" s="9"/>
    </row>
    <row r="1212" spans="1:15" x14ac:dyDescent="0.15">
      <c r="A1212" s="9"/>
      <c r="B1212" s="9"/>
      <c r="H1212" s="9"/>
      <c r="I1212" s="9"/>
      <c r="O1212" s="9"/>
    </row>
    <row r="1213" spans="1:15" x14ac:dyDescent="0.15">
      <c r="A1213" s="9"/>
      <c r="B1213" s="9"/>
      <c r="H1213" s="9"/>
      <c r="I1213" s="9"/>
      <c r="O1213" s="9"/>
    </row>
    <row r="1214" spans="1:15" x14ac:dyDescent="0.15">
      <c r="A1214" s="9"/>
      <c r="B1214" s="9"/>
      <c r="H1214" s="9"/>
      <c r="I1214" s="9"/>
      <c r="O1214" s="9"/>
    </row>
    <row r="1215" spans="1:15" x14ac:dyDescent="0.15">
      <c r="A1215" s="9"/>
      <c r="B1215" s="9"/>
      <c r="H1215" s="9"/>
      <c r="I1215" s="9"/>
      <c r="O1215" s="9"/>
    </row>
    <row r="1216" spans="1:15" x14ac:dyDescent="0.15">
      <c r="A1216" s="9"/>
      <c r="B1216" s="9"/>
      <c r="H1216" s="9"/>
      <c r="I1216" s="9"/>
      <c r="O1216" s="9"/>
    </row>
    <row r="1217" spans="1:15" x14ac:dyDescent="0.15">
      <c r="A1217" s="9"/>
      <c r="B1217" s="9"/>
      <c r="H1217" s="9"/>
      <c r="I1217" s="9"/>
      <c r="O1217" s="9"/>
    </row>
    <row r="1218" spans="1:15" x14ac:dyDescent="0.15">
      <c r="A1218" s="9"/>
      <c r="B1218" s="9"/>
      <c r="H1218" s="9"/>
      <c r="I1218" s="9"/>
      <c r="O1218" s="9"/>
    </row>
    <row r="1219" spans="1:15" x14ac:dyDescent="0.15">
      <c r="A1219" s="9"/>
      <c r="B1219" s="9"/>
      <c r="H1219" s="9"/>
      <c r="I1219" s="9"/>
      <c r="O1219" s="9"/>
    </row>
    <row r="1220" spans="1:15" x14ac:dyDescent="0.15">
      <c r="A1220" s="9"/>
      <c r="B1220" s="9"/>
      <c r="H1220" s="9"/>
      <c r="I1220" s="9"/>
      <c r="O1220" s="9"/>
    </row>
    <row r="1221" spans="1:15" x14ac:dyDescent="0.15">
      <c r="A1221" s="9"/>
      <c r="B1221" s="9"/>
      <c r="H1221" s="9"/>
      <c r="I1221" s="9"/>
      <c r="O1221" s="9"/>
    </row>
    <row r="1222" spans="1:15" x14ac:dyDescent="0.15">
      <c r="A1222" s="9"/>
      <c r="B1222" s="9"/>
      <c r="H1222" s="9"/>
      <c r="I1222" s="9"/>
      <c r="O1222" s="9"/>
    </row>
    <row r="1223" spans="1:15" x14ac:dyDescent="0.15">
      <c r="A1223" s="9"/>
      <c r="B1223" s="9"/>
      <c r="H1223" s="9"/>
      <c r="I1223" s="9"/>
      <c r="O1223" s="9"/>
    </row>
    <row r="1224" spans="1:15" x14ac:dyDescent="0.15">
      <c r="A1224" s="9"/>
      <c r="B1224" s="9"/>
      <c r="H1224" s="9"/>
      <c r="I1224" s="9"/>
      <c r="O1224" s="9"/>
    </row>
    <row r="1225" spans="1:15" x14ac:dyDescent="0.15">
      <c r="A1225" s="9"/>
      <c r="B1225" s="9"/>
      <c r="H1225" s="9"/>
      <c r="I1225" s="9"/>
      <c r="O1225" s="9"/>
    </row>
    <row r="1226" spans="1:15" x14ac:dyDescent="0.15">
      <c r="A1226" s="9"/>
      <c r="B1226" s="9"/>
      <c r="H1226" s="9"/>
      <c r="I1226" s="9"/>
      <c r="O1226" s="9"/>
    </row>
    <row r="1227" spans="1:15" x14ac:dyDescent="0.15">
      <c r="A1227" s="9"/>
      <c r="B1227" s="9"/>
      <c r="H1227" s="9"/>
      <c r="I1227" s="9"/>
      <c r="O1227" s="9"/>
    </row>
    <row r="1228" spans="1:15" x14ac:dyDescent="0.15">
      <c r="A1228" s="9"/>
      <c r="B1228" s="9"/>
      <c r="H1228" s="9"/>
      <c r="I1228" s="9"/>
      <c r="O1228" s="9"/>
    </row>
    <row r="1229" spans="1:15" x14ac:dyDescent="0.15">
      <c r="A1229" s="9"/>
      <c r="B1229" s="9"/>
      <c r="H1229" s="9"/>
      <c r="I1229" s="9"/>
      <c r="O1229" s="9"/>
    </row>
    <row r="1230" spans="1:15" x14ac:dyDescent="0.15">
      <c r="A1230" s="9"/>
      <c r="B1230" s="9"/>
      <c r="H1230" s="9"/>
      <c r="I1230" s="9"/>
      <c r="O1230" s="9"/>
    </row>
    <row r="1231" spans="1:15" x14ac:dyDescent="0.15">
      <c r="A1231" s="9"/>
      <c r="B1231" s="9"/>
      <c r="H1231" s="9"/>
      <c r="I1231" s="9"/>
      <c r="O1231" s="9"/>
    </row>
    <row r="1232" spans="1:15" x14ac:dyDescent="0.15">
      <c r="A1232" s="9"/>
      <c r="B1232" s="9"/>
      <c r="H1232" s="9"/>
      <c r="I1232" s="9"/>
      <c r="O1232" s="9"/>
    </row>
    <row r="1233" spans="1:15" x14ac:dyDescent="0.15">
      <c r="A1233" s="9"/>
      <c r="B1233" s="9"/>
      <c r="H1233" s="9"/>
      <c r="I1233" s="9"/>
      <c r="O1233" s="9"/>
    </row>
    <row r="1234" spans="1:15" x14ac:dyDescent="0.15">
      <c r="A1234" s="9"/>
      <c r="B1234" s="9"/>
      <c r="H1234" s="9"/>
      <c r="I1234" s="9"/>
      <c r="O1234" s="9"/>
    </row>
    <row r="1235" spans="1:15" x14ac:dyDescent="0.15">
      <c r="A1235" s="9"/>
      <c r="B1235" s="9"/>
      <c r="H1235" s="9"/>
      <c r="I1235" s="9"/>
      <c r="O1235" s="9"/>
    </row>
    <row r="1236" spans="1:15" x14ac:dyDescent="0.15">
      <c r="A1236" s="9"/>
      <c r="B1236" s="9"/>
      <c r="H1236" s="9"/>
      <c r="I1236" s="9"/>
      <c r="O1236" s="9"/>
    </row>
    <row r="1237" spans="1:15" x14ac:dyDescent="0.15">
      <c r="A1237" s="9"/>
      <c r="B1237" s="9"/>
      <c r="H1237" s="9"/>
      <c r="I1237" s="9"/>
      <c r="O1237" s="9"/>
    </row>
    <row r="1238" spans="1:15" x14ac:dyDescent="0.15">
      <c r="A1238" s="9"/>
      <c r="B1238" s="9"/>
      <c r="H1238" s="9"/>
      <c r="I1238" s="9"/>
      <c r="O1238" s="9"/>
    </row>
    <row r="1239" spans="1:15" x14ac:dyDescent="0.15">
      <c r="A1239" s="9"/>
      <c r="B1239" s="9"/>
      <c r="H1239" s="9"/>
      <c r="I1239" s="9"/>
      <c r="O1239" s="9"/>
    </row>
    <row r="1240" spans="1:15" x14ac:dyDescent="0.15">
      <c r="A1240" s="9"/>
      <c r="B1240" s="9"/>
      <c r="H1240" s="9"/>
      <c r="I1240" s="9"/>
      <c r="O1240" s="9"/>
    </row>
    <row r="1241" spans="1:15" x14ac:dyDescent="0.15">
      <c r="A1241" s="9"/>
      <c r="B1241" s="9"/>
      <c r="H1241" s="9"/>
      <c r="I1241" s="9"/>
      <c r="O1241" s="9"/>
    </row>
    <row r="1242" spans="1:15" x14ac:dyDescent="0.15">
      <c r="A1242" s="9"/>
      <c r="B1242" s="9"/>
      <c r="H1242" s="9"/>
      <c r="I1242" s="9"/>
      <c r="O1242" s="9"/>
    </row>
    <row r="1243" spans="1:15" x14ac:dyDescent="0.15">
      <c r="A1243" s="9"/>
      <c r="B1243" s="9"/>
      <c r="H1243" s="9"/>
      <c r="I1243" s="9"/>
      <c r="O1243" s="9"/>
    </row>
    <row r="1244" spans="1:15" x14ac:dyDescent="0.15">
      <c r="A1244" s="9"/>
      <c r="B1244" s="9"/>
      <c r="H1244" s="9"/>
      <c r="I1244" s="9"/>
      <c r="O1244" s="9"/>
    </row>
    <row r="1245" spans="1:15" x14ac:dyDescent="0.15">
      <c r="A1245" s="9"/>
      <c r="B1245" s="9"/>
      <c r="H1245" s="9"/>
      <c r="I1245" s="9"/>
      <c r="O1245" s="9"/>
    </row>
    <row r="1246" spans="1:15" x14ac:dyDescent="0.15">
      <c r="A1246" s="9"/>
      <c r="B1246" s="9"/>
      <c r="H1246" s="9"/>
      <c r="I1246" s="9"/>
      <c r="O1246" s="9"/>
    </row>
    <row r="1247" spans="1:15" x14ac:dyDescent="0.15">
      <c r="A1247" s="9"/>
      <c r="B1247" s="9"/>
      <c r="H1247" s="9"/>
      <c r="I1247" s="9"/>
      <c r="O1247" s="9"/>
    </row>
    <row r="1248" spans="1:15" x14ac:dyDescent="0.15">
      <c r="A1248" s="9"/>
      <c r="B1248" s="9"/>
      <c r="H1248" s="9"/>
      <c r="I1248" s="9"/>
      <c r="O1248" s="9"/>
    </row>
    <row r="1249" spans="1:15" x14ac:dyDescent="0.15">
      <c r="A1249" s="9"/>
      <c r="B1249" s="9"/>
      <c r="H1249" s="9"/>
      <c r="I1249" s="9"/>
      <c r="O1249" s="9"/>
    </row>
    <row r="1250" spans="1:15" x14ac:dyDescent="0.15">
      <c r="A1250" s="9"/>
      <c r="B1250" s="9"/>
      <c r="H1250" s="9"/>
      <c r="I1250" s="9"/>
      <c r="O1250" s="9"/>
    </row>
    <row r="1251" spans="1:15" x14ac:dyDescent="0.15">
      <c r="A1251" s="9"/>
      <c r="B1251" s="9"/>
      <c r="H1251" s="9"/>
      <c r="I1251" s="9"/>
      <c r="O1251" s="9"/>
    </row>
    <row r="1252" spans="1:15" x14ac:dyDescent="0.15">
      <c r="A1252" s="9"/>
      <c r="B1252" s="9"/>
      <c r="H1252" s="9"/>
      <c r="I1252" s="9"/>
      <c r="O1252" s="9"/>
    </row>
    <row r="1253" spans="1:15" x14ac:dyDescent="0.15">
      <c r="A1253" s="9"/>
      <c r="B1253" s="9"/>
      <c r="H1253" s="9"/>
      <c r="I1253" s="9"/>
      <c r="O1253" s="9"/>
    </row>
    <row r="1254" spans="1:15" x14ac:dyDescent="0.15">
      <c r="A1254" s="9"/>
      <c r="B1254" s="9"/>
      <c r="H1254" s="9"/>
      <c r="I1254" s="9"/>
      <c r="O1254" s="9"/>
    </row>
    <row r="1255" spans="1:15" x14ac:dyDescent="0.15">
      <c r="A1255" s="9"/>
      <c r="B1255" s="9"/>
      <c r="H1255" s="9"/>
      <c r="I1255" s="9"/>
      <c r="O1255" s="9"/>
    </row>
    <row r="1256" spans="1:15" x14ac:dyDescent="0.15">
      <c r="A1256" s="9"/>
      <c r="B1256" s="9"/>
      <c r="H1256" s="9"/>
      <c r="I1256" s="9"/>
      <c r="O1256" s="9"/>
    </row>
    <row r="1257" spans="1:15" x14ac:dyDescent="0.15">
      <c r="A1257" s="9"/>
      <c r="B1257" s="9"/>
      <c r="H1257" s="9"/>
      <c r="I1257" s="9"/>
      <c r="O1257" s="9"/>
    </row>
    <row r="1258" spans="1:15" x14ac:dyDescent="0.15">
      <c r="A1258" s="9"/>
      <c r="B1258" s="9"/>
      <c r="H1258" s="9"/>
      <c r="I1258" s="9"/>
      <c r="O1258" s="9"/>
    </row>
    <row r="1259" spans="1:15" x14ac:dyDescent="0.15">
      <c r="A1259" s="9"/>
      <c r="B1259" s="9"/>
      <c r="H1259" s="9"/>
      <c r="I1259" s="9"/>
      <c r="O1259" s="9"/>
    </row>
    <row r="1260" spans="1:15" x14ac:dyDescent="0.15">
      <c r="A1260" s="9"/>
      <c r="B1260" s="9"/>
      <c r="H1260" s="9"/>
      <c r="I1260" s="9"/>
      <c r="O1260" s="9"/>
    </row>
    <row r="1261" spans="1:15" x14ac:dyDescent="0.15">
      <c r="A1261" s="9"/>
      <c r="B1261" s="9"/>
      <c r="H1261" s="9"/>
      <c r="I1261" s="9"/>
      <c r="O1261" s="9"/>
    </row>
    <row r="1262" spans="1:15" x14ac:dyDescent="0.15">
      <c r="A1262" s="9"/>
      <c r="B1262" s="9"/>
      <c r="H1262" s="9"/>
      <c r="I1262" s="9"/>
      <c r="O1262" s="9"/>
    </row>
    <row r="1263" spans="1:15" x14ac:dyDescent="0.15">
      <c r="A1263" s="9"/>
      <c r="B1263" s="9"/>
      <c r="H1263" s="9"/>
      <c r="I1263" s="9"/>
      <c r="O1263" s="9"/>
    </row>
    <row r="1264" spans="1:15" x14ac:dyDescent="0.15">
      <c r="A1264" s="9"/>
      <c r="B1264" s="9"/>
      <c r="H1264" s="9"/>
      <c r="I1264" s="9"/>
      <c r="O1264" s="9"/>
    </row>
    <row r="1265" spans="1:15" x14ac:dyDescent="0.15">
      <c r="A1265" s="9"/>
      <c r="B1265" s="9"/>
      <c r="H1265" s="9"/>
      <c r="I1265" s="9"/>
      <c r="O1265" s="9"/>
    </row>
    <row r="1266" spans="1:15" x14ac:dyDescent="0.15">
      <c r="A1266" s="9"/>
      <c r="B1266" s="9"/>
      <c r="H1266" s="9"/>
      <c r="I1266" s="9"/>
      <c r="O1266" s="9"/>
    </row>
    <row r="1267" spans="1:15" x14ac:dyDescent="0.15">
      <c r="A1267" s="9"/>
      <c r="B1267" s="9"/>
      <c r="H1267" s="9"/>
      <c r="I1267" s="9"/>
      <c r="O1267" s="9"/>
    </row>
    <row r="1268" spans="1:15" x14ac:dyDescent="0.15">
      <c r="A1268" s="9"/>
      <c r="B1268" s="9"/>
      <c r="H1268" s="9"/>
      <c r="I1268" s="9"/>
      <c r="O1268" s="9"/>
    </row>
    <row r="1269" spans="1:15" x14ac:dyDescent="0.15">
      <c r="A1269" s="9"/>
      <c r="B1269" s="9"/>
      <c r="H1269" s="9"/>
      <c r="I1269" s="9"/>
      <c r="O1269" s="9"/>
    </row>
    <row r="1270" spans="1:15" x14ac:dyDescent="0.15">
      <c r="A1270" s="9"/>
      <c r="B1270" s="9"/>
      <c r="H1270" s="9"/>
      <c r="I1270" s="9"/>
      <c r="O1270" s="9"/>
    </row>
    <row r="1271" spans="1:15" x14ac:dyDescent="0.15">
      <c r="A1271" s="9"/>
      <c r="B1271" s="9"/>
      <c r="H1271" s="9"/>
      <c r="I1271" s="9"/>
      <c r="O1271" s="9"/>
    </row>
    <row r="1272" spans="1:15" x14ac:dyDescent="0.15">
      <c r="A1272" s="9"/>
      <c r="B1272" s="9"/>
      <c r="H1272" s="9"/>
      <c r="I1272" s="9"/>
      <c r="O1272" s="9"/>
    </row>
    <row r="1273" spans="1:15" x14ac:dyDescent="0.15">
      <c r="A1273" s="9"/>
      <c r="B1273" s="9"/>
      <c r="H1273" s="9"/>
      <c r="I1273" s="9"/>
      <c r="O1273" s="9"/>
    </row>
    <row r="1274" spans="1:15" x14ac:dyDescent="0.15">
      <c r="A1274" s="9"/>
      <c r="B1274" s="9"/>
      <c r="H1274" s="9"/>
      <c r="I1274" s="9"/>
      <c r="O1274" s="9"/>
    </row>
    <row r="1275" spans="1:15" x14ac:dyDescent="0.15">
      <c r="A1275" s="9"/>
      <c r="B1275" s="9"/>
      <c r="H1275" s="9"/>
      <c r="I1275" s="9"/>
      <c r="O1275" s="9"/>
    </row>
    <row r="1276" spans="1:15" x14ac:dyDescent="0.15">
      <c r="A1276" s="9"/>
      <c r="B1276" s="9"/>
      <c r="H1276" s="9"/>
      <c r="I1276" s="9"/>
      <c r="O1276" s="9"/>
    </row>
    <row r="1277" spans="1:15" x14ac:dyDescent="0.15">
      <c r="A1277" s="9"/>
      <c r="B1277" s="9"/>
      <c r="H1277" s="9"/>
      <c r="I1277" s="9"/>
      <c r="O1277" s="9"/>
    </row>
    <row r="1278" spans="1:15" x14ac:dyDescent="0.15">
      <c r="A1278" s="9"/>
      <c r="B1278" s="9"/>
      <c r="H1278" s="9"/>
      <c r="I1278" s="9"/>
      <c r="O1278" s="9"/>
    </row>
    <row r="1279" spans="1:15" x14ac:dyDescent="0.15">
      <c r="A1279" s="9"/>
      <c r="B1279" s="9"/>
      <c r="H1279" s="9"/>
      <c r="I1279" s="9"/>
      <c r="O1279" s="9"/>
    </row>
    <row r="1280" spans="1:15" x14ac:dyDescent="0.15">
      <c r="A1280" s="9"/>
      <c r="B1280" s="9"/>
      <c r="H1280" s="9"/>
      <c r="I1280" s="9"/>
      <c r="O1280" s="9"/>
    </row>
    <row r="1281" spans="1:15" x14ac:dyDescent="0.15">
      <c r="A1281" s="9"/>
      <c r="B1281" s="9"/>
      <c r="H1281" s="9"/>
      <c r="I1281" s="9"/>
      <c r="O1281" s="9"/>
    </row>
    <row r="1282" spans="1:15" x14ac:dyDescent="0.15">
      <c r="A1282" s="9"/>
      <c r="B1282" s="9"/>
      <c r="H1282" s="9"/>
      <c r="I1282" s="9"/>
      <c r="O1282" s="9"/>
    </row>
    <row r="1283" spans="1:15" x14ac:dyDescent="0.15">
      <c r="A1283" s="9"/>
      <c r="B1283" s="9"/>
      <c r="H1283" s="9"/>
      <c r="I1283" s="9"/>
      <c r="O1283" s="9"/>
    </row>
    <row r="1284" spans="1:15" x14ac:dyDescent="0.15">
      <c r="A1284" s="9"/>
      <c r="B1284" s="9"/>
      <c r="H1284" s="9"/>
      <c r="I1284" s="9"/>
      <c r="O1284" s="9"/>
    </row>
    <row r="1285" spans="1:15" x14ac:dyDescent="0.15">
      <c r="A1285" s="9"/>
      <c r="B1285" s="9"/>
      <c r="H1285" s="9"/>
      <c r="I1285" s="9"/>
      <c r="O1285" s="9"/>
    </row>
    <row r="1286" spans="1:15" x14ac:dyDescent="0.15">
      <c r="A1286" s="9"/>
      <c r="B1286" s="9"/>
      <c r="H1286" s="9"/>
      <c r="I1286" s="9"/>
      <c r="O1286" s="9"/>
    </row>
    <row r="1287" spans="1:15" x14ac:dyDescent="0.15">
      <c r="A1287" s="9"/>
      <c r="B1287" s="9"/>
      <c r="H1287" s="9"/>
      <c r="I1287" s="9"/>
      <c r="O1287" s="9"/>
    </row>
    <row r="1288" spans="1:15" x14ac:dyDescent="0.15">
      <c r="A1288" s="9"/>
      <c r="B1288" s="9"/>
      <c r="H1288" s="9"/>
      <c r="I1288" s="9"/>
      <c r="O1288" s="9"/>
    </row>
    <row r="1289" spans="1:15" x14ac:dyDescent="0.15">
      <c r="A1289" s="9"/>
      <c r="B1289" s="9"/>
      <c r="H1289" s="9"/>
      <c r="I1289" s="9"/>
      <c r="O1289" s="9"/>
    </row>
    <row r="1290" spans="1:15" x14ac:dyDescent="0.15">
      <c r="A1290" s="9"/>
      <c r="B1290" s="9"/>
      <c r="H1290" s="9"/>
      <c r="I1290" s="9"/>
      <c r="O1290" s="9"/>
    </row>
    <row r="1291" spans="1:15" x14ac:dyDescent="0.15">
      <c r="A1291" s="9"/>
      <c r="B1291" s="9"/>
      <c r="H1291" s="9"/>
      <c r="I1291" s="9"/>
      <c r="O1291" s="9"/>
    </row>
    <row r="1292" spans="1:15" x14ac:dyDescent="0.15">
      <c r="A1292" s="9"/>
      <c r="B1292" s="9"/>
      <c r="H1292" s="9"/>
      <c r="I1292" s="9"/>
      <c r="O1292" s="9"/>
    </row>
    <row r="1293" spans="1:15" x14ac:dyDescent="0.15">
      <c r="A1293" s="9"/>
      <c r="B1293" s="9"/>
      <c r="H1293" s="9"/>
      <c r="I1293" s="9"/>
      <c r="O1293" s="9"/>
    </row>
    <row r="1294" spans="1:15" x14ac:dyDescent="0.15">
      <c r="A1294" s="9"/>
      <c r="B1294" s="9"/>
      <c r="H1294" s="9"/>
      <c r="I1294" s="9"/>
      <c r="O1294" s="9"/>
    </row>
    <row r="1295" spans="1:15" x14ac:dyDescent="0.15">
      <c r="A1295" s="9"/>
      <c r="B1295" s="9"/>
      <c r="H1295" s="9"/>
      <c r="I1295" s="9"/>
      <c r="O1295" s="9"/>
    </row>
    <row r="1296" spans="1:15" x14ac:dyDescent="0.15">
      <c r="A1296" s="9"/>
      <c r="B1296" s="9"/>
      <c r="H1296" s="9"/>
      <c r="I1296" s="9"/>
      <c r="O1296" s="9"/>
    </row>
    <row r="1297" spans="1:15" x14ac:dyDescent="0.15">
      <c r="A1297" s="9"/>
      <c r="B1297" s="9"/>
      <c r="H1297" s="9"/>
      <c r="I1297" s="9"/>
      <c r="O1297" s="9"/>
    </row>
    <row r="1298" spans="1:15" x14ac:dyDescent="0.15">
      <c r="A1298" s="9"/>
      <c r="B1298" s="9"/>
      <c r="H1298" s="9"/>
      <c r="I1298" s="9"/>
      <c r="O1298" s="9"/>
    </row>
    <row r="1299" spans="1:15" x14ac:dyDescent="0.15">
      <c r="A1299" s="9"/>
      <c r="B1299" s="9"/>
      <c r="H1299" s="9"/>
      <c r="I1299" s="9"/>
      <c r="O1299" s="9"/>
    </row>
    <row r="1300" spans="1:15" x14ac:dyDescent="0.15">
      <c r="A1300" s="9"/>
      <c r="B1300" s="9"/>
      <c r="H1300" s="9"/>
      <c r="I1300" s="9"/>
      <c r="O1300" s="9"/>
    </row>
    <row r="1301" spans="1:15" x14ac:dyDescent="0.15">
      <c r="A1301" s="9"/>
      <c r="B1301" s="9"/>
      <c r="H1301" s="9"/>
      <c r="I1301" s="9"/>
      <c r="O1301" s="9"/>
    </row>
    <row r="1302" spans="1:15" x14ac:dyDescent="0.15">
      <c r="A1302" s="9"/>
      <c r="B1302" s="9"/>
      <c r="H1302" s="9"/>
      <c r="I1302" s="9"/>
      <c r="O1302" s="9"/>
    </row>
    <row r="1303" spans="1:15" x14ac:dyDescent="0.15">
      <c r="A1303" s="9"/>
      <c r="B1303" s="9"/>
      <c r="H1303" s="9"/>
      <c r="I1303" s="9"/>
      <c r="O1303" s="9"/>
    </row>
    <row r="1304" spans="1:15" x14ac:dyDescent="0.15">
      <c r="A1304" s="9"/>
      <c r="B1304" s="9"/>
      <c r="H1304" s="9"/>
      <c r="I1304" s="9"/>
      <c r="O1304" s="9"/>
    </row>
    <row r="1305" spans="1:15" x14ac:dyDescent="0.15">
      <c r="A1305" s="9"/>
      <c r="B1305" s="9"/>
      <c r="H1305" s="9"/>
      <c r="I1305" s="9"/>
      <c r="O1305" s="9"/>
    </row>
    <row r="1306" spans="1:15" x14ac:dyDescent="0.15">
      <c r="A1306" s="9"/>
      <c r="B1306" s="9"/>
      <c r="H1306" s="9"/>
      <c r="I1306" s="9"/>
      <c r="O1306" s="9"/>
    </row>
    <row r="1307" spans="1:15" x14ac:dyDescent="0.15">
      <c r="A1307" s="9"/>
      <c r="B1307" s="9"/>
      <c r="H1307" s="9"/>
      <c r="I1307" s="9"/>
      <c r="O1307" s="9"/>
    </row>
    <row r="1308" spans="1:15" x14ac:dyDescent="0.15">
      <c r="A1308" s="9"/>
      <c r="B1308" s="9"/>
      <c r="H1308" s="9"/>
      <c r="I1308" s="9"/>
      <c r="O1308" s="9"/>
    </row>
    <row r="1309" spans="1:15" x14ac:dyDescent="0.15">
      <c r="A1309" s="9"/>
      <c r="B1309" s="9"/>
      <c r="H1309" s="9"/>
      <c r="I1309" s="9"/>
      <c r="O1309" s="9"/>
    </row>
    <row r="1310" spans="1:15" x14ac:dyDescent="0.15">
      <c r="A1310" s="9"/>
      <c r="B1310" s="9"/>
      <c r="H1310" s="9"/>
      <c r="I1310" s="9"/>
      <c r="O1310" s="9"/>
    </row>
    <row r="1311" spans="1:15" x14ac:dyDescent="0.15">
      <c r="A1311" s="9"/>
      <c r="B1311" s="9"/>
      <c r="H1311" s="9"/>
      <c r="I1311" s="9"/>
      <c r="O1311" s="9"/>
    </row>
    <row r="1312" spans="1:15" x14ac:dyDescent="0.15">
      <c r="A1312" s="9"/>
      <c r="B1312" s="9"/>
      <c r="H1312" s="9"/>
      <c r="I1312" s="9"/>
      <c r="O1312" s="9"/>
    </row>
    <row r="1313" spans="1:15" x14ac:dyDescent="0.15">
      <c r="A1313" s="9"/>
      <c r="B1313" s="9"/>
      <c r="H1313" s="9"/>
      <c r="I1313" s="9"/>
      <c r="O1313" s="9"/>
    </row>
    <row r="1314" spans="1:15" x14ac:dyDescent="0.15">
      <c r="A1314" s="9"/>
      <c r="B1314" s="9"/>
      <c r="H1314" s="9"/>
      <c r="I1314" s="9"/>
      <c r="O1314" s="9"/>
    </row>
    <row r="1315" spans="1:15" x14ac:dyDescent="0.15">
      <c r="A1315" s="9"/>
      <c r="B1315" s="9"/>
      <c r="H1315" s="9"/>
      <c r="I1315" s="9"/>
      <c r="O1315" s="9"/>
    </row>
    <row r="1316" spans="1:15" x14ac:dyDescent="0.15">
      <c r="A1316" s="9"/>
      <c r="B1316" s="9"/>
      <c r="H1316" s="9"/>
      <c r="I1316" s="9"/>
      <c r="O1316" s="9"/>
    </row>
    <row r="1317" spans="1:15" x14ac:dyDescent="0.15">
      <c r="A1317" s="9"/>
      <c r="B1317" s="9"/>
      <c r="H1317" s="9"/>
      <c r="I1317" s="9"/>
      <c r="O1317" s="9"/>
    </row>
    <row r="1318" spans="1:15" x14ac:dyDescent="0.15">
      <c r="A1318" s="9"/>
      <c r="B1318" s="9"/>
      <c r="H1318" s="9"/>
      <c r="I1318" s="9"/>
      <c r="O1318" s="9"/>
    </row>
    <row r="1319" spans="1:15" x14ac:dyDescent="0.15">
      <c r="A1319" s="9"/>
      <c r="B1319" s="9"/>
      <c r="H1319" s="9"/>
      <c r="I1319" s="9"/>
      <c r="O1319" s="9"/>
    </row>
    <row r="1320" spans="1:15" x14ac:dyDescent="0.15">
      <c r="A1320" s="9"/>
      <c r="B1320" s="9"/>
      <c r="H1320" s="9"/>
      <c r="I1320" s="9"/>
      <c r="O1320" s="9"/>
    </row>
    <row r="1321" spans="1:15" x14ac:dyDescent="0.15">
      <c r="A1321" s="9"/>
      <c r="B1321" s="9"/>
      <c r="H1321" s="9"/>
      <c r="I1321" s="9"/>
      <c r="O1321" s="9"/>
    </row>
    <row r="1322" spans="1:15" x14ac:dyDescent="0.15">
      <c r="A1322" s="9"/>
      <c r="B1322" s="9"/>
      <c r="H1322" s="9"/>
      <c r="I1322" s="9"/>
      <c r="O1322" s="9"/>
    </row>
    <row r="1323" spans="1:15" x14ac:dyDescent="0.15">
      <c r="A1323" s="9"/>
      <c r="B1323" s="9"/>
      <c r="H1323" s="9"/>
      <c r="I1323" s="9"/>
      <c r="O1323" s="9"/>
    </row>
    <row r="1324" spans="1:15" x14ac:dyDescent="0.15">
      <c r="A1324" s="9"/>
      <c r="B1324" s="9"/>
      <c r="H1324" s="9"/>
      <c r="I1324" s="9"/>
      <c r="O1324" s="9"/>
    </row>
    <row r="1325" spans="1:15" x14ac:dyDescent="0.15">
      <c r="A1325" s="9"/>
      <c r="B1325" s="9"/>
      <c r="H1325" s="9"/>
      <c r="I1325" s="9"/>
      <c r="O1325" s="9"/>
    </row>
    <row r="1326" spans="1:15" x14ac:dyDescent="0.15">
      <c r="A1326" s="9"/>
      <c r="B1326" s="9"/>
      <c r="H1326" s="9"/>
      <c r="I1326" s="9"/>
      <c r="O1326" s="9"/>
    </row>
    <row r="1327" spans="1:15" x14ac:dyDescent="0.15">
      <c r="A1327" s="9"/>
      <c r="B1327" s="9"/>
      <c r="H1327" s="9"/>
      <c r="I1327" s="9"/>
      <c r="O1327" s="9"/>
    </row>
    <row r="1328" spans="1:15" x14ac:dyDescent="0.15">
      <c r="A1328" s="9"/>
      <c r="B1328" s="9"/>
      <c r="H1328" s="9"/>
      <c r="I1328" s="9"/>
      <c r="O1328" s="9"/>
    </row>
    <row r="1329" spans="1:15" x14ac:dyDescent="0.15">
      <c r="A1329" s="9"/>
      <c r="B1329" s="9"/>
      <c r="H1329" s="9"/>
      <c r="I1329" s="9"/>
      <c r="O1329" s="9"/>
    </row>
    <row r="1330" spans="1:15" x14ac:dyDescent="0.15">
      <c r="A1330" s="9"/>
      <c r="B1330" s="9"/>
      <c r="H1330" s="9"/>
      <c r="I1330" s="9"/>
      <c r="O1330" s="9"/>
    </row>
    <row r="1331" spans="1:15" x14ac:dyDescent="0.15">
      <c r="A1331" s="9"/>
      <c r="B1331" s="9"/>
      <c r="H1331" s="9"/>
      <c r="I1331" s="9"/>
      <c r="O1331" s="9"/>
    </row>
    <row r="1332" spans="1:15" x14ac:dyDescent="0.15">
      <c r="A1332" s="9"/>
      <c r="B1332" s="9"/>
      <c r="H1332" s="9"/>
      <c r="I1332" s="9"/>
      <c r="O1332" s="9"/>
    </row>
    <row r="1333" spans="1:15" x14ac:dyDescent="0.15">
      <c r="A1333" s="9"/>
      <c r="B1333" s="9"/>
      <c r="H1333" s="9"/>
      <c r="I1333" s="9"/>
      <c r="O1333" s="9"/>
    </row>
    <row r="1334" spans="1:15" x14ac:dyDescent="0.15">
      <c r="A1334" s="9"/>
      <c r="B1334" s="9"/>
      <c r="H1334" s="9"/>
      <c r="I1334" s="9"/>
      <c r="O1334" s="9"/>
    </row>
    <row r="1335" spans="1:15" x14ac:dyDescent="0.15">
      <c r="A1335" s="9"/>
      <c r="B1335" s="9"/>
      <c r="H1335" s="9"/>
      <c r="I1335" s="9"/>
      <c r="O1335" s="9"/>
    </row>
    <row r="1336" spans="1:15" x14ac:dyDescent="0.15">
      <c r="A1336" s="9"/>
      <c r="B1336" s="9"/>
      <c r="H1336" s="9"/>
      <c r="I1336" s="9"/>
      <c r="O1336" s="9"/>
    </row>
    <row r="1337" spans="1:15" x14ac:dyDescent="0.15">
      <c r="A1337" s="9"/>
      <c r="B1337" s="9"/>
      <c r="H1337" s="9"/>
      <c r="I1337" s="9"/>
      <c r="O1337" s="9"/>
    </row>
    <row r="1338" spans="1:15" x14ac:dyDescent="0.15">
      <c r="A1338" s="9"/>
      <c r="B1338" s="9"/>
      <c r="H1338" s="9"/>
      <c r="I1338" s="9"/>
      <c r="O1338" s="9"/>
    </row>
    <row r="1339" spans="1:15" x14ac:dyDescent="0.15">
      <c r="A1339" s="9"/>
      <c r="B1339" s="9"/>
      <c r="H1339" s="9"/>
      <c r="I1339" s="9"/>
      <c r="O1339" s="9"/>
    </row>
    <row r="1340" spans="1:15" x14ac:dyDescent="0.15">
      <c r="A1340" s="9"/>
      <c r="B1340" s="9"/>
      <c r="H1340" s="9"/>
      <c r="I1340" s="9"/>
      <c r="O1340" s="9"/>
    </row>
    <row r="1341" spans="1:15" x14ac:dyDescent="0.15">
      <c r="A1341" s="9"/>
      <c r="B1341" s="9"/>
      <c r="H1341" s="9"/>
      <c r="I1341" s="9"/>
      <c r="O1341" s="9"/>
    </row>
    <row r="1342" spans="1:15" x14ac:dyDescent="0.15">
      <c r="A1342" s="9"/>
      <c r="B1342" s="9"/>
      <c r="H1342" s="9"/>
      <c r="I1342" s="9"/>
      <c r="O1342" s="9"/>
    </row>
    <row r="1343" spans="1:15" x14ac:dyDescent="0.15">
      <c r="A1343" s="9"/>
      <c r="B1343" s="9"/>
      <c r="H1343" s="9"/>
      <c r="I1343" s="9"/>
      <c r="O1343" s="9"/>
    </row>
    <row r="1344" spans="1:15" x14ac:dyDescent="0.15">
      <c r="A1344" s="9"/>
      <c r="B1344" s="9"/>
      <c r="H1344" s="9"/>
      <c r="I1344" s="9"/>
      <c r="O1344" s="9"/>
    </row>
    <row r="1345" spans="1:15" x14ac:dyDescent="0.15">
      <c r="A1345" s="9"/>
      <c r="B1345" s="9"/>
      <c r="H1345" s="9"/>
      <c r="I1345" s="9"/>
      <c r="O1345" s="9"/>
    </row>
    <row r="1346" spans="1:15" x14ac:dyDescent="0.15">
      <c r="A1346" s="9"/>
      <c r="B1346" s="9"/>
      <c r="H1346" s="9"/>
      <c r="I1346" s="9"/>
      <c r="O1346" s="9"/>
    </row>
    <row r="1347" spans="1:15" x14ac:dyDescent="0.15">
      <c r="A1347" s="9"/>
      <c r="B1347" s="9"/>
      <c r="H1347" s="9"/>
      <c r="I1347" s="9"/>
      <c r="O1347" s="9"/>
    </row>
    <row r="1348" spans="1:15" x14ac:dyDescent="0.15">
      <c r="A1348" s="9"/>
      <c r="B1348" s="9"/>
      <c r="H1348" s="9"/>
      <c r="I1348" s="9"/>
      <c r="O1348" s="9"/>
    </row>
    <row r="1349" spans="1:15" x14ac:dyDescent="0.15">
      <c r="A1349" s="9"/>
      <c r="B1349" s="9"/>
      <c r="H1349" s="9"/>
      <c r="I1349" s="9"/>
      <c r="O1349" s="9"/>
    </row>
    <row r="1350" spans="1:15" x14ac:dyDescent="0.15">
      <c r="A1350" s="9"/>
      <c r="B1350" s="9"/>
      <c r="H1350" s="9"/>
      <c r="I1350" s="9"/>
      <c r="O1350" s="9"/>
    </row>
    <row r="1351" spans="1:15" x14ac:dyDescent="0.15">
      <c r="A1351" s="9"/>
      <c r="B1351" s="9"/>
      <c r="H1351" s="9"/>
      <c r="I1351" s="9"/>
      <c r="O1351" s="9"/>
    </row>
    <row r="1352" spans="1:15" x14ac:dyDescent="0.15">
      <c r="A1352" s="9"/>
      <c r="B1352" s="9"/>
      <c r="H1352" s="9"/>
      <c r="I1352" s="9"/>
      <c r="O1352" s="9"/>
    </row>
    <row r="1353" spans="1:15" x14ac:dyDescent="0.15">
      <c r="A1353" s="9"/>
      <c r="B1353" s="9"/>
      <c r="H1353" s="9"/>
      <c r="I1353" s="9"/>
      <c r="O1353" s="9"/>
    </row>
    <row r="1354" spans="1:15" x14ac:dyDescent="0.15">
      <c r="A1354" s="9"/>
      <c r="B1354" s="9"/>
      <c r="H1354" s="9"/>
      <c r="I1354" s="9"/>
      <c r="O1354" s="9"/>
    </row>
    <row r="1355" spans="1:15" x14ac:dyDescent="0.15">
      <c r="A1355" s="9"/>
      <c r="B1355" s="9"/>
      <c r="H1355" s="9"/>
      <c r="I1355" s="9"/>
      <c r="O1355" s="9"/>
    </row>
    <row r="1356" spans="1:15" x14ac:dyDescent="0.15">
      <c r="A1356" s="9"/>
      <c r="B1356" s="9"/>
      <c r="H1356" s="9"/>
      <c r="I1356" s="9"/>
      <c r="O1356" s="9"/>
    </row>
    <row r="1357" spans="1:15" x14ac:dyDescent="0.15">
      <c r="A1357" s="9"/>
      <c r="B1357" s="9"/>
      <c r="H1357" s="9"/>
      <c r="I1357" s="9"/>
      <c r="O1357" s="9"/>
    </row>
    <row r="1358" spans="1:15" x14ac:dyDescent="0.15">
      <c r="A1358" s="9"/>
      <c r="B1358" s="9"/>
      <c r="H1358" s="9"/>
      <c r="I1358" s="9"/>
      <c r="O1358" s="9"/>
    </row>
    <row r="1359" spans="1:15" x14ac:dyDescent="0.15">
      <c r="A1359" s="9"/>
      <c r="B1359" s="9"/>
      <c r="H1359" s="9"/>
      <c r="I1359" s="9"/>
      <c r="O1359" s="9"/>
    </row>
    <row r="1360" spans="1:15" x14ac:dyDescent="0.15">
      <c r="A1360" s="9"/>
      <c r="B1360" s="9"/>
      <c r="H1360" s="9"/>
      <c r="I1360" s="9"/>
      <c r="O1360" s="9"/>
    </row>
    <row r="1361" spans="1:15" x14ac:dyDescent="0.15">
      <c r="A1361" s="9"/>
      <c r="B1361" s="9"/>
      <c r="H1361" s="9"/>
      <c r="I1361" s="9"/>
      <c r="O1361" s="9"/>
    </row>
    <row r="1362" spans="1:15" x14ac:dyDescent="0.15">
      <c r="A1362" s="9"/>
      <c r="B1362" s="9"/>
      <c r="H1362" s="9"/>
      <c r="I1362" s="9"/>
      <c r="O1362" s="9"/>
    </row>
    <row r="1363" spans="1:15" x14ac:dyDescent="0.15">
      <c r="A1363" s="9"/>
      <c r="B1363" s="9"/>
      <c r="H1363" s="9"/>
      <c r="I1363" s="9"/>
      <c r="O1363" s="9"/>
    </row>
    <row r="1364" spans="1:15" x14ac:dyDescent="0.15">
      <c r="A1364" s="9"/>
      <c r="B1364" s="9"/>
      <c r="H1364" s="9"/>
      <c r="I1364" s="9"/>
      <c r="O1364" s="9"/>
    </row>
    <row r="1365" spans="1:15" x14ac:dyDescent="0.15">
      <c r="A1365" s="9"/>
      <c r="B1365" s="9"/>
      <c r="H1365" s="9"/>
      <c r="I1365" s="9"/>
      <c r="O1365" s="9"/>
    </row>
    <row r="1366" spans="1:15" x14ac:dyDescent="0.15">
      <c r="A1366" s="9"/>
      <c r="B1366" s="9"/>
      <c r="H1366" s="9"/>
      <c r="I1366" s="9"/>
      <c r="O1366" s="9"/>
    </row>
    <row r="1367" spans="1:15" x14ac:dyDescent="0.15">
      <c r="A1367" s="9"/>
      <c r="B1367" s="9"/>
      <c r="H1367" s="9"/>
      <c r="I1367" s="9"/>
      <c r="O1367" s="9"/>
    </row>
    <row r="1368" spans="1:15" x14ac:dyDescent="0.15">
      <c r="A1368" s="9"/>
      <c r="B1368" s="9"/>
      <c r="H1368" s="9"/>
      <c r="I1368" s="9"/>
      <c r="O1368" s="9"/>
    </row>
    <row r="1369" spans="1:15" x14ac:dyDescent="0.15">
      <c r="A1369" s="9"/>
      <c r="B1369" s="9"/>
      <c r="H1369" s="9"/>
      <c r="I1369" s="9"/>
      <c r="O1369" s="9"/>
    </row>
    <row r="1370" spans="1:15" x14ac:dyDescent="0.15">
      <c r="A1370" s="9"/>
      <c r="B1370" s="9"/>
      <c r="H1370" s="9"/>
      <c r="I1370" s="9"/>
      <c r="O1370" s="9"/>
    </row>
    <row r="1371" spans="1:15" x14ac:dyDescent="0.15">
      <c r="A1371" s="9"/>
      <c r="B1371" s="9"/>
      <c r="H1371" s="9"/>
      <c r="I1371" s="9"/>
      <c r="O1371" s="9"/>
    </row>
    <row r="1372" spans="1:15" x14ac:dyDescent="0.15">
      <c r="A1372" s="9"/>
      <c r="B1372" s="9"/>
      <c r="H1372" s="9"/>
      <c r="I1372" s="9"/>
      <c r="O1372" s="9"/>
    </row>
    <row r="1373" spans="1:15" x14ac:dyDescent="0.15">
      <c r="A1373" s="9"/>
      <c r="B1373" s="9"/>
      <c r="H1373" s="9"/>
      <c r="I1373" s="9"/>
      <c r="O1373" s="9"/>
    </row>
    <row r="1374" spans="1:15" x14ac:dyDescent="0.15">
      <c r="A1374" s="9"/>
      <c r="B1374" s="9"/>
      <c r="H1374" s="9"/>
      <c r="I1374" s="9"/>
      <c r="O1374" s="9"/>
    </row>
    <row r="1375" spans="1:15" x14ac:dyDescent="0.15">
      <c r="A1375" s="9"/>
      <c r="B1375" s="9"/>
      <c r="H1375" s="9"/>
      <c r="I1375" s="9"/>
      <c r="O1375" s="9"/>
    </row>
    <row r="1376" spans="1:15" x14ac:dyDescent="0.15">
      <c r="A1376" s="9"/>
      <c r="B1376" s="9"/>
      <c r="H1376" s="9"/>
      <c r="I1376" s="9"/>
      <c r="O1376" s="9"/>
    </row>
    <row r="1377" spans="1:15" x14ac:dyDescent="0.15">
      <c r="A1377" s="9"/>
      <c r="B1377" s="9"/>
      <c r="H1377" s="9"/>
      <c r="I1377" s="9"/>
      <c r="O1377" s="9"/>
    </row>
    <row r="1378" spans="1:15" x14ac:dyDescent="0.15">
      <c r="A1378" s="9"/>
      <c r="B1378" s="9"/>
      <c r="H1378" s="9"/>
      <c r="I1378" s="9"/>
      <c r="O1378" s="9"/>
    </row>
    <row r="1379" spans="1:15" x14ac:dyDescent="0.15">
      <c r="A1379" s="9"/>
      <c r="B1379" s="9"/>
      <c r="H1379" s="9"/>
      <c r="I1379" s="9"/>
      <c r="O1379" s="9"/>
    </row>
    <row r="1380" spans="1:15" x14ac:dyDescent="0.15">
      <c r="A1380" s="9"/>
      <c r="B1380" s="9"/>
      <c r="H1380" s="9"/>
      <c r="I1380" s="9"/>
      <c r="O1380" s="9"/>
    </row>
    <row r="1381" spans="1:15" x14ac:dyDescent="0.15">
      <c r="A1381" s="9"/>
      <c r="B1381" s="9"/>
      <c r="H1381" s="9"/>
      <c r="I1381" s="9"/>
      <c r="O1381" s="9"/>
    </row>
    <row r="1382" spans="1:15" x14ac:dyDescent="0.15">
      <c r="A1382" s="9"/>
      <c r="B1382" s="9"/>
      <c r="H1382" s="9"/>
      <c r="I1382" s="9"/>
      <c r="O1382" s="9"/>
    </row>
    <row r="1383" spans="1:15" x14ac:dyDescent="0.15">
      <c r="A1383" s="9"/>
      <c r="B1383" s="9"/>
      <c r="H1383" s="9"/>
      <c r="I1383" s="9"/>
      <c r="O1383" s="9"/>
    </row>
    <row r="1384" spans="1:15" x14ac:dyDescent="0.15">
      <c r="A1384" s="9"/>
      <c r="B1384" s="9"/>
      <c r="H1384" s="9"/>
      <c r="I1384" s="9"/>
      <c r="O1384" s="9"/>
    </row>
    <row r="1385" spans="1:15" x14ac:dyDescent="0.15">
      <c r="A1385" s="9"/>
      <c r="B1385" s="9"/>
      <c r="H1385" s="9"/>
      <c r="I1385" s="9"/>
      <c r="O1385" s="9"/>
    </row>
    <row r="1386" spans="1:15" x14ac:dyDescent="0.15">
      <c r="A1386" s="9"/>
      <c r="B1386" s="9"/>
      <c r="H1386" s="9"/>
      <c r="I1386" s="9"/>
      <c r="O1386" s="9"/>
    </row>
    <row r="1387" spans="1:15" x14ac:dyDescent="0.15">
      <c r="A1387" s="9"/>
      <c r="B1387" s="9"/>
      <c r="H1387" s="9"/>
      <c r="I1387" s="9"/>
      <c r="O1387" s="9"/>
    </row>
    <row r="1388" spans="1:15" x14ac:dyDescent="0.15">
      <c r="A1388" s="9"/>
      <c r="B1388" s="9"/>
      <c r="H1388" s="9"/>
      <c r="I1388" s="9"/>
      <c r="O1388" s="9"/>
    </row>
    <row r="1389" spans="1:15" x14ac:dyDescent="0.15">
      <c r="A1389" s="9"/>
      <c r="B1389" s="9"/>
      <c r="H1389" s="9"/>
      <c r="I1389" s="9"/>
      <c r="O1389" s="9"/>
    </row>
    <row r="1390" spans="1:15" x14ac:dyDescent="0.15">
      <c r="A1390" s="9"/>
      <c r="B1390" s="9"/>
      <c r="H1390" s="9"/>
      <c r="I1390" s="9"/>
      <c r="O1390" s="9"/>
    </row>
    <row r="1391" spans="1:15" x14ac:dyDescent="0.15">
      <c r="A1391" s="9"/>
      <c r="B1391" s="9"/>
      <c r="H1391" s="9"/>
      <c r="I1391" s="9"/>
      <c r="O1391" s="9"/>
    </row>
    <row r="1392" spans="1:15" x14ac:dyDescent="0.15">
      <c r="A1392" s="9"/>
      <c r="B1392" s="9"/>
      <c r="H1392" s="9"/>
      <c r="I1392" s="9"/>
      <c r="O1392" s="9"/>
    </row>
    <row r="1393" spans="1:15" x14ac:dyDescent="0.15">
      <c r="A1393" s="9"/>
      <c r="B1393" s="9"/>
      <c r="H1393" s="9"/>
      <c r="I1393" s="9"/>
      <c r="O1393" s="9"/>
    </row>
    <row r="1394" spans="1:15" x14ac:dyDescent="0.15">
      <c r="A1394" s="9"/>
      <c r="B1394" s="9"/>
      <c r="H1394" s="9"/>
      <c r="I1394" s="9"/>
      <c r="O1394" s="9"/>
    </row>
    <row r="1395" spans="1:15" x14ac:dyDescent="0.15">
      <c r="A1395" s="9"/>
      <c r="B1395" s="9"/>
      <c r="H1395" s="9"/>
      <c r="I1395" s="9"/>
      <c r="O1395" s="9"/>
    </row>
    <row r="1396" spans="1:15" x14ac:dyDescent="0.15">
      <c r="A1396" s="9"/>
      <c r="B1396" s="9"/>
      <c r="H1396" s="9"/>
      <c r="I1396" s="9"/>
      <c r="O1396" s="9"/>
    </row>
    <row r="1397" spans="1:15" x14ac:dyDescent="0.15">
      <c r="A1397" s="9"/>
      <c r="B1397" s="9"/>
      <c r="H1397" s="9"/>
      <c r="I1397" s="9"/>
      <c r="O1397" s="9"/>
    </row>
    <row r="1398" spans="1:15" x14ac:dyDescent="0.15">
      <c r="A1398" s="9"/>
      <c r="B1398" s="9"/>
      <c r="H1398" s="9"/>
      <c r="I1398" s="9"/>
      <c r="O1398" s="9"/>
    </row>
    <row r="1399" spans="1:15" x14ac:dyDescent="0.15">
      <c r="A1399" s="9"/>
      <c r="B1399" s="9"/>
      <c r="H1399" s="9"/>
      <c r="I1399" s="9"/>
      <c r="O1399" s="9"/>
    </row>
    <row r="1400" spans="1:15" x14ac:dyDescent="0.15">
      <c r="A1400" s="9"/>
      <c r="B1400" s="9"/>
      <c r="H1400" s="9"/>
      <c r="I1400" s="9"/>
      <c r="O1400" s="9"/>
    </row>
    <row r="1401" spans="1:15" x14ac:dyDescent="0.15">
      <c r="A1401" s="9"/>
      <c r="B1401" s="9"/>
      <c r="H1401" s="9"/>
      <c r="I1401" s="9"/>
      <c r="O1401" s="9"/>
    </row>
    <row r="1402" spans="1:15" x14ac:dyDescent="0.15">
      <c r="A1402" s="9"/>
      <c r="B1402" s="9"/>
      <c r="H1402" s="9"/>
      <c r="I1402" s="9"/>
      <c r="O1402" s="9"/>
    </row>
    <row r="1403" spans="1:15" x14ac:dyDescent="0.15">
      <c r="A1403" s="9"/>
      <c r="B1403" s="9"/>
      <c r="H1403" s="9"/>
      <c r="I1403" s="9"/>
      <c r="O1403" s="9"/>
    </row>
    <row r="1404" spans="1:15" x14ac:dyDescent="0.15">
      <c r="A1404" s="9"/>
      <c r="B1404" s="9"/>
      <c r="H1404" s="9"/>
      <c r="I1404" s="9"/>
      <c r="O1404" s="9"/>
    </row>
    <row r="1405" spans="1:15" x14ac:dyDescent="0.15">
      <c r="A1405" s="9"/>
      <c r="B1405" s="9"/>
      <c r="H1405" s="9"/>
      <c r="I1405" s="9"/>
      <c r="O1405" s="9"/>
    </row>
    <row r="1406" spans="1:15" x14ac:dyDescent="0.15">
      <c r="A1406" s="9"/>
      <c r="B1406" s="9"/>
      <c r="H1406" s="9"/>
      <c r="I1406" s="9"/>
      <c r="O1406" s="9"/>
    </row>
    <row r="1407" spans="1:15" x14ac:dyDescent="0.15">
      <c r="A1407" s="9"/>
      <c r="B1407" s="9"/>
      <c r="H1407" s="9"/>
      <c r="I1407" s="9"/>
      <c r="O1407" s="9"/>
    </row>
    <row r="1408" spans="1:15" x14ac:dyDescent="0.15">
      <c r="A1408" s="9"/>
      <c r="B1408" s="9"/>
      <c r="H1408" s="9"/>
      <c r="I1408" s="9"/>
      <c r="O1408" s="9"/>
    </row>
    <row r="1409" spans="1:15" x14ac:dyDescent="0.15">
      <c r="A1409" s="9"/>
      <c r="B1409" s="9"/>
      <c r="H1409" s="9"/>
      <c r="I1409" s="9"/>
      <c r="O1409" s="9"/>
    </row>
    <row r="1410" spans="1:15" x14ac:dyDescent="0.15">
      <c r="A1410" s="9"/>
      <c r="B1410" s="9"/>
      <c r="H1410" s="9"/>
      <c r="I1410" s="9"/>
      <c r="O1410" s="9"/>
    </row>
    <row r="1411" spans="1:15" x14ac:dyDescent="0.15">
      <c r="A1411" s="9"/>
      <c r="B1411" s="9"/>
      <c r="H1411" s="9"/>
      <c r="I1411" s="9"/>
      <c r="O1411" s="9"/>
    </row>
    <row r="1412" spans="1:15" x14ac:dyDescent="0.15">
      <c r="A1412" s="9"/>
      <c r="B1412" s="9"/>
      <c r="H1412" s="9"/>
      <c r="I1412" s="9"/>
      <c r="O1412" s="9"/>
    </row>
    <row r="1413" spans="1:15" x14ac:dyDescent="0.15">
      <c r="A1413" s="9"/>
      <c r="B1413" s="9"/>
      <c r="H1413" s="9"/>
      <c r="I1413" s="9"/>
      <c r="O1413" s="9"/>
    </row>
    <row r="1414" spans="1:15" x14ac:dyDescent="0.15">
      <c r="A1414" s="9"/>
      <c r="B1414" s="9"/>
      <c r="H1414" s="9"/>
      <c r="I1414" s="9"/>
      <c r="O1414" s="9"/>
    </row>
    <row r="1415" spans="1:15" x14ac:dyDescent="0.15">
      <c r="A1415" s="9"/>
      <c r="B1415" s="9"/>
      <c r="H1415" s="9"/>
      <c r="I1415" s="9"/>
      <c r="O1415" s="9"/>
    </row>
    <row r="1416" spans="1:15" x14ac:dyDescent="0.15">
      <c r="A1416" s="9"/>
      <c r="B1416" s="9"/>
      <c r="H1416" s="9"/>
      <c r="I1416" s="9"/>
      <c r="O1416" s="9"/>
    </row>
    <row r="1417" spans="1:15" x14ac:dyDescent="0.15">
      <c r="A1417" s="9"/>
      <c r="B1417" s="9"/>
      <c r="H1417" s="9"/>
      <c r="I1417" s="9"/>
      <c r="O1417" s="9"/>
    </row>
    <row r="1418" spans="1:15" x14ac:dyDescent="0.15">
      <c r="A1418" s="9"/>
      <c r="B1418" s="9"/>
      <c r="H1418" s="9"/>
      <c r="I1418" s="9"/>
      <c r="O1418" s="9"/>
    </row>
    <row r="1419" spans="1:15" x14ac:dyDescent="0.15">
      <c r="A1419" s="9"/>
      <c r="B1419" s="9"/>
      <c r="H1419" s="9"/>
      <c r="I1419" s="9"/>
      <c r="O1419" s="9"/>
    </row>
    <row r="1420" spans="1:15" x14ac:dyDescent="0.15">
      <c r="A1420" s="9"/>
      <c r="B1420" s="9"/>
      <c r="H1420" s="9"/>
      <c r="I1420" s="9"/>
      <c r="O1420" s="9"/>
    </row>
    <row r="1421" spans="1:15" x14ac:dyDescent="0.15">
      <c r="A1421" s="9"/>
      <c r="B1421" s="9"/>
      <c r="H1421" s="9"/>
      <c r="I1421" s="9"/>
      <c r="O1421" s="9"/>
    </row>
    <row r="1422" spans="1:15" x14ac:dyDescent="0.15">
      <c r="A1422" s="9"/>
      <c r="B1422" s="9"/>
      <c r="H1422" s="9"/>
      <c r="I1422" s="9"/>
      <c r="O1422" s="9"/>
    </row>
    <row r="1423" spans="1:15" x14ac:dyDescent="0.15">
      <c r="A1423" s="9"/>
      <c r="B1423" s="9"/>
      <c r="H1423" s="9"/>
      <c r="I1423" s="9"/>
      <c r="O1423" s="9"/>
    </row>
    <row r="1424" spans="1:15" x14ac:dyDescent="0.15">
      <c r="A1424" s="9"/>
      <c r="B1424" s="9"/>
      <c r="H1424" s="9"/>
      <c r="I1424" s="9"/>
      <c r="O1424" s="9"/>
    </row>
    <row r="1425" spans="1:15" x14ac:dyDescent="0.15">
      <c r="A1425" s="9"/>
      <c r="B1425" s="9"/>
      <c r="H1425" s="9"/>
      <c r="I1425" s="9"/>
      <c r="O1425" s="9"/>
    </row>
    <row r="1426" spans="1:15" x14ac:dyDescent="0.15">
      <c r="A1426" s="9"/>
      <c r="B1426" s="9"/>
      <c r="H1426" s="9"/>
      <c r="I1426" s="9"/>
      <c r="O1426" s="9"/>
    </row>
    <row r="1427" spans="1:15" x14ac:dyDescent="0.15">
      <c r="A1427" s="9"/>
      <c r="B1427" s="9"/>
      <c r="H1427" s="9"/>
      <c r="I1427" s="9"/>
      <c r="O1427" s="9"/>
    </row>
    <row r="1428" spans="1:15" x14ac:dyDescent="0.15">
      <c r="A1428" s="9"/>
      <c r="B1428" s="9"/>
      <c r="H1428" s="9"/>
      <c r="I1428" s="9"/>
      <c r="O1428" s="9"/>
    </row>
    <row r="1429" spans="1:15" x14ac:dyDescent="0.15">
      <c r="A1429" s="9"/>
      <c r="B1429" s="9"/>
      <c r="H1429" s="9"/>
      <c r="I1429" s="9"/>
      <c r="O1429" s="9"/>
    </row>
    <row r="1430" spans="1:15" x14ac:dyDescent="0.15">
      <c r="A1430" s="9"/>
      <c r="B1430" s="9"/>
      <c r="H1430" s="9"/>
      <c r="I1430" s="9"/>
      <c r="O1430" s="9"/>
    </row>
    <row r="1431" spans="1:15" x14ac:dyDescent="0.15">
      <c r="A1431" s="9"/>
      <c r="B1431" s="9"/>
      <c r="H1431" s="9"/>
      <c r="I1431" s="9"/>
      <c r="O1431" s="9"/>
    </row>
    <row r="1432" spans="1:15" x14ac:dyDescent="0.15">
      <c r="A1432" s="9"/>
      <c r="B1432" s="9"/>
      <c r="H1432" s="9"/>
      <c r="I1432" s="9"/>
      <c r="O1432" s="9"/>
    </row>
    <row r="1433" spans="1:15" x14ac:dyDescent="0.15">
      <c r="A1433" s="9"/>
      <c r="B1433" s="9"/>
      <c r="H1433" s="9"/>
      <c r="I1433" s="9"/>
      <c r="O1433" s="9"/>
    </row>
    <row r="1434" spans="1:15" x14ac:dyDescent="0.15">
      <c r="A1434" s="9"/>
      <c r="B1434" s="9"/>
      <c r="H1434" s="9"/>
      <c r="I1434" s="9"/>
      <c r="O1434" s="9"/>
    </row>
    <row r="1435" spans="1:15" x14ac:dyDescent="0.15">
      <c r="A1435" s="9"/>
      <c r="B1435" s="9"/>
      <c r="H1435" s="9"/>
      <c r="I1435" s="9"/>
      <c r="O1435" s="9"/>
    </row>
    <row r="1436" spans="1:15" x14ac:dyDescent="0.15">
      <c r="A1436" s="9"/>
      <c r="B1436" s="9"/>
      <c r="H1436" s="9"/>
      <c r="I1436" s="9"/>
      <c r="O1436" s="9"/>
    </row>
    <row r="1437" spans="1:15" x14ac:dyDescent="0.15">
      <c r="A1437" s="9"/>
      <c r="B1437" s="9"/>
      <c r="H1437" s="9"/>
      <c r="I1437" s="9"/>
      <c r="O1437" s="9"/>
    </row>
    <row r="1438" spans="1:15" x14ac:dyDescent="0.15">
      <c r="A1438" s="9"/>
      <c r="B1438" s="9"/>
      <c r="H1438" s="9"/>
      <c r="I1438" s="9"/>
      <c r="O1438" s="9"/>
    </row>
    <row r="1439" spans="1:15" x14ac:dyDescent="0.15">
      <c r="A1439" s="9"/>
      <c r="B1439" s="9"/>
      <c r="H1439" s="9"/>
      <c r="I1439" s="9"/>
      <c r="O1439" s="9"/>
    </row>
    <row r="1440" spans="1:15" x14ac:dyDescent="0.15">
      <c r="A1440" s="9"/>
      <c r="B1440" s="9"/>
      <c r="H1440" s="9"/>
      <c r="I1440" s="9"/>
      <c r="O1440" s="9"/>
    </row>
    <row r="1441" spans="1:15" x14ac:dyDescent="0.15">
      <c r="A1441" s="9"/>
      <c r="B1441" s="9"/>
      <c r="H1441" s="9"/>
      <c r="I1441" s="9"/>
      <c r="O1441" s="9"/>
    </row>
    <row r="1442" spans="1:15" x14ac:dyDescent="0.15">
      <c r="A1442" s="9"/>
      <c r="B1442" s="9"/>
      <c r="H1442" s="9"/>
      <c r="I1442" s="9"/>
      <c r="O1442" s="9"/>
    </row>
    <row r="1443" spans="1:15" x14ac:dyDescent="0.15">
      <c r="A1443" s="9"/>
      <c r="B1443" s="9"/>
      <c r="H1443" s="9"/>
      <c r="I1443" s="9"/>
      <c r="O1443" s="9"/>
    </row>
    <row r="1444" spans="1:15" x14ac:dyDescent="0.15">
      <c r="A1444" s="9"/>
      <c r="B1444" s="9"/>
      <c r="H1444" s="9"/>
      <c r="I1444" s="9"/>
      <c r="O1444" s="9"/>
    </row>
    <row r="1445" spans="1:15" x14ac:dyDescent="0.15">
      <c r="A1445" s="9"/>
      <c r="B1445" s="9"/>
      <c r="H1445" s="9"/>
      <c r="I1445" s="9"/>
      <c r="O1445" s="9"/>
    </row>
    <row r="1446" spans="1:15" x14ac:dyDescent="0.15">
      <c r="A1446" s="9"/>
      <c r="B1446" s="9"/>
      <c r="H1446" s="9"/>
      <c r="I1446" s="9"/>
      <c r="O1446" s="9"/>
    </row>
    <row r="1447" spans="1:15" x14ac:dyDescent="0.15">
      <c r="A1447" s="9"/>
      <c r="B1447" s="9"/>
      <c r="H1447" s="9"/>
      <c r="I1447" s="9"/>
      <c r="O1447" s="9"/>
    </row>
    <row r="1448" spans="1:15" x14ac:dyDescent="0.15">
      <c r="A1448" s="9"/>
      <c r="B1448" s="9"/>
      <c r="H1448" s="9"/>
      <c r="I1448" s="9"/>
      <c r="O1448" s="9"/>
    </row>
    <row r="1449" spans="1:15" x14ac:dyDescent="0.15">
      <c r="A1449" s="9"/>
      <c r="B1449" s="9"/>
      <c r="H1449" s="9"/>
      <c r="I1449" s="9"/>
      <c r="O1449" s="9"/>
    </row>
    <row r="1450" spans="1:15" x14ac:dyDescent="0.15">
      <c r="A1450" s="9"/>
      <c r="B1450" s="9"/>
      <c r="H1450" s="9"/>
      <c r="I1450" s="9"/>
      <c r="O1450" s="9"/>
    </row>
    <row r="1451" spans="1:15" x14ac:dyDescent="0.15">
      <c r="A1451" s="9"/>
      <c r="B1451" s="9"/>
      <c r="H1451" s="9"/>
      <c r="I1451" s="9"/>
      <c r="O1451" s="9"/>
    </row>
    <row r="1452" spans="1:15" x14ac:dyDescent="0.15">
      <c r="A1452" s="9"/>
      <c r="B1452" s="9"/>
      <c r="H1452" s="9"/>
      <c r="I1452" s="9"/>
      <c r="O1452" s="9"/>
    </row>
    <row r="1453" spans="1:15" x14ac:dyDescent="0.15">
      <c r="A1453" s="9"/>
      <c r="B1453" s="9"/>
      <c r="H1453" s="9"/>
      <c r="I1453" s="9"/>
      <c r="O1453" s="9"/>
    </row>
    <row r="1454" spans="1:15" x14ac:dyDescent="0.15">
      <c r="A1454" s="9"/>
      <c r="B1454" s="9"/>
      <c r="H1454" s="9"/>
      <c r="I1454" s="9"/>
      <c r="O1454" s="9"/>
    </row>
    <row r="1455" spans="1:15" x14ac:dyDescent="0.15">
      <c r="A1455" s="9"/>
      <c r="B1455" s="9"/>
      <c r="H1455" s="9"/>
      <c r="I1455" s="9"/>
      <c r="O1455" s="9"/>
    </row>
    <row r="1456" spans="1:15" x14ac:dyDescent="0.15">
      <c r="A1456" s="9"/>
      <c r="B1456" s="9"/>
      <c r="H1456" s="9"/>
      <c r="I1456" s="9"/>
      <c r="O1456" s="9"/>
    </row>
    <row r="1457" spans="1:15" x14ac:dyDescent="0.15">
      <c r="A1457" s="9"/>
      <c r="B1457" s="9"/>
      <c r="H1457" s="9"/>
      <c r="I1457" s="9"/>
      <c r="O1457" s="9"/>
    </row>
    <row r="1458" spans="1:15" x14ac:dyDescent="0.15">
      <c r="A1458" s="9"/>
      <c r="B1458" s="9"/>
      <c r="H1458" s="9"/>
      <c r="I1458" s="9"/>
      <c r="O1458" s="9"/>
    </row>
    <row r="1459" spans="1:15" x14ac:dyDescent="0.15">
      <c r="A1459" s="9"/>
      <c r="B1459" s="9"/>
      <c r="H1459" s="9"/>
      <c r="I1459" s="9"/>
      <c r="O1459" s="9"/>
    </row>
    <row r="1460" spans="1:15" x14ac:dyDescent="0.15">
      <c r="A1460" s="9"/>
      <c r="B1460" s="9"/>
      <c r="H1460" s="9"/>
      <c r="I1460" s="9"/>
      <c r="O1460" s="9"/>
    </row>
    <row r="1461" spans="1:15" x14ac:dyDescent="0.15">
      <c r="A1461" s="9"/>
      <c r="B1461" s="9"/>
      <c r="H1461" s="9"/>
      <c r="I1461" s="9"/>
      <c r="O1461" s="9"/>
    </row>
    <row r="1462" spans="1:15" x14ac:dyDescent="0.15">
      <c r="A1462" s="9"/>
      <c r="B1462" s="9"/>
      <c r="H1462" s="9"/>
      <c r="I1462" s="9"/>
      <c r="O1462" s="9"/>
    </row>
    <row r="1463" spans="1:15" x14ac:dyDescent="0.15">
      <c r="A1463" s="9"/>
      <c r="B1463" s="9"/>
      <c r="H1463" s="9"/>
      <c r="I1463" s="9"/>
      <c r="O1463" s="9"/>
    </row>
    <row r="1464" spans="1:15" x14ac:dyDescent="0.15">
      <c r="A1464" s="9"/>
      <c r="B1464" s="9"/>
      <c r="H1464" s="9"/>
      <c r="I1464" s="9"/>
      <c r="O1464" s="9"/>
    </row>
    <row r="1465" spans="1:15" x14ac:dyDescent="0.15">
      <c r="A1465" s="9"/>
      <c r="B1465" s="9"/>
      <c r="H1465" s="9"/>
      <c r="I1465" s="9"/>
      <c r="O1465" s="9"/>
    </row>
    <row r="1466" spans="1:15" x14ac:dyDescent="0.15">
      <c r="A1466" s="9"/>
      <c r="B1466" s="9"/>
      <c r="H1466" s="9"/>
      <c r="I1466" s="9"/>
      <c r="O1466" s="9"/>
    </row>
    <row r="1467" spans="1:15" x14ac:dyDescent="0.15">
      <c r="A1467" s="9"/>
      <c r="B1467" s="9"/>
      <c r="H1467" s="9"/>
      <c r="I1467" s="9"/>
      <c r="O1467" s="9"/>
    </row>
    <row r="1468" spans="1:15" x14ac:dyDescent="0.15">
      <c r="A1468" s="9"/>
      <c r="B1468" s="9"/>
      <c r="H1468" s="9"/>
      <c r="I1468" s="9"/>
      <c r="O1468" s="9"/>
    </row>
    <row r="1469" spans="1:15" x14ac:dyDescent="0.15">
      <c r="A1469" s="9"/>
      <c r="B1469" s="9"/>
      <c r="H1469" s="9"/>
      <c r="I1469" s="9"/>
      <c r="O1469" s="9"/>
    </row>
    <row r="1470" spans="1:15" x14ac:dyDescent="0.15">
      <c r="A1470" s="9"/>
      <c r="B1470" s="9"/>
      <c r="H1470" s="9"/>
      <c r="I1470" s="9"/>
      <c r="O1470" s="9"/>
    </row>
    <row r="1471" spans="1:15" x14ac:dyDescent="0.15">
      <c r="A1471" s="9"/>
      <c r="B1471" s="9"/>
      <c r="H1471" s="9"/>
      <c r="I1471" s="9"/>
      <c r="O1471" s="9"/>
    </row>
    <row r="1472" spans="1:15" x14ac:dyDescent="0.15">
      <c r="A1472" s="9"/>
      <c r="B1472" s="9"/>
      <c r="H1472" s="9"/>
      <c r="I1472" s="9"/>
      <c r="O1472" s="9"/>
    </row>
    <row r="1473" spans="1:15" x14ac:dyDescent="0.15">
      <c r="A1473" s="9"/>
      <c r="B1473" s="9"/>
      <c r="H1473" s="9"/>
      <c r="I1473" s="9"/>
      <c r="O1473" s="9"/>
    </row>
    <row r="1474" spans="1:15" x14ac:dyDescent="0.15">
      <c r="A1474" s="9"/>
      <c r="B1474" s="9"/>
      <c r="H1474" s="9"/>
      <c r="I1474" s="9"/>
      <c r="O1474" s="9"/>
    </row>
    <row r="1475" spans="1:15" x14ac:dyDescent="0.15">
      <c r="A1475" s="9"/>
      <c r="B1475" s="9"/>
      <c r="H1475" s="9"/>
      <c r="I1475" s="9"/>
      <c r="O1475" s="9"/>
    </row>
    <row r="1476" spans="1:15" x14ac:dyDescent="0.15">
      <c r="A1476" s="9"/>
      <c r="B1476" s="9"/>
      <c r="H1476" s="9"/>
      <c r="I1476" s="9"/>
      <c r="O1476" s="9"/>
    </row>
    <row r="1477" spans="1:15" x14ac:dyDescent="0.15">
      <c r="A1477" s="9"/>
      <c r="B1477" s="9"/>
      <c r="H1477" s="9"/>
      <c r="I1477" s="9"/>
      <c r="O1477" s="9"/>
    </row>
    <row r="1478" spans="1:15" x14ac:dyDescent="0.15">
      <c r="A1478" s="9"/>
      <c r="B1478" s="9"/>
      <c r="H1478" s="9"/>
      <c r="I1478" s="9"/>
      <c r="O1478" s="9"/>
    </row>
    <row r="1479" spans="1:15" x14ac:dyDescent="0.15">
      <c r="A1479" s="9"/>
      <c r="B1479" s="9"/>
      <c r="H1479" s="9"/>
      <c r="I1479" s="9"/>
      <c r="O1479" s="9"/>
    </row>
    <row r="1480" spans="1:15" x14ac:dyDescent="0.15">
      <c r="A1480" s="9"/>
      <c r="B1480" s="9"/>
      <c r="H1480" s="9"/>
      <c r="I1480" s="9"/>
      <c r="O1480" s="9"/>
    </row>
    <row r="1481" spans="1:15" x14ac:dyDescent="0.15">
      <c r="A1481" s="9"/>
      <c r="B1481" s="9"/>
      <c r="H1481" s="9"/>
      <c r="I1481" s="9"/>
      <c r="O1481" s="9"/>
    </row>
    <row r="1482" spans="1:15" x14ac:dyDescent="0.15">
      <c r="A1482" s="9"/>
      <c r="B1482" s="9"/>
      <c r="H1482" s="9"/>
      <c r="I1482" s="9"/>
      <c r="O1482" s="9"/>
    </row>
    <row r="1483" spans="1:15" x14ac:dyDescent="0.15">
      <c r="A1483" s="9"/>
      <c r="B1483" s="9"/>
      <c r="H1483" s="9"/>
      <c r="I1483" s="9"/>
      <c r="O1483" s="9"/>
    </row>
    <row r="1484" spans="1:15" x14ac:dyDescent="0.15">
      <c r="A1484" s="9"/>
      <c r="B1484" s="9"/>
      <c r="H1484" s="9"/>
      <c r="I1484" s="9"/>
      <c r="O1484" s="9"/>
    </row>
    <row r="1485" spans="1:15" x14ac:dyDescent="0.15">
      <c r="A1485" s="9"/>
      <c r="B1485" s="9"/>
      <c r="H1485" s="9"/>
      <c r="I1485" s="9"/>
      <c r="O1485" s="9"/>
    </row>
    <row r="1486" spans="1:15" x14ac:dyDescent="0.15">
      <c r="A1486" s="9"/>
      <c r="B1486" s="9"/>
      <c r="H1486" s="9"/>
      <c r="I1486" s="9"/>
      <c r="O1486" s="9"/>
    </row>
    <row r="1487" spans="1:15" x14ac:dyDescent="0.15">
      <c r="A1487" s="9"/>
      <c r="B1487" s="9"/>
      <c r="H1487" s="9"/>
      <c r="I1487" s="9"/>
      <c r="O1487" s="9"/>
    </row>
    <row r="1488" spans="1:15" x14ac:dyDescent="0.15">
      <c r="A1488" s="9"/>
      <c r="B1488" s="9"/>
      <c r="H1488" s="9"/>
      <c r="I1488" s="9"/>
      <c r="O1488" s="9"/>
    </row>
    <row r="1489" spans="1:15" x14ac:dyDescent="0.15">
      <c r="A1489" s="9"/>
      <c r="B1489" s="9"/>
      <c r="H1489" s="9"/>
      <c r="I1489" s="9"/>
      <c r="O1489" s="9"/>
    </row>
    <row r="1490" spans="1:15" x14ac:dyDescent="0.15">
      <c r="A1490" s="9"/>
      <c r="B1490" s="9"/>
      <c r="H1490" s="9"/>
      <c r="I1490" s="9"/>
      <c r="O1490" s="9"/>
    </row>
    <row r="1491" spans="1:15" x14ac:dyDescent="0.15">
      <c r="A1491" s="9"/>
      <c r="B1491" s="9"/>
      <c r="H1491" s="9"/>
      <c r="I1491" s="9"/>
      <c r="O1491" s="9"/>
    </row>
    <row r="1492" spans="1:15" x14ac:dyDescent="0.15">
      <c r="A1492" s="9"/>
      <c r="B1492" s="9"/>
      <c r="H1492" s="9"/>
      <c r="I1492" s="9"/>
      <c r="O1492" s="9"/>
    </row>
    <row r="1493" spans="1:15" x14ac:dyDescent="0.15">
      <c r="A1493" s="9"/>
      <c r="B1493" s="9"/>
      <c r="H1493" s="9"/>
      <c r="I1493" s="9"/>
      <c r="O1493" s="9"/>
    </row>
    <row r="1494" spans="1:15" x14ac:dyDescent="0.15">
      <c r="A1494" s="9"/>
      <c r="B1494" s="9"/>
      <c r="H1494" s="9"/>
      <c r="I1494" s="9"/>
      <c r="O1494" s="9"/>
    </row>
    <row r="1495" spans="1:15" x14ac:dyDescent="0.15">
      <c r="A1495" s="9"/>
      <c r="B1495" s="9"/>
      <c r="H1495" s="9"/>
      <c r="I1495" s="9"/>
      <c r="O1495" s="9"/>
    </row>
    <row r="1496" spans="1:15" x14ac:dyDescent="0.15">
      <c r="A1496" s="9"/>
      <c r="B1496" s="9"/>
      <c r="H1496" s="9"/>
      <c r="I1496" s="9"/>
      <c r="O1496" s="9"/>
    </row>
    <row r="1497" spans="1:15" x14ac:dyDescent="0.15">
      <c r="A1497" s="9"/>
      <c r="B1497" s="9"/>
      <c r="H1497" s="9"/>
      <c r="I1497" s="9"/>
      <c r="O1497" s="9"/>
    </row>
    <row r="1498" spans="1:15" x14ac:dyDescent="0.15">
      <c r="A1498" s="9"/>
      <c r="B1498" s="9"/>
      <c r="H1498" s="9"/>
      <c r="I1498" s="9"/>
      <c r="O1498" s="9"/>
    </row>
    <row r="1499" spans="1:15" x14ac:dyDescent="0.15">
      <c r="A1499" s="9"/>
      <c r="B1499" s="9"/>
      <c r="H1499" s="9"/>
      <c r="I1499" s="9"/>
      <c r="O1499" s="9"/>
    </row>
    <row r="1500" spans="1:15" x14ac:dyDescent="0.15">
      <c r="A1500" s="9"/>
      <c r="B1500" s="9"/>
      <c r="H1500" s="9"/>
      <c r="I1500" s="9"/>
      <c r="O1500" s="9"/>
    </row>
    <row r="1501" spans="1:15" x14ac:dyDescent="0.15">
      <c r="A1501" s="9"/>
      <c r="B1501" s="9"/>
      <c r="H1501" s="9"/>
      <c r="I1501" s="9"/>
      <c r="O1501" s="9"/>
    </row>
    <row r="1502" spans="1:15" x14ac:dyDescent="0.15">
      <c r="A1502" s="9"/>
      <c r="B1502" s="9"/>
      <c r="H1502" s="9"/>
      <c r="I1502" s="9"/>
      <c r="O1502" s="9"/>
    </row>
    <row r="1503" spans="1:15" x14ac:dyDescent="0.15">
      <c r="A1503" s="9"/>
      <c r="B1503" s="9"/>
      <c r="H1503" s="9"/>
      <c r="I1503" s="9"/>
      <c r="O1503" s="9"/>
    </row>
    <row r="1504" spans="1:15" x14ac:dyDescent="0.15">
      <c r="A1504" s="9"/>
      <c r="B1504" s="9"/>
      <c r="H1504" s="9"/>
      <c r="I1504" s="9"/>
      <c r="O1504" s="9"/>
    </row>
    <row r="1505" spans="1:15" x14ac:dyDescent="0.15">
      <c r="A1505" s="9"/>
      <c r="B1505" s="9"/>
      <c r="H1505" s="9"/>
      <c r="I1505" s="9"/>
      <c r="O1505" s="9"/>
    </row>
    <row r="1506" spans="1:15" x14ac:dyDescent="0.15">
      <c r="A1506" s="9"/>
      <c r="B1506" s="9"/>
      <c r="H1506" s="9"/>
      <c r="I1506" s="9"/>
      <c r="O1506" s="9"/>
    </row>
    <row r="1507" spans="1:15" x14ac:dyDescent="0.15">
      <c r="A1507" s="9"/>
      <c r="B1507" s="9"/>
      <c r="H1507" s="9"/>
      <c r="I1507" s="9"/>
      <c r="O1507" s="9"/>
    </row>
    <row r="1508" spans="1:15" x14ac:dyDescent="0.15">
      <c r="A1508" s="9"/>
      <c r="B1508" s="9"/>
      <c r="H1508" s="9"/>
      <c r="I1508" s="9"/>
      <c r="O1508" s="9"/>
    </row>
    <row r="1509" spans="1:15" x14ac:dyDescent="0.15">
      <c r="A1509" s="9"/>
      <c r="B1509" s="9"/>
      <c r="H1509" s="9"/>
      <c r="I1509" s="9"/>
      <c r="O1509" s="9"/>
    </row>
    <row r="1510" spans="1:15" x14ac:dyDescent="0.15">
      <c r="A1510" s="9"/>
      <c r="B1510" s="9"/>
      <c r="H1510" s="9"/>
      <c r="I1510" s="9"/>
      <c r="O1510" s="9"/>
    </row>
    <row r="1511" spans="1:15" x14ac:dyDescent="0.15">
      <c r="A1511" s="9"/>
      <c r="B1511" s="9"/>
      <c r="H1511" s="9"/>
      <c r="I1511" s="9"/>
      <c r="O1511" s="9"/>
    </row>
    <row r="1512" spans="1:15" x14ac:dyDescent="0.15">
      <c r="A1512" s="9"/>
      <c r="B1512" s="9"/>
      <c r="H1512" s="9"/>
      <c r="I1512" s="9"/>
      <c r="O1512" s="9"/>
    </row>
    <row r="1513" spans="1:15" x14ac:dyDescent="0.15">
      <c r="A1513" s="9"/>
      <c r="B1513" s="9"/>
      <c r="H1513" s="9"/>
      <c r="I1513" s="9"/>
      <c r="O1513" s="9"/>
    </row>
    <row r="1514" spans="1:15" x14ac:dyDescent="0.15">
      <c r="A1514" s="9"/>
      <c r="B1514" s="9"/>
      <c r="H1514" s="9"/>
      <c r="I1514" s="9"/>
      <c r="O1514" s="9"/>
    </row>
    <row r="1515" spans="1:15" x14ac:dyDescent="0.15">
      <c r="A1515" s="9"/>
      <c r="B1515" s="9"/>
      <c r="H1515" s="9"/>
      <c r="I1515" s="9"/>
      <c r="O1515" s="9"/>
    </row>
    <row r="1516" spans="1:15" x14ac:dyDescent="0.15">
      <c r="A1516" s="9"/>
      <c r="B1516" s="9"/>
      <c r="H1516" s="9"/>
      <c r="I1516" s="9"/>
      <c r="O1516" s="9"/>
    </row>
    <row r="1517" spans="1:15" x14ac:dyDescent="0.15">
      <c r="A1517" s="9"/>
      <c r="B1517" s="9"/>
      <c r="H1517" s="9"/>
      <c r="I1517" s="9"/>
      <c r="O1517" s="9"/>
    </row>
    <row r="1518" spans="1:15" x14ac:dyDescent="0.15">
      <c r="A1518" s="9"/>
      <c r="B1518" s="9"/>
      <c r="H1518" s="9"/>
      <c r="I1518" s="9"/>
      <c r="O1518" s="9"/>
    </row>
    <row r="1519" spans="1:15" x14ac:dyDescent="0.15">
      <c r="A1519" s="9"/>
      <c r="B1519" s="9"/>
      <c r="H1519" s="9"/>
      <c r="I1519" s="9"/>
      <c r="O1519" s="9"/>
    </row>
    <row r="1520" spans="1:15" x14ac:dyDescent="0.15">
      <c r="A1520" s="9"/>
      <c r="B1520" s="9"/>
      <c r="H1520" s="9"/>
      <c r="I1520" s="9"/>
      <c r="O1520" s="9"/>
    </row>
    <row r="1521" spans="1:15" x14ac:dyDescent="0.15">
      <c r="A1521" s="9"/>
      <c r="B1521" s="9"/>
      <c r="H1521" s="9"/>
      <c r="I1521" s="9"/>
      <c r="O1521" s="9"/>
    </row>
    <row r="1522" spans="1:15" x14ac:dyDescent="0.15">
      <c r="A1522" s="9"/>
      <c r="B1522" s="9"/>
      <c r="H1522" s="9"/>
      <c r="I1522" s="9"/>
      <c r="O1522" s="9"/>
    </row>
    <row r="1523" spans="1:15" x14ac:dyDescent="0.15">
      <c r="A1523" s="9"/>
      <c r="B1523" s="9"/>
      <c r="H1523" s="9"/>
      <c r="I1523" s="9"/>
      <c r="O1523" s="9"/>
    </row>
    <row r="1524" spans="1:15" x14ac:dyDescent="0.15">
      <c r="A1524" s="9"/>
      <c r="B1524" s="9"/>
      <c r="H1524" s="9"/>
      <c r="I1524" s="9"/>
      <c r="O1524" s="9"/>
    </row>
    <row r="1525" spans="1:15" x14ac:dyDescent="0.15">
      <c r="A1525" s="9"/>
      <c r="B1525" s="9"/>
      <c r="H1525" s="9"/>
      <c r="I1525" s="9"/>
      <c r="O1525" s="9"/>
    </row>
    <row r="1526" spans="1:15" x14ac:dyDescent="0.15">
      <c r="A1526" s="9"/>
      <c r="B1526" s="9"/>
      <c r="H1526" s="9"/>
      <c r="I1526" s="9"/>
      <c r="O1526" s="9"/>
    </row>
    <row r="1527" spans="1:15" x14ac:dyDescent="0.15">
      <c r="A1527" s="9"/>
      <c r="B1527" s="9"/>
      <c r="H1527" s="9"/>
      <c r="I1527" s="9"/>
      <c r="O1527" s="9"/>
    </row>
    <row r="1528" spans="1:15" x14ac:dyDescent="0.15">
      <c r="A1528" s="9"/>
      <c r="B1528" s="9"/>
      <c r="H1528" s="9"/>
      <c r="I1528" s="9"/>
      <c r="O1528" s="9"/>
    </row>
    <row r="1529" spans="1:15" x14ac:dyDescent="0.15">
      <c r="A1529" s="9"/>
      <c r="B1529" s="9"/>
      <c r="H1529" s="9"/>
      <c r="I1529" s="9"/>
      <c r="O1529" s="9"/>
    </row>
    <row r="1530" spans="1:15" x14ac:dyDescent="0.15">
      <c r="A1530" s="9"/>
      <c r="B1530" s="9"/>
      <c r="H1530" s="9"/>
      <c r="I1530" s="9"/>
      <c r="O1530" s="9"/>
    </row>
    <row r="1531" spans="1:15" x14ac:dyDescent="0.15">
      <c r="A1531" s="9"/>
      <c r="B1531" s="9"/>
      <c r="H1531" s="9"/>
      <c r="I1531" s="9"/>
      <c r="O1531" s="9"/>
    </row>
    <row r="1532" spans="1:15" x14ac:dyDescent="0.15">
      <c r="A1532" s="9"/>
      <c r="B1532" s="9"/>
      <c r="H1532" s="9"/>
      <c r="I1532" s="9"/>
      <c r="O1532" s="9"/>
    </row>
    <row r="1533" spans="1:15" x14ac:dyDescent="0.15">
      <c r="A1533" s="9"/>
      <c r="B1533" s="9"/>
      <c r="H1533" s="9"/>
      <c r="I1533" s="9"/>
      <c r="O1533" s="9"/>
    </row>
    <row r="1534" spans="1:15" x14ac:dyDescent="0.15">
      <c r="A1534" s="9"/>
      <c r="B1534" s="9"/>
      <c r="H1534" s="9"/>
      <c r="I1534" s="9"/>
      <c r="O1534" s="9"/>
    </row>
    <row r="1535" spans="1:15" x14ac:dyDescent="0.15">
      <c r="A1535" s="9"/>
      <c r="B1535" s="9"/>
      <c r="H1535" s="9"/>
      <c r="I1535" s="9"/>
      <c r="O1535" s="9"/>
    </row>
    <row r="1536" spans="1:15" x14ac:dyDescent="0.15">
      <c r="A1536" s="9"/>
      <c r="B1536" s="9"/>
      <c r="H1536" s="9"/>
      <c r="I1536" s="9"/>
      <c r="O1536" s="9"/>
    </row>
    <row r="1537" spans="1:15" x14ac:dyDescent="0.15">
      <c r="A1537" s="9"/>
      <c r="B1537" s="9"/>
      <c r="H1537" s="9"/>
      <c r="I1537" s="9"/>
      <c r="O1537" s="9"/>
    </row>
    <row r="1538" spans="1:15" x14ac:dyDescent="0.15">
      <c r="A1538" s="9"/>
      <c r="B1538" s="9"/>
      <c r="H1538" s="9"/>
      <c r="I1538" s="9"/>
      <c r="O1538" s="9"/>
    </row>
    <row r="1539" spans="1:15" x14ac:dyDescent="0.15">
      <c r="A1539" s="9"/>
      <c r="B1539" s="9"/>
      <c r="H1539" s="9"/>
      <c r="I1539" s="9"/>
      <c r="O1539" s="9"/>
    </row>
    <row r="1540" spans="1:15" x14ac:dyDescent="0.15">
      <c r="A1540" s="9"/>
      <c r="B1540" s="9"/>
      <c r="H1540" s="9"/>
      <c r="I1540" s="9"/>
      <c r="O1540" s="9"/>
    </row>
    <row r="1541" spans="1:15" x14ac:dyDescent="0.15">
      <c r="A1541" s="9"/>
      <c r="B1541" s="9"/>
      <c r="H1541" s="9"/>
      <c r="I1541" s="9"/>
      <c r="O1541" s="9"/>
    </row>
    <row r="1542" spans="1:15" x14ac:dyDescent="0.15">
      <c r="A1542" s="9"/>
      <c r="B1542" s="9"/>
      <c r="H1542" s="9"/>
      <c r="I1542" s="9"/>
      <c r="O1542" s="9"/>
    </row>
    <row r="1543" spans="1:15" x14ac:dyDescent="0.15">
      <c r="A1543" s="9"/>
      <c r="B1543" s="9"/>
      <c r="H1543" s="9"/>
      <c r="I1543" s="9"/>
      <c r="O1543" s="9"/>
    </row>
    <row r="1544" spans="1:15" x14ac:dyDescent="0.15">
      <c r="A1544" s="9"/>
      <c r="B1544" s="9"/>
      <c r="H1544" s="9"/>
      <c r="I1544" s="9"/>
      <c r="O1544" s="9"/>
    </row>
    <row r="1545" spans="1:15" x14ac:dyDescent="0.15">
      <c r="A1545" s="9"/>
      <c r="B1545" s="9"/>
      <c r="H1545" s="9"/>
      <c r="I1545" s="9"/>
      <c r="O1545" s="9"/>
    </row>
    <row r="1546" spans="1:15" x14ac:dyDescent="0.15">
      <c r="A1546" s="9"/>
      <c r="B1546" s="9"/>
      <c r="H1546" s="9"/>
      <c r="I1546" s="9"/>
      <c r="O1546" s="9"/>
    </row>
    <row r="1547" spans="1:15" x14ac:dyDescent="0.15">
      <c r="A1547" s="9"/>
      <c r="B1547" s="9"/>
      <c r="H1547" s="9"/>
      <c r="I1547" s="9"/>
      <c r="O1547" s="9"/>
    </row>
    <row r="1548" spans="1:15" x14ac:dyDescent="0.15">
      <c r="A1548" s="9"/>
      <c r="B1548" s="9"/>
      <c r="H1548" s="9"/>
      <c r="I1548" s="9"/>
      <c r="O1548" s="9"/>
    </row>
    <row r="1549" spans="1:15" x14ac:dyDescent="0.15">
      <c r="A1549" s="9"/>
      <c r="B1549" s="9"/>
      <c r="H1549" s="9"/>
      <c r="I1549" s="9"/>
      <c r="O1549" s="9"/>
    </row>
    <row r="1550" spans="1:15" x14ac:dyDescent="0.15">
      <c r="A1550" s="9"/>
      <c r="B1550" s="9"/>
      <c r="H1550" s="9"/>
      <c r="I1550" s="9"/>
      <c r="O1550" s="9"/>
    </row>
    <row r="1551" spans="1:15" x14ac:dyDescent="0.15">
      <c r="A1551" s="9"/>
      <c r="B1551" s="9"/>
      <c r="H1551" s="9"/>
      <c r="I1551" s="9"/>
      <c r="O1551" s="9"/>
    </row>
    <row r="1552" spans="1:15" x14ac:dyDescent="0.15">
      <c r="A1552" s="9"/>
      <c r="B1552" s="9"/>
      <c r="H1552" s="9"/>
      <c r="I1552" s="9"/>
      <c r="O1552" s="9"/>
    </row>
    <row r="1553" spans="1:15" x14ac:dyDescent="0.15">
      <c r="A1553" s="9"/>
      <c r="B1553" s="9"/>
      <c r="H1553" s="9"/>
      <c r="I1553" s="9"/>
      <c r="O1553" s="9"/>
    </row>
    <row r="1554" spans="1:15" x14ac:dyDescent="0.15">
      <c r="A1554" s="9"/>
      <c r="B1554" s="9"/>
      <c r="H1554" s="9"/>
      <c r="I1554" s="9"/>
      <c r="O1554" s="9"/>
    </row>
    <row r="1555" spans="1:15" x14ac:dyDescent="0.15">
      <c r="A1555" s="9"/>
      <c r="B1555" s="9"/>
      <c r="H1555" s="9"/>
      <c r="I1555" s="9"/>
      <c r="O1555" s="9"/>
    </row>
    <row r="1556" spans="1:15" x14ac:dyDescent="0.15">
      <c r="A1556" s="9"/>
      <c r="B1556" s="9"/>
      <c r="H1556" s="9"/>
      <c r="I1556" s="9"/>
      <c r="O1556" s="9"/>
    </row>
    <row r="1557" spans="1:15" x14ac:dyDescent="0.15">
      <c r="A1557" s="9"/>
      <c r="B1557" s="9"/>
      <c r="H1557" s="9"/>
      <c r="I1557" s="9"/>
      <c r="O1557" s="9"/>
    </row>
    <row r="1558" spans="1:15" x14ac:dyDescent="0.15">
      <c r="A1558" s="9"/>
      <c r="B1558" s="9"/>
      <c r="H1558" s="9"/>
      <c r="I1558" s="9"/>
      <c r="O1558" s="9"/>
    </row>
    <row r="1559" spans="1:15" x14ac:dyDescent="0.15">
      <c r="A1559" s="9"/>
      <c r="B1559" s="9"/>
      <c r="H1559" s="9"/>
      <c r="I1559" s="9"/>
      <c r="O1559" s="9"/>
    </row>
    <row r="1560" spans="1:15" x14ac:dyDescent="0.15">
      <c r="A1560" s="9"/>
      <c r="B1560" s="9"/>
      <c r="H1560" s="9"/>
      <c r="I1560" s="9"/>
      <c r="O1560" s="9"/>
    </row>
    <row r="1561" spans="1:15" x14ac:dyDescent="0.15">
      <c r="A1561" s="9"/>
      <c r="B1561" s="9"/>
      <c r="H1561" s="9"/>
      <c r="I1561" s="9"/>
      <c r="O1561" s="9"/>
    </row>
    <row r="1562" spans="1:15" x14ac:dyDescent="0.15">
      <c r="A1562" s="9"/>
      <c r="B1562" s="9"/>
      <c r="H1562" s="9"/>
      <c r="I1562" s="9"/>
      <c r="O1562" s="9"/>
    </row>
    <row r="1563" spans="1:15" x14ac:dyDescent="0.15">
      <c r="A1563" s="9"/>
      <c r="B1563" s="9"/>
      <c r="H1563" s="9"/>
      <c r="I1563" s="9"/>
      <c r="O1563" s="9"/>
    </row>
    <row r="1564" spans="1:15" x14ac:dyDescent="0.15">
      <c r="A1564" s="9"/>
      <c r="B1564" s="9"/>
      <c r="H1564" s="9"/>
      <c r="I1564" s="9"/>
      <c r="O1564" s="9"/>
    </row>
    <row r="1565" spans="1:15" x14ac:dyDescent="0.15">
      <c r="A1565" s="9"/>
      <c r="B1565" s="9"/>
      <c r="H1565" s="9"/>
      <c r="I1565" s="9"/>
      <c r="O1565" s="9"/>
    </row>
    <row r="1566" spans="1:15" x14ac:dyDescent="0.15">
      <c r="A1566" s="9"/>
      <c r="B1566" s="9"/>
      <c r="H1566" s="9"/>
      <c r="I1566" s="9"/>
      <c r="O1566" s="9"/>
    </row>
    <row r="1567" spans="1:15" x14ac:dyDescent="0.15">
      <c r="A1567" s="9"/>
      <c r="B1567" s="9"/>
      <c r="H1567" s="9"/>
      <c r="I1567" s="9"/>
      <c r="O1567" s="9"/>
    </row>
    <row r="1568" spans="1:15" x14ac:dyDescent="0.15">
      <c r="A1568" s="9"/>
      <c r="B1568" s="9"/>
      <c r="H1568" s="9"/>
      <c r="I1568" s="9"/>
      <c r="O1568" s="9"/>
    </row>
    <row r="1569" spans="1:15" x14ac:dyDescent="0.15">
      <c r="A1569" s="9"/>
      <c r="B1569" s="9"/>
      <c r="H1569" s="9"/>
      <c r="I1569" s="9"/>
      <c r="O1569" s="9"/>
    </row>
    <row r="1570" spans="1:15" x14ac:dyDescent="0.15">
      <c r="A1570" s="9"/>
      <c r="B1570" s="9"/>
      <c r="H1570" s="9"/>
      <c r="I1570" s="9"/>
      <c r="O1570" s="9"/>
    </row>
    <row r="1571" spans="1:15" x14ac:dyDescent="0.15">
      <c r="A1571" s="9"/>
      <c r="B1571" s="9"/>
      <c r="H1571" s="9"/>
      <c r="I1571" s="9"/>
      <c r="O1571" s="9"/>
    </row>
    <row r="1572" spans="1:15" x14ac:dyDescent="0.15">
      <c r="A1572" s="9"/>
      <c r="B1572" s="9"/>
      <c r="H1572" s="9"/>
      <c r="I1572" s="9"/>
      <c r="O1572" s="9"/>
    </row>
    <row r="1573" spans="1:15" x14ac:dyDescent="0.15">
      <c r="A1573" s="9"/>
      <c r="B1573" s="9"/>
      <c r="H1573" s="9"/>
      <c r="I1573" s="9"/>
      <c r="O1573" s="9"/>
    </row>
    <row r="1574" spans="1:15" x14ac:dyDescent="0.15">
      <c r="A1574" s="9"/>
      <c r="B1574" s="9"/>
      <c r="H1574" s="9"/>
      <c r="I1574" s="9"/>
      <c r="O1574" s="9"/>
    </row>
    <row r="1575" spans="1:15" x14ac:dyDescent="0.15">
      <c r="A1575" s="9"/>
      <c r="B1575" s="9"/>
      <c r="H1575" s="9"/>
      <c r="I1575" s="9"/>
      <c r="O1575" s="9"/>
    </row>
    <row r="1576" spans="1:15" x14ac:dyDescent="0.15">
      <c r="A1576" s="9"/>
      <c r="B1576" s="9"/>
      <c r="H1576" s="9"/>
      <c r="I1576" s="9"/>
      <c r="O1576" s="9"/>
    </row>
    <row r="1577" spans="1:15" x14ac:dyDescent="0.15">
      <c r="A1577" s="9"/>
      <c r="B1577" s="9"/>
      <c r="H1577" s="9"/>
      <c r="I1577" s="9"/>
      <c r="O1577" s="9"/>
    </row>
    <row r="1578" spans="1:15" x14ac:dyDescent="0.15">
      <c r="A1578" s="9"/>
      <c r="B1578" s="9"/>
      <c r="H1578" s="9"/>
      <c r="I1578" s="9"/>
      <c r="O1578" s="9"/>
    </row>
    <row r="1579" spans="1:15" x14ac:dyDescent="0.15">
      <c r="A1579" s="9"/>
      <c r="B1579" s="9"/>
      <c r="H1579" s="9"/>
      <c r="I1579" s="9"/>
      <c r="O1579" s="9"/>
    </row>
    <row r="1580" spans="1:15" x14ac:dyDescent="0.15">
      <c r="A1580" s="9"/>
      <c r="B1580" s="9"/>
      <c r="H1580" s="9"/>
      <c r="I1580" s="9"/>
      <c r="O1580" s="9"/>
    </row>
    <row r="1581" spans="1:15" x14ac:dyDescent="0.15">
      <c r="A1581" s="9"/>
      <c r="B1581" s="9"/>
      <c r="H1581" s="9"/>
      <c r="I1581" s="9"/>
      <c r="O1581" s="9"/>
    </row>
    <row r="1582" spans="1:15" x14ac:dyDescent="0.15">
      <c r="A1582" s="9"/>
      <c r="B1582" s="9"/>
      <c r="H1582" s="9"/>
      <c r="I1582" s="9"/>
      <c r="O1582" s="9"/>
    </row>
    <row r="1583" spans="1:15" x14ac:dyDescent="0.15">
      <c r="A1583" s="9"/>
      <c r="B1583" s="9"/>
      <c r="H1583" s="9"/>
      <c r="I1583" s="9"/>
      <c r="O1583" s="9"/>
    </row>
    <row r="1584" spans="1:15" x14ac:dyDescent="0.15">
      <c r="A1584" s="9"/>
      <c r="B1584" s="9"/>
      <c r="H1584" s="9"/>
      <c r="I1584" s="9"/>
      <c r="O1584" s="9"/>
    </row>
    <row r="1585" spans="1:15" x14ac:dyDescent="0.15">
      <c r="A1585" s="9"/>
      <c r="B1585" s="9"/>
      <c r="H1585" s="9"/>
      <c r="I1585" s="9"/>
      <c r="O1585" s="9"/>
    </row>
    <row r="1586" spans="1:15" x14ac:dyDescent="0.15">
      <c r="A1586" s="9"/>
      <c r="B1586" s="9"/>
      <c r="H1586" s="9"/>
      <c r="I1586" s="9"/>
      <c r="O1586" s="9"/>
    </row>
    <row r="1587" spans="1:15" x14ac:dyDescent="0.15">
      <c r="A1587" s="9"/>
      <c r="B1587" s="9"/>
      <c r="H1587" s="9"/>
      <c r="I1587" s="9"/>
      <c r="O1587" s="9"/>
    </row>
    <row r="1588" spans="1:15" x14ac:dyDescent="0.15">
      <c r="A1588" s="9"/>
      <c r="B1588" s="9"/>
      <c r="H1588" s="9"/>
      <c r="I1588" s="9"/>
      <c r="O1588" s="9"/>
    </row>
    <row r="1589" spans="1:15" x14ac:dyDescent="0.15">
      <c r="A1589" s="9"/>
      <c r="B1589" s="9"/>
      <c r="H1589" s="9"/>
      <c r="I1589" s="9"/>
      <c r="O1589" s="9"/>
    </row>
    <row r="1590" spans="1:15" x14ac:dyDescent="0.15">
      <c r="A1590" s="9"/>
      <c r="B1590" s="9"/>
      <c r="H1590" s="9"/>
      <c r="I1590" s="9"/>
      <c r="O1590" s="9"/>
    </row>
    <row r="1591" spans="1:15" x14ac:dyDescent="0.15">
      <c r="A1591" s="9"/>
      <c r="B1591" s="9"/>
      <c r="H1591" s="9"/>
      <c r="I1591" s="9"/>
      <c r="O1591" s="9"/>
    </row>
    <row r="1592" spans="1:15" x14ac:dyDescent="0.15">
      <c r="A1592" s="9"/>
      <c r="B1592" s="9"/>
      <c r="H1592" s="9"/>
      <c r="I1592" s="9"/>
      <c r="O1592" s="9"/>
    </row>
    <row r="1593" spans="1:15" x14ac:dyDescent="0.15">
      <c r="A1593" s="9"/>
      <c r="B1593" s="9"/>
      <c r="H1593" s="9"/>
      <c r="I1593" s="9"/>
      <c r="O1593" s="9"/>
    </row>
    <row r="1594" spans="1:15" x14ac:dyDescent="0.15">
      <c r="A1594" s="9"/>
      <c r="B1594" s="9"/>
      <c r="H1594" s="9"/>
      <c r="I1594" s="9"/>
      <c r="O1594" s="9"/>
    </row>
    <row r="1595" spans="1:15" x14ac:dyDescent="0.15">
      <c r="A1595" s="9"/>
      <c r="B1595" s="9"/>
      <c r="H1595" s="9"/>
      <c r="I1595" s="9"/>
      <c r="O1595" s="9"/>
    </row>
    <row r="1596" spans="1:15" x14ac:dyDescent="0.15">
      <c r="A1596" s="9"/>
      <c r="B1596" s="9"/>
      <c r="H1596" s="9"/>
      <c r="I1596" s="9"/>
      <c r="O1596" s="9"/>
    </row>
    <row r="1597" spans="1:15" x14ac:dyDescent="0.15">
      <c r="A1597" s="9"/>
      <c r="B1597" s="9"/>
      <c r="H1597" s="9"/>
      <c r="I1597" s="9"/>
      <c r="O1597" s="9"/>
    </row>
    <row r="1598" spans="1:15" x14ac:dyDescent="0.15">
      <c r="A1598" s="9"/>
      <c r="B1598" s="9"/>
      <c r="H1598" s="9"/>
      <c r="I1598" s="9"/>
      <c r="O1598" s="9"/>
    </row>
    <row r="1599" spans="1:15" x14ac:dyDescent="0.15">
      <c r="A1599" s="9"/>
      <c r="B1599" s="9"/>
      <c r="H1599" s="9"/>
      <c r="I1599" s="9"/>
      <c r="O1599" s="9"/>
    </row>
    <row r="1600" spans="1:15" x14ac:dyDescent="0.15">
      <c r="A1600" s="9"/>
      <c r="B1600" s="9"/>
      <c r="H1600" s="9"/>
      <c r="I1600" s="9"/>
      <c r="O1600" s="9"/>
    </row>
    <row r="1601" spans="1:15" x14ac:dyDescent="0.15">
      <c r="A1601" s="9"/>
      <c r="B1601" s="9"/>
      <c r="H1601" s="9"/>
      <c r="I1601" s="9"/>
      <c r="O1601" s="9"/>
    </row>
    <row r="1602" spans="1:15" x14ac:dyDescent="0.15">
      <c r="A1602" s="9"/>
      <c r="B1602" s="9"/>
      <c r="H1602" s="9"/>
      <c r="I1602" s="9"/>
      <c r="O1602" s="9"/>
    </row>
    <row r="1603" spans="1:15" x14ac:dyDescent="0.15">
      <c r="A1603" s="9"/>
      <c r="B1603" s="9"/>
      <c r="H1603" s="9"/>
      <c r="I1603" s="9"/>
      <c r="O1603" s="9"/>
    </row>
    <row r="1604" spans="1:15" x14ac:dyDescent="0.15">
      <c r="A1604" s="9"/>
      <c r="B1604" s="9"/>
      <c r="H1604" s="9"/>
      <c r="I1604" s="9"/>
      <c r="O1604" s="9"/>
    </row>
    <row r="1605" spans="1:15" x14ac:dyDescent="0.15">
      <c r="A1605" s="9"/>
      <c r="B1605" s="9"/>
      <c r="H1605" s="9"/>
      <c r="I1605" s="9"/>
      <c r="O1605" s="9"/>
    </row>
    <row r="1606" spans="1:15" x14ac:dyDescent="0.15">
      <c r="A1606" s="9"/>
      <c r="B1606" s="9"/>
      <c r="H1606" s="9"/>
      <c r="I1606" s="9"/>
      <c r="O1606" s="9"/>
    </row>
    <row r="1607" spans="1:15" x14ac:dyDescent="0.15">
      <c r="A1607" s="9"/>
      <c r="B1607" s="9"/>
      <c r="H1607" s="9"/>
      <c r="I1607" s="9"/>
      <c r="O1607" s="9"/>
    </row>
    <row r="1608" spans="1:15" x14ac:dyDescent="0.15">
      <c r="A1608" s="9"/>
      <c r="B1608" s="9"/>
      <c r="H1608" s="9"/>
      <c r="I1608" s="9"/>
      <c r="O1608" s="9"/>
    </row>
    <row r="1609" spans="1:15" x14ac:dyDescent="0.15">
      <c r="A1609" s="9"/>
      <c r="B1609" s="9"/>
      <c r="H1609" s="9"/>
      <c r="I1609" s="9"/>
      <c r="O1609" s="9"/>
    </row>
    <row r="1610" spans="1:15" x14ac:dyDescent="0.15">
      <c r="A1610" s="9"/>
      <c r="B1610" s="9"/>
      <c r="H1610" s="9"/>
      <c r="I1610" s="9"/>
      <c r="O1610" s="9"/>
    </row>
    <row r="1611" spans="1:15" x14ac:dyDescent="0.15">
      <c r="A1611" s="9"/>
      <c r="B1611" s="9"/>
      <c r="H1611" s="9"/>
      <c r="I1611" s="9"/>
      <c r="O1611" s="9"/>
    </row>
    <row r="1612" spans="1:15" x14ac:dyDescent="0.15">
      <c r="A1612" s="9"/>
      <c r="B1612" s="9"/>
      <c r="H1612" s="9"/>
      <c r="I1612" s="9"/>
      <c r="O1612" s="9"/>
    </row>
    <row r="1613" spans="1:15" x14ac:dyDescent="0.15">
      <c r="A1613" s="9"/>
      <c r="B1613" s="9"/>
      <c r="H1613" s="9"/>
      <c r="I1613" s="9"/>
      <c r="O1613" s="9"/>
    </row>
    <row r="1614" spans="1:15" x14ac:dyDescent="0.15">
      <c r="A1614" s="9"/>
      <c r="B1614" s="9"/>
      <c r="H1614" s="9"/>
      <c r="I1614" s="9"/>
      <c r="O1614" s="9"/>
    </row>
    <row r="1615" spans="1:15" x14ac:dyDescent="0.15">
      <c r="A1615" s="9"/>
      <c r="B1615" s="9"/>
      <c r="H1615" s="9"/>
      <c r="I1615" s="9"/>
      <c r="O1615" s="9"/>
    </row>
    <row r="1616" spans="1:15" x14ac:dyDescent="0.15">
      <c r="A1616" s="9"/>
      <c r="B1616" s="9"/>
      <c r="H1616" s="9"/>
      <c r="I1616" s="9"/>
      <c r="O1616" s="9"/>
    </row>
    <row r="1617" spans="1:15" x14ac:dyDescent="0.15">
      <c r="A1617" s="9"/>
      <c r="B1617" s="9"/>
      <c r="H1617" s="9"/>
      <c r="I1617" s="9"/>
      <c r="O1617" s="9"/>
    </row>
    <row r="1618" spans="1:15" x14ac:dyDescent="0.15">
      <c r="A1618" s="9"/>
      <c r="B1618" s="9"/>
      <c r="H1618" s="9"/>
      <c r="I1618" s="9"/>
      <c r="O1618" s="9"/>
    </row>
    <row r="1619" spans="1:15" x14ac:dyDescent="0.15">
      <c r="A1619" s="9"/>
      <c r="B1619" s="9"/>
      <c r="H1619" s="9"/>
      <c r="I1619" s="9"/>
      <c r="O1619" s="9"/>
    </row>
    <row r="1620" spans="1:15" x14ac:dyDescent="0.15">
      <c r="A1620" s="9"/>
      <c r="B1620" s="9"/>
      <c r="H1620" s="9"/>
      <c r="I1620" s="9"/>
      <c r="O1620" s="9"/>
    </row>
    <row r="1621" spans="1:15" x14ac:dyDescent="0.15">
      <c r="A1621" s="9"/>
      <c r="B1621" s="9"/>
      <c r="H1621" s="9"/>
      <c r="I1621" s="9"/>
      <c r="O1621" s="9"/>
    </row>
    <row r="1622" spans="1:15" x14ac:dyDescent="0.15">
      <c r="A1622" s="9"/>
      <c r="B1622" s="9"/>
      <c r="H1622" s="9"/>
      <c r="I1622" s="9"/>
      <c r="O1622" s="9"/>
    </row>
    <row r="1623" spans="1:15" x14ac:dyDescent="0.15">
      <c r="A1623" s="9"/>
      <c r="B1623" s="9"/>
      <c r="H1623" s="9"/>
      <c r="I1623" s="9"/>
      <c r="O1623" s="9"/>
    </row>
    <row r="1624" spans="1:15" x14ac:dyDescent="0.15">
      <c r="A1624" s="9"/>
      <c r="B1624" s="9"/>
      <c r="H1624" s="9"/>
      <c r="I1624" s="9"/>
      <c r="O1624" s="9"/>
    </row>
    <row r="1625" spans="1:15" x14ac:dyDescent="0.15">
      <c r="A1625" s="9"/>
      <c r="B1625" s="9"/>
      <c r="H1625" s="9"/>
      <c r="I1625" s="9"/>
      <c r="O1625" s="9"/>
    </row>
    <row r="1626" spans="1:15" x14ac:dyDescent="0.15">
      <c r="A1626" s="9"/>
      <c r="B1626" s="9"/>
      <c r="H1626" s="9"/>
      <c r="I1626" s="9"/>
      <c r="O1626" s="9"/>
    </row>
    <row r="1627" spans="1:15" x14ac:dyDescent="0.15">
      <c r="A1627" s="9"/>
      <c r="B1627" s="9"/>
      <c r="H1627" s="9"/>
      <c r="I1627" s="9"/>
      <c r="O1627" s="9"/>
    </row>
    <row r="1628" spans="1:15" x14ac:dyDescent="0.15">
      <c r="A1628" s="9"/>
      <c r="B1628" s="9"/>
      <c r="H1628" s="9"/>
      <c r="I1628" s="9"/>
      <c r="O1628" s="9"/>
    </row>
    <row r="1629" spans="1:15" x14ac:dyDescent="0.15">
      <c r="A1629" s="9"/>
      <c r="B1629" s="9"/>
      <c r="H1629" s="9"/>
      <c r="I1629" s="9"/>
      <c r="O1629" s="9"/>
    </row>
    <row r="1630" spans="1:15" x14ac:dyDescent="0.15">
      <c r="J1630" s="15"/>
      <c r="K1630" s="15"/>
      <c r="L1630" s="15"/>
      <c r="M1630" s="15"/>
      <c r="N1630" s="15"/>
    </row>
    <row r="1631" spans="1:15" x14ac:dyDescent="0.15">
      <c r="J1631" s="15"/>
      <c r="K1631" s="15"/>
      <c r="L1631" s="15"/>
      <c r="M1631" s="15"/>
      <c r="N1631" s="15"/>
    </row>
    <row r="1632" spans="1:15" x14ac:dyDescent="0.15">
      <c r="J1632" s="15"/>
      <c r="K1632" s="15"/>
      <c r="L1632" s="15"/>
      <c r="M1632" s="15"/>
      <c r="N1632" s="15"/>
    </row>
    <row r="1633" spans="10:14" x14ac:dyDescent="0.15">
      <c r="J1633" s="15"/>
      <c r="K1633" s="15"/>
      <c r="L1633" s="15"/>
      <c r="M1633" s="15"/>
      <c r="N1633" s="15"/>
    </row>
    <row r="1634" spans="10:14" x14ac:dyDescent="0.15">
      <c r="J1634" s="15"/>
      <c r="K1634" s="15"/>
      <c r="L1634" s="15"/>
      <c r="M1634" s="15"/>
      <c r="N1634" s="15"/>
    </row>
    <row r="1635" spans="10:14" x14ac:dyDescent="0.15">
      <c r="J1635" s="15"/>
      <c r="K1635" s="15"/>
      <c r="L1635" s="15"/>
      <c r="M1635" s="15"/>
      <c r="N1635" s="15"/>
    </row>
    <row r="1636" spans="10:14" x14ac:dyDescent="0.15">
      <c r="J1636" s="15"/>
      <c r="K1636" s="15"/>
      <c r="L1636" s="15"/>
      <c r="M1636" s="15"/>
      <c r="N1636" s="15"/>
    </row>
    <row r="1637" spans="10:14" x14ac:dyDescent="0.15">
      <c r="J1637" s="15"/>
      <c r="K1637" s="15"/>
      <c r="L1637" s="15"/>
      <c r="M1637" s="15"/>
      <c r="N1637" s="15"/>
    </row>
    <row r="1638" spans="10:14" x14ac:dyDescent="0.15">
      <c r="J1638" s="15"/>
      <c r="K1638" s="15"/>
      <c r="L1638" s="15"/>
      <c r="M1638" s="15"/>
      <c r="N1638" s="15"/>
    </row>
    <row r="1639" spans="10:14" x14ac:dyDescent="0.15">
      <c r="J1639" s="15"/>
      <c r="K1639" s="15"/>
      <c r="L1639" s="15"/>
      <c r="M1639" s="15"/>
      <c r="N1639" s="15"/>
    </row>
    <row r="1640" spans="10:14" x14ac:dyDescent="0.15">
      <c r="J1640" s="15"/>
      <c r="K1640" s="15"/>
      <c r="L1640" s="15"/>
      <c r="M1640" s="15"/>
      <c r="N1640" s="15"/>
    </row>
    <row r="1641" spans="10:14" x14ac:dyDescent="0.15">
      <c r="J1641" s="15"/>
      <c r="K1641" s="15"/>
      <c r="L1641" s="15"/>
      <c r="M1641" s="15"/>
      <c r="N1641" s="15"/>
    </row>
    <row r="1642" spans="10:14" x14ac:dyDescent="0.15">
      <c r="J1642" s="15"/>
      <c r="K1642" s="15"/>
      <c r="L1642" s="15"/>
      <c r="M1642" s="15"/>
      <c r="N1642" s="15"/>
    </row>
    <row r="1643" spans="10:14" x14ac:dyDescent="0.15">
      <c r="J1643" s="15"/>
      <c r="K1643" s="15"/>
      <c r="L1643" s="15"/>
      <c r="M1643" s="15"/>
      <c r="N1643" s="15"/>
    </row>
    <row r="1644" spans="10:14" x14ac:dyDescent="0.15">
      <c r="J1644" s="15"/>
      <c r="K1644" s="15"/>
      <c r="L1644" s="15"/>
      <c r="M1644" s="15"/>
      <c r="N1644" s="15"/>
    </row>
    <row r="1645" spans="10:14" x14ac:dyDescent="0.15">
      <c r="J1645" s="15"/>
      <c r="K1645" s="15"/>
      <c r="L1645" s="15"/>
      <c r="M1645" s="15"/>
      <c r="N1645" s="15"/>
    </row>
    <row r="1646" spans="10:14" x14ac:dyDescent="0.15">
      <c r="J1646" s="15"/>
      <c r="K1646" s="15"/>
      <c r="L1646" s="15"/>
      <c r="M1646" s="15"/>
      <c r="N1646" s="15"/>
    </row>
    <row r="1647" spans="10:14" x14ac:dyDescent="0.15">
      <c r="J1647" s="15"/>
      <c r="K1647" s="15"/>
      <c r="L1647" s="15"/>
      <c r="M1647" s="15"/>
      <c r="N1647" s="15"/>
    </row>
    <row r="1648" spans="10:14" x14ac:dyDescent="0.15">
      <c r="J1648" s="15"/>
      <c r="K1648" s="15"/>
      <c r="L1648" s="15"/>
      <c r="M1648" s="15"/>
      <c r="N1648" s="15"/>
    </row>
    <row r="1649" spans="10:14" x14ac:dyDescent="0.15">
      <c r="J1649" s="15"/>
      <c r="K1649" s="15"/>
      <c r="L1649" s="15"/>
      <c r="M1649" s="15"/>
      <c r="N1649" s="15"/>
    </row>
    <row r="1650" spans="10:14" x14ac:dyDescent="0.15">
      <c r="J1650" s="15"/>
      <c r="K1650" s="15"/>
      <c r="L1650" s="15"/>
      <c r="M1650" s="15"/>
      <c r="N1650" s="15"/>
    </row>
    <row r="1651" spans="10:14" x14ac:dyDescent="0.15">
      <c r="J1651" s="15"/>
      <c r="K1651" s="15"/>
      <c r="L1651" s="15"/>
      <c r="M1651" s="15"/>
      <c r="N1651" s="15"/>
    </row>
    <row r="1652" spans="10:14" x14ac:dyDescent="0.15">
      <c r="J1652" s="15"/>
      <c r="K1652" s="15"/>
      <c r="L1652" s="15"/>
      <c r="M1652" s="15"/>
      <c r="N1652" s="15"/>
    </row>
    <row r="1653" spans="10:14" x14ac:dyDescent="0.15">
      <c r="J1653" s="15"/>
      <c r="K1653" s="15"/>
      <c r="L1653" s="15"/>
      <c r="M1653" s="15"/>
      <c r="N1653" s="15"/>
    </row>
    <row r="1654" spans="10:14" x14ac:dyDescent="0.15">
      <c r="J1654" s="15"/>
      <c r="K1654" s="15"/>
      <c r="L1654" s="15"/>
      <c r="M1654" s="15"/>
      <c r="N1654" s="15"/>
    </row>
    <row r="1655" spans="10:14" x14ac:dyDescent="0.15">
      <c r="J1655" s="15"/>
      <c r="K1655" s="15"/>
      <c r="L1655" s="15"/>
      <c r="M1655" s="15"/>
      <c r="N1655" s="15"/>
    </row>
    <row r="1656" spans="10:14" x14ac:dyDescent="0.15">
      <c r="J1656" s="15"/>
      <c r="K1656" s="15"/>
      <c r="L1656" s="15"/>
      <c r="M1656" s="15"/>
      <c r="N1656" s="15"/>
    </row>
    <row r="1657" spans="10:14" x14ac:dyDescent="0.15">
      <c r="J1657" s="15"/>
      <c r="K1657" s="15"/>
      <c r="L1657" s="15"/>
      <c r="M1657" s="15"/>
      <c r="N1657" s="15"/>
    </row>
    <row r="1658" spans="10:14" x14ac:dyDescent="0.15">
      <c r="J1658" s="15"/>
      <c r="K1658" s="15"/>
      <c r="L1658" s="15"/>
      <c r="M1658" s="15"/>
      <c r="N1658" s="15"/>
    </row>
    <row r="1659" spans="10:14" x14ac:dyDescent="0.15">
      <c r="J1659" s="15"/>
      <c r="K1659" s="15"/>
      <c r="L1659" s="15"/>
      <c r="M1659" s="15"/>
      <c r="N1659" s="15"/>
    </row>
    <row r="1660" spans="10:14" x14ac:dyDescent="0.15">
      <c r="J1660" s="15"/>
      <c r="K1660" s="15"/>
      <c r="L1660" s="15"/>
      <c r="M1660" s="15"/>
      <c r="N1660" s="15"/>
    </row>
    <row r="1661" spans="10:14" x14ac:dyDescent="0.15">
      <c r="J1661" s="15"/>
      <c r="K1661" s="15"/>
      <c r="L1661" s="15"/>
      <c r="M1661" s="15"/>
      <c r="N1661" s="15"/>
    </row>
    <row r="1662" spans="10:14" x14ac:dyDescent="0.15">
      <c r="J1662" s="15"/>
      <c r="K1662" s="15"/>
      <c r="L1662" s="15"/>
      <c r="M1662" s="15"/>
      <c r="N1662" s="15"/>
    </row>
    <row r="1663" spans="10:14" x14ac:dyDescent="0.15">
      <c r="J1663" s="15"/>
      <c r="K1663" s="15"/>
      <c r="L1663" s="15"/>
      <c r="M1663" s="15"/>
      <c r="N1663" s="15"/>
    </row>
    <row r="1664" spans="10:14" x14ac:dyDescent="0.15">
      <c r="J1664" s="15"/>
      <c r="K1664" s="15"/>
      <c r="L1664" s="15"/>
      <c r="M1664" s="15"/>
      <c r="N1664" s="15"/>
    </row>
    <row r="1665" spans="10:14" x14ac:dyDescent="0.15">
      <c r="J1665" s="15"/>
      <c r="K1665" s="15"/>
      <c r="L1665" s="15"/>
      <c r="M1665" s="15"/>
      <c r="N1665" s="15"/>
    </row>
    <row r="1666" spans="10:14" x14ac:dyDescent="0.15">
      <c r="J1666" s="15"/>
      <c r="K1666" s="15"/>
      <c r="L1666" s="15"/>
      <c r="M1666" s="15"/>
      <c r="N1666" s="15"/>
    </row>
    <row r="1667" spans="10:14" x14ac:dyDescent="0.15">
      <c r="J1667" s="15"/>
      <c r="K1667" s="15"/>
      <c r="L1667" s="15"/>
      <c r="M1667" s="15"/>
      <c r="N1667" s="15"/>
    </row>
    <row r="1668" spans="10:14" x14ac:dyDescent="0.15">
      <c r="J1668" s="15"/>
      <c r="K1668" s="15"/>
      <c r="L1668" s="15"/>
      <c r="M1668" s="15"/>
      <c r="N1668" s="15"/>
    </row>
    <row r="1669" spans="10:14" x14ac:dyDescent="0.15">
      <c r="J1669" s="15"/>
      <c r="K1669" s="15"/>
      <c r="L1669" s="15"/>
      <c r="M1669" s="15"/>
      <c r="N1669" s="15"/>
    </row>
    <row r="1670" spans="10:14" x14ac:dyDescent="0.15">
      <c r="J1670" s="15"/>
      <c r="K1670" s="15"/>
      <c r="L1670" s="15"/>
      <c r="M1670" s="15"/>
      <c r="N1670" s="15"/>
    </row>
    <row r="1671" spans="10:14" x14ac:dyDescent="0.15">
      <c r="J1671" s="15"/>
      <c r="K1671" s="15"/>
      <c r="L1671" s="15"/>
      <c r="M1671" s="15"/>
      <c r="N1671" s="15"/>
    </row>
    <row r="1672" spans="10:14" x14ac:dyDescent="0.15">
      <c r="J1672" s="15"/>
      <c r="K1672" s="15"/>
      <c r="L1672" s="15"/>
      <c r="M1672" s="15"/>
      <c r="N1672" s="15"/>
    </row>
    <row r="1673" spans="10:14" x14ac:dyDescent="0.15">
      <c r="J1673" s="15"/>
      <c r="K1673" s="15"/>
      <c r="L1673" s="15"/>
      <c r="M1673" s="15"/>
      <c r="N1673" s="15"/>
    </row>
    <row r="1674" spans="10:14" x14ac:dyDescent="0.15">
      <c r="J1674" s="15"/>
      <c r="K1674" s="15"/>
      <c r="L1674" s="15"/>
      <c r="M1674" s="15"/>
      <c r="N1674" s="15"/>
    </row>
    <row r="1675" spans="10:14" x14ac:dyDescent="0.15">
      <c r="J1675" s="15"/>
      <c r="K1675" s="15"/>
      <c r="L1675" s="15"/>
      <c r="M1675" s="15"/>
      <c r="N1675" s="15"/>
    </row>
    <row r="1676" spans="10:14" x14ac:dyDescent="0.15">
      <c r="J1676" s="15"/>
      <c r="K1676" s="15"/>
      <c r="L1676" s="15"/>
      <c r="M1676" s="15"/>
      <c r="N1676" s="15"/>
    </row>
    <row r="1677" spans="10:14" x14ac:dyDescent="0.15">
      <c r="J1677" s="15"/>
      <c r="K1677" s="15"/>
      <c r="L1677" s="15"/>
      <c r="M1677" s="15"/>
      <c r="N1677" s="15"/>
    </row>
    <row r="1678" spans="10:14" x14ac:dyDescent="0.15">
      <c r="J1678" s="15"/>
      <c r="K1678" s="15"/>
      <c r="L1678" s="15"/>
      <c r="M1678" s="15"/>
      <c r="N1678" s="15"/>
    </row>
    <row r="1679" spans="10:14" x14ac:dyDescent="0.15">
      <c r="J1679" s="15"/>
      <c r="K1679" s="15"/>
      <c r="L1679" s="15"/>
      <c r="M1679" s="15"/>
      <c r="N1679" s="15"/>
    </row>
    <row r="1680" spans="10:14" x14ac:dyDescent="0.15">
      <c r="J1680" s="15"/>
      <c r="K1680" s="15"/>
      <c r="L1680" s="15"/>
      <c r="M1680" s="15"/>
      <c r="N1680" s="15"/>
    </row>
    <row r="1681" spans="10:14" x14ac:dyDescent="0.15">
      <c r="J1681" s="15"/>
      <c r="K1681" s="15"/>
      <c r="L1681" s="15"/>
      <c r="M1681" s="15"/>
      <c r="N1681" s="15"/>
    </row>
    <row r="1682" spans="10:14" x14ac:dyDescent="0.15">
      <c r="J1682" s="15"/>
      <c r="K1682" s="15"/>
      <c r="L1682" s="15"/>
      <c r="M1682" s="15"/>
      <c r="N1682" s="15"/>
    </row>
    <row r="1683" spans="10:14" x14ac:dyDescent="0.15">
      <c r="J1683" s="15"/>
      <c r="K1683" s="15"/>
      <c r="L1683" s="15"/>
      <c r="M1683" s="15"/>
      <c r="N1683" s="15"/>
    </row>
    <row r="1684" spans="10:14" x14ac:dyDescent="0.15">
      <c r="J1684" s="15"/>
      <c r="K1684" s="15"/>
      <c r="L1684" s="15"/>
      <c r="M1684" s="15"/>
      <c r="N1684" s="15"/>
    </row>
    <row r="1685" spans="10:14" x14ac:dyDescent="0.15">
      <c r="J1685" s="15"/>
      <c r="K1685" s="15"/>
      <c r="L1685" s="15"/>
      <c r="M1685" s="15"/>
      <c r="N1685" s="15"/>
    </row>
    <row r="1686" spans="10:14" x14ac:dyDescent="0.15">
      <c r="J1686" s="15"/>
      <c r="K1686" s="15"/>
      <c r="L1686" s="15"/>
      <c r="M1686" s="15"/>
      <c r="N1686" s="15"/>
    </row>
    <row r="1687" spans="10:14" x14ac:dyDescent="0.15">
      <c r="J1687" s="15"/>
      <c r="K1687" s="15"/>
      <c r="L1687" s="15"/>
      <c r="M1687" s="15"/>
      <c r="N1687" s="15"/>
    </row>
    <row r="1688" spans="10:14" x14ac:dyDescent="0.15">
      <c r="J1688" s="15"/>
      <c r="K1688" s="15"/>
      <c r="L1688" s="15"/>
      <c r="M1688" s="15"/>
      <c r="N1688" s="15"/>
    </row>
    <row r="1689" spans="10:14" x14ac:dyDescent="0.15">
      <c r="J1689" s="15"/>
      <c r="K1689" s="15"/>
      <c r="L1689" s="15"/>
      <c r="M1689" s="15"/>
      <c r="N1689" s="15"/>
    </row>
    <row r="1690" spans="10:14" x14ac:dyDescent="0.15">
      <c r="J1690" s="15"/>
      <c r="K1690" s="15"/>
      <c r="L1690" s="15"/>
      <c r="M1690" s="15"/>
      <c r="N1690" s="15"/>
    </row>
    <row r="1691" spans="10:14" x14ac:dyDescent="0.15">
      <c r="J1691" s="15"/>
      <c r="K1691" s="15"/>
      <c r="L1691" s="15"/>
      <c r="M1691" s="15"/>
      <c r="N1691" s="15"/>
    </row>
    <row r="1692" spans="10:14" x14ac:dyDescent="0.15">
      <c r="J1692" s="15"/>
      <c r="K1692" s="15"/>
      <c r="L1692" s="15"/>
      <c r="M1692" s="15"/>
      <c r="N1692" s="15"/>
    </row>
    <row r="1693" spans="10:14" x14ac:dyDescent="0.15">
      <c r="J1693" s="15"/>
      <c r="K1693" s="15"/>
      <c r="L1693" s="15"/>
      <c r="M1693" s="15"/>
      <c r="N1693" s="15"/>
    </row>
    <row r="1694" spans="10:14" x14ac:dyDescent="0.15">
      <c r="J1694" s="15"/>
      <c r="K1694" s="15"/>
      <c r="L1694" s="15"/>
      <c r="M1694" s="15"/>
      <c r="N1694" s="15"/>
    </row>
    <row r="1695" spans="10:14" x14ac:dyDescent="0.15">
      <c r="J1695" s="15"/>
      <c r="K1695" s="15"/>
      <c r="L1695" s="15"/>
      <c r="M1695" s="15"/>
      <c r="N1695" s="15"/>
    </row>
    <row r="1696" spans="10:14" x14ac:dyDescent="0.15">
      <c r="J1696" s="15"/>
      <c r="K1696" s="15"/>
      <c r="L1696" s="15"/>
      <c r="M1696" s="15"/>
      <c r="N1696" s="15"/>
    </row>
    <row r="1697" spans="10:14" x14ac:dyDescent="0.15">
      <c r="J1697" s="15"/>
      <c r="K1697" s="15"/>
      <c r="L1697" s="15"/>
      <c r="M1697" s="15"/>
      <c r="N1697" s="15"/>
    </row>
    <row r="1698" spans="10:14" x14ac:dyDescent="0.15">
      <c r="J1698" s="15"/>
      <c r="K1698" s="15"/>
      <c r="L1698" s="15"/>
      <c r="M1698" s="15"/>
      <c r="N1698" s="15"/>
    </row>
    <row r="1699" spans="10:14" x14ac:dyDescent="0.15">
      <c r="J1699" s="15"/>
      <c r="K1699" s="15"/>
      <c r="L1699" s="15"/>
      <c r="M1699" s="15"/>
      <c r="N1699" s="15"/>
    </row>
    <row r="1700" spans="10:14" x14ac:dyDescent="0.15">
      <c r="J1700" s="15"/>
      <c r="K1700" s="15"/>
      <c r="L1700" s="15"/>
      <c r="M1700" s="15"/>
      <c r="N1700" s="15"/>
    </row>
    <row r="1701" spans="10:14" x14ac:dyDescent="0.15">
      <c r="J1701" s="15"/>
      <c r="K1701" s="15"/>
      <c r="L1701" s="15"/>
      <c r="M1701" s="15"/>
      <c r="N1701" s="15"/>
    </row>
    <row r="1702" spans="10:14" x14ac:dyDescent="0.15">
      <c r="J1702" s="15"/>
      <c r="K1702" s="15"/>
      <c r="L1702" s="15"/>
      <c r="M1702" s="15"/>
      <c r="N1702" s="15"/>
    </row>
    <row r="1703" spans="10:14" x14ac:dyDescent="0.15">
      <c r="J1703" s="15"/>
      <c r="K1703" s="15"/>
      <c r="L1703" s="15"/>
      <c r="M1703" s="15"/>
      <c r="N1703" s="15"/>
    </row>
    <row r="1704" spans="10:14" x14ac:dyDescent="0.15">
      <c r="J1704" s="15"/>
      <c r="K1704" s="15"/>
      <c r="L1704" s="15"/>
      <c r="M1704" s="15"/>
      <c r="N1704" s="15"/>
    </row>
    <row r="1705" spans="10:14" x14ac:dyDescent="0.15">
      <c r="J1705" s="15"/>
      <c r="K1705" s="15"/>
      <c r="L1705" s="15"/>
      <c r="M1705" s="15"/>
      <c r="N1705" s="15"/>
    </row>
    <row r="1706" spans="10:14" x14ac:dyDescent="0.15">
      <c r="J1706" s="15"/>
      <c r="K1706" s="15"/>
      <c r="L1706" s="15"/>
      <c r="M1706" s="15"/>
      <c r="N1706" s="15"/>
    </row>
    <row r="1707" spans="10:14" x14ac:dyDescent="0.15">
      <c r="J1707" s="15"/>
      <c r="K1707" s="15"/>
      <c r="L1707" s="15"/>
      <c r="M1707" s="15"/>
      <c r="N1707" s="15"/>
    </row>
    <row r="1708" spans="10:14" x14ac:dyDescent="0.15">
      <c r="J1708" s="15"/>
      <c r="K1708" s="15"/>
      <c r="L1708" s="15"/>
      <c r="M1708" s="15"/>
      <c r="N1708" s="15"/>
    </row>
    <row r="1709" spans="10:14" x14ac:dyDescent="0.15">
      <c r="J1709" s="15"/>
      <c r="K1709" s="15"/>
      <c r="L1709" s="15"/>
      <c r="M1709" s="15"/>
      <c r="N1709" s="15"/>
    </row>
    <row r="1710" spans="10:14" x14ac:dyDescent="0.15">
      <c r="J1710" s="15"/>
      <c r="K1710" s="15"/>
      <c r="L1710" s="15"/>
      <c r="M1710" s="15"/>
      <c r="N1710" s="15"/>
    </row>
    <row r="1711" spans="10:14" x14ac:dyDescent="0.15">
      <c r="J1711" s="15"/>
      <c r="K1711" s="15"/>
      <c r="L1711" s="15"/>
      <c r="M1711" s="15"/>
      <c r="N1711" s="15"/>
    </row>
    <row r="1712" spans="10:14" x14ac:dyDescent="0.15">
      <c r="J1712" s="15"/>
      <c r="K1712" s="15"/>
      <c r="L1712" s="15"/>
      <c r="M1712" s="15"/>
      <c r="N1712" s="15"/>
    </row>
    <row r="1713" spans="10:14" x14ac:dyDescent="0.15">
      <c r="J1713" s="15"/>
      <c r="K1713" s="15"/>
      <c r="L1713" s="15"/>
      <c r="M1713" s="15"/>
      <c r="N1713" s="15"/>
    </row>
    <row r="1714" spans="10:14" x14ac:dyDescent="0.15">
      <c r="J1714" s="15"/>
      <c r="K1714" s="15"/>
      <c r="L1714" s="15"/>
      <c r="M1714" s="15"/>
      <c r="N1714" s="15"/>
    </row>
    <row r="1715" spans="10:14" x14ac:dyDescent="0.15">
      <c r="J1715" s="15"/>
      <c r="K1715" s="15"/>
      <c r="L1715" s="15"/>
      <c r="M1715" s="15"/>
      <c r="N1715" s="15"/>
    </row>
    <row r="1716" spans="10:14" x14ac:dyDescent="0.15">
      <c r="J1716" s="15"/>
      <c r="K1716" s="15"/>
      <c r="L1716" s="15"/>
      <c r="M1716" s="15"/>
      <c r="N1716" s="15"/>
    </row>
    <row r="1717" spans="10:14" x14ac:dyDescent="0.15">
      <c r="J1717" s="15"/>
      <c r="K1717" s="15"/>
      <c r="L1717" s="15"/>
      <c r="M1717" s="15"/>
      <c r="N1717" s="15"/>
    </row>
    <row r="1718" spans="10:14" x14ac:dyDescent="0.15">
      <c r="J1718" s="15"/>
      <c r="K1718" s="15"/>
      <c r="L1718" s="15"/>
      <c r="M1718" s="15"/>
      <c r="N1718" s="15"/>
    </row>
    <row r="1719" spans="10:14" x14ac:dyDescent="0.15">
      <c r="J1719" s="15"/>
      <c r="K1719" s="15"/>
      <c r="L1719" s="15"/>
      <c r="M1719" s="15"/>
      <c r="N1719" s="15"/>
    </row>
    <row r="1720" spans="10:14" x14ac:dyDescent="0.15">
      <c r="J1720" s="15"/>
      <c r="K1720" s="15"/>
      <c r="L1720" s="15"/>
      <c r="M1720" s="15"/>
      <c r="N1720" s="15"/>
    </row>
    <row r="1721" spans="10:14" x14ac:dyDescent="0.15">
      <c r="J1721" s="15"/>
      <c r="K1721" s="15"/>
      <c r="L1721" s="15"/>
      <c r="M1721" s="15"/>
      <c r="N1721" s="15"/>
    </row>
    <row r="1722" spans="10:14" x14ac:dyDescent="0.15">
      <c r="J1722" s="15"/>
      <c r="K1722" s="15"/>
      <c r="L1722" s="15"/>
      <c r="M1722" s="15"/>
      <c r="N1722" s="15"/>
    </row>
    <row r="1723" spans="10:14" x14ac:dyDescent="0.15">
      <c r="J1723" s="15"/>
      <c r="K1723" s="15"/>
      <c r="L1723" s="15"/>
      <c r="M1723" s="15"/>
      <c r="N1723" s="15"/>
    </row>
    <row r="1724" spans="10:14" x14ac:dyDescent="0.15">
      <c r="J1724" s="15"/>
      <c r="K1724" s="15"/>
      <c r="L1724" s="15"/>
      <c r="M1724" s="15"/>
      <c r="N1724" s="15"/>
    </row>
    <row r="1725" spans="10:14" x14ac:dyDescent="0.15">
      <c r="J1725" s="15"/>
      <c r="K1725" s="15"/>
      <c r="L1725" s="15"/>
      <c r="M1725" s="15"/>
      <c r="N1725" s="15"/>
    </row>
    <row r="1726" spans="10:14" x14ac:dyDescent="0.15">
      <c r="J1726" s="15"/>
      <c r="K1726" s="15"/>
      <c r="L1726" s="15"/>
      <c r="M1726" s="15"/>
      <c r="N1726" s="15"/>
    </row>
    <row r="1727" spans="10:14" x14ac:dyDescent="0.15">
      <c r="J1727" s="15"/>
      <c r="K1727" s="15"/>
      <c r="L1727" s="15"/>
      <c r="M1727" s="15"/>
      <c r="N1727" s="15"/>
    </row>
    <row r="1728" spans="10:14" x14ac:dyDescent="0.15">
      <c r="J1728" s="15"/>
      <c r="K1728" s="15"/>
      <c r="L1728" s="15"/>
      <c r="M1728" s="15"/>
      <c r="N1728" s="15"/>
    </row>
    <row r="1729" spans="10:14" x14ac:dyDescent="0.15">
      <c r="J1729" s="15"/>
      <c r="K1729" s="15"/>
      <c r="L1729" s="15"/>
      <c r="M1729" s="15"/>
      <c r="N1729" s="15"/>
    </row>
    <row r="1730" spans="10:14" x14ac:dyDescent="0.15">
      <c r="J1730" s="15"/>
      <c r="K1730" s="15"/>
      <c r="L1730" s="15"/>
      <c r="M1730" s="15"/>
      <c r="N1730" s="15"/>
    </row>
    <row r="1731" spans="10:14" x14ac:dyDescent="0.15">
      <c r="J1731" s="15"/>
      <c r="K1731" s="15"/>
      <c r="L1731" s="15"/>
      <c r="M1731" s="15"/>
      <c r="N1731" s="15"/>
    </row>
    <row r="1732" spans="10:14" x14ac:dyDescent="0.15">
      <c r="J1732" s="15"/>
      <c r="K1732" s="15"/>
      <c r="L1732" s="15"/>
      <c r="M1732" s="15"/>
      <c r="N1732" s="15"/>
    </row>
    <row r="1733" spans="10:14" x14ac:dyDescent="0.15">
      <c r="J1733" s="15"/>
      <c r="K1733" s="15"/>
      <c r="L1733" s="15"/>
      <c r="M1733" s="15"/>
      <c r="N1733" s="15"/>
    </row>
    <row r="1734" spans="10:14" x14ac:dyDescent="0.15">
      <c r="J1734" s="15"/>
      <c r="K1734" s="15"/>
      <c r="L1734" s="15"/>
      <c r="M1734" s="15"/>
      <c r="N1734" s="15"/>
    </row>
    <row r="1735" spans="10:14" x14ac:dyDescent="0.15">
      <c r="J1735" s="15"/>
      <c r="K1735" s="15"/>
      <c r="L1735" s="15"/>
      <c r="M1735" s="15"/>
      <c r="N1735" s="15"/>
    </row>
    <row r="1736" spans="10:14" x14ac:dyDescent="0.15">
      <c r="J1736" s="15"/>
      <c r="K1736" s="15"/>
      <c r="L1736" s="15"/>
      <c r="M1736" s="15"/>
      <c r="N1736" s="15"/>
    </row>
    <row r="1737" spans="10:14" x14ac:dyDescent="0.15">
      <c r="J1737" s="15"/>
      <c r="K1737" s="15"/>
      <c r="L1737" s="15"/>
      <c r="M1737" s="15"/>
      <c r="N1737" s="15"/>
    </row>
    <row r="1738" spans="10:14" x14ac:dyDescent="0.15">
      <c r="J1738" s="15"/>
      <c r="K1738" s="15"/>
      <c r="L1738" s="15"/>
      <c r="M1738" s="15"/>
      <c r="N1738" s="15"/>
    </row>
    <row r="1739" spans="10:14" x14ac:dyDescent="0.15">
      <c r="J1739" s="15"/>
      <c r="K1739" s="15"/>
      <c r="L1739" s="15"/>
      <c r="M1739" s="15"/>
      <c r="N1739" s="15"/>
    </row>
    <row r="1740" spans="10:14" x14ac:dyDescent="0.15">
      <c r="J1740" s="15"/>
      <c r="K1740" s="15"/>
      <c r="L1740" s="15"/>
      <c r="M1740" s="15"/>
      <c r="N1740" s="15"/>
    </row>
    <row r="1741" spans="10:14" x14ac:dyDescent="0.15">
      <c r="J1741" s="15"/>
      <c r="K1741" s="15"/>
      <c r="L1741" s="15"/>
      <c r="M1741" s="15"/>
      <c r="N1741" s="15"/>
    </row>
    <row r="1742" spans="10:14" x14ac:dyDescent="0.15">
      <c r="J1742" s="15"/>
      <c r="K1742" s="15"/>
      <c r="L1742" s="15"/>
      <c r="M1742" s="15"/>
      <c r="N1742" s="15"/>
    </row>
    <row r="1743" spans="10:14" x14ac:dyDescent="0.15">
      <c r="J1743" s="15"/>
      <c r="K1743" s="15"/>
      <c r="L1743" s="15"/>
      <c r="M1743" s="15"/>
      <c r="N1743" s="15"/>
    </row>
    <row r="1744" spans="10:14" x14ac:dyDescent="0.15">
      <c r="J1744" s="15"/>
      <c r="K1744" s="15"/>
      <c r="L1744" s="15"/>
      <c r="M1744" s="15"/>
      <c r="N1744" s="15"/>
    </row>
    <row r="1745" spans="10:14" x14ac:dyDescent="0.15">
      <c r="J1745" s="15"/>
      <c r="K1745" s="15"/>
      <c r="L1745" s="15"/>
      <c r="M1745" s="15"/>
      <c r="N1745" s="15"/>
    </row>
    <row r="1746" spans="10:14" x14ac:dyDescent="0.15">
      <c r="J1746" s="15"/>
      <c r="K1746" s="15"/>
      <c r="L1746" s="15"/>
      <c r="M1746" s="15"/>
      <c r="N1746" s="15"/>
    </row>
    <row r="1747" spans="10:14" x14ac:dyDescent="0.15">
      <c r="J1747" s="15"/>
      <c r="K1747" s="15"/>
      <c r="L1747" s="15"/>
      <c r="M1747" s="15"/>
      <c r="N1747" s="15"/>
    </row>
    <row r="1748" spans="10:14" x14ac:dyDescent="0.15">
      <c r="J1748" s="15"/>
      <c r="K1748" s="15"/>
      <c r="L1748" s="15"/>
      <c r="M1748" s="15"/>
      <c r="N1748" s="15"/>
    </row>
    <row r="1749" spans="10:14" x14ac:dyDescent="0.15">
      <c r="J1749" s="15"/>
      <c r="K1749" s="15"/>
      <c r="L1749" s="15"/>
      <c r="M1749" s="15"/>
      <c r="N1749" s="15"/>
    </row>
    <row r="1750" spans="10:14" x14ac:dyDescent="0.15">
      <c r="J1750" s="15"/>
      <c r="K1750" s="15"/>
      <c r="L1750" s="15"/>
      <c r="M1750" s="15"/>
      <c r="N1750" s="15"/>
    </row>
    <row r="1751" spans="10:14" x14ac:dyDescent="0.15">
      <c r="J1751" s="15"/>
      <c r="K1751" s="15"/>
      <c r="L1751" s="15"/>
      <c r="M1751" s="15"/>
      <c r="N1751" s="15"/>
    </row>
    <row r="1752" spans="10:14" x14ac:dyDescent="0.15">
      <c r="J1752" s="15"/>
      <c r="K1752" s="15"/>
      <c r="L1752" s="15"/>
      <c r="M1752" s="15"/>
      <c r="N1752" s="15"/>
    </row>
    <row r="1753" spans="10:14" x14ac:dyDescent="0.15">
      <c r="J1753" s="15"/>
      <c r="K1753" s="15"/>
      <c r="L1753" s="15"/>
      <c r="M1753" s="15"/>
      <c r="N1753" s="15"/>
    </row>
    <row r="1754" spans="10:14" x14ac:dyDescent="0.15">
      <c r="J1754" s="15"/>
      <c r="K1754" s="15"/>
      <c r="L1754" s="15"/>
      <c r="M1754" s="15"/>
      <c r="N1754" s="15"/>
    </row>
    <row r="1755" spans="10:14" x14ac:dyDescent="0.15">
      <c r="J1755" s="15"/>
      <c r="K1755" s="15"/>
      <c r="L1755" s="15"/>
      <c r="M1755" s="15"/>
      <c r="N1755" s="15"/>
    </row>
    <row r="1756" spans="10:14" x14ac:dyDescent="0.15">
      <c r="J1756" s="15"/>
      <c r="K1756" s="15"/>
      <c r="L1756" s="15"/>
      <c r="M1756" s="15"/>
      <c r="N1756" s="15"/>
    </row>
    <row r="1757" spans="10:14" x14ac:dyDescent="0.15">
      <c r="J1757" s="15"/>
      <c r="K1757" s="15"/>
      <c r="L1757" s="15"/>
      <c r="M1757" s="15"/>
      <c r="N1757" s="15"/>
    </row>
    <row r="1758" spans="10:14" x14ac:dyDescent="0.15">
      <c r="J1758" s="15"/>
      <c r="K1758" s="15"/>
      <c r="L1758" s="15"/>
      <c r="M1758" s="15"/>
      <c r="N1758" s="15"/>
    </row>
    <row r="1759" spans="10:14" x14ac:dyDescent="0.15">
      <c r="J1759" s="15"/>
      <c r="K1759" s="15"/>
      <c r="L1759" s="15"/>
      <c r="M1759" s="15"/>
      <c r="N1759" s="15"/>
    </row>
    <row r="1760" spans="10:14" x14ac:dyDescent="0.15">
      <c r="J1760" s="15"/>
      <c r="K1760" s="15"/>
      <c r="L1760" s="15"/>
      <c r="M1760" s="15"/>
      <c r="N1760" s="15"/>
    </row>
    <row r="1761" spans="10:14" x14ac:dyDescent="0.15">
      <c r="J1761" s="15"/>
      <c r="K1761" s="15"/>
      <c r="L1761" s="15"/>
      <c r="M1761" s="15"/>
      <c r="N1761" s="15"/>
    </row>
    <row r="1762" spans="10:14" x14ac:dyDescent="0.15">
      <c r="J1762" s="15"/>
      <c r="K1762" s="15"/>
      <c r="L1762" s="15"/>
      <c r="M1762" s="15"/>
      <c r="N1762" s="15"/>
    </row>
    <row r="1763" spans="10:14" x14ac:dyDescent="0.15">
      <c r="J1763" s="15"/>
      <c r="K1763" s="15"/>
      <c r="L1763" s="15"/>
      <c r="M1763" s="15"/>
      <c r="N1763" s="15"/>
    </row>
    <row r="1764" spans="10:14" x14ac:dyDescent="0.15">
      <c r="J1764" s="15"/>
      <c r="K1764" s="15"/>
      <c r="L1764" s="15"/>
      <c r="M1764" s="15"/>
      <c r="N1764" s="15"/>
    </row>
    <row r="1765" spans="10:14" x14ac:dyDescent="0.15">
      <c r="J1765" s="15"/>
      <c r="K1765" s="15"/>
      <c r="L1765" s="15"/>
      <c r="M1765" s="15"/>
      <c r="N1765" s="15"/>
    </row>
    <row r="1766" spans="10:14" x14ac:dyDescent="0.15">
      <c r="J1766" s="15"/>
      <c r="K1766" s="15"/>
      <c r="L1766" s="15"/>
      <c r="M1766" s="15"/>
      <c r="N1766" s="15"/>
    </row>
    <row r="1767" spans="10:14" x14ac:dyDescent="0.15">
      <c r="J1767" s="15"/>
      <c r="K1767" s="15"/>
      <c r="L1767" s="15"/>
      <c r="M1767" s="15"/>
      <c r="N1767" s="15"/>
    </row>
    <row r="1768" spans="10:14" x14ac:dyDescent="0.15">
      <c r="J1768" s="15"/>
      <c r="K1768" s="15"/>
      <c r="L1768" s="15"/>
      <c r="M1768" s="15"/>
      <c r="N1768" s="15"/>
    </row>
    <row r="1769" spans="10:14" x14ac:dyDescent="0.15">
      <c r="J1769" s="15"/>
      <c r="K1769" s="15"/>
      <c r="L1769" s="15"/>
      <c r="M1769" s="15"/>
      <c r="N1769" s="15"/>
    </row>
    <row r="1770" spans="10:14" x14ac:dyDescent="0.15">
      <c r="J1770" s="15"/>
      <c r="K1770" s="15"/>
      <c r="L1770" s="15"/>
      <c r="M1770" s="15"/>
      <c r="N1770" s="15"/>
    </row>
    <row r="1771" spans="10:14" x14ac:dyDescent="0.15">
      <c r="J1771" s="15"/>
      <c r="K1771" s="15"/>
      <c r="L1771" s="15"/>
      <c r="M1771" s="15"/>
      <c r="N1771" s="15"/>
    </row>
    <row r="1772" spans="10:14" x14ac:dyDescent="0.15">
      <c r="J1772" s="15"/>
      <c r="K1772" s="15"/>
      <c r="L1772" s="15"/>
      <c r="M1772" s="15"/>
      <c r="N1772" s="15"/>
    </row>
    <row r="1773" spans="10:14" x14ac:dyDescent="0.15">
      <c r="J1773" s="15"/>
      <c r="K1773" s="15"/>
      <c r="L1773" s="15"/>
      <c r="M1773" s="15"/>
      <c r="N1773" s="15"/>
    </row>
    <row r="1774" spans="10:14" x14ac:dyDescent="0.15">
      <c r="J1774" s="15"/>
      <c r="K1774" s="15"/>
      <c r="L1774" s="15"/>
      <c r="M1774" s="15"/>
      <c r="N1774" s="15"/>
    </row>
    <row r="1775" spans="10:14" x14ac:dyDescent="0.15">
      <c r="J1775" s="15"/>
      <c r="K1775" s="15"/>
      <c r="L1775" s="15"/>
      <c r="M1775" s="15"/>
      <c r="N1775" s="15"/>
    </row>
    <row r="1776" spans="10:14" x14ac:dyDescent="0.15">
      <c r="J1776" s="15"/>
      <c r="K1776" s="15"/>
      <c r="L1776" s="15"/>
      <c r="M1776" s="15"/>
      <c r="N1776" s="15"/>
    </row>
    <row r="1777" spans="2:16" x14ac:dyDescent="0.15">
      <c r="J1777" s="15"/>
      <c r="K1777" s="15"/>
      <c r="L1777" s="15"/>
      <c r="M1777" s="15"/>
      <c r="N1777" s="15"/>
    </row>
    <row r="1778" spans="2:16" x14ac:dyDescent="0.15">
      <c r="J1778" s="15"/>
      <c r="K1778" s="15"/>
      <c r="L1778" s="15"/>
      <c r="M1778" s="15"/>
      <c r="N1778" s="15"/>
    </row>
    <row r="1779" spans="2:16" x14ac:dyDescent="0.15">
      <c r="J1779" s="15"/>
      <c r="K1779" s="15"/>
      <c r="L1779" s="15"/>
      <c r="M1779" s="15"/>
      <c r="N1779" s="15"/>
    </row>
    <row r="1780" spans="2:16" x14ac:dyDescent="0.15">
      <c r="J1780" s="15"/>
      <c r="K1780" s="15"/>
      <c r="L1780" s="15"/>
      <c r="M1780" s="15"/>
      <c r="N1780" s="15"/>
    </row>
    <row r="1781" spans="2:16" x14ac:dyDescent="0.15">
      <c r="J1781" s="15"/>
      <c r="K1781" s="15"/>
      <c r="L1781" s="15"/>
      <c r="M1781" s="15"/>
      <c r="N1781" s="15"/>
    </row>
    <row r="1782" spans="2:16" x14ac:dyDescent="0.15">
      <c r="J1782" s="15"/>
      <c r="K1782" s="15"/>
      <c r="L1782" s="15"/>
      <c r="M1782" s="15"/>
      <c r="N1782" s="15"/>
    </row>
    <row r="1783" spans="2:16" x14ac:dyDescent="0.15">
      <c r="J1783" s="15"/>
      <c r="K1783" s="15"/>
      <c r="L1783" s="15"/>
      <c r="M1783" s="15"/>
      <c r="N1783" s="15"/>
    </row>
    <row r="1784" spans="2:16" x14ac:dyDescent="0.15">
      <c r="J1784" s="15"/>
      <c r="K1784" s="15"/>
      <c r="L1784" s="15"/>
      <c r="M1784" s="15"/>
      <c r="N1784" s="15"/>
    </row>
    <row r="1785" spans="2:16" x14ac:dyDescent="0.15">
      <c r="J1785" s="15"/>
      <c r="K1785" s="15"/>
      <c r="L1785" s="15"/>
      <c r="M1785" s="15"/>
      <c r="N1785" s="15"/>
    </row>
    <row r="1786" spans="2:16" x14ac:dyDescent="0.15">
      <c r="J1786" s="15"/>
      <c r="K1786" s="15"/>
      <c r="L1786" s="15"/>
      <c r="M1786" s="15"/>
      <c r="N1786" s="15"/>
    </row>
    <row r="1787" spans="2:16" x14ac:dyDescent="0.15">
      <c r="J1787" s="15"/>
      <c r="K1787" s="15"/>
      <c r="L1787" s="15"/>
      <c r="M1787" s="15"/>
      <c r="N1787" s="15"/>
    </row>
    <row r="1788" spans="2:16" x14ac:dyDescent="0.15">
      <c r="J1788" s="15"/>
      <c r="K1788" s="15"/>
      <c r="L1788" s="15"/>
      <c r="M1788" s="15"/>
      <c r="N1788" s="15"/>
    </row>
    <row r="1789" spans="2:16" x14ac:dyDescent="0.15">
      <c r="J1789" s="15"/>
      <c r="K1789" s="15"/>
      <c r="L1789" s="15"/>
      <c r="M1789" s="15"/>
      <c r="N1789" s="15"/>
    </row>
    <row r="1790" spans="2:16" x14ac:dyDescent="0.15">
      <c r="J1790" s="15"/>
      <c r="K1790" s="15"/>
      <c r="L1790" s="15"/>
      <c r="M1790" s="15"/>
      <c r="N1790" s="15"/>
    </row>
    <row r="1791" spans="2:16" x14ac:dyDescent="0.15">
      <c r="B1791" s="59"/>
      <c r="C1791" s="60"/>
      <c r="D1791" s="60"/>
      <c r="E1791" s="60"/>
      <c r="F1791" s="60"/>
      <c r="G1791" s="60"/>
      <c r="H1791" s="60"/>
      <c r="I1791" s="59"/>
      <c r="J1791" s="61"/>
      <c r="K1791" s="61"/>
      <c r="L1791" s="61"/>
      <c r="M1791" s="61"/>
      <c r="N1791" s="61"/>
      <c r="O1791" s="60"/>
      <c r="P1791" s="60"/>
    </row>
    <row r="1792" spans="2:16" x14ac:dyDescent="0.15">
      <c r="B1792" s="59"/>
      <c r="C1792" s="60"/>
      <c r="D1792" s="60"/>
      <c r="E1792" s="60"/>
      <c r="F1792" s="60"/>
      <c r="G1792" s="60"/>
      <c r="H1792" s="60"/>
      <c r="I1792" s="59"/>
      <c r="J1792" s="61"/>
      <c r="K1792" s="61"/>
      <c r="L1792" s="61"/>
      <c r="M1792" s="61"/>
      <c r="N1792" s="61"/>
      <c r="O1792" s="60"/>
      <c r="P1792" s="60"/>
    </row>
    <row r="1793" spans="2:16" x14ac:dyDescent="0.15">
      <c r="B1793" s="59"/>
      <c r="C1793" s="60"/>
      <c r="D1793" s="60"/>
      <c r="E1793" s="60"/>
      <c r="F1793" s="60"/>
      <c r="G1793" s="60"/>
      <c r="H1793" s="60"/>
      <c r="I1793" s="59"/>
      <c r="J1793" s="61"/>
      <c r="K1793" s="61"/>
      <c r="L1793" s="61"/>
      <c r="M1793" s="61"/>
      <c r="N1793" s="61"/>
      <c r="O1793" s="60"/>
      <c r="P1793" s="60"/>
    </row>
    <row r="1794" spans="2:16" x14ac:dyDescent="0.15">
      <c r="B1794" s="59"/>
      <c r="C1794" s="60"/>
      <c r="D1794" s="60"/>
      <c r="E1794" s="60"/>
      <c r="F1794" s="60"/>
      <c r="G1794" s="60"/>
      <c r="H1794" s="60"/>
      <c r="I1794" s="59"/>
      <c r="J1794" s="61"/>
      <c r="K1794" s="61"/>
      <c r="L1794" s="61"/>
      <c r="M1794" s="61"/>
      <c r="N1794" s="61"/>
      <c r="O1794" s="60"/>
      <c r="P1794" s="60"/>
    </row>
    <row r="1795" spans="2:16" x14ac:dyDescent="0.15">
      <c r="B1795" s="59"/>
      <c r="C1795" s="60"/>
      <c r="D1795" s="60"/>
      <c r="E1795" s="60"/>
      <c r="F1795" s="60"/>
      <c r="G1795" s="60"/>
      <c r="H1795" s="60"/>
      <c r="I1795" s="59"/>
      <c r="J1795" s="61"/>
      <c r="K1795" s="61"/>
      <c r="L1795" s="61"/>
      <c r="M1795" s="61"/>
      <c r="N1795" s="61"/>
      <c r="O1795" s="60"/>
      <c r="P1795" s="60"/>
    </row>
    <row r="1796" spans="2:16" x14ac:dyDescent="0.15">
      <c r="B1796" s="59"/>
      <c r="C1796" s="60"/>
      <c r="D1796" s="60"/>
      <c r="E1796" s="60"/>
      <c r="F1796" s="60"/>
      <c r="G1796" s="60"/>
      <c r="H1796" s="60"/>
      <c r="I1796" s="59"/>
      <c r="J1796" s="61"/>
      <c r="K1796" s="61"/>
      <c r="L1796" s="61"/>
      <c r="M1796" s="61"/>
      <c r="N1796" s="61"/>
      <c r="O1796" s="60"/>
      <c r="P1796" s="60"/>
    </row>
    <row r="1797" spans="2:16" x14ac:dyDescent="0.15">
      <c r="B1797" s="59"/>
      <c r="C1797" s="60"/>
      <c r="D1797" s="60"/>
      <c r="E1797" s="60"/>
      <c r="F1797" s="60"/>
      <c r="G1797" s="60"/>
      <c r="H1797" s="60"/>
      <c r="I1797" s="59"/>
      <c r="J1797" s="61"/>
      <c r="K1797" s="61"/>
      <c r="L1797" s="61"/>
      <c r="M1797" s="61"/>
      <c r="N1797" s="61"/>
      <c r="O1797" s="60"/>
      <c r="P1797" s="60"/>
    </row>
    <row r="1798" spans="2:16" x14ac:dyDescent="0.15">
      <c r="B1798" s="59"/>
      <c r="C1798" s="60"/>
      <c r="D1798" s="60"/>
      <c r="E1798" s="60"/>
      <c r="F1798" s="60"/>
      <c r="G1798" s="60"/>
      <c r="H1798" s="60"/>
      <c r="I1798" s="59"/>
      <c r="J1798" s="61"/>
      <c r="K1798" s="61"/>
      <c r="L1798" s="61"/>
      <c r="M1798" s="61"/>
      <c r="N1798" s="61"/>
      <c r="O1798" s="60"/>
      <c r="P1798" s="60"/>
    </row>
    <row r="1799" spans="2:16" x14ac:dyDescent="0.15">
      <c r="B1799" s="59"/>
      <c r="C1799" s="60"/>
      <c r="D1799" s="60"/>
      <c r="E1799" s="60"/>
      <c r="F1799" s="60"/>
      <c r="G1799" s="60"/>
      <c r="H1799" s="60"/>
      <c r="I1799" s="59"/>
      <c r="J1799" s="61"/>
      <c r="K1799" s="61"/>
      <c r="L1799" s="61"/>
      <c r="M1799" s="61"/>
      <c r="N1799" s="61"/>
      <c r="O1799" s="60"/>
      <c r="P1799" s="60"/>
    </row>
    <row r="1800" spans="2:16" x14ac:dyDescent="0.15">
      <c r="B1800" s="59"/>
      <c r="C1800" s="60"/>
      <c r="D1800" s="60"/>
      <c r="E1800" s="60"/>
      <c r="F1800" s="60"/>
      <c r="G1800" s="60"/>
      <c r="H1800" s="60"/>
      <c r="I1800" s="59"/>
      <c r="J1800" s="61"/>
      <c r="K1800" s="61"/>
      <c r="L1800" s="61"/>
      <c r="M1800" s="61"/>
      <c r="N1800" s="61"/>
      <c r="O1800" s="60"/>
      <c r="P1800" s="60"/>
    </row>
    <row r="1801" spans="2:16" x14ac:dyDescent="0.15">
      <c r="B1801" s="59"/>
      <c r="C1801" s="60"/>
      <c r="D1801" s="60"/>
      <c r="E1801" s="60"/>
      <c r="F1801" s="60"/>
      <c r="G1801" s="60"/>
      <c r="H1801" s="60"/>
      <c r="I1801" s="59"/>
      <c r="J1801" s="61"/>
      <c r="K1801" s="61"/>
      <c r="L1801" s="61"/>
      <c r="M1801" s="61"/>
      <c r="N1801" s="61"/>
      <c r="O1801" s="60"/>
      <c r="P1801" s="60"/>
    </row>
    <row r="1802" spans="2:16" x14ac:dyDescent="0.15">
      <c r="B1802" s="59"/>
      <c r="C1802" s="60"/>
      <c r="D1802" s="60"/>
      <c r="E1802" s="60"/>
      <c r="F1802" s="60"/>
      <c r="G1802" s="60"/>
      <c r="H1802" s="60"/>
      <c r="I1802" s="59"/>
      <c r="J1802" s="61"/>
      <c r="K1802" s="61"/>
      <c r="L1802" s="61"/>
      <c r="M1802" s="61"/>
      <c r="N1802" s="61"/>
      <c r="O1802" s="60"/>
      <c r="P1802" s="60"/>
    </row>
    <row r="1803" spans="2:16" x14ac:dyDescent="0.15">
      <c r="B1803" s="59"/>
      <c r="C1803" s="60"/>
      <c r="D1803" s="60"/>
      <c r="E1803" s="60"/>
      <c r="F1803" s="60"/>
      <c r="G1803" s="60"/>
      <c r="H1803" s="60"/>
      <c r="I1803" s="59"/>
      <c r="J1803" s="61"/>
      <c r="K1803" s="61"/>
      <c r="L1803" s="61"/>
      <c r="M1803" s="61"/>
      <c r="N1803" s="61"/>
      <c r="O1803" s="60"/>
      <c r="P1803" s="60"/>
    </row>
    <row r="1804" spans="2:16" x14ac:dyDescent="0.15">
      <c r="B1804" s="59"/>
      <c r="C1804" s="60"/>
      <c r="D1804" s="60"/>
      <c r="E1804" s="60"/>
      <c r="F1804" s="60"/>
      <c r="G1804" s="60"/>
      <c r="H1804" s="60"/>
      <c r="I1804" s="59"/>
      <c r="J1804" s="61"/>
      <c r="K1804" s="61"/>
      <c r="L1804" s="61"/>
      <c r="M1804" s="61"/>
      <c r="N1804" s="61"/>
      <c r="O1804" s="60"/>
      <c r="P1804" s="60"/>
    </row>
    <row r="1805" spans="2:16" x14ac:dyDescent="0.15">
      <c r="B1805" s="59"/>
      <c r="C1805" s="60"/>
      <c r="D1805" s="60"/>
      <c r="E1805" s="60"/>
      <c r="F1805" s="60"/>
      <c r="G1805" s="60"/>
      <c r="H1805" s="60"/>
      <c r="I1805" s="59"/>
      <c r="J1805" s="61"/>
      <c r="K1805" s="61"/>
      <c r="L1805" s="61"/>
      <c r="M1805" s="61"/>
      <c r="N1805" s="61"/>
      <c r="O1805" s="60"/>
      <c r="P1805" s="60"/>
    </row>
    <row r="1806" spans="2:16" x14ac:dyDescent="0.15">
      <c r="B1806" s="59"/>
      <c r="C1806" s="60"/>
      <c r="D1806" s="60"/>
      <c r="E1806" s="60"/>
      <c r="F1806" s="60"/>
      <c r="G1806" s="60"/>
      <c r="H1806" s="60"/>
      <c r="I1806" s="59"/>
      <c r="J1806" s="61"/>
      <c r="K1806" s="61"/>
      <c r="L1806" s="61"/>
      <c r="M1806" s="61"/>
      <c r="N1806" s="61"/>
      <c r="O1806" s="60"/>
      <c r="P1806" s="60"/>
    </row>
    <row r="1807" spans="2:16" x14ac:dyDescent="0.15">
      <c r="B1807" s="59"/>
      <c r="C1807" s="60"/>
      <c r="D1807" s="60"/>
      <c r="E1807" s="60"/>
      <c r="F1807" s="60"/>
      <c r="G1807" s="60"/>
      <c r="H1807" s="60"/>
      <c r="I1807" s="59"/>
      <c r="J1807" s="61"/>
      <c r="K1807" s="61"/>
      <c r="L1807" s="61"/>
      <c r="M1807" s="61"/>
      <c r="N1807" s="61"/>
      <c r="O1807" s="60"/>
      <c r="P1807" s="60"/>
    </row>
    <row r="1808" spans="2:16" x14ac:dyDescent="0.15">
      <c r="B1808" s="59"/>
      <c r="C1808" s="60"/>
      <c r="D1808" s="60"/>
      <c r="E1808" s="60"/>
      <c r="F1808" s="60"/>
      <c r="G1808" s="60"/>
      <c r="H1808" s="60"/>
      <c r="I1808" s="59"/>
      <c r="J1808" s="61"/>
      <c r="K1808" s="61"/>
      <c r="L1808" s="61"/>
      <c r="M1808" s="61"/>
      <c r="N1808" s="61"/>
      <c r="O1808" s="60"/>
      <c r="P1808" s="60"/>
    </row>
    <row r="1809" spans="2:16" x14ac:dyDescent="0.15">
      <c r="B1809" s="59"/>
      <c r="C1809" s="60"/>
      <c r="D1809" s="60"/>
      <c r="E1809" s="60"/>
      <c r="F1809" s="60"/>
      <c r="G1809" s="60"/>
      <c r="H1809" s="60"/>
      <c r="I1809" s="59"/>
      <c r="J1809" s="61"/>
      <c r="K1809" s="61"/>
      <c r="L1809" s="61"/>
      <c r="M1809" s="61"/>
      <c r="N1809" s="61"/>
      <c r="O1809" s="60"/>
      <c r="P1809" s="60"/>
    </row>
    <row r="1810" spans="2:16" x14ac:dyDescent="0.15">
      <c r="B1810" s="59"/>
      <c r="C1810" s="60"/>
      <c r="D1810" s="60"/>
      <c r="E1810" s="60"/>
      <c r="F1810" s="60"/>
      <c r="G1810" s="60"/>
      <c r="H1810" s="60"/>
      <c r="I1810" s="59"/>
      <c r="J1810" s="61"/>
      <c r="K1810" s="61"/>
      <c r="L1810" s="61"/>
      <c r="M1810" s="61"/>
      <c r="N1810" s="61"/>
      <c r="O1810" s="60"/>
      <c r="P1810" s="60"/>
    </row>
    <row r="1811" spans="2:16" x14ac:dyDescent="0.15">
      <c r="B1811" s="59"/>
      <c r="C1811" s="60"/>
      <c r="D1811" s="60"/>
      <c r="E1811" s="60"/>
      <c r="F1811" s="60"/>
      <c r="G1811" s="60"/>
      <c r="H1811" s="60"/>
      <c r="I1811" s="59"/>
      <c r="J1811" s="61"/>
      <c r="K1811" s="61"/>
      <c r="L1811" s="61"/>
      <c r="M1811" s="61"/>
      <c r="N1811" s="61"/>
      <c r="O1811" s="60"/>
      <c r="P1811" s="60"/>
    </row>
    <row r="1812" spans="2:16" x14ac:dyDescent="0.15">
      <c r="B1812" s="59"/>
      <c r="C1812" s="60"/>
      <c r="D1812" s="60"/>
      <c r="E1812" s="60"/>
      <c r="F1812" s="60"/>
      <c r="G1812" s="60"/>
      <c r="H1812" s="60"/>
      <c r="I1812" s="59"/>
      <c r="J1812" s="61"/>
      <c r="K1812" s="61"/>
      <c r="L1812" s="61"/>
      <c r="M1812" s="61"/>
      <c r="N1812" s="61"/>
      <c r="O1812" s="60"/>
      <c r="P1812" s="60"/>
    </row>
    <row r="1813" spans="2:16" x14ac:dyDescent="0.15">
      <c r="B1813" s="59"/>
      <c r="C1813" s="60"/>
      <c r="D1813" s="60"/>
      <c r="E1813" s="60"/>
      <c r="F1813" s="60"/>
      <c r="G1813" s="60"/>
      <c r="H1813" s="60"/>
      <c r="I1813" s="59"/>
      <c r="J1813" s="61"/>
      <c r="K1813" s="61"/>
      <c r="L1813" s="61"/>
      <c r="M1813" s="61"/>
      <c r="N1813" s="61"/>
      <c r="O1813" s="60"/>
      <c r="P1813" s="60"/>
    </row>
    <row r="1814" spans="2:16" x14ac:dyDescent="0.15">
      <c r="B1814" s="59"/>
      <c r="C1814" s="60"/>
      <c r="D1814" s="60"/>
      <c r="E1814" s="60"/>
      <c r="F1814" s="60"/>
      <c r="G1814" s="60"/>
      <c r="H1814" s="60"/>
      <c r="I1814" s="59"/>
      <c r="J1814" s="61"/>
      <c r="K1814" s="61"/>
      <c r="L1814" s="61"/>
      <c r="M1814" s="61"/>
      <c r="N1814" s="61"/>
      <c r="O1814" s="60"/>
      <c r="P1814" s="60"/>
    </row>
    <row r="1815" spans="2:16" x14ac:dyDescent="0.15">
      <c r="B1815" s="59"/>
      <c r="C1815" s="60"/>
      <c r="D1815" s="60"/>
      <c r="E1815" s="60"/>
      <c r="F1815" s="60"/>
      <c r="G1815" s="60"/>
      <c r="H1815" s="60"/>
      <c r="I1815" s="59"/>
      <c r="J1815" s="61"/>
      <c r="K1815" s="61"/>
      <c r="L1815" s="61"/>
      <c r="M1815" s="61"/>
      <c r="N1815" s="61"/>
      <c r="O1815" s="60"/>
      <c r="P1815" s="60"/>
    </row>
    <row r="1816" spans="2:16" x14ac:dyDescent="0.15">
      <c r="B1816" s="59"/>
      <c r="C1816" s="60"/>
      <c r="D1816" s="60"/>
      <c r="E1816" s="60"/>
      <c r="F1816" s="60"/>
      <c r="G1816" s="60"/>
      <c r="H1816" s="60"/>
      <c r="I1816" s="59"/>
      <c r="J1816" s="61"/>
      <c r="K1816" s="61"/>
      <c r="L1816" s="61"/>
      <c r="M1816" s="61"/>
      <c r="N1816" s="61"/>
      <c r="O1816" s="60"/>
      <c r="P1816" s="60"/>
    </row>
    <row r="1817" spans="2:16" x14ac:dyDescent="0.15">
      <c r="B1817" s="59"/>
      <c r="C1817" s="60"/>
      <c r="D1817" s="60"/>
      <c r="E1817" s="60"/>
      <c r="F1817" s="60"/>
      <c r="G1817" s="60"/>
      <c r="H1817" s="60"/>
      <c r="I1817" s="59"/>
      <c r="J1817" s="61"/>
      <c r="K1817" s="61"/>
      <c r="L1817" s="61"/>
      <c r="M1817" s="61"/>
      <c r="N1817" s="61"/>
      <c r="O1817" s="60"/>
      <c r="P1817" s="60"/>
    </row>
    <row r="1818" spans="2:16" x14ac:dyDescent="0.15">
      <c r="B1818" s="59"/>
      <c r="C1818" s="60"/>
      <c r="D1818" s="60"/>
      <c r="E1818" s="60"/>
      <c r="F1818" s="60"/>
      <c r="G1818" s="60"/>
      <c r="H1818" s="60"/>
      <c r="I1818" s="59"/>
      <c r="J1818" s="61"/>
      <c r="K1818" s="61"/>
      <c r="L1818" s="61"/>
      <c r="M1818" s="61"/>
      <c r="N1818" s="61"/>
      <c r="O1818" s="60"/>
      <c r="P1818" s="60"/>
    </row>
    <row r="1819" spans="2:16" x14ac:dyDescent="0.15">
      <c r="B1819" s="59"/>
      <c r="C1819" s="60"/>
      <c r="D1819" s="60"/>
      <c r="E1819" s="60"/>
      <c r="F1819" s="60"/>
      <c r="G1819" s="60"/>
      <c r="H1819" s="60"/>
      <c r="I1819" s="59"/>
      <c r="J1819" s="61"/>
      <c r="K1819" s="61"/>
      <c r="L1819" s="61"/>
      <c r="M1819" s="61"/>
      <c r="N1819" s="61"/>
      <c r="O1819" s="60"/>
      <c r="P1819" s="60"/>
    </row>
    <row r="1820" spans="2:16" x14ac:dyDescent="0.15">
      <c r="B1820" s="59"/>
      <c r="C1820" s="60"/>
      <c r="D1820" s="60"/>
      <c r="E1820" s="60"/>
      <c r="F1820" s="60"/>
      <c r="G1820" s="60"/>
      <c r="H1820" s="60"/>
      <c r="I1820" s="59"/>
      <c r="J1820" s="61"/>
      <c r="K1820" s="61"/>
      <c r="L1820" s="61"/>
      <c r="M1820" s="61"/>
      <c r="N1820" s="61"/>
      <c r="O1820" s="60"/>
      <c r="P1820" s="60"/>
    </row>
    <row r="1821" spans="2:16" x14ac:dyDescent="0.15">
      <c r="B1821" s="59"/>
      <c r="C1821" s="60"/>
      <c r="D1821" s="60"/>
      <c r="E1821" s="60"/>
      <c r="F1821" s="60"/>
      <c r="G1821" s="60"/>
      <c r="H1821" s="60"/>
      <c r="I1821" s="59"/>
      <c r="J1821" s="61"/>
      <c r="K1821" s="61"/>
      <c r="L1821" s="61"/>
      <c r="M1821" s="61"/>
      <c r="N1821" s="61"/>
      <c r="O1821" s="60"/>
      <c r="P1821" s="60"/>
    </row>
    <row r="1822" spans="2:16" x14ac:dyDescent="0.15">
      <c r="B1822" s="59"/>
      <c r="C1822" s="60"/>
      <c r="D1822" s="60"/>
      <c r="E1822" s="60"/>
      <c r="F1822" s="60"/>
      <c r="G1822" s="60"/>
      <c r="H1822" s="60"/>
      <c r="I1822" s="59"/>
      <c r="J1822" s="61"/>
      <c r="K1822" s="61"/>
      <c r="L1822" s="61"/>
      <c r="M1822" s="61"/>
      <c r="N1822" s="61"/>
      <c r="O1822" s="60"/>
      <c r="P1822" s="60"/>
    </row>
    <row r="1823" spans="2:16" x14ac:dyDescent="0.15">
      <c r="B1823" s="59"/>
      <c r="C1823" s="60"/>
      <c r="D1823" s="60"/>
      <c r="E1823" s="60"/>
      <c r="F1823" s="60"/>
      <c r="G1823" s="60"/>
      <c r="H1823" s="60"/>
      <c r="I1823" s="59"/>
      <c r="J1823" s="61"/>
      <c r="K1823" s="61"/>
      <c r="L1823" s="61"/>
      <c r="M1823" s="61"/>
      <c r="N1823" s="61"/>
      <c r="O1823" s="60"/>
      <c r="P1823" s="60"/>
    </row>
    <row r="1824" spans="2:16" x14ac:dyDescent="0.15">
      <c r="B1824" s="59"/>
      <c r="C1824" s="60"/>
      <c r="D1824" s="60"/>
      <c r="E1824" s="60"/>
      <c r="F1824" s="60"/>
      <c r="G1824" s="60"/>
      <c r="H1824" s="60"/>
      <c r="I1824" s="59"/>
      <c r="J1824" s="61"/>
      <c r="K1824" s="61"/>
      <c r="L1824" s="61"/>
      <c r="M1824" s="61"/>
      <c r="N1824" s="61"/>
      <c r="O1824" s="60"/>
      <c r="P1824" s="60"/>
    </row>
    <row r="1825" spans="2:16" x14ac:dyDescent="0.15">
      <c r="B1825" s="59"/>
      <c r="C1825" s="60"/>
      <c r="D1825" s="60"/>
      <c r="E1825" s="60"/>
      <c r="F1825" s="60"/>
      <c r="G1825" s="60"/>
      <c r="H1825" s="60"/>
      <c r="I1825" s="59"/>
      <c r="J1825" s="61"/>
      <c r="K1825" s="61"/>
      <c r="L1825" s="61"/>
      <c r="M1825" s="61"/>
      <c r="N1825" s="61"/>
      <c r="O1825" s="60"/>
      <c r="P1825" s="60"/>
    </row>
    <row r="1826" spans="2:16" x14ac:dyDescent="0.15">
      <c r="B1826" s="59"/>
      <c r="C1826" s="60"/>
      <c r="D1826" s="60"/>
      <c r="E1826" s="60"/>
      <c r="F1826" s="60"/>
      <c r="G1826" s="60"/>
      <c r="H1826" s="60"/>
      <c r="I1826" s="59"/>
      <c r="J1826" s="61"/>
      <c r="K1826" s="61"/>
      <c r="L1826" s="61"/>
      <c r="M1826" s="61"/>
      <c r="N1826" s="61"/>
      <c r="O1826" s="60"/>
      <c r="P1826" s="60"/>
    </row>
    <row r="1827" spans="2:16" x14ac:dyDescent="0.15">
      <c r="B1827" s="59"/>
      <c r="C1827" s="60"/>
      <c r="D1827" s="60"/>
      <c r="E1827" s="60"/>
      <c r="F1827" s="60"/>
      <c r="G1827" s="60"/>
      <c r="H1827" s="60"/>
      <c r="I1827" s="59"/>
      <c r="J1827" s="61"/>
      <c r="K1827" s="61"/>
      <c r="L1827" s="61"/>
      <c r="M1827" s="61"/>
      <c r="N1827" s="61"/>
      <c r="O1827" s="60"/>
      <c r="P1827" s="60"/>
    </row>
    <row r="1828" spans="2:16" x14ac:dyDescent="0.15">
      <c r="B1828" s="59"/>
      <c r="C1828" s="60"/>
      <c r="D1828" s="60"/>
      <c r="E1828" s="60"/>
      <c r="F1828" s="60"/>
      <c r="G1828" s="60"/>
      <c r="H1828" s="60"/>
      <c r="I1828" s="59"/>
      <c r="J1828" s="61"/>
      <c r="K1828" s="61"/>
      <c r="L1828" s="61"/>
      <c r="M1828" s="61"/>
      <c r="N1828" s="61"/>
      <c r="O1828" s="60"/>
      <c r="P1828" s="60"/>
    </row>
    <row r="1829" spans="2:16" x14ac:dyDescent="0.15">
      <c r="B1829" s="59"/>
      <c r="C1829" s="60"/>
      <c r="D1829" s="60"/>
      <c r="E1829" s="60"/>
      <c r="F1829" s="60"/>
      <c r="G1829" s="60"/>
      <c r="H1829" s="60"/>
      <c r="I1829" s="59"/>
      <c r="J1829" s="61"/>
      <c r="K1829" s="61"/>
      <c r="L1829" s="61"/>
      <c r="M1829" s="61"/>
      <c r="N1829" s="61"/>
      <c r="O1829" s="60"/>
      <c r="P1829" s="60"/>
    </row>
    <row r="1830" spans="2:16" x14ac:dyDescent="0.15">
      <c r="B1830" s="59"/>
      <c r="C1830" s="60"/>
      <c r="D1830" s="60"/>
      <c r="E1830" s="60"/>
      <c r="F1830" s="60"/>
      <c r="G1830" s="60"/>
      <c r="H1830" s="60"/>
      <c r="I1830" s="59"/>
      <c r="J1830" s="61"/>
      <c r="K1830" s="61"/>
      <c r="L1830" s="61"/>
      <c r="M1830" s="61"/>
      <c r="N1830" s="61"/>
      <c r="O1830" s="60"/>
      <c r="P1830" s="60"/>
    </row>
    <row r="1831" spans="2:16" x14ac:dyDescent="0.15">
      <c r="B1831" s="59"/>
      <c r="C1831" s="60"/>
      <c r="D1831" s="60"/>
      <c r="E1831" s="60"/>
      <c r="F1831" s="60"/>
      <c r="G1831" s="60"/>
      <c r="H1831" s="60"/>
      <c r="I1831" s="59"/>
      <c r="J1831" s="61"/>
      <c r="K1831" s="61"/>
      <c r="L1831" s="61"/>
      <c r="M1831" s="61"/>
      <c r="N1831" s="61"/>
      <c r="O1831" s="60"/>
      <c r="P1831" s="60"/>
    </row>
    <row r="1832" spans="2:16" x14ac:dyDescent="0.15">
      <c r="B1832" s="59"/>
      <c r="C1832" s="60"/>
      <c r="D1832" s="60"/>
      <c r="E1832" s="60"/>
      <c r="F1832" s="60"/>
      <c r="G1832" s="60"/>
      <c r="H1832" s="60"/>
      <c r="I1832" s="59"/>
      <c r="J1832" s="61"/>
      <c r="K1832" s="61"/>
      <c r="L1832" s="61"/>
      <c r="M1832" s="61"/>
      <c r="N1832" s="61"/>
      <c r="O1832" s="60"/>
      <c r="P1832" s="60"/>
    </row>
    <row r="1833" spans="2:16" x14ac:dyDescent="0.15">
      <c r="B1833" s="59"/>
      <c r="C1833" s="60"/>
      <c r="D1833" s="60"/>
      <c r="E1833" s="60"/>
      <c r="F1833" s="60"/>
      <c r="G1833" s="60"/>
      <c r="H1833" s="60"/>
      <c r="I1833" s="59"/>
      <c r="J1833" s="61"/>
      <c r="K1833" s="61"/>
      <c r="L1833" s="61"/>
      <c r="M1833" s="61"/>
      <c r="N1833" s="61"/>
      <c r="O1833" s="60"/>
      <c r="P1833" s="60"/>
    </row>
    <row r="1834" spans="2:16" x14ac:dyDescent="0.15">
      <c r="B1834" s="59"/>
      <c r="C1834" s="60"/>
      <c r="D1834" s="60"/>
      <c r="E1834" s="60"/>
      <c r="F1834" s="60"/>
      <c r="G1834" s="60"/>
      <c r="H1834" s="60"/>
      <c r="I1834" s="59"/>
      <c r="J1834" s="61"/>
      <c r="K1834" s="61"/>
      <c r="L1834" s="61"/>
      <c r="M1834" s="61"/>
      <c r="N1834" s="61"/>
      <c r="O1834" s="60"/>
      <c r="P1834" s="60"/>
    </row>
  </sheetData>
  <sheetProtection formatColumns="0" formatRows="0"/>
  <mergeCells count="5">
    <mergeCell ref="D7:E7"/>
    <mergeCell ref="K7:L7"/>
    <mergeCell ref="B37:G37"/>
    <mergeCell ref="I37:N37"/>
    <mergeCell ref="C1:M1"/>
  </mergeCells>
  <phoneticPr fontId="3" type="noConversion"/>
  <hyperlinks>
    <hyperlink ref="G6" location="'4'!A1" display="上一页"/>
    <hyperlink ref="B6" location="目录!A1" display="目录"/>
    <hyperlink ref="N6" location="目录!A1" display="目录"/>
  </hyperlinks>
  <pageMargins left="0.7" right="0.7" top="0.75" bottom="0.75" header="0.3" footer="0.3"/>
  <pageSetup paperSize="11" orientation="portrait" horizontalDpi="300" verticalDpi="300" r:id="rId1"/>
  <ignoredErrors>
    <ignoredError sqref="C38:H38" unlockedFormula="1"/>
  </ignoredErrors>
  <drawing r:id="rId2"/>
  <legacyDrawing r:id="rId3"/>
  <controls>
    <mc:AlternateContent xmlns:mc="http://schemas.openxmlformats.org/markup-compatibility/2006">
      <mc:Choice Requires="x14">
        <control shapeId="532482" r:id="rId4" name="SpinButtonB">
          <controlPr defaultSize="0" autoLine="0" autoPict="0" r:id="rId5">
            <anchor moveWithCells="1" siz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32482" r:id="rId4" name="SpinButtonB"/>
      </mc:Fallback>
    </mc:AlternateContent>
    <mc:AlternateContent xmlns:mc="http://schemas.openxmlformats.org/markup-compatibility/2006">
      <mc:Choice Requires="x14">
        <control shapeId="532481" r:id="rId6" name="SpinButtonA">
          <controlPr defaultSize="0" autoLine="0" r:id="rId5">
            <anchor moveWithCells="1" sizeWithCells="1">
              <from>
                <xdr:col>3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32481" r:id="rId6" name="SpinButtonA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63636D"/>
  </sheetPr>
  <dimension ref="A1:Q1834"/>
  <sheetViews>
    <sheetView showGridLines="0" zoomScaleNormal="100" workbookViewId="0">
      <selection activeCell="A62" sqref="A62"/>
    </sheetView>
  </sheetViews>
  <sheetFormatPr defaultRowHeight="11.25" x14ac:dyDescent="0.15"/>
  <cols>
    <col min="1" max="1" width="1.625" style="8" customWidth="1"/>
    <col min="2" max="2" width="11.625" style="45" customWidth="1"/>
    <col min="3" max="7" width="12.625" style="9" customWidth="1"/>
    <col min="8" max="8" width="1.625" style="8" customWidth="1"/>
    <col min="9" max="9" width="11.625" style="45" customWidth="1"/>
    <col min="10" max="14" width="12.625" style="9" customWidth="1"/>
    <col min="15" max="15" width="2.5" style="8" customWidth="1"/>
    <col min="16" max="16384" width="9" style="9"/>
  </cols>
  <sheetData>
    <row r="1" spans="1:17" s="2" customFormat="1" ht="27.75" customHeight="1" x14ac:dyDescent="0.15">
      <c r="A1" s="49"/>
      <c r="B1" s="49"/>
      <c r="C1" s="86" t="s">
        <v>46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49"/>
      <c r="O1" s="49"/>
      <c r="P1" s="1"/>
      <c r="Q1" s="1"/>
    </row>
    <row r="2" spans="1:17" s="2" customFormat="1" ht="12" customHeight="1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1"/>
      <c r="Q2" s="1"/>
    </row>
    <row r="3" spans="1:17" s="2" customFormat="1" ht="12" customHeight="1" x14ac:dyDescent="0.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1"/>
      <c r="Q3" s="1"/>
    </row>
    <row r="4" spans="1:17" s="2" customFormat="1" ht="8.25" hidden="1" customHeight="1" x14ac:dyDescent="0.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1"/>
      <c r="Q4" s="1"/>
    </row>
    <row r="5" spans="1:17" s="2" customFormat="1" ht="5.25" hidden="1" customHeight="1" x14ac:dyDescent="0.1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</row>
    <row r="6" spans="1:17" s="2" customFormat="1" ht="17.25" x14ac:dyDescent="0.3">
      <c r="A6" s="4"/>
      <c r="B6" s="51" t="s">
        <v>25</v>
      </c>
      <c r="C6" s="51"/>
      <c r="D6" s="51"/>
      <c r="E6" s="51"/>
      <c r="F6" s="51"/>
      <c r="G6" s="51" t="s">
        <v>26</v>
      </c>
      <c r="H6" s="4"/>
      <c r="I6" s="51"/>
      <c r="J6" s="51"/>
      <c r="K6" s="51"/>
      <c r="L6" s="51"/>
      <c r="M6" s="51"/>
      <c r="N6" s="51" t="s">
        <v>25</v>
      </c>
      <c r="O6" s="5"/>
    </row>
    <row r="7" spans="1:17" s="7" customFormat="1" ht="16.5" x14ac:dyDescent="0.35">
      <c r="A7" s="6"/>
      <c r="B7" s="52" t="s">
        <v>0</v>
      </c>
      <c r="C7" s="37">
        <f>DATE(YEAR(MAX(B:B)),MONTH(MAX(B:B)),1)</f>
        <v>45413</v>
      </c>
      <c r="D7" s="89"/>
      <c r="E7" s="89"/>
      <c r="F7" s="52" t="s">
        <v>40</v>
      </c>
      <c r="G7" s="37" t="str">
        <f>F9&amp;"月"</f>
        <v>23月</v>
      </c>
      <c r="H7" s="32"/>
      <c r="I7" s="52" t="s">
        <v>41</v>
      </c>
      <c r="J7" s="37">
        <f>DATE(YEAR(MAX(I:I)),MONTH(MAX(I:I)),1)</f>
        <v>45413</v>
      </c>
      <c r="K7" s="89"/>
      <c r="L7" s="89"/>
      <c r="M7" s="52" t="s">
        <v>42</v>
      </c>
      <c r="N7" s="37" t="str">
        <f>M9&amp;"月"</f>
        <v>56月</v>
      </c>
      <c r="O7" s="6"/>
    </row>
    <row r="8" spans="1:17" x14ac:dyDescent="0.15">
      <c r="B8" s="42"/>
      <c r="C8" s="22"/>
      <c r="D8" s="22"/>
      <c r="E8" s="22"/>
      <c r="F8" s="22"/>
      <c r="G8" s="22"/>
      <c r="H8" s="23"/>
      <c r="I8" s="42"/>
      <c r="J8" s="22"/>
      <c r="K8" s="22"/>
      <c r="L8" s="22"/>
      <c r="M8" s="22"/>
      <c r="N8" s="22"/>
    </row>
    <row r="9" spans="1:17" ht="11.25" hidden="1" customHeight="1" x14ac:dyDescent="0.15">
      <c r="B9" s="43" t="s">
        <v>2</v>
      </c>
      <c r="C9" s="22">
        <f>ROW(B39)</f>
        <v>39</v>
      </c>
      <c r="D9" s="22"/>
      <c r="E9" s="22"/>
      <c r="F9" s="22">
        <v>23</v>
      </c>
      <c r="G9" s="22"/>
      <c r="H9" s="23"/>
      <c r="I9" s="43" t="s">
        <v>2</v>
      </c>
      <c r="J9" s="22">
        <f>ROW(I39)</f>
        <v>39</v>
      </c>
      <c r="K9" s="22"/>
      <c r="L9" s="22"/>
      <c r="M9" s="22">
        <v>56</v>
      </c>
      <c r="N9" s="22"/>
    </row>
    <row r="10" spans="1:17" ht="11.25" hidden="1" customHeight="1" x14ac:dyDescent="0.15">
      <c r="B10" s="43" t="s">
        <v>1</v>
      </c>
      <c r="C10" s="24">
        <f>MATCH(MAX(B:B),B:B)</f>
        <v>308</v>
      </c>
      <c r="D10" s="22"/>
      <c r="E10" s="22"/>
      <c r="F10" s="22"/>
      <c r="G10" s="22"/>
      <c r="H10" s="23"/>
      <c r="I10" s="43" t="s">
        <v>1</v>
      </c>
      <c r="J10" s="24">
        <f>MATCH(MAX(I:I),I:I)</f>
        <v>1549</v>
      </c>
      <c r="K10" s="22"/>
      <c r="L10" s="22"/>
      <c r="M10" s="22"/>
      <c r="N10" s="22"/>
    </row>
    <row r="11" spans="1:17" ht="11.25" hidden="1" customHeight="1" x14ac:dyDescent="0.15">
      <c r="B11" s="43" t="s">
        <v>3</v>
      </c>
      <c r="C11" s="24">
        <f>C10-C9</f>
        <v>269</v>
      </c>
      <c r="D11" s="22"/>
      <c r="E11" s="22"/>
      <c r="F11" s="22"/>
      <c r="G11" s="22"/>
      <c r="H11" s="23"/>
      <c r="I11" s="43" t="s">
        <v>3</v>
      </c>
      <c r="J11" s="24">
        <f>J10-J9</f>
        <v>1510</v>
      </c>
      <c r="K11" s="22"/>
      <c r="L11" s="22"/>
      <c r="M11" s="22"/>
      <c r="N11" s="22"/>
    </row>
    <row r="12" spans="1:17" x14ac:dyDescent="0.15">
      <c r="B12" s="42"/>
      <c r="C12" s="22"/>
      <c r="D12" s="22"/>
      <c r="E12" s="22"/>
      <c r="F12" s="22"/>
      <c r="G12" s="22"/>
      <c r="H12" s="23"/>
      <c r="I12" s="42"/>
      <c r="J12" s="22"/>
      <c r="K12" s="22"/>
      <c r="L12" s="22"/>
      <c r="M12" s="22"/>
      <c r="N12" s="22"/>
    </row>
    <row r="13" spans="1:17" x14ac:dyDescent="0.15">
      <c r="B13" s="42"/>
      <c r="C13" s="22"/>
      <c r="D13" s="22"/>
      <c r="E13" s="22"/>
      <c r="F13" s="22"/>
      <c r="G13" s="22"/>
      <c r="H13" s="23"/>
      <c r="I13" s="42"/>
      <c r="J13" s="22"/>
      <c r="K13" s="22"/>
      <c r="L13" s="22"/>
      <c r="M13" s="22"/>
      <c r="N13" s="22"/>
    </row>
    <row r="14" spans="1:17" x14ac:dyDescent="0.15">
      <c r="B14" s="42"/>
      <c r="C14" s="22"/>
      <c r="D14" s="22"/>
      <c r="E14" s="22"/>
      <c r="F14" s="22"/>
      <c r="G14" s="22"/>
      <c r="H14" s="23"/>
      <c r="I14" s="42"/>
      <c r="J14" s="22"/>
      <c r="K14" s="22"/>
      <c r="L14" s="22"/>
      <c r="M14" s="22"/>
      <c r="N14" s="22"/>
    </row>
    <row r="15" spans="1:17" x14ac:dyDescent="0.15">
      <c r="B15" s="42"/>
      <c r="C15" s="22"/>
      <c r="D15" s="22"/>
      <c r="E15" s="22"/>
      <c r="F15" s="22"/>
      <c r="G15" s="22"/>
      <c r="H15" s="23"/>
      <c r="I15" s="42"/>
      <c r="J15" s="22"/>
      <c r="K15" s="22"/>
      <c r="L15" s="22"/>
      <c r="M15" s="22"/>
      <c r="N15" s="22"/>
    </row>
    <row r="16" spans="1:17" x14ac:dyDescent="0.15">
      <c r="B16" s="42"/>
      <c r="C16" s="22"/>
      <c r="D16" s="22"/>
      <c r="E16" s="22"/>
      <c r="F16" s="22"/>
      <c r="G16" s="22"/>
      <c r="H16" s="23"/>
      <c r="I16" s="42"/>
      <c r="J16" s="22"/>
      <c r="K16" s="22"/>
      <c r="L16" s="22"/>
      <c r="M16" s="22"/>
      <c r="N16" s="22"/>
    </row>
    <row r="17" spans="2:14" x14ac:dyDescent="0.15">
      <c r="B17" s="42"/>
      <c r="C17" s="22"/>
      <c r="D17" s="22"/>
      <c r="E17" s="22"/>
      <c r="F17" s="22"/>
      <c r="G17" s="22"/>
      <c r="H17" s="23"/>
      <c r="I17" s="42"/>
      <c r="J17" s="22"/>
      <c r="K17" s="22"/>
      <c r="L17" s="22"/>
      <c r="M17" s="22"/>
      <c r="N17" s="22"/>
    </row>
    <row r="18" spans="2:14" x14ac:dyDescent="0.15">
      <c r="B18" s="42"/>
      <c r="C18" s="22"/>
      <c r="D18" s="22"/>
      <c r="E18" s="22"/>
      <c r="F18" s="22"/>
      <c r="G18" s="22"/>
      <c r="H18" s="23"/>
      <c r="I18" s="42"/>
      <c r="J18" s="22"/>
      <c r="K18" s="22"/>
      <c r="L18" s="22"/>
      <c r="M18" s="22"/>
      <c r="N18" s="22"/>
    </row>
    <row r="19" spans="2:14" x14ac:dyDescent="0.15">
      <c r="B19" s="42"/>
      <c r="C19" s="22"/>
      <c r="D19" s="22"/>
      <c r="E19" s="22"/>
      <c r="F19" s="22"/>
      <c r="G19" s="22"/>
      <c r="H19" s="23"/>
      <c r="I19" s="42"/>
      <c r="J19" s="22"/>
      <c r="K19" s="22"/>
      <c r="L19" s="22"/>
      <c r="M19" s="22"/>
      <c r="N19" s="22"/>
    </row>
    <row r="20" spans="2:14" x14ac:dyDescent="0.15">
      <c r="B20" s="42"/>
      <c r="C20" s="22"/>
      <c r="D20" s="22"/>
      <c r="E20" s="22"/>
      <c r="F20" s="22"/>
      <c r="G20" s="22"/>
      <c r="H20" s="23"/>
      <c r="I20" s="42"/>
      <c r="J20" s="22"/>
      <c r="K20" s="22"/>
      <c r="L20" s="22"/>
      <c r="M20" s="22"/>
      <c r="N20" s="22"/>
    </row>
    <row r="21" spans="2:14" x14ac:dyDescent="0.15">
      <c r="B21" s="42"/>
      <c r="C21" s="22"/>
      <c r="D21" s="25"/>
      <c r="E21" s="22"/>
      <c r="F21" s="22"/>
      <c r="G21" s="22"/>
      <c r="H21" s="23"/>
      <c r="I21" s="42"/>
      <c r="J21" s="22"/>
      <c r="K21" s="22"/>
      <c r="L21" s="22"/>
      <c r="M21" s="22"/>
      <c r="N21" s="22"/>
    </row>
    <row r="22" spans="2:14" x14ac:dyDescent="0.15">
      <c r="B22" s="42"/>
      <c r="C22" s="22"/>
      <c r="D22" s="22"/>
      <c r="E22" s="22"/>
      <c r="F22" s="22"/>
      <c r="G22" s="22"/>
      <c r="H22" s="23"/>
      <c r="I22" s="42"/>
      <c r="J22" s="22"/>
      <c r="K22" s="22"/>
      <c r="L22" s="22"/>
      <c r="M22" s="22"/>
      <c r="N22" s="22"/>
    </row>
    <row r="23" spans="2:14" x14ac:dyDescent="0.15">
      <c r="B23" s="42"/>
      <c r="C23" s="22"/>
      <c r="D23" s="22"/>
      <c r="E23" s="22"/>
      <c r="F23" s="22"/>
      <c r="G23" s="22"/>
      <c r="H23" s="23"/>
      <c r="I23" s="42"/>
      <c r="J23" s="22"/>
      <c r="K23" s="22"/>
      <c r="L23" s="22"/>
      <c r="M23" s="22"/>
      <c r="N23" s="22"/>
    </row>
    <row r="24" spans="2:14" x14ac:dyDescent="0.15">
      <c r="B24" s="42"/>
      <c r="C24" s="22"/>
      <c r="D24" s="22"/>
      <c r="E24" s="26"/>
      <c r="F24" s="22"/>
      <c r="G24" s="22"/>
      <c r="H24" s="23"/>
      <c r="I24" s="42"/>
      <c r="J24" s="22"/>
      <c r="K24" s="22"/>
      <c r="L24" s="22"/>
      <c r="M24" s="22"/>
      <c r="N24" s="22"/>
    </row>
    <row r="25" spans="2:14" x14ac:dyDescent="0.15">
      <c r="B25" s="42"/>
      <c r="C25" s="22"/>
      <c r="D25" s="22"/>
      <c r="E25" s="26"/>
      <c r="F25" s="22"/>
      <c r="G25" s="22"/>
      <c r="H25" s="23"/>
      <c r="I25" s="42"/>
      <c r="J25" s="22"/>
      <c r="K25" s="22"/>
      <c r="L25" s="22"/>
      <c r="M25" s="22"/>
      <c r="N25" s="22"/>
    </row>
    <row r="26" spans="2:14" x14ac:dyDescent="0.15">
      <c r="B26" s="42"/>
      <c r="C26" s="22"/>
      <c r="D26" s="22"/>
      <c r="E26" s="26"/>
      <c r="F26" s="22"/>
      <c r="G26" s="22"/>
      <c r="H26" s="23"/>
      <c r="I26" s="42"/>
      <c r="J26" s="22"/>
      <c r="K26" s="22"/>
      <c r="L26" s="22"/>
      <c r="M26" s="22"/>
      <c r="N26" s="22"/>
    </row>
    <row r="27" spans="2:14" x14ac:dyDescent="0.15">
      <c r="B27" s="42"/>
      <c r="C27" s="22"/>
      <c r="D27" s="22"/>
      <c r="E27" s="22"/>
      <c r="F27" s="22"/>
      <c r="G27" s="22"/>
      <c r="H27" s="23"/>
      <c r="I27" s="42"/>
      <c r="J27" s="22"/>
      <c r="K27" s="22"/>
      <c r="L27" s="22"/>
      <c r="M27" s="22"/>
      <c r="N27" s="22"/>
    </row>
    <row r="28" spans="2:14" x14ac:dyDescent="0.15">
      <c r="B28" s="42"/>
      <c r="C28" s="22"/>
      <c r="D28" s="22"/>
      <c r="E28" s="22"/>
      <c r="F28" s="22"/>
      <c r="G28" s="22"/>
      <c r="H28" s="23"/>
      <c r="I28" s="42"/>
      <c r="J28" s="22"/>
      <c r="K28" s="22"/>
      <c r="L28" s="22"/>
      <c r="M28" s="22"/>
      <c r="N28" s="22"/>
    </row>
    <row r="29" spans="2:14" x14ac:dyDescent="0.15">
      <c r="B29" s="42"/>
      <c r="C29" s="22"/>
      <c r="D29" s="27"/>
      <c r="E29" s="22"/>
      <c r="F29" s="22"/>
      <c r="G29" s="22"/>
      <c r="H29" s="23"/>
      <c r="I29" s="42"/>
      <c r="J29" s="22"/>
      <c r="K29" s="22"/>
      <c r="L29" s="22"/>
      <c r="M29" s="22"/>
      <c r="N29" s="22"/>
    </row>
    <row r="30" spans="2:14" x14ac:dyDescent="0.15">
      <c r="B30" s="42"/>
      <c r="C30" s="22"/>
      <c r="D30" s="22"/>
      <c r="E30" s="22"/>
      <c r="F30" s="22"/>
      <c r="G30" s="22"/>
      <c r="H30" s="23"/>
      <c r="I30" s="42"/>
      <c r="J30" s="22"/>
      <c r="K30" s="22"/>
      <c r="L30" s="22"/>
      <c r="M30" s="22"/>
      <c r="N30" s="22"/>
    </row>
    <row r="31" spans="2:14" x14ac:dyDescent="0.15">
      <c r="B31" s="42"/>
      <c r="C31" s="22"/>
      <c r="D31" s="22"/>
      <c r="E31" s="22"/>
      <c r="F31" s="22"/>
      <c r="G31" s="22"/>
      <c r="H31" s="23"/>
      <c r="I31" s="42"/>
      <c r="J31" s="22"/>
      <c r="K31" s="22"/>
      <c r="L31" s="22"/>
      <c r="M31" s="22"/>
      <c r="N31" s="22"/>
    </row>
    <row r="32" spans="2:14" x14ac:dyDescent="0.15">
      <c r="B32" s="42"/>
      <c r="C32" s="22"/>
      <c r="D32" s="22"/>
      <c r="E32" s="22"/>
      <c r="F32" s="22"/>
      <c r="G32" s="22"/>
      <c r="H32" s="23"/>
      <c r="I32" s="42"/>
      <c r="J32" s="22"/>
      <c r="K32" s="22"/>
      <c r="L32" s="22"/>
      <c r="M32" s="22"/>
      <c r="N32" s="22"/>
    </row>
    <row r="33" spans="1:15" x14ac:dyDescent="0.15">
      <c r="B33" s="42"/>
      <c r="C33" s="22"/>
      <c r="D33" s="22"/>
      <c r="E33" s="22"/>
      <c r="F33" s="22"/>
      <c r="G33" s="22"/>
      <c r="H33" s="23"/>
      <c r="I33" s="42"/>
      <c r="J33" s="22"/>
      <c r="K33" s="22"/>
      <c r="L33" s="22"/>
      <c r="M33" s="22"/>
      <c r="N33" s="22"/>
    </row>
    <row r="34" spans="1:15" x14ac:dyDescent="0.15">
      <c r="B34" s="42"/>
      <c r="C34" s="22"/>
      <c r="D34" s="22"/>
      <c r="E34" s="22"/>
      <c r="F34" s="22"/>
      <c r="G34" s="22"/>
      <c r="H34" s="23"/>
      <c r="I34" s="42"/>
      <c r="J34" s="22"/>
      <c r="K34" s="22"/>
      <c r="L34" s="22"/>
      <c r="M34" s="22"/>
      <c r="N34" s="22"/>
    </row>
    <row r="35" spans="1:15" x14ac:dyDescent="0.15">
      <c r="B35" s="42"/>
      <c r="C35" s="22"/>
      <c r="D35" s="22"/>
      <c r="E35" s="22"/>
      <c r="F35" s="22"/>
      <c r="G35" s="22"/>
      <c r="H35" s="23"/>
      <c r="I35" s="42"/>
      <c r="J35" s="22"/>
      <c r="K35" s="22"/>
      <c r="L35" s="22"/>
      <c r="M35" s="22"/>
      <c r="N35" s="22"/>
    </row>
    <row r="36" spans="1:15" x14ac:dyDescent="0.15">
      <c r="B36" s="42"/>
      <c r="C36" s="28"/>
      <c r="D36" s="29"/>
      <c r="E36" s="22"/>
      <c r="F36" s="22"/>
      <c r="G36" s="22"/>
      <c r="H36" s="23"/>
      <c r="I36" s="42"/>
      <c r="J36" s="22"/>
      <c r="K36" s="22"/>
      <c r="L36" s="22"/>
      <c r="M36" s="22"/>
      <c r="N36" s="22"/>
    </row>
    <row r="37" spans="1:15" ht="18" x14ac:dyDescent="0.35">
      <c r="B37" s="88" t="s">
        <v>28</v>
      </c>
      <c r="C37" s="88"/>
      <c r="D37" s="88"/>
      <c r="E37" s="88"/>
      <c r="F37" s="88"/>
      <c r="G37" s="88"/>
      <c r="H37" s="23"/>
      <c r="I37" s="88" t="s">
        <v>28</v>
      </c>
      <c r="J37" s="88"/>
      <c r="K37" s="88"/>
      <c r="L37" s="88"/>
      <c r="M37" s="88"/>
      <c r="N37" s="88"/>
    </row>
    <row r="38" spans="1:15" ht="14.25" x14ac:dyDescent="0.15">
      <c r="B38" s="44" t="str">
        <f>[1]!edb()</f>
        <v>Wind</v>
      </c>
      <c r="C38"/>
      <c r="D38" s="29"/>
      <c r="E38" s="22"/>
      <c r="F38" s="22"/>
      <c r="G38" s="22"/>
      <c r="H38" s="23"/>
      <c r="I38" s="44" t="str">
        <f>[1]!edb()</f>
        <v>Wind</v>
      </c>
      <c r="J38"/>
      <c r="K38" s="22"/>
      <c r="L38" s="22"/>
      <c r="M38" s="22"/>
      <c r="N38" s="22"/>
    </row>
    <row r="39" spans="1:15" ht="28.5" x14ac:dyDescent="0.15">
      <c r="B39" s="70" t="s">
        <v>67</v>
      </c>
      <c r="C39" s="70" t="s">
        <v>58</v>
      </c>
      <c r="D39" s="70" t="s">
        <v>59</v>
      </c>
      <c r="E39" s="70"/>
      <c r="F39" s="54"/>
      <c r="G39" s="54"/>
      <c r="H39" s="53"/>
      <c r="I39" s="70" t="s">
        <v>49</v>
      </c>
      <c r="J39" s="70" t="s">
        <v>56</v>
      </c>
      <c r="K39" s="70" t="s">
        <v>57</v>
      </c>
      <c r="L39" s="70"/>
      <c r="M39" s="70"/>
      <c r="N39" s="31"/>
    </row>
    <row r="40" spans="1:15" s="36" customFormat="1" ht="12" x14ac:dyDescent="0.2">
      <c r="A40" s="33"/>
      <c r="B40" s="62">
        <v>37287</v>
      </c>
      <c r="C40" s="64">
        <v>0</v>
      </c>
      <c r="D40" s="64">
        <v>-472</v>
      </c>
      <c r="E40" s="64"/>
      <c r="F40" s="34"/>
      <c r="G40" s="34"/>
      <c r="H40" s="33"/>
      <c r="I40" s="68">
        <v>41572</v>
      </c>
      <c r="J40" s="64">
        <v>5.71</v>
      </c>
      <c r="K40" s="64">
        <v>0</v>
      </c>
      <c r="L40" s="64"/>
      <c r="M40" s="64"/>
      <c r="N40" s="34"/>
      <c r="O40" s="35"/>
    </row>
    <row r="41" spans="1:15" s="36" customFormat="1" ht="12" x14ac:dyDescent="0.2">
      <c r="A41" s="33"/>
      <c r="B41" s="63">
        <v>37315</v>
      </c>
      <c r="C41" s="65">
        <v>0</v>
      </c>
      <c r="D41" s="65">
        <v>289</v>
      </c>
      <c r="E41" s="65"/>
      <c r="F41" s="34"/>
      <c r="G41" s="34"/>
      <c r="H41" s="33"/>
      <c r="I41" s="69">
        <v>41575</v>
      </c>
      <c r="J41" s="65">
        <v>5.72</v>
      </c>
      <c r="K41" s="65">
        <v>0</v>
      </c>
      <c r="L41" s="65"/>
      <c r="M41" s="65"/>
      <c r="N41" s="34"/>
      <c r="O41" s="35"/>
    </row>
    <row r="42" spans="1:15" s="36" customFormat="1" ht="12" x14ac:dyDescent="0.2">
      <c r="A42" s="33"/>
      <c r="B42" s="62">
        <v>37346</v>
      </c>
      <c r="C42" s="64">
        <v>0</v>
      </c>
      <c r="D42" s="64">
        <v>3136</v>
      </c>
      <c r="E42" s="64"/>
      <c r="F42" s="34"/>
      <c r="G42" s="34"/>
      <c r="H42" s="33"/>
      <c r="I42" s="68">
        <v>41576</v>
      </c>
      <c r="J42" s="64">
        <v>5.72</v>
      </c>
      <c r="K42" s="64">
        <v>0</v>
      </c>
      <c r="L42" s="64"/>
      <c r="M42" s="64"/>
      <c r="N42" s="34"/>
      <c r="O42" s="35"/>
    </row>
    <row r="43" spans="1:15" s="36" customFormat="1" ht="12" x14ac:dyDescent="0.2">
      <c r="A43" s="33"/>
      <c r="B43" s="63">
        <v>37376</v>
      </c>
      <c r="C43" s="65">
        <v>0</v>
      </c>
      <c r="D43" s="65">
        <v>1151</v>
      </c>
      <c r="E43" s="65"/>
      <c r="F43" s="34"/>
      <c r="G43" s="34"/>
      <c r="H43" s="33"/>
      <c r="I43" s="69">
        <v>41577</v>
      </c>
      <c r="J43" s="65">
        <v>5.72</v>
      </c>
      <c r="K43" s="65">
        <v>0</v>
      </c>
      <c r="L43" s="65"/>
      <c r="M43" s="65"/>
      <c r="N43" s="34"/>
      <c r="O43" s="35"/>
    </row>
    <row r="44" spans="1:15" s="36" customFormat="1" ht="12" x14ac:dyDescent="0.2">
      <c r="A44" s="33"/>
      <c r="B44" s="62">
        <v>37407</v>
      </c>
      <c r="C44" s="64">
        <v>0</v>
      </c>
      <c r="D44" s="64">
        <v>1774</v>
      </c>
      <c r="E44" s="64"/>
      <c r="F44" s="34"/>
      <c r="G44" s="34"/>
      <c r="H44" s="33"/>
      <c r="I44" s="68">
        <v>41578</v>
      </c>
      <c r="J44" s="64">
        <v>5.72</v>
      </c>
      <c r="K44" s="64">
        <v>0</v>
      </c>
      <c r="L44" s="64"/>
      <c r="M44" s="64"/>
      <c r="N44" s="34"/>
      <c r="O44" s="35"/>
    </row>
    <row r="45" spans="1:15" s="36" customFormat="1" ht="12" x14ac:dyDescent="0.2">
      <c r="A45" s="33"/>
      <c r="B45" s="63">
        <v>37437</v>
      </c>
      <c r="C45" s="65">
        <v>0</v>
      </c>
      <c r="D45" s="65">
        <v>2621</v>
      </c>
      <c r="E45" s="65"/>
      <c r="F45" s="34"/>
      <c r="G45" s="34"/>
      <c r="H45" s="33"/>
      <c r="I45" s="69">
        <v>41579</v>
      </c>
      <c r="J45" s="65">
        <v>5.72</v>
      </c>
      <c r="K45" s="65">
        <v>0</v>
      </c>
      <c r="L45" s="65"/>
      <c r="M45" s="65"/>
      <c r="N45" s="34"/>
      <c r="O45" s="35"/>
    </row>
    <row r="46" spans="1:15" s="36" customFormat="1" ht="12" x14ac:dyDescent="0.2">
      <c r="A46" s="33"/>
      <c r="B46" s="62">
        <v>37468</v>
      </c>
      <c r="C46" s="64">
        <v>0</v>
      </c>
      <c r="D46" s="64">
        <v>813</v>
      </c>
      <c r="E46" s="64"/>
      <c r="F46" s="34"/>
      <c r="G46" s="34"/>
      <c r="H46" s="33"/>
      <c r="I46" s="68">
        <v>41582</v>
      </c>
      <c r="J46" s="64">
        <v>5.72</v>
      </c>
      <c r="K46" s="64">
        <v>0</v>
      </c>
      <c r="L46" s="64"/>
      <c r="M46" s="64"/>
      <c r="N46" s="34"/>
      <c r="O46" s="35"/>
    </row>
    <row r="47" spans="1:15" s="36" customFormat="1" ht="12" x14ac:dyDescent="0.2">
      <c r="A47" s="33"/>
      <c r="B47" s="63">
        <v>37499</v>
      </c>
      <c r="C47" s="65">
        <v>0</v>
      </c>
      <c r="D47" s="65">
        <v>1585</v>
      </c>
      <c r="E47" s="65"/>
      <c r="F47" s="34"/>
      <c r="G47" s="34"/>
      <c r="H47" s="33"/>
      <c r="I47" s="69">
        <v>41583</v>
      </c>
      <c r="J47" s="65">
        <v>5.72</v>
      </c>
      <c r="K47" s="65">
        <v>0</v>
      </c>
      <c r="L47" s="65"/>
      <c r="M47" s="65"/>
      <c r="N47" s="34"/>
      <c r="O47" s="35"/>
    </row>
    <row r="48" spans="1:15" s="36" customFormat="1" ht="12" x14ac:dyDescent="0.2">
      <c r="A48" s="33"/>
      <c r="B48" s="62">
        <v>37529</v>
      </c>
      <c r="C48" s="64">
        <v>0</v>
      </c>
      <c r="D48" s="64">
        <v>3507</v>
      </c>
      <c r="E48" s="64"/>
      <c r="F48" s="34"/>
      <c r="G48" s="34"/>
      <c r="H48" s="33"/>
      <c r="I48" s="68">
        <v>41584</v>
      </c>
      <c r="J48" s="64">
        <v>5.72</v>
      </c>
      <c r="K48" s="64">
        <v>0</v>
      </c>
      <c r="L48" s="64"/>
      <c r="M48" s="64"/>
      <c r="N48" s="34"/>
      <c r="O48" s="35"/>
    </row>
    <row r="49" spans="1:15" s="36" customFormat="1" ht="12" x14ac:dyDescent="0.2">
      <c r="A49" s="33"/>
      <c r="B49" s="63">
        <v>37560</v>
      </c>
      <c r="C49" s="65">
        <v>0</v>
      </c>
      <c r="D49" s="65">
        <v>795</v>
      </c>
      <c r="E49" s="65"/>
      <c r="F49" s="34"/>
      <c r="G49" s="34"/>
      <c r="H49" s="33"/>
      <c r="I49" s="69">
        <v>41585</v>
      </c>
      <c r="J49" s="65">
        <v>5.72</v>
      </c>
      <c r="K49" s="65">
        <v>0</v>
      </c>
      <c r="L49" s="65"/>
      <c r="M49" s="65"/>
      <c r="N49" s="34"/>
      <c r="O49" s="35"/>
    </row>
    <row r="50" spans="1:15" s="36" customFormat="1" ht="12" x14ac:dyDescent="0.2">
      <c r="A50" s="33"/>
      <c r="B50" s="62">
        <v>37590</v>
      </c>
      <c r="C50" s="64">
        <v>0</v>
      </c>
      <c r="D50" s="64">
        <v>1805</v>
      </c>
      <c r="E50" s="64"/>
      <c r="F50" s="34"/>
      <c r="G50" s="34"/>
      <c r="H50" s="33"/>
      <c r="I50" s="68">
        <v>41586</v>
      </c>
      <c r="J50" s="64">
        <v>5.72</v>
      </c>
      <c r="K50" s="64">
        <v>0</v>
      </c>
      <c r="L50" s="64"/>
      <c r="M50" s="64"/>
      <c r="N50" s="34"/>
      <c r="O50" s="35"/>
    </row>
    <row r="51" spans="1:15" s="36" customFormat="1" ht="12" x14ac:dyDescent="0.2">
      <c r="A51" s="33"/>
      <c r="B51" s="63">
        <v>37621</v>
      </c>
      <c r="C51" s="65">
        <v>0</v>
      </c>
      <c r="D51" s="65">
        <v>3109</v>
      </c>
      <c r="E51" s="65"/>
      <c r="F51" s="34"/>
      <c r="G51" s="34"/>
      <c r="H51" s="33"/>
      <c r="I51" s="69">
        <v>41589</v>
      </c>
      <c r="J51" s="65">
        <v>5.72</v>
      </c>
      <c r="K51" s="65">
        <v>0</v>
      </c>
      <c r="L51" s="65"/>
      <c r="M51" s="65"/>
      <c r="N51" s="34"/>
      <c r="O51" s="35"/>
    </row>
    <row r="52" spans="1:15" s="36" customFormat="1" ht="12" x14ac:dyDescent="0.2">
      <c r="A52" s="33"/>
      <c r="B52" s="62">
        <v>37652</v>
      </c>
      <c r="C52" s="64">
        <v>0</v>
      </c>
      <c r="D52" s="64">
        <v>3386</v>
      </c>
      <c r="E52" s="64"/>
      <c r="F52" s="34"/>
      <c r="G52" s="34"/>
      <c r="H52" s="33"/>
      <c r="I52" s="68">
        <v>41590</v>
      </c>
      <c r="J52" s="64">
        <v>5.72</v>
      </c>
      <c r="K52" s="64">
        <v>0</v>
      </c>
      <c r="L52" s="64"/>
      <c r="M52" s="64"/>
      <c r="N52" s="34"/>
      <c r="O52" s="35"/>
    </row>
    <row r="53" spans="1:15" s="36" customFormat="1" ht="12" x14ac:dyDescent="0.2">
      <c r="A53" s="33"/>
      <c r="B53" s="63">
        <v>37680</v>
      </c>
      <c r="C53" s="65">
        <v>0</v>
      </c>
      <c r="D53" s="65">
        <v>998</v>
      </c>
      <c r="E53" s="65"/>
      <c r="F53" s="34"/>
      <c r="G53" s="34"/>
      <c r="H53" s="33"/>
      <c r="I53" s="69">
        <v>41591</v>
      </c>
      <c r="J53" s="65">
        <v>5.72</v>
      </c>
      <c r="K53" s="65">
        <v>0</v>
      </c>
      <c r="L53" s="65"/>
      <c r="M53" s="65"/>
      <c r="N53" s="34"/>
      <c r="O53" s="35"/>
    </row>
    <row r="54" spans="1:15" s="36" customFormat="1" ht="12" x14ac:dyDescent="0.2">
      <c r="A54" s="33"/>
      <c r="B54" s="62">
        <v>37711</v>
      </c>
      <c r="C54" s="64">
        <v>0</v>
      </c>
      <c r="D54" s="64">
        <v>4041</v>
      </c>
      <c r="E54" s="64"/>
      <c r="F54" s="34"/>
      <c r="G54" s="34"/>
      <c r="H54" s="33"/>
      <c r="I54" s="68">
        <v>41592</v>
      </c>
      <c r="J54" s="64">
        <v>5.72</v>
      </c>
      <c r="K54" s="64">
        <v>0</v>
      </c>
      <c r="L54" s="64"/>
      <c r="M54" s="64"/>
      <c r="N54" s="34"/>
      <c r="O54" s="35"/>
    </row>
    <row r="55" spans="1:15" s="36" customFormat="1" ht="12" x14ac:dyDescent="0.2">
      <c r="A55" s="33"/>
      <c r="B55" s="63">
        <v>37741</v>
      </c>
      <c r="C55" s="65">
        <v>0</v>
      </c>
      <c r="D55" s="65">
        <v>2622</v>
      </c>
      <c r="E55" s="65"/>
      <c r="F55" s="34"/>
      <c r="G55" s="34"/>
      <c r="H55" s="33"/>
      <c r="I55" s="69">
        <v>41593</v>
      </c>
      <c r="J55" s="65">
        <v>5.72</v>
      </c>
      <c r="K55" s="65">
        <v>0</v>
      </c>
      <c r="L55" s="65"/>
      <c r="M55" s="65"/>
      <c r="N55" s="34"/>
      <c r="O55" s="35"/>
    </row>
    <row r="56" spans="1:15" s="36" customFormat="1" ht="12" x14ac:dyDescent="0.2">
      <c r="A56" s="33"/>
      <c r="B56" s="62">
        <v>37772</v>
      </c>
      <c r="C56" s="64">
        <v>0</v>
      </c>
      <c r="D56" s="64">
        <v>2971</v>
      </c>
      <c r="E56" s="64"/>
      <c r="F56" s="34"/>
      <c r="G56" s="34"/>
      <c r="H56" s="33"/>
      <c r="I56" s="68">
        <v>41596</v>
      </c>
      <c r="J56" s="64">
        <v>5.72</v>
      </c>
      <c r="K56" s="64">
        <v>0</v>
      </c>
      <c r="L56" s="64"/>
      <c r="M56" s="64"/>
      <c r="N56" s="34"/>
      <c r="O56" s="35"/>
    </row>
    <row r="57" spans="1:15" s="36" customFormat="1" ht="12" x14ac:dyDescent="0.2">
      <c r="A57" s="33"/>
      <c r="B57" s="63">
        <v>37802</v>
      </c>
      <c r="C57" s="65">
        <v>0</v>
      </c>
      <c r="D57" s="65">
        <v>5842</v>
      </c>
      <c r="E57" s="65"/>
      <c r="F57" s="34"/>
      <c r="G57" s="34"/>
      <c r="H57" s="33"/>
      <c r="I57" s="69">
        <v>41597</v>
      </c>
      <c r="J57" s="65">
        <v>5.73</v>
      </c>
      <c r="K57" s="65">
        <v>0</v>
      </c>
      <c r="L57" s="65"/>
      <c r="M57" s="65"/>
      <c r="N57" s="34"/>
      <c r="O57" s="35"/>
    </row>
    <row r="58" spans="1:15" s="36" customFormat="1" ht="12" x14ac:dyDescent="0.2">
      <c r="A58" s="33"/>
      <c r="B58" s="62">
        <v>37833</v>
      </c>
      <c r="C58" s="64">
        <v>0</v>
      </c>
      <c r="D58" s="64">
        <v>1344</v>
      </c>
      <c r="E58" s="64"/>
      <c r="F58" s="34"/>
      <c r="G58" s="34"/>
      <c r="H58" s="33"/>
      <c r="I58" s="68">
        <v>41598</v>
      </c>
      <c r="J58" s="64">
        <v>5.73</v>
      </c>
      <c r="K58" s="64">
        <v>0</v>
      </c>
      <c r="L58" s="64"/>
      <c r="M58" s="64"/>
      <c r="N58" s="34"/>
      <c r="O58" s="35"/>
    </row>
    <row r="59" spans="1:15" s="36" customFormat="1" ht="12" x14ac:dyDescent="0.2">
      <c r="A59" s="33"/>
      <c r="B59" s="63">
        <v>37864</v>
      </c>
      <c r="C59" s="65">
        <v>0</v>
      </c>
      <c r="D59" s="65">
        <v>3321</v>
      </c>
      <c r="E59" s="65"/>
      <c r="F59" s="34"/>
      <c r="G59" s="34"/>
      <c r="H59" s="33"/>
      <c r="I59" s="69">
        <v>41599</v>
      </c>
      <c r="J59" s="65">
        <v>5.73</v>
      </c>
      <c r="K59" s="65">
        <v>0</v>
      </c>
      <c r="L59" s="65"/>
      <c r="M59" s="65"/>
      <c r="N59" s="34"/>
      <c r="O59" s="35"/>
    </row>
    <row r="60" spans="1:15" s="36" customFormat="1" ht="12" x14ac:dyDescent="0.2">
      <c r="A60" s="33"/>
      <c r="B60" s="62">
        <v>37894</v>
      </c>
      <c r="C60" s="64">
        <v>0</v>
      </c>
      <c r="D60" s="64">
        <v>4040</v>
      </c>
      <c r="E60" s="64"/>
      <c r="F60" s="34"/>
      <c r="G60" s="34"/>
      <c r="H60" s="33"/>
      <c r="I60" s="68">
        <v>41600</v>
      </c>
      <c r="J60" s="64">
        <v>5.73</v>
      </c>
      <c r="K60" s="64">
        <v>0</v>
      </c>
      <c r="L60" s="64"/>
      <c r="M60" s="64"/>
      <c r="N60" s="34"/>
      <c r="O60" s="35"/>
    </row>
    <row r="61" spans="1:15" s="36" customFormat="1" ht="12" x14ac:dyDescent="0.2">
      <c r="A61" s="33"/>
      <c r="B61" s="63">
        <v>37925</v>
      </c>
      <c r="C61" s="65">
        <v>0</v>
      </c>
      <c r="D61" s="65">
        <v>1218</v>
      </c>
      <c r="E61" s="65"/>
      <c r="F61" s="34"/>
      <c r="G61" s="34"/>
      <c r="H61" s="33"/>
      <c r="I61" s="69">
        <v>41603</v>
      </c>
      <c r="J61" s="65">
        <v>5.73</v>
      </c>
      <c r="K61" s="65">
        <v>0</v>
      </c>
      <c r="L61" s="65"/>
      <c r="M61" s="65"/>
      <c r="N61" s="34"/>
      <c r="O61" s="35"/>
    </row>
    <row r="62" spans="1:15" s="36" customFormat="1" ht="12" x14ac:dyDescent="0.2">
      <c r="A62" s="33"/>
      <c r="B62" s="62">
        <v>37955</v>
      </c>
      <c r="C62" s="64">
        <v>0</v>
      </c>
      <c r="D62" s="64">
        <v>1832</v>
      </c>
      <c r="E62" s="64"/>
      <c r="F62" s="34"/>
      <c r="G62" s="34"/>
      <c r="H62" s="33"/>
      <c r="I62" s="68">
        <v>41604</v>
      </c>
      <c r="J62" s="64">
        <v>5.73</v>
      </c>
      <c r="K62" s="64">
        <v>0</v>
      </c>
      <c r="L62" s="64"/>
      <c r="M62" s="64"/>
      <c r="N62" s="34"/>
      <c r="O62" s="35"/>
    </row>
    <row r="63" spans="1:15" s="36" customFormat="1" ht="12" x14ac:dyDescent="0.2">
      <c r="A63" s="33"/>
      <c r="B63" s="63">
        <v>37986</v>
      </c>
      <c r="C63" s="65">
        <v>22.3</v>
      </c>
      <c r="D63" s="65">
        <v>2498</v>
      </c>
      <c r="E63" s="65"/>
      <c r="F63" s="34"/>
      <c r="G63" s="34"/>
      <c r="H63" s="33"/>
      <c r="I63" s="69">
        <v>41605</v>
      </c>
      <c r="J63" s="65">
        <v>5.73</v>
      </c>
      <c r="K63" s="65">
        <v>0</v>
      </c>
      <c r="L63" s="65"/>
      <c r="M63" s="65"/>
      <c r="N63" s="34"/>
      <c r="O63" s="35"/>
    </row>
    <row r="64" spans="1:15" s="36" customFormat="1" ht="12" x14ac:dyDescent="0.2">
      <c r="A64" s="33"/>
      <c r="B64" s="62">
        <v>38017</v>
      </c>
      <c r="C64" s="64">
        <v>0</v>
      </c>
      <c r="D64" s="64">
        <v>2114</v>
      </c>
      <c r="E64" s="64"/>
      <c r="F64" s="34"/>
      <c r="G64" s="34"/>
      <c r="H64" s="33"/>
      <c r="I64" s="68">
        <v>41606</v>
      </c>
      <c r="J64" s="64">
        <v>5.73</v>
      </c>
      <c r="K64" s="64">
        <v>0</v>
      </c>
      <c r="L64" s="64"/>
      <c r="M64" s="64"/>
      <c r="N64" s="34"/>
      <c r="O64" s="35"/>
    </row>
    <row r="65" spans="1:15" s="36" customFormat="1" ht="12" x14ac:dyDescent="0.2">
      <c r="A65" s="33"/>
      <c r="B65" s="63">
        <v>38046</v>
      </c>
      <c r="C65" s="65">
        <v>0</v>
      </c>
      <c r="D65" s="65">
        <v>438</v>
      </c>
      <c r="E65" s="65"/>
      <c r="F65" s="34"/>
      <c r="G65" s="34"/>
      <c r="H65" s="33"/>
      <c r="I65" s="69">
        <v>41607</v>
      </c>
      <c r="J65" s="65">
        <v>5.73</v>
      </c>
      <c r="K65" s="65">
        <v>0</v>
      </c>
      <c r="L65" s="65"/>
      <c r="M65" s="65"/>
      <c r="N65" s="34"/>
      <c r="O65" s="35"/>
    </row>
    <row r="66" spans="1:15" s="36" customFormat="1" ht="12" x14ac:dyDescent="0.2">
      <c r="A66" s="33"/>
      <c r="B66" s="62">
        <v>38077</v>
      </c>
      <c r="C66" s="64">
        <v>0</v>
      </c>
      <c r="D66" s="64">
        <v>6557</v>
      </c>
      <c r="E66" s="64"/>
      <c r="F66" s="34"/>
      <c r="G66" s="34"/>
      <c r="H66" s="33"/>
      <c r="I66" s="68">
        <v>41610</v>
      </c>
      <c r="J66" s="64">
        <v>5.73</v>
      </c>
      <c r="K66" s="64">
        <v>0</v>
      </c>
      <c r="L66" s="64"/>
      <c r="M66" s="64"/>
      <c r="N66" s="34"/>
      <c r="O66" s="35"/>
    </row>
    <row r="67" spans="1:15" s="36" customFormat="1" ht="12" x14ac:dyDescent="0.2">
      <c r="A67" s="33"/>
      <c r="B67" s="63">
        <v>38107</v>
      </c>
      <c r="C67" s="65">
        <v>0</v>
      </c>
      <c r="D67" s="65">
        <v>2731</v>
      </c>
      <c r="E67" s="65"/>
      <c r="F67" s="34"/>
      <c r="G67" s="34"/>
      <c r="H67" s="33"/>
      <c r="I67" s="69">
        <v>41611</v>
      </c>
      <c r="J67" s="65">
        <v>5.73</v>
      </c>
      <c r="K67" s="65">
        <v>0</v>
      </c>
      <c r="L67" s="65"/>
      <c r="M67" s="65"/>
      <c r="N67" s="34"/>
      <c r="O67" s="35"/>
    </row>
    <row r="68" spans="1:15" s="36" customFormat="1" ht="12" x14ac:dyDescent="0.2">
      <c r="A68" s="33"/>
      <c r="B68" s="62">
        <v>38138</v>
      </c>
      <c r="C68" s="64">
        <v>0</v>
      </c>
      <c r="D68" s="64">
        <v>2443</v>
      </c>
      <c r="E68" s="64"/>
      <c r="F68" s="34"/>
      <c r="G68" s="34"/>
      <c r="H68" s="33"/>
      <c r="I68" s="68">
        <v>41612</v>
      </c>
      <c r="J68" s="64">
        <v>5.73</v>
      </c>
      <c r="K68" s="64">
        <v>0</v>
      </c>
      <c r="L68" s="64"/>
      <c r="M68" s="64"/>
      <c r="N68" s="34"/>
      <c r="O68" s="35"/>
    </row>
    <row r="69" spans="1:15" s="36" customFormat="1" ht="12" x14ac:dyDescent="0.2">
      <c r="A69" s="33"/>
      <c r="B69" s="63">
        <v>38168</v>
      </c>
      <c r="C69" s="65">
        <v>0</v>
      </c>
      <c r="D69" s="65">
        <v>3229</v>
      </c>
      <c r="E69" s="65"/>
      <c r="F69" s="34"/>
      <c r="G69" s="34"/>
      <c r="H69" s="33"/>
      <c r="I69" s="69">
        <v>41613</v>
      </c>
      <c r="J69" s="65">
        <v>5.73</v>
      </c>
      <c r="K69" s="65">
        <v>0</v>
      </c>
      <c r="L69" s="65"/>
      <c r="M69" s="65"/>
      <c r="N69" s="34"/>
      <c r="O69" s="35"/>
    </row>
    <row r="70" spans="1:15" s="36" customFormat="1" ht="12" x14ac:dyDescent="0.2">
      <c r="A70" s="33"/>
      <c r="B70" s="62">
        <v>38199</v>
      </c>
      <c r="C70" s="64">
        <v>0</v>
      </c>
      <c r="D70" s="64">
        <v>590</v>
      </c>
      <c r="E70" s="64"/>
      <c r="F70" s="34"/>
      <c r="G70" s="34"/>
      <c r="H70" s="33"/>
      <c r="I70" s="68">
        <v>41614</v>
      </c>
      <c r="J70" s="64">
        <v>5.73</v>
      </c>
      <c r="K70" s="64">
        <v>0</v>
      </c>
      <c r="L70" s="64"/>
      <c r="M70" s="64"/>
      <c r="N70" s="34"/>
      <c r="O70" s="35"/>
    </row>
    <row r="71" spans="1:15" s="36" customFormat="1" ht="12" x14ac:dyDescent="0.2">
      <c r="A71" s="33"/>
      <c r="B71" s="63">
        <v>38230</v>
      </c>
      <c r="C71" s="65">
        <v>0</v>
      </c>
      <c r="D71" s="65">
        <v>1501</v>
      </c>
      <c r="E71" s="65"/>
      <c r="F71" s="34"/>
      <c r="G71" s="34"/>
      <c r="H71" s="33"/>
      <c r="I71" s="69">
        <v>41617</v>
      </c>
      <c r="J71" s="65">
        <v>5.73</v>
      </c>
      <c r="K71" s="65">
        <v>0</v>
      </c>
      <c r="L71" s="65"/>
      <c r="M71" s="65"/>
      <c r="N71" s="34"/>
      <c r="O71" s="35"/>
    </row>
    <row r="72" spans="1:15" s="36" customFormat="1" ht="12" x14ac:dyDescent="0.2">
      <c r="A72" s="33"/>
      <c r="B72" s="62">
        <v>38260</v>
      </c>
      <c r="C72" s="64">
        <v>0</v>
      </c>
      <c r="D72" s="64">
        <v>2981</v>
      </c>
      <c r="E72" s="64"/>
      <c r="F72" s="34"/>
      <c r="G72" s="34"/>
      <c r="H72" s="33"/>
      <c r="I72" s="68">
        <v>41618</v>
      </c>
      <c r="J72" s="64">
        <v>5.73</v>
      </c>
      <c r="K72" s="64">
        <v>0</v>
      </c>
      <c r="L72" s="64"/>
      <c r="M72" s="64"/>
      <c r="N72" s="34"/>
      <c r="O72" s="35"/>
    </row>
    <row r="73" spans="1:15" s="36" customFormat="1" ht="12" x14ac:dyDescent="0.2">
      <c r="A73" s="33"/>
      <c r="B73" s="63">
        <v>38291</v>
      </c>
      <c r="C73" s="65">
        <v>0</v>
      </c>
      <c r="D73" s="65">
        <v>483</v>
      </c>
      <c r="E73" s="65"/>
      <c r="F73" s="34"/>
      <c r="G73" s="34"/>
      <c r="H73" s="33"/>
      <c r="I73" s="69">
        <v>41619</v>
      </c>
      <c r="J73" s="65">
        <v>5.73</v>
      </c>
      <c r="K73" s="65">
        <v>0</v>
      </c>
      <c r="L73" s="65"/>
      <c r="M73" s="65"/>
      <c r="N73" s="34"/>
      <c r="O73" s="35"/>
    </row>
    <row r="74" spans="1:15" s="36" customFormat="1" ht="12" x14ac:dyDescent="0.2">
      <c r="A74" s="33"/>
      <c r="B74" s="62">
        <v>38321</v>
      </c>
      <c r="C74" s="64">
        <v>0</v>
      </c>
      <c r="D74" s="64">
        <v>1977</v>
      </c>
      <c r="E74" s="64"/>
      <c r="F74" s="34"/>
      <c r="G74" s="34"/>
      <c r="H74" s="33"/>
      <c r="I74" s="68">
        <v>41620</v>
      </c>
      <c r="J74" s="64">
        <v>5.73</v>
      </c>
      <c r="K74" s="64">
        <v>0</v>
      </c>
      <c r="L74" s="64"/>
      <c r="M74" s="64"/>
      <c r="N74" s="34"/>
      <c r="O74" s="35"/>
    </row>
    <row r="75" spans="1:15" s="36" customFormat="1" ht="12" x14ac:dyDescent="0.2">
      <c r="A75" s="33"/>
      <c r="B75" s="63">
        <v>38352</v>
      </c>
      <c r="C75" s="65">
        <v>14.9</v>
      </c>
      <c r="D75" s="65">
        <v>3586</v>
      </c>
      <c r="E75" s="65"/>
      <c r="F75" s="34"/>
      <c r="G75" s="34"/>
      <c r="H75" s="33"/>
      <c r="I75" s="69">
        <v>41621</v>
      </c>
      <c r="J75" s="65">
        <v>5.73</v>
      </c>
      <c r="K75" s="65">
        <v>0</v>
      </c>
      <c r="L75" s="65"/>
      <c r="M75" s="65"/>
      <c r="N75" s="34"/>
      <c r="O75" s="35"/>
    </row>
    <row r="76" spans="1:15" s="36" customFormat="1" ht="12" x14ac:dyDescent="0.2">
      <c r="A76" s="33"/>
      <c r="B76" s="62">
        <v>38383</v>
      </c>
      <c r="C76" s="64">
        <v>0</v>
      </c>
      <c r="D76" s="64">
        <v>3620</v>
      </c>
      <c r="E76" s="64"/>
      <c r="F76" s="34"/>
      <c r="G76" s="34"/>
      <c r="H76" s="33"/>
      <c r="I76" s="68">
        <v>41624</v>
      </c>
      <c r="J76" s="64">
        <v>5.73</v>
      </c>
      <c r="K76" s="64">
        <v>0</v>
      </c>
      <c r="L76" s="64"/>
      <c r="M76" s="64"/>
      <c r="N76" s="34"/>
      <c r="O76" s="35"/>
    </row>
    <row r="77" spans="1:15" s="36" customFormat="1" ht="12" x14ac:dyDescent="0.2">
      <c r="A77" s="33"/>
      <c r="B77" s="63">
        <v>38411</v>
      </c>
      <c r="C77" s="65">
        <v>0</v>
      </c>
      <c r="D77" s="65">
        <v>824</v>
      </c>
      <c r="E77" s="65"/>
      <c r="F77" s="34"/>
      <c r="G77" s="34"/>
      <c r="H77" s="33"/>
      <c r="I77" s="69">
        <v>41625</v>
      </c>
      <c r="J77" s="65">
        <v>5.73</v>
      </c>
      <c r="K77" s="65">
        <v>0</v>
      </c>
      <c r="L77" s="65"/>
      <c r="M77" s="65"/>
      <c r="N77" s="34"/>
      <c r="O77" s="35"/>
    </row>
    <row r="78" spans="1:15" s="36" customFormat="1" ht="12" x14ac:dyDescent="0.2">
      <c r="A78" s="33"/>
      <c r="B78" s="62">
        <v>38442</v>
      </c>
      <c r="C78" s="64">
        <v>0</v>
      </c>
      <c r="D78" s="64">
        <v>4189</v>
      </c>
      <c r="E78" s="64"/>
      <c r="F78" s="34"/>
      <c r="G78" s="34"/>
      <c r="H78" s="33"/>
      <c r="I78" s="68">
        <v>41626</v>
      </c>
      <c r="J78" s="64">
        <v>5.73</v>
      </c>
      <c r="K78" s="64">
        <v>0</v>
      </c>
      <c r="L78" s="64"/>
      <c r="M78" s="64"/>
      <c r="N78" s="34"/>
      <c r="O78" s="35"/>
    </row>
    <row r="79" spans="1:15" s="36" customFormat="1" ht="12" x14ac:dyDescent="0.2">
      <c r="A79" s="33"/>
      <c r="B79" s="63">
        <v>38472</v>
      </c>
      <c r="C79" s="65">
        <v>0</v>
      </c>
      <c r="D79" s="65">
        <v>1999</v>
      </c>
      <c r="E79" s="65"/>
      <c r="F79" s="34"/>
      <c r="G79" s="34"/>
      <c r="H79" s="33"/>
      <c r="I79" s="69">
        <v>41627</v>
      </c>
      <c r="J79" s="65">
        <v>5.73</v>
      </c>
      <c r="K79" s="65">
        <v>0</v>
      </c>
      <c r="L79" s="65"/>
      <c r="M79" s="65"/>
      <c r="N79" s="34"/>
      <c r="O79" s="35"/>
    </row>
    <row r="80" spans="1:15" s="36" customFormat="1" ht="12" x14ac:dyDescent="0.2">
      <c r="A80" s="33"/>
      <c r="B80" s="62">
        <v>38503</v>
      </c>
      <c r="C80" s="64">
        <v>0</v>
      </c>
      <c r="D80" s="64">
        <v>1968</v>
      </c>
      <c r="E80" s="64"/>
      <c r="F80" s="34"/>
      <c r="G80" s="34"/>
      <c r="H80" s="33"/>
      <c r="I80" s="68">
        <v>41628</v>
      </c>
      <c r="J80" s="64">
        <v>5.73</v>
      </c>
      <c r="K80" s="64">
        <v>0</v>
      </c>
      <c r="L80" s="64"/>
      <c r="M80" s="64"/>
      <c r="N80" s="34"/>
      <c r="O80" s="35"/>
    </row>
    <row r="81" spans="1:15" s="36" customFormat="1" ht="12" x14ac:dyDescent="0.2">
      <c r="A81" s="33"/>
      <c r="B81" s="63">
        <v>38533</v>
      </c>
      <c r="C81" s="65">
        <v>0</v>
      </c>
      <c r="D81" s="65">
        <v>4723</v>
      </c>
      <c r="E81" s="65"/>
      <c r="F81" s="34"/>
      <c r="G81" s="34"/>
      <c r="H81" s="33"/>
      <c r="I81" s="69">
        <v>41631</v>
      </c>
      <c r="J81" s="65">
        <v>5.73</v>
      </c>
      <c r="K81" s="65">
        <v>0</v>
      </c>
      <c r="L81" s="65"/>
      <c r="M81" s="65"/>
      <c r="N81" s="34"/>
      <c r="O81" s="35"/>
    </row>
    <row r="82" spans="1:15" s="36" customFormat="1" ht="12" x14ac:dyDescent="0.2">
      <c r="A82" s="33"/>
      <c r="B82" s="62">
        <v>38564</v>
      </c>
      <c r="C82" s="64">
        <v>0</v>
      </c>
      <c r="D82" s="64">
        <v>629</v>
      </c>
      <c r="E82" s="64"/>
      <c r="F82" s="34"/>
      <c r="G82" s="34"/>
      <c r="H82" s="33"/>
      <c r="I82" s="68">
        <v>41632</v>
      </c>
      <c r="J82" s="64">
        <v>5.73</v>
      </c>
      <c r="K82" s="64">
        <v>0</v>
      </c>
      <c r="L82" s="64"/>
      <c r="M82" s="64"/>
      <c r="N82" s="34"/>
      <c r="O82" s="35"/>
    </row>
    <row r="83" spans="1:15" s="36" customFormat="1" ht="12" x14ac:dyDescent="0.2">
      <c r="A83" s="33"/>
      <c r="B83" s="63">
        <v>38595</v>
      </c>
      <c r="C83" s="65">
        <v>0</v>
      </c>
      <c r="D83" s="65">
        <v>2097</v>
      </c>
      <c r="E83" s="65"/>
      <c r="F83" s="34"/>
      <c r="G83" s="34"/>
      <c r="H83" s="33"/>
      <c r="I83" s="69">
        <v>41633</v>
      </c>
      <c r="J83" s="65">
        <v>5.73</v>
      </c>
      <c r="K83" s="65">
        <v>0</v>
      </c>
      <c r="L83" s="65"/>
      <c r="M83" s="65"/>
      <c r="N83" s="34"/>
      <c r="O83" s="35"/>
    </row>
    <row r="84" spans="1:15" s="36" customFormat="1" ht="12" x14ac:dyDescent="0.2">
      <c r="A84" s="33"/>
      <c r="B84" s="62">
        <v>38625</v>
      </c>
      <c r="C84" s="64">
        <v>0</v>
      </c>
      <c r="D84" s="64">
        <v>6041</v>
      </c>
      <c r="E84" s="64"/>
      <c r="F84" s="34"/>
      <c r="G84" s="34"/>
      <c r="H84" s="33"/>
      <c r="I84" s="68">
        <v>41634</v>
      </c>
      <c r="J84" s="64">
        <v>5.73</v>
      </c>
      <c r="K84" s="64">
        <v>0</v>
      </c>
      <c r="L84" s="64"/>
      <c r="M84" s="64"/>
      <c r="N84" s="34"/>
      <c r="O84" s="35"/>
    </row>
    <row r="85" spans="1:15" s="36" customFormat="1" ht="12" x14ac:dyDescent="0.2">
      <c r="A85" s="33"/>
      <c r="B85" s="63">
        <v>38656</v>
      </c>
      <c r="C85" s="65">
        <v>0</v>
      </c>
      <c r="D85" s="65">
        <v>-974</v>
      </c>
      <c r="E85" s="65"/>
      <c r="F85" s="34"/>
      <c r="G85" s="34"/>
      <c r="H85" s="33"/>
      <c r="I85" s="69">
        <v>41635</v>
      </c>
      <c r="J85" s="65">
        <v>5.73</v>
      </c>
      <c r="K85" s="65">
        <v>0</v>
      </c>
      <c r="L85" s="65"/>
      <c r="M85" s="65"/>
      <c r="N85" s="34"/>
      <c r="O85" s="35"/>
    </row>
    <row r="86" spans="1:15" s="36" customFormat="1" ht="12" x14ac:dyDescent="0.2">
      <c r="A86" s="33"/>
      <c r="B86" s="62">
        <v>38686</v>
      </c>
      <c r="C86" s="64">
        <v>0</v>
      </c>
      <c r="D86" s="64">
        <v>2368</v>
      </c>
      <c r="E86" s="64"/>
      <c r="F86" s="34"/>
      <c r="G86" s="34"/>
      <c r="H86" s="33"/>
      <c r="I86" s="68">
        <v>41638</v>
      </c>
      <c r="J86" s="64">
        <v>5.73</v>
      </c>
      <c r="K86" s="64">
        <v>0</v>
      </c>
      <c r="L86" s="64"/>
      <c r="M86" s="64"/>
      <c r="N86" s="34"/>
      <c r="O86" s="35"/>
    </row>
    <row r="87" spans="1:15" s="36" customFormat="1" ht="12" x14ac:dyDescent="0.2">
      <c r="A87" s="33"/>
      <c r="B87" s="63">
        <v>38717</v>
      </c>
      <c r="C87" s="65">
        <v>13.5</v>
      </c>
      <c r="D87" s="65">
        <v>2524</v>
      </c>
      <c r="E87" s="65"/>
      <c r="F87" s="34"/>
      <c r="G87" s="34"/>
      <c r="H87" s="33"/>
      <c r="I87" s="69">
        <v>41639</v>
      </c>
      <c r="J87" s="65">
        <v>5.73</v>
      </c>
      <c r="K87" s="65">
        <v>0</v>
      </c>
      <c r="L87" s="65"/>
      <c r="M87" s="65"/>
      <c r="N87" s="34"/>
      <c r="O87" s="35"/>
    </row>
    <row r="88" spans="1:15" s="36" customFormat="1" ht="12" x14ac:dyDescent="0.2">
      <c r="A88" s="33"/>
      <c r="B88" s="62">
        <v>38748</v>
      </c>
      <c r="C88" s="64">
        <v>0</v>
      </c>
      <c r="D88" s="64">
        <v>6323</v>
      </c>
      <c r="E88" s="64"/>
      <c r="F88" s="34"/>
      <c r="G88" s="34"/>
      <c r="H88" s="33"/>
      <c r="I88" s="68">
        <v>41641</v>
      </c>
      <c r="J88" s="64">
        <v>5.73</v>
      </c>
      <c r="K88" s="64">
        <v>0</v>
      </c>
      <c r="L88" s="64"/>
      <c r="M88" s="64"/>
      <c r="N88" s="34"/>
      <c r="O88" s="35"/>
    </row>
    <row r="89" spans="1:15" s="36" customFormat="1" ht="12" x14ac:dyDescent="0.2">
      <c r="A89" s="33"/>
      <c r="B89" s="63">
        <v>38776</v>
      </c>
      <c r="C89" s="65">
        <v>0</v>
      </c>
      <c r="D89" s="65">
        <v>1737</v>
      </c>
      <c r="E89" s="65"/>
      <c r="F89" s="34"/>
      <c r="G89" s="34"/>
      <c r="H89" s="33"/>
      <c r="I89" s="69">
        <v>41642</v>
      </c>
      <c r="J89" s="65">
        <v>5.73</v>
      </c>
      <c r="K89" s="65">
        <v>0</v>
      </c>
      <c r="L89" s="65"/>
      <c r="M89" s="65"/>
      <c r="N89" s="34"/>
      <c r="O89" s="35"/>
    </row>
    <row r="90" spans="1:15" s="36" customFormat="1" ht="12" x14ac:dyDescent="0.2">
      <c r="A90" s="33"/>
      <c r="B90" s="62">
        <v>38807</v>
      </c>
      <c r="C90" s="64">
        <v>0</v>
      </c>
      <c r="D90" s="64">
        <v>7472</v>
      </c>
      <c r="E90" s="64"/>
      <c r="F90" s="34"/>
      <c r="G90" s="34"/>
      <c r="H90" s="33"/>
      <c r="I90" s="68">
        <v>41645</v>
      </c>
      <c r="J90" s="64">
        <v>5.73</v>
      </c>
      <c r="K90" s="64">
        <v>0</v>
      </c>
      <c r="L90" s="64"/>
      <c r="M90" s="64"/>
      <c r="N90" s="34"/>
      <c r="O90" s="35"/>
    </row>
    <row r="91" spans="1:15" s="36" customFormat="1" ht="12" x14ac:dyDescent="0.2">
      <c r="A91" s="33"/>
      <c r="B91" s="63">
        <v>38837</v>
      </c>
      <c r="C91" s="65">
        <v>0</v>
      </c>
      <c r="D91" s="65">
        <v>3325</v>
      </c>
      <c r="E91" s="65"/>
      <c r="F91" s="34"/>
      <c r="G91" s="34"/>
      <c r="H91" s="33"/>
      <c r="I91" s="69">
        <v>41646</v>
      </c>
      <c r="J91" s="65">
        <v>5.73</v>
      </c>
      <c r="K91" s="65">
        <v>0</v>
      </c>
      <c r="L91" s="65"/>
      <c r="M91" s="65"/>
      <c r="N91" s="34"/>
      <c r="O91" s="35"/>
    </row>
    <row r="92" spans="1:15" s="36" customFormat="1" ht="12" x14ac:dyDescent="0.2">
      <c r="A92" s="33"/>
      <c r="B92" s="62">
        <v>38868</v>
      </c>
      <c r="C92" s="64">
        <v>0</v>
      </c>
      <c r="D92" s="64">
        <v>3785</v>
      </c>
      <c r="E92" s="64"/>
      <c r="F92" s="34"/>
      <c r="G92" s="34"/>
      <c r="H92" s="33"/>
      <c r="I92" s="68">
        <v>41647</v>
      </c>
      <c r="J92" s="64">
        <v>5.73</v>
      </c>
      <c r="K92" s="64">
        <v>0</v>
      </c>
      <c r="L92" s="64"/>
      <c r="M92" s="64"/>
      <c r="N92" s="34"/>
      <c r="O92" s="35"/>
    </row>
    <row r="93" spans="1:15" s="36" customFormat="1" ht="12" x14ac:dyDescent="0.2">
      <c r="A93" s="33"/>
      <c r="B93" s="63">
        <v>38898</v>
      </c>
      <c r="C93" s="65">
        <v>0</v>
      </c>
      <c r="D93" s="65">
        <v>3843</v>
      </c>
      <c r="E93" s="65"/>
      <c r="F93" s="34"/>
      <c r="G93" s="34"/>
      <c r="H93" s="33"/>
      <c r="I93" s="69">
        <v>41648</v>
      </c>
      <c r="J93" s="65">
        <v>5.73</v>
      </c>
      <c r="K93" s="65">
        <v>0</v>
      </c>
      <c r="L93" s="65"/>
      <c r="M93" s="65"/>
      <c r="N93" s="34"/>
      <c r="O93" s="35"/>
    </row>
    <row r="94" spans="1:15" s="36" customFormat="1" ht="12" x14ac:dyDescent="0.2">
      <c r="A94" s="33"/>
      <c r="B94" s="62">
        <v>38929</v>
      </c>
      <c r="C94" s="64">
        <v>0</v>
      </c>
      <c r="D94" s="64">
        <v>2254</v>
      </c>
      <c r="E94" s="64"/>
      <c r="F94" s="34"/>
      <c r="G94" s="34"/>
      <c r="H94" s="33"/>
      <c r="I94" s="68">
        <v>41649</v>
      </c>
      <c r="J94" s="64">
        <v>5.73</v>
      </c>
      <c r="K94" s="64">
        <v>0</v>
      </c>
      <c r="L94" s="64"/>
      <c r="M94" s="64"/>
      <c r="N94" s="34"/>
      <c r="O94" s="35"/>
    </row>
    <row r="95" spans="1:15" s="36" customFormat="1" ht="12" x14ac:dyDescent="0.2">
      <c r="A95" s="33"/>
      <c r="B95" s="63">
        <v>38960</v>
      </c>
      <c r="C95" s="65">
        <v>0</v>
      </c>
      <c r="D95" s="65">
        <v>3362</v>
      </c>
      <c r="E95" s="65"/>
      <c r="F95" s="34"/>
      <c r="G95" s="34"/>
      <c r="H95" s="33"/>
      <c r="I95" s="69">
        <v>41652</v>
      </c>
      <c r="J95" s="65">
        <v>5.73</v>
      </c>
      <c r="K95" s="65">
        <v>0</v>
      </c>
      <c r="L95" s="65"/>
      <c r="M95" s="65"/>
      <c r="N95" s="34"/>
      <c r="O95" s="35"/>
    </row>
    <row r="96" spans="1:15" s="36" customFormat="1" ht="12" x14ac:dyDescent="0.2">
      <c r="A96" s="33"/>
      <c r="B96" s="62">
        <v>38990</v>
      </c>
      <c r="C96" s="64">
        <v>0</v>
      </c>
      <c r="D96" s="64">
        <v>3077</v>
      </c>
      <c r="E96" s="64"/>
      <c r="F96" s="34"/>
      <c r="G96" s="34"/>
      <c r="H96" s="33"/>
      <c r="I96" s="68">
        <v>41653</v>
      </c>
      <c r="J96" s="64">
        <v>5.73</v>
      </c>
      <c r="K96" s="64">
        <v>0</v>
      </c>
      <c r="L96" s="64"/>
      <c r="M96" s="64"/>
      <c r="N96" s="34"/>
      <c r="O96" s="35"/>
    </row>
    <row r="97" spans="1:15" s="36" customFormat="1" ht="12" x14ac:dyDescent="0.2">
      <c r="A97" s="33"/>
      <c r="B97" s="63">
        <v>39021</v>
      </c>
      <c r="C97" s="65">
        <v>0</v>
      </c>
      <c r="D97" s="65">
        <v>894</v>
      </c>
      <c r="E97" s="65"/>
      <c r="F97" s="34"/>
      <c r="G97" s="34"/>
      <c r="H97" s="33"/>
      <c r="I97" s="69">
        <v>41654</v>
      </c>
      <c r="J97" s="65">
        <v>5.73</v>
      </c>
      <c r="K97" s="65">
        <v>0</v>
      </c>
      <c r="L97" s="65"/>
      <c r="M97" s="65"/>
      <c r="N97" s="34"/>
      <c r="O97" s="35"/>
    </row>
    <row r="98" spans="1:15" s="36" customFormat="1" ht="12" x14ac:dyDescent="0.2">
      <c r="A98" s="33"/>
      <c r="B98" s="62">
        <v>39051</v>
      </c>
      <c r="C98" s="64">
        <v>0</v>
      </c>
      <c r="D98" s="64">
        <v>2788</v>
      </c>
      <c r="E98" s="64"/>
      <c r="F98" s="34"/>
      <c r="G98" s="34"/>
      <c r="H98" s="33"/>
      <c r="I98" s="68">
        <v>41655</v>
      </c>
      <c r="J98" s="64">
        <v>5.73</v>
      </c>
      <c r="K98" s="64">
        <v>0</v>
      </c>
      <c r="L98" s="64"/>
      <c r="M98" s="64"/>
      <c r="N98" s="34"/>
      <c r="O98" s="35"/>
    </row>
    <row r="99" spans="1:15" s="36" customFormat="1" ht="12" x14ac:dyDescent="0.2">
      <c r="A99" s="33"/>
      <c r="B99" s="63">
        <v>39082</v>
      </c>
      <c r="C99" s="65">
        <v>18.100000000000001</v>
      </c>
      <c r="D99" s="65">
        <v>3837</v>
      </c>
      <c r="E99" s="65"/>
      <c r="F99" s="34"/>
      <c r="G99" s="34"/>
      <c r="H99" s="33"/>
      <c r="I99" s="69">
        <v>41656</v>
      </c>
      <c r="J99" s="65">
        <v>5.73</v>
      </c>
      <c r="K99" s="65">
        <v>0</v>
      </c>
      <c r="L99" s="65"/>
      <c r="M99" s="65"/>
      <c r="N99" s="34"/>
      <c r="O99" s="35"/>
    </row>
    <row r="100" spans="1:15" s="36" customFormat="1" ht="12" x14ac:dyDescent="0.2">
      <c r="A100" s="33"/>
      <c r="B100" s="62">
        <v>39113</v>
      </c>
      <c r="C100" s="64">
        <v>0</v>
      </c>
      <c r="D100" s="64">
        <v>6908</v>
      </c>
      <c r="E100" s="64"/>
      <c r="F100" s="34"/>
      <c r="G100" s="34"/>
      <c r="H100" s="33"/>
      <c r="I100" s="68">
        <v>41659</v>
      </c>
      <c r="J100" s="64">
        <v>5.73</v>
      </c>
      <c r="K100" s="64">
        <v>0</v>
      </c>
      <c r="L100" s="64"/>
      <c r="M100" s="64"/>
      <c r="N100" s="34"/>
      <c r="O100" s="35"/>
    </row>
    <row r="101" spans="1:15" s="36" customFormat="1" ht="12" x14ac:dyDescent="0.2">
      <c r="A101" s="33"/>
      <c r="B101" s="63">
        <v>39141</v>
      </c>
      <c r="C101" s="65">
        <v>0</v>
      </c>
      <c r="D101" s="65">
        <v>3083</v>
      </c>
      <c r="E101" s="65"/>
      <c r="F101" s="34"/>
      <c r="G101" s="34"/>
      <c r="H101" s="33"/>
      <c r="I101" s="69">
        <v>41660</v>
      </c>
      <c r="J101" s="65">
        <v>5.73</v>
      </c>
      <c r="K101" s="65">
        <v>0</v>
      </c>
      <c r="L101" s="65"/>
      <c r="M101" s="65"/>
      <c r="N101" s="34"/>
      <c r="O101" s="35"/>
    </row>
    <row r="102" spans="1:15" s="36" customFormat="1" ht="12" x14ac:dyDescent="0.2">
      <c r="A102" s="33"/>
      <c r="B102" s="62">
        <v>39172</v>
      </c>
      <c r="C102" s="64">
        <v>0</v>
      </c>
      <c r="D102" s="64">
        <v>6311</v>
      </c>
      <c r="E102" s="64"/>
      <c r="F102" s="34"/>
      <c r="G102" s="34"/>
      <c r="H102" s="33"/>
      <c r="I102" s="68">
        <v>41661</v>
      </c>
      <c r="J102" s="64">
        <v>5.73</v>
      </c>
      <c r="K102" s="64">
        <v>0</v>
      </c>
      <c r="L102" s="64"/>
      <c r="M102" s="64"/>
      <c r="N102" s="34"/>
      <c r="O102" s="35"/>
    </row>
    <row r="103" spans="1:15" s="36" customFormat="1" ht="12" x14ac:dyDescent="0.2">
      <c r="A103" s="33"/>
      <c r="B103" s="63">
        <v>39202</v>
      </c>
      <c r="C103" s="65">
        <v>0</v>
      </c>
      <c r="D103" s="65">
        <v>6103</v>
      </c>
      <c r="E103" s="65"/>
      <c r="F103" s="34"/>
      <c r="G103" s="34"/>
      <c r="H103" s="33"/>
      <c r="I103" s="69">
        <v>41662</v>
      </c>
      <c r="J103" s="65">
        <v>5.73</v>
      </c>
      <c r="K103" s="65">
        <v>0</v>
      </c>
      <c r="L103" s="65"/>
      <c r="M103" s="65"/>
      <c r="N103" s="34"/>
      <c r="O103" s="35"/>
    </row>
    <row r="104" spans="1:15" s="36" customFormat="1" ht="12" x14ac:dyDescent="0.2">
      <c r="A104" s="33"/>
      <c r="B104" s="62">
        <v>39233</v>
      </c>
      <c r="C104" s="64">
        <v>0</v>
      </c>
      <c r="D104" s="64">
        <v>3824</v>
      </c>
      <c r="E104" s="64"/>
      <c r="F104" s="34"/>
      <c r="G104" s="34"/>
      <c r="H104" s="33"/>
      <c r="I104" s="68">
        <v>41663</v>
      </c>
      <c r="J104" s="64">
        <v>5.73</v>
      </c>
      <c r="K104" s="64">
        <v>0</v>
      </c>
      <c r="L104" s="64"/>
      <c r="M104" s="64"/>
      <c r="N104" s="34"/>
      <c r="O104" s="35"/>
    </row>
    <row r="105" spans="1:15" s="36" customFormat="1" ht="12" x14ac:dyDescent="0.2">
      <c r="A105" s="33"/>
      <c r="B105" s="63">
        <v>39263</v>
      </c>
      <c r="C105" s="65">
        <v>0</v>
      </c>
      <c r="D105" s="65">
        <v>7042</v>
      </c>
      <c r="E105" s="65"/>
      <c r="F105" s="34"/>
      <c r="G105" s="34"/>
      <c r="H105" s="33"/>
      <c r="I105" s="69">
        <v>41665</v>
      </c>
      <c r="J105" s="65">
        <v>5.73</v>
      </c>
      <c r="K105" s="65">
        <v>0</v>
      </c>
      <c r="L105" s="65"/>
      <c r="M105" s="65"/>
      <c r="N105" s="34"/>
      <c r="O105" s="35"/>
    </row>
    <row r="106" spans="1:15" s="36" customFormat="1" ht="12" x14ac:dyDescent="0.2">
      <c r="A106" s="33"/>
      <c r="B106" s="62">
        <v>39294</v>
      </c>
      <c r="C106" s="64">
        <v>0</v>
      </c>
      <c r="D106" s="64">
        <v>3100</v>
      </c>
      <c r="E106" s="64"/>
      <c r="F106" s="34"/>
      <c r="G106" s="34"/>
      <c r="H106" s="33"/>
      <c r="I106" s="68">
        <v>41666</v>
      </c>
      <c r="J106" s="64">
        <v>5.73</v>
      </c>
      <c r="K106" s="64">
        <v>0</v>
      </c>
      <c r="L106" s="64"/>
      <c r="M106" s="64"/>
      <c r="N106" s="34"/>
      <c r="O106" s="35"/>
    </row>
    <row r="107" spans="1:15" s="36" customFormat="1" ht="12" x14ac:dyDescent="0.2">
      <c r="A107" s="33"/>
      <c r="B107" s="63">
        <v>39325</v>
      </c>
      <c r="C107" s="65">
        <v>0</v>
      </c>
      <c r="D107" s="65">
        <v>6961</v>
      </c>
      <c r="E107" s="65"/>
      <c r="F107" s="34"/>
      <c r="G107" s="34"/>
      <c r="H107" s="33"/>
      <c r="I107" s="69">
        <v>41667</v>
      </c>
      <c r="J107" s="65">
        <v>5.73</v>
      </c>
      <c r="K107" s="65">
        <v>0</v>
      </c>
      <c r="L107" s="65"/>
      <c r="M107" s="65"/>
      <c r="N107" s="34"/>
      <c r="O107" s="35"/>
    </row>
    <row r="108" spans="1:15" s="36" customFormat="1" ht="12" x14ac:dyDescent="0.2">
      <c r="A108" s="33"/>
      <c r="B108" s="62">
        <v>39355</v>
      </c>
      <c r="C108" s="64">
        <v>0</v>
      </c>
      <c r="D108" s="64">
        <v>5290</v>
      </c>
      <c r="E108" s="64"/>
      <c r="F108" s="34"/>
      <c r="G108" s="34"/>
      <c r="H108" s="33"/>
      <c r="I108" s="68">
        <v>41668</v>
      </c>
      <c r="J108" s="64">
        <v>5.73</v>
      </c>
      <c r="K108" s="64">
        <v>0</v>
      </c>
      <c r="L108" s="64"/>
      <c r="M108" s="64"/>
      <c r="N108" s="34"/>
      <c r="O108" s="35"/>
    </row>
    <row r="109" spans="1:15" s="36" customFormat="1" ht="12" x14ac:dyDescent="0.2">
      <c r="A109" s="33"/>
      <c r="B109" s="63">
        <v>39386</v>
      </c>
      <c r="C109" s="65">
        <v>0</v>
      </c>
      <c r="D109" s="65">
        <v>3688</v>
      </c>
      <c r="E109" s="65"/>
      <c r="F109" s="34"/>
      <c r="G109" s="34"/>
      <c r="H109" s="33"/>
      <c r="I109" s="69">
        <v>41669</v>
      </c>
      <c r="J109" s="65">
        <v>5.73</v>
      </c>
      <c r="K109" s="65">
        <v>0</v>
      </c>
      <c r="L109" s="65"/>
      <c r="M109" s="65"/>
      <c r="N109" s="34"/>
      <c r="O109" s="35"/>
    </row>
    <row r="110" spans="1:15" s="36" customFormat="1" ht="12" x14ac:dyDescent="0.2">
      <c r="A110" s="33"/>
      <c r="B110" s="62">
        <v>39416</v>
      </c>
      <c r="C110" s="64">
        <v>0</v>
      </c>
      <c r="D110" s="64">
        <v>3073</v>
      </c>
      <c r="E110" s="64"/>
      <c r="F110" s="34"/>
      <c r="G110" s="34"/>
      <c r="H110" s="33"/>
      <c r="I110" s="68">
        <v>41677</v>
      </c>
      <c r="J110" s="64">
        <v>5.73</v>
      </c>
      <c r="K110" s="64">
        <v>0</v>
      </c>
      <c r="L110" s="64"/>
      <c r="M110" s="64"/>
      <c r="N110" s="34"/>
      <c r="O110" s="35"/>
    </row>
    <row r="111" spans="1:15" s="36" customFormat="1" ht="12" x14ac:dyDescent="0.2">
      <c r="A111" s="33"/>
      <c r="B111" s="63">
        <v>39447</v>
      </c>
      <c r="C111" s="65">
        <v>21.5</v>
      </c>
      <c r="D111" s="65">
        <v>4281</v>
      </c>
      <c r="E111" s="65"/>
      <c r="F111" s="34"/>
      <c r="G111" s="34"/>
      <c r="H111" s="33"/>
      <c r="I111" s="69">
        <v>41678</v>
      </c>
      <c r="J111" s="65">
        <v>5.73</v>
      </c>
      <c r="K111" s="65">
        <v>0</v>
      </c>
      <c r="L111" s="65"/>
      <c r="M111" s="65"/>
      <c r="N111" s="34"/>
      <c r="O111" s="35"/>
    </row>
    <row r="112" spans="1:15" s="36" customFormat="1" ht="12" x14ac:dyDescent="0.2">
      <c r="A112" s="33"/>
      <c r="B112" s="62">
        <v>39478</v>
      </c>
      <c r="C112" s="64">
        <v>0</v>
      </c>
      <c r="D112" s="64">
        <v>10859</v>
      </c>
      <c r="E112" s="64"/>
      <c r="F112" s="34"/>
      <c r="G112" s="34"/>
      <c r="H112" s="33"/>
      <c r="I112" s="68">
        <v>41680</v>
      </c>
      <c r="J112" s="64">
        <v>5.73</v>
      </c>
      <c r="K112" s="64">
        <v>0</v>
      </c>
      <c r="L112" s="64"/>
      <c r="M112" s="64"/>
      <c r="N112" s="34"/>
      <c r="O112" s="35"/>
    </row>
    <row r="113" spans="1:15" s="36" customFormat="1" ht="12" x14ac:dyDescent="0.2">
      <c r="A113" s="33"/>
      <c r="B113" s="63">
        <v>39507</v>
      </c>
      <c r="C113" s="65">
        <v>0</v>
      </c>
      <c r="D113" s="65">
        <v>4731</v>
      </c>
      <c r="E113" s="65"/>
      <c r="F113" s="34"/>
      <c r="G113" s="34"/>
      <c r="H113" s="33"/>
      <c r="I113" s="69">
        <v>41681</v>
      </c>
      <c r="J113" s="65">
        <v>5.73</v>
      </c>
      <c r="K113" s="65">
        <v>0</v>
      </c>
      <c r="L113" s="65"/>
      <c r="M113" s="65"/>
      <c r="N113" s="34"/>
      <c r="O113" s="35"/>
    </row>
    <row r="114" spans="1:15" s="36" customFormat="1" ht="12" x14ac:dyDescent="0.2">
      <c r="A114" s="33"/>
      <c r="B114" s="62">
        <v>39538</v>
      </c>
      <c r="C114" s="64">
        <v>0</v>
      </c>
      <c r="D114" s="64">
        <v>6391</v>
      </c>
      <c r="E114" s="64"/>
      <c r="F114" s="34"/>
      <c r="G114" s="34"/>
      <c r="H114" s="33"/>
      <c r="I114" s="68">
        <v>41682</v>
      </c>
      <c r="J114" s="64">
        <v>5.73</v>
      </c>
      <c r="K114" s="64">
        <v>0</v>
      </c>
      <c r="L114" s="64"/>
      <c r="M114" s="64"/>
      <c r="N114" s="34"/>
      <c r="O114" s="35"/>
    </row>
    <row r="115" spans="1:15" s="36" customFormat="1" ht="12" x14ac:dyDescent="0.2">
      <c r="A115" s="33"/>
      <c r="B115" s="63">
        <v>39568</v>
      </c>
      <c r="C115" s="65">
        <v>0</v>
      </c>
      <c r="D115" s="65">
        <v>7076</v>
      </c>
      <c r="E115" s="65"/>
      <c r="F115" s="34"/>
      <c r="G115" s="34"/>
      <c r="H115" s="33"/>
      <c r="I115" s="69">
        <v>41683</v>
      </c>
      <c r="J115" s="65">
        <v>5.74</v>
      </c>
      <c r="K115" s="65">
        <v>0</v>
      </c>
      <c r="L115" s="65"/>
      <c r="M115" s="65"/>
      <c r="N115" s="34"/>
      <c r="O115" s="35"/>
    </row>
    <row r="116" spans="1:15" s="36" customFormat="1" ht="12" x14ac:dyDescent="0.2">
      <c r="A116" s="33"/>
      <c r="B116" s="62">
        <v>39599</v>
      </c>
      <c r="C116" s="64">
        <v>0</v>
      </c>
      <c r="D116" s="64">
        <v>5678</v>
      </c>
      <c r="E116" s="64"/>
      <c r="F116" s="34"/>
      <c r="G116" s="34"/>
      <c r="H116" s="33"/>
      <c r="I116" s="68">
        <v>41684</v>
      </c>
      <c r="J116" s="64">
        <v>5.76</v>
      </c>
      <c r="K116" s="64">
        <v>0</v>
      </c>
      <c r="L116" s="64"/>
      <c r="M116" s="64"/>
      <c r="N116" s="34"/>
      <c r="O116" s="35"/>
    </row>
    <row r="117" spans="1:15" s="36" customFormat="1" ht="12" x14ac:dyDescent="0.2">
      <c r="A117" s="33"/>
      <c r="B117" s="63">
        <v>39629</v>
      </c>
      <c r="C117" s="65">
        <v>0</v>
      </c>
      <c r="D117" s="65">
        <v>5976</v>
      </c>
      <c r="E117" s="65"/>
      <c r="F117" s="34"/>
      <c r="G117" s="34"/>
      <c r="H117" s="33"/>
      <c r="I117" s="69">
        <v>41687</v>
      </c>
      <c r="J117" s="65">
        <v>5.76</v>
      </c>
      <c r="K117" s="65">
        <v>0</v>
      </c>
      <c r="L117" s="65"/>
      <c r="M117" s="65"/>
      <c r="N117" s="34"/>
      <c r="O117" s="35"/>
    </row>
    <row r="118" spans="1:15" s="36" customFormat="1" ht="12" x14ac:dyDescent="0.2">
      <c r="A118" s="33"/>
      <c r="B118" s="62">
        <v>39660</v>
      </c>
      <c r="C118" s="64">
        <v>0</v>
      </c>
      <c r="D118" s="64">
        <v>4890</v>
      </c>
      <c r="E118" s="64"/>
      <c r="F118" s="34"/>
      <c r="G118" s="34"/>
      <c r="H118" s="33"/>
      <c r="I118" s="68">
        <v>41688</v>
      </c>
      <c r="J118" s="64">
        <v>5.76</v>
      </c>
      <c r="K118" s="64">
        <v>0</v>
      </c>
      <c r="L118" s="64"/>
      <c r="M118" s="64"/>
      <c r="N118" s="34"/>
      <c r="O118" s="35"/>
    </row>
    <row r="119" spans="1:15" s="36" customFormat="1" ht="12" x14ac:dyDescent="0.2">
      <c r="A119" s="33"/>
      <c r="B119" s="63">
        <v>39691</v>
      </c>
      <c r="C119" s="65">
        <v>0</v>
      </c>
      <c r="D119" s="65">
        <v>4575</v>
      </c>
      <c r="E119" s="65"/>
      <c r="F119" s="34"/>
      <c r="G119" s="34"/>
      <c r="H119" s="33"/>
      <c r="I119" s="69">
        <v>41689</v>
      </c>
      <c r="J119" s="65">
        <v>5.76</v>
      </c>
      <c r="K119" s="65">
        <v>0</v>
      </c>
      <c r="L119" s="65"/>
      <c r="M119" s="65"/>
      <c r="N119" s="34"/>
      <c r="O119" s="35"/>
    </row>
    <row r="120" spans="1:15" s="36" customFormat="1" ht="12" x14ac:dyDescent="0.2">
      <c r="A120" s="33"/>
      <c r="B120" s="62">
        <v>39721</v>
      </c>
      <c r="C120" s="64">
        <v>0</v>
      </c>
      <c r="D120" s="64">
        <v>5659</v>
      </c>
      <c r="E120" s="64"/>
      <c r="F120" s="34"/>
      <c r="G120" s="34"/>
      <c r="H120" s="33"/>
      <c r="I120" s="68">
        <v>41690</v>
      </c>
      <c r="J120" s="64">
        <v>5.76</v>
      </c>
      <c r="K120" s="64">
        <v>0</v>
      </c>
      <c r="L120" s="64"/>
      <c r="M120" s="64"/>
      <c r="N120" s="34"/>
      <c r="O120" s="35"/>
    </row>
    <row r="121" spans="1:15" s="36" customFormat="1" ht="12" x14ac:dyDescent="0.2">
      <c r="A121" s="33"/>
      <c r="B121" s="63">
        <v>39752</v>
      </c>
      <c r="C121" s="65">
        <v>0</v>
      </c>
      <c r="D121" s="65">
        <v>1288</v>
      </c>
      <c r="E121" s="65"/>
      <c r="F121" s="34"/>
      <c r="G121" s="34"/>
      <c r="H121" s="33"/>
      <c r="I121" s="69">
        <v>41691</v>
      </c>
      <c r="J121" s="65">
        <v>5.76</v>
      </c>
      <c r="K121" s="65">
        <v>0</v>
      </c>
      <c r="L121" s="65"/>
      <c r="M121" s="65"/>
      <c r="N121" s="34"/>
      <c r="O121" s="35"/>
    </row>
    <row r="122" spans="1:15" s="36" customFormat="1" ht="12" x14ac:dyDescent="0.2">
      <c r="A122" s="33"/>
      <c r="B122" s="62">
        <v>39782</v>
      </c>
      <c r="C122" s="64">
        <v>0</v>
      </c>
      <c r="D122" s="64">
        <v>4517</v>
      </c>
      <c r="E122" s="64"/>
      <c r="F122" s="34"/>
      <c r="G122" s="34"/>
      <c r="H122" s="33"/>
      <c r="I122" s="68">
        <v>41694</v>
      </c>
      <c r="J122" s="64">
        <v>5.76</v>
      </c>
      <c r="K122" s="64">
        <v>0</v>
      </c>
      <c r="L122" s="64"/>
      <c r="M122" s="64"/>
      <c r="N122" s="34"/>
      <c r="O122" s="35"/>
    </row>
    <row r="123" spans="1:15" s="36" customFormat="1" ht="12" x14ac:dyDescent="0.2">
      <c r="A123" s="33"/>
      <c r="B123" s="63">
        <v>39813</v>
      </c>
      <c r="C123" s="65">
        <v>20.5</v>
      </c>
      <c r="D123" s="65">
        <v>8164</v>
      </c>
      <c r="E123" s="65"/>
      <c r="F123" s="34"/>
      <c r="G123" s="34"/>
      <c r="H123" s="33"/>
      <c r="I123" s="69">
        <v>41695</v>
      </c>
      <c r="J123" s="65">
        <v>5.76</v>
      </c>
      <c r="K123" s="65">
        <v>0</v>
      </c>
      <c r="L123" s="65"/>
      <c r="M123" s="65"/>
      <c r="N123" s="34"/>
      <c r="O123" s="35"/>
    </row>
    <row r="124" spans="1:15" s="36" customFormat="1" ht="12" x14ac:dyDescent="0.2">
      <c r="A124" s="33"/>
      <c r="B124" s="62">
        <v>39844</v>
      </c>
      <c r="C124" s="64">
        <v>0</v>
      </c>
      <c r="D124" s="64">
        <v>13990</v>
      </c>
      <c r="E124" s="64"/>
      <c r="F124" s="34"/>
      <c r="G124" s="34"/>
      <c r="H124" s="33"/>
      <c r="I124" s="68">
        <v>41696</v>
      </c>
      <c r="J124" s="64">
        <v>5.76</v>
      </c>
      <c r="K124" s="64">
        <v>0</v>
      </c>
      <c r="L124" s="64"/>
      <c r="M124" s="64"/>
      <c r="N124" s="34"/>
      <c r="O124" s="35"/>
    </row>
    <row r="125" spans="1:15" s="36" customFormat="1" ht="12" x14ac:dyDescent="0.2">
      <c r="A125" s="33"/>
      <c r="B125" s="63">
        <v>39872</v>
      </c>
      <c r="C125" s="65">
        <v>0</v>
      </c>
      <c r="D125" s="65">
        <v>11131</v>
      </c>
      <c r="E125" s="65"/>
      <c r="F125" s="34"/>
      <c r="G125" s="34"/>
      <c r="H125" s="33"/>
      <c r="I125" s="69">
        <v>41697</v>
      </c>
      <c r="J125" s="65">
        <v>5.76</v>
      </c>
      <c r="K125" s="65">
        <v>0</v>
      </c>
      <c r="L125" s="65"/>
      <c r="M125" s="65"/>
      <c r="N125" s="34"/>
      <c r="O125" s="35"/>
    </row>
    <row r="126" spans="1:15" s="36" customFormat="1" ht="12" x14ac:dyDescent="0.2">
      <c r="A126" s="33"/>
      <c r="B126" s="62">
        <v>39903</v>
      </c>
      <c r="C126" s="64">
        <v>0</v>
      </c>
      <c r="D126" s="64">
        <v>22011</v>
      </c>
      <c r="E126" s="64"/>
      <c r="F126" s="34"/>
      <c r="G126" s="34"/>
      <c r="H126" s="33"/>
      <c r="I126" s="68">
        <v>41698</v>
      </c>
      <c r="J126" s="64">
        <v>5.76</v>
      </c>
      <c r="K126" s="64">
        <v>0</v>
      </c>
      <c r="L126" s="64"/>
      <c r="M126" s="64"/>
      <c r="N126" s="34"/>
      <c r="O126" s="35"/>
    </row>
    <row r="127" spans="1:15" s="36" customFormat="1" ht="12" x14ac:dyDescent="0.2">
      <c r="A127" s="33"/>
      <c r="B127" s="63">
        <v>39933</v>
      </c>
      <c r="C127" s="65">
        <v>0</v>
      </c>
      <c r="D127" s="65">
        <v>5452</v>
      </c>
      <c r="E127" s="65"/>
      <c r="F127" s="34"/>
      <c r="G127" s="34"/>
      <c r="H127" s="33"/>
      <c r="I127" s="69">
        <v>41701</v>
      </c>
      <c r="J127" s="65">
        <v>5.76</v>
      </c>
      <c r="K127" s="65">
        <v>0</v>
      </c>
      <c r="L127" s="65"/>
      <c r="M127" s="65"/>
      <c r="N127" s="34"/>
      <c r="O127" s="35"/>
    </row>
    <row r="128" spans="1:15" s="36" customFormat="1" ht="12" x14ac:dyDescent="0.2">
      <c r="A128" s="33"/>
      <c r="B128" s="62">
        <v>39964</v>
      </c>
      <c r="C128" s="64">
        <v>0</v>
      </c>
      <c r="D128" s="64">
        <v>14959</v>
      </c>
      <c r="E128" s="64"/>
      <c r="F128" s="34"/>
      <c r="G128" s="34"/>
      <c r="H128" s="33"/>
      <c r="I128" s="68">
        <v>41702</v>
      </c>
      <c r="J128" s="64">
        <v>5.76</v>
      </c>
      <c r="K128" s="64">
        <v>0</v>
      </c>
      <c r="L128" s="64"/>
      <c r="M128" s="64"/>
      <c r="N128" s="34"/>
      <c r="O128" s="35"/>
    </row>
    <row r="129" spans="1:15" s="36" customFormat="1" ht="12" x14ac:dyDescent="0.2">
      <c r="A129" s="33"/>
      <c r="B129" s="63">
        <v>39994</v>
      </c>
      <c r="C129" s="65">
        <v>0</v>
      </c>
      <c r="D129" s="65">
        <v>21067</v>
      </c>
      <c r="E129" s="65"/>
      <c r="F129" s="34"/>
      <c r="G129" s="34"/>
      <c r="H129" s="33"/>
      <c r="I129" s="69">
        <v>41703</v>
      </c>
      <c r="J129" s="65">
        <v>5.76</v>
      </c>
      <c r="K129" s="65">
        <v>0</v>
      </c>
      <c r="L129" s="65"/>
      <c r="M129" s="65"/>
      <c r="N129" s="34"/>
      <c r="O129" s="35"/>
    </row>
    <row r="130" spans="1:15" s="36" customFormat="1" ht="12" x14ac:dyDescent="0.2">
      <c r="A130" s="33"/>
      <c r="B130" s="62">
        <v>40025</v>
      </c>
      <c r="C130" s="64">
        <v>0</v>
      </c>
      <c r="D130" s="64">
        <v>7388</v>
      </c>
      <c r="E130" s="64"/>
      <c r="F130" s="34"/>
      <c r="G130" s="34"/>
      <c r="H130" s="33"/>
      <c r="I130" s="68">
        <v>41704</v>
      </c>
      <c r="J130" s="64">
        <v>5.76</v>
      </c>
      <c r="K130" s="64">
        <v>0</v>
      </c>
      <c r="L130" s="64"/>
      <c r="M130" s="64"/>
      <c r="N130" s="34"/>
      <c r="O130" s="35"/>
    </row>
    <row r="131" spans="1:15" s="36" customFormat="1" ht="12" x14ac:dyDescent="0.2">
      <c r="A131" s="33"/>
      <c r="B131" s="63">
        <v>40056</v>
      </c>
      <c r="C131" s="65">
        <v>0</v>
      </c>
      <c r="D131" s="65">
        <v>7650</v>
      </c>
      <c r="E131" s="65"/>
      <c r="F131" s="34"/>
      <c r="G131" s="34"/>
      <c r="H131" s="33"/>
      <c r="I131" s="69">
        <v>41705</v>
      </c>
      <c r="J131" s="65">
        <v>5.76</v>
      </c>
      <c r="K131" s="65">
        <v>0</v>
      </c>
      <c r="L131" s="65"/>
      <c r="M131" s="65"/>
      <c r="N131" s="34"/>
      <c r="O131" s="35"/>
    </row>
    <row r="132" spans="1:15" s="36" customFormat="1" ht="12" x14ac:dyDescent="0.2">
      <c r="A132" s="33"/>
      <c r="B132" s="62">
        <v>40086</v>
      </c>
      <c r="C132" s="64">
        <v>0</v>
      </c>
      <c r="D132" s="64">
        <v>11871</v>
      </c>
      <c r="E132" s="64"/>
      <c r="F132" s="34"/>
      <c r="G132" s="34"/>
      <c r="H132" s="33"/>
      <c r="I132" s="68">
        <v>41708</v>
      </c>
      <c r="J132" s="64">
        <v>5.76</v>
      </c>
      <c r="K132" s="64">
        <v>0</v>
      </c>
      <c r="L132" s="64"/>
      <c r="M132" s="64"/>
      <c r="N132" s="34"/>
      <c r="O132" s="35"/>
    </row>
    <row r="133" spans="1:15" s="36" customFormat="1" ht="12" x14ac:dyDescent="0.2">
      <c r="A133" s="33"/>
      <c r="B133" s="63">
        <v>40117</v>
      </c>
      <c r="C133" s="65">
        <v>0</v>
      </c>
      <c r="D133" s="65">
        <v>5985</v>
      </c>
      <c r="E133" s="65"/>
      <c r="F133" s="34"/>
      <c r="G133" s="34"/>
      <c r="H133" s="33"/>
      <c r="I133" s="69">
        <v>41709</v>
      </c>
      <c r="J133" s="65">
        <v>5.76</v>
      </c>
      <c r="K133" s="65">
        <v>0</v>
      </c>
      <c r="L133" s="65"/>
      <c r="M133" s="65"/>
      <c r="N133" s="34"/>
      <c r="O133" s="35"/>
    </row>
    <row r="134" spans="1:15" s="36" customFormat="1" ht="12" x14ac:dyDescent="0.2">
      <c r="A134" s="33"/>
      <c r="B134" s="62">
        <v>40147</v>
      </c>
      <c r="C134" s="64">
        <v>0</v>
      </c>
      <c r="D134" s="64">
        <v>9501</v>
      </c>
      <c r="E134" s="64"/>
      <c r="F134" s="34"/>
      <c r="G134" s="34"/>
      <c r="H134" s="33"/>
      <c r="I134" s="68">
        <v>41710</v>
      </c>
      <c r="J134" s="64">
        <v>5.76</v>
      </c>
      <c r="K134" s="64">
        <v>0</v>
      </c>
      <c r="L134" s="64"/>
      <c r="M134" s="64"/>
      <c r="N134" s="34"/>
      <c r="O134" s="35"/>
    </row>
    <row r="135" spans="1:15" s="36" customFormat="1" ht="12" x14ac:dyDescent="0.2">
      <c r="A135" s="33"/>
      <c r="B135" s="63">
        <v>40178</v>
      </c>
      <c r="C135" s="65">
        <v>34.799999999999997</v>
      </c>
      <c r="D135" s="65">
        <v>8100</v>
      </c>
      <c r="E135" s="65"/>
      <c r="F135" s="34"/>
      <c r="G135" s="34"/>
      <c r="H135" s="33"/>
      <c r="I135" s="69">
        <v>41711</v>
      </c>
      <c r="J135" s="65">
        <v>5.76</v>
      </c>
      <c r="K135" s="65">
        <v>0</v>
      </c>
      <c r="L135" s="65"/>
      <c r="M135" s="65"/>
      <c r="N135" s="34"/>
      <c r="O135" s="35"/>
    </row>
    <row r="136" spans="1:15" s="36" customFormat="1" ht="12" x14ac:dyDescent="0.2">
      <c r="A136" s="33"/>
      <c r="B136" s="62">
        <v>40209</v>
      </c>
      <c r="C136" s="64">
        <v>0</v>
      </c>
      <c r="D136" s="64">
        <v>20550</v>
      </c>
      <c r="E136" s="64"/>
      <c r="F136" s="34"/>
      <c r="G136" s="34"/>
      <c r="H136" s="33"/>
      <c r="I136" s="68">
        <v>41712</v>
      </c>
      <c r="J136" s="64">
        <v>5.76</v>
      </c>
      <c r="K136" s="64">
        <v>0</v>
      </c>
      <c r="L136" s="64"/>
      <c r="M136" s="64"/>
      <c r="N136" s="34"/>
      <c r="O136" s="35"/>
    </row>
    <row r="137" spans="1:15" s="36" customFormat="1" ht="12" x14ac:dyDescent="0.2">
      <c r="A137" s="33"/>
      <c r="B137" s="63">
        <v>40237</v>
      </c>
      <c r="C137" s="65">
        <v>0</v>
      </c>
      <c r="D137" s="65">
        <v>10877</v>
      </c>
      <c r="E137" s="65"/>
      <c r="F137" s="34"/>
      <c r="G137" s="34"/>
      <c r="H137" s="33"/>
      <c r="I137" s="69">
        <v>41715</v>
      </c>
      <c r="J137" s="65">
        <v>5.76</v>
      </c>
      <c r="K137" s="65">
        <v>0</v>
      </c>
      <c r="L137" s="65"/>
      <c r="M137" s="65"/>
      <c r="N137" s="34"/>
      <c r="O137" s="35"/>
    </row>
    <row r="138" spans="1:15" s="36" customFormat="1" ht="12" x14ac:dyDescent="0.2">
      <c r="A138" s="33"/>
      <c r="B138" s="62">
        <v>40268</v>
      </c>
      <c r="C138" s="64">
        <v>0</v>
      </c>
      <c r="D138" s="64">
        <v>13830</v>
      </c>
      <c r="E138" s="64"/>
      <c r="F138" s="34"/>
      <c r="G138" s="34"/>
      <c r="H138" s="33"/>
      <c r="I138" s="68">
        <v>41716</v>
      </c>
      <c r="J138" s="64">
        <v>5.76</v>
      </c>
      <c r="K138" s="64">
        <v>0</v>
      </c>
      <c r="L138" s="64"/>
      <c r="M138" s="64"/>
      <c r="N138" s="34"/>
      <c r="O138" s="35"/>
    </row>
    <row r="139" spans="1:15" s="36" customFormat="1" ht="12" x14ac:dyDescent="0.2">
      <c r="A139" s="33"/>
      <c r="B139" s="63">
        <v>40298</v>
      </c>
      <c r="C139" s="65">
        <v>0</v>
      </c>
      <c r="D139" s="65">
        <v>14919</v>
      </c>
      <c r="E139" s="65"/>
      <c r="F139" s="34"/>
      <c r="G139" s="34"/>
      <c r="H139" s="33"/>
      <c r="I139" s="69">
        <v>41717</v>
      </c>
      <c r="J139" s="65">
        <v>5.76</v>
      </c>
      <c r="K139" s="65">
        <v>0</v>
      </c>
      <c r="L139" s="65"/>
      <c r="M139" s="65"/>
      <c r="N139" s="34"/>
      <c r="O139" s="35"/>
    </row>
    <row r="140" spans="1:15" s="36" customFormat="1" ht="12" x14ac:dyDescent="0.2">
      <c r="A140" s="33"/>
      <c r="B140" s="62">
        <v>40329</v>
      </c>
      <c r="C140" s="64">
        <v>0</v>
      </c>
      <c r="D140" s="64">
        <v>10805</v>
      </c>
      <c r="E140" s="64"/>
      <c r="F140" s="34"/>
      <c r="G140" s="34"/>
      <c r="H140" s="33"/>
      <c r="I140" s="68">
        <v>41718</v>
      </c>
      <c r="J140" s="64">
        <v>5.76</v>
      </c>
      <c r="K140" s="64">
        <v>0</v>
      </c>
      <c r="L140" s="64"/>
      <c r="M140" s="64"/>
      <c r="N140" s="34"/>
      <c r="O140" s="35"/>
    </row>
    <row r="141" spans="1:15" s="36" customFormat="1" ht="12" x14ac:dyDescent="0.2">
      <c r="A141" s="33"/>
      <c r="B141" s="63">
        <v>40359</v>
      </c>
      <c r="C141" s="65">
        <v>0</v>
      </c>
      <c r="D141" s="65">
        <v>10196</v>
      </c>
      <c r="E141" s="65"/>
      <c r="F141" s="34"/>
      <c r="G141" s="34"/>
      <c r="H141" s="33"/>
      <c r="I141" s="69">
        <v>41719</v>
      </c>
      <c r="J141" s="65">
        <v>5.76</v>
      </c>
      <c r="K141" s="65">
        <v>0</v>
      </c>
      <c r="L141" s="65"/>
      <c r="M141" s="65"/>
      <c r="N141" s="34"/>
      <c r="O141" s="35"/>
    </row>
    <row r="142" spans="1:15" s="36" customFormat="1" ht="12" x14ac:dyDescent="0.2">
      <c r="A142" s="33"/>
      <c r="B142" s="62">
        <v>40390</v>
      </c>
      <c r="C142" s="64">
        <v>0</v>
      </c>
      <c r="D142" s="64">
        <v>7202</v>
      </c>
      <c r="E142" s="64"/>
      <c r="F142" s="34"/>
      <c r="G142" s="34"/>
      <c r="H142" s="33"/>
      <c r="I142" s="68">
        <v>41722</v>
      </c>
      <c r="J142" s="64">
        <v>5.76</v>
      </c>
      <c r="K142" s="64">
        <v>0</v>
      </c>
      <c r="L142" s="64"/>
      <c r="M142" s="64"/>
      <c r="N142" s="34"/>
      <c r="O142" s="35"/>
    </row>
    <row r="143" spans="1:15" s="36" customFormat="1" ht="12" x14ac:dyDescent="0.2">
      <c r="A143" s="33"/>
      <c r="B143" s="63">
        <v>40421</v>
      </c>
      <c r="C143" s="65">
        <v>0</v>
      </c>
      <c r="D143" s="65">
        <v>10646</v>
      </c>
      <c r="E143" s="65"/>
      <c r="F143" s="34"/>
      <c r="G143" s="34"/>
      <c r="H143" s="33"/>
      <c r="I143" s="69">
        <v>41723</v>
      </c>
      <c r="J143" s="65">
        <v>5.76</v>
      </c>
      <c r="K143" s="65">
        <v>0</v>
      </c>
      <c r="L143" s="65"/>
      <c r="M143" s="65"/>
      <c r="N143" s="34"/>
      <c r="O143" s="35"/>
    </row>
    <row r="144" spans="1:15" s="36" customFormat="1" ht="12" x14ac:dyDescent="0.2">
      <c r="A144" s="33"/>
      <c r="B144" s="62">
        <v>40451</v>
      </c>
      <c r="C144" s="64">
        <v>0</v>
      </c>
      <c r="D144" s="64">
        <v>11224</v>
      </c>
      <c r="E144" s="64"/>
      <c r="F144" s="34"/>
      <c r="G144" s="34"/>
      <c r="H144" s="33"/>
      <c r="I144" s="68">
        <v>41724</v>
      </c>
      <c r="J144" s="64">
        <v>5.76</v>
      </c>
      <c r="K144" s="64">
        <v>0</v>
      </c>
      <c r="L144" s="64"/>
      <c r="M144" s="64"/>
      <c r="N144" s="34"/>
      <c r="O144" s="35"/>
    </row>
    <row r="145" spans="1:15" s="36" customFormat="1" ht="12" x14ac:dyDescent="0.2">
      <c r="A145" s="33"/>
      <c r="B145" s="63">
        <v>40482</v>
      </c>
      <c r="C145" s="65">
        <v>0</v>
      </c>
      <c r="D145" s="65">
        <v>8608</v>
      </c>
      <c r="E145" s="65"/>
      <c r="F145" s="34"/>
      <c r="G145" s="34"/>
      <c r="H145" s="33"/>
      <c r="I145" s="69">
        <v>41725</v>
      </c>
      <c r="J145" s="65">
        <v>5.76</v>
      </c>
      <c r="K145" s="65">
        <v>0</v>
      </c>
      <c r="L145" s="65"/>
      <c r="M145" s="65"/>
      <c r="N145" s="34"/>
      <c r="O145" s="35"/>
    </row>
    <row r="146" spans="1:15" s="36" customFormat="1" ht="12" x14ac:dyDescent="0.2">
      <c r="A146" s="33"/>
      <c r="B146" s="62">
        <v>40512</v>
      </c>
      <c r="C146" s="64">
        <v>0</v>
      </c>
      <c r="D146" s="64">
        <v>10554</v>
      </c>
      <c r="E146" s="64"/>
      <c r="F146" s="34"/>
      <c r="G146" s="34"/>
      <c r="H146" s="33"/>
      <c r="I146" s="68">
        <v>41726</v>
      </c>
      <c r="J146" s="64">
        <v>5.76</v>
      </c>
      <c r="K146" s="64">
        <v>0</v>
      </c>
      <c r="L146" s="64"/>
      <c r="M146" s="64"/>
      <c r="N146" s="34"/>
      <c r="O146" s="35"/>
    </row>
    <row r="147" spans="1:15" s="36" customFormat="1" ht="12" x14ac:dyDescent="0.2">
      <c r="A147" s="33"/>
      <c r="B147" s="63">
        <v>40543</v>
      </c>
      <c r="C147" s="65">
        <v>27</v>
      </c>
      <c r="D147" s="65">
        <v>10780</v>
      </c>
      <c r="E147" s="65"/>
      <c r="F147" s="34"/>
      <c r="G147" s="34"/>
      <c r="H147" s="33"/>
      <c r="I147" s="69">
        <v>41729</v>
      </c>
      <c r="J147" s="65">
        <v>5.76</v>
      </c>
      <c r="K147" s="65">
        <v>0</v>
      </c>
      <c r="L147" s="65"/>
      <c r="M147" s="65"/>
      <c r="N147" s="34"/>
      <c r="O147" s="35"/>
    </row>
    <row r="148" spans="1:15" s="36" customFormat="1" ht="12" x14ac:dyDescent="0.2">
      <c r="A148" s="33"/>
      <c r="B148" s="62">
        <v>40574</v>
      </c>
      <c r="C148" s="64">
        <v>0</v>
      </c>
      <c r="D148" s="64">
        <v>17560</v>
      </c>
      <c r="E148" s="64"/>
      <c r="F148" s="34"/>
      <c r="G148" s="34"/>
      <c r="H148" s="33"/>
      <c r="I148" s="68">
        <v>41730</v>
      </c>
      <c r="J148" s="64">
        <v>5.77</v>
      </c>
      <c r="K148" s="64">
        <v>0</v>
      </c>
      <c r="L148" s="64"/>
      <c r="M148" s="64"/>
      <c r="N148" s="34"/>
      <c r="O148" s="35"/>
    </row>
    <row r="149" spans="1:15" s="36" customFormat="1" ht="12" x14ac:dyDescent="0.2">
      <c r="A149" s="33"/>
      <c r="B149" s="63">
        <v>40602</v>
      </c>
      <c r="C149" s="65">
        <v>0</v>
      </c>
      <c r="D149" s="65">
        <v>6468</v>
      </c>
      <c r="E149" s="65"/>
      <c r="F149" s="34"/>
      <c r="G149" s="34"/>
      <c r="H149" s="33"/>
      <c r="I149" s="69">
        <v>41731</v>
      </c>
      <c r="J149" s="65">
        <v>5.77</v>
      </c>
      <c r="K149" s="65">
        <v>0</v>
      </c>
      <c r="L149" s="65"/>
      <c r="M149" s="65"/>
      <c r="N149" s="34"/>
      <c r="O149" s="35"/>
    </row>
    <row r="150" spans="1:15" s="36" customFormat="1" ht="12" x14ac:dyDescent="0.2">
      <c r="A150" s="33"/>
      <c r="B150" s="62">
        <v>40633</v>
      </c>
      <c r="C150" s="64">
        <v>0</v>
      </c>
      <c r="D150" s="64">
        <v>18212</v>
      </c>
      <c r="E150" s="64"/>
      <c r="F150" s="34"/>
      <c r="G150" s="34"/>
      <c r="H150" s="33"/>
      <c r="I150" s="68">
        <v>41732</v>
      </c>
      <c r="J150" s="64">
        <v>5.77</v>
      </c>
      <c r="K150" s="64">
        <v>0</v>
      </c>
      <c r="L150" s="64"/>
      <c r="M150" s="64"/>
      <c r="N150" s="34"/>
      <c r="O150" s="35"/>
    </row>
    <row r="151" spans="1:15" s="36" customFormat="1" ht="12" x14ac:dyDescent="0.2">
      <c r="A151" s="33"/>
      <c r="B151" s="63">
        <v>40663</v>
      </c>
      <c r="C151" s="65">
        <v>0</v>
      </c>
      <c r="D151" s="65">
        <v>13673</v>
      </c>
      <c r="E151" s="65"/>
      <c r="F151" s="34"/>
      <c r="G151" s="34"/>
      <c r="H151" s="33"/>
      <c r="I151" s="69">
        <v>41733</v>
      </c>
      <c r="J151" s="65">
        <v>5.77</v>
      </c>
      <c r="K151" s="65">
        <v>0</v>
      </c>
      <c r="L151" s="65"/>
      <c r="M151" s="65"/>
      <c r="N151" s="34"/>
      <c r="O151" s="35"/>
    </row>
    <row r="152" spans="1:15" s="36" customFormat="1" ht="12" x14ac:dyDescent="0.2">
      <c r="A152" s="33"/>
      <c r="B152" s="62">
        <v>40694</v>
      </c>
      <c r="C152" s="64">
        <v>0</v>
      </c>
      <c r="D152" s="64">
        <v>10854</v>
      </c>
      <c r="E152" s="64"/>
      <c r="F152" s="34"/>
      <c r="G152" s="34"/>
      <c r="H152" s="33"/>
      <c r="I152" s="68">
        <v>41737</v>
      </c>
      <c r="J152" s="64">
        <v>5.77</v>
      </c>
      <c r="K152" s="64">
        <v>0</v>
      </c>
      <c r="L152" s="64"/>
      <c r="M152" s="64"/>
      <c r="N152" s="34"/>
      <c r="O152" s="35"/>
    </row>
    <row r="153" spans="1:15" s="36" customFormat="1" ht="12" x14ac:dyDescent="0.2">
      <c r="A153" s="33"/>
      <c r="B153" s="63">
        <v>40724</v>
      </c>
      <c r="C153" s="65">
        <v>0</v>
      </c>
      <c r="D153" s="65">
        <v>10873</v>
      </c>
      <c r="E153" s="65"/>
      <c r="F153" s="34"/>
      <c r="G153" s="34"/>
      <c r="H153" s="33"/>
      <c r="I153" s="69">
        <v>41738</v>
      </c>
      <c r="J153" s="65">
        <v>5.77</v>
      </c>
      <c r="K153" s="65">
        <v>0</v>
      </c>
      <c r="L153" s="65"/>
      <c r="M153" s="65"/>
      <c r="N153" s="34"/>
      <c r="O153" s="35"/>
    </row>
    <row r="154" spans="1:15" s="36" customFormat="1" ht="12" x14ac:dyDescent="0.2">
      <c r="A154" s="33"/>
      <c r="B154" s="62">
        <v>40755</v>
      </c>
      <c r="C154" s="64">
        <v>0</v>
      </c>
      <c r="D154" s="64">
        <v>5393</v>
      </c>
      <c r="E154" s="64"/>
      <c r="F154" s="34"/>
      <c r="G154" s="34"/>
      <c r="H154" s="33"/>
      <c r="I154" s="68">
        <v>41739</v>
      </c>
      <c r="J154" s="64">
        <v>5.77</v>
      </c>
      <c r="K154" s="64">
        <v>0</v>
      </c>
      <c r="L154" s="64"/>
      <c r="M154" s="64"/>
      <c r="N154" s="34"/>
      <c r="O154" s="35"/>
    </row>
    <row r="155" spans="1:15" s="36" customFormat="1" ht="12" x14ac:dyDescent="0.2">
      <c r="A155" s="33"/>
      <c r="B155" s="63">
        <v>40786</v>
      </c>
      <c r="C155" s="65">
        <v>0</v>
      </c>
      <c r="D155" s="65">
        <v>10741</v>
      </c>
      <c r="E155" s="65"/>
      <c r="F155" s="34"/>
      <c r="G155" s="34"/>
      <c r="H155" s="33"/>
      <c r="I155" s="69">
        <v>41740</v>
      </c>
      <c r="J155" s="65">
        <v>5.77</v>
      </c>
      <c r="K155" s="65">
        <v>0</v>
      </c>
      <c r="L155" s="65"/>
      <c r="M155" s="65"/>
      <c r="N155" s="34"/>
      <c r="O155" s="35"/>
    </row>
    <row r="156" spans="1:15" s="36" customFormat="1" ht="12" x14ac:dyDescent="0.2">
      <c r="A156" s="33"/>
      <c r="B156" s="62">
        <v>40816</v>
      </c>
      <c r="C156" s="64">
        <v>0</v>
      </c>
      <c r="D156" s="64">
        <v>4279</v>
      </c>
      <c r="E156" s="64"/>
      <c r="F156" s="34"/>
      <c r="G156" s="34"/>
      <c r="H156" s="33"/>
      <c r="I156" s="68">
        <v>41743</v>
      </c>
      <c r="J156" s="64">
        <v>5.77</v>
      </c>
      <c r="K156" s="64">
        <v>0</v>
      </c>
      <c r="L156" s="64"/>
      <c r="M156" s="64"/>
      <c r="N156" s="34"/>
      <c r="O156" s="35"/>
    </row>
    <row r="157" spans="1:15" s="36" customFormat="1" ht="12" x14ac:dyDescent="0.2">
      <c r="A157" s="33"/>
      <c r="B157" s="63">
        <v>40847</v>
      </c>
      <c r="C157" s="65">
        <v>0</v>
      </c>
      <c r="D157" s="65">
        <v>7908</v>
      </c>
      <c r="E157" s="65"/>
      <c r="F157" s="34"/>
      <c r="G157" s="34"/>
      <c r="H157" s="33"/>
      <c r="I157" s="69">
        <v>41744</v>
      </c>
      <c r="J157" s="65">
        <v>5.77</v>
      </c>
      <c r="K157" s="65">
        <v>0</v>
      </c>
      <c r="L157" s="65"/>
      <c r="M157" s="65"/>
      <c r="N157" s="34"/>
      <c r="O157" s="35"/>
    </row>
    <row r="158" spans="1:15" s="36" customFormat="1" ht="12" x14ac:dyDescent="0.2">
      <c r="A158" s="33"/>
      <c r="B158" s="62">
        <v>40877</v>
      </c>
      <c r="C158" s="64">
        <v>0</v>
      </c>
      <c r="D158" s="64">
        <v>9581</v>
      </c>
      <c r="E158" s="64"/>
      <c r="F158" s="34"/>
      <c r="G158" s="34"/>
      <c r="H158" s="33"/>
      <c r="I158" s="68">
        <v>41745</v>
      </c>
      <c r="J158" s="64">
        <v>5.77</v>
      </c>
      <c r="K158" s="64">
        <v>0</v>
      </c>
      <c r="L158" s="64"/>
      <c r="M158" s="64"/>
      <c r="N158" s="34"/>
      <c r="O158" s="35"/>
    </row>
    <row r="159" spans="1:15" s="36" customFormat="1" ht="12" x14ac:dyDescent="0.2">
      <c r="A159" s="33"/>
      <c r="B159" s="63">
        <v>40908</v>
      </c>
      <c r="C159" s="65">
        <v>18.2</v>
      </c>
      <c r="D159" s="65">
        <v>12744</v>
      </c>
      <c r="E159" s="65"/>
      <c r="F159" s="34"/>
      <c r="G159" s="34"/>
      <c r="H159" s="33"/>
      <c r="I159" s="69">
        <v>41746</v>
      </c>
      <c r="J159" s="65">
        <v>5.77</v>
      </c>
      <c r="K159" s="65">
        <v>0</v>
      </c>
      <c r="L159" s="65"/>
      <c r="M159" s="65"/>
      <c r="N159" s="34"/>
      <c r="O159" s="35"/>
    </row>
    <row r="160" spans="1:15" s="36" customFormat="1" ht="12" x14ac:dyDescent="0.2">
      <c r="A160" s="33"/>
      <c r="B160" s="62">
        <v>40939</v>
      </c>
      <c r="C160" s="64">
        <v>0</v>
      </c>
      <c r="D160" s="64">
        <v>9754</v>
      </c>
      <c r="E160" s="64"/>
      <c r="F160" s="34"/>
      <c r="G160" s="34"/>
      <c r="H160" s="33"/>
      <c r="I160" s="68">
        <v>41747</v>
      </c>
      <c r="J160" s="64">
        <v>5.77</v>
      </c>
      <c r="K160" s="64">
        <v>0</v>
      </c>
      <c r="L160" s="64"/>
      <c r="M160" s="64"/>
      <c r="N160" s="34"/>
      <c r="O160" s="35"/>
    </row>
    <row r="161" spans="1:15" s="36" customFormat="1" ht="12" x14ac:dyDescent="0.2">
      <c r="A161" s="33"/>
      <c r="B161" s="63">
        <v>40968</v>
      </c>
      <c r="C161" s="65">
        <v>0</v>
      </c>
      <c r="D161" s="65">
        <v>10431</v>
      </c>
      <c r="E161" s="65"/>
      <c r="F161" s="34"/>
      <c r="G161" s="34"/>
      <c r="H161" s="33"/>
      <c r="I161" s="69">
        <v>41750</v>
      </c>
      <c r="J161" s="65">
        <v>5.77</v>
      </c>
      <c r="K161" s="65">
        <v>0</v>
      </c>
      <c r="L161" s="65"/>
      <c r="M161" s="65"/>
      <c r="N161" s="34"/>
      <c r="O161" s="35"/>
    </row>
    <row r="162" spans="1:15" s="36" customFormat="1" ht="12" x14ac:dyDescent="0.2">
      <c r="A162" s="33"/>
      <c r="B162" s="62">
        <v>40999</v>
      </c>
      <c r="C162" s="64">
        <v>0</v>
      </c>
      <c r="D162" s="64">
        <v>18704</v>
      </c>
      <c r="E162" s="64"/>
      <c r="F162" s="34"/>
      <c r="G162" s="34"/>
      <c r="H162" s="33"/>
      <c r="I162" s="68">
        <v>41751</v>
      </c>
      <c r="J162" s="64">
        <v>5.77</v>
      </c>
      <c r="K162" s="64">
        <v>0</v>
      </c>
      <c r="L162" s="64"/>
      <c r="M162" s="64"/>
      <c r="N162" s="34"/>
      <c r="O162" s="35"/>
    </row>
    <row r="163" spans="1:15" s="36" customFormat="1" ht="12" x14ac:dyDescent="0.2">
      <c r="A163" s="33"/>
      <c r="B163" s="63">
        <v>41029</v>
      </c>
      <c r="C163" s="65">
        <v>0</v>
      </c>
      <c r="D163" s="65">
        <v>9637</v>
      </c>
      <c r="E163" s="65"/>
      <c r="F163" s="34"/>
      <c r="G163" s="34"/>
      <c r="H163" s="33"/>
      <c r="I163" s="69">
        <v>41752</v>
      </c>
      <c r="J163" s="65">
        <v>5.77</v>
      </c>
      <c r="K163" s="65">
        <v>0</v>
      </c>
      <c r="L163" s="65"/>
      <c r="M163" s="65"/>
      <c r="N163" s="34"/>
      <c r="O163" s="35"/>
    </row>
    <row r="164" spans="1:15" s="36" customFormat="1" ht="12" x14ac:dyDescent="0.2">
      <c r="A164" s="33"/>
      <c r="B164" s="62">
        <v>41060</v>
      </c>
      <c r="C164" s="64">
        <v>0</v>
      </c>
      <c r="D164" s="64">
        <v>11432</v>
      </c>
      <c r="E164" s="64"/>
      <c r="F164" s="34"/>
      <c r="G164" s="34"/>
      <c r="H164" s="33"/>
      <c r="I164" s="68">
        <v>41753</v>
      </c>
      <c r="J164" s="64">
        <v>5.77</v>
      </c>
      <c r="K164" s="64">
        <v>0</v>
      </c>
      <c r="L164" s="64"/>
      <c r="M164" s="64"/>
      <c r="N164" s="34"/>
      <c r="O164" s="35"/>
    </row>
    <row r="165" spans="1:15" s="36" customFormat="1" ht="12" x14ac:dyDescent="0.2">
      <c r="A165" s="33"/>
      <c r="B165" s="63">
        <v>41090</v>
      </c>
      <c r="C165" s="65">
        <v>0</v>
      </c>
      <c r="D165" s="65">
        <v>17802</v>
      </c>
      <c r="E165" s="65"/>
      <c r="F165" s="34"/>
      <c r="G165" s="34"/>
      <c r="H165" s="33"/>
      <c r="I165" s="69">
        <v>41754</v>
      </c>
      <c r="J165" s="65">
        <v>5.77</v>
      </c>
      <c r="K165" s="65">
        <v>0</v>
      </c>
      <c r="L165" s="65"/>
      <c r="M165" s="65"/>
      <c r="N165" s="34"/>
      <c r="O165" s="35"/>
    </row>
    <row r="166" spans="1:15" s="36" customFormat="1" ht="12" x14ac:dyDescent="0.2">
      <c r="A166" s="33"/>
      <c r="B166" s="62">
        <v>41121</v>
      </c>
      <c r="C166" s="64">
        <v>0</v>
      </c>
      <c r="D166" s="64">
        <v>10522</v>
      </c>
      <c r="E166" s="64"/>
      <c r="F166" s="34"/>
      <c r="G166" s="34"/>
      <c r="H166" s="33"/>
      <c r="I166" s="68">
        <v>41757</v>
      </c>
      <c r="J166" s="64">
        <v>5.77</v>
      </c>
      <c r="K166" s="64">
        <v>0</v>
      </c>
      <c r="L166" s="64"/>
      <c r="M166" s="64"/>
      <c r="N166" s="34"/>
      <c r="O166" s="35"/>
    </row>
    <row r="167" spans="1:15" s="36" customFormat="1" ht="12" x14ac:dyDescent="0.2">
      <c r="A167" s="33"/>
      <c r="B167" s="63">
        <v>41152</v>
      </c>
      <c r="C167" s="65">
        <v>0</v>
      </c>
      <c r="D167" s="65">
        <v>12475</v>
      </c>
      <c r="E167" s="65"/>
      <c r="F167" s="34"/>
      <c r="G167" s="34"/>
      <c r="H167" s="33"/>
      <c r="I167" s="69">
        <v>41758</v>
      </c>
      <c r="J167" s="65">
        <v>5.77</v>
      </c>
      <c r="K167" s="65">
        <v>0</v>
      </c>
      <c r="L167" s="65"/>
      <c r="M167" s="65"/>
      <c r="N167" s="34"/>
      <c r="O167" s="35"/>
    </row>
    <row r="168" spans="1:15" s="36" customFormat="1" ht="12" x14ac:dyDescent="0.2">
      <c r="A168" s="33"/>
      <c r="B168" s="62">
        <v>41182</v>
      </c>
      <c r="C168" s="64">
        <v>0</v>
      </c>
      <c r="D168" s="64">
        <v>16462</v>
      </c>
      <c r="E168" s="64"/>
      <c r="F168" s="34"/>
      <c r="G168" s="34"/>
      <c r="H168" s="33"/>
      <c r="I168" s="68">
        <v>41759</v>
      </c>
      <c r="J168" s="64">
        <v>5.77</v>
      </c>
      <c r="K168" s="64">
        <v>0</v>
      </c>
      <c r="L168" s="64"/>
      <c r="M168" s="64"/>
      <c r="N168" s="34"/>
      <c r="O168" s="35"/>
    </row>
    <row r="169" spans="1:15" s="36" customFormat="1" ht="12" x14ac:dyDescent="0.2">
      <c r="A169" s="33"/>
      <c r="B169" s="63">
        <v>41213</v>
      </c>
      <c r="C169" s="65">
        <v>0</v>
      </c>
      <c r="D169" s="65">
        <v>12906</v>
      </c>
      <c r="E169" s="65"/>
      <c r="F169" s="34"/>
      <c r="G169" s="34"/>
      <c r="H169" s="33"/>
      <c r="I169" s="69">
        <v>41763</v>
      </c>
      <c r="J169" s="65">
        <v>5.77</v>
      </c>
      <c r="K169" s="65">
        <v>0</v>
      </c>
      <c r="L169" s="65"/>
      <c r="M169" s="65"/>
      <c r="N169" s="34"/>
      <c r="O169" s="35"/>
    </row>
    <row r="170" spans="1:15" s="36" customFormat="1" ht="12" x14ac:dyDescent="0.2">
      <c r="A170" s="33"/>
      <c r="B170" s="62">
        <v>41243</v>
      </c>
      <c r="C170" s="64">
        <v>0</v>
      </c>
      <c r="D170" s="64">
        <v>11225</v>
      </c>
      <c r="E170" s="64"/>
      <c r="F170" s="34"/>
      <c r="G170" s="34"/>
      <c r="H170" s="33"/>
      <c r="I170" s="68">
        <v>41764</v>
      </c>
      <c r="J170" s="64">
        <v>5.77</v>
      </c>
      <c r="K170" s="64">
        <v>0</v>
      </c>
      <c r="L170" s="64"/>
      <c r="M170" s="64"/>
      <c r="N170" s="34"/>
      <c r="O170" s="35"/>
    </row>
    <row r="171" spans="1:15" s="36" customFormat="1" ht="12" x14ac:dyDescent="0.2">
      <c r="A171" s="33"/>
      <c r="B171" s="63">
        <v>41274</v>
      </c>
      <c r="C171" s="65">
        <v>19.100000000000001</v>
      </c>
      <c r="D171" s="65">
        <v>16282</v>
      </c>
      <c r="E171" s="65"/>
      <c r="F171" s="34"/>
      <c r="G171" s="34"/>
      <c r="H171" s="33"/>
      <c r="I171" s="69">
        <v>41765</v>
      </c>
      <c r="J171" s="65">
        <v>5.77</v>
      </c>
      <c r="K171" s="65">
        <v>0</v>
      </c>
      <c r="L171" s="65"/>
      <c r="M171" s="65"/>
      <c r="N171" s="34"/>
      <c r="O171" s="35"/>
    </row>
    <row r="172" spans="1:15" s="36" customFormat="1" ht="12" x14ac:dyDescent="0.2">
      <c r="A172" s="33"/>
      <c r="B172" s="62">
        <v>41305</v>
      </c>
      <c r="C172" s="64">
        <v>0</v>
      </c>
      <c r="D172" s="64">
        <v>25446</v>
      </c>
      <c r="E172" s="64"/>
      <c r="F172" s="34"/>
      <c r="G172" s="34"/>
      <c r="H172" s="33"/>
      <c r="I172" s="68">
        <v>41766</v>
      </c>
      <c r="J172" s="64">
        <v>5.77</v>
      </c>
      <c r="K172" s="64">
        <v>0</v>
      </c>
      <c r="L172" s="64"/>
      <c r="M172" s="64"/>
      <c r="N172" s="34"/>
      <c r="O172" s="35"/>
    </row>
    <row r="173" spans="1:15" s="36" customFormat="1" ht="12" x14ac:dyDescent="0.2">
      <c r="A173" s="33"/>
      <c r="B173" s="63">
        <v>41333</v>
      </c>
      <c r="C173" s="65">
        <v>0</v>
      </c>
      <c r="D173" s="65">
        <v>10705</v>
      </c>
      <c r="E173" s="65"/>
      <c r="F173" s="34"/>
      <c r="G173" s="34"/>
      <c r="H173" s="33"/>
      <c r="I173" s="69">
        <v>41767</v>
      </c>
      <c r="J173" s="65">
        <v>5.77</v>
      </c>
      <c r="K173" s="65">
        <v>0</v>
      </c>
      <c r="L173" s="65"/>
      <c r="M173" s="65"/>
      <c r="N173" s="34"/>
      <c r="O173" s="35"/>
    </row>
    <row r="174" spans="1:15" s="36" customFormat="1" ht="12" x14ac:dyDescent="0.2">
      <c r="A174" s="33"/>
      <c r="B174" s="62">
        <v>41364</v>
      </c>
      <c r="C174" s="64">
        <v>0</v>
      </c>
      <c r="D174" s="64">
        <v>25503</v>
      </c>
      <c r="E174" s="64"/>
      <c r="F174" s="34"/>
      <c r="G174" s="34"/>
      <c r="H174" s="33"/>
      <c r="I174" s="68">
        <v>41768</v>
      </c>
      <c r="J174" s="64">
        <v>5.77</v>
      </c>
      <c r="K174" s="64">
        <v>0</v>
      </c>
      <c r="L174" s="64"/>
      <c r="M174" s="64"/>
      <c r="N174" s="34"/>
      <c r="O174" s="35"/>
    </row>
    <row r="175" spans="1:15" s="36" customFormat="1" ht="12" x14ac:dyDescent="0.2">
      <c r="A175" s="33"/>
      <c r="B175" s="63">
        <v>41394</v>
      </c>
      <c r="C175" s="65">
        <v>0</v>
      </c>
      <c r="D175" s="65">
        <v>17629</v>
      </c>
      <c r="E175" s="65"/>
      <c r="F175" s="34"/>
      <c r="G175" s="34"/>
      <c r="H175" s="33"/>
      <c r="I175" s="69">
        <v>41771</v>
      </c>
      <c r="J175" s="65">
        <v>5.77</v>
      </c>
      <c r="K175" s="65">
        <v>0</v>
      </c>
      <c r="L175" s="65"/>
      <c r="M175" s="65"/>
      <c r="N175" s="34"/>
      <c r="O175" s="35"/>
    </row>
    <row r="176" spans="1:15" s="36" customFormat="1" ht="12" x14ac:dyDescent="0.2">
      <c r="A176" s="33"/>
      <c r="B176" s="62">
        <v>41425</v>
      </c>
      <c r="C176" s="64">
        <v>0</v>
      </c>
      <c r="D176" s="64">
        <v>11871</v>
      </c>
      <c r="E176" s="64"/>
      <c r="F176" s="34"/>
      <c r="G176" s="34"/>
      <c r="H176" s="33"/>
      <c r="I176" s="68">
        <v>41772</v>
      </c>
      <c r="J176" s="64">
        <v>5.77</v>
      </c>
      <c r="K176" s="64">
        <v>0</v>
      </c>
      <c r="L176" s="64"/>
      <c r="M176" s="64"/>
      <c r="N176" s="34"/>
      <c r="O176" s="35"/>
    </row>
    <row r="177" spans="1:15" s="36" customFormat="1" ht="12" x14ac:dyDescent="0.2">
      <c r="A177" s="33"/>
      <c r="B177" s="63">
        <v>41455</v>
      </c>
      <c r="C177" s="65">
        <v>0</v>
      </c>
      <c r="D177" s="65">
        <v>10375</v>
      </c>
      <c r="E177" s="65"/>
      <c r="F177" s="34"/>
      <c r="G177" s="34"/>
      <c r="H177" s="33"/>
      <c r="I177" s="69">
        <v>41773</v>
      </c>
      <c r="J177" s="65">
        <v>5.77</v>
      </c>
      <c r="K177" s="65">
        <v>0</v>
      </c>
      <c r="L177" s="65"/>
      <c r="M177" s="65"/>
      <c r="N177" s="34"/>
      <c r="O177" s="35"/>
    </row>
    <row r="178" spans="1:15" s="36" customFormat="1" ht="12" x14ac:dyDescent="0.2">
      <c r="A178" s="33"/>
      <c r="B178" s="62">
        <v>41486</v>
      </c>
      <c r="C178" s="64">
        <v>0</v>
      </c>
      <c r="D178" s="64">
        <v>8191</v>
      </c>
      <c r="E178" s="64"/>
      <c r="F178" s="34"/>
      <c r="G178" s="34"/>
      <c r="H178" s="33"/>
      <c r="I178" s="68">
        <v>41774</v>
      </c>
      <c r="J178" s="64">
        <v>5.77</v>
      </c>
      <c r="K178" s="64">
        <v>0</v>
      </c>
      <c r="L178" s="64"/>
      <c r="M178" s="64"/>
      <c r="N178" s="34"/>
      <c r="O178" s="35"/>
    </row>
    <row r="179" spans="1:15" s="36" customFormat="1" ht="12" x14ac:dyDescent="0.2">
      <c r="A179" s="33"/>
      <c r="B179" s="63">
        <v>41517</v>
      </c>
      <c r="C179" s="65">
        <v>0</v>
      </c>
      <c r="D179" s="65">
        <v>15841</v>
      </c>
      <c r="E179" s="65"/>
      <c r="F179" s="34"/>
      <c r="G179" s="34"/>
      <c r="H179" s="33"/>
      <c r="I179" s="69">
        <v>41775</v>
      </c>
      <c r="J179" s="65">
        <v>5.77</v>
      </c>
      <c r="K179" s="65">
        <v>0</v>
      </c>
      <c r="L179" s="65"/>
      <c r="M179" s="65"/>
      <c r="N179" s="34"/>
      <c r="O179" s="35"/>
    </row>
    <row r="180" spans="1:15" s="36" customFormat="1" ht="12" x14ac:dyDescent="0.2">
      <c r="A180" s="33"/>
      <c r="B180" s="62">
        <v>41547</v>
      </c>
      <c r="C180" s="64">
        <v>0</v>
      </c>
      <c r="D180" s="64">
        <v>14120</v>
      </c>
      <c r="E180" s="64"/>
      <c r="F180" s="34"/>
      <c r="G180" s="34"/>
      <c r="H180" s="33"/>
      <c r="I180" s="68">
        <v>41778</v>
      </c>
      <c r="J180" s="64">
        <v>5.77</v>
      </c>
      <c r="K180" s="64">
        <v>0</v>
      </c>
      <c r="L180" s="64"/>
      <c r="M180" s="64"/>
      <c r="N180" s="34"/>
      <c r="O180" s="35"/>
    </row>
    <row r="181" spans="1:15" s="36" customFormat="1" ht="12" x14ac:dyDescent="0.2">
      <c r="A181" s="33"/>
      <c r="B181" s="63">
        <v>41578</v>
      </c>
      <c r="C181" s="65">
        <v>0</v>
      </c>
      <c r="D181" s="65">
        <v>8645</v>
      </c>
      <c r="E181" s="65"/>
      <c r="F181" s="34"/>
      <c r="G181" s="34"/>
      <c r="H181" s="33"/>
      <c r="I181" s="69">
        <v>41779</v>
      </c>
      <c r="J181" s="65">
        <v>5.77</v>
      </c>
      <c r="K181" s="65">
        <v>0</v>
      </c>
      <c r="L181" s="65"/>
      <c r="M181" s="65"/>
      <c r="N181" s="34"/>
      <c r="O181" s="35"/>
    </row>
    <row r="182" spans="1:15" s="36" customFormat="1" ht="12" x14ac:dyDescent="0.2">
      <c r="A182" s="33"/>
      <c r="B182" s="62">
        <v>41608</v>
      </c>
      <c r="C182" s="64">
        <v>0</v>
      </c>
      <c r="D182" s="64">
        <v>12310</v>
      </c>
      <c r="E182" s="64"/>
      <c r="F182" s="34"/>
      <c r="G182" s="34"/>
      <c r="H182" s="33"/>
      <c r="I182" s="68">
        <v>41780</v>
      </c>
      <c r="J182" s="64">
        <v>5.77</v>
      </c>
      <c r="K182" s="64">
        <v>0</v>
      </c>
      <c r="L182" s="64"/>
      <c r="M182" s="64"/>
      <c r="N182" s="34"/>
      <c r="O182" s="35"/>
    </row>
    <row r="183" spans="1:15" s="36" customFormat="1" ht="12" x14ac:dyDescent="0.2">
      <c r="A183" s="33"/>
      <c r="B183" s="63">
        <v>41639</v>
      </c>
      <c r="C183" s="65">
        <v>17.5</v>
      </c>
      <c r="D183" s="65">
        <v>12532</v>
      </c>
      <c r="E183" s="65"/>
      <c r="F183" s="34"/>
      <c r="G183" s="34"/>
      <c r="H183" s="33"/>
      <c r="I183" s="69">
        <v>41781</v>
      </c>
      <c r="J183" s="65">
        <v>5.77</v>
      </c>
      <c r="K183" s="65">
        <v>0</v>
      </c>
      <c r="L183" s="65"/>
      <c r="M183" s="65"/>
      <c r="N183" s="34"/>
      <c r="O183" s="35"/>
    </row>
    <row r="184" spans="1:15" s="36" customFormat="1" ht="12" x14ac:dyDescent="0.2">
      <c r="A184" s="33"/>
      <c r="B184" s="62">
        <v>41670</v>
      </c>
      <c r="C184" s="64">
        <v>0</v>
      </c>
      <c r="D184" s="64">
        <v>26004</v>
      </c>
      <c r="E184" s="64"/>
      <c r="F184" s="34"/>
      <c r="G184" s="34"/>
      <c r="H184" s="33"/>
      <c r="I184" s="68">
        <v>41782</v>
      </c>
      <c r="J184" s="64">
        <v>5.77</v>
      </c>
      <c r="K184" s="64">
        <v>0</v>
      </c>
      <c r="L184" s="64"/>
      <c r="M184" s="64"/>
      <c r="N184" s="34"/>
      <c r="O184" s="35"/>
    </row>
    <row r="185" spans="1:15" s="36" customFormat="1" ht="12" x14ac:dyDescent="0.2">
      <c r="A185" s="33"/>
      <c r="B185" s="63">
        <v>41698</v>
      </c>
      <c r="C185" s="65">
        <v>0</v>
      </c>
      <c r="D185" s="65">
        <v>9370</v>
      </c>
      <c r="E185" s="65"/>
      <c r="F185" s="34"/>
      <c r="G185" s="34"/>
      <c r="H185" s="33"/>
      <c r="I185" s="69">
        <v>41785</v>
      </c>
      <c r="J185" s="65">
        <v>5.77</v>
      </c>
      <c r="K185" s="65">
        <v>0</v>
      </c>
      <c r="L185" s="65"/>
      <c r="M185" s="65"/>
      <c r="N185" s="34"/>
      <c r="O185" s="35"/>
    </row>
    <row r="186" spans="1:15" s="36" customFormat="1" ht="12" x14ac:dyDescent="0.2">
      <c r="A186" s="33"/>
      <c r="B186" s="62">
        <v>41729</v>
      </c>
      <c r="C186" s="64">
        <v>0</v>
      </c>
      <c r="D186" s="64">
        <v>20934</v>
      </c>
      <c r="E186" s="64"/>
      <c r="F186" s="34"/>
      <c r="G186" s="34"/>
      <c r="H186" s="33"/>
      <c r="I186" s="68">
        <v>41786</v>
      </c>
      <c r="J186" s="64">
        <v>5.77</v>
      </c>
      <c r="K186" s="64">
        <v>0</v>
      </c>
      <c r="L186" s="64"/>
      <c r="M186" s="64"/>
      <c r="N186" s="34"/>
      <c r="O186" s="35"/>
    </row>
    <row r="187" spans="1:15" s="36" customFormat="1" ht="12" x14ac:dyDescent="0.2">
      <c r="A187" s="33"/>
      <c r="B187" s="63">
        <v>41759</v>
      </c>
      <c r="C187" s="65">
        <v>0</v>
      </c>
      <c r="D187" s="65">
        <v>15259</v>
      </c>
      <c r="E187" s="65"/>
      <c r="F187" s="34"/>
      <c r="G187" s="34"/>
      <c r="H187" s="33"/>
      <c r="I187" s="69">
        <v>41787</v>
      </c>
      <c r="J187" s="65">
        <v>5.77</v>
      </c>
      <c r="K187" s="65">
        <v>0</v>
      </c>
      <c r="L187" s="65"/>
      <c r="M187" s="65"/>
      <c r="N187" s="34"/>
      <c r="O187" s="35"/>
    </row>
    <row r="188" spans="1:15" s="36" customFormat="1" ht="12" x14ac:dyDescent="0.2">
      <c r="A188" s="33"/>
      <c r="B188" s="62">
        <v>41790</v>
      </c>
      <c r="C188" s="64">
        <v>0</v>
      </c>
      <c r="D188" s="64">
        <v>14013</v>
      </c>
      <c r="E188" s="64"/>
      <c r="F188" s="34"/>
      <c r="G188" s="34"/>
      <c r="H188" s="33"/>
      <c r="I188" s="68">
        <v>41788</v>
      </c>
      <c r="J188" s="64">
        <v>5.77</v>
      </c>
      <c r="K188" s="64">
        <v>0</v>
      </c>
      <c r="L188" s="64"/>
      <c r="M188" s="64"/>
      <c r="N188" s="34"/>
      <c r="O188" s="35"/>
    </row>
    <row r="189" spans="1:15" s="36" customFormat="1" ht="12" x14ac:dyDescent="0.2">
      <c r="A189" s="33"/>
      <c r="B189" s="63">
        <v>41820</v>
      </c>
      <c r="C189" s="65">
        <v>0</v>
      </c>
      <c r="D189" s="65">
        <v>19673</v>
      </c>
      <c r="E189" s="65"/>
      <c r="F189" s="34"/>
      <c r="G189" s="34"/>
      <c r="H189" s="33"/>
      <c r="I189" s="69">
        <v>41789</v>
      </c>
      <c r="J189" s="65">
        <v>5.77</v>
      </c>
      <c r="K189" s="65">
        <v>0</v>
      </c>
      <c r="L189" s="65"/>
      <c r="M189" s="65"/>
      <c r="N189" s="34"/>
      <c r="O189" s="35"/>
    </row>
    <row r="190" spans="1:15" s="36" customFormat="1" ht="12" x14ac:dyDescent="0.2">
      <c r="A190" s="33"/>
      <c r="B190" s="62">
        <v>41851</v>
      </c>
      <c r="C190" s="64">
        <v>0</v>
      </c>
      <c r="D190" s="64">
        <v>2737</v>
      </c>
      <c r="E190" s="64"/>
      <c r="F190" s="34"/>
      <c r="G190" s="34"/>
      <c r="H190" s="33"/>
      <c r="I190" s="68">
        <v>41793</v>
      </c>
      <c r="J190" s="64">
        <v>5.77</v>
      </c>
      <c r="K190" s="64">
        <v>0</v>
      </c>
      <c r="L190" s="64"/>
      <c r="M190" s="64"/>
      <c r="N190" s="34"/>
      <c r="O190" s="35"/>
    </row>
    <row r="191" spans="1:15" s="36" customFormat="1" ht="12" x14ac:dyDescent="0.2">
      <c r="A191" s="33"/>
      <c r="B191" s="63">
        <v>41882</v>
      </c>
      <c r="C191" s="65">
        <v>0</v>
      </c>
      <c r="D191" s="65">
        <v>9577</v>
      </c>
      <c r="E191" s="65"/>
      <c r="F191" s="34"/>
      <c r="G191" s="34"/>
      <c r="H191" s="33"/>
      <c r="I191" s="69">
        <v>41794</v>
      </c>
      <c r="J191" s="65">
        <v>5.77</v>
      </c>
      <c r="K191" s="65">
        <v>0</v>
      </c>
      <c r="L191" s="65"/>
      <c r="M191" s="65"/>
      <c r="N191" s="34"/>
      <c r="O191" s="35"/>
    </row>
    <row r="192" spans="1:15" s="36" customFormat="1" ht="12" x14ac:dyDescent="0.2">
      <c r="A192" s="33"/>
      <c r="B192" s="62">
        <v>41912</v>
      </c>
      <c r="C192" s="64">
        <v>0</v>
      </c>
      <c r="D192" s="64">
        <v>11355</v>
      </c>
      <c r="E192" s="64"/>
      <c r="F192" s="34"/>
      <c r="G192" s="34"/>
      <c r="H192" s="33"/>
      <c r="I192" s="68">
        <v>41795</v>
      </c>
      <c r="J192" s="64">
        <v>5.77</v>
      </c>
      <c r="K192" s="64">
        <v>0</v>
      </c>
      <c r="L192" s="64"/>
      <c r="M192" s="64"/>
      <c r="N192" s="34"/>
      <c r="O192" s="35"/>
    </row>
    <row r="193" spans="1:15" s="36" customFormat="1" ht="12" x14ac:dyDescent="0.2">
      <c r="A193" s="33"/>
      <c r="B193" s="63">
        <v>41943</v>
      </c>
      <c r="C193" s="65">
        <v>0</v>
      </c>
      <c r="D193" s="65">
        <v>6807</v>
      </c>
      <c r="E193" s="65"/>
      <c r="F193" s="34"/>
      <c r="G193" s="34"/>
      <c r="H193" s="33"/>
      <c r="I193" s="69">
        <v>41796</v>
      </c>
      <c r="J193" s="65">
        <v>5.77</v>
      </c>
      <c r="K193" s="65">
        <v>0</v>
      </c>
      <c r="L193" s="65"/>
      <c r="M193" s="65"/>
      <c r="N193" s="34"/>
      <c r="O193" s="35"/>
    </row>
    <row r="194" spans="1:15" s="36" customFormat="1" ht="12" x14ac:dyDescent="0.2">
      <c r="A194" s="33"/>
      <c r="B194" s="62">
        <v>41973</v>
      </c>
      <c r="C194" s="64">
        <v>0</v>
      </c>
      <c r="D194" s="64">
        <v>11459</v>
      </c>
      <c r="E194" s="64"/>
      <c r="F194" s="34"/>
      <c r="G194" s="34"/>
      <c r="H194" s="33"/>
      <c r="I194" s="68">
        <v>41799</v>
      </c>
      <c r="J194" s="64">
        <v>5.77</v>
      </c>
      <c r="K194" s="64">
        <v>0</v>
      </c>
      <c r="L194" s="64"/>
      <c r="M194" s="64"/>
      <c r="N194" s="34"/>
      <c r="O194" s="35"/>
    </row>
    <row r="195" spans="1:15" s="36" customFormat="1" ht="12" x14ac:dyDescent="0.2">
      <c r="A195" s="33"/>
      <c r="B195" s="63">
        <v>42004</v>
      </c>
      <c r="C195" s="65">
        <v>14.3</v>
      </c>
      <c r="D195" s="65">
        <v>16945</v>
      </c>
      <c r="E195" s="65"/>
      <c r="F195" s="34"/>
      <c r="G195" s="34"/>
      <c r="H195" s="33"/>
      <c r="I195" s="69">
        <v>41800</v>
      </c>
      <c r="J195" s="65">
        <v>5.77</v>
      </c>
      <c r="K195" s="65">
        <v>0</v>
      </c>
      <c r="L195" s="65"/>
      <c r="M195" s="65"/>
      <c r="N195" s="34"/>
      <c r="O195" s="35"/>
    </row>
    <row r="196" spans="1:15" s="36" customFormat="1" ht="12" x14ac:dyDescent="0.2">
      <c r="A196" s="33"/>
      <c r="B196" s="62">
        <v>42035</v>
      </c>
      <c r="C196" s="64">
        <v>0</v>
      </c>
      <c r="D196" s="64">
        <v>20516</v>
      </c>
      <c r="E196" s="64"/>
      <c r="F196" s="34"/>
      <c r="G196" s="34"/>
      <c r="H196" s="33"/>
      <c r="I196" s="68">
        <v>41801</v>
      </c>
      <c r="J196" s="64">
        <v>5.77</v>
      </c>
      <c r="K196" s="64">
        <v>0</v>
      </c>
      <c r="L196" s="64"/>
      <c r="M196" s="64"/>
      <c r="N196" s="34"/>
      <c r="O196" s="35"/>
    </row>
    <row r="197" spans="1:15" s="36" customFormat="1" ht="12" x14ac:dyDescent="0.2">
      <c r="A197" s="33"/>
      <c r="B197" s="63">
        <v>42063</v>
      </c>
      <c r="C197" s="65">
        <v>0</v>
      </c>
      <c r="D197" s="65">
        <v>13609</v>
      </c>
      <c r="E197" s="65"/>
      <c r="F197" s="34"/>
      <c r="G197" s="34"/>
      <c r="H197" s="33"/>
      <c r="I197" s="69">
        <v>41802</v>
      </c>
      <c r="J197" s="65">
        <v>5.77</v>
      </c>
      <c r="K197" s="65">
        <v>0</v>
      </c>
      <c r="L197" s="65"/>
      <c r="M197" s="65"/>
      <c r="N197" s="34"/>
      <c r="O197" s="35"/>
    </row>
    <row r="198" spans="1:15" s="36" customFormat="1" ht="12" x14ac:dyDescent="0.2">
      <c r="A198" s="33"/>
      <c r="B198" s="62">
        <v>42094</v>
      </c>
      <c r="C198" s="64">
        <v>13</v>
      </c>
      <c r="D198" s="64">
        <v>12433</v>
      </c>
      <c r="E198" s="64"/>
      <c r="F198" s="34"/>
      <c r="G198" s="34"/>
      <c r="H198" s="33"/>
      <c r="I198" s="68">
        <v>41803</v>
      </c>
      <c r="J198" s="64">
        <v>5.77</v>
      </c>
      <c r="K198" s="64">
        <v>0</v>
      </c>
      <c r="L198" s="64"/>
      <c r="M198" s="64"/>
      <c r="N198" s="34"/>
      <c r="O198" s="35"/>
    </row>
    <row r="199" spans="1:15" s="36" customFormat="1" ht="12" x14ac:dyDescent="0.2">
      <c r="A199" s="33"/>
      <c r="B199" s="63">
        <v>42124</v>
      </c>
      <c r="C199" s="65">
        <v>0</v>
      </c>
      <c r="D199" s="65">
        <v>10582</v>
      </c>
      <c r="E199" s="65"/>
      <c r="F199" s="34"/>
      <c r="G199" s="34"/>
      <c r="H199" s="33"/>
      <c r="I199" s="69">
        <v>41806</v>
      </c>
      <c r="J199" s="65">
        <v>5.77</v>
      </c>
      <c r="K199" s="65">
        <v>0</v>
      </c>
      <c r="L199" s="65"/>
      <c r="M199" s="65"/>
      <c r="N199" s="34"/>
      <c r="O199" s="35"/>
    </row>
    <row r="200" spans="1:15" s="36" customFormat="1" ht="12" x14ac:dyDescent="0.2">
      <c r="A200" s="33"/>
      <c r="B200" s="62">
        <v>42155</v>
      </c>
      <c r="C200" s="64">
        <v>0</v>
      </c>
      <c r="D200" s="64">
        <v>12397</v>
      </c>
      <c r="E200" s="64"/>
      <c r="F200" s="34"/>
      <c r="G200" s="34"/>
      <c r="H200" s="33"/>
      <c r="I200" s="68">
        <v>41807</v>
      </c>
      <c r="J200" s="64">
        <v>5.76</v>
      </c>
      <c r="K200" s="64">
        <v>0</v>
      </c>
      <c r="L200" s="64"/>
      <c r="M200" s="64"/>
      <c r="N200" s="34"/>
      <c r="O200" s="35"/>
    </row>
    <row r="201" spans="1:15" s="36" customFormat="1" ht="12" x14ac:dyDescent="0.2">
      <c r="A201" s="33"/>
      <c r="B201" s="63">
        <v>42185</v>
      </c>
      <c r="C201" s="65">
        <v>11.9</v>
      </c>
      <c r="D201" s="65">
        <v>18384</v>
      </c>
      <c r="E201" s="65"/>
      <c r="F201" s="34"/>
      <c r="G201" s="34"/>
      <c r="H201" s="33"/>
      <c r="I201" s="69">
        <v>41808</v>
      </c>
      <c r="J201" s="65">
        <v>5.76</v>
      </c>
      <c r="K201" s="65">
        <v>0</v>
      </c>
      <c r="L201" s="65"/>
      <c r="M201" s="65"/>
      <c r="N201" s="34"/>
      <c r="O201" s="35"/>
    </row>
    <row r="202" spans="1:15" s="36" customFormat="1" ht="12" x14ac:dyDescent="0.2">
      <c r="A202" s="33"/>
      <c r="B202" s="62">
        <v>42216</v>
      </c>
      <c r="C202" s="64">
        <v>0</v>
      </c>
      <c r="D202" s="64">
        <v>7511</v>
      </c>
      <c r="E202" s="64"/>
      <c r="F202" s="34"/>
      <c r="G202" s="34"/>
      <c r="H202" s="33"/>
      <c r="I202" s="68">
        <v>41809</v>
      </c>
      <c r="J202" s="64">
        <v>5.76</v>
      </c>
      <c r="K202" s="64">
        <v>0</v>
      </c>
      <c r="L202" s="64"/>
      <c r="M202" s="64"/>
      <c r="N202" s="34"/>
      <c r="O202" s="35"/>
    </row>
    <row r="203" spans="1:15" s="36" customFormat="1" ht="12" x14ac:dyDescent="0.2">
      <c r="A203" s="33"/>
      <c r="B203" s="63">
        <v>42247</v>
      </c>
      <c r="C203" s="65">
        <v>0</v>
      </c>
      <c r="D203" s="65">
        <v>11097</v>
      </c>
      <c r="E203" s="65"/>
      <c r="F203" s="34"/>
      <c r="G203" s="34"/>
      <c r="H203" s="33"/>
      <c r="I203" s="69">
        <v>41810</v>
      </c>
      <c r="J203" s="65">
        <v>5.76</v>
      </c>
      <c r="K203" s="65">
        <v>0</v>
      </c>
      <c r="L203" s="65"/>
      <c r="M203" s="65"/>
      <c r="N203" s="34"/>
      <c r="O203" s="35"/>
    </row>
    <row r="204" spans="1:15" s="36" customFormat="1" ht="12" x14ac:dyDescent="0.2">
      <c r="A204" s="33"/>
      <c r="B204" s="62">
        <v>42277</v>
      </c>
      <c r="C204" s="64">
        <v>12.5</v>
      </c>
      <c r="D204" s="64">
        <v>13571</v>
      </c>
      <c r="E204" s="64"/>
      <c r="F204" s="34"/>
      <c r="G204" s="34"/>
      <c r="H204" s="33"/>
      <c r="I204" s="68">
        <v>41813</v>
      </c>
      <c r="J204" s="64">
        <v>5.76</v>
      </c>
      <c r="K204" s="64">
        <v>0</v>
      </c>
      <c r="L204" s="64"/>
      <c r="M204" s="64"/>
      <c r="N204" s="34"/>
      <c r="O204" s="35"/>
    </row>
    <row r="205" spans="1:15" s="36" customFormat="1" ht="12" x14ac:dyDescent="0.2">
      <c r="A205" s="33"/>
      <c r="B205" s="63">
        <v>42308</v>
      </c>
      <c r="C205" s="65">
        <v>0</v>
      </c>
      <c r="D205" s="65">
        <v>5593</v>
      </c>
      <c r="E205" s="65"/>
      <c r="F205" s="34"/>
      <c r="G205" s="34"/>
      <c r="H205" s="33"/>
      <c r="I205" s="69">
        <v>41814</v>
      </c>
      <c r="J205" s="65">
        <v>5.76</v>
      </c>
      <c r="K205" s="65">
        <v>0</v>
      </c>
      <c r="L205" s="65"/>
      <c r="M205" s="65"/>
      <c r="N205" s="34"/>
      <c r="O205" s="35"/>
    </row>
    <row r="206" spans="1:15" s="36" customFormat="1" ht="12" x14ac:dyDescent="0.2">
      <c r="A206" s="33"/>
      <c r="B206" s="62">
        <v>42338</v>
      </c>
      <c r="C206" s="64">
        <v>0</v>
      </c>
      <c r="D206" s="64">
        <v>10255</v>
      </c>
      <c r="E206" s="64"/>
      <c r="F206" s="34"/>
      <c r="G206" s="34"/>
      <c r="H206" s="33"/>
      <c r="I206" s="68">
        <v>41815</v>
      </c>
      <c r="J206" s="64">
        <v>5.76</v>
      </c>
      <c r="K206" s="64">
        <v>0</v>
      </c>
      <c r="L206" s="64"/>
      <c r="M206" s="64"/>
      <c r="N206" s="34"/>
      <c r="O206" s="35"/>
    </row>
    <row r="207" spans="1:15" s="36" customFormat="1" ht="12" x14ac:dyDescent="0.2">
      <c r="A207" s="33"/>
      <c r="B207" s="63">
        <v>42369</v>
      </c>
      <c r="C207" s="65">
        <v>12.4</v>
      </c>
      <c r="D207" s="65">
        <v>18114</v>
      </c>
      <c r="E207" s="65"/>
      <c r="F207" s="34"/>
      <c r="G207" s="34"/>
      <c r="H207" s="33"/>
      <c r="I207" s="69">
        <v>41816</v>
      </c>
      <c r="J207" s="65">
        <v>5.76</v>
      </c>
      <c r="K207" s="65">
        <v>0</v>
      </c>
      <c r="L207" s="65"/>
      <c r="M207" s="65"/>
      <c r="N207" s="34"/>
      <c r="O207" s="35"/>
    </row>
    <row r="208" spans="1:15" s="36" customFormat="1" ht="12" x14ac:dyDescent="0.2">
      <c r="A208" s="33"/>
      <c r="B208" s="62">
        <v>42400</v>
      </c>
      <c r="C208" s="64">
        <v>13.1</v>
      </c>
      <c r="D208" s="64">
        <v>34758</v>
      </c>
      <c r="E208" s="64"/>
      <c r="F208" s="34"/>
      <c r="G208" s="34"/>
      <c r="H208" s="33"/>
      <c r="I208" s="68">
        <v>41817</v>
      </c>
      <c r="J208" s="64">
        <v>5.76</v>
      </c>
      <c r="K208" s="64">
        <v>0</v>
      </c>
      <c r="L208" s="64"/>
      <c r="M208" s="64"/>
      <c r="N208" s="34"/>
      <c r="O208" s="35"/>
    </row>
    <row r="209" spans="1:15" s="36" customFormat="1" ht="12" x14ac:dyDescent="0.2">
      <c r="A209" s="33"/>
      <c r="B209" s="63">
        <v>42429</v>
      </c>
      <c r="C209" s="65">
        <v>12.7</v>
      </c>
      <c r="D209" s="65">
        <v>8312</v>
      </c>
      <c r="E209" s="65"/>
      <c r="F209" s="34"/>
      <c r="G209" s="34"/>
      <c r="H209" s="33"/>
      <c r="I209" s="69">
        <v>41820</v>
      </c>
      <c r="J209" s="65">
        <v>5.76</v>
      </c>
      <c r="K209" s="65">
        <v>0</v>
      </c>
      <c r="L209" s="65"/>
      <c r="M209" s="65"/>
      <c r="N209" s="34"/>
      <c r="O209" s="35"/>
    </row>
    <row r="210" spans="1:15" s="36" customFormat="1" ht="12" x14ac:dyDescent="0.2">
      <c r="A210" s="33"/>
      <c r="B210" s="62">
        <v>42460</v>
      </c>
      <c r="C210" s="64">
        <v>13.4</v>
      </c>
      <c r="D210" s="64">
        <v>23931</v>
      </c>
      <c r="E210" s="64"/>
      <c r="F210" s="34"/>
      <c r="G210" s="34"/>
      <c r="H210" s="33"/>
      <c r="I210" s="68">
        <v>41821</v>
      </c>
      <c r="J210" s="64">
        <v>5.76</v>
      </c>
      <c r="K210" s="64">
        <v>0</v>
      </c>
      <c r="L210" s="64"/>
      <c r="M210" s="64"/>
      <c r="N210" s="34"/>
      <c r="O210" s="35"/>
    </row>
    <row r="211" spans="1:15" s="36" customFormat="1" ht="12" x14ac:dyDescent="0.2">
      <c r="A211" s="33"/>
      <c r="B211" s="63">
        <v>42490</v>
      </c>
      <c r="C211" s="65">
        <v>13.1</v>
      </c>
      <c r="D211" s="65">
        <v>7809</v>
      </c>
      <c r="E211" s="65"/>
      <c r="F211" s="34"/>
      <c r="G211" s="34"/>
      <c r="H211" s="33"/>
      <c r="I211" s="69">
        <v>41822</v>
      </c>
      <c r="J211" s="65">
        <v>5.76</v>
      </c>
      <c r="K211" s="65">
        <v>0</v>
      </c>
      <c r="L211" s="65"/>
      <c r="M211" s="65"/>
      <c r="N211" s="34"/>
      <c r="O211" s="35"/>
    </row>
    <row r="212" spans="1:15" s="36" customFormat="1" ht="12" x14ac:dyDescent="0.2">
      <c r="A212" s="33"/>
      <c r="B212" s="62">
        <v>42521</v>
      </c>
      <c r="C212" s="64">
        <v>12.6</v>
      </c>
      <c r="D212" s="64">
        <v>6770</v>
      </c>
      <c r="E212" s="64"/>
      <c r="F212" s="34"/>
      <c r="G212" s="34"/>
      <c r="H212" s="33"/>
      <c r="I212" s="68">
        <v>41823</v>
      </c>
      <c r="J212" s="64">
        <v>5.76</v>
      </c>
      <c r="K212" s="64">
        <v>0</v>
      </c>
      <c r="L212" s="64"/>
      <c r="M212" s="64"/>
      <c r="N212" s="34"/>
      <c r="O212" s="35"/>
    </row>
    <row r="213" spans="1:15" s="36" customFormat="1" ht="12" x14ac:dyDescent="0.2">
      <c r="A213" s="33"/>
      <c r="B213" s="63">
        <v>42551</v>
      </c>
      <c r="C213" s="65">
        <v>12.4</v>
      </c>
      <c r="D213" s="65">
        <v>16479</v>
      </c>
      <c r="E213" s="65"/>
      <c r="F213" s="34"/>
      <c r="G213" s="34"/>
      <c r="H213" s="33"/>
      <c r="I213" s="69">
        <v>41824</v>
      </c>
      <c r="J213" s="65">
        <v>5.76</v>
      </c>
      <c r="K213" s="65">
        <v>0</v>
      </c>
      <c r="L213" s="65"/>
      <c r="M213" s="65"/>
      <c r="N213" s="34"/>
      <c r="O213" s="35"/>
    </row>
    <row r="214" spans="1:15" s="36" customFormat="1" ht="12" x14ac:dyDescent="0.2">
      <c r="A214" s="33"/>
      <c r="B214" s="62">
        <v>42582</v>
      </c>
      <c r="C214" s="64">
        <v>12.2</v>
      </c>
      <c r="D214" s="64">
        <v>4791</v>
      </c>
      <c r="E214" s="64"/>
      <c r="F214" s="34"/>
      <c r="G214" s="34"/>
      <c r="H214" s="33"/>
      <c r="I214" s="68">
        <v>41827</v>
      </c>
      <c r="J214" s="64">
        <v>5.76</v>
      </c>
      <c r="K214" s="64">
        <v>0</v>
      </c>
      <c r="L214" s="64"/>
      <c r="M214" s="64"/>
      <c r="N214" s="34"/>
      <c r="O214" s="35"/>
    </row>
    <row r="215" spans="1:15" s="36" customFormat="1" ht="12" x14ac:dyDescent="0.2">
      <c r="A215" s="33"/>
      <c r="B215" s="63">
        <v>42613</v>
      </c>
      <c r="C215" s="65">
        <v>12.3</v>
      </c>
      <c r="D215" s="65">
        <v>14605</v>
      </c>
      <c r="E215" s="65"/>
      <c r="F215" s="34"/>
      <c r="G215" s="34"/>
      <c r="H215" s="33"/>
      <c r="I215" s="69">
        <v>41828</v>
      </c>
      <c r="J215" s="65">
        <v>5.76</v>
      </c>
      <c r="K215" s="65">
        <v>0</v>
      </c>
      <c r="L215" s="65"/>
      <c r="M215" s="65"/>
      <c r="N215" s="34"/>
      <c r="O215" s="35"/>
    </row>
    <row r="216" spans="1:15" s="36" customFormat="1" ht="12" x14ac:dyDescent="0.2">
      <c r="A216" s="33"/>
      <c r="B216" s="62">
        <v>42643</v>
      </c>
      <c r="C216" s="64">
        <v>12.5</v>
      </c>
      <c r="D216" s="64">
        <v>17115</v>
      </c>
      <c r="E216" s="64"/>
      <c r="F216" s="34"/>
      <c r="G216" s="34"/>
      <c r="H216" s="33"/>
      <c r="I216" s="68">
        <v>41829</v>
      </c>
      <c r="J216" s="64">
        <v>5.76</v>
      </c>
      <c r="K216" s="64">
        <v>0</v>
      </c>
      <c r="L216" s="64"/>
      <c r="M216" s="64"/>
      <c r="N216" s="34"/>
      <c r="O216" s="35"/>
    </row>
    <row r="217" spans="1:15" s="36" customFormat="1" ht="12" x14ac:dyDescent="0.2">
      <c r="A217" s="33"/>
      <c r="B217" s="63">
        <v>42674</v>
      </c>
      <c r="C217" s="65">
        <v>12.7</v>
      </c>
      <c r="D217" s="65">
        <v>8865</v>
      </c>
      <c r="E217" s="65"/>
      <c r="F217" s="34"/>
      <c r="G217" s="34"/>
      <c r="H217" s="33"/>
      <c r="I217" s="69">
        <v>41830</v>
      </c>
      <c r="J217" s="65">
        <v>5.76</v>
      </c>
      <c r="K217" s="65">
        <v>0</v>
      </c>
      <c r="L217" s="65"/>
      <c r="M217" s="65"/>
      <c r="N217" s="34"/>
      <c r="O217" s="35"/>
    </row>
    <row r="218" spans="1:15" s="36" customFormat="1" ht="12" x14ac:dyDescent="0.2">
      <c r="A218" s="33"/>
      <c r="B218" s="62">
        <v>42704</v>
      </c>
      <c r="C218" s="64">
        <v>13.3</v>
      </c>
      <c r="D218" s="64">
        <v>18328</v>
      </c>
      <c r="E218" s="64"/>
      <c r="F218" s="34"/>
      <c r="G218" s="34"/>
      <c r="H218" s="33"/>
      <c r="I218" s="68">
        <v>41831</v>
      </c>
      <c r="J218" s="64">
        <v>5.76</v>
      </c>
      <c r="K218" s="64">
        <v>0</v>
      </c>
      <c r="L218" s="64"/>
      <c r="M218" s="64"/>
      <c r="N218" s="34"/>
      <c r="O218" s="35"/>
    </row>
    <row r="219" spans="1:15" s="36" customFormat="1" ht="12" x14ac:dyDescent="0.2">
      <c r="A219" s="33"/>
      <c r="B219" s="63">
        <v>42735</v>
      </c>
      <c r="C219" s="65">
        <v>12.8</v>
      </c>
      <c r="D219" s="65">
        <v>16397</v>
      </c>
      <c r="E219" s="65"/>
      <c r="F219" s="34"/>
      <c r="G219" s="34"/>
      <c r="H219" s="33"/>
      <c r="I219" s="69">
        <v>41834</v>
      </c>
      <c r="J219" s="65">
        <v>5.76</v>
      </c>
      <c r="K219" s="65">
        <v>0</v>
      </c>
      <c r="L219" s="65"/>
      <c r="M219" s="65"/>
      <c r="N219" s="34"/>
      <c r="O219" s="35"/>
    </row>
    <row r="220" spans="1:15" s="36" customFormat="1" ht="12" x14ac:dyDescent="0.2">
      <c r="A220" s="33"/>
      <c r="B220" s="62">
        <v>42766</v>
      </c>
      <c r="C220" s="64">
        <v>16.411026</v>
      </c>
      <c r="D220" s="64">
        <v>37720.076978999998</v>
      </c>
      <c r="E220" s="64"/>
      <c r="F220" s="34"/>
      <c r="G220" s="34"/>
      <c r="H220" s="33"/>
      <c r="I220" s="68">
        <v>41835</v>
      </c>
      <c r="J220" s="64">
        <v>5.76</v>
      </c>
      <c r="K220" s="64">
        <v>0</v>
      </c>
      <c r="L220" s="64"/>
      <c r="M220" s="64"/>
      <c r="N220" s="34"/>
      <c r="O220" s="35"/>
    </row>
    <row r="221" spans="1:15" s="36" customFormat="1" ht="12" x14ac:dyDescent="0.2">
      <c r="A221" s="33"/>
      <c r="B221" s="63">
        <v>42794</v>
      </c>
      <c r="C221" s="65">
        <v>16.383288</v>
      </c>
      <c r="D221" s="65">
        <v>11055.322109000001</v>
      </c>
      <c r="E221" s="65"/>
      <c r="F221" s="34"/>
      <c r="G221" s="34"/>
      <c r="H221" s="33"/>
      <c r="I221" s="69">
        <v>41836</v>
      </c>
      <c r="J221" s="65">
        <v>5.76</v>
      </c>
      <c r="K221" s="65">
        <v>0</v>
      </c>
      <c r="L221" s="65"/>
      <c r="M221" s="65"/>
      <c r="N221" s="34"/>
      <c r="O221" s="35"/>
    </row>
    <row r="222" spans="1:15" s="36" customFormat="1" ht="12" x14ac:dyDescent="0.2">
      <c r="A222" s="33"/>
      <c r="B222" s="62">
        <v>42825</v>
      </c>
      <c r="C222" s="64">
        <v>15.710338</v>
      </c>
      <c r="D222" s="64">
        <v>25471.639557999999</v>
      </c>
      <c r="E222" s="64"/>
      <c r="F222" s="34"/>
      <c r="G222" s="34"/>
      <c r="H222" s="33"/>
      <c r="I222" s="68">
        <v>41837</v>
      </c>
      <c r="J222" s="64">
        <v>5.76</v>
      </c>
      <c r="K222" s="64">
        <v>0</v>
      </c>
      <c r="L222" s="64"/>
      <c r="M222" s="64"/>
      <c r="N222" s="34"/>
      <c r="O222" s="35"/>
    </row>
    <row r="223" spans="1:15" s="36" customFormat="1" ht="12" x14ac:dyDescent="0.2">
      <c r="A223" s="33"/>
      <c r="B223" s="63">
        <v>42855</v>
      </c>
      <c r="C223" s="65">
        <v>15.501042999999999</v>
      </c>
      <c r="D223" s="65">
        <v>19558.923770000001</v>
      </c>
      <c r="E223" s="65"/>
      <c r="F223" s="34"/>
      <c r="G223" s="34"/>
      <c r="H223" s="33"/>
      <c r="I223" s="69">
        <v>41838</v>
      </c>
      <c r="J223" s="65">
        <v>5.76</v>
      </c>
      <c r="K223" s="65">
        <v>0</v>
      </c>
      <c r="L223" s="65"/>
      <c r="M223" s="65"/>
      <c r="N223" s="34"/>
      <c r="O223" s="35"/>
    </row>
    <row r="224" spans="1:15" s="36" customFormat="1" ht="12" x14ac:dyDescent="0.2">
      <c r="A224" s="33"/>
      <c r="B224" s="62">
        <v>42886</v>
      </c>
      <c r="C224" s="64">
        <v>15.503387</v>
      </c>
      <c r="D224" s="64">
        <v>17811.732937000001</v>
      </c>
      <c r="E224" s="64"/>
      <c r="F224" s="34"/>
      <c r="G224" s="34"/>
      <c r="H224" s="33"/>
      <c r="I224" s="68">
        <v>41841</v>
      </c>
      <c r="J224" s="64">
        <v>5.76</v>
      </c>
      <c r="K224" s="64">
        <v>0</v>
      </c>
      <c r="L224" s="64"/>
      <c r="M224" s="64"/>
      <c r="N224" s="34"/>
      <c r="O224" s="35"/>
    </row>
    <row r="225" spans="1:15" s="36" customFormat="1" ht="12" x14ac:dyDescent="0.2">
      <c r="A225" s="33"/>
      <c r="B225" s="63">
        <v>42916</v>
      </c>
      <c r="C225" s="65">
        <v>14.917823</v>
      </c>
      <c r="D225" s="65">
        <v>25885.910952999999</v>
      </c>
      <c r="E225" s="65"/>
      <c r="F225" s="34"/>
      <c r="G225" s="34"/>
      <c r="H225" s="33"/>
      <c r="I225" s="69">
        <v>41842</v>
      </c>
      <c r="J225" s="65">
        <v>5.76</v>
      </c>
      <c r="K225" s="65">
        <v>0</v>
      </c>
      <c r="L225" s="65"/>
      <c r="M225" s="65"/>
      <c r="N225" s="34"/>
      <c r="O225" s="35"/>
    </row>
    <row r="226" spans="1:15" s="36" customFormat="1" ht="12" x14ac:dyDescent="0.2">
      <c r="A226" s="33"/>
      <c r="B226" s="62">
        <v>42947</v>
      </c>
      <c r="C226" s="64">
        <v>15.542253000000001</v>
      </c>
      <c r="D226" s="64">
        <v>21188.106567999999</v>
      </c>
      <c r="E226" s="64"/>
      <c r="F226" s="34"/>
      <c r="G226" s="34"/>
      <c r="H226" s="33"/>
      <c r="I226" s="68">
        <v>41843</v>
      </c>
      <c r="J226" s="64">
        <v>5.76</v>
      </c>
      <c r="K226" s="64">
        <v>0</v>
      </c>
      <c r="L226" s="64"/>
      <c r="M226" s="64"/>
      <c r="N226" s="34"/>
      <c r="O226" s="35"/>
    </row>
    <row r="227" spans="1:15" s="36" customFormat="1" ht="12" x14ac:dyDescent="0.2">
      <c r="A227" s="33"/>
      <c r="B227" s="63">
        <v>42978</v>
      </c>
      <c r="C227" s="65">
        <v>15.112273</v>
      </c>
      <c r="D227" s="65">
        <v>20485.507710000002</v>
      </c>
      <c r="E227" s="65"/>
      <c r="F227" s="34"/>
      <c r="G227" s="34"/>
      <c r="H227" s="33"/>
      <c r="I227" s="69">
        <v>41844</v>
      </c>
      <c r="J227" s="65">
        <v>5.76</v>
      </c>
      <c r="K227" s="65">
        <v>0</v>
      </c>
      <c r="L227" s="65"/>
      <c r="M227" s="65"/>
      <c r="N227" s="34"/>
      <c r="O227" s="35"/>
    </row>
    <row r="228" spans="1:15" s="36" customFormat="1" ht="12" x14ac:dyDescent="0.2">
      <c r="A228" s="33"/>
      <c r="B228" s="62">
        <v>43008</v>
      </c>
      <c r="C228" s="64">
        <v>14.888994</v>
      </c>
      <c r="D228" s="64">
        <v>25438.606938000001</v>
      </c>
      <c r="E228" s="64"/>
      <c r="F228" s="34"/>
      <c r="G228" s="34"/>
      <c r="H228" s="33"/>
      <c r="I228" s="68">
        <v>41845</v>
      </c>
      <c r="J228" s="64">
        <v>5.76</v>
      </c>
      <c r="K228" s="64">
        <v>0</v>
      </c>
      <c r="L228" s="64"/>
      <c r="M228" s="64"/>
      <c r="N228" s="34"/>
      <c r="O228" s="35"/>
    </row>
    <row r="229" spans="1:15" s="36" customFormat="1" ht="12" x14ac:dyDescent="0.2">
      <c r="A229" s="33"/>
      <c r="B229" s="63">
        <v>43039</v>
      </c>
      <c r="C229" s="65">
        <v>14.955353000000001</v>
      </c>
      <c r="D229" s="65">
        <v>15861.15144</v>
      </c>
      <c r="E229" s="65"/>
      <c r="F229" s="34"/>
      <c r="G229" s="34"/>
      <c r="H229" s="33"/>
      <c r="I229" s="69">
        <v>41848</v>
      </c>
      <c r="J229" s="65">
        <v>5.76</v>
      </c>
      <c r="K229" s="65">
        <v>0</v>
      </c>
      <c r="L229" s="65"/>
      <c r="M229" s="65"/>
      <c r="N229" s="34"/>
      <c r="O229" s="35"/>
    </row>
    <row r="230" spans="1:15" s="36" customFormat="1" ht="12" x14ac:dyDescent="0.2">
      <c r="A230" s="33"/>
      <c r="B230" s="62">
        <v>43069</v>
      </c>
      <c r="C230" s="64">
        <v>14.492229</v>
      </c>
      <c r="D230" s="64">
        <v>22955.981253999998</v>
      </c>
      <c r="E230" s="64"/>
      <c r="F230" s="34"/>
      <c r="G230" s="34"/>
      <c r="H230" s="33"/>
      <c r="I230" s="68">
        <v>41849</v>
      </c>
      <c r="J230" s="64">
        <v>5.76</v>
      </c>
      <c r="K230" s="64">
        <v>0</v>
      </c>
      <c r="L230" s="64"/>
      <c r="M230" s="64"/>
      <c r="N230" s="34"/>
      <c r="O230" s="35"/>
    </row>
    <row r="231" spans="1:15" s="36" customFormat="1" ht="12" x14ac:dyDescent="0.2">
      <c r="A231" s="33"/>
      <c r="B231" s="63">
        <v>43100</v>
      </c>
      <c r="C231" s="65">
        <v>14.081822000000001</v>
      </c>
      <c r="D231" s="65">
        <v>18102.882549999998</v>
      </c>
      <c r="E231" s="65"/>
      <c r="F231" s="34"/>
      <c r="G231" s="34"/>
      <c r="H231" s="33"/>
      <c r="I231" s="69">
        <v>41850</v>
      </c>
      <c r="J231" s="65">
        <v>5.76</v>
      </c>
      <c r="K231" s="65">
        <v>0</v>
      </c>
      <c r="L231" s="65"/>
      <c r="M231" s="65"/>
      <c r="N231" s="34"/>
      <c r="O231" s="35"/>
    </row>
    <row r="232" spans="1:15" s="36" customFormat="1" ht="12" x14ac:dyDescent="0.2">
      <c r="A232" s="33"/>
      <c r="B232" s="62">
        <v>43131</v>
      </c>
      <c r="C232" s="64">
        <v>13.433579</v>
      </c>
      <c r="D232" s="64">
        <v>31417.220554</v>
      </c>
      <c r="E232" s="64"/>
      <c r="F232" s="34"/>
      <c r="G232" s="34"/>
      <c r="H232" s="33"/>
      <c r="I232" s="68">
        <v>41851</v>
      </c>
      <c r="J232" s="64">
        <v>5.76</v>
      </c>
      <c r="K232" s="64">
        <v>0</v>
      </c>
      <c r="L232" s="64"/>
      <c r="M232" s="64"/>
      <c r="N232" s="34"/>
      <c r="O232" s="35"/>
    </row>
    <row r="233" spans="1:15" s="36" customFormat="1" ht="12" x14ac:dyDescent="0.2">
      <c r="A233" s="33"/>
      <c r="B233" s="63">
        <v>43159</v>
      </c>
      <c r="C233" s="65">
        <v>13.388316</v>
      </c>
      <c r="D233" s="65">
        <v>12064.387925000001</v>
      </c>
      <c r="E233" s="65"/>
      <c r="F233" s="34"/>
      <c r="G233" s="34"/>
      <c r="H233" s="33"/>
      <c r="I233" s="69">
        <v>41852</v>
      </c>
      <c r="J233" s="65">
        <v>5.76</v>
      </c>
      <c r="K233" s="65">
        <v>0</v>
      </c>
      <c r="L233" s="65"/>
      <c r="M233" s="65"/>
      <c r="N233" s="34"/>
      <c r="O233" s="35"/>
    </row>
    <row r="234" spans="1:15" s="36" customFormat="1" ht="12" x14ac:dyDescent="0.2">
      <c r="A234" s="33"/>
      <c r="B234" s="62">
        <v>43190</v>
      </c>
      <c r="C234" s="64">
        <v>12.690308</v>
      </c>
      <c r="D234" s="64">
        <v>17091.476698999999</v>
      </c>
      <c r="E234" s="64"/>
      <c r="F234" s="34"/>
      <c r="G234" s="34"/>
      <c r="H234" s="33"/>
      <c r="I234" s="68">
        <v>41855</v>
      </c>
      <c r="J234" s="64">
        <v>5.76</v>
      </c>
      <c r="K234" s="64">
        <v>0</v>
      </c>
      <c r="L234" s="64"/>
      <c r="M234" s="64"/>
      <c r="N234" s="34"/>
      <c r="O234" s="35"/>
    </row>
    <row r="235" spans="1:15" s="36" customFormat="1" ht="12" x14ac:dyDescent="0.2">
      <c r="A235" s="33"/>
      <c r="B235" s="63">
        <v>43220</v>
      </c>
      <c r="C235" s="65">
        <v>12.652969000000001</v>
      </c>
      <c r="D235" s="65">
        <v>22242.940548999999</v>
      </c>
      <c r="E235" s="65"/>
      <c r="F235" s="34"/>
      <c r="G235" s="34"/>
      <c r="H235" s="33"/>
      <c r="I235" s="69">
        <v>41856</v>
      </c>
      <c r="J235" s="65">
        <v>5.76</v>
      </c>
      <c r="K235" s="65">
        <v>0</v>
      </c>
      <c r="L235" s="65"/>
      <c r="M235" s="65"/>
      <c r="N235" s="34"/>
      <c r="O235" s="35"/>
    </row>
    <row r="236" spans="1:15" s="36" customFormat="1" ht="12" x14ac:dyDescent="0.2">
      <c r="A236" s="33"/>
      <c r="B236" s="62">
        <v>43251</v>
      </c>
      <c r="C236" s="64">
        <v>12.199076</v>
      </c>
      <c r="D236" s="64">
        <v>11233.624451</v>
      </c>
      <c r="E236" s="64"/>
      <c r="F236" s="34"/>
      <c r="G236" s="34"/>
      <c r="H236" s="33"/>
      <c r="I236" s="68">
        <v>41857</v>
      </c>
      <c r="J236" s="64">
        <v>5.76</v>
      </c>
      <c r="K236" s="64">
        <v>0</v>
      </c>
      <c r="L236" s="64"/>
      <c r="M236" s="64"/>
      <c r="N236" s="34"/>
      <c r="O236" s="35"/>
    </row>
    <row r="237" spans="1:15" s="36" customFormat="1" ht="12" x14ac:dyDescent="0.2">
      <c r="A237" s="33"/>
      <c r="B237" s="63">
        <v>43281</v>
      </c>
      <c r="C237" s="65">
        <v>11.76127</v>
      </c>
      <c r="D237" s="65">
        <v>20372.964614</v>
      </c>
      <c r="E237" s="65"/>
      <c r="F237" s="34"/>
      <c r="G237" s="34"/>
      <c r="H237" s="33"/>
      <c r="I237" s="69">
        <v>41858</v>
      </c>
      <c r="J237" s="65">
        <v>5.76</v>
      </c>
      <c r="K237" s="65">
        <v>0</v>
      </c>
      <c r="L237" s="65"/>
      <c r="M237" s="65"/>
      <c r="N237" s="34"/>
      <c r="O237" s="35"/>
    </row>
    <row r="238" spans="1:15" s="36" customFormat="1" ht="12" x14ac:dyDescent="0.2">
      <c r="A238" s="33"/>
      <c r="B238" s="62">
        <v>43312</v>
      </c>
      <c r="C238" s="64">
        <v>11.485086000000001</v>
      </c>
      <c r="D238" s="64">
        <v>18381.941956999999</v>
      </c>
      <c r="E238" s="64"/>
      <c r="F238" s="34"/>
      <c r="G238" s="34"/>
      <c r="H238" s="33"/>
      <c r="I238" s="68">
        <v>41859</v>
      </c>
      <c r="J238" s="64">
        <v>5.76</v>
      </c>
      <c r="K238" s="64">
        <v>0</v>
      </c>
      <c r="L238" s="64"/>
      <c r="M238" s="64"/>
      <c r="N238" s="34"/>
      <c r="O238" s="35"/>
    </row>
    <row r="239" spans="1:15" s="36" customFormat="1" ht="12" x14ac:dyDescent="0.2">
      <c r="A239" s="33"/>
      <c r="B239" s="63">
        <v>43343</v>
      </c>
      <c r="C239" s="65">
        <v>11.516139000000001</v>
      </c>
      <c r="D239" s="65">
        <v>24078.248887999998</v>
      </c>
      <c r="E239" s="65"/>
      <c r="F239" s="34"/>
      <c r="G239" s="34"/>
      <c r="H239" s="33"/>
      <c r="I239" s="69">
        <v>41862</v>
      </c>
      <c r="J239" s="65">
        <v>5.76</v>
      </c>
      <c r="K239" s="65">
        <v>0</v>
      </c>
      <c r="L239" s="65"/>
      <c r="M239" s="65"/>
      <c r="N239" s="34"/>
      <c r="O239" s="35"/>
    </row>
    <row r="240" spans="1:15" s="36" customFormat="1" ht="12" x14ac:dyDescent="0.2">
      <c r="A240" s="33"/>
      <c r="B240" s="62">
        <v>43373</v>
      </c>
      <c r="C240" s="64">
        <v>11.208432999999999</v>
      </c>
      <c r="D240" s="64">
        <v>23061.250118</v>
      </c>
      <c r="E240" s="64"/>
      <c r="F240" s="34"/>
      <c r="G240" s="34"/>
      <c r="H240" s="33"/>
      <c r="I240" s="68">
        <v>41863</v>
      </c>
      <c r="J240" s="64">
        <v>5.76</v>
      </c>
      <c r="K240" s="64">
        <v>0</v>
      </c>
      <c r="L240" s="64"/>
      <c r="M240" s="64"/>
      <c r="N240" s="34"/>
      <c r="O240" s="35"/>
    </row>
    <row r="241" spans="1:15" s="36" customFormat="1" ht="12" x14ac:dyDescent="0.2">
      <c r="A241" s="33"/>
      <c r="B241" s="63">
        <v>43404</v>
      </c>
      <c r="C241" s="65">
        <v>10.789977</v>
      </c>
      <c r="D241" s="65">
        <v>9537.8029869999991</v>
      </c>
      <c r="E241" s="65"/>
      <c r="F241" s="34"/>
      <c r="G241" s="34"/>
      <c r="H241" s="33"/>
      <c r="I241" s="69">
        <v>41864</v>
      </c>
      <c r="J241" s="65">
        <v>5.76</v>
      </c>
      <c r="K241" s="65">
        <v>0</v>
      </c>
      <c r="L241" s="65"/>
      <c r="M241" s="65"/>
      <c r="N241" s="34"/>
      <c r="O241" s="35"/>
    </row>
    <row r="242" spans="1:15" s="36" customFormat="1" ht="12" x14ac:dyDescent="0.2">
      <c r="A242" s="33"/>
      <c r="B242" s="62">
        <v>43434</v>
      </c>
      <c r="C242" s="64">
        <v>10.307183</v>
      </c>
      <c r="D242" s="64">
        <v>16127.165255</v>
      </c>
      <c r="E242" s="64"/>
      <c r="F242" s="34"/>
      <c r="G242" s="34"/>
      <c r="H242" s="33"/>
      <c r="I242" s="68">
        <v>41865</v>
      </c>
      <c r="J242" s="64">
        <v>5.76</v>
      </c>
      <c r="K242" s="64">
        <v>0</v>
      </c>
      <c r="L242" s="64"/>
      <c r="M242" s="64"/>
      <c r="N242" s="34"/>
      <c r="O242" s="35"/>
    </row>
    <row r="243" spans="1:15" s="36" customFormat="1" ht="12" x14ac:dyDescent="0.2">
      <c r="A243" s="33"/>
      <c r="B243" s="63">
        <v>43465</v>
      </c>
      <c r="C243" s="65">
        <v>10.259731</v>
      </c>
      <c r="D243" s="65">
        <v>19311.174083000002</v>
      </c>
      <c r="E243" s="65"/>
      <c r="F243" s="34"/>
      <c r="G243" s="34"/>
      <c r="H243" s="33"/>
      <c r="I243" s="69">
        <v>41866</v>
      </c>
      <c r="J243" s="65">
        <v>5.76</v>
      </c>
      <c r="K243" s="65">
        <v>0</v>
      </c>
      <c r="L243" s="65"/>
      <c r="M243" s="65"/>
      <c r="N243" s="34"/>
      <c r="O243" s="35"/>
    </row>
    <row r="244" spans="1:15" s="36" customFormat="1" ht="12" x14ac:dyDescent="0.2">
      <c r="A244" s="33"/>
      <c r="B244" s="62">
        <v>43496</v>
      </c>
      <c r="C244" s="64">
        <v>10.851788000000001</v>
      </c>
      <c r="D244" s="64">
        <v>46791.139268999999</v>
      </c>
      <c r="E244" s="64"/>
      <c r="F244" s="34"/>
      <c r="G244" s="34"/>
      <c r="H244" s="33"/>
      <c r="I244" s="68">
        <v>41869</v>
      </c>
      <c r="J244" s="64">
        <v>5.76</v>
      </c>
      <c r="K244" s="64">
        <v>0</v>
      </c>
      <c r="L244" s="64"/>
      <c r="M244" s="64"/>
      <c r="N244" s="34"/>
      <c r="O244" s="35"/>
    </row>
    <row r="245" spans="1:15" s="36" customFormat="1" ht="12" x14ac:dyDescent="0.2">
      <c r="A245" s="33"/>
      <c r="B245" s="63">
        <v>43524</v>
      </c>
      <c r="C245" s="65">
        <v>10.645690999999999</v>
      </c>
      <c r="D245" s="65">
        <v>9665.1266849999993</v>
      </c>
      <c r="E245" s="65"/>
      <c r="F245" s="34"/>
      <c r="G245" s="34"/>
      <c r="H245" s="33"/>
      <c r="I245" s="69">
        <v>41870</v>
      </c>
      <c r="J245" s="65">
        <v>5.76</v>
      </c>
      <c r="K245" s="65">
        <v>0</v>
      </c>
      <c r="L245" s="65"/>
      <c r="M245" s="65"/>
      <c r="N245" s="34"/>
      <c r="O245" s="35"/>
    </row>
    <row r="246" spans="1:15" s="36" customFormat="1" ht="12" x14ac:dyDescent="0.2">
      <c r="A246" s="33"/>
      <c r="B246" s="62">
        <v>43555</v>
      </c>
      <c r="C246" s="64">
        <v>11.162117</v>
      </c>
      <c r="D246" s="64">
        <v>29602.336533999998</v>
      </c>
      <c r="E246" s="64"/>
      <c r="F246" s="34"/>
      <c r="G246" s="34"/>
      <c r="H246" s="33"/>
      <c r="I246" s="68">
        <v>41871</v>
      </c>
      <c r="J246" s="64">
        <v>5.76</v>
      </c>
      <c r="K246" s="64">
        <v>0</v>
      </c>
      <c r="L246" s="64"/>
      <c r="M246" s="64"/>
      <c r="N246" s="34"/>
      <c r="O246" s="35"/>
    </row>
    <row r="247" spans="1:15" s="36" customFormat="1" ht="12" x14ac:dyDescent="0.2">
      <c r="A247" s="33"/>
      <c r="B247" s="63">
        <v>43585</v>
      </c>
      <c r="C247" s="65">
        <v>10.805548</v>
      </c>
      <c r="D247" s="65">
        <v>16709.538168999999</v>
      </c>
      <c r="E247" s="65"/>
      <c r="F247" s="34"/>
      <c r="G247" s="34"/>
      <c r="H247" s="33"/>
      <c r="I247" s="69">
        <v>41872</v>
      </c>
      <c r="J247" s="65">
        <v>5.76</v>
      </c>
      <c r="K247" s="65">
        <v>0</v>
      </c>
      <c r="L247" s="65"/>
      <c r="M247" s="65"/>
      <c r="N247" s="34"/>
      <c r="O247" s="35"/>
    </row>
    <row r="248" spans="1:15" s="36" customFormat="1" ht="12" x14ac:dyDescent="0.2">
      <c r="A248" s="33"/>
      <c r="B248" s="62">
        <v>43616</v>
      </c>
      <c r="C248" s="64">
        <v>11.025001</v>
      </c>
      <c r="D248" s="64">
        <v>17123.729277999999</v>
      </c>
      <c r="E248" s="64"/>
      <c r="F248" s="34"/>
      <c r="G248" s="34"/>
      <c r="H248" s="33"/>
      <c r="I248" s="68">
        <v>41873</v>
      </c>
      <c r="J248" s="64">
        <v>5.76</v>
      </c>
      <c r="K248" s="64">
        <v>0</v>
      </c>
      <c r="L248" s="64"/>
      <c r="M248" s="64"/>
      <c r="N248" s="34"/>
      <c r="O248" s="35"/>
    </row>
    <row r="249" spans="1:15" s="36" customFormat="1" ht="12" x14ac:dyDescent="0.2">
      <c r="A249" s="33"/>
      <c r="B249" s="63">
        <v>43646</v>
      </c>
      <c r="C249" s="65">
        <v>11.193424</v>
      </c>
      <c r="D249" s="65">
        <v>26243.302006000002</v>
      </c>
      <c r="E249" s="65"/>
      <c r="F249" s="34"/>
      <c r="G249" s="34"/>
      <c r="H249" s="33"/>
      <c r="I249" s="69">
        <v>41876</v>
      </c>
      <c r="J249" s="65">
        <v>5.76</v>
      </c>
      <c r="K249" s="65">
        <v>0</v>
      </c>
      <c r="L249" s="65"/>
      <c r="M249" s="65"/>
      <c r="N249" s="34"/>
      <c r="O249" s="35"/>
    </row>
    <row r="250" spans="1:15" s="36" customFormat="1" ht="12" x14ac:dyDescent="0.2">
      <c r="A250" s="33"/>
      <c r="B250" s="62">
        <v>43677</v>
      </c>
      <c r="C250" s="64">
        <v>10.848680999999999</v>
      </c>
      <c r="D250" s="64">
        <v>12872.110273</v>
      </c>
      <c r="E250" s="64"/>
      <c r="F250" s="34"/>
      <c r="G250" s="34"/>
      <c r="H250" s="33"/>
      <c r="I250" s="68">
        <v>41877</v>
      </c>
      <c r="J250" s="64">
        <v>5.76</v>
      </c>
      <c r="K250" s="64">
        <v>0</v>
      </c>
      <c r="L250" s="64"/>
      <c r="M250" s="64"/>
      <c r="N250" s="34"/>
      <c r="O250" s="35"/>
    </row>
    <row r="251" spans="1:15" s="36" customFormat="1" ht="12" x14ac:dyDescent="0.2">
      <c r="A251" s="33"/>
      <c r="B251" s="63">
        <v>43708</v>
      </c>
      <c r="C251" s="65">
        <v>10.676171999999999</v>
      </c>
      <c r="D251" s="65">
        <v>21955.765013</v>
      </c>
      <c r="E251" s="65"/>
      <c r="F251" s="34"/>
      <c r="G251" s="34"/>
      <c r="H251" s="33"/>
      <c r="I251" s="69">
        <v>41878</v>
      </c>
      <c r="J251" s="65">
        <v>5.76</v>
      </c>
      <c r="K251" s="65">
        <v>0</v>
      </c>
      <c r="L251" s="65"/>
      <c r="M251" s="65"/>
      <c r="N251" s="34"/>
      <c r="O251" s="35"/>
    </row>
    <row r="252" spans="1:15" s="36" customFormat="1" ht="12" x14ac:dyDescent="0.2">
      <c r="A252" s="33"/>
      <c r="B252" s="62">
        <v>43738</v>
      </c>
      <c r="C252" s="64">
        <v>10.666387</v>
      </c>
      <c r="D252" s="64">
        <v>25142.210456000001</v>
      </c>
      <c r="E252" s="64"/>
      <c r="F252" s="34"/>
      <c r="G252" s="34"/>
      <c r="H252" s="33"/>
      <c r="I252" s="68">
        <v>41879</v>
      </c>
      <c r="J252" s="64">
        <v>5.76</v>
      </c>
      <c r="K252" s="64">
        <v>0</v>
      </c>
      <c r="L252" s="64"/>
      <c r="M252" s="64"/>
      <c r="N252" s="34"/>
      <c r="O252" s="35"/>
    </row>
    <row r="253" spans="1:15" s="36" customFormat="1" ht="12" x14ac:dyDescent="0.2">
      <c r="A253" s="33"/>
      <c r="B253" s="63">
        <v>43769</v>
      </c>
      <c r="C253" s="65">
        <v>10.581898000000001</v>
      </c>
      <c r="D253" s="65">
        <v>8680.0021219999999</v>
      </c>
      <c r="E253" s="65"/>
      <c r="F253" s="34"/>
      <c r="G253" s="34"/>
      <c r="H253" s="33"/>
      <c r="I253" s="69">
        <v>41880</v>
      </c>
      <c r="J253" s="65">
        <v>5.76</v>
      </c>
      <c r="K253" s="65">
        <v>0</v>
      </c>
      <c r="L253" s="65"/>
      <c r="M253" s="65"/>
      <c r="N253" s="34"/>
      <c r="O253" s="35"/>
    </row>
    <row r="254" spans="1:15" s="36" customFormat="1" ht="12" x14ac:dyDescent="0.2">
      <c r="A254" s="33"/>
      <c r="B254" s="62">
        <v>43799</v>
      </c>
      <c r="C254" s="64">
        <v>10.669226999999999</v>
      </c>
      <c r="D254" s="64">
        <v>19936.916232</v>
      </c>
      <c r="E254" s="64"/>
      <c r="F254" s="34"/>
      <c r="G254" s="34"/>
      <c r="H254" s="33"/>
      <c r="I254" s="68">
        <v>41883</v>
      </c>
      <c r="J254" s="64">
        <v>5.76</v>
      </c>
      <c r="K254" s="64">
        <v>0</v>
      </c>
      <c r="L254" s="64"/>
      <c r="M254" s="64"/>
      <c r="N254" s="34"/>
      <c r="O254" s="35"/>
    </row>
    <row r="255" spans="1:15" s="36" customFormat="1" ht="12" x14ac:dyDescent="0.2">
      <c r="A255" s="33"/>
      <c r="B255" s="63">
        <v>43830</v>
      </c>
      <c r="C255" s="65">
        <v>10.692755999999999</v>
      </c>
      <c r="D255" s="65">
        <v>22013</v>
      </c>
      <c r="E255" s="65"/>
      <c r="F255" s="34"/>
      <c r="G255" s="34"/>
      <c r="H255" s="33"/>
      <c r="I255" s="69">
        <v>41884</v>
      </c>
      <c r="J255" s="65">
        <v>5.76</v>
      </c>
      <c r="K255" s="65">
        <v>0</v>
      </c>
      <c r="L255" s="65"/>
      <c r="M255" s="65"/>
      <c r="N255" s="34"/>
      <c r="O255" s="35"/>
    </row>
    <row r="256" spans="1:15" s="36" customFormat="1" ht="12" x14ac:dyDescent="0.2">
      <c r="A256" s="33"/>
      <c r="B256" s="62">
        <v>43861</v>
      </c>
      <c r="C256" s="64">
        <v>10.7</v>
      </c>
      <c r="D256" s="64">
        <v>50535</v>
      </c>
      <c r="E256" s="64"/>
      <c r="F256" s="34"/>
      <c r="G256" s="34"/>
      <c r="H256" s="33"/>
      <c r="I256" s="68">
        <v>41885</v>
      </c>
      <c r="J256" s="64">
        <v>5.76</v>
      </c>
      <c r="K256" s="64">
        <v>0</v>
      </c>
      <c r="L256" s="64"/>
      <c r="M256" s="64"/>
      <c r="N256" s="34"/>
      <c r="O256" s="35"/>
    </row>
    <row r="257" spans="1:15" s="36" customFormat="1" ht="12" x14ac:dyDescent="0.2">
      <c r="A257" s="33"/>
      <c r="B257" s="63">
        <v>43890</v>
      </c>
      <c r="C257" s="65">
        <v>10.7</v>
      </c>
      <c r="D257" s="65">
        <v>8737</v>
      </c>
      <c r="E257" s="65"/>
      <c r="F257" s="34"/>
      <c r="G257" s="34"/>
      <c r="H257" s="33"/>
      <c r="I257" s="69">
        <v>41886</v>
      </c>
      <c r="J257" s="65">
        <v>5.76</v>
      </c>
      <c r="K257" s="65">
        <v>0</v>
      </c>
      <c r="L257" s="65"/>
      <c r="M257" s="65"/>
      <c r="N257" s="34"/>
      <c r="O257" s="35"/>
    </row>
    <row r="258" spans="1:15" s="36" customFormat="1" ht="12" x14ac:dyDescent="0.2">
      <c r="A258" s="33"/>
      <c r="B258" s="62">
        <v>43921</v>
      </c>
      <c r="C258" s="64">
        <v>11.5</v>
      </c>
      <c r="D258" s="64">
        <v>51838</v>
      </c>
      <c r="E258" s="64"/>
      <c r="F258" s="34"/>
      <c r="G258" s="34"/>
      <c r="H258" s="33"/>
      <c r="I258" s="68">
        <v>41887</v>
      </c>
      <c r="J258" s="64">
        <v>5.76</v>
      </c>
      <c r="K258" s="64">
        <v>0</v>
      </c>
      <c r="L258" s="64"/>
      <c r="M258" s="64"/>
      <c r="N258" s="34"/>
      <c r="O258" s="35"/>
    </row>
    <row r="259" spans="1:15" s="36" customFormat="1" ht="12" x14ac:dyDescent="0.2">
      <c r="A259" s="33"/>
      <c r="B259" s="63">
        <v>43951</v>
      </c>
      <c r="C259" s="65">
        <v>12</v>
      </c>
      <c r="D259" s="65">
        <v>31027</v>
      </c>
      <c r="E259" s="65"/>
      <c r="F259" s="34"/>
      <c r="G259" s="34"/>
      <c r="H259" s="33"/>
      <c r="I259" s="69">
        <v>41891</v>
      </c>
      <c r="J259" s="65">
        <v>5.76</v>
      </c>
      <c r="K259" s="65">
        <v>0</v>
      </c>
      <c r="L259" s="65"/>
      <c r="M259" s="65"/>
      <c r="N259" s="34"/>
      <c r="O259" s="35"/>
    </row>
    <row r="260" spans="1:15" s="36" customFormat="1" ht="12" x14ac:dyDescent="0.2">
      <c r="A260" s="33"/>
      <c r="B260" s="62">
        <v>43982</v>
      </c>
      <c r="C260" s="64">
        <v>12.5</v>
      </c>
      <c r="D260" s="64">
        <v>31866</v>
      </c>
      <c r="E260" s="64"/>
      <c r="F260" s="34"/>
      <c r="G260" s="34"/>
      <c r="H260" s="33"/>
      <c r="I260" s="68">
        <v>41892</v>
      </c>
      <c r="J260" s="64">
        <v>5.76</v>
      </c>
      <c r="K260" s="64">
        <v>0</v>
      </c>
      <c r="L260" s="64"/>
      <c r="M260" s="64"/>
      <c r="N260" s="34"/>
      <c r="O260" s="35"/>
    </row>
    <row r="261" spans="1:15" s="36" customFormat="1" ht="12" x14ac:dyDescent="0.2">
      <c r="A261" s="33"/>
      <c r="B261" s="63">
        <v>44012</v>
      </c>
      <c r="C261" s="65">
        <v>12.8</v>
      </c>
      <c r="D261" s="65">
        <v>34681</v>
      </c>
      <c r="E261" s="65"/>
      <c r="F261" s="34"/>
      <c r="G261" s="34"/>
      <c r="H261" s="33"/>
      <c r="I261" s="69">
        <v>41893</v>
      </c>
      <c r="J261" s="65">
        <v>5.76</v>
      </c>
      <c r="K261" s="65">
        <v>0</v>
      </c>
      <c r="L261" s="65"/>
      <c r="M261" s="65"/>
      <c r="N261" s="34"/>
      <c r="O261" s="35"/>
    </row>
    <row r="262" spans="1:15" s="36" customFormat="1" ht="12" x14ac:dyDescent="0.2">
      <c r="A262" s="33"/>
      <c r="B262" s="62">
        <v>44043</v>
      </c>
      <c r="C262" s="64">
        <v>12.9</v>
      </c>
      <c r="D262" s="64">
        <v>16928</v>
      </c>
      <c r="E262" s="64"/>
      <c r="F262" s="34"/>
      <c r="G262" s="34"/>
      <c r="H262" s="33"/>
      <c r="I262" s="68">
        <v>41894</v>
      </c>
      <c r="J262" s="64">
        <v>5.76</v>
      </c>
      <c r="K262" s="64">
        <v>0</v>
      </c>
      <c r="L262" s="64"/>
      <c r="M262" s="64"/>
      <c r="N262" s="34"/>
      <c r="O262" s="35"/>
    </row>
    <row r="263" spans="1:15" s="36" customFormat="1" ht="12" x14ac:dyDescent="0.2">
      <c r="A263" s="33"/>
      <c r="B263" s="63">
        <v>44074</v>
      </c>
      <c r="C263" s="65">
        <v>13.3</v>
      </c>
      <c r="D263" s="65">
        <v>35853</v>
      </c>
      <c r="E263" s="65"/>
      <c r="F263" s="34"/>
      <c r="G263" s="34"/>
      <c r="H263" s="33"/>
      <c r="I263" s="69">
        <v>41897</v>
      </c>
      <c r="J263" s="65">
        <v>5.76</v>
      </c>
      <c r="K263" s="65">
        <v>0</v>
      </c>
      <c r="L263" s="65"/>
      <c r="M263" s="65"/>
      <c r="N263" s="34"/>
      <c r="O263" s="35"/>
    </row>
    <row r="264" spans="1:15" s="36" customFormat="1" ht="12" x14ac:dyDescent="0.2">
      <c r="A264" s="33"/>
      <c r="B264" s="62">
        <v>44104</v>
      </c>
      <c r="C264" s="64">
        <v>13.5</v>
      </c>
      <c r="D264" s="64">
        <v>34693</v>
      </c>
      <c r="E264" s="64"/>
      <c r="F264" s="34"/>
      <c r="G264" s="34"/>
      <c r="H264" s="33"/>
      <c r="I264" s="68">
        <v>41898</v>
      </c>
      <c r="J264" s="64">
        <v>5.76</v>
      </c>
      <c r="K264" s="64">
        <v>0</v>
      </c>
      <c r="L264" s="64"/>
      <c r="M264" s="64"/>
      <c r="N264" s="34"/>
      <c r="O264" s="35"/>
    </row>
    <row r="265" spans="1:15" s="36" customFormat="1" ht="12" x14ac:dyDescent="0.2">
      <c r="A265" s="33"/>
      <c r="B265" s="63">
        <v>44135</v>
      </c>
      <c r="C265" s="65">
        <v>13.7</v>
      </c>
      <c r="D265" s="65">
        <v>13929</v>
      </c>
      <c r="E265" s="65"/>
      <c r="F265" s="34"/>
      <c r="G265" s="34"/>
      <c r="H265" s="33"/>
      <c r="I265" s="69">
        <v>41899</v>
      </c>
      <c r="J265" s="65">
        <v>5.76</v>
      </c>
      <c r="K265" s="65">
        <v>0</v>
      </c>
      <c r="L265" s="65"/>
      <c r="M265" s="65"/>
      <c r="N265" s="34"/>
      <c r="O265" s="35"/>
    </row>
    <row r="266" spans="1:15" s="36" customFormat="1" ht="12" x14ac:dyDescent="0.2">
      <c r="A266" s="33"/>
      <c r="B266" s="62">
        <v>44165</v>
      </c>
      <c r="C266" s="64">
        <v>13.6</v>
      </c>
      <c r="D266" s="64">
        <v>21355</v>
      </c>
      <c r="E266" s="64"/>
      <c r="F266" s="34"/>
      <c r="G266" s="34"/>
      <c r="H266" s="33"/>
      <c r="I266" s="68">
        <v>41900</v>
      </c>
      <c r="J266" s="64">
        <v>5.76</v>
      </c>
      <c r="K266" s="64">
        <v>0</v>
      </c>
      <c r="L266" s="64"/>
      <c r="M266" s="64"/>
      <c r="N266" s="34"/>
      <c r="O266" s="35"/>
    </row>
    <row r="267" spans="1:15" s="36" customFormat="1" ht="12" x14ac:dyDescent="0.2">
      <c r="A267" s="33"/>
      <c r="B267" s="63">
        <v>44196</v>
      </c>
      <c r="C267" s="65">
        <v>13.3</v>
      </c>
      <c r="D267" s="65">
        <v>17192</v>
      </c>
      <c r="E267" s="65"/>
      <c r="F267" s="34"/>
      <c r="G267" s="34"/>
      <c r="H267" s="33"/>
      <c r="I267" s="69">
        <v>41901</v>
      </c>
      <c r="J267" s="65">
        <v>5.76</v>
      </c>
      <c r="K267" s="65">
        <v>0</v>
      </c>
      <c r="L267" s="65"/>
      <c r="M267" s="65"/>
      <c r="N267" s="34"/>
      <c r="O267" s="35"/>
    </row>
    <row r="268" spans="1:15" s="36" customFormat="1" ht="12" x14ac:dyDescent="0.2">
      <c r="A268" s="33"/>
      <c r="B268" s="62">
        <v>44227</v>
      </c>
      <c r="C268" s="64">
        <v>13</v>
      </c>
      <c r="D268" s="64">
        <v>51884</v>
      </c>
      <c r="E268" s="64"/>
      <c r="F268" s="34"/>
      <c r="G268" s="34"/>
      <c r="H268" s="33"/>
      <c r="I268" s="68">
        <v>41904</v>
      </c>
      <c r="J268" s="64">
        <v>5.76</v>
      </c>
      <c r="K268" s="64">
        <v>0</v>
      </c>
      <c r="L268" s="64"/>
      <c r="M268" s="64"/>
      <c r="N268" s="34"/>
      <c r="O268" s="35"/>
    </row>
    <row r="269" spans="1:15" s="36" customFormat="1" ht="12" x14ac:dyDescent="0.2">
      <c r="A269" s="33"/>
      <c r="B269" s="63">
        <v>44255</v>
      </c>
      <c r="C269" s="65">
        <v>13.3</v>
      </c>
      <c r="D269" s="65">
        <v>17243</v>
      </c>
      <c r="E269" s="65"/>
      <c r="F269" s="34"/>
      <c r="G269" s="34"/>
      <c r="H269" s="33"/>
      <c r="I269" s="69">
        <v>41905</v>
      </c>
      <c r="J269" s="65">
        <v>5.76</v>
      </c>
      <c r="K269" s="65">
        <v>0</v>
      </c>
      <c r="L269" s="65"/>
      <c r="M269" s="65"/>
      <c r="N269" s="34"/>
      <c r="O269" s="35"/>
    </row>
    <row r="270" spans="1:15" s="36" customFormat="1" ht="12" x14ac:dyDescent="0.2">
      <c r="A270" s="33"/>
      <c r="B270" s="62">
        <v>44286</v>
      </c>
      <c r="C270" s="64">
        <v>12.3</v>
      </c>
      <c r="D270" s="64">
        <v>33762</v>
      </c>
      <c r="E270" s="64"/>
      <c r="F270" s="34"/>
      <c r="G270" s="34"/>
      <c r="H270" s="33"/>
      <c r="I270" s="68">
        <v>41906</v>
      </c>
      <c r="J270" s="64">
        <v>5.76</v>
      </c>
      <c r="K270" s="64">
        <v>0</v>
      </c>
      <c r="L270" s="64"/>
      <c r="M270" s="64"/>
      <c r="N270" s="34"/>
      <c r="O270" s="35"/>
    </row>
    <row r="271" spans="1:15" s="36" customFormat="1" ht="12" x14ac:dyDescent="0.2">
      <c r="A271" s="33"/>
      <c r="B271" s="63">
        <v>44316</v>
      </c>
      <c r="C271" s="65">
        <v>11.7</v>
      </c>
      <c r="D271" s="65">
        <v>18570</v>
      </c>
      <c r="E271" s="65"/>
      <c r="H271" s="33"/>
      <c r="I271" s="69">
        <v>41907</v>
      </c>
      <c r="J271" s="65">
        <v>5.76</v>
      </c>
      <c r="K271" s="65">
        <v>0</v>
      </c>
      <c r="L271" s="65"/>
      <c r="M271" s="65"/>
      <c r="N271" s="34"/>
      <c r="O271" s="35"/>
    </row>
    <row r="272" spans="1:15" s="36" customFormat="1" ht="12" x14ac:dyDescent="0.2">
      <c r="A272" s="33"/>
      <c r="B272" s="62">
        <v>44347</v>
      </c>
      <c r="C272" s="64">
        <v>11</v>
      </c>
      <c r="D272" s="64">
        <v>19522</v>
      </c>
      <c r="E272" s="64"/>
      <c r="H272" s="33"/>
      <c r="I272" s="68">
        <v>41908</v>
      </c>
      <c r="J272" s="64">
        <v>5.76</v>
      </c>
      <c r="K272" s="64">
        <v>0</v>
      </c>
      <c r="L272" s="64"/>
      <c r="M272" s="64"/>
      <c r="N272" s="34"/>
      <c r="O272" s="35"/>
    </row>
    <row r="273" spans="1:15" s="36" customFormat="1" ht="12" x14ac:dyDescent="0.2">
      <c r="A273" s="33"/>
      <c r="B273" s="63">
        <v>44377</v>
      </c>
      <c r="C273" s="65">
        <v>11</v>
      </c>
      <c r="D273" s="65">
        <v>37017</v>
      </c>
      <c r="E273" s="65"/>
      <c r="H273" s="33"/>
      <c r="I273" s="69">
        <v>41910</v>
      </c>
      <c r="J273" s="65">
        <v>5.76</v>
      </c>
      <c r="K273" s="65">
        <v>0</v>
      </c>
      <c r="L273" s="65"/>
      <c r="M273" s="65"/>
      <c r="N273" s="34"/>
      <c r="O273" s="35"/>
    </row>
    <row r="274" spans="1:15" s="36" customFormat="1" ht="12" x14ac:dyDescent="0.2">
      <c r="A274" s="33"/>
      <c r="B274" s="62">
        <v>44408</v>
      </c>
      <c r="C274" s="64">
        <v>10.7</v>
      </c>
      <c r="D274" s="64">
        <v>10752</v>
      </c>
      <c r="E274" s="64"/>
      <c r="H274" s="33"/>
      <c r="I274" s="68">
        <v>41911</v>
      </c>
      <c r="J274" s="64">
        <v>5.76</v>
      </c>
      <c r="K274" s="64">
        <v>0</v>
      </c>
      <c r="L274" s="64"/>
      <c r="M274" s="64"/>
      <c r="N274" s="34"/>
      <c r="O274" s="35"/>
    </row>
    <row r="275" spans="1:15" s="36" customFormat="1" ht="12" x14ac:dyDescent="0.2">
      <c r="A275" s="33"/>
      <c r="B275" s="63">
        <v>44439</v>
      </c>
      <c r="C275" s="65">
        <v>10.3</v>
      </c>
      <c r="D275" s="65">
        <v>29893</v>
      </c>
      <c r="E275" s="65"/>
      <c r="H275" s="33"/>
      <c r="I275" s="69">
        <v>41912</v>
      </c>
      <c r="J275" s="65">
        <v>5.76</v>
      </c>
      <c r="K275" s="65">
        <v>0</v>
      </c>
      <c r="L275" s="65"/>
      <c r="M275" s="65"/>
      <c r="N275" s="34"/>
      <c r="O275" s="35"/>
    </row>
    <row r="276" spans="1:15" s="36" customFormat="1" ht="12" x14ac:dyDescent="0.2">
      <c r="A276" s="33"/>
      <c r="B276" s="62">
        <v>44469</v>
      </c>
      <c r="C276" s="64">
        <v>10</v>
      </c>
      <c r="D276" s="64">
        <v>29026</v>
      </c>
      <c r="E276" s="64"/>
      <c r="H276" s="33"/>
      <c r="I276" s="68">
        <v>41920</v>
      </c>
      <c r="J276" s="64">
        <v>5.76</v>
      </c>
      <c r="K276" s="64">
        <v>0</v>
      </c>
      <c r="L276" s="64"/>
      <c r="M276" s="64"/>
      <c r="N276" s="34"/>
      <c r="O276" s="35"/>
    </row>
    <row r="277" spans="1:15" s="36" customFormat="1" ht="12" x14ac:dyDescent="0.2">
      <c r="A277" s="33"/>
      <c r="B277" s="63">
        <v>44500</v>
      </c>
      <c r="C277" s="65">
        <v>10</v>
      </c>
      <c r="D277" s="65">
        <v>16176</v>
      </c>
      <c r="E277" s="65"/>
      <c r="H277" s="33"/>
      <c r="I277" s="69">
        <v>41921</v>
      </c>
      <c r="J277" s="65">
        <v>5.76</v>
      </c>
      <c r="K277" s="65">
        <v>0</v>
      </c>
      <c r="L277" s="65"/>
      <c r="M277" s="65"/>
      <c r="N277" s="34"/>
      <c r="O277" s="35"/>
    </row>
    <row r="278" spans="1:15" s="36" customFormat="1" ht="12" x14ac:dyDescent="0.2">
      <c r="A278" s="33"/>
      <c r="B278" s="62">
        <v>44530</v>
      </c>
      <c r="C278" s="64">
        <v>10.1</v>
      </c>
      <c r="D278" s="64">
        <v>25983</v>
      </c>
      <c r="E278" s="64"/>
      <c r="H278" s="33"/>
      <c r="I278" s="68">
        <v>41922</v>
      </c>
      <c r="J278" s="64">
        <v>5.76</v>
      </c>
      <c r="K278" s="64">
        <v>0</v>
      </c>
      <c r="L278" s="64"/>
      <c r="M278" s="64"/>
      <c r="N278" s="34"/>
      <c r="O278" s="35"/>
    </row>
    <row r="279" spans="1:15" s="36" customFormat="1" ht="12" x14ac:dyDescent="0.2">
      <c r="A279" s="33"/>
      <c r="B279" s="63">
        <v>44561</v>
      </c>
      <c r="C279" s="65">
        <v>10.3</v>
      </c>
      <c r="D279" s="65">
        <v>23580</v>
      </c>
      <c r="E279" s="65"/>
      <c r="H279" s="33"/>
      <c r="I279" s="69">
        <v>41923</v>
      </c>
      <c r="J279" s="65">
        <v>5.76</v>
      </c>
      <c r="K279" s="65">
        <v>0</v>
      </c>
      <c r="L279" s="65"/>
      <c r="M279" s="65"/>
      <c r="N279" s="34"/>
      <c r="O279" s="35"/>
    </row>
    <row r="280" spans="1:15" s="36" customFormat="1" ht="12" x14ac:dyDescent="0.2">
      <c r="A280" s="33"/>
      <c r="B280" s="62">
        <v>44592</v>
      </c>
      <c r="C280" s="64">
        <v>10.5</v>
      </c>
      <c r="D280" s="64">
        <v>61759</v>
      </c>
      <c r="E280" s="64"/>
      <c r="H280" s="33"/>
      <c r="I280" s="68">
        <v>41925</v>
      </c>
      <c r="J280" s="64">
        <v>5.76</v>
      </c>
      <c r="K280" s="64">
        <v>0</v>
      </c>
      <c r="L280" s="64"/>
      <c r="M280" s="64"/>
      <c r="N280" s="34"/>
      <c r="O280" s="35"/>
    </row>
    <row r="281" spans="1:15" s="36" customFormat="1" ht="12" x14ac:dyDescent="0.2">
      <c r="A281" s="33"/>
      <c r="B281" s="63">
        <v>44620</v>
      </c>
      <c r="C281" s="65">
        <v>10.199999999999999</v>
      </c>
      <c r="D281" s="65">
        <v>12170</v>
      </c>
      <c r="E281" s="65"/>
      <c r="H281" s="33"/>
      <c r="I281" s="69">
        <v>41926</v>
      </c>
      <c r="J281" s="65">
        <v>5.76</v>
      </c>
      <c r="K281" s="65">
        <v>0</v>
      </c>
      <c r="L281" s="65"/>
      <c r="M281" s="65"/>
      <c r="N281" s="34"/>
      <c r="O281" s="35"/>
    </row>
    <row r="282" spans="1:15" s="36" customFormat="1" ht="12" x14ac:dyDescent="0.2">
      <c r="A282" s="33"/>
      <c r="B282" s="62">
        <v>44651</v>
      </c>
      <c r="C282" s="64">
        <v>10.5</v>
      </c>
      <c r="D282" s="64">
        <v>46565</v>
      </c>
      <c r="E282" s="64"/>
      <c r="H282" s="33"/>
      <c r="I282" s="68">
        <v>41927</v>
      </c>
      <c r="J282" s="64">
        <v>5.76</v>
      </c>
      <c r="K282" s="64">
        <v>0</v>
      </c>
      <c r="L282" s="64"/>
      <c r="M282" s="64"/>
      <c r="N282" s="34"/>
      <c r="O282" s="35"/>
    </row>
    <row r="283" spans="1:15" s="36" customFormat="1" ht="12" x14ac:dyDescent="0.2">
      <c r="A283" s="33"/>
      <c r="B283" s="63">
        <v>44681</v>
      </c>
      <c r="C283" s="65">
        <v>10.199999999999999</v>
      </c>
      <c r="D283" s="65">
        <v>9327</v>
      </c>
      <c r="E283" s="65"/>
      <c r="H283" s="33"/>
      <c r="I283" s="69">
        <v>41928</v>
      </c>
      <c r="J283" s="65">
        <v>5.76</v>
      </c>
      <c r="K283" s="65">
        <v>0</v>
      </c>
      <c r="L283" s="65"/>
      <c r="M283" s="65"/>
      <c r="N283" s="34"/>
      <c r="O283" s="35"/>
    </row>
    <row r="284" spans="1:15" s="36" customFormat="1" ht="12" x14ac:dyDescent="0.2">
      <c r="A284" s="33"/>
      <c r="B284" s="62">
        <v>44712</v>
      </c>
      <c r="C284" s="64">
        <v>10.5</v>
      </c>
      <c r="D284" s="64">
        <v>28415</v>
      </c>
      <c r="E284" s="64"/>
      <c r="H284" s="33"/>
      <c r="I284" s="68">
        <v>41929</v>
      </c>
      <c r="J284" s="64">
        <v>5.76</v>
      </c>
      <c r="K284" s="64">
        <v>0</v>
      </c>
      <c r="L284" s="64"/>
      <c r="M284" s="64"/>
      <c r="N284" s="34"/>
      <c r="O284" s="35"/>
    </row>
    <row r="285" spans="1:15" s="36" customFormat="1" ht="12" x14ac:dyDescent="0.2">
      <c r="A285" s="33"/>
      <c r="B285" s="63">
        <v>44742</v>
      </c>
      <c r="C285" s="65">
        <v>10.8</v>
      </c>
      <c r="D285" s="65">
        <v>51926</v>
      </c>
      <c r="E285" s="65"/>
      <c r="H285" s="33"/>
      <c r="I285" s="69">
        <v>41932</v>
      </c>
      <c r="J285" s="65">
        <v>5.76</v>
      </c>
      <c r="K285" s="65">
        <v>0</v>
      </c>
      <c r="L285" s="65"/>
      <c r="M285" s="65"/>
      <c r="N285" s="34"/>
      <c r="O285" s="35"/>
    </row>
    <row r="286" spans="1:15" s="36" customFormat="1" ht="12" x14ac:dyDescent="0.2">
      <c r="A286" s="33"/>
      <c r="B286" s="62">
        <v>44773</v>
      </c>
      <c r="C286" s="64">
        <v>10.7</v>
      </c>
      <c r="D286" s="64">
        <v>7785</v>
      </c>
      <c r="E286" s="64"/>
      <c r="H286" s="33"/>
      <c r="I286" s="68">
        <v>41933</v>
      </c>
      <c r="J286" s="64">
        <v>5.76</v>
      </c>
      <c r="K286" s="64">
        <v>0</v>
      </c>
      <c r="L286" s="64"/>
      <c r="M286" s="64"/>
      <c r="N286" s="34"/>
      <c r="O286" s="35"/>
    </row>
    <row r="287" spans="1:15" s="36" customFormat="1" ht="12" x14ac:dyDescent="0.2">
      <c r="A287" s="33"/>
      <c r="B287" s="63">
        <v>44804</v>
      </c>
      <c r="C287" s="65">
        <v>10.5</v>
      </c>
      <c r="D287" s="65">
        <v>24712</v>
      </c>
      <c r="E287" s="65"/>
      <c r="H287" s="33"/>
      <c r="I287" s="69">
        <v>41934</v>
      </c>
      <c r="J287" s="65">
        <v>5.76</v>
      </c>
      <c r="K287" s="65">
        <v>0</v>
      </c>
      <c r="L287" s="65"/>
      <c r="M287" s="65"/>
      <c r="N287" s="34"/>
      <c r="O287" s="35"/>
    </row>
    <row r="288" spans="1:15" s="36" customFormat="1" ht="12" x14ac:dyDescent="0.2">
      <c r="A288" s="33"/>
      <c r="B288" s="62">
        <v>44834</v>
      </c>
      <c r="C288" s="64">
        <v>10.6</v>
      </c>
      <c r="D288" s="64">
        <v>35411</v>
      </c>
      <c r="E288" s="64"/>
      <c r="H288" s="33"/>
      <c r="I288" s="68">
        <v>41935</v>
      </c>
      <c r="J288" s="64">
        <v>5.76</v>
      </c>
      <c r="K288" s="64">
        <v>0</v>
      </c>
      <c r="L288" s="64"/>
      <c r="M288" s="64"/>
      <c r="N288" s="34"/>
      <c r="O288" s="35"/>
    </row>
    <row r="289" spans="1:15" s="36" customFormat="1" ht="12" x14ac:dyDescent="0.2">
      <c r="A289" s="33"/>
      <c r="B289" s="63">
        <v>44865</v>
      </c>
      <c r="C289" s="65">
        <v>10.3</v>
      </c>
      <c r="D289" s="65">
        <v>9134</v>
      </c>
      <c r="E289" s="65"/>
      <c r="H289" s="33"/>
      <c r="I289" s="69">
        <v>41936</v>
      </c>
      <c r="J289" s="65">
        <v>5.76</v>
      </c>
      <c r="K289" s="65">
        <v>0</v>
      </c>
      <c r="L289" s="65"/>
      <c r="M289" s="65"/>
      <c r="N289" s="34"/>
      <c r="O289" s="35"/>
    </row>
    <row r="290" spans="1:15" s="36" customFormat="1" ht="12" x14ac:dyDescent="0.2">
      <c r="A290" s="33"/>
      <c r="B290" s="62">
        <v>44895</v>
      </c>
      <c r="C290" s="64">
        <v>10</v>
      </c>
      <c r="D290" s="64">
        <v>19837</v>
      </c>
      <c r="E290" s="64"/>
      <c r="H290" s="33"/>
      <c r="I290" s="68">
        <v>41939</v>
      </c>
      <c r="J290" s="64">
        <v>5.76</v>
      </c>
      <c r="K290" s="64">
        <v>0</v>
      </c>
      <c r="L290" s="64"/>
      <c r="M290" s="64"/>
      <c r="N290" s="34"/>
      <c r="O290" s="35"/>
    </row>
    <row r="291" spans="1:15" s="36" customFormat="1" ht="12" x14ac:dyDescent="0.2">
      <c r="A291" s="33"/>
      <c r="B291" s="63">
        <v>44926</v>
      </c>
      <c r="C291" s="65">
        <v>9.6</v>
      </c>
      <c r="D291" s="65">
        <v>13063</v>
      </c>
      <c r="E291" s="65"/>
      <c r="H291" s="33"/>
      <c r="I291" s="69">
        <v>41940</v>
      </c>
      <c r="J291" s="65">
        <v>5.76</v>
      </c>
      <c r="K291" s="65">
        <v>0</v>
      </c>
      <c r="L291" s="65"/>
      <c r="M291" s="65"/>
      <c r="N291" s="34"/>
      <c r="O291" s="35"/>
    </row>
    <row r="292" spans="1:15" s="36" customFormat="1" ht="12" x14ac:dyDescent="0.2">
      <c r="A292" s="33"/>
      <c r="B292" s="62">
        <v>44957</v>
      </c>
      <c r="C292" s="64">
        <v>9.4</v>
      </c>
      <c r="D292" s="64">
        <v>59956</v>
      </c>
      <c r="E292" s="64"/>
      <c r="H292" s="33"/>
      <c r="I292" s="68">
        <v>41941</v>
      </c>
      <c r="J292" s="64">
        <v>5.76</v>
      </c>
      <c r="K292" s="64">
        <v>0</v>
      </c>
      <c r="L292" s="64"/>
      <c r="M292" s="64"/>
      <c r="N292" s="34"/>
      <c r="O292" s="35"/>
    </row>
    <row r="293" spans="1:15" s="36" customFormat="1" ht="12" x14ac:dyDescent="0.2">
      <c r="A293" s="33"/>
      <c r="B293" s="63">
        <v>44985</v>
      </c>
      <c r="C293" s="65">
        <v>9.9</v>
      </c>
      <c r="D293" s="65">
        <v>31610</v>
      </c>
      <c r="E293" s="65"/>
      <c r="H293" s="33"/>
      <c r="I293" s="69">
        <v>41942</v>
      </c>
      <c r="J293" s="65">
        <v>5.76</v>
      </c>
      <c r="K293" s="65">
        <v>0</v>
      </c>
      <c r="L293" s="65"/>
      <c r="M293" s="65"/>
      <c r="N293" s="34"/>
      <c r="O293" s="35"/>
    </row>
    <row r="294" spans="1:15" s="36" customFormat="1" ht="12" x14ac:dyDescent="0.2">
      <c r="A294" s="33"/>
      <c r="B294" s="62">
        <v>45016</v>
      </c>
      <c r="C294" s="64">
        <v>10</v>
      </c>
      <c r="D294" s="64">
        <v>53867</v>
      </c>
      <c r="E294" s="64"/>
      <c r="H294" s="33"/>
      <c r="I294" s="68">
        <v>41943</v>
      </c>
      <c r="J294" s="64">
        <v>5.76</v>
      </c>
      <c r="K294" s="64">
        <v>0</v>
      </c>
      <c r="L294" s="64"/>
      <c r="M294" s="64"/>
      <c r="N294" s="34"/>
      <c r="O294" s="35"/>
    </row>
    <row r="295" spans="1:15" s="36" customFormat="1" ht="12" x14ac:dyDescent="0.2">
      <c r="A295" s="33"/>
      <c r="B295" s="63">
        <v>45046</v>
      </c>
      <c r="C295" s="65">
        <v>10</v>
      </c>
      <c r="D295" s="65">
        <v>12249</v>
      </c>
      <c r="E295" s="65"/>
      <c r="H295" s="33"/>
      <c r="I295" s="69">
        <v>41946</v>
      </c>
      <c r="J295" s="65">
        <v>5.76</v>
      </c>
      <c r="K295" s="65">
        <v>0</v>
      </c>
      <c r="L295" s="65"/>
      <c r="M295" s="65"/>
      <c r="N295" s="34"/>
      <c r="O295" s="35"/>
    </row>
    <row r="296" spans="1:15" s="36" customFormat="1" ht="12" x14ac:dyDescent="0.2">
      <c r="A296" s="33"/>
      <c r="B296" s="62">
        <v>45077</v>
      </c>
      <c r="C296" s="64">
        <v>9.5</v>
      </c>
      <c r="D296" s="64">
        <v>15560</v>
      </c>
      <c r="E296" s="64"/>
      <c r="H296" s="33"/>
      <c r="I296" s="68">
        <v>41947</v>
      </c>
      <c r="J296" s="64">
        <v>5.76</v>
      </c>
      <c r="K296" s="64">
        <v>0</v>
      </c>
      <c r="L296" s="64"/>
      <c r="M296" s="64"/>
      <c r="N296" s="34"/>
      <c r="O296" s="35"/>
    </row>
    <row r="297" spans="1:15" s="36" customFormat="1" ht="12" x14ac:dyDescent="0.2">
      <c r="A297" s="33"/>
      <c r="B297" s="63">
        <v>45107</v>
      </c>
      <c r="C297" s="65">
        <v>9</v>
      </c>
      <c r="D297" s="65">
        <v>42265</v>
      </c>
      <c r="E297" s="65"/>
      <c r="H297" s="33"/>
      <c r="I297" s="69">
        <v>41948</v>
      </c>
      <c r="J297" s="65">
        <v>5.76</v>
      </c>
      <c r="K297" s="65">
        <v>0</v>
      </c>
      <c r="L297" s="65"/>
      <c r="M297" s="65"/>
      <c r="N297" s="34"/>
      <c r="O297" s="35"/>
    </row>
    <row r="298" spans="1:15" s="36" customFormat="1" ht="12" x14ac:dyDescent="0.2">
      <c r="A298" s="33"/>
      <c r="B298" s="62">
        <v>45138</v>
      </c>
      <c r="C298" s="64">
        <v>8.9</v>
      </c>
      <c r="D298" s="64">
        <v>5366</v>
      </c>
      <c r="E298" s="64"/>
      <c r="H298" s="33"/>
      <c r="I298" s="68">
        <v>41949</v>
      </c>
      <c r="J298" s="64">
        <v>5.76</v>
      </c>
      <c r="K298" s="64">
        <v>0</v>
      </c>
      <c r="L298" s="64"/>
      <c r="M298" s="64"/>
      <c r="N298" s="34"/>
      <c r="O298" s="35"/>
    </row>
    <row r="299" spans="1:15" s="36" customFormat="1" ht="12" x14ac:dyDescent="0.2">
      <c r="A299" s="33"/>
      <c r="B299" s="63">
        <v>45169</v>
      </c>
      <c r="C299" s="65">
        <v>9</v>
      </c>
      <c r="D299" s="65">
        <v>31279</v>
      </c>
      <c r="E299" s="65"/>
      <c r="H299" s="33"/>
      <c r="I299" s="69">
        <v>41950</v>
      </c>
      <c r="J299" s="65">
        <v>5.76</v>
      </c>
      <c r="K299" s="65">
        <v>0</v>
      </c>
      <c r="L299" s="65"/>
      <c r="M299" s="65"/>
      <c r="N299" s="34"/>
      <c r="O299" s="35"/>
    </row>
    <row r="300" spans="1:15" s="36" customFormat="1" ht="12" x14ac:dyDescent="0.2">
      <c r="A300" s="33"/>
      <c r="B300" s="62">
        <v>45199</v>
      </c>
      <c r="C300" s="64">
        <v>9</v>
      </c>
      <c r="D300" s="64">
        <v>41326</v>
      </c>
      <c r="E300" s="64"/>
      <c r="H300" s="33"/>
      <c r="I300" s="68">
        <v>41953</v>
      </c>
      <c r="J300" s="64">
        <v>5.76</v>
      </c>
      <c r="K300" s="64">
        <v>0</v>
      </c>
      <c r="L300" s="64"/>
      <c r="M300" s="64"/>
      <c r="N300" s="34"/>
      <c r="O300" s="35"/>
    </row>
    <row r="301" spans="1:15" s="36" customFormat="1" ht="12" x14ac:dyDescent="0.2">
      <c r="A301" s="33"/>
      <c r="B301" s="63">
        <v>45230</v>
      </c>
      <c r="C301" s="65">
        <v>9.3000000000000007</v>
      </c>
      <c r="D301" s="65">
        <v>18441</v>
      </c>
      <c r="E301" s="65"/>
      <c r="H301" s="33"/>
      <c r="I301" s="69">
        <v>41954</v>
      </c>
      <c r="J301" s="65">
        <v>5.76</v>
      </c>
      <c r="K301" s="65">
        <v>0</v>
      </c>
      <c r="L301" s="65"/>
      <c r="M301" s="65"/>
      <c r="N301" s="34"/>
      <c r="O301" s="35"/>
    </row>
    <row r="302" spans="1:15" s="36" customFormat="1" ht="12" x14ac:dyDescent="0.2">
      <c r="A302" s="33"/>
      <c r="B302" s="62">
        <v>45260</v>
      </c>
      <c r="C302" s="64">
        <v>9.4</v>
      </c>
      <c r="D302" s="64">
        <v>24554</v>
      </c>
      <c r="E302" s="64"/>
      <c r="H302" s="33"/>
      <c r="I302" s="68">
        <v>41955</v>
      </c>
      <c r="J302" s="64">
        <v>5.76</v>
      </c>
      <c r="K302" s="64">
        <v>0</v>
      </c>
      <c r="L302" s="64"/>
      <c r="M302" s="64"/>
      <c r="N302" s="34"/>
      <c r="O302" s="35"/>
    </row>
    <row r="303" spans="1:15" s="36" customFormat="1" ht="12" x14ac:dyDescent="0.2">
      <c r="A303" s="33"/>
      <c r="B303" s="63">
        <v>45291</v>
      </c>
      <c r="C303" s="65">
        <v>9.5</v>
      </c>
      <c r="D303" s="65">
        <v>19326</v>
      </c>
      <c r="E303" s="65"/>
      <c r="H303" s="33"/>
      <c r="I303" s="69">
        <v>41956</v>
      </c>
      <c r="J303" s="65">
        <v>5.76</v>
      </c>
      <c r="K303" s="65">
        <v>0</v>
      </c>
      <c r="L303" s="65"/>
      <c r="M303" s="65"/>
      <c r="N303" s="34"/>
      <c r="O303" s="35"/>
    </row>
    <row r="304" spans="1:15" s="36" customFormat="1" ht="12" x14ac:dyDescent="0.2">
      <c r="A304" s="33"/>
      <c r="B304" s="62">
        <v>45322</v>
      </c>
      <c r="C304" s="64">
        <v>9.5</v>
      </c>
      <c r="D304" s="64">
        <v>64734</v>
      </c>
      <c r="E304" s="64"/>
      <c r="H304" s="33"/>
      <c r="I304" s="68">
        <v>41957</v>
      </c>
      <c r="J304" s="64">
        <v>5.76</v>
      </c>
      <c r="K304" s="64">
        <v>0</v>
      </c>
      <c r="L304" s="64"/>
      <c r="M304" s="64"/>
      <c r="N304" s="34"/>
      <c r="O304" s="35"/>
    </row>
    <row r="305" spans="1:15" s="36" customFormat="1" ht="12" x14ac:dyDescent="0.2">
      <c r="A305" s="33"/>
      <c r="B305" s="63">
        <v>45351</v>
      </c>
      <c r="C305" s="65">
        <v>9</v>
      </c>
      <c r="D305" s="65">
        <v>14959</v>
      </c>
      <c r="E305" s="65"/>
      <c r="H305" s="33"/>
      <c r="I305" s="69">
        <v>41960</v>
      </c>
      <c r="J305" s="65">
        <v>5.76</v>
      </c>
      <c r="K305" s="65">
        <v>0</v>
      </c>
      <c r="L305" s="65"/>
      <c r="M305" s="65"/>
      <c r="N305" s="34"/>
      <c r="O305" s="35"/>
    </row>
    <row r="306" spans="1:15" s="36" customFormat="1" ht="12" x14ac:dyDescent="0.2">
      <c r="A306" s="33"/>
      <c r="B306" s="62">
        <v>45382</v>
      </c>
      <c r="C306" s="64">
        <v>8.6999999999999993</v>
      </c>
      <c r="D306" s="64">
        <v>48335</v>
      </c>
      <c r="E306" s="64"/>
      <c r="H306" s="33"/>
      <c r="I306" s="68">
        <v>41961</v>
      </c>
      <c r="J306" s="64">
        <v>5.76</v>
      </c>
      <c r="K306" s="64">
        <v>0</v>
      </c>
      <c r="L306" s="64"/>
      <c r="M306" s="64"/>
      <c r="N306" s="34"/>
      <c r="O306" s="35"/>
    </row>
    <row r="307" spans="1:15" s="36" customFormat="1" ht="12" x14ac:dyDescent="0.2">
      <c r="A307" s="33"/>
      <c r="B307" s="63">
        <v>45412</v>
      </c>
      <c r="C307" s="65">
        <v>8.3000000000000007</v>
      </c>
      <c r="D307" s="65">
        <v>-720</v>
      </c>
      <c r="E307" s="65"/>
      <c r="H307" s="33"/>
      <c r="I307" s="69">
        <v>41962</v>
      </c>
      <c r="J307" s="65">
        <v>5.76</v>
      </c>
      <c r="K307" s="65">
        <v>0</v>
      </c>
      <c r="L307" s="65"/>
      <c r="M307" s="65"/>
      <c r="N307" s="34"/>
      <c r="O307" s="35"/>
    </row>
    <row r="308" spans="1:15" s="36" customFormat="1" ht="12" x14ac:dyDescent="0.2">
      <c r="A308" s="33"/>
      <c r="B308" s="62">
        <v>45443</v>
      </c>
      <c r="C308" s="64">
        <v>8.4</v>
      </c>
      <c r="D308" s="64">
        <v>20692</v>
      </c>
      <c r="E308" s="64"/>
      <c r="H308" s="33"/>
      <c r="I308" s="68">
        <v>41963</v>
      </c>
      <c r="J308" s="64">
        <v>5.76</v>
      </c>
      <c r="K308" s="64">
        <v>0</v>
      </c>
      <c r="L308" s="64"/>
      <c r="M308" s="64"/>
      <c r="N308" s="34"/>
      <c r="O308" s="35"/>
    </row>
    <row r="309" spans="1:15" s="36" customFormat="1" ht="12" x14ac:dyDescent="0.2">
      <c r="A309" s="33"/>
      <c r="B309" s="69"/>
      <c r="C309" s="65"/>
      <c r="D309" s="65"/>
      <c r="E309" s="65"/>
      <c r="H309" s="33"/>
      <c r="I309" s="69">
        <v>41964</v>
      </c>
      <c r="J309" s="65">
        <v>5.76</v>
      </c>
      <c r="K309" s="65">
        <v>0</v>
      </c>
      <c r="L309" s="65"/>
      <c r="M309" s="65"/>
      <c r="N309" s="34"/>
      <c r="O309" s="35"/>
    </row>
    <row r="310" spans="1:15" s="36" customFormat="1" ht="12" x14ac:dyDescent="0.2">
      <c r="A310" s="33"/>
      <c r="B310" s="68"/>
      <c r="C310" s="64"/>
      <c r="D310" s="64"/>
      <c r="E310" s="64"/>
      <c r="H310" s="33"/>
      <c r="I310" s="68">
        <v>41967</v>
      </c>
      <c r="J310" s="64">
        <v>5.56</v>
      </c>
      <c r="K310" s="64">
        <v>0</v>
      </c>
      <c r="L310" s="64"/>
      <c r="M310" s="64"/>
      <c r="N310" s="34"/>
      <c r="O310" s="35"/>
    </row>
    <row r="311" spans="1:15" s="36" customFormat="1" ht="12" x14ac:dyDescent="0.2">
      <c r="A311" s="33"/>
      <c r="B311" s="69"/>
      <c r="C311" s="65"/>
      <c r="D311" s="65"/>
      <c r="E311" s="65"/>
      <c r="H311" s="33"/>
      <c r="I311" s="69">
        <v>41968</v>
      </c>
      <c r="J311" s="65">
        <v>5.56</v>
      </c>
      <c r="K311" s="65">
        <v>0</v>
      </c>
      <c r="L311" s="65"/>
      <c r="M311" s="65"/>
      <c r="N311" s="34"/>
      <c r="O311" s="35"/>
    </row>
    <row r="312" spans="1:15" s="36" customFormat="1" ht="12" x14ac:dyDescent="0.2">
      <c r="A312" s="33"/>
      <c r="B312" s="68"/>
      <c r="C312" s="64"/>
      <c r="D312" s="64"/>
      <c r="E312" s="64"/>
      <c r="H312" s="33"/>
      <c r="I312" s="68">
        <v>41969</v>
      </c>
      <c r="J312" s="64">
        <v>5.56</v>
      </c>
      <c r="K312" s="64">
        <v>0</v>
      </c>
      <c r="L312" s="64"/>
      <c r="M312" s="64"/>
      <c r="N312" s="34"/>
      <c r="O312" s="35"/>
    </row>
    <row r="313" spans="1:15" s="36" customFormat="1" ht="12" x14ac:dyDescent="0.2">
      <c r="A313" s="33"/>
      <c r="B313" s="69"/>
      <c r="C313" s="65"/>
      <c r="D313" s="65"/>
      <c r="E313" s="65"/>
      <c r="H313" s="33"/>
      <c r="I313" s="69">
        <v>41970</v>
      </c>
      <c r="J313" s="65">
        <v>5.52</v>
      </c>
      <c r="K313" s="65">
        <v>0</v>
      </c>
      <c r="L313" s="65"/>
      <c r="M313" s="65"/>
      <c r="N313" s="34"/>
      <c r="O313" s="35"/>
    </row>
    <row r="314" spans="1:15" s="36" customFormat="1" ht="12" x14ac:dyDescent="0.2">
      <c r="A314" s="33"/>
      <c r="B314" s="68"/>
      <c r="C314" s="64"/>
      <c r="D314" s="64"/>
      <c r="E314" s="64"/>
      <c r="H314" s="33"/>
      <c r="I314" s="68">
        <v>41971</v>
      </c>
      <c r="J314" s="64">
        <v>5.51</v>
      </c>
      <c r="K314" s="64">
        <v>0</v>
      </c>
      <c r="L314" s="64"/>
      <c r="M314" s="64"/>
      <c r="N314" s="34"/>
      <c r="O314" s="35"/>
    </row>
    <row r="315" spans="1:15" s="36" customFormat="1" ht="12" x14ac:dyDescent="0.2">
      <c r="A315" s="33"/>
      <c r="B315" s="69"/>
      <c r="C315" s="65"/>
      <c r="D315" s="65"/>
      <c r="E315" s="65"/>
      <c r="H315" s="33"/>
      <c r="I315" s="69">
        <v>41974</v>
      </c>
      <c r="J315" s="65">
        <v>5.51</v>
      </c>
      <c r="K315" s="65">
        <v>0</v>
      </c>
      <c r="L315" s="65"/>
      <c r="M315" s="65"/>
      <c r="N315" s="34"/>
      <c r="O315" s="35"/>
    </row>
    <row r="316" spans="1:15" s="36" customFormat="1" ht="12" x14ac:dyDescent="0.2">
      <c r="A316" s="33"/>
      <c r="B316" s="68"/>
      <c r="C316" s="64"/>
      <c r="D316" s="64"/>
      <c r="E316" s="64"/>
      <c r="H316" s="33"/>
      <c r="I316" s="68">
        <v>41975</v>
      </c>
      <c r="J316" s="64">
        <v>5.51</v>
      </c>
      <c r="K316" s="64">
        <v>0</v>
      </c>
      <c r="L316" s="64"/>
      <c r="M316" s="64"/>
      <c r="N316" s="34"/>
      <c r="O316" s="35"/>
    </row>
    <row r="317" spans="1:15" s="36" customFormat="1" ht="12" x14ac:dyDescent="0.2">
      <c r="A317" s="33"/>
      <c r="B317" s="69"/>
      <c r="C317" s="65"/>
      <c r="D317" s="65"/>
      <c r="E317" s="65"/>
      <c r="H317" s="33"/>
      <c r="I317" s="69">
        <v>41976</v>
      </c>
      <c r="J317" s="65">
        <v>5.51</v>
      </c>
      <c r="K317" s="65">
        <v>0</v>
      </c>
      <c r="L317" s="65"/>
      <c r="M317" s="65"/>
      <c r="N317" s="34"/>
      <c r="O317" s="35"/>
    </row>
    <row r="318" spans="1:15" s="36" customFormat="1" ht="12" x14ac:dyDescent="0.2">
      <c r="A318" s="33"/>
      <c r="B318" s="68"/>
      <c r="C318" s="64"/>
      <c r="D318" s="64"/>
      <c r="E318" s="64"/>
      <c r="H318" s="33"/>
      <c r="I318" s="68">
        <v>41977</v>
      </c>
      <c r="J318" s="64">
        <v>5.51</v>
      </c>
      <c r="K318" s="64">
        <v>0</v>
      </c>
      <c r="L318" s="64"/>
      <c r="M318" s="64"/>
      <c r="N318" s="34"/>
      <c r="O318" s="35"/>
    </row>
    <row r="319" spans="1:15" s="36" customFormat="1" ht="12" x14ac:dyDescent="0.2">
      <c r="A319" s="33"/>
      <c r="B319" s="69"/>
      <c r="C319" s="65"/>
      <c r="D319" s="65"/>
      <c r="E319" s="65"/>
      <c r="H319" s="33"/>
      <c r="I319" s="69">
        <v>41978</v>
      </c>
      <c r="J319" s="65">
        <v>5.51</v>
      </c>
      <c r="K319" s="65">
        <v>0</v>
      </c>
      <c r="L319" s="65"/>
      <c r="M319" s="65"/>
      <c r="N319" s="34"/>
      <c r="O319" s="35"/>
    </row>
    <row r="320" spans="1:15" s="36" customFormat="1" ht="12" x14ac:dyDescent="0.2">
      <c r="A320" s="33"/>
      <c r="B320" s="68"/>
      <c r="C320" s="64"/>
      <c r="D320" s="64"/>
      <c r="E320" s="64"/>
      <c r="H320" s="33"/>
      <c r="I320" s="68">
        <v>41981</v>
      </c>
      <c r="J320" s="64">
        <v>5.51</v>
      </c>
      <c r="K320" s="64">
        <v>0</v>
      </c>
      <c r="L320" s="64"/>
      <c r="M320" s="64"/>
      <c r="N320" s="34"/>
      <c r="O320" s="35"/>
    </row>
    <row r="321" spans="1:15" s="36" customFormat="1" ht="12" x14ac:dyDescent="0.2">
      <c r="A321" s="33"/>
      <c r="B321" s="69"/>
      <c r="C321" s="65"/>
      <c r="D321" s="65"/>
      <c r="E321" s="65"/>
      <c r="H321" s="33"/>
      <c r="I321" s="69">
        <v>41982</v>
      </c>
      <c r="J321" s="65">
        <v>5.51</v>
      </c>
      <c r="K321" s="65">
        <v>0</v>
      </c>
      <c r="L321" s="65"/>
      <c r="M321" s="65"/>
      <c r="N321" s="34"/>
      <c r="O321" s="35"/>
    </row>
    <row r="322" spans="1:15" s="36" customFormat="1" ht="12" x14ac:dyDescent="0.2">
      <c r="A322" s="33"/>
      <c r="B322" s="68"/>
      <c r="C322" s="64"/>
      <c r="D322" s="64"/>
      <c r="E322" s="64"/>
      <c r="H322" s="33"/>
      <c r="I322" s="68">
        <v>41983</v>
      </c>
      <c r="J322" s="64">
        <v>5.51</v>
      </c>
      <c r="K322" s="64">
        <v>0</v>
      </c>
      <c r="L322" s="64"/>
      <c r="M322" s="64"/>
      <c r="N322" s="34"/>
      <c r="O322" s="35"/>
    </row>
    <row r="323" spans="1:15" s="36" customFormat="1" ht="12" x14ac:dyDescent="0.2">
      <c r="A323" s="33"/>
      <c r="B323" s="69"/>
      <c r="C323" s="65"/>
      <c r="D323" s="65"/>
      <c r="E323" s="65"/>
      <c r="H323" s="33"/>
      <c r="I323" s="69">
        <v>41984</v>
      </c>
      <c r="J323" s="65">
        <v>5.51</v>
      </c>
      <c r="K323" s="65">
        <v>0</v>
      </c>
      <c r="L323" s="65"/>
      <c r="M323" s="65"/>
      <c r="N323" s="34"/>
      <c r="O323" s="35"/>
    </row>
    <row r="324" spans="1:15" s="36" customFormat="1" ht="12" x14ac:dyDescent="0.2">
      <c r="A324" s="33"/>
      <c r="B324" s="68"/>
      <c r="C324" s="64"/>
      <c r="D324" s="64"/>
      <c r="E324" s="64"/>
      <c r="H324" s="33"/>
      <c r="I324" s="68">
        <v>41985</v>
      </c>
      <c r="J324" s="64">
        <v>5.51</v>
      </c>
      <c r="K324" s="64">
        <v>0</v>
      </c>
      <c r="L324" s="64"/>
      <c r="M324" s="64"/>
      <c r="N324" s="34"/>
      <c r="O324" s="35"/>
    </row>
    <row r="325" spans="1:15" s="36" customFormat="1" ht="12" x14ac:dyDescent="0.2">
      <c r="A325" s="33"/>
      <c r="B325" s="69"/>
      <c r="C325" s="65"/>
      <c r="D325" s="65"/>
      <c r="E325" s="65"/>
      <c r="H325" s="33"/>
      <c r="I325" s="69">
        <v>41988</v>
      </c>
      <c r="J325" s="65">
        <v>5.51</v>
      </c>
      <c r="K325" s="65">
        <v>0</v>
      </c>
      <c r="L325" s="65"/>
      <c r="M325" s="65"/>
      <c r="N325" s="34"/>
      <c r="O325" s="35"/>
    </row>
    <row r="326" spans="1:15" s="36" customFormat="1" ht="12" x14ac:dyDescent="0.2">
      <c r="A326" s="33"/>
      <c r="B326" s="68"/>
      <c r="C326" s="64"/>
      <c r="D326" s="64"/>
      <c r="E326" s="64"/>
      <c r="F326" s="34"/>
      <c r="G326" s="34"/>
      <c r="H326" s="33"/>
      <c r="I326" s="68">
        <v>41989</v>
      </c>
      <c r="J326" s="64">
        <v>5.51</v>
      </c>
      <c r="K326" s="64">
        <v>0</v>
      </c>
      <c r="L326" s="64"/>
      <c r="M326" s="64"/>
      <c r="N326" s="34"/>
      <c r="O326" s="35"/>
    </row>
    <row r="327" spans="1:15" s="36" customFormat="1" ht="12" x14ac:dyDescent="0.2">
      <c r="A327" s="33"/>
      <c r="B327" s="69"/>
      <c r="C327" s="65"/>
      <c r="D327" s="65"/>
      <c r="E327" s="65"/>
      <c r="F327" s="34"/>
      <c r="G327" s="34"/>
      <c r="H327" s="33"/>
      <c r="I327" s="69">
        <v>41990</v>
      </c>
      <c r="J327" s="65">
        <v>5.51</v>
      </c>
      <c r="K327" s="65">
        <v>0</v>
      </c>
      <c r="L327" s="65"/>
      <c r="M327" s="65"/>
      <c r="N327" s="34"/>
      <c r="O327" s="35"/>
    </row>
    <row r="328" spans="1:15" s="36" customFormat="1" ht="12" x14ac:dyDescent="0.2">
      <c r="A328" s="33"/>
      <c r="B328" s="68"/>
      <c r="C328" s="64"/>
      <c r="D328" s="64"/>
      <c r="E328" s="64"/>
      <c r="F328" s="34"/>
      <c r="G328" s="34"/>
      <c r="H328" s="33"/>
      <c r="I328" s="68">
        <v>41991</v>
      </c>
      <c r="J328" s="64">
        <v>5.51</v>
      </c>
      <c r="K328" s="64">
        <v>0</v>
      </c>
      <c r="L328" s="64"/>
      <c r="M328" s="64"/>
      <c r="N328" s="34"/>
      <c r="O328" s="35"/>
    </row>
    <row r="329" spans="1:15" s="36" customFormat="1" ht="12" x14ac:dyDescent="0.2">
      <c r="A329" s="33"/>
      <c r="B329" s="69"/>
      <c r="C329" s="65"/>
      <c r="D329" s="65"/>
      <c r="E329" s="65"/>
      <c r="F329" s="34"/>
      <c r="G329" s="34"/>
      <c r="H329" s="33"/>
      <c r="I329" s="69">
        <v>41992</v>
      </c>
      <c r="J329" s="65">
        <v>5.51</v>
      </c>
      <c r="K329" s="65">
        <v>0</v>
      </c>
      <c r="L329" s="65"/>
      <c r="M329" s="65"/>
      <c r="N329" s="34"/>
      <c r="O329" s="35"/>
    </row>
    <row r="330" spans="1:15" s="36" customFormat="1" ht="12" x14ac:dyDescent="0.2">
      <c r="A330" s="33"/>
      <c r="B330" s="68"/>
      <c r="C330" s="64"/>
      <c r="D330" s="64"/>
      <c r="E330" s="64"/>
      <c r="F330" s="34"/>
      <c r="G330" s="34"/>
      <c r="H330" s="33"/>
      <c r="I330" s="68">
        <v>41995</v>
      </c>
      <c r="J330" s="64">
        <v>5.51</v>
      </c>
      <c r="K330" s="64">
        <v>0</v>
      </c>
      <c r="L330" s="64"/>
      <c r="M330" s="64"/>
      <c r="N330" s="34"/>
      <c r="O330" s="35"/>
    </row>
    <row r="331" spans="1:15" s="36" customFormat="1" ht="12" x14ac:dyDescent="0.2">
      <c r="A331" s="33"/>
      <c r="B331" s="69"/>
      <c r="C331" s="65"/>
      <c r="D331" s="65"/>
      <c r="E331" s="65"/>
      <c r="F331" s="34"/>
      <c r="G331" s="34"/>
      <c r="H331" s="33"/>
      <c r="I331" s="69">
        <v>41996</v>
      </c>
      <c r="J331" s="65">
        <v>5.51</v>
      </c>
      <c r="K331" s="65">
        <v>0</v>
      </c>
      <c r="L331" s="65"/>
      <c r="M331" s="65"/>
      <c r="N331" s="34"/>
      <c r="O331" s="35"/>
    </row>
    <row r="332" spans="1:15" s="36" customFormat="1" ht="12" x14ac:dyDescent="0.2">
      <c r="A332" s="33"/>
      <c r="B332" s="68"/>
      <c r="C332" s="64"/>
      <c r="D332" s="64"/>
      <c r="E332" s="64"/>
      <c r="F332" s="34"/>
      <c r="G332" s="34"/>
      <c r="H332" s="33"/>
      <c r="I332" s="68">
        <v>41997</v>
      </c>
      <c r="J332" s="64">
        <v>5.51</v>
      </c>
      <c r="K332" s="64">
        <v>0</v>
      </c>
      <c r="L332" s="64"/>
      <c r="M332" s="64"/>
      <c r="N332" s="34"/>
      <c r="O332" s="35"/>
    </row>
    <row r="333" spans="1:15" s="36" customFormat="1" ht="12" x14ac:dyDescent="0.2">
      <c r="A333" s="33"/>
      <c r="B333" s="69"/>
      <c r="C333" s="65"/>
      <c r="D333" s="65"/>
      <c r="E333" s="65"/>
      <c r="F333" s="34"/>
      <c r="G333" s="34"/>
      <c r="H333" s="33"/>
      <c r="I333" s="69">
        <v>41998</v>
      </c>
      <c r="J333" s="65">
        <v>5.51</v>
      </c>
      <c r="K333" s="65">
        <v>0</v>
      </c>
      <c r="L333" s="65"/>
      <c r="M333" s="65"/>
      <c r="N333" s="34"/>
      <c r="O333" s="35"/>
    </row>
    <row r="334" spans="1:15" s="36" customFormat="1" ht="12" x14ac:dyDescent="0.2">
      <c r="A334" s="33"/>
      <c r="B334" s="68"/>
      <c r="C334" s="64"/>
      <c r="D334" s="64"/>
      <c r="E334" s="64"/>
      <c r="F334" s="34"/>
      <c r="G334" s="34"/>
      <c r="H334" s="33"/>
      <c r="I334" s="68">
        <v>41999</v>
      </c>
      <c r="J334" s="64">
        <v>5.51</v>
      </c>
      <c r="K334" s="64">
        <v>0</v>
      </c>
      <c r="L334" s="64"/>
      <c r="M334" s="64"/>
      <c r="N334" s="34"/>
      <c r="O334" s="35"/>
    </row>
    <row r="335" spans="1:15" s="36" customFormat="1" ht="12" x14ac:dyDescent="0.2">
      <c r="A335" s="33"/>
      <c r="B335" s="69"/>
      <c r="C335" s="65"/>
      <c r="D335" s="65"/>
      <c r="E335" s="65"/>
      <c r="F335" s="34"/>
      <c r="G335" s="34"/>
      <c r="H335" s="33"/>
      <c r="I335" s="69">
        <v>42002</v>
      </c>
      <c r="J335" s="65">
        <v>5.51</v>
      </c>
      <c r="K335" s="65">
        <v>0</v>
      </c>
      <c r="L335" s="65"/>
      <c r="M335" s="65"/>
      <c r="N335" s="34"/>
      <c r="O335" s="35"/>
    </row>
    <row r="336" spans="1:15" s="36" customFormat="1" ht="12" x14ac:dyDescent="0.2">
      <c r="A336" s="33"/>
      <c r="B336" s="68"/>
      <c r="C336" s="64"/>
      <c r="D336" s="64"/>
      <c r="E336" s="64"/>
      <c r="F336" s="34"/>
      <c r="G336" s="34"/>
      <c r="H336" s="33"/>
      <c r="I336" s="68">
        <v>42003</v>
      </c>
      <c r="J336" s="64">
        <v>5.51</v>
      </c>
      <c r="K336" s="64">
        <v>0</v>
      </c>
      <c r="L336" s="64"/>
      <c r="M336" s="64"/>
      <c r="N336" s="34"/>
      <c r="O336" s="35"/>
    </row>
    <row r="337" spans="1:15" s="36" customFormat="1" ht="12" x14ac:dyDescent="0.2">
      <c r="A337" s="33"/>
      <c r="B337" s="69"/>
      <c r="C337" s="65"/>
      <c r="D337" s="65"/>
      <c r="E337" s="65"/>
      <c r="F337" s="34"/>
      <c r="G337" s="34"/>
      <c r="H337" s="33"/>
      <c r="I337" s="69">
        <v>42004</v>
      </c>
      <c r="J337" s="65">
        <v>5.51</v>
      </c>
      <c r="K337" s="65">
        <v>0</v>
      </c>
      <c r="L337" s="65"/>
      <c r="M337" s="65"/>
      <c r="N337" s="34"/>
      <c r="O337" s="35"/>
    </row>
    <row r="338" spans="1:15" s="36" customFormat="1" ht="12" x14ac:dyDescent="0.2">
      <c r="A338" s="33"/>
      <c r="B338" s="68"/>
      <c r="C338" s="64"/>
      <c r="D338" s="64"/>
      <c r="E338" s="64"/>
      <c r="F338" s="34"/>
      <c r="G338" s="34"/>
      <c r="H338" s="33"/>
      <c r="I338" s="68">
        <v>42008</v>
      </c>
      <c r="J338" s="64">
        <v>5.51</v>
      </c>
      <c r="K338" s="64">
        <v>0</v>
      </c>
      <c r="L338" s="64"/>
      <c r="M338" s="64"/>
      <c r="N338" s="34"/>
      <c r="O338" s="35"/>
    </row>
    <row r="339" spans="1:15" s="36" customFormat="1" ht="12" x14ac:dyDescent="0.2">
      <c r="A339" s="33"/>
      <c r="B339" s="69"/>
      <c r="C339" s="65"/>
      <c r="D339" s="65"/>
      <c r="E339" s="65"/>
      <c r="F339" s="34"/>
      <c r="G339" s="34"/>
      <c r="H339" s="33"/>
      <c r="I339" s="69">
        <v>42009</v>
      </c>
      <c r="J339" s="65">
        <v>5.51</v>
      </c>
      <c r="K339" s="65">
        <v>0</v>
      </c>
      <c r="L339" s="65"/>
      <c r="M339" s="65"/>
      <c r="N339" s="34"/>
      <c r="O339" s="35"/>
    </row>
    <row r="340" spans="1:15" s="36" customFormat="1" ht="12" x14ac:dyDescent="0.2">
      <c r="A340" s="33"/>
      <c r="B340" s="68"/>
      <c r="C340" s="64"/>
      <c r="D340" s="64"/>
      <c r="E340" s="64"/>
      <c r="F340" s="34"/>
      <c r="G340" s="34"/>
      <c r="H340" s="33"/>
      <c r="I340" s="68">
        <v>42010</v>
      </c>
      <c r="J340" s="64">
        <v>5.51</v>
      </c>
      <c r="K340" s="64">
        <v>0</v>
      </c>
      <c r="L340" s="64"/>
      <c r="M340" s="64"/>
      <c r="N340" s="34"/>
      <c r="O340" s="35"/>
    </row>
    <row r="341" spans="1:15" s="36" customFormat="1" ht="12" x14ac:dyDescent="0.2">
      <c r="A341" s="33"/>
      <c r="B341" s="69"/>
      <c r="C341" s="65"/>
      <c r="D341" s="65"/>
      <c r="E341" s="65"/>
      <c r="F341" s="34"/>
      <c r="G341" s="34"/>
      <c r="H341" s="33"/>
      <c r="I341" s="69">
        <v>42011</v>
      </c>
      <c r="J341" s="65">
        <v>5.51</v>
      </c>
      <c r="K341" s="65">
        <v>0</v>
      </c>
      <c r="L341" s="65"/>
      <c r="M341" s="65"/>
      <c r="N341" s="34"/>
      <c r="O341" s="35"/>
    </row>
    <row r="342" spans="1:15" s="36" customFormat="1" ht="12" x14ac:dyDescent="0.2">
      <c r="A342" s="33"/>
      <c r="B342" s="68"/>
      <c r="C342" s="64"/>
      <c r="D342" s="64"/>
      <c r="E342" s="64"/>
      <c r="F342" s="34"/>
      <c r="G342" s="34"/>
      <c r="H342" s="33"/>
      <c r="I342" s="68">
        <v>42012</v>
      </c>
      <c r="J342" s="64">
        <v>5.51</v>
      </c>
      <c r="K342" s="64">
        <v>0</v>
      </c>
      <c r="L342" s="64"/>
      <c r="M342" s="64"/>
      <c r="N342" s="34"/>
      <c r="O342" s="35"/>
    </row>
    <row r="343" spans="1:15" s="36" customFormat="1" ht="12" x14ac:dyDescent="0.2">
      <c r="A343" s="33"/>
      <c r="B343" s="69"/>
      <c r="C343" s="65"/>
      <c r="D343" s="65"/>
      <c r="E343" s="65"/>
      <c r="F343" s="34"/>
      <c r="G343" s="34"/>
      <c r="H343" s="33"/>
      <c r="I343" s="69">
        <v>42013</v>
      </c>
      <c r="J343" s="65">
        <v>5.51</v>
      </c>
      <c r="K343" s="65">
        <v>0</v>
      </c>
      <c r="L343" s="65"/>
      <c r="M343" s="65"/>
      <c r="N343" s="34"/>
      <c r="O343" s="35"/>
    </row>
    <row r="344" spans="1:15" s="36" customFormat="1" ht="12" x14ac:dyDescent="0.2">
      <c r="A344" s="33"/>
      <c r="B344" s="68"/>
      <c r="C344" s="64"/>
      <c r="D344" s="64"/>
      <c r="E344" s="64"/>
      <c r="F344" s="34"/>
      <c r="G344" s="34"/>
      <c r="H344" s="33"/>
      <c r="I344" s="68">
        <v>42016</v>
      </c>
      <c r="J344" s="64">
        <v>5.51</v>
      </c>
      <c r="K344" s="64">
        <v>0</v>
      </c>
      <c r="L344" s="64"/>
      <c r="M344" s="64"/>
      <c r="N344" s="34"/>
      <c r="O344" s="35"/>
    </row>
    <row r="345" spans="1:15" s="36" customFormat="1" ht="12" x14ac:dyDescent="0.2">
      <c r="A345" s="33"/>
      <c r="B345" s="69"/>
      <c r="C345" s="65"/>
      <c r="D345" s="65"/>
      <c r="E345" s="65"/>
      <c r="F345" s="34"/>
      <c r="G345" s="34"/>
      <c r="H345" s="33"/>
      <c r="I345" s="69">
        <v>42017</v>
      </c>
      <c r="J345" s="65">
        <v>5.51</v>
      </c>
      <c r="K345" s="65">
        <v>0</v>
      </c>
      <c r="L345" s="65"/>
      <c r="M345" s="65"/>
      <c r="N345" s="34"/>
      <c r="O345" s="35"/>
    </row>
    <row r="346" spans="1:15" s="36" customFormat="1" ht="12" x14ac:dyDescent="0.2">
      <c r="A346" s="33"/>
      <c r="B346" s="68"/>
      <c r="C346" s="64"/>
      <c r="D346" s="64"/>
      <c r="E346" s="64"/>
      <c r="F346" s="34"/>
      <c r="G346" s="34"/>
      <c r="H346" s="33"/>
      <c r="I346" s="68">
        <v>42018</v>
      </c>
      <c r="J346" s="64">
        <v>5.51</v>
      </c>
      <c r="K346" s="64">
        <v>0</v>
      </c>
      <c r="L346" s="64"/>
      <c r="M346" s="64"/>
      <c r="N346" s="34"/>
      <c r="O346" s="35"/>
    </row>
    <row r="347" spans="1:15" s="36" customFormat="1" ht="12" x14ac:dyDescent="0.2">
      <c r="A347" s="33"/>
      <c r="B347" s="69"/>
      <c r="C347" s="65"/>
      <c r="D347" s="65"/>
      <c r="E347" s="65"/>
      <c r="F347" s="34"/>
      <c r="G347" s="34"/>
      <c r="H347" s="33"/>
      <c r="I347" s="69">
        <v>42019</v>
      </c>
      <c r="J347" s="65">
        <v>5.51</v>
      </c>
      <c r="K347" s="65">
        <v>0</v>
      </c>
      <c r="L347" s="65"/>
      <c r="M347" s="65"/>
      <c r="N347" s="34"/>
      <c r="O347" s="35"/>
    </row>
    <row r="348" spans="1:15" s="36" customFormat="1" ht="12" x14ac:dyDescent="0.2">
      <c r="A348" s="33"/>
      <c r="B348" s="68"/>
      <c r="C348" s="64"/>
      <c r="D348" s="64"/>
      <c r="E348" s="64"/>
      <c r="F348" s="34"/>
      <c r="G348" s="34"/>
      <c r="H348" s="33"/>
      <c r="I348" s="68">
        <v>42020</v>
      </c>
      <c r="J348" s="64">
        <v>5.51</v>
      </c>
      <c r="K348" s="64">
        <v>0</v>
      </c>
      <c r="L348" s="64"/>
      <c r="M348" s="64"/>
      <c r="N348" s="34"/>
      <c r="O348" s="35"/>
    </row>
    <row r="349" spans="1:15" s="36" customFormat="1" ht="12" x14ac:dyDescent="0.2">
      <c r="A349" s="33"/>
      <c r="B349" s="69"/>
      <c r="C349" s="65"/>
      <c r="D349" s="65"/>
      <c r="E349" s="65"/>
      <c r="F349" s="34"/>
      <c r="G349" s="34"/>
      <c r="H349" s="33"/>
      <c r="I349" s="69">
        <v>42023</v>
      </c>
      <c r="J349" s="65">
        <v>5.51</v>
      </c>
      <c r="K349" s="65">
        <v>0</v>
      </c>
      <c r="L349" s="65"/>
      <c r="M349" s="65"/>
      <c r="N349" s="34"/>
      <c r="O349" s="35"/>
    </row>
    <row r="350" spans="1:15" s="36" customFormat="1" ht="12" x14ac:dyDescent="0.2">
      <c r="A350" s="33"/>
      <c r="B350" s="68"/>
      <c r="C350" s="64"/>
      <c r="D350" s="64"/>
      <c r="E350" s="64"/>
      <c r="F350" s="34"/>
      <c r="G350" s="34"/>
      <c r="H350" s="33"/>
      <c r="I350" s="68">
        <v>42024</v>
      </c>
      <c r="J350" s="64">
        <v>5.51</v>
      </c>
      <c r="K350" s="64">
        <v>0</v>
      </c>
      <c r="L350" s="64"/>
      <c r="M350" s="64"/>
      <c r="N350" s="34"/>
      <c r="O350" s="35"/>
    </row>
    <row r="351" spans="1:15" s="36" customFormat="1" ht="12" x14ac:dyDescent="0.2">
      <c r="A351" s="33"/>
      <c r="B351" s="69"/>
      <c r="C351" s="65"/>
      <c r="D351" s="65"/>
      <c r="E351" s="65"/>
      <c r="F351" s="34"/>
      <c r="G351" s="34"/>
      <c r="H351" s="33"/>
      <c r="I351" s="69">
        <v>42025</v>
      </c>
      <c r="J351" s="65">
        <v>5.51</v>
      </c>
      <c r="K351" s="65">
        <v>0</v>
      </c>
      <c r="L351" s="65"/>
      <c r="M351" s="65"/>
      <c r="N351" s="34"/>
      <c r="O351" s="35"/>
    </row>
    <row r="352" spans="1:15" s="36" customFormat="1" ht="12" x14ac:dyDescent="0.2">
      <c r="A352" s="33"/>
      <c r="B352" s="68"/>
      <c r="C352" s="64"/>
      <c r="D352" s="64"/>
      <c r="E352" s="64"/>
      <c r="F352" s="34"/>
      <c r="G352" s="34"/>
      <c r="H352" s="33"/>
      <c r="I352" s="68">
        <v>42026</v>
      </c>
      <c r="J352" s="64">
        <v>5.51</v>
      </c>
      <c r="K352" s="64">
        <v>0</v>
      </c>
      <c r="L352" s="64"/>
      <c r="M352" s="64"/>
      <c r="N352" s="34"/>
      <c r="O352" s="35"/>
    </row>
    <row r="353" spans="1:15" s="36" customFormat="1" ht="12" x14ac:dyDescent="0.2">
      <c r="A353" s="33"/>
      <c r="B353" s="69"/>
      <c r="C353" s="65"/>
      <c r="D353" s="65"/>
      <c r="E353" s="65"/>
      <c r="F353" s="34"/>
      <c r="G353" s="34"/>
      <c r="H353" s="33"/>
      <c r="I353" s="69">
        <v>42027</v>
      </c>
      <c r="J353" s="65">
        <v>5.51</v>
      </c>
      <c r="K353" s="65">
        <v>0</v>
      </c>
      <c r="L353" s="65"/>
      <c r="M353" s="65"/>
      <c r="N353" s="34"/>
      <c r="O353" s="35"/>
    </row>
    <row r="354" spans="1:15" s="36" customFormat="1" ht="12" x14ac:dyDescent="0.2">
      <c r="A354" s="33"/>
      <c r="B354" s="68"/>
      <c r="C354" s="64"/>
      <c r="D354" s="64"/>
      <c r="E354" s="64"/>
      <c r="F354" s="34"/>
      <c r="G354" s="34"/>
      <c r="H354" s="33"/>
      <c r="I354" s="68">
        <v>42030</v>
      </c>
      <c r="J354" s="64">
        <v>5.51</v>
      </c>
      <c r="K354" s="64">
        <v>0</v>
      </c>
      <c r="L354" s="64"/>
      <c r="M354" s="64"/>
      <c r="N354" s="34"/>
      <c r="O354" s="35"/>
    </row>
    <row r="355" spans="1:15" s="36" customFormat="1" ht="12" x14ac:dyDescent="0.2">
      <c r="A355" s="33"/>
      <c r="B355" s="69"/>
      <c r="C355" s="65"/>
      <c r="D355" s="65"/>
      <c r="E355" s="65"/>
      <c r="F355" s="34"/>
      <c r="G355" s="34"/>
      <c r="H355" s="33"/>
      <c r="I355" s="69">
        <v>42031</v>
      </c>
      <c r="J355" s="65">
        <v>5.51</v>
      </c>
      <c r="K355" s="65">
        <v>0</v>
      </c>
      <c r="L355" s="65"/>
      <c r="M355" s="65"/>
      <c r="N355" s="34"/>
      <c r="O355" s="35"/>
    </row>
    <row r="356" spans="1:15" s="36" customFormat="1" ht="12" x14ac:dyDescent="0.2">
      <c r="A356" s="33"/>
      <c r="B356" s="68"/>
      <c r="C356" s="64"/>
      <c r="D356" s="64"/>
      <c r="E356" s="64"/>
      <c r="F356" s="34"/>
      <c r="G356" s="34"/>
      <c r="H356" s="33"/>
      <c r="I356" s="68">
        <v>42032</v>
      </c>
      <c r="J356" s="64">
        <v>5.51</v>
      </c>
      <c r="K356" s="64">
        <v>0</v>
      </c>
      <c r="L356" s="64"/>
      <c r="M356" s="64"/>
      <c r="N356" s="34"/>
      <c r="O356" s="35"/>
    </row>
    <row r="357" spans="1:15" s="36" customFormat="1" ht="12" x14ac:dyDescent="0.2">
      <c r="A357" s="33"/>
      <c r="B357" s="69"/>
      <c r="C357" s="65"/>
      <c r="D357" s="65"/>
      <c r="E357" s="65"/>
      <c r="F357" s="34"/>
      <c r="G357" s="34"/>
      <c r="H357" s="33"/>
      <c r="I357" s="69">
        <v>42033</v>
      </c>
      <c r="J357" s="65">
        <v>5.51</v>
      </c>
      <c r="K357" s="65">
        <v>0</v>
      </c>
      <c r="L357" s="65"/>
      <c r="M357" s="65"/>
      <c r="N357" s="34"/>
      <c r="O357" s="35"/>
    </row>
    <row r="358" spans="1:15" s="36" customFormat="1" ht="12" x14ac:dyDescent="0.2">
      <c r="A358" s="33"/>
      <c r="B358" s="68"/>
      <c r="C358" s="64"/>
      <c r="D358" s="64"/>
      <c r="E358" s="64"/>
      <c r="F358" s="34"/>
      <c r="G358" s="34"/>
      <c r="H358" s="33"/>
      <c r="I358" s="68">
        <v>42034</v>
      </c>
      <c r="J358" s="64">
        <v>5.51</v>
      </c>
      <c r="K358" s="64">
        <v>0</v>
      </c>
      <c r="L358" s="64"/>
      <c r="M358" s="64"/>
      <c r="N358" s="34"/>
      <c r="O358" s="35"/>
    </row>
    <row r="359" spans="1:15" s="36" customFormat="1" ht="12" x14ac:dyDescent="0.2">
      <c r="A359" s="33"/>
      <c r="B359" s="69"/>
      <c r="C359" s="65"/>
      <c r="D359" s="65"/>
      <c r="E359" s="65"/>
      <c r="F359" s="34"/>
      <c r="G359" s="34"/>
      <c r="H359" s="33"/>
      <c r="I359" s="69">
        <v>42037</v>
      </c>
      <c r="J359" s="65">
        <v>5.51</v>
      </c>
      <c r="K359" s="65">
        <v>0</v>
      </c>
      <c r="L359" s="65"/>
      <c r="M359" s="65"/>
      <c r="N359" s="34"/>
      <c r="O359" s="35"/>
    </row>
    <row r="360" spans="1:15" s="36" customFormat="1" ht="12" x14ac:dyDescent="0.2">
      <c r="A360" s="33"/>
      <c r="B360" s="68"/>
      <c r="C360" s="64"/>
      <c r="D360" s="64"/>
      <c r="E360" s="64"/>
      <c r="F360" s="34"/>
      <c r="G360" s="34"/>
      <c r="H360" s="33"/>
      <c r="I360" s="68">
        <v>42038</v>
      </c>
      <c r="J360" s="64">
        <v>5.51</v>
      </c>
      <c r="K360" s="64">
        <v>0</v>
      </c>
      <c r="L360" s="64"/>
      <c r="M360" s="64"/>
      <c r="N360" s="34"/>
      <c r="O360" s="35"/>
    </row>
    <row r="361" spans="1:15" s="36" customFormat="1" ht="12" x14ac:dyDescent="0.2">
      <c r="A361" s="33"/>
      <c r="B361" s="69"/>
      <c r="C361" s="65"/>
      <c r="D361" s="65"/>
      <c r="E361" s="65"/>
      <c r="F361" s="34"/>
      <c r="G361" s="34"/>
      <c r="H361" s="33"/>
      <c r="I361" s="69">
        <v>42039</v>
      </c>
      <c r="J361" s="65">
        <v>5.51</v>
      </c>
      <c r="K361" s="65">
        <v>0</v>
      </c>
      <c r="L361" s="65"/>
      <c r="M361" s="65"/>
      <c r="N361" s="34"/>
      <c r="O361" s="35"/>
    </row>
    <row r="362" spans="1:15" s="36" customFormat="1" ht="12" x14ac:dyDescent="0.2">
      <c r="A362" s="33"/>
      <c r="B362" s="68"/>
      <c r="C362" s="64"/>
      <c r="D362" s="64"/>
      <c r="E362" s="64"/>
      <c r="F362" s="34"/>
      <c r="G362" s="34"/>
      <c r="H362" s="33"/>
      <c r="I362" s="68">
        <v>42040</v>
      </c>
      <c r="J362" s="64">
        <v>5.51</v>
      </c>
      <c r="K362" s="64">
        <v>0</v>
      </c>
      <c r="L362" s="64"/>
      <c r="M362" s="64"/>
      <c r="N362" s="34"/>
      <c r="O362" s="35"/>
    </row>
    <row r="363" spans="1:15" s="36" customFormat="1" ht="12" x14ac:dyDescent="0.2">
      <c r="A363" s="33"/>
      <c r="B363" s="69"/>
      <c r="C363" s="65"/>
      <c r="D363" s="65"/>
      <c r="E363" s="65"/>
      <c r="F363" s="34"/>
      <c r="G363" s="34"/>
      <c r="H363" s="33"/>
      <c r="I363" s="69">
        <v>42041</v>
      </c>
      <c r="J363" s="65">
        <v>5.51</v>
      </c>
      <c r="K363" s="65">
        <v>0</v>
      </c>
      <c r="L363" s="65"/>
      <c r="M363" s="65"/>
      <c r="N363" s="34"/>
      <c r="O363" s="35"/>
    </row>
    <row r="364" spans="1:15" s="36" customFormat="1" ht="12" x14ac:dyDescent="0.2">
      <c r="A364" s="33"/>
      <c r="B364" s="68"/>
      <c r="C364" s="64"/>
      <c r="D364" s="64"/>
      <c r="E364" s="64"/>
      <c r="F364" s="34"/>
      <c r="G364" s="34"/>
      <c r="H364" s="33"/>
      <c r="I364" s="68">
        <v>42044</v>
      </c>
      <c r="J364" s="64">
        <v>5.51</v>
      </c>
      <c r="K364" s="64">
        <v>0</v>
      </c>
      <c r="L364" s="64"/>
      <c r="M364" s="64"/>
      <c r="N364" s="34"/>
      <c r="O364" s="35"/>
    </row>
    <row r="365" spans="1:15" s="36" customFormat="1" ht="12" x14ac:dyDescent="0.2">
      <c r="A365" s="33"/>
      <c r="B365" s="69"/>
      <c r="C365" s="65"/>
      <c r="D365" s="65"/>
      <c r="E365" s="65"/>
      <c r="F365" s="34"/>
      <c r="G365" s="34"/>
      <c r="H365" s="33"/>
      <c r="I365" s="69">
        <v>42045</v>
      </c>
      <c r="J365" s="65">
        <v>5.51</v>
      </c>
      <c r="K365" s="65">
        <v>0</v>
      </c>
      <c r="L365" s="65"/>
      <c r="M365" s="65"/>
      <c r="N365" s="34"/>
      <c r="O365" s="35"/>
    </row>
    <row r="366" spans="1:15" s="36" customFormat="1" ht="12" x14ac:dyDescent="0.2">
      <c r="A366" s="33"/>
      <c r="B366" s="68"/>
      <c r="C366" s="64"/>
      <c r="D366" s="64"/>
      <c r="E366" s="64"/>
      <c r="F366" s="34"/>
      <c r="G366" s="34"/>
      <c r="H366" s="33"/>
      <c r="I366" s="68">
        <v>42046</v>
      </c>
      <c r="J366" s="64">
        <v>5.51</v>
      </c>
      <c r="K366" s="64">
        <v>0</v>
      </c>
      <c r="L366" s="64"/>
      <c r="M366" s="64"/>
      <c r="N366" s="34"/>
      <c r="O366" s="35"/>
    </row>
    <row r="367" spans="1:15" s="36" customFormat="1" ht="12" x14ac:dyDescent="0.2">
      <c r="A367" s="33"/>
      <c r="B367" s="69"/>
      <c r="C367" s="65"/>
      <c r="D367" s="65"/>
      <c r="E367" s="65"/>
      <c r="F367" s="34"/>
      <c r="G367" s="34"/>
      <c r="H367" s="33"/>
      <c r="I367" s="69">
        <v>42047</v>
      </c>
      <c r="J367" s="65">
        <v>5.51</v>
      </c>
      <c r="K367" s="65">
        <v>0</v>
      </c>
      <c r="L367" s="65"/>
      <c r="M367" s="65"/>
      <c r="N367" s="34"/>
      <c r="O367" s="35"/>
    </row>
    <row r="368" spans="1:15" s="36" customFormat="1" ht="12" x14ac:dyDescent="0.2">
      <c r="A368" s="33"/>
      <c r="B368" s="68"/>
      <c r="C368" s="64"/>
      <c r="D368" s="64"/>
      <c r="E368" s="64"/>
      <c r="F368" s="34"/>
      <c r="G368" s="34"/>
      <c r="H368" s="33"/>
      <c r="I368" s="68">
        <v>42048</v>
      </c>
      <c r="J368" s="64">
        <v>5.51</v>
      </c>
      <c r="K368" s="64">
        <v>0</v>
      </c>
      <c r="L368" s="64"/>
      <c r="M368" s="64"/>
      <c r="N368" s="34"/>
      <c r="O368" s="35"/>
    </row>
    <row r="369" spans="1:15" s="36" customFormat="1" ht="12" x14ac:dyDescent="0.2">
      <c r="A369" s="33"/>
      <c r="B369" s="69"/>
      <c r="C369" s="65"/>
      <c r="D369" s="65"/>
      <c r="E369" s="65"/>
      <c r="F369" s="34"/>
      <c r="G369" s="34"/>
      <c r="H369" s="33"/>
      <c r="I369" s="69">
        <v>42050</v>
      </c>
      <c r="J369" s="65">
        <v>5.51</v>
      </c>
      <c r="K369" s="65">
        <v>0</v>
      </c>
      <c r="L369" s="65"/>
      <c r="M369" s="65"/>
      <c r="N369" s="34"/>
      <c r="O369" s="35"/>
    </row>
    <row r="370" spans="1:15" s="36" customFormat="1" ht="12" x14ac:dyDescent="0.2">
      <c r="A370" s="33"/>
      <c r="B370" s="68"/>
      <c r="C370" s="64"/>
      <c r="D370" s="64"/>
      <c r="E370" s="64"/>
      <c r="F370" s="34"/>
      <c r="G370" s="34"/>
      <c r="H370" s="33"/>
      <c r="I370" s="68">
        <v>42051</v>
      </c>
      <c r="J370" s="64">
        <v>5.51</v>
      </c>
      <c r="K370" s="64">
        <v>0</v>
      </c>
      <c r="L370" s="64"/>
      <c r="M370" s="64"/>
      <c r="N370" s="34"/>
      <c r="O370" s="35"/>
    </row>
    <row r="371" spans="1:15" s="36" customFormat="1" ht="12" x14ac:dyDescent="0.2">
      <c r="A371" s="33"/>
      <c r="B371" s="69"/>
      <c r="C371" s="65"/>
      <c r="D371" s="65"/>
      <c r="E371" s="65"/>
      <c r="F371" s="34"/>
      <c r="G371" s="34"/>
      <c r="H371" s="33"/>
      <c r="I371" s="69">
        <v>42052</v>
      </c>
      <c r="J371" s="65">
        <v>5.51</v>
      </c>
      <c r="K371" s="65">
        <v>0</v>
      </c>
      <c r="L371" s="65"/>
      <c r="M371" s="65"/>
      <c r="N371" s="34"/>
      <c r="O371" s="35"/>
    </row>
    <row r="372" spans="1:15" s="36" customFormat="1" ht="12" x14ac:dyDescent="0.2">
      <c r="A372" s="33"/>
      <c r="B372" s="68"/>
      <c r="C372" s="64"/>
      <c r="D372" s="64"/>
      <c r="E372" s="64"/>
      <c r="F372" s="34"/>
      <c r="G372" s="34"/>
      <c r="H372" s="33"/>
      <c r="I372" s="68">
        <v>42060</v>
      </c>
      <c r="J372" s="64">
        <v>5.51</v>
      </c>
      <c r="K372" s="64">
        <v>0</v>
      </c>
      <c r="L372" s="64"/>
      <c r="M372" s="64"/>
      <c r="N372" s="34"/>
      <c r="O372" s="35"/>
    </row>
    <row r="373" spans="1:15" s="36" customFormat="1" ht="12" x14ac:dyDescent="0.2">
      <c r="A373" s="33"/>
      <c r="B373" s="69"/>
      <c r="C373" s="65"/>
      <c r="D373" s="65"/>
      <c r="E373" s="65"/>
      <c r="F373" s="34"/>
      <c r="G373" s="34"/>
      <c r="H373" s="33"/>
      <c r="I373" s="69">
        <v>42061</v>
      </c>
      <c r="J373" s="65">
        <v>5.51</v>
      </c>
      <c r="K373" s="65">
        <v>0</v>
      </c>
      <c r="L373" s="65"/>
      <c r="M373" s="65"/>
      <c r="N373" s="34"/>
      <c r="O373" s="35"/>
    </row>
    <row r="374" spans="1:15" s="36" customFormat="1" ht="12" x14ac:dyDescent="0.2">
      <c r="A374" s="33"/>
      <c r="B374" s="68"/>
      <c r="C374" s="64"/>
      <c r="D374" s="64"/>
      <c r="E374" s="64"/>
      <c r="F374" s="34"/>
      <c r="G374" s="34"/>
      <c r="H374" s="33"/>
      <c r="I374" s="68">
        <v>42062</v>
      </c>
      <c r="J374" s="64">
        <v>5.51</v>
      </c>
      <c r="K374" s="64">
        <v>0</v>
      </c>
      <c r="L374" s="64"/>
      <c r="M374" s="64"/>
      <c r="N374" s="34"/>
      <c r="O374" s="35"/>
    </row>
    <row r="375" spans="1:15" s="36" customFormat="1" ht="12" x14ac:dyDescent="0.2">
      <c r="A375" s="33"/>
      <c r="B375" s="69"/>
      <c r="C375" s="65"/>
      <c r="D375" s="65"/>
      <c r="E375" s="65"/>
      <c r="F375" s="34"/>
      <c r="G375" s="34"/>
      <c r="H375" s="33"/>
      <c r="I375" s="69">
        <v>42063</v>
      </c>
      <c r="J375" s="65">
        <v>5.51</v>
      </c>
      <c r="K375" s="65">
        <v>0</v>
      </c>
      <c r="L375" s="65"/>
      <c r="M375" s="65"/>
      <c r="N375" s="34"/>
      <c r="O375" s="35"/>
    </row>
    <row r="376" spans="1:15" s="36" customFormat="1" ht="12" x14ac:dyDescent="0.2">
      <c r="A376" s="33"/>
      <c r="B376" s="68"/>
      <c r="C376" s="64"/>
      <c r="D376" s="64"/>
      <c r="E376" s="64"/>
      <c r="F376" s="34"/>
      <c r="G376" s="34"/>
      <c r="H376" s="33"/>
      <c r="I376" s="68">
        <v>42065</v>
      </c>
      <c r="J376" s="64">
        <v>5.3</v>
      </c>
      <c r="K376" s="64">
        <v>0</v>
      </c>
      <c r="L376" s="64"/>
      <c r="M376" s="64"/>
      <c r="N376" s="34"/>
      <c r="O376" s="35"/>
    </row>
    <row r="377" spans="1:15" s="36" customFormat="1" ht="12" x14ac:dyDescent="0.2">
      <c r="A377" s="33"/>
      <c r="B377" s="69"/>
      <c r="C377" s="65"/>
      <c r="D377" s="65"/>
      <c r="E377" s="65"/>
      <c r="F377" s="34"/>
      <c r="G377" s="34"/>
      <c r="H377" s="33"/>
      <c r="I377" s="69">
        <v>42066</v>
      </c>
      <c r="J377" s="65">
        <v>5.3</v>
      </c>
      <c r="K377" s="65">
        <v>0</v>
      </c>
      <c r="L377" s="65"/>
      <c r="M377" s="65"/>
      <c r="N377" s="34"/>
      <c r="O377" s="35"/>
    </row>
    <row r="378" spans="1:15" s="36" customFormat="1" ht="12" x14ac:dyDescent="0.2">
      <c r="A378" s="33"/>
      <c r="B378" s="68"/>
      <c r="C378" s="64"/>
      <c r="D378" s="64"/>
      <c r="E378" s="64"/>
      <c r="F378" s="34"/>
      <c r="G378" s="34"/>
      <c r="H378" s="33"/>
      <c r="I378" s="68">
        <v>42067</v>
      </c>
      <c r="J378" s="64">
        <v>5.3</v>
      </c>
      <c r="K378" s="64">
        <v>0</v>
      </c>
      <c r="L378" s="64"/>
      <c r="M378" s="64"/>
      <c r="N378" s="34"/>
      <c r="O378" s="35"/>
    </row>
    <row r="379" spans="1:15" s="36" customFormat="1" ht="12" x14ac:dyDescent="0.2">
      <c r="A379" s="33"/>
      <c r="B379" s="69"/>
      <c r="C379" s="65"/>
      <c r="D379" s="65"/>
      <c r="E379" s="65"/>
      <c r="F379" s="34"/>
      <c r="G379" s="34"/>
      <c r="H379" s="33"/>
      <c r="I379" s="69">
        <v>42068</v>
      </c>
      <c r="J379" s="65">
        <v>5.3</v>
      </c>
      <c r="K379" s="65">
        <v>0</v>
      </c>
      <c r="L379" s="65"/>
      <c r="M379" s="65"/>
      <c r="N379" s="34"/>
      <c r="O379" s="35"/>
    </row>
    <row r="380" spans="1:15" s="36" customFormat="1" ht="12" x14ac:dyDescent="0.2">
      <c r="A380" s="33"/>
      <c r="B380" s="68"/>
      <c r="C380" s="64"/>
      <c r="D380" s="64"/>
      <c r="E380" s="64"/>
      <c r="F380" s="34"/>
      <c r="G380" s="34"/>
      <c r="H380" s="33"/>
      <c r="I380" s="68">
        <v>42069</v>
      </c>
      <c r="J380" s="64">
        <v>5.3</v>
      </c>
      <c r="K380" s="64">
        <v>0</v>
      </c>
      <c r="L380" s="64"/>
      <c r="M380" s="64"/>
      <c r="N380" s="34"/>
      <c r="O380" s="35"/>
    </row>
    <row r="381" spans="1:15" s="36" customFormat="1" ht="12" x14ac:dyDescent="0.2">
      <c r="A381" s="33"/>
      <c r="B381" s="69"/>
      <c r="C381" s="65"/>
      <c r="D381" s="65"/>
      <c r="E381" s="65"/>
      <c r="F381" s="34"/>
      <c r="G381" s="34"/>
      <c r="H381" s="33"/>
      <c r="I381" s="69">
        <v>42072</v>
      </c>
      <c r="J381" s="65">
        <v>5.3</v>
      </c>
      <c r="K381" s="65">
        <v>0</v>
      </c>
      <c r="L381" s="65"/>
      <c r="M381" s="65"/>
      <c r="N381" s="34"/>
      <c r="O381" s="35"/>
    </row>
    <row r="382" spans="1:15" s="36" customFormat="1" ht="12" x14ac:dyDescent="0.2">
      <c r="A382" s="33"/>
      <c r="B382" s="68"/>
      <c r="C382" s="64"/>
      <c r="D382" s="64"/>
      <c r="E382" s="64"/>
      <c r="F382" s="34"/>
      <c r="G382" s="34"/>
      <c r="H382" s="33"/>
      <c r="I382" s="68">
        <v>42073</v>
      </c>
      <c r="J382" s="64">
        <v>5.3</v>
      </c>
      <c r="K382" s="64">
        <v>0</v>
      </c>
      <c r="L382" s="64"/>
      <c r="M382" s="64"/>
      <c r="N382" s="34"/>
      <c r="O382" s="35"/>
    </row>
    <row r="383" spans="1:15" s="36" customFormat="1" ht="12" x14ac:dyDescent="0.2">
      <c r="A383" s="33"/>
      <c r="B383" s="69"/>
      <c r="C383" s="65"/>
      <c r="D383" s="65"/>
      <c r="E383" s="65"/>
      <c r="F383" s="34"/>
      <c r="G383" s="34"/>
      <c r="H383" s="33"/>
      <c r="I383" s="69">
        <v>42074</v>
      </c>
      <c r="J383" s="65">
        <v>5.3</v>
      </c>
      <c r="K383" s="65">
        <v>0</v>
      </c>
      <c r="L383" s="65"/>
      <c r="M383" s="65"/>
      <c r="N383" s="34"/>
      <c r="O383" s="35"/>
    </row>
    <row r="384" spans="1:15" s="36" customFormat="1" ht="12" x14ac:dyDescent="0.2">
      <c r="A384" s="33"/>
      <c r="B384" s="68"/>
      <c r="C384" s="64"/>
      <c r="D384" s="64"/>
      <c r="E384" s="64"/>
      <c r="F384" s="34"/>
      <c r="G384" s="34"/>
      <c r="H384" s="33"/>
      <c r="I384" s="68">
        <v>42075</v>
      </c>
      <c r="J384" s="64">
        <v>5.3</v>
      </c>
      <c r="K384" s="64">
        <v>0</v>
      </c>
      <c r="L384" s="64"/>
      <c r="M384" s="64"/>
      <c r="N384" s="34"/>
      <c r="O384" s="35"/>
    </row>
    <row r="385" spans="1:15" s="36" customFormat="1" ht="12" x14ac:dyDescent="0.2">
      <c r="A385" s="33"/>
      <c r="B385" s="69"/>
      <c r="C385" s="65"/>
      <c r="D385" s="65"/>
      <c r="E385" s="65"/>
      <c r="F385" s="34"/>
      <c r="G385" s="34"/>
      <c r="H385" s="33"/>
      <c r="I385" s="69">
        <v>42076</v>
      </c>
      <c r="J385" s="65">
        <v>5.3</v>
      </c>
      <c r="K385" s="65">
        <v>0</v>
      </c>
      <c r="L385" s="65"/>
      <c r="M385" s="65"/>
      <c r="N385" s="34"/>
      <c r="O385" s="35"/>
    </row>
    <row r="386" spans="1:15" s="36" customFormat="1" ht="12" x14ac:dyDescent="0.2">
      <c r="A386" s="33"/>
      <c r="B386" s="68"/>
      <c r="C386" s="64"/>
      <c r="D386" s="64"/>
      <c r="E386" s="64"/>
      <c r="F386" s="34"/>
      <c r="G386" s="34"/>
      <c r="H386" s="33"/>
      <c r="I386" s="68">
        <v>42079</v>
      </c>
      <c r="J386" s="64">
        <v>5.3</v>
      </c>
      <c r="K386" s="64">
        <v>0</v>
      </c>
      <c r="L386" s="64"/>
      <c r="M386" s="64"/>
      <c r="N386" s="34"/>
      <c r="O386" s="35"/>
    </row>
    <row r="387" spans="1:15" s="36" customFormat="1" ht="12" x14ac:dyDescent="0.2">
      <c r="A387" s="33"/>
      <c r="B387" s="69"/>
      <c r="C387" s="65"/>
      <c r="D387" s="65"/>
      <c r="E387" s="65"/>
      <c r="F387" s="34"/>
      <c r="G387" s="34"/>
      <c r="H387" s="33"/>
      <c r="I387" s="69">
        <v>42080</v>
      </c>
      <c r="J387" s="65">
        <v>5.3</v>
      </c>
      <c r="K387" s="65">
        <v>0</v>
      </c>
      <c r="L387" s="65"/>
      <c r="M387" s="65"/>
      <c r="N387" s="34"/>
      <c r="O387" s="35"/>
    </row>
    <row r="388" spans="1:15" s="36" customFormat="1" ht="12" x14ac:dyDescent="0.2">
      <c r="A388" s="33"/>
      <c r="B388" s="68"/>
      <c r="C388" s="64"/>
      <c r="D388" s="64"/>
      <c r="E388" s="64"/>
      <c r="F388" s="34"/>
      <c r="G388" s="34"/>
      <c r="H388" s="33"/>
      <c r="I388" s="68">
        <v>42081</v>
      </c>
      <c r="J388" s="64">
        <v>5.3</v>
      </c>
      <c r="K388" s="64">
        <v>0</v>
      </c>
      <c r="L388" s="64"/>
      <c r="M388" s="64"/>
      <c r="N388" s="34"/>
      <c r="O388" s="35"/>
    </row>
    <row r="389" spans="1:15" s="36" customFormat="1" ht="12" x14ac:dyDescent="0.2">
      <c r="A389" s="33"/>
      <c r="B389" s="69"/>
      <c r="C389" s="65"/>
      <c r="D389" s="65"/>
      <c r="E389" s="65"/>
      <c r="F389" s="34"/>
      <c r="G389" s="34"/>
      <c r="H389" s="33"/>
      <c r="I389" s="69">
        <v>42082</v>
      </c>
      <c r="J389" s="65">
        <v>5.3</v>
      </c>
      <c r="K389" s="65">
        <v>0</v>
      </c>
      <c r="L389" s="65"/>
      <c r="M389" s="65"/>
      <c r="N389" s="34"/>
      <c r="O389" s="35"/>
    </row>
    <row r="390" spans="1:15" s="36" customFormat="1" ht="12" x14ac:dyDescent="0.2">
      <c r="A390" s="33"/>
      <c r="B390" s="68"/>
      <c r="C390" s="64"/>
      <c r="D390" s="64"/>
      <c r="E390" s="64"/>
      <c r="F390" s="34"/>
      <c r="G390" s="34"/>
      <c r="H390" s="33"/>
      <c r="I390" s="68">
        <v>42083</v>
      </c>
      <c r="J390" s="64">
        <v>5.3</v>
      </c>
      <c r="K390" s="64">
        <v>0</v>
      </c>
      <c r="L390" s="64"/>
      <c r="M390" s="64"/>
      <c r="N390" s="34"/>
      <c r="O390" s="35"/>
    </row>
    <row r="391" spans="1:15" s="36" customFormat="1" ht="12" x14ac:dyDescent="0.2">
      <c r="A391" s="33"/>
      <c r="B391" s="69"/>
      <c r="C391" s="65"/>
      <c r="D391" s="65"/>
      <c r="E391" s="65"/>
      <c r="F391" s="34"/>
      <c r="G391" s="34"/>
      <c r="H391" s="33"/>
      <c r="I391" s="69">
        <v>42086</v>
      </c>
      <c r="J391" s="65">
        <v>5.3</v>
      </c>
      <c r="K391" s="65">
        <v>0</v>
      </c>
      <c r="L391" s="65"/>
      <c r="M391" s="65"/>
      <c r="N391" s="34"/>
      <c r="O391" s="35"/>
    </row>
    <row r="392" spans="1:15" s="36" customFormat="1" ht="12" x14ac:dyDescent="0.2">
      <c r="A392" s="33"/>
      <c r="B392" s="68"/>
      <c r="C392" s="64"/>
      <c r="D392" s="64"/>
      <c r="E392" s="64"/>
      <c r="F392" s="34"/>
      <c r="G392" s="34"/>
      <c r="H392" s="33"/>
      <c r="I392" s="68">
        <v>42087</v>
      </c>
      <c r="J392" s="64">
        <v>5.3</v>
      </c>
      <c r="K392" s="64">
        <v>0</v>
      </c>
      <c r="L392" s="64"/>
      <c r="M392" s="64"/>
      <c r="N392" s="34"/>
      <c r="O392" s="35"/>
    </row>
    <row r="393" spans="1:15" s="36" customFormat="1" ht="12" x14ac:dyDescent="0.2">
      <c r="A393" s="33"/>
      <c r="B393" s="69"/>
      <c r="C393" s="65"/>
      <c r="D393" s="65"/>
      <c r="E393" s="65"/>
      <c r="F393" s="34"/>
      <c r="G393" s="34"/>
      <c r="H393" s="33"/>
      <c r="I393" s="69">
        <v>42088</v>
      </c>
      <c r="J393" s="65">
        <v>5.3</v>
      </c>
      <c r="K393" s="65">
        <v>0</v>
      </c>
      <c r="L393" s="65"/>
      <c r="M393" s="65"/>
      <c r="N393" s="34"/>
      <c r="O393" s="35"/>
    </row>
    <row r="394" spans="1:15" s="36" customFormat="1" ht="12" x14ac:dyDescent="0.2">
      <c r="A394" s="33"/>
      <c r="B394" s="68"/>
      <c r="C394" s="64"/>
      <c r="D394" s="64"/>
      <c r="E394" s="64"/>
      <c r="F394" s="34"/>
      <c r="G394" s="34"/>
      <c r="H394" s="33"/>
      <c r="I394" s="68">
        <v>42089</v>
      </c>
      <c r="J394" s="64">
        <v>5.3</v>
      </c>
      <c r="K394" s="64">
        <v>0</v>
      </c>
      <c r="L394" s="64"/>
      <c r="M394" s="64"/>
      <c r="N394" s="34"/>
      <c r="O394" s="35"/>
    </row>
    <row r="395" spans="1:15" s="36" customFormat="1" ht="12" x14ac:dyDescent="0.2">
      <c r="A395" s="33"/>
      <c r="B395" s="69"/>
      <c r="C395" s="65"/>
      <c r="D395" s="65"/>
      <c r="E395" s="65"/>
      <c r="F395" s="34"/>
      <c r="G395" s="34"/>
      <c r="H395" s="33"/>
      <c r="I395" s="69">
        <v>42090</v>
      </c>
      <c r="J395" s="65">
        <v>5.3</v>
      </c>
      <c r="K395" s="65">
        <v>0</v>
      </c>
      <c r="L395" s="65"/>
      <c r="M395" s="65"/>
      <c r="N395" s="34"/>
      <c r="O395" s="35"/>
    </row>
    <row r="396" spans="1:15" s="36" customFormat="1" ht="12" x14ac:dyDescent="0.2">
      <c r="A396" s="33"/>
      <c r="B396" s="68"/>
      <c r="C396" s="64"/>
      <c r="D396" s="64"/>
      <c r="E396" s="64"/>
      <c r="F396" s="34"/>
      <c r="G396" s="34"/>
      <c r="H396" s="33"/>
      <c r="I396" s="68">
        <v>42093</v>
      </c>
      <c r="J396" s="64">
        <v>5.3</v>
      </c>
      <c r="K396" s="64">
        <v>0</v>
      </c>
      <c r="L396" s="64"/>
      <c r="M396" s="64"/>
      <c r="N396" s="34"/>
      <c r="O396" s="35"/>
    </row>
    <row r="397" spans="1:15" s="36" customFormat="1" ht="12" x14ac:dyDescent="0.2">
      <c r="A397" s="33"/>
      <c r="B397" s="69"/>
      <c r="C397" s="65"/>
      <c r="D397" s="65"/>
      <c r="E397" s="65"/>
      <c r="F397" s="34"/>
      <c r="G397" s="34"/>
      <c r="H397" s="33"/>
      <c r="I397" s="69">
        <v>42094</v>
      </c>
      <c r="J397" s="65">
        <v>5.3</v>
      </c>
      <c r="K397" s="65">
        <v>0</v>
      </c>
      <c r="L397" s="65"/>
      <c r="M397" s="65"/>
      <c r="N397" s="34"/>
      <c r="O397" s="35"/>
    </row>
    <row r="398" spans="1:15" s="36" customFormat="1" ht="12" x14ac:dyDescent="0.2">
      <c r="A398" s="33"/>
      <c r="B398" s="68"/>
      <c r="C398" s="64"/>
      <c r="D398" s="64"/>
      <c r="E398" s="64"/>
      <c r="F398" s="34"/>
      <c r="G398" s="34"/>
      <c r="H398" s="33"/>
      <c r="I398" s="68">
        <v>42095</v>
      </c>
      <c r="J398" s="64">
        <v>5.3</v>
      </c>
      <c r="K398" s="64">
        <v>0</v>
      </c>
      <c r="L398" s="64"/>
      <c r="M398" s="64"/>
      <c r="N398" s="34"/>
      <c r="O398" s="35"/>
    </row>
    <row r="399" spans="1:15" s="36" customFormat="1" ht="12" x14ac:dyDescent="0.2">
      <c r="A399" s="33"/>
      <c r="B399" s="69"/>
      <c r="C399" s="65"/>
      <c r="D399" s="65"/>
      <c r="E399" s="65"/>
      <c r="F399" s="34"/>
      <c r="G399" s="34"/>
      <c r="H399" s="33"/>
      <c r="I399" s="69">
        <v>42096</v>
      </c>
      <c r="J399" s="65">
        <v>5.3</v>
      </c>
      <c r="K399" s="65">
        <v>0</v>
      </c>
      <c r="L399" s="65"/>
      <c r="M399" s="65"/>
      <c r="N399" s="34"/>
      <c r="O399" s="35"/>
    </row>
    <row r="400" spans="1:15" s="36" customFormat="1" ht="12" x14ac:dyDescent="0.2">
      <c r="A400" s="33"/>
      <c r="B400" s="68"/>
      <c r="C400" s="64"/>
      <c r="D400" s="64"/>
      <c r="E400" s="64"/>
      <c r="F400" s="34"/>
      <c r="G400" s="34"/>
      <c r="H400" s="33"/>
      <c r="I400" s="68">
        <v>42097</v>
      </c>
      <c r="J400" s="64">
        <v>5.3</v>
      </c>
      <c r="K400" s="64">
        <v>0</v>
      </c>
      <c r="L400" s="64"/>
      <c r="M400" s="64"/>
      <c r="N400" s="34"/>
      <c r="O400" s="35"/>
    </row>
    <row r="401" spans="1:15" s="36" customFormat="1" ht="12" x14ac:dyDescent="0.2">
      <c r="A401" s="33"/>
      <c r="B401" s="69"/>
      <c r="C401" s="65"/>
      <c r="D401" s="65"/>
      <c r="E401" s="65"/>
      <c r="F401" s="34"/>
      <c r="G401" s="34"/>
      <c r="H401" s="33"/>
      <c r="I401" s="69">
        <v>42101</v>
      </c>
      <c r="J401" s="65">
        <v>5.3</v>
      </c>
      <c r="K401" s="65">
        <v>0</v>
      </c>
      <c r="L401" s="65"/>
      <c r="M401" s="65"/>
      <c r="N401" s="34"/>
      <c r="O401" s="35"/>
    </row>
    <row r="402" spans="1:15" s="36" customFormat="1" ht="12" x14ac:dyDescent="0.2">
      <c r="A402" s="33"/>
      <c r="B402" s="68"/>
      <c r="C402" s="64"/>
      <c r="D402" s="64"/>
      <c r="E402" s="64"/>
      <c r="F402" s="34"/>
      <c r="G402" s="34"/>
      <c r="H402" s="33"/>
      <c r="I402" s="68">
        <v>42102</v>
      </c>
      <c r="J402" s="64">
        <v>5.3</v>
      </c>
      <c r="K402" s="64">
        <v>0</v>
      </c>
      <c r="L402" s="64"/>
      <c r="M402" s="64"/>
      <c r="N402" s="34"/>
      <c r="O402" s="35"/>
    </row>
    <row r="403" spans="1:15" s="36" customFormat="1" ht="12" x14ac:dyDescent="0.2">
      <c r="A403" s="33"/>
      <c r="B403" s="69"/>
      <c r="C403" s="65"/>
      <c r="D403" s="65"/>
      <c r="E403" s="65"/>
      <c r="F403" s="34"/>
      <c r="G403" s="34"/>
      <c r="H403" s="33"/>
      <c r="I403" s="69">
        <v>42103</v>
      </c>
      <c r="J403" s="65">
        <v>5.3</v>
      </c>
      <c r="K403" s="65">
        <v>0</v>
      </c>
      <c r="L403" s="65"/>
      <c r="M403" s="65"/>
      <c r="N403" s="34"/>
      <c r="O403" s="35"/>
    </row>
    <row r="404" spans="1:15" s="36" customFormat="1" ht="12" x14ac:dyDescent="0.2">
      <c r="A404" s="33"/>
      <c r="B404" s="68"/>
      <c r="C404" s="64"/>
      <c r="D404" s="64"/>
      <c r="E404" s="64"/>
      <c r="F404" s="34"/>
      <c r="G404" s="34"/>
      <c r="H404" s="33"/>
      <c r="I404" s="68">
        <v>42104</v>
      </c>
      <c r="J404" s="64">
        <v>5.3</v>
      </c>
      <c r="K404" s="64">
        <v>0</v>
      </c>
      <c r="L404" s="64"/>
      <c r="M404" s="64"/>
      <c r="N404" s="34"/>
      <c r="O404" s="35"/>
    </row>
    <row r="405" spans="1:15" s="36" customFormat="1" ht="12" x14ac:dyDescent="0.2">
      <c r="A405" s="33"/>
      <c r="B405" s="69"/>
      <c r="C405" s="65"/>
      <c r="D405" s="65"/>
      <c r="E405" s="65"/>
      <c r="F405" s="34"/>
      <c r="G405" s="34"/>
      <c r="H405" s="33"/>
      <c r="I405" s="69">
        <v>42107</v>
      </c>
      <c r="J405" s="65">
        <v>5.3</v>
      </c>
      <c r="K405" s="65">
        <v>0</v>
      </c>
      <c r="L405" s="65"/>
      <c r="M405" s="65"/>
      <c r="N405" s="34"/>
      <c r="O405" s="35"/>
    </row>
    <row r="406" spans="1:15" s="36" customFormat="1" ht="12" x14ac:dyDescent="0.2">
      <c r="A406" s="33"/>
      <c r="B406" s="68"/>
      <c r="C406" s="64"/>
      <c r="D406" s="64"/>
      <c r="E406" s="64"/>
      <c r="F406" s="34"/>
      <c r="G406" s="34"/>
      <c r="H406" s="33"/>
      <c r="I406" s="68">
        <v>42108</v>
      </c>
      <c r="J406" s="64">
        <v>5.3</v>
      </c>
      <c r="K406" s="64">
        <v>0</v>
      </c>
      <c r="L406" s="64"/>
      <c r="M406" s="64"/>
      <c r="N406" s="34"/>
      <c r="O406" s="35"/>
    </row>
    <row r="407" spans="1:15" s="36" customFormat="1" ht="12" x14ac:dyDescent="0.2">
      <c r="A407" s="33"/>
      <c r="B407" s="69"/>
      <c r="C407" s="65"/>
      <c r="D407" s="65"/>
      <c r="E407" s="65"/>
      <c r="F407" s="34"/>
      <c r="G407" s="34"/>
      <c r="H407" s="33"/>
      <c r="I407" s="69">
        <v>42109</v>
      </c>
      <c r="J407" s="65">
        <v>5.3</v>
      </c>
      <c r="K407" s="65">
        <v>0</v>
      </c>
      <c r="L407" s="65"/>
      <c r="M407" s="65"/>
      <c r="N407" s="34"/>
      <c r="O407" s="35"/>
    </row>
    <row r="408" spans="1:15" s="36" customFormat="1" ht="12" x14ac:dyDescent="0.2">
      <c r="A408" s="33"/>
      <c r="B408" s="68"/>
      <c r="C408" s="64"/>
      <c r="D408" s="64"/>
      <c r="E408" s="64"/>
      <c r="F408" s="34"/>
      <c r="G408" s="34"/>
      <c r="H408" s="33"/>
      <c r="I408" s="68">
        <v>42110</v>
      </c>
      <c r="J408" s="64">
        <v>5.3</v>
      </c>
      <c r="K408" s="64">
        <v>0</v>
      </c>
      <c r="L408" s="64"/>
      <c r="M408" s="64"/>
      <c r="N408" s="34"/>
      <c r="O408" s="35"/>
    </row>
    <row r="409" spans="1:15" s="36" customFormat="1" ht="12" x14ac:dyDescent="0.2">
      <c r="A409" s="33"/>
      <c r="B409" s="69"/>
      <c r="C409" s="65"/>
      <c r="D409" s="65"/>
      <c r="E409" s="65"/>
      <c r="F409" s="34"/>
      <c r="G409" s="34"/>
      <c r="H409" s="33"/>
      <c r="I409" s="69">
        <v>42111</v>
      </c>
      <c r="J409" s="65">
        <v>5.3</v>
      </c>
      <c r="K409" s="65">
        <v>0</v>
      </c>
      <c r="L409" s="65"/>
      <c r="M409" s="65"/>
      <c r="N409" s="34"/>
      <c r="O409" s="35"/>
    </row>
    <row r="410" spans="1:15" s="36" customFormat="1" ht="12" x14ac:dyDescent="0.2">
      <c r="A410" s="33"/>
      <c r="B410" s="68"/>
      <c r="C410" s="64"/>
      <c r="D410" s="64"/>
      <c r="E410" s="64"/>
      <c r="F410" s="34"/>
      <c r="G410" s="34"/>
      <c r="H410" s="33"/>
      <c r="I410" s="68">
        <v>42114</v>
      </c>
      <c r="J410" s="64">
        <v>5.3</v>
      </c>
      <c r="K410" s="64">
        <v>0</v>
      </c>
      <c r="L410" s="64"/>
      <c r="M410" s="64"/>
      <c r="N410" s="34"/>
      <c r="O410" s="35"/>
    </row>
    <row r="411" spans="1:15" s="36" customFormat="1" ht="12" x14ac:dyDescent="0.2">
      <c r="A411" s="33"/>
      <c r="B411" s="69"/>
      <c r="C411" s="65"/>
      <c r="D411" s="65"/>
      <c r="E411" s="65"/>
      <c r="F411" s="34"/>
      <c r="G411" s="34"/>
      <c r="H411" s="33"/>
      <c r="I411" s="69">
        <v>42115</v>
      </c>
      <c r="J411" s="65">
        <v>5.3</v>
      </c>
      <c r="K411" s="65">
        <v>0</v>
      </c>
      <c r="L411" s="65"/>
      <c r="M411" s="65"/>
      <c r="N411" s="34"/>
      <c r="O411" s="35"/>
    </row>
    <row r="412" spans="1:15" s="36" customFormat="1" ht="12" x14ac:dyDescent="0.2">
      <c r="A412" s="33"/>
      <c r="B412" s="68"/>
      <c r="C412" s="64"/>
      <c r="D412" s="64"/>
      <c r="E412" s="64"/>
      <c r="F412" s="34"/>
      <c r="G412" s="34"/>
      <c r="H412" s="33"/>
      <c r="I412" s="68">
        <v>42116</v>
      </c>
      <c r="J412" s="64">
        <v>5.3</v>
      </c>
      <c r="K412" s="64">
        <v>0</v>
      </c>
      <c r="L412" s="64"/>
      <c r="M412" s="64"/>
      <c r="N412" s="34"/>
      <c r="O412" s="35"/>
    </row>
    <row r="413" spans="1:15" s="36" customFormat="1" ht="12" x14ac:dyDescent="0.2">
      <c r="A413" s="33"/>
      <c r="B413" s="69"/>
      <c r="C413" s="65"/>
      <c r="D413" s="65"/>
      <c r="E413" s="65"/>
      <c r="F413" s="34"/>
      <c r="G413" s="34"/>
      <c r="H413" s="33"/>
      <c r="I413" s="69">
        <v>42117</v>
      </c>
      <c r="J413" s="65">
        <v>5.3</v>
      </c>
      <c r="K413" s="65">
        <v>0</v>
      </c>
      <c r="L413" s="65"/>
      <c r="M413" s="65"/>
      <c r="N413" s="34"/>
      <c r="O413" s="35"/>
    </row>
    <row r="414" spans="1:15" s="36" customFormat="1" ht="12" x14ac:dyDescent="0.2">
      <c r="A414" s="33"/>
      <c r="B414" s="68"/>
      <c r="C414" s="64"/>
      <c r="D414" s="64"/>
      <c r="E414" s="64"/>
      <c r="F414" s="34"/>
      <c r="G414" s="34"/>
      <c r="H414" s="33"/>
      <c r="I414" s="68">
        <v>42118</v>
      </c>
      <c r="J414" s="64">
        <v>5.3</v>
      </c>
      <c r="K414" s="64">
        <v>0</v>
      </c>
      <c r="L414" s="64"/>
      <c r="M414" s="64"/>
      <c r="N414" s="34"/>
      <c r="O414" s="35"/>
    </row>
    <row r="415" spans="1:15" s="36" customFormat="1" ht="12" x14ac:dyDescent="0.2">
      <c r="A415" s="33"/>
      <c r="B415" s="69"/>
      <c r="C415" s="65"/>
      <c r="D415" s="65"/>
      <c r="E415" s="65"/>
      <c r="F415" s="34"/>
      <c r="G415" s="34"/>
      <c r="H415" s="33"/>
      <c r="I415" s="69">
        <v>42121</v>
      </c>
      <c r="J415" s="65">
        <v>5.3</v>
      </c>
      <c r="K415" s="65">
        <v>0</v>
      </c>
      <c r="L415" s="65"/>
      <c r="M415" s="65"/>
      <c r="N415" s="34"/>
      <c r="O415" s="35"/>
    </row>
    <row r="416" spans="1:15" s="36" customFormat="1" ht="12" x14ac:dyDescent="0.2">
      <c r="A416" s="33"/>
      <c r="B416" s="68"/>
      <c r="C416" s="64"/>
      <c r="D416" s="64"/>
      <c r="E416" s="64"/>
      <c r="F416" s="34"/>
      <c r="G416" s="34"/>
      <c r="H416" s="33"/>
      <c r="I416" s="68">
        <v>42122</v>
      </c>
      <c r="J416" s="64">
        <v>5.3</v>
      </c>
      <c r="K416" s="64">
        <v>0</v>
      </c>
      <c r="L416" s="64"/>
      <c r="M416" s="64"/>
      <c r="N416" s="34"/>
      <c r="O416" s="35"/>
    </row>
    <row r="417" spans="1:15" s="36" customFormat="1" ht="12" x14ac:dyDescent="0.2">
      <c r="A417" s="33"/>
      <c r="B417" s="69"/>
      <c r="C417" s="65"/>
      <c r="D417" s="65"/>
      <c r="E417" s="65"/>
      <c r="F417" s="34"/>
      <c r="G417" s="34"/>
      <c r="H417" s="33"/>
      <c r="I417" s="69">
        <v>42123</v>
      </c>
      <c r="J417" s="65">
        <v>5.3</v>
      </c>
      <c r="K417" s="65">
        <v>0</v>
      </c>
      <c r="L417" s="65"/>
      <c r="M417" s="65"/>
      <c r="N417" s="34"/>
      <c r="O417" s="35"/>
    </row>
    <row r="418" spans="1:15" s="36" customFormat="1" ht="12" x14ac:dyDescent="0.2">
      <c r="A418" s="33"/>
      <c r="B418" s="68"/>
      <c r="C418" s="64"/>
      <c r="D418" s="64"/>
      <c r="E418" s="64"/>
      <c r="F418" s="34"/>
      <c r="G418" s="34"/>
      <c r="H418" s="33"/>
      <c r="I418" s="68">
        <v>42124</v>
      </c>
      <c r="J418" s="64">
        <v>5.3</v>
      </c>
      <c r="K418" s="64">
        <v>0</v>
      </c>
      <c r="L418" s="64"/>
      <c r="M418" s="64"/>
      <c r="N418" s="34"/>
      <c r="O418" s="35"/>
    </row>
    <row r="419" spans="1:15" s="36" customFormat="1" ht="12" x14ac:dyDescent="0.2">
      <c r="A419" s="33"/>
      <c r="B419" s="69"/>
      <c r="C419" s="65"/>
      <c r="D419" s="65"/>
      <c r="E419" s="65"/>
      <c r="F419" s="34"/>
      <c r="G419" s="34"/>
      <c r="H419" s="33"/>
      <c r="I419" s="69">
        <v>42128</v>
      </c>
      <c r="J419" s="65">
        <v>5.3</v>
      </c>
      <c r="K419" s="65">
        <v>0</v>
      </c>
      <c r="L419" s="65"/>
      <c r="M419" s="65"/>
      <c r="N419" s="34"/>
      <c r="O419" s="35"/>
    </row>
    <row r="420" spans="1:15" s="36" customFormat="1" ht="12" x14ac:dyDescent="0.2">
      <c r="A420" s="33"/>
      <c r="B420" s="68"/>
      <c r="C420" s="64"/>
      <c r="D420" s="64"/>
      <c r="E420" s="64"/>
      <c r="F420" s="34"/>
      <c r="G420" s="34"/>
      <c r="H420" s="33"/>
      <c r="I420" s="68">
        <v>42129</v>
      </c>
      <c r="J420" s="64">
        <v>5.3</v>
      </c>
      <c r="K420" s="64">
        <v>0</v>
      </c>
      <c r="L420" s="64"/>
      <c r="M420" s="64"/>
      <c r="N420" s="34"/>
      <c r="O420" s="35"/>
    </row>
    <row r="421" spans="1:15" s="36" customFormat="1" ht="12" x14ac:dyDescent="0.2">
      <c r="A421" s="33"/>
      <c r="B421" s="69"/>
      <c r="C421" s="65"/>
      <c r="D421" s="65"/>
      <c r="E421" s="65"/>
      <c r="F421" s="34"/>
      <c r="G421" s="34"/>
      <c r="H421" s="33"/>
      <c r="I421" s="69">
        <v>42130</v>
      </c>
      <c r="J421" s="65">
        <v>5.3</v>
      </c>
      <c r="K421" s="65">
        <v>0</v>
      </c>
      <c r="L421" s="65"/>
      <c r="M421" s="65"/>
      <c r="N421" s="34"/>
      <c r="O421" s="35"/>
    </row>
    <row r="422" spans="1:15" s="36" customFormat="1" ht="12" x14ac:dyDescent="0.2">
      <c r="A422" s="33"/>
      <c r="B422" s="68"/>
      <c r="C422" s="64"/>
      <c r="D422" s="64"/>
      <c r="E422" s="64"/>
      <c r="F422" s="34"/>
      <c r="G422" s="34"/>
      <c r="H422" s="33"/>
      <c r="I422" s="68">
        <v>42131</v>
      </c>
      <c r="J422" s="64">
        <v>5.3</v>
      </c>
      <c r="K422" s="64">
        <v>0</v>
      </c>
      <c r="L422" s="64"/>
      <c r="M422" s="64"/>
      <c r="N422" s="34"/>
      <c r="O422" s="35"/>
    </row>
    <row r="423" spans="1:15" s="36" customFormat="1" ht="12" x14ac:dyDescent="0.2">
      <c r="A423" s="33"/>
      <c r="B423" s="69"/>
      <c r="C423" s="65"/>
      <c r="D423" s="65"/>
      <c r="E423" s="65"/>
      <c r="F423" s="34"/>
      <c r="G423" s="34"/>
      <c r="H423" s="33"/>
      <c r="I423" s="69">
        <v>42132</v>
      </c>
      <c r="J423" s="65">
        <v>5.3</v>
      </c>
      <c r="K423" s="65">
        <v>0</v>
      </c>
      <c r="L423" s="65"/>
      <c r="M423" s="65"/>
      <c r="N423" s="34"/>
      <c r="O423" s="35"/>
    </row>
    <row r="424" spans="1:15" s="36" customFormat="1" ht="12" x14ac:dyDescent="0.2">
      <c r="A424" s="33"/>
      <c r="B424" s="68"/>
      <c r="C424" s="64"/>
      <c r="D424" s="64"/>
      <c r="E424" s="64"/>
      <c r="F424" s="34"/>
      <c r="G424" s="34"/>
      <c r="H424" s="33"/>
      <c r="I424" s="68">
        <v>42135</v>
      </c>
      <c r="J424" s="64">
        <v>5.05</v>
      </c>
      <c r="K424" s="64">
        <v>0</v>
      </c>
      <c r="L424" s="64"/>
      <c r="M424" s="64"/>
      <c r="N424" s="34"/>
      <c r="O424" s="35"/>
    </row>
    <row r="425" spans="1:15" s="36" customFormat="1" ht="12" x14ac:dyDescent="0.2">
      <c r="A425" s="33"/>
      <c r="B425" s="69"/>
      <c r="C425" s="65"/>
      <c r="D425" s="65"/>
      <c r="E425" s="65"/>
      <c r="F425" s="34"/>
      <c r="G425" s="34"/>
      <c r="H425" s="33"/>
      <c r="I425" s="69">
        <v>42136</v>
      </c>
      <c r="J425" s="65">
        <v>5.05</v>
      </c>
      <c r="K425" s="65">
        <v>0</v>
      </c>
      <c r="L425" s="65"/>
      <c r="M425" s="65"/>
      <c r="N425" s="34"/>
      <c r="O425" s="35"/>
    </row>
    <row r="426" spans="1:15" s="36" customFormat="1" ht="12" x14ac:dyDescent="0.2">
      <c r="A426" s="33"/>
      <c r="B426" s="68"/>
      <c r="C426" s="64"/>
      <c r="D426" s="64"/>
      <c r="E426" s="64"/>
      <c r="F426" s="34"/>
      <c r="G426" s="34"/>
      <c r="H426" s="33"/>
      <c r="I426" s="68">
        <v>42137</v>
      </c>
      <c r="J426" s="64">
        <v>5.05</v>
      </c>
      <c r="K426" s="64">
        <v>0</v>
      </c>
      <c r="L426" s="64"/>
      <c r="M426" s="64"/>
      <c r="N426" s="34"/>
      <c r="O426" s="35"/>
    </row>
    <row r="427" spans="1:15" s="36" customFormat="1" ht="12" x14ac:dyDescent="0.2">
      <c r="A427" s="33"/>
      <c r="B427" s="69"/>
      <c r="C427" s="65"/>
      <c r="D427" s="65"/>
      <c r="E427" s="65"/>
      <c r="F427" s="34"/>
      <c r="G427" s="34"/>
      <c r="H427" s="33"/>
      <c r="I427" s="69">
        <v>42138</v>
      </c>
      <c r="J427" s="65">
        <v>5.05</v>
      </c>
      <c r="K427" s="65">
        <v>0</v>
      </c>
      <c r="L427" s="65"/>
      <c r="M427" s="65"/>
      <c r="N427" s="34"/>
      <c r="O427" s="35"/>
    </row>
    <row r="428" spans="1:15" s="36" customFormat="1" ht="12" x14ac:dyDescent="0.2">
      <c r="A428" s="33"/>
      <c r="B428" s="68"/>
      <c r="C428" s="64"/>
      <c r="D428" s="64"/>
      <c r="E428" s="64"/>
      <c r="F428" s="34"/>
      <c r="G428" s="34"/>
      <c r="H428" s="33"/>
      <c r="I428" s="68">
        <v>42139</v>
      </c>
      <c r="J428" s="64">
        <v>5.05</v>
      </c>
      <c r="K428" s="64">
        <v>0</v>
      </c>
      <c r="L428" s="64"/>
      <c r="M428" s="64"/>
      <c r="N428" s="34"/>
      <c r="O428" s="35"/>
    </row>
    <row r="429" spans="1:15" s="36" customFormat="1" ht="12" x14ac:dyDescent="0.2">
      <c r="A429" s="33"/>
      <c r="B429" s="69"/>
      <c r="C429" s="65"/>
      <c r="D429" s="65"/>
      <c r="E429" s="65"/>
      <c r="F429" s="34"/>
      <c r="G429" s="34"/>
      <c r="H429" s="33"/>
      <c r="I429" s="69">
        <v>42142</v>
      </c>
      <c r="J429" s="65">
        <v>5.05</v>
      </c>
      <c r="K429" s="65">
        <v>0</v>
      </c>
      <c r="L429" s="65"/>
      <c r="M429" s="65"/>
      <c r="N429" s="34"/>
      <c r="O429" s="35"/>
    </row>
    <row r="430" spans="1:15" s="36" customFormat="1" ht="12" x14ac:dyDescent="0.2">
      <c r="A430" s="33"/>
      <c r="B430" s="68"/>
      <c r="C430" s="64"/>
      <c r="D430" s="64"/>
      <c r="E430" s="64"/>
      <c r="F430" s="34"/>
      <c r="G430" s="34"/>
      <c r="H430" s="33"/>
      <c r="I430" s="68">
        <v>42143</v>
      </c>
      <c r="J430" s="64">
        <v>5.05</v>
      </c>
      <c r="K430" s="64">
        <v>0</v>
      </c>
      <c r="L430" s="64"/>
      <c r="M430" s="64"/>
      <c r="N430" s="34"/>
      <c r="O430" s="35"/>
    </row>
    <row r="431" spans="1:15" s="36" customFormat="1" ht="12" x14ac:dyDescent="0.2">
      <c r="A431" s="33"/>
      <c r="B431" s="69"/>
      <c r="C431" s="65"/>
      <c r="D431" s="65"/>
      <c r="E431" s="65"/>
      <c r="F431" s="34"/>
      <c r="G431" s="34"/>
      <c r="H431" s="33"/>
      <c r="I431" s="69">
        <v>42144</v>
      </c>
      <c r="J431" s="65">
        <v>5.05</v>
      </c>
      <c r="K431" s="65">
        <v>0</v>
      </c>
      <c r="L431" s="65"/>
      <c r="M431" s="65"/>
      <c r="N431" s="34"/>
      <c r="O431" s="35"/>
    </row>
    <row r="432" spans="1:15" s="36" customFormat="1" ht="12" x14ac:dyDescent="0.2">
      <c r="A432" s="33"/>
      <c r="B432" s="68"/>
      <c r="C432" s="64"/>
      <c r="D432" s="64"/>
      <c r="E432" s="64"/>
      <c r="F432" s="34"/>
      <c r="G432" s="34"/>
      <c r="H432" s="33"/>
      <c r="I432" s="68">
        <v>42145</v>
      </c>
      <c r="J432" s="64">
        <v>5.05</v>
      </c>
      <c r="K432" s="64">
        <v>0</v>
      </c>
      <c r="L432" s="64"/>
      <c r="M432" s="64"/>
      <c r="N432" s="34"/>
      <c r="O432" s="35"/>
    </row>
    <row r="433" spans="1:15" s="36" customFormat="1" ht="12" x14ac:dyDescent="0.2">
      <c r="A433" s="33"/>
      <c r="B433" s="69"/>
      <c r="C433" s="65"/>
      <c r="D433" s="65"/>
      <c r="E433" s="65"/>
      <c r="F433" s="34"/>
      <c r="G433" s="34"/>
      <c r="H433" s="33"/>
      <c r="I433" s="69">
        <v>42146</v>
      </c>
      <c r="J433" s="65">
        <v>5.05</v>
      </c>
      <c r="K433" s="65">
        <v>0</v>
      </c>
      <c r="L433" s="65"/>
      <c r="M433" s="65"/>
      <c r="N433" s="34"/>
      <c r="O433" s="35"/>
    </row>
    <row r="434" spans="1:15" s="36" customFormat="1" ht="12" x14ac:dyDescent="0.2">
      <c r="A434" s="33"/>
      <c r="B434" s="68"/>
      <c r="C434" s="64"/>
      <c r="D434" s="64"/>
      <c r="E434" s="64"/>
      <c r="F434" s="34"/>
      <c r="G434" s="34"/>
      <c r="H434" s="33"/>
      <c r="I434" s="68">
        <v>42149</v>
      </c>
      <c r="J434" s="64">
        <v>5.05</v>
      </c>
      <c r="K434" s="64">
        <v>0</v>
      </c>
      <c r="L434" s="64"/>
      <c r="M434" s="64"/>
      <c r="N434" s="34"/>
      <c r="O434" s="35"/>
    </row>
    <row r="435" spans="1:15" s="36" customFormat="1" ht="12" x14ac:dyDescent="0.2">
      <c r="A435" s="33"/>
      <c r="B435" s="69"/>
      <c r="C435" s="65"/>
      <c r="D435" s="65"/>
      <c r="E435" s="65"/>
      <c r="F435" s="34"/>
      <c r="G435" s="34"/>
      <c r="H435" s="33"/>
      <c r="I435" s="69">
        <v>42150</v>
      </c>
      <c r="J435" s="65">
        <v>5.05</v>
      </c>
      <c r="K435" s="65">
        <v>0</v>
      </c>
      <c r="L435" s="65"/>
      <c r="M435" s="65"/>
      <c r="N435" s="34"/>
      <c r="O435" s="35"/>
    </row>
    <row r="436" spans="1:15" s="36" customFormat="1" ht="12" x14ac:dyDescent="0.2">
      <c r="A436" s="33"/>
      <c r="B436" s="68"/>
      <c r="C436" s="64"/>
      <c r="D436" s="64"/>
      <c r="E436" s="64"/>
      <c r="F436" s="34"/>
      <c r="G436" s="34"/>
      <c r="H436" s="33"/>
      <c r="I436" s="68">
        <v>42151</v>
      </c>
      <c r="J436" s="64">
        <v>5.05</v>
      </c>
      <c r="K436" s="64">
        <v>0</v>
      </c>
      <c r="L436" s="64"/>
      <c r="M436" s="64"/>
      <c r="N436" s="34"/>
      <c r="O436" s="35"/>
    </row>
    <row r="437" spans="1:15" s="36" customFormat="1" ht="12" x14ac:dyDescent="0.2">
      <c r="A437" s="33"/>
      <c r="B437" s="69"/>
      <c r="C437" s="65"/>
      <c r="D437" s="65"/>
      <c r="E437" s="65"/>
      <c r="F437" s="34"/>
      <c r="G437" s="34"/>
      <c r="H437" s="33"/>
      <c r="I437" s="69">
        <v>42152</v>
      </c>
      <c r="J437" s="65">
        <v>5.05</v>
      </c>
      <c r="K437" s="65">
        <v>0</v>
      </c>
      <c r="L437" s="65"/>
      <c r="M437" s="65"/>
      <c r="N437" s="34"/>
      <c r="O437" s="35"/>
    </row>
    <row r="438" spans="1:15" s="36" customFormat="1" ht="12" x14ac:dyDescent="0.2">
      <c r="A438" s="33"/>
      <c r="B438" s="68"/>
      <c r="C438" s="64"/>
      <c r="D438" s="64"/>
      <c r="E438" s="64"/>
      <c r="F438" s="34"/>
      <c r="G438" s="34"/>
      <c r="H438" s="33"/>
      <c r="I438" s="68">
        <v>42153</v>
      </c>
      <c r="J438" s="64">
        <v>5.05</v>
      </c>
      <c r="K438" s="64">
        <v>0</v>
      </c>
      <c r="L438" s="64"/>
      <c r="M438" s="64"/>
      <c r="N438" s="34"/>
      <c r="O438" s="35"/>
    </row>
    <row r="439" spans="1:15" s="36" customFormat="1" ht="12" x14ac:dyDescent="0.2">
      <c r="A439" s="33"/>
      <c r="B439" s="69"/>
      <c r="C439" s="65"/>
      <c r="D439" s="65"/>
      <c r="E439" s="65"/>
      <c r="F439" s="34"/>
      <c r="G439" s="34"/>
      <c r="H439" s="33"/>
      <c r="I439" s="69">
        <v>42156</v>
      </c>
      <c r="J439" s="65">
        <v>5.05</v>
      </c>
      <c r="K439" s="65">
        <v>0</v>
      </c>
      <c r="L439" s="65"/>
      <c r="M439" s="65"/>
      <c r="N439" s="34"/>
      <c r="O439" s="35"/>
    </row>
    <row r="440" spans="1:15" s="36" customFormat="1" ht="12" x14ac:dyDescent="0.2">
      <c r="A440" s="33"/>
      <c r="B440" s="68"/>
      <c r="C440" s="64"/>
      <c r="D440" s="64"/>
      <c r="E440" s="64"/>
      <c r="F440" s="34"/>
      <c r="G440" s="34"/>
      <c r="H440" s="33"/>
      <c r="I440" s="68">
        <v>42157</v>
      </c>
      <c r="J440" s="64">
        <v>5.05</v>
      </c>
      <c r="K440" s="64">
        <v>0</v>
      </c>
      <c r="L440" s="64"/>
      <c r="M440" s="64"/>
      <c r="N440" s="34"/>
      <c r="O440" s="35"/>
    </row>
    <row r="441" spans="1:15" s="36" customFormat="1" ht="12" x14ac:dyDescent="0.2">
      <c r="A441" s="33"/>
      <c r="B441" s="69"/>
      <c r="C441" s="65"/>
      <c r="D441" s="65"/>
      <c r="E441" s="65"/>
      <c r="F441" s="34"/>
      <c r="G441" s="34"/>
      <c r="H441" s="33"/>
      <c r="I441" s="69">
        <v>42158</v>
      </c>
      <c r="J441" s="65">
        <v>5.05</v>
      </c>
      <c r="K441" s="65">
        <v>0</v>
      </c>
      <c r="L441" s="65"/>
      <c r="M441" s="65"/>
      <c r="N441" s="34"/>
      <c r="O441" s="35"/>
    </row>
    <row r="442" spans="1:15" s="36" customFormat="1" ht="12" x14ac:dyDescent="0.2">
      <c r="A442" s="33"/>
      <c r="B442" s="68"/>
      <c r="C442" s="64"/>
      <c r="D442" s="64"/>
      <c r="E442" s="64"/>
      <c r="F442" s="34"/>
      <c r="G442" s="34"/>
      <c r="H442" s="33"/>
      <c r="I442" s="68">
        <v>42159</v>
      </c>
      <c r="J442" s="64">
        <v>5.05</v>
      </c>
      <c r="K442" s="64">
        <v>0</v>
      </c>
      <c r="L442" s="64"/>
      <c r="M442" s="64"/>
      <c r="N442" s="34"/>
      <c r="O442" s="35"/>
    </row>
    <row r="443" spans="1:15" s="36" customFormat="1" ht="12" x14ac:dyDescent="0.2">
      <c r="A443" s="33"/>
      <c r="B443" s="69"/>
      <c r="C443" s="65"/>
      <c r="D443" s="65"/>
      <c r="E443" s="65"/>
      <c r="F443" s="34"/>
      <c r="G443" s="34"/>
      <c r="H443" s="33"/>
      <c r="I443" s="69">
        <v>42160</v>
      </c>
      <c r="J443" s="65">
        <v>5.05</v>
      </c>
      <c r="K443" s="65">
        <v>0</v>
      </c>
      <c r="L443" s="65"/>
      <c r="M443" s="65"/>
      <c r="N443" s="34"/>
      <c r="O443" s="35"/>
    </row>
    <row r="444" spans="1:15" s="36" customFormat="1" ht="12" x14ac:dyDescent="0.2">
      <c r="A444" s="33"/>
      <c r="B444" s="68"/>
      <c r="C444" s="64"/>
      <c r="D444" s="64"/>
      <c r="E444" s="64"/>
      <c r="F444" s="34"/>
      <c r="G444" s="34"/>
      <c r="H444" s="33"/>
      <c r="I444" s="68">
        <v>42163</v>
      </c>
      <c r="J444" s="64">
        <v>5.05</v>
      </c>
      <c r="K444" s="64">
        <v>0</v>
      </c>
      <c r="L444" s="64"/>
      <c r="M444" s="64"/>
      <c r="N444" s="34"/>
      <c r="O444" s="35"/>
    </row>
    <row r="445" spans="1:15" s="36" customFormat="1" ht="12" x14ac:dyDescent="0.2">
      <c r="A445" s="33"/>
      <c r="B445" s="69"/>
      <c r="C445" s="65"/>
      <c r="D445" s="65"/>
      <c r="E445" s="65"/>
      <c r="F445" s="34"/>
      <c r="G445" s="34"/>
      <c r="H445" s="33"/>
      <c r="I445" s="69">
        <v>42164</v>
      </c>
      <c r="J445" s="65">
        <v>5.05</v>
      </c>
      <c r="K445" s="65">
        <v>0</v>
      </c>
      <c r="L445" s="65"/>
      <c r="M445" s="65"/>
      <c r="N445" s="34"/>
      <c r="O445" s="35"/>
    </row>
    <row r="446" spans="1:15" s="36" customFormat="1" ht="12" x14ac:dyDescent="0.2">
      <c r="A446" s="33"/>
      <c r="B446" s="68"/>
      <c r="C446" s="64"/>
      <c r="D446" s="64"/>
      <c r="E446" s="64"/>
      <c r="F446" s="34"/>
      <c r="G446" s="34"/>
      <c r="H446" s="33"/>
      <c r="I446" s="68">
        <v>42165</v>
      </c>
      <c r="J446" s="64">
        <v>5.05</v>
      </c>
      <c r="K446" s="64">
        <v>0</v>
      </c>
      <c r="L446" s="64"/>
      <c r="M446" s="64"/>
      <c r="N446" s="34"/>
      <c r="O446" s="35"/>
    </row>
    <row r="447" spans="1:15" s="36" customFormat="1" ht="12" x14ac:dyDescent="0.2">
      <c r="A447" s="33"/>
      <c r="B447" s="69"/>
      <c r="C447" s="65"/>
      <c r="D447" s="65"/>
      <c r="E447" s="65"/>
      <c r="F447" s="34"/>
      <c r="G447" s="34"/>
      <c r="H447" s="33"/>
      <c r="I447" s="69">
        <v>42166</v>
      </c>
      <c r="J447" s="65">
        <v>5.05</v>
      </c>
      <c r="K447" s="65">
        <v>0</v>
      </c>
      <c r="L447" s="65"/>
      <c r="M447" s="65"/>
      <c r="N447" s="34"/>
      <c r="O447" s="35"/>
    </row>
    <row r="448" spans="1:15" s="36" customFormat="1" ht="12" x14ac:dyDescent="0.2">
      <c r="A448" s="33"/>
      <c r="B448" s="68"/>
      <c r="C448" s="64"/>
      <c r="D448" s="64"/>
      <c r="E448" s="64"/>
      <c r="F448" s="34"/>
      <c r="G448" s="34"/>
      <c r="H448" s="33"/>
      <c r="I448" s="68">
        <v>42167</v>
      </c>
      <c r="J448" s="64">
        <v>5.05</v>
      </c>
      <c r="K448" s="64">
        <v>0</v>
      </c>
      <c r="L448" s="64"/>
      <c r="M448" s="64"/>
      <c r="N448" s="34"/>
      <c r="O448" s="35"/>
    </row>
    <row r="449" spans="1:15" s="36" customFormat="1" ht="12" x14ac:dyDescent="0.2">
      <c r="A449" s="33"/>
      <c r="B449" s="69"/>
      <c r="C449" s="65"/>
      <c r="D449" s="65"/>
      <c r="E449" s="65"/>
      <c r="F449" s="34"/>
      <c r="G449" s="34"/>
      <c r="H449" s="33"/>
      <c r="I449" s="69">
        <v>42170</v>
      </c>
      <c r="J449" s="65">
        <v>5.05</v>
      </c>
      <c r="K449" s="65">
        <v>0</v>
      </c>
      <c r="L449" s="65"/>
      <c r="M449" s="65"/>
      <c r="N449" s="34"/>
      <c r="O449" s="35"/>
    </row>
    <row r="450" spans="1:15" s="36" customFormat="1" ht="12" x14ac:dyDescent="0.2">
      <c r="A450" s="33"/>
      <c r="B450" s="68"/>
      <c r="C450" s="64"/>
      <c r="D450" s="64"/>
      <c r="E450" s="64"/>
      <c r="F450" s="34"/>
      <c r="G450" s="34"/>
      <c r="H450" s="33"/>
      <c r="I450" s="68">
        <v>42171</v>
      </c>
      <c r="J450" s="64">
        <v>5.05</v>
      </c>
      <c r="K450" s="64">
        <v>0</v>
      </c>
      <c r="L450" s="64"/>
      <c r="M450" s="64"/>
      <c r="N450" s="34"/>
      <c r="O450" s="35"/>
    </row>
    <row r="451" spans="1:15" s="36" customFormat="1" ht="12" x14ac:dyDescent="0.2">
      <c r="A451" s="33"/>
      <c r="B451" s="69"/>
      <c r="C451" s="65"/>
      <c r="D451" s="65"/>
      <c r="E451" s="65"/>
      <c r="F451" s="34"/>
      <c r="G451" s="34"/>
      <c r="H451" s="33"/>
      <c r="I451" s="69">
        <v>42172</v>
      </c>
      <c r="J451" s="65">
        <v>5.05</v>
      </c>
      <c r="K451" s="65">
        <v>0</v>
      </c>
      <c r="L451" s="65"/>
      <c r="M451" s="65"/>
      <c r="N451" s="34"/>
      <c r="O451" s="35"/>
    </row>
    <row r="452" spans="1:15" s="36" customFormat="1" ht="12" x14ac:dyDescent="0.2">
      <c r="A452" s="33"/>
      <c r="B452" s="68"/>
      <c r="C452" s="64"/>
      <c r="D452" s="64"/>
      <c r="E452" s="64"/>
      <c r="F452" s="34"/>
      <c r="G452" s="34"/>
      <c r="H452" s="33"/>
      <c r="I452" s="68">
        <v>42173</v>
      </c>
      <c r="J452" s="64">
        <v>5.05</v>
      </c>
      <c r="K452" s="64">
        <v>0</v>
      </c>
      <c r="L452" s="64"/>
      <c r="M452" s="64"/>
      <c r="N452" s="34"/>
      <c r="O452" s="35"/>
    </row>
    <row r="453" spans="1:15" s="36" customFormat="1" ht="12" x14ac:dyDescent="0.2">
      <c r="A453" s="33"/>
      <c r="B453" s="69"/>
      <c r="C453" s="65"/>
      <c r="D453" s="65"/>
      <c r="E453" s="65"/>
      <c r="F453" s="34"/>
      <c r="G453" s="34"/>
      <c r="H453" s="33"/>
      <c r="I453" s="69">
        <v>42174</v>
      </c>
      <c r="J453" s="65">
        <v>5.05</v>
      </c>
      <c r="K453" s="65">
        <v>0</v>
      </c>
      <c r="L453" s="65"/>
      <c r="M453" s="65"/>
      <c r="N453" s="34"/>
      <c r="O453" s="35"/>
    </row>
    <row r="454" spans="1:15" s="36" customFormat="1" ht="12" x14ac:dyDescent="0.2">
      <c r="A454" s="33"/>
      <c r="B454" s="68"/>
      <c r="C454" s="64"/>
      <c r="D454" s="64"/>
      <c r="E454" s="64"/>
      <c r="F454" s="34"/>
      <c r="G454" s="34"/>
      <c r="H454" s="33"/>
      <c r="I454" s="68">
        <v>42178</v>
      </c>
      <c r="J454" s="64">
        <v>5.05</v>
      </c>
      <c r="K454" s="64">
        <v>0</v>
      </c>
      <c r="L454" s="64"/>
      <c r="M454" s="64"/>
      <c r="N454" s="34"/>
      <c r="O454" s="35"/>
    </row>
    <row r="455" spans="1:15" s="36" customFormat="1" ht="12" x14ac:dyDescent="0.2">
      <c r="A455" s="33"/>
      <c r="B455" s="69"/>
      <c r="C455" s="65"/>
      <c r="D455" s="65"/>
      <c r="E455" s="65"/>
      <c r="F455" s="34"/>
      <c r="G455" s="34"/>
      <c r="H455" s="33"/>
      <c r="I455" s="69">
        <v>42179</v>
      </c>
      <c r="J455" s="65">
        <v>5.05</v>
      </c>
      <c r="K455" s="65">
        <v>0</v>
      </c>
      <c r="L455" s="65"/>
      <c r="M455" s="65"/>
      <c r="N455" s="34"/>
      <c r="O455" s="35"/>
    </row>
    <row r="456" spans="1:15" s="36" customFormat="1" ht="12" x14ac:dyDescent="0.2">
      <c r="A456" s="33"/>
      <c r="B456" s="68"/>
      <c r="C456" s="64"/>
      <c r="D456" s="64"/>
      <c r="E456" s="64"/>
      <c r="F456" s="34"/>
      <c r="G456" s="34"/>
      <c r="H456" s="33"/>
      <c r="I456" s="68">
        <v>42180</v>
      </c>
      <c r="J456" s="64">
        <v>5.05</v>
      </c>
      <c r="K456" s="64">
        <v>0</v>
      </c>
      <c r="L456" s="64"/>
      <c r="M456" s="64"/>
      <c r="N456" s="34"/>
      <c r="O456" s="35"/>
    </row>
    <row r="457" spans="1:15" s="36" customFormat="1" ht="12" x14ac:dyDescent="0.2">
      <c r="A457" s="33"/>
      <c r="B457" s="69"/>
      <c r="C457" s="65"/>
      <c r="D457" s="65"/>
      <c r="E457" s="65"/>
      <c r="F457" s="34"/>
      <c r="G457" s="34"/>
      <c r="H457" s="33"/>
      <c r="I457" s="69">
        <v>42181</v>
      </c>
      <c r="J457" s="65">
        <v>5.05</v>
      </c>
      <c r="K457" s="65">
        <v>0</v>
      </c>
      <c r="L457" s="65"/>
      <c r="M457" s="65"/>
      <c r="N457" s="34"/>
      <c r="O457" s="35"/>
    </row>
    <row r="458" spans="1:15" s="36" customFormat="1" ht="12" x14ac:dyDescent="0.2">
      <c r="A458" s="33"/>
      <c r="B458" s="68"/>
      <c r="C458" s="64"/>
      <c r="D458" s="64"/>
      <c r="E458" s="64"/>
      <c r="F458" s="34"/>
      <c r="G458" s="34"/>
      <c r="H458" s="33"/>
      <c r="I458" s="68">
        <v>42184</v>
      </c>
      <c r="J458" s="64">
        <v>4.8</v>
      </c>
      <c r="K458" s="64">
        <v>0</v>
      </c>
      <c r="L458" s="64"/>
      <c r="M458" s="64"/>
      <c r="N458" s="34"/>
      <c r="O458" s="35"/>
    </row>
    <row r="459" spans="1:15" s="36" customFormat="1" ht="12" x14ac:dyDescent="0.2">
      <c r="A459" s="33"/>
      <c r="B459" s="69"/>
      <c r="C459" s="65"/>
      <c r="D459" s="65"/>
      <c r="E459" s="65"/>
      <c r="F459" s="34"/>
      <c r="G459" s="34"/>
      <c r="H459" s="33"/>
      <c r="I459" s="69">
        <v>42185</v>
      </c>
      <c r="J459" s="65">
        <v>4.8</v>
      </c>
      <c r="K459" s="65">
        <v>0</v>
      </c>
      <c r="L459" s="65"/>
      <c r="M459" s="65"/>
      <c r="N459" s="34"/>
      <c r="O459" s="35"/>
    </row>
    <row r="460" spans="1:15" s="36" customFormat="1" ht="12" x14ac:dyDescent="0.2">
      <c r="A460" s="33"/>
      <c r="B460" s="68"/>
      <c r="C460" s="64"/>
      <c r="D460" s="64"/>
      <c r="E460" s="64"/>
      <c r="F460" s="34"/>
      <c r="G460" s="34"/>
      <c r="H460" s="33"/>
      <c r="I460" s="68">
        <v>42186</v>
      </c>
      <c r="J460" s="64">
        <v>4.8</v>
      </c>
      <c r="K460" s="64">
        <v>0</v>
      </c>
      <c r="L460" s="64"/>
      <c r="M460" s="64"/>
      <c r="N460" s="34"/>
      <c r="O460" s="35"/>
    </row>
    <row r="461" spans="1:15" s="36" customFormat="1" ht="12" x14ac:dyDescent="0.2">
      <c r="A461" s="33"/>
      <c r="B461" s="69"/>
      <c r="C461" s="65"/>
      <c r="D461" s="65"/>
      <c r="E461" s="65"/>
      <c r="F461" s="34"/>
      <c r="G461" s="34"/>
      <c r="H461" s="33"/>
      <c r="I461" s="69">
        <v>42187</v>
      </c>
      <c r="J461" s="65">
        <v>4.8</v>
      </c>
      <c r="K461" s="65">
        <v>0</v>
      </c>
      <c r="L461" s="65"/>
      <c r="M461" s="65"/>
      <c r="N461" s="34"/>
      <c r="O461" s="35"/>
    </row>
    <row r="462" spans="1:15" s="36" customFormat="1" ht="12" x14ac:dyDescent="0.2">
      <c r="A462" s="33"/>
      <c r="B462" s="68"/>
      <c r="C462" s="64"/>
      <c r="D462" s="64"/>
      <c r="E462" s="64"/>
      <c r="F462" s="34"/>
      <c r="G462" s="34"/>
      <c r="H462" s="33"/>
      <c r="I462" s="68">
        <v>42188</v>
      </c>
      <c r="J462" s="64">
        <v>4.8</v>
      </c>
      <c r="K462" s="64">
        <v>0</v>
      </c>
      <c r="L462" s="64"/>
      <c r="M462" s="64"/>
      <c r="N462" s="34"/>
      <c r="O462" s="35"/>
    </row>
    <row r="463" spans="1:15" s="36" customFormat="1" ht="12" x14ac:dyDescent="0.2">
      <c r="A463" s="33"/>
      <c r="B463" s="69"/>
      <c r="C463" s="65"/>
      <c r="D463" s="65"/>
      <c r="E463" s="65"/>
      <c r="F463" s="34"/>
      <c r="G463" s="34"/>
      <c r="H463" s="33"/>
      <c r="I463" s="69">
        <v>42191</v>
      </c>
      <c r="J463" s="65">
        <v>4.8</v>
      </c>
      <c r="K463" s="65">
        <v>0</v>
      </c>
      <c r="L463" s="65"/>
      <c r="M463" s="65"/>
      <c r="N463" s="34"/>
      <c r="O463" s="35"/>
    </row>
    <row r="464" spans="1:15" s="36" customFormat="1" ht="12" x14ac:dyDescent="0.2">
      <c r="A464" s="33"/>
      <c r="B464" s="68"/>
      <c r="C464" s="64"/>
      <c r="D464" s="64"/>
      <c r="E464" s="64"/>
      <c r="F464" s="34"/>
      <c r="G464" s="34"/>
      <c r="H464" s="33"/>
      <c r="I464" s="68">
        <v>42192</v>
      </c>
      <c r="J464" s="64">
        <v>4.8</v>
      </c>
      <c r="K464" s="64">
        <v>0</v>
      </c>
      <c r="L464" s="64"/>
      <c r="M464" s="64"/>
      <c r="N464" s="34"/>
      <c r="O464" s="35"/>
    </row>
    <row r="465" spans="1:15" s="36" customFormat="1" ht="12" x14ac:dyDescent="0.2">
      <c r="A465" s="33"/>
      <c r="B465" s="69"/>
      <c r="C465" s="65"/>
      <c r="D465" s="65"/>
      <c r="E465" s="65"/>
      <c r="F465" s="34"/>
      <c r="G465" s="34"/>
      <c r="H465" s="33"/>
      <c r="I465" s="69">
        <v>42193</v>
      </c>
      <c r="J465" s="65">
        <v>4.8</v>
      </c>
      <c r="K465" s="65">
        <v>0</v>
      </c>
      <c r="L465" s="65"/>
      <c r="M465" s="65"/>
      <c r="N465" s="34"/>
      <c r="O465" s="35"/>
    </row>
    <row r="466" spans="1:15" s="36" customFormat="1" ht="12" x14ac:dyDescent="0.2">
      <c r="A466" s="33"/>
      <c r="B466" s="68"/>
      <c r="C466" s="64"/>
      <c r="D466" s="64"/>
      <c r="E466" s="64"/>
      <c r="F466" s="34"/>
      <c r="G466" s="34"/>
      <c r="H466" s="33"/>
      <c r="I466" s="68">
        <v>42194</v>
      </c>
      <c r="J466" s="64">
        <v>4.8</v>
      </c>
      <c r="K466" s="64">
        <v>0</v>
      </c>
      <c r="L466" s="64"/>
      <c r="M466" s="64"/>
      <c r="N466" s="34"/>
      <c r="O466" s="35"/>
    </row>
    <row r="467" spans="1:15" s="36" customFormat="1" ht="12" x14ac:dyDescent="0.2">
      <c r="A467" s="33"/>
      <c r="B467" s="69"/>
      <c r="C467" s="65"/>
      <c r="D467" s="65"/>
      <c r="E467" s="65"/>
      <c r="F467" s="34"/>
      <c r="G467" s="34"/>
      <c r="H467" s="33"/>
      <c r="I467" s="69">
        <v>42195</v>
      </c>
      <c r="J467" s="65">
        <v>4.8</v>
      </c>
      <c r="K467" s="65">
        <v>0</v>
      </c>
      <c r="L467" s="65"/>
      <c r="M467" s="65"/>
      <c r="N467" s="34"/>
      <c r="O467" s="35"/>
    </row>
    <row r="468" spans="1:15" s="36" customFormat="1" ht="12" x14ac:dyDescent="0.2">
      <c r="A468" s="33"/>
      <c r="B468" s="68"/>
      <c r="C468" s="64"/>
      <c r="D468" s="64"/>
      <c r="E468" s="64"/>
      <c r="F468" s="34"/>
      <c r="G468" s="34"/>
      <c r="H468" s="33"/>
      <c r="I468" s="68">
        <v>42198</v>
      </c>
      <c r="J468" s="64">
        <v>4.8</v>
      </c>
      <c r="K468" s="64">
        <v>0</v>
      </c>
      <c r="L468" s="64"/>
      <c r="M468" s="64"/>
      <c r="N468" s="34"/>
      <c r="O468" s="35"/>
    </row>
    <row r="469" spans="1:15" s="36" customFormat="1" ht="12" x14ac:dyDescent="0.2">
      <c r="A469" s="33"/>
      <c r="B469" s="69"/>
      <c r="C469" s="65"/>
      <c r="D469" s="65"/>
      <c r="E469" s="65"/>
      <c r="F469" s="34"/>
      <c r="G469" s="34"/>
      <c r="H469" s="33"/>
      <c r="I469" s="69">
        <v>42199</v>
      </c>
      <c r="J469" s="65">
        <v>4.8</v>
      </c>
      <c r="K469" s="65">
        <v>0</v>
      </c>
      <c r="L469" s="65"/>
      <c r="M469" s="65"/>
      <c r="N469" s="34"/>
      <c r="O469" s="35"/>
    </row>
    <row r="470" spans="1:15" s="36" customFormat="1" ht="12" x14ac:dyDescent="0.2">
      <c r="A470" s="33"/>
      <c r="B470" s="68"/>
      <c r="C470" s="64"/>
      <c r="D470" s="64"/>
      <c r="E470" s="64"/>
      <c r="F470" s="34"/>
      <c r="G470" s="34"/>
      <c r="H470" s="33"/>
      <c r="I470" s="68">
        <v>42200</v>
      </c>
      <c r="J470" s="64">
        <v>4.8</v>
      </c>
      <c r="K470" s="64">
        <v>0</v>
      </c>
      <c r="L470" s="64"/>
      <c r="M470" s="64"/>
      <c r="N470" s="34"/>
      <c r="O470" s="35"/>
    </row>
    <row r="471" spans="1:15" s="36" customFormat="1" ht="12" x14ac:dyDescent="0.2">
      <c r="A471" s="33"/>
      <c r="B471" s="69"/>
      <c r="C471" s="65"/>
      <c r="D471" s="65"/>
      <c r="E471" s="65"/>
      <c r="F471" s="34"/>
      <c r="G471" s="34"/>
      <c r="H471" s="33"/>
      <c r="I471" s="69">
        <v>42201</v>
      </c>
      <c r="J471" s="65">
        <v>4.8</v>
      </c>
      <c r="K471" s="65">
        <v>0</v>
      </c>
      <c r="L471" s="65"/>
      <c r="M471" s="65"/>
      <c r="N471" s="34"/>
      <c r="O471" s="35"/>
    </row>
    <row r="472" spans="1:15" s="36" customFormat="1" ht="12" x14ac:dyDescent="0.2">
      <c r="A472" s="33"/>
      <c r="B472" s="68"/>
      <c r="C472" s="64"/>
      <c r="D472" s="64"/>
      <c r="E472" s="64"/>
      <c r="F472" s="34"/>
      <c r="G472" s="34"/>
      <c r="H472" s="33"/>
      <c r="I472" s="68">
        <v>42202</v>
      </c>
      <c r="J472" s="64">
        <v>4.8</v>
      </c>
      <c r="K472" s="64">
        <v>0</v>
      </c>
      <c r="L472" s="64"/>
      <c r="M472" s="64"/>
      <c r="N472" s="34"/>
      <c r="O472" s="35"/>
    </row>
    <row r="473" spans="1:15" s="36" customFormat="1" ht="12" x14ac:dyDescent="0.2">
      <c r="A473" s="33"/>
      <c r="B473" s="69"/>
      <c r="C473" s="65"/>
      <c r="D473" s="65"/>
      <c r="E473" s="65"/>
      <c r="F473" s="34"/>
      <c r="G473" s="34"/>
      <c r="H473" s="33"/>
      <c r="I473" s="69">
        <v>42205</v>
      </c>
      <c r="J473" s="65">
        <v>4.8</v>
      </c>
      <c r="K473" s="65">
        <v>0</v>
      </c>
      <c r="L473" s="65"/>
      <c r="M473" s="65"/>
      <c r="N473" s="34"/>
      <c r="O473" s="35"/>
    </row>
    <row r="474" spans="1:15" s="36" customFormat="1" ht="12" x14ac:dyDescent="0.2">
      <c r="A474" s="33"/>
      <c r="B474" s="68"/>
      <c r="C474" s="64"/>
      <c r="D474" s="64"/>
      <c r="E474" s="64"/>
      <c r="F474" s="34"/>
      <c r="G474" s="34"/>
      <c r="H474" s="33"/>
      <c r="I474" s="68">
        <v>42206</v>
      </c>
      <c r="J474" s="64">
        <v>4.8</v>
      </c>
      <c r="K474" s="64">
        <v>0</v>
      </c>
      <c r="L474" s="64"/>
      <c r="M474" s="64"/>
      <c r="N474" s="34"/>
      <c r="O474" s="35"/>
    </row>
    <row r="475" spans="1:15" s="36" customFormat="1" ht="12" x14ac:dyDescent="0.2">
      <c r="A475" s="33"/>
      <c r="B475" s="69"/>
      <c r="C475" s="65"/>
      <c r="D475" s="65"/>
      <c r="E475" s="65"/>
      <c r="F475" s="34"/>
      <c r="G475" s="34"/>
      <c r="H475" s="33"/>
      <c r="I475" s="69">
        <v>42207</v>
      </c>
      <c r="J475" s="65">
        <v>4.8</v>
      </c>
      <c r="K475" s="65">
        <v>0</v>
      </c>
      <c r="L475" s="65"/>
      <c r="M475" s="65"/>
      <c r="N475" s="34"/>
      <c r="O475" s="35"/>
    </row>
    <row r="476" spans="1:15" s="36" customFormat="1" ht="12" x14ac:dyDescent="0.2">
      <c r="A476" s="33"/>
      <c r="B476" s="68"/>
      <c r="C476" s="64"/>
      <c r="D476" s="64"/>
      <c r="E476" s="64"/>
      <c r="F476" s="34"/>
      <c r="G476" s="34"/>
      <c r="H476" s="33"/>
      <c r="I476" s="68">
        <v>42208</v>
      </c>
      <c r="J476" s="64">
        <v>4.8</v>
      </c>
      <c r="K476" s="64">
        <v>0</v>
      </c>
      <c r="L476" s="64"/>
      <c r="M476" s="64"/>
      <c r="N476" s="34"/>
      <c r="O476" s="35"/>
    </row>
    <row r="477" spans="1:15" s="36" customFormat="1" ht="12" x14ac:dyDescent="0.2">
      <c r="A477" s="33"/>
      <c r="B477" s="69"/>
      <c r="C477" s="65"/>
      <c r="D477" s="65"/>
      <c r="E477" s="65"/>
      <c r="F477" s="34"/>
      <c r="G477" s="34"/>
      <c r="H477" s="33"/>
      <c r="I477" s="69">
        <v>42209</v>
      </c>
      <c r="J477" s="65">
        <v>4.8</v>
      </c>
      <c r="K477" s="65">
        <v>0</v>
      </c>
      <c r="L477" s="65"/>
      <c r="M477" s="65"/>
      <c r="N477" s="34"/>
      <c r="O477" s="35"/>
    </row>
    <row r="478" spans="1:15" s="36" customFormat="1" ht="12" x14ac:dyDescent="0.2">
      <c r="A478" s="33"/>
      <c r="B478" s="68"/>
      <c r="C478" s="64"/>
      <c r="D478" s="64"/>
      <c r="E478" s="64"/>
      <c r="F478" s="34"/>
      <c r="G478" s="34"/>
      <c r="H478" s="33"/>
      <c r="I478" s="68">
        <v>42212</v>
      </c>
      <c r="J478" s="64">
        <v>4.8</v>
      </c>
      <c r="K478" s="64">
        <v>0</v>
      </c>
      <c r="L478" s="64"/>
      <c r="M478" s="64"/>
      <c r="N478" s="34"/>
      <c r="O478" s="35"/>
    </row>
    <row r="479" spans="1:15" s="36" customFormat="1" ht="12" x14ac:dyDescent="0.2">
      <c r="A479" s="33"/>
      <c r="B479" s="69"/>
      <c r="C479" s="65"/>
      <c r="D479" s="65"/>
      <c r="E479" s="65"/>
      <c r="F479" s="34"/>
      <c r="G479" s="34"/>
      <c r="H479" s="33"/>
      <c r="I479" s="69">
        <v>42213</v>
      </c>
      <c r="J479" s="65">
        <v>4.8</v>
      </c>
      <c r="K479" s="65">
        <v>0</v>
      </c>
      <c r="L479" s="65"/>
      <c r="M479" s="65"/>
      <c r="N479" s="34"/>
      <c r="O479" s="35"/>
    </row>
    <row r="480" spans="1:15" s="36" customFormat="1" ht="12" x14ac:dyDescent="0.2">
      <c r="A480" s="33"/>
      <c r="B480" s="68"/>
      <c r="C480" s="64"/>
      <c r="D480" s="64"/>
      <c r="E480" s="64"/>
      <c r="F480" s="34"/>
      <c r="G480" s="34"/>
      <c r="H480" s="33"/>
      <c r="I480" s="68">
        <v>42214</v>
      </c>
      <c r="J480" s="64">
        <v>4.8</v>
      </c>
      <c r="K480" s="64">
        <v>0</v>
      </c>
      <c r="L480" s="64"/>
      <c r="M480" s="64"/>
      <c r="N480" s="34"/>
      <c r="O480" s="35"/>
    </row>
    <row r="481" spans="1:15" s="36" customFormat="1" ht="12" x14ac:dyDescent="0.2">
      <c r="A481" s="33"/>
      <c r="B481" s="69"/>
      <c r="C481" s="65"/>
      <c r="D481" s="65"/>
      <c r="E481" s="65"/>
      <c r="F481" s="34"/>
      <c r="G481" s="34"/>
      <c r="H481" s="33"/>
      <c r="I481" s="69">
        <v>42215</v>
      </c>
      <c r="J481" s="65">
        <v>4.8</v>
      </c>
      <c r="K481" s="65">
        <v>0</v>
      </c>
      <c r="L481" s="65"/>
      <c r="M481" s="65"/>
      <c r="N481" s="34"/>
      <c r="O481" s="35"/>
    </row>
    <row r="482" spans="1:15" s="36" customFormat="1" ht="12" x14ac:dyDescent="0.2">
      <c r="A482" s="33"/>
      <c r="B482" s="68"/>
      <c r="C482" s="64"/>
      <c r="D482" s="64"/>
      <c r="E482" s="64"/>
      <c r="F482" s="34"/>
      <c r="G482" s="34"/>
      <c r="H482" s="33"/>
      <c r="I482" s="68">
        <v>42216</v>
      </c>
      <c r="J482" s="64">
        <v>4.8</v>
      </c>
      <c r="K482" s="64">
        <v>0</v>
      </c>
      <c r="L482" s="64"/>
      <c r="M482" s="64"/>
      <c r="N482" s="34"/>
      <c r="O482" s="35"/>
    </row>
    <row r="483" spans="1:15" s="36" customFormat="1" ht="12" x14ac:dyDescent="0.2">
      <c r="A483" s="33"/>
      <c r="B483" s="69"/>
      <c r="C483" s="65"/>
      <c r="D483" s="65"/>
      <c r="E483" s="65"/>
      <c r="F483" s="34"/>
      <c r="G483" s="34"/>
      <c r="H483" s="33"/>
      <c r="I483" s="69">
        <v>42219</v>
      </c>
      <c r="J483" s="65">
        <v>4.8</v>
      </c>
      <c r="K483" s="65">
        <v>0</v>
      </c>
      <c r="L483" s="65"/>
      <c r="M483" s="65"/>
      <c r="N483" s="34"/>
      <c r="O483" s="35"/>
    </row>
    <row r="484" spans="1:15" s="36" customFormat="1" ht="12" x14ac:dyDescent="0.2">
      <c r="A484" s="33"/>
      <c r="B484" s="68"/>
      <c r="C484" s="64"/>
      <c r="D484" s="64"/>
      <c r="E484" s="64"/>
      <c r="F484" s="34"/>
      <c r="G484" s="34"/>
      <c r="H484" s="33"/>
      <c r="I484" s="68">
        <v>42220</v>
      </c>
      <c r="J484" s="64">
        <v>4.8</v>
      </c>
      <c r="K484" s="64">
        <v>0</v>
      </c>
      <c r="L484" s="64"/>
      <c r="M484" s="64"/>
      <c r="N484" s="34"/>
      <c r="O484" s="35"/>
    </row>
    <row r="485" spans="1:15" s="36" customFormat="1" ht="12" x14ac:dyDescent="0.2">
      <c r="A485" s="33"/>
      <c r="B485" s="69"/>
      <c r="C485" s="65"/>
      <c r="D485" s="65"/>
      <c r="E485" s="65"/>
      <c r="F485" s="34"/>
      <c r="G485" s="34"/>
      <c r="H485" s="33"/>
      <c r="I485" s="69">
        <v>42221</v>
      </c>
      <c r="J485" s="65">
        <v>4.8</v>
      </c>
      <c r="K485" s="65">
        <v>0</v>
      </c>
      <c r="L485" s="65"/>
      <c r="M485" s="65"/>
      <c r="N485" s="34"/>
      <c r="O485" s="35"/>
    </row>
    <row r="486" spans="1:15" s="36" customFormat="1" ht="12" x14ac:dyDescent="0.2">
      <c r="A486" s="33"/>
      <c r="B486" s="68"/>
      <c r="C486" s="64"/>
      <c r="D486" s="64"/>
      <c r="E486" s="64"/>
      <c r="F486" s="34"/>
      <c r="G486" s="34"/>
      <c r="H486" s="33"/>
      <c r="I486" s="68">
        <v>42222</v>
      </c>
      <c r="J486" s="64">
        <v>4.8</v>
      </c>
      <c r="K486" s="64">
        <v>0</v>
      </c>
      <c r="L486" s="64"/>
      <c r="M486" s="64"/>
      <c r="N486" s="34"/>
      <c r="O486" s="35"/>
    </row>
    <row r="487" spans="1:15" s="36" customFormat="1" ht="12" x14ac:dyDescent="0.2">
      <c r="A487" s="33"/>
      <c r="B487" s="69"/>
      <c r="C487" s="65"/>
      <c r="D487" s="65"/>
      <c r="E487" s="65"/>
      <c r="F487" s="34"/>
      <c r="G487" s="34"/>
      <c r="H487" s="33"/>
      <c r="I487" s="69">
        <v>42223</v>
      </c>
      <c r="J487" s="65">
        <v>4.8</v>
      </c>
      <c r="K487" s="65">
        <v>0</v>
      </c>
      <c r="L487" s="65"/>
      <c r="M487" s="65"/>
      <c r="N487" s="34"/>
      <c r="O487" s="35"/>
    </row>
    <row r="488" spans="1:15" s="36" customFormat="1" ht="12" x14ac:dyDescent="0.2">
      <c r="A488" s="33"/>
      <c r="B488" s="68"/>
      <c r="C488" s="64"/>
      <c r="D488" s="64"/>
      <c r="E488" s="64"/>
      <c r="F488" s="34"/>
      <c r="G488" s="34"/>
      <c r="H488" s="33"/>
      <c r="I488" s="68">
        <v>42226</v>
      </c>
      <c r="J488" s="64">
        <v>4.8</v>
      </c>
      <c r="K488" s="64">
        <v>0</v>
      </c>
      <c r="L488" s="64"/>
      <c r="M488" s="64"/>
      <c r="N488" s="34"/>
      <c r="O488" s="35"/>
    </row>
    <row r="489" spans="1:15" s="36" customFormat="1" ht="12" x14ac:dyDescent="0.2">
      <c r="A489" s="33"/>
      <c r="B489" s="69"/>
      <c r="C489" s="65"/>
      <c r="D489" s="65"/>
      <c r="E489" s="65"/>
      <c r="F489" s="34"/>
      <c r="G489" s="34"/>
      <c r="H489" s="33"/>
      <c r="I489" s="69">
        <v>42227</v>
      </c>
      <c r="J489" s="65">
        <v>4.8</v>
      </c>
      <c r="K489" s="65">
        <v>0</v>
      </c>
      <c r="L489" s="65"/>
      <c r="M489" s="65"/>
      <c r="N489" s="34"/>
      <c r="O489" s="35"/>
    </row>
    <row r="490" spans="1:15" s="36" customFormat="1" ht="12" x14ac:dyDescent="0.2">
      <c r="A490" s="33"/>
      <c r="B490" s="68"/>
      <c r="C490" s="64"/>
      <c r="D490" s="64"/>
      <c r="E490" s="64"/>
      <c r="F490" s="34"/>
      <c r="G490" s="34"/>
      <c r="H490" s="33"/>
      <c r="I490" s="68">
        <v>42228</v>
      </c>
      <c r="J490" s="64">
        <v>4.8</v>
      </c>
      <c r="K490" s="64">
        <v>0</v>
      </c>
      <c r="L490" s="64"/>
      <c r="M490" s="64"/>
      <c r="N490" s="34"/>
      <c r="O490" s="35"/>
    </row>
    <row r="491" spans="1:15" s="36" customFormat="1" ht="12" x14ac:dyDescent="0.2">
      <c r="A491" s="33"/>
      <c r="B491" s="69"/>
      <c r="C491" s="65"/>
      <c r="D491" s="65"/>
      <c r="E491" s="65"/>
      <c r="F491" s="34"/>
      <c r="G491" s="34"/>
      <c r="H491" s="33"/>
      <c r="I491" s="69">
        <v>42229</v>
      </c>
      <c r="J491" s="65">
        <v>4.8</v>
      </c>
      <c r="K491" s="65">
        <v>0</v>
      </c>
      <c r="L491" s="65"/>
      <c r="M491" s="65"/>
      <c r="N491" s="34"/>
      <c r="O491" s="35"/>
    </row>
    <row r="492" spans="1:15" s="36" customFormat="1" ht="12" x14ac:dyDescent="0.2">
      <c r="A492" s="33"/>
      <c r="B492" s="68"/>
      <c r="C492" s="64"/>
      <c r="D492" s="64"/>
      <c r="E492" s="64"/>
      <c r="F492" s="34"/>
      <c r="G492" s="34"/>
      <c r="H492" s="33"/>
      <c r="I492" s="68">
        <v>42230</v>
      </c>
      <c r="J492" s="64">
        <v>4.8</v>
      </c>
      <c r="K492" s="64">
        <v>0</v>
      </c>
      <c r="L492" s="64"/>
      <c r="M492" s="64"/>
      <c r="N492" s="34"/>
      <c r="O492" s="35"/>
    </row>
    <row r="493" spans="1:15" s="36" customFormat="1" ht="12" x14ac:dyDescent="0.2">
      <c r="A493" s="33"/>
      <c r="B493" s="69"/>
      <c r="C493" s="65"/>
      <c r="D493" s="65"/>
      <c r="E493" s="65"/>
      <c r="F493" s="34"/>
      <c r="G493" s="34"/>
      <c r="H493" s="33"/>
      <c r="I493" s="69">
        <v>42233</v>
      </c>
      <c r="J493" s="65">
        <v>4.8</v>
      </c>
      <c r="K493" s="65">
        <v>0</v>
      </c>
      <c r="L493" s="65"/>
      <c r="M493" s="65"/>
      <c r="N493" s="34"/>
      <c r="O493" s="35"/>
    </row>
    <row r="494" spans="1:15" s="36" customFormat="1" ht="12" x14ac:dyDescent="0.2">
      <c r="A494" s="33"/>
      <c r="B494" s="68"/>
      <c r="C494" s="64"/>
      <c r="D494" s="64"/>
      <c r="E494" s="64"/>
      <c r="F494" s="34"/>
      <c r="G494" s="34"/>
      <c r="H494" s="33"/>
      <c r="I494" s="68">
        <v>42234</v>
      </c>
      <c r="J494" s="64">
        <v>4.8</v>
      </c>
      <c r="K494" s="64">
        <v>0</v>
      </c>
      <c r="L494" s="64"/>
      <c r="M494" s="64"/>
      <c r="N494" s="34"/>
      <c r="O494" s="35"/>
    </row>
    <row r="495" spans="1:15" s="36" customFormat="1" ht="12" x14ac:dyDescent="0.2">
      <c r="A495" s="33"/>
      <c r="B495" s="69"/>
      <c r="C495" s="65"/>
      <c r="D495" s="65"/>
      <c r="E495" s="65"/>
      <c r="F495" s="34"/>
      <c r="G495" s="34"/>
      <c r="H495" s="33"/>
      <c r="I495" s="69">
        <v>42235</v>
      </c>
      <c r="J495" s="65">
        <v>4.8</v>
      </c>
      <c r="K495" s="65">
        <v>0</v>
      </c>
      <c r="L495" s="65"/>
      <c r="M495" s="65"/>
      <c r="N495" s="34"/>
      <c r="O495" s="35"/>
    </row>
    <row r="496" spans="1:15" s="36" customFormat="1" ht="12" x14ac:dyDescent="0.2">
      <c r="A496" s="33"/>
      <c r="B496" s="68"/>
      <c r="C496" s="64"/>
      <c r="D496" s="64"/>
      <c r="E496" s="64"/>
      <c r="F496" s="34"/>
      <c r="G496" s="34"/>
      <c r="H496" s="33"/>
      <c r="I496" s="68">
        <v>42236</v>
      </c>
      <c r="J496" s="64">
        <v>4.8</v>
      </c>
      <c r="K496" s="64">
        <v>0</v>
      </c>
      <c r="L496" s="64"/>
      <c r="M496" s="64"/>
      <c r="N496" s="34"/>
      <c r="O496" s="35"/>
    </row>
    <row r="497" spans="1:15" s="36" customFormat="1" ht="12" x14ac:dyDescent="0.2">
      <c r="A497" s="33"/>
      <c r="B497" s="69"/>
      <c r="C497" s="65"/>
      <c r="D497" s="65"/>
      <c r="E497" s="65"/>
      <c r="F497" s="34"/>
      <c r="G497" s="34"/>
      <c r="H497" s="33"/>
      <c r="I497" s="69">
        <v>42237</v>
      </c>
      <c r="J497" s="65">
        <v>4.8</v>
      </c>
      <c r="K497" s="65">
        <v>0</v>
      </c>
      <c r="L497" s="65"/>
      <c r="M497" s="65"/>
      <c r="N497" s="34"/>
      <c r="O497" s="35"/>
    </row>
    <row r="498" spans="1:15" s="36" customFormat="1" ht="12" x14ac:dyDescent="0.2">
      <c r="A498" s="33"/>
      <c r="B498" s="68"/>
      <c r="C498" s="64"/>
      <c r="D498" s="64"/>
      <c r="E498" s="64"/>
      <c r="F498" s="34"/>
      <c r="G498" s="34"/>
      <c r="H498" s="33"/>
      <c r="I498" s="68">
        <v>42240</v>
      </c>
      <c r="J498" s="64">
        <v>4.8</v>
      </c>
      <c r="K498" s="64">
        <v>0</v>
      </c>
      <c r="L498" s="64"/>
      <c r="M498" s="64"/>
      <c r="N498" s="34"/>
      <c r="O498" s="35"/>
    </row>
    <row r="499" spans="1:15" s="36" customFormat="1" ht="12" x14ac:dyDescent="0.2">
      <c r="A499" s="33"/>
      <c r="B499" s="69"/>
      <c r="C499" s="65"/>
      <c r="D499" s="65"/>
      <c r="E499" s="65"/>
      <c r="F499" s="34"/>
      <c r="G499" s="34"/>
      <c r="H499" s="33"/>
      <c r="I499" s="69">
        <v>42241</v>
      </c>
      <c r="J499" s="65">
        <v>4.8</v>
      </c>
      <c r="K499" s="65">
        <v>0</v>
      </c>
      <c r="L499" s="65"/>
      <c r="M499" s="65"/>
      <c r="N499" s="34"/>
      <c r="O499" s="35"/>
    </row>
    <row r="500" spans="1:15" s="36" customFormat="1" ht="12" x14ac:dyDescent="0.2">
      <c r="A500" s="33"/>
      <c r="B500" s="68"/>
      <c r="C500" s="64"/>
      <c r="D500" s="64"/>
      <c r="E500" s="64"/>
      <c r="F500" s="34"/>
      <c r="G500" s="34"/>
      <c r="H500" s="33"/>
      <c r="I500" s="68">
        <v>42242</v>
      </c>
      <c r="J500" s="64">
        <v>4.55</v>
      </c>
      <c r="K500" s="64">
        <v>0</v>
      </c>
      <c r="L500" s="64"/>
      <c r="M500" s="64"/>
      <c r="N500" s="34"/>
      <c r="O500" s="35"/>
    </row>
    <row r="501" spans="1:15" s="36" customFormat="1" ht="12" x14ac:dyDescent="0.2">
      <c r="A501" s="33"/>
      <c r="B501" s="69"/>
      <c r="C501" s="65"/>
      <c r="D501" s="65"/>
      <c r="E501" s="65"/>
      <c r="F501" s="34"/>
      <c r="G501" s="34"/>
      <c r="H501" s="33"/>
      <c r="I501" s="69">
        <v>42243</v>
      </c>
      <c r="J501" s="65">
        <v>4.55</v>
      </c>
      <c r="K501" s="65">
        <v>0</v>
      </c>
      <c r="L501" s="65"/>
      <c r="M501" s="65"/>
      <c r="N501" s="34"/>
      <c r="O501" s="35"/>
    </row>
    <row r="502" spans="1:15" s="36" customFormat="1" ht="12" x14ac:dyDescent="0.2">
      <c r="A502" s="33"/>
      <c r="B502" s="68"/>
      <c r="C502" s="64"/>
      <c r="D502" s="64"/>
      <c r="E502" s="64"/>
      <c r="F502" s="34"/>
      <c r="G502" s="34"/>
      <c r="H502" s="33"/>
      <c r="I502" s="68">
        <v>42244</v>
      </c>
      <c r="J502" s="64">
        <v>4.55</v>
      </c>
      <c r="K502" s="64">
        <v>0</v>
      </c>
      <c r="L502" s="64"/>
      <c r="M502" s="64"/>
      <c r="N502" s="34"/>
      <c r="O502" s="35"/>
    </row>
    <row r="503" spans="1:15" s="36" customFormat="1" ht="12" x14ac:dyDescent="0.2">
      <c r="A503" s="33"/>
      <c r="B503" s="69"/>
      <c r="C503" s="65"/>
      <c r="D503" s="65"/>
      <c r="E503" s="65"/>
      <c r="F503" s="34"/>
      <c r="G503" s="34"/>
      <c r="H503" s="33"/>
      <c r="I503" s="69">
        <v>42247</v>
      </c>
      <c r="J503" s="65">
        <v>4.55</v>
      </c>
      <c r="K503" s="65">
        <v>0</v>
      </c>
      <c r="L503" s="65"/>
      <c r="M503" s="65"/>
      <c r="N503" s="34"/>
      <c r="O503" s="35"/>
    </row>
    <row r="504" spans="1:15" s="36" customFormat="1" ht="12" x14ac:dyDescent="0.2">
      <c r="A504" s="33"/>
      <c r="B504" s="68"/>
      <c r="C504" s="64"/>
      <c r="D504" s="64"/>
      <c r="E504" s="64"/>
      <c r="F504" s="34"/>
      <c r="G504" s="34"/>
      <c r="H504" s="33"/>
      <c r="I504" s="68">
        <v>42248</v>
      </c>
      <c r="J504" s="64">
        <v>4.55</v>
      </c>
      <c r="K504" s="64">
        <v>0</v>
      </c>
      <c r="L504" s="64"/>
      <c r="M504" s="64"/>
      <c r="N504" s="34"/>
      <c r="O504" s="35"/>
    </row>
    <row r="505" spans="1:15" s="36" customFormat="1" ht="12" x14ac:dyDescent="0.2">
      <c r="A505" s="33"/>
      <c r="B505" s="69"/>
      <c r="C505" s="65"/>
      <c r="D505" s="65"/>
      <c r="E505" s="65"/>
      <c r="F505" s="34"/>
      <c r="G505" s="34"/>
      <c r="H505" s="33"/>
      <c r="I505" s="69">
        <v>42249</v>
      </c>
      <c r="J505" s="65">
        <v>4.55</v>
      </c>
      <c r="K505" s="65">
        <v>0</v>
      </c>
      <c r="L505" s="65"/>
      <c r="M505" s="65"/>
      <c r="N505" s="34"/>
      <c r="O505" s="35"/>
    </row>
    <row r="506" spans="1:15" s="36" customFormat="1" ht="12" x14ac:dyDescent="0.2">
      <c r="A506" s="33"/>
      <c r="B506" s="68"/>
      <c r="C506" s="64"/>
      <c r="D506" s="64"/>
      <c r="E506" s="64"/>
      <c r="F506" s="34"/>
      <c r="G506" s="34"/>
      <c r="H506" s="33"/>
      <c r="I506" s="68">
        <v>42253</v>
      </c>
      <c r="J506" s="64">
        <v>4.55</v>
      </c>
      <c r="K506" s="64">
        <v>0</v>
      </c>
      <c r="L506" s="64"/>
      <c r="M506" s="64"/>
      <c r="N506" s="34"/>
      <c r="O506" s="35"/>
    </row>
    <row r="507" spans="1:15" s="36" customFormat="1" ht="12" x14ac:dyDescent="0.2">
      <c r="A507" s="33"/>
      <c r="B507" s="69"/>
      <c r="C507" s="65"/>
      <c r="D507" s="65"/>
      <c r="E507" s="65"/>
      <c r="F507" s="34"/>
      <c r="G507" s="34"/>
      <c r="H507" s="33"/>
      <c r="I507" s="69">
        <v>42254</v>
      </c>
      <c r="J507" s="65">
        <v>4.55</v>
      </c>
      <c r="K507" s="65">
        <v>0</v>
      </c>
      <c r="L507" s="65"/>
      <c r="M507" s="65"/>
      <c r="N507" s="34"/>
      <c r="O507" s="35"/>
    </row>
    <row r="508" spans="1:15" s="36" customFormat="1" ht="12" x14ac:dyDescent="0.2">
      <c r="A508" s="33"/>
      <c r="B508" s="68"/>
      <c r="C508" s="64"/>
      <c r="D508" s="64"/>
      <c r="E508" s="64"/>
      <c r="F508" s="34"/>
      <c r="G508" s="34"/>
      <c r="H508" s="33"/>
      <c r="I508" s="68">
        <v>42255</v>
      </c>
      <c r="J508" s="64">
        <v>4.55</v>
      </c>
      <c r="K508" s="64">
        <v>0</v>
      </c>
      <c r="L508" s="64"/>
      <c r="M508" s="64"/>
      <c r="N508" s="34"/>
      <c r="O508" s="35"/>
    </row>
    <row r="509" spans="1:15" s="36" customFormat="1" ht="12" x14ac:dyDescent="0.2">
      <c r="A509" s="33"/>
      <c r="B509" s="69"/>
      <c r="C509" s="65"/>
      <c r="D509" s="65"/>
      <c r="E509" s="65"/>
      <c r="F509" s="34"/>
      <c r="G509" s="34"/>
      <c r="H509" s="33"/>
      <c r="I509" s="69">
        <v>42256</v>
      </c>
      <c r="J509" s="65">
        <v>4.55</v>
      </c>
      <c r="K509" s="65">
        <v>0</v>
      </c>
      <c r="L509" s="65"/>
      <c r="M509" s="65"/>
      <c r="N509" s="34"/>
      <c r="O509" s="35"/>
    </row>
    <row r="510" spans="1:15" s="36" customFormat="1" ht="12" x14ac:dyDescent="0.2">
      <c r="A510" s="33"/>
      <c r="B510" s="68"/>
      <c r="C510" s="64"/>
      <c r="D510" s="64"/>
      <c r="E510" s="64"/>
      <c r="F510" s="34"/>
      <c r="G510" s="34"/>
      <c r="H510" s="33"/>
      <c r="I510" s="68">
        <v>42257</v>
      </c>
      <c r="J510" s="64">
        <v>4.55</v>
      </c>
      <c r="K510" s="64">
        <v>0</v>
      </c>
      <c r="L510" s="64"/>
      <c r="M510" s="64"/>
      <c r="N510" s="34"/>
      <c r="O510" s="35"/>
    </row>
    <row r="511" spans="1:15" s="36" customFormat="1" ht="12" x14ac:dyDescent="0.2">
      <c r="A511" s="33"/>
      <c r="B511" s="69"/>
      <c r="C511" s="65"/>
      <c r="D511" s="65"/>
      <c r="E511" s="65"/>
      <c r="F511" s="34"/>
      <c r="G511" s="34"/>
      <c r="H511" s="33"/>
      <c r="I511" s="69">
        <v>42258</v>
      </c>
      <c r="J511" s="65">
        <v>4.55</v>
      </c>
      <c r="K511" s="65">
        <v>0</v>
      </c>
      <c r="L511" s="65"/>
      <c r="M511" s="65"/>
      <c r="N511" s="34"/>
      <c r="O511" s="35"/>
    </row>
    <row r="512" spans="1:15" s="36" customFormat="1" ht="12" x14ac:dyDescent="0.2">
      <c r="A512" s="33"/>
      <c r="B512" s="68"/>
      <c r="C512" s="64"/>
      <c r="D512" s="64"/>
      <c r="E512" s="64"/>
      <c r="F512" s="34"/>
      <c r="G512" s="34"/>
      <c r="H512" s="33"/>
      <c r="I512" s="68">
        <v>42261</v>
      </c>
      <c r="J512" s="64">
        <v>4.55</v>
      </c>
      <c r="K512" s="64">
        <v>0</v>
      </c>
      <c r="L512" s="64"/>
      <c r="M512" s="64"/>
      <c r="N512" s="34"/>
      <c r="O512" s="35"/>
    </row>
    <row r="513" spans="1:15" s="36" customFormat="1" ht="12" x14ac:dyDescent="0.2">
      <c r="A513" s="33"/>
      <c r="B513" s="69"/>
      <c r="C513" s="65"/>
      <c r="D513" s="65"/>
      <c r="E513" s="65"/>
      <c r="F513" s="34"/>
      <c r="G513" s="34"/>
      <c r="H513" s="33"/>
      <c r="I513" s="69">
        <v>42262</v>
      </c>
      <c r="J513" s="65">
        <v>4.55</v>
      </c>
      <c r="K513" s="65">
        <v>0</v>
      </c>
      <c r="L513" s="65"/>
      <c r="M513" s="65"/>
      <c r="N513" s="34"/>
      <c r="O513" s="35"/>
    </row>
    <row r="514" spans="1:15" s="36" customFormat="1" ht="12" x14ac:dyDescent="0.2">
      <c r="A514" s="33"/>
      <c r="B514" s="68"/>
      <c r="C514" s="64"/>
      <c r="D514" s="64"/>
      <c r="E514" s="64"/>
      <c r="F514" s="34"/>
      <c r="G514" s="34"/>
      <c r="H514" s="33"/>
      <c r="I514" s="68">
        <v>42263</v>
      </c>
      <c r="J514" s="64">
        <v>4.55</v>
      </c>
      <c r="K514" s="64">
        <v>0</v>
      </c>
      <c r="L514" s="64"/>
      <c r="M514" s="64"/>
      <c r="N514" s="34"/>
      <c r="O514" s="35"/>
    </row>
    <row r="515" spans="1:15" s="36" customFormat="1" ht="12" x14ac:dyDescent="0.2">
      <c r="A515" s="33"/>
      <c r="B515" s="69"/>
      <c r="C515" s="65"/>
      <c r="D515" s="65"/>
      <c r="E515" s="65"/>
      <c r="F515" s="34"/>
      <c r="G515" s="34"/>
      <c r="H515" s="33"/>
      <c r="I515" s="69">
        <v>42264</v>
      </c>
      <c r="J515" s="65">
        <v>4.55</v>
      </c>
      <c r="K515" s="65">
        <v>0</v>
      </c>
      <c r="L515" s="65"/>
      <c r="M515" s="65"/>
      <c r="N515" s="34"/>
      <c r="O515" s="35"/>
    </row>
    <row r="516" spans="1:15" s="36" customFormat="1" ht="12" x14ac:dyDescent="0.2">
      <c r="A516" s="33"/>
      <c r="B516" s="68"/>
      <c r="C516" s="64"/>
      <c r="D516" s="64"/>
      <c r="E516" s="64"/>
      <c r="F516" s="34"/>
      <c r="G516" s="34"/>
      <c r="H516" s="33"/>
      <c r="I516" s="68">
        <v>42265</v>
      </c>
      <c r="J516" s="64">
        <v>4.55</v>
      </c>
      <c r="K516" s="64">
        <v>0</v>
      </c>
      <c r="L516" s="64"/>
      <c r="M516" s="64"/>
      <c r="N516" s="34"/>
      <c r="O516" s="35"/>
    </row>
    <row r="517" spans="1:15" s="36" customFormat="1" ht="12" x14ac:dyDescent="0.2">
      <c r="A517" s="33"/>
      <c r="B517" s="69"/>
      <c r="C517" s="65"/>
      <c r="D517" s="65"/>
      <c r="E517" s="65"/>
      <c r="F517" s="34"/>
      <c r="G517" s="34"/>
      <c r="H517" s="33"/>
      <c r="I517" s="69">
        <v>42268</v>
      </c>
      <c r="J517" s="65">
        <v>4.55</v>
      </c>
      <c r="K517" s="65">
        <v>0</v>
      </c>
      <c r="L517" s="65"/>
      <c r="M517" s="65"/>
      <c r="N517" s="34"/>
      <c r="O517" s="35"/>
    </row>
    <row r="518" spans="1:15" s="36" customFormat="1" ht="12" x14ac:dyDescent="0.2">
      <c r="A518" s="33"/>
      <c r="B518" s="68"/>
      <c r="C518" s="64"/>
      <c r="D518" s="64"/>
      <c r="E518" s="64"/>
      <c r="F518" s="34"/>
      <c r="G518" s="34"/>
      <c r="H518" s="33"/>
      <c r="I518" s="68">
        <v>42269</v>
      </c>
      <c r="J518" s="64">
        <v>4.55</v>
      </c>
      <c r="K518" s="64">
        <v>0</v>
      </c>
      <c r="L518" s="64"/>
      <c r="M518" s="64"/>
      <c r="N518" s="34"/>
      <c r="O518" s="35"/>
    </row>
    <row r="519" spans="1:15" s="36" customFormat="1" ht="12" x14ac:dyDescent="0.2">
      <c r="A519" s="33"/>
      <c r="B519" s="69"/>
      <c r="C519" s="65"/>
      <c r="D519" s="65"/>
      <c r="E519" s="65"/>
      <c r="F519" s="34"/>
      <c r="G519" s="34"/>
      <c r="H519" s="33"/>
      <c r="I519" s="69">
        <v>42270</v>
      </c>
      <c r="J519" s="65">
        <v>4.55</v>
      </c>
      <c r="K519" s="65">
        <v>0</v>
      </c>
      <c r="L519" s="65"/>
      <c r="M519" s="65"/>
      <c r="N519" s="34"/>
      <c r="O519" s="35"/>
    </row>
    <row r="520" spans="1:15" s="36" customFormat="1" ht="12" x14ac:dyDescent="0.2">
      <c r="A520" s="33"/>
      <c r="B520" s="68"/>
      <c r="C520" s="64"/>
      <c r="D520" s="64"/>
      <c r="E520" s="64"/>
      <c r="F520" s="34"/>
      <c r="G520" s="34"/>
      <c r="H520" s="33"/>
      <c r="I520" s="68">
        <v>42271</v>
      </c>
      <c r="J520" s="64">
        <v>4.55</v>
      </c>
      <c r="K520" s="64">
        <v>0</v>
      </c>
      <c r="L520" s="64"/>
      <c r="M520" s="64"/>
      <c r="N520" s="34"/>
      <c r="O520" s="35"/>
    </row>
    <row r="521" spans="1:15" s="36" customFormat="1" ht="12" x14ac:dyDescent="0.2">
      <c r="A521" s="33"/>
      <c r="B521" s="69"/>
      <c r="C521" s="65"/>
      <c r="D521" s="65"/>
      <c r="E521" s="65"/>
      <c r="F521" s="34"/>
      <c r="G521" s="34"/>
      <c r="H521" s="33"/>
      <c r="I521" s="69">
        <v>42272</v>
      </c>
      <c r="J521" s="65">
        <v>4.55</v>
      </c>
      <c r="K521" s="65">
        <v>0</v>
      </c>
      <c r="L521" s="65"/>
      <c r="M521" s="65"/>
      <c r="N521" s="34"/>
      <c r="O521" s="35"/>
    </row>
    <row r="522" spans="1:15" s="36" customFormat="1" ht="12" x14ac:dyDescent="0.2">
      <c r="A522" s="33"/>
      <c r="B522" s="68"/>
      <c r="C522" s="64"/>
      <c r="D522" s="64"/>
      <c r="E522" s="64"/>
      <c r="F522" s="34"/>
      <c r="G522" s="34"/>
      <c r="H522" s="33"/>
      <c r="I522" s="68">
        <v>42275</v>
      </c>
      <c r="J522" s="64">
        <v>4.55</v>
      </c>
      <c r="K522" s="64">
        <v>0</v>
      </c>
      <c r="L522" s="64"/>
      <c r="M522" s="64"/>
      <c r="N522" s="34"/>
      <c r="O522" s="35"/>
    </row>
    <row r="523" spans="1:15" s="36" customFormat="1" ht="12" x14ac:dyDescent="0.2">
      <c r="A523" s="33"/>
      <c r="B523" s="69"/>
      <c r="C523" s="65"/>
      <c r="D523" s="65"/>
      <c r="E523" s="65"/>
      <c r="F523" s="34"/>
      <c r="G523" s="34"/>
      <c r="H523" s="33"/>
      <c r="I523" s="69">
        <v>42276</v>
      </c>
      <c r="J523" s="65">
        <v>4.55</v>
      </c>
      <c r="K523" s="65">
        <v>0</v>
      </c>
      <c r="L523" s="65"/>
      <c r="M523" s="65"/>
      <c r="N523" s="34"/>
      <c r="O523" s="35"/>
    </row>
    <row r="524" spans="1:15" s="36" customFormat="1" ht="12" x14ac:dyDescent="0.2">
      <c r="A524" s="33"/>
      <c r="B524" s="68"/>
      <c r="C524" s="64"/>
      <c r="D524" s="64"/>
      <c r="E524" s="64"/>
      <c r="F524" s="34"/>
      <c r="G524" s="34"/>
      <c r="H524" s="33"/>
      <c r="I524" s="68">
        <v>42277</v>
      </c>
      <c r="J524" s="64">
        <v>4.55</v>
      </c>
      <c r="K524" s="64">
        <v>0</v>
      </c>
      <c r="L524" s="64"/>
      <c r="M524" s="64"/>
      <c r="N524" s="34"/>
      <c r="O524" s="35"/>
    </row>
    <row r="525" spans="1:15" s="36" customFormat="1" ht="12" x14ac:dyDescent="0.2">
      <c r="A525" s="33"/>
      <c r="B525" s="69"/>
      <c r="C525" s="65"/>
      <c r="D525" s="65"/>
      <c r="E525" s="65"/>
      <c r="F525" s="34"/>
      <c r="G525" s="34"/>
      <c r="H525" s="33"/>
      <c r="I525" s="69">
        <v>42285</v>
      </c>
      <c r="J525" s="65">
        <v>4.55</v>
      </c>
      <c r="K525" s="65">
        <v>0</v>
      </c>
      <c r="L525" s="65"/>
      <c r="M525" s="65"/>
      <c r="N525" s="34"/>
      <c r="O525" s="35"/>
    </row>
    <row r="526" spans="1:15" s="36" customFormat="1" ht="12" x14ac:dyDescent="0.2">
      <c r="A526" s="33"/>
      <c r="B526" s="68"/>
      <c r="C526" s="64"/>
      <c r="D526" s="64"/>
      <c r="E526" s="64"/>
      <c r="F526" s="34"/>
      <c r="G526" s="34"/>
      <c r="H526" s="33"/>
      <c r="I526" s="68">
        <v>42286</v>
      </c>
      <c r="J526" s="64">
        <v>4.55</v>
      </c>
      <c r="K526" s="64">
        <v>0</v>
      </c>
      <c r="L526" s="64"/>
      <c r="M526" s="64"/>
      <c r="N526" s="34"/>
      <c r="O526" s="35"/>
    </row>
    <row r="527" spans="1:15" s="36" customFormat="1" ht="12" x14ac:dyDescent="0.2">
      <c r="A527" s="33"/>
      <c r="B527" s="69"/>
      <c r="C527" s="65"/>
      <c r="D527" s="65"/>
      <c r="E527" s="65"/>
      <c r="F527" s="34"/>
      <c r="G527" s="34"/>
      <c r="H527" s="33"/>
      <c r="I527" s="69">
        <v>42287</v>
      </c>
      <c r="J527" s="65">
        <v>4.55</v>
      </c>
      <c r="K527" s="65">
        <v>0</v>
      </c>
      <c r="L527" s="65"/>
      <c r="M527" s="65"/>
      <c r="N527" s="34"/>
      <c r="O527" s="35"/>
    </row>
    <row r="528" spans="1:15" s="36" customFormat="1" ht="12" x14ac:dyDescent="0.2">
      <c r="A528" s="33"/>
      <c r="B528" s="68"/>
      <c r="C528" s="64"/>
      <c r="D528" s="64"/>
      <c r="E528" s="64"/>
      <c r="F528" s="34"/>
      <c r="G528" s="34"/>
      <c r="H528" s="33"/>
      <c r="I528" s="68">
        <v>42289</v>
      </c>
      <c r="J528" s="64">
        <v>4.55</v>
      </c>
      <c r="K528" s="64">
        <v>0</v>
      </c>
      <c r="L528" s="64"/>
      <c r="M528" s="64"/>
      <c r="N528" s="34"/>
      <c r="O528" s="35"/>
    </row>
    <row r="529" spans="1:15" s="36" customFormat="1" ht="12" x14ac:dyDescent="0.2">
      <c r="A529" s="33"/>
      <c r="B529" s="69"/>
      <c r="C529" s="65"/>
      <c r="D529" s="65"/>
      <c r="E529" s="65"/>
      <c r="F529" s="34"/>
      <c r="G529" s="34"/>
      <c r="H529" s="33"/>
      <c r="I529" s="69">
        <v>42290</v>
      </c>
      <c r="J529" s="65">
        <v>4.55</v>
      </c>
      <c r="K529" s="65">
        <v>0</v>
      </c>
      <c r="L529" s="65"/>
      <c r="M529" s="65"/>
      <c r="N529" s="34"/>
      <c r="O529" s="35"/>
    </row>
    <row r="530" spans="1:15" s="36" customFormat="1" ht="12" x14ac:dyDescent="0.2">
      <c r="A530" s="33"/>
      <c r="B530" s="68"/>
      <c r="C530" s="64"/>
      <c r="D530" s="64"/>
      <c r="E530" s="64"/>
      <c r="F530" s="34"/>
      <c r="G530" s="34"/>
      <c r="H530" s="33"/>
      <c r="I530" s="68">
        <v>42291</v>
      </c>
      <c r="J530" s="64">
        <v>4.55</v>
      </c>
      <c r="K530" s="64">
        <v>0</v>
      </c>
      <c r="L530" s="64"/>
      <c r="M530" s="64"/>
      <c r="N530" s="34"/>
      <c r="O530" s="35"/>
    </row>
    <row r="531" spans="1:15" s="36" customFormat="1" ht="12" x14ac:dyDescent="0.2">
      <c r="A531" s="33"/>
      <c r="B531" s="69"/>
      <c r="C531" s="65"/>
      <c r="D531" s="65"/>
      <c r="E531" s="65"/>
      <c r="F531" s="34"/>
      <c r="G531" s="34"/>
      <c r="H531" s="33"/>
      <c r="I531" s="69">
        <v>42292</v>
      </c>
      <c r="J531" s="65">
        <v>4.55</v>
      </c>
      <c r="K531" s="65">
        <v>0</v>
      </c>
      <c r="L531" s="65"/>
      <c r="M531" s="65"/>
      <c r="N531" s="34"/>
      <c r="O531" s="35"/>
    </row>
    <row r="532" spans="1:15" s="36" customFormat="1" ht="12" x14ac:dyDescent="0.2">
      <c r="A532" s="33"/>
      <c r="B532" s="68"/>
      <c r="C532" s="64"/>
      <c r="D532" s="64"/>
      <c r="E532" s="64"/>
      <c r="F532" s="34"/>
      <c r="G532" s="34"/>
      <c r="H532" s="33"/>
      <c r="I532" s="68">
        <v>42293</v>
      </c>
      <c r="J532" s="64">
        <v>4.55</v>
      </c>
      <c r="K532" s="64">
        <v>0</v>
      </c>
      <c r="L532" s="64"/>
      <c r="M532" s="64"/>
      <c r="N532" s="34"/>
      <c r="O532" s="35"/>
    </row>
    <row r="533" spans="1:15" s="36" customFormat="1" ht="12" x14ac:dyDescent="0.2">
      <c r="A533" s="33"/>
      <c r="B533" s="69"/>
      <c r="C533" s="65"/>
      <c r="D533" s="65"/>
      <c r="E533" s="65"/>
      <c r="F533" s="34"/>
      <c r="G533" s="34"/>
      <c r="H533" s="33"/>
      <c r="I533" s="69">
        <v>42296</v>
      </c>
      <c r="J533" s="65">
        <v>4.55</v>
      </c>
      <c r="K533" s="65">
        <v>0</v>
      </c>
      <c r="L533" s="65"/>
      <c r="M533" s="65"/>
      <c r="N533" s="34"/>
      <c r="O533" s="35"/>
    </row>
    <row r="534" spans="1:15" s="36" customFormat="1" ht="12" x14ac:dyDescent="0.2">
      <c r="A534" s="33"/>
      <c r="B534" s="68"/>
      <c r="C534" s="64"/>
      <c r="D534" s="64"/>
      <c r="E534" s="64"/>
      <c r="F534" s="34"/>
      <c r="G534" s="34"/>
      <c r="H534" s="33"/>
      <c r="I534" s="68">
        <v>42297</v>
      </c>
      <c r="J534" s="64">
        <v>4.55</v>
      </c>
      <c r="K534" s="64">
        <v>0</v>
      </c>
      <c r="L534" s="64"/>
      <c r="M534" s="64"/>
      <c r="N534" s="34"/>
      <c r="O534" s="35"/>
    </row>
    <row r="535" spans="1:15" s="36" customFormat="1" ht="12" x14ac:dyDescent="0.2">
      <c r="A535" s="33"/>
      <c r="B535" s="69"/>
      <c r="C535" s="65"/>
      <c r="D535" s="65"/>
      <c r="E535" s="65"/>
      <c r="F535" s="34"/>
      <c r="G535" s="34"/>
      <c r="H535" s="33"/>
      <c r="I535" s="69">
        <v>42298</v>
      </c>
      <c r="J535" s="65">
        <v>4.55</v>
      </c>
      <c r="K535" s="65">
        <v>0</v>
      </c>
      <c r="L535" s="65"/>
      <c r="M535" s="65"/>
      <c r="N535" s="34"/>
      <c r="O535" s="35"/>
    </row>
    <row r="536" spans="1:15" s="36" customFormat="1" ht="12" x14ac:dyDescent="0.2">
      <c r="A536" s="33"/>
      <c r="B536" s="68"/>
      <c r="C536" s="64"/>
      <c r="D536" s="64"/>
      <c r="E536" s="64"/>
      <c r="F536" s="34"/>
      <c r="G536" s="34"/>
      <c r="H536" s="33"/>
      <c r="I536" s="68">
        <v>42299</v>
      </c>
      <c r="J536" s="64">
        <v>4.55</v>
      </c>
      <c r="K536" s="64">
        <v>0</v>
      </c>
      <c r="L536" s="64"/>
      <c r="M536" s="64"/>
      <c r="N536" s="34"/>
      <c r="O536" s="35"/>
    </row>
    <row r="537" spans="1:15" s="36" customFormat="1" ht="12" x14ac:dyDescent="0.2">
      <c r="A537" s="33"/>
      <c r="B537" s="69"/>
      <c r="C537" s="65"/>
      <c r="D537" s="65"/>
      <c r="E537" s="65"/>
      <c r="F537" s="34"/>
      <c r="G537" s="34"/>
      <c r="H537" s="33"/>
      <c r="I537" s="69">
        <v>42300</v>
      </c>
      <c r="J537" s="65">
        <v>4.55</v>
      </c>
      <c r="K537" s="65">
        <v>0</v>
      </c>
      <c r="L537" s="65"/>
      <c r="M537" s="65"/>
      <c r="N537" s="34"/>
      <c r="O537" s="35"/>
    </row>
    <row r="538" spans="1:15" s="36" customFormat="1" ht="12" x14ac:dyDescent="0.2">
      <c r="A538" s="33"/>
      <c r="B538" s="68"/>
      <c r="C538" s="64"/>
      <c r="D538" s="64"/>
      <c r="E538" s="64"/>
      <c r="F538" s="34"/>
      <c r="G538" s="34"/>
      <c r="H538" s="33"/>
      <c r="I538" s="68">
        <v>42303</v>
      </c>
      <c r="J538" s="64">
        <v>4.3</v>
      </c>
      <c r="K538" s="64">
        <v>0</v>
      </c>
      <c r="L538" s="64"/>
      <c r="M538" s="64"/>
      <c r="N538" s="34"/>
      <c r="O538" s="35"/>
    </row>
    <row r="539" spans="1:15" s="36" customFormat="1" ht="12" x14ac:dyDescent="0.2">
      <c r="A539" s="33"/>
      <c r="B539" s="69"/>
      <c r="C539" s="65"/>
      <c r="D539" s="65"/>
      <c r="E539" s="65"/>
      <c r="F539" s="34"/>
      <c r="G539" s="34"/>
      <c r="H539" s="33"/>
      <c r="I539" s="69">
        <v>42304</v>
      </c>
      <c r="J539" s="65">
        <v>4.3</v>
      </c>
      <c r="K539" s="65">
        <v>0</v>
      </c>
      <c r="L539" s="65"/>
      <c r="M539" s="65"/>
      <c r="N539" s="34"/>
      <c r="O539" s="35"/>
    </row>
    <row r="540" spans="1:15" s="36" customFormat="1" ht="12" x14ac:dyDescent="0.2">
      <c r="A540" s="33"/>
      <c r="B540" s="68"/>
      <c r="C540" s="64"/>
      <c r="D540" s="64"/>
      <c r="E540" s="64"/>
      <c r="F540" s="34"/>
      <c r="G540" s="34"/>
      <c r="H540" s="33"/>
      <c r="I540" s="68">
        <v>42305</v>
      </c>
      <c r="J540" s="64">
        <v>4.3</v>
      </c>
      <c r="K540" s="64">
        <v>0</v>
      </c>
      <c r="L540" s="64"/>
      <c r="M540" s="64"/>
      <c r="N540" s="34"/>
      <c r="O540" s="35"/>
    </row>
    <row r="541" spans="1:15" s="36" customFormat="1" ht="12" x14ac:dyDescent="0.2">
      <c r="A541" s="33"/>
      <c r="B541" s="69"/>
      <c r="C541" s="65"/>
      <c r="D541" s="65"/>
      <c r="E541" s="65"/>
      <c r="F541" s="34"/>
      <c r="G541" s="34"/>
      <c r="H541" s="33"/>
      <c r="I541" s="69">
        <v>42306</v>
      </c>
      <c r="J541" s="65">
        <v>4.3</v>
      </c>
      <c r="K541" s="65">
        <v>0</v>
      </c>
      <c r="L541" s="65"/>
      <c r="M541" s="65"/>
      <c r="N541" s="34"/>
      <c r="O541" s="35"/>
    </row>
    <row r="542" spans="1:15" s="36" customFormat="1" ht="12" x14ac:dyDescent="0.2">
      <c r="A542" s="33"/>
      <c r="B542" s="68"/>
      <c r="C542" s="64"/>
      <c r="D542" s="64"/>
      <c r="E542" s="64"/>
      <c r="F542" s="34"/>
      <c r="G542" s="34"/>
      <c r="H542" s="33"/>
      <c r="I542" s="68">
        <v>42307</v>
      </c>
      <c r="J542" s="64">
        <v>4.3</v>
      </c>
      <c r="K542" s="64">
        <v>0</v>
      </c>
      <c r="L542" s="64"/>
      <c r="M542" s="64"/>
      <c r="N542" s="34"/>
      <c r="O542" s="35"/>
    </row>
    <row r="543" spans="1:15" s="36" customFormat="1" ht="12" x14ac:dyDescent="0.2">
      <c r="A543" s="33"/>
      <c r="B543" s="69"/>
      <c r="C543" s="65"/>
      <c r="D543" s="65"/>
      <c r="E543" s="65"/>
      <c r="F543" s="34"/>
      <c r="G543" s="34"/>
      <c r="H543" s="33"/>
      <c r="I543" s="69">
        <v>42310</v>
      </c>
      <c r="J543" s="65">
        <v>4.3</v>
      </c>
      <c r="K543" s="65">
        <v>0</v>
      </c>
      <c r="L543" s="65"/>
      <c r="M543" s="65"/>
      <c r="N543" s="34"/>
      <c r="O543" s="35"/>
    </row>
    <row r="544" spans="1:15" s="36" customFormat="1" ht="12" x14ac:dyDescent="0.2">
      <c r="A544" s="33"/>
      <c r="B544" s="68"/>
      <c r="C544" s="64"/>
      <c r="D544" s="64"/>
      <c r="E544" s="64"/>
      <c r="F544" s="34"/>
      <c r="G544" s="34"/>
      <c r="H544" s="33"/>
      <c r="I544" s="68">
        <v>42311</v>
      </c>
      <c r="J544" s="64">
        <v>4.3</v>
      </c>
      <c r="K544" s="64">
        <v>0</v>
      </c>
      <c r="L544" s="64"/>
      <c r="M544" s="64"/>
      <c r="N544" s="34"/>
      <c r="O544" s="35"/>
    </row>
    <row r="545" spans="1:15" s="36" customFormat="1" ht="12" x14ac:dyDescent="0.2">
      <c r="A545" s="33"/>
      <c r="B545" s="69"/>
      <c r="C545" s="65"/>
      <c r="D545" s="65"/>
      <c r="E545" s="65"/>
      <c r="F545" s="34"/>
      <c r="G545" s="34"/>
      <c r="H545" s="33"/>
      <c r="I545" s="69">
        <v>42312</v>
      </c>
      <c r="J545" s="65">
        <v>4.3</v>
      </c>
      <c r="K545" s="65">
        <v>0</v>
      </c>
      <c r="L545" s="65"/>
      <c r="M545" s="65"/>
      <c r="N545" s="34"/>
      <c r="O545" s="35"/>
    </row>
    <row r="546" spans="1:15" s="36" customFormat="1" ht="12" x14ac:dyDescent="0.2">
      <c r="A546" s="33"/>
      <c r="B546" s="68"/>
      <c r="C546" s="64"/>
      <c r="D546" s="64"/>
      <c r="E546" s="64"/>
      <c r="F546" s="34"/>
      <c r="G546" s="34"/>
      <c r="H546" s="33"/>
      <c r="I546" s="68">
        <v>42313</v>
      </c>
      <c r="J546" s="64">
        <v>4.3</v>
      </c>
      <c r="K546" s="64">
        <v>0</v>
      </c>
      <c r="L546" s="64"/>
      <c r="M546" s="64"/>
      <c r="N546" s="34"/>
      <c r="O546" s="35"/>
    </row>
    <row r="547" spans="1:15" s="36" customFormat="1" ht="12" x14ac:dyDescent="0.2">
      <c r="A547" s="33"/>
      <c r="B547" s="69"/>
      <c r="C547" s="65"/>
      <c r="D547" s="65"/>
      <c r="E547" s="65"/>
      <c r="F547" s="34"/>
      <c r="G547" s="34"/>
      <c r="H547" s="33"/>
      <c r="I547" s="69">
        <v>42314</v>
      </c>
      <c r="J547" s="65">
        <v>4.3</v>
      </c>
      <c r="K547" s="65">
        <v>0</v>
      </c>
      <c r="L547" s="65"/>
      <c r="M547" s="65"/>
      <c r="N547" s="34"/>
      <c r="O547" s="35"/>
    </row>
    <row r="548" spans="1:15" s="36" customFormat="1" ht="12" x14ac:dyDescent="0.2">
      <c r="A548" s="33"/>
      <c r="B548" s="68"/>
      <c r="C548" s="64"/>
      <c r="D548" s="64"/>
      <c r="E548" s="64"/>
      <c r="F548" s="34"/>
      <c r="G548" s="34"/>
      <c r="H548" s="33"/>
      <c r="I548" s="68">
        <v>42317</v>
      </c>
      <c r="J548" s="64">
        <v>4.3</v>
      </c>
      <c r="K548" s="64">
        <v>0</v>
      </c>
      <c r="L548" s="64"/>
      <c r="M548" s="64"/>
      <c r="N548" s="34"/>
      <c r="O548" s="35"/>
    </row>
    <row r="549" spans="1:15" s="36" customFormat="1" ht="12" x14ac:dyDescent="0.2">
      <c r="A549" s="33"/>
      <c r="B549" s="69"/>
      <c r="C549" s="65"/>
      <c r="D549" s="65"/>
      <c r="E549" s="65"/>
      <c r="F549" s="34"/>
      <c r="G549" s="34"/>
      <c r="H549" s="33"/>
      <c r="I549" s="69">
        <v>42318</v>
      </c>
      <c r="J549" s="65">
        <v>4.3</v>
      </c>
      <c r="K549" s="65">
        <v>0</v>
      </c>
      <c r="L549" s="65"/>
      <c r="M549" s="65"/>
      <c r="N549" s="34"/>
      <c r="O549" s="35"/>
    </row>
    <row r="550" spans="1:15" s="36" customFormat="1" ht="12" x14ac:dyDescent="0.2">
      <c r="A550" s="33"/>
      <c r="B550" s="68"/>
      <c r="C550" s="64"/>
      <c r="D550" s="64"/>
      <c r="E550" s="64"/>
      <c r="F550" s="34"/>
      <c r="G550" s="34"/>
      <c r="H550" s="33"/>
      <c r="I550" s="68">
        <v>42319</v>
      </c>
      <c r="J550" s="64">
        <v>4.3</v>
      </c>
      <c r="K550" s="64">
        <v>0</v>
      </c>
      <c r="L550" s="64"/>
      <c r="M550" s="64"/>
      <c r="N550" s="34"/>
      <c r="O550" s="35"/>
    </row>
    <row r="551" spans="1:15" s="36" customFormat="1" ht="12" x14ac:dyDescent="0.2">
      <c r="A551" s="33"/>
      <c r="B551" s="69"/>
      <c r="C551" s="65"/>
      <c r="D551" s="65"/>
      <c r="E551" s="65"/>
      <c r="F551" s="34"/>
      <c r="G551" s="34"/>
      <c r="H551" s="33"/>
      <c r="I551" s="69">
        <v>42320</v>
      </c>
      <c r="J551" s="65">
        <v>4.3</v>
      </c>
      <c r="K551" s="65">
        <v>0</v>
      </c>
      <c r="L551" s="65"/>
      <c r="M551" s="65"/>
      <c r="N551" s="34"/>
      <c r="O551" s="35"/>
    </row>
    <row r="552" spans="1:15" s="36" customFormat="1" ht="12" x14ac:dyDescent="0.2">
      <c r="A552" s="33"/>
      <c r="B552" s="68"/>
      <c r="C552" s="64"/>
      <c r="D552" s="64"/>
      <c r="E552" s="64"/>
      <c r="F552" s="34"/>
      <c r="G552" s="34"/>
      <c r="H552" s="33"/>
      <c r="I552" s="68">
        <v>42321</v>
      </c>
      <c r="J552" s="64">
        <v>4.3</v>
      </c>
      <c r="K552" s="64">
        <v>0</v>
      </c>
      <c r="L552" s="64"/>
      <c r="M552" s="64"/>
      <c r="N552" s="34"/>
      <c r="O552" s="35"/>
    </row>
    <row r="553" spans="1:15" s="36" customFormat="1" ht="12" x14ac:dyDescent="0.2">
      <c r="A553" s="33"/>
      <c r="B553" s="69"/>
      <c r="C553" s="65"/>
      <c r="D553" s="65"/>
      <c r="E553" s="65"/>
      <c r="F553" s="34"/>
      <c r="G553" s="34"/>
      <c r="H553" s="33"/>
      <c r="I553" s="69">
        <v>42324</v>
      </c>
      <c r="J553" s="65">
        <v>4.3</v>
      </c>
      <c r="K553" s="65">
        <v>0</v>
      </c>
      <c r="L553" s="65"/>
      <c r="M553" s="65"/>
      <c r="N553" s="34"/>
      <c r="O553" s="35"/>
    </row>
    <row r="554" spans="1:15" s="36" customFormat="1" ht="12" x14ac:dyDescent="0.2">
      <c r="A554" s="33"/>
      <c r="B554" s="68"/>
      <c r="C554" s="64"/>
      <c r="D554" s="64"/>
      <c r="E554" s="64"/>
      <c r="F554" s="34"/>
      <c r="G554" s="34"/>
      <c r="H554" s="33"/>
      <c r="I554" s="68">
        <v>42325</v>
      </c>
      <c r="J554" s="64">
        <v>4.3</v>
      </c>
      <c r="K554" s="64">
        <v>0</v>
      </c>
      <c r="L554" s="64"/>
      <c r="M554" s="64"/>
      <c r="N554" s="34"/>
      <c r="O554" s="35"/>
    </row>
    <row r="555" spans="1:15" s="36" customFormat="1" ht="12" x14ac:dyDescent="0.2">
      <c r="A555" s="33"/>
      <c r="B555" s="69"/>
      <c r="C555" s="65"/>
      <c r="D555" s="65"/>
      <c r="E555" s="65"/>
      <c r="F555" s="34"/>
      <c r="G555" s="34"/>
      <c r="H555" s="33"/>
      <c r="I555" s="69">
        <v>42326</v>
      </c>
      <c r="J555" s="65">
        <v>4.3</v>
      </c>
      <c r="K555" s="65">
        <v>0</v>
      </c>
      <c r="L555" s="65"/>
      <c r="M555" s="65"/>
      <c r="N555" s="34"/>
      <c r="O555" s="35"/>
    </row>
    <row r="556" spans="1:15" s="36" customFormat="1" ht="12" x14ac:dyDescent="0.2">
      <c r="A556" s="33"/>
      <c r="B556" s="68"/>
      <c r="C556" s="64"/>
      <c r="D556" s="64"/>
      <c r="E556" s="64"/>
      <c r="F556" s="34"/>
      <c r="G556" s="34"/>
      <c r="H556" s="33"/>
      <c r="I556" s="68">
        <v>42327</v>
      </c>
      <c r="J556" s="64">
        <v>4.3</v>
      </c>
      <c r="K556" s="64">
        <v>0</v>
      </c>
      <c r="L556" s="64"/>
      <c r="M556" s="64"/>
      <c r="N556" s="34"/>
      <c r="O556" s="35"/>
    </row>
    <row r="557" spans="1:15" s="36" customFormat="1" ht="12" x14ac:dyDescent="0.2">
      <c r="A557" s="33"/>
      <c r="B557" s="69"/>
      <c r="C557" s="65"/>
      <c r="D557" s="65"/>
      <c r="E557" s="65"/>
      <c r="H557" s="33"/>
      <c r="I557" s="69">
        <v>42328</v>
      </c>
      <c r="J557" s="65">
        <v>4.3</v>
      </c>
      <c r="K557" s="65">
        <v>0</v>
      </c>
      <c r="L557" s="65"/>
      <c r="M557" s="65"/>
      <c r="N557" s="34"/>
      <c r="O557" s="35"/>
    </row>
    <row r="558" spans="1:15" s="36" customFormat="1" ht="12" x14ac:dyDescent="0.2">
      <c r="A558" s="33"/>
      <c r="B558" s="68"/>
      <c r="C558" s="64"/>
      <c r="D558" s="64"/>
      <c r="E558" s="64"/>
      <c r="H558" s="33"/>
      <c r="I558" s="68">
        <v>42331</v>
      </c>
      <c r="J558" s="64">
        <v>4.3</v>
      </c>
      <c r="K558" s="64">
        <v>0</v>
      </c>
      <c r="L558" s="64"/>
      <c r="M558" s="64"/>
      <c r="N558" s="34"/>
      <c r="O558" s="35"/>
    </row>
    <row r="559" spans="1:15" s="36" customFormat="1" ht="12" x14ac:dyDescent="0.2">
      <c r="A559" s="33"/>
      <c r="B559" s="69"/>
      <c r="C559" s="65"/>
      <c r="D559" s="65"/>
      <c r="E559" s="65"/>
      <c r="H559" s="33"/>
      <c r="I559" s="69">
        <v>42332</v>
      </c>
      <c r="J559" s="65">
        <v>4.3</v>
      </c>
      <c r="K559" s="65">
        <v>0</v>
      </c>
      <c r="L559" s="65"/>
      <c r="M559" s="65"/>
      <c r="N559" s="34"/>
      <c r="O559" s="35"/>
    </row>
    <row r="560" spans="1:15" s="36" customFormat="1" ht="12" x14ac:dyDescent="0.2">
      <c r="A560" s="33"/>
      <c r="B560" s="68"/>
      <c r="C560" s="64"/>
      <c r="D560" s="64"/>
      <c r="E560" s="64"/>
      <c r="H560" s="33"/>
      <c r="I560" s="68">
        <v>42333</v>
      </c>
      <c r="J560" s="64">
        <v>4.3</v>
      </c>
      <c r="K560" s="64">
        <v>0</v>
      </c>
      <c r="L560" s="64"/>
      <c r="M560" s="64"/>
      <c r="N560" s="34"/>
      <c r="O560" s="35"/>
    </row>
    <row r="561" spans="1:15" s="36" customFormat="1" ht="12" x14ac:dyDescent="0.2">
      <c r="A561" s="33"/>
      <c r="B561" s="69"/>
      <c r="C561" s="65"/>
      <c r="D561" s="65"/>
      <c r="E561" s="65"/>
      <c r="H561" s="33"/>
      <c r="I561" s="69">
        <v>42334</v>
      </c>
      <c r="J561" s="65">
        <v>4.3</v>
      </c>
      <c r="K561" s="65">
        <v>0</v>
      </c>
      <c r="L561" s="65"/>
      <c r="M561" s="65"/>
      <c r="N561" s="34"/>
      <c r="O561" s="35"/>
    </row>
    <row r="562" spans="1:15" s="36" customFormat="1" ht="12" x14ac:dyDescent="0.2">
      <c r="A562" s="33"/>
      <c r="B562" s="68"/>
      <c r="C562" s="64"/>
      <c r="D562" s="64"/>
      <c r="E562" s="64"/>
      <c r="H562" s="33"/>
      <c r="I562" s="68">
        <v>42335</v>
      </c>
      <c r="J562" s="64">
        <v>4.3</v>
      </c>
      <c r="K562" s="64">
        <v>0</v>
      </c>
      <c r="L562" s="64"/>
      <c r="M562" s="64"/>
      <c r="N562" s="34"/>
      <c r="O562" s="35"/>
    </row>
    <row r="563" spans="1:15" s="36" customFormat="1" ht="12" x14ac:dyDescent="0.2">
      <c r="A563" s="33"/>
      <c r="B563" s="69"/>
      <c r="C563" s="65"/>
      <c r="D563" s="65"/>
      <c r="E563" s="65"/>
      <c r="H563" s="33"/>
      <c r="I563" s="69">
        <v>42338</v>
      </c>
      <c r="J563" s="65">
        <v>4.3</v>
      </c>
      <c r="K563" s="65">
        <v>0</v>
      </c>
      <c r="L563" s="65"/>
      <c r="M563" s="65"/>
      <c r="N563" s="34"/>
      <c r="O563" s="35"/>
    </row>
    <row r="564" spans="1:15" s="36" customFormat="1" ht="12" x14ac:dyDescent="0.2">
      <c r="A564" s="33"/>
      <c r="B564" s="68"/>
      <c r="C564" s="64"/>
      <c r="D564" s="64"/>
      <c r="E564" s="64"/>
      <c r="H564" s="33"/>
      <c r="I564" s="68">
        <v>42339</v>
      </c>
      <c r="J564" s="64">
        <v>4.3</v>
      </c>
      <c r="K564" s="64">
        <v>0</v>
      </c>
      <c r="L564" s="64"/>
      <c r="M564" s="64"/>
      <c r="N564" s="34"/>
      <c r="O564" s="35"/>
    </row>
    <row r="565" spans="1:15" s="36" customFormat="1" ht="12" x14ac:dyDescent="0.2">
      <c r="A565" s="33"/>
      <c r="B565" s="69"/>
      <c r="C565" s="65"/>
      <c r="D565" s="65"/>
      <c r="E565" s="65"/>
      <c r="H565" s="33"/>
      <c r="I565" s="69">
        <v>42340</v>
      </c>
      <c r="J565" s="65">
        <v>4.3</v>
      </c>
      <c r="K565" s="65">
        <v>0</v>
      </c>
      <c r="L565" s="65"/>
      <c r="M565" s="65"/>
      <c r="N565" s="34"/>
      <c r="O565" s="35"/>
    </row>
    <row r="566" spans="1:15" s="36" customFormat="1" ht="12" x14ac:dyDescent="0.2">
      <c r="A566" s="33"/>
      <c r="B566" s="68"/>
      <c r="C566" s="64"/>
      <c r="D566" s="64"/>
      <c r="E566" s="64"/>
      <c r="H566" s="33"/>
      <c r="I566" s="68">
        <v>42341</v>
      </c>
      <c r="J566" s="64">
        <v>4.3</v>
      </c>
      <c r="K566" s="64">
        <v>0</v>
      </c>
      <c r="L566" s="64"/>
      <c r="M566" s="64"/>
      <c r="N566" s="34"/>
      <c r="O566" s="35"/>
    </row>
    <row r="567" spans="1:15" s="36" customFormat="1" ht="12" x14ac:dyDescent="0.2">
      <c r="A567" s="33"/>
      <c r="B567" s="69"/>
      <c r="C567" s="65"/>
      <c r="D567" s="65"/>
      <c r="E567" s="65"/>
      <c r="H567" s="33"/>
      <c r="I567" s="69">
        <v>42342</v>
      </c>
      <c r="J567" s="65">
        <v>4.3</v>
      </c>
      <c r="K567" s="65">
        <v>0</v>
      </c>
      <c r="L567" s="65"/>
      <c r="M567" s="65"/>
      <c r="N567" s="34"/>
      <c r="O567" s="35"/>
    </row>
    <row r="568" spans="1:15" s="36" customFormat="1" ht="12" x14ac:dyDescent="0.2">
      <c r="A568" s="33"/>
      <c r="B568" s="68"/>
      <c r="C568" s="64"/>
      <c r="D568" s="64"/>
      <c r="E568" s="64"/>
      <c r="H568" s="33"/>
      <c r="I568" s="68">
        <v>42345</v>
      </c>
      <c r="J568" s="64">
        <v>4.3</v>
      </c>
      <c r="K568" s="64">
        <v>0</v>
      </c>
      <c r="L568" s="64"/>
      <c r="M568" s="64"/>
      <c r="N568" s="34"/>
      <c r="O568" s="35"/>
    </row>
    <row r="569" spans="1:15" s="36" customFormat="1" ht="12" x14ac:dyDescent="0.2">
      <c r="A569" s="33"/>
      <c r="B569" s="69"/>
      <c r="C569" s="65"/>
      <c r="D569" s="65"/>
      <c r="E569" s="65"/>
      <c r="H569" s="33"/>
      <c r="I569" s="69">
        <v>42346</v>
      </c>
      <c r="J569" s="65">
        <v>4.3</v>
      </c>
      <c r="K569" s="65">
        <v>0</v>
      </c>
      <c r="L569" s="65"/>
      <c r="M569" s="65"/>
      <c r="N569" s="34"/>
      <c r="O569" s="35"/>
    </row>
    <row r="570" spans="1:15" s="36" customFormat="1" ht="12" x14ac:dyDescent="0.2">
      <c r="A570" s="33"/>
      <c r="B570" s="68"/>
      <c r="C570" s="64"/>
      <c r="D570" s="64"/>
      <c r="E570" s="64"/>
      <c r="H570" s="33"/>
      <c r="I570" s="68">
        <v>42347</v>
      </c>
      <c r="J570" s="64">
        <v>4.3</v>
      </c>
      <c r="K570" s="64">
        <v>0</v>
      </c>
      <c r="L570" s="64"/>
      <c r="M570" s="64"/>
      <c r="N570" s="34"/>
      <c r="O570" s="35"/>
    </row>
    <row r="571" spans="1:15" s="36" customFormat="1" ht="12" x14ac:dyDescent="0.2">
      <c r="A571" s="33"/>
      <c r="B571" s="69"/>
      <c r="C571" s="65"/>
      <c r="D571" s="65"/>
      <c r="E571" s="65"/>
      <c r="H571" s="33"/>
      <c r="I571" s="69">
        <v>42348</v>
      </c>
      <c r="J571" s="65">
        <v>4.3</v>
      </c>
      <c r="K571" s="65">
        <v>0</v>
      </c>
      <c r="L571" s="65"/>
      <c r="M571" s="65"/>
      <c r="N571" s="34"/>
      <c r="O571" s="35"/>
    </row>
    <row r="572" spans="1:15" s="36" customFormat="1" ht="12" x14ac:dyDescent="0.2">
      <c r="A572" s="33"/>
      <c r="B572" s="68"/>
      <c r="C572" s="64"/>
      <c r="D572" s="64"/>
      <c r="E572" s="64"/>
      <c r="H572" s="33"/>
      <c r="I572" s="68">
        <v>42349</v>
      </c>
      <c r="J572" s="64">
        <v>4.3</v>
      </c>
      <c r="K572" s="64">
        <v>0</v>
      </c>
      <c r="L572" s="64"/>
      <c r="M572" s="64"/>
      <c r="N572" s="34"/>
      <c r="O572" s="35"/>
    </row>
    <row r="573" spans="1:15" s="36" customFormat="1" ht="12" x14ac:dyDescent="0.2">
      <c r="A573" s="33"/>
      <c r="B573" s="69"/>
      <c r="C573" s="65"/>
      <c r="D573" s="65"/>
      <c r="E573" s="65"/>
      <c r="H573" s="33"/>
      <c r="I573" s="69">
        <v>42352</v>
      </c>
      <c r="J573" s="65">
        <v>4.3</v>
      </c>
      <c r="K573" s="65">
        <v>0</v>
      </c>
      <c r="L573" s="65"/>
      <c r="M573" s="65"/>
      <c r="N573" s="34"/>
      <c r="O573" s="35"/>
    </row>
    <row r="574" spans="1:15" s="36" customFormat="1" ht="12" x14ac:dyDescent="0.2">
      <c r="A574" s="33"/>
      <c r="B574" s="68"/>
      <c r="C574" s="64"/>
      <c r="D574" s="64"/>
      <c r="E574" s="64"/>
      <c r="H574" s="33"/>
      <c r="I574" s="68">
        <v>42353</v>
      </c>
      <c r="J574" s="64">
        <v>4.3</v>
      </c>
      <c r="K574" s="64">
        <v>0</v>
      </c>
      <c r="L574" s="64"/>
      <c r="M574" s="64"/>
      <c r="N574" s="34"/>
      <c r="O574" s="35"/>
    </row>
    <row r="575" spans="1:15" s="36" customFormat="1" ht="12" x14ac:dyDescent="0.2">
      <c r="A575" s="33"/>
      <c r="B575" s="69"/>
      <c r="C575" s="65"/>
      <c r="D575" s="65"/>
      <c r="E575" s="65"/>
      <c r="H575" s="33"/>
      <c r="I575" s="69">
        <v>42354</v>
      </c>
      <c r="J575" s="65">
        <v>4.3</v>
      </c>
      <c r="K575" s="65">
        <v>0</v>
      </c>
      <c r="L575" s="65"/>
      <c r="M575" s="65"/>
      <c r="N575" s="34"/>
      <c r="O575" s="35"/>
    </row>
    <row r="576" spans="1:15" s="36" customFormat="1" ht="12" x14ac:dyDescent="0.2">
      <c r="A576" s="33"/>
      <c r="B576" s="68"/>
      <c r="C576" s="64"/>
      <c r="D576" s="64"/>
      <c r="E576" s="64"/>
      <c r="H576" s="33"/>
      <c r="I576" s="68">
        <v>42355</v>
      </c>
      <c r="J576" s="64">
        <v>4.3</v>
      </c>
      <c r="K576" s="64">
        <v>0</v>
      </c>
      <c r="L576" s="64"/>
      <c r="M576" s="64"/>
      <c r="N576" s="34"/>
      <c r="O576" s="35"/>
    </row>
    <row r="577" spans="1:15" s="36" customFormat="1" ht="12" x14ac:dyDescent="0.2">
      <c r="A577" s="33"/>
      <c r="B577" s="69"/>
      <c r="C577" s="65"/>
      <c r="D577" s="65"/>
      <c r="E577" s="65"/>
      <c r="H577" s="33"/>
      <c r="I577" s="69">
        <v>42356</v>
      </c>
      <c r="J577" s="65">
        <v>4.3</v>
      </c>
      <c r="K577" s="65">
        <v>0</v>
      </c>
      <c r="L577" s="65"/>
      <c r="M577" s="65"/>
      <c r="N577" s="34"/>
      <c r="O577" s="35"/>
    </row>
    <row r="578" spans="1:15" s="36" customFormat="1" ht="12" x14ac:dyDescent="0.2">
      <c r="A578" s="33"/>
      <c r="B578" s="68"/>
      <c r="C578" s="64"/>
      <c r="D578" s="64"/>
      <c r="E578" s="64"/>
      <c r="H578" s="33"/>
      <c r="I578" s="68">
        <v>42359</v>
      </c>
      <c r="J578" s="64">
        <v>4.3</v>
      </c>
      <c r="K578" s="64">
        <v>0</v>
      </c>
      <c r="L578" s="64"/>
      <c r="M578" s="64"/>
      <c r="N578" s="34"/>
      <c r="O578" s="35"/>
    </row>
    <row r="579" spans="1:15" s="36" customFormat="1" ht="12" x14ac:dyDescent="0.2">
      <c r="A579" s="33"/>
      <c r="B579" s="69"/>
      <c r="C579" s="65"/>
      <c r="D579" s="65"/>
      <c r="E579" s="65"/>
      <c r="H579" s="33"/>
      <c r="I579" s="69">
        <v>42360</v>
      </c>
      <c r="J579" s="65">
        <v>4.3</v>
      </c>
      <c r="K579" s="65">
        <v>0</v>
      </c>
      <c r="L579" s="65"/>
      <c r="M579" s="65"/>
      <c r="N579" s="34"/>
      <c r="O579" s="35"/>
    </row>
    <row r="580" spans="1:15" s="36" customFormat="1" ht="12" x14ac:dyDescent="0.2">
      <c r="A580" s="33"/>
      <c r="B580" s="68"/>
      <c r="C580" s="64"/>
      <c r="D580" s="64"/>
      <c r="E580" s="64"/>
      <c r="H580" s="33"/>
      <c r="I580" s="68">
        <v>42361</v>
      </c>
      <c r="J580" s="64">
        <v>4.3</v>
      </c>
      <c r="K580" s="64">
        <v>0</v>
      </c>
      <c r="L580" s="64"/>
      <c r="M580" s="64"/>
      <c r="N580" s="34"/>
      <c r="O580" s="35"/>
    </row>
    <row r="581" spans="1:15" s="36" customFormat="1" ht="12" x14ac:dyDescent="0.2">
      <c r="A581" s="33"/>
      <c r="B581" s="69"/>
      <c r="C581" s="65"/>
      <c r="D581" s="65"/>
      <c r="E581" s="65"/>
      <c r="H581" s="33"/>
      <c r="I581" s="69">
        <v>42362</v>
      </c>
      <c r="J581" s="65">
        <v>4.3</v>
      </c>
      <c r="K581" s="65">
        <v>0</v>
      </c>
      <c r="L581" s="65"/>
      <c r="M581" s="65"/>
      <c r="N581" s="34"/>
      <c r="O581" s="35"/>
    </row>
    <row r="582" spans="1:15" s="36" customFormat="1" ht="12" x14ac:dyDescent="0.2">
      <c r="A582" s="33"/>
      <c r="B582" s="68"/>
      <c r="C582" s="64"/>
      <c r="D582" s="64"/>
      <c r="E582" s="64"/>
      <c r="H582" s="33"/>
      <c r="I582" s="68">
        <v>42363</v>
      </c>
      <c r="J582" s="64">
        <v>4.3</v>
      </c>
      <c r="K582" s="64">
        <v>0</v>
      </c>
      <c r="L582" s="64"/>
      <c r="M582" s="64"/>
      <c r="N582" s="34"/>
      <c r="O582" s="35"/>
    </row>
    <row r="583" spans="1:15" s="36" customFormat="1" ht="12" x14ac:dyDescent="0.2">
      <c r="A583" s="33"/>
      <c r="B583" s="69"/>
      <c r="C583" s="65"/>
      <c r="D583" s="65"/>
      <c r="E583" s="65"/>
      <c r="H583" s="33"/>
      <c r="I583" s="69">
        <v>42366</v>
      </c>
      <c r="J583" s="65">
        <v>4.3</v>
      </c>
      <c r="K583" s="65">
        <v>0</v>
      </c>
      <c r="L583" s="65"/>
      <c r="M583" s="65"/>
      <c r="N583" s="34"/>
      <c r="O583" s="35"/>
    </row>
    <row r="584" spans="1:15" s="36" customFormat="1" ht="12" x14ac:dyDescent="0.2">
      <c r="A584" s="33"/>
      <c r="B584" s="68"/>
      <c r="C584" s="64"/>
      <c r="D584" s="64"/>
      <c r="E584" s="64"/>
      <c r="H584" s="33"/>
      <c r="I584" s="68">
        <v>42367</v>
      </c>
      <c r="J584" s="64">
        <v>4.3</v>
      </c>
      <c r="K584" s="64">
        <v>0</v>
      </c>
      <c r="L584" s="64"/>
      <c r="M584" s="64"/>
      <c r="N584" s="34"/>
      <c r="O584" s="35"/>
    </row>
    <row r="585" spans="1:15" s="36" customFormat="1" ht="12" x14ac:dyDescent="0.2">
      <c r="A585" s="33"/>
      <c r="B585" s="69"/>
      <c r="C585" s="65"/>
      <c r="D585" s="65"/>
      <c r="E585" s="65"/>
      <c r="H585" s="33"/>
      <c r="I585" s="69">
        <v>42368</v>
      </c>
      <c r="J585" s="65">
        <v>4.3</v>
      </c>
      <c r="K585" s="65">
        <v>0</v>
      </c>
      <c r="L585" s="65"/>
      <c r="M585" s="65"/>
      <c r="N585" s="34"/>
      <c r="O585" s="35"/>
    </row>
    <row r="586" spans="1:15" s="36" customFormat="1" ht="12" x14ac:dyDescent="0.2">
      <c r="A586" s="33"/>
      <c r="B586" s="68"/>
      <c r="C586" s="64"/>
      <c r="D586" s="64"/>
      <c r="E586" s="64"/>
      <c r="H586" s="33"/>
      <c r="I586" s="68">
        <v>42369</v>
      </c>
      <c r="J586" s="64">
        <v>4.3</v>
      </c>
      <c r="K586" s="64">
        <v>0</v>
      </c>
      <c r="L586" s="64"/>
      <c r="M586" s="64"/>
      <c r="N586" s="34"/>
      <c r="O586" s="35"/>
    </row>
    <row r="587" spans="1:15" s="36" customFormat="1" ht="12" x14ac:dyDescent="0.2">
      <c r="A587" s="33"/>
      <c r="B587" s="69"/>
      <c r="C587" s="65"/>
      <c r="D587" s="65"/>
      <c r="E587" s="65"/>
      <c r="H587" s="33"/>
      <c r="I587" s="69">
        <v>42373</v>
      </c>
      <c r="J587" s="65">
        <v>4.3</v>
      </c>
      <c r="K587" s="65">
        <v>0</v>
      </c>
      <c r="L587" s="65"/>
      <c r="M587" s="65"/>
      <c r="N587" s="34"/>
      <c r="O587" s="35"/>
    </row>
    <row r="588" spans="1:15" s="36" customFormat="1" ht="12" x14ac:dyDescent="0.2">
      <c r="A588" s="33"/>
      <c r="B588" s="68"/>
      <c r="C588" s="64"/>
      <c r="D588" s="64"/>
      <c r="E588" s="64"/>
      <c r="H588" s="33"/>
      <c r="I588" s="68">
        <v>42374</v>
      </c>
      <c r="J588" s="64">
        <v>4.3</v>
      </c>
      <c r="K588" s="64">
        <v>0</v>
      </c>
      <c r="L588" s="64"/>
      <c r="M588" s="64"/>
      <c r="N588" s="34"/>
      <c r="O588" s="35"/>
    </row>
    <row r="589" spans="1:15" s="36" customFormat="1" ht="12" x14ac:dyDescent="0.2">
      <c r="A589" s="33"/>
      <c r="B589" s="69"/>
      <c r="C589" s="65"/>
      <c r="D589" s="65"/>
      <c r="E589" s="65"/>
      <c r="H589" s="33"/>
      <c r="I589" s="69">
        <v>42375</v>
      </c>
      <c r="J589" s="65">
        <v>4.3</v>
      </c>
      <c r="K589" s="65">
        <v>0</v>
      </c>
      <c r="L589" s="65"/>
      <c r="M589" s="65"/>
      <c r="N589" s="34"/>
      <c r="O589" s="35"/>
    </row>
    <row r="590" spans="1:15" s="36" customFormat="1" ht="12" x14ac:dyDescent="0.2">
      <c r="A590" s="33"/>
      <c r="B590" s="68"/>
      <c r="C590" s="64"/>
      <c r="D590" s="64"/>
      <c r="E590" s="64"/>
      <c r="H590" s="33"/>
      <c r="I590" s="68">
        <v>42376</v>
      </c>
      <c r="J590" s="64">
        <v>4.3</v>
      </c>
      <c r="K590" s="64">
        <v>0</v>
      </c>
      <c r="L590" s="64"/>
      <c r="M590" s="64"/>
      <c r="N590" s="34"/>
      <c r="O590" s="35"/>
    </row>
    <row r="591" spans="1:15" s="36" customFormat="1" ht="12" x14ac:dyDescent="0.2">
      <c r="A591" s="33"/>
      <c r="B591" s="69"/>
      <c r="C591" s="65"/>
      <c r="D591" s="65"/>
      <c r="E591" s="65"/>
      <c r="H591" s="33"/>
      <c r="I591" s="69">
        <v>42377</v>
      </c>
      <c r="J591" s="65">
        <v>4.3</v>
      </c>
      <c r="K591" s="65">
        <v>0</v>
      </c>
      <c r="L591" s="65"/>
      <c r="M591" s="65"/>
      <c r="N591" s="34"/>
      <c r="O591" s="35"/>
    </row>
    <row r="592" spans="1:15" s="36" customFormat="1" ht="12" x14ac:dyDescent="0.2">
      <c r="A592" s="33"/>
      <c r="B592" s="68"/>
      <c r="C592" s="64"/>
      <c r="D592" s="64"/>
      <c r="E592" s="64"/>
      <c r="H592" s="33"/>
      <c r="I592" s="68">
        <v>42380</v>
      </c>
      <c r="J592" s="64">
        <v>4.3</v>
      </c>
      <c r="K592" s="64">
        <v>0</v>
      </c>
      <c r="L592" s="64"/>
      <c r="M592" s="64"/>
      <c r="N592" s="34"/>
      <c r="O592" s="35"/>
    </row>
    <row r="593" spans="1:15" s="36" customFormat="1" ht="12" x14ac:dyDescent="0.2">
      <c r="A593" s="33"/>
      <c r="B593" s="69"/>
      <c r="C593" s="65"/>
      <c r="D593" s="65"/>
      <c r="E593" s="65"/>
      <c r="H593" s="33"/>
      <c r="I593" s="69">
        <v>42381</v>
      </c>
      <c r="J593" s="65">
        <v>4.3</v>
      </c>
      <c r="K593" s="65">
        <v>0</v>
      </c>
      <c r="L593" s="65"/>
      <c r="M593" s="65"/>
      <c r="N593" s="34"/>
      <c r="O593" s="35"/>
    </row>
    <row r="594" spans="1:15" s="36" customFormat="1" ht="12" x14ac:dyDescent="0.2">
      <c r="A594" s="33"/>
      <c r="B594" s="68"/>
      <c r="C594" s="64"/>
      <c r="D594" s="64"/>
      <c r="E594" s="64"/>
      <c r="H594" s="33"/>
      <c r="I594" s="68">
        <v>42382</v>
      </c>
      <c r="J594" s="64">
        <v>4.3</v>
      </c>
      <c r="K594" s="64">
        <v>0</v>
      </c>
      <c r="L594" s="64"/>
      <c r="M594" s="64"/>
      <c r="N594" s="34"/>
      <c r="O594" s="35"/>
    </row>
    <row r="595" spans="1:15" s="36" customFormat="1" ht="12" x14ac:dyDescent="0.2">
      <c r="A595" s="33"/>
      <c r="B595" s="69"/>
      <c r="C595" s="65"/>
      <c r="D595" s="65"/>
      <c r="E595" s="65"/>
      <c r="H595" s="33"/>
      <c r="I595" s="69">
        <v>42383</v>
      </c>
      <c r="J595" s="65">
        <v>4.3</v>
      </c>
      <c r="K595" s="65">
        <v>0</v>
      </c>
      <c r="L595" s="65"/>
      <c r="M595" s="65"/>
      <c r="N595" s="34"/>
      <c r="O595" s="35"/>
    </row>
    <row r="596" spans="1:15" s="36" customFormat="1" ht="12" x14ac:dyDescent="0.2">
      <c r="A596" s="33"/>
      <c r="B596" s="68"/>
      <c r="C596" s="64"/>
      <c r="D596" s="64"/>
      <c r="E596" s="64"/>
      <c r="H596" s="33"/>
      <c r="I596" s="68">
        <v>42384</v>
      </c>
      <c r="J596" s="64">
        <v>4.3</v>
      </c>
      <c r="K596" s="64">
        <v>0</v>
      </c>
      <c r="L596" s="64"/>
      <c r="M596" s="64"/>
      <c r="N596" s="34"/>
      <c r="O596" s="35"/>
    </row>
    <row r="597" spans="1:15" s="36" customFormat="1" ht="12" x14ac:dyDescent="0.2">
      <c r="A597" s="33"/>
      <c r="B597" s="69"/>
      <c r="C597" s="65"/>
      <c r="D597" s="65"/>
      <c r="E597" s="65"/>
      <c r="H597" s="33"/>
      <c r="I597" s="69">
        <v>42387</v>
      </c>
      <c r="J597" s="65">
        <v>4.3</v>
      </c>
      <c r="K597" s="65">
        <v>0</v>
      </c>
      <c r="L597" s="65"/>
      <c r="M597" s="65"/>
      <c r="N597" s="34"/>
      <c r="O597" s="35"/>
    </row>
    <row r="598" spans="1:15" s="36" customFormat="1" ht="12" x14ac:dyDescent="0.2">
      <c r="A598" s="33"/>
      <c r="B598" s="68"/>
      <c r="C598" s="64"/>
      <c r="D598" s="64"/>
      <c r="E598" s="64"/>
      <c r="H598" s="33"/>
      <c r="I598" s="68">
        <v>42388</v>
      </c>
      <c r="J598" s="64">
        <v>4.3</v>
      </c>
      <c r="K598" s="64">
        <v>0</v>
      </c>
      <c r="L598" s="64"/>
      <c r="M598" s="64"/>
      <c r="N598" s="34"/>
      <c r="O598" s="35"/>
    </row>
    <row r="599" spans="1:15" s="36" customFormat="1" ht="12" x14ac:dyDescent="0.2">
      <c r="A599" s="33"/>
      <c r="B599" s="69"/>
      <c r="C599" s="65"/>
      <c r="D599" s="65"/>
      <c r="E599" s="65"/>
      <c r="H599" s="33"/>
      <c r="I599" s="69">
        <v>42389</v>
      </c>
      <c r="J599" s="65">
        <v>4.3</v>
      </c>
      <c r="K599" s="65">
        <v>0</v>
      </c>
      <c r="L599" s="65"/>
      <c r="M599" s="65"/>
      <c r="N599" s="34"/>
      <c r="O599" s="35"/>
    </row>
    <row r="600" spans="1:15" s="36" customFormat="1" ht="12" x14ac:dyDescent="0.2">
      <c r="A600" s="33"/>
      <c r="B600" s="68"/>
      <c r="C600" s="64"/>
      <c r="D600" s="64"/>
      <c r="E600" s="64"/>
      <c r="H600" s="33"/>
      <c r="I600" s="68">
        <v>42390</v>
      </c>
      <c r="J600" s="64">
        <v>4.3</v>
      </c>
      <c r="K600" s="64">
        <v>0</v>
      </c>
      <c r="L600" s="64"/>
      <c r="M600" s="64"/>
      <c r="N600" s="34"/>
      <c r="O600" s="35"/>
    </row>
    <row r="601" spans="1:15" s="36" customFormat="1" ht="12" x14ac:dyDescent="0.2">
      <c r="A601" s="33"/>
      <c r="B601" s="69"/>
      <c r="C601" s="65"/>
      <c r="D601" s="65"/>
      <c r="E601" s="65"/>
      <c r="H601" s="33"/>
      <c r="I601" s="69">
        <v>42391</v>
      </c>
      <c r="J601" s="65">
        <v>4.3</v>
      </c>
      <c r="K601" s="65">
        <v>0</v>
      </c>
      <c r="L601" s="65"/>
      <c r="M601" s="65"/>
      <c r="N601" s="34"/>
      <c r="O601" s="35"/>
    </row>
    <row r="602" spans="1:15" s="36" customFormat="1" ht="12" x14ac:dyDescent="0.2">
      <c r="A602" s="33"/>
      <c r="B602" s="68"/>
      <c r="C602" s="64"/>
      <c r="D602" s="64"/>
      <c r="E602" s="64"/>
      <c r="H602" s="33"/>
      <c r="I602" s="68">
        <v>42394</v>
      </c>
      <c r="J602" s="64">
        <v>4.3</v>
      </c>
      <c r="K602" s="64">
        <v>0</v>
      </c>
      <c r="L602" s="64"/>
      <c r="M602" s="64"/>
      <c r="N602" s="34"/>
      <c r="O602" s="35"/>
    </row>
    <row r="603" spans="1:15" s="36" customFormat="1" ht="12" x14ac:dyDescent="0.2">
      <c r="A603" s="33"/>
      <c r="B603" s="69"/>
      <c r="C603" s="65"/>
      <c r="D603" s="65"/>
      <c r="E603" s="65"/>
      <c r="H603" s="33"/>
      <c r="I603" s="69">
        <v>42395</v>
      </c>
      <c r="J603" s="65">
        <v>4.3</v>
      </c>
      <c r="K603" s="65">
        <v>0</v>
      </c>
      <c r="L603" s="65"/>
      <c r="M603" s="65"/>
      <c r="N603" s="34"/>
      <c r="O603" s="35"/>
    </row>
    <row r="604" spans="1:15" s="36" customFormat="1" ht="12" x14ac:dyDescent="0.2">
      <c r="A604" s="33"/>
      <c r="B604" s="68"/>
      <c r="C604" s="64"/>
      <c r="D604" s="64"/>
      <c r="E604" s="64"/>
      <c r="H604" s="33"/>
      <c r="I604" s="68">
        <v>42396</v>
      </c>
      <c r="J604" s="64">
        <v>4.3</v>
      </c>
      <c r="K604" s="64">
        <v>0</v>
      </c>
      <c r="L604" s="64"/>
      <c r="M604" s="64"/>
      <c r="N604" s="34"/>
      <c r="O604" s="35"/>
    </row>
    <row r="605" spans="1:15" s="36" customFormat="1" ht="12" x14ac:dyDescent="0.2">
      <c r="A605" s="33"/>
      <c r="B605" s="69"/>
      <c r="C605" s="65"/>
      <c r="D605" s="65"/>
      <c r="E605" s="65"/>
      <c r="H605" s="33"/>
      <c r="I605" s="69">
        <v>42397</v>
      </c>
      <c r="J605" s="65">
        <v>4.3</v>
      </c>
      <c r="K605" s="65">
        <v>0</v>
      </c>
      <c r="L605" s="65"/>
      <c r="M605" s="65"/>
      <c r="N605" s="34"/>
      <c r="O605" s="35"/>
    </row>
    <row r="606" spans="1:15" s="36" customFormat="1" ht="12" x14ac:dyDescent="0.2">
      <c r="A606" s="33"/>
      <c r="B606" s="68"/>
      <c r="C606" s="64"/>
      <c r="D606" s="64"/>
      <c r="E606" s="64"/>
      <c r="H606" s="33"/>
      <c r="I606" s="68">
        <v>42398</v>
      </c>
      <c r="J606" s="64">
        <v>4.3</v>
      </c>
      <c r="K606" s="64">
        <v>0</v>
      </c>
      <c r="L606" s="64"/>
      <c r="M606" s="64"/>
      <c r="N606" s="34"/>
      <c r="O606" s="35"/>
    </row>
    <row r="607" spans="1:15" s="36" customFormat="1" ht="12" x14ac:dyDescent="0.2">
      <c r="A607" s="33"/>
      <c r="B607" s="69"/>
      <c r="C607" s="65"/>
      <c r="D607" s="65"/>
      <c r="E607" s="65"/>
      <c r="H607" s="33"/>
      <c r="I607" s="69">
        <v>42401</v>
      </c>
      <c r="J607" s="65">
        <v>4.3</v>
      </c>
      <c r="K607" s="65">
        <v>0</v>
      </c>
      <c r="L607" s="65"/>
      <c r="M607" s="65"/>
      <c r="N607" s="34"/>
      <c r="O607" s="35"/>
    </row>
    <row r="608" spans="1:15" s="36" customFormat="1" ht="12" x14ac:dyDescent="0.2">
      <c r="A608" s="33"/>
      <c r="B608" s="68"/>
      <c r="C608" s="64"/>
      <c r="D608" s="64"/>
      <c r="E608" s="64"/>
      <c r="H608" s="33"/>
      <c r="I608" s="68">
        <v>42402</v>
      </c>
      <c r="J608" s="64">
        <v>4.3</v>
      </c>
      <c r="K608" s="64">
        <v>0</v>
      </c>
      <c r="L608" s="64"/>
      <c r="M608" s="64"/>
      <c r="N608" s="34"/>
      <c r="O608" s="35"/>
    </row>
    <row r="609" spans="1:15" s="36" customFormat="1" ht="12" x14ac:dyDescent="0.2">
      <c r="A609" s="33"/>
      <c r="B609" s="69"/>
      <c r="C609" s="65"/>
      <c r="D609" s="65"/>
      <c r="E609" s="65"/>
      <c r="H609" s="33"/>
      <c r="I609" s="69">
        <v>42403</v>
      </c>
      <c r="J609" s="65">
        <v>4.3</v>
      </c>
      <c r="K609" s="65">
        <v>0</v>
      </c>
      <c r="L609" s="65"/>
      <c r="M609" s="65"/>
      <c r="N609" s="34"/>
      <c r="O609" s="35"/>
    </row>
    <row r="610" spans="1:15" s="36" customFormat="1" ht="12" x14ac:dyDescent="0.2">
      <c r="A610" s="33"/>
      <c r="B610" s="68"/>
      <c r="C610" s="64"/>
      <c r="D610" s="64"/>
      <c r="E610" s="64"/>
      <c r="H610" s="33"/>
      <c r="I610" s="68">
        <v>42404</v>
      </c>
      <c r="J610" s="64">
        <v>4.3</v>
      </c>
      <c r="K610" s="64">
        <v>0</v>
      </c>
      <c r="L610" s="64"/>
      <c r="M610" s="64"/>
      <c r="N610" s="34"/>
      <c r="O610" s="35"/>
    </row>
    <row r="611" spans="1:15" s="36" customFormat="1" ht="12" x14ac:dyDescent="0.2">
      <c r="A611" s="33"/>
      <c r="B611" s="69"/>
      <c r="C611" s="65"/>
      <c r="D611" s="65"/>
      <c r="E611" s="65"/>
      <c r="H611" s="33"/>
      <c r="I611" s="69">
        <v>42405</v>
      </c>
      <c r="J611" s="65">
        <v>4.3</v>
      </c>
      <c r="K611" s="65">
        <v>0</v>
      </c>
      <c r="L611" s="65"/>
      <c r="M611" s="65"/>
      <c r="N611" s="34"/>
      <c r="O611" s="35"/>
    </row>
    <row r="612" spans="1:15" s="36" customFormat="1" ht="12" x14ac:dyDescent="0.2">
      <c r="A612" s="33"/>
      <c r="B612" s="68"/>
      <c r="C612" s="64"/>
      <c r="D612" s="64"/>
      <c r="E612" s="64"/>
      <c r="F612" s="34"/>
      <c r="G612" s="34"/>
      <c r="H612" s="33"/>
      <c r="I612" s="68">
        <v>42406</v>
      </c>
      <c r="J612" s="64">
        <v>4.3</v>
      </c>
      <c r="K612" s="64">
        <v>0</v>
      </c>
      <c r="L612" s="64"/>
      <c r="M612" s="64"/>
      <c r="N612" s="34"/>
      <c r="O612" s="35"/>
    </row>
    <row r="613" spans="1:15" s="36" customFormat="1" ht="12" x14ac:dyDescent="0.2">
      <c r="A613" s="33"/>
      <c r="B613" s="69"/>
      <c r="C613" s="65"/>
      <c r="D613" s="65"/>
      <c r="E613" s="65"/>
      <c r="F613" s="34"/>
      <c r="G613" s="34"/>
      <c r="H613" s="33"/>
      <c r="I613" s="69">
        <v>42414</v>
      </c>
      <c r="J613" s="65">
        <v>4.3</v>
      </c>
      <c r="K613" s="65">
        <v>0</v>
      </c>
      <c r="L613" s="65"/>
      <c r="M613" s="65"/>
      <c r="N613" s="34"/>
      <c r="O613" s="35"/>
    </row>
    <row r="614" spans="1:15" s="36" customFormat="1" ht="12" x14ac:dyDescent="0.2">
      <c r="A614" s="33"/>
      <c r="B614" s="68"/>
      <c r="C614" s="64"/>
      <c r="D614" s="64"/>
      <c r="E614" s="64"/>
      <c r="F614" s="34"/>
      <c r="G614" s="34"/>
      <c r="H614" s="33"/>
      <c r="I614" s="68">
        <v>42415</v>
      </c>
      <c r="J614" s="64">
        <v>4.3</v>
      </c>
      <c r="K614" s="64">
        <v>0</v>
      </c>
      <c r="L614" s="64"/>
      <c r="M614" s="64"/>
      <c r="N614" s="34"/>
      <c r="O614" s="35"/>
    </row>
    <row r="615" spans="1:15" s="36" customFormat="1" ht="12" x14ac:dyDescent="0.2">
      <c r="A615" s="33"/>
      <c r="B615" s="69"/>
      <c r="C615" s="65"/>
      <c r="D615" s="65"/>
      <c r="E615" s="65"/>
      <c r="F615" s="34"/>
      <c r="G615" s="34"/>
      <c r="H615" s="33"/>
      <c r="I615" s="69">
        <v>42416</v>
      </c>
      <c r="J615" s="65">
        <v>4.3</v>
      </c>
      <c r="K615" s="65">
        <v>0</v>
      </c>
      <c r="L615" s="65"/>
      <c r="M615" s="65"/>
      <c r="N615" s="34"/>
      <c r="O615" s="35"/>
    </row>
    <row r="616" spans="1:15" s="36" customFormat="1" ht="12" x14ac:dyDescent="0.2">
      <c r="A616" s="33"/>
      <c r="B616" s="68"/>
      <c r="C616" s="64"/>
      <c r="D616" s="64"/>
      <c r="E616" s="64"/>
      <c r="F616" s="34"/>
      <c r="G616" s="34"/>
      <c r="H616" s="33"/>
      <c r="I616" s="68">
        <v>42417</v>
      </c>
      <c r="J616" s="64">
        <v>4.3</v>
      </c>
      <c r="K616" s="64">
        <v>0</v>
      </c>
      <c r="L616" s="64"/>
      <c r="M616" s="64"/>
      <c r="N616" s="34"/>
      <c r="O616" s="35"/>
    </row>
    <row r="617" spans="1:15" s="36" customFormat="1" ht="12" x14ac:dyDescent="0.2">
      <c r="A617" s="33"/>
      <c r="B617" s="69"/>
      <c r="C617" s="65"/>
      <c r="D617" s="65"/>
      <c r="E617" s="65"/>
      <c r="F617" s="34"/>
      <c r="G617" s="34"/>
      <c r="H617" s="33"/>
      <c r="I617" s="69">
        <v>42418</v>
      </c>
      <c r="J617" s="65">
        <v>4.3</v>
      </c>
      <c r="K617" s="65">
        <v>0</v>
      </c>
      <c r="L617" s="65"/>
      <c r="M617" s="65"/>
      <c r="N617" s="34"/>
      <c r="O617" s="35"/>
    </row>
    <row r="618" spans="1:15" s="36" customFormat="1" ht="12" x14ac:dyDescent="0.2">
      <c r="A618" s="33"/>
      <c r="B618" s="68"/>
      <c r="C618" s="64"/>
      <c r="D618" s="64"/>
      <c r="E618" s="64"/>
      <c r="F618" s="34"/>
      <c r="G618" s="34"/>
      <c r="H618" s="33"/>
      <c r="I618" s="68">
        <v>42419</v>
      </c>
      <c r="J618" s="64">
        <v>4.3</v>
      </c>
      <c r="K618" s="64">
        <v>0</v>
      </c>
      <c r="L618" s="64"/>
      <c r="M618" s="64"/>
      <c r="N618" s="34"/>
      <c r="O618" s="35"/>
    </row>
    <row r="619" spans="1:15" s="36" customFormat="1" ht="12" x14ac:dyDescent="0.2">
      <c r="A619" s="33"/>
      <c r="B619" s="69"/>
      <c r="C619" s="65"/>
      <c r="D619" s="65"/>
      <c r="E619" s="65"/>
      <c r="F619" s="34"/>
      <c r="G619" s="34"/>
      <c r="H619" s="33"/>
      <c r="I619" s="69">
        <v>42422</v>
      </c>
      <c r="J619" s="65">
        <v>4.3</v>
      </c>
      <c r="K619" s="65">
        <v>0</v>
      </c>
      <c r="L619" s="65"/>
      <c r="M619" s="65"/>
      <c r="N619" s="34"/>
      <c r="O619" s="35"/>
    </row>
    <row r="620" spans="1:15" s="36" customFormat="1" ht="12" x14ac:dyDescent="0.2">
      <c r="A620" s="33"/>
      <c r="B620" s="68"/>
      <c r="C620" s="64"/>
      <c r="D620" s="64"/>
      <c r="E620" s="64"/>
      <c r="F620" s="34"/>
      <c r="G620" s="34"/>
      <c r="H620" s="33"/>
      <c r="I620" s="68">
        <v>42423</v>
      </c>
      <c r="J620" s="64">
        <v>4.3</v>
      </c>
      <c r="K620" s="64">
        <v>0</v>
      </c>
      <c r="L620" s="64"/>
      <c r="M620" s="64"/>
      <c r="N620" s="34"/>
      <c r="O620" s="35"/>
    </row>
    <row r="621" spans="1:15" s="36" customFormat="1" ht="12" x14ac:dyDescent="0.2">
      <c r="A621" s="33"/>
      <c r="B621" s="69"/>
      <c r="C621" s="65"/>
      <c r="D621" s="65"/>
      <c r="E621" s="65"/>
      <c r="F621" s="34"/>
      <c r="G621" s="34"/>
      <c r="H621" s="33"/>
      <c r="I621" s="69">
        <v>42424</v>
      </c>
      <c r="J621" s="65">
        <v>4.3</v>
      </c>
      <c r="K621" s="65">
        <v>0</v>
      </c>
      <c r="L621" s="65"/>
      <c r="M621" s="65"/>
      <c r="N621" s="34"/>
      <c r="O621" s="35"/>
    </row>
    <row r="622" spans="1:15" s="36" customFormat="1" ht="12" x14ac:dyDescent="0.2">
      <c r="A622" s="33"/>
      <c r="B622" s="68"/>
      <c r="C622" s="64"/>
      <c r="D622" s="64"/>
      <c r="E622" s="64"/>
      <c r="F622" s="34"/>
      <c r="G622" s="34"/>
      <c r="H622" s="33"/>
      <c r="I622" s="68">
        <v>42425</v>
      </c>
      <c r="J622" s="64">
        <v>4.3</v>
      </c>
      <c r="K622" s="64">
        <v>0</v>
      </c>
      <c r="L622" s="64"/>
      <c r="M622" s="64"/>
      <c r="N622" s="34"/>
      <c r="O622" s="35"/>
    </row>
    <row r="623" spans="1:15" s="36" customFormat="1" ht="12" x14ac:dyDescent="0.2">
      <c r="A623" s="33"/>
      <c r="B623" s="69"/>
      <c r="C623" s="65"/>
      <c r="D623" s="65"/>
      <c r="E623" s="65"/>
      <c r="F623" s="34"/>
      <c r="G623" s="34"/>
      <c r="H623" s="33"/>
      <c r="I623" s="69">
        <v>42426</v>
      </c>
      <c r="J623" s="65">
        <v>4.3</v>
      </c>
      <c r="K623" s="65">
        <v>0</v>
      </c>
      <c r="L623" s="65"/>
      <c r="M623" s="65"/>
      <c r="N623" s="34"/>
      <c r="O623" s="35"/>
    </row>
    <row r="624" spans="1:15" s="36" customFormat="1" ht="12" x14ac:dyDescent="0.2">
      <c r="A624" s="33"/>
      <c r="B624" s="68"/>
      <c r="C624" s="64"/>
      <c r="D624" s="64"/>
      <c r="E624" s="64"/>
      <c r="F624" s="34"/>
      <c r="G624" s="34"/>
      <c r="H624" s="33"/>
      <c r="I624" s="68">
        <v>42429</v>
      </c>
      <c r="J624" s="64">
        <v>4.3</v>
      </c>
      <c r="K624" s="64">
        <v>0</v>
      </c>
      <c r="L624" s="64"/>
      <c r="M624" s="64"/>
      <c r="N624" s="34"/>
      <c r="O624" s="35"/>
    </row>
    <row r="625" spans="1:15" s="36" customFormat="1" ht="12" x14ac:dyDescent="0.2">
      <c r="A625" s="33"/>
      <c r="B625" s="69"/>
      <c r="C625" s="65"/>
      <c r="D625" s="65"/>
      <c r="E625" s="65"/>
      <c r="F625" s="34"/>
      <c r="G625" s="34"/>
      <c r="H625" s="33"/>
      <c r="I625" s="69">
        <v>42430</v>
      </c>
      <c r="J625" s="65">
        <v>4.3</v>
      </c>
      <c r="K625" s="65">
        <v>0</v>
      </c>
      <c r="L625" s="65"/>
      <c r="M625" s="65"/>
      <c r="N625" s="34"/>
      <c r="O625" s="35"/>
    </row>
    <row r="626" spans="1:15" s="36" customFormat="1" ht="12" x14ac:dyDescent="0.2">
      <c r="A626" s="33"/>
      <c r="B626" s="68"/>
      <c r="C626" s="64"/>
      <c r="D626" s="64"/>
      <c r="E626" s="64"/>
      <c r="F626" s="34"/>
      <c r="G626" s="34"/>
      <c r="H626" s="33"/>
      <c r="I626" s="68">
        <v>42431</v>
      </c>
      <c r="J626" s="64">
        <v>4.3</v>
      </c>
      <c r="K626" s="64">
        <v>0</v>
      </c>
      <c r="L626" s="64"/>
      <c r="M626" s="64"/>
      <c r="N626" s="34"/>
      <c r="O626" s="35"/>
    </row>
    <row r="627" spans="1:15" s="36" customFormat="1" ht="12" x14ac:dyDescent="0.2">
      <c r="A627" s="33"/>
      <c r="B627" s="69"/>
      <c r="C627" s="65"/>
      <c r="D627" s="65"/>
      <c r="E627" s="65"/>
      <c r="F627" s="34"/>
      <c r="G627" s="34"/>
      <c r="H627" s="33"/>
      <c r="I627" s="69">
        <v>42432</v>
      </c>
      <c r="J627" s="65">
        <v>4.3</v>
      </c>
      <c r="K627" s="65">
        <v>0</v>
      </c>
      <c r="L627" s="65"/>
      <c r="M627" s="65"/>
      <c r="N627" s="34"/>
      <c r="O627" s="35"/>
    </row>
    <row r="628" spans="1:15" s="36" customFormat="1" ht="12" x14ac:dyDescent="0.2">
      <c r="A628" s="33"/>
      <c r="B628" s="68"/>
      <c r="C628" s="64"/>
      <c r="D628" s="64"/>
      <c r="E628" s="64"/>
      <c r="F628" s="34"/>
      <c r="G628" s="34"/>
      <c r="H628" s="33"/>
      <c r="I628" s="68">
        <v>42433</v>
      </c>
      <c r="J628" s="64">
        <v>4.3</v>
      </c>
      <c r="K628" s="64">
        <v>0</v>
      </c>
      <c r="L628" s="64"/>
      <c r="M628" s="64"/>
      <c r="N628" s="34"/>
      <c r="O628" s="35"/>
    </row>
    <row r="629" spans="1:15" s="36" customFormat="1" ht="12" x14ac:dyDescent="0.2">
      <c r="A629" s="33"/>
      <c r="B629" s="69"/>
      <c r="C629" s="65"/>
      <c r="D629" s="65"/>
      <c r="E629" s="65"/>
      <c r="F629" s="34"/>
      <c r="G629" s="34"/>
      <c r="H629" s="33"/>
      <c r="I629" s="69">
        <v>42436</v>
      </c>
      <c r="J629" s="65">
        <v>4.3</v>
      </c>
      <c r="K629" s="65">
        <v>0</v>
      </c>
      <c r="L629" s="65"/>
      <c r="M629" s="65"/>
      <c r="N629" s="34"/>
      <c r="O629" s="35"/>
    </row>
    <row r="630" spans="1:15" s="36" customFormat="1" ht="12" x14ac:dyDescent="0.2">
      <c r="A630" s="33"/>
      <c r="B630" s="68"/>
      <c r="C630" s="64"/>
      <c r="D630" s="64"/>
      <c r="E630" s="64"/>
      <c r="F630" s="34"/>
      <c r="G630" s="34"/>
      <c r="H630" s="33"/>
      <c r="I630" s="68">
        <v>42437</v>
      </c>
      <c r="J630" s="64">
        <v>4.3</v>
      </c>
      <c r="K630" s="64">
        <v>0</v>
      </c>
      <c r="L630" s="64"/>
      <c r="M630" s="64"/>
      <c r="N630" s="34"/>
      <c r="O630" s="35"/>
    </row>
    <row r="631" spans="1:15" s="36" customFormat="1" ht="12" x14ac:dyDescent="0.2">
      <c r="A631" s="33"/>
      <c r="B631" s="69"/>
      <c r="C631" s="65"/>
      <c r="D631" s="65"/>
      <c r="E631" s="65"/>
      <c r="F631" s="34"/>
      <c r="G631" s="34"/>
      <c r="H631" s="33"/>
      <c r="I631" s="69">
        <v>42438</v>
      </c>
      <c r="J631" s="65">
        <v>4.3</v>
      </c>
      <c r="K631" s="65">
        <v>0</v>
      </c>
      <c r="L631" s="65"/>
      <c r="M631" s="65"/>
      <c r="N631" s="34"/>
      <c r="O631" s="35"/>
    </row>
    <row r="632" spans="1:15" s="36" customFormat="1" ht="12" x14ac:dyDescent="0.2">
      <c r="A632" s="33"/>
      <c r="B632" s="68"/>
      <c r="C632" s="64"/>
      <c r="D632" s="64"/>
      <c r="E632" s="64"/>
      <c r="F632" s="34"/>
      <c r="G632" s="34"/>
      <c r="H632" s="33"/>
      <c r="I632" s="68">
        <v>42439</v>
      </c>
      <c r="J632" s="64">
        <v>4.3</v>
      </c>
      <c r="K632" s="64">
        <v>0</v>
      </c>
      <c r="L632" s="64"/>
      <c r="M632" s="64"/>
      <c r="N632" s="34"/>
      <c r="O632" s="35"/>
    </row>
    <row r="633" spans="1:15" s="36" customFormat="1" ht="12" x14ac:dyDescent="0.2">
      <c r="A633" s="33"/>
      <c r="B633" s="69"/>
      <c r="C633" s="65"/>
      <c r="D633" s="65"/>
      <c r="E633" s="65"/>
      <c r="F633" s="34"/>
      <c r="G633" s="34"/>
      <c r="H633" s="33"/>
      <c r="I633" s="69">
        <v>42440</v>
      </c>
      <c r="J633" s="65">
        <v>4.3</v>
      </c>
      <c r="K633" s="65">
        <v>0</v>
      </c>
      <c r="L633" s="65"/>
      <c r="M633" s="65"/>
      <c r="N633" s="34"/>
      <c r="O633" s="35"/>
    </row>
    <row r="634" spans="1:15" s="36" customFormat="1" ht="12" x14ac:dyDescent="0.2">
      <c r="A634" s="33"/>
      <c r="B634" s="68"/>
      <c r="C634" s="64"/>
      <c r="D634" s="64"/>
      <c r="E634" s="64"/>
      <c r="F634" s="34"/>
      <c r="G634" s="34"/>
      <c r="H634" s="33"/>
      <c r="I634" s="68">
        <v>42443</v>
      </c>
      <c r="J634" s="64">
        <v>4.3</v>
      </c>
      <c r="K634" s="64">
        <v>0</v>
      </c>
      <c r="L634" s="64"/>
      <c r="M634" s="64"/>
      <c r="N634" s="34"/>
      <c r="O634" s="35"/>
    </row>
    <row r="635" spans="1:15" s="36" customFormat="1" ht="12" x14ac:dyDescent="0.2">
      <c r="A635" s="33"/>
      <c r="B635" s="69"/>
      <c r="C635" s="65"/>
      <c r="D635" s="65"/>
      <c r="E635" s="65"/>
      <c r="F635" s="34"/>
      <c r="G635" s="34"/>
      <c r="H635" s="33"/>
      <c r="I635" s="69">
        <v>42444</v>
      </c>
      <c r="J635" s="65">
        <v>4.3</v>
      </c>
      <c r="K635" s="65">
        <v>0</v>
      </c>
      <c r="L635" s="65"/>
      <c r="M635" s="65"/>
      <c r="N635" s="34"/>
      <c r="O635" s="35"/>
    </row>
    <row r="636" spans="1:15" s="36" customFormat="1" ht="12" x14ac:dyDescent="0.2">
      <c r="A636" s="33"/>
      <c r="B636" s="68"/>
      <c r="C636" s="64"/>
      <c r="D636" s="64"/>
      <c r="E636" s="64"/>
      <c r="F636" s="34"/>
      <c r="G636" s="34"/>
      <c r="H636" s="33"/>
      <c r="I636" s="68">
        <v>42445</v>
      </c>
      <c r="J636" s="64">
        <v>4.3</v>
      </c>
      <c r="K636" s="64">
        <v>0</v>
      </c>
      <c r="L636" s="64"/>
      <c r="M636" s="64"/>
      <c r="N636" s="34"/>
      <c r="O636" s="35"/>
    </row>
    <row r="637" spans="1:15" s="36" customFormat="1" ht="12" x14ac:dyDescent="0.2">
      <c r="A637" s="33"/>
      <c r="B637" s="69"/>
      <c r="C637" s="65"/>
      <c r="D637" s="65"/>
      <c r="E637" s="65"/>
      <c r="F637" s="34"/>
      <c r="G637" s="34"/>
      <c r="H637" s="33"/>
      <c r="I637" s="69">
        <v>42446</v>
      </c>
      <c r="J637" s="65">
        <v>4.3</v>
      </c>
      <c r="K637" s="65">
        <v>0</v>
      </c>
      <c r="L637" s="65"/>
      <c r="M637" s="65"/>
      <c r="N637" s="34"/>
      <c r="O637" s="35"/>
    </row>
    <row r="638" spans="1:15" s="36" customFormat="1" ht="12" x14ac:dyDescent="0.2">
      <c r="A638" s="33"/>
      <c r="B638" s="68"/>
      <c r="C638" s="64"/>
      <c r="D638" s="64"/>
      <c r="E638" s="64"/>
      <c r="F638" s="34"/>
      <c r="G638" s="34"/>
      <c r="H638" s="33"/>
      <c r="I638" s="68">
        <v>42447</v>
      </c>
      <c r="J638" s="64">
        <v>4.3</v>
      </c>
      <c r="K638" s="64">
        <v>0</v>
      </c>
      <c r="L638" s="64"/>
      <c r="M638" s="64"/>
      <c r="N638" s="34"/>
      <c r="O638" s="35"/>
    </row>
    <row r="639" spans="1:15" s="36" customFormat="1" ht="12" x14ac:dyDescent="0.2">
      <c r="A639" s="33"/>
      <c r="B639" s="69"/>
      <c r="C639" s="65"/>
      <c r="D639" s="65"/>
      <c r="E639" s="65"/>
      <c r="F639" s="34"/>
      <c r="G639" s="34"/>
      <c r="H639" s="33"/>
      <c r="I639" s="69">
        <v>42450</v>
      </c>
      <c r="J639" s="65">
        <v>4.3</v>
      </c>
      <c r="K639" s="65">
        <v>0</v>
      </c>
      <c r="L639" s="65"/>
      <c r="M639" s="65"/>
      <c r="N639" s="34"/>
      <c r="O639" s="35"/>
    </row>
    <row r="640" spans="1:15" s="36" customFormat="1" ht="12" x14ac:dyDescent="0.2">
      <c r="A640" s="33"/>
      <c r="B640" s="68"/>
      <c r="C640" s="64"/>
      <c r="D640" s="64"/>
      <c r="E640" s="64"/>
      <c r="F640" s="34"/>
      <c r="G640" s="34"/>
      <c r="H640" s="33"/>
      <c r="I640" s="68">
        <v>42451</v>
      </c>
      <c r="J640" s="64">
        <v>4.3</v>
      </c>
      <c r="K640" s="64">
        <v>0</v>
      </c>
      <c r="L640" s="64"/>
      <c r="M640" s="64"/>
      <c r="N640" s="34"/>
      <c r="O640" s="35"/>
    </row>
    <row r="641" spans="1:15" s="36" customFormat="1" ht="12" x14ac:dyDescent="0.2">
      <c r="A641" s="33"/>
      <c r="B641" s="69"/>
      <c r="C641" s="65"/>
      <c r="D641" s="65"/>
      <c r="E641" s="65"/>
      <c r="F641" s="34"/>
      <c r="G641" s="34"/>
      <c r="H641" s="33"/>
      <c r="I641" s="69">
        <v>42452</v>
      </c>
      <c r="J641" s="65">
        <v>4.3</v>
      </c>
      <c r="K641" s="65">
        <v>0</v>
      </c>
      <c r="L641" s="65"/>
      <c r="M641" s="65"/>
      <c r="N641" s="34"/>
      <c r="O641" s="35"/>
    </row>
    <row r="642" spans="1:15" s="36" customFormat="1" ht="12" x14ac:dyDescent="0.2">
      <c r="A642" s="33"/>
      <c r="B642" s="68"/>
      <c r="C642" s="64"/>
      <c r="D642" s="64"/>
      <c r="E642" s="64"/>
      <c r="F642" s="34"/>
      <c r="G642" s="34"/>
      <c r="H642" s="33"/>
      <c r="I642" s="68">
        <v>42453</v>
      </c>
      <c r="J642" s="64">
        <v>4.3</v>
      </c>
      <c r="K642" s="64">
        <v>0</v>
      </c>
      <c r="L642" s="64"/>
      <c r="M642" s="64"/>
      <c r="N642" s="34"/>
      <c r="O642" s="35"/>
    </row>
    <row r="643" spans="1:15" s="36" customFormat="1" ht="12" x14ac:dyDescent="0.2">
      <c r="A643" s="33"/>
      <c r="B643" s="69"/>
      <c r="C643" s="65"/>
      <c r="D643" s="65"/>
      <c r="E643" s="65"/>
      <c r="F643" s="34"/>
      <c r="G643" s="34"/>
      <c r="H643" s="33"/>
      <c r="I643" s="69">
        <v>42454</v>
      </c>
      <c r="J643" s="65">
        <v>4.3</v>
      </c>
      <c r="K643" s="65">
        <v>0</v>
      </c>
      <c r="L643" s="65"/>
      <c r="M643" s="65"/>
      <c r="N643" s="34"/>
      <c r="O643" s="35"/>
    </row>
    <row r="644" spans="1:15" s="36" customFormat="1" ht="12" x14ac:dyDescent="0.2">
      <c r="A644" s="33"/>
      <c r="B644" s="68"/>
      <c r="C644" s="64"/>
      <c r="D644" s="64"/>
      <c r="E644" s="64"/>
      <c r="F644" s="34"/>
      <c r="G644" s="34"/>
      <c r="H644" s="33"/>
      <c r="I644" s="68">
        <v>42457</v>
      </c>
      <c r="J644" s="64">
        <v>4.3</v>
      </c>
      <c r="K644" s="64">
        <v>0</v>
      </c>
      <c r="L644" s="64"/>
      <c r="M644" s="64"/>
      <c r="N644" s="34"/>
      <c r="O644" s="35"/>
    </row>
    <row r="645" spans="1:15" s="36" customFormat="1" ht="12" x14ac:dyDescent="0.2">
      <c r="A645" s="33"/>
      <c r="B645" s="69"/>
      <c r="C645" s="65"/>
      <c r="D645" s="65"/>
      <c r="E645" s="65"/>
      <c r="F645" s="34"/>
      <c r="G645" s="34"/>
      <c r="H645" s="33"/>
      <c r="I645" s="69">
        <v>42458</v>
      </c>
      <c r="J645" s="65">
        <v>4.3</v>
      </c>
      <c r="K645" s="65">
        <v>0</v>
      </c>
      <c r="L645" s="65"/>
      <c r="M645" s="65"/>
      <c r="N645" s="34"/>
      <c r="O645" s="35"/>
    </row>
    <row r="646" spans="1:15" s="36" customFormat="1" ht="12" x14ac:dyDescent="0.2">
      <c r="A646" s="33"/>
      <c r="B646" s="68"/>
      <c r="C646" s="64"/>
      <c r="D646" s="64"/>
      <c r="E646" s="64"/>
      <c r="F646" s="34"/>
      <c r="G646" s="34"/>
      <c r="H646" s="33"/>
      <c r="I646" s="68">
        <v>42459</v>
      </c>
      <c r="J646" s="64">
        <v>4.3</v>
      </c>
      <c r="K646" s="64">
        <v>0</v>
      </c>
      <c r="L646" s="64"/>
      <c r="M646" s="64"/>
      <c r="N646" s="34"/>
      <c r="O646" s="35"/>
    </row>
    <row r="647" spans="1:15" s="36" customFormat="1" ht="12" x14ac:dyDescent="0.2">
      <c r="A647" s="33"/>
      <c r="B647" s="69"/>
      <c r="C647" s="65"/>
      <c r="D647" s="65"/>
      <c r="E647" s="65"/>
      <c r="F647" s="34"/>
      <c r="G647" s="34"/>
      <c r="H647" s="33"/>
      <c r="I647" s="69">
        <v>42460</v>
      </c>
      <c r="J647" s="65">
        <v>4.3</v>
      </c>
      <c r="K647" s="65">
        <v>0</v>
      </c>
      <c r="L647" s="65"/>
      <c r="M647" s="65"/>
      <c r="N647" s="34"/>
      <c r="O647" s="35"/>
    </row>
    <row r="648" spans="1:15" s="36" customFormat="1" ht="12" x14ac:dyDescent="0.2">
      <c r="A648" s="33"/>
      <c r="B648" s="68"/>
      <c r="C648" s="64"/>
      <c r="D648" s="64"/>
      <c r="E648" s="64"/>
      <c r="F648" s="34"/>
      <c r="G648" s="34"/>
      <c r="H648" s="33"/>
      <c r="I648" s="68">
        <v>42461</v>
      </c>
      <c r="J648" s="64">
        <v>4.3</v>
      </c>
      <c r="K648" s="64">
        <v>0</v>
      </c>
      <c r="L648" s="64"/>
      <c r="M648" s="64"/>
      <c r="N648" s="34"/>
      <c r="O648" s="35"/>
    </row>
    <row r="649" spans="1:15" s="36" customFormat="1" ht="12" x14ac:dyDescent="0.2">
      <c r="A649" s="33"/>
      <c r="B649" s="69"/>
      <c r="C649" s="65"/>
      <c r="D649" s="65"/>
      <c r="E649" s="65"/>
      <c r="F649" s="34"/>
      <c r="G649" s="34"/>
      <c r="H649" s="33"/>
      <c r="I649" s="69">
        <v>42465</v>
      </c>
      <c r="J649" s="65">
        <v>4.3</v>
      </c>
      <c r="K649" s="65">
        <v>0</v>
      </c>
      <c r="L649" s="65"/>
      <c r="M649" s="65"/>
      <c r="N649" s="34"/>
      <c r="O649" s="35"/>
    </row>
    <row r="650" spans="1:15" s="36" customFormat="1" ht="12" x14ac:dyDescent="0.2">
      <c r="A650" s="33"/>
      <c r="B650" s="68"/>
      <c r="C650" s="64"/>
      <c r="D650" s="64"/>
      <c r="E650" s="64"/>
      <c r="F650" s="34"/>
      <c r="G650" s="34"/>
      <c r="H650" s="33"/>
      <c r="I650" s="68">
        <v>42466</v>
      </c>
      <c r="J650" s="64">
        <v>4.3</v>
      </c>
      <c r="K650" s="64">
        <v>0</v>
      </c>
      <c r="L650" s="64"/>
      <c r="M650" s="64"/>
      <c r="N650" s="34"/>
      <c r="O650" s="35"/>
    </row>
    <row r="651" spans="1:15" s="36" customFormat="1" ht="12" x14ac:dyDescent="0.2">
      <c r="A651" s="33"/>
      <c r="B651" s="69"/>
      <c r="C651" s="65"/>
      <c r="D651" s="65"/>
      <c r="E651" s="65"/>
      <c r="F651" s="34"/>
      <c r="G651" s="34"/>
      <c r="H651" s="33"/>
      <c r="I651" s="69">
        <v>42467</v>
      </c>
      <c r="J651" s="65">
        <v>4.3</v>
      </c>
      <c r="K651" s="65">
        <v>0</v>
      </c>
      <c r="L651" s="65"/>
      <c r="M651" s="65"/>
      <c r="N651" s="34"/>
      <c r="O651" s="35"/>
    </row>
    <row r="652" spans="1:15" s="36" customFormat="1" ht="12" x14ac:dyDescent="0.2">
      <c r="A652" s="33"/>
      <c r="B652" s="68"/>
      <c r="C652" s="64"/>
      <c r="D652" s="64"/>
      <c r="E652" s="64"/>
      <c r="F652" s="34"/>
      <c r="G652" s="34"/>
      <c r="H652" s="33"/>
      <c r="I652" s="68">
        <v>42468</v>
      </c>
      <c r="J652" s="64">
        <v>4.3</v>
      </c>
      <c r="K652" s="64">
        <v>0</v>
      </c>
      <c r="L652" s="64"/>
      <c r="M652" s="64"/>
      <c r="N652" s="34"/>
      <c r="O652" s="35"/>
    </row>
    <row r="653" spans="1:15" s="36" customFormat="1" ht="12" x14ac:dyDescent="0.2">
      <c r="A653" s="33"/>
      <c r="B653" s="69"/>
      <c r="C653" s="65"/>
      <c r="D653" s="65"/>
      <c r="E653" s="65"/>
      <c r="F653" s="34"/>
      <c r="G653" s="34"/>
      <c r="H653" s="33"/>
      <c r="I653" s="69">
        <v>42471</v>
      </c>
      <c r="J653" s="65">
        <v>4.3</v>
      </c>
      <c r="K653" s="65">
        <v>0</v>
      </c>
      <c r="L653" s="65"/>
      <c r="M653" s="65"/>
      <c r="N653" s="34"/>
      <c r="O653" s="35"/>
    </row>
    <row r="654" spans="1:15" s="36" customFormat="1" ht="12" x14ac:dyDescent="0.2">
      <c r="A654" s="33"/>
      <c r="B654" s="68"/>
      <c r="C654" s="64"/>
      <c r="D654" s="64"/>
      <c r="E654" s="64"/>
      <c r="F654" s="34"/>
      <c r="G654" s="34"/>
      <c r="H654" s="33"/>
      <c r="I654" s="68">
        <v>42472</v>
      </c>
      <c r="J654" s="64">
        <v>4.3</v>
      </c>
      <c r="K654" s="64">
        <v>0</v>
      </c>
      <c r="L654" s="64"/>
      <c r="M654" s="64"/>
      <c r="N654" s="34"/>
      <c r="O654" s="35"/>
    </row>
    <row r="655" spans="1:15" s="36" customFormat="1" ht="12" x14ac:dyDescent="0.2">
      <c r="A655" s="33"/>
      <c r="B655" s="69"/>
      <c r="C655" s="65"/>
      <c r="D655" s="65"/>
      <c r="E655" s="65"/>
      <c r="F655" s="34"/>
      <c r="G655" s="34"/>
      <c r="H655" s="33"/>
      <c r="I655" s="69">
        <v>42473</v>
      </c>
      <c r="J655" s="65">
        <v>4.3</v>
      </c>
      <c r="K655" s="65">
        <v>0</v>
      </c>
      <c r="L655" s="65"/>
      <c r="M655" s="65"/>
      <c r="N655" s="34"/>
      <c r="O655" s="35"/>
    </row>
    <row r="656" spans="1:15" s="36" customFormat="1" ht="12" x14ac:dyDescent="0.2">
      <c r="A656" s="33"/>
      <c r="B656" s="68"/>
      <c r="C656" s="64"/>
      <c r="D656" s="64"/>
      <c r="E656" s="64"/>
      <c r="F656" s="34"/>
      <c r="G656" s="34"/>
      <c r="H656" s="33"/>
      <c r="I656" s="68">
        <v>42474</v>
      </c>
      <c r="J656" s="64">
        <v>4.3</v>
      </c>
      <c r="K656" s="64">
        <v>0</v>
      </c>
      <c r="L656" s="64"/>
      <c r="M656" s="64"/>
      <c r="N656" s="34"/>
      <c r="O656" s="35"/>
    </row>
    <row r="657" spans="1:15" s="36" customFormat="1" ht="12" x14ac:dyDescent="0.2">
      <c r="A657" s="33"/>
      <c r="B657" s="69"/>
      <c r="C657" s="65"/>
      <c r="D657" s="65"/>
      <c r="E657" s="65"/>
      <c r="F657" s="34"/>
      <c r="G657" s="34"/>
      <c r="H657" s="33"/>
      <c r="I657" s="69">
        <v>42475</v>
      </c>
      <c r="J657" s="65">
        <v>4.3</v>
      </c>
      <c r="K657" s="65">
        <v>0</v>
      </c>
      <c r="L657" s="65"/>
      <c r="M657" s="65"/>
      <c r="N657" s="34"/>
      <c r="O657" s="35"/>
    </row>
    <row r="658" spans="1:15" s="36" customFormat="1" ht="12" x14ac:dyDescent="0.2">
      <c r="A658" s="33"/>
      <c r="B658" s="68"/>
      <c r="C658" s="64"/>
      <c r="D658" s="64"/>
      <c r="E658" s="64"/>
      <c r="F658" s="34"/>
      <c r="G658" s="34"/>
      <c r="H658" s="33"/>
      <c r="I658" s="68">
        <v>42478</v>
      </c>
      <c r="J658" s="64">
        <v>4.3</v>
      </c>
      <c r="K658" s="64">
        <v>0</v>
      </c>
      <c r="L658" s="64"/>
      <c r="M658" s="64"/>
      <c r="N658" s="34"/>
      <c r="O658" s="35"/>
    </row>
    <row r="659" spans="1:15" s="36" customFormat="1" ht="12" x14ac:dyDescent="0.2">
      <c r="A659" s="33"/>
      <c r="B659" s="69"/>
      <c r="C659" s="65"/>
      <c r="D659" s="65"/>
      <c r="E659" s="65"/>
      <c r="F659" s="34"/>
      <c r="G659" s="34"/>
      <c r="H659" s="33"/>
      <c r="I659" s="69">
        <v>42479</v>
      </c>
      <c r="J659" s="65">
        <v>4.3</v>
      </c>
      <c r="K659" s="65">
        <v>0</v>
      </c>
      <c r="L659" s="65"/>
      <c r="M659" s="65"/>
      <c r="N659" s="34"/>
      <c r="O659" s="35"/>
    </row>
    <row r="660" spans="1:15" s="36" customFormat="1" ht="12" x14ac:dyDescent="0.2">
      <c r="A660" s="33"/>
      <c r="B660" s="68"/>
      <c r="C660" s="64"/>
      <c r="D660" s="64"/>
      <c r="E660" s="64"/>
      <c r="F660" s="34"/>
      <c r="G660" s="34"/>
      <c r="H660" s="33"/>
      <c r="I660" s="68">
        <v>42480</v>
      </c>
      <c r="J660" s="64">
        <v>4.3</v>
      </c>
      <c r="K660" s="64">
        <v>0</v>
      </c>
      <c r="L660" s="64"/>
      <c r="M660" s="64"/>
      <c r="N660" s="34"/>
      <c r="O660" s="35"/>
    </row>
    <row r="661" spans="1:15" s="36" customFormat="1" ht="12" x14ac:dyDescent="0.2">
      <c r="A661" s="33"/>
      <c r="B661" s="69"/>
      <c r="C661" s="65"/>
      <c r="D661" s="65"/>
      <c r="E661" s="65"/>
      <c r="F661" s="34"/>
      <c r="G661" s="34"/>
      <c r="H661" s="33"/>
      <c r="I661" s="69">
        <v>42481</v>
      </c>
      <c r="J661" s="65">
        <v>4.3</v>
      </c>
      <c r="K661" s="65">
        <v>0</v>
      </c>
      <c r="L661" s="65"/>
      <c r="M661" s="65"/>
      <c r="N661" s="34"/>
      <c r="O661" s="35"/>
    </row>
    <row r="662" spans="1:15" s="36" customFormat="1" ht="12" x14ac:dyDescent="0.2">
      <c r="A662" s="33"/>
      <c r="B662" s="68"/>
      <c r="C662" s="64"/>
      <c r="D662" s="64"/>
      <c r="E662" s="64"/>
      <c r="F662" s="34"/>
      <c r="G662" s="34"/>
      <c r="H662" s="33"/>
      <c r="I662" s="68">
        <v>42482</v>
      </c>
      <c r="J662" s="64">
        <v>4.3</v>
      </c>
      <c r="K662" s="64">
        <v>0</v>
      </c>
      <c r="L662" s="64"/>
      <c r="M662" s="64"/>
      <c r="N662" s="34"/>
      <c r="O662" s="35"/>
    </row>
    <row r="663" spans="1:15" s="36" customFormat="1" ht="12" x14ac:dyDescent="0.2">
      <c r="A663" s="33"/>
      <c r="B663" s="69"/>
      <c r="C663" s="65"/>
      <c r="D663" s="65"/>
      <c r="E663" s="65"/>
      <c r="F663" s="34"/>
      <c r="G663" s="34"/>
      <c r="H663" s="33"/>
      <c r="I663" s="69">
        <v>42485</v>
      </c>
      <c r="J663" s="65">
        <v>4.3</v>
      </c>
      <c r="K663" s="65">
        <v>0</v>
      </c>
      <c r="L663" s="65"/>
      <c r="M663" s="65"/>
      <c r="N663" s="34"/>
      <c r="O663" s="35"/>
    </row>
    <row r="664" spans="1:15" s="36" customFormat="1" ht="12" x14ac:dyDescent="0.2">
      <c r="A664" s="33"/>
      <c r="B664" s="68"/>
      <c r="C664" s="64"/>
      <c r="D664" s="64"/>
      <c r="E664" s="64"/>
      <c r="F664" s="34"/>
      <c r="G664" s="34"/>
      <c r="H664" s="33"/>
      <c r="I664" s="68">
        <v>42486</v>
      </c>
      <c r="J664" s="64">
        <v>4.3</v>
      </c>
      <c r="K664" s="64">
        <v>0</v>
      </c>
      <c r="L664" s="64"/>
      <c r="M664" s="64"/>
      <c r="N664" s="34"/>
      <c r="O664" s="35"/>
    </row>
    <row r="665" spans="1:15" s="36" customFormat="1" ht="12" x14ac:dyDescent="0.2">
      <c r="A665" s="33"/>
      <c r="B665" s="69"/>
      <c r="C665" s="65"/>
      <c r="D665" s="65"/>
      <c r="E665" s="65"/>
      <c r="F665" s="34"/>
      <c r="G665" s="34"/>
      <c r="H665" s="33"/>
      <c r="I665" s="69">
        <v>42487</v>
      </c>
      <c r="J665" s="65">
        <v>4.3</v>
      </c>
      <c r="K665" s="65">
        <v>0</v>
      </c>
      <c r="L665" s="65"/>
      <c r="M665" s="65"/>
      <c r="N665" s="34"/>
      <c r="O665" s="35"/>
    </row>
    <row r="666" spans="1:15" s="36" customFormat="1" ht="12" x14ac:dyDescent="0.2">
      <c r="A666" s="33"/>
      <c r="B666" s="68"/>
      <c r="C666" s="64"/>
      <c r="D666" s="64"/>
      <c r="E666" s="64"/>
      <c r="F666" s="34"/>
      <c r="G666" s="34"/>
      <c r="H666" s="33"/>
      <c r="I666" s="68">
        <v>42488</v>
      </c>
      <c r="J666" s="64">
        <v>4.3</v>
      </c>
      <c r="K666" s="64">
        <v>0</v>
      </c>
      <c r="L666" s="64"/>
      <c r="M666" s="64"/>
      <c r="N666" s="34"/>
      <c r="O666" s="35"/>
    </row>
    <row r="667" spans="1:15" s="36" customFormat="1" ht="12" x14ac:dyDescent="0.2">
      <c r="A667" s="33"/>
      <c r="B667" s="69"/>
      <c r="C667" s="65"/>
      <c r="D667" s="65"/>
      <c r="E667" s="65"/>
      <c r="F667" s="34"/>
      <c r="G667" s="34"/>
      <c r="H667" s="33"/>
      <c r="I667" s="69">
        <v>42489</v>
      </c>
      <c r="J667" s="65">
        <v>4.3</v>
      </c>
      <c r="K667" s="65">
        <v>0</v>
      </c>
      <c r="L667" s="65"/>
      <c r="M667" s="65"/>
      <c r="N667" s="34"/>
      <c r="O667" s="35"/>
    </row>
    <row r="668" spans="1:15" s="36" customFormat="1" ht="12" x14ac:dyDescent="0.2">
      <c r="A668" s="33"/>
      <c r="B668" s="68"/>
      <c r="C668" s="64"/>
      <c r="D668" s="64"/>
      <c r="E668" s="64"/>
      <c r="F668" s="34"/>
      <c r="G668" s="34"/>
      <c r="H668" s="33"/>
      <c r="I668" s="68">
        <v>42493</v>
      </c>
      <c r="J668" s="64">
        <v>4.3</v>
      </c>
      <c r="K668" s="64">
        <v>0</v>
      </c>
      <c r="L668" s="64"/>
      <c r="M668" s="64"/>
      <c r="N668" s="34"/>
      <c r="O668" s="35"/>
    </row>
    <row r="669" spans="1:15" s="36" customFormat="1" ht="12" x14ac:dyDescent="0.2">
      <c r="A669" s="33"/>
      <c r="B669" s="69"/>
      <c r="C669" s="65"/>
      <c r="D669" s="65"/>
      <c r="E669" s="65"/>
      <c r="F669" s="34"/>
      <c r="G669" s="34"/>
      <c r="H669" s="33"/>
      <c r="I669" s="69">
        <v>42494</v>
      </c>
      <c r="J669" s="65">
        <v>4.3</v>
      </c>
      <c r="K669" s="65">
        <v>0</v>
      </c>
      <c r="L669" s="65"/>
      <c r="M669" s="65"/>
      <c r="N669" s="34"/>
      <c r="O669" s="35"/>
    </row>
    <row r="670" spans="1:15" s="36" customFormat="1" ht="12" x14ac:dyDescent="0.2">
      <c r="A670" s="33"/>
      <c r="B670" s="68"/>
      <c r="C670" s="64"/>
      <c r="D670" s="64"/>
      <c r="E670" s="64"/>
      <c r="F670" s="34"/>
      <c r="G670" s="34"/>
      <c r="H670" s="33"/>
      <c r="I670" s="68">
        <v>42495</v>
      </c>
      <c r="J670" s="64">
        <v>4.3</v>
      </c>
      <c r="K670" s="64">
        <v>0</v>
      </c>
      <c r="L670" s="64"/>
      <c r="M670" s="64"/>
      <c r="N670" s="34"/>
      <c r="O670" s="35"/>
    </row>
    <row r="671" spans="1:15" s="36" customFormat="1" ht="12" x14ac:dyDescent="0.2">
      <c r="A671" s="33"/>
      <c r="B671" s="69"/>
      <c r="C671" s="65"/>
      <c r="D671" s="65"/>
      <c r="E671" s="65"/>
      <c r="F671" s="34"/>
      <c r="G671" s="34"/>
      <c r="H671" s="33"/>
      <c r="I671" s="69">
        <v>42496</v>
      </c>
      <c r="J671" s="65">
        <v>4.3</v>
      </c>
      <c r="K671" s="65">
        <v>0</v>
      </c>
      <c r="L671" s="65"/>
      <c r="M671" s="65"/>
      <c r="N671" s="34"/>
      <c r="O671" s="35"/>
    </row>
    <row r="672" spans="1:15" s="36" customFormat="1" ht="12" x14ac:dyDescent="0.2">
      <c r="A672" s="33"/>
      <c r="B672" s="68"/>
      <c r="C672" s="64"/>
      <c r="D672" s="64"/>
      <c r="E672" s="64"/>
      <c r="F672" s="34"/>
      <c r="G672" s="34"/>
      <c r="H672" s="33"/>
      <c r="I672" s="68">
        <v>42499</v>
      </c>
      <c r="J672" s="64">
        <v>4.3</v>
      </c>
      <c r="K672" s="64">
        <v>0</v>
      </c>
      <c r="L672" s="64"/>
      <c r="M672" s="64"/>
      <c r="N672" s="34"/>
      <c r="O672" s="35"/>
    </row>
    <row r="673" spans="1:15" s="36" customFormat="1" ht="12" x14ac:dyDescent="0.2">
      <c r="A673" s="33"/>
      <c r="B673" s="69"/>
      <c r="C673" s="65"/>
      <c r="D673" s="65"/>
      <c r="E673" s="65"/>
      <c r="F673" s="34"/>
      <c r="G673" s="34"/>
      <c r="H673" s="33"/>
      <c r="I673" s="69">
        <v>42500</v>
      </c>
      <c r="J673" s="65">
        <v>4.3</v>
      </c>
      <c r="K673" s="65">
        <v>0</v>
      </c>
      <c r="L673" s="65"/>
      <c r="M673" s="65"/>
      <c r="N673" s="34"/>
      <c r="O673" s="35"/>
    </row>
    <row r="674" spans="1:15" s="36" customFormat="1" ht="12" x14ac:dyDescent="0.2">
      <c r="A674" s="33"/>
      <c r="B674" s="68"/>
      <c r="C674" s="64"/>
      <c r="D674" s="64"/>
      <c r="E674" s="64"/>
      <c r="F674" s="34"/>
      <c r="G674" s="34"/>
      <c r="H674" s="33"/>
      <c r="I674" s="68">
        <v>42501</v>
      </c>
      <c r="J674" s="64">
        <v>4.3</v>
      </c>
      <c r="K674" s="64">
        <v>0</v>
      </c>
      <c r="L674" s="64"/>
      <c r="M674" s="64"/>
      <c r="N674" s="34"/>
      <c r="O674" s="35"/>
    </row>
    <row r="675" spans="1:15" s="36" customFormat="1" ht="12" x14ac:dyDescent="0.2">
      <c r="A675" s="33"/>
      <c r="B675" s="69"/>
      <c r="C675" s="65"/>
      <c r="D675" s="65"/>
      <c r="E675" s="65"/>
      <c r="F675" s="34"/>
      <c r="G675" s="34"/>
      <c r="H675" s="33"/>
      <c r="I675" s="69">
        <v>42502</v>
      </c>
      <c r="J675" s="65">
        <v>4.3</v>
      </c>
      <c r="K675" s="65">
        <v>0</v>
      </c>
      <c r="L675" s="65"/>
      <c r="M675" s="65"/>
      <c r="N675" s="34"/>
      <c r="O675" s="35"/>
    </row>
    <row r="676" spans="1:15" s="36" customFormat="1" ht="12" x14ac:dyDescent="0.2">
      <c r="A676" s="33"/>
      <c r="B676" s="68"/>
      <c r="C676" s="64"/>
      <c r="D676" s="64"/>
      <c r="E676" s="64"/>
      <c r="F676" s="34"/>
      <c r="G676" s="34"/>
      <c r="H676" s="33"/>
      <c r="I676" s="68">
        <v>42503</v>
      </c>
      <c r="J676" s="64">
        <v>4.3</v>
      </c>
      <c r="K676" s="64">
        <v>0</v>
      </c>
      <c r="L676" s="64"/>
      <c r="M676" s="64"/>
      <c r="N676" s="34"/>
      <c r="O676" s="35"/>
    </row>
    <row r="677" spans="1:15" s="36" customFormat="1" ht="12" x14ac:dyDescent="0.2">
      <c r="A677" s="33"/>
      <c r="B677" s="69"/>
      <c r="C677" s="65"/>
      <c r="D677" s="65"/>
      <c r="E677" s="65"/>
      <c r="F677" s="34"/>
      <c r="G677" s="34"/>
      <c r="H677" s="33"/>
      <c r="I677" s="69">
        <v>42506</v>
      </c>
      <c r="J677" s="65">
        <v>4.3</v>
      </c>
      <c r="K677" s="65">
        <v>0</v>
      </c>
      <c r="L677" s="65"/>
      <c r="M677" s="65"/>
      <c r="N677" s="34"/>
      <c r="O677" s="35"/>
    </row>
    <row r="678" spans="1:15" s="36" customFormat="1" ht="12" x14ac:dyDescent="0.2">
      <c r="A678" s="33"/>
      <c r="B678" s="68"/>
      <c r="C678" s="64"/>
      <c r="D678" s="64"/>
      <c r="E678" s="64"/>
      <c r="F678" s="34"/>
      <c r="G678" s="34"/>
      <c r="H678" s="33"/>
      <c r="I678" s="68">
        <v>42507</v>
      </c>
      <c r="J678" s="64">
        <v>4.3</v>
      </c>
      <c r="K678" s="64">
        <v>0</v>
      </c>
      <c r="L678" s="64"/>
      <c r="M678" s="64"/>
      <c r="N678" s="34"/>
      <c r="O678" s="35"/>
    </row>
    <row r="679" spans="1:15" s="36" customFormat="1" ht="12" x14ac:dyDescent="0.2">
      <c r="A679" s="33"/>
      <c r="B679" s="69"/>
      <c r="C679" s="65"/>
      <c r="D679" s="65"/>
      <c r="E679" s="65"/>
      <c r="F679" s="34"/>
      <c r="G679" s="34"/>
      <c r="H679" s="33"/>
      <c r="I679" s="69">
        <v>42508</v>
      </c>
      <c r="J679" s="65">
        <v>4.3</v>
      </c>
      <c r="K679" s="65">
        <v>0</v>
      </c>
      <c r="L679" s="65"/>
      <c r="M679" s="65"/>
      <c r="N679" s="34"/>
      <c r="O679" s="35"/>
    </row>
    <row r="680" spans="1:15" s="36" customFormat="1" ht="12" x14ac:dyDescent="0.2">
      <c r="A680" s="33"/>
      <c r="B680" s="68"/>
      <c r="C680" s="64"/>
      <c r="D680" s="64"/>
      <c r="E680" s="64"/>
      <c r="F680" s="34"/>
      <c r="G680" s="34"/>
      <c r="H680" s="33"/>
      <c r="I680" s="68">
        <v>42509</v>
      </c>
      <c r="J680" s="64">
        <v>4.3</v>
      </c>
      <c r="K680" s="64">
        <v>0</v>
      </c>
      <c r="L680" s="64"/>
      <c r="M680" s="64"/>
      <c r="N680" s="34"/>
      <c r="O680" s="35"/>
    </row>
    <row r="681" spans="1:15" s="36" customFormat="1" ht="12" x14ac:dyDescent="0.2">
      <c r="A681" s="33"/>
      <c r="B681" s="69"/>
      <c r="C681" s="65"/>
      <c r="D681" s="65"/>
      <c r="E681" s="65"/>
      <c r="F681" s="34"/>
      <c r="G681" s="34"/>
      <c r="H681" s="33"/>
      <c r="I681" s="69">
        <v>42510</v>
      </c>
      <c r="J681" s="65">
        <v>4.3</v>
      </c>
      <c r="K681" s="65">
        <v>0</v>
      </c>
      <c r="L681" s="65"/>
      <c r="M681" s="65"/>
      <c r="N681" s="34"/>
      <c r="O681" s="35"/>
    </row>
    <row r="682" spans="1:15" s="36" customFormat="1" ht="12" x14ac:dyDescent="0.2">
      <c r="A682" s="33"/>
      <c r="B682" s="68"/>
      <c r="C682" s="64"/>
      <c r="D682" s="64"/>
      <c r="E682" s="64"/>
      <c r="F682" s="34"/>
      <c r="G682" s="34"/>
      <c r="H682" s="33"/>
      <c r="I682" s="68">
        <v>42513</v>
      </c>
      <c r="J682" s="64">
        <v>4.3</v>
      </c>
      <c r="K682" s="64">
        <v>0</v>
      </c>
      <c r="L682" s="64"/>
      <c r="M682" s="64"/>
      <c r="N682" s="34"/>
      <c r="O682" s="35"/>
    </row>
    <row r="683" spans="1:15" s="36" customFormat="1" ht="12" x14ac:dyDescent="0.2">
      <c r="A683" s="33"/>
      <c r="B683" s="69"/>
      <c r="C683" s="65"/>
      <c r="D683" s="65"/>
      <c r="E683" s="65"/>
      <c r="F683" s="34"/>
      <c r="G683" s="34"/>
      <c r="H683" s="33"/>
      <c r="I683" s="69">
        <v>42514</v>
      </c>
      <c r="J683" s="65">
        <v>4.3</v>
      </c>
      <c r="K683" s="65">
        <v>0</v>
      </c>
      <c r="L683" s="65"/>
      <c r="M683" s="65"/>
      <c r="N683" s="34"/>
      <c r="O683" s="35"/>
    </row>
    <row r="684" spans="1:15" s="36" customFormat="1" ht="12" x14ac:dyDescent="0.2">
      <c r="A684" s="33"/>
      <c r="B684" s="68"/>
      <c r="C684" s="64"/>
      <c r="D684" s="64"/>
      <c r="E684" s="64"/>
      <c r="F684" s="34"/>
      <c r="G684" s="34"/>
      <c r="H684" s="33"/>
      <c r="I684" s="68">
        <v>42515</v>
      </c>
      <c r="J684" s="64">
        <v>4.3</v>
      </c>
      <c r="K684" s="64">
        <v>0</v>
      </c>
      <c r="L684" s="64"/>
      <c r="M684" s="64"/>
      <c r="N684" s="34"/>
      <c r="O684" s="35"/>
    </row>
    <row r="685" spans="1:15" s="36" customFormat="1" ht="12" x14ac:dyDescent="0.2">
      <c r="A685" s="33"/>
      <c r="B685" s="69"/>
      <c r="C685" s="65"/>
      <c r="D685" s="65"/>
      <c r="E685" s="65"/>
      <c r="F685" s="34"/>
      <c r="G685" s="34"/>
      <c r="H685" s="33"/>
      <c r="I685" s="69">
        <v>42516</v>
      </c>
      <c r="J685" s="65">
        <v>4.3</v>
      </c>
      <c r="K685" s="65">
        <v>0</v>
      </c>
      <c r="L685" s="65"/>
      <c r="M685" s="65"/>
      <c r="N685" s="34"/>
      <c r="O685" s="35"/>
    </row>
    <row r="686" spans="1:15" s="36" customFormat="1" ht="12" x14ac:dyDescent="0.2">
      <c r="A686" s="33"/>
      <c r="B686" s="68"/>
      <c r="C686" s="64"/>
      <c r="D686" s="64"/>
      <c r="E686" s="64"/>
      <c r="F686" s="34"/>
      <c r="G686" s="34"/>
      <c r="H686" s="33"/>
      <c r="I686" s="68">
        <v>42517</v>
      </c>
      <c r="J686" s="64">
        <v>4.3</v>
      </c>
      <c r="K686" s="64">
        <v>0</v>
      </c>
      <c r="L686" s="64"/>
      <c r="M686" s="64"/>
      <c r="N686" s="34"/>
      <c r="O686" s="35"/>
    </row>
    <row r="687" spans="1:15" s="36" customFormat="1" ht="12" x14ac:dyDescent="0.2">
      <c r="A687" s="33"/>
      <c r="B687" s="69"/>
      <c r="C687" s="65"/>
      <c r="D687" s="65"/>
      <c r="E687" s="65"/>
      <c r="F687" s="34"/>
      <c r="G687" s="34"/>
      <c r="H687" s="33"/>
      <c r="I687" s="69">
        <v>42520</v>
      </c>
      <c r="J687" s="65">
        <v>4.3</v>
      </c>
      <c r="K687" s="65">
        <v>0</v>
      </c>
      <c r="L687" s="65"/>
      <c r="M687" s="65"/>
      <c r="N687" s="34"/>
      <c r="O687" s="35"/>
    </row>
    <row r="688" spans="1:15" s="36" customFormat="1" ht="12" x14ac:dyDescent="0.2">
      <c r="A688" s="33"/>
      <c r="B688" s="68"/>
      <c r="C688" s="64"/>
      <c r="D688" s="64"/>
      <c r="E688" s="64"/>
      <c r="F688" s="34"/>
      <c r="G688" s="34"/>
      <c r="H688" s="33"/>
      <c r="I688" s="68">
        <v>42521</v>
      </c>
      <c r="J688" s="64">
        <v>4.3</v>
      </c>
      <c r="K688" s="64">
        <v>0</v>
      </c>
      <c r="L688" s="64"/>
      <c r="M688" s="64"/>
      <c r="N688" s="34"/>
      <c r="O688" s="35"/>
    </row>
    <row r="689" spans="1:15" s="36" customFormat="1" ht="12" x14ac:dyDescent="0.2">
      <c r="A689" s="33"/>
      <c r="B689" s="69"/>
      <c r="C689" s="65"/>
      <c r="D689" s="65"/>
      <c r="E689" s="65"/>
      <c r="F689" s="34"/>
      <c r="G689" s="34"/>
      <c r="H689" s="33"/>
      <c r="I689" s="69">
        <v>42522</v>
      </c>
      <c r="J689" s="65">
        <v>4.3</v>
      </c>
      <c r="K689" s="65">
        <v>0</v>
      </c>
      <c r="L689" s="65"/>
      <c r="M689" s="65"/>
      <c r="N689" s="34"/>
      <c r="O689" s="35"/>
    </row>
    <row r="690" spans="1:15" s="36" customFormat="1" ht="12" x14ac:dyDescent="0.2">
      <c r="A690" s="33"/>
      <c r="B690" s="68"/>
      <c r="C690" s="64"/>
      <c r="D690" s="64"/>
      <c r="E690" s="64"/>
      <c r="F690" s="34"/>
      <c r="G690" s="34"/>
      <c r="H690" s="33"/>
      <c r="I690" s="68">
        <v>42523</v>
      </c>
      <c r="J690" s="64">
        <v>4.3</v>
      </c>
      <c r="K690" s="64">
        <v>0</v>
      </c>
      <c r="L690" s="64"/>
      <c r="M690" s="64"/>
      <c r="N690" s="34"/>
      <c r="O690" s="35"/>
    </row>
    <row r="691" spans="1:15" s="36" customFormat="1" ht="12" x14ac:dyDescent="0.2">
      <c r="A691" s="33"/>
      <c r="B691" s="69"/>
      <c r="C691" s="65"/>
      <c r="D691" s="65"/>
      <c r="E691" s="65"/>
      <c r="F691" s="34"/>
      <c r="G691" s="34"/>
      <c r="H691" s="33"/>
      <c r="I691" s="69">
        <v>42524</v>
      </c>
      <c r="J691" s="65">
        <v>4.3</v>
      </c>
      <c r="K691" s="65">
        <v>0</v>
      </c>
      <c r="L691" s="65"/>
      <c r="M691" s="65"/>
      <c r="N691" s="34"/>
      <c r="O691" s="35"/>
    </row>
    <row r="692" spans="1:15" s="36" customFormat="1" ht="12" x14ac:dyDescent="0.2">
      <c r="A692" s="33"/>
      <c r="B692" s="68"/>
      <c r="C692" s="64"/>
      <c r="D692" s="64"/>
      <c r="E692" s="64"/>
      <c r="F692" s="34"/>
      <c r="G692" s="34"/>
      <c r="H692" s="33"/>
      <c r="I692" s="68">
        <v>42527</v>
      </c>
      <c r="J692" s="64">
        <v>4.3</v>
      </c>
      <c r="K692" s="64">
        <v>0</v>
      </c>
      <c r="L692" s="64"/>
      <c r="M692" s="64"/>
      <c r="N692" s="34"/>
      <c r="O692" s="35"/>
    </row>
    <row r="693" spans="1:15" s="36" customFormat="1" ht="12" x14ac:dyDescent="0.2">
      <c r="A693" s="33"/>
      <c r="B693" s="69"/>
      <c r="C693" s="65"/>
      <c r="D693" s="65"/>
      <c r="E693" s="65"/>
      <c r="F693" s="34"/>
      <c r="G693" s="34"/>
      <c r="H693" s="33"/>
      <c r="I693" s="69">
        <v>42528</v>
      </c>
      <c r="J693" s="65">
        <v>4.3</v>
      </c>
      <c r="K693" s="65">
        <v>0</v>
      </c>
      <c r="L693" s="65"/>
      <c r="M693" s="65"/>
      <c r="N693" s="34"/>
      <c r="O693" s="35"/>
    </row>
    <row r="694" spans="1:15" s="36" customFormat="1" ht="12" x14ac:dyDescent="0.2">
      <c r="A694" s="33"/>
      <c r="B694" s="68"/>
      <c r="C694" s="64"/>
      <c r="D694" s="64"/>
      <c r="E694" s="64"/>
      <c r="F694" s="34"/>
      <c r="G694" s="34"/>
      <c r="H694" s="33"/>
      <c r="I694" s="68">
        <v>42529</v>
      </c>
      <c r="J694" s="64">
        <v>4.3</v>
      </c>
      <c r="K694" s="64">
        <v>0</v>
      </c>
      <c r="L694" s="64"/>
      <c r="M694" s="64"/>
      <c r="N694" s="34"/>
      <c r="O694" s="35"/>
    </row>
    <row r="695" spans="1:15" s="36" customFormat="1" ht="12" x14ac:dyDescent="0.2">
      <c r="A695" s="33"/>
      <c r="B695" s="69"/>
      <c r="C695" s="65"/>
      <c r="D695" s="65"/>
      <c r="E695" s="65"/>
      <c r="F695" s="34"/>
      <c r="G695" s="34"/>
      <c r="H695" s="33"/>
      <c r="I695" s="69">
        <v>42533</v>
      </c>
      <c r="J695" s="65">
        <v>4.3</v>
      </c>
      <c r="K695" s="65">
        <v>0</v>
      </c>
      <c r="L695" s="65"/>
      <c r="M695" s="65"/>
      <c r="N695" s="34"/>
      <c r="O695" s="35"/>
    </row>
    <row r="696" spans="1:15" s="36" customFormat="1" ht="12" x14ac:dyDescent="0.2">
      <c r="A696" s="33"/>
      <c r="B696" s="68"/>
      <c r="C696" s="64"/>
      <c r="D696" s="64"/>
      <c r="E696" s="64"/>
      <c r="F696" s="34"/>
      <c r="G696" s="34"/>
      <c r="H696" s="33"/>
      <c r="I696" s="68">
        <v>42534</v>
      </c>
      <c r="J696" s="64">
        <v>4.3</v>
      </c>
      <c r="K696" s="64">
        <v>0</v>
      </c>
      <c r="L696" s="64"/>
      <c r="M696" s="64"/>
      <c r="N696" s="34"/>
      <c r="O696" s="35"/>
    </row>
    <row r="697" spans="1:15" s="36" customFormat="1" ht="12" x14ac:dyDescent="0.2">
      <c r="A697" s="33"/>
      <c r="B697" s="69"/>
      <c r="C697" s="65"/>
      <c r="D697" s="65"/>
      <c r="E697" s="65"/>
      <c r="F697" s="34"/>
      <c r="G697" s="34"/>
      <c r="H697" s="33"/>
      <c r="I697" s="69">
        <v>42535</v>
      </c>
      <c r="J697" s="65">
        <v>4.3</v>
      </c>
      <c r="K697" s="65">
        <v>0</v>
      </c>
      <c r="L697" s="65"/>
      <c r="M697" s="65"/>
      <c r="N697" s="34"/>
      <c r="O697" s="35"/>
    </row>
    <row r="698" spans="1:15" s="36" customFormat="1" ht="12" x14ac:dyDescent="0.2">
      <c r="A698" s="33"/>
      <c r="B698" s="68"/>
      <c r="C698" s="64"/>
      <c r="D698" s="64"/>
      <c r="E698" s="64"/>
      <c r="F698" s="34"/>
      <c r="G698" s="34"/>
      <c r="H698" s="33"/>
      <c r="I698" s="68">
        <v>42536</v>
      </c>
      <c r="J698" s="64">
        <v>4.3</v>
      </c>
      <c r="K698" s="64">
        <v>0</v>
      </c>
      <c r="L698" s="64"/>
      <c r="M698" s="64"/>
      <c r="N698" s="34"/>
      <c r="O698" s="35"/>
    </row>
    <row r="699" spans="1:15" s="36" customFormat="1" ht="12" x14ac:dyDescent="0.2">
      <c r="A699" s="33"/>
      <c r="B699" s="69"/>
      <c r="C699" s="65"/>
      <c r="D699" s="65"/>
      <c r="E699" s="65"/>
      <c r="F699" s="34"/>
      <c r="G699" s="34"/>
      <c r="H699" s="33"/>
      <c r="I699" s="69">
        <v>42537</v>
      </c>
      <c r="J699" s="65">
        <v>4.3</v>
      </c>
      <c r="K699" s="65">
        <v>0</v>
      </c>
      <c r="L699" s="65"/>
      <c r="M699" s="65"/>
      <c r="N699" s="34"/>
      <c r="O699" s="35"/>
    </row>
    <row r="700" spans="1:15" s="36" customFormat="1" ht="12" x14ac:dyDescent="0.2">
      <c r="A700" s="33"/>
      <c r="B700" s="68"/>
      <c r="C700" s="64"/>
      <c r="D700" s="64"/>
      <c r="E700" s="64"/>
      <c r="F700" s="34"/>
      <c r="G700" s="34"/>
      <c r="H700" s="33"/>
      <c r="I700" s="68">
        <v>42538</v>
      </c>
      <c r="J700" s="64">
        <v>4.3</v>
      </c>
      <c r="K700" s="64">
        <v>0</v>
      </c>
      <c r="L700" s="64"/>
      <c r="M700" s="64"/>
      <c r="N700" s="34"/>
      <c r="O700" s="35"/>
    </row>
    <row r="701" spans="1:15" s="36" customFormat="1" ht="12" x14ac:dyDescent="0.2">
      <c r="A701" s="33"/>
      <c r="B701" s="69"/>
      <c r="C701" s="65"/>
      <c r="D701" s="65"/>
      <c r="E701" s="65"/>
      <c r="F701" s="34"/>
      <c r="G701" s="34"/>
      <c r="H701" s="33"/>
      <c r="I701" s="69">
        <v>42541</v>
      </c>
      <c r="J701" s="65">
        <v>4.3</v>
      </c>
      <c r="K701" s="65">
        <v>0</v>
      </c>
      <c r="L701" s="65"/>
      <c r="M701" s="65"/>
      <c r="N701" s="34"/>
      <c r="O701" s="35"/>
    </row>
    <row r="702" spans="1:15" s="36" customFormat="1" ht="12" x14ac:dyDescent="0.2">
      <c r="A702" s="33"/>
      <c r="B702" s="68"/>
      <c r="C702" s="64"/>
      <c r="D702" s="64"/>
      <c r="E702" s="64"/>
      <c r="F702" s="34"/>
      <c r="G702" s="34"/>
      <c r="H702" s="33"/>
      <c r="I702" s="68">
        <v>42542</v>
      </c>
      <c r="J702" s="64">
        <v>4.3</v>
      </c>
      <c r="K702" s="64">
        <v>0</v>
      </c>
      <c r="L702" s="64"/>
      <c r="M702" s="64"/>
      <c r="N702" s="34"/>
      <c r="O702" s="35"/>
    </row>
    <row r="703" spans="1:15" s="36" customFormat="1" ht="12" x14ac:dyDescent="0.2">
      <c r="A703" s="33"/>
      <c r="B703" s="69"/>
      <c r="C703" s="65"/>
      <c r="D703" s="65"/>
      <c r="E703" s="65"/>
      <c r="F703" s="34"/>
      <c r="G703" s="34"/>
      <c r="H703" s="33"/>
      <c r="I703" s="69">
        <v>42543</v>
      </c>
      <c r="J703" s="65">
        <v>4.3</v>
      </c>
      <c r="K703" s="65">
        <v>0</v>
      </c>
      <c r="L703" s="65"/>
      <c r="M703" s="65"/>
      <c r="N703" s="34"/>
      <c r="O703" s="35"/>
    </row>
    <row r="704" spans="1:15" s="36" customFormat="1" ht="12" x14ac:dyDescent="0.2">
      <c r="A704" s="33"/>
      <c r="B704" s="68"/>
      <c r="C704" s="64"/>
      <c r="D704" s="64"/>
      <c r="E704" s="64"/>
      <c r="F704" s="34"/>
      <c r="G704" s="34"/>
      <c r="H704" s="33"/>
      <c r="I704" s="68">
        <v>42544</v>
      </c>
      <c r="J704" s="64">
        <v>4.3</v>
      </c>
      <c r="K704" s="64">
        <v>0</v>
      </c>
      <c r="L704" s="64"/>
      <c r="M704" s="64"/>
      <c r="N704" s="34"/>
      <c r="O704" s="35"/>
    </row>
    <row r="705" spans="1:15" s="36" customFormat="1" ht="12" x14ac:dyDescent="0.2">
      <c r="A705" s="33"/>
      <c r="B705" s="69"/>
      <c r="C705" s="65"/>
      <c r="D705" s="65"/>
      <c r="E705" s="65"/>
      <c r="F705" s="34"/>
      <c r="G705" s="34"/>
      <c r="H705" s="33"/>
      <c r="I705" s="69">
        <v>42545</v>
      </c>
      <c r="J705" s="65">
        <v>4.3</v>
      </c>
      <c r="K705" s="65">
        <v>0</v>
      </c>
      <c r="L705" s="65"/>
      <c r="M705" s="65"/>
      <c r="N705" s="34"/>
      <c r="O705" s="35"/>
    </row>
    <row r="706" spans="1:15" s="36" customFormat="1" ht="12" x14ac:dyDescent="0.2">
      <c r="A706" s="33"/>
      <c r="B706" s="68"/>
      <c r="C706" s="64"/>
      <c r="D706" s="64"/>
      <c r="E706" s="64"/>
      <c r="F706" s="34"/>
      <c r="G706" s="34"/>
      <c r="H706" s="33"/>
      <c r="I706" s="68">
        <v>42548</v>
      </c>
      <c r="J706" s="64">
        <v>4.3</v>
      </c>
      <c r="K706" s="64">
        <v>0</v>
      </c>
      <c r="L706" s="64"/>
      <c r="M706" s="64"/>
      <c r="N706" s="34"/>
      <c r="O706" s="35"/>
    </row>
    <row r="707" spans="1:15" s="36" customFormat="1" ht="12" x14ac:dyDescent="0.2">
      <c r="A707" s="33"/>
      <c r="B707" s="69"/>
      <c r="C707" s="65"/>
      <c r="D707" s="65"/>
      <c r="E707" s="65"/>
      <c r="F707" s="34"/>
      <c r="G707" s="34"/>
      <c r="H707" s="33"/>
      <c r="I707" s="69">
        <v>42549</v>
      </c>
      <c r="J707" s="65">
        <v>4.3</v>
      </c>
      <c r="K707" s="65">
        <v>0</v>
      </c>
      <c r="L707" s="65"/>
      <c r="M707" s="65"/>
      <c r="N707" s="34"/>
      <c r="O707" s="35"/>
    </row>
    <row r="708" spans="1:15" s="36" customFormat="1" ht="12" x14ac:dyDescent="0.2">
      <c r="A708" s="33"/>
      <c r="B708" s="68"/>
      <c r="C708" s="64"/>
      <c r="D708" s="64"/>
      <c r="E708" s="64"/>
      <c r="F708" s="34"/>
      <c r="G708" s="34"/>
      <c r="H708" s="33"/>
      <c r="I708" s="68">
        <v>42550</v>
      </c>
      <c r="J708" s="64">
        <v>4.3</v>
      </c>
      <c r="K708" s="64">
        <v>0</v>
      </c>
      <c r="L708" s="64"/>
      <c r="M708" s="64"/>
      <c r="N708" s="34"/>
      <c r="O708" s="35"/>
    </row>
    <row r="709" spans="1:15" s="36" customFormat="1" ht="12" x14ac:dyDescent="0.2">
      <c r="A709" s="33"/>
      <c r="B709" s="69"/>
      <c r="C709" s="65"/>
      <c r="D709" s="65"/>
      <c r="E709" s="65"/>
      <c r="F709" s="34"/>
      <c r="G709" s="34"/>
      <c r="H709" s="33"/>
      <c r="I709" s="69">
        <v>42551</v>
      </c>
      <c r="J709" s="65">
        <v>4.3</v>
      </c>
      <c r="K709" s="65">
        <v>0</v>
      </c>
      <c r="L709" s="65"/>
      <c r="M709" s="65"/>
      <c r="N709" s="34"/>
      <c r="O709" s="35"/>
    </row>
    <row r="710" spans="1:15" s="36" customFormat="1" ht="12" x14ac:dyDescent="0.2">
      <c r="A710" s="33"/>
      <c r="B710" s="68"/>
      <c r="C710" s="64"/>
      <c r="D710" s="64"/>
      <c r="E710" s="64"/>
      <c r="F710" s="34"/>
      <c r="G710" s="34"/>
      <c r="H710" s="33"/>
      <c r="I710" s="68">
        <v>42552</v>
      </c>
      <c r="J710" s="64">
        <v>4.3</v>
      </c>
      <c r="K710" s="64">
        <v>0</v>
      </c>
      <c r="L710" s="64"/>
      <c r="M710" s="64"/>
      <c r="N710" s="34"/>
      <c r="O710" s="35"/>
    </row>
    <row r="711" spans="1:15" s="36" customFormat="1" ht="12" x14ac:dyDescent="0.2">
      <c r="A711" s="33"/>
      <c r="B711" s="69"/>
      <c r="C711" s="65"/>
      <c r="D711" s="65"/>
      <c r="E711" s="65"/>
      <c r="F711" s="34"/>
      <c r="G711" s="34"/>
      <c r="H711" s="33"/>
      <c r="I711" s="69">
        <v>42555</v>
      </c>
      <c r="J711" s="65">
        <v>4.3</v>
      </c>
      <c r="K711" s="65">
        <v>0</v>
      </c>
      <c r="L711" s="65"/>
      <c r="M711" s="65"/>
      <c r="N711" s="34"/>
      <c r="O711" s="35"/>
    </row>
    <row r="712" spans="1:15" s="36" customFormat="1" ht="12" x14ac:dyDescent="0.2">
      <c r="A712" s="33"/>
      <c r="B712" s="68"/>
      <c r="C712" s="64"/>
      <c r="D712" s="64"/>
      <c r="E712" s="64"/>
      <c r="F712" s="34"/>
      <c r="G712" s="34"/>
      <c r="H712" s="33"/>
      <c r="I712" s="68">
        <v>42556</v>
      </c>
      <c r="J712" s="64">
        <v>4.3</v>
      </c>
      <c r="K712" s="64">
        <v>0</v>
      </c>
      <c r="L712" s="64"/>
      <c r="M712" s="64"/>
      <c r="N712" s="34"/>
      <c r="O712" s="35"/>
    </row>
    <row r="713" spans="1:15" s="36" customFormat="1" ht="12" x14ac:dyDescent="0.2">
      <c r="A713" s="33"/>
      <c r="B713" s="69"/>
      <c r="C713" s="65"/>
      <c r="D713" s="65"/>
      <c r="E713" s="65"/>
      <c r="F713" s="34"/>
      <c r="G713" s="34"/>
      <c r="H713" s="33"/>
      <c r="I713" s="69">
        <v>42557</v>
      </c>
      <c r="J713" s="65">
        <v>4.3</v>
      </c>
      <c r="K713" s="65">
        <v>0</v>
      </c>
      <c r="L713" s="65"/>
      <c r="M713" s="65"/>
      <c r="N713" s="34"/>
      <c r="O713" s="35"/>
    </row>
    <row r="714" spans="1:15" s="36" customFormat="1" ht="12" x14ac:dyDescent="0.2">
      <c r="A714" s="33"/>
      <c r="B714" s="68"/>
      <c r="C714" s="64"/>
      <c r="D714" s="64"/>
      <c r="E714" s="64"/>
      <c r="F714" s="34"/>
      <c r="G714" s="34"/>
      <c r="H714" s="33"/>
      <c r="I714" s="68">
        <v>42558</v>
      </c>
      <c r="J714" s="64">
        <v>4.3</v>
      </c>
      <c r="K714" s="64">
        <v>0</v>
      </c>
      <c r="L714" s="64"/>
      <c r="M714" s="64"/>
      <c r="N714" s="34"/>
      <c r="O714" s="35"/>
    </row>
    <row r="715" spans="1:15" s="36" customFormat="1" ht="12" x14ac:dyDescent="0.2">
      <c r="A715" s="33"/>
      <c r="B715" s="69"/>
      <c r="C715" s="65"/>
      <c r="D715" s="65"/>
      <c r="E715" s="65"/>
      <c r="F715" s="34"/>
      <c r="G715" s="34"/>
      <c r="H715" s="33"/>
      <c r="I715" s="69">
        <v>42559</v>
      </c>
      <c r="J715" s="65">
        <v>4.3</v>
      </c>
      <c r="K715" s="65">
        <v>0</v>
      </c>
      <c r="L715" s="65"/>
      <c r="M715" s="65"/>
      <c r="N715" s="34"/>
      <c r="O715" s="35"/>
    </row>
    <row r="716" spans="1:15" s="36" customFormat="1" ht="12" x14ac:dyDescent="0.2">
      <c r="A716" s="33"/>
      <c r="B716" s="68"/>
      <c r="C716" s="64"/>
      <c r="D716" s="64"/>
      <c r="E716" s="64"/>
      <c r="F716" s="34"/>
      <c r="G716" s="34"/>
      <c r="H716" s="33"/>
      <c r="I716" s="68">
        <v>42562</v>
      </c>
      <c r="J716" s="64">
        <v>4.3</v>
      </c>
      <c r="K716" s="64">
        <v>0</v>
      </c>
      <c r="L716" s="64"/>
      <c r="M716" s="64"/>
      <c r="N716" s="34"/>
      <c r="O716" s="35"/>
    </row>
    <row r="717" spans="1:15" s="36" customFormat="1" ht="12" x14ac:dyDescent="0.2">
      <c r="A717" s="33"/>
      <c r="B717" s="69"/>
      <c r="C717" s="65"/>
      <c r="D717" s="65"/>
      <c r="E717" s="65"/>
      <c r="F717" s="34"/>
      <c r="G717" s="34"/>
      <c r="H717" s="33"/>
      <c r="I717" s="69">
        <v>42563</v>
      </c>
      <c r="J717" s="65">
        <v>4.3</v>
      </c>
      <c r="K717" s="65">
        <v>0</v>
      </c>
      <c r="L717" s="65"/>
      <c r="M717" s="65"/>
      <c r="N717" s="34"/>
      <c r="O717" s="35"/>
    </row>
    <row r="718" spans="1:15" s="36" customFormat="1" ht="12" x14ac:dyDescent="0.2">
      <c r="A718" s="33"/>
      <c r="B718" s="68"/>
      <c r="C718" s="64"/>
      <c r="D718" s="64"/>
      <c r="E718" s="64"/>
      <c r="F718" s="34"/>
      <c r="G718" s="34"/>
      <c r="H718" s="33"/>
      <c r="I718" s="68">
        <v>42564</v>
      </c>
      <c r="J718" s="64">
        <v>4.3</v>
      </c>
      <c r="K718" s="64">
        <v>0</v>
      </c>
      <c r="L718" s="64"/>
      <c r="M718" s="64"/>
      <c r="N718" s="34"/>
      <c r="O718" s="35"/>
    </row>
    <row r="719" spans="1:15" s="36" customFormat="1" ht="12" x14ac:dyDescent="0.2">
      <c r="A719" s="33"/>
      <c r="B719" s="69"/>
      <c r="C719" s="65"/>
      <c r="D719" s="65"/>
      <c r="E719" s="65"/>
      <c r="F719" s="34"/>
      <c r="G719" s="34"/>
      <c r="H719" s="33"/>
      <c r="I719" s="69">
        <v>42565</v>
      </c>
      <c r="J719" s="65">
        <v>4.3</v>
      </c>
      <c r="K719" s="65">
        <v>0</v>
      </c>
      <c r="L719" s="65"/>
      <c r="M719" s="65"/>
      <c r="N719" s="34"/>
      <c r="O719" s="35"/>
    </row>
    <row r="720" spans="1:15" s="36" customFormat="1" ht="12" x14ac:dyDescent="0.2">
      <c r="A720" s="33"/>
      <c r="B720" s="68"/>
      <c r="C720" s="64"/>
      <c r="D720" s="64"/>
      <c r="E720" s="64"/>
      <c r="F720" s="34"/>
      <c r="G720" s="34"/>
      <c r="H720" s="33"/>
      <c r="I720" s="68">
        <v>42566</v>
      </c>
      <c r="J720" s="64">
        <v>4.3</v>
      </c>
      <c r="K720" s="64">
        <v>0</v>
      </c>
      <c r="L720" s="64"/>
      <c r="M720" s="64"/>
      <c r="N720" s="34"/>
      <c r="O720" s="35"/>
    </row>
    <row r="721" spans="1:15" s="36" customFormat="1" ht="12" x14ac:dyDescent="0.2">
      <c r="A721" s="33"/>
      <c r="B721" s="69"/>
      <c r="C721" s="65"/>
      <c r="D721" s="65"/>
      <c r="E721" s="65"/>
      <c r="F721" s="34"/>
      <c r="G721" s="34"/>
      <c r="H721" s="33"/>
      <c r="I721" s="69">
        <v>42569</v>
      </c>
      <c r="J721" s="65">
        <v>4.3</v>
      </c>
      <c r="K721" s="65">
        <v>0</v>
      </c>
      <c r="L721" s="65"/>
      <c r="M721" s="65"/>
      <c r="N721" s="34"/>
      <c r="O721" s="35"/>
    </row>
    <row r="722" spans="1:15" s="36" customFormat="1" ht="12" x14ac:dyDescent="0.2">
      <c r="A722" s="33"/>
      <c r="B722" s="68"/>
      <c r="C722" s="64"/>
      <c r="D722" s="64"/>
      <c r="E722" s="64"/>
      <c r="F722" s="34"/>
      <c r="G722" s="34"/>
      <c r="H722" s="33"/>
      <c r="I722" s="68">
        <v>42570</v>
      </c>
      <c r="J722" s="64">
        <v>4.3</v>
      </c>
      <c r="K722" s="64">
        <v>0</v>
      </c>
      <c r="L722" s="64"/>
      <c r="M722" s="64"/>
      <c r="N722" s="34"/>
      <c r="O722" s="35"/>
    </row>
    <row r="723" spans="1:15" s="36" customFormat="1" ht="12" x14ac:dyDescent="0.2">
      <c r="A723" s="33"/>
      <c r="B723" s="69"/>
      <c r="C723" s="65"/>
      <c r="D723" s="65"/>
      <c r="E723" s="65"/>
      <c r="F723" s="34"/>
      <c r="G723" s="34"/>
      <c r="H723" s="33"/>
      <c r="I723" s="69">
        <v>42571</v>
      </c>
      <c r="J723" s="65">
        <v>4.3</v>
      </c>
      <c r="K723" s="65">
        <v>0</v>
      </c>
      <c r="L723" s="65"/>
      <c r="M723" s="65"/>
      <c r="N723" s="34"/>
      <c r="O723" s="35"/>
    </row>
    <row r="724" spans="1:15" s="36" customFormat="1" ht="12" x14ac:dyDescent="0.2">
      <c r="A724" s="33"/>
      <c r="B724" s="68"/>
      <c r="C724" s="64"/>
      <c r="D724" s="64"/>
      <c r="E724" s="64"/>
      <c r="F724" s="34"/>
      <c r="G724" s="34"/>
      <c r="H724" s="33"/>
      <c r="I724" s="68">
        <v>42572</v>
      </c>
      <c r="J724" s="64">
        <v>4.3</v>
      </c>
      <c r="K724" s="64">
        <v>0</v>
      </c>
      <c r="L724" s="64"/>
      <c r="M724" s="64"/>
      <c r="N724" s="34"/>
      <c r="O724" s="35"/>
    </row>
    <row r="725" spans="1:15" s="36" customFormat="1" ht="12" x14ac:dyDescent="0.2">
      <c r="A725" s="33"/>
      <c r="B725" s="69"/>
      <c r="C725" s="65"/>
      <c r="D725" s="65"/>
      <c r="E725" s="65"/>
      <c r="F725" s="34"/>
      <c r="G725" s="34"/>
      <c r="H725" s="33"/>
      <c r="I725" s="69">
        <v>42573</v>
      </c>
      <c r="J725" s="65">
        <v>4.3</v>
      </c>
      <c r="K725" s="65">
        <v>0</v>
      </c>
      <c r="L725" s="65"/>
      <c r="M725" s="65"/>
      <c r="N725" s="34"/>
      <c r="O725" s="35"/>
    </row>
    <row r="726" spans="1:15" s="36" customFormat="1" ht="12" x14ac:dyDescent="0.2">
      <c r="A726" s="33"/>
      <c r="B726" s="68"/>
      <c r="C726" s="64"/>
      <c r="D726" s="64"/>
      <c r="E726" s="64"/>
      <c r="F726" s="34"/>
      <c r="G726" s="34"/>
      <c r="H726" s="33"/>
      <c r="I726" s="68">
        <v>42576</v>
      </c>
      <c r="J726" s="64">
        <v>4.3</v>
      </c>
      <c r="K726" s="64">
        <v>0</v>
      </c>
      <c r="L726" s="64"/>
      <c r="M726" s="64"/>
      <c r="N726" s="34"/>
      <c r="O726" s="35"/>
    </row>
    <row r="727" spans="1:15" s="36" customFormat="1" ht="12" x14ac:dyDescent="0.2">
      <c r="A727" s="33"/>
      <c r="B727" s="69"/>
      <c r="C727" s="65"/>
      <c r="D727" s="65"/>
      <c r="E727" s="65"/>
      <c r="F727" s="34"/>
      <c r="G727" s="34"/>
      <c r="H727" s="33"/>
      <c r="I727" s="69">
        <v>42577</v>
      </c>
      <c r="J727" s="65">
        <v>4.3</v>
      </c>
      <c r="K727" s="65">
        <v>0</v>
      </c>
      <c r="L727" s="65"/>
      <c r="M727" s="65"/>
      <c r="N727" s="34"/>
      <c r="O727" s="35"/>
    </row>
    <row r="728" spans="1:15" s="36" customFormat="1" ht="12" x14ac:dyDescent="0.2">
      <c r="A728" s="33"/>
      <c r="B728" s="68"/>
      <c r="C728" s="64"/>
      <c r="D728" s="64"/>
      <c r="E728" s="64"/>
      <c r="F728" s="34"/>
      <c r="G728" s="34"/>
      <c r="H728" s="33"/>
      <c r="I728" s="68">
        <v>42578</v>
      </c>
      <c r="J728" s="64">
        <v>4.3</v>
      </c>
      <c r="K728" s="64">
        <v>0</v>
      </c>
      <c r="L728" s="64"/>
      <c r="M728" s="64"/>
      <c r="N728" s="34"/>
      <c r="O728" s="35"/>
    </row>
    <row r="729" spans="1:15" s="36" customFormat="1" ht="12" x14ac:dyDescent="0.2">
      <c r="A729" s="33"/>
      <c r="B729" s="69"/>
      <c r="C729" s="65"/>
      <c r="D729" s="65"/>
      <c r="E729" s="65"/>
      <c r="F729" s="34"/>
      <c r="G729" s="34"/>
      <c r="H729" s="33"/>
      <c r="I729" s="69">
        <v>42579</v>
      </c>
      <c r="J729" s="65">
        <v>4.3</v>
      </c>
      <c r="K729" s="65">
        <v>0</v>
      </c>
      <c r="L729" s="65"/>
      <c r="M729" s="65"/>
      <c r="N729" s="34"/>
      <c r="O729" s="35"/>
    </row>
    <row r="730" spans="1:15" s="36" customFormat="1" ht="12" x14ac:dyDescent="0.2">
      <c r="A730" s="33"/>
      <c r="B730" s="68"/>
      <c r="C730" s="64"/>
      <c r="D730" s="64"/>
      <c r="E730" s="64"/>
      <c r="F730" s="34"/>
      <c r="G730" s="34"/>
      <c r="H730" s="33"/>
      <c r="I730" s="68">
        <v>42580</v>
      </c>
      <c r="J730" s="64">
        <v>4.3</v>
      </c>
      <c r="K730" s="64">
        <v>0</v>
      </c>
      <c r="L730" s="64"/>
      <c r="M730" s="64"/>
      <c r="N730" s="34"/>
      <c r="O730" s="35"/>
    </row>
    <row r="731" spans="1:15" s="36" customFormat="1" ht="12" x14ac:dyDescent="0.2">
      <c r="A731" s="33"/>
      <c r="B731" s="69"/>
      <c r="C731" s="65"/>
      <c r="D731" s="65"/>
      <c r="E731" s="65"/>
      <c r="F731" s="34"/>
      <c r="G731" s="34"/>
      <c r="H731" s="33"/>
      <c r="I731" s="69">
        <v>42583</v>
      </c>
      <c r="J731" s="65">
        <v>4.3</v>
      </c>
      <c r="K731" s="65">
        <v>0</v>
      </c>
      <c r="L731" s="65"/>
      <c r="M731" s="65"/>
      <c r="N731" s="34"/>
      <c r="O731" s="35"/>
    </row>
    <row r="732" spans="1:15" s="36" customFormat="1" ht="12" x14ac:dyDescent="0.2">
      <c r="A732" s="33"/>
      <c r="B732" s="68"/>
      <c r="C732" s="64"/>
      <c r="D732" s="64"/>
      <c r="E732" s="64"/>
      <c r="F732" s="34"/>
      <c r="G732" s="34"/>
      <c r="H732" s="33"/>
      <c r="I732" s="68">
        <v>42584</v>
      </c>
      <c r="J732" s="64">
        <v>4.3</v>
      </c>
      <c r="K732" s="64">
        <v>0</v>
      </c>
      <c r="L732" s="64"/>
      <c r="M732" s="64"/>
      <c r="N732" s="34"/>
      <c r="O732" s="35"/>
    </row>
    <row r="733" spans="1:15" s="36" customFormat="1" ht="12" x14ac:dyDescent="0.2">
      <c r="A733" s="33"/>
      <c r="B733" s="69"/>
      <c r="C733" s="65"/>
      <c r="D733" s="65"/>
      <c r="E733" s="65"/>
      <c r="F733" s="34"/>
      <c r="G733" s="34"/>
      <c r="H733" s="33"/>
      <c r="I733" s="69">
        <v>42585</v>
      </c>
      <c r="J733" s="65">
        <v>4.3</v>
      </c>
      <c r="K733" s="65">
        <v>0</v>
      </c>
      <c r="L733" s="65"/>
      <c r="M733" s="65"/>
      <c r="N733" s="34"/>
      <c r="O733" s="35"/>
    </row>
    <row r="734" spans="1:15" s="36" customFormat="1" ht="12" x14ac:dyDescent="0.2">
      <c r="A734" s="33"/>
      <c r="B734" s="68"/>
      <c r="C734" s="64"/>
      <c r="D734" s="64"/>
      <c r="E734" s="64"/>
      <c r="F734" s="34"/>
      <c r="G734" s="34"/>
      <c r="H734" s="33"/>
      <c r="I734" s="68">
        <v>42586</v>
      </c>
      <c r="J734" s="64">
        <v>4.3</v>
      </c>
      <c r="K734" s="64">
        <v>0</v>
      </c>
      <c r="L734" s="64"/>
      <c r="M734" s="64"/>
      <c r="N734" s="34"/>
      <c r="O734" s="35"/>
    </row>
    <row r="735" spans="1:15" s="36" customFormat="1" ht="12" x14ac:dyDescent="0.2">
      <c r="A735" s="33"/>
      <c r="B735" s="69"/>
      <c r="C735" s="65"/>
      <c r="D735" s="65"/>
      <c r="E735" s="65"/>
      <c r="F735" s="34"/>
      <c r="G735" s="34"/>
      <c r="H735" s="33"/>
      <c r="I735" s="69">
        <v>42587</v>
      </c>
      <c r="J735" s="65">
        <v>4.3</v>
      </c>
      <c r="K735" s="65">
        <v>0</v>
      </c>
      <c r="L735" s="65"/>
      <c r="M735" s="65"/>
      <c r="N735" s="34"/>
      <c r="O735" s="35"/>
    </row>
    <row r="736" spans="1:15" s="36" customFormat="1" ht="12" x14ac:dyDescent="0.2">
      <c r="A736" s="33"/>
      <c r="B736" s="68"/>
      <c r="C736" s="64"/>
      <c r="D736" s="64"/>
      <c r="E736" s="64"/>
      <c r="F736" s="34"/>
      <c r="G736" s="34"/>
      <c r="H736" s="33"/>
      <c r="I736" s="68">
        <v>42590</v>
      </c>
      <c r="J736" s="64">
        <v>4.3</v>
      </c>
      <c r="K736" s="64">
        <v>0</v>
      </c>
      <c r="L736" s="64"/>
      <c r="M736" s="64"/>
      <c r="N736" s="34"/>
      <c r="O736" s="35"/>
    </row>
    <row r="737" spans="1:15" s="36" customFormat="1" ht="12" x14ac:dyDescent="0.2">
      <c r="A737" s="33"/>
      <c r="B737" s="69"/>
      <c r="C737" s="65"/>
      <c r="D737" s="65"/>
      <c r="E737" s="65"/>
      <c r="F737" s="34"/>
      <c r="G737" s="34"/>
      <c r="H737" s="33"/>
      <c r="I737" s="69">
        <v>42591</v>
      </c>
      <c r="J737" s="65">
        <v>4.3</v>
      </c>
      <c r="K737" s="65">
        <v>0</v>
      </c>
      <c r="L737" s="65"/>
      <c r="M737" s="65"/>
      <c r="N737" s="34"/>
      <c r="O737" s="35"/>
    </row>
    <row r="738" spans="1:15" s="36" customFormat="1" ht="12" x14ac:dyDescent="0.2">
      <c r="A738" s="33"/>
      <c r="B738" s="68"/>
      <c r="C738" s="64"/>
      <c r="D738" s="64"/>
      <c r="E738" s="64"/>
      <c r="F738" s="34"/>
      <c r="G738" s="34"/>
      <c r="H738" s="33"/>
      <c r="I738" s="68">
        <v>42592</v>
      </c>
      <c r="J738" s="64">
        <v>4.3</v>
      </c>
      <c r="K738" s="64">
        <v>0</v>
      </c>
      <c r="L738" s="64"/>
      <c r="M738" s="64"/>
      <c r="N738" s="34"/>
      <c r="O738" s="35"/>
    </row>
    <row r="739" spans="1:15" s="36" customFormat="1" ht="12" x14ac:dyDescent="0.2">
      <c r="A739" s="33"/>
      <c r="B739" s="69"/>
      <c r="C739" s="65"/>
      <c r="D739" s="65"/>
      <c r="E739" s="65"/>
      <c r="F739" s="34"/>
      <c r="G739" s="34"/>
      <c r="H739" s="33"/>
      <c r="I739" s="69">
        <v>42593</v>
      </c>
      <c r="J739" s="65">
        <v>4.3</v>
      </c>
      <c r="K739" s="65">
        <v>0</v>
      </c>
      <c r="L739" s="65"/>
      <c r="M739" s="65"/>
      <c r="N739" s="34"/>
      <c r="O739" s="35"/>
    </row>
    <row r="740" spans="1:15" s="36" customFormat="1" ht="12" x14ac:dyDescent="0.2">
      <c r="A740" s="33"/>
      <c r="B740" s="68"/>
      <c r="C740" s="64"/>
      <c r="D740" s="64"/>
      <c r="E740" s="64"/>
      <c r="F740" s="34"/>
      <c r="G740" s="34"/>
      <c r="H740" s="33"/>
      <c r="I740" s="68">
        <v>42594</v>
      </c>
      <c r="J740" s="64">
        <v>4.3</v>
      </c>
      <c r="K740" s="64">
        <v>0</v>
      </c>
      <c r="L740" s="64"/>
      <c r="M740" s="64"/>
      <c r="N740" s="34"/>
      <c r="O740" s="35"/>
    </row>
    <row r="741" spans="1:15" s="36" customFormat="1" ht="12" x14ac:dyDescent="0.2">
      <c r="A741" s="33"/>
      <c r="B741" s="69"/>
      <c r="C741" s="65"/>
      <c r="D741" s="65"/>
      <c r="E741" s="65"/>
      <c r="F741" s="34"/>
      <c r="G741" s="34"/>
      <c r="H741" s="33"/>
      <c r="I741" s="69">
        <v>42597</v>
      </c>
      <c r="J741" s="65">
        <v>4.3</v>
      </c>
      <c r="K741" s="65">
        <v>0</v>
      </c>
      <c r="L741" s="65"/>
      <c r="M741" s="65"/>
      <c r="N741" s="34"/>
      <c r="O741" s="35"/>
    </row>
    <row r="742" spans="1:15" s="36" customFormat="1" ht="12" x14ac:dyDescent="0.2">
      <c r="A742" s="33"/>
      <c r="B742" s="68"/>
      <c r="C742" s="64"/>
      <c r="D742" s="64"/>
      <c r="E742" s="64"/>
      <c r="F742" s="34"/>
      <c r="G742" s="34"/>
      <c r="H742" s="33"/>
      <c r="I742" s="68">
        <v>42598</v>
      </c>
      <c r="J742" s="64">
        <v>4.3</v>
      </c>
      <c r="K742" s="64">
        <v>0</v>
      </c>
      <c r="L742" s="64"/>
      <c r="M742" s="64"/>
      <c r="N742" s="34"/>
      <c r="O742" s="35"/>
    </row>
    <row r="743" spans="1:15" s="36" customFormat="1" ht="12" x14ac:dyDescent="0.2">
      <c r="A743" s="33"/>
      <c r="B743" s="69"/>
      <c r="C743" s="65"/>
      <c r="D743" s="65"/>
      <c r="E743" s="65"/>
      <c r="F743" s="34"/>
      <c r="G743" s="34"/>
      <c r="H743" s="33"/>
      <c r="I743" s="69">
        <v>42599</v>
      </c>
      <c r="J743" s="65">
        <v>4.3</v>
      </c>
      <c r="K743" s="65">
        <v>0</v>
      </c>
      <c r="L743" s="65"/>
      <c r="M743" s="65"/>
      <c r="N743" s="34"/>
      <c r="O743" s="35"/>
    </row>
    <row r="744" spans="1:15" s="36" customFormat="1" ht="12" x14ac:dyDescent="0.2">
      <c r="A744" s="33"/>
      <c r="B744" s="68"/>
      <c r="C744" s="64"/>
      <c r="D744" s="64"/>
      <c r="E744" s="64"/>
      <c r="F744" s="34"/>
      <c r="G744" s="34"/>
      <c r="H744" s="33"/>
      <c r="I744" s="68">
        <v>42600</v>
      </c>
      <c r="J744" s="64">
        <v>4.3</v>
      </c>
      <c r="K744" s="64">
        <v>0</v>
      </c>
      <c r="L744" s="64"/>
      <c r="M744" s="64"/>
      <c r="N744" s="34"/>
      <c r="O744" s="35"/>
    </row>
    <row r="745" spans="1:15" s="36" customFormat="1" ht="12" x14ac:dyDescent="0.2">
      <c r="A745" s="33"/>
      <c r="B745" s="69"/>
      <c r="C745" s="65"/>
      <c r="D745" s="65"/>
      <c r="E745" s="65"/>
      <c r="F745" s="34"/>
      <c r="G745" s="34"/>
      <c r="H745" s="33"/>
      <c r="I745" s="69">
        <v>42601</v>
      </c>
      <c r="J745" s="65">
        <v>4.3</v>
      </c>
      <c r="K745" s="65">
        <v>0</v>
      </c>
      <c r="L745" s="65"/>
      <c r="M745" s="65"/>
      <c r="N745" s="34"/>
      <c r="O745" s="35"/>
    </row>
    <row r="746" spans="1:15" s="36" customFormat="1" ht="12" x14ac:dyDescent="0.2">
      <c r="A746" s="33"/>
      <c r="B746" s="68"/>
      <c r="C746" s="64"/>
      <c r="D746" s="64"/>
      <c r="E746" s="64"/>
      <c r="F746" s="34"/>
      <c r="G746" s="34"/>
      <c r="H746" s="33"/>
      <c r="I746" s="68">
        <v>42604</v>
      </c>
      <c r="J746" s="64">
        <v>4.3</v>
      </c>
      <c r="K746" s="64">
        <v>0</v>
      </c>
      <c r="L746" s="64"/>
      <c r="M746" s="64"/>
      <c r="N746" s="34"/>
      <c r="O746" s="35"/>
    </row>
    <row r="747" spans="1:15" s="36" customFormat="1" ht="12" x14ac:dyDescent="0.2">
      <c r="A747" s="33"/>
      <c r="B747" s="69"/>
      <c r="C747" s="65"/>
      <c r="D747" s="65"/>
      <c r="E747" s="65"/>
      <c r="F747" s="34"/>
      <c r="G747" s="34"/>
      <c r="H747" s="33"/>
      <c r="I747" s="69">
        <v>42605</v>
      </c>
      <c r="J747" s="65">
        <v>4.3</v>
      </c>
      <c r="K747" s="65">
        <v>0</v>
      </c>
      <c r="L747" s="65"/>
      <c r="M747" s="65"/>
      <c r="N747" s="34"/>
      <c r="O747" s="35"/>
    </row>
    <row r="748" spans="1:15" s="36" customFormat="1" ht="12" x14ac:dyDescent="0.2">
      <c r="A748" s="33"/>
      <c r="B748" s="68"/>
      <c r="C748" s="64"/>
      <c r="D748" s="64"/>
      <c r="E748" s="64"/>
      <c r="F748" s="34"/>
      <c r="G748" s="34"/>
      <c r="H748" s="33"/>
      <c r="I748" s="68">
        <v>42606</v>
      </c>
      <c r="J748" s="64">
        <v>4.3</v>
      </c>
      <c r="K748" s="64">
        <v>0</v>
      </c>
      <c r="L748" s="64"/>
      <c r="M748" s="64"/>
      <c r="N748" s="34"/>
      <c r="O748" s="35"/>
    </row>
    <row r="749" spans="1:15" s="36" customFormat="1" ht="12" x14ac:dyDescent="0.2">
      <c r="A749" s="33"/>
      <c r="B749" s="69"/>
      <c r="C749" s="65"/>
      <c r="D749" s="65"/>
      <c r="E749" s="65"/>
      <c r="F749" s="34"/>
      <c r="G749" s="34"/>
      <c r="H749" s="33"/>
      <c r="I749" s="69">
        <v>42607</v>
      </c>
      <c r="J749" s="65">
        <v>4.3</v>
      </c>
      <c r="K749" s="65">
        <v>0</v>
      </c>
      <c r="L749" s="65"/>
      <c r="M749" s="65"/>
      <c r="N749" s="34"/>
      <c r="O749" s="35"/>
    </row>
    <row r="750" spans="1:15" s="36" customFormat="1" ht="12" x14ac:dyDescent="0.2">
      <c r="A750" s="33"/>
      <c r="B750" s="68"/>
      <c r="C750" s="64"/>
      <c r="D750" s="64"/>
      <c r="E750" s="64"/>
      <c r="F750" s="34"/>
      <c r="G750" s="34"/>
      <c r="H750" s="33"/>
      <c r="I750" s="68">
        <v>42608</v>
      </c>
      <c r="J750" s="64">
        <v>4.3</v>
      </c>
      <c r="K750" s="64">
        <v>0</v>
      </c>
      <c r="L750" s="64"/>
      <c r="M750" s="64"/>
      <c r="N750" s="34"/>
      <c r="O750" s="35"/>
    </row>
    <row r="751" spans="1:15" s="36" customFormat="1" ht="12" x14ac:dyDescent="0.2">
      <c r="A751" s="33"/>
      <c r="B751" s="69"/>
      <c r="C751" s="65"/>
      <c r="D751" s="65"/>
      <c r="E751" s="65"/>
      <c r="F751" s="34"/>
      <c r="G751" s="34"/>
      <c r="H751" s="33"/>
      <c r="I751" s="69">
        <v>42611</v>
      </c>
      <c r="J751" s="65">
        <v>4.3</v>
      </c>
      <c r="K751" s="65">
        <v>0</v>
      </c>
      <c r="L751" s="65"/>
      <c r="M751" s="65"/>
      <c r="N751" s="34"/>
      <c r="O751" s="35"/>
    </row>
    <row r="752" spans="1:15" s="36" customFormat="1" ht="12" x14ac:dyDescent="0.2">
      <c r="A752" s="33"/>
      <c r="B752" s="68"/>
      <c r="C752" s="64"/>
      <c r="D752" s="64"/>
      <c r="E752" s="64"/>
      <c r="F752" s="34"/>
      <c r="G752" s="34"/>
      <c r="H752" s="33"/>
      <c r="I752" s="68">
        <v>42612</v>
      </c>
      <c r="J752" s="64">
        <v>4.3</v>
      </c>
      <c r="K752" s="64">
        <v>0</v>
      </c>
      <c r="L752" s="64"/>
      <c r="M752" s="64"/>
      <c r="N752" s="34"/>
      <c r="O752" s="35"/>
    </row>
    <row r="753" spans="1:15" s="36" customFormat="1" ht="12" x14ac:dyDescent="0.2">
      <c r="A753" s="33"/>
      <c r="B753" s="69"/>
      <c r="C753" s="65"/>
      <c r="D753" s="65"/>
      <c r="E753" s="65"/>
      <c r="F753" s="34"/>
      <c r="G753" s="34"/>
      <c r="H753" s="33"/>
      <c r="I753" s="69">
        <v>42613</v>
      </c>
      <c r="J753" s="65">
        <v>4.3</v>
      </c>
      <c r="K753" s="65">
        <v>0</v>
      </c>
      <c r="L753" s="65"/>
      <c r="M753" s="65"/>
      <c r="N753" s="34"/>
      <c r="O753" s="35"/>
    </row>
    <row r="754" spans="1:15" s="36" customFormat="1" ht="12" x14ac:dyDescent="0.2">
      <c r="A754" s="33"/>
      <c r="B754" s="68"/>
      <c r="C754" s="64"/>
      <c r="D754" s="64"/>
      <c r="E754" s="64"/>
      <c r="F754" s="34"/>
      <c r="G754" s="34"/>
      <c r="H754" s="33"/>
      <c r="I754" s="68">
        <v>42614</v>
      </c>
      <c r="J754" s="64">
        <v>4.3</v>
      </c>
      <c r="K754" s="64">
        <v>0</v>
      </c>
      <c r="L754" s="64"/>
      <c r="M754" s="64"/>
      <c r="N754" s="34"/>
      <c r="O754" s="35"/>
    </row>
    <row r="755" spans="1:15" s="36" customFormat="1" ht="12" x14ac:dyDescent="0.2">
      <c r="A755" s="33"/>
      <c r="B755" s="69"/>
      <c r="C755" s="65"/>
      <c r="D755" s="65"/>
      <c r="E755" s="65"/>
      <c r="F755" s="34"/>
      <c r="G755" s="34"/>
      <c r="H755" s="33"/>
      <c r="I755" s="69">
        <v>42615</v>
      </c>
      <c r="J755" s="65">
        <v>4.3</v>
      </c>
      <c r="K755" s="65">
        <v>0</v>
      </c>
      <c r="L755" s="65"/>
      <c r="M755" s="65"/>
      <c r="N755" s="34"/>
      <c r="O755" s="35"/>
    </row>
    <row r="756" spans="1:15" s="36" customFormat="1" ht="12" x14ac:dyDescent="0.2">
      <c r="A756" s="33"/>
      <c r="B756" s="68"/>
      <c r="C756" s="64"/>
      <c r="D756" s="64"/>
      <c r="E756" s="64"/>
      <c r="F756" s="34"/>
      <c r="G756" s="34"/>
      <c r="H756" s="33"/>
      <c r="I756" s="68">
        <v>42618</v>
      </c>
      <c r="J756" s="64">
        <v>4.3</v>
      </c>
      <c r="K756" s="64">
        <v>0</v>
      </c>
      <c r="L756" s="64"/>
      <c r="M756" s="64"/>
      <c r="N756" s="34"/>
      <c r="O756" s="35"/>
    </row>
    <row r="757" spans="1:15" s="36" customFormat="1" ht="12" x14ac:dyDescent="0.2">
      <c r="A757" s="33"/>
      <c r="B757" s="69"/>
      <c r="C757" s="65"/>
      <c r="D757" s="65"/>
      <c r="E757" s="65"/>
      <c r="F757" s="34"/>
      <c r="G757" s="34"/>
      <c r="H757" s="33"/>
      <c r="I757" s="69">
        <v>42619</v>
      </c>
      <c r="J757" s="65">
        <v>4.3</v>
      </c>
      <c r="K757" s="65">
        <v>0</v>
      </c>
      <c r="L757" s="65"/>
      <c r="M757" s="65"/>
      <c r="N757" s="34"/>
      <c r="O757" s="35"/>
    </row>
    <row r="758" spans="1:15" s="36" customFormat="1" ht="12" x14ac:dyDescent="0.2">
      <c r="A758" s="33"/>
      <c r="B758" s="68"/>
      <c r="C758" s="64"/>
      <c r="D758" s="64"/>
      <c r="E758" s="64"/>
      <c r="F758" s="34"/>
      <c r="G758" s="34"/>
      <c r="H758" s="33"/>
      <c r="I758" s="68">
        <v>42620</v>
      </c>
      <c r="J758" s="64">
        <v>4.3</v>
      </c>
      <c r="K758" s="64">
        <v>0</v>
      </c>
      <c r="L758" s="64"/>
      <c r="M758" s="64"/>
      <c r="N758" s="34"/>
      <c r="O758" s="35"/>
    </row>
    <row r="759" spans="1:15" s="36" customFormat="1" ht="12" x14ac:dyDescent="0.2">
      <c r="A759" s="33"/>
      <c r="B759" s="69"/>
      <c r="C759" s="65"/>
      <c r="D759" s="65"/>
      <c r="E759" s="65"/>
      <c r="F759" s="34"/>
      <c r="G759" s="34"/>
      <c r="H759" s="33"/>
      <c r="I759" s="69">
        <v>42621</v>
      </c>
      <c r="J759" s="65">
        <v>4.3</v>
      </c>
      <c r="K759" s="65">
        <v>0</v>
      </c>
      <c r="L759" s="65"/>
      <c r="M759" s="65"/>
      <c r="N759" s="34"/>
      <c r="O759" s="35"/>
    </row>
    <row r="760" spans="1:15" s="36" customFormat="1" ht="12" x14ac:dyDescent="0.2">
      <c r="A760" s="33"/>
      <c r="B760" s="68"/>
      <c r="C760" s="64"/>
      <c r="D760" s="64"/>
      <c r="E760" s="64"/>
      <c r="F760" s="34"/>
      <c r="G760" s="34"/>
      <c r="H760" s="33"/>
      <c r="I760" s="68">
        <v>42622</v>
      </c>
      <c r="J760" s="64">
        <v>4.3</v>
      </c>
      <c r="K760" s="64">
        <v>0</v>
      </c>
      <c r="L760" s="64"/>
      <c r="M760" s="64"/>
      <c r="N760" s="34"/>
      <c r="O760" s="35"/>
    </row>
    <row r="761" spans="1:15" s="36" customFormat="1" ht="12" x14ac:dyDescent="0.2">
      <c r="A761" s="33"/>
      <c r="B761" s="69"/>
      <c r="C761" s="65"/>
      <c r="D761" s="65"/>
      <c r="E761" s="65"/>
      <c r="F761" s="34"/>
      <c r="G761" s="34"/>
      <c r="H761" s="33"/>
      <c r="I761" s="69">
        <v>42625</v>
      </c>
      <c r="J761" s="65">
        <v>4.3</v>
      </c>
      <c r="K761" s="65">
        <v>0</v>
      </c>
      <c r="L761" s="65"/>
      <c r="M761" s="65"/>
      <c r="N761" s="34"/>
      <c r="O761" s="35"/>
    </row>
    <row r="762" spans="1:15" s="36" customFormat="1" ht="12" x14ac:dyDescent="0.2">
      <c r="A762" s="33"/>
      <c r="B762" s="68"/>
      <c r="C762" s="64"/>
      <c r="D762" s="64"/>
      <c r="E762" s="64"/>
      <c r="F762" s="34"/>
      <c r="G762" s="34"/>
      <c r="H762" s="33"/>
      <c r="I762" s="68">
        <v>42626</v>
      </c>
      <c r="J762" s="64">
        <v>4.3</v>
      </c>
      <c r="K762" s="64">
        <v>0</v>
      </c>
      <c r="L762" s="64"/>
      <c r="M762" s="64"/>
      <c r="N762" s="34"/>
      <c r="O762" s="35"/>
    </row>
    <row r="763" spans="1:15" s="36" customFormat="1" ht="12" x14ac:dyDescent="0.2">
      <c r="A763" s="33"/>
      <c r="B763" s="69"/>
      <c r="C763" s="65"/>
      <c r="D763" s="65"/>
      <c r="E763" s="65"/>
      <c r="F763" s="34"/>
      <c r="G763" s="34"/>
      <c r="H763" s="33"/>
      <c r="I763" s="69">
        <v>42627</v>
      </c>
      <c r="J763" s="65">
        <v>4.3</v>
      </c>
      <c r="K763" s="65">
        <v>0</v>
      </c>
      <c r="L763" s="65"/>
      <c r="M763" s="65"/>
      <c r="N763" s="34"/>
      <c r="O763" s="35"/>
    </row>
    <row r="764" spans="1:15" s="36" customFormat="1" ht="12" x14ac:dyDescent="0.2">
      <c r="A764" s="33"/>
      <c r="B764" s="68"/>
      <c r="C764" s="64"/>
      <c r="D764" s="64"/>
      <c r="E764" s="64"/>
      <c r="F764" s="34"/>
      <c r="G764" s="34"/>
      <c r="H764" s="33"/>
      <c r="I764" s="68">
        <v>42631</v>
      </c>
      <c r="J764" s="64">
        <v>4.3</v>
      </c>
      <c r="K764" s="64">
        <v>0</v>
      </c>
      <c r="L764" s="64"/>
      <c r="M764" s="64"/>
      <c r="N764" s="34"/>
      <c r="O764" s="35"/>
    </row>
    <row r="765" spans="1:15" s="36" customFormat="1" ht="12" x14ac:dyDescent="0.2">
      <c r="A765" s="33"/>
      <c r="B765" s="69"/>
      <c r="C765" s="65"/>
      <c r="D765" s="65"/>
      <c r="E765" s="65"/>
      <c r="F765" s="34"/>
      <c r="G765" s="34"/>
      <c r="H765" s="33"/>
      <c r="I765" s="69">
        <v>42632</v>
      </c>
      <c r="J765" s="65">
        <v>4.3</v>
      </c>
      <c r="K765" s="65">
        <v>0</v>
      </c>
      <c r="L765" s="65"/>
      <c r="M765" s="65"/>
      <c r="N765" s="34"/>
      <c r="O765" s="35"/>
    </row>
    <row r="766" spans="1:15" s="36" customFormat="1" ht="12" x14ac:dyDescent="0.2">
      <c r="A766" s="33"/>
      <c r="B766" s="68"/>
      <c r="C766" s="64"/>
      <c r="D766" s="64"/>
      <c r="E766" s="64"/>
      <c r="F766" s="34"/>
      <c r="G766" s="34"/>
      <c r="H766" s="33"/>
      <c r="I766" s="68">
        <v>42633</v>
      </c>
      <c r="J766" s="64">
        <v>4.3</v>
      </c>
      <c r="K766" s="64">
        <v>0</v>
      </c>
      <c r="L766" s="64"/>
      <c r="M766" s="64"/>
      <c r="N766" s="34"/>
      <c r="O766" s="35"/>
    </row>
    <row r="767" spans="1:15" s="36" customFormat="1" ht="12" x14ac:dyDescent="0.2">
      <c r="A767" s="33"/>
      <c r="B767" s="69"/>
      <c r="C767" s="65"/>
      <c r="D767" s="65"/>
      <c r="E767" s="65"/>
      <c r="F767" s="34"/>
      <c r="G767" s="34"/>
      <c r="H767" s="33"/>
      <c r="I767" s="69">
        <v>42634</v>
      </c>
      <c r="J767" s="65">
        <v>4.3</v>
      </c>
      <c r="K767" s="65">
        <v>0</v>
      </c>
      <c r="L767" s="65"/>
      <c r="M767" s="65"/>
      <c r="N767" s="34"/>
      <c r="O767" s="35"/>
    </row>
    <row r="768" spans="1:15" s="36" customFormat="1" ht="12" x14ac:dyDescent="0.2">
      <c r="A768" s="33"/>
      <c r="B768" s="68"/>
      <c r="C768" s="64"/>
      <c r="D768" s="64"/>
      <c r="E768" s="64"/>
      <c r="F768" s="34"/>
      <c r="G768" s="34"/>
      <c r="H768" s="33"/>
      <c r="I768" s="68">
        <v>42635</v>
      </c>
      <c r="J768" s="64">
        <v>4.3</v>
      </c>
      <c r="K768" s="64">
        <v>0</v>
      </c>
      <c r="L768" s="64"/>
      <c r="M768" s="64"/>
      <c r="N768" s="34"/>
      <c r="O768" s="35"/>
    </row>
    <row r="769" spans="1:15" s="36" customFormat="1" ht="12" x14ac:dyDescent="0.2">
      <c r="A769" s="33"/>
      <c r="B769" s="69"/>
      <c r="C769" s="65"/>
      <c r="D769" s="65"/>
      <c r="E769" s="65"/>
      <c r="F769" s="34"/>
      <c r="G769" s="34"/>
      <c r="H769" s="33"/>
      <c r="I769" s="69">
        <v>42636</v>
      </c>
      <c r="J769" s="65">
        <v>4.3</v>
      </c>
      <c r="K769" s="65">
        <v>0</v>
      </c>
      <c r="L769" s="65"/>
      <c r="M769" s="65"/>
      <c r="N769" s="34"/>
      <c r="O769" s="35"/>
    </row>
    <row r="770" spans="1:15" s="36" customFormat="1" ht="12" x14ac:dyDescent="0.2">
      <c r="A770" s="33"/>
      <c r="B770" s="68"/>
      <c r="C770" s="64"/>
      <c r="D770" s="64"/>
      <c r="E770" s="64"/>
      <c r="F770" s="34"/>
      <c r="G770" s="34"/>
      <c r="H770" s="33"/>
      <c r="I770" s="68">
        <v>42639</v>
      </c>
      <c r="J770" s="64">
        <v>4.3</v>
      </c>
      <c r="K770" s="64">
        <v>0</v>
      </c>
      <c r="L770" s="64"/>
      <c r="M770" s="64"/>
      <c r="N770" s="34"/>
      <c r="O770" s="35"/>
    </row>
    <row r="771" spans="1:15" s="36" customFormat="1" ht="12" x14ac:dyDescent="0.2">
      <c r="A771" s="33"/>
      <c r="B771" s="69"/>
      <c r="C771" s="65"/>
      <c r="D771" s="65"/>
      <c r="E771" s="65"/>
      <c r="F771" s="34"/>
      <c r="G771" s="34"/>
      <c r="H771" s="33"/>
      <c r="I771" s="69">
        <v>42640</v>
      </c>
      <c r="J771" s="65">
        <v>4.3</v>
      </c>
      <c r="K771" s="65">
        <v>0</v>
      </c>
      <c r="L771" s="65"/>
      <c r="M771" s="65"/>
      <c r="N771" s="34"/>
      <c r="O771" s="35"/>
    </row>
    <row r="772" spans="1:15" s="36" customFormat="1" ht="12" x14ac:dyDescent="0.2">
      <c r="A772" s="33"/>
      <c r="B772" s="68"/>
      <c r="C772" s="64"/>
      <c r="D772" s="64"/>
      <c r="E772" s="64"/>
      <c r="F772" s="34"/>
      <c r="G772" s="34"/>
      <c r="H772" s="33"/>
      <c r="I772" s="68">
        <v>42641</v>
      </c>
      <c r="J772" s="64">
        <v>4.3</v>
      </c>
      <c r="K772" s="64">
        <v>0</v>
      </c>
      <c r="L772" s="64"/>
      <c r="M772" s="64"/>
      <c r="N772" s="34"/>
      <c r="O772" s="35"/>
    </row>
    <row r="773" spans="1:15" s="36" customFormat="1" ht="12" x14ac:dyDescent="0.2">
      <c r="A773" s="33"/>
      <c r="B773" s="69"/>
      <c r="C773" s="65"/>
      <c r="D773" s="65"/>
      <c r="E773" s="65"/>
      <c r="F773" s="34"/>
      <c r="G773" s="34"/>
      <c r="H773" s="33"/>
      <c r="I773" s="69">
        <v>42642</v>
      </c>
      <c r="J773" s="65">
        <v>4.3</v>
      </c>
      <c r="K773" s="65">
        <v>0</v>
      </c>
      <c r="L773" s="65"/>
      <c r="M773" s="65"/>
      <c r="N773" s="34"/>
      <c r="O773" s="35"/>
    </row>
    <row r="774" spans="1:15" s="36" customFormat="1" ht="12" x14ac:dyDescent="0.2">
      <c r="A774" s="33"/>
      <c r="B774" s="68"/>
      <c r="C774" s="64"/>
      <c r="D774" s="64"/>
      <c r="E774" s="64"/>
      <c r="F774" s="34"/>
      <c r="G774" s="34"/>
      <c r="H774" s="33"/>
      <c r="I774" s="68">
        <v>42643</v>
      </c>
      <c r="J774" s="64">
        <v>4.3</v>
      </c>
      <c r="K774" s="64">
        <v>0</v>
      </c>
      <c r="L774" s="64"/>
      <c r="M774" s="64"/>
      <c r="N774" s="34"/>
      <c r="O774" s="35"/>
    </row>
    <row r="775" spans="1:15" s="36" customFormat="1" ht="12" x14ac:dyDescent="0.2">
      <c r="A775" s="33"/>
      <c r="B775" s="69"/>
      <c r="C775" s="65"/>
      <c r="D775" s="65"/>
      <c r="E775" s="65"/>
      <c r="F775" s="34"/>
      <c r="G775" s="34"/>
      <c r="H775" s="33"/>
      <c r="I775" s="69">
        <v>42651</v>
      </c>
      <c r="J775" s="65">
        <v>4.3</v>
      </c>
      <c r="K775" s="65">
        <v>0</v>
      </c>
      <c r="L775" s="65"/>
      <c r="M775" s="65"/>
      <c r="N775" s="34"/>
      <c r="O775" s="35"/>
    </row>
    <row r="776" spans="1:15" s="36" customFormat="1" ht="12" x14ac:dyDescent="0.2">
      <c r="A776" s="33"/>
      <c r="B776" s="68"/>
      <c r="C776" s="64"/>
      <c r="D776" s="64"/>
      <c r="E776" s="64"/>
      <c r="F776" s="34"/>
      <c r="G776" s="34"/>
      <c r="H776" s="33"/>
      <c r="I776" s="68">
        <v>42652</v>
      </c>
      <c r="J776" s="64">
        <v>4.3</v>
      </c>
      <c r="K776" s="64">
        <v>0</v>
      </c>
      <c r="L776" s="64"/>
      <c r="M776" s="64"/>
      <c r="N776" s="34"/>
      <c r="O776" s="35"/>
    </row>
    <row r="777" spans="1:15" s="36" customFormat="1" ht="12" x14ac:dyDescent="0.2">
      <c r="A777" s="33"/>
      <c r="B777" s="69"/>
      <c r="C777" s="65"/>
      <c r="D777" s="65"/>
      <c r="E777" s="65"/>
      <c r="F777" s="34"/>
      <c r="G777" s="34"/>
      <c r="H777" s="33"/>
      <c r="I777" s="69">
        <v>42653</v>
      </c>
      <c r="J777" s="65">
        <v>4.3</v>
      </c>
      <c r="K777" s="65">
        <v>0</v>
      </c>
      <c r="L777" s="65"/>
      <c r="M777" s="65"/>
      <c r="N777" s="34"/>
      <c r="O777" s="35"/>
    </row>
    <row r="778" spans="1:15" s="36" customFormat="1" ht="12" x14ac:dyDescent="0.2">
      <c r="A778" s="33"/>
      <c r="B778" s="68"/>
      <c r="C778" s="64"/>
      <c r="D778" s="64"/>
      <c r="E778" s="64"/>
      <c r="F778" s="34"/>
      <c r="G778" s="34"/>
      <c r="H778" s="33"/>
      <c r="I778" s="68">
        <v>42654</v>
      </c>
      <c r="J778" s="64">
        <v>4.3</v>
      </c>
      <c r="K778" s="64">
        <v>0</v>
      </c>
      <c r="L778" s="64"/>
      <c r="M778" s="64"/>
      <c r="N778" s="34"/>
      <c r="O778" s="35"/>
    </row>
    <row r="779" spans="1:15" s="36" customFormat="1" ht="12" x14ac:dyDescent="0.2">
      <c r="A779" s="33"/>
      <c r="B779" s="69"/>
      <c r="C779" s="65"/>
      <c r="D779" s="65"/>
      <c r="E779" s="65"/>
      <c r="F779" s="34"/>
      <c r="G779" s="34"/>
      <c r="H779" s="33"/>
      <c r="I779" s="69">
        <v>42655</v>
      </c>
      <c r="J779" s="65">
        <v>4.3</v>
      </c>
      <c r="K779" s="65">
        <v>0</v>
      </c>
      <c r="L779" s="65"/>
      <c r="M779" s="65"/>
      <c r="N779" s="34"/>
      <c r="O779" s="35"/>
    </row>
    <row r="780" spans="1:15" s="36" customFormat="1" ht="12" x14ac:dyDescent="0.2">
      <c r="A780" s="33"/>
      <c r="B780" s="68"/>
      <c r="C780" s="64"/>
      <c r="D780" s="64"/>
      <c r="E780" s="64"/>
      <c r="F780" s="34"/>
      <c r="G780" s="34"/>
      <c r="H780" s="33"/>
      <c r="I780" s="68">
        <v>42656</v>
      </c>
      <c r="J780" s="64">
        <v>4.3</v>
      </c>
      <c r="K780" s="64">
        <v>0</v>
      </c>
      <c r="L780" s="64"/>
      <c r="M780" s="64"/>
      <c r="N780" s="34"/>
      <c r="O780" s="35"/>
    </row>
    <row r="781" spans="1:15" s="36" customFormat="1" ht="12" x14ac:dyDescent="0.2">
      <c r="A781" s="33"/>
      <c r="B781" s="69"/>
      <c r="C781" s="65"/>
      <c r="D781" s="65"/>
      <c r="E781" s="65"/>
      <c r="F781" s="34"/>
      <c r="G781" s="34"/>
      <c r="H781" s="33"/>
      <c r="I781" s="69">
        <v>42657</v>
      </c>
      <c r="J781" s="65">
        <v>4.3</v>
      </c>
      <c r="K781" s="65">
        <v>0</v>
      </c>
      <c r="L781" s="65"/>
      <c r="M781" s="65"/>
      <c r="N781" s="34"/>
      <c r="O781" s="35"/>
    </row>
    <row r="782" spans="1:15" s="36" customFormat="1" ht="12" x14ac:dyDescent="0.2">
      <c r="A782" s="33"/>
      <c r="B782" s="68"/>
      <c r="C782" s="64"/>
      <c r="D782" s="64"/>
      <c r="E782" s="64"/>
      <c r="F782" s="34"/>
      <c r="G782" s="34"/>
      <c r="H782" s="33"/>
      <c r="I782" s="68">
        <v>42660</v>
      </c>
      <c r="J782" s="64">
        <v>4.3</v>
      </c>
      <c r="K782" s="64">
        <v>0</v>
      </c>
      <c r="L782" s="64"/>
      <c r="M782" s="64"/>
      <c r="N782" s="34"/>
      <c r="O782" s="35"/>
    </row>
    <row r="783" spans="1:15" s="36" customFormat="1" ht="12" x14ac:dyDescent="0.2">
      <c r="A783" s="33"/>
      <c r="B783" s="69"/>
      <c r="C783" s="65"/>
      <c r="D783" s="65"/>
      <c r="E783" s="65"/>
      <c r="F783" s="34"/>
      <c r="G783" s="34"/>
      <c r="H783" s="33"/>
      <c r="I783" s="69">
        <v>42661</v>
      </c>
      <c r="J783" s="65">
        <v>4.3</v>
      </c>
      <c r="K783" s="65">
        <v>0</v>
      </c>
      <c r="L783" s="65"/>
      <c r="M783" s="65"/>
      <c r="N783" s="34"/>
      <c r="O783" s="35"/>
    </row>
    <row r="784" spans="1:15" s="36" customFormat="1" ht="12" x14ac:dyDescent="0.2">
      <c r="A784" s="33"/>
      <c r="B784" s="68"/>
      <c r="C784" s="64"/>
      <c r="D784" s="64"/>
      <c r="E784" s="64"/>
      <c r="F784" s="34"/>
      <c r="G784" s="34"/>
      <c r="H784" s="33"/>
      <c r="I784" s="68">
        <v>42662</v>
      </c>
      <c r="J784" s="64">
        <v>4.3</v>
      </c>
      <c r="K784" s="64">
        <v>0</v>
      </c>
      <c r="L784" s="64"/>
      <c r="M784" s="64"/>
      <c r="N784" s="34"/>
      <c r="O784" s="35"/>
    </row>
    <row r="785" spans="1:15" s="36" customFormat="1" ht="12" x14ac:dyDescent="0.2">
      <c r="A785" s="33"/>
      <c r="B785" s="69"/>
      <c r="C785" s="65"/>
      <c r="D785" s="65"/>
      <c r="E785" s="65"/>
      <c r="F785" s="34"/>
      <c r="G785" s="34"/>
      <c r="H785" s="33"/>
      <c r="I785" s="69">
        <v>42663</v>
      </c>
      <c r="J785" s="65">
        <v>4.3</v>
      </c>
      <c r="K785" s="65">
        <v>0</v>
      </c>
      <c r="L785" s="65"/>
      <c r="M785" s="65"/>
      <c r="N785" s="34"/>
      <c r="O785" s="35"/>
    </row>
    <row r="786" spans="1:15" s="36" customFormat="1" ht="12" x14ac:dyDescent="0.2">
      <c r="A786" s="33"/>
      <c r="B786" s="68"/>
      <c r="C786" s="64"/>
      <c r="D786" s="64"/>
      <c r="E786" s="64"/>
      <c r="F786" s="34"/>
      <c r="G786" s="34"/>
      <c r="H786" s="33"/>
      <c r="I786" s="68">
        <v>42664</v>
      </c>
      <c r="J786" s="64">
        <v>4.3</v>
      </c>
      <c r="K786" s="64">
        <v>0</v>
      </c>
      <c r="L786" s="64"/>
      <c r="M786" s="64"/>
      <c r="N786" s="34"/>
      <c r="O786" s="35"/>
    </row>
    <row r="787" spans="1:15" s="36" customFormat="1" ht="12" x14ac:dyDescent="0.2">
      <c r="A787" s="33"/>
      <c r="B787" s="69"/>
      <c r="C787" s="65"/>
      <c r="D787" s="65"/>
      <c r="E787" s="65"/>
      <c r="F787" s="34"/>
      <c r="G787" s="34"/>
      <c r="H787" s="33"/>
      <c r="I787" s="69">
        <v>42667</v>
      </c>
      <c r="J787" s="65">
        <v>4.3</v>
      </c>
      <c r="K787" s="65">
        <v>0</v>
      </c>
      <c r="L787" s="65"/>
      <c r="M787" s="65"/>
      <c r="N787" s="34"/>
      <c r="O787" s="35"/>
    </row>
    <row r="788" spans="1:15" s="36" customFormat="1" ht="12" x14ac:dyDescent="0.2">
      <c r="A788" s="33"/>
      <c r="B788" s="68"/>
      <c r="C788" s="64"/>
      <c r="D788" s="64"/>
      <c r="E788" s="64"/>
      <c r="F788" s="34"/>
      <c r="G788" s="34"/>
      <c r="H788" s="33"/>
      <c r="I788" s="68">
        <v>42668</v>
      </c>
      <c r="J788" s="64">
        <v>4.3</v>
      </c>
      <c r="K788" s="64">
        <v>0</v>
      </c>
      <c r="L788" s="64"/>
      <c r="M788" s="64"/>
      <c r="N788" s="34"/>
      <c r="O788" s="35"/>
    </row>
    <row r="789" spans="1:15" s="36" customFormat="1" ht="12" x14ac:dyDescent="0.2">
      <c r="A789" s="33"/>
      <c r="B789" s="69"/>
      <c r="C789" s="65"/>
      <c r="D789" s="65"/>
      <c r="E789" s="65"/>
      <c r="F789" s="34"/>
      <c r="G789" s="34"/>
      <c r="H789" s="33"/>
      <c r="I789" s="69">
        <v>42669</v>
      </c>
      <c r="J789" s="65">
        <v>4.3</v>
      </c>
      <c r="K789" s="65">
        <v>0</v>
      </c>
      <c r="L789" s="65"/>
      <c r="M789" s="65"/>
      <c r="N789" s="34"/>
      <c r="O789" s="35"/>
    </row>
    <row r="790" spans="1:15" s="36" customFormat="1" ht="12" x14ac:dyDescent="0.2">
      <c r="A790" s="33"/>
      <c r="B790" s="68"/>
      <c r="C790" s="64"/>
      <c r="D790" s="64"/>
      <c r="E790" s="64"/>
      <c r="F790" s="34"/>
      <c r="G790" s="34"/>
      <c r="H790" s="33"/>
      <c r="I790" s="68">
        <v>42670</v>
      </c>
      <c r="J790" s="64">
        <v>4.3</v>
      </c>
      <c r="K790" s="64">
        <v>0</v>
      </c>
      <c r="L790" s="64"/>
      <c r="M790" s="64"/>
      <c r="N790" s="34"/>
      <c r="O790" s="35"/>
    </row>
    <row r="791" spans="1:15" s="36" customFormat="1" ht="12" x14ac:dyDescent="0.2">
      <c r="A791" s="33"/>
      <c r="B791" s="69"/>
      <c r="C791" s="65"/>
      <c r="D791" s="65"/>
      <c r="E791" s="65"/>
      <c r="F791" s="34"/>
      <c r="G791" s="34"/>
      <c r="H791" s="33"/>
      <c r="I791" s="69">
        <v>42671</v>
      </c>
      <c r="J791" s="65">
        <v>4.3</v>
      </c>
      <c r="K791" s="65">
        <v>0</v>
      </c>
      <c r="L791" s="65"/>
      <c r="M791" s="65"/>
      <c r="N791" s="34"/>
      <c r="O791" s="35"/>
    </row>
    <row r="792" spans="1:15" s="36" customFormat="1" ht="12" x14ac:dyDescent="0.2">
      <c r="A792" s="33"/>
      <c r="B792" s="68"/>
      <c r="C792" s="64"/>
      <c r="D792" s="64"/>
      <c r="E792" s="64"/>
      <c r="F792" s="34"/>
      <c r="G792" s="34"/>
      <c r="H792" s="33"/>
      <c r="I792" s="68">
        <v>42674</v>
      </c>
      <c r="J792" s="64">
        <v>4.3</v>
      </c>
      <c r="K792" s="64">
        <v>0</v>
      </c>
      <c r="L792" s="64"/>
      <c r="M792" s="64"/>
      <c r="N792" s="34"/>
      <c r="O792" s="35"/>
    </row>
    <row r="793" spans="1:15" s="36" customFormat="1" ht="12" x14ac:dyDescent="0.2">
      <c r="A793" s="33"/>
      <c r="B793" s="69"/>
      <c r="C793" s="65"/>
      <c r="D793" s="65"/>
      <c r="E793" s="65"/>
      <c r="F793" s="34"/>
      <c r="G793" s="34"/>
      <c r="H793" s="33"/>
      <c r="I793" s="69">
        <v>42675</v>
      </c>
      <c r="J793" s="65">
        <v>4.3</v>
      </c>
      <c r="K793" s="65">
        <v>0</v>
      </c>
      <c r="L793" s="65"/>
      <c r="M793" s="65"/>
      <c r="N793" s="34"/>
      <c r="O793" s="35"/>
    </row>
    <row r="794" spans="1:15" s="36" customFormat="1" ht="12" x14ac:dyDescent="0.2">
      <c r="A794" s="33"/>
      <c r="B794" s="68"/>
      <c r="C794" s="64"/>
      <c r="D794" s="64"/>
      <c r="E794" s="64"/>
      <c r="F794" s="34"/>
      <c r="G794" s="34"/>
      <c r="H794" s="33"/>
      <c r="I794" s="68">
        <v>42676</v>
      </c>
      <c r="J794" s="64">
        <v>4.3</v>
      </c>
      <c r="K794" s="64">
        <v>0</v>
      </c>
      <c r="L794" s="64"/>
      <c r="M794" s="64"/>
      <c r="N794" s="34"/>
      <c r="O794" s="35"/>
    </row>
    <row r="795" spans="1:15" s="36" customFormat="1" ht="12" x14ac:dyDescent="0.2">
      <c r="A795" s="33"/>
      <c r="B795" s="69"/>
      <c r="C795" s="65"/>
      <c r="D795" s="65"/>
      <c r="E795" s="65"/>
      <c r="F795" s="34"/>
      <c r="G795" s="34"/>
      <c r="H795" s="33"/>
      <c r="I795" s="69">
        <v>42677</v>
      </c>
      <c r="J795" s="65">
        <v>4.3</v>
      </c>
      <c r="K795" s="65">
        <v>0</v>
      </c>
      <c r="L795" s="65"/>
      <c r="M795" s="65"/>
      <c r="N795" s="34"/>
      <c r="O795" s="35"/>
    </row>
    <row r="796" spans="1:15" s="36" customFormat="1" ht="12" x14ac:dyDescent="0.2">
      <c r="A796" s="33"/>
      <c r="B796" s="68"/>
      <c r="C796" s="64"/>
      <c r="D796" s="64"/>
      <c r="E796" s="64"/>
      <c r="F796" s="34"/>
      <c r="G796" s="34"/>
      <c r="H796" s="33"/>
      <c r="I796" s="68">
        <v>42678</v>
      </c>
      <c r="J796" s="64">
        <v>4.3</v>
      </c>
      <c r="K796" s="64">
        <v>0</v>
      </c>
      <c r="L796" s="64"/>
      <c r="M796" s="64"/>
      <c r="N796" s="34"/>
      <c r="O796" s="35"/>
    </row>
    <row r="797" spans="1:15" s="36" customFormat="1" ht="12" x14ac:dyDescent="0.2">
      <c r="A797" s="33"/>
      <c r="B797" s="69"/>
      <c r="C797" s="65"/>
      <c r="D797" s="65"/>
      <c r="E797" s="65"/>
      <c r="F797" s="34"/>
      <c r="G797" s="34"/>
      <c r="H797" s="33"/>
      <c r="I797" s="69">
        <v>42681</v>
      </c>
      <c r="J797" s="65">
        <v>4.3</v>
      </c>
      <c r="K797" s="65">
        <v>0</v>
      </c>
      <c r="L797" s="65"/>
      <c r="M797" s="65"/>
      <c r="N797" s="34"/>
      <c r="O797" s="35"/>
    </row>
    <row r="798" spans="1:15" s="36" customFormat="1" ht="12" x14ac:dyDescent="0.2">
      <c r="A798" s="33"/>
      <c r="B798" s="68"/>
      <c r="C798" s="64"/>
      <c r="D798" s="64"/>
      <c r="E798" s="64"/>
      <c r="F798" s="34"/>
      <c r="G798" s="34"/>
      <c r="H798" s="33"/>
      <c r="I798" s="68">
        <v>42682</v>
      </c>
      <c r="J798" s="64">
        <v>4.3</v>
      </c>
      <c r="K798" s="64">
        <v>0</v>
      </c>
      <c r="L798" s="64"/>
      <c r="M798" s="64"/>
      <c r="N798" s="34"/>
      <c r="O798" s="35"/>
    </row>
    <row r="799" spans="1:15" s="36" customFormat="1" ht="12" x14ac:dyDescent="0.2">
      <c r="A799" s="33"/>
      <c r="B799" s="69"/>
      <c r="C799" s="65"/>
      <c r="D799" s="65"/>
      <c r="E799" s="65"/>
      <c r="F799" s="34"/>
      <c r="G799" s="34"/>
      <c r="H799" s="33"/>
      <c r="I799" s="69">
        <v>42683</v>
      </c>
      <c r="J799" s="65">
        <v>4.3</v>
      </c>
      <c r="K799" s="65">
        <v>0</v>
      </c>
      <c r="L799" s="65"/>
      <c r="M799" s="65"/>
      <c r="N799" s="34"/>
      <c r="O799" s="35"/>
    </row>
    <row r="800" spans="1:15" s="36" customFormat="1" ht="12" x14ac:dyDescent="0.2">
      <c r="A800" s="33"/>
      <c r="B800" s="68"/>
      <c r="C800" s="64"/>
      <c r="D800" s="64"/>
      <c r="E800" s="64"/>
      <c r="F800" s="34"/>
      <c r="G800" s="34"/>
      <c r="H800" s="33"/>
      <c r="I800" s="68">
        <v>42684</v>
      </c>
      <c r="J800" s="64">
        <v>4.3</v>
      </c>
      <c r="K800" s="64">
        <v>0</v>
      </c>
      <c r="L800" s="64"/>
      <c r="M800" s="64"/>
      <c r="N800" s="34"/>
      <c r="O800" s="35"/>
    </row>
    <row r="801" spans="1:15" s="36" customFormat="1" ht="12" x14ac:dyDescent="0.2">
      <c r="A801" s="33"/>
      <c r="B801" s="69"/>
      <c r="C801" s="65"/>
      <c r="D801" s="65"/>
      <c r="E801" s="65"/>
      <c r="F801" s="34"/>
      <c r="G801" s="34"/>
      <c r="H801" s="33"/>
      <c r="I801" s="69">
        <v>42685</v>
      </c>
      <c r="J801" s="65">
        <v>4.3</v>
      </c>
      <c r="K801" s="65">
        <v>0</v>
      </c>
      <c r="L801" s="65"/>
      <c r="M801" s="65"/>
      <c r="N801" s="34"/>
      <c r="O801" s="35"/>
    </row>
    <row r="802" spans="1:15" s="36" customFormat="1" ht="12" x14ac:dyDescent="0.2">
      <c r="A802" s="33"/>
      <c r="B802" s="68"/>
      <c r="C802" s="64"/>
      <c r="D802" s="64"/>
      <c r="E802" s="64"/>
      <c r="F802" s="34"/>
      <c r="G802" s="34"/>
      <c r="H802" s="33"/>
      <c r="I802" s="68">
        <v>42688</v>
      </c>
      <c r="J802" s="64">
        <v>4.3</v>
      </c>
      <c r="K802" s="64">
        <v>0</v>
      </c>
      <c r="L802" s="64"/>
      <c r="M802" s="64"/>
      <c r="N802" s="34"/>
      <c r="O802" s="35"/>
    </row>
    <row r="803" spans="1:15" s="36" customFormat="1" ht="12" x14ac:dyDescent="0.2">
      <c r="A803" s="33"/>
      <c r="B803" s="69"/>
      <c r="C803" s="65"/>
      <c r="D803" s="65"/>
      <c r="E803" s="65"/>
      <c r="F803" s="34"/>
      <c r="G803" s="34"/>
      <c r="H803" s="33"/>
      <c r="I803" s="69">
        <v>42689</v>
      </c>
      <c r="J803" s="65">
        <v>4.3</v>
      </c>
      <c r="K803" s="65">
        <v>0</v>
      </c>
      <c r="L803" s="65"/>
      <c r="M803" s="65"/>
      <c r="N803" s="34"/>
      <c r="O803" s="35"/>
    </row>
    <row r="804" spans="1:15" s="36" customFormat="1" ht="12" x14ac:dyDescent="0.2">
      <c r="A804" s="33"/>
      <c r="B804" s="68"/>
      <c r="C804" s="64"/>
      <c r="D804" s="64"/>
      <c r="E804" s="64"/>
      <c r="F804" s="34"/>
      <c r="G804" s="34"/>
      <c r="H804" s="33"/>
      <c r="I804" s="68">
        <v>42690</v>
      </c>
      <c r="J804" s="64">
        <v>4.3</v>
      </c>
      <c r="K804" s="64">
        <v>0</v>
      </c>
      <c r="L804" s="64"/>
      <c r="M804" s="64"/>
      <c r="N804" s="34"/>
      <c r="O804" s="35"/>
    </row>
    <row r="805" spans="1:15" s="36" customFormat="1" ht="12" x14ac:dyDescent="0.2">
      <c r="A805" s="33"/>
      <c r="B805" s="69"/>
      <c r="C805" s="65"/>
      <c r="D805" s="65"/>
      <c r="E805" s="65"/>
      <c r="F805" s="34"/>
      <c r="G805" s="34"/>
      <c r="H805" s="33"/>
      <c r="I805" s="69">
        <v>42691</v>
      </c>
      <c r="J805" s="65">
        <v>4.3</v>
      </c>
      <c r="K805" s="65">
        <v>0</v>
      </c>
      <c r="L805" s="65"/>
      <c r="M805" s="65"/>
      <c r="N805" s="34"/>
      <c r="O805" s="35"/>
    </row>
    <row r="806" spans="1:15" s="36" customFormat="1" ht="12" x14ac:dyDescent="0.2">
      <c r="A806" s="33"/>
      <c r="B806" s="68"/>
      <c r="C806" s="64"/>
      <c r="D806" s="64"/>
      <c r="E806" s="64"/>
      <c r="F806" s="34"/>
      <c r="G806" s="34"/>
      <c r="H806" s="33"/>
      <c r="I806" s="68">
        <v>42692</v>
      </c>
      <c r="J806" s="64">
        <v>4.3</v>
      </c>
      <c r="K806" s="64">
        <v>0</v>
      </c>
      <c r="L806" s="64"/>
      <c r="M806" s="64"/>
      <c r="N806" s="34"/>
      <c r="O806" s="35"/>
    </row>
    <row r="807" spans="1:15" s="36" customFormat="1" ht="12" x14ac:dyDescent="0.2">
      <c r="A807" s="33"/>
      <c r="B807" s="69"/>
      <c r="C807" s="65"/>
      <c r="D807" s="65"/>
      <c r="E807" s="65"/>
      <c r="F807" s="34"/>
      <c r="G807" s="34"/>
      <c r="H807" s="33"/>
      <c r="I807" s="69">
        <v>42695</v>
      </c>
      <c r="J807" s="65">
        <v>4.3</v>
      </c>
      <c r="K807" s="65">
        <v>0</v>
      </c>
      <c r="L807" s="65"/>
      <c r="M807" s="65"/>
      <c r="N807" s="34"/>
      <c r="O807" s="35"/>
    </row>
    <row r="808" spans="1:15" s="36" customFormat="1" ht="12" x14ac:dyDescent="0.2">
      <c r="A808" s="33"/>
      <c r="B808" s="68"/>
      <c r="C808" s="64"/>
      <c r="D808" s="64"/>
      <c r="E808" s="64"/>
      <c r="F808" s="34"/>
      <c r="G808" s="34"/>
      <c r="H808" s="33"/>
      <c r="I808" s="68">
        <v>42696</v>
      </c>
      <c r="J808" s="64">
        <v>4.3</v>
      </c>
      <c r="K808" s="64">
        <v>0</v>
      </c>
      <c r="L808" s="64"/>
      <c r="M808" s="64"/>
      <c r="N808" s="34"/>
      <c r="O808" s="35"/>
    </row>
    <row r="809" spans="1:15" s="36" customFormat="1" ht="12" x14ac:dyDescent="0.2">
      <c r="A809" s="33"/>
      <c r="B809" s="69"/>
      <c r="C809" s="65"/>
      <c r="D809" s="65"/>
      <c r="E809" s="65"/>
      <c r="F809" s="34"/>
      <c r="G809" s="34"/>
      <c r="H809" s="33"/>
      <c r="I809" s="69">
        <v>42697</v>
      </c>
      <c r="J809" s="65">
        <v>4.3</v>
      </c>
      <c r="K809" s="65">
        <v>0</v>
      </c>
      <c r="L809" s="65"/>
      <c r="M809" s="65"/>
      <c r="N809" s="34"/>
      <c r="O809" s="35"/>
    </row>
    <row r="810" spans="1:15" s="36" customFormat="1" ht="12" x14ac:dyDescent="0.2">
      <c r="A810" s="33"/>
      <c r="B810" s="68"/>
      <c r="C810" s="64"/>
      <c r="D810" s="64"/>
      <c r="E810" s="64"/>
      <c r="F810" s="34"/>
      <c r="G810" s="34"/>
      <c r="H810" s="33"/>
      <c r="I810" s="68">
        <v>42698</v>
      </c>
      <c r="J810" s="64">
        <v>4.3</v>
      </c>
      <c r="K810" s="64">
        <v>0</v>
      </c>
      <c r="L810" s="64"/>
      <c r="M810" s="64"/>
      <c r="N810" s="34"/>
      <c r="O810" s="35"/>
    </row>
    <row r="811" spans="1:15" s="36" customFormat="1" ht="12" x14ac:dyDescent="0.2">
      <c r="A811" s="33"/>
      <c r="B811" s="69"/>
      <c r="C811" s="65"/>
      <c r="D811" s="65"/>
      <c r="E811" s="65"/>
      <c r="F811" s="34"/>
      <c r="G811" s="34"/>
      <c r="H811" s="33"/>
      <c r="I811" s="69">
        <v>42699</v>
      </c>
      <c r="J811" s="65">
        <v>4.3</v>
      </c>
      <c r="K811" s="65">
        <v>0</v>
      </c>
      <c r="L811" s="65"/>
      <c r="M811" s="65"/>
      <c r="N811" s="34"/>
      <c r="O811" s="35"/>
    </row>
    <row r="812" spans="1:15" s="36" customFormat="1" ht="12" x14ac:dyDescent="0.2">
      <c r="A812" s="33"/>
      <c r="B812" s="68"/>
      <c r="C812" s="64"/>
      <c r="D812" s="64"/>
      <c r="E812" s="64"/>
      <c r="F812" s="34"/>
      <c r="G812" s="34"/>
      <c r="H812" s="33"/>
      <c r="I812" s="68">
        <v>42702</v>
      </c>
      <c r="J812" s="64">
        <v>4.3</v>
      </c>
      <c r="K812" s="64">
        <v>0</v>
      </c>
      <c r="L812" s="64"/>
      <c r="M812" s="64"/>
      <c r="N812" s="34"/>
      <c r="O812" s="35"/>
    </row>
    <row r="813" spans="1:15" s="36" customFormat="1" ht="12" x14ac:dyDescent="0.2">
      <c r="A813" s="33"/>
      <c r="B813" s="69"/>
      <c r="C813" s="65"/>
      <c r="D813" s="65"/>
      <c r="E813" s="65"/>
      <c r="F813" s="34"/>
      <c r="G813" s="34"/>
      <c r="H813" s="33"/>
      <c r="I813" s="69">
        <v>42703</v>
      </c>
      <c r="J813" s="65">
        <v>4.3</v>
      </c>
      <c r="K813" s="65">
        <v>0</v>
      </c>
      <c r="L813" s="65"/>
      <c r="M813" s="65"/>
      <c r="N813" s="34"/>
      <c r="O813" s="35"/>
    </row>
    <row r="814" spans="1:15" s="36" customFormat="1" ht="12" x14ac:dyDescent="0.2">
      <c r="A814" s="33"/>
      <c r="B814" s="68"/>
      <c r="C814" s="64"/>
      <c r="D814" s="64"/>
      <c r="E814" s="64"/>
      <c r="F814" s="34"/>
      <c r="G814" s="34"/>
      <c r="H814" s="33"/>
      <c r="I814" s="68">
        <v>42704</v>
      </c>
      <c r="J814" s="64">
        <v>4.3</v>
      </c>
      <c r="K814" s="64">
        <v>0</v>
      </c>
      <c r="L814" s="64"/>
      <c r="M814" s="64"/>
      <c r="N814" s="34"/>
      <c r="O814" s="35"/>
    </row>
    <row r="815" spans="1:15" s="36" customFormat="1" ht="12" x14ac:dyDescent="0.2">
      <c r="A815" s="33"/>
      <c r="B815" s="69"/>
      <c r="C815" s="65"/>
      <c r="D815" s="65"/>
      <c r="E815" s="65"/>
      <c r="F815" s="34"/>
      <c r="G815" s="34"/>
      <c r="H815" s="33"/>
      <c r="I815" s="69">
        <v>42705</v>
      </c>
      <c r="J815" s="65">
        <v>4.3</v>
      </c>
      <c r="K815" s="65">
        <v>0</v>
      </c>
      <c r="L815" s="65"/>
      <c r="M815" s="65"/>
      <c r="N815" s="34"/>
      <c r="O815" s="35"/>
    </row>
    <row r="816" spans="1:15" s="36" customFormat="1" ht="12" x14ac:dyDescent="0.2">
      <c r="A816" s="33"/>
      <c r="B816" s="68"/>
      <c r="C816" s="64"/>
      <c r="D816" s="64"/>
      <c r="E816" s="64"/>
      <c r="F816" s="34"/>
      <c r="G816" s="34"/>
      <c r="H816" s="33"/>
      <c r="I816" s="68">
        <v>42706</v>
      </c>
      <c r="J816" s="64">
        <v>4.3</v>
      </c>
      <c r="K816" s="64">
        <v>0</v>
      </c>
      <c r="L816" s="64"/>
      <c r="M816" s="64"/>
      <c r="N816" s="34"/>
      <c r="O816" s="35"/>
    </row>
    <row r="817" spans="1:15" s="36" customFormat="1" ht="12" x14ac:dyDescent="0.2">
      <c r="A817" s="33"/>
      <c r="B817" s="69"/>
      <c r="C817" s="65"/>
      <c r="D817" s="65"/>
      <c r="E817" s="65"/>
      <c r="F817" s="34"/>
      <c r="G817" s="34"/>
      <c r="H817" s="33"/>
      <c r="I817" s="69">
        <v>42709</v>
      </c>
      <c r="J817" s="65">
        <v>4.3</v>
      </c>
      <c r="K817" s="65">
        <v>0</v>
      </c>
      <c r="L817" s="65"/>
      <c r="M817" s="65"/>
      <c r="N817" s="34"/>
      <c r="O817" s="35"/>
    </row>
    <row r="818" spans="1:15" s="36" customFormat="1" ht="12" x14ac:dyDescent="0.2">
      <c r="A818" s="33"/>
      <c r="B818" s="68"/>
      <c r="C818" s="64"/>
      <c r="D818" s="64"/>
      <c r="E818" s="64"/>
      <c r="F818" s="34"/>
      <c r="G818" s="34"/>
      <c r="H818" s="33"/>
      <c r="I818" s="68">
        <v>42710</v>
      </c>
      <c r="J818" s="64">
        <v>4.3</v>
      </c>
      <c r="K818" s="64">
        <v>0</v>
      </c>
      <c r="L818" s="64"/>
      <c r="M818" s="64"/>
      <c r="N818" s="34"/>
      <c r="O818" s="35"/>
    </row>
    <row r="819" spans="1:15" s="36" customFormat="1" ht="12" x14ac:dyDescent="0.2">
      <c r="A819" s="33"/>
      <c r="B819" s="69"/>
      <c r="C819" s="65"/>
      <c r="D819" s="65"/>
      <c r="E819" s="65"/>
      <c r="F819" s="34"/>
      <c r="G819" s="34"/>
      <c r="H819" s="33"/>
      <c r="I819" s="69">
        <v>42711</v>
      </c>
      <c r="J819" s="65">
        <v>4.3</v>
      </c>
      <c r="K819" s="65">
        <v>0</v>
      </c>
      <c r="L819" s="65"/>
      <c r="M819" s="65"/>
      <c r="N819" s="34"/>
      <c r="O819" s="35"/>
    </row>
    <row r="820" spans="1:15" s="36" customFormat="1" ht="12" x14ac:dyDescent="0.2">
      <c r="A820" s="33"/>
      <c r="B820" s="68"/>
      <c r="C820" s="64"/>
      <c r="D820" s="64"/>
      <c r="E820" s="64"/>
      <c r="F820" s="34"/>
      <c r="G820" s="34"/>
      <c r="H820" s="33"/>
      <c r="I820" s="68">
        <v>42712</v>
      </c>
      <c r="J820" s="64">
        <v>4.3</v>
      </c>
      <c r="K820" s="64">
        <v>0</v>
      </c>
      <c r="L820" s="64"/>
      <c r="M820" s="64"/>
      <c r="N820" s="34"/>
      <c r="O820" s="35"/>
    </row>
    <row r="821" spans="1:15" s="36" customFormat="1" ht="12" x14ac:dyDescent="0.2">
      <c r="A821" s="33"/>
      <c r="B821" s="69"/>
      <c r="C821" s="65"/>
      <c r="D821" s="65"/>
      <c r="E821" s="65"/>
      <c r="F821" s="34"/>
      <c r="G821" s="34"/>
      <c r="H821" s="33"/>
      <c r="I821" s="69">
        <v>42713</v>
      </c>
      <c r="J821" s="65">
        <v>4.3</v>
      </c>
      <c r="K821" s="65">
        <v>0</v>
      </c>
      <c r="L821" s="65"/>
      <c r="M821" s="65"/>
      <c r="N821" s="34"/>
      <c r="O821" s="35"/>
    </row>
    <row r="822" spans="1:15" s="36" customFormat="1" ht="12" x14ac:dyDescent="0.2">
      <c r="A822" s="33"/>
      <c r="B822" s="68"/>
      <c r="C822" s="64"/>
      <c r="D822" s="64"/>
      <c r="E822" s="64"/>
      <c r="F822" s="34"/>
      <c r="G822" s="34"/>
      <c r="H822" s="33"/>
      <c r="I822" s="68">
        <v>42716</v>
      </c>
      <c r="J822" s="64">
        <v>4.3</v>
      </c>
      <c r="K822" s="64">
        <v>0</v>
      </c>
      <c r="L822" s="64"/>
      <c r="M822" s="64"/>
      <c r="N822" s="34"/>
      <c r="O822" s="35"/>
    </row>
    <row r="823" spans="1:15" s="36" customFormat="1" ht="12" x14ac:dyDescent="0.2">
      <c r="A823" s="33"/>
      <c r="B823" s="69"/>
      <c r="C823" s="65"/>
      <c r="D823" s="65"/>
      <c r="E823" s="65"/>
      <c r="F823" s="34"/>
      <c r="G823" s="34"/>
      <c r="H823" s="33"/>
      <c r="I823" s="69">
        <v>42717</v>
      </c>
      <c r="J823" s="65">
        <v>4.3</v>
      </c>
      <c r="K823" s="65">
        <v>0</v>
      </c>
      <c r="L823" s="65"/>
      <c r="M823" s="65"/>
      <c r="N823" s="34"/>
      <c r="O823" s="35"/>
    </row>
    <row r="824" spans="1:15" s="36" customFormat="1" ht="12" x14ac:dyDescent="0.2">
      <c r="A824" s="33"/>
      <c r="B824" s="68"/>
      <c r="C824" s="64"/>
      <c r="D824" s="64"/>
      <c r="E824" s="64"/>
      <c r="F824" s="34"/>
      <c r="G824" s="34"/>
      <c r="H824" s="33"/>
      <c r="I824" s="68">
        <v>42718</v>
      </c>
      <c r="J824" s="64">
        <v>4.3</v>
      </c>
      <c r="K824" s="64">
        <v>0</v>
      </c>
      <c r="L824" s="64"/>
      <c r="M824" s="64"/>
      <c r="N824" s="34"/>
      <c r="O824" s="35"/>
    </row>
    <row r="825" spans="1:15" s="36" customFormat="1" ht="12" x14ac:dyDescent="0.2">
      <c r="A825" s="33"/>
      <c r="B825" s="69"/>
      <c r="C825" s="65"/>
      <c r="D825" s="65"/>
      <c r="E825" s="65"/>
      <c r="F825" s="34"/>
      <c r="G825" s="34"/>
      <c r="H825" s="33"/>
      <c r="I825" s="69">
        <v>42719</v>
      </c>
      <c r="J825" s="65">
        <v>4.3</v>
      </c>
      <c r="K825" s="65">
        <v>0</v>
      </c>
      <c r="L825" s="65"/>
      <c r="M825" s="65"/>
      <c r="N825" s="34"/>
      <c r="O825" s="35"/>
    </row>
    <row r="826" spans="1:15" s="36" customFormat="1" ht="12" x14ac:dyDescent="0.2">
      <c r="A826" s="33"/>
      <c r="B826" s="68"/>
      <c r="C826" s="64"/>
      <c r="D826" s="64"/>
      <c r="E826" s="64"/>
      <c r="F826" s="34"/>
      <c r="G826" s="34"/>
      <c r="H826" s="33"/>
      <c r="I826" s="68">
        <v>42720</v>
      </c>
      <c r="J826" s="64">
        <v>4.3</v>
      </c>
      <c r="K826" s="64">
        <v>0</v>
      </c>
      <c r="L826" s="64"/>
      <c r="M826" s="64"/>
      <c r="N826" s="34"/>
      <c r="O826" s="35"/>
    </row>
    <row r="827" spans="1:15" s="36" customFormat="1" ht="12" x14ac:dyDescent="0.2">
      <c r="A827" s="33"/>
      <c r="B827" s="69"/>
      <c r="C827" s="65"/>
      <c r="D827" s="65"/>
      <c r="E827" s="65"/>
      <c r="F827" s="34"/>
      <c r="G827" s="34"/>
      <c r="H827" s="33"/>
      <c r="I827" s="69">
        <v>42723</v>
      </c>
      <c r="J827" s="65">
        <v>4.3</v>
      </c>
      <c r="K827" s="65">
        <v>0</v>
      </c>
      <c r="L827" s="65"/>
      <c r="M827" s="65"/>
      <c r="N827" s="34"/>
      <c r="O827" s="35"/>
    </row>
    <row r="828" spans="1:15" s="36" customFormat="1" ht="12" x14ac:dyDescent="0.2">
      <c r="A828" s="33"/>
      <c r="B828" s="68"/>
      <c r="C828" s="64"/>
      <c r="D828" s="64"/>
      <c r="E828" s="64"/>
      <c r="F828" s="34"/>
      <c r="G828" s="34"/>
      <c r="H828" s="33"/>
      <c r="I828" s="68">
        <v>42724</v>
      </c>
      <c r="J828" s="64">
        <v>4.3</v>
      </c>
      <c r="K828" s="64">
        <v>0</v>
      </c>
      <c r="L828" s="64"/>
      <c r="M828" s="64"/>
      <c r="N828" s="34"/>
      <c r="O828" s="35"/>
    </row>
    <row r="829" spans="1:15" s="36" customFormat="1" ht="12" x14ac:dyDescent="0.2">
      <c r="A829" s="33"/>
      <c r="B829" s="69"/>
      <c r="C829" s="65"/>
      <c r="D829" s="65"/>
      <c r="E829" s="65"/>
      <c r="F829" s="34"/>
      <c r="G829" s="34"/>
      <c r="H829" s="33"/>
      <c r="I829" s="69">
        <v>42725</v>
      </c>
      <c r="J829" s="65">
        <v>4.3</v>
      </c>
      <c r="K829" s="65">
        <v>0</v>
      </c>
      <c r="L829" s="65"/>
      <c r="M829" s="65"/>
      <c r="N829" s="34"/>
      <c r="O829" s="35"/>
    </row>
    <row r="830" spans="1:15" s="36" customFormat="1" ht="12" x14ac:dyDescent="0.2">
      <c r="A830" s="33"/>
      <c r="B830" s="68"/>
      <c r="C830" s="64"/>
      <c r="D830" s="64"/>
      <c r="E830" s="64"/>
      <c r="F830" s="34"/>
      <c r="G830" s="34"/>
      <c r="H830" s="33"/>
      <c r="I830" s="68">
        <v>42726</v>
      </c>
      <c r="J830" s="64">
        <v>4.3</v>
      </c>
      <c r="K830" s="64">
        <v>0</v>
      </c>
      <c r="L830" s="64"/>
      <c r="M830" s="64"/>
      <c r="N830" s="34"/>
      <c r="O830" s="35"/>
    </row>
    <row r="831" spans="1:15" s="36" customFormat="1" ht="12" x14ac:dyDescent="0.2">
      <c r="A831" s="33"/>
      <c r="B831" s="69"/>
      <c r="C831" s="65"/>
      <c r="D831" s="65"/>
      <c r="E831" s="65"/>
      <c r="F831" s="34"/>
      <c r="G831" s="34"/>
      <c r="H831" s="33"/>
      <c r="I831" s="69">
        <v>42727</v>
      </c>
      <c r="J831" s="65">
        <v>4.3</v>
      </c>
      <c r="K831" s="65">
        <v>0</v>
      </c>
      <c r="L831" s="65"/>
      <c r="M831" s="65"/>
      <c r="N831" s="34"/>
      <c r="O831" s="35"/>
    </row>
    <row r="832" spans="1:15" s="36" customFormat="1" ht="12" x14ac:dyDescent="0.2">
      <c r="A832" s="33"/>
      <c r="B832" s="68"/>
      <c r="C832" s="64"/>
      <c r="D832" s="64"/>
      <c r="E832" s="64"/>
      <c r="F832" s="34"/>
      <c r="G832" s="34"/>
      <c r="H832" s="33"/>
      <c r="I832" s="68">
        <v>42730</v>
      </c>
      <c r="J832" s="64">
        <v>4.3</v>
      </c>
      <c r="K832" s="64">
        <v>0</v>
      </c>
      <c r="L832" s="64"/>
      <c r="M832" s="64"/>
      <c r="N832" s="34"/>
      <c r="O832" s="35"/>
    </row>
    <row r="833" spans="1:15" s="36" customFormat="1" ht="12" x14ac:dyDescent="0.2">
      <c r="A833" s="33"/>
      <c r="B833" s="69"/>
      <c r="C833" s="65"/>
      <c r="D833" s="65"/>
      <c r="E833" s="65"/>
      <c r="F833" s="34"/>
      <c r="G833" s="34"/>
      <c r="H833" s="33"/>
      <c r="I833" s="69">
        <v>42731</v>
      </c>
      <c r="J833" s="65">
        <v>4.3</v>
      </c>
      <c r="K833" s="65">
        <v>0</v>
      </c>
      <c r="L833" s="65"/>
      <c r="M833" s="65"/>
      <c r="N833" s="34"/>
      <c r="O833" s="35"/>
    </row>
    <row r="834" spans="1:15" s="36" customFormat="1" ht="12" x14ac:dyDescent="0.2">
      <c r="A834" s="33"/>
      <c r="B834" s="68"/>
      <c r="C834" s="64"/>
      <c r="D834" s="64"/>
      <c r="E834" s="64"/>
      <c r="F834" s="34"/>
      <c r="G834" s="34"/>
      <c r="H834" s="33"/>
      <c r="I834" s="68">
        <v>42732</v>
      </c>
      <c r="J834" s="64">
        <v>4.3</v>
      </c>
      <c r="K834" s="64">
        <v>0</v>
      </c>
      <c r="L834" s="64"/>
      <c r="M834" s="64"/>
      <c r="N834" s="34"/>
      <c r="O834" s="35"/>
    </row>
    <row r="835" spans="1:15" s="36" customFormat="1" ht="12" x14ac:dyDescent="0.2">
      <c r="A835" s="33"/>
      <c r="B835" s="69"/>
      <c r="C835" s="65"/>
      <c r="D835" s="65"/>
      <c r="E835" s="65"/>
      <c r="F835" s="34"/>
      <c r="G835" s="34"/>
      <c r="H835" s="33"/>
      <c r="I835" s="69">
        <v>42733</v>
      </c>
      <c r="J835" s="65">
        <v>4.3</v>
      </c>
      <c r="K835" s="65">
        <v>0</v>
      </c>
      <c r="L835" s="65"/>
      <c r="M835" s="65"/>
      <c r="N835" s="34"/>
      <c r="O835" s="35"/>
    </row>
    <row r="836" spans="1:15" s="36" customFormat="1" ht="12" x14ac:dyDescent="0.2">
      <c r="A836" s="33"/>
      <c r="B836" s="68"/>
      <c r="C836" s="64"/>
      <c r="D836" s="64"/>
      <c r="E836" s="64"/>
      <c r="F836" s="34"/>
      <c r="G836" s="34"/>
      <c r="H836" s="33"/>
      <c r="I836" s="68">
        <v>42734</v>
      </c>
      <c r="J836" s="64">
        <v>4.3</v>
      </c>
      <c r="K836" s="64">
        <v>0</v>
      </c>
      <c r="L836" s="64"/>
      <c r="M836" s="64"/>
      <c r="N836" s="34"/>
      <c r="O836" s="35"/>
    </row>
    <row r="837" spans="1:15" s="36" customFormat="1" ht="12" x14ac:dyDescent="0.2">
      <c r="A837" s="33"/>
      <c r="B837" s="69"/>
      <c r="C837" s="65"/>
      <c r="D837" s="65"/>
      <c r="E837" s="65"/>
      <c r="F837" s="34"/>
      <c r="G837" s="34"/>
      <c r="H837" s="33"/>
      <c r="I837" s="69">
        <v>42738</v>
      </c>
      <c r="J837" s="65">
        <v>4.3</v>
      </c>
      <c r="K837" s="65">
        <v>0</v>
      </c>
      <c r="L837" s="65"/>
      <c r="M837" s="65"/>
      <c r="N837" s="34"/>
      <c r="O837" s="35"/>
    </row>
    <row r="838" spans="1:15" s="36" customFormat="1" ht="12" x14ac:dyDescent="0.2">
      <c r="A838" s="33"/>
      <c r="B838" s="68"/>
      <c r="C838" s="64"/>
      <c r="D838" s="64"/>
      <c r="E838" s="64"/>
      <c r="F838" s="34"/>
      <c r="G838" s="34"/>
      <c r="H838" s="33"/>
      <c r="I838" s="68">
        <v>42739</v>
      </c>
      <c r="J838" s="64">
        <v>4.3</v>
      </c>
      <c r="K838" s="64">
        <v>0</v>
      </c>
      <c r="L838" s="64"/>
      <c r="M838" s="64"/>
      <c r="N838" s="34"/>
      <c r="O838" s="35"/>
    </row>
    <row r="839" spans="1:15" s="36" customFormat="1" ht="12" x14ac:dyDescent="0.2">
      <c r="A839" s="33"/>
      <c r="B839" s="69"/>
      <c r="C839" s="65"/>
      <c r="D839" s="65"/>
      <c r="E839" s="65"/>
      <c r="F839" s="34"/>
      <c r="G839" s="34"/>
      <c r="H839" s="33"/>
      <c r="I839" s="69">
        <v>42740</v>
      </c>
      <c r="J839" s="65">
        <v>4.3</v>
      </c>
      <c r="K839" s="65">
        <v>0</v>
      </c>
      <c r="L839" s="65"/>
      <c r="M839" s="65"/>
      <c r="N839" s="34"/>
      <c r="O839" s="35"/>
    </row>
    <row r="840" spans="1:15" s="36" customFormat="1" ht="12" x14ac:dyDescent="0.2">
      <c r="A840" s="33"/>
      <c r="B840" s="68"/>
      <c r="C840" s="64"/>
      <c r="D840" s="64"/>
      <c r="E840" s="64"/>
      <c r="F840" s="34"/>
      <c r="G840" s="34"/>
      <c r="H840" s="33"/>
      <c r="I840" s="68">
        <v>42741</v>
      </c>
      <c r="J840" s="64">
        <v>4.3</v>
      </c>
      <c r="K840" s="64">
        <v>0</v>
      </c>
      <c r="L840" s="64"/>
      <c r="M840" s="64"/>
      <c r="N840" s="34"/>
      <c r="O840" s="35"/>
    </row>
    <row r="841" spans="1:15" s="36" customFormat="1" ht="12" x14ac:dyDescent="0.2">
      <c r="A841" s="33"/>
      <c r="B841" s="69"/>
      <c r="C841" s="65"/>
      <c r="D841" s="65"/>
      <c r="E841" s="65"/>
      <c r="F841" s="34"/>
      <c r="G841" s="34"/>
      <c r="H841" s="33"/>
      <c r="I841" s="69">
        <v>42744</v>
      </c>
      <c r="J841" s="65">
        <v>4.3</v>
      </c>
      <c r="K841" s="65">
        <v>0</v>
      </c>
      <c r="L841" s="65"/>
      <c r="M841" s="65"/>
      <c r="N841" s="34"/>
      <c r="O841" s="35"/>
    </row>
    <row r="842" spans="1:15" s="36" customFormat="1" ht="12" x14ac:dyDescent="0.2">
      <c r="A842" s="33"/>
      <c r="B842" s="68"/>
      <c r="C842" s="64"/>
      <c r="D842" s="64"/>
      <c r="E842" s="64"/>
      <c r="F842" s="34"/>
      <c r="G842" s="34"/>
      <c r="H842" s="33"/>
      <c r="I842" s="68">
        <v>42745</v>
      </c>
      <c r="J842" s="64">
        <v>4.3</v>
      </c>
      <c r="K842" s="64">
        <v>0</v>
      </c>
      <c r="L842" s="64"/>
      <c r="M842" s="64"/>
      <c r="N842" s="34"/>
      <c r="O842" s="35"/>
    </row>
    <row r="843" spans="1:15" s="36" customFormat="1" ht="12" x14ac:dyDescent="0.2">
      <c r="A843" s="33"/>
      <c r="B843" s="69"/>
      <c r="C843" s="65"/>
      <c r="D843" s="65"/>
      <c r="E843" s="65"/>
      <c r="H843" s="33"/>
      <c r="I843" s="69">
        <v>42746</v>
      </c>
      <c r="J843" s="65">
        <v>4.3</v>
      </c>
      <c r="K843" s="65">
        <v>0</v>
      </c>
      <c r="L843" s="65"/>
      <c r="M843" s="65"/>
      <c r="N843" s="34"/>
      <c r="O843" s="35"/>
    </row>
    <row r="844" spans="1:15" s="36" customFormat="1" ht="12" x14ac:dyDescent="0.2">
      <c r="A844" s="33"/>
      <c r="B844" s="68"/>
      <c r="C844" s="64"/>
      <c r="D844" s="64"/>
      <c r="E844" s="64"/>
      <c r="H844" s="33"/>
      <c r="I844" s="68">
        <v>42747</v>
      </c>
      <c r="J844" s="64">
        <v>4.3</v>
      </c>
      <c r="K844" s="64">
        <v>0</v>
      </c>
      <c r="L844" s="64"/>
      <c r="M844" s="64"/>
      <c r="N844" s="34"/>
      <c r="O844" s="35"/>
    </row>
    <row r="845" spans="1:15" s="36" customFormat="1" ht="12" x14ac:dyDescent="0.2">
      <c r="A845" s="33"/>
      <c r="B845" s="69"/>
      <c r="C845" s="65"/>
      <c r="D845" s="65"/>
      <c r="E845" s="65"/>
      <c r="H845" s="33"/>
      <c r="I845" s="69">
        <v>42748</v>
      </c>
      <c r="J845" s="65">
        <v>4.3</v>
      </c>
      <c r="K845" s="65">
        <v>0</v>
      </c>
      <c r="L845" s="65"/>
      <c r="M845" s="65"/>
      <c r="N845" s="34"/>
      <c r="O845" s="35"/>
    </row>
    <row r="846" spans="1:15" s="36" customFormat="1" ht="12" x14ac:dyDescent="0.2">
      <c r="A846" s="33"/>
      <c r="B846" s="68"/>
      <c r="C846" s="64"/>
      <c r="D846" s="64"/>
      <c r="E846" s="64"/>
      <c r="H846" s="33"/>
      <c r="I846" s="68">
        <v>42751</v>
      </c>
      <c r="J846" s="64">
        <v>4.3</v>
      </c>
      <c r="K846" s="64">
        <v>0</v>
      </c>
      <c r="L846" s="64"/>
      <c r="M846" s="64"/>
      <c r="N846" s="34"/>
      <c r="O846" s="35"/>
    </row>
    <row r="847" spans="1:15" s="36" customFormat="1" ht="12" x14ac:dyDescent="0.2">
      <c r="A847" s="33"/>
      <c r="B847" s="69"/>
      <c r="C847" s="65"/>
      <c r="D847" s="65"/>
      <c r="E847" s="65"/>
      <c r="H847" s="33"/>
      <c r="I847" s="69">
        <v>42752</v>
      </c>
      <c r="J847" s="65">
        <v>4.3</v>
      </c>
      <c r="K847" s="65">
        <v>0</v>
      </c>
      <c r="L847" s="65"/>
      <c r="M847" s="65"/>
      <c r="N847" s="34"/>
      <c r="O847" s="35"/>
    </row>
    <row r="848" spans="1:15" s="36" customFormat="1" ht="12" x14ac:dyDescent="0.2">
      <c r="A848" s="33"/>
      <c r="B848" s="68"/>
      <c r="C848" s="64"/>
      <c r="D848" s="64"/>
      <c r="E848" s="64"/>
      <c r="H848" s="33"/>
      <c r="I848" s="68">
        <v>42753</v>
      </c>
      <c r="J848" s="64">
        <v>4.3</v>
      </c>
      <c r="K848" s="64">
        <v>0</v>
      </c>
      <c r="L848" s="64"/>
      <c r="M848" s="64"/>
      <c r="N848" s="34"/>
      <c r="O848" s="35"/>
    </row>
    <row r="849" spans="1:15" s="36" customFormat="1" ht="12" x14ac:dyDescent="0.2">
      <c r="A849" s="33"/>
      <c r="B849" s="69"/>
      <c r="C849" s="65"/>
      <c r="D849" s="65"/>
      <c r="E849" s="65"/>
      <c r="H849" s="33"/>
      <c r="I849" s="69">
        <v>42754</v>
      </c>
      <c r="J849" s="65">
        <v>4.3</v>
      </c>
      <c r="K849" s="65">
        <v>0</v>
      </c>
      <c r="L849" s="65"/>
      <c r="M849" s="65"/>
      <c r="N849" s="34"/>
      <c r="O849" s="35"/>
    </row>
    <row r="850" spans="1:15" s="36" customFormat="1" ht="12" x14ac:dyDescent="0.2">
      <c r="A850" s="33"/>
      <c r="B850" s="68"/>
      <c r="C850" s="64"/>
      <c r="D850" s="64"/>
      <c r="E850" s="64"/>
      <c r="H850" s="33"/>
      <c r="I850" s="68">
        <v>42755</v>
      </c>
      <c r="J850" s="64">
        <v>4.3</v>
      </c>
      <c r="K850" s="64">
        <v>0</v>
      </c>
      <c r="L850" s="64"/>
      <c r="M850" s="64"/>
      <c r="N850" s="34"/>
      <c r="O850" s="35"/>
    </row>
    <row r="851" spans="1:15" s="36" customFormat="1" ht="12" x14ac:dyDescent="0.2">
      <c r="A851" s="33"/>
      <c r="B851" s="69"/>
      <c r="C851" s="65"/>
      <c r="D851" s="65"/>
      <c r="E851" s="65"/>
      <c r="H851" s="33"/>
      <c r="I851" s="69">
        <v>42757</v>
      </c>
      <c r="J851" s="65">
        <v>4.3</v>
      </c>
      <c r="K851" s="65">
        <v>0</v>
      </c>
      <c r="L851" s="65"/>
      <c r="M851" s="65"/>
      <c r="N851" s="34"/>
      <c r="O851" s="35"/>
    </row>
    <row r="852" spans="1:15" s="36" customFormat="1" ht="12" x14ac:dyDescent="0.2">
      <c r="A852" s="33"/>
      <c r="B852" s="68"/>
      <c r="C852" s="64"/>
      <c r="D852" s="64"/>
      <c r="E852" s="64"/>
      <c r="H852" s="33"/>
      <c r="I852" s="68">
        <v>42758</v>
      </c>
      <c r="J852" s="64">
        <v>4.3</v>
      </c>
      <c r="K852" s="64">
        <v>0</v>
      </c>
      <c r="L852" s="64"/>
      <c r="M852" s="64"/>
      <c r="N852" s="34"/>
      <c r="O852" s="35"/>
    </row>
    <row r="853" spans="1:15" s="36" customFormat="1" ht="12" x14ac:dyDescent="0.2">
      <c r="A853" s="33"/>
      <c r="B853" s="69"/>
      <c r="C853" s="65"/>
      <c r="D853" s="65"/>
      <c r="E853" s="65"/>
      <c r="H853" s="33"/>
      <c r="I853" s="69">
        <v>42759</v>
      </c>
      <c r="J853" s="65">
        <v>4.3</v>
      </c>
      <c r="K853" s="65">
        <v>0</v>
      </c>
      <c r="L853" s="65"/>
      <c r="M853" s="65"/>
      <c r="N853" s="34"/>
      <c r="O853" s="35"/>
    </row>
    <row r="854" spans="1:15" s="36" customFormat="1" ht="12" x14ac:dyDescent="0.2">
      <c r="A854" s="33"/>
      <c r="B854" s="68"/>
      <c r="C854" s="64"/>
      <c r="D854" s="64"/>
      <c r="E854" s="64"/>
      <c r="H854" s="33"/>
      <c r="I854" s="68">
        <v>42760</v>
      </c>
      <c r="J854" s="64">
        <v>4.3</v>
      </c>
      <c r="K854" s="64">
        <v>0</v>
      </c>
      <c r="L854" s="64"/>
      <c r="M854" s="64"/>
      <c r="N854" s="34"/>
      <c r="O854" s="35"/>
    </row>
    <row r="855" spans="1:15" s="36" customFormat="1" ht="12" x14ac:dyDescent="0.2">
      <c r="A855" s="33"/>
      <c r="B855" s="69"/>
      <c r="C855" s="65"/>
      <c r="D855" s="65"/>
      <c r="E855" s="65"/>
      <c r="H855" s="33"/>
      <c r="I855" s="69">
        <v>42761</v>
      </c>
      <c r="J855" s="65">
        <v>4.3</v>
      </c>
      <c r="K855" s="65">
        <v>0</v>
      </c>
      <c r="L855" s="65"/>
      <c r="M855" s="65"/>
      <c r="N855" s="34"/>
      <c r="O855" s="35"/>
    </row>
    <row r="856" spans="1:15" s="36" customFormat="1" ht="12" x14ac:dyDescent="0.2">
      <c r="A856" s="33"/>
      <c r="B856" s="68"/>
      <c r="C856" s="64"/>
      <c r="D856" s="64"/>
      <c r="E856" s="64"/>
      <c r="H856" s="33"/>
      <c r="I856" s="68">
        <v>42769</v>
      </c>
      <c r="J856" s="64">
        <v>4.3</v>
      </c>
      <c r="K856" s="64">
        <v>0</v>
      </c>
      <c r="L856" s="64"/>
      <c r="M856" s="64"/>
      <c r="N856" s="34"/>
      <c r="O856" s="35"/>
    </row>
    <row r="857" spans="1:15" s="36" customFormat="1" ht="12" x14ac:dyDescent="0.2">
      <c r="A857" s="33"/>
      <c r="B857" s="69"/>
      <c r="C857" s="65"/>
      <c r="D857" s="65"/>
      <c r="E857" s="65"/>
      <c r="H857" s="33"/>
      <c r="I857" s="69">
        <v>42770</v>
      </c>
      <c r="J857" s="65">
        <v>4.3</v>
      </c>
      <c r="K857" s="65">
        <v>0</v>
      </c>
      <c r="L857" s="65"/>
      <c r="M857" s="65"/>
      <c r="N857" s="34"/>
      <c r="O857" s="35"/>
    </row>
    <row r="858" spans="1:15" s="36" customFormat="1" ht="12" x14ac:dyDescent="0.2">
      <c r="A858" s="33"/>
      <c r="B858" s="68"/>
      <c r="C858" s="64"/>
      <c r="D858" s="64"/>
      <c r="E858" s="64"/>
      <c r="H858" s="33"/>
      <c r="I858" s="68">
        <v>42772</v>
      </c>
      <c r="J858" s="64">
        <v>4.3</v>
      </c>
      <c r="K858" s="64">
        <v>0</v>
      </c>
      <c r="L858" s="64"/>
      <c r="M858" s="64"/>
      <c r="N858" s="34"/>
      <c r="O858" s="35"/>
    </row>
    <row r="859" spans="1:15" s="36" customFormat="1" ht="12" x14ac:dyDescent="0.2">
      <c r="A859" s="33"/>
      <c r="B859" s="69"/>
      <c r="C859" s="65"/>
      <c r="D859" s="65"/>
      <c r="E859" s="65"/>
      <c r="H859" s="33"/>
      <c r="I859" s="69">
        <v>42773</v>
      </c>
      <c r="J859" s="65">
        <v>4.3</v>
      </c>
      <c r="K859" s="65">
        <v>0</v>
      </c>
      <c r="L859" s="65"/>
      <c r="M859" s="65"/>
      <c r="N859" s="34"/>
      <c r="O859" s="35"/>
    </row>
    <row r="860" spans="1:15" s="36" customFormat="1" ht="12" x14ac:dyDescent="0.2">
      <c r="A860" s="33"/>
      <c r="B860" s="68"/>
      <c r="C860" s="64"/>
      <c r="D860" s="64"/>
      <c r="E860" s="64"/>
      <c r="H860" s="33"/>
      <c r="I860" s="68">
        <v>42774</v>
      </c>
      <c r="J860" s="64">
        <v>4.3</v>
      </c>
      <c r="K860" s="64">
        <v>0</v>
      </c>
      <c r="L860" s="64"/>
      <c r="M860" s="64"/>
      <c r="N860" s="34"/>
      <c r="O860" s="35"/>
    </row>
    <row r="861" spans="1:15" s="36" customFormat="1" ht="12" x14ac:dyDescent="0.2">
      <c r="A861" s="33"/>
      <c r="B861" s="69"/>
      <c r="C861" s="65"/>
      <c r="D861" s="65"/>
      <c r="E861" s="65"/>
      <c r="H861" s="33"/>
      <c r="I861" s="69">
        <v>42775</v>
      </c>
      <c r="J861" s="65">
        <v>4.3</v>
      </c>
      <c r="K861" s="65">
        <v>0</v>
      </c>
      <c r="L861" s="65"/>
      <c r="M861" s="65"/>
      <c r="N861" s="34"/>
      <c r="O861" s="35"/>
    </row>
    <row r="862" spans="1:15" s="36" customFormat="1" ht="12" x14ac:dyDescent="0.2">
      <c r="A862" s="33"/>
      <c r="B862" s="68"/>
      <c r="C862" s="64"/>
      <c r="D862" s="64"/>
      <c r="E862" s="64"/>
      <c r="H862" s="33"/>
      <c r="I862" s="68">
        <v>42776</v>
      </c>
      <c r="J862" s="64">
        <v>4.3</v>
      </c>
      <c r="K862" s="64">
        <v>0</v>
      </c>
      <c r="L862" s="64"/>
      <c r="M862" s="64"/>
      <c r="N862" s="34"/>
      <c r="O862" s="35"/>
    </row>
    <row r="863" spans="1:15" s="36" customFormat="1" ht="12" x14ac:dyDescent="0.2">
      <c r="A863" s="33"/>
      <c r="B863" s="69"/>
      <c r="C863" s="65"/>
      <c r="D863" s="65"/>
      <c r="E863" s="65"/>
      <c r="H863" s="33"/>
      <c r="I863" s="69">
        <v>42779</v>
      </c>
      <c r="J863" s="65">
        <v>4.3</v>
      </c>
      <c r="K863" s="65">
        <v>0</v>
      </c>
      <c r="L863" s="65"/>
      <c r="M863" s="65"/>
      <c r="N863" s="34"/>
      <c r="O863" s="35"/>
    </row>
    <row r="864" spans="1:15" s="36" customFormat="1" ht="12" x14ac:dyDescent="0.2">
      <c r="A864" s="33"/>
      <c r="B864" s="68"/>
      <c r="C864" s="64"/>
      <c r="D864" s="64"/>
      <c r="E864" s="64"/>
      <c r="H864" s="33"/>
      <c r="I864" s="68">
        <v>42780</v>
      </c>
      <c r="J864" s="64">
        <v>4.3</v>
      </c>
      <c r="K864" s="64">
        <v>0</v>
      </c>
      <c r="L864" s="64"/>
      <c r="M864" s="64"/>
      <c r="N864" s="34"/>
      <c r="O864" s="35"/>
    </row>
    <row r="865" spans="1:15" s="36" customFormat="1" ht="12" x14ac:dyDescent="0.2">
      <c r="A865" s="33"/>
      <c r="B865" s="69"/>
      <c r="C865" s="65"/>
      <c r="D865" s="65"/>
      <c r="E865" s="65"/>
      <c r="H865" s="33"/>
      <c r="I865" s="69">
        <v>42781</v>
      </c>
      <c r="J865" s="65">
        <v>4.3</v>
      </c>
      <c r="K865" s="65">
        <v>0</v>
      </c>
      <c r="L865" s="65"/>
      <c r="M865" s="65"/>
      <c r="N865" s="34"/>
      <c r="O865" s="35"/>
    </row>
    <row r="866" spans="1:15" s="36" customFormat="1" ht="12" x14ac:dyDescent="0.2">
      <c r="A866" s="33"/>
      <c r="B866" s="68"/>
      <c r="C866" s="64"/>
      <c r="D866" s="64"/>
      <c r="E866" s="64"/>
      <c r="H866" s="33"/>
      <c r="I866" s="68">
        <v>42782</v>
      </c>
      <c r="J866" s="64">
        <v>4.3</v>
      </c>
      <c r="K866" s="64">
        <v>0</v>
      </c>
      <c r="L866" s="64"/>
      <c r="M866" s="64"/>
      <c r="N866" s="34"/>
      <c r="O866" s="35"/>
    </row>
    <row r="867" spans="1:15" s="36" customFormat="1" ht="12" x14ac:dyDescent="0.2">
      <c r="A867" s="33"/>
      <c r="B867" s="69"/>
      <c r="C867" s="65"/>
      <c r="D867" s="65"/>
      <c r="E867" s="65"/>
      <c r="H867" s="33"/>
      <c r="I867" s="69">
        <v>42783</v>
      </c>
      <c r="J867" s="65">
        <v>4.3</v>
      </c>
      <c r="K867" s="65">
        <v>0</v>
      </c>
      <c r="L867" s="65"/>
      <c r="M867" s="65"/>
      <c r="N867" s="34"/>
      <c r="O867" s="35"/>
    </row>
    <row r="868" spans="1:15" s="36" customFormat="1" ht="12" x14ac:dyDescent="0.2">
      <c r="A868" s="33"/>
      <c r="B868" s="68"/>
      <c r="C868" s="64"/>
      <c r="D868" s="64"/>
      <c r="E868" s="64"/>
      <c r="H868" s="33"/>
      <c r="I868" s="68">
        <v>42786</v>
      </c>
      <c r="J868" s="64">
        <v>4.3</v>
      </c>
      <c r="K868" s="64">
        <v>0</v>
      </c>
      <c r="L868" s="64"/>
      <c r="M868" s="64"/>
      <c r="N868" s="34"/>
      <c r="O868" s="35"/>
    </row>
    <row r="869" spans="1:15" s="36" customFormat="1" ht="12" x14ac:dyDescent="0.2">
      <c r="A869" s="33"/>
      <c r="B869" s="69"/>
      <c r="C869" s="65"/>
      <c r="D869" s="65"/>
      <c r="E869" s="65"/>
      <c r="H869" s="33"/>
      <c r="I869" s="69">
        <v>42787</v>
      </c>
      <c r="J869" s="65">
        <v>4.3</v>
      </c>
      <c r="K869" s="65">
        <v>0</v>
      </c>
      <c r="L869" s="65"/>
      <c r="M869" s="65"/>
      <c r="N869" s="34"/>
      <c r="O869" s="35"/>
    </row>
    <row r="870" spans="1:15" s="36" customFormat="1" ht="12" x14ac:dyDescent="0.2">
      <c r="A870" s="33"/>
      <c r="B870" s="68"/>
      <c r="C870" s="64"/>
      <c r="D870" s="64"/>
      <c r="E870" s="64"/>
      <c r="H870" s="33"/>
      <c r="I870" s="68">
        <v>42788</v>
      </c>
      <c r="J870" s="64">
        <v>4.3</v>
      </c>
      <c r="K870" s="64">
        <v>0</v>
      </c>
      <c r="L870" s="64"/>
      <c r="M870" s="64"/>
      <c r="N870" s="34"/>
      <c r="O870" s="35"/>
    </row>
    <row r="871" spans="1:15" s="36" customFormat="1" ht="12" x14ac:dyDescent="0.2">
      <c r="A871" s="33"/>
      <c r="B871" s="69"/>
      <c r="C871" s="65"/>
      <c r="D871" s="65"/>
      <c r="E871" s="65"/>
      <c r="H871" s="33"/>
      <c r="I871" s="69">
        <v>42789</v>
      </c>
      <c r="J871" s="65">
        <v>4.3</v>
      </c>
      <c r="K871" s="65">
        <v>0</v>
      </c>
      <c r="L871" s="65"/>
      <c r="M871" s="65"/>
      <c r="N871" s="34"/>
      <c r="O871" s="35"/>
    </row>
    <row r="872" spans="1:15" s="36" customFormat="1" ht="12" x14ac:dyDescent="0.2">
      <c r="A872" s="33"/>
      <c r="B872" s="68"/>
      <c r="C872" s="64"/>
      <c r="D872" s="64"/>
      <c r="E872" s="64"/>
      <c r="H872" s="33"/>
      <c r="I872" s="68">
        <v>42790</v>
      </c>
      <c r="J872" s="64">
        <v>4.3</v>
      </c>
      <c r="K872" s="64">
        <v>0</v>
      </c>
      <c r="L872" s="64"/>
      <c r="M872" s="64"/>
      <c r="N872" s="34"/>
      <c r="O872" s="35"/>
    </row>
    <row r="873" spans="1:15" s="36" customFormat="1" ht="12" x14ac:dyDescent="0.2">
      <c r="A873" s="33"/>
      <c r="B873" s="69"/>
      <c r="C873" s="65"/>
      <c r="D873" s="65"/>
      <c r="E873" s="65"/>
      <c r="H873" s="33"/>
      <c r="I873" s="69">
        <v>42793</v>
      </c>
      <c r="J873" s="65">
        <v>4.3</v>
      </c>
      <c r="K873" s="65">
        <v>0</v>
      </c>
      <c r="L873" s="65"/>
      <c r="M873" s="65"/>
      <c r="N873" s="34"/>
      <c r="O873" s="35"/>
    </row>
    <row r="874" spans="1:15" s="36" customFormat="1" ht="12" x14ac:dyDescent="0.2">
      <c r="A874" s="33"/>
      <c r="B874" s="68"/>
      <c r="C874" s="64"/>
      <c r="D874" s="64"/>
      <c r="E874" s="64"/>
      <c r="H874" s="33"/>
      <c r="I874" s="68">
        <v>42794</v>
      </c>
      <c r="J874" s="64">
        <v>4.3</v>
      </c>
      <c r="K874" s="64">
        <v>0</v>
      </c>
      <c r="L874" s="64"/>
      <c r="M874" s="64"/>
      <c r="N874" s="34"/>
      <c r="O874" s="35"/>
    </row>
    <row r="875" spans="1:15" s="36" customFormat="1" ht="12" x14ac:dyDescent="0.2">
      <c r="A875" s="33"/>
      <c r="B875" s="69"/>
      <c r="C875" s="65"/>
      <c r="D875" s="65"/>
      <c r="E875" s="65"/>
      <c r="H875" s="33"/>
      <c r="I875" s="69">
        <v>42795</v>
      </c>
      <c r="J875" s="65">
        <v>4.3</v>
      </c>
      <c r="K875" s="65">
        <v>0</v>
      </c>
      <c r="L875" s="65"/>
      <c r="M875" s="65"/>
      <c r="N875" s="34"/>
      <c r="O875" s="35"/>
    </row>
    <row r="876" spans="1:15" s="36" customFormat="1" ht="12" x14ac:dyDescent="0.2">
      <c r="A876" s="33"/>
      <c r="B876" s="68"/>
      <c r="C876" s="64"/>
      <c r="D876" s="64"/>
      <c r="E876" s="64"/>
      <c r="H876" s="33"/>
      <c r="I876" s="68">
        <v>42796</v>
      </c>
      <c r="J876" s="64">
        <v>4.3</v>
      </c>
      <c r="K876" s="64">
        <v>0</v>
      </c>
      <c r="L876" s="64"/>
      <c r="M876" s="64"/>
      <c r="N876" s="34"/>
      <c r="O876" s="35"/>
    </row>
    <row r="877" spans="1:15" s="36" customFormat="1" ht="12" x14ac:dyDescent="0.2">
      <c r="A877" s="33"/>
      <c r="B877" s="69"/>
      <c r="C877" s="65"/>
      <c r="D877" s="65"/>
      <c r="E877" s="65"/>
      <c r="H877" s="33"/>
      <c r="I877" s="69">
        <v>42797</v>
      </c>
      <c r="J877" s="65">
        <v>4.3</v>
      </c>
      <c r="K877" s="65">
        <v>0</v>
      </c>
      <c r="L877" s="65"/>
      <c r="M877" s="65"/>
      <c r="N877" s="34"/>
      <c r="O877" s="35"/>
    </row>
    <row r="878" spans="1:15" s="36" customFormat="1" ht="12" x14ac:dyDescent="0.2">
      <c r="A878" s="33"/>
      <c r="B878" s="68"/>
      <c r="C878" s="64"/>
      <c r="D878" s="64"/>
      <c r="E878" s="64"/>
      <c r="H878" s="33"/>
      <c r="I878" s="68">
        <v>42800</v>
      </c>
      <c r="J878" s="64">
        <v>4.3</v>
      </c>
      <c r="K878" s="64">
        <v>0</v>
      </c>
      <c r="L878" s="64"/>
      <c r="M878" s="64"/>
      <c r="N878" s="34"/>
      <c r="O878" s="35"/>
    </row>
    <row r="879" spans="1:15" s="36" customFormat="1" ht="12" x14ac:dyDescent="0.2">
      <c r="A879" s="33"/>
      <c r="B879" s="69"/>
      <c r="C879" s="65"/>
      <c r="D879" s="65"/>
      <c r="E879" s="65"/>
      <c r="H879" s="33"/>
      <c r="I879" s="69">
        <v>42801</v>
      </c>
      <c r="J879" s="65">
        <v>4.3</v>
      </c>
      <c r="K879" s="65">
        <v>0</v>
      </c>
      <c r="L879" s="65"/>
      <c r="M879" s="65"/>
      <c r="N879" s="34"/>
      <c r="O879" s="35"/>
    </row>
    <row r="880" spans="1:15" s="36" customFormat="1" ht="12" x14ac:dyDescent="0.2">
      <c r="A880" s="33"/>
      <c r="B880" s="68"/>
      <c r="C880" s="64"/>
      <c r="D880" s="64"/>
      <c r="E880" s="64"/>
      <c r="H880" s="33"/>
      <c r="I880" s="68">
        <v>42802</v>
      </c>
      <c r="J880" s="64">
        <v>4.3</v>
      </c>
      <c r="K880" s="64">
        <v>0</v>
      </c>
      <c r="L880" s="64"/>
      <c r="M880" s="64"/>
      <c r="N880" s="34"/>
      <c r="O880" s="35"/>
    </row>
    <row r="881" spans="1:15" s="36" customFormat="1" ht="12" x14ac:dyDescent="0.2">
      <c r="A881" s="33"/>
      <c r="B881" s="69"/>
      <c r="C881" s="65"/>
      <c r="D881" s="65"/>
      <c r="E881" s="65"/>
      <c r="H881" s="33"/>
      <c r="I881" s="69">
        <v>42803</v>
      </c>
      <c r="J881" s="65">
        <v>4.3</v>
      </c>
      <c r="K881" s="65">
        <v>0</v>
      </c>
      <c r="L881" s="65"/>
      <c r="M881" s="65"/>
      <c r="N881" s="34"/>
      <c r="O881" s="35"/>
    </row>
    <row r="882" spans="1:15" s="36" customFormat="1" ht="12" x14ac:dyDescent="0.2">
      <c r="A882" s="33"/>
      <c r="B882" s="68"/>
      <c r="C882" s="64"/>
      <c r="D882" s="64"/>
      <c r="E882" s="64"/>
      <c r="H882" s="33"/>
      <c r="I882" s="68">
        <v>42804</v>
      </c>
      <c r="J882" s="64">
        <v>4.3</v>
      </c>
      <c r="K882" s="64">
        <v>0</v>
      </c>
      <c r="L882" s="64"/>
      <c r="M882" s="64"/>
      <c r="N882" s="34"/>
      <c r="O882" s="35"/>
    </row>
    <row r="883" spans="1:15" s="36" customFormat="1" ht="12" x14ac:dyDescent="0.2">
      <c r="A883" s="33"/>
      <c r="B883" s="69"/>
      <c r="C883" s="65"/>
      <c r="D883" s="65"/>
      <c r="E883" s="65"/>
      <c r="H883" s="33"/>
      <c r="I883" s="69">
        <v>42807</v>
      </c>
      <c r="J883" s="65">
        <v>4.3</v>
      </c>
      <c r="K883" s="65">
        <v>0</v>
      </c>
      <c r="L883" s="65"/>
      <c r="M883" s="65"/>
      <c r="N883" s="34"/>
      <c r="O883" s="35"/>
    </row>
    <row r="884" spans="1:15" s="36" customFormat="1" ht="12" x14ac:dyDescent="0.2">
      <c r="A884" s="33"/>
      <c r="B884" s="68"/>
      <c r="C884" s="64"/>
      <c r="D884" s="64"/>
      <c r="E884" s="64"/>
      <c r="H884" s="33"/>
      <c r="I884" s="68">
        <v>42808</v>
      </c>
      <c r="J884" s="64">
        <v>4.3</v>
      </c>
      <c r="K884" s="64">
        <v>0</v>
      </c>
      <c r="L884" s="64"/>
      <c r="M884" s="64"/>
      <c r="N884" s="34"/>
      <c r="O884" s="35"/>
    </row>
    <row r="885" spans="1:15" s="36" customFormat="1" ht="12" x14ac:dyDescent="0.2">
      <c r="A885" s="33"/>
      <c r="B885" s="69"/>
      <c r="C885" s="65"/>
      <c r="D885" s="65"/>
      <c r="E885" s="65"/>
      <c r="H885" s="33"/>
      <c r="I885" s="69">
        <v>42809</v>
      </c>
      <c r="J885" s="65">
        <v>4.3</v>
      </c>
      <c r="K885" s="65">
        <v>0</v>
      </c>
      <c r="L885" s="65"/>
      <c r="M885" s="65"/>
      <c r="N885" s="34"/>
      <c r="O885" s="35"/>
    </row>
    <row r="886" spans="1:15" s="36" customFormat="1" ht="12" x14ac:dyDescent="0.2">
      <c r="A886" s="33"/>
      <c r="B886" s="68"/>
      <c r="C886" s="64"/>
      <c r="D886" s="64"/>
      <c r="E886" s="64"/>
      <c r="H886" s="33"/>
      <c r="I886" s="68">
        <v>42810</v>
      </c>
      <c r="J886" s="64">
        <v>4.3</v>
      </c>
      <c r="K886" s="64">
        <v>0</v>
      </c>
      <c r="L886" s="64"/>
      <c r="M886" s="64"/>
      <c r="N886" s="34"/>
      <c r="O886" s="35"/>
    </row>
    <row r="887" spans="1:15" s="36" customFormat="1" ht="12" x14ac:dyDescent="0.2">
      <c r="A887" s="33"/>
      <c r="B887" s="69"/>
      <c r="C887" s="65"/>
      <c r="D887" s="65"/>
      <c r="E887" s="65"/>
      <c r="H887" s="33"/>
      <c r="I887" s="69">
        <v>42811</v>
      </c>
      <c r="J887" s="65">
        <v>4.3</v>
      </c>
      <c r="K887" s="65">
        <v>0</v>
      </c>
      <c r="L887" s="65"/>
      <c r="M887" s="65"/>
      <c r="N887" s="34"/>
      <c r="O887" s="35"/>
    </row>
    <row r="888" spans="1:15" s="36" customFormat="1" ht="12" x14ac:dyDescent="0.2">
      <c r="A888" s="33"/>
      <c r="B888" s="68"/>
      <c r="C888" s="64"/>
      <c r="D888" s="64"/>
      <c r="E888" s="64"/>
      <c r="H888" s="33"/>
      <c r="I888" s="68">
        <v>42814</v>
      </c>
      <c r="J888" s="64">
        <v>4.3</v>
      </c>
      <c r="K888" s="64">
        <v>0</v>
      </c>
      <c r="L888" s="64"/>
      <c r="M888" s="64"/>
      <c r="N888" s="34"/>
      <c r="O888" s="35"/>
    </row>
    <row r="889" spans="1:15" s="36" customFormat="1" ht="12" x14ac:dyDescent="0.2">
      <c r="A889" s="33"/>
      <c r="B889" s="69"/>
      <c r="C889" s="65"/>
      <c r="D889" s="65"/>
      <c r="E889" s="65"/>
      <c r="H889" s="33"/>
      <c r="I889" s="69">
        <v>42815</v>
      </c>
      <c r="J889" s="65">
        <v>4.3</v>
      </c>
      <c r="K889" s="65">
        <v>0</v>
      </c>
      <c r="L889" s="65"/>
      <c r="M889" s="65"/>
      <c r="N889" s="34"/>
      <c r="O889" s="35"/>
    </row>
    <row r="890" spans="1:15" s="36" customFormat="1" ht="12" x14ac:dyDescent="0.2">
      <c r="A890" s="33"/>
      <c r="B890" s="68"/>
      <c r="C890" s="64"/>
      <c r="D890" s="64"/>
      <c r="E890" s="64"/>
      <c r="H890" s="33"/>
      <c r="I890" s="68">
        <v>42816</v>
      </c>
      <c r="J890" s="64">
        <v>4.3</v>
      </c>
      <c r="K890" s="64">
        <v>0</v>
      </c>
      <c r="L890" s="64"/>
      <c r="M890" s="64"/>
      <c r="N890" s="34"/>
      <c r="O890" s="35"/>
    </row>
    <row r="891" spans="1:15" s="36" customFormat="1" ht="12" x14ac:dyDescent="0.2">
      <c r="A891" s="33"/>
      <c r="B891" s="69"/>
      <c r="C891" s="65"/>
      <c r="D891" s="65"/>
      <c r="E891" s="65"/>
      <c r="H891" s="33"/>
      <c r="I891" s="69">
        <v>42817</v>
      </c>
      <c r="J891" s="65">
        <v>4.3</v>
      </c>
      <c r="K891" s="65">
        <v>0</v>
      </c>
      <c r="L891" s="65"/>
      <c r="M891" s="65"/>
      <c r="N891" s="34"/>
      <c r="O891" s="35"/>
    </row>
    <row r="892" spans="1:15" s="36" customFormat="1" ht="12" x14ac:dyDescent="0.2">
      <c r="A892" s="33"/>
      <c r="B892" s="68"/>
      <c r="C892" s="64"/>
      <c r="D892" s="64"/>
      <c r="E892" s="64"/>
      <c r="H892" s="33"/>
      <c r="I892" s="68">
        <v>42818</v>
      </c>
      <c r="J892" s="64">
        <v>4.3</v>
      </c>
      <c r="K892" s="64">
        <v>0</v>
      </c>
      <c r="L892" s="64"/>
      <c r="M892" s="64"/>
      <c r="N892" s="34"/>
      <c r="O892" s="35"/>
    </row>
    <row r="893" spans="1:15" s="36" customFormat="1" ht="12" x14ac:dyDescent="0.2">
      <c r="A893" s="33"/>
      <c r="B893" s="69"/>
      <c r="C893" s="65"/>
      <c r="D893" s="65"/>
      <c r="E893" s="65"/>
      <c r="H893" s="33"/>
      <c r="I893" s="69">
        <v>42821</v>
      </c>
      <c r="J893" s="65">
        <v>4.3</v>
      </c>
      <c r="K893" s="65">
        <v>0</v>
      </c>
      <c r="L893" s="65"/>
      <c r="M893" s="65"/>
      <c r="N893" s="34"/>
      <c r="O893" s="35"/>
    </row>
    <row r="894" spans="1:15" s="36" customFormat="1" ht="12" x14ac:dyDescent="0.2">
      <c r="A894" s="33"/>
      <c r="B894" s="68"/>
      <c r="C894" s="64"/>
      <c r="D894" s="64"/>
      <c r="E894" s="64"/>
      <c r="H894" s="33"/>
      <c r="I894" s="68">
        <v>42822</v>
      </c>
      <c r="J894" s="64">
        <v>4.3</v>
      </c>
      <c r="K894" s="64">
        <v>0</v>
      </c>
      <c r="L894" s="64"/>
      <c r="M894" s="64"/>
      <c r="N894" s="34"/>
      <c r="O894" s="35"/>
    </row>
    <row r="895" spans="1:15" s="36" customFormat="1" ht="12" x14ac:dyDescent="0.2">
      <c r="A895" s="33"/>
      <c r="B895" s="69"/>
      <c r="C895" s="65"/>
      <c r="D895" s="65"/>
      <c r="E895" s="65"/>
      <c r="H895" s="33"/>
      <c r="I895" s="69">
        <v>42823</v>
      </c>
      <c r="J895" s="65">
        <v>4.3</v>
      </c>
      <c r="K895" s="65">
        <v>0</v>
      </c>
      <c r="L895" s="65"/>
      <c r="M895" s="65"/>
      <c r="N895" s="34"/>
      <c r="O895" s="35"/>
    </row>
    <row r="896" spans="1:15" s="36" customFormat="1" ht="12" x14ac:dyDescent="0.2">
      <c r="A896" s="33"/>
      <c r="B896" s="68"/>
      <c r="C896" s="64"/>
      <c r="D896" s="64"/>
      <c r="E896" s="64"/>
      <c r="H896" s="33"/>
      <c r="I896" s="68">
        <v>42824</v>
      </c>
      <c r="J896" s="64">
        <v>4.3</v>
      </c>
      <c r="K896" s="64">
        <v>0</v>
      </c>
      <c r="L896" s="64"/>
      <c r="M896" s="64"/>
      <c r="N896" s="34"/>
      <c r="O896" s="35"/>
    </row>
    <row r="897" spans="1:15" s="36" customFormat="1" ht="12" x14ac:dyDescent="0.2">
      <c r="A897" s="33"/>
      <c r="B897" s="69"/>
      <c r="C897" s="65"/>
      <c r="D897" s="65"/>
      <c r="E897" s="65"/>
      <c r="H897" s="33"/>
      <c r="I897" s="69">
        <v>42825</v>
      </c>
      <c r="J897" s="65">
        <v>4.3</v>
      </c>
      <c r="K897" s="65">
        <v>0</v>
      </c>
      <c r="L897" s="65"/>
      <c r="M897" s="65"/>
      <c r="N897" s="34"/>
      <c r="O897" s="35"/>
    </row>
    <row r="898" spans="1:15" s="36" customFormat="1" ht="12" x14ac:dyDescent="0.2">
      <c r="A898" s="33"/>
      <c r="B898" s="68"/>
      <c r="C898" s="64"/>
      <c r="D898" s="64"/>
      <c r="E898" s="64"/>
      <c r="F898" s="34"/>
      <c r="G898" s="34"/>
      <c r="H898" s="33"/>
      <c r="I898" s="68">
        <v>42826</v>
      </c>
      <c r="J898" s="64">
        <v>4.3</v>
      </c>
      <c r="K898" s="64">
        <v>0</v>
      </c>
      <c r="L898" s="64"/>
      <c r="M898" s="64"/>
      <c r="N898" s="34"/>
      <c r="O898" s="35"/>
    </row>
    <row r="899" spans="1:15" s="36" customFormat="1" ht="12" x14ac:dyDescent="0.2">
      <c r="A899" s="33"/>
      <c r="B899" s="69"/>
      <c r="C899" s="65"/>
      <c r="D899" s="65"/>
      <c r="E899" s="65"/>
      <c r="F899" s="34"/>
      <c r="G899" s="34"/>
      <c r="H899" s="33"/>
      <c r="I899" s="69">
        <v>42830</v>
      </c>
      <c r="J899" s="65">
        <v>4.3</v>
      </c>
      <c r="K899" s="65">
        <v>0</v>
      </c>
      <c r="L899" s="65"/>
      <c r="M899" s="65"/>
      <c r="N899" s="34"/>
      <c r="O899" s="35"/>
    </row>
    <row r="900" spans="1:15" s="36" customFormat="1" ht="12" x14ac:dyDescent="0.2">
      <c r="A900" s="33"/>
      <c r="B900" s="68"/>
      <c r="C900" s="64"/>
      <c r="D900" s="64"/>
      <c r="E900" s="64"/>
      <c r="F900" s="34"/>
      <c r="G900" s="34"/>
      <c r="H900" s="33"/>
      <c r="I900" s="68">
        <v>42831</v>
      </c>
      <c r="J900" s="64">
        <v>4.3</v>
      </c>
      <c r="K900" s="64">
        <v>0</v>
      </c>
      <c r="L900" s="64"/>
      <c r="M900" s="64"/>
      <c r="N900" s="34"/>
      <c r="O900" s="35"/>
    </row>
    <row r="901" spans="1:15" s="36" customFormat="1" ht="12" x14ac:dyDescent="0.2">
      <c r="A901" s="33"/>
      <c r="B901" s="69"/>
      <c r="C901" s="65"/>
      <c r="D901" s="65"/>
      <c r="E901" s="65"/>
      <c r="F901" s="34"/>
      <c r="G901" s="34"/>
      <c r="H901" s="33"/>
      <c r="I901" s="69">
        <v>42832</v>
      </c>
      <c r="J901" s="65">
        <v>4.3</v>
      </c>
      <c r="K901" s="65">
        <v>0</v>
      </c>
      <c r="L901" s="65"/>
      <c r="M901" s="65"/>
      <c r="N901" s="34"/>
      <c r="O901" s="35"/>
    </row>
    <row r="902" spans="1:15" s="36" customFormat="1" ht="12" x14ac:dyDescent="0.2">
      <c r="A902" s="33"/>
      <c r="B902" s="68"/>
      <c r="C902" s="64"/>
      <c r="D902" s="64"/>
      <c r="E902" s="64"/>
      <c r="F902" s="34"/>
      <c r="G902" s="34"/>
      <c r="H902" s="33"/>
      <c r="I902" s="68">
        <v>42835</v>
      </c>
      <c r="J902" s="64">
        <v>4.3</v>
      </c>
      <c r="K902" s="64">
        <v>0</v>
      </c>
      <c r="L902" s="64"/>
      <c r="M902" s="64"/>
      <c r="N902" s="34"/>
      <c r="O902" s="35"/>
    </row>
    <row r="903" spans="1:15" s="36" customFormat="1" ht="12" x14ac:dyDescent="0.2">
      <c r="A903" s="33"/>
      <c r="B903" s="69"/>
      <c r="C903" s="65"/>
      <c r="D903" s="65"/>
      <c r="E903" s="65"/>
      <c r="F903" s="34"/>
      <c r="G903" s="34"/>
      <c r="H903" s="33"/>
      <c r="I903" s="69">
        <v>42836</v>
      </c>
      <c r="J903" s="65">
        <v>4.3</v>
      </c>
      <c r="K903" s="65">
        <v>0</v>
      </c>
      <c r="L903" s="65"/>
      <c r="M903" s="65"/>
      <c r="N903" s="34"/>
      <c r="O903" s="35"/>
    </row>
    <row r="904" spans="1:15" s="36" customFormat="1" ht="12" x14ac:dyDescent="0.2">
      <c r="A904" s="33"/>
      <c r="B904" s="68"/>
      <c r="C904" s="64"/>
      <c r="D904" s="64"/>
      <c r="E904" s="64"/>
      <c r="F904" s="34"/>
      <c r="G904" s="34"/>
      <c r="H904" s="33"/>
      <c r="I904" s="68">
        <v>42837</v>
      </c>
      <c r="J904" s="64">
        <v>4.3</v>
      </c>
      <c r="K904" s="64">
        <v>0</v>
      </c>
      <c r="L904" s="64"/>
      <c r="M904" s="64"/>
      <c r="N904" s="34"/>
      <c r="O904" s="35"/>
    </row>
    <row r="905" spans="1:15" s="36" customFormat="1" ht="12" x14ac:dyDescent="0.2">
      <c r="A905" s="33"/>
      <c r="B905" s="69"/>
      <c r="C905" s="65"/>
      <c r="D905" s="65"/>
      <c r="E905" s="65"/>
      <c r="F905" s="34"/>
      <c r="G905" s="34"/>
      <c r="H905" s="33"/>
      <c r="I905" s="69">
        <v>42838</v>
      </c>
      <c r="J905" s="65">
        <v>4.3</v>
      </c>
      <c r="K905" s="65">
        <v>0</v>
      </c>
      <c r="L905" s="65"/>
      <c r="M905" s="65"/>
      <c r="N905" s="34"/>
      <c r="O905" s="35"/>
    </row>
    <row r="906" spans="1:15" s="36" customFormat="1" ht="12" x14ac:dyDescent="0.2">
      <c r="A906" s="33"/>
      <c r="B906" s="68"/>
      <c r="C906" s="64"/>
      <c r="D906" s="64"/>
      <c r="E906" s="64"/>
      <c r="F906" s="34"/>
      <c r="G906" s="34"/>
      <c r="H906" s="33"/>
      <c r="I906" s="68">
        <v>42839</v>
      </c>
      <c r="J906" s="64">
        <v>4.3</v>
      </c>
      <c r="K906" s="64">
        <v>0</v>
      </c>
      <c r="L906" s="64"/>
      <c r="M906" s="64"/>
      <c r="N906" s="34"/>
      <c r="O906" s="35"/>
    </row>
    <row r="907" spans="1:15" s="36" customFormat="1" ht="12" x14ac:dyDescent="0.2">
      <c r="A907" s="33"/>
      <c r="B907" s="69"/>
      <c r="C907" s="65"/>
      <c r="D907" s="65"/>
      <c r="E907" s="65"/>
      <c r="F907" s="34"/>
      <c r="G907" s="34"/>
      <c r="H907" s="33"/>
      <c r="I907" s="69">
        <v>42842</v>
      </c>
      <c r="J907" s="65">
        <v>4.3</v>
      </c>
      <c r="K907" s="65">
        <v>0</v>
      </c>
      <c r="L907" s="65"/>
      <c r="M907" s="65"/>
      <c r="N907" s="34"/>
      <c r="O907" s="35"/>
    </row>
    <row r="908" spans="1:15" s="36" customFormat="1" ht="12" x14ac:dyDescent="0.2">
      <c r="A908" s="33"/>
      <c r="B908" s="68"/>
      <c r="C908" s="64"/>
      <c r="D908" s="64"/>
      <c r="E908" s="64"/>
      <c r="F908" s="34"/>
      <c r="G908" s="34"/>
      <c r="H908" s="33"/>
      <c r="I908" s="68">
        <v>42843</v>
      </c>
      <c r="J908" s="64">
        <v>4.3</v>
      </c>
      <c r="K908" s="64">
        <v>0</v>
      </c>
      <c r="L908" s="64"/>
      <c r="M908" s="64"/>
      <c r="N908" s="34"/>
      <c r="O908" s="35"/>
    </row>
    <row r="909" spans="1:15" s="36" customFormat="1" ht="12" x14ac:dyDescent="0.2">
      <c r="A909" s="33"/>
      <c r="B909" s="69"/>
      <c r="C909" s="65"/>
      <c r="D909" s="65"/>
      <c r="E909" s="65"/>
      <c r="F909" s="34"/>
      <c r="G909" s="34"/>
      <c r="H909" s="33"/>
      <c r="I909" s="69">
        <v>42844</v>
      </c>
      <c r="J909" s="65">
        <v>4.3</v>
      </c>
      <c r="K909" s="65">
        <v>0</v>
      </c>
      <c r="L909" s="65"/>
      <c r="M909" s="65"/>
      <c r="N909" s="34"/>
      <c r="O909" s="35"/>
    </row>
    <row r="910" spans="1:15" s="36" customFormat="1" ht="12" x14ac:dyDescent="0.2">
      <c r="A910" s="33"/>
      <c r="B910" s="68"/>
      <c r="C910" s="64"/>
      <c r="D910" s="64"/>
      <c r="E910" s="64"/>
      <c r="F910" s="34"/>
      <c r="G910" s="34"/>
      <c r="H910" s="33"/>
      <c r="I910" s="68">
        <v>42845</v>
      </c>
      <c r="J910" s="64">
        <v>4.3</v>
      </c>
      <c r="K910" s="64">
        <v>0</v>
      </c>
      <c r="L910" s="64"/>
      <c r="M910" s="64"/>
      <c r="N910" s="34"/>
      <c r="O910" s="35"/>
    </row>
    <row r="911" spans="1:15" s="36" customFormat="1" ht="12" x14ac:dyDescent="0.2">
      <c r="A911" s="33"/>
      <c r="B911" s="69"/>
      <c r="C911" s="65"/>
      <c r="D911" s="65"/>
      <c r="E911" s="65"/>
      <c r="F911" s="34"/>
      <c r="G911" s="34"/>
      <c r="H911" s="33"/>
      <c r="I911" s="69">
        <v>42846</v>
      </c>
      <c r="J911" s="65">
        <v>4.3</v>
      </c>
      <c r="K911" s="65">
        <v>0</v>
      </c>
      <c r="L911" s="65"/>
      <c r="M911" s="65"/>
      <c r="N911" s="34"/>
      <c r="O911" s="35"/>
    </row>
    <row r="912" spans="1:15" s="36" customFormat="1" ht="12" x14ac:dyDescent="0.2">
      <c r="A912" s="33"/>
      <c r="B912" s="68"/>
      <c r="C912" s="64"/>
      <c r="D912" s="64"/>
      <c r="E912" s="64"/>
      <c r="F912" s="34"/>
      <c r="G912" s="34"/>
      <c r="H912" s="33"/>
      <c r="I912" s="68">
        <v>42849</v>
      </c>
      <c r="J912" s="64">
        <v>4.3</v>
      </c>
      <c r="K912" s="64">
        <v>0</v>
      </c>
      <c r="L912" s="64"/>
      <c r="M912" s="64"/>
      <c r="N912" s="34"/>
      <c r="O912" s="35"/>
    </row>
    <row r="913" spans="1:15" s="36" customFormat="1" ht="12" x14ac:dyDescent="0.2">
      <c r="A913" s="33"/>
      <c r="B913" s="69"/>
      <c r="C913" s="65"/>
      <c r="D913" s="65"/>
      <c r="E913" s="65"/>
      <c r="F913" s="34"/>
      <c r="G913" s="34"/>
      <c r="H913" s="33"/>
      <c r="I913" s="69">
        <v>42850</v>
      </c>
      <c r="J913" s="65">
        <v>4.3</v>
      </c>
      <c r="K913" s="65">
        <v>0</v>
      </c>
      <c r="L913" s="65"/>
      <c r="M913" s="65"/>
      <c r="N913" s="34"/>
      <c r="O913" s="35"/>
    </row>
    <row r="914" spans="1:15" s="36" customFormat="1" ht="12" x14ac:dyDescent="0.2">
      <c r="A914" s="33"/>
      <c r="B914" s="68"/>
      <c r="C914" s="64"/>
      <c r="D914" s="64"/>
      <c r="E914" s="64"/>
      <c r="F914" s="34"/>
      <c r="G914" s="34"/>
      <c r="H914" s="33"/>
      <c r="I914" s="68">
        <v>42851</v>
      </c>
      <c r="J914" s="64">
        <v>4.3</v>
      </c>
      <c r="K914" s="64">
        <v>0</v>
      </c>
      <c r="L914" s="64"/>
      <c r="M914" s="64"/>
      <c r="N914" s="34"/>
      <c r="O914" s="35"/>
    </row>
    <row r="915" spans="1:15" s="36" customFormat="1" ht="12" x14ac:dyDescent="0.2">
      <c r="A915" s="33"/>
      <c r="B915" s="69"/>
      <c r="C915" s="65"/>
      <c r="D915" s="65"/>
      <c r="E915" s="65"/>
      <c r="F915" s="34"/>
      <c r="G915" s="34"/>
      <c r="H915" s="33"/>
      <c r="I915" s="69">
        <v>42852</v>
      </c>
      <c r="J915" s="65">
        <v>4.3</v>
      </c>
      <c r="K915" s="65">
        <v>0</v>
      </c>
      <c r="L915" s="65"/>
      <c r="M915" s="65"/>
      <c r="N915" s="34"/>
      <c r="O915" s="35"/>
    </row>
    <row r="916" spans="1:15" s="36" customFormat="1" ht="12" x14ac:dyDescent="0.2">
      <c r="A916" s="33"/>
      <c r="B916" s="68"/>
      <c r="C916" s="64"/>
      <c r="D916" s="64"/>
      <c r="E916" s="64"/>
      <c r="F916" s="34"/>
      <c r="G916" s="34"/>
      <c r="H916" s="33"/>
      <c r="I916" s="68">
        <v>42853</v>
      </c>
      <c r="J916" s="64">
        <v>4.3</v>
      </c>
      <c r="K916" s="64">
        <v>0</v>
      </c>
      <c r="L916" s="64"/>
      <c r="M916" s="64"/>
      <c r="N916" s="34"/>
      <c r="O916" s="35"/>
    </row>
    <row r="917" spans="1:15" s="36" customFormat="1" ht="12" x14ac:dyDescent="0.2">
      <c r="A917" s="33"/>
      <c r="B917" s="69"/>
      <c r="C917" s="65"/>
      <c r="D917" s="65"/>
      <c r="E917" s="65"/>
      <c r="F917" s="34"/>
      <c r="G917" s="34"/>
      <c r="H917" s="33"/>
      <c r="I917" s="69">
        <v>42857</v>
      </c>
      <c r="J917" s="65">
        <v>4.3</v>
      </c>
      <c r="K917" s="65">
        <v>0</v>
      </c>
      <c r="L917" s="65"/>
      <c r="M917" s="65"/>
      <c r="N917" s="34"/>
      <c r="O917" s="35"/>
    </row>
    <row r="918" spans="1:15" s="36" customFormat="1" ht="12" x14ac:dyDescent="0.2">
      <c r="A918" s="33"/>
      <c r="B918" s="68"/>
      <c r="C918" s="64"/>
      <c r="D918" s="64"/>
      <c r="E918" s="64"/>
      <c r="F918" s="34"/>
      <c r="G918" s="34"/>
      <c r="H918" s="33"/>
      <c r="I918" s="68">
        <v>42858</v>
      </c>
      <c r="J918" s="64">
        <v>4.3</v>
      </c>
      <c r="K918" s="64">
        <v>0</v>
      </c>
      <c r="L918" s="64"/>
      <c r="M918" s="64"/>
      <c r="N918" s="34"/>
      <c r="O918" s="35"/>
    </row>
    <row r="919" spans="1:15" s="36" customFormat="1" ht="12" x14ac:dyDescent="0.2">
      <c r="A919" s="33"/>
      <c r="B919" s="69"/>
      <c r="C919" s="65"/>
      <c r="D919" s="65"/>
      <c r="E919" s="65"/>
      <c r="F919" s="34"/>
      <c r="G919" s="34"/>
      <c r="H919" s="33"/>
      <c r="I919" s="69">
        <v>42859</v>
      </c>
      <c r="J919" s="65">
        <v>4.3</v>
      </c>
      <c r="K919" s="65">
        <v>0</v>
      </c>
      <c r="L919" s="65"/>
      <c r="M919" s="65"/>
      <c r="N919" s="34"/>
      <c r="O919" s="35"/>
    </row>
    <row r="920" spans="1:15" s="36" customFormat="1" ht="12" x14ac:dyDescent="0.2">
      <c r="A920" s="33"/>
      <c r="B920" s="68"/>
      <c r="C920" s="64"/>
      <c r="D920" s="64"/>
      <c r="E920" s="64"/>
      <c r="F920" s="34"/>
      <c r="G920" s="34"/>
      <c r="H920" s="33"/>
      <c r="I920" s="68">
        <v>42860</v>
      </c>
      <c r="J920" s="64">
        <v>4.3</v>
      </c>
      <c r="K920" s="64">
        <v>0</v>
      </c>
      <c r="L920" s="64"/>
      <c r="M920" s="64"/>
      <c r="N920" s="34"/>
      <c r="O920" s="35"/>
    </row>
    <row r="921" spans="1:15" s="36" customFormat="1" ht="12" x14ac:dyDescent="0.2">
      <c r="A921" s="33"/>
      <c r="B921" s="69"/>
      <c r="C921" s="65"/>
      <c r="D921" s="65"/>
      <c r="E921" s="65"/>
      <c r="F921" s="34"/>
      <c r="G921" s="34"/>
      <c r="H921" s="33"/>
      <c r="I921" s="69">
        <v>42863</v>
      </c>
      <c r="J921" s="65">
        <v>4.3</v>
      </c>
      <c r="K921" s="65">
        <v>0</v>
      </c>
      <c r="L921" s="65"/>
      <c r="M921" s="65"/>
      <c r="N921" s="34"/>
      <c r="O921" s="35"/>
    </row>
    <row r="922" spans="1:15" s="36" customFormat="1" ht="12" x14ac:dyDescent="0.2">
      <c r="A922" s="33"/>
      <c r="B922" s="68"/>
      <c r="C922" s="64"/>
      <c r="D922" s="64"/>
      <c r="E922" s="64"/>
      <c r="F922" s="34"/>
      <c r="G922" s="34"/>
      <c r="H922" s="33"/>
      <c r="I922" s="68">
        <v>42864</v>
      </c>
      <c r="J922" s="64">
        <v>4.3</v>
      </c>
      <c r="K922" s="64">
        <v>0</v>
      </c>
      <c r="L922" s="64"/>
      <c r="M922" s="64"/>
      <c r="N922" s="34"/>
      <c r="O922" s="35"/>
    </row>
    <row r="923" spans="1:15" s="36" customFormat="1" ht="12" x14ac:dyDescent="0.2">
      <c r="A923" s="33"/>
      <c r="B923" s="69"/>
      <c r="C923" s="65"/>
      <c r="D923" s="65"/>
      <c r="E923" s="65"/>
      <c r="F923" s="34"/>
      <c r="G923" s="34"/>
      <c r="H923" s="33"/>
      <c r="I923" s="69">
        <v>42865</v>
      </c>
      <c r="J923" s="65">
        <v>4.3</v>
      </c>
      <c r="K923" s="65">
        <v>0</v>
      </c>
      <c r="L923" s="65"/>
      <c r="M923" s="65"/>
      <c r="N923" s="34"/>
      <c r="O923" s="35"/>
    </row>
    <row r="924" spans="1:15" s="36" customFormat="1" ht="12" x14ac:dyDescent="0.2">
      <c r="A924" s="33"/>
      <c r="B924" s="68"/>
      <c r="C924" s="64"/>
      <c r="D924" s="64"/>
      <c r="E924" s="64"/>
      <c r="F924" s="34"/>
      <c r="G924" s="34"/>
      <c r="H924" s="33"/>
      <c r="I924" s="68">
        <v>42866</v>
      </c>
      <c r="J924" s="64">
        <v>4.3</v>
      </c>
      <c r="K924" s="64">
        <v>0</v>
      </c>
      <c r="L924" s="64"/>
      <c r="M924" s="64"/>
      <c r="N924" s="34"/>
      <c r="O924" s="35"/>
    </row>
    <row r="925" spans="1:15" s="36" customFormat="1" ht="12" x14ac:dyDescent="0.2">
      <c r="A925" s="33"/>
      <c r="B925" s="69"/>
      <c r="C925" s="65"/>
      <c r="D925" s="65"/>
      <c r="E925" s="65"/>
      <c r="F925" s="34"/>
      <c r="G925" s="34"/>
      <c r="H925" s="33"/>
      <c r="I925" s="69">
        <v>42867</v>
      </c>
      <c r="J925" s="65">
        <v>4.3</v>
      </c>
      <c r="K925" s="65">
        <v>0</v>
      </c>
      <c r="L925" s="65"/>
      <c r="M925" s="65"/>
      <c r="N925" s="34"/>
      <c r="O925" s="35"/>
    </row>
    <row r="926" spans="1:15" s="36" customFormat="1" ht="12" x14ac:dyDescent="0.2">
      <c r="A926" s="33"/>
      <c r="B926" s="68"/>
      <c r="C926" s="64"/>
      <c r="D926" s="64"/>
      <c r="E926" s="64"/>
      <c r="F926" s="34"/>
      <c r="G926" s="34"/>
      <c r="H926" s="33"/>
      <c r="I926" s="68">
        <v>42870</v>
      </c>
      <c r="J926" s="64">
        <v>4.3</v>
      </c>
      <c r="K926" s="64">
        <v>0</v>
      </c>
      <c r="L926" s="64"/>
      <c r="M926" s="64"/>
      <c r="N926" s="34"/>
      <c r="O926" s="35"/>
    </row>
    <row r="927" spans="1:15" s="36" customFormat="1" ht="12" x14ac:dyDescent="0.2">
      <c r="A927" s="33"/>
      <c r="B927" s="69"/>
      <c r="C927" s="65"/>
      <c r="D927" s="65"/>
      <c r="E927" s="65"/>
      <c r="F927" s="34"/>
      <c r="G927" s="34"/>
      <c r="H927" s="33"/>
      <c r="I927" s="69">
        <v>42871</v>
      </c>
      <c r="J927" s="65">
        <v>4.3</v>
      </c>
      <c r="K927" s="65">
        <v>0</v>
      </c>
      <c r="L927" s="65"/>
      <c r="M927" s="65"/>
      <c r="N927" s="34"/>
      <c r="O927" s="35"/>
    </row>
    <row r="928" spans="1:15" s="36" customFormat="1" ht="12" x14ac:dyDescent="0.2">
      <c r="A928" s="33"/>
      <c r="B928" s="68"/>
      <c r="C928" s="64"/>
      <c r="D928" s="64"/>
      <c r="E928" s="64"/>
      <c r="F928" s="34"/>
      <c r="G928" s="34"/>
      <c r="H928" s="33"/>
      <c r="I928" s="68">
        <v>42872</v>
      </c>
      <c r="J928" s="64">
        <v>4.3</v>
      </c>
      <c r="K928" s="64">
        <v>0</v>
      </c>
      <c r="L928" s="64"/>
      <c r="M928" s="64"/>
      <c r="N928" s="34"/>
      <c r="O928" s="35"/>
    </row>
    <row r="929" spans="1:15" s="36" customFormat="1" ht="12" x14ac:dyDescent="0.2">
      <c r="A929" s="33"/>
      <c r="B929" s="69"/>
      <c r="C929" s="65"/>
      <c r="D929" s="65"/>
      <c r="E929" s="65"/>
      <c r="F929" s="34"/>
      <c r="G929" s="34"/>
      <c r="H929" s="33"/>
      <c r="I929" s="69">
        <v>42873</v>
      </c>
      <c r="J929" s="65">
        <v>4.3</v>
      </c>
      <c r="K929" s="65">
        <v>0</v>
      </c>
      <c r="L929" s="65"/>
      <c r="M929" s="65"/>
      <c r="N929" s="34"/>
      <c r="O929" s="35"/>
    </row>
    <row r="930" spans="1:15" s="36" customFormat="1" ht="12" x14ac:dyDescent="0.2">
      <c r="A930" s="33"/>
      <c r="B930" s="68"/>
      <c r="C930" s="64"/>
      <c r="D930" s="64"/>
      <c r="E930" s="64"/>
      <c r="F930" s="34"/>
      <c r="G930" s="34"/>
      <c r="H930" s="33"/>
      <c r="I930" s="68">
        <v>42874</v>
      </c>
      <c r="J930" s="64">
        <v>4.3</v>
      </c>
      <c r="K930" s="64">
        <v>0</v>
      </c>
      <c r="L930" s="64"/>
      <c r="M930" s="64"/>
      <c r="N930" s="34"/>
      <c r="O930" s="35"/>
    </row>
    <row r="931" spans="1:15" s="36" customFormat="1" ht="12" x14ac:dyDescent="0.2">
      <c r="A931" s="33"/>
      <c r="B931" s="69"/>
      <c r="C931" s="65"/>
      <c r="D931" s="65"/>
      <c r="E931" s="65"/>
      <c r="F931" s="34"/>
      <c r="G931" s="34"/>
      <c r="H931" s="33"/>
      <c r="I931" s="69">
        <v>42877</v>
      </c>
      <c r="J931" s="65">
        <v>4.3</v>
      </c>
      <c r="K931" s="65">
        <v>0</v>
      </c>
      <c r="L931" s="65"/>
      <c r="M931" s="65"/>
      <c r="N931" s="34"/>
      <c r="O931" s="35"/>
    </row>
    <row r="932" spans="1:15" s="36" customFormat="1" ht="12" x14ac:dyDescent="0.2">
      <c r="A932" s="33"/>
      <c r="B932" s="68"/>
      <c r="C932" s="64"/>
      <c r="D932" s="64"/>
      <c r="E932" s="64"/>
      <c r="F932" s="34"/>
      <c r="G932" s="34"/>
      <c r="H932" s="33"/>
      <c r="I932" s="68">
        <v>42878</v>
      </c>
      <c r="J932" s="64">
        <v>4.3</v>
      </c>
      <c r="K932" s="64">
        <v>0</v>
      </c>
      <c r="L932" s="64"/>
      <c r="M932" s="64"/>
      <c r="N932" s="34"/>
      <c r="O932" s="35"/>
    </row>
    <row r="933" spans="1:15" s="36" customFormat="1" ht="12" x14ac:dyDescent="0.2">
      <c r="A933" s="33"/>
      <c r="B933" s="69"/>
      <c r="C933" s="65"/>
      <c r="D933" s="65"/>
      <c r="E933" s="65"/>
      <c r="F933" s="34"/>
      <c r="G933" s="34"/>
      <c r="H933" s="33"/>
      <c r="I933" s="69">
        <v>42879</v>
      </c>
      <c r="J933" s="65">
        <v>4.3</v>
      </c>
      <c r="K933" s="65">
        <v>0</v>
      </c>
      <c r="L933" s="65"/>
      <c r="M933" s="65"/>
      <c r="N933" s="34"/>
      <c r="O933" s="35"/>
    </row>
    <row r="934" spans="1:15" s="36" customFormat="1" ht="12" x14ac:dyDescent="0.2">
      <c r="A934" s="33"/>
      <c r="B934" s="68"/>
      <c r="C934" s="64"/>
      <c r="D934" s="64"/>
      <c r="E934" s="64"/>
      <c r="F934" s="34"/>
      <c r="G934" s="34"/>
      <c r="H934" s="33"/>
      <c r="I934" s="68">
        <v>42880</v>
      </c>
      <c r="J934" s="64">
        <v>4.3</v>
      </c>
      <c r="K934" s="64">
        <v>0</v>
      </c>
      <c r="L934" s="64"/>
      <c r="M934" s="64"/>
      <c r="N934" s="34"/>
      <c r="O934" s="35"/>
    </row>
    <row r="935" spans="1:15" s="36" customFormat="1" ht="12" x14ac:dyDescent="0.2">
      <c r="A935" s="33"/>
      <c r="B935" s="69"/>
      <c r="C935" s="65"/>
      <c r="D935" s="65"/>
      <c r="E935" s="65"/>
      <c r="F935" s="34"/>
      <c r="G935" s="34"/>
      <c r="H935" s="33"/>
      <c r="I935" s="69">
        <v>42881</v>
      </c>
      <c r="J935" s="65">
        <v>4.3</v>
      </c>
      <c r="K935" s="65">
        <v>0</v>
      </c>
      <c r="L935" s="65"/>
      <c r="M935" s="65"/>
      <c r="N935" s="34"/>
      <c r="O935" s="35"/>
    </row>
    <row r="936" spans="1:15" s="36" customFormat="1" ht="12" x14ac:dyDescent="0.2">
      <c r="A936" s="33"/>
      <c r="B936" s="68"/>
      <c r="C936" s="64"/>
      <c r="D936" s="64"/>
      <c r="E936" s="64"/>
      <c r="F936" s="34"/>
      <c r="G936" s="34"/>
      <c r="H936" s="33"/>
      <c r="I936" s="68">
        <v>42882</v>
      </c>
      <c r="J936" s="64">
        <v>4.3</v>
      </c>
      <c r="K936" s="64">
        <v>0</v>
      </c>
      <c r="L936" s="64"/>
      <c r="M936" s="64"/>
      <c r="N936" s="34"/>
      <c r="O936" s="35"/>
    </row>
    <row r="937" spans="1:15" s="36" customFormat="1" ht="12" x14ac:dyDescent="0.2">
      <c r="A937" s="33"/>
      <c r="B937" s="69"/>
      <c r="C937" s="65"/>
      <c r="D937" s="65"/>
      <c r="E937" s="65"/>
      <c r="F937" s="34"/>
      <c r="G937" s="34"/>
      <c r="H937" s="33"/>
      <c r="I937" s="69">
        <v>42886</v>
      </c>
      <c r="J937" s="65">
        <v>4.3</v>
      </c>
      <c r="K937" s="65">
        <v>0</v>
      </c>
      <c r="L937" s="65"/>
      <c r="M937" s="65"/>
      <c r="N937" s="34"/>
      <c r="O937" s="35"/>
    </row>
    <row r="938" spans="1:15" s="36" customFormat="1" ht="12" x14ac:dyDescent="0.2">
      <c r="A938" s="33"/>
      <c r="B938" s="68"/>
      <c r="C938" s="64"/>
      <c r="D938" s="64"/>
      <c r="E938" s="64"/>
      <c r="F938" s="34"/>
      <c r="G938" s="34"/>
      <c r="H938" s="33"/>
      <c r="I938" s="68">
        <v>42887</v>
      </c>
      <c r="J938" s="64">
        <v>4.3</v>
      </c>
      <c r="K938" s="64">
        <v>0</v>
      </c>
      <c r="L938" s="64"/>
      <c r="M938" s="64"/>
      <c r="N938" s="34"/>
      <c r="O938" s="35"/>
    </row>
    <row r="939" spans="1:15" s="36" customFormat="1" ht="12" x14ac:dyDescent="0.2">
      <c r="A939" s="33"/>
      <c r="B939" s="69"/>
      <c r="C939" s="65"/>
      <c r="D939" s="65"/>
      <c r="E939" s="65"/>
      <c r="F939" s="34"/>
      <c r="G939" s="34"/>
      <c r="H939" s="33"/>
      <c r="I939" s="69">
        <v>42888</v>
      </c>
      <c r="J939" s="65">
        <v>4.3</v>
      </c>
      <c r="K939" s="65">
        <v>0</v>
      </c>
      <c r="L939" s="65"/>
      <c r="M939" s="65"/>
      <c r="N939" s="34"/>
      <c r="O939" s="35"/>
    </row>
    <row r="940" spans="1:15" s="36" customFormat="1" ht="12" x14ac:dyDescent="0.2">
      <c r="A940" s="33"/>
      <c r="B940" s="68"/>
      <c r="C940" s="64"/>
      <c r="D940" s="64"/>
      <c r="E940" s="64"/>
      <c r="F940" s="34"/>
      <c r="G940" s="34"/>
      <c r="H940" s="33"/>
      <c r="I940" s="68">
        <v>42891</v>
      </c>
      <c r="J940" s="64">
        <v>4.3</v>
      </c>
      <c r="K940" s="64">
        <v>0</v>
      </c>
      <c r="L940" s="64"/>
      <c r="M940" s="64"/>
      <c r="N940" s="34"/>
      <c r="O940" s="35"/>
    </row>
    <row r="941" spans="1:15" s="36" customFormat="1" ht="12" x14ac:dyDescent="0.2">
      <c r="A941" s="33"/>
      <c r="B941" s="69"/>
      <c r="C941" s="65"/>
      <c r="D941" s="65"/>
      <c r="E941" s="65"/>
      <c r="F941" s="34"/>
      <c r="G941" s="34"/>
      <c r="H941" s="33"/>
      <c r="I941" s="69">
        <v>42892</v>
      </c>
      <c r="J941" s="65">
        <v>4.3</v>
      </c>
      <c r="K941" s="65">
        <v>0</v>
      </c>
      <c r="L941" s="65"/>
      <c r="M941" s="65"/>
      <c r="N941" s="34"/>
      <c r="O941" s="35"/>
    </row>
    <row r="942" spans="1:15" s="36" customFormat="1" ht="12" x14ac:dyDescent="0.2">
      <c r="A942" s="33"/>
      <c r="B942" s="68"/>
      <c r="C942" s="64"/>
      <c r="D942" s="64"/>
      <c r="E942" s="64"/>
      <c r="F942" s="34"/>
      <c r="G942" s="34"/>
      <c r="H942" s="33"/>
      <c r="I942" s="68">
        <v>42893</v>
      </c>
      <c r="J942" s="64">
        <v>4.3</v>
      </c>
      <c r="K942" s="64">
        <v>0</v>
      </c>
      <c r="L942" s="64"/>
      <c r="M942" s="64"/>
      <c r="N942" s="34"/>
      <c r="O942" s="35"/>
    </row>
    <row r="943" spans="1:15" s="36" customFormat="1" ht="12" x14ac:dyDescent="0.2">
      <c r="A943" s="33"/>
      <c r="B943" s="69"/>
      <c r="C943" s="65"/>
      <c r="D943" s="65"/>
      <c r="E943" s="65"/>
      <c r="F943" s="34"/>
      <c r="G943" s="34"/>
      <c r="H943" s="33"/>
      <c r="I943" s="69">
        <v>42894</v>
      </c>
      <c r="J943" s="65">
        <v>4.3</v>
      </c>
      <c r="K943" s="65">
        <v>0</v>
      </c>
      <c r="L943" s="65"/>
      <c r="M943" s="65"/>
      <c r="N943" s="34"/>
      <c r="O943" s="35"/>
    </row>
    <row r="944" spans="1:15" s="36" customFormat="1" ht="12" x14ac:dyDescent="0.2">
      <c r="A944" s="33"/>
      <c r="B944" s="68"/>
      <c r="C944" s="64"/>
      <c r="D944" s="64"/>
      <c r="E944" s="64"/>
      <c r="F944" s="34"/>
      <c r="G944" s="34"/>
      <c r="H944" s="33"/>
      <c r="I944" s="68">
        <v>42895</v>
      </c>
      <c r="J944" s="64">
        <v>4.3</v>
      </c>
      <c r="K944" s="64">
        <v>0</v>
      </c>
      <c r="L944" s="64"/>
      <c r="M944" s="64"/>
      <c r="N944" s="34"/>
      <c r="O944" s="35"/>
    </row>
    <row r="945" spans="1:15" s="36" customFormat="1" ht="12" x14ac:dyDescent="0.2">
      <c r="A945" s="33"/>
      <c r="B945" s="69"/>
      <c r="C945" s="65"/>
      <c r="D945" s="65"/>
      <c r="E945" s="65"/>
      <c r="F945" s="34"/>
      <c r="G945" s="34"/>
      <c r="H945" s="33"/>
      <c r="I945" s="69">
        <v>42898</v>
      </c>
      <c r="J945" s="65">
        <v>4.3</v>
      </c>
      <c r="K945" s="65">
        <v>0</v>
      </c>
      <c r="L945" s="65"/>
      <c r="M945" s="65"/>
      <c r="N945" s="34"/>
      <c r="O945" s="35"/>
    </row>
    <row r="946" spans="1:15" s="36" customFormat="1" ht="12" x14ac:dyDescent="0.2">
      <c r="A946" s="33"/>
      <c r="B946" s="68"/>
      <c r="C946" s="64"/>
      <c r="D946" s="64"/>
      <c r="E946" s="64"/>
      <c r="F946" s="34"/>
      <c r="G946" s="34"/>
      <c r="H946" s="33"/>
      <c r="I946" s="68">
        <v>42899</v>
      </c>
      <c r="J946" s="64">
        <v>4.3</v>
      </c>
      <c r="K946" s="64">
        <v>0</v>
      </c>
      <c r="L946" s="64"/>
      <c r="M946" s="64"/>
      <c r="N946" s="34"/>
      <c r="O946" s="35"/>
    </row>
    <row r="947" spans="1:15" s="36" customFormat="1" ht="12" x14ac:dyDescent="0.2">
      <c r="A947" s="33"/>
      <c r="B947" s="69"/>
      <c r="C947" s="65"/>
      <c r="D947" s="65"/>
      <c r="E947" s="65"/>
      <c r="F947" s="34"/>
      <c r="G947" s="34"/>
      <c r="H947" s="33"/>
      <c r="I947" s="69">
        <v>42900</v>
      </c>
      <c r="J947" s="65">
        <v>4.3</v>
      </c>
      <c r="K947" s="65">
        <v>0</v>
      </c>
      <c r="L947" s="65"/>
      <c r="M947" s="65"/>
      <c r="N947" s="34"/>
      <c r="O947" s="35"/>
    </row>
    <row r="948" spans="1:15" s="36" customFormat="1" ht="12" x14ac:dyDescent="0.2">
      <c r="A948" s="33"/>
      <c r="B948" s="68"/>
      <c r="C948" s="64"/>
      <c r="D948" s="64"/>
      <c r="E948" s="64"/>
      <c r="F948" s="34"/>
      <c r="G948" s="34"/>
      <c r="H948" s="33"/>
      <c r="I948" s="68">
        <v>42901</v>
      </c>
      <c r="J948" s="64">
        <v>4.3</v>
      </c>
      <c r="K948" s="64">
        <v>0</v>
      </c>
      <c r="L948" s="64"/>
      <c r="M948" s="64"/>
      <c r="N948" s="34"/>
      <c r="O948" s="35"/>
    </row>
    <row r="949" spans="1:15" s="36" customFormat="1" ht="12" x14ac:dyDescent="0.2">
      <c r="A949" s="33"/>
      <c r="B949" s="69"/>
      <c r="C949" s="65"/>
      <c r="D949" s="65"/>
      <c r="E949" s="65"/>
      <c r="F949" s="34"/>
      <c r="G949" s="34"/>
      <c r="H949" s="33"/>
      <c r="I949" s="69">
        <v>42902</v>
      </c>
      <c r="J949" s="65">
        <v>4.3</v>
      </c>
      <c r="K949" s="65">
        <v>0</v>
      </c>
      <c r="L949" s="65"/>
      <c r="M949" s="65"/>
      <c r="N949" s="34"/>
      <c r="O949" s="35"/>
    </row>
    <row r="950" spans="1:15" s="36" customFormat="1" ht="12" x14ac:dyDescent="0.2">
      <c r="A950" s="33"/>
      <c r="B950" s="68"/>
      <c r="C950" s="64"/>
      <c r="D950" s="64"/>
      <c r="E950" s="64"/>
      <c r="F950" s="34"/>
      <c r="G950" s="34"/>
      <c r="H950" s="33"/>
      <c r="I950" s="68">
        <v>42905</v>
      </c>
      <c r="J950" s="64">
        <v>4.3</v>
      </c>
      <c r="K950" s="64">
        <v>0</v>
      </c>
      <c r="L950" s="64"/>
      <c r="M950" s="64"/>
      <c r="N950" s="34"/>
      <c r="O950" s="35"/>
    </row>
    <row r="951" spans="1:15" s="36" customFormat="1" ht="12" x14ac:dyDescent="0.2">
      <c r="A951" s="33"/>
      <c r="B951" s="69"/>
      <c r="C951" s="65"/>
      <c r="D951" s="65"/>
      <c r="E951" s="65"/>
      <c r="F951" s="34"/>
      <c r="G951" s="34"/>
      <c r="H951" s="33"/>
      <c r="I951" s="69">
        <v>42906</v>
      </c>
      <c r="J951" s="65">
        <v>4.3</v>
      </c>
      <c r="K951" s="65">
        <v>0</v>
      </c>
      <c r="L951" s="65"/>
      <c r="M951" s="65"/>
      <c r="N951" s="34"/>
      <c r="O951" s="35"/>
    </row>
    <row r="952" spans="1:15" s="36" customFormat="1" ht="12" x14ac:dyDescent="0.2">
      <c r="A952" s="33"/>
      <c r="B952" s="68"/>
      <c r="C952" s="64"/>
      <c r="D952" s="64"/>
      <c r="E952" s="64"/>
      <c r="F952" s="34"/>
      <c r="G952" s="34"/>
      <c r="H952" s="33"/>
      <c r="I952" s="68">
        <v>42907</v>
      </c>
      <c r="J952" s="64">
        <v>4.3</v>
      </c>
      <c r="K952" s="64">
        <v>0</v>
      </c>
      <c r="L952" s="64"/>
      <c r="M952" s="64"/>
      <c r="N952" s="34"/>
      <c r="O952" s="35"/>
    </row>
    <row r="953" spans="1:15" s="36" customFormat="1" ht="12" x14ac:dyDescent="0.2">
      <c r="A953" s="33"/>
      <c r="B953" s="69"/>
      <c r="C953" s="65"/>
      <c r="D953" s="65"/>
      <c r="E953" s="65"/>
      <c r="F953" s="34"/>
      <c r="G953" s="34"/>
      <c r="H953" s="33"/>
      <c r="I953" s="69">
        <v>42908</v>
      </c>
      <c r="J953" s="65">
        <v>4.3</v>
      </c>
      <c r="K953" s="65">
        <v>0</v>
      </c>
      <c r="L953" s="65"/>
      <c r="M953" s="65"/>
      <c r="N953" s="34"/>
      <c r="O953" s="35"/>
    </row>
    <row r="954" spans="1:15" s="36" customFormat="1" ht="12" x14ac:dyDescent="0.2">
      <c r="A954" s="33"/>
      <c r="B954" s="68"/>
      <c r="C954" s="64"/>
      <c r="D954" s="64"/>
      <c r="E954" s="64"/>
      <c r="F954" s="34"/>
      <c r="G954" s="34"/>
      <c r="H954" s="33"/>
      <c r="I954" s="68">
        <v>42909</v>
      </c>
      <c r="J954" s="64">
        <v>4.3</v>
      </c>
      <c r="K954" s="64">
        <v>0</v>
      </c>
      <c r="L954" s="64"/>
      <c r="M954" s="64"/>
      <c r="N954" s="34"/>
      <c r="O954" s="35"/>
    </row>
    <row r="955" spans="1:15" s="36" customFormat="1" ht="12" x14ac:dyDescent="0.2">
      <c r="A955" s="33"/>
      <c r="B955" s="69"/>
      <c r="C955" s="65"/>
      <c r="D955" s="65"/>
      <c r="E955" s="65"/>
      <c r="F955" s="34"/>
      <c r="G955" s="34"/>
      <c r="H955" s="33"/>
      <c r="I955" s="69">
        <v>42912</v>
      </c>
      <c r="J955" s="65">
        <v>4.3</v>
      </c>
      <c r="K955" s="65">
        <v>0</v>
      </c>
      <c r="L955" s="65"/>
      <c r="M955" s="65"/>
      <c r="N955" s="34"/>
      <c r="O955" s="35"/>
    </row>
    <row r="956" spans="1:15" s="36" customFormat="1" ht="12" x14ac:dyDescent="0.2">
      <c r="A956" s="33"/>
      <c r="B956" s="68"/>
      <c r="C956" s="64"/>
      <c r="D956" s="64"/>
      <c r="E956" s="64"/>
      <c r="F956" s="34"/>
      <c r="G956" s="34"/>
      <c r="H956" s="33"/>
      <c r="I956" s="68">
        <v>42913</v>
      </c>
      <c r="J956" s="64">
        <v>4.3</v>
      </c>
      <c r="K956" s="64">
        <v>0</v>
      </c>
      <c r="L956" s="64"/>
      <c r="M956" s="64"/>
      <c r="N956" s="34"/>
      <c r="O956" s="35"/>
    </row>
    <row r="957" spans="1:15" s="36" customFormat="1" ht="12" x14ac:dyDescent="0.2">
      <c r="A957" s="33"/>
      <c r="B957" s="69"/>
      <c r="C957" s="65"/>
      <c r="D957" s="65"/>
      <c r="E957" s="65"/>
      <c r="F957" s="34"/>
      <c r="G957" s="34"/>
      <c r="H957" s="33"/>
      <c r="I957" s="69">
        <v>42914</v>
      </c>
      <c r="J957" s="65">
        <v>4.3</v>
      </c>
      <c r="K957" s="65">
        <v>0</v>
      </c>
      <c r="L957" s="65"/>
      <c r="M957" s="65"/>
      <c r="N957" s="34"/>
      <c r="O957" s="35"/>
    </row>
    <row r="958" spans="1:15" s="36" customFormat="1" ht="12" x14ac:dyDescent="0.2">
      <c r="A958" s="33"/>
      <c r="B958" s="68"/>
      <c r="C958" s="64"/>
      <c r="D958" s="64"/>
      <c r="E958" s="64"/>
      <c r="F958" s="34"/>
      <c r="G958" s="34"/>
      <c r="H958" s="33"/>
      <c r="I958" s="68">
        <v>42915</v>
      </c>
      <c r="J958" s="64">
        <v>4.3</v>
      </c>
      <c r="K958" s="64">
        <v>0</v>
      </c>
      <c r="L958" s="64"/>
      <c r="M958" s="64"/>
      <c r="N958" s="34"/>
      <c r="O958" s="35"/>
    </row>
    <row r="959" spans="1:15" s="36" customFormat="1" ht="12" x14ac:dyDescent="0.2">
      <c r="A959" s="33"/>
      <c r="B959" s="69"/>
      <c r="C959" s="65"/>
      <c r="D959" s="65"/>
      <c r="E959" s="65"/>
      <c r="F959" s="34"/>
      <c r="G959" s="34"/>
      <c r="H959" s="33"/>
      <c r="I959" s="69">
        <v>42916</v>
      </c>
      <c r="J959" s="65">
        <v>4.3</v>
      </c>
      <c r="K959" s="65">
        <v>0</v>
      </c>
      <c r="L959" s="65"/>
      <c r="M959" s="65"/>
      <c r="N959" s="34"/>
      <c r="O959" s="35"/>
    </row>
    <row r="960" spans="1:15" s="36" customFormat="1" ht="12" x14ac:dyDescent="0.2">
      <c r="A960" s="33"/>
      <c r="B960" s="68"/>
      <c r="C960" s="64"/>
      <c r="D960" s="64"/>
      <c r="E960" s="64"/>
      <c r="F960" s="34"/>
      <c r="G960" s="34"/>
      <c r="H960" s="33"/>
      <c r="I960" s="68">
        <v>42919</v>
      </c>
      <c r="J960" s="64">
        <v>4.3</v>
      </c>
      <c r="K960" s="64">
        <v>0</v>
      </c>
      <c r="L960" s="64"/>
      <c r="M960" s="64"/>
      <c r="N960" s="34"/>
      <c r="O960" s="35"/>
    </row>
    <row r="961" spans="1:15" s="36" customFormat="1" ht="12" x14ac:dyDescent="0.2">
      <c r="A961" s="33"/>
      <c r="B961" s="69"/>
      <c r="C961" s="65"/>
      <c r="D961" s="65"/>
      <c r="E961" s="65"/>
      <c r="F961" s="34"/>
      <c r="G961" s="34"/>
      <c r="H961" s="33"/>
      <c r="I961" s="69">
        <v>42920</v>
      </c>
      <c r="J961" s="65">
        <v>4.3</v>
      </c>
      <c r="K961" s="65">
        <v>0</v>
      </c>
      <c r="L961" s="65"/>
      <c r="M961" s="65"/>
      <c r="N961" s="34"/>
      <c r="O961" s="35"/>
    </row>
    <row r="962" spans="1:15" s="36" customFormat="1" ht="12" x14ac:dyDescent="0.2">
      <c r="A962" s="33"/>
      <c r="B962" s="68"/>
      <c r="C962" s="64"/>
      <c r="D962" s="64"/>
      <c r="E962" s="64"/>
      <c r="F962" s="34"/>
      <c r="G962" s="34"/>
      <c r="H962" s="33"/>
      <c r="I962" s="68">
        <v>42921</v>
      </c>
      <c r="J962" s="64">
        <v>4.3</v>
      </c>
      <c r="K962" s="64">
        <v>0</v>
      </c>
      <c r="L962" s="64"/>
      <c r="M962" s="64"/>
      <c r="N962" s="34"/>
      <c r="O962" s="35"/>
    </row>
    <row r="963" spans="1:15" s="36" customFormat="1" ht="12" x14ac:dyDescent="0.2">
      <c r="A963" s="33"/>
      <c r="B963" s="69"/>
      <c r="C963" s="65"/>
      <c r="D963" s="65"/>
      <c r="E963" s="65"/>
      <c r="F963" s="34"/>
      <c r="G963" s="34"/>
      <c r="H963" s="33"/>
      <c r="I963" s="69">
        <v>42922</v>
      </c>
      <c r="J963" s="65">
        <v>4.3</v>
      </c>
      <c r="K963" s="65">
        <v>0</v>
      </c>
      <c r="L963" s="65"/>
      <c r="M963" s="65"/>
      <c r="N963" s="34"/>
      <c r="O963" s="35"/>
    </row>
    <row r="964" spans="1:15" s="36" customFormat="1" ht="12" x14ac:dyDescent="0.2">
      <c r="A964" s="33"/>
      <c r="B964" s="68"/>
      <c r="C964" s="64"/>
      <c r="D964" s="64"/>
      <c r="E964" s="64"/>
      <c r="F964" s="34"/>
      <c r="G964" s="34"/>
      <c r="H964" s="33"/>
      <c r="I964" s="68">
        <v>42923</v>
      </c>
      <c r="J964" s="64">
        <v>4.3</v>
      </c>
      <c r="K964" s="64">
        <v>0</v>
      </c>
      <c r="L964" s="64"/>
      <c r="M964" s="64"/>
      <c r="N964" s="34"/>
      <c r="O964" s="35"/>
    </row>
    <row r="965" spans="1:15" s="36" customFormat="1" ht="12" x14ac:dyDescent="0.2">
      <c r="A965" s="33"/>
      <c r="B965" s="69"/>
      <c r="C965" s="65"/>
      <c r="D965" s="65"/>
      <c r="E965" s="65"/>
      <c r="F965" s="34"/>
      <c r="G965" s="34"/>
      <c r="H965" s="33"/>
      <c r="I965" s="69">
        <v>42926</v>
      </c>
      <c r="J965" s="65">
        <v>4.3</v>
      </c>
      <c r="K965" s="65">
        <v>0</v>
      </c>
      <c r="L965" s="65"/>
      <c r="M965" s="65"/>
      <c r="N965" s="34"/>
      <c r="O965" s="35"/>
    </row>
    <row r="966" spans="1:15" s="36" customFormat="1" ht="12" x14ac:dyDescent="0.2">
      <c r="A966" s="33"/>
      <c r="B966" s="68"/>
      <c r="C966" s="64"/>
      <c r="D966" s="64"/>
      <c r="E966" s="64"/>
      <c r="F966" s="34"/>
      <c r="G966" s="34"/>
      <c r="H966" s="33"/>
      <c r="I966" s="68">
        <v>42927</v>
      </c>
      <c r="J966" s="64">
        <v>4.3</v>
      </c>
      <c r="K966" s="64">
        <v>0</v>
      </c>
      <c r="L966" s="64"/>
      <c r="M966" s="64"/>
      <c r="N966" s="34"/>
      <c r="O966" s="35"/>
    </row>
    <row r="967" spans="1:15" s="36" customFormat="1" ht="12" x14ac:dyDescent="0.2">
      <c r="A967" s="33"/>
      <c r="B967" s="69"/>
      <c r="C967" s="65"/>
      <c r="D967" s="65"/>
      <c r="E967" s="65"/>
      <c r="F967" s="34"/>
      <c r="G967" s="34"/>
      <c r="H967" s="33"/>
      <c r="I967" s="69">
        <v>42928</v>
      </c>
      <c r="J967" s="65">
        <v>4.3</v>
      </c>
      <c r="K967" s="65">
        <v>0</v>
      </c>
      <c r="L967" s="65"/>
      <c r="M967" s="65"/>
      <c r="N967" s="34"/>
      <c r="O967" s="35"/>
    </row>
    <row r="968" spans="1:15" s="36" customFormat="1" ht="12" x14ac:dyDescent="0.2">
      <c r="A968" s="33"/>
      <c r="B968" s="68"/>
      <c r="C968" s="64"/>
      <c r="D968" s="64"/>
      <c r="E968" s="64"/>
      <c r="F968" s="34"/>
      <c r="G968" s="34"/>
      <c r="H968" s="33"/>
      <c r="I968" s="68">
        <v>42929</v>
      </c>
      <c r="J968" s="64">
        <v>4.3</v>
      </c>
      <c r="K968" s="64">
        <v>0</v>
      </c>
      <c r="L968" s="64"/>
      <c r="M968" s="64"/>
      <c r="N968" s="34"/>
      <c r="O968" s="35"/>
    </row>
    <row r="969" spans="1:15" s="36" customFormat="1" ht="12" x14ac:dyDescent="0.2">
      <c r="A969" s="33"/>
      <c r="B969" s="69"/>
      <c r="C969" s="65"/>
      <c r="D969" s="65"/>
      <c r="E969" s="65"/>
      <c r="F969" s="34"/>
      <c r="G969" s="34"/>
      <c r="H969" s="33"/>
      <c r="I969" s="69">
        <v>42930</v>
      </c>
      <c r="J969" s="65">
        <v>4.3</v>
      </c>
      <c r="K969" s="65">
        <v>0</v>
      </c>
      <c r="L969" s="65"/>
      <c r="M969" s="65"/>
      <c r="N969" s="34"/>
      <c r="O969" s="35"/>
    </row>
    <row r="970" spans="1:15" s="36" customFormat="1" ht="12" x14ac:dyDescent="0.2">
      <c r="A970" s="33"/>
      <c r="B970" s="68"/>
      <c r="C970" s="64"/>
      <c r="D970" s="64"/>
      <c r="E970" s="64"/>
      <c r="F970" s="34"/>
      <c r="G970" s="34"/>
      <c r="H970" s="33"/>
      <c r="I970" s="68">
        <v>42933</v>
      </c>
      <c r="J970" s="64">
        <v>4.3</v>
      </c>
      <c r="K970" s="64">
        <v>0</v>
      </c>
      <c r="L970" s="64"/>
      <c r="M970" s="64"/>
      <c r="N970" s="34"/>
      <c r="O970" s="35"/>
    </row>
    <row r="971" spans="1:15" s="36" customFormat="1" ht="12" x14ac:dyDescent="0.2">
      <c r="A971" s="33"/>
      <c r="B971" s="69"/>
      <c r="C971" s="65"/>
      <c r="D971" s="65"/>
      <c r="E971" s="65"/>
      <c r="F971" s="34"/>
      <c r="G971" s="34"/>
      <c r="H971" s="33"/>
      <c r="I971" s="69">
        <v>42934</v>
      </c>
      <c r="J971" s="65">
        <v>4.3</v>
      </c>
      <c r="K971" s="65">
        <v>0</v>
      </c>
      <c r="L971" s="65"/>
      <c r="M971" s="65"/>
      <c r="N971" s="34"/>
      <c r="O971" s="35"/>
    </row>
    <row r="972" spans="1:15" s="36" customFormat="1" ht="12" x14ac:dyDescent="0.2">
      <c r="A972" s="33"/>
      <c r="B972" s="68"/>
      <c r="C972" s="64"/>
      <c r="D972" s="64"/>
      <c r="E972" s="64"/>
      <c r="F972" s="34"/>
      <c r="G972" s="34"/>
      <c r="H972" s="33"/>
      <c r="I972" s="68">
        <v>42935</v>
      </c>
      <c r="J972" s="64">
        <v>4.3</v>
      </c>
      <c r="K972" s="64">
        <v>0</v>
      </c>
      <c r="L972" s="64"/>
      <c r="M972" s="64"/>
      <c r="N972" s="34"/>
      <c r="O972" s="35"/>
    </row>
    <row r="973" spans="1:15" s="36" customFormat="1" ht="12" x14ac:dyDescent="0.2">
      <c r="A973" s="33"/>
      <c r="B973" s="69"/>
      <c r="C973" s="65"/>
      <c r="D973" s="65"/>
      <c r="E973" s="65"/>
      <c r="F973" s="34"/>
      <c r="G973" s="34"/>
      <c r="H973" s="33"/>
      <c r="I973" s="69">
        <v>42936</v>
      </c>
      <c r="J973" s="65">
        <v>4.3</v>
      </c>
      <c r="K973" s="65">
        <v>0</v>
      </c>
      <c r="L973" s="65"/>
      <c r="M973" s="65"/>
      <c r="N973" s="34"/>
      <c r="O973" s="35"/>
    </row>
    <row r="974" spans="1:15" s="36" customFormat="1" ht="12" x14ac:dyDescent="0.2">
      <c r="A974" s="33"/>
      <c r="B974" s="68"/>
      <c r="C974" s="64"/>
      <c r="D974" s="64"/>
      <c r="E974" s="64"/>
      <c r="F974" s="34"/>
      <c r="G974" s="34"/>
      <c r="H974" s="33"/>
      <c r="I974" s="68">
        <v>42937</v>
      </c>
      <c r="J974" s="64">
        <v>4.3</v>
      </c>
      <c r="K974" s="64">
        <v>0</v>
      </c>
      <c r="L974" s="64"/>
      <c r="M974" s="64"/>
      <c r="N974" s="34"/>
      <c r="O974" s="35"/>
    </row>
    <row r="975" spans="1:15" s="36" customFormat="1" ht="12" x14ac:dyDescent="0.2">
      <c r="A975" s="33"/>
      <c r="B975" s="69"/>
      <c r="C975" s="65"/>
      <c r="D975" s="65"/>
      <c r="E975" s="65"/>
      <c r="F975" s="34"/>
      <c r="G975" s="34"/>
      <c r="H975" s="33"/>
      <c r="I975" s="69">
        <v>42940</v>
      </c>
      <c r="J975" s="65">
        <v>4.3</v>
      </c>
      <c r="K975" s="65">
        <v>0</v>
      </c>
      <c r="L975" s="65"/>
      <c r="M975" s="65"/>
      <c r="N975" s="34"/>
      <c r="O975" s="35"/>
    </row>
    <row r="976" spans="1:15" s="36" customFormat="1" ht="12" x14ac:dyDescent="0.2">
      <c r="A976" s="33"/>
      <c r="B976" s="68"/>
      <c r="C976" s="64"/>
      <c r="D976" s="64"/>
      <c r="E976" s="64"/>
      <c r="F976" s="34"/>
      <c r="G976" s="34"/>
      <c r="H976" s="33"/>
      <c r="I976" s="68">
        <v>42941</v>
      </c>
      <c r="J976" s="64">
        <v>4.3</v>
      </c>
      <c r="K976" s="64">
        <v>0</v>
      </c>
      <c r="L976" s="64"/>
      <c r="M976" s="64"/>
      <c r="N976" s="34"/>
      <c r="O976" s="35"/>
    </row>
    <row r="977" spans="1:15" s="36" customFormat="1" ht="12" x14ac:dyDescent="0.2">
      <c r="A977" s="33"/>
      <c r="B977" s="69"/>
      <c r="C977" s="65"/>
      <c r="D977" s="65"/>
      <c r="E977" s="65"/>
      <c r="F977" s="34"/>
      <c r="G977" s="34"/>
      <c r="H977" s="33"/>
      <c r="I977" s="69">
        <v>42942</v>
      </c>
      <c r="J977" s="65">
        <v>4.3</v>
      </c>
      <c r="K977" s="65">
        <v>0</v>
      </c>
      <c r="L977" s="65"/>
      <c r="M977" s="65"/>
      <c r="N977" s="34"/>
      <c r="O977" s="35"/>
    </row>
    <row r="978" spans="1:15" s="36" customFormat="1" ht="12" x14ac:dyDescent="0.2">
      <c r="A978" s="33"/>
      <c r="B978" s="68"/>
      <c r="C978" s="64"/>
      <c r="D978" s="64"/>
      <c r="E978" s="64"/>
      <c r="F978" s="34"/>
      <c r="G978" s="34"/>
      <c r="H978" s="33"/>
      <c r="I978" s="68">
        <v>42943</v>
      </c>
      <c r="J978" s="64">
        <v>4.3</v>
      </c>
      <c r="K978" s="64">
        <v>0</v>
      </c>
      <c r="L978" s="64"/>
      <c r="M978" s="64"/>
      <c r="N978" s="34"/>
      <c r="O978" s="35"/>
    </row>
    <row r="979" spans="1:15" s="36" customFormat="1" ht="12" x14ac:dyDescent="0.2">
      <c r="A979" s="33"/>
      <c r="B979" s="69"/>
      <c r="C979" s="65"/>
      <c r="D979" s="65"/>
      <c r="E979" s="65"/>
      <c r="F979" s="34"/>
      <c r="G979" s="34"/>
      <c r="H979" s="33"/>
      <c r="I979" s="69">
        <v>42944</v>
      </c>
      <c r="J979" s="65">
        <v>4.3</v>
      </c>
      <c r="K979" s="65">
        <v>0</v>
      </c>
      <c r="L979" s="65"/>
      <c r="M979" s="65"/>
      <c r="N979" s="34"/>
      <c r="O979" s="35"/>
    </row>
    <row r="980" spans="1:15" s="36" customFormat="1" ht="12" x14ac:dyDescent="0.2">
      <c r="A980" s="33"/>
      <c r="B980" s="68"/>
      <c r="C980" s="64"/>
      <c r="D980" s="64"/>
      <c r="E980" s="64"/>
      <c r="F980" s="34"/>
      <c r="G980" s="34"/>
      <c r="H980" s="33"/>
      <c r="I980" s="68">
        <v>42947</v>
      </c>
      <c r="J980" s="64">
        <v>4.3</v>
      </c>
      <c r="K980" s="64">
        <v>0</v>
      </c>
      <c r="L980" s="64"/>
      <c r="M980" s="64"/>
      <c r="N980" s="34"/>
      <c r="O980" s="35"/>
    </row>
    <row r="981" spans="1:15" s="36" customFormat="1" ht="12" x14ac:dyDescent="0.2">
      <c r="A981" s="33"/>
      <c r="B981" s="69"/>
      <c r="C981" s="65"/>
      <c r="D981" s="65"/>
      <c r="E981" s="65"/>
      <c r="F981" s="34"/>
      <c r="G981" s="34"/>
      <c r="H981" s="33"/>
      <c r="I981" s="69">
        <v>42948</v>
      </c>
      <c r="J981" s="65">
        <v>4.3</v>
      </c>
      <c r="K981" s="65">
        <v>0</v>
      </c>
      <c r="L981" s="65"/>
      <c r="M981" s="65"/>
      <c r="N981" s="34"/>
      <c r="O981" s="35"/>
    </row>
    <row r="982" spans="1:15" s="36" customFormat="1" ht="12" x14ac:dyDescent="0.2">
      <c r="A982" s="33"/>
      <c r="B982" s="68"/>
      <c r="C982" s="64"/>
      <c r="D982" s="64"/>
      <c r="E982" s="64"/>
      <c r="F982" s="34"/>
      <c r="G982" s="34"/>
      <c r="H982" s="33"/>
      <c r="I982" s="68">
        <v>42949</v>
      </c>
      <c r="J982" s="64">
        <v>4.3</v>
      </c>
      <c r="K982" s="64">
        <v>0</v>
      </c>
      <c r="L982" s="64"/>
      <c r="M982" s="64"/>
      <c r="N982" s="34"/>
      <c r="O982" s="35"/>
    </row>
    <row r="983" spans="1:15" s="36" customFormat="1" ht="12" x14ac:dyDescent="0.2">
      <c r="A983" s="33"/>
      <c r="B983" s="69"/>
      <c r="C983" s="65"/>
      <c r="D983" s="65"/>
      <c r="E983" s="65"/>
      <c r="F983" s="34"/>
      <c r="G983" s="34"/>
      <c r="H983" s="33"/>
      <c r="I983" s="69">
        <v>42950</v>
      </c>
      <c r="J983" s="65">
        <v>4.3</v>
      </c>
      <c r="K983" s="65">
        <v>0</v>
      </c>
      <c r="L983" s="65"/>
      <c r="M983" s="65"/>
      <c r="N983" s="34"/>
      <c r="O983" s="35"/>
    </row>
    <row r="984" spans="1:15" s="36" customFormat="1" ht="12" x14ac:dyDescent="0.2">
      <c r="A984" s="33"/>
      <c r="B984" s="68"/>
      <c r="C984" s="64"/>
      <c r="D984" s="64"/>
      <c r="E984" s="64"/>
      <c r="F984" s="34"/>
      <c r="G984" s="34"/>
      <c r="H984" s="33"/>
      <c r="I984" s="68">
        <v>42951</v>
      </c>
      <c r="J984" s="64">
        <v>4.3</v>
      </c>
      <c r="K984" s="64">
        <v>0</v>
      </c>
      <c r="L984" s="64"/>
      <c r="M984" s="64"/>
      <c r="N984" s="34"/>
      <c r="O984" s="35"/>
    </row>
    <row r="985" spans="1:15" s="36" customFormat="1" ht="12" x14ac:dyDescent="0.2">
      <c r="A985" s="33"/>
      <c r="B985" s="69"/>
      <c r="C985" s="65"/>
      <c r="D985" s="65"/>
      <c r="E985" s="65"/>
      <c r="F985" s="34"/>
      <c r="G985" s="34"/>
      <c r="H985" s="33"/>
      <c r="I985" s="69">
        <v>42954</v>
      </c>
      <c r="J985" s="65">
        <v>4.3</v>
      </c>
      <c r="K985" s="65">
        <v>0</v>
      </c>
      <c r="L985" s="65"/>
      <c r="M985" s="65"/>
      <c r="N985" s="34"/>
      <c r="O985" s="35"/>
    </row>
    <row r="986" spans="1:15" s="36" customFormat="1" ht="12" x14ac:dyDescent="0.2">
      <c r="A986" s="33"/>
      <c r="B986" s="68"/>
      <c r="C986" s="64"/>
      <c r="D986" s="64"/>
      <c r="E986" s="64"/>
      <c r="F986" s="34"/>
      <c r="G986" s="34"/>
      <c r="H986" s="33"/>
      <c r="I986" s="68">
        <v>42955</v>
      </c>
      <c r="J986" s="64">
        <v>4.3</v>
      </c>
      <c r="K986" s="64">
        <v>0</v>
      </c>
      <c r="L986" s="64"/>
      <c r="M986" s="64"/>
      <c r="N986" s="34"/>
      <c r="O986" s="35"/>
    </row>
    <row r="987" spans="1:15" s="36" customFormat="1" ht="12" x14ac:dyDescent="0.2">
      <c r="A987" s="33"/>
      <c r="B987" s="69"/>
      <c r="C987" s="65"/>
      <c r="D987" s="65"/>
      <c r="E987" s="65"/>
      <c r="F987" s="34"/>
      <c r="G987" s="34"/>
      <c r="H987" s="33"/>
      <c r="I987" s="69">
        <v>42956</v>
      </c>
      <c r="J987" s="65">
        <v>4.3</v>
      </c>
      <c r="K987" s="65">
        <v>0</v>
      </c>
      <c r="L987" s="65"/>
      <c r="M987" s="65"/>
      <c r="N987" s="34"/>
      <c r="O987" s="35"/>
    </row>
    <row r="988" spans="1:15" s="36" customFormat="1" ht="12" x14ac:dyDescent="0.2">
      <c r="A988" s="33"/>
      <c r="B988" s="68"/>
      <c r="C988" s="64"/>
      <c r="D988" s="64"/>
      <c r="E988" s="64"/>
      <c r="F988" s="34"/>
      <c r="G988" s="34"/>
      <c r="H988" s="33"/>
      <c r="I988" s="68">
        <v>42957</v>
      </c>
      <c r="J988" s="64">
        <v>4.3</v>
      </c>
      <c r="K988" s="64">
        <v>0</v>
      </c>
      <c r="L988" s="64"/>
      <c r="M988" s="64"/>
      <c r="N988" s="34"/>
      <c r="O988" s="35"/>
    </row>
    <row r="989" spans="1:15" s="36" customFormat="1" ht="12" x14ac:dyDescent="0.2">
      <c r="A989" s="33"/>
      <c r="B989" s="69"/>
      <c r="C989" s="65"/>
      <c r="D989" s="65"/>
      <c r="E989" s="65"/>
      <c r="F989" s="34"/>
      <c r="G989" s="34"/>
      <c r="H989" s="33"/>
      <c r="I989" s="69">
        <v>42958</v>
      </c>
      <c r="J989" s="65">
        <v>4.3</v>
      </c>
      <c r="K989" s="65">
        <v>0</v>
      </c>
      <c r="L989" s="65"/>
      <c r="M989" s="65"/>
      <c r="N989" s="34"/>
      <c r="O989" s="35"/>
    </row>
    <row r="990" spans="1:15" s="36" customFormat="1" ht="12" x14ac:dyDescent="0.2">
      <c r="A990" s="33"/>
      <c r="B990" s="68"/>
      <c r="C990" s="64"/>
      <c r="D990" s="64"/>
      <c r="E990" s="64"/>
      <c r="F990" s="34"/>
      <c r="G990" s="34"/>
      <c r="H990" s="33"/>
      <c r="I990" s="68">
        <v>42961</v>
      </c>
      <c r="J990" s="64">
        <v>4.3</v>
      </c>
      <c r="K990" s="64">
        <v>0</v>
      </c>
      <c r="L990" s="64"/>
      <c r="M990" s="64"/>
      <c r="N990" s="34"/>
      <c r="O990" s="35"/>
    </row>
    <row r="991" spans="1:15" s="36" customFormat="1" ht="12" x14ac:dyDescent="0.2">
      <c r="A991" s="33"/>
      <c r="B991" s="69"/>
      <c r="C991" s="65"/>
      <c r="D991" s="65"/>
      <c r="E991" s="65"/>
      <c r="F991" s="34"/>
      <c r="G991" s="34"/>
      <c r="H991" s="33"/>
      <c r="I991" s="69">
        <v>42962</v>
      </c>
      <c r="J991" s="65">
        <v>4.3</v>
      </c>
      <c r="K991" s="65">
        <v>0</v>
      </c>
      <c r="L991" s="65"/>
      <c r="M991" s="65"/>
      <c r="N991" s="34"/>
      <c r="O991" s="35"/>
    </row>
    <row r="992" spans="1:15" s="36" customFormat="1" ht="12" x14ac:dyDescent="0.2">
      <c r="A992" s="33"/>
      <c r="B992" s="68"/>
      <c r="C992" s="64"/>
      <c r="D992" s="64"/>
      <c r="E992" s="64"/>
      <c r="F992" s="34"/>
      <c r="G992" s="34"/>
      <c r="H992" s="33"/>
      <c r="I992" s="68">
        <v>42963</v>
      </c>
      <c r="J992" s="64">
        <v>4.3</v>
      </c>
      <c r="K992" s="64">
        <v>0</v>
      </c>
      <c r="L992" s="64"/>
      <c r="M992" s="64"/>
      <c r="N992" s="34"/>
      <c r="O992" s="35"/>
    </row>
    <row r="993" spans="1:15" s="36" customFormat="1" ht="12" x14ac:dyDescent="0.2">
      <c r="A993" s="33"/>
      <c r="B993" s="69"/>
      <c r="C993" s="65"/>
      <c r="D993" s="65"/>
      <c r="E993" s="65"/>
      <c r="F993" s="34"/>
      <c r="G993" s="34"/>
      <c r="H993" s="33"/>
      <c r="I993" s="69">
        <v>42964</v>
      </c>
      <c r="J993" s="65">
        <v>4.3</v>
      </c>
      <c r="K993" s="65">
        <v>0</v>
      </c>
      <c r="L993" s="65"/>
      <c r="M993" s="65"/>
      <c r="N993" s="34"/>
      <c r="O993" s="35"/>
    </row>
    <row r="994" spans="1:15" s="36" customFormat="1" ht="12" x14ac:dyDescent="0.2">
      <c r="A994" s="33"/>
      <c r="B994" s="68"/>
      <c r="C994" s="64"/>
      <c r="D994" s="64"/>
      <c r="E994" s="64"/>
      <c r="F994" s="34"/>
      <c r="G994" s="34"/>
      <c r="H994" s="33"/>
      <c r="I994" s="68">
        <v>42965</v>
      </c>
      <c r="J994" s="64">
        <v>4.3</v>
      </c>
      <c r="K994" s="64">
        <v>0</v>
      </c>
      <c r="L994" s="64"/>
      <c r="M994" s="64"/>
      <c r="N994" s="34"/>
      <c r="O994" s="35"/>
    </row>
    <row r="995" spans="1:15" s="36" customFormat="1" ht="12" x14ac:dyDescent="0.2">
      <c r="A995" s="33"/>
      <c r="B995" s="69"/>
      <c r="C995" s="65"/>
      <c r="D995" s="65"/>
      <c r="E995" s="65"/>
      <c r="F995" s="34"/>
      <c r="G995" s="34"/>
      <c r="H995" s="33"/>
      <c r="I995" s="69">
        <v>42968</v>
      </c>
      <c r="J995" s="65">
        <v>4.3</v>
      </c>
      <c r="K995" s="65">
        <v>0</v>
      </c>
      <c r="L995" s="65"/>
      <c r="M995" s="65"/>
      <c r="N995" s="34"/>
      <c r="O995" s="35"/>
    </row>
    <row r="996" spans="1:15" s="36" customFormat="1" ht="12" x14ac:dyDescent="0.2">
      <c r="A996" s="33"/>
      <c r="B996" s="68"/>
      <c r="C996" s="64"/>
      <c r="D996" s="64"/>
      <c r="E996" s="64"/>
      <c r="F996" s="34"/>
      <c r="G996" s="34"/>
      <c r="H996" s="33"/>
      <c r="I996" s="68">
        <v>42969</v>
      </c>
      <c r="J996" s="64">
        <v>4.3</v>
      </c>
      <c r="K996" s="64">
        <v>0</v>
      </c>
      <c r="L996" s="64"/>
      <c r="M996" s="64"/>
      <c r="N996" s="34"/>
      <c r="O996" s="35"/>
    </row>
    <row r="997" spans="1:15" s="36" customFormat="1" ht="12" x14ac:dyDescent="0.2">
      <c r="A997" s="33"/>
      <c r="B997" s="69"/>
      <c r="C997" s="65"/>
      <c r="D997" s="65"/>
      <c r="E997" s="65"/>
      <c r="F997" s="34"/>
      <c r="G997" s="34"/>
      <c r="H997" s="33"/>
      <c r="I997" s="69">
        <v>42970</v>
      </c>
      <c r="J997" s="65">
        <v>4.3</v>
      </c>
      <c r="K997" s="65">
        <v>0</v>
      </c>
      <c r="L997" s="65"/>
      <c r="M997" s="65"/>
      <c r="N997" s="34"/>
      <c r="O997" s="35"/>
    </row>
    <row r="998" spans="1:15" s="36" customFormat="1" ht="12" x14ac:dyDescent="0.2">
      <c r="A998" s="33"/>
      <c r="B998" s="68"/>
      <c r="C998" s="64"/>
      <c r="D998" s="64"/>
      <c r="E998" s="64"/>
      <c r="F998" s="34"/>
      <c r="G998" s="34"/>
      <c r="H998" s="33"/>
      <c r="I998" s="68">
        <v>42971</v>
      </c>
      <c r="J998" s="64">
        <v>4.3</v>
      </c>
      <c r="K998" s="64">
        <v>0</v>
      </c>
      <c r="L998" s="64"/>
      <c r="M998" s="64"/>
      <c r="N998" s="34"/>
      <c r="O998" s="35"/>
    </row>
    <row r="999" spans="1:15" s="36" customFormat="1" ht="12" x14ac:dyDescent="0.2">
      <c r="A999" s="33"/>
      <c r="B999" s="69"/>
      <c r="C999" s="65"/>
      <c r="D999" s="65"/>
      <c r="E999" s="65"/>
      <c r="F999" s="34"/>
      <c r="G999" s="34"/>
      <c r="H999" s="33"/>
      <c r="I999" s="69">
        <v>42972</v>
      </c>
      <c r="J999" s="65">
        <v>4.3</v>
      </c>
      <c r="K999" s="65">
        <v>0</v>
      </c>
      <c r="L999" s="65"/>
      <c r="M999" s="65"/>
      <c r="N999" s="34"/>
      <c r="O999" s="35"/>
    </row>
    <row r="1000" spans="1:15" s="36" customFormat="1" ht="12" x14ac:dyDescent="0.2">
      <c r="A1000" s="33"/>
      <c r="B1000" s="68"/>
      <c r="C1000" s="64"/>
      <c r="D1000" s="64"/>
      <c r="E1000" s="64"/>
      <c r="F1000" s="34"/>
      <c r="G1000" s="34"/>
      <c r="H1000" s="33"/>
      <c r="I1000" s="68">
        <v>42975</v>
      </c>
      <c r="J1000" s="64">
        <v>4.3</v>
      </c>
      <c r="K1000" s="64">
        <v>0</v>
      </c>
      <c r="L1000" s="64"/>
      <c r="M1000" s="64"/>
      <c r="N1000" s="34"/>
      <c r="O1000" s="35"/>
    </row>
    <row r="1001" spans="1:15" s="36" customFormat="1" ht="12" x14ac:dyDescent="0.2">
      <c r="A1001" s="33"/>
      <c r="B1001" s="69"/>
      <c r="C1001" s="65"/>
      <c r="D1001" s="65"/>
      <c r="E1001" s="65"/>
      <c r="F1001" s="34"/>
      <c r="G1001" s="34"/>
      <c r="H1001" s="33"/>
      <c r="I1001" s="69">
        <v>42976</v>
      </c>
      <c r="J1001" s="65">
        <v>4.3</v>
      </c>
      <c r="K1001" s="65">
        <v>0</v>
      </c>
      <c r="L1001" s="65"/>
      <c r="M1001" s="65"/>
      <c r="N1001" s="34"/>
      <c r="O1001" s="35"/>
    </row>
    <row r="1002" spans="1:15" s="36" customFormat="1" ht="12" x14ac:dyDescent="0.2">
      <c r="A1002" s="33"/>
      <c r="B1002" s="68"/>
      <c r="C1002" s="64"/>
      <c r="D1002" s="64"/>
      <c r="E1002" s="64"/>
      <c r="F1002" s="34"/>
      <c r="G1002" s="34"/>
      <c r="H1002" s="33"/>
      <c r="I1002" s="68">
        <v>42977</v>
      </c>
      <c r="J1002" s="64">
        <v>4.3</v>
      </c>
      <c r="K1002" s="64">
        <v>0</v>
      </c>
      <c r="L1002" s="64"/>
      <c r="M1002" s="64"/>
      <c r="N1002" s="34"/>
      <c r="O1002" s="35"/>
    </row>
    <row r="1003" spans="1:15" s="36" customFormat="1" ht="12" x14ac:dyDescent="0.2">
      <c r="A1003" s="33"/>
      <c r="B1003" s="69"/>
      <c r="C1003" s="65"/>
      <c r="D1003" s="65"/>
      <c r="E1003" s="65"/>
      <c r="F1003" s="34"/>
      <c r="G1003" s="34"/>
      <c r="H1003" s="33"/>
      <c r="I1003" s="69">
        <v>42978</v>
      </c>
      <c r="J1003" s="65">
        <v>4.3</v>
      </c>
      <c r="K1003" s="65">
        <v>0</v>
      </c>
      <c r="L1003" s="65"/>
      <c r="M1003" s="65"/>
      <c r="N1003" s="34"/>
      <c r="O1003" s="35"/>
    </row>
    <row r="1004" spans="1:15" s="36" customFormat="1" ht="12" x14ac:dyDescent="0.2">
      <c r="A1004" s="33"/>
      <c r="B1004" s="68"/>
      <c r="C1004" s="64"/>
      <c r="D1004" s="64"/>
      <c r="E1004" s="64"/>
      <c r="F1004" s="34"/>
      <c r="G1004" s="34"/>
      <c r="H1004" s="33"/>
      <c r="I1004" s="68">
        <v>42979</v>
      </c>
      <c r="J1004" s="64">
        <v>4.3</v>
      </c>
      <c r="K1004" s="64">
        <v>0</v>
      </c>
      <c r="L1004" s="64"/>
      <c r="M1004" s="64"/>
      <c r="N1004" s="34"/>
      <c r="O1004" s="35"/>
    </row>
    <row r="1005" spans="1:15" s="36" customFormat="1" ht="12" x14ac:dyDescent="0.2">
      <c r="A1005" s="33"/>
      <c r="B1005" s="69"/>
      <c r="C1005" s="65"/>
      <c r="D1005" s="65"/>
      <c r="E1005" s="65"/>
      <c r="F1005" s="34"/>
      <c r="G1005" s="34"/>
      <c r="H1005" s="33"/>
      <c r="I1005" s="69">
        <v>42982</v>
      </c>
      <c r="J1005" s="65">
        <v>4.3</v>
      </c>
      <c r="K1005" s="65">
        <v>0</v>
      </c>
      <c r="L1005" s="65"/>
      <c r="M1005" s="65"/>
      <c r="N1005" s="34"/>
      <c r="O1005" s="35"/>
    </row>
    <row r="1006" spans="1:15" s="36" customFormat="1" ht="12" x14ac:dyDescent="0.2">
      <c r="A1006" s="33"/>
      <c r="B1006" s="68"/>
      <c r="C1006" s="64"/>
      <c r="D1006" s="64"/>
      <c r="E1006" s="64"/>
      <c r="F1006" s="34"/>
      <c r="G1006" s="34"/>
      <c r="H1006" s="33"/>
      <c r="I1006" s="68">
        <v>42983</v>
      </c>
      <c r="J1006" s="64">
        <v>4.3</v>
      </c>
      <c r="K1006" s="64">
        <v>0</v>
      </c>
      <c r="L1006" s="64"/>
      <c r="M1006" s="64"/>
      <c r="N1006" s="34"/>
      <c r="O1006" s="35"/>
    </row>
    <row r="1007" spans="1:15" s="36" customFormat="1" ht="12" x14ac:dyDescent="0.2">
      <c r="A1007" s="33"/>
      <c r="B1007" s="69"/>
      <c r="C1007" s="65"/>
      <c r="D1007" s="65"/>
      <c r="E1007" s="65"/>
      <c r="F1007" s="34"/>
      <c r="G1007" s="34"/>
      <c r="H1007" s="33"/>
      <c r="I1007" s="69">
        <v>42984</v>
      </c>
      <c r="J1007" s="65">
        <v>4.3</v>
      </c>
      <c r="K1007" s="65">
        <v>0</v>
      </c>
      <c r="L1007" s="65"/>
      <c r="M1007" s="65"/>
      <c r="N1007" s="34"/>
      <c r="O1007" s="35"/>
    </row>
    <row r="1008" spans="1:15" s="36" customFormat="1" ht="12" x14ac:dyDescent="0.2">
      <c r="A1008" s="33"/>
      <c r="B1008" s="68"/>
      <c r="C1008" s="64"/>
      <c r="D1008" s="64"/>
      <c r="E1008" s="64"/>
      <c r="F1008" s="34"/>
      <c r="G1008" s="34"/>
      <c r="H1008" s="33"/>
      <c r="I1008" s="68">
        <v>42985</v>
      </c>
      <c r="J1008" s="64">
        <v>4.3</v>
      </c>
      <c r="K1008" s="64">
        <v>0</v>
      </c>
      <c r="L1008" s="64"/>
      <c r="M1008" s="64"/>
      <c r="N1008" s="34"/>
      <c r="O1008" s="35"/>
    </row>
    <row r="1009" spans="1:15" s="36" customFormat="1" ht="12" x14ac:dyDescent="0.2">
      <c r="A1009" s="33"/>
      <c r="B1009" s="69"/>
      <c r="C1009" s="65"/>
      <c r="D1009" s="65"/>
      <c r="E1009" s="65"/>
      <c r="F1009" s="34"/>
      <c r="G1009" s="34"/>
      <c r="H1009" s="33"/>
      <c r="I1009" s="69">
        <v>42986</v>
      </c>
      <c r="J1009" s="65">
        <v>4.3</v>
      </c>
      <c r="K1009" s="65">
        <v>0</v>
      </c>
      <c r="L1009" s="65"/>
      <c r="M1009" s="65"/>
      <c r="N1009" s="34"/>
      <c r="O1009" s="35"/>
    </row>
    <row r="1010" spans="1:15" s="36" customFormat="1" ht="12" x14ac:dyDescent="0.2">
      <c r="A1010" s="33"/>
      <c r="B1010" s="68"/>
      <c r="C1010" s="64"/>
      <c r="D1010" s="64"/>
      <c r="E1010" s="64"/>
      <c r="F1010" s="34"/>
      <c r="G1010" s="34"/>
      <c r="H1010" s="33"/>
      <c r="I1010" s="68">
        <v>42989</v>
      </c>
      <c r="J1010" s="64">
        <v>4.3</v>
      </c>
      <c r="K1010" s="64">
        <v>0</v>
      </c>
      <c r="L1010" s="64"/>
      <c r="M1010" s="64"/>
      <c r="N1010" s="34"/>
      <c r="O1010" s="35"/>
    </row>
    <row r="1011" spans="1:15" s="36" customFormat="1" ht="12" x14ac:dyDescent="0.2">
      <c r="A1011" s="33"/>
      <c r="B1011" s="69"/>
      <c r="C1011" s="65"/>
      <c r="D1011" s="65"/>
      <c r="E1011" s="65"/>
      <c r="F1011" s="34"/>
      <c r="G1011" s="34"/>
      <c r="H1011" s="33"/>
      <c r="I1011" s="69">
        <v>42990</v>
      </c>
      <c r="J1011" s="65">
        <v>4.3</v>
      </c>
      <c r="K1011" s="65">
        <v>0</v>
      </c>
      <c r="L1011" s="65"/>
      <c r="M1011" s="65"/>
      <c r="N1011" s="34"/>
      <c r="O1011" s="35"/>
    </row>
    <row r="1012" spans="1:15" s="36" customFormat="1" ht="12" x14ac:dyDescent="0.2">
      <c r="A1012" s="33"/>
      <c r="B1012" s="68"/>
      <c r="C1012" s="64"/>
      <c r="D1012" s="64"/>
      <c r="E1012" s="64"/>
      <c r="F1012" s="34"/>
      <c r="G1012" s="34"/>
      <c r="H1012" s="33"/>
      <c r="I1012" s="68">
        <v>42991</v>
      </c>
      <c r="J1012" s="64">
        <v>4.3</v>
      </c>
      <c r="K1012" s="64">
        <v>0</v>
      </c>
      <c r="L1012" s="64"/>
      <c r="M1012" s="64"/>
      <c r="N1012" s="34"/>
      <c r="O1012" s="35"/>
    </row>
    <row r="1013" spans="1:15" s="36" customFormat="1" ht="12" x14ac:dyDescent="0.2">
      <c r="A1013" s="33"/>
      <c r="B1013" s="69"/>
      <c r="C1013" s="65"/>
      <c r="D1013" s="65"/>
      <c r="E1013" s="65"/>
      <c r="F1013" s="34"/>
      <c r="G1013" s="34"/>
      <c r="H1013" s="33"/>
      <c r="I1013" s="69">
        <v>42992</v>
      </c>
      <c r="J1013" s="65">
        <v>4.3</v>
      </c>
      <c r="K1013" s="65">
        <v>0</v>
      </c>
      <c r="L1013" s="65"/>
      <c r="M1013" s="65"/>
      <c r="N1013" s="34"/>
      <c r="O1013" s="35"/>
    </row>
    <row r="1014" spans="1:15" s="36" customFormat="1" ht="12" x14ac:dyDescent="0.2">
      <c r="A1014" s="33"/>
      <c r="B1014" s="68"/>
      <c r="C1014" s="64"/>
      <c r="D1014" s="64"/>
      <c r="E1014" s="64"/>
      <c r="F1014" s="34"/>
      <c r="G1014" s="34"/>
      <c r="H1014" s="33"/>
      <c r="I1014" s="68">
        <v>42993</v>
      </c>
      <c r="J1014" s="64">
        <v>4.3</v>
      </c>
      <c r="K1014" s="64">
        <v>0</v>
      </c>
      <c r="L1014" s="64"/>
      <c r="M1014" s="64"/>
      <c r="N1014" s="34"/>
      <c r="O1014" s="35"/>
    </row>
    <row r="1015" spans="1:15" s="36" customFormat="1" ht="12" x14ac:dyDescent="0.2">
      <c r="A1015" s="33"/>
      <c r="B1015" s="69"/>
      <c r="C1015" s="65"/>
      <c r="D1015" s="65"/>
      <c r="E1015" s="65"/>
      <c r="F1015" s="34"/>
      <c r="G1015" s="34"/>
      <c r="H1015" s="33"/>
      <c r="I1015" s="69">
        <v>42996</v>
      </c>
      <c r="J1015" s="65">
        <v>4.3</v>
      </c>
      <c r="K1015" s="65">
        <v>0</v>
      </c>
      <c r="L1015" s="65"/>
      <c r="M1015" s="65"/>
      <c r="N1015" s="34"/>
      <c r="O1015" s="35"/>
    </row>
    <row r="1016" spans="1:15" s="36" customFormat="1" ht="12" x14ac:dyDescent="0.2">
      <c r="A1016" s="33"/>
      <c r="B1016" s="68"/>
      <c r="C1016" s="64"/>
      <c r="D1016" s="64"/>
      <c r="E1016" s="64"/>
      <c r="F1016" s="34"/>
      <c r="G1016" s="34"/>
      <c r="H1016" s="33"/>
      <c r="I1016" s="68">
        <v>42997</v>
      </c>
      <c r="J1016" s="64">
        <v>4.3</v>
      </c>
      <c r="K1016" s="64">
        <v>0</v>
      </c>
      <c r="L1016" s="64"/>
      <c r="M1016" s="64"/>
      <c r="N1016" s="34"/>
      <c r="O1016" s="35"/>
    </row>
    <row r="1017" spans="1:15" s="36" customFormat="1" ht="12" x14ac:dyDescent="0.2">
      <c r="A1017" s="33"/>
      <c r="B1017" s="69"/>
      <c r="C1017" s="65"/>
      <c r="D1017" s="65"/>
      <c r="E1017" s="65"/>
      <c r="F1017" s="34"/>
      <c r="G1017" s="34"/>
      <c r="H1017" s="33"/>
      <c r="I1017" s="69">
        <v>42998</v>
      </c>
      <c r="J1017" s="65">
        <v>4.3</v>
      </c>
      <c r="K1017" s="65">
        <v>0</v>
      </c>
      <c r="L1017" s="65"/>
      <c r="M1017" s="65"/>
      <c r="N1017" s="34"/>
      <c r="O1017" s="35"/>
    </row>
    <row r="1018" spans="1:15" s="36" customFormat="1" ht="12" x14ac:dyDescent="0.2">
      <c r="A1018" s="33"/>
      <c r="B1018" s="68"/>
      <c r="C1018" s="64"/>
      <c r="D1018" s="64"/>
      <c r="E1018" s="64"/>
      <c r="F1018" s="34"/>
      <c r="G1018" s="34"/>
      <c r="H1018" s="33"/>
      <c r="I1018" s="68">
        <v>42999</v>
      </c>
      <c r="J1018" s="64">
        <v>4.3</v>
      </c>
      <c r="K1018" s="64">
        <v>0</v>
      </c>
      <c r="L1018" s="64"/>
      <c r="M1018" s="64"/>
      <c r="N1018" s="34"/>
      <c r="O1018" s="35"/>
    </row>
    <row r="1019" spans="1:15" s="36" customFormat="1" ht="12" x14ac:dyDescent="0.2">
      <c r="A1019" s="33"/>
      <c r="B1019" s="69"/>
      <c r="C1019" s="65"/>
      <c r="D1019" s="65"/>
      <c r="E1019" s="65"/>
      <c r="F1019" s="34"/>
      <c r="G1019" s="34"/>
      <c r="H1019" s="33"/>
      <c r="I1019" s="69">
        <v>43000</v>
      </c>
      <c r="J1019" s="65">
        <v>4.3</v>
      </c>
      <c r="K1019" s="65">
        <v>0</v>
      </c>
      <c r="L1019" s="65"/>
      <c r="M1019" s="65"/>
      <c r="N1019" s="34"/>
      <c r="O1019" s="35"/>
    </row>
    <row r="1020" spans="1:15" s="36" customFormat="1" ht="12" x14ac:dyDescent="0.2">
      <c r="A1020" s="33"/>
      <c r="B1020" s="68"/>
      <c r="C1020" s="64"/>
      <c r="D1020" s="64"/>
      <c r="E1020" s="64"/>
      <c r="F1020" s="34"/>
      <c r="G1020" s="34"/>
      <c r="H1020" s="33"/>
      <c r="I1020" s="68">
        <v>43003</v>
      </c>
      <c r="J1020" s="64">
        <v>4.3</v>
      </c>
      <c r="K1020" s="64">
        <v>0</v>
      </c>
      <c r="L1020" s="64"/>
      <c r="M1020" s="64"/>
      <c r="N1020" s="34"/>
      <c r="O1020" s="35"/>
    </row>
    <row r="1021" spans="1:15" s="36" customFormat="1" ht="12" x14ac:dyDescent="0.2">
      <c r="A1021" s="33"/>
      <c r="B1021" s="69"/>
      <c r="C1021" s="65"/>
      <c r="D1021" s="65"/>
      <c r="E1021" s="65"/>
      <c r="F1021" s="34"/>
      <c r="G1021" s="34"/>
      <c r="H1021" s="33"/>
      <c r="I1021" s="69">
        <v>43004</v>
      </c>
      <c r="J1021" s="65">
        <v>4.3</v>
      </c>
      <c r="K1021" s="65">
        <v>0</v>
      </c>
      <c r="L1021" s="65"/>
      <c r="M1021" s="65"/>
      <c r="N1021" s="34"/>
      <c r="O1021" s="35"/>
    </row>
    <row r="1022" spans="1:15" s="36" customFormat="1" ht="12" x14ac:dyDescent="0.2">
      <c r="A1022" s="33"/>
      <c r="B1022" s="68"/>
      <c r="C1022" s="64"/>
      <c r="D1022" s="64"/>
      <c r="E1022" s="64"/>
      <c r="F1022" s="34"/>
      <c r="G1022" s="34"/>
      <c r="H1022" s="33"/>
      <c r="I1022" s="68">
        <v>43005</v>
      </c>
      <c r="J1022" s="64">
        <v>4.3</v>
      </c>
      <c r="K1022" s="64">
        <v>0</v>
      </c>
      <c r="L1022" s="64"/>
      <c r="M1022" s="64"/>
      <c r="N1022" s="34"/>
      <c r="O1022" s="35"/>
    </row>
    <row r="1023" spans="1:15" s="36" customFormat="1" ht="12" x14ac:dyDescent="0.2">
      <c r="A1023" s="33"/>
      <c r="B1023" s="69"/>
      <c r="C1023" s="65"/>
      <c r="D1023" s="65"/>
      <c r="E1023" s="65"/>
      <c r="F1023" s="34"/>
      <c r="G1023" s="34"/>
      <c r="H1023" s="33"/>
      <c r="I1023" s="69">
        <v>43006</v>
      </c>
      <c r="J1023" s="65">
        <v>4.3</v>
      </c>
      <c r="K1023" s="65">
        <v>0</v>
      </c>
      <c r="L1023" s="65"/>
      <c r="M1023" s="65"/>
      <c r="N1023" s="34"/>
      <c r="O1023" s="35"/>
    </row>
    <row r="1024" spans="1:15" s="36" customFormat="1" ht="12" x14ac:dyDescent="0.2">
      <c r="A1024" s="33"/>
      <c r="B1024" s="68"/>
      <c r="C1024" s="64"/>
      <c r="D1024" s="64"/>
      <c r="E1024" s="64"/>
      <c r="F1024" s="34"/>
      <c r="G1024" s="34"/>
      <c r="H1024" s="33"/>
      <c r="I1024" s="68">
        <v>43007</v>
      </c>
      <c r="J1024" s="64">
        <v>4.3</v>
      </c>
      <c r="K1024" s="64">
        <v>0</v>
      </c>
      <c r="L1024" s="64"/>
      <c r="M1024" s="64"/>
      <c r="N1024" s="34"/>
      <c r="O1024" s="35"/>
    </row>
    <row r="1025" spans="1:15" s="36" customFormat="1" ht="12" x14ac:dyDescent="0.2">
      <c r="A1025" s="33"/>
      <c r="B1025" s="69"/>
      <c r="C1025" s="65"/>
      <c r="D1025" s="65"/>
      <c r="E1025" s="65"/>
      <c r="F1025" s="34"/>
      <c r="G1025" s="34"/>
      <c r="H1025" s="33"/>
      <c r="I1025" s="69">
        <v>43008</v>
      </c>
      <c r="J1025" s="65">
        <v>4.3</v>
      </c>
      <c r="K1025" s="65">
        <v>0</v>
      </c>
      <c r="L1025" s="65"/>
      <c r="M1025" s="65"/>
      <c r="N1025" s="34"/>
      <c r="O1025" s="35"/>
    </row>
    <row r="1026" spans="1:15" s="36" customFormat="1" ht="12" x14ac:dyDescent="0.2">
      <c r="A1026" s="33"/>
      <c r="B1026" s="68"/>
      <c r="C1026" s="64"/>
      <c r="D1026" s="64"/>
      <c r="E1026" s="64"/>
      <c r="F1026" s="34"/>
      <c r="G1026" s="34"/>
      <c r="H1026" s="33"/>
      <c r="I1026" s="68">
        <v>43017</v>
      </c>
      <c r="J1026" s="64">
        <v>4.3</v>
      </c>
      <c r="K1026" s="64">
        <v>0</v>
      </c>
      <c r="L1026" s="64"/>
      <c r="M1026" s="64"/>
      <c r="N1026" s="34"/>
      <c r="O1026" s="35"/>
    </row>
    <row r="1027" spans="1:15" s="36" customFormat="1" ht="12" x14ac:dyDescent="0.2">
      <c r="A1027" s="33"/>
      <c r="B1027" s="69"/>
      <c r="C1027" s="65"/>
      <c r="D1027" s="65"/>
      <c r="E1027" s="65"/>
      <c r="F1027" s="34"/>
      <c r="G1027" s="34"/>
      <c r="H1027" s="33"/>
      <c r="I1027" s="69">
        <v>43018</v>
      </c>
      <c r="J1027" s="65">
        <v>4.3</v>
      </c>
      <c r="K1027" s="65">
        <v>0</v>
      </c>
      <c r="L1027" s="65"/>
      <c r="M1027" s="65"/>
      <c r="N1027" s="34"/>
      <c r="O1027" s="35"/>
    </row>
    <row r="1028" spans="1:15" s="36" customFormat="1" ht="12" x14ac:dyDescent="0.2">
      <c r="A1028" s="33"/>
      <c r="B1028" s="68"/>
      <c r="C1028" s="64"/>
      <c r="D1028" s="64"/>
      <c r="E1028" s="64"/>
      <c r="F1028" s="34"/>
      <c r="G1028" s="34"/>
      <c r="H1028" s="33"/>
      <c r="I1028" s="68">
        <v>43019</v>
      </c>
      <c r="J1028" s="64">
        <v>4.3</v>
      </c>
      <c r="K1028" s="64">
        <v>0</v>
      </c>
      <c r="L1028" s="64"/>
      <c r="M1028" s="64"/>
      <c r="N1028" s="34"/>
      <c r="O1028" s="35"/>
    </row>
    <row r="1029" spans="1:15" s="36" customFormat="1" ht="12" x14ac:dyDescent="0.2">
      <c r="A1029" s="33"/>
      <c r="B1029" s="69"/>
      <c r="C1029" s="65"/>
      <c r="D1029" s="65"/>
      <c r="E1029" s="65"/>
      <c r="F1029" s="34"/>
      <c r="G1029" s="34"/>
      <c r="H1029" s="33"/>
      <c r="I1029" s="69">
        <v>43020</v>
      </c>
      <c r="J1029" s="65">
        <v>4.3</v>
      </c>
      <c r="K1029" s="65">
        <v>0</v>
      </c>
      <c r="L1029" s="65"/>
      <c r="M1029" s="65"/>
      <c r="N1029" s="34"/>
      <c r="O1029" s="35"/>
    </row>
    <row r="1030" spans="1:15" s="36" customFormat="1" ht="12" x14ac:dyDescent="0.2">
      <c r="A1030" s="33"/>
      <c r="B1030" s="68"/>
      <c r="C1030" s="64"/>
      <c r="D1030" s="64"/>
      <c r="E1030" s="64"/>
      <c r="F1030" s="34"/>
      <c r="G1030" s="34"/>
      <c r="H1030" s="33"/>
      <c r="I1030" s="68">
        <v>43021</v>
      </c>
      <c r="J1030" s="64">
        <v>4.3</v>
      </c>
      <c r="K1030" s="64">
        <v>0</v>
      </c>
      <c r="L1030" s="64"/>
      <c r="M1030" s="64"/>
      <c r="N1030" s="34"/>
      <c r="O1030" s="35"/>
    </row>
    <row r="1031" spans="1:15" s="36" customFormat="1" ht="12" x14ac:dyDescent="0.2">
      <c r="A1031" s="33"/>
      <c r="B1031" s="69"/>
      <c r="C1031" s="65"/>
      <c r="D1031" s="65"/>
      <c r="E1031" s="65"/>
      <c r="F1031" s="34"/>
      <c r="G1031" s="34"/>
      <c r="H1031" s="33"/>
      <c r="I1031" s="69">
        <v>43024</v>
      </c>
      <c r="J1031" s="65">
        <v>4.3</v>
      </c>
      <c r="K1031" s="65">
        <v>0</v>
      </c>
      <c r="L1031" s="65"/>
      <c r="M1031" s="65"/>
      <c r="N1031" s="34"/>
      <c r="O1031" s="35"/>
    </row>
    <row r="1032" spans="1:15" s="36" customFormat="1" ht="12" x14ac:dyDescent="0.2">
      <c r="A1032" s="33"/>
      <c r="B1032" s="68"/>
      <c r="C1032" s="64"/>
      <c r="D1032" s="64"/>
      <c r="E1032" s="64"/>
      <c r="F1032" s="34"/>
      <c r="G1032" s="34"/>
      <c r="H1032" s="33"/>
      <c r="I1032" s="68">
        <v>43025</v>
      </c>
      <c r="J1032" s="64">
        <v>4.3</v>
      </c>
      <c r="K1032" s="64">
        <v>0</v>
      </c>
      <c r="L1032" s="64"/>
      <c r="M1032" s="64"/>
      <c r="N1032" s="34"/>
      <c r="O1032" s="35"/>
    </row>
    <row r="1033" spans="1:15" s="36" customFormat="1" ht="12" x14ac:dyDescent="0.2">
      <c r="A1033" s="33"/>
      <c r="B1033" s="69"/>
      <c r="C1033" s="65"/>
      <c r="D1033" s="65"/>
      <c r="E1033" s="65"/>
      <c r="F1033" s="34"/>
      <c r="G1033" s="34"/>
      <c r="H1033" s="33"/>
      <c r="I1033" s="69">
        <v>43026</v>
      </c>
      <c r="J1033" s="65">
        <v>4.3</v>
      </c>
      <c r="K1033" s="65">
        <v>0</v>
      </c>
      <c r="L1033" s="65"/>
      <c r="M1033" s="65"/>
      <c r="N1033" s="34"/>
      <c r="O1033" s="35"/>
    </row>
    <row r="1034" spans="1:15" s="36" customFormat="1" ht="12" x14ac:dyDescent="0.2">
      <c r="A1034" s="33"/>
      <c r="B1034" s="68"/>
      <c r="C1034" s="64"/>
      <c r="D1034" s="64"/>
      <c r="E1034" s="64"/>
      <c r="F1034" s="34"/>
      <c r="G1034" s="34"/>
      <c r="H1034" s="33"/>
      <c r="I1034" s="68">
        <v>43027</v>
      </c>
      <c r="J1034" s="64">
        <v>4.3</v>
      </c>
      <c r="K1034" s="64">
        <v>0</v>
      </c>
      <c r="L1034" s="64"/>
      <c r="M1034" s="64"/>
      <c r="N1034" s="34"/>
      <c r="O1034" s="35"/>
    </row>
    <row r="1035" spans="1:15" s="36" customFormat="1" ht="12" x14ac:dyDescent="0.2">
      <c r="A1035" s="33"/>
      <c r="B1035" s="69"/>
      <c r="C1035" s="65"/>
      <c r="D1035" s="65"/>
      <c r="E1035" s="65"/>
      <c r="F1035" s="34"/>
      <c r="G1035" s="34"/>
      <c r="H1035" s="33"/>
      <c r="I1035" s="69">
        <v>43028</v>
      </c>
      <c r="J1035" s="65">
        <v>4.3</v>
      </c>
      <c r="K1035" s="65">
        <v>0</v>
      </c>
      <c r="L1035" s="65"/>
      <c r="M1035" s="65"/>
      <c r="N1035" s="34"/>
      <c r="O1035" s="35"/>
    </row>
    <row r="1036" spans="1:15" s="36" customFormat="1" ht="12" x14ac:dyDescent="0.2">
      <c r="A1036" s="33"/>
      <c r="B1036" s="68"/>
      <c r="C1036" s="64"/>
      <c r="D1036" s="64"/>
      <c r="E1036" s="64"/>
      <c r="F1036" s="34"/>
      <c r="G1036" s="34"/>
      <c r="H1036" s="33"/>
      <c r="I1036" s="68">
        <v>43031</v>
      </c>
      <c r="J1036" s="64">
        <v>4.3</v>
      </c>
      <c r="K1036" s="64">
        <v>0</v>
      </c>
      <c r="L1036" s="64"/>
      <c r="M1036" s="64"/>
      <c r="N1036" s="34"/>
      <c r="O1036" s="35"/>
    </row>
    <row r="1037" spans="1:15" s="36" customFormat="1" ht="12" x14ac:dyDescent="0.2">
      <c r="A1037" s="33"/>
      <c r="B1037" s="69"/>
      <c r="C1037" s="65"/>
      <c r="D1037" s="65"/>
      <c r="E1037" s="65"/>
      <c r="F1037" s="34"/>
      <c r="G1037" s="34"/>
      <c r="H1037" s="33"/>
      <c r="I1037" s="69">
        <v>43032</v>
      </c>
      <c r="J1037" s="65">
        <v>4.3</v>
      </c>
      <c r="K1037" s="65">
        <v>0</v>
      </c>
      <c r="L1037" s="65"/>
      <c r="M1037" s="65"/>
      <c r="N1037" s="34"/>
      <c r="O1037" s="35"/>
    </row>
    <row r="1038" spans="1:15" s="36" customFormat="1" ht="12" x14ac:dyDescent="0.2">
      <c r="A1038" s="33"/>
      <c r="B1038" s="68"/>
      <c r="C1038" s="64"/>
      <c r="D1038" s="64"/>
      <c r="E1038" s="64"/>
      <c r="F1038" s="34"/>
      <c r="G1038" s="34"/>
      <c r="H1038" s="33"/>
      <c r="I1038" s="68">
        <v>43033</v>
      </c>
      <c r="J1038" s="64">
        <v>4.3</v>
      </c>
      <c r="K1038" s="64">
        <v>0</v>
      </c>
      <c r="L1038" s="64"/>
      <c r="M1038" s="64"/>
      <c r="N1038" s="34"/>
      <c r="O1038" s="35"/>
    </row>
    <row r="1039" spans="1:15" s="36" customFormat="1" ht="12" x14ac:dyDescent="0.2">
      <c r="A1039" s="33"/>
      <c r="B1039" s="69"/>
      <c r="C1039" s="65"/>
      <c r="D1039" s="65"/>
      <c r="E1039" s="65"/>
      <c r="F1039" s="34"/>
      <c r="G1039" s="34"/>
      <c r="H1039" s="33"/>
      <c r="I1039" s="69">
        <v>43034</v>
      </c>
      <c r="J1039" s="65">
        <v>4.3</v>
      </c>
      <c r="K1039" s="65">
        <v>0</v>
      </c>
      <c r="L1039" s="65"/>
      <c r="M1039" s="65"/>
      <c r="N1039" s="34"/>
      <c r="O1039" s="35"/>
    </row>
    <row r="1040" spans="1:15" s="36" customFormat="1" ht="12" x14ac:dyDescent="0.2">
      <c r="A1040" s="33"/>
      <c r="B1040" s="68"/>
      <c r="C1040" s="64"/>
      <c r="D1040" s="64"/>
      <c r="E1040" s="64"/>
      <c r="F1040" s="34"/>
      <c r="G1040" s="34"/>
      <c r="H1040" s="33"/>
      <c r="I1040" s="68">
        <v>43035</v>
      </c>
      <c r="J1040" s="64">
        <v>4.3</v>
      </c>
      <c r="K1040" s="64">
        <v>0</v>
      </c>
      <c r="L1040" s="64"/>
      <c r="M1040" s="64"/>
      <c r="N1040" s="34"/>
      <c r="O1040" s="35"/>
    </row>
    <row r="1041" spans="1:15" s="36" customFormat="1" ht="12" x14ac:dyDescent="0.2">
      <c r="A1041" s="33"/>
      <c r="B1041" s="69"/>
      <c r="C1041" s="65"/>
      <c r="D1041" s="65"/>
      <c r="E1041" s="65"/>
      <c r="F1041" s="34"/>
      <c r="G1041" s="34"/>
      <c r="H1041" s="33"/>
      <c r="I1041" s="69">
        <v>43038</v>
      </c>
      <c r="J1041" s="65">
        <v>4.3</v>
      </c>
      <c r="K1041" s="65">
        <v>0</v>
      </c>
      <c r="L1041" s="65"/>
      <c r="M1041" s="65"/>
      <c r="N1041" s="34"/>
      <c r="O1041" s="35"/>
    </row>
    <row r="1042" spans="1:15" s="36" customFormat="1" ht="12" x14ac:dyDescent="0.2">
      <c r="A1042" s="33"/>
      <c r="B1042" s="68"/>
      <c r="C1042" s="64"/>
      <c r="D1042" s="64"/>
      <c r="E1042" s="64"/>
      <c r="F1042" s="34"/>
      <c r="G1042" s="34"/>
      <c r="H1042" s="33"/>
      <c r="I1042" s="68">
        <v>43039</v>
      </c>
      <c r="J1042" s="64">
        <v>4.3</v>
      </c>
      <c r="K1042" s="64">
        <v>0</v>
      </c>
      <c r="L1042" s="64"/>
      <c r="M1042" s="64"/>
      <c r="N1042" s="34"/>
      <c r="O1042" s="35"/>
    </row>
    <row r="1043" spans="1:15" s="36" customFormat="1" ht="12" x14ac:dyDescent="0.2">
      <c r="A1043" s="33"/>
      <c r="B1043" s="69"/>
      <c r="C1043" s="65"/>
      <c r="D1043" s="65"/>
      <c r="E1043" s="65"/>
      <c r="F1043" s="34"/>
      <c r="G1043" s="34"/>
      <c r="H1043" s="33"/>
      <c r="I1043" s="69">
        <v>43040</v>
      </c>
      <c r="J1043" s="65">
        <v>4.3</v>
      </c>
      <c r="K1043" s="65">
        <v>0</v>
      </c>
      <c r="L1043" s="65"/>
      <c r="M1043" s="65"/>
      <c r="N1043" s="34"/>
      <c r="O1043" s="35"/>
    </row>
    <row r="1044" spans="1:15" s="36" customFormat="1" ht="12" x14ac:dyDescent="0.2">
      <c r="A1044" s="33"/>
      <c r="B1044" s="68"/>
      <c r="C1044" s="64"/>
      <c r="D1044" s="64"/>
      <c r="E1044" s="64"/>
      <c r="F1044" s="34"/>
      <c r="G1044" s="34"/>
      <c r="H1044" s="33"/>
      <c r="I1044" s="68">
        <v>43041</v>
      </c>
      <c r="J1044" s="64">
        <v>4.3</v>
      </c>
      <c r="K1044" s="64">
        <v>0</v>
      </c>
      <c r="L1044" s="64"/>
      <c r="M1044" s="64"/>
      <c r="N1044" s="34"/>
      <c r="O1044" s="35"/>
    </row>
    <row r="1045" spans="1:15" s="36" customFormat="1" ht="12" x14ac:dyDescent="0.2">
      <c r="A1045" s="33"/>
      <c r="B1045" s="69"/>
      <c r="C1045" s="65"/>
      <c r="D1045" s="65"/>
      <c r="E1045" s="65"/>
      <c r="F1045" s="34"/>
      <c r="G1045" s="34"/>
      <c r="H1045" s="33"/>
      <c r="I1045" s="69">
        <v>43042</v>
      </c>
      <c r="J1045" s="65">
        <v>4.3</v>
      </c>
      <c r="K1045" s="65">
        <v>0</v>
      </c>
      <c r="L1045" s="65"/>
      <c r="M1045" s="65"/>
      <c r="N1045" s="34"/>
      <c r="O1045" s="35"/>
    </row>
    <row r="1046" spans="1:15" s="36" customFormat="1" ht="12" x14ac:dyDescent="0.2">
      <c r="A1046" s="33"/>
      <c r="B1046" s="68"/>
      <c r="C1046" s="64"/>
      <c r="D1046" s="64"/>
      <c r="E1046" s="64"/>
      <c r="F1046" s="34"/>
      <c r="G1046" s="34"/>
      <c r="H1046" s="33"/>
      <c r="I1046" s="68">
        <v>43045</v>
      </c>
      <c r="J1046" s="64">
        <v>4.3</v>
      </c>
      <c r="K1046" s="64">
        <v>0</v>
      </c>
      <c r="L1046" s="64"/>
      <c r="M1046" s="64"/>
      <c r="N1046" s="34"/>
      <c r="O1046" s="35"/>
    </row>
    <row r="1047" spans="1:15" s="36" customFormat="1" ht="12" x14ac:dyDescent="0.2">
      <c r="A1047" s="33"/>
      <c r="B1047" s="69"/>
      <c r="C1047" s="65"/>
      <c r="D1047" s="65"/>
      <c r="E1047" s="65"/>
      <c r="F1047" s="34"/>
      <c r="G1047" s="34"/>
      <c r="H1047" s="33"/>
      <c r="I1047" s="69">
        <v>43046</v>
      </c>
      <c r="J1047" s="65">
        <v>4.3</v>
      </c>
      <c r="K1047" s="65">
        <v>0</v>
      </c>
      <c r="L1047" s="65"/>
      <c r="M1047" s="65"/>
      <c r="N1047" s="34"/>
      <c r="O1047" s="35"/>
    </row>
    <row r="1048" spans="1:15" s="36" customFormat="1" ht="12" x14ac:dyDescent="0.2">
      <c r="A1048" s="33"/>
      <c r="B1048" s="68"/>
      <c r="C1048" s="64"/>
      <c r="D1048" s="64"/>
      <c r="E1048" s="64"/>
      <c r="F1048" s="34"/>
      <c r="G1048" s="34"/>
      <c r="H1048" s="33"/>
      <c r="I1048" s="68">
        <v>43047</v>
      </c>
      <c r="J1048" s="64">
        <v>4.3</v>
      </c>
      <c r="K1048" s="64">
        <v>0</v>
      </c>
      <c r="L1048" s="64"/>
      <c r="M1048" s="64"/>
      <c r="N1048" s="34"/>
      <c r="O1048" s="35"/>
    </row>
    <row r="1049" spans="1:15" s="36" customFormat="1" ht="12" x14ac:dyDescent="0.2">
      <c r="A1049" s="33"/>
      <c r="B1049" s="69"/>
      <c r="C1049" s="65"/>
      <c r="D1049" s="65"/>
      <c r="E1049" s="65"/>
      <c r="F1049" s="34"/>
      <c r="G1049" s="34"/>
      <c r="H1049" s="33"/>
      <c r="I1049" s="69">
        <v>43048</v>
      </c>
      <c r="J1049" s="65">
        <v>4.3</v>
      </c>
      <c r="K1049" s="65">
        <v>0</v>
      </c>
      <c r="L1049" s="65"/>
      <c r="M1049" s="65"/>
      <c r="N1049" s="34"/>
      <c r="O1049" s="35"/>
    </row>
    <row r="1050" spans="1:15" s="36" customFormat="1" ht="12" x14ac:dyDescent="0.2">
      <c r="A1050" s="33"/>
      <c r="B1050" s="68"/>
      <c r="C1050" s="64"/>
      <c r="D1050" s="64"/>
      <c r="E1050" s="64"/>
      <c r="F1050" s="34"/>
      <c r="G1050" s="34"/>
      <c r="H1050" s="33"/>
      <c r="I1050" s="68">
        <v>43049</v>
      </c>
      <c r="J1050" s="64">
        <v>4.3</v>
      </c>
      <c r="K1050" s="64">
        <v>0</v>
      </c>
      <c r="L1050" s="64"/>
      <c r="M1050" s="64"/>
      <c r="N1050" s="34"/>
      <c r="O1050" s="35"/>
    </row>
    <row r="1051" spans="1:15" s="36" customFormat="1" ht="12" x14ac:dyDescent="0.2">
      <c r="A1051" s="33"/>
      <c r="B1051" s="69"/>
      <c r="C1051" s="65"/>
      <c r="D1051" s="65"/>
      <c r="E1051" s="65"/>
      <c r="F1051" s="34"/>
      <c r="G1051" s="34"/>
      <c r="H1051" s="33"/>
      <c r="I1051" s="69">
        <v>43052</v>
      </c>
      <c r="J1051" s="65">
        <v>4.3</v>
      </c>
      <c r="K1051" s="65">
        <v>0</v>
      </c>
      <c r="L1051" s="65"/>
      <c r="M1051" s="65"/>
      <c r="N1051" s="34"/>
      <c r="O1051" s="35"/>
    </row>
    <row r="1052" spans="1:15" s="36" customFormat="1" ht="12" x14ac:dyDescent="0.2">
      <c r="A1052" s="33"/>
      <c r="B1052" s="68"/>
      <c r="C1052" s="64"/>
      <c r="D1052" s="64"/>
      <c r="E1052" s="64"/>
      <c r="F1052" s="34"/>
      <c r="G1052" s="34"/>
      <c r="H1052" s="33"/>
      <c r="I1052" s="68">
        <v>43053</v>
      </c>
      <c r="J1052" s="64">
        <v>4.3</v>
      </c>
      <c r="K1052" s="64">
        <v>0</v>
      </c>
      <c r="L1052" s="64"/>
      <c r="M1052" s="64"/>
      <c r="N1052" s="34"/>
      <c r="O1052" s="35"/>
    </row>
    <row r="1053" spans="1:15" s="36" customFormat="1" ht="12" x14ac:dyDescent="0.2">
      <c r="A1053" s="33"/>
      <c r="B1053" s="69"/>
      <c r="C1053" s="65"/>
      <c r="D1053" s="65"/>
      <c r="E1053" s="65"/>
      <c r="F1053" s="34"/>
      <c r="G1053" s="34"/>
      <c r="H1053" s="33"/>
      <c r="I1053" s="69">
        <v>43054</v>
      </c>
      <c r="J1053" s="65">
        <v>4.3</v>
      </c>
      <c r="K1053" s="65">
        <v>0</v>
      </c>
      <c r="L1053" s="65"/>
      <c r="M1053" s="65"/>
      <c r="N1053" s="34"/>
      <c r="O1053" s="35"/>
    </row>
    <row r="1054" spans="1:15" s="36" customFormat="1" ht="12" x14ac:dyDescent="0.2">
      <c r="A1054" s="33"/>
      <c r="B1054" s="68"/>
      <c r="C1054" s="64"/>
      <c r="D1054" s="64"/>
      <c r="E1054" s="64"/>
      <c r="F1054" s="34"/>
      <c r="G1054" s="34"/>
      <c r="H1054" s="33"/>
      <c r="I1054" s="68">
        <v>43055</v>
      </c>
      <c r="J1054" s="64">
        <v>4.3</v>
      </c>
      <c r="K1054" s="64">
        <v>0</v>
      </c>
      <c r="L1054" s="64"/>
      <c r="M1054" s="64"/>
      <c r="N1054" s="34"/>
      <c r="O1054" s="35"/>
    </row>
    <row r="1055" spans="1:15" s="36" customFormat="1" ht="12" x14ac:dyDescent="0.2">
      <c r="A1055" s="33"/>
      <c r="B1055" s="69"/>
      <c r="C1055" s="65"/>
      <c r="D1055" s="65"/>
      <c r="E1055" s="65"/>
      <c r="F1055" s="34"/>
      <c r="G1055" s="34"/>
      <c r="H1055" s="33"/>
      <c r="I1055" s="69">
        <v>43056</v>
      </c>
      <c r="J1055" s="65">
        <v>4.3</v>
      </c>
      <c r="K1055" s="65">
        <v>0</v>
      </c>
      <c r="L1055" s="65"/>
      <c r="M1055" s="65"/>
      <c r="N1055" s="34"/>
      <c r="O1055" s="35"/>
    </row>
    <row r="1056" spans="1:15" s="36" customFormat="1" ht="12" x14ac:dyDescent="0.2">
      <c r="A1056" s="33"/>
      <c r="B1056" s="68"/>
      <c r="C1056" s="64"/>
      <c r="D1056" s="64"/>
      <c r="E1056" s="64"/>
      <c r="F1056" s="34"/>
      <c r="G1056" s="34"/>
      <c r="H1056" s="33"/>
      <c r="I1056" s="68">
        <v>43059</v>
      </c>
      <c r="J1056" s="64">
        <v>4.3</v>
      </c>
      <c r="K1056" s="64">
        <v>0</v>
      </c>
      <c r="L1056" s="64"/>
      <c r="M1056" s="64"/>
      <c r="N1056" s="34"/>
      <c r="O1056" s="35"/>
    </row>
    <row r="1057" spans="1:15" s="36" customFormat="1" ht="12" x14ac:dyDescent="0.2">
      <c r="A1057" s="33"/>
      <c r="B1057" s="69"/>
      <c r="C1057" s="65"/>
      <c r="D1057" s="65"/>
      <c r="E1057" s="65"/>
      <c r="F1057" s="34"/>
      <c r="G1057" s="34"/>
      <c r="H1057" s="33"/>
      <c r="I1057" s="69">
        <v>43060</v>
      </c>
      <c r="J1057" s="65">
        <v>4.3</v>
      </c>
      <c r="K1057" s="65">
        <v>0</v>
      </c>
      <c r="L1057" s="65"/>
      <c r="M1057" s="65"/>
      <c r="N1057" s="34"/>
      <c r="O1057" s="35"/>
    </row>
    <row r="1058" spans="1:15" s="36" customFormat="1" ht="12" x14ac:dyDescent="0.2">
      <c r="A1058" s="33"/>
      <c r="B1058" s="68"/>
      <c r="C1058" s="64"/>
      <c r="D1058" s="64"/>
      <c r="E1058" s="64"/>
      <c r="F1058" s="34"/>
      <c r="G1058" s="34"/>
      <c r="H1058" s="33"/>
      <c r="I1058" s="68">
        <v>43061</v>
      </c>
      <c r="J1058" s="64">
        <v>4.3</v>
      </c>
      <c r="K1058" s="64">
        <v>0</v>
      </c>
      <c r="L1058" s="64"/>
      <c r="M1058" s="64"/>
      <c r="N1058" s="34"/>
      <c r="O1058" s="35"/>
    </row>
    <row r="1059" spans="1:15" s="36" customFormat="1" ht="12" x14ac:dyDescent="0.2">
      <c r="A1059" s="33"/>
      <c r="B1059" s="69"/>
      <c r="C1059" s="65"/>
      <c r="D1059" s="65"/>
      <c r="E1059" s="65"/>
      <c r="F1059" s="34"/>
      <c r="G1059" s="34"/>
      <c r="H1059" s="33"/>
      <c r="I1059" s="69">
        <v>43062</v>
      </c>
      <c r="J1059" s="65">
        <v>4.3</v>
      </c>
      <c r="K1059" s="65">
        <v>0</v>
      </c>
      <c r="L1059" s="65"/>
      <c r="M1059" s="65"/>
      <c r="N1059" s="34"/>
      <c r="O1059" s="35"/>
    </row>
    <row r="1060" spans="1:15" s="36" customFormat="1" ht="12" x14ac:dyDescent="0.2">
      <c r="A1060" s="33"/>
      <c r="B1060" s="68"/>
      <c r="C1060" s="64"/>
      <c r="D1060" s="64"/>
      <c r="E1060" s="64"/>
      <c r="F1060" s="34"/>
      <c r="G1060" s="34"/>
      <c r="H1060" s="33"/>
      <c r="I1060" s="68">
        <v>43063</v>
      </c>
      <c r="J1060" s="64">
        <v>4.3</v>
      </c>
      <c r="K1060" s="64">
        <v>0</v>
      </c>
      <c r="L1060" s="64"/>
      <c r="M1060" s="64"/>
      <c r="N1060" s="34"/>
      <c r="O1060" s="35"/>
    </row>
    <row r="1061" spans="1:15" s="36" customFormat="1" ht="12" x14ac:dyDescent="0.2">
      <c r="A1061" s="33"/>
      <c r="B1061" s="69"/>
      <c r="C1061" s="65"/>
      <c r="D1061" s="65"/>
      <c r="E1061" s="65"/>
      <c r="F1061" s="34"/>
      <c r="G1061" s="34"/>
      <c r="H1061" s="33"/>
      <c r="I1061" s="69">
        <v>43066</v>
      </c>
      <c r="J1061" s="65">
        <v>4.3</v>
      </c>
      <c r="K1061" s="65">
        <v>0</v>
      </c>
      <c r="L1061" s="65"/>
      <c r="M1061" s="65"/>
      <c r="N1061" s="34"/>
      <c r="O1061" s="35"/>
    </row>
    <row r="1062" spans="1:15" s="36" customFormat="1" ht="12" x14ac:dyDescent="0.2">
      <c r="A1062" s="33"/>
      <c r="B1062" s="68"/>
      <c r="C1062" s="64"/>
      <c r="D1062" s="64"/>
      <c r="E1062" s="64"/>
      <c r="F1062" s="34"/>
      <c r="G1062" s="34"/>
      <c r="H1062" s="33"/>
      <c r="I1062" s="68">
        <v>43067</v>
      </c>
      <c r="J1062" s="64">
        <v>4.3</v>
      </c>
      <c r="K1062" s="64">
        <v>0</v>
      </c>
      <c r="L1062" s="64"/>
      <c r="M1062" s="64"/>
      <c r="N1062" s="34"/>
      <c r="O1062" s="35"/>
    </row>
    <row r="1063" spans="1:15" s="36" customFormat="1" ht="12" x14ac:dyDescent="0.2">
      <c r="A1063" s="33"/>
      <c r="B1063" s="69"/>
      <c r="C1063" s="65"/>
      <c r="D1063" s="65"/>
      <c r="E1063" s="65"/>
      <c r="F1063" s="34"/>
      <c r="G1063" s="34"/>
      <c r="H1063" s="33"/>
      <c r="I1063" s="69">
        <v>43068</v>
      </c>
      <c r="J1063" s="65">
        <v>4.3</v>
      </c>
      <c r="K1063" s="65">
        <v>0</v>
      </c>
      <c r="L1063" s="65"/>
      <c r="M1063" s="65"/>
      <c r="N1063" s="34"/>
      <c r="O1063" s="35"/>
    </row>
    <row r="1064" spans="1:15" s="36" customFormat="1" ht="12" x14ac:dyDescent="0.2">
      <c r="A1064" s="33"/>
      <c r="B1064" s="68"/>
      <c r="C1064" s="64"/>
      <c r="D1064" s="64"/>
      <c r="E1064" s="64"/>
      <c r="F1064" s="34"/>
      <c r="G1064" s="34"/>
      <c r="H1064" s="33"/>
      <c r="I1064" s="68">
        <v>43069</v>
      </c>
      <c r="J1064" s="64">
        <v>4.3</v>
      </c>
      <c r="K1064" s="64">
        <v>0</v>
      </c>
      <c r="L1064" s="64"/>
      <c r="M1064" s="64"/>
      <c r="N1064" s="34"/>
      <c r="O1064" s="35"/>
    </row>
    <row r="1065" spans="1:15" s="36" customFormat="1" ht="12" x14ac:dyDescent="0.2">
      <c r="A1065" s="33"/>
      <c r="B1065" s="69"/>
      <c r="C1065" s="65"/>
      <c r="D1065" s="65"/>
      <c r="E1065" s="65"/>
      <c r="F1065" s="34"/>
      <c r="G1065" s="34"/>
      <c r="H1065" s="33"/>
      <c r="I1065" s="69">
        <v>43070</v>
      </c>
      <c r="J1065" s="65">
        <v>4.3</v>
      </c>
      <c r="K1065" s="65">
        <v>0</v>
      </c>
      <c r="L1065" s="65"/>
      <c r="M1065" s="65"/>
      <c r="N1065" s="34"/>
      <c r="O1065" s="35"/>
    </row>
    <row r="1066" spans="1:15" s="36" customFormat="1" ht="12" x14ac:dyDescent="0.2">
      <c r="A1066" s="33"/>
      <c r="B1066" s="68"/>
      <c r="C1066" s="64"/>
      <c r="D1066" s="64"/>
      <c r="E1066" s="64"/>
      <c r="F1066" s="34"/>
      <c r="G1066" s="34"/>
      <c r="H1066" s="33"/>
      <c r="I1066" s="68">
        <v>43073</v>
      </c>
      <c r="J1066" s="64">
        <v>4.3</v>
      </c>
      <c r="K1066" s="64">
        <v>0</v>
      </c>
      <c r="L1066" s="64"/>
      <c r="M1066" s="64"/>
      <c r="N1066" s="34"/>
      <c r="O1066" s="35"/>
    </row>
    <row r="1067" spans="1:15" s="36" customFormat="1" ht="12" x14ac:dyDescent="0.2">
      <c r="A1067" s="33"/>
      <c r="B1067" s="56"/>
      <c r="C1067" s="58"/>
      <c r="D1067" s="58"/>
      <c r="E1067" s="58"/>
      <c r="F1067" s="34"/>
      <c r="G1067" s="34"/>
      <c r="H1067" s="33"/>
      <c r="I1067" s="69">
        <v>43074</v>
      </c>
      <c r="J1067" s="65">
        <v>4.3</v>
      </c>
      <c r="K1067" s="65">
        <v>0</v>
      </c>
      <c r="L1067" s="65"/>
      <c r="M1067" s="65"/>
      <c r="N1067" s="34"/>
      <c r="O1067" s="35"/>
    </row>
    <row r="1068" spans="1:15" s="36" customFormat="1" ht="12" x14ac:dyDescent="0.2">
      <c r="A1068" s="33"/>
      <c r="B1068" s="55"/>
      <c r="C1068" s="57"/>
      <c r="D1068" s="57"/>
      <c r="E1068" s="57"/>
      <c r="F1068" s="34"/>
      <c r="G1068" s="34"/>
      <c r="H1068" s="33"/>
      <c r="I1068" s="68">
        <v>43075</v>
      </c>
      <c r="J1068" s="64">
        <v>4.3</v>
      </c>
      <c r="K1068" s="64">
        <v>0</v>
      </c>
      <c r="L1068" s="64"/>
      <c r="M1068" s="64"/>
      <c r="N1068" s="34"/>
      <c r="O1068" s="35"/>
    </row>
    <row r="1069" spans="1:15" s="36" customFormat="1" ht="12" x14ac:dyDescent="0.2">
      <c r="A1069" s="33"/>
      <c r="B1069" s="56"/>
      <c r="C1069" s="58"/>
      <c r="D1069" s="58"/>
      <c r="E1069" s="58"/>
      <c r="F1069" s="34"/>
      <c r="G1069" s="34"/>
      <c r="H1069" s="33"/>
      <c r="I1069" s="69">
        <v>43076</v>
      </c>
      <c r="J1069" s="65">
        <v>4.3</v>
      </c>
      <c r="K1069" s="65">
        <v>0</v>
      </c>
      <c r="L1069" s="65"/>
      <c r="M1069" s="65"/>
      <c r="N1069" s="34"/>
      <c r="O1069" s="35"/>
    </row>
    <row r="1070" spans="1:15" s="36" customFormat="1" ht="12" x14ac:dyDescent="0.2">
      <c r="A1070" s="33"/>
      <c r="B1070" s="55"/>
      <c r="C1070" s="57"/>
      <c r="D1070" s="57"/>
      <c r="E1070" s="57"/>
      <c r="F1070" s="34"/>
      <c r="G1070" s="34"/>
      <c r="H1070" s="33"/>
      <c r="I1070" s="68">
        <v>43077</v>
      </c>
      <c r="J1070" s="64">
        <v>4.3</v>
      </c>
      <c r="K1070" s="64">
        <v>0</v>
      </c>
      <c r="L1070" s="64"/>
      <c r="M1070" s="64"/>
      <c r="N1070" s="34"/>
      <c r="O1070" s="35"/>
    </row>
    <row r="1071" spans="1:15" s="36" customFormat="1" ht="12" x14ac:dyDescent="0.2">
      <c r="A1071" s="33"/>
      <c r="B1071" s="56"/>
      <c r="C1071" s="58"/>
      <c r="D1071" s="58"/>
      <c r="E1071" s="58"/>
      <c r="F1071" s="34"/>
      <c r="G1071" s="34"/>
      <c r="H1071" s="33"/>
      <c r="I1071" s="69">
        <v>43080</v>
      </c>
      <c r="J1071" s="65">
        <v>4.3</v>
      </c>
      <c r="K1071" s="65">
        <v>0</v>
      </c>
      <c r="L1071" s="65"/>
      <c r="M1071" s="65"/>
      <c r="N1071" s="34"/>
      <c r="O1071" s="35"/>
    </row>
    <row r="1072" spans="1:15" s="36" customFormat="1" ht="12" x14ac:dyDescent="0.2">
      <c r="A1072" s="33"/>
      <c r="B1072" s="55"/>
      <c r="C1072" s="57"/>
      <c r="D1072" s="57"/>
      <c r="E1072" s="57"/>
      <c r="F1072" s="34"/>
      <c r="G1072" s="34"/>
      <c r="H1072" s="33"/>
      <c r="I1072" s="68">
        <v>43081</v>
      </c>
      <c r="J1072" s="64">
        <v>4.3</v>
      </c>
      <c r="K1072" s="64">
        <v>0</v>
      </c>
      <c r="L1072" s="57"/>
      <c r="M1072" s="57"/>
      <c r="N1072" s="34"/>
      <c r="O1072" s="35"/>
    </row>
    <row r="1073" spans="1:15" s="36" customFormat="1" ht="12" x14ac:dyDescent="0.2">
      <c r="A1073" s="33"/>
      <c r="B1073" s="56"/>
      <c r="C1073" s="58"/>
      <c r="D1073" s="58"/>
      <c r="E1073" s="58"/>
      <c r="F1073" s="34"/>
      <c r="G1073" s="34"/>
      <c r="H1073" s="33"/>
      <c r="I1073" s="69">
        <v>43082</v>
      </c>
      <c r="J1073" s="65">
        <v>4.3</v>
      </c>
      <c r="K1073" s="65">
        <v>0</v>
      </c>
      <c r="L1073" s="58"/>
      <c r="M1073" s="58"/>
      <c r="N1073" s="34"/>
      <c r="O1073" s="35"/>
    </row>
    <row r="1074" spans="1:15" s="36" customFormat="1" ht="12" x14ac:dyDescent="0.2">
      <c r="A1074" s="33"/>
      <c r="B1074" s="55"/>
      <c r="C1074" s="57"/>
      <c r="D1074" s="57"/>
      <c r="E1074" s="57"/>
      <c r="F1074" s="34"/>
      <c r="G1074" s="34"/>
      <c r="H1074" s="33"/>
      <c r="I1074" s="68">
        <v>43083</v>
      </c>
      <c r="J1074" s="64">
        <v>4.3</v>
      </c>
      <c r="K1074" s="64">
        <v>0</v>
      </c>
      <c r="L1074" s="57"/>
      <c r="M1074" s="57"/>
      <c r="N1074" s="34"/>
      <c r="O1074" s="35"/>
    </row>
    <row r="1075" spans="1:15" s="36" customFormat="1" ht="12" x14ac:dyDescent="0.2">
      <c r="A1075" s="33"/>
      <c r="B1075" s="56"/>
      <c r="C1075" s="58"/>
      <c r="D1075" s="58"/>
      <c r="E1075" s="58"/>
      <c r="F1075" s="34"/>
      <c r="G1075" s="34"/>
      <c r="H1075" s="33"/>
      <c r="I1075" s="69">
        <v>43084</v>
      </c>
      <c r="J1075" s="65">
        <v>4.3</v>
      </c>
      <c r="K1075" s="65">
        <v>0</v>
      </c>
      <c r="L1075" s="58"/>
      <c r="M1075" s="58"/>
      <c r="N1075" s="34"/>
      <c r="O1075" s="35"/>
    </row>
    <row r="1076" spans="1:15" s="36" customFormat="1" ht="12" x14ac:dyDescent="0.2">
      <c r="A1076" s="33"/>
      <c r="B1076" s="55"/>
      <c r="C1076" s="57"/>
      <c r="D1076" s="57"/>
      <c r="E1076" s="57"/>
      <c r="F1076" s="34"/>
      <c r="G1076" s="34"/>
      <c r="H1076" s="33"/>
      <c r="I1076" s="68">
        <v>43087</v>
      </c>
      <c r="J1076" s="64">
        <v>4.3</v>
      </c>
      <c r="K1076" s="64">
        <v>0</v>
      </c>
      <c r="L1076" s="57"/>
      <c r="M1076" s="57"/>
      <c r="N1076" s="34"/>
      <c r="O1076" s="35"/>
    </row>
    <row r="1077" spans="1:15" s="36" customFormat="1" ht="12" x14ac:dyDescent="0.2">
      <c r="A1077" s="33"/>
      <c r="B1077" s="56"/>
      <c r="C1077" s="58"/>
      <c r="D1077" s="58"/>
      <c r="E1077" s="58"/>
      <c r="F1077" s="34"/>
      <c r="G1077" s="34"/>
      <c r="H1077" s="33"/>
      <c r="I1077" s="69">
        <v>43088</v>
      </c>
      <c r="J1077" s="65">
        <v>4.3</v>
      </c>
      <c r="K1077" s="65">
        <v>0</v>
      </c>
      <c r="L1077" s="58"/>
      <c r="M1077" s="58"/>
      <c r="N1077" s="34"/>
      <c r="O1077" s="35"/>
    </row>
    <row r="1078" spans="1:15" s="36" customFormat="1" ht="12" x14ac:dyDescent="0.2">
      <c r="A1078" s="33"/>
      <c r="B1078" s="55"/>
      <c r="C1078" s="57"/>
      <c r="D1078" s="57"/>
      <c r="E1078" s="57"/>
      <c r="F1078" s="34"/>
      <c r="G1078" s="34"/>
      <c r="H1078" s="33"/>
      <c r="I1078" s="68">
        <v>43089</v>
      </c>
      <c r="J1078" s="64">
        <v>4.3</v>
      </c>
      <c r="K1078" s="64">
        <v>0</v>
      </c>
      <c r="L1078" s="57"/>
      <c r="M1078" s="57"/>
      <c r="N1078" s="34"/>
      <c r="O1078" s="35"/>
    </row>
    <row r="1079" spans="1:15" s="36" customFormat="1" ht="12" x14ac:dyDescent="0.2">
      <c r="A1079" s="33"/>
      <c r="B1079" s="56"/>
      <c r="C1079" s="58"/>
      <c r="D1079" s="58"/>
      <c r="E1079" s="58"/>
      <c r="F1079" s="34"/>
      <c r="G1079" s="34"/>
      <c r="H1079" s="33"/>
      <c r="I1079" s="69">
        <v>43090</v>
      </c>
      <c r="J1079" s="65">
        <v>4.3</v>
      </c>
      <c r="K1079" s="65">
        <v>0</v>
      </c>
      <c r="L1079" s="58"/>
      <c r="M1079" s="58"/>
      <c r="N1079" s="34"/>
      <c r="O1079" s="35"/>
    </row>
    <row r="1080" spans="1:15" s="36" customFormat="1" ht="12" x14ac:dyDescent="0.2">
      <c r="A1080" s="33"/>
      <c r="B1080" s="55"/>
      <c r="C1080" s="57"/>
      <c r="D1080" s="57"/>
      <c r="E1080" s="57"/>
      <c r="F1080" s="34"/>
      <c r="G1080" s="34"/>
      <c r="H1080" s="33"/>
      <c r="I1080" s="68">
        <v>43091</v>
      </c>
      <c r="J1080" s="64">
        <v>4.3</v>
      </c>
      <c r="K1080" s="64">
        <v>0</v>
      </c>
      <c r="L1080" s="57"/>
      <c r="M1080" s="57"/>
      <c r="N1080" s="34"/>
      <c r="O1080" s="35"/>
    </row>
    <row r="1081" spans="1:15" s="36" customFormat="1" ht="12" x14ac:dyDescent="0.2">
      <c r="A1081" s="33"/>
      <c r="B1081" s="56"/>
      <c r="C1081" s="58"/>
      <c r="D1081" s="58"/>
      <c r="E1081" s="58"/>
      <c r="F1081" s="34"/>
      <c r="G1081" s="34"/>
      <c r="H1081" s="33"/>
      <c r="I1081" s="69">
        <v>43094</v>
      </c>
      <c r="J1081" s="65">
        <v>4.3</v>
      </c>
      <c r="K1081" s="65">
        <v>0</v>
      </c>
      <c r="L1081" s="58"/>
      <c r="M1081" s="58"/>
      <c r="N1081" s="34"/>
      <c r="O1081" s="35"/>
    </row>
    <row r="1082" spans="1:15" s="36" customFormat="1" ht="12" x14ac:dyDescent="0.2">
      <c r="A1082" s="33"/>
      <c r="B1082" s="55"/>
      <c r="C1082" s="57"/>
      <c r="D1082" s="57"/>
      <c r="E1082" s="57"/>
      <c r="F1082" s="34"/>
      <c r="G1082" s="34"/>
      <c r="H1082" s="33"/>
      <c r="I1082" s="68">
        <v>43095</v>
      </c>
      <c r="J1082" s="64">
        <v>4.3</v>
      </c>
      <c r="K1082" s="64">
        <v>0</v>
      </c>
      <c r="L1082" s="57"/>
      <c r="M1082" s="57"/>
      <c r="N1082" s="34"/>
      <c r="O1082" s="35"/>
    </row>
    <row r="1083" spans="1:15" s="36" customFormat="1" ht="12" x14ac:dyDescent="0.2">
      <c r="A1083" s="33"/>
      <c r="B1083" s="56"/>
      <c r="C1083" s="58"/>
      <c r="D1083" s="58"/>
      <c r="E1083" s="58"/>
      <c r="F1083" s="34"/>
      <c r="G1083" s="34"/>
      <c r="H1083" s="33"/>
      <c r="I1083" s="69">
        <v>43096</v>
      </c>
      <c r="J1083" s="65">
        <v>4.3</v>
      </c>
      <c r="K1083" s="65">
        <v>0</v>
      </c>
      <c r="L1083" s="58"/>
      <c r="M1083" s="58"/>
      <c r="N1083" s="34"/>
      <c r="O1083" s="35"/>
    </row>
    <row r="1084" spans="1:15" s="36" customFormat="1" ht="12" x14ac:dyDescent="0.2">
      <c r="A1084" s="33"/>
      <c r="B1084" s="55"/>
      <c r="C1084" s="57"/>
      <c r="D1084" s="57"/>
      <c r="E1084" s="57"/>
      <c r="F1084" s="34"/>
      <c r="G1084" s="34"/>
      <c r="H1084" s="33"/>
      <c r="I1084" s="68">
        <v>43097</v>
      </c>
      <c r="J1084" s="64">
        <v>4.3</v>
      </c>
      <c r="K1084" s="64">
        <v>0</v>
      </c>
      <c r="L1084" s="57"/>
      <c r="M1084" s="57"/>
      <c r="N1084" s="34"/>
      <c r="O1084" s="35"/>
    </row>
    <row r="1085" spans="1:15" s="36" customFormat="1" ht="12" x14ac:dyDescent="0.2">
      <c r="A1085" s="33"/>
      <c r="B1085" s="56"/>
      <c r="C1085" s="58"/>
      <c r="D1085" s="58"/>
      <c r="E1085" s="58"/>
      <c r="F1085" s="34"/>
      <c r="G1085" s="34"/>
      <c r="H1085" s="33"/>
      <c r="I1085" s="69">
        <v>43098</v>
      </c>
      <c r="J1085" s="65">
        <v>4.3</v>
      </c>
      <c r="K1085" s="65">
        <v>0</v>
      </c>
      <c r="L1085" s="58"/>
      <c r="M1085" s="58"/>
      <c r="N1085" s="34"/>
      <c r="O1085" s="35"/>
    </row>
    <row r="1086" spans="1:15" s="36" customFormat="1" ht="12" x14ac:dyDescent="0.2">
      <c r="A1086" s="33"/>
      <c r="B1086" s="55"/>
      <c r="C1086" s="57"/>
      <c r="D1086" s="57"/>
      <c r="E1086" s="57"/>
      <c r="F1086" s="34"/>
      <c r="G1086" s="34"/>
      <c r="H1086" s="33"/>
      <c r="I1086" s="68">
        <v>43102</v>
      </c>
      <c r="J1086" s="64">
        <v>4.3</v>
      </c>
      <c r="K1086" s="64">
        <v>0</v>
      </c>
      <c r="L1086" s="57"/>
      <c r="M1086" s="57"/>
      <c r="N1086" s="34"/>
      <c r="O1086" s="35"/>
    </row>
    <row r="1087" spans="1:15" s="36" customFormat="1" ht="12" x14ac:dyDescent="0.2">
      <c r="A1087" s="33"/>
      <c r="B1087" s="56"/>
      <c r="C1087" s="58"/>
      <c r="D1087" s="58"/>
      <c r="E1087" s="58"/>
      <c r="F1087" s="34"/>
      <c r="G1087" s="34"/>
      <c r="H1087" s="33"/>
      <c r="I1087" s="69">
        <v>43103</v>
      </c>
      <c r="J1087" s="65">
        <v>4.3</v>
      </c>
      <c r="K1087" s="65">
        <v>0</v>
      </c>
      <c r="L1087" s="58"/>
      <c r="M1087" s="58"/>
      <c r="N1087" s="34"/>
      <c r="O1087" s="35"/>
    </row>
    <row r="1088" spans="1:15" s="36" customFormat="1" ht="12" x14ac:dyDescent="0.2">
      <c r="A1088" s="33"/>
      <c r="B1088" s="55"/>
      <c r="C1088" s="57"/>
      <c r="D1088" s="57"/>
      <c r="E1088" s="57"/>
      <c r="F1088" s="34"/>
      <c r="G1088" s="34"/>
      <c r="H1088" s="33"/>
      <c r="I1088" s="68">
        <v>43104</v>
      </c>
      <c r="J1088" s="64">
        <v>4.3</v>
      </c>
      <c r="K1088" s="64">
        <v>0</v>
      </c>
      <c r="L1088" s="57"/>
      <c r="M1088" s="57"/>
      <c r="N1088" s="34"/>
      <c r="O1088" s="35"/>
    </row>
    <row r="1089" spans="1:15" s="36" customFormat="1" ht="12" x14ac:dyDescent="0.2">
      <c r="A1089" s="33"/>
      <c r="B1089" s="56"/>
      <c r="C1089" s="58"/>
      <c r="D1089" s="58"/>
      <c r="E1089" s="58"/>
      <c r="F1089" s="34"/>
      <c r="G1089" s="34"/>
      <c r="H1089" s="33"/>
      <c r="I1089" s="69">
        <v>43105</v>
      </c>
      <c r="J1089" s="65">
        <v>4.3</v>
      </c>
      <c r="K1089" s="65">
        <v>0</v>
      </c>
      <c r="L1089" s="58"/>
      <c r="M1089" s="58"/>
      <c r="N1089" s="34"/>
      <c r="O1089" s="35"/>
    </row>
    <row r="1090" spans="1:15" s="36" customFormat="1" ht="12" x14ac:dyDescent="0.2">
      <c r="A1090" s="33"/>
      <c r="B1090" s="55"/>
      <c r="C1090" s="57"/>
      <c r="D1090" s="57"/>
      <c r="E1090" s="57"/>
      <c r="F1090" s="34"/>
      <c r="G1090" s="34"/>
      <c r="H1090" s="33"/>
      <c r="I1090" s="68">
        <v>43108</v>
      </c>
      <c r="J1090" s="64">
        <v>4.3</v>
      </c>
      <c r="K1090" s="64">
        <v>0</v>
      </c>
      <c r="L1090" s="57"/>
      <c r="M1090" s="57"/>
      <c r="N1090" s="34"/>
      <c r="O1090" s="35"/>
    </row>
    <row r="1091" spans="1:15" s="36" customFormat="1" ht="12" x14ac:dyDescent="0.2">
      <c r="A1091" s="33"/>
      <c r="B1091" s="56"/>
      <c r="C1091" s="58"/>
      <c r="D1091" s="58"/>
      <c r="E1091" s="58"/>
      <c r="F1091" s="34"/>
      <c r="G1091" s="34"/>
      <c r="H1091" s="33"/>
      <c r="I1091" s="69">
        <v>43109</v>
      </c>
      <c r="J1091" s="65">
        <v>4.3</v>
      </c>
      <c r="K1091" s="65">
        <v>0</v>
      </c>
      <c r="L1091" s="58"/>
      <c r="M1091" s="58"/>
      <c r="N1091" s="34"/>
      <c r="O1091" s="35"/>
    </row>
    <row r="1092" spans="1:15" s="36" customFormat="1" ht="12" x14ac:dyDescent="0.2">
      <c r="A1092" s="33"/>
      <c r="B1092" s="55"/>
      <c r="C1092" s="57"/>
      <c r="D1092" s="57"/>
      <c r="E1092" s="57"/>
      <c r="F1092" s="34"/>
      <c r="G1092" s="34"/>
      <c r="H1092" s="33"/>
      <c r="I1092" s="68">
        <v>43110</v>
      </c>
      <c r="J1092" s="64">
        <v>4.3</v>
      </c>
      <c r="K1092" s="64">
        <v>0</v>
      </c>
      <c r="L1092" s="57"/>
      <c r="M1092" s="57"/>
      <c r="N1092" s="34"/>
      <c r="O1092" s="35"/>
    </row>
    <row r="1093" spans="1:15" s="36" customFormat="1" ht="12" x14ac:dyDescent="0.2">
      <c r="A1093" s="33"/>
      <c r="B1093" s="56"/>
      <c r="C1093" s="58"/>
      <c r="D1093" s="58"/>
      <c r="E1093" s="58"/>
      <c r="F1093" s="34"/>
      <c r="G1093" s="34"/>
      <c r="H1093" s="33"/>
      <c r="I1093" s="69">
        <v>43111</v>
      </c>
      <c r="J1093" s="65">
        <v>4.3</v>
      </c>
      <c r="K1093" s="65">
        <v>0</v>
      </c>
      <c r="L1093" s="58"/>
      <c r="M1093" s="58"/>
      <c r="N1093" s="34"/>
      <c r="O1093" s="35"/>
    </row>
    <row r="1094" spans="1:15" s="36" customFormat="1" ht="12" x14ac:dyDescent="0.2">
      <c r="A1094" s="33"/>
      <c r="B1094" s="55"/>
      <c r="C1094" s="57"/>
      <c r="D1094" s="57"/>
      <c r="E1094" s="57"/>
      <c r="F1094" s="34"/>
      <c r="G1094" s="34"/>
      <c r="H1094" s="33"/>
      <c r="I1094" s="68">
        <v>43112</v>
      </c>
      <c r="J1094" s="64">
        <v>4.3</v>
      </c>
      <c r="K1094" s="64">
        <v>0</v>
      </c>
      <c r="L1094" s="57"/>
      <c r="M1094" s="57"/>
      <c r="N1094" s="34"/>
      <c r="O1094" s="35"/>
    </row>
    <row r="1095" spans="1:15" s="36" customFormat="1" ht="12" x14ac:dyDescent="0.2">
      <c r="A1095" s="33"/>
      <c r="B1095" s="56"/>
      <c r="C1095" s="58"/>
      <c r="D1095" s="58"/>
      <c r="E1095" s="58"/>
      <c r="F1095" s="34"/>
      <c r="G1095" s="34"/>
      <c r="H1095" s="33"/>
      <c r="I1095" s="69">
        <v>43115</v>
      </c>
      <c r="J1095" s="65">
        <v>4.3</v>
      </c>
      <c r="K1095" s="65">
        <v>0</v>
      </c>
      <c r="L1095" s="58"/>
      <c r="M1095" s="58"/>
      <c r="N1095" s="34"/>
      <c r="O1095" s="35"/>
    </row>
    <row r="1096" spans="1:15" s="36" customFormat="1" ht="12" x14ac:dyDescent="0.2">
      <c r="A1096" s="33"/>
      <c r="B1096" s="55"/>
      <c r="C1096" s="57"/>
      <c r="D1096" s="57"/>
      <c r="E1096" s="57"/>
      <c r="F1096" s="34"/>
      <c r="G1096" s="34"/>
      <c r="H1096" s="33"/>
      <c r="I1096" s="68">
        <v>43116</v>
      </c>
      <c r="J1096" s="64">
        <v>4.3</v>
      </c>
      <c r="K1096" s="64">
        <v>0</v>
      </c>
      <c r="L1096" s="57"/>
      <c r="M1096" s="57"/>
      <c r="N1096" s="34"/>
      <c r="O1096" s="35"/>
    </row>
    <row r="1097" spans="1:15" s="36" customFormat="1" ht="12" x14ac:dyDescent="0.2">
      <c r="A1097" s="33"/>
      <c r="B1097" s="56"/>
      <c r="C1097" s="58"/>
      <c r="D1097" s="58"/>
      <c r="E1097" s="58"/>
      <c r="F1097" s="34"/>
      <c r="G1097" s="34"/>
      <c r="H1097" s="33"/>
      <c r="I1097" s="69">
        <v>43117</v>
      </c>
      <c r="J1097" s="65">
        <v>4.3</v>
      </c>
      <c r="K1097" s="65">
        <v>0</v>
      </c>
      <c r="L1097" s="58"/>
      <c r="M1097" s="58"/>
      <c r="N1097" s="34"/>
      <c r="O1097" s="35"/>
    </row>
    <row r="1098" spans="1:15" s="36" customFormat="1" ht="12" x14ac:dyDescent="0.2">
      <c r="A1098" s="33"/>
      <c r="B1098" s="55"/>
      <c r="C1098" s="57"/>
      <c r="D1098" s="57"/>
      <c r="E1098" s="57"/>
      <c r="F1098" s="34"/>
      <c r="G1098" s="34"/>
      <c r="H1098" s="33"/>
      <c r="I1098" s="68">
        <v>43118</v>
      </c>
      <c r="J1098" s="64">
        <v>4.3</v>
      </c>
      <c r="K1098" s="64">
        <v>0</v>
      </c>
      <c r="L1098" s="57"/>
      <c r="M1098" s="57"/>
      <c r="N1098" s="34"/>
      <c r="O1098" s="35"/>
    </row>
    <row r="1099" spans="1:15" s="36" customFormat="1" ht="12" x14ac:dyDescent="0.2">
      <c r="A1099" s="33"/>
      <c r="B1099" s="56"/>
      <c r="C1099" s="58"/>
      <c r="D1099" s="58"/>
      <c r="E1099" s="58"/>
      <c r="F1099" s="34"/>
      <c r="G1099" s="34"/>
      <c r="H1099" s="33"/>
      <c r="I1099" s="69">
        <v>43119</v>
      </c>
      <c r="J1099" s="65">
        <v>4.3</v>
      </c>
      <c r="K1099" s="65">
        <v>0</v>
      </c>
      <c r="L1099" s="58"/>
      <c r="M1099" s="58"/>
      <c r="N1099" s="34"/>
      <c r="O1099" s="35"/>
    </row>
    <row r="1100" spans="1:15" s="36" customFormat="1" ht="12" x14ac:dyDescent="0.2">
      <c r="A1100" s="33"/>
      <c r="B1100" s="55"/>
      <c r="C1100" s="57"/>
      <c r="D1100" s="57"/>
      <c r="E1100" s="57"/>
      <c r="F1100" s="34"/>
      <c r="G1100" s="34"/>
      <c r="H1100" s="33"/>
      <c r="I1100" s="68">
        <v>43122</v>
      </c>
      <c r="J1100" s="64">
        <v>4.3</v>
      </c>
      <c r="K1100" s="64">
        <v>0</v>
      </c>
      <c r="L1100" s="57"/>
      <c r="M1100" s="57"/>
      <c r="N1100" s="34"/>
      <c r="O1100" s="35"/>
    </row>
    <row r="1101" spans="1:15" s="36" customFormat="1" ht="12" x14ac:dyDescent="0.2">
      <c r="A1101" s="33"/>
      <c r="B1101" s="56"/>
      <c r="C1101" s="58"/>
      <c r="D1101" s="58"/>
      <c r="E1101" s="58"/>
      <c r="F1101" s="34"/>
      <c r="G1101" s="34"/>
      <c r="H1101" s="33"/>
      <c r="I1101" s="69">
        <v>43123</v>
      </c>
      <c r="J1101" s="65">
        <v>4.3</v>
      </c>
      <c r="K1101" s="65">
        <v>0</v>
      </c>
      <c r="L1101" s="58"/>
      <c r="M1101" s="58"/>
      <c r="N1101" s="34"/>
      <c r="O1101" s="35"/>
    </row>
    <row r="1102" spans="1:15" s="36" customFormat="1" ht="12" x14ac:dyDescent="0.2">
      <c r="A1102" s="33"/>
      <c r="B1102" s="55"/>
      <c r="C1102" s="57"/>
      <c r="D1102" s="57"/>
      <c r="E1102" s="57"/>
      <c r="F1102" s="34"/>
      <c r="G1102" s="34"/>
      <c r="H1102" s="33"/>
      <c r="I1102" s="68">
        <v>43124</v>
      </c>
      <c r="J1102" s="64">
        <v>4.3</v>
      </c>
      <c r="K1102" s="64">
        <v>0</v>
      </c>
      <c r="L1102" s="57"/>
      <c r="M1102" s="57"/>
      <c r="N1102" s="34"/>
      <c r="O1102" s="35"/>
    </row>
    <row r="1103" spans="1:15" s="36" customFormat="1" ht="12" x14ac:dyDescent="0.2">
      <c r="A1103" s="33"/>
      <c r="B1103" s="56"/>
      <c r="C1103" s="58"/>
      <c r="D1103" s="58"/>
      <c r="E1103" s="58"/>
      <c r="F1103" s="34"/>
      <c r="G1103" s="34"/>
      <c r="H1103" s="33"/>
      <c r="I1103" s="69">
        <v>43125</v>
      </c>
      <c r="J1103" s="65">
        <v>4.3</v>
      </c>
      <c r="K1103" s="65">
        <v>0</v>
      </c>
      <c r="L1103" s="58"/>
      <c r="M1103" s="58"/>
      <c r="N1103" s="34"/>
      <c r="O1103" s="35"/>
    </row>
    <row r="1104" spans="1:15" s="36" customFormat="1" ht="12" x14ac:dyDescent="0.2">
      <c r="A1104" s="33"/>
      <c r="B1104" s="55"/>
      <c r="C1104" s="57"/>
      <c r="D1104" s="57"/>
      <c r="E1104" s="57"/>
      <c r="F1104" s="34"/>
      <c r="G1104" s="34"/>
      <c r="H1104" s="33"/>
      <c r="I1104" s="68">
        <v>43126</v>
      </c>
      <c r="J1104" s="64">
        <v>4.3</v>
      </c>
      <c r="K1104" s="64">
        <v>0</v>
      </c>
      <c r="L1104" s="57"/>
      <c r="M1104" s="57"/>
      <c r="N1104" s="34"/>
      <c r="O1104" s="35"/>
    </row>
    <row r="1105" spans="1:15" s="36" customFormat="1" ht="12" x14ac:dyDescent="0.2">
      <c r="A1105" s="33"/>
      <c r="B1105" s="56"/>
      <c r="C1105" s="58"/>
      <c r="D1105" s="58"/>
      <c r="E1105" s="58"/>
      <c r="F1105" s="34"/>
      <c r="G1105" s="34"/>
      <c r="H1105" s="33"/>
      <c r="I1105" s="69">
        <v>43129</v>
      </c>
      <c r="J1105" s="65">
        <v>4.3</v>
      </c>
      <c r="K1105" s="65">
        <v>0</v>
      </c>
      <c r="L1105" s="58"/>
      <c r="M1105" s="58"/>
      <c r="N1105" s="34"/>
      <c r="O1105" s="35"/>
    </row>
    <row r="1106" spans="1:15" s="36" customFormat="1" ht="12" x14ac:dyDescent="0.2">
      <c r="A1106" s="33"/>
      <c r="B1106" s="55"/>
      <c r="C1106" s="57"/>
      <c r="D1106" s="57"/>
      <c r="E1106" s="57"/>
      <c r="F1106" s="34"/>
      <c r="G1106" s="34"/>
      <c r="H1106" s="33"/>
      <c r="I1106" s="68">
        <v>43130</v>
      </c>
      <c r="J1106" s="64">
        <v>4.3</v>
      </c>
      <c r="K1106" s="64">
        <v>0</v>
      </c>
      <c r="L1106" s="57"/>
      <c r="M1106" s="57"/>
      <c r="N1106" s="34"/>
      <c r="O1106" s="35"/>
    </row>
    <row r="1107" spans="1:15" s="36" customFormat="1" ht="12" x14ac:dyDescent="0.2">
      <c r="A1107" s="33"/>
      <c r="B1107" s="56"/>
      <c r="C1107" s="58"/>
      <c r="D1107" s="58"/>
      <c r="E1107" s="58"/>
      <c r="F1107" s="34"/>
      <c r="G1107" s="34"/>
      <c r="H1107" s="33"/>
      <c r="I1107" s="69">
        <v>43131</v>
      </c>
      <c r="J1107" s="65">
        <v>4.3</v>
      </c>
      <c r="K1107" s="65">
        <v>0</v>
      </c>
      <c r="L1107" s="58"/>
      <c r="M1107" s="58"/>
      <c r="N1107" s="34"/>
      <c r="O1107" s="35"/>
    </row>
    <row r="1108" spans="1:15" s="36" customFormat="1" ht="12" x14ac:dyDescent="0.2">
      <c r="A1108" s="33"/>
      <c r="B1108" s="55"/>
      <c r="C1108" s="57"/>
      <c r="D1108" s="57"/>
      <c r="E1108" s="57"/>
      <c r="F1108" s="34"/>
      <c r="G1108" s="34"/>
      <c r="H1108" s="33"/>
      <c r="I1108" s="68">
        <v>43132</v>
      </c>
      <c r="J1108" s="64">
        <v>4.3</v>
      </c>
      <c r="K1108" s="64">
        <v>0</v>
      </c>
      <c r="L1108" s="57"/>
      <c r="M1108" s="57"/>
      <c r="N1108" s="34"/>
      <c r="O1108" s="35"/>
    </row>
    <row r="1109" spans="1:15" s="36" customFormat="1" ht="12" x14ac:dyDescent="0.2">
      <c r="A1109" s="33"/>
      <c r="B1109" s="56"/>
      <c r="C1109" s="58"/>
      <c r="D1109" s="58"/>
      <c r="E1109" s="58"/>
      <c r="F1109" s="34"/>
      <c r="G1109" s="34"/>
      <c r="H1109" s="33"/>
      <c r="I1109" s="69">
        <v>43133</v>
      </c>
      <c r="J1109" s="65">
        <v>4.3</v>
      </c>
      <c r="K1109" s="65">
        <v>0</v>
      </c>
      <c r="L1109" s="58"/>
      <c r="M1109" s="58"/>
      <c r="N1109" s="34"/>
      <c r="O1109" s="35"/>
    </row>
    <row r="1110" spans="1:15" s="36" customFormat="1" ht="12" x14ac:dyDescent="0.2">
      <c r="A1110" s="33"/>
      <c r="B1110" s="55"/>
      <c r="C1110" s="57"/>
      <c r="D1110" s="57"/>
      <c r="E1110" s="57"/>
      <c r="F1110" s="34"/>
      <c r="G1110" s="34"/>
      <c r="H1110" s="33"/>
      <c r="I1110" s="68">
        <v>43136</v>
      </c>
      <c r="J1110" s="64">
        <v>4.3</v>
      </c>
      <c r="K1110" s="64">
        <v>0</v>
      </c>
      <c r="L1110" s="57"/>
      <c r="M1110" s="57"/>
      <c r="N1110" s="34"/>
      <c r="O1110" s="35"/>
    </row>
    <row r="1111" spans="1:15" s="36" customFormat="1" ht="12" x14ac:dyDescent="0.2">
      <c r="A1111" s="33"/>
      <c r="B1111" s="56"/>
      <c r="C1111" s="58"/>
      <c r="D1111" s="58"/>
      <c r="E1111" s="58"/>
      <c r="F1111" s="34"/>
      <c r="G1111" s="34"/>
      <c r="H1111" s="33"/>
      <c r="I1111" s="69">
        <v>43137</v>
      </c>
      <c r="J1111" s="65">
        <v>4.3</v>
      </c>
      <c r="K1111" s="65">
        <v>0</v>
      </c>
      <c r="L1111" s="58"/>
      <c r="M1111" s="58"/>
      <c r="N1111" s="34"/>
      <c r="O1111" s="35"/>
    </row>
    <row r="1112" spans="1:15" s="36" customFormat="1" ht="12" x14ac:dyDescent="0.2">
      <c r="A1112" s="33"/>
      <c r="B1112" s="55"/>
      <c r="C1112" s="57"/>
      <c r="D1112" s="57"/>
      <c r="E1112" s="57"/>
      <c r="F1112" s="34"/>
      <c r="G1112" s="34"/>
      <c r="H1112" s="33"/>
      <c r="I1112" s="68">
        <v>43138</v>
      </c>
      <c r="J1112" s="64">
        <v>4.3</v>
      </c>
      <c r="K1112" s="64">
        <v>0</v>
      </c>
      <c r="L1112" s="57"/>
      <c r="M1112" s="57"/>
      <c r="N1112" s="34"/>
      <c r="O1112" s="35"/>
    </row>
    <row r="1113" spans="1:15" s="36" customFormat="1" ht="12" x14ac:dyDescent="0.2">
      <c r="A1113" s="33"/>
      <c r="B1113" s="56"/>
      <c r="C1113" s="58"/>
      <c r="D1113" s="58"/>
      <c r="E1113" s="58"/>
      <c r="F1113" s="34"/>
      <c r="G1113" s="34"/>
      <c r="H1113" s="33"/>
      <c r="I1113" s="69">
        <v>43139</v>
      </c>
      <c r="J1113" s="65">
        <v>4.3</v>
      </c>
      <c r="K1113" s="65">
        <v>0</v>
      </c>
      <c r="L1113" s="58"/>
      <c r="M1113" s="58"/>
      <c r="N1113" s="34"/>
      <c r="O1113" s="35"/>
    </row>
    <row r="1114" spans="1:15" s="36" customFormat="1" ht="12" x14ac:dyDescent="0.2">
      <c r="A1114" s="33"/>
      <c r="B1114" s="55"/>
      <c r="C1114" s="57"/>
      <c r="D1114" s="57"/>
      <c r="E1114" s="57"/>
      <c r="F1114" s="34"/>
      <c r="G1114" s="34"/>
      <c r="H1114" s="33"/>
      <c r="I1114" s="68">
        <v>43140</v>
      </c>
      <c r="J1114" s="64">
        <v>4.3</v>
      </c>
      <c r="K1114" s="64">
        <v>0</v>
      </c>
      <c r="L1114" s="57"/>
      <c r="M1114" s="57"/>
      <c r="N1114" s="34"/>
      <c r="O1114" s="35"/>
    </row>
    <row r="1115" spans="1:15" s="36" customFormat="1" ht="12" x14ac:dyDescent="0.2">
      <c r="A1115" s="33"/>
      <c r="B1115" s="56"/>
      <c r="C1115" s="58"/>
      <c r="D1115" s="58"/>
      <c r="E1115" s="58"/>
      <c r="F1115" s="34"/>
      <c r="G1115" s="34"/>
      <c r="H1115" s="33"/>
      <c r="I1115" s="69">
        <v>43142</v>
      </c>
      <c r="J1115" s="65">
        <v>4.3</v>
      </c>
      <c r="K1115" s="65">
        <v>0</v>
      </c>
      <c r="L1115" s="58"/>
      <c r="M1115" s="58"/>
      <c r="N1115" s="34"/>
      <c r="O1115" s="35"/>
    </row>
    <row r="1116" spans="1:15" s="36" customFormat="1" ht="12" x14ac:dyDescent="0.2">
      <c r="A1116" s="33"/>
      <c r="B1116" s="55"/>
      <c r="C1116" s="57"/>
      <c r="D1116" s="57"/>
      <c r="E1116" s="57"/>
      <c r="F1116" s="34"/>
      <c r="G1116" s="34"/>
      <c r="H1116" s="33"/>
      <c r="I1116" s="68">
        <v>43143</v>
      </c>
      <c r="J1116" s="64">
        <v>4.3</v>
      </c>
      <c r="K1116" s="64">
        <v>0</v>
      </c>
      <c r="L1116" s="57"/>
      <c r="M1116" s="57"/>
      <c r="N1116" s="34"/>
      <c r="O1116" s="35"/>
    </row>
    <row r="1117" spans="1:15" s="36" customFormat="1" ht="12" x14ac:dyDescent="0.2">
      <c r="A1117" s="33"/>
      <c r="B1117" s="56"/>
      <c r="C1117" s="58"/>
      <c r="D1117" s="58"/>
      <c r="E1117" s="58"/>
      <c r="F1117" s="34"/>
      <c r="G1117" s="34"/>
      <c r="H1117" s="33"/>
      <c r="I1117" s="69">
        <v>43144</v>
      </c>
      <c r="J1117" s="65">
        <v>4.3</v>
      </c>
      <c r="K1117" s="65">
        <v>0</v>
      </c>
      <c r="L1117" s="58"/>
      <c r="M1117" s="58"/>
      <c r="N1117" s="34"/>
      <c r="O1117" s="35"/>
    </row>
    <row r="1118" spans="1:15" s="36" customFormat="1" ht="12" x14ac:dyDescent="0.2">
      <c r="A1118" s="33"/>
      <c r="B1118" s="55"/>
      <c r="C1118" s="57"/>
      <c r="D1118" s="57"/>
      <c r="E1118" s="57"/>
      <c r="F1118" s="34"/>
      <c r="G1118" s="34"/>
      <c r="H1118" s="33"/>
      <c r="I1118" s="68">
        <v>43145</v>
      </c>
      <c r="J1118" s="64">
        <v>4.3</v>
      </c>
      <c r="K1118" s="64">
        <v>0</v>
      </c>
      <c r="L1118" s="57"/>
      <c r="M1118" s="57"/>
      <c r="N1118" s="34"/>
      <c r="O1118" s="35"/>
    </row>
    <row r="1119" spans="1:15" s="36" customFormat="1" ht="12" x14ac:dyDescent="0.2">
      <c r="A1119" s="33"/>
      <c r="B1119" s="56"/>
      <c r="C1119" s="58"/>
      <c r="D1119" s="58"/>
      <c r="E1119" s="58"/>
      <c r="F1119" s="34"/>
      <c r="G1119" s="34"/>
      <c r="H1119" s="33"/>
      <c r="I1119" s="69">
        <v>43153</v>
      </c>
      <c r="J1119" s="65">
        <v>4.3</v>
      </c>
      <c r="K1119" s="65">
        <v>0</v>
      </c>
      <c r="L1119" s="58"/>
      <c r="M1119" s="58"/>
      <c r="N1119" s="34"/>
      <c r="O1119" s="35"/>
    </row>
    <row r="1120" spans="1:15" s="36" customFormat="1" ht="12" x14ac:dyDescent="0.15">
      <c r="I1120" s="73">
        <v>43154</v>
      </c>
      <c r="J1120" s="75">
        <v>4.3</v>
      </c>
      <c r="K1120" s="75">
        <v>0</v>
      </c>
    </row>
    <row r="1121" spans="9:11" s="36" customFormat="1" ht="12" x14ac:dyDescent="0.15">
      <c r="I1121" s="73">
        <v>43155</v>
      </c>
      <c r="J1121" s="75">
        <v>4.3</v>
      </c>
      <c r="K1121" s="75">
        <v>0</v>
      </c>
    </row>
    <row r="1122" spans="9:11" s="36" customFormat="1" ht="12" x14ac:dyDescent="0.15">
      <c r="I1122" s="73">
        <v>43157</v>
      </c>
      <c r="J1122" s="75">
        <v>4.3</v>
      </c>
      <c r="K1122" s="75">
        <v>0</v>
      </c>
    </row>
    <row r="1123" spans="9:11" s="36" customFormat="1" ht="12" x14ac:dyDescent="0.15">
      <c r="I1123" s="73">
        <v>43158</v>
      </c>
      <c r="J1123" s="75">
        <v>4.3</v>
      </c>
      <c r="K1123" s="75">
        <v>0</v>
      </c>
    </row>
    <row r="1124" spans="9:11" s="36" customFormat="1" ht="12" x14ac:dyDescent="0.15">
      <c r="I1124" s="73">
        <v>43159</v>
      </c>
      <c r="J1124" s="75">
        <v>4.3</v>
      </c>
      <c r="K1124" s="75">
        <v>0</v>
      </c>
    </row>
    <row r="1125" spans="9:11" s="36" customFormat="1" ht="12" x14ac:dyDescent="0.15">
      <c r="I1125" s="73">
        <v>43160</v>
      </c>
      <c r="J1125" s="75">
        <v>4.3</v>
      </c>
      <c r="K1125" s="75">
        <v>0</v>
      </c>
    </row>
    <row r="1126" spans="9:11" s="36" customFormat="1" ht="12" x14ac:dyDescent="0.15">
      <c r="I1126" s="73">
        <v>43161</v>
      </c>
      <c r="J1126" s="75">
        <v>4.3</v>
      </c>
      <c r="K1126" s="75">
        <v>0</v>
      </c>
    </row>
    <row r="1127" spans="9:11" s="36" customFormat="1" ht="12" x14ac:dyDescent="0.15">
      <c r="I1127" s="73">
        <v>43164</v>
      </c>
      <c r="J1127" s="75">
        <v>4.3</v>
      </c>
      <c r="K1127" s="75">
        <v>0</v>
      </c>
    </row>
    <row r="1128" spans="9:11" s="36" customFormat="1" ht="12" x14ac:dyDescent="0.15">
      <c r="I1128" s="73">
        <v>43165</v>
      </c>
      <c r="J1128" s="75">
        <v>4.3</v>
      </c>
      <c r="K1128" s="75">
        <v>0</v>
      </c>
    </row>
    <row r="1129" spans="9:11" s="36" customFormat="1" ht="12" x14ac:dyDescent="0.15">
      <c r="I1129" s="73">
        <v>43166</v>
      </c>
      <c r="J1129" s="75">
        <v>4.3</v>
      </c>
      <c r="K1129" s="75">
        <v>0</v>
      </c>
    </row>
    <row r="1130" spans="9:11" s="36" customFormat="1" ht="12" x14ac:dyDescent="0.15">
      <c r="I1130" s="73">
        <v>43167</v>
      </c>
      <c r="J1130" s="75">
        <v>4.3</v>
      </c>
      <c r="K1130" s="75">
        <v>0</v>
      </c>
    </row>
    <row r="1131" spans="9:11" s="36" customFormat="1" ht="12" x14ac:dyDescent="0.15">
      <c r="I1131" s="73">
        <v>43168</v>
      </c>
      <c r="J1131" s="75">
        <v>4.3</v>
      </c>
      <c r="K1131" s="75">
        <v>0</v>
      </c>
    </row>
    <row r="1132" spans="9:11" s="36" customFormat="1" ht="12" x14ac:dyDescent="0.15">
      <c r="I1132" s="73">
        <v>43171</v>
      </c>
      <c r="J1132" s="75">
        <v>4.3</v>
      </c>
      <c r="K1132" s="75">
        <v>0</v>
      </c>
    </row>
    <row r="1133" spans="9:11" s="36" customFormat="1" ht="12" x14ac:dyDescent="0.15">
      <c r="I1133" s="73">
        <v>43172</v>
      </c>
      <c r="J1133" s="75">
        <v>4.3</v>
      </c>
      <c r="K1133" s="75">
        <v>0</v>
      </c>
    </row>
    <row r="1134" spans="9:11" s="36" customFormat="1" ht="12" x14ac:dyDescent="0.15">
      <c r="I1134" s="73">
        <v>43173</v>
      </c>
      <c r="J1134" s="75">
        <v>4.3</v>
      </c>
      <c r="K1134" s="75">
        <v>0</v>
      </c>
    </row>
    <row r="1135" spans="9:11" s="36" customFormat="1" ht="12" x14ac:dyDescent="0.15">
      <c r="I1135" s="73">
        <v>43174</v>
      </c>
      <c r="J1135" s="75">
        <v>4.3</v>
      </c>
      <c r="K1135" s="75">
        <v>0</v>
      </c>
    </row>
    <row r="1136" spans="9:11" s="36" customFormat="1" ht="12" x14ac:dyDescent="0.15">
      <c r="I1136" s="73">
        <v>43175</v>
      </c>
      <c r="J1136" s="75">
        <v>4.3</v>
      </c>
      <c r="K1136" s="75">
        <v>0</v>
      </c>
    </row>
    <row r="1137" spans="9:11" s="36" customFormat="1" ht="12" x14ac:dyDescent="0.15">
      <c r="I1137" s="73">
        <v>43178</v>
      </c>
      <c r="J1137" s="75">
        <v>4.3</v>
      </c>
      <c r="K1137" s="75">
        <v>0</v>
      </c>
    </row>
    <row r="1138" spans="9:11" s="36" customFormat="1" ht="12" x14ac:dyDescent="0.15">
      <c r="I1138" s="73">
        <v>43179</v>
      </c>
      <c r="J1138" s="75">
        <v>4.3</v>
      </c>
      <c r="K1138" s="75">
        <v>0</v>
      </c>
    </row>
    <row r="1139" spans="9:11" s="36" customFormat="1" ht="12" x14ac:dyDescent="0.15">
      <c r="I1139" s="73">
        <v>43180</v>
      </c>
      <c r="J1139" s="75">
        <v>4.3</v>
      </c>
      <c r="K1139" s="75">
        <v>0</v>
      </c>
    </row>
    <row r="1140" spans="9:11" s="36" customFormat="1" ht="12" x14ac:dyDescent="0.15">
      <c r="I1140" s="73">
        <v>43181</v>
      </c>
      <c r="J1140" s="75">
        <v>4.3</v>
      </c>
      <c r="K1140" s="75">
        <v>0</v>
      </c>
    </row>
    <row r="1141" spans="9:11" s="36" customFormat="1" ht="12" x14ac:dyDescent="0.15">
      <c r="I1141" s="73">
        <v>43182</v>
      </c>
      <c r="J1141" s="75">
        <v>4.3</v>
      </c>
      <c r="K1141" s="75">
        <v>0</v>
      </c>
    </row>
    <row r="1142" spans="9:11" s="36" customFormat="1" ht="12" x14ac:dyDescent="0.15">
      <c r="I1142" s="73">
        <v>43185</v>
      </c>
      <c r="J1142" s="75">
        <v>4.3</v>
      </c>
      <c r="K1142" s="75">
        <v>0</v>
      </c>
    </row>
    <row r="1143" spans="9:11" s="36" customFormat="1" ht="12" x14ac:dyDescent="0.15">
      <c r="I1143" s="73">
        <v>43186</v>
      </c>
      <c r="J1143" s="75">
        <v>4.3</v>
      </c>
      <c r="K1143" s="75">
        <v>0</v>
      </c>
    </row>
    <row r="1144" spans="9:11" s="36" customFormat="1" ht="12" x14ac:dyDescent="0.15">
      <c r="I1144" s="73">
        <v>43187</v>
      </c>
      <c r="J1144" s="75">
        <v>4.3</v>
      </c>
      <c r="K1144" s="75">
        <v>0</v>
      </c>
    </row>
    <row r="1145" spans="9:11" s="36" customFormat="1" ht="12" x14ac:dyDescent="0.15">
      <c r="I1145" s="73">
        <v>43188</v>
      </c>
      <c r="J1145" s="75">
        <v>4.3</v>
      </c>
      <c r="K1145" s="75">
        <v>0</v>
      </c>
    </row>
    <row r="1146" spans="9:11" s="36" customFormat="1" ht="12" x14ac:dyDescent="0.15">
      <c r="I1146" s="73">
        <v>43189</v>
      </c>
      <c r="J1146" s="75">
        <v>4.3</v>
      </c>
      <c r="K1146" s="75">
        <v>0</v>
      </c>
    </row>
    <row r="1147" spans="9:11" s="36" customFormat="1" ht="12" x14ac:dyDescent="0.15">
      <c r="I1147" s="73">
        <v>43192</v>
      </c>
      <c r="J1147" s="75">
        <v>4.3</v>
      </c>
      <c r="K1147" s="75">
        <v>0</v>
      </c>
    </row>
    <row r="1148" spans="9:11" s="36" customFormat="1" ht="12" x14ac:dyDescent="0.15">
      <c r="I1148" s="73">
        <v>43193</v>
      </c>
      <c r="J1148" s="75">
        <v>4.3</v>
      </c>
      <c r="K1148" s="75">
        <v>0</v>
      </c>
    </row>
    <row r="1149" spans="9:11" s="36" customFormat="1" ht="12" x14ac:dyDescent="0.15">
      <c r="I1149" s="73">
        <v>43194</v>
      </c>
      <c r="J1149" s="75">
        <v>4.3</v>
      </c>
      <c r="K1149" s="75">
        <v>0</v>
      </c>
    </row>
    <row r="1150" spans="9:11" s="36" customFormat="1" ht="12" x14ac:dyDescent="0.15">
      <c r="I1150" s="73">
        <v>43198</v>
      </c>
      <c r="J1150" s="75">
        <v>4.3099999999999996</v>
      </c>
      <c r="K1150" s="75">
        <v>0</v>
      </c>
    </row>
    <row r="1151" spans="9:11" s="36" customFormat="1" ht="12" x14ac:dyDescent="0.15">
      <c r="I1151" s="73">
        <v>43199</v>
      </c>
      <c r="J1151" s="75">
        <v>4.3099999999999996</v>
      </c>
      <c r="K1151" s="75">
        <v>0</v>
      </c>
    </row>
    <row r="1152" spans="9:11" s="36" customFormat="1" ht="12" x14ac:dyDescent="0.15">
      <c r="I1152" s="73">
        <v>43200</v>
      </c>
      <c r="J1152" s="75">
        <v>4.3099999999999996</v>
      </c>
      <c r="K1152" s="75">
        <v>0</v>
      </c>
    </row>
    <row r="1153" spans="1:15" s="36" customFormat="1" ht="12" x14ac:dyDescent="0.15">
      <c r="I1153" s="73">
        <v>43201</v>
      </c>
      <c r="J1153" s="75">
        <v>4.3099999999999996</v>
      </c>
      <c r="K1153" s="75">
        <v>0</v>
      </c>
    </row>
    <row r="1154" spans="1:15" s="36" customFormat="1" ht="12" x14ac:dyDescent="0.15">
      <c r="I1154" s="73">
        <v>43202</v>
      </c>
      <c r="J1154" s="75">
        <v>4.3099999999999996</v>
      </c>
      <c r="K1154" s="75">
        <v>0</v>
      </c>
    </row>
    <row r="1155" spans="1:15" s="36" customFormat="1" ht="12" x14ac:dyDescent="0.15">
      <c r="I1155" s="73">
        <v>43203</v>
      </c>
      <c r="J1155" s="75">
        <v>4.3099999999999996</v>
      </c>
      <c r="K1155" s="75">
        <v>0</v>
      </c>
    </row>
    <row r="1156" spans="1:15" s="36" customFormat="1" ht="12" x14ac:dyDescent="0.15">
      <c r="I1156" s="73">
        <v>43206</v>
      </c>
      <c r="J1156" s="75">
        <v>4.3099999999999996</v>
      </c>
      <c r="K1156" s="75">
        <v>0</v>
      </c>
    </row>
    <row r="1157" spans="1:15" s="36" customFormat="1" ht="12" x14ac:dyDescent="0.15">
      <c r="I1157" s="73">
        <v>43207</v>
      </c>
      <c r="J1157" s="75">
        <v>4.3099999999999996</v>
      </c>
      <c r="K1157" s="75">
        <v>0</v>
      </c>
    </row>
    <row r="1158" spans="1:15" s="36" customFormat="1" ht="12" x14ac:dyDescent="0.15">
      <c r="I1158" s="73">
        <v>43208</v>
      </c>
      <c r="J1158" s="75">
        <v>4.3099999999999996</v>
      </c>
      <c r="K1158" s="75">
        <v>0</v>
      </c>
    </row>
    <row r="1159" spans="1:15" s="36" customFormat="1" ht="12" x14ac:dyDescent="0.15">
      <c r="I1159" s="73">
        <v>43209</v>
      </c>
      <c r="J1159" s="75">
        <v>4.3099999999999996</v>
      </c>
      <c r="K1159" s="75">
        <v>0</v>
      </c>
    </row>
    <row r="1160" spans="1:15" s="36" customFormat="1" ht="12" x14ac:dyDescent="0.15">
      <c r="I1160" s="73">
        <v>43210</v>
      </c>
      <c r="J1160" s="75">
        <v>4.3099999999999996</v>
      </c>
      <c r="K1160" s="75">
        <v>0</v>
      </c>
    </row>
    <row r="1161" spans="1:15" s="36" customFormat="1" ht="12" x14ac:dyDescent="0.15">
      <c r="I1161" s="73">
        <v>43213</v>
      </c>
      <c r="J1161" s="75">
        <v>4.3099999999999996</v>
      </c>
      <c r="K1161" s="75">
        <v>0</v>
      </c>
    </row>
    <row r="1162" spans="1:15" s="36" customFormat="1" ht="12" x14ac:dyDescent="0.15">
      <c r="I1162" s="73">
        <v>43214</v>
      </c>
      <c r="J1162" s="75">
        <v>4.3099999999999996</v>
      </c>
      <c r="K1162" s="75">
        <v>0</v>
      </c>
    </row>
    <row r="1163" spans="1:15" s="36" customFormat="1" ht="12" x14ac:dyDescent="0.15">
      <c r="I1163" s="73">
        <v>43215</v>
      </c>
      <c r="J1163" s="75">
        <v>4.3099999999999996</v>
      </c>
      <c r="K1163" s="75">
        <v>0</v>
      </c>
    </row>
    <row r="1164" spans="1:15" s="36" customFormat="1" ht="12" x14ac:dyDescent="0.15">
      <c r="I1164" s="73">
        <v>43216</v>
      </c>
      <c r="J1164" s="75">
        <v>4.3099999999999996</v>
      </c>
      <c r="K1164" s="75">
        <v>0</v>
      </c>
    </row>
    <row r="1165" spans="1:15" s="36" customFormat="1" ht="12" x14ac:dyDescent="0.15">
      <c r="I1165" s="73">
        <v>43217</v>
      </c>
      <c r="J1165" s="75">
        <v>4.3099999999999996</v>
      </c>
      <c r="K1165" s="75">
        <v>0</v>
      </c>
    </row>
    <row r="1166" spans="1:15" x14ac:dyDescent="0.15">
      <c r="A1166" s="9"/>
      <c r="B1166" s="9"/>
      <c r="H1166" s="9"/>
      <c r="I1166" s="74">
        <v>43218</v>
      </c>
      <c r="J1166" s="76">
        <v>4.3099999999999996</v>
      </c>
      <c r="K1166" s="76">
        <v>0</v>
      </c>
      <c r="O1166" s="9"/>
    </row>
    <row r="1167" spans="1:15" x14ac:dyDescent="0.15">
      <c r="A1167" s="9"/>
      <c r="B1167" s="9"/>
      <c r="H1167" s="9"/>
      <c r="I1167" s="74">
        <v>43222</v>
      </c>
      <c r="J1167" s="76">
        <v>4.3099999999999996</v>
      </c>
      <c r="K1167" s="76">
        <v>0</v>
      </c>
      <c r="O1167" s="9"/>
    </row>
    <row r="1168" spans="1:15" x14ac:dyDescent="0.15">
      <c r="A1168" s="9"/>
      <c r="B1168" s="9"/>
      <c r="H1168" s="9"/>
      <c r="I1168" s="74">
        <v>43223</v>
      </c>
      <c r="J1168" s="76">
        <v>4.3099999999999996</v>
      </c>
      <c r="K1168" s="76">
        <v>0</v>
      </c>
      <c r="O1168" s="9"/>
    </row>
    <row r="1169" spans="1:15" x14ac:dyDescent="0.15">
      <c r="A1169" s="9"/>
      <c r="B1169" s="9"/>
      <c r="H1169" s="9"/>
      <c r="I1169" s="74">
        <v>43224</v>
      </c>
      <c r="J1169" s="76">
        <v>4.3099999999999996</v>
      </c>
      <c r="K1169" s="76">
        <v>0</v>
      </c>
      <c r="O1169" s="9"/>
    </row>
    <row r="1170" spans="1:15" x14ac:dyDescent="0.15">
      <c r="A1170" s="9"/>
      <c r="B1170" s="9"/>
      <c r="H1170" s="9"/>
      <c r="I1170" s="74">
        <v>43227</v>
      </c>
      <c r="J1170" s="76">
        <v>4.3099999999999996</v>
      </c>
      <c r="K1170" s="76">
        <v>0</v>
      </c>
      <c r="O1170" s="9"/>
    </row>
    <row r="1171" spans="1:15" x14ac:dyDescent="0.15">
      <c r="A1171" s="9"/>
      <c r="B1171" s="9"/>
      <c r="H1171" s="9"/>
      <c r="I1171" s="74">
        <v>43228</v>
      </c>
      <c r="J1171" s="76">
        <v>4.3099999999999996</v>
      </c>
      <c r="K1171" s="76">
        <v>0</v>
      </c>
      <c r="O1171" s="9"/>
    </row>
    <row r="1172" spans="1:15" x14ac:dyDescent="0.15">
      <c r="A1172" s="9"/>
      <c r="B1172" s="9"/>
      <c r="H1172" s="9"/>
      <c r="I1172" s="74">
        <v>43229</v>
      </c>
      <c r="J1172" s="76">
        <v>4.3099999999999996</v>
      </c>
      <c r="K1172" s="76">
        <v>0</v>
      </c>
      <c r="O1172" s="9"/>
    </row>
    <row r="1173" spans="1:15" x14ac:dyDescent="0.15">
      <c r="A1173" s="9"/>
      <c r="B1173" s="9"/>
      <c r="H1173" s="9"/>
      <c r="I1173" s="74">
        <v>43230</v>
      </c>
      <c r="J1173" s="76">
        <v>4.3099999999999996</v>
      </c>
      <c r="K1173" s="76">
        <v>0</v>
      </c>
      <c r="O1173" s="9"/>
    </row>
    <row r="1174" spans="1:15" x14ac:dyDescent="0.15">
      <c r="A1174" s="9"/>
      <c r="B1174" s="9"/>
      <c r="H1174" s="9"/>
      <c r="I1174" s="74">
        <v>43231</v>
      </c>
      <c r="J1174" s="76">
        <v>4.3099999999999996</v>
      </c>
      <c r="K1174" s="76">
        <v>0</v>
      </c>
      <c r="O1174" s="9"/>
    </row>
    <row r="1175" spans="1:15" x14ac:dyDescent="0.15">
      <c r="A1175" s="9"/>
      <c r="B1175" s="9"/>
      <c r="H1175" s="9"/>
      <c r="I1175" s="74">
        <v>43234</v>
      </c>
      <c r="J1175" s="76">
        <v>4.3099999999999996</v>
      </c>
      <c r="K1175" s="76">
        <v>0</v>
      </c>
      <c r="O1175" s="9"/>
    </row>
    <row r="1176" spans="1:15" x14ac:dyDescent="0.15">
      <c r="A1176" s="9"/>
      <c r="B1176" s="9"/>
      <c r="H1176" s="9"/>
      <c r="I1176" s="74">
        <v>43235</v>
      </c>
      <c r="J1176" s="76">
        <v>4.3099999999999996</v>
      </c>
      <c r="K1176" s="76">
        <v>0</v>
      </c>
      <c r="O1176" s="9"/>
    </row>
    <row r="1177" spans="1:15" x14ac:dyDescent="0.15">
      <c r="A1177" s="9"/>
      <c r="B1177" s="9"/>
      <c r="H1177" s="9"/>
      <c r="I1177" s="74">
        <v>43236</v>
      </c>
      <c r="J1177" s="76">
        <v>4.3099999999999996</v>
      </c>
      <c r="K1177" s="76">
        <v>0</v>
      </c>
      <c r="O1177" s="9"/>
    </row>
    <row r="1178" spans="1:15" x14ac:dyDescent="0.15">
      <c r="A1178" s="9"/>
      <c r="B1178" s="9"/>
      <c r="H1178" s="9"/>
      <c r="I1178" s="74">
        <v>43237</v>
      </c>
      <c r="J1178" s="76">
        <v>4.3099999999999996</v>
      </c>
      <c r="K1178" s="76">
        <v>0</v>
      </c>
      <c r="O1178" s="9"/>
    </row>
    <row r="1179" spans="1:15" x14ac:dyDescent="0.15">
      <c r="A1179" s="9"/>
      <c r="B1179" s="9"/>
      <c r="H1179" s="9"/>
      <c r="I1179" s="74">
        <v>43238</v>
      </c>
      <c r="J1179" s="76">
        <v>4.3099999999999996</v>
      </c>
      <c r="K1179" s="76">
        <v>0</v>
      </c>
      <c r="O1179" s="9"/>
    </row>
    <row r="1180" spans="1:15" x14ac:dyDescent="0.15">
      <c r="A1180" s="9"/>
      <c r="B1180" s="9"/>
      <c r="H1180" s="9"/>
      <c r="I1180" s="74">
        <v>43241</v>
      </c>
      <c r="J1180" s="76">
        <v>4.3099999999999996</v>
      </c>
      <c r="K1180" s="76">
        <v>0</v>
      </c>
      <c r="O1180" s="9"/>
    </row>
    <row r="1181" spans="1:15" x14ac:dyDescent="0.15">
      <c r="A1181" s="9"/>
      <c r="B1181" s="9"/>
      <c r="H1181" s="9"/>
      <c r="I1181" s="74">
        <v>43242</v>
      </c>
      <c r="J1181" s="76">
        <v>4.3099999999999996</v>
      </c>
      <c r="K1181" s="76">
        <v>0</v>
      </c>
      <c r="O1181" s="9"/>
    </row>
    <row r="1182" spans="1:15" x14ac:dyDescent="0.15">
      <c r="A1182" s="9"/>
      <c r="B1182" s="9"/>
      <c r="H1182" s="9"/>
      <c r="I1182" s="74">
        <v>43243</v>
      </c>
      <c r="J1182" s="76">
        <v>4.3099999999999996</v>
      </c>
      <c r="K1182" s="76">
        <v>0</v>
      </c>
      <c r="O1182" s="9"/>
    </row>
    <row r="1183" spans="1:15" x14ac:dyDescent="0.15">
      <c r="A1183" s="9"/>
      <c r="B1183" s="9"/>
      <c r="H1183" s="9"/>
      <c r="I1183" s="74">
        <v>43244</v>
      </c>
      <c r="J1183" s="76">
        <v>4.3099999999999996</v>
      </c>
      <c r="K1183" s="76">
        <v>0</v>
      </c>
      <c r="O1183" s="9"/>
    </row>
    <row r="1184" spans="1:15" x14ac:dyDescent="0.15">
      <c r="A1184" s="9"/>
      <c r="B1184" s="9"/>
      <c r="H1184" s="9"/>
      <c r="I1184" s="74">
        <v>43245</v>
      </c>
      <c r="J1184" s="76">
        <v>4.3099999999999996</v>
      </c>
      <c r="K1184" s="76">
        <v>0</v>
      </c>
      <c r="O1184" s="9"/>
    </row>
    <row r="1185" spans="1:15" x14ac:dyDescent="0.15">
      <c r="A1185" s="9"/>
      <c r="B1185" s="9"/>
      <c r="H1185" s="9"/>
      <c r="I1185" s="74">
        <v>43248</v>
      </c>
      <c r="J1185" s="76">
        <v>4.3099999999999996</v>
      </c>
      <c r="K1185" s="76">
        <v>0</v>
      </c>
      <c r="O1185" s="9"/>
    </row>
    <row r="1186" spans="1:15" x14ac:dyDescent="0.15">
      <c r="A1186" s="9"/>
      <c r="B1186" s="9"/>
      <c r="H1186" s="9"/>
      <c r="I1186" s="74">
        <v>43249</v>
      </c>
      <c r="J1186" s="76">
        <v>4.3099999999999996</v>
      </c>
      <c r="K1186" s="76">
        <v>0</v>
      </c>
      <c r="O1186" s="9"/>
    </row>
    <row r="1187" spans="1:15" x14ac:dyDescent="0.15">
      <c r="A1187" s="9"/>
      <c r="B1187" s="9"/>
      <c r="H1187" s="9"/>
      <c r="I1187" s="74">
        <v>43250</v>
      </c>
      <c r="J1187" s="76">
        <v>4.3099999999999996</v>
      </c>
      <c r="K1187" s="76">
        <v>0</v>
      </c>
      <c r="O1187" s="9"/>
    </row>
    <row r="1188" spans="1:15" x14ac:dyDescent="0.15">
      <c r="A1188" s="9"/>
      <c r="B1188" s="9"/>
      <c r="H1188" s="9"/>
      <c r="I1188" s="74">
        <v>43251</v>
      </c>
      <c r="J1188" s="76">
        <v>4.3099999999999996</v>
      </c>
      <c r="K1188" s="76">
        <v>0</v>
      </c>
      <c r="O1188" s="9"/>
    </row>
    <row r="1189" spans="1:15" x14ac:dyDescent="0.15">
      <c r="A1189" s="9"/>
      <c r="B1189" s="9"/>
      <c r="H1189" s="9"/>
      <c r="I1189" s="74">
        <v>43252</v>
      </c>
      <c r="J1189" s="76">
        <v>4.3099999999999996</v>
      </c>
      <c r="K1189" s="76">
        <v>0</v>
      </c>
      <c r="O1189" s="9"/>
    </row>
    <row r="1190" spans="1:15" x14ac:dyDescent="0.15">
      <c r="A1190" s="9"/>
      <c r="B1190" s="9"/>
      <c r="H1190" s="9"/>
      <c r="I1190" s="74">
        <v>43255</v>
      </c>
      <c r="J1190" s="76">
        <v>4.3099999999999996</v>
      </c>
      <c r="K1190" s="76">
        <v>0</v>
      </c>
      <c r="O1190" s="9"/>
    </row>
    <row r="1191" spans="1:15" x14ac:dyDescent="0.15">
      <c r="A1191" s="9"/>
      <c r="B1191" s="9"/>
      <c r="H1191" s="9"/>
      <c r="I1191" s="74">
        <v>43256</v>
      </c>
      <c r="J1191" s="76">
        <v>4.3099999999999996</v>
      </c>
      <c r="K1191" s="76">
        <v>0</v>
      </c>
      <c r="O1191" s="9"/>
    </row>
    <row r="1192" spans="1:15" x14ac:dyDescent="0.15">
      <c r="A1192" s="9"/>
      <c r="B1192" s="9"/>
      <c r="H1192" s="9"/>
      <c r="I1192" s="74">
        <v>43257</v>
      </c>
      <c r="J1192" s="76">
        <v>4.3099999999999996</v>
      </c>
      <c r="K1192" s="76">
        <v>0</v>
      </c>
      <c r="O1192" s="9"/>
    </row>
    <row r="1193" spans="1:15" x14ac:dyDescent="0.15">
      <c r="A1193" s="9"/>
      <c r="B1193" s="9"/>
      <c r="H1193" s="9"/>
      <c r="I1193" s="74">
        <v>43258</v>
      </c>
      <c r="J1193" s="76">
        <v>4.3099999999999996</v>
      </c>
      <c r="K1193" s="76">
        <v>0</v>
      </c>
      <c r="O1193" s="9"/>
    </row>
    <row r="1194" spans="1:15" x14ac:dyDescent="0.15">
      <c r="A1194" s="9"/>
      <c r="B1194" s="9"/>
      <c r="H1194" s="9"/>
      <c r="I1194" s="74">
        <v>43259</v>
      </c>
      <c r="J1194" s="76">
        <v>4.3099999999999996</v>
      </c>
      <c r="K1194" s="76">
        <v>0</v>
      </c>
      <c r="O1194" s="9"/>
    </row>
    <row r="1195" spans="1:15" x14ac:dyDescent="0.15">
      <c r="A1195" s="9"/>
      <c r="B1195" s="9"/>
      <c r="H1195" s="9"/>
      <c r="I1195" s="74">
        <v>43262</v>
      </c>
      <c r="J1195" s="76">
        <v>4.3099999999999996</v>
      </c>
      <c r="K1195" s="76">
        <v>0</v>
      </c>
      <c r="O1195" s="9"/>
    </row>
    <row r="1196" spans="1:15" x14ac:dyDescent="0.15">
      <c r="A1196" s="9"/>
      <c r="B1196" s="9"/>
      <c r="H1196" s="9"/>
      <c r="I1196" s="74">
        <v>43263</v>
      </c>
      <c r="J1196" s="76">
        <v>4.3099999999999996</v>
      </c>
      <c r="K1196" s="76">
        <v>0</v>
      </c>
      <c r="O1196" s="9"/>
    </row>
    <row r="1197" spans="1:15" x14ac:dyDescent="0.15">
      <c r="A1197" s="9"/>
      <c r="B1197" s="9"/>
      <c r="H1197" s="9"/>
      <c r="I1197" s="74">
        <v>43264</v>
      </c>
      <c r="J1197" s="76">
        <v>4.3099999999999996</v>
      </c>
      <c r="K1197" s="76">
        <v>0</v>
      </c>
      <c r="O1197" s="9"/>
    </row>
    <row r="1198" spans="1:15" x14ac:dyDescent="0.15">
      <c r="A1198" s="9"/>
      <c r="B1198" s="9"/>
      <c r="H1198" s="9"/>
      <c r="I1198" s="74">
        <v>43265</v>
      </c>
      <c r="J1198" s="76">
        <v>4.3099999999999996</v>
      </c>
      <c r="K1198" s="76">
        <v>0</v>
      </c>
      <c r="O1198" s="9"/>
    </row>
    <row r="1199" spans="1:15" x14ac:dyDescent="0.15">
      <c r="A1199" s="9"/>
      <c r="B1199" s="9"/>
      <c r="H1199" s="9"/>
      <c r="I1199" s="74">
        <v>43266</v>
      </c>
      <c r="J1199" s="76">
        <v>4.3099999999999996</v>
      </c>
      <c r="K1199" s="76">
        <v>0</v>
      </c>
      <c r="O1199" s="9"/>
    </row>
    <row r="1200" spans="1:15" x14ac:dyDescent="0.15">
      <c r="A1200" s="9"/>
      <c r="B1200" s="9"/>
      <c r="H1200" s="9"/>
      <c r="I1200" s="74">
        <v>43270</v>
      </c>
      <c r="J1200" s="76">
        <v>4.3099999999999996</v>
      </c>
      <c r="K1200" s="76">
        <v>0</v>
      </c>
      <c r="O1200" s="9"/>
    </row>
    <row r="1201" spans="1:15" x14ac:dyDescent="0.15">
      <c r="A1201" s="9"/>
      <c r="B1201" s="9"/>
      <c r="H1201" s="9"/>
      <c r="I1201" s="74">
        <v>43271</v>
      </c>
      <c r="J1201" s="76">
        <v>4.3099999999999996</v>
      </c>
      <c r="K1201" s="76">
        <v>0</v>
      </c>
      <c r="O1201" s="9"/>
    </row>
    <row r="1202" spans="1:15" x14ac:dyDescent="0.15">
      <c r="A1202" s="9"/>
      <c r="B1202" s="9"/>
      <c r="H1202" s="9"/>
      <c r="I1202" s="74">
        <v>43272</v>
      </c>
      <c r="J1202" s="76">
        <v>4.3099999999999996</v>
      </c>
      <c r="K1202" s="76">
        <v>0</v>
      </c>
      <c r="O1202" s="9"/>
    </row>
    <row r="1203" spans="1:15" x14ac:dyDescent="0.15">
      <c r="A1203" s="9"/>
      <c r="B1203" s="9"/>
      <c r="H1203" s="9"/>
      <c r="I1203" s="74">
        <v>43273</v>
      </c>
      <c r="J1203" s="76">
        <v>4.3099999999999996</v>
      </c>
      <c r="K1203" s="76">
        <v>0</v>
      </c>
      <c r="O1203" s="9"/>
    </row>
    <row r="1204" spans="1:15" x14ac:dyDescent="0.15">
      <c r="A1204" s="9"/>
      <c r="B1204" s="9"/>
      <c r="H1204" s="9"/>
      <c r="I1204" s="74">
        <v>43276</v>
      </c>
      <c r="J1204" s="76">
        <v>4.3099999999999996</v>
      </c>
      <c r="K1204" s="76">
        <v>0</v>
      </c>
      <c r="O1204" s="9"/>
    </row>
    <row r="1205" spans="1:15" x14ac:dyDescent="0.15">
      <c r="A1205" s="9"/>
      <c r="B1205" s="9"/>
      <c r="H1205" s="9"/>
      <c r="I1205" s="74">
        <v>43277</v>
      </c>
      <c r="J1205" s="76">
        <v>4.3099999999999996</v>
      </c>
      <c r="K1205" s="76">
        <v>0</v>
      </c>
      <c r="O1205" s="9"/>
    </row>
    <row r="1206" spans="1:15" x14ac:dyDescent="0.15">
      <c r="A1206" s="9"/>
      <c r="B1206" s="9"/>
      <c r="H1206" s="9"/>
      <c r="I1206" s="74">
        <v>43278</v>
      </c>
      <c r="J1206" s="76">
        <v>4.3099999999999996</v>
      </c>
      <c r="K1206" s="76">
        <v>0</v>
      </c>
      <c r="O1206" s="9"/>
    </row>
    <row r="1207" spans="1:15" x14ac:dyDescent="0.15">
      <c r="A1207" s="9"/>
      <c r="B1207" s="9"/>
      <c r="H1207" s="9"/>
      <c r="I1207" s="74">
        <v>43279</v>
      </c>
      <c r="J1207" s="76">
        <v>4.3099999999999996</v>
      </c>
      <c r="K1207" s="76">
        <v>0</v>
      </c>
      <c r="O1207" s="9"/>
    </row>
    <row r="1208" spans="1:15" x14ac:dyDescent="0.15">
      <c r="A1208" s="9"/>
      <c r="B1208" s="9"/>
      <c r="H1208" s="9"/>
      <c r="I1208" s="74">
        <v>43280</v>
      </c>
      <c r="J1208" s="76">
        <v>4.3099999999999996</v>
      </c>
      <c r="K1208" s="76">
        <v>0</v>
      </c>
      <c r="O1208" s="9"/>
    </row>
    <row r="1209" spans="1:15" x14ac:dyDescent="0.15">
      <c r="A1209" s="9"/>
      <c r="B1209" s="9"/>
      <c r="H1209" s="9"/>
      <c r="I1209" s="74">
        <v>43283</v>
      </c>
      <c r="J1209" s="76">
        <v>4.3099999999999996</v>
      </c>
      <c r="K1209" s="76">
        <v>0</v>
      </c>
      <c r="O1209" s="9"/>
    </row>
    <row r="1210" spans="1:15" x14ac:dyDescent="0.15">
      <c r="A1210" s="9"/>
      <c r="B1210" s="9"/>
      <c r="H1210" s="9"/>
      <c r="I1210" s="74">
        <v>43284</v>
      </c>
      <c r="J1210" s="76">
        <v>4.3099999999999996</v>
      </c>
      <c r="K1210" s="76">
        <v>0</v>
      </c>
      <c r="O1210" s="9"/>
    </row>
    <row r="1211" spans="1:15" x14ac:dyDescent="0.15">
      <c r="A1211" s="9"/>
      <c r="B1211" s="9"/>
      <c r="H1211" s="9"/>
      <c r="I1211" s="74">
        <v>43285</v>
      </c>
      <c r="J1211" s="76">
        <v>4.3099999999999996</v>
      </c>
      <c r="K1211" s="76">
        <v>0</v>
      </c>
      <c r="O1211" s="9"/>
    </row>
    <row r="1212" spans="1:15" x14ac:dyDescent="0.15">
      <c r="A1212" s="9"/>
      <c r="B1212" s="9"/>
      <c r="H1212" s="9"/>
      <c r="I1212" s="74">
        <v>43286</v>
      </c>
      <c r="J1212" s="76">
        <v>4.3099999999999996</v>
      </c>
      <c r="K1212" s="76">
        <v>0</v>
      </c>
      <c r="O1212" s="9"/>
    </row>
    <row r="1213" spans="1:15" x14ac:dyDescent="0.15">
      <c r="A1213" s="9"/>
      <c r="B1213" s="9"/>
      <c r="H1213" s="9"/>
      <c r="I1213" s="74">
        <v>43287</v>
      </c>
      <c r="J1213" s="76">
        <v>4.3099999999999996</v>
      </c>
      <c r="K1213" s="76">
        <v>0</v>
      </c>
      <c r="O1213" s="9"/>
    </row>
    <row r="1214" spans="1:15" x14ac:dyDescent="0.15">
      <c r="A1214" s="9"/>
      <c r="B1214" s="9"/>
      <c r="H1214" s="9"/>
      <c r="I1214" s="74">
        <v>43290</v>
      </c>
      <c r="J1214" s="76">
        <v>4.3099999999999996</v>
      </c>
      <c r="K1214" s="76">
        <v>0</v>
      </c>
      <c r="O1214" s="9"/>
    </row>
    <row r="1215" spans="1:15" x14ac:dyDescent="0.15">
      <c r="A1215" s="9"/>
      <c r="B1215" s="9"/>
      <c r="H1215" s="9"/>
      <c r="I1215" s="74">
        <v>43291</v>
      </c>
      <c r="J1215" s="76">
        <v>4.3099999999999996</v>
      </c>
      <c r="K1215" s="76">
        <v>0</v>
      </c>
      <c r="O1215" s="9"/>
    </row>
    <row r="1216" spans="1:15" x14ac:dyDescent="0.15">
      <c r="A1216" s="9"/>
      <c r="B1216" s="9"/>
      <c r="H1216" s="9"/>
      <c r="I1216" s="74">
        <v>43292</v>
      </c>
      <c r="J1216" s="76">
        <v>4.3099999999999996</v>
      </c>
      <c r="K1216" s="76">
        <v>0</v>
      </c>
      <c r="O1216" s="9"/>
    </row>
    <row r="1217" spans="1:15" x14ac:dyDescent="0.15">
      <c r="A1217" s="9"/>
      <c r="B1217" s="9"/>
      <c r="H1217" s="9"/>
      <c r="I1217" s="74">
        <v>43293</v>
      </c>
      <c r="J1217" s="76">
        <v>4.3099999999999996</v>
      </c>
      <c r="K1217" s="76">
        <v>0</v>
      </c>
      <c r="O1217" s="9"/>
    </row>
    <row r="1218" spans="1:15" x14ac:dyDescent="0.15">
      <c r="A1218" s="9"/>
      <c r="B1218" s="9"/>
      <c r="H1218" s="9"/>
      <c r="I1218" s="74">
        <v>43294</v>
      </c>
      <c r="J1218" s="76">
        <v>4.3099999999999996</v>
      </c>
      <c r="K1218" s="76">
        <v>0</v>
      </c>
      <c r="O1218" s="9"/>
    </row>
    <row r="1219" spans="1:15" x14ac:dyDescent="0.15">
      <c r="A1219" s="9"/>
      <c r="B1219" s="9"/>
      <c r="H1219" s="9"/>
      <c r="I1219" s="74">
        <v>43297</v>
      </c>
      <c r="J1219" s="76">
        <v>4.3099999999999996</v>
      </c>
      <c r="K1219" s="76">
        <v>0</v>
      </c>
      <c r="O1219" s="9"/>
    </row>
    <row r="1220" spans="1:15" x14ac:dyDescent="0.15">
      <c r="A1220" s="9"/>
      <c r="B1220" s="9"/>
      <c r="H1220" s="9"/>
      <c r="I1220" s="74">
        <v>43298</v>
      </c>
      <c r="J1220" s="76">
        <v>4.3099999999999996</v>
      </c>
      <c r="K1220" s="76">
        <v>0</v>
      </c>
      <c r="O1220" s="9"/>
    </row>
    <row r="1221" spans="1:15" x14ac:dyDescent="0.15">
      <c r="A1221" s="9"/>
      <c r="B1221" s="9"/>
      <c r="H1221" s="9"/>
      <c r="I1221" s="74">
        <v>43299</v>
      </c>
      <c r="J1221" s="76">
        <v>4.3099999999999996</v>
      </c>
      <c r="K1221" s="76">
        <v>0</v>
      </c>
      <c r="O1221" s="9"/>
    </row>
    <row r="1222" spans="1:15" x14ac:dyDescent="0.15">
      <c r="A1222" s="9"/>
      <c r="B1222" s="9"/>
      <c r="H1222" s="9"/>
      <c r="I1222" s="74">
        <v>43300</v>
      </c>
      <c r="J1222" s="76">
        <v>4.3099999999999996</v>
      </c>
      <c r="K1222" s="76">
        <v>0</v>
      </c>
      <c r="O1222" s="9"/>
    </row>
    <row r="1223" spans="1:15" x14ac:dyDescent="0.15">
      <c r="A1223" s="9"/>
      <c r="B1223" s="9"/>
      <c r="H1223" s="9"/>
      <c r="I1223" s="74">
        <v>43301</v>
      </c>
      <c r="J1223" s="76">
        <v>4.3099999999999996</v>
      </c>
      <c r="K1223" s="76">
        <v>0</v>
      </c>
      <c r="O1223" s="9"/>
    </row>
    <row r="1224" spans="1:15" x14ac:dyDescent="0.15">
      <c r="A1224" s="9"/>
      <c r="B1224" s="9"/>
      <c r="H1224" s="9"/>
      <c r="I1224" s="74">
        <v>43304</v>
      </c>
      <c r="J1224" s="76">
        <v>4.3099999999999996</v>
      </c>
      <c r="K1224" s="76">
        <v>0</v>
      </c>
      <c r="O1224" s="9"/>
    </row>
    <row r="1225" spans="1:15" x14ac:dyDescent="0.15">
      <c r="A1225" s="9"/>
      <c r="B1225" s="9"/>
      <c r="H1225" s="9"/>
      <c r="I1225" s="74">
        <v>43305</v>
      </c>
      <c r="J1225" s="76">
        <v>4.3099999999999996</v>
      </c>
      <c r="K1225" s="76">
        <v>0</v>
      </c>
      <c r="O1225" s="9"/>
    </row>
    <row r="1226" spans="1:15" x14ac:dyDescent="0.15">
      <c r="A1226" s="9"/>
      <c r="B1226" s="9"/>
      <c r="H1226" s="9"/>
      <c r="I1226" s="74">
        <v>43306</v>
      </c>
      <c r="J1226" s="76">
        <v>4.3099999999999996</v>
      </c>
      <c r="K1226" s="76">
        <v>0</v>
      </c>
      <c r="O1226" s="9"/>
    </row>
    <row r="1227" spans="1:15" x14ac:dyDescent="0.15">
      <c r="A1227" s="9"/>
      <c r="B1227" s="9"/>
      <c r="H1227" s="9"/>
      <c r="I1227" s="74">
        <v>43307</v>
      </c>
      <c r="J1227" s="76">
        <v>4.3099999999999996</v>
      </c>
      <c r="K1227" s="76">
        <v>0</v>
      </c>
      <c r="O1227" s="9"/>
    </row>
    <row r="1228" spans="1:15" x14ac:dyDescent="0.15">
      <c r="A1228" s="9"/>
      <c r="B1228" s="9"/>
      <c r="H1228" s="9"/>
      <c r="I1228" s="74">
        <v>43308</v>
      </c>
      <c r="J1228" s="76">
        <v>4.3099999999999996</v>
      </c>
      <c r="K1228" s="76">
        <v>0</v>
      </c>
      <c r="O1228" s="9"/>
    </row>
    <row r="1229" spans="1:15" x14ac:dyDescent="0.15">
      <c r="A1229" s="9"/>
      <c r="B1229" s="9"/>
      <c r="H1229" s="9"/>
      <c r="I1229" s="74">
        <v>43311</v>
      </c>
      <c r="J1229" s="76">
        <v>4.3099999999999996</v>
      </c>
      <c r="K1229" s="76">
        <v>0</v>
      </c>
      <c r="O1229" s="9"/>
    </row>
    <row r="1230" spans="1:15" x14ac:dyDescent="0.15">
      <c r="A1230" s="9"/>
      <c r="B1230" s="9"/>
      <c r="H1230" s="9"/>
      <c r="I1230" s="74">
        <v>43312</v>
      </c>
      <c r="J1230" s="76">
        <v>4.3099999999999996</v>
      </c>
      <c r="K1230" s="76">
        <v>0</v>
      </c>
      <c r="O1230" s="9"/>
    </row>
    <row r="1231" spans="1:15" x14ac:dyDescent="0.15">
      <c r="A1231" s="9"/>
      <c r="B1231" s="9"/>
      <c r="H1231" s="9"/>
      <c r="I1231" s="74">
        <v>43313</v>
      </c>
      <c r="J1231" s="76">
        <v>4.3099999999999996</v>
      </c>
      <c r="K1231" s="76">
        <v>0</v>
      </c>
      <c r="O1231" s="9"/>
    </row>
    <row r="1232" spans="1:15" x14ac:dyDescent="0.15">
      <c r="A1232" s="9"/>
      <c r="B1232" s="9"/>
      <c r="H1232" s="9"/>
      <c r="I1232" s="74">
        <v>43314</v>
      </c>
      <c r="J1232" s="76">
        <v>4.3099999999999996</v>
      </c>
      <c r="K1232" s="76">
        <v>0</v>
      </c>
      <c r="O1232" s="9"/>
    </row>
    <row r="1233" spans="1:15" x14ac:dyDescent="0.15">
      <c r="A1233" s="9"/>
      <c r="B1233" s="9"/>
      <c r="H1233" s="9"/>
      <c r="I1233" s="74">
        <v>43315</v>
      </c>
      <c r="J1233" s="76">
        <v>4.3099999999999996</v>
      </c>
      <c r="K1233" s="76">
        <v>0</v>
      </c>
      <c r="O1233" s="9"/>
    </row>
    <row r="1234" spans="1:15" x14ac:dyDescent="0.15">
      <c r="A1234" s="9"/>
      <c r="B1234" s="9"/>
      <c r="H1234" s="9"/>
      <c r="I1234" s="74">
        <v>43318</v>
      </c>
      <c r="J1234" s="76">
        <v>4.3099999999999996</v>
      </c>
      <c r="K1234" s="76">
        <v>0</v>
      </c>
      <c r="O1234" s="9"/>
    </row>
    <row r="1235" spans="1:15" x14ac:dyDescent="0.15">
      <c r="A1235" s="9"/>
      <c r="B1235" s="9"/>
      <c r="H1235" s="9"/>
      <c r="I1235" s="74">
        <v>43319</v>
      </c>
      <c r="J1235" s="76">
        <v>4.3099999999999996</v>
      </c>
      <c r="K1235" s="76">
        <v>0</v>
      </c>
      <c r="O1235" s="9"/>
    </row>
    <row r="1236" spans="1:15" x14ac:dyDescent="0.15">
      <c r="A1236" s="9"/>
      <c r="B1236" s="9"/>
      <c r="H1236" s="9"/>
      <c r="I1236" s="74">
        <v>43320</v>
      </c>
      <c r="J1236" s="76">
        <v>4.3099999999999996</v>
      </c>
      <c r="K1236" s="76">
        <v>0</v>
      </c>
      <c r="O1236" s="9"/>
    </row>
    <row r="1237" spans="1:15" x14ac:dyDescent="0.15">
      <c r="A1237" s="9"/>
      <c r="B1237" s="9"/>
      <c r="H1237" s="9"/>
      <c r="I1237" s="74">
        <v>43321</v>
      </c>
      <c r="J1237" s="76">
        <v>4.3099999999999996</v>
      </c>
      <c r="K1237" s="76">
        <v>0</v>
      </c>
      <c r="O1237" s="9"/>
    </row>
    <row r="1238" spans="1:15" x14ac:dyDescent="0.15">
      <c r="A1238" s="9"/>
      <c r="B1238" s="9"/>
      <c r="H1238" s="9"/>
      <c r="I1238" s="74">
        <v>43322</v>
      </c>
      <c r="J1238" s="76">
        <v>4.3099999999999996</v>
      </c>
      <c r="K1238" s="76">
        <v>0</v>
      </c>
      <c r="O1238" s="9"/>
    </row>
    <row r="1239" spans="1:15" x14ac:dyDescent="0.15">
      <c r="A1239" s="9"/>
      <c r="B1239" s="9"/>
      <c r="H1239" s="9"/>
      <c r="I1239" s="74">
        <v>43325</v>
      </c>
      <c r="J1239" s="76">
        <v>4.3099999999999996</v>
      </c>
      <c r="K1239" s="76">
        <v>0</v>
      </c>
      <c r="O1239" s="9"/>
    </row>
    <row r="1240" spans="1:15" x14ac:dyDescent="0.15">
      <c r="A1240" s="9"/>
      <c r="B1240" s="9"/>
      <c r="H1240" s="9"/>
      <c r="I1240" s="74">
        <v>43326</v>
      </c>
      <c r="J1240" s="76">
        <v>4.3099999999999996</v>
      </c>
      <c r="K1240" s="76">
        <v>0</v>
      </c>
      <c r="O1240" s="9"/>
    </row>
    <row r="1241" spans="1:15" x14ac:dyDescent="0.15">
      <c r="A1241" s="9"/>
      <c r="B1241" s="9"/>
      <c r="H1241" s="9"/>
      <c r="I1241" s="74">
        <v>43327</v>
      </c>
      <c r="J1241" s="76">
        <v>4.3099999999999996</v>
      </c>
      <c r="K1241" s="76">
        <v>0</v>
      </c>
      <c r="O1241" s="9"/>
    </row>
    <row r="1242" spans="1:15" x14ac:dyDescent="0.15">
      <c r="A1242" s="9"/>
      <c r="B1242" s="9"/>
      <c r="H1242" s="9"/>
      <c r="I1242" s="74">
        <v>43328</v>
      </c>
      <c r="J1242" s="76">
        <v>4.3099999999999996</v>
      </c>
      <c r="K1242" s="76">
        <v>0</v>
      </c>
      <c r="O1242" s="9"/>
    </row>
    <row r="1243" spans="1:15" x14ac:dyDescent="0.15">
      <c r="A1243" s="9"/>
      <c r="B1243" s="9"/>
      <c r="H1243" s="9"/>
      <c r="I1243" s="74">
        <v>43329</v>
      </c>
      <c r="J1243" s="76">
        <v>4.3099999999999996</v>
      </c>
      <c r="K1243" s="76">
        <v>0</v>
      </c>
      <c r="O1243" s="9"/>
    </row>
    <row r="1244" spans="1:15" x14ac:dyDescent="0.15">
      <c r="A1244" s="9"/>
      <c r="B1244" s="9"/>
      <c r="H1244" s="9"/>
      <c r="I1244" s="74">
        <v>43332</v>
      </c>
      <c r="J1244" s="76">
        <v>4.3099999999999996</v>
      </c>
      <c r="K1244" s="76">
        <v>0</v>
      </c>
      <c r="O1244" s="9"/>
    </row>
    <row r="1245" spans="1:15" x14ac:dyDescent="0.15">
      <c r="A1245" s="9"/>
      <c r="B1245" s="9"/>
      <c r="H1245" s="9"/>
      <c r="I1245" s="74">
        <v>43333</v>
      </c>
      <c r="J1245" s="76">
        <v>4.3099999999999996</v>
      </c>
      <c r="K1245" s="76">
        <v>0</v>
      </c>
      <c r="O1245" s="9"/>
    </row>
    <row r="1246" spans="1:15" x14ac:dyDescent="0.15">
      <c r="A1246" s="9"/>
      <c r="B1246" s="9"/>
      <c r="H1246" s="9"/>
      <c r="I1246" s="74">
        <v>43334</v>
      </c>
      <c r="J1246" s="76">
        <v>4.3099999999999996</v>
      </c>
      <c r="K1246" s="76">
        <v>0</v>
      </c>
      <c r="O1246" s="9"/>
    </row>
    <row r="1247" spans="1:15" x14ac:dyDescent="0.15">
      <c r="A1247" s="9"/>
      <c r="B1247" s="9"/>
      <c r="H1247" s="9"/>
      <c r="I1247" s="74">
        <v>43335</v>
      </c>
      <c r="J1247" s="76">
        <v>4.3099999999999996</v>
      </c>
      <c r="K1247" s="76">
        <v>0</v>
      </c>
      <c r="O1247" s="9"/>
    </row>
    <row r="1248" spans="1:15" x14ac:dyDescent="0.15">
      <c r="A1248" s="9"/>
      <c r="B1248" s="9"/>
      <c r="H1248" s="9"/>
      <c r="I1248" s="74">
        <v>43336</v>
      </c>
      <c r="J1248" s="76">
        <v>4.3099999999999996</v>
      </c>
      <c r="K1248" s="76">
        <v>0</v>
      </c>
      <c r="O1248" s="9"/>
    </row>
    <row r="1249" spans="1:15" x14ac:dyDescent="0.15">
      <c r="A1249" s="9"/>
      <c r="B1249" s="9"/>
      <c r="H1249" s="9"/>
      <c r="I1249" s="74">
        <v>43339</v>
      </c>
      <c r="J1249" s="76">
        <v>4.3099999999999996</v>
      </c>
      <c r="K1249" s="76">
        <v>0</v>
      </c>
      <c r="O1249" s="9"/>
    </row>
    <row r="1250" spans="1:15" x14ac:dyDescent="0.15">
      <c r="A1250" s="9"/>
      <c r="B1250" s="9"/>
      <c r="H1250" s="9"/>
      <c r="I1250" s="74">
        <v>43340</v>
      </c>
      <c r="J1250" s="76">
        <v>4.3099999999999996</v>
      </c>
      <c r="K1250" s="76">
        <v>0</v>
      </c>
      <c r="O1250" s="9"/>
    </row>
    <row r="1251" spans="1:15" x14ac:dyDescent="0.15">
      <c r="A1251" s="9"/>
      <c r="B1251" s="9"/>
      <c r="H1251" s="9"/>
      <c r="I1251" s="74">
        <v>43341</v>
      </c>
      <c r="J1251" s="76">
        <v>4.3099999999999996</v>
      </c>
      <c r="K1251" s="76">
        <v>0</v>
      </c>
      <c r="O1251" s="9"/>
    </row>
    <row r="1252" spans="1:15" x14ac:dyDescent="0.15">
      <c r="A1252" s="9"/>
      <c r="B1252" s="9"/>
      <c r="H1252" s="9"/>
      <c r="I1252" s="74">
        <v>43342</v>
      </c>
      <c r="J1252" s="76">
        <v>4.3099999999999996</v>
      </c>
      <c r="K1252" s="76">
        <v>0</v>
      </c>
      <c r="O1252" s="9"/>
    </row>
    <row r="1253" spans="1:15" x14ac:dyDescent="0.15">
      <c r="A1253" s="9"/>
      <c r="B1253" s="9"/>
      <c r="H1253" s="9"/>
      <c r="I1253" s="74">
        <v>43343</v>
      </c>
      <c r="J1253" s="76">
        <v>4.3099999999999996</v>
      </c>
      <c r="K1253" s="76">
        <v>0</v>
      </c>
      <c r="O1253" s="9"/>
    </row>
    <row r="1254" spans="1:15" x14ac:dyDescent="0.15">
      <c r="A1254" s="9"/>
      <c r="B1254" s="9"/>
      <c r="H1254" s="9"/>
      <c r="I1254" s="74">
        <v>43346</v>
      </c>
      <c r="J1254" s="76">
        <v>4.3099999999999996</v>
      </c>
      <c r="K1254" s="76">
        <v>0</v>
      </c>
      <c r="O1254" s="9"/>
    </row>
    <row r="1255" spans="1:15" x14ac:dyDescent="0.15">
      <c r="A1255" s="9"/>
      <c r="B1255" s="9"/>
      <c r="H1255" s="9"/>
      <c r="I1255" s="74">
        <v>43347</v>
      </c>
      <c r="J1255" s="76">
        <v>4.3099999999999996</v>
      </c>
      <c r="K1255" s="76">
        <v>0</v>
      </c>
      <c r="O1255" s="9"/>
    </row>
    <row r="1256" spans="1:15" x14ac:dyDescent="0.15">
      <c r="A1256" s="9"/>
      <c r="B1256" s="9"/>
      <c r="H1256" s="9"/>
      <c r="I1256" s="74">
        <v>43348</v>
      </c>
      <c r="J1256" s="76">
        <v>4.3099999999999996</v>
      </c>
      <c r="K1256" s="76">
        <v>0</v>
      </c>
      <c r="O1256" s="9"/>
    </row>
    <row r="1257" spans="1:15" x14ac:dyDescent="0.15">
      <c r="A1257" s="9"/>
      <c r="B1257" s="9"/>
      <c r="H1257" s="9"/>
      <c r="I1257" s="74">
        <v>43349</v>
      </c>
      <c r="J1257" s="76">
        <v>4.3099999999999996</v>
      </c>
      <c r="K1257" s="76">
        <v>0</v>
      </c>
      <c r="O1257" s="9"/>
    </row>
    <row r="1258" spans="1:15" x14ac:dyDescent="0.15">
      <c r="A1258" s="9"/>
      <c r="B1258" s="9"/>
      <c r="H1258" s="9"/>
      <c r="I1258" s="74">
        <v>43350</v>
      </c>
      <c r="J1258" s="76">
        <v>4.3099999999999996</v>
      </c>
      <c r="K1258" s="76">
        <v>0</v>
      </c>
      <c r="O1258" s="9"/>
    </row>
    <row r="1259" spans="1:15" x14ac:dyDescent="0.15">
      <c r="A1259" s="9"/>
      <c r="B1259" s="9"/>
      <c r="H1259" s="9"/>
      <c r="I1259" s="74">
        <v>43353</v>
      </c>
      <c r="J1259" s="76">
        <v>4.3099999999999996</v>
      </c>
      <c r="K1259" s="76">
        <v>0</v>
      </c>
      <c r="O1259" s="9"/>
    </row>
    <row r="1260" spans="1:15" x14ac:dyDescent="0.15">
      <c r="A1260" s="9"/>
      <c r="B1260" s="9"/>
      <c r="H1260" s="9"/>
      <c r="I1260" s="74">
        <v>43354</v>
      </c>
      <c r="J1260" s="76">
        <v>4.3099999999999996</v>
      </c>
      <c r="K1260" s="76">
        <v>0</v>
      </c>
      <c r="O1260" s="9"/>
    </row>
    <row r="1261" spans="1:15" x14ac:dyDescent="0.15">
      <c r="A1261" s="9"/>
      <c r="B1261" s="9"/>
      <c r="H1261" s="9"/>
      <c r="I1261" s="74">
        <v>43355</v>
      </c>
      <c r="J1261" s="76">
        <v>4.3099999999999996</v>
      </c>
      <c r="K1261" s="76">
        <v>0</v>
      </c>
      <c r="O1261" s="9"/>
    </row>
    <row r="1262" spans="1:15" x14ac:dyDescent="0.15">
      <c r="A1262" s="9"/>
      <c r="B1262" s="9"/>
      <c r="H1262" s="9"/>
      <c r="I1262" s="74">
        <v>43356</v>
      </c>
      <c r="J1262" s="76">
        <v>4.3099999999999996</v>
      </c>
      <c r="K1262" s="76">
        <v>0</v>
      </c>
      <c r="O1262" s="9"/>
    </row>
    <row r="1263" spans="1:15" x14ac:dyDescent="0.15">
      <c r="A1263" s="9"/>
      <c r="B1263" s="9"/>
      <c r="H1263" s="9"/>
      <c r="I1263" s="74">
        <v>43357</v>
      </c>
      <c r="J1263" s="76">
        <v>4.3099999999999996</v>
      </c>
      <c r="K1263" s="76">
        <v>0</v>
      </c>
      <c r="O1263" s="9"/>
    </row>
    <row r="1264" spans="1:15" x14ac:dyDescent="0.15">
      <c r="A1264" s="9"/>
      <c r="B1264" s="9"/>
      <c r="H1264" s="9"/>
      <c r="I1264" s="74">
        <v>43360</v>
      </c>
      <c r="J1264" s="76">
        <v>4.3099999999999996</v>
      </c>
      <c r="K1264" s="76">
        <v>0</v>
      </c>
      <c r="O1264" s="9"/>
    </row>
    <row r="1265" spans="1:15" x14ac:dyDescent="0.15">
      <c r="A1265" s="9"/>
      <c r="B1265" s="9"/>
      <c r="H1265" s="9"/>
      <c r="I1265" s="74">
        <v>43361</v>
      </c>
      <c r="J1265" s="76">
        <v>4.3099999999999996</v>
      </c>
      <c r="K1265" s="76">
        <v>0</v>
      </c>
      <c r="O1265" s="9"/>
    </row>
    <row r="1266" spans="1:15" x14ac:dyDescent="0.15">
      <c r="A1266" s="9"/>
      <c r="B1266" s="9"/>
      <c r="H1266" s="9"/>
      <c r="I1266" s="74">
        <v>43362</v>
      </c>
      <c r="J1266" s="76">
        <v>4.3099999999999996</v>
      </c>
      <c r="K1266" s="76">
        <v>0</v>
      </c>
      <c r="O1266" s="9"/>
    </row>
    <row r="1267" spans="1:15" x14ac:dyDescent="0.15">
      <c r="A1267" s="9"/>
      <c r="B1267" s="9"/>
      <c r="H1267" s="9"/>
      <c r="I1267" s="74">
        <v>43363</v>
      </c>
      <c r="J1267" s="76">
        <v>4.3099999999999996</v>
      </c>
      <c r="K1267" s="76">
        <v>0</v>
      </c>
      <c r="O1267" s="9"/>
    </row>
    <row r="1268" spans="1:15" x14ac:dyDescent="0.15">
      <c r="A1268" s="9"/>
      <c r="B1268" s="9"/>
      <c r="H1268" s="9"/>
      <c r="I1268" s="74">
        <v>43364</v>
      </c>
      <c r="J1268" s="76">
        <v>4.3099999999999996</v>
      </c>
      <c r="K1268" s="76">
        <v>0</v>
      </c>
      <c r="O1268" s="9"/>
    </row>
    <row r="1269" spans="1:15" x14ac:dyDescent="0.15">
      <c r="A1269" s="9"/>
      <c r="B1269" s="9"/>
      <c r="H1269" s="9"/>
      <c r="I1269" s="74">
        <v>43368</v>
      </c>
      <c r="J1269" s="76">
        <v>4.3099999999999996</v>
      </c>
      <c r="K1269" s="76">
        <v>0</v>
      </c>
      <c r="O1269" s="9"/>
    </row>
    <row r="1270" spans="1:15" x14ac:dyDescent="0.15">
      <c r="A1270" s="9"/>
      <c r="B1270" s="9"/>
      <c r="H1270" s="9"/>
      <c r="I1270" s="74">
        <v>43369</v>
      </c>
      <c r="J1270" s="76">
        <v>4.3099999999999996</v>
      </c>
      <c r="K1270" s="76">
        <v>0</v>
      </c>
      <c r="O1270" s="9"/>
    </row>
    <row r="1271" spans="1:15" x14ac:dyDescent="0.15">
      <c r="A1271" s="9"/>
      <c r="B1271" s="9"/>
      <c r="H1271" s="9"/>
      <c r="I1271" s="74">
        <v>43370</v>
      </c>
      <c r="J1271" s="76">
        <v>4.3099999999999996</v>
      </c>
      <c r="K1271" s="76">
        <v>0</v>
      </c>
      <c r="O1271" s="9"/>
    </row>
    <row r="1272" spans="1:15" x14ac:dyDescent="0.15">
      <c r="A1272" s="9"/>
      <c r="B1272" s="9"/>
      <c r="H1272" s="9"/>
      <c r="I1272" s="74">
        <v>43371</v>
      </c>
      <c r="J1272" s="76">
        <v>4.3099999999999996</v>
      </c>
      <c r="K1272" s="76">
        <v>0</v>
      </c>
      <c r="O1272" s="9"/>
    </row>
    <row r="1273" spans="1:15" x14ac:dyDescent="0.15">
      <c r="A1273" s="9"/>
      <c r="B1273" s="9"/>
      <c r="H1273" s="9"/>
      <c r="I1273" s="74">
        <v>43372</v>
      </c>
      <c r="J1273" s="76">
        <v>4.3099999999999996</v>
      </c>
      <c r="K1273" s="76">
        <v>0</v>
      </c>
      <c r="O1273" s="9"/>
    </row>
    <row r="1274" spans="1:15" x14ac:dyDescent="0.15">
      <c r="A1274" s="9"/>
      <c r="B1274" s="9"/>
      <c r="H1274" s="9"/>
      <c r="I1274" s="74">
        <v>43373</v>
      </c>
      <c r="J1274" s="76">
        <v>4.3099999999999996</v>
      </c>
      <c r="K1274" s="76">
        <v>0</v>
      </c>
      <c r="O1274" s="9"/>
    </row>
    <row r="1275" spans="1:15" x14ac:dyDescent="0.15">
      <c r="A1275" s="9"/>
      <c r="B1275" s="9"/>
      <c r="H1275" s="9"/>
      <c r="I1275" s="74">
        <v>43381</v>
      </c>
      <c r="J1275" s="76">
        <v>4.3099999999999996</v>
      </c>
      <c r="K1275" s="76">
        <v>0</v>
      </c>
      <c r="O1275" s="9"/>
    </row>
    <row r="1276" spans="1:15" x14ac:dyDescent="0.15">
      <c r="A1276" s="9"/>
      <c r="B1276" s="9"/>
      <c r="H1276" s="9"/>
      <c r="I1276" s="74">
        <v>43382</v>
      </c>
      <c r="J1276" s="76">
        <v>4.3099999999999996</v>
      </c>
      <c r="K1276" s="76">
        <v>0</v>
      </c>
      <c r="O1276" s="9"/>
    </row>
    <row r="1277" spans="1:15" x14ac:dyDescent="0.15">
      <c r="A1277" s="9"/>
      <c r="B1277" s="9"/>
      <c r="H1277" s="9"/>
      <c r="I1277" s="74">
        <v>43383</v>
      </c>
      <c r="J1277" s="76">
        <v>4.3099999999999996</v>
      </c>
      <c r="K1277" s="76">
        <v>0</v>
      </c>
      <c r="O1277" s="9"/>
    </row>
    <row r="1278" spans="1:15" x14ac:dyDescent="0.15">
      <c r="A1278" s="9"/>
      <c r="B1278" s="9"/>
      <c r="H1278" s="9"/>
      <c r="I1278" s="74">
        <v>43384</v>
      </c>
      <c r="J1278" s="76">
        <v>4.3099999999999996</v>
      </c>
      <c r="K1278" s="76">
        <v>0</v>
      </c>
      <c r="O1278" s="9"/>
    </row>
    <row r="1279" spans="1:15" x14ac:dyDescent="0.15">
      <c r="A1279" s="9"/>
      <c r="B1279" s="9"/>
      <c r="H1279" s="9"/>
      <c r="I1279" s="74">
        <v>43385</v>
      </c>
      <c r="J1279" s="76">
        <v>4.3099999999999996</v>
      </c>
      <c r="K1279" s="76">
        <v>0</v>
      </c>
      <c r="O1279" s="9"/>
    </row>
    <row r="1280" spans="1:15" x14ac:dyDescent="0.15">
      <c r="A1280" s="9"/>
      <c r="B1280" s="9"/>
      <c r="H1280" s="9"/>
      <c r="I1280" s="74">
        <v>43388</v>
      </c>
      <c r="J1280" s="76">
        <v>4.3099999999999996</v>
      </c>
      <c r="K1280" s="76">
        <v>0</v>
      </c>
      <c r="O1280" s="9"/>
    </row>
    <row r="1281" spans="1:15" x14ac:dyDescent="0.15">
      <c r="A1281" s="9"/>
      <c r="B1281" s="9"/>
      <c r="H1281" s="9"/>
      <c r="I1281" s="74">
        <v>43389</v>
      </c>
      <c r="J1281" s="76">
        <v>4.3099999999999996</v>
      </c>
      <c r="K1281" s="76">
        <v>0</v>
      </c>
      <c r="O1281" s="9"/>
    </row>
    <row r="1282" spans="1:15" x14ac:dyDescent="0.15">
      <c r="A1282" s="9"/>
      <c r="B1282" s="9"/>
      <c r="H1282" s="9"/>
      <c r="I1282" s="74">
        <v>43390</v>
      </c>
      <c r="J1282" s="76">
        <v>4.3099999999999996</v>
      </c>
      <c r="K1282" s="76">
        <v>0</v>
      </c>
      <c r="O1282" s="9"/>
    </row>
    <row r="1283" spans="1:15" x14ac:dyDescent="0.15">
      <c r="A1283" s="9"/>
      <c r="B1283" s="9"/>
      <c r="H1283" s="9"/>
      <c r="I1283" s="74">
        <v>43391</v>
      </c>
      <c r="J1283" s="76">
        <v>4.3099999999999996</v>
      </c>
      <c r="K1283" s="76">
        <v>0</v>
      </c>
      <c r="O1283" s="9"/>
    </row>
    <row r="1284" spans="1:15" x14ac:dyDescent="0.15">
      <c r="A1284" s="9"/>
      <c r="B1284" s="9"/>
      <c r="H1284" s="9"/>
      <c r="I1284" s="74">
        <v>43392</v>
      </c>
      <c r="J1284" s="76">
        <v>4.3099999999999996</v>
      </c>
      <c r="K1284" s="76">
        <v>0</v>
      </c>
      <c r="O1284" s="9"/>
    </row>
    <row r="1285" spans="1:15" x14ac:dyDescent="0.15">
      <c r="A1285" s="9"/>
      <c r="B1285" s="9"/>
      <c r="H1285" s="9"/>
      <c r="I1285" s="74">
        <v>43395</v>
      </c>
      <c r="J1285" s="76">
        <v>4.3099999999999996</v>
      </c>
      <c r="K1285" s="76">
        <v>0</v>
      </c>
      <c r="O1285" s="9"/>
    </row>
    <row r="1286" spans="1:15" x14ac:dyDescent="0.15">
      <c r="A1286" s="9"/>
      <c r="B1286" s="9"/>
      <c r="H1286" s="9"/>
      <c r="I1286" s="74">
        <v>43396</v>
      </c>
      <c r="J1286" s="76">
        <v>4.3099999999999996</v>
      </c>
      <c r="K1286" s="76">
        <v>0</v>
      </c>
      <c r="O1286" s="9"/>
    </row>
    <row r="1287" spans="1:15" x14ac:dyDescent="0.15">
      <c r="A1287" s="9"/>
      <c r="B1287" s="9"/>
      <c r="H1287" s="9"/>
      <c r="I1287" s="74">
        <v>43397</v>
      </c>
      <c r="J1287" s="76">
        <v>4.3099999999999996</v>
      </c>
      <c r="K1287" s="76">
        <v>0</v>
      </c>
      <c r="O1287" s="9"/>
    </row>
    <row r="1288" spans="1:15" x14ac:dyDescent="0.15">
      <c r="A1288" s="9"/>
      <c r="B1288" s="9"/>
      <c r="H1288" s="9"/>
      <c r="I1288" s="74">
        <v>43398</v>
      </c>
      <c r="J1288" s="76">
        <v>4.3099999999999996</v>
      </c>
      <c r="K1288" s="76">
        <v>0</v>
      </c>
      <c r="O1288" s="9"/>
    </row>
    <row r="1289" spans="1:15" x14ac:dyDescent="0.15">
      <c r="A1289" s="9"/>
      <c r="B1289" s="9"/>
      <c r="H1289" s="9"/>
      <c r="I1289" s="74">
        <v>43399</v>
      </c>
      <c r="J1289" s="76">
        <v>4.3099999999999996</v>
      </c>
      <c r="K1289" s="76">
        <v>0</v>
      </c>
      <c r="O1289" s="9"/>
    </row>
    <row r="1290" spans="1:15" x14ac:dyDescent="0.15">
      <c r="A1290" s="9"/>
      <c r="B1290" s="9"/>
      <c r="H1290" s="9"/>
      <c r="I1290" s="74">
        <v>43402</v>
      </c>
      <c r="J1290" s="76">
        <v>4.3099999999999996</v>
      </c>
      <c r="K1290" s="76">
        <v>0</v>
      </c>
      <c r="O1290" s="9"/>
    </row>
    <row r="1291" spans="1:15" x14ac:dyDescent="0.15">
      <c r="A1291" s="9"/>
      <c r="B1291" s="9"/>
      <c r="H1291" s="9"/>
      <c r="I1291" s="74">
        <v>43403</v>
      </c>
      <c r="J1291" s="76">
        <v>4.3099999999999996</v>
      </c>
      <c r="K1291" s="76">
        <v>0</v>
      </c>
      <c r="O1291" s="9"/>
    </row>
    <row r="1292" spans="1:15" x14ac:dyDescent="0.15">
      <c r="A1292" s="9"/>
      <c r="B1292" s="9"/>
      <c r="H1292" s="9"/>
      <c r="I1292" s="74">
        <v>43404</v>
      </c>
      <c r="J1292" s="76">
        <v>4.3099999999999996</v>
      </c>
      <c r="K1292" s="76">
        <v>0</v>
      </c>
      <c r="O1292" s="9"/>
    </row>
    <row r="1293" spans="1:15" x14ac:dyDescent="0.15">
      <c r="A1293" s="9"/>
      <c r="B1293" s="9"/>
      <c r="H1293" s="9"/>
      <c r="I1293" s="74">
        <v>43405</v>
      </c>
      <c r="J1293" s="76">
        <v>4.3099999999999996</v>
      </c>
      <c r="K1293" s="76">
        <v>0</v>
      </c>
      <c r="O1293" s="9"/>
    </row>
    <row r="1294" spans="1:15" x14ac:dyDescent="0.15">
      <c r="A1294" s="9"/>
      <c r="B1294" s="9"/>
      <c r="H1294" s="9"/>
      <c r="I1294" s="74">
        <v>43406</v>
      </c>
      <c r="J1294" s="76">
        <v>4.3099999999999996</v>
      </c>
      <c r="K1294" s="76">
        <v>0</v>
      </c>
      <c r="O1294" s="9"/>
    </row>
    <row r="1295" spans="1:15" x14ac:dyDescent="0.15">
      <c r="A1295" s="9"/>
      <c r="B1295" s="9"/>
      <c r="H1295" s="9"/>
      <c r="I1295" s="74">
        <v>43409</v>
      </c>
      <c r="J1295" s="76">
        <v>4.3099999999999996</v>
      </c>
      <c r="K1295" s="76">
        <v>0</v>
      </c>
      <c r="O1295" s="9"/>
    </row>
    <row r="1296" spans="1:15" x14ac:dyDescent="0.15">
      <c r="A1296" s="9"/>
      <c r="B1296" s="9"/>
      <c r="H1296" s="9"/>
      <c r="I1296" s="74">
        <v>43410</v>
      </c>
      <c r="J1296" s="76">
        <v>4.3099999999999996</v>
      </c>
      <c r="K1296" s="76">
        <v>0</v>
      </c>
      <c r="O1296" s="9"/>
    </row>
    <row r="1297" spans="1:15" x14ac:dyDescent="0.15">
      <c r="A1297" s="9"/>
      <c r="B1297" s="9"/>
      <c r="H1297" s="9"/>
      <c r="I1297" s="74">
        <v>43411</v>
      </c>
      <c r="J1297" s="76">
        <v>4.3099999999999996</v>
      </c>
      <c r="K1297" s="76">
        <v>0</v>
      </c>
      <c r="O1297" s="9"/>
    </row>
    <row r="1298" spans="1:15" x14ac:dyDescent="0.15">
      <c r="A1298" s="9"/>
      <c r="B1298" s="9"/>
      <c r="H1298" s="9"/>
      <c r="I1298" s="74">
        <v>43412</v>
      </c>
      <c r="J1298" s="76">
        <v>4.3099999999999996</v>
      </c>
      <c r="K1298" s="76">
        <v>0</v>
      </c>
      <c r="O1298" s="9"/>
    </row>
    <row r="1299" spans="1:15" x14ac:dyDescent="0.15">
      <c r="A1299" s="9"/>
      <c r="B1299" s="9"/>
      <c r="H1299" s="9"/>
      <c r="I1299" s="74">
        <v>43413</v>
      </c>
      <c r="J1299" s="76">
        <v>4.3099999999999996</v>
      </c>
      <c r="K1299" s="76">
        <v>0</v>
      </c>
      <c r="O1299" s="9"/>
    </row>
    <row r="1300" spans="1:15" x14ac:dyDescent="0.15">
      <c r="A1300" s="9"/>
      <c r="B1300" s="9"/>
      <c r="H1300" s="9"/>
      <c r="I1300" s="74">
        <v>43416</v>
      </c>
      <c r="J1300" s="76">
        <v>4.3099999999999996</v>
      </c>
      <c r="K1300" s="76">
        <v>0</v>
      </c>
      <c r="O1300" s="9"/>
    </row>
    <row r="1301" spans="1:15" x14ac:dyDescent="0.15">
      <c r="A1301" s="9"/>
      <c r="B1301" s="9"/>
      <c r="H1301" s="9"/>
      <c r="I1301" s="74">
        <v>43417</v>
      </c>
      <c r="J1301" s="76">
        <v>4.3099999999999996</v>
      </c>
      <c r="K1301" s="76">
        <v>0</v>
      </c>
      <c r="O1301" s="9"/>
    </row>
    <row r="1302" spans="1:15" x14ac:dyDescent="0.15">
      <c r="A1302" s="9"/>
      <c r="B1302" s="9"/>
      <c r="H1302" s="9"/>
      <c r="I1302" s="74">
        <v>43418</v>
      </c>
      <c r="J1302" s="76">
        <v>4.3099999999999996</v>
      </c>
      <c r="K1302" s="76">
        <v>0</v>
      </c>
      <c r="O1302" s="9"/>
    </row>
    <row r="1303" spans="1:15" x14ac:dyDescent="0.15">
      <c r="A1303" s="9"/>
      <c r="B1303" s="9"/>
      <c r="H1303" s="9"/>
      <c r="I1303" s="74">
        <v>43419</v>
      </c>
      <c r="J1303" s="76">
        <v>4.3099999999999996</v>
      </c>
      <c r="K1303" s="76">
        <v>0</v>
      </c>
      <c r="O1303" s="9"/>
    </row>
    <row r="1304" spans="1:15" x14ac:dyDescent="0.15">
      <c r="A1304" s="9"/>
      <c r="B1304" s="9"/>
      <c r="H1304" s="9"/>
      <c r="I1304" s="74">
        <v>43420</v>
      </c>
      <c r="J1304" s="76">
        <v>4.3099999999999996</v>
      </c>
      <c r="K1304" s="76">
        <v>0</v>
      </c>
      <c r="O1304" s="9"/>
    </row>
    <row r="1305" spans="1:15" x14ac:dyDescent="0.15">
      <c r="A1305" s="9"/>
      <c r="B1305" s="9"/>
      <c r="H1305" s="9"/>
      <c r="I1305" s="74">
        <v>43423</v>
      </c>
      <c r="J1305" s="76">
        <v>4.3099999999999996</v>
      </c>
      <c r="K1305" s="76">
        <v>0</v>
      </c>
      <c r="O1305" s="9"/>
    </row>
    <row r="1306" spans="1:15" x14ac:dyDescent="0.15">
      <c r="A1306" s="9"/>
      <c r="B1306" s="9"/>
      <c r="H1306" s="9"/>
      <c r="I1306" s="74">
        <v>43424</v>
      </c>
      <c r="J1306" s="76">
        <v>4.3099999999999996</v>
      </c>
      <c r="K1306" s="76">
        <v>0</v>
      </c>
      <c r="O1306" s="9"/>
    </row>
    <row r="1307" spans="1:15" x14ac:dyDescent="0.15">
      <c r="A1307" s="9"/>
      <c r="B1307" s="9"/>
      <c r="H1307" s="9"/>
      <c r="I1307" s="74">
        <v>43425</v>
      </c>
      <c r="J1307" s="76">
        <v>4.3099999999999996</v>
      </c>
      <c r="K1307" s="76">
        <v>0</v>
      </c>
      <c r="O1307" s="9"/>
    </row>
    <row r="1308" spans="1:15" x14ac:dyDescent="0.15">
      <c r="A1308" s="9"/>
      <c r="B1308" s="9"/>
      <c r="H1308" s="9"/>
      <c r="I1308" s="74">
        <v>43426</v>
      </c>
      <c r="J1308" s="76">
        <v>4.3099999999999996</v>
      </c>
      <c r="K1308" s="76">
        <v>0</v>
      </c>
      <c r="O1308" s="9"/>
    </row>
    <row r="1309" spans="1:15" x14ac:dyDescent="0.15">
      <c r="A1309" s="9"/>
      <c r="B1309" s="9"/>
      <c r="H1309" s="9"/>
      <c r="I1309" s="74">
        <v>43427</v>
      </c>
      <c r="J1309" s="76">
        <v>4.3099999999999996</v>
      </c>
      <c r="K1309" s="76">
        <v>0</v>
      </c>
      <c r="O1309" s="9"/>
    </row>
    <row r="1310" spans="1:15" x14ac:dyDescent="0.15">
      <c r="A1310" s="9"/>
      <c r="B1310" s="9"/>
      <c r="H1310" s="9"/>
      <c r="I1310" s="74">
        <v>43430</v>
      </c>
      <c r="J1310" s="76">
        <v>4.3099999999999996</v>
      </c>
      <c r="K1310" s="76">
        <v>0</v>
      </c>
      <c r="O1310" s="9"/>
    </row>
    <row r="1311" spans="1:15" x14ac:dyDescent="0.15">
      <c r="A1311" s="9"/>
      <c r="B1311" s="9"/>
      <c r="H1311" s="9"/>
      <c r="I1311" s="74">
        <v>43431</v>
      </c>
      <c r="J1311" s="76">
        <v>4.3099999999999996</v>
      </c>
      <c r="K1311" s="76">
        <v>0</v>
      </c>
      <c r="O1311" s="9"/>
    </row>
    <row r="1312" spans="1:15" x14ac:dyDescent="0.15">
      <c r="A1312" s="9"/>
      <c r="B1312" s="9"/>
      <c r="H1312" s="9"/>
      <c r="I1312" s="74">
        <v>43432</v>
      </c>
      <c r="J1312" s="76">
        <v>4.3099999999999996</v>
      </c>
      <c r="K1312" s="76">
        <v>0</v>
      </c>
      <c r="O1312" s="9"/>
    </row>
    <row r="1313" spans="1:15" x14ac:dyDescent="0.15">
      <c r="A1313" s="9"/>
      <c r="B1313" s="9"/>
      <c r="H1313" s="9"/>
      <c r="I1313" s="74">
        <v>43433</v>
      </c>
      <c r="J1313" s="76">
        <v>4.3099999999999996</v>
      </c>
      <c r="K1313" s="76">
        <v>0</v>
      </c>
      <c r="O1313" s="9"/>
    </row>
    <row r="1314" spans="1:15" x14ac:dyDescent="0.15">
      <c r="A1314" s="9"/>
      <c r="B1314" s="9"/>
      <c r="H1314" s="9"/>
      <c r="I1314" s="74">
        <v>43434</v>
      </c>
      <c r="J1314" s="76">
        <v>4.3099999999999996</v>
      </c>
      <c r="K1314" s="76">
        <v>0</v>
      </c>
      <c r="O1314" s="9"/>
    </row>
    <row r="1315" spans="1:15" x14ac:dyDescent="0.15">
      <c r="A1315" s="9"/>
      <c r="B1315" s="9"/>
      <c r="H1315" s="9"/>
      <c r="I1315" s="74">
        <v>43437</v>
      </c>
      <c r="J1315" s="76">
        <v>4.3099999999999996</v>
      </c>
      <c r="K1315" s="76">
        <v>0</v>
      </c>
      <c r="O1315" s="9"/>
    </row>
    <row r="1316" spans="1:15" x14ac:dyDescent="0.15">
      <c r="A1316" s="9"/>
      <c r="B1316" s="9"/>
      <c r="H1316" s="9"/>
      <c r="I1316" s="74">
        <v>43438</v>
      </c>
      <c r="J1316" s="76">
        <v>4.3099999999999996</v>
      </c>
      <c r="K1316" s="76">
        <v>0</v>
      </c>
      <c r="O1316" s="9"/>
    </row>
    <row r="1317" spans="1:15" x14ac:dyDescent="0.15">
      <c r="A1317" s="9"/>
      <c r="B1317" s="9"/>
      <c r="H1317" s="9"/>
      <c r="I1317" s="74">
        <v>43439</v>
      </c>
      <c r="J1317" s="76">
        <v>4.3099999999999996</v>
      </c>
      <c r="K1317" s="76">
        <v>0</v>
      </c>
      <c r="O1317" s="9"/>
    </row>
    <row r="1318" spans="1:15" x14ac:dyDescent="0.15">
      <c r="A1318" s="9"/>
      <c r="B1318" s="9"/>
      <c r="H1318" s="9"/>
      <c r="I1318" s="74">
        <v>43440</v>
      </c>
      <c r="J1318" s="76">
        <v>4.3099999999999996</v>
      </c>
      <c r="K1318" s="76">
        <v>0</v>
      </c>
      <c r="O1318" s="9"/>
    </row>
    <row r="1319" spans="1:15" x14ac:dyDescent="0.15">
      <c r="A1319" s="9"/>
      <c r="B1319" s="9"/>
      <c r="H1319" s="9"/>
      <c r="I1319" s="74">
        <v>43441</v>
      </c>
      <c r="J1319" s="76">
        <v>4.3099999999999996</v>
      </c>
      <c r="K1319" s="76">
        <v>0</v>
      </c>
      <c r="O1319" s="9"/>
    </row>
    <row r="1320" spans="1:15" x14ac:dyDescent="0.15">
      <c r="A1320" s="9"/>
      <c r="B1320" s="9"/>
      <c r="H1320" s="9"/>
      <c r="I1320" s="74">
        <v>43444</v>
      </c>
      <c r="J1320" s="76">
        <v>4.3099999999999996</v>
      </c>
      <c r="K1320" s="76">
        <v>0</v>
      </c>
      <c r="O1320" s="9"/>
    </row>
    <row r="1321" spans="1:15" x14ac:dyDescent="0.15">
      <c r="A1321" s="9"/>
      <c r="B1321" s="9"/>
      <c r="H1321" s="9"/>
      <c r="I1321" s="74">
        <v>43445</v>
      </c>
      <c r="J1321" s="76">
        <v>4.3099999999999996</v>
      </c>
      <c r="K1321" s="76">
        <v>0</v>
      </c>
      <c r="O1321" s="9"/>
    </row>
    <row r="1322" spans="1:15" x14ac:dyDescent="0.15">
      <c r="A1322" s="9"/>
      <c r="B1322" s="9"/>
      <c r="H1322" s="9"/>
      <c r="I1322" s="74">
        <v>43446</v>
      </c>
      <c r="J1322" s="76">
        <v>4.3099999999999996</v>
      </c>
      <c r="K1322" s="76">
        <v>0</v>
      </c>
      <c r="O1322" s="9"/>
    </row>
    <row r="1323" spans="1:15" x14ac:dyDescent="0.15">
      <c r="A1323" s="9"/>
      <c r="B1323" s="9"/>
      <c r="H1323" s="9"/>
      <c r="I1323" s="74">
        <v>43447</v>
      </c>
      <c r="J1323" s="76">
        <v>4.3099999999999996</v>
      </c>
      <c r="K1323" s="76">
        <v>0</v>
      </c>
      <c r="O1323" s="9"/>
    </row>
    <row r="1324" spans="1:15" x14ac:dyDescent="0.15">
      <c r="A1324" s="9"/>
      <c r="B1324" s="9"/>
      <c r="H1324" s="9"/>
      <c r="I1324" s="74">
        <v>43448</v>
      </c>
      <c r="J1324" s="76">
        <v>4.3099999999999996</v>
      </c>
      <c r="K1324" s="76">
        <v>0</v>
      </c>
      <c r="O1324" s="9"/>
    </row>
    <row r="1325" spans="1:15" x14ac:dyDescent="0.15">
      <c r="A1325" s="9"/>
      <c r="B1325" s="9"/>
      <c r="H1325" s="9"/>
      <c r="I1325" s="74">
        <v>43451</v>
      </c>
      <c r="J1325" s="76">
        <v>4.3099999999999996</v>
      </c>
      <c r="K1325" s="76">
        <v>0</v>
      </c>
      <c r="O1325" s="9"/>
    </row>
    <row r="1326" spans="1:15" x14ac:dyDescent="0.15">
      <c r="A1326" s="9"/>
      <c r="B1326" s="9"/>
      <c r="H1326" s="9"/>
      <c r="I1326" s="74">
        <v>43452</v>
      </c>
      <c r="J1326" s="76">
        <v>4.3099999999999996</v>
      </c>
      <c r="K1326" s="76">
        <v>0</v>
      </c>
      <c r="O1326" s="9"/>
    </row>
    <row r="1327" spans="1:15" x14ac:dyDescent="0.15">
      <c r="A1327" s="9"/>
      <c r="B1327" s="9"/>
      <c r="H1327" s="9"/>
      <c r="I1327" s="74">
        <v>43453</v>
      </c>
      <c r="J1327" s="76">
        <v>4.3099999999999996</v>
      </c>
      <c r="K1327" s="76">
        <v>0</v>
      </c>
      <c r="O1327" s="9"/>
    </row>
    <row r="1328" spans="1:15" x14ac:dyDescent="0.15">
      <c r="A1328" s="9"/>
      <c r="B1328" s="9"/>
      <c r="H1328" s="9"/>
      <c r="I1328" s="74">
        <v>43454</v>
      </c>
      <c r="J1328" s="76">
        <v>4.3099999999999996</v>
      </c>
      <c r="K1328" s="76">
        <v>0</v>
      </c>
      <c r="O1328" s="9"/>
    </row>
    <row r="1329" spans="1:15" x14ac:dyDescent="0.15">
      <c r="A1329" s="9"/>
      <c r="B1329" s="9"/>
      <c r="H1329" s="9"/>
      <c r="I1329" s="74">
        <v>43455</v>
      </c>
      <c r="J1329" s="76">
        <v>4.3099999999999996</v>
      </c>
      <c r="K1329" s="76">
        <v>0</v>
      </c>
      <c r="O1329" s="9"/>
    </row>
    <row r="1330" spans="1:15" x14ac:dyDescent="0.15">
      <c r="A1330" s="9"/>
      <c r="B1330" s="9"/>
      <c r="H1330" s="9"/>
      <c r="I1330" s="74">
        <v>43458</v>
      </c>
      <c r="J1330" s="76">
        <v>4.3099999999999996</v>
      </c>
      <c r="K1330" s="76">
        <v>0</v>
      </c>
      <c r="O1330" s="9"/>
    </row>
    <row r="1331" spans="1:15" x14ac:dyDescent="0.15">
      <c r="A1331" s="9"/>
      <c r="B1331" s="9"/>
      <c r="H1331" s="9"/>
      <c r="I1331" s="74">
        <v>43459</v>
      </c>
      <c r="J1331" s="76">
        <v>4.3099999999999996</v>
      </c>
      <c r="K1331" s="76">
        <v>0</v>
      </c>
      <c r="O1331" s="9"/>
    </row>
    <row r="1332" spans="1:15" x14ac:dyDescent="0.15">
      <c r="A1332" s="9"/>
      <c r="B1332" s="9"/>
      <c r="H1332" s="9"/>
      <c r="I1332" s="74">
        <v>43460</v>
      </c>
      <c r="J1332" s="76">
        <v>4.3099999999999996</v>
      </c>
      <c r="K1332" s="76">
        <v>0</v>
      </c>
      <c r="O1332" s="9"/>
    </row>
    <row r="1333" spans="1:15" x14ac:dyDescent="0.15">
      <c r="A1333" s="9"/>
      <c r="B1333" s="9"/>
      <c r="H1333" s="9"/>
      <c r="I1333" s="74">
        <v>43461</v>
      </c>
      <c r="J1333" s="76">
        <v>4.3099999999999996</v>
      </c>
      <c r="K1333" s="76">
        <v>0</v>
      </c>
      <c r="O1333" s="9"/>
    </row>
    <row r="1334" spans="1:15" x14ac:dyDescent="0.15">
      <c r="A1334" s="9"/>
      <c r="B1334" s="9"/>
      <c r="H1334" s="9"/>
      <c r="I1334" s="74">
        <v>43462</v>
      </c>
      <c r="J1334" s="76">
        <v>4.3099999999999996</v>
      </c>
      <c r="K1334" s="76">
        <v>0</v>
      </c>
      <c r="O1334" s="9"/>
    </row>
    <row r="1335" spans="1:15" x14ac:dyDescent="0.15">
      <c r="A1335" s="9"/>
      <c r="B1335" s="9"/>
      <c r="H1335" s="9"/>
      <c r="I1335" s="74">
        <v>43463</v>
      </c>
      <c r="J1335" s="76">
        <v>4.3099999999999996</v>
      </c>
      <c r="K1335" s="76">
        <v>0</v>
      </c>
      <c r="O1335" s="9"/>
    </row>
    <row r="1336" spans="1:15" x14ac:dyDescent="0.15">
      <c r="A1336" s="9"/>
      <c r="B1336" s="9"/>
      <c r="H1336" s="9"/>
      <c r="I1336" s="74">
        <v>43467</v>
      </c>
      <c r="J1336" s="76">
        <v>4.3099999999999996</v>
      </c>
      <c r="K1336" s="76">
        <v>0</v>
      </c>
      <c r="O1336" s="9"/>
    </row>
    <row r="1337" spans="1:15" x14ac:dyDescent="0.15">
      <c r="A1337" s="9"/>
      <c r="B1337" s="9"/>
      <c r="H1337" s="9"/>
      <c r="I1337" s="74">
        <v>43468</v>
      </c>
      <c r="J1337" s="76">
        <v>4.3099999999999996</v>
      </c>
      <c r="K1337" s="76">
        <v>0</v>
      </c>
      <c r="O1337" s="9"/>
    </row>
    <row r="1338" spans="1:15" x14ac:dyDescent="0.15">
      <c r="A1338" s="9"/>
      <c r="B1338" s="9"/>
      <c r="H1338" s="9"/>
      <c r="I1338" s="74">
        <v>43469</v>
      </c>
      <c r="J1338" s="76">
        <v>4.3099999999999996</v>
      </c>
      <c r="K1338" s="76">
        <v>0</v>
      </c>
      <c r="O1338" s="9"/>
    </row>
    <row r="1339" spans="1:15" x14ac:dyDescent="0.15">
      <c r="A1339" s="9"/>
      <c r="B1339" s="9"/>
      <c r="H1339" s="9"/>
      <c r="I1339" s="74">
        <v>43472</v>
      </c>
      <c r="J1339" s="76">
        <v>4.3099999999999996</v>
      </c>
      <c r="K1339" s="76">
        <v>0</v>
      </c>
      <c r="O1339" s="9"/>
    </row>
    <row r="1340" spans="1:15" x14ac:dyDescent="0.15">
      <c r="A1340" s="9"/>
      <c r="B1340" s="9"/>
      <c r="H1340" s="9"/>
      <c r="I1340" s="74">
        <v>43473</v>
      </c>
      <c r="J1340" s="76">
        <v>4.3099999999999996</v>
      </c>
      <c r="K1340" s="76">
        <v>0</v>
      </c>
      <c r="O1340" s="9"/>
    </row>
    <row r="1341" spans="1:15" x14ac:dyDescent="0.15">
      <c r="A1341" s="9"/>
      <c r="B1341" s="9"/>
      <c r="H1341" s="9"/>
      <c r="I1341" s="74">
        <v>43474</v>
      </c>
      <c r="J1341" s="76">
        <v>4.3099999999999996</v>
      </c>
      <c r="K1341" s="76">
        <v>0</v>
      </c>
      <c r="O1341" s="9"/>
    </row>
    <row r="1342" spans="1:15" x14ac:dyDescent="0.15">
      <c r="A1342" s="9"/>
      <c r="B1342" s="9"/>
      <c r="H1342" s="9"/>
      <c r="I1342" s="74">
        <v>43475</v>
      </c>
      <c r="J1342" s="76">
        <v>4.3099999999999996</v>
      </c>
      <c r="K1342" s="76">
        <v>0</v>
      </c>
      <c r="O1342" s="9"/>
    </row>
    <row r="1343" spans="1:15" x14ac:dyDescent="0.15">
      <c r="A1343" s="9"/>
      <c r="B1343" s="9"/>
      <c r="H1343" s="9"/>
      <c r="I1343" s="74">
        <v>43476</v>
      </c>
      <c r="J1343" s="76">
        <v>4.3099999999999996</v>
      </c>
      <c r="K1343" s="76">
        <v>0</v>
      </c>
      <c r="O1343" s="9"/>
    </row>
    <row r="1344" spans="1:15" x14ac:dyDescent="0.15">
      <c r="A1344" s="9"/>
      <c r="B1344" s="9"/>
      <c r="H1344" s="9"/>
      <c r="I1344" s="74">
        <v>43479</v>
      </c>
      <c r="J1344" s="76">
        <v>4.3099999999999996</v>
      </c>
      <c r="K1344" s="76">
        <v>0</v>
      </c>
      <c r="O1344" s="9"/>
    </row>
    <row r="1345" spans="1:15" x14ac:dyDescent="0.15">
      <c r="A1345" s="9"/>
      <c r="B1345" s="9"/>
      <c r="H1345" s="9"/>
      <c r="I1345" s="74">
        <v>43480</v>
      </c>
      <c r="J1345" s="76">
        <v>4.3099999999999996</v>
      </c>
      <c r="K1345" s="76">
        <v>0</v>
      </c>
      <c r="O1345" s="9"/>
    </row>
    <row r="1346" spans="1:15" x14ac:dyDescent="0.15">
      <c r="A1346" s="9"/>
      <c r="B1346" s="9"/>
      <c r="H1346" s="9"/>
      <c r="I1346" s="74">
        <v>43481</v>
      </c>
      <c r="J1346" s="76">
        <v>4.3099999999999996</v>
      </c>
      <c r="K1346" s="76">
        <v>0</v>
      </c>
      <c r="O1346" s="9"/>
    </row>
    <row r="1347" spans="1:15" x14ac:dyDescent="0.15">
      <c r="A1347" s="9"/>
      <c r="B1347" s="9"/>
      <c r="H1347" s="9"/>
      <c r="I1347" s="74">
        <v>43482</v>
      </c>
      <c r="J1347" s="76">
        <v>4.3099999999999996</v>
      </c>
      <c r="K1347" s="76">
        <v>0</v>
      </c>
      <c r="O1347" s="9"/>
    </row>
    <row r="1348" spans="1:15" x14ac:dyDescent="0.15">
      <c r="A1348" s="9"/>
      <c r="B1348" s="9"/>
      <c r="H1348" s="9"/>
      <c r="I1348" s="74">
        <v>43483</v>
      </c>
      <c r="J1348" s="76">
        <v>4.3099999999999996</v>
      </c>
      <c r="K1348" s="76">
        <v>0</v>
      </c>
      <c r="O1348" s="9"/>
    </row>
    <row r="1349" spans="1:15" x14ac:dyDescent="0.15">
      <c r="A1349" s="9"/>
      <c r="B1349" s="9"/>
      <c r="H1349" s="9"/>
      <c r="I1349" s="74">
        <v>43486</v>
      </c>
      <c r="J1349" s="76">
        <v>4.3099999999999996</v>
      </c>
      <c r="K1349" s="76">
        <v>0</v>
      </c>
      <c r="O1349" s="9"/>
    </row>
    <row r="1350" spans="1:15" x14ac:dyDescent="0.15">
      <c r="A1350" s="9"/>
      <c r="B1350" s="9"/>
      <c r="H1350" s="9"/>
      <c r="I1350" s="74">
        <v>43487</v>
      </c>
      <c r="J1350" s="76">
        <v>4.3099999999999996</v>
      </c>
      <c r="K1350" s="76">
        <v>0</v>
      </c>
      <c r="O1350" s="9"/>
    </row>
    <row r="1351" spans="1:15" x14ac:dyDescent="0.15">
      <c r="A1351" s="9"/>
      <c r="B1351" s="9"/>
      <c r="H1351" s="9"/>
      <c r="I1351" s="74">
        <v>43488</v>
      </c>
      <c r="J1351" s="76">
        <v>4.3099999999999996</v>
      </c>
      <c r="K1351" s="76">
        <v>0</v>
      </c>
      <c r="O1351" s="9"/>
    </row>
    <row r="1352" spans="1:15" x14ac:dyDescent="0.15">
      <c r="A1352" s="9"/>
      <c r="B1352" s="9"/>
      <c r="H1352" s="9"/>
      <c r="I1352" s="74">
        <v>43489</v>
      </c>
      <c r="J1352" s="76">
        <v>4.3099999999999996</v>
      </c>
      <c r="K1352" s="76">
        <v>0</v>
      </c>
      <c r="O1352" s="9"/>
    </row>
    <row r="1353" spans="1:15" x14ac:dyDescent="0.15">
      <c r="A1353" s="9"/>
      <c r="B1353" s="9"/>
      <c r="H1353" s="9"/>
      <c r="I1353" s="74">
        <v>43490</v>
      </c>
      <c r="J1353" s="76">
        <v>4.3099999999999996</v>
      </c>
      <c r="K1353" s="76">
        <v>0</v>
      </c>
      <c r="O1353" s="9"/>
    </row>
    <row r="1354" spans="1:15" x14ac:dyDescent="0.15">
      <c r="A1354" s="9"/>
      <c r="B1354" s="9"/>
      <c r="H1354" s="9"/>
      <c r="I1354" s="74">
        <v>43493</v>
      </c>
      <c r="J1354" s="76">
        <v>4.3099999999999996</v>
      </c>
      <c r="K1354" s="76">
        <v>0</v>
      </c>
      <c r="O1354" s="9"/>
    </row>
    <row r="1355" spans="1:15" x14ac:dyDescent="0.15">
      <c r="A1355" s="9"/>
      <c r="B1355" s="9"/>
      <c r="H1355" s="9"/>
      <c r="I1355" s="74">
        <v>43494</v>
      </c>
      <c r="J1355" s="76">
        <v>4.3099999999999996</v>
      </c>
      <c r="K1355" s="76">
        <v>0</v>
      </c>
      <c r="O1355" s="9"/>
    </row>
    <row r="1356" spans="1:15" x14ac:dyDescent="0.15">
      <c r="A1356" s="9"/>
      <c r="B1356" s="9"/>
      <c r="H1356" s="9"/>
      <c r="I1356" s="74">
        <v>43495</v>
      </c>
      <c r="J1356" s="76">
        <v>4.3099999999999996</v>
      </c>
      <c r="K1356" s="76">
        <v>0</v>
      </c>
      <c r="O1356" s="9"/>
    </row>
    <row r="1357" spans="1:15" x14ac:dyDescent="0.15">
      <c r="A1357" s="9"/>
      <c r="B1357" s="9"/>
      <c r="H1357" s="9"/>
      <c r="I1357" s="74">
        <v>43496</v>
      </c>
      <c r="J1357" s="76">
        <v>4.3099999999999996</v>
      </c>
      <c r="K1357" s="76">
        <v>0</v>
      </c>
      <c r="O1357" s="9"/>
    </row>
    <row r="1358" spans="1:15" x14ac:dyDescent="0.15">
      <c r="A1358" s="9"/>
      <c r="B1358" s="9"/>
      <c r="H1358" s="9"/>
      <c r="I1358" s="74">
        <v>43497</v>
      </c>
      <c r="J1358" s="76">
        <v>4.3099999999999996</v>
      </c>
      <c r="K1358" s="76">
        <v>0</v>
      </c>
      <c r="O1358" s="9"/>
    </row>
    <row r="1359" spans="1:15" x14ac:dyDescent="0.15">
      <c r="A1359" s="9"/>
      <c r="B1359" s="9"/>
      <c r="H1359" s="9"/>
      <c r="I1359" s="74">
        <v>43498</v>
      </c>
      <c r="J1359" s="76">
        <v>4.3099999999999996</v>
      </c>
      <c r="K1359" s="76">
        <v>0</v>
      </c>
      <c r="O1359" s="9"/>
    </row>
    <row r="1360" spans="1:15" x14ac:dyDescent="0.15">
      <c r="A1360" s="9"/>
      <c r="B1360" s="9"/>
      <c r="H1360" s="9"/>
      <c r="I1360" s="74">
        <v>43499</v>
      </c>
      <c r="J1360" s="76">
        <v>4.3099999999999996</v>
      </c>
      <c r="K1360" s="76">
        <v>0</v>
      </c>
      <c r="O1360" s="9"/>
    </row>
    <row r="1361" spans="1:15" x14ac:dyDescent="0.15">
      <c r="A1361" s="9"/>
      <c r="B1361" s="9"/>
      <c r="H1361" s="9"/>
      <c r="I1361" s="74">
        <v>43507</v>
      </c>
      <c r="J1361" s="76">
        <v>4.3099999999999996</v>
      </c>
      <c r="K1361" s="76">
        <v>0</v>
      </c>
      <c r="O1361" s="9"/>
    </row>
    <row r="1362" spans="1:15" x14ac:dyDescent="0.15">
      <c r="A1362" s="9"/>
      <c r="B1362" s="9"/>
      <c r="H1362" s="9"/>
      <c r="I1362" s="74">
        <v>43508</v>
      </c>
      <c r="J1362" s="76">
        <v>4.3099999999999996</v>
      </c>
      <c r="K1362" s="76">
        <v>0</v>
      </c>
      <c r="O1362" s="9"/>
    </row>
    <row r="1363" spans="1:15" x14ac:dyDescent="0.15">
      <c r="A1363" s="9"/>
      <c r="B1363" s="9"/>
      <c r="H1363" s="9"/>
      <c r="I1363" s="74">
        <v>43509</v>
      </c>
      <c r="J1363" s="76">
        <v>4.3099999999999996</v>
      </c>
      <c r="K1363" s="76">
        <v>0</v>
      </c>
      <c r="O1363" s="9"/>
    </row>
    <row r="1364" spans="1:15" x14ac:dyDescent="0.15">
      <c r="A1364" s="9"/>
      <c r="B1364" s="9"/>
      <c r="H1364" s="9"/>
      <c r="I1364" s="74">
        <v>43510</v>
      </c>
      <c r="J1364" s="76">
        <v>4.3099999999999996</v>
      </c>
      <c r="K1364" s="76">
        <v>0</v>
      </c>
      <c r="O1364" s="9"/>
    </row>
    <row r="1365" spans="1:15" x14ac:dyDescent="0.15">
      <c r="A1365" s="9"/>
      <c r="B1365" s="9"/>
      <c r="H1365" s="9"/>
      <c r="I1365" s="74">
        <v>43511</v>
      </c>
      <c r="J1365" s="76">
        <v>4.3099999999999996</v>
      </c>
      <c r="K1365" s="76">
        <v>0</v>
      </c>
      <c r="O1365" s="9"/>
    </row>
    <row r="1366" spans="1:15" x14ac:dyDescent="0.15">
      <c r="A1366" s="9"/>
      <c r="B1366" s="9"/>
      <c r="H1366" s="9"/>
      <c r="I1366" s="74">
        <v>43514</v>
      </c>
      <c r="J1366" s="76">
        <v>4.3099999999999996</v>
      </c>
      <c r="K1366" s="76">
        <v>0</v>
      </c>
      <c r="O1366" s="9"/>
    </row>
    <row r="1367" spans="1:15" x14ac:dyDescent="0.15">
      <c r="A1367" s="9"/>
      <c r="B1367" s="9"/>
      <c r="H1367" s="9"/>
      <c r="I1367" s="74">
        <v>43515</v>
      </c>
      <c r="J1367" s="76">
        <v>4.3099999999999996</v>
      </c>
      <c r="K1367" s="76">
        <v>0</v>
      </c>
      <c r="O1367" s="9"/>
    </row>
    <row r="1368" spans="1:15" x14ac:dyDescent="0.15">
      <c r="A1368" s="9"/>
      <c r="B1368" s="9"/>
      <c r="H1368" s="9"/>
      <c r="I1368" s="74">
        <v>43516</v>
      </c>
      <c r="J1368" s="76">
        <v>4.3099999999999996</v>
      </c>
      <c r="K1368" s="76">
        <v>0</v>
      </c>
      <c r="O1368" s="9"/>
    </row>
    <row r="1369" spans="1:15" x14ac:dyDescent="0.15">
      <c r="A1369" s="9"/>
      <c r="B1369" s="9"/>
      <c r="H1369" s="9"/>
      <c r="I1369" s="74">
        <v>43517</v>
      </c>
      <c r="J1369" s="76">
        <v>4.3099999999999996</v>
      </c>
      <c r="K1369" s="76">
        <v>0</v>
      </c>
      <c r="O1369" s="9"/>
    </row>
    <row r="1370" spans="1:15" x14ac:dyDescent="0.15">
      <c r="A1370" s="9"/>
      <c r="B1370" s="9"/>
      <c r="H1370" s="9"/>
      <c r="I1370" s="74">
        <v>43518</v>
      </c>
      <c r="J1370" s="76">
        <v>4.3099999999999996</v>
      </c>
      <c r="K1370" s="76">
        <v>0</v>
      </c>
      <c r="O1370" s="9"/>
    </row>
    <row r="1371" spans="1:15" x14ac:dyDescent="0.15">
      <c r="A1371" s="9"/>
      <c r="B1371" s="9"/>
      <c r="H1371" s="9"/>
      <c r="I1371" s="74">
        <v>43521</v>
      </c>
      <c r="J1371" s="76">
        <v>4.3099999999999996</v>
      </c>
      <c r="K1371" s="76">
        <v>0</v>
      </c>
      <c r="O1371" s="9"/>
    </row>
    <row r="1372" spans="1:15" x14ac:dyDescent="0.15">
      <c r="A1372" s="9"/>
      <c r="B1372" s="9"/>
      <c r="H1372" s="9"/>
      <c r="I1372" s="74">
        <v>43522</v>
      </c>
      <c r="J1372" s="76">
        <v>4.3099999999999996</v>
      </c>
      <c r="K1372" s="76">
        <v>0</v>
      </c>
      <c r="O1372" s="9"/>
    </row>
    <row r="1373" spans="1:15" x14ac:dyDescent="0.15">
      <c r="A1373" s="9"/>
      <c r="B1373" s="9"/>
      <c r="H1373" s="9"/>
      <c r="I1373" s="74">
        <v>43523</v>
      </c>
      <c r="J1373" s="76">
        <v>4.3099999999999996</v>
      </c>
      <c r="K1373" s="76">
        <v>0</v>
      </c>
      <c r="O1373" s="9"/>
    </row>
    <row r="1374" spans="1:15" x14ac:dyDescent="0.15">
      <c r="A1374" s="9"/>
      <c r="B1374" s="9"/>
      <c r="H1374" s="9"/>
      <c r="I1374" s="74">
        <v>43524</v>
      </c>
      <c r="J1374" s="76">
        <v>4.3099999999999996</v>
      </c>
      <c r="K1374" s="76">
        <v>0</v>
      </c>
      <c r="O1374" s="9"/>
    </row>
    <row r="1375" spans="1:15" x14ac:dyDescent="0.15">
      <c r="A1375" s="9"/>
      <c r="B1375" s="9"/>
      <c r="H1375" s="9"/>
      <c r="I1375" s="74">
        <v>43525</v>
      </c>
      <c r="J1375" s="76">
        <v>4.3099999999999996</v>
      </c>
      <c r="K1375" s="76">
        <v>0</v>
      </c>
      <c r="O1375" s="9"/>
    </row>
    <row r="1376" spans="1:15" x14ac:dyDescent="0.15">
      <c r="A1376" s="9"/>
      <c r="B1376" s="9"/>
      <c r="H1376" s="9"/>
      <c r="I1376" s="74">
        <v>43528</v>
      </c>
      <c r="J1376" s="76">
        <v>4.3099999999999996</v>
      </c>
      <c r="K1376" s="76">
        <v>0</v>
      </c>
      <c r="O1376" s="9"/>
    </row>
    <row r="1377" spans="1:15" x14ac:dyDescent="0.15">
      <c r="A1377" s="9"/>
      <c r="B1377" s="9"/>
      <c r="H1377" s="9"/>
      <c r="I1377" s="74">
        <v>43529</v>
      </c>
      <c r="J1377" s="76">
        <v>4.3099999999999996</v>
      </c>
      <c r="K1377" s="76">
        <v>0</v>
      </c>
      <c r="O1377" s="9"/>
    </row>
    <row r="1378" spans="1:15" x14ac:dyDescent="0.15">
      <c r="A1378" s="9"/>
      <c r="B1378" s="9"/>
      <c r="H1378" s="9"/>
      <c r="I1378" s="74">
        <v>43530</v>
      </c>
      <c r="J1378" s="76">
        <v>4.3099999999999996</v>
      </c>
      <c r="K1378" s="76">
        <v>0</v>
      </c>
      <c r="O1378" s="9"/>
    </row>
    <row r="1379" spans="1:15" x14ac:dyDescent="0.15">
      <c r="A1379" s="9"/>
      <c r="B1379" s="9"/>
      <c r="H1379" s="9"/>
      <c r="I1379" s="74">
        <v>43531</v>
      </c>
      <c r="J1379" s="76">
        <v>4.3099999999999996</v>
      </c>
      <c r="K1379" s="76">
        <v>0</v>
      </c>
      <c r="O1379" s="9"/>
    </row>
    <row r="1380" spans="1:15" x14ac:dyDescent="0.15">
      <c r="A1380" s="9"/>
      <c r="B1380" s="9"/>
      <c r="H1380" s="9"/>
      <c r="I1380" s="74">
        <v>43532</v>
      </c>
      <c r="J1380" s="76">
        <v>4.3099999999999996</v>
      </c>
      <c r="K1380" s="76">
        <v>0</v>
      </c>
      <c r="O1380" s="9"/>
    </row>
    <row r="1381" spans="1:15" x14ac:dyDescent="0.15">
      <c r="A1381" s="9"/>
      <c r="B1381" s="9"/>
      <c r="H1381" s="9"/>
      <c r="I1381" s="74">
        <v>43535</v>
      </c>
      <c r="J1381" s="76">
        <v>4.3099999999999996</v>
      </c>
      <c r="K1381" s="76">
        <v>0</v>
      </c>
      <c r="O1381" s="9"/>
    </row>
    <row r="1382" spans="1:15" x14ac:dyDescent="0.15">
      <c r="A1382" s="9"/>
      <c r="B1382" s="9"/>
      <c r="H1382" s="9"/>
      <c r="I1382" s="74">
        <v>43536</v>
      </c>
      <c r="J1382" s="76">
        <v>4.3099999999999996</v>
      </c>
      <c r="K1382" s="76">
        <v>0</v>
      </c>
      <c r="O1382" s="9"/>
    </row>
    <row r="1383" spans="1:15" x14ac:dyDescent="0.15">
      <c r="A1383" s="9"/>
      <c r="B1383" s="9"/>
      <c r="H1383" s="9"/>
      <c r="I1383" s="74">
        <v>43537</v>
      </c>
      <c r="J1383" s="76">
        <v>4.3099999999999996</v>
      </c>
      <c r="K1383" s="76">
        <v>0</v>
      </c>
      <c r="O1383" s="9"/>
    </row>
    <row r="1384" spans="1:15" x14ac:dyDescent="0.15">
      <c r="A1384" s="9"/>
      <c r="B1384" s="9"/>
      <c r="H1384" s="9"/>
      <c r="I1384" s="74">
        <v>43538</v>
      </c>
      <c r="J1384" s="76">
        <v>4.3099999999999996</v>
      </c>
      <c r="K1384" s="76">
        <v>0</v>
      </c>
      <c r="O1384" s="9"/>
    </row>
    <row r="1385" spans="1:15" x14ac:dyDescent="0.15">
      <c r="A1385" s="9"/>
      <c r="B1385" s="9"/>
      <c r="H1385" s="9"/>
      <c r="I1385" s="74">
        <v>43539</v>
      </c>
      <c r="J1385" s="76">
        <v>4.3099999999999996</v>
      </c>
      <c r="K1385" s="76">
        <v>0</v>
      </c>
      <c r="O1385" s="9"/>
    </row>
    <row r="1386" spans="1:15" x14ac:dyDescent="0.15">
      <c r="A1386" s="9"/>
      <c r="B1386" s="9"/>
      <c r="H1386" s="9"/>
      <c r="I1386" s="74">
        <v>43542</v>
      </c>
      <c r="J1386" s="76">
        <v>4.3099999999999996</v>
      </c>
      <c r="K1386" s="76">
        <v>0</v>
      </c>
      <c r="O1386" s="9"/>
    </row>
    <row r="1387" spans="1:15" x14ac:dyDescent="0.15">
      <c r="A1387" s="9"/>
      <c r="B1387" s="9"/>
      <c r="H1387" s="9"/>
      <c r="I1387" s="74">
        <v>43543</v>
      </c>
      <c r="J1387" s="76">
        <v>4.3099999999999996</v>
      </c>
      <c r="K1387" s="76">
        <v>0</v>
      </c>
      <c r="O1387" s="9"/>
    </row>
    <row r="1388" spans="1:15" x14ac:dyDescent="0.15">
      <c r="A1388" s="9"/>
      <c r="B1388" s="9"/>
      <c r="H1388" s="9"/>
      <c r="I1388" s="74">
        <v>43544</v>
      </c>
      <c r="J1388" s="76">
        <v>4.3099999999999996</v>
      </c>
      <c r="K1388" s="76">
        <v>0</v>
      </c>
      <c r="O1388" s="9"/>
    </row>
    <row r="1389" spans="1:15" x14ac:dyDescent="0.15">
      <c r="A1389" s="9"/>
      <c r="B1389" s="9"/>
      <c r="H1389" s="9"/>
      <c r="I1389" s="74">
        <v>43545</v>
      </c>
      <c r="J1389" s="76">
        <v>4.3099999999999996</v>
      </c>
      <c r="K1389" s="76">
        <v>0</v>
      </c>
      <c r="O1389" s="9"/>
    </row>
    <row r="1390" spans="1:15" x14ac:dyDescent="0.15">
      <c r="A1390" s="9"/>
      <c r="B1390" s="9"/>
      <c r="H1390" s="9"/>
      <c r="I1390" s="74">
        <v>43546</v>
      </c>
      <c r="J1390" s="76">
        <v>4.3099999999999996</v>
      </c>
      <c r="K1390" s="76">
        <v>0</v>
      </c>
      <c r="O1390" s="9"/>
    </row>
    <row r="1391" spans="1:15" x14ac:dyDescent="0.15">
      <c r="A1391" s="9"/>
      <c r="B1391" s="9"/>
      <c r="H1391" s="9"/>
      <c r="I1391" s="74">
        <v>43549</v>
      </c>
      <c r="J1391" s="76">
        <v>4.3099999999999996</v>
      </c>
      <c r="K1391" s="76">
        <v>0</v>
      </c>
      <c r="O1391" s="9"/>
    </row>
    <row r="1392" spans="1:15" x14ac:dyDescent="0.15">
      <c r="A1392" s="9"/>
      <c r="B1392" s="9"/>
      <c r="H1392" s="9"/>
      <c r="I1392" s="74">
        <v>43550</v>
      </c>
      <c r="J1392" s="76">
        <v>4.3099999999999996</v>
      </c>
      <c r="K1392" s="76">
        <v>0</v>
      </c>
      <c r="O1392" s="9"/>
    </row>
    <row r="1393" spans="1:15" x14ac:dyDescent="0.15">
      <c r="A1393" s="9"/>
      <c r="B1393" s="9"/>
      <c r="H1393" s="9"/>
      <c r="I1393" s="74">
        <v>43551</v>
      </c>
      <c r="J1393" s="76">
        <v>4.3099999999999996</v>
      </c>
      <c r="K1393" s="76">
        <v>0</v>
      </c>
      <c r="O1393" s="9"/>
    </row>
    <row r="1394" spans="1:15" x14ac:dyDescent="0.15">
      <c r="A1394" s="9"/>
      <c r="B1394" s="9"/>
      <c r="H1394" s="9"/>
      <c r="I1394" s="74">
        <v>43552</v>
      </c>
      <c r="J1394" s="76">
        <v>4.3099999999999996</v>
      </c>
      <c r="K1394" s="76">
        <v>0</v>
      </c>
      <c r="O1394" s="9"/>
    </row>
    <row r="1395" spans="1:15" x14ac:dyDescent="0.15">
      <c r="A1395" s="9"/>
      <c r="B1395" s="9"/>
      <c r="H1395" s="9"/>
      <c r="I1395" s="74">
        <v>43553</v>
      </c>
      <c r="J1395" s="76">
        <v>4.3099999999999996</v>
      </c>
      <c r="K1395" s="76">
        <v>0</v>
      </c>
      <c r="O1395" s="9"/>
    </row>
    <row r="1396" spans="1:15" x14ac:dyDescent="0.15">
      <c r="A1396" s="9"/>
      <c r="B1396" s="9"/>
      <c r="H1396" s="9"/>
      <c r="I1396" s="74">
        <v>43556</v>
      </c>
      <c r="J1396" s="76">
        <v>4.3099999999999996</v>
      </c>
      <c r="K1396" s="76">
        <v>0</v>
      </c>
      <c r="O1396" s="9"/>
    </row>
    <row r="1397" spans="1:15" x14ac:dyDescent="0.15">
      <c r="A1397" s="9"/>
      <c r="B1397" s="9"/>
      <c r="H1397" s="9"/>
      <c r="I1397" s="74">
        <v>43557</v>
      </c>
      <c r="J1397" s="76">
        <v>4.3099999999999996</v>
      </c>
      <c r="K1397" s="76">
        <v>0</v>
      </c>
      <c r="O1397" s="9"/>
    </row>
    <row r="1398" spans="1:15" x14ac:dyDescent="0.15">
      <c r="A1398" s="9"/>
      <c r="B1398" s="9"/>
      <c r="H1398" s="9"/>
      <c r="I1398" s="74">
        <v>43558</v>
      </c>
      <c r="J1398" s="76">
        <v>4.3099999999999996</v>
      </c>
      <c r="K1398" s="76">
        <v>0</v>
      </c>
      <c r="O1398" s="9"/>
    </row>
    <row r="1399" spans="1:15" x14ac:dyDescent="0.15">
      <c r="A1399" s="9"/>
      <c r="B1399" s="9"/>
      <c r="H1399" s="9"/>
      <c r="I1399" s="74">
        <v>43559</v>
      </c>
      <c r="J1399" s="76">
        <v>4.3099999999999996</v>
      </c>
      <c r="K1399" s="76">
        <v>0</v>
      </c>
      <c r="O1399" s="9"/>
    </row>
    <row r="1400" spans="1:15" x14ac:dyDescent="0.15">
      <c r="A1400" s="9"/>
      <c r="B1400" s="9"/>
      <c r="H1400" s="9"/>
      <c r="I1400" s="74">
        <v>43563</v>
      </c>
      <c r="J1400" s="76">
        <v>4.3099999999999996</v>
      </c>
      <c r="K1400" s="76">
        <v>0</v>
      </c>
      <c r="O1400" s="9"/>
    </row>
    <row r="1401" spans="1:15" x14ac:dyDescent="0.15">
      <c r="A1401" s="9"/>
      <c r="B1401" s="9"/>
      <c r="H1401" s="9"/>
      <c r="I1401" s="74">
        <v>43564</v>
      </c>
      <c r="J1401" s="76">
        <v>4.3099999999999996</v>
      </c>
      <c r="K1401" s="76">
        <v>0</v>
      </c>
      <c r="O1401" s="9"/>
    </row>
    <row r="1402" spans="1:15" x14ac:dyDescent="0.15">
      <c r="A1402" s="9"/>
      <c r="B1402" s="9"/>
      <c r="H1402" s="9"/>
      <c r="I1402" s="74">
        <v>43565</v>
      </c>
      <c r="J1402" s="76">
        <v>4.3099999999999996</v>
      </c>
      <c r="K1402" s="76">
        <v>0</v>
      </c>
      <c r="O1402" s="9"/>
    </row>
    <row r="1403" spans="1:15" x14ac:dyDescent="0.15">
      <c r="A1403" s="9"/>
      <c r="B1403" s="9"/>
      <c r="H1403" s="9"/>
      <c r="I1403" s="74">
        <v>43566</v>
      </c>
      <c r="J1403" s="76">
        <v>4.3099999999999996</v>
      </c>
      <c r="K1403" s="76">
        <v>0</v>
      </c>
      <c r="O1403" s="9"/>
    </row>
    <row r="1404" spans="1:15" x14ac:dyDescent="0.15">
      <c r="A1404" s="9"/>
      <c r="B1404" s="9"/>
      <c r="H1404" s="9"/>
      <c r="I1404" s="74">
        <v>43567</v>
      </c>
      <c r="J1404" s="76">
        <v>4.3099999999999996</v>
      </c>
      <c r="K1404" s="76">
        <v>0</v>
      </c>
      <c r="O1404" s="9"/>
    </row>
    <row r="1405" spans="1:15" x14ac:dyDescent="0.15">
      <c r="A1405" s="9"/>
      <c r="B1405" s="9"/>
      <c r="H1405" s="9"/>
      <c r="I1405" s="74">
        <v>43570</v>
      </c>
      <c r="J1405" s="76">
        <v>4.3099999999999996</v>
      </c>
      <c r="K1405" s="76">
        <v>0</v>
      </c>
      <c r="O1405" s="9"/>
    </row>
    <row r="1406" spans="1:15" x14ac:dyDescent="0.15">
      <c r="A1406" s="9"/>
      <c r="B1406" s="9"/>
      <c r="H1406" s="9"/>
      <c r="I1406" s="74">
        <v>43571</v>
      </c>
      <c r="J1406" s="76">
        <v>4.3099999999999996</v>
      </c>
      <c r="K1406" s="76">
        <v>0</v>
      </c>
      <c r="O1406" s="9"/>
    </row>
    <row r="1407" spans="1:15" x14ac:dyDescent="0.15">
      <c r="A1407" s="9"/>
      <c r="B1407" s="9"/>
      <c r="H1407" s="9"/>
      <c r="I1407" s="74">
        <v>43572</v>
      </c>
      <c r="J1407" s="76">
        <v>4.3099999999999996</v>
      </c>
      <c r="K1407" s="76">
        <v>0</v>
      </c>
      <c r="O1407" s="9"/>
    </row>
    <row r="1408" spans="1:15" x14ac:dyDescent="0.15">
      <c r="A1408" s="9"/>
      <c r="B1408" s="9"/>
      <c r="H1408" s="9"/>
      <c r="I1408" s="74">
        <v>43573</v>
      </c>
      <c r="J1408" s="76">
        <v>4.3099999999999996</v>
      </c>
      <c r="K1408" s="76">
        <v>0</v>
      </c>
      <c r="O1408" s="9"/>
    </row>
    <row r="1409" spans="1:15" x14ac:dyDescent="0.15">
      <c r="A1409" s="9"/>
      <c r="B1409" s="9"/>
      <c r="H1409" s="9"/>
      <c r="I1409" s="74">
        <v>43574</v>
      </c>
      <c r="J1409" s="76">
        <v>4.3099999999999996</v>
      </c>
      <c r="K1409" s="76">
        <v>0</v>
      </c>
      <c r="O1409" s="9"/>
    </row>
    <row r="1410" spans="1:15" x14ac:dyDescent="0.15">
      <c r="A1410" s="9"/>
      <c r="B1410" s="9"/>
      <c r="H1410" s="9"/>
      <c r="I1410" s="74">
        <v>43577</v>
      </c>
      <c r="J1410" s="76">
        <v>4.3099999999999996</v>
      </c>
      <c r="K1410" s="76">
        <v>0</v>
      </c>
      <c r="O1410" s="9"/>
    </row>
    <row r="1411" spans="1:15" x14ac:dyDescent="0.15">
      <c r="A1411" s="9"/>
      <c r="B1411" s="9"/>
      <c r="H1411" s="9"/>
      <c r="I1411" s="74">
        <v>43578</v>
      </c>
      <c r="J1411" s="76">
        <v>4.3099999999999996</v>
      </c>
      <c r="K1411" s="76">
        <v>0</v>
      </c>
      <c r="O1411" s="9"/>
    </row>
    <row r="1412" spans="1:15" x14ac:dyDescent="0.15">
      <c r="A1412" s="9"/>
      <c r="B1412" s="9"/>
      <c r="H1412" s="9"/>
      <c r="I1412" s="74">
        <v>43579</v>
      </c>
      <c r="J1412" s="76">
        <v>4.3099999999999996</v>
      </c>
      <c r="K1412" s="76">
        <v>0</v>
      </c>
      <c r="O1412" s="9"/>
    </row>
    <row r="1413" spans="1:15" x14ac:dyDescent="0.15">
      <c r="A1413" s="9"/>
      <c r="B1413" s="9"/>
      <c r="H1413" s="9"/>
      <c r="I1413" s="74">
        <v>43580</v>
      </c>
      <c r="J1413" s="76">
        <v>4.3099999999999996</v>
      </c>
      <c r="K1413" s="76">
        <v>0</v>
      </c>
      <c r="O1413" s="9"/>
    </row>
    <row r="1414" spans="1:15" x14ac:dyDescent="0.15">
      <c r="A1414" s="9"/>
      <c r="B1414" s="9"/>
      <c r="H1414" s="9"/>
      <c r="I1414" s="74">
        <v>43581</v>
      </c>
      <c r="J1414" s="76">
        <v>4.3099999999999996</v>
      </c>
      <c r="K1414" s="76">
        <v>0</v>
      </c>
      <c r="O1414" s="9"/>
    </row>
    <row r="1415" spans="1:15" x14ac:dyDescent="0.15">
      <c r="A1415" s="9"/>
      <c r="B1415" s="9"/>
      <c r="H1415" s="9"/>
      <c r="I1415" s="74">
        <v>43583</v>
      </c>
      <c r="J1415" s="76">
        <v>4.3099999999999996</v>
      </c>
      <c r="K1415" s="76">
        <v>0</v>
      </c>
      <c r="O1415" s="9"/>
    </row>
    <row r="1416" spans="1:15" x14ac:dyDescent="0.15">
      <c r="A1416" s="9"/>
      <c r="B1416" s="9"/>
      <c r="H1416" s="9"/>
      <c r="I1416" s="74">
        <v>43584</v>
      </c>
      <c r="J1416" s="76">
        <v>4.3099999999999996</v>
      </c>
      <c r="K1416" s="76">
        <v>0</v>
      </c>
      <c r="O1416" s="9"/>
    </row>
    <row r="1417" spans="1:15" x14ac:dyDescent="0.15">
      <c r="A1417" s="9"/>
      <c r="B1417" s="9"/>
      <c r="H1417" s="9"/>
      <c r="I1417" s="74">
        <v>43585</v>
      </c>
      <c r="J1417" s="76">
        <v>4.3099999999999996</v>
      </c>
      <c r="K1417" s="76">
        <v>0</v>
      </c>
      <c r="O1417" s="9"/>
    </row>
    <row r="1418" spans="1:15" x14ac:dyDescent="0.15">
      <c r="A1418" s="9"/>
      <c r="B1418" s="9"/>
      <c r="H1418" s="9"/>
      <c r="I1418" s="74">
        <v>43590</v>
      </c>
      <c r="J1418" s="76">
        <v>4.3099999999999996</v>
      </c>
      <c r="K1418" s="76">
        <v>0</v>
      </c>
      <c r="O1418" s="9"/>
    </row>
    <row r="1419" spans="1:15" x14ac:dyDescent="0.15">
      <c r="A1419" s="9"/>
      <c r="B1419" s="9"/>
      <c r="H1419" s="9"/>
      <c r="I1419" s="74">
        <v>43591</v>
      </c>
      <c r="J1419" s="76">
        <v>4.3099999999999996</v>
      </c>
      <c r="K1419" s="76">
        <v>0</v>
      </c>
      <c r="O1419" s="9"/>
    </row>
    <row r="1420" spans="1:15" x14ac:dyDescent="0.15">
      <c r="A1420" s="9"/>
      <c r="B1420" s="9"/>
      <c r="H1420" s="9"/>
      <c r="I1420" s="74">
        <v>43593</v>
      </c>
      <c r="J1420" s="76">
        <v>4.3099999999999996</v>
      </c>
      <c r="K1420" s="76">
        <v>0</v>
      </c>
      <c r="O1420" s="9"/>
    </row>
    <row r="1421" spans="1:15" x14ac:dyDescent="0.15">
      <c r="A1421" s="9"/>
      <c r="B1421" s="9"/>
      <c r="H1421" s="9"/>
      <c r="I1421" s="74">
        <v>43594</v>
      </c>
      <c r="J1421" s="76">
        <v>4.3099999999999996</v>
      </c>
      <c r="K1421" s="76">
        <v>0</v>
      </c>
      <c r="O1421" s="9"/>
    </row>
    <row r="1422" spans="1:15" x14ac:dyDescent="0.15">
      <c r="A1422" s="9"/>
      <c r="B1422" s="9"/>
      <c r="H1422" s="9"/>
      <c r="I1422" s="74">
        <v>43595</v>
      </c>
      <c r="J1422" s="76">
        <v>4.3099999999999996</v>
      </c>
      <c r="K1422" s="76">
        <v>0</v>
      </c>
      <c r="O1422" s="9"/>
    </row>
    <row r="1423" spans="1:15" x14ac:dyDescent="0.15">
      <c r="A1423" s="9"/>
      <c r="B1423" s="9"/>
      <c r="H1423" s="9"/>
      <c r="I1423" s="74">
        <v>43598</v>
      </c>
      <c r="J1423" s="76">
        <v>4.3099999999999996</v>
      </c>
      <c r="K1423" s="76">
        <v>0</v>
      </c>
      <c r="O1423" s="9"/>
    </row>
    <row r="1424" spans="1:15" x14ac:dyDescent="0.15">
      <c r="A1424" s="9"/>
      <c r="B1424" s="9"/>
      <c r="H1424" s="9"/>
      <c r="I1424" s="74">
        <v>43599</v>
      </c>
      <c r="J1424" s="76">
        <v>4.3099999999999996</v>
      </c>
      <c r="K1424" s="76">
        <v>0</v>
      </c>
      <c r="O1424" s="9"/>
    </row>
    <row r="1425" spans="1:15" x14ac:dyDescent="0.15">
      <c r="A1425" s="9"/>
      <c r="B1425" s="9"/>
      <c r="H1425" s="9"/>
      <c r="I1425" s="74">
        <v>43600</v>
      </c>
      <c r="J1425" s="76">
        <v>4.3099999999999996</v>
      </c>
      <c r="K1425" s="76">
        <v>0</v>
      </c>
      <c r="O1425" s="9"/>
    </row>
    <row r="1426" spans="1:15" x14ac:dyDescent="0.15">
      <c r="A1426" s="9"/>
      <c r="B1426" s="9"/>
      <c r="H1426" s="9"/>
      <c r="I1426" s="74">
        <v>43601</v>
      </c>
      <c r="J1426" s="76">
        <v>4.3099999999999996</v>
      </c>
      <c r="K1426" s="76">
        <v>0</v>
      </c>
      <c r="O1426" s="9"/>
    </row>
    <row r="1427" spans="1:15" x14ac:dyDescent="0.15">
      <c r="A1427" s="9"/>
      <c r="B1427" s="9"/>
      <c r="H1427" s="9"/>
      <c r="I1427" s="74">
        <v>43602</v>
      </c>
      <c r="J1427" s="76">
        <v>4.3099999999999996</v>
      </c>
      <c r="K1427" s="76">
        <v>0</v>
      </c>
      <c r="O1427" s="9"/>
    </row>
    <row r="1428" spans="1:15" x14ac:dyDescent="0.15">
      <c r="A1428" s="9"/>
      <c r="B1428" s="9"/>
      <c r="H1428" s="9"/>
      <c r="I1428" s="74">
        <v>43605</v>
      </c>
      <c r="J1428" s="76">
        <v>4.3099999999999996</v>
      </c>
      <c r="K1428" s="76">
        <v>0</v>
      </c>
      <c r="O1428" s="9"/>
    </row>
    <row r="1429" spans="1:15" x14ac:dyDescent="0.15">
      <c r="A1429" s="9"/>
      <c r="B1429" s="9"/>
      <c r="H1429" s="9"/>
      <c r="I1429" s="74">
        <v>43606</v>
      </c>
      <c r="J1429" s="76">
        <v>4.3099999999999996</v>
      </c>
      <c r="K1429" s="76">
        <v>0</v>
      </c>
      <c r="O1429" s="9"/>
    </row>
    <row r="1430" spans="1:15" x14ac:dyDescent="0.15">
      <c r="A1430" s="9"/>
      <c r="B1430" s="9"/>
      <c r="H1430" s="9"/>
      <c r="I1430" s="74">
        <v>43607</v>
      </c>
      <c r="J1430" s="76">
        <v>4.3099999999999996</v>
      </c>
      <c r="K1430" s="76">
        <v>0</v>
      </c>
      <c r="O1430" s="9"/>
    </row>
    <row r="1431" spans="1:15" x14ac:dyDescent="0.15">
      <c r="A1431" s="9"/>
      <c r="B1431" s="9"/>
      <c r="H1431" s="9"/>
      <c r="I1431" s="74">
        <v>43608</v>
      </c>
      <c r="J1431" s="76">
        <v>4.3099999999999996</v>
      </c>
      <c r="K1431" s="76">
        <v>0</v>
      </c>
      <c r="O1431" s="9"/>
    </row>
    <row r="1432" spans="1:15" x14ac:dyDescent="0.15">
      <c r="A1432" s="9"/>
      <c r="B1432" s="9"/>
      <c r="H1432" s="9"/>
      <c r="I1432" s="74">
        <v>43609</v>
      </c>
      <c r="J1432" s="76">
        <v>4.3099999999999996</v>
      </c>
      <c r="K1432" s="76">
        <v>0</v>
      </c>
      <c r="O1432" s="9"/>
    </row>
    <row r="1433" spans="1:15" x14ac:dyDescent="0.15">
      <c r="A1433" s="9"/>
      <c r="B1433" s="9"/>
      <c r="H1433" s="9"/>
      <c r="I1433" s="74">
        <v>43612</v>
      </c>
      <c r="J1433" s="76">
        <v>4.3099999999999996</v>
      </c>
      <c r="K1433" s="76">
        <v>0</v>
      </c>
      <c r="O1433" s="9"/>
    </row>
    <row r="1434" spans="1:15" x14ac:dyDescent="0.15">
      <c r="A1434" s="9"/>
      <c r="B1434" s="9"/>
      <c r="H1434" s="9"/>
      <c r="I1434" s="74">
        <v>43613</v>
      </c>
      <c r="J1434" s="76">
        <v>4.3099999999999996</v>
      </c>
      <c r="K1434" s="76">
        <v>0</v>
      </c>
      <c r="O1434" s="9"/>
    </row>
    <row r="1435" spans="1:15" x14ac:dyDescent="0.15">
      <c r="A1435" s="9"/>
      <c r="B1435" s="9"/>
      <c r="H1435" s="9"/>
      <c r="I1435" s="74">
        <v>43614</v>
      </c>
      <c r="J1435" s="76">
        <v>4.3099999999999996</v>
      </c>
      <c r="K1435" s="76">
        <v>0</v>
      </c>
      <c r="O1435" s="9"/>
    </row>
    <row r="1436" spans="1:15" x14ac:dyDescent="0.15">
      <c r="A1436" s="9"/>
      <c r="B1436" s="9"/>
      <c r="H1436" s="9"/>
      <c r="I1436" s="74">
        <v>43615</v>
      </c>
      <c r="J1436" s="76">
        <v>4.3099999999999996</v>
      </c>
      <c r="K1436" s="76">
        <v>0</v>
      </c>
      <c r="O1436" s="9"/>
    </row>
    <row r="1437" spans="1:15" x14ac:dyDescent="0.15">
      <c r="A1437" s="9"/>
      <c r="B1437" s="9"/>
      <c r="H1437" s="9"/>
      <c r="I1437" s="74">
        <v>43616</v>
      </c>
      <c r="J1437" s="76">
        <v>4.3099999999999996</v>
      </c>
      <c r="K1437" s="76">
        <v>0</v>
      </c>
      <c r="O1437" s="9"/>
    </row>
    <row r="1438" spans="1:15" x14ac:dyDescent="0.15">
      <c r="A1438" s="9"/>
      <c r="B1438" s="9"/>
      <c r="H1438" s="9"/>
      <c r="I1438" s="74">
        <v>43619</v>
      </c>
      <c r="J1438" s="76">
        <v>4.3099999999999996</v>
      </c>
      <c r="K1438" s="76">
        <v>0</v>
      </c>
      <c r="O1438" s="9"/>
    </row>
    <row r="1439" spans="1:15" x14ac:dyDescent="0.15">
      <c r="A1439" s="9"/>
      <c r="B1439" s="9"/>
      <c r="H1439" s="9"/>
      <c r="I1439" s="74">
        <v>43620</v>
      </c>
      <c r="J1439" s="76">
        <v>4.3099999999999996</v>
      </c>
      <c r="K1439" s="76">
        <v>0</v>
      </c>
      <c r="O1439" s="9"/>
    </row>
    <row r="1440" spans="1:15" x14ac:dyDescent="0.15">
      <c r="A1440" s="9"/>
      <c r="B1440" s="9"/>
      <c r="H1440" s="9"/>
      <c r="I1440" s="74">
        <v>43621</v>
      </c>
      <c r="J1440" s="76">
        <v>4.3099999999999996</v>
      </c>
      <c r="K1440" s="76">
        <v>0</v>
      </c>
      <c r="O1440" s="9"/>
    </row>
    <row r="1441" spans="1:15" x14ac:dyDescent="0.15">
      <c r="A1441" s="9"/>
      <c r="B1441" s="9"/>
      <c r="H1441" s="9"/>
      <c r="I1441" s="74">
        <v>43622</v>
      </c>
      <c r="J1441" s="76">
        <v>4.3099999999999996</v>
      </c>
      <c r="K1441" s="76">
        <v>0</v>
      </c>
      <c r="O1441" s="9"/>
    </row>
    <row r="1442" spans="1:15" x14ac:dyDescent="0.15">
      <c r="A1442" s="9"/>
      <c r="B1442" s="9"/>
      <c r="H1442" s="9"/>
      <c r="I1442" s="74">
        <v>43626</v>
      </c>
      <c r="J1442" s="76">
        <v>4.3099999999999996</v>
      </c>
      <c r="K1442" s="76">
        <v>0</v>
      </c>
      <c r="O1442" s="9"/>
    </row>
    <row r="1443" spans="1:15" x14ac:dyDescent="0.15">
      <c r="A1443" s="9"/>
      <c r="B1443" s="9"/>
      <c r="H1443" s="9"/>
      <c r="I1443" s="74">
        <v>43627</v>
      </c>
      <c r="J1443" s="76">
        <v>4.3099999999999996</v>
      </c>
      <c r="K1443" s="76">
        <v>0</v>
      </c>
      <c r="O1443" s="9"/>
    </row>
    <row r="1444" spans="1:15" x14ac:dyDescent="0.15">
      <c r="A1444" s="9"/>
      <c r="B1444" s="9"/>
      <c r="H1444" s="9"/>
      <c r="I1444" s="74">
        <v>43628</v>
      </c>
      <c r="J1444" s="76">
        <v>4.3099999999999996</v>
      </c>
      <c r="K1444" s="76">
        <v>0</v>
      </c>
      <c r="O1444" s="9"/>
    </row>
    <row r="1445" spans="1:15" x14ac:dyDescent="0.15">
      <c r="A1445" s="9"/>
      <c r="B1445" s="9"/>
      <c r="H1445" s="9"/>
      <c r="I1445" s="74">
        <v>43629</v>
      </c>
      <c r="J1445" s="76">
        <v>4.3099999999999996</v>
      </c>
      <c r="K1445" s="76">
        <v>0</v>
      </c>
      <c r="O1445" s="9"/>
    </row>
    <row r="1446" spans="1:15" x14ac:dyDescent="0.15">
      <c r="A1446" s="9"/>
      <c r="B1446" s="9"/>
      <c r="H1446" s="9"/>
      <c r="I1446" s="74">
        <v>43630</v>
      </c>
      <c r="J1446" s="76">
        <v>4.3099999999999996</v>
      </c>
      <c r="K1446" s="76">
        <v>0</v>
      </c>
      <c r="O1446" s="9"/>
    </row>
    <row r="1447" spans="1:15" x14ac:dyDescent="0.15">
      <c r="A1447" s="9"/>
      <c r="B1447" s="9"/>
      <c r="H1447" s="9"/>
      <c r="I1447" s="74">
        <v>43633</v>
      </c>
      <c r="J1447" s="76">
        <v>4.3099999999999996</v>
      </c>
      <c r="K1447" s="76">
        <v>0</v>
      </c>
      <c r="O1447" s="9"/>
    </row>
    <row r="1448" spans="1:15" x14ac:dyDescent="0.15">
      <c r="A1448" s="9"/>
      <c r="B1448" s="9"/>
      <c r="H1448" s="9"/>
      <c r="I1448" s="74">
        <v>43634</v>
      </c>
      <c r="J1448" s="76">
        <v>4.3099999999999996</v>
      </c>
      <c r="K1448" s="76">
        <v>0</v>
      </c>
      <c r="O1448" s="9"/>
    </row>
    <row r="1449" spans="1:15" x14ac:dyDescent="0.15">
      <c r="A1449" s="9"/>
      <c r="B1449" s="9"/>
      <c r="H1449" s="9"/>
      <c r="I1449" s="74">
        <v>43635</v>
      </c>
      <c r="J1449" s="76">
        <v>4.3099999999999996</v>
      </c>
      <c r="K1449" s="76">
        <v>0</v>
      </c>
      <c r="O1449" s="9"/>
    </row>
    <row r="1450" spans="1:15" x14ac:dyDescent="0.15">
      <c r="A1450" s="9"/>
      <c r="B1450" s="9"/>
      <c r="H1450" s="9"/>
      <c r="I1450" s="74">
        <v>43636</v>
      </c>
      <c r="J1450" s="76">
        <v>4.3099999999999996</v>
      </c>
      <c r="K1450" s="76">
        <v>0</v>
      </c>
      <c r="O1450" s="9"/>
    </row>
    <row r="1451" spans="1:15" x14ac:dyDescent="0.15">
      <c r="A1451" s="9"/>
      <c r="B1451" s="9"/>
      <c r="H1451" s="9"/>
      <c r="I1451" s="74">
        <v>43637</v>
      </c>
      <c r="J1451" s="76">
        <v>4.3099999999999996</v>
      </c>
      <c r="K1451" s="76">
        <v>0</v>
      </c>
      <c r="O1451" s="9"/>
    </row>
    <row r="1452" spans="1:15" x14ac:dyDescent="0.15">
      <c r="A1452" s="9"/>
      <c r="B1452" s="9"/>
      <c r="H1452" s="9"/>
      <c r="I1452" s="74">
        <v>43640</v>
      </c>
      <c r="J1452" s="76">
        <v>4.3099999999999996</v>
      </c>
      <c r="K1452" s="76">
        <v>0</v>
      </c>
      <c r="O1452" s="9"/>
    </row>
    <row r="1453" spans="1:15" x14ac:dyDescent="0.15">
      <c r="A1453" s="9"/>
      <c r="B1453" s="9"/>
      <c r="H1453" s="9"/>
      <c r="I1453" s="74">
        <v>43641</v>
      </c>
      <c r="J1453" s="76">
        <v>4.3099999999999996</v>
      </c>
      <c r="K1453" s="76">
        <v>0</v>
      </c>
      <c r="O1453" s="9"/>
    </row>
    <row r="1454" spans="1:15" x14ac:dyDescent="0.15">
      <c r="A1454" s="9"/>
      <c r="B1454" s="9"/>
      <c r="H1454" s="9"/>
      <c r="I1454" s="74">
        <v>43642</v>
      </c>
      <c r="J1454" s="76">
        <v>4.3099999999999996</v>
      </c>
      <c r="K1454" s="76">
        <v>0</v>
      </c>
      <c r="O1454" s="9"/>
    </row>
    <row r="1455" spans="1:15" x14ac:dyDescent="0.15">
      <c r="A1455" s="9"/>
      <c r="B1455" s="9"/>
      <c r="H1455" s="9"/>
      <c r="I1455" s="74">
        <v>43643</v>
      </c>
      <c r="J1455" s="76">
        <v>4.3099999999999996</v>
      </c>
      <c r="K1455" s="76">
        <v>0</v>
      </c>
      <c r="O1455" s="9"/>
    </row>
    <row r="1456" spans="1:15" x14ac:dyDescent="0.15">
      <c r="A1456" s="9"/>
      <c r="B1456" s="9"/>
      <c r="H1456" s="9"/>
      <c r="I1456" s="74">
        <v>43644</v>
      </c>
      <c r="J1456" s="76">
        <v>4.3099999999999996</v>
      </c>
      <c r="K1456" s="76">
        <v>0</v>
      </c>
      <c r="O1456" s="9"/>
    </row>
    <row r="1457" spans="1:15" x14ac:dyDescent="0.15">
      <c r="A1457" s="9"/>
      <c r="B1457" s="9"/>
      <c r="H1457" s="9"/>
      <c r="I1457" s="74">
        <v>43647</v>
      </c>
      <c r="J1457" s="76">
        <v>4.3099999999999996</v>
      </c>
      <c r="K1457" s="76">
        <v>0</v>
      </c>
      <c r="O1457" s="9"/>
    </row>
    <row r="1458" spans="1:15" x14ac:dyDescent="0.15">
      <c r="A1458" s="9"/>
      <c r="B1458" s="9"/>
      <c r="H1458" s="9"/>
      <c r="I1458" s="74">
        <v>43648</v>
      </c>
      <c r="J1458" s="76">
        <v>4.3099999999999996</v>
      </c>
      <c r="K1458" s="76">
        <v>0</v>
      </c>
      <c r="O1458" s="9"/>
    </row>
    <row r="1459" spans="1:15" x14ac:dyDescent="0.15">
      <c r="A1459" s="9"/>
      <c r="B1459" s="9"/>
      <c r="H1459" s="9"/>
      <c r="I1459" s="74">
        <v>43649</v>
      </c>
      <c r="J1459" s="76">
        <v>4.3099999999999996</v>
      </c>
      <c r="K1459" s="76">
        <v>0</v>
      </c>
      <c r="O1459" s="9"/>
    </row>
    <row r="1460" spans="1:15" x14ac:dyDescent="0.15">
      <c r="A1460" s="9"/>
      <c r="B1460" s="9"/>
      <c r="H1460" s="9"/>
      <c r="I1460" s="74">
        <v>43650</v>
      </c>
      <c r="J1460" s="76">
        <v>4.3099999999999996</v>
      </c>
      <c r="K1460" s="76">
        <v>0</v>
      </c>
      <c r="O1460" s="9"/>
    </row>
    <row r="1461" spans="1:15" x14ac:dyDescent="0.15">
      <c r="A1461" s="9"/>
      <c r="B1461" s="9"/>
      <c r="H1461" s="9"/>
      <c r="I1461" s="74">
        <v>43651</v>
      </c>
      <c r="J1461" s="76">
        <v>4.3099999999999996</v>
      </c>
      <c r="K1461" s="76">
        <v>0</v>
      </c>
      <c r="O1461" s="9"/>
    </row>
    <row r="1462" spans="1:15" x14ac:dyDescent="0.15">
      <c r="A1462" s="9"/>
      <c r="B1462" s="9"/>
      <c r="H1462" s="9"/>
      <c r="I1462" s="74">
        <v>43654</v>
      </c>
      <c r="J1462" s="76">
        <v>4.3099999999999996</v>
      </c>
      <c r="K1462" s="76">
        <v>0</v>
      </c>
      <c r="O1462" s="9"/>
    </row>
    <row r="1463" spans="1:15" x14ac:dyDescent="0.15">
      <c r="A1463" s="9"/>
      <c r="B1463" s="9"/>
      <c r="H1463" s="9"/>
      <c r="I1463" s="74">
        <v>43655</v>
      </c>
      <c r="J1463" s="76">
        <v>4.3099999999999996</v>
      </c>
      <c r="K1463" s="76">
        <v>0</v>
      </c>
      <c r="O1463" s="9"/>
    </row>
    <row r="1464" spans="1:15" x14ac:dyDescent="0.15">
      <c r="A1464" s="9"/>
      <c r="B1464" s="9"/>
      <c r="H1464" s="9"/>
      <c r="I1464" s="74">
        <v>43656</v>
      </c>
      <c r="J1464" s="76">
        <v>4.3099999999999996</v>
      </c>
      <c r="K1464" s="76">
        <v>0</v>
      </c>
      <c r="O1464" s="9"/>
    </row>
    <row r="1465" spans="1:15" x14ac:dyDescent="0.15">
      <c r="A1465" s="9"/>
      <c r="B1465" s="9"/>
      <c r="H1465" s="9"/>
      <c r="I1465" s="74">
        <v>43657</v>
      </c>
      <c r="J1465" s="76">
        <v>4.3099999999999996</v>
      </c>
      <c r="K1465" s="76">
        <v>0</v>
      </c>
      <c r="O1465" s="9"/>
    </row>
    <row r="1466" spans="1:15" x14ac:dyDescent="0.15">
      <c r="A1466" s="9"/>
      <c r="B1466" s="9"/>
      <c r="H1466" s="9"/>
      <c r="I1466" s="74">
        <v>43658</v>
      </c>
      <c r="J1466" s="76">
        <v>4.3099999999999996</v>
      </c>
      <c r="K1466" s="76">
        <v>0</v>
      </c>
      <c r="O1466" s="9"/>
    </row>
    <row r="1467" spans="1:15" x14ac:dyDescent="0.15">
      <c r="A1467" s="9"/>
      <c r="B1467" s="9"/>
      <c r="H1467" s="9"/>
      <c r="I1467" s="74">
        <v>43661</v>
      </c>
      <c r="J1467" s="76">
        <v>4.3099999999999996</v>
      </c>
      <c r="K1467" s="76">
        <v>0</v>
      </c>
      <c r="O1467" s="9"/>
    </row>
    <row r="1468" spans="1:15" x14ac:dyDescent="0.15">
      <c r="A1468" s="9"/>
      <c r="B1468" s="9"/>
      <c r="H1468" s="9"/>
      <c r="I1468" s="74">
        <v>43662</v>
      </c>
      <c r="J1468" s="76">
        <v>4.3099999999999996</v>
      </c>
      <c r="K1468" s="76">
        <v>0</v>
      </c>
      <c r="O1468" s="9"/>
    </row>
    <row r="1469" spans="1:15" x14ac:dyDescent="0.15">
      <c r="A1469" s="9"/>
      <c r="B1469" s="9"/>
      <c r="H1469" s="9"/>
      <c r="I1469" s="74">
        <v>43663</v>
      </c>
      <c r="J1469" s="76">
        <v>4.3099999999999996</v>
      </c>
      <c r="K1469" s="76">
        <v>0</v>
      </c>
      <c r="O1469" s="9"/>
    </row>
    <row r="1470" spans="1:15" x14ac:dyDescent="0.15">
      <c r="A1470" s="9"/>
      <c r="B1470" s="9"/>
      <c r="H1470" s="9"/>
      <c r="I1470" s="74">
        <v>43664</v>
      </c>
      <c r="J1470" s="76">
        <v>4.3099999999999996</v>
      </c>
      <c r="K1470" s="76">
        <v>0</v>
      </c>
      <c r="O1470" s="9"/>
    </row>
    <row r="1471" spans="1:15" x14ac:dyDescent="0.15">
      <c r="A1471" s="9"/>
      <c r="B1471" s="9"/>
      <c r="H1471" s="9"/>
      <c r="I1471" s="74">
        <v>43665</v>
      </c>
      <c r="J1471" s="76">
        <v>4.3099999999999996</v>
      </c>
      <c r="K1471" s="76">
        <v>0</v>
      </c>
      <c r="O1471" s="9"/>
    </row>
    <row r="1472" spans="1:15" x14ac:dyDescent="0.15">
      <c r="A1472" s="9"/>
      <c r="B1472" s="9"/>
      <c r="H1472" s="9"/>
      <c r="I1472" s="74">
        <v>43668</v>
      </c>
      <c r="J1472" s="76">
        <v>4.3099999999999996</v>
      </c>
      <c r="K1472" s="76">
        <v>0</v>
      </c>
      <c r="O1472" s="9"/>
    </row>
    <row r="1473" spans="1:15" x14ac:dyDescent="0.15">
      <c r="A1473" s="9"/>
      <c r="B1473" s="9"/>
      <c r="H1473" s="9"/>
      <c r="I1473" s="74">
        <v>43669</v>
      </c>
      <c r="J1473" s="76">
        <v>4.3099999999999996</v>
      </c>
      <c r="K1473" s="76">
        <v>0</v>
      </c>
      <c r="O1473" s="9"/>
    </row>
    <row r="1474" spans="1:15" x14ac:dyDescent="0.15">
      <c r="A1474" s="9"/>
      <c r="B1474" s="9"/>
      <c r="H1474" s="9"/>
      <c r="I1474" s="74">
        <v>43670</v>
      </c>
      <c r="J1474" s="76">
        <v>4.3099999999999996</v>
      </c>
      <c r="K1474" s="76">
        <v>0</v>
      </c>
      <c r="O1474" s="9"/>
    </row>
    <row r="1475" spans="1:15" x14ac:dyDescent="0.15">
      <c r="A1475" s="9"/>
      <c r="B1475" s="9"/>
      <c r="H1475" s="9"/>
      <c r="I1475" s="74">
        <v>43671</v>
      </c>
      <c r="J1475" s="76">
        <v>4.3099999999999996</v>
      </c>
      <c r="K1475" s="76">
        <v>0</v>
      </c>
      <c r="O1475" s="9"/>
    </row>
    <row r="1476" spans="1:15" x14ac:dyDescent="0.15">
      <c r="A1476" s="9"/>
      <c r="B1476" s="9"/>
      <c r="H1476" s="9"/>
      <c r="I1476" s="74">
        <v>43672</v>
      </c>
      <c r="J1476" s="76">
        <v>4.3099999999999996</v>
      </c>
      <c r="K1476" s="76">
        <v>0</v>
      </c>
      <c r="O1476" s="9"/>
    </row>
    <row r="1477" spans="1:15" x14ac:dyDescent="0.15">
      <c r="A1477" s="9"/>
      <c r="B1477" s="9"/>
      <c r="H1477" s="9"/>
      <c r="I1477" s="74">
        <v>43675</v>
      </c>
      <c r="J1477" s="76">
        <v>4.3099999999999996</v>
      </c>
      <c r="K1477" s="76">
        <v>0</v>
      </c>
      <c r="O1477" s="9"/>
    </row>
    <row r="1478" spans="1:15" x14ac:dyDescent="0.15">
      <c r="A1478" s="9"/>
      <c r="B1478" s="9"/>
      <c r="H1478" s="9"/>
      <c r="I1478" s="74">
        <v>43676</v>
      </c>
      <c r="J1478" s="76">
        <v>4.3099999999999996</v>
      </c>
      <c r="K1478" s="76">
        <v>0</v>
      </c>
      <c r="O1478" s="9"/>
    </row>
    <row r="1479" spans="1:15" x14ac:dyDescent="0.15">
      <c r="A1479" s="9"/>
      <c r="B1479" s="9"/>
      <c r="H1479" s="9"/>
      <c r="I1479" s="74">
        <v>43677</v>
      </c>
      <c r="J1479" s="76">
        <v>4.3099999999999996</v>
      </c>
      <c r="K1479" s="76">
        <v>0</v>
      </c>
      <c r="O1479" s="9"/>
    </row>
    <row r="1480" spans="1:15" x14ac:dyDescent="0.15">
      <c r="A1480" s="9"/>
      <c r="B1480" s="9"/>
      <c r="H1480" s="9"/>
      <c r="I1480" s="74">
        <v>43678</v>
      </c>
      <c r="J1480" s="76">
        <v>4.3099999999999996</v>
      </c>
      <c r="K1480" s="76">
        <v>0</v>
      </c>
      <c r="O1480" s="9"/>
    </row>
    <row r="1481" spans="1:15" x14ac:dyDescent="0.15">
      <c r="A1481" s="9"/>
      <c r="B1481" s="9"/>
      <c r="H1481" s="9"/>
      <c r="I1481" s="74">
        <v>43679</v>
      </c>
      <c r="J1481" s="76">
        <v>4.3099999999999996</v>
      </c>
      <c r="K1481" s="76">
        <v>0</v>
      </c>
      <c r="O1481" s="9"/>
    </row>
    <row r="1482" spans="1:15" x14ac:dyDescent="0.15">
      <c r="A1482" s="9"/>
      <c r="B1482" s="9"/>
      <c r="H1482" s="9"/>
      <c r="I1482" s="74">
        <v>43682</v>
      </c>
      <c r="J1482" s="76">
        <v>4.3099999999999996</v>
      </c>
      <c r="K1482" s="76">
        <v>0</v>
      </c>
      <c r="O1482" s="9"/>
    </row>
    <row r="1483" spans="1:15" x14ac:dyDescent="0.15">
      <c r="A1483" s="9"/>
      <c r="B1483" s="9"/>
      <c r="H1483" s="9"/>
      <c r="I1483" s="74">
        <v>43683</v>
      </c>
      <c r="J1483" s="76">
        <v>4.3099999999999996</v>
      </c>
      <c r="K1483" s="76">
        <v>0</v>
      </c>
      <c r="O1483" s="9"/>
    </row>
    <row r="1484" spans="1:15" x14ac:dyDescent="0.15">
      <c r="A1484" s="9"/>
      <c r="B1484" s="9"/>
      <c r="H1484" s="9"/>
      <c r="I1484" s="74">
        <v>43684</v>
      </c>
      <c r="J1484" s="76">
        <v>4.3099999999999996</v>
      </c>
      <c r="K1484" s="76">
        <v>0</v>
      </c>
      <c r="O1484" s="9"/>
    </row>
    <row r="1485" spans="1:15" x14ac:dyDescent="0.15">
      <c r="A1485" s="9"/>
      <c r="B1485" s="9"/>
      <c r="H1485" s="9"/>
      <c r="I1485" s="74">
        <v>43685</v>
      </c>
      <c r="J1485" s="76">
        <v>4.3099999999999996</v>
      </c>
      <c r="K1485" s="76">
        <v>0</v>
      </c>
      <c r="O1485" s="9"/>
    </row>
    <row r="1486" spans="1:15" x14ac:dyDescent="0.15">
      <c r="A1486" s="9"/>
      <c r="B1486" s="9"/>
      <c r="H1486" s="9"/>
      <c r="I1486" s="74">
        <v>43686</v>
      </c>
      <c r="J1486" s="76">
        <v>4.3099999999999996</v>
      </c>
      <c r="K1486" s="76">
        <v>0</v>
      </c>
      <c r="O1486" s="9"/>
    </row>
    <row r="1487" spans="1:15" x14ac:dyDescent="0.15">
      <c r="A1487" s="9"/>
      <c r="B1487" s="9"/>
      <c r="H1487" s="9"/>
      <c r="I1487" s="74">
        <v>43689</v>
      </c>
      <c r="J1487" s="76">
        <v>4.3099999999999996</v>
      </c>
      <c r="K1487" s="76">
        <v>0</v>
      </c>
      <c r="O1487" s="9"/>
    </row>
    <row r="1488" spans="1:15" x14ac:dyDescent="0.15">
      <c r="A1488" s="9"/>
      <c r="B1488" s="9"/>
      <c r="H1488" s="9"/>
      <c r="I1488" s="74">
        <v>43690</v>
      </c>
      <c r="J1488" s="76">
        <v>4.3099999999999996</v>
      </c>
      <c r="K1488" s="76">
        <v>0</v>
      </c>
      <c r="O1488" s="9"/>
    </row>
    <row r="1489" spans="1:15" x14ac:dyDescent="0.15">
      <c r="A1489" s="9"/>
      <c r="B1489" s="9"/>
      <c r="H1489" s="9"/>
      <c r="I1489" s="74">
        <v>43691</v>
      </c>
      <c r="J1489" s="76">
        <v>4.3099999999999996</v>
      </c>
      <c r="K1489" s="76">
        <v>0</v>
      </c>
      <c r="O1489" s="9"/>
    </row>
    <row r="1490" spans="1:15" x14ac:dyDescent="0.15">
      <c r="A1490" s="9"/>
      <c r="B1490" s="9"/>
      <c r="H1490" s="9"/>
      <c r="I1490" s="74">
        <v>43692</v>
      </c>
      <c r="J1490" s="76">
        <v>4.3099999999999996</v>
      </c>
      <c r="K1490" s="76">
        <v>0</v>
      </c>
      <c r="O1490" s="9"/>
    </row>
    <row r="1491" spans="1:15" x14ac:dyDescent="0.15">
      <c r="A1491" s="9"/>
      <c r="B1491" s="9"/>
      <c r="H1491" s="9"/>
      <c r="I1491" s="74">
        <v>43693</v>
      </c>
      <c r="J1491" s="76">
        <v>4.3099999999999996</v>
      </c>
      <c r="K1491" s="76">
        <v>0</v>
      </c>
      <c r="O1491" s="9"/>
    </row>
    <row r="1492" spans="1:15" x14ac:dyDescent="0.15">
      <c r="A1492" s="9"/>
      <c r="B1492" s="9"/>
      <c r="H1492" s="9"/>
      <c r="I1492" s="74">
        <v>43697</v>
      </c>
      <c r="J1492" s="76">
        <v>4.25</v>
      </c>
      <c r="K1492" s="76">
        <v>4.8499999999999996</v>
      </c>
      <c r="O1492" s="9"/>
    </row>
    <row r="1493" spans="1:15" x14ac:dyDescent="0.15">
      <c r="A1493" s="9"/>
      <c r="B1493" s="9"/>
      <c r="H1493" s="9"/>
      <c r="I1493" s="74">
        <v>43728</v>
      </c>
      <c r="J1493" s="76">
        <v>4.2</v>
      </c>
      <c r="K1493" s="76">
        <v>4.8499999999999996</v>
      </c>
      <c r="O1493" s="9"/>
    </row>
    <row r="1494" spans="1:15" x14ac:dyDescent="0.15">
      <c r="A1494" s="9"/>
      <c r="B1494" s="9"/>
      <c r="H1494" s="9"/>
      <c r="I1494" s="74">
        <v>43759</v>
      </c>
      <c r="J1494" s="76">
        <v>4.2</v>
      </c>
      <c r="K1494" s="76">
        <v>4.8499999999999996</v>
      </c>
      <c r="O1494" s="9"/>
    </row>
    <row r="1495" spans="1:15" x14ac:dyDescent="0.15">
      <c r="A1495" s="9"/>
      <c r="B1495" s="9"/>
      <c r="H1495" s="9"/>
      <c r="I1495" s="74">
        <v>43789</v>
      </c>
      <c r="J1495" s="76">
        <v>4.1500000000000004</v>
      </c>
      <c r="K1495" s="76">
        <v>4.8</v>
      </c>
      <c r="O1495" s="9"/>
    </row>
    <row r="1496" spans="1:15" x14ac:dyDescent="0.15">
      <c r="A1496" s="9"/>
      <c r="B1496" s="9"/>
      <c r="H1496" s="9"/>
      <c r="I1496" s="74">
        <v>43819</v>
      </c>
      <c r="J1496" s="76">
        <v>4.1500000000000004</v>
      </c>
      <c r="K1496" s="76">
        <v>4.8</v>
      </c>
      <c r="O1496" s="9"/>
    </row>
    <row r="1497" spans="1:15" x14ac:dyDescent="0.15">
      <c r="A1497" s="9"/>
      <c r="B1497" s="9"/>
      <c r="H1497" s="9"/>
      <c r="I1497" s="74">
        <v>43850</v>
      </c>
      <c r="J1497" s="76">
        <v>4.1500000000000004</v>
      </c>
      <c r="K1497" s="76">
        <v>4.8</v>
      </c>
      <c r="O1497" s="9"/>
    </row>
    <row r="1498" spans="1:15" x14ac:dyDescent="0.15">
      <c r="A1498" s="9"/>
      <c r="B1498" s="9"/>
      <c r="H1498" s="9"/>
      <c r="I1498" s="74">
        <v>43881</v>
      </c>
      <c r="J1498" s="76">
        <v>4.05</v>
      </c>
      <c r="K1498" s="76">
        <v>4.75</v>
      </c>
      <c r="O1498" s="9"/>
    </row>
    <row r="1499" spans="1:15" x14ac:dyDescent="0.15">
      <c r="A1499" s="9"/>
      <c r="B1499" s="9"/>
      <c r="H1499" s="9"/>
      <c r="I1499" s="74">
        <v>43910</v>
      </c>
      <c r="J1499" s="76">
        <v>4.05</v>
      </c>
      <c r="K1499" s="76">
        <v>4.75</v>
      </c>
      <c r="O1499" s="9"/>
    </row>
    <row r="1500" spans="1:15" x14ac:dyDescent="0.15">
      <c r="A1500" s="9"/>
      <c r="B1500" s="9"/>
      <c r="H1500" s="9"/>
      <c r="I1500" s="74">
        <v>43941</v>
      </c>
      <c r="J1500" s="76">
        <v>3.85</v>
      </c>
      <c r="K1500" s="76">
        <v>4.6500000000000004</v>
      </c>
      <c r="O1500" s="9"/>
    </row>
    <row r="1501" spans="1:15" x14ac:dyDescent="0.15">
      <c r="A1501" s="9"/>
      <c r="B1501" s="9"/>
      <c r="H1501" s="9"/>
      <c r="I1501" s="74">
        <v>43971</v>
      </c>
      <c r="J1501" s="76">
        <v>3.85</v>
      </c>
      <c r="K1501" s="76">
        <v>4.6500000000000004</v>
      </c>
      <c r="O1501" s="9"/>
    </row>
    <row r="1502" spans="1:15" x14ac:dyDescent="0.15">
      <c r="A1502" s="9"/>
      <c r="B1502" s="9"/>
      <c r="H1502" s="9"/>
      <c r="I1502" s="74">
        <v>44004</v>
      </c>
      <c r="J1502" s="76">
        <v>3.85</v>
      </c>
      <c r="K1502" s="76">
        <v>4.6500000000000004</v>
      </c>
      <c r="O1502" s="9"/>
    </row>
    <row r="1503" spans="1:15" x14ac:dyDescent="0.15">
      <c r="A1503" s="9"/>
      <c r="B1503" s="9"/>
      <c r="H1503" s="9"/>
      <c r="I1503" s="74">
        <v>44032</v>
      </c>
      <c r="J1503" s="76">
        <v>3.85</v>
      </c>
      <c r="K1503" s="76">
        <v>4.6500000000000004</v>
      </c>
      <c r="O1503" s="9"/>
    </row>
    <row r="1504" spans="1:15" x14ac:dyDescent="0.15">
      <c r="A1504" s="9"/>
      <c r="B1504" s="9"/>
      <c r="H1504" s="9"/>
      <c r="I1504" s="74">
        <v>44063</v>
      </c>
      <c r="J1504" s="76">
        <v>3.85</v>
      </c>
      <c r="K1504" s="76">
        <v>4.6500000000000004</v>
      </c>
      <c r="O1504" s="9"/>
    </row>
    <row r="1505" spans="1:15" x14ac:dyDescent="0.15">
      <c r="A1505" s="9"/>
      <c r="B1505" s="9"/>
      <c r="H1505" s="9"/>
      <c r="I1505" s="74">
        <v>44095</v>
      </c>
      <c r="J1505" s="76">
        <v>3.85</v>
      </c>
      <c r="K1505" s="76">
        <v>4.6500000000000004</v>
      </c>
      <c r="O1505" s="9"/>
    </row>
    <row r="1506" spans="1:15" x14ac:dyDescent="0.15">
      <c r="A1506" s="9"/>
      <c r="B1506" s="9"/>
      <c r="H1506" s="9"/>
      <c r="I1506" s="74">
        <v>44124</v>
      </c>
      <c r="J1506" s="76">
        <v>3.85</v>
      </c>
      <c r="K1506" s="76">
        <v>4.6500000000000004</v>
      </c>
      <c r="O1506" s="9"/>
    </row>
    <row r="1507" spans="1:15" x14ac:dyDescent="0.15">
      <c r="A1507" s="9"/>
      <c r="B1507" s="9"/>
      <c r="H1507" s="9"/>
      <c r="I1507" s="74">
        <v>44155</v>
      </c>
      <c r="J1507" s="76">
        <v>3.85</v>
      </c>
      <c r="K1507" s="76">
        <v>4.6500000000000004</v>
      </c>
      <c r="O1507" s="9"/>
    </row>
    <row r="1508" spans="1:15" x14ac:dyDescent="0.15">
      <c r="A1508" s="9"/>
      <c r="B1508" s="9"/>
      <c r="H1508" s="9"/>
      <c r="I1508" s="74">
        <v>44186</v>
      </c>
      <c r="J1508" s="76">
        <v>3.85</v>
      </c>
      <c r="K1508" s="76">
        <v>4.6500000000000004</v>
      </c>
      <c r="O1508" s="9"/>
    </row>
    <row r="1509" spans="1:15" x14ac:dyDescent="0.15">
      <c r="A1509" s="9"/>
      <c r="B1509" s="9"/>
      <c r="H1509" s="9"/>
      <c r="I1509" s="74">
        <v>44216</v>
      </c>
      <c r="J1509" s="76">
        <v>3.85</v>
      </c>
      <c r="K1509" s="76">
        <v>4.6500000000000004</v>
      </c>
      <c r="O1509" s="9"/>
    </row>
    <row r="1510" spans="1:15" x14ac:dyDescent="0.15">
      <c r="A1510" s="9"/>
      <c r="B1510" s="9"/>
      <c r="H1510" s="9"/>
      <c r="I1510" s="74">
        <v>44247</v>
      </c>
      <c r="J1510" s="76">
        <v>3.85</v>
      </c>
      <c r="K1510" s="76">
        <v>4.6500000000000004</v>
      </c>
      <c r="O1510" s="9"/>
    </row>
    <row r="1511" spans="1:15" x14ac:dyDescent="0.15">
      <c r="A1511" s="9"/>
      <c r="B1511" s="9"/>
      <c r="H1511" s="9"/>
      <c r="I1511" s="74">
        <v>44277</v>
      </c>
      <c r="J1511" s="76">
        <v>3.85</v>
      </c>
      <c r="K1511" s="76">
        <v>4.6500000000000004</v>
      </c>
      <c r="O1511" s="9"/>
    </row>
    <row r="1512" spans="1:15" x14ac:dyDescent="0.15">
      <c r="A1512" s="9"/>
      <c r="B1512" s="9"/>
      <c r="H1512" s="9"/>
      <c r="I1512" s="74">
        <v>44306</v>
      </c>
      <c r="J1512" s="76">
        <v>3.85</v>
      </c>
      <c r="K1512" s="76">
        <v>4.6500000000000004</v>
      </c>
      <c r="O1512" s="9"/>
    </row>
    <row r="1513" spans="1:15" x14ac:dyDescent="0.15">
      <c r="A1513" s="9"/>
      <c r="B1513" s="9"/>
      <c r="H1513" s="9"/>
      <c r="I1513" s="74">
        <v>44336</v>
      </c>
      <c r="J1513" s="76">
        <v>3.85</v>
      </c>
      <c r="K1513" s="76">
        <v>4.6500000000000004</v>
      </c>
      <c r="O1513" s="9"/>
    </row>
    <row r="1514" spans="1:15" x14ac:dyDescent="0.15">
      <c r="A1514" s="9"/>
      <c r="B1514" s="9"/>
      <c r="H1514" s="9"/>
      <c r="I1514" s="74">
        <v>44368</v>
      </c>
      <c r="J1514" s="76">
        <v>3.85</v>
      </c>
      <c r="K1514" s="76">
        <v>4.6500000000000004</v>
      </c>
      <c r="O1514" s="9"/>
    </row>
    <row r="1515" spans="1:15" x14ac:dyDescent="0.15">
      <c r="A1515" s="9"/>
      <c r="B1515" s="9"/>
      <c r="H1515" s="9"/>
      <c r="I1515" s="74">
        <v>44397</v>
      </c>
      <c r="J1515" s="76">
        <v>3.85</v>
      </c>
      <c r="K1515" s="76">
        <v>4.6500000000000004</v>
      </c>
      <c r="O1515" s="9"/>
    </row>
    <row r="1516" spans="1:15" x14ac:dyDescent="0.15">
      <c r="A1516" s="9"/>
      <c r="B1516" s="9"/>
      <c r="H1516" s="9"/>
      <c r="I1516" s="74">
        <v>44428</v>
      </c>
      <c r="J1516" s="76">
        <v>3.85</v>
      </c>
      <c r="K1516" s="76">
        <v>4.6500000000000004</v>
      </c>
      <c r="O1516" s="9"/>
    </row>
    <row r="1517" spans="1:15" x14ac:dyDescent="0.15">
      <c r="A1517" s="9"/>
      <c r="B1517" s="9"/>
      <c r="H1517" s="9"/>
      <c r="I1517" s="74">
        <v>44461</v>
      </c>
      <c r="J1517" s="76">
        <v>3.85</v>
      </c>
      <c r="K1517" s="76">
        <v>4.6500000000000004</v>
      </c>
      <c r="O1517" s="9"/>
    </row>
    <row r="1518" spans="1:15" x14ac:dyDescent="0.15">
      <c r="A1518" s="9"/>
      <c r="B1518" s="9"/>
      <c r="H1518" s="9"/>
      <c r="I1518" s="74">
        <v>44489</v>
      </c>
      <c r="J1518" s="76">
        <v>3.85</v>
      </c>
      <c r="K1518" s="76">
        <v>4.6500000000000004</v>
      </c>
      <c r="O1518" s="9"/>
    </row>
    <row r="1519" spans="1:15" x14ac:dyDescent="0.15">
      <c r="A1519" s="9"/>
      <c r="B1519" s="9"/>
      <c r="H1519" s="9"/>
      <c r="I1519" s="74">
        <v>44522</v>
      </c>
      <c r="J1519" s="76">
        <v>3.85</v>
      </c>
      <c r="K1519" s="76">
        <v>4.6500000000000004</v>
      </c>
      <c r="O1519" s="9"/>
    </row>
    <row r="1520" spans="1:15" x14ac:dyDescent="0.15">
      <c r="A1520" s="9"/>
      <c r="B1520" s="9"/>
      <c r="H1520" s="9"/>
      <c r="I1520" s="74">
        <v>44550</v>
      </c>
      <c r="J1520" s="76">
        <v>3.8</v>
      </c>
      <c r="K1520" s="76">
        <v>4.6500000000000004</v>
      </c>
      <c r="O1520" s="9"/>
    </row>
    <row r="1521" spans="1:15" x14ac:dyDescent="0.15">
      <c r="A1521" s="9"/>
      <c r="B1521" s="9"/>
      <c r="H1521" s="9"/>
      <c r="I1521" s="74">
        <v>44581</v>
      </c>
      <c r="J1521" s="76">
        <v>3.7</v>
      </c>
      <c r="K1521" s="76">
        <v>4.5999999999999996</v>
      </c>
      <c r="O1521" s="9"/>
    </row>
    <row r="1522" spans="1:15" x14ac:dyDescent="0.15">
      <c r="A1522" s="9"/>
      <c r="B1522" s="9"/>
      <c r="H1522" s="9"/>
      <c r="I1522" s="74">
        <v>44613</v>
      </c>
      <c r="J1522" s="76">
        <v>3.7</v>
      </c>
      <c r="K1522" s="76">
        <v>4.5999999999999996</v>
      </c>
      <c r="O1522" s="9"/>
    </row>
    <row r="1523" spans="1:15" x14ac:dyDescent="0.15">
      <c r="A1523" s="9"/>
      <c r="B1523" s="9"/>
      <c r="H1523" s="9"/>
      <c r="I1523" s="74">
        <v>44641</v>
      </c>
      <c r="J1523" s="76">
        <v>3.7</v>
      </c>
      <c r="K1523" s="76">
        <v>4.5999999999999996</v>
      </c>
      <c r="O1523" s="9"/>
    </row>
    <row r="1524" spans="1:15" x14ac:dyDescent="0.15">
      <c r="A1524" s="9"/>
      <c r="B1524" s="9"/>
      <c r="H1524" s="9"/>
      <c r="I1524" s="74">
        <v>44671</v>
      </c>
      <c r="J1524" s="76">
        <v>3.7</v>
      </c>
      <c r="K1524" s="76">
        <v>4.5999999999999996</v>
      </c>
      <c r="O1524" s="9"/>
    </row>
    <row r="1525" spans="1:15" x14ac:dyDescent="0.15">
      <c r="A1525" s="9"/>
      <c r="B1525" s="9"/>
      <c r="H1525" s="9"/>
      <c r="I1525" s="74">
        <v>44701</v>
      </c>
      <c r="J1525" s="76">
        <v>3.7</v>
      </c>
      <c r="K1525" s="76">
        <v>4.45</v>
      </c>
      <c r="O1525" s="9"/>
    </row>
    <row r="1526" spans="1:15" x14ac:dyDescent="0.15">
      <c r="A1526" s="9"/>
      <c r="B1526" s="9"/>
      <c r="H1526" s="9"/>
      <c r="I1526" s="74">
        <v>44732</v>
      </c>
      <c r="J1526" s="76">
        <v>3.7</v>
      </c>
      <c r="K1526" s="76">
        <v>4.45</v>
      </c>
      <c r="O1526" s="9"/>
    </row>
    <row r="1527" spans="1:15" x14ac:dyDescent="0.15">
      <c r="A1527" s="9"/>
      <c r="B1527" s="9"/>
      <c r="H1527" s="9"/>
      <c r="I1527" s="74">
        <v>44762</v>
      </c>
      <c r="J1527" s="76">
        <v>3.7</v>
      </c>
      <c r="K1527" s="76">
        <v>4.45</v>
      </c>
      <c r="O1527" s="9"/>
    </row>
    <row r="1528" spans="1:15" x14ac:dyDescent="0.15">
      <c r="A1528" s="9"/>
      <c r="B1528" s="9"/>
      <c r="H1528" s="9"/>
      <c r="I1528" s="74">
        <v>44795</v>
      </c>
      <c r="J1528" s="76">
        <v>3.65</v>
      </c>
      <c r="K1528" s="76">
        <v>4.3</v>
      </c>
      <c r="O1528" s="9"/>
    </row>
    <row r="1529" spans="1:15" x14ac:dyDescent="0.15">
      <c r="A1529" s="9"/>
      <c r="B1529" s="9"/>
      <c r="H1529" s="9"/>
      <c r="I1529" s="74">
        <v>44824</v>
      </c>
      <c r="J1529" s="76">
        <v>3.65</v>
      </c>
      <c r="K1529" s="76">
        <v>4.3</v>
      </c>
      <c r="O1529" s="9"/>
    </row>
    <row r="1530" spans="1:15" x14ac:dyDescent="0.15">
      <c r="A1530" s="9"/>
      <c r="B1530" s="9"/>
      <c r="H1530" s="9"/>
      <c r="I1530" s="74">
        <v>44854</v>
      </c>
      <c r="J1530" s="76">
        <v>3.65</v>
      </c>
      <c r="K1530" s="76">
        <v>4.3</v>
      </c>
      <c r="O1530" s="9"/>
    </row>
    <row r="1531" spans="1:15" x14ac:dyDescent="0.15">
      <c r="A1531" s="9"/>
      <c r="B1531" s="9"/>
      <c r="H1531" s="9"/>
      <c r="I1531" s="74">
        <v>44886</v>
      </c>
      <c r="J1531" s="76">
        <v>3.65</v>
      </c>
      <c r="K1531" s="76">
        <v>4.3</v>
      </c>
      <c r="O1531" s="9"/>
    </row>
    <row r="1532" spans="1:15" x14ac:dyDescent="0.15">
      <c r="A1532" s="9"/>
      <c r="B1532" s="9"/>
      <c r="H1532" s="9"/>
      <c r="I1532" s="74">
        <v>44915</v>
      </c>
      <c r="J1532" s="76">
        <v>3.65</v>
      </c>
      <c r="K1532" s="76">
        <v>4.3</v>
      </c>
      <c r="O1532" s="9"/>
    </row>
    <row r="1533" spans="1:15" x14ac:dyDescent="0.15">
      <c r="A1533" s="9"/>
      <c r="B1533" s="9"/>
      <c r="H1533" s="9"/>
      <c r="I1533" s="74">
        <v>44946</v>
      </c>
      <c r="J1533" s="76">
        <v>3.65</v>
      </c>
      <c r="K1533" s="76">
        <v>4.3</v>
      </c>
      <c r="O1533" s="9"/>
    </row>
    <row r="1534" spans="1:15" x14ac:dyDescent="0.15">
      <c r="A1534" s="9"/>
      <c r="B1534" s="9"/>
      <c r="H1534" s="9"/>
      <c r="I1534" s="74">
        <v>44977</v>
      </c>
      <c r="J1534" s="76">
        <v>3.65</v>
      </c>
      <c r="K1534" s="76">
        <v>4.3</v>
      </c>
      <c r="O1534" s="9"/>
    </row>
    <row r="1535" spans="1:15" x14ac:dyDescent="0.15">
      <c r="A1535" s="9"/>
      <c r="B1535" s="9"/>
      <c r="H1535" s="9"/>
      <c r="I1535" s="74">
        <v>45005</v>
      </c>
      <c r="J1535" s="76">
        <v>3.65</v>
      </c>
      <c r="K1535" s="76">
        <v>4.3</v>
      </c>
      <c r="O1535" s="9"/>
    </row>
    <row r="1536" spans="1:15" x14ac:dyDescent="0.15">
      <c r="A1536" s="9"/>
      <c r="B1536" s="9"/>
      <c r="H1536" s="9"/>
      <c r="I1536" s="74">
        <v>45036</v>
      </c>
      <c r="J1536" s="76">
        <v>3.65</v>
      </c>
      <c r="K1536" s="76">
        <v>4.3</v>
      </c>
      <c r="O1536" s="9"/>
    </row>
    <row r="1537" spans="1:15" x14ac:dyDescent="0.15">
      <c r="A1537" s="9"/>
      <c r="B1537" s="9"/>
      <c r="H1537" s="9"/>
      <c r="I1537" s="74">
        <v>45068</v>
      </c>
      <c r="J1537" s="76">
        <v>3.65</v>
      </c>
      <c r="K1537" s="76">
        <v>4.3</v>
      </c>
      <c r="O1537" s="9"/>
    </row>
    <row r="1538" spans="1:15" x14ac:dyDescent="0.15">
      <c r="A1538" s="9"/>
      <c r="B1538" s="9"/>
      <c r="H1538" s="9"/>
      <c r="I1538" s="74">
        <v>45097</v>
      </c>
      <c r="J1538" s="76">
        <v>3.55</v>
      </c>
      <c r="K1538" s="76">
        <v>4.2</v>
      </c>
      <c r="O1538" s="9"/>
    </row>
    <row r="1539" spans="1:15" x14ac:dyDescent="0.15">
      <c r="A1539" s="9"/>
      <c r="B1539" s="9"/>
      <c r="H1539" s="9"/>
      <c r="I1539" s="74">
        <v>45127</v>
      </c>
      <c r="J1539" s="76">
        <v>3.55</v>
      </c>
      <c r="K1539" s="76">
        <v>4.2</v>
      </c>
      <c r="O1539" s="9"/>
    </row>
    <row r="1540" spans="1:15" x14ac:dyDescent="0.15">
      <c r="A1540" s="9"/>
      <c r="B1540" s="9"/>
      <c r="H1540" s="9"/>
      <c r="I1540" s="74">
        <v>45159</v>
      </c>
      <c r="J1540" s="76">
        <v>3.45</v>
      </c>
      <c r="K1540" s="76">
        <v>4.2</v>
      </c>
      <c r="O1540" s="9"/>
    </row>
    <row r="1541" spans="1:15" x14ac:dyDescent="0.15">
      <c r="A1541" s="9"/>
      <c r="B1541" s="9"/>
      <c r="H1541" s="9"/>
      <c r="I1541" s="74">
        <v>45189</v>
      </c>
      <c r="J1541" s="76">
        <v>3.45</v>
      </c>
      <c r="K1541" s="76">
        <v>4.2</v>
      </c>
      <c r="O1541" s="9"/>
    </row>
    <row r="1542" spans="1:15" x14ac:dyDescent="0.15">
      <c r="A1542" s="9"/>
      <c r="B1542" s="9"/>
      <c r="H1542" s="9"/>
      <c r="I1542" s="74">
        <v>45219</v>
      </c>
      <c r="J1542" s="76">
        <v>3.45</v>
      </c>
      <c r="K1542" s="76">
        <v>4.2</v>
      </c>
      <c r="O1542" s="9"/>
    </row>
    <row r="1543" spans="1:15" x14ac:dyDescent="0.15">
      <c r="A1543" s="9"/>
      <c r="B1543" s="9"/>
      <c r="H1543" s="9"/>
      <c r="I1543" s="74">
        <v>45250</v>
      </c>
      <c r="J1543" s="76">
        <v>3.45</v>
      </c>
      <c r="K1543" s="76">
        <v>4.2</v>
      </c>
      <c r="O1543" s="9"/>
    </row>
    <row r="1544" spans="1:15" x14ac:dyDescent="0.15">
      <c r="A1544" s="9"/>
      <c r="B1544" s="9"/>
      <c r="H1544" s="9"/>
      <c r="I1544" s="74">
        <v>45280</v>
      </c>
      <c r="J1544" s="76">
        <v>3.45</v>
      </c>
      <c r="K1544" s="76">
        <v>4.2</v>
      </c>
      <c r="O1544" s="9"/>
    </row>
    <row r="1545" spans="1:15" x14ac:dyDescent="0.15">
      <c r="A1545" s="9"/>
      <c r="B1545" s="9"/>
      <c r="H1545" s="9"/>
      <c r="I1545" s="74">
        <v>45313</v>
      </c>
      <c r="J1545" s="76">
        <v>3.45</v>
      </c>
      <c r="K1545" s="76">
        <v>4.2</v>
      </c>
      <c r="O1545" s="9"/>
    </row>
    <row r="1546" spans="1:15" x14ac:dyDescent="0.15">
      <c r="A1546" s="9"/>
      <c r="B1546" s="9"/>
      <c r="H1546" s="9"/>
      <c r="I1546" s="74">
        <v>45342</v>
      </c>
      <c r="J1546" s="76">
        <v>3.45</v>
      </c>
      <c r="K1546" s="76">
        <v>3.95</v>
      </c>
      <c r="O1546" s="9"/>
    </row>
    <row r="1547" spans="1:15" x14ac:dyDescent="0.15">
      <c r="A1547" s="9"/>
      <c r="B1547" s="9"/>
      <c r="H1547" s="9"/>
      <c r="I1547" s="74">
        <v>45371</v>
      </c>
      <c r="J1547" s="76">
        <v>3.45</v>
      </c>
      <c r="K1547" s="76">
        <v>3.95</v>
      </c>
      <c r="O1547" s="9"/>
    </row>
    <row r="1548" spans="1:15" x14ac:dyDescent="0.15">
      <c r="A1548" s="9"/>
      <c r="B1548" s="9"/>
      <c r="H1548" s="9"/>
      <c r="I1548" s="74">
        <v>45404</v>
      </c>
      <c r="J1548" s="76">
        <v>3.45</v>
      </c>
      <c r="K1548" s="76">
        <v>3.95</v>
      </c>
      <c r="O1548" s="9"/>
    </row>
    <row r="1549" spans="1:15" x14ac:dyDescent="0.15">
      <c r="A1549" s="9"/>
      <c r="B1549" s="9"/>
      <c r="H1549" s="9"/>
      <c r="I1549" s="74">
        <v>45432</v>
      </c>
      <c r="J1549" s="76">
        <v>3.45</v>
      </c>
      <c r="K1549" s="76">
        <v>3.95</v>
      </c>
      <c r="O1549" s="9"/>
    </row>
    <row r="1550" spans="1:15" x14ac:dyDescent="0.15">
      <c r="A1550" s="9"/>
      <c r="B1550" s="9"/>
      <c r="H1550" s="9"/>
      <c r="I1550" s="9"/>
      <c r="O1550" s="9"/>
    </row>
    <row r="1551" spans="1:15" x14ac:dyDescent="0.15">
      <c r="A1551" s="9"/>
      <c r="B1551" s="9"/>
      <c r="H1551" s="9"/>
      <c r="I1551" s="9"/>
      <c r="O1551" s="9"/>
    </row>
    <row r="1552" spans="1:15" x14ac:dyDescent="0.15">
      <c r="A1552" s="9"/>
      <c r="B1552" s="9"/>
      <c r="H1552" s="9"/>
      <c r="I1552" s="9"/>
      <c r="O1552" s="9"/>
    </row>
    <row r="1553" spans="1:15" x14ac:dyDescent="0.15">
      <c r="A1553" s="9"/>
      <c r="B1553" s="9"/>
      <c r="H1553" s="9"/>
      <c r="I1553" s="9"/>
      <c r="O1553" s="9"/>
    </row>
    <row r="1554" spans="1:15" x14ac:dyDescent="0.15">
      <c r="A1554" s="9"/>
      <c r="B1554" s="9"/>
      <c r="H1554" s="9"/>
      <c r="I1554" s="9"/>
      <c r="O1554" s="9"/>
    </row>
    <row r="1555" spans="1:15" x14ac:dyDescent="0.15">
      <c r="A1555" s="9"/>
      <c r="B1555" s="9"/>
      <c r="H1555" s="9"/>
      <c r="I1555" s="9"/>
      <c r="O1555" s="9"/>
    </row>
    <row r="1556" spans="1:15" x14ac:dyDescent="0.15">
      <c r="A1556" s="9"/>
      <c r="B1556" s="9"/>
      <c r="H1556" s="9"/>
      <c r="I1556" s="9"/>
      <c r="O1556" s="9"/>
    </row>
    <row r="1557" spans="1:15" x14ac:dyDescent="0.15">
      <c r="A1557" s="9"/>
      <c r="B1557" s="9"/>
      <c r="H1557" s="9"/>
      <c r="I1557" s="9"/>
      <c r="O1557" s="9"/>
    </row>
    <row r="1558" spans="1:15" x14ac:dyDescent="0.15">
      <c r="A1558" s="9"/>
      <c r="B1558" s="9"/>
      <c r="H1558" s="9"/>
      <c r="I1558" s="9"/>
      <c r="O1558" s="9"/>
    </row>
    <row r="1559" spans="1:15" x14ac:dyDescent="0.15">
      <c r="A1559" s="9"/>
      <c r="B1559" s="9"/>
      <c r="H1559" s="9"/>
      <c r="I1559" s="9"/>
      <c r="O1559" s="9"/>
    </row>
    <row r="1560" spans="1:15" x14ac:dyDescent="0.15">
      <c r="A1560" s="9"/>
      <c r="B1560" s="9"/>
      <c r="H1560" s="9"/>
      <c r="I1560" s="9"/>
      <c r="O1560" s="9"/>
    </row>
    <row r="1561" spans="1:15" x14ac:dyDescent="0.15">
      <c r="A1561" s="9"/>
      <c r="B1561" s="9"/>
      <c r="H1561" s="9"/>
      <c r="I1561" s="9"/>
      <c r="O1561" s="9"/>
    </row>
    <row r="1562" spans="1:15" x14ac:dyDescent="0.15">
      <c r="A1562" s="9"/>
      <c r="B1562" s="9"/>
      <c r="H1562" s="9"/>
      <c r="I1562" s="9"/>
      <c r="O1562" s="9"/>
    </row>
    <row r="1563" spans="1:15" x14ac:dyDescent="0.15">
      <c r="A1563" s="9"/>
      <c r="B1563" s="9"/>
      <c r="H1563" s="9"/>
      <c r="I1563" s="9"/>
      <c r="O1563" s="9"/>
    </row>
    <row r="1564" spans="1:15" x14ac:dyDescent="0.15">
      <c r="A1564" s="9"/>
      <c r="B1564" s="9"/>
      <c r="H1564" s="9"/>
      <c r="I1564" s="9"/>
      <c r="O1564" s="9"/>
    </row>
    <row r="1565" spans="1:15" x14ac:dyDescent="0.15">
      <c r="A1565" s="9"/>
      <c r="B1565" s="9"/>
      <c r="H1565" s="9"/>
      <c r="I1565" s="9"/>
      <c r="O1565" s="9"/>
    </row>
    <row r="1566" spans="1:15" x14ac:dyDescent="0.15">
      <c r="A1566" s="9"/>
      <c r="B1566" s="9"/>
      <c r="H1566" s="9"/>
      <c r="I1566" s="9"/>
      <c r="O1566" s="9"/>
    </row>
    <row r="1567" spans="1:15" x14ac:dyDescent="0.15">
      <c r="A1567" s="9"/>
      <c r="B1567" s="9"/>
      <c r="H1567" s="9"/>
      <c r="I1567" s="9"/>
      <c r="O1567" s="9"/>
    </row>
    <row r="1568" spans="1:15" x14ac:dyDescent="0.15">
      <c r="A1568" s="9"/>
      <c r="B1568" s="9"/>
      <c r="H1568" s="9"/>
      <c r="I1568" s="9"/>
      <c r="O1568" s="9"/>
    </row>
    <row r="1569" spans="1:15" x14ac:dyDescent="0.15">
      <c r="A1569" s="9"/>
      <c r="B1569" s="9"/>
      <c r="H1569" s="9"/>
      <c r="I1569" s="9"/>
      <c r="O1569" s="9"/>
    </row>
    <row r="1570" spans="1:15" x14ac:dyDescent="0.15">
      <c r="A1570" s="9"/>
      <c r="B1570" s="9"/>
      <c r="H1570" s="9"/>
      <c r="I1570" s="9"/>
      <c r="O1570" s="9"/>
    </row>
    <row r="1571" spans="1:15" x14ac:dyDescent="0.15">
      <c r="A1571" s="9"/>
      <c r="B1571" s="9"/>
      <c r="H1571" s="9"/>
      <c r="I1571" s="9"/>
      <c r="O1571" s="9"/>
    </row>
    <row r="1572" spans="1:15" x14ac:dyDescent="0.15">
      <c r="A1572" s="9"/>
      <c r="B1572" s="9"/>
      <c r="H1572" s="9"/>
      <c r="I1572" s="9"/>
      <c r="O1572" s="9"/>
    </row>
    <row r="1573" spans="1:15" x14ac:dyDescent="0.15">
      <c r="A1573" s="9"/>
      <c r="B1573" s="9"/>
      <c r="H1573" s="9"/>
      <c r="I1573" s="9"/>
      <c r="O1573" s="9"/>
    </row>
    <row r="1574" spans="1:15" x14ac:dyDescent="0.15">
      <c r="A1574" s="9"/>
      <c r="B1574" s="9"/>
      <c r="H1574" s="9"/>
      <c r="I1574" s="9"/>
      <c r="O1574" s="9"/>
    </row>
    <row r="1575" spans="1:15" x14ac:dyDescent="0.15">
      <c r="A1575" s="9"/>
      <c r="B1575" s="9"/>
      <c r="H1575" s="9"/>
      <c r="I1575" s="9"/>
      <c r="O1575" s="9"/>
    </row>
    <row r="1576" spans="1:15" x14ac:dyDescent="0.15">
      <c r="A1576" s="9"/>
      <c r="B1576" s="9"/>
      <c r="H1576" s="9"/>
      <c r="I1576" s="9"/>
      <c r="O1576" s="9"/>
    </row>
    <row r="1577" spans="1:15" x14ac:dyDescent="0.15">
      <c r="A1577" s="9"/>
      <c r="B1577" s="9"/>
      <c r="H1577" s="9"/>
      <c r="I1577" s="9"/>
      <c r="O1577" s="9"/>
    </row>
    <row r="1578" spans="1:15" x14ac:dyDescent="0.15">
      <c r="A1578" s="9"/>
      <c r="B1578" s="9"/>
      <c r="H1578" s="9"/>
      <c r="I1578" s="9"/>
      <c r="O1578" s="9"/>
    </row>
    <row r="1579" spans="1:15" x14ac:dyDescent="0.15">
      <c r="A1579" s="9"/>
      <c r="B1579" s="9"/>
      <c r="H1579" s="9"/>
      <c r="I1579" s="9"/>
      <c r="O1579" s="9"/>
    </row>
    <row r="1580" spans="1:15" x14ac:dyDescent="0.15">
      <c r="A1580" s="9"/>
      <c r="B1580" s="9"/>
      <c r="H1580" s="9"/>
      <c r="I1580" s="9"/>
      <c r="O1580" s="9"/>
    </row>
    <row r="1581" spans="1:15" x14ac:dyDescent="0.15">
      <c r="A1581" s="9"/>
      <c r="B1581" s="9"/>
      <c r="H1581" s="9"/>
      <c r="I1581" s="9"/>
      <c r="O1581" s="9"/>
    </row>
    <row r="1582" spans="1:15" x14ac:dyDescent="0.15">
      <c r="A1582" s="9"/>
      <c r="B1582" s="9"/>
      <c r="H1582" s="9"/>
      <c r="I1582" s="9"/>
      <c r="O1582" s="9"/>
    </row>
    <row r="1583" spans="1:15" x14ac:dyDescent="0.15">
      <c r="A1583" s="9"/>
      <c r="B1583" s="9"/>
      <c r="H1583" s="9"/>
      <c r="I1583" s="9"/>
      <c r="O1583" s="9"/>
    </row>
    <row r="1584" spans="1:15" x14ac:dyDescent="0.15">
      <c r="A1584" s="9"/>
      <c r="B1584" s="9"/>
      <c r="H1584" s="9"/>
      <c r="I1584" s="9"/>
      <c r="O1584" s="9"/>
    </row>
    <row r="1585" spans="1:15" x14ac:dyDescent="0.15">
      <c r="A1585" s="9"/>
      <c r="B1585" s="9"/>
      <c r="H1585" s="9"/>
      <c r="I1585" s="9"/>
      <c r="O1585" s="9"/>
    </row>
    <row r="1586" spans="1:15" x14ac:dyDescent="0.15">
      <c r="A1586" s="9"/>
      <c r="B1586" s="9"/>
      <c r="H1586" s="9"/>
      <c r="I1586" s="9"/>
      <c r="O1586" s="9"/>
    </row>
    <row r="1587" spans="1:15" x14ac:dyDescent="0.15">
      <c r="A1587" s="9"/>
      <c r="B1587" s="9"/>
      <c r="H1587" s="9"/>
      <c r="I1587" s="9"/>
      <c r="O1587" s="9"/>
    </row>
    <row r="1588" spans="1:15" x14ac:dyDescent="0.15">
      <c r="A1588" s="9"/>
      <c r="B1588" s="9"/>
      <c r="H1588" s="9"/>
      <c r="I1588" s="9"/>
      <c r="O1588" s="9"/>
    </row>
    <row r="1589" spans="1:15" x14ac:dyDescent="0.15">
      <c r="A1589" s="9"/>
      <c r="B1589" s="9"/>
      <c r="H1589" s="9"/>
      <c r="I1589" s="9"/>
      <c r="O1589" s="9"/>
    </row>
    <row r="1590" spans="1:15" x14ac:dyDescent="0.15">
      <c r="A1590" s="9"/>
      <c r="B1590" s="9"/>
      <c r="H1590" s="9"/>
      <c r="I1590" s="9"/>
      <c r="O1590" s="9"/>
    </row>
    <row r="1591" spans="1:15" x14ac:dyDescent="0.15">
      <c r="A1591" s="9"/>
      <c r="B1591" s="9"/>
      <c r="H1591" s="9"/>
      <c r="I1591" s="9"/>
      <c r="O1591" s="9"/>
    </row>
    <row r="1592" spans="1:15" x14ac:dyDescent="0.15">
      <c r="A1592" s="9"/>
      <c r="B1592" s="9"/>
      <c r="H1592" s="9"/>
      <c r="I1592" s="9"/>
      <c r="O1592" s="9"/>
    </row>
    <row r="1593" spans="1:15" x14ac:dyDescent="0.15">
      <c r="A1593" s="9"/>
      <c r="B1593" s="9"/>
      <c r="H1593" s="9"/>
      <c r="I1593" s="9"/>
      <c r="O1593" s="9"/>
    </row>
    <row r="1594" spans="1:15" x14ac:dyDescent="0.15">
      <c r="A1594" s="9"/>
      <c r="B1594" s="9"/>
      <c r="H1594" s="9"/>
      <c r="I1594" s="9"/>
      <c r="O1594" s="9"/>
    </row>
    <row r="1595" spans="1:15" x14ac:dyDescent="0.15">
      <c r="A1595" s="9"/>
      <c r="B1595" s="9"/>
      <c r="H1595" s="9"/>
      <c r="I1595" s="9"/>
      <c r="O1595" s="9"/>
    </row>
    <row r="1596" spans="1:15" x14ac:dyDescent="0.15">
      <c r="A1596" s="9"/>
      <c r="B1596" s="9"/>
      <c r="H1596" s="9"/>
      <c r="I1596" s="9"/>
      <c r="O1596" s="9"/>
    </row>
    <row r="1597" spans="1:15" x14ac:dyDescent="0.15">
      <c r="A1597" s="9"/>
      <c r="B1597" s="9"/>
      <c r="H1597" s="9"/>
      <c r="I1597" s="9"/>
      <c r="O1597" s="9"/>
    </row>
    <row r="1598" spans="1:15" x14ac:dyDescent="0.15">
      <c r="A1598" s="9"/>
      <c r="B1598" s="9"/>
      <c r="H1598" s="9"/>
      <c r="I1598" s="9"/>
      <c r="O1598" s="9"/>
    </row>
    <row r="1599" spans="1:15" x14ac:dyDescent="0.15">
      <c r="A1599" s="9"/>
      <c r="B1599" s="9"/>
      <c r="H1599" s="9"/>
      <c r="I1599" s="9"/>
      <c r="O1599" s="9"/>
    </row>
    <row r="1600" spans="1:15" x14ac:dyDescent="0.15">
      <c r="A1600" s="9"/>
      <c r="B1600" s="9"/>
      <c r="H1600" s="9"/>
      <c r="I1600" s="9"/>
      <c r="O1600" s="9"/>
    </row>
    <row r="1601" spans="1:15" x14ac:dyDescent="0.15">
      <c r="A1601" s="9"/>
      <c r="B1601" s="9"/>
      <c r="H1601" s="9"/>
      <c r="I1601" s="9"/>
      <c r="O1601" s="9"/>
    </row>
    <row r="1602" spans="1:15" x14ac:dyDescent="0.15">
      <c r="A1602" s="9"/>
      <c r="B1602" s="9"/>
      <c r="H1602" s="9"/>
      <c r="I1602" s="9"/>
      <c r="O1602" s="9"/>
    </row>
    <row r="1603" spans="1:15" x14ac:dyDescent="0.15">
      <c r="A1603" s="9"/>
      <c r="B1603" s="9"/>
      <c r="H1603" s="9"/>
      <c r="I1603" s="9"/>
      <c r="O1603" s="9"/>
    </row>
    <row r="1604" spans="1:15" x14ac:dyDescent="0.15">
      <c r="A1604" s="9"/>
      <c r="B1604" s="9"/>
      <c r="H1604" s="9"/>
      <c r="I1604" s="9"/>
      <c r="O1604" s="9"/>
    </row>
    <row r="1605" spans="1:15" x14ac:dyDescent="0.15">
      <c r="A1605" s="9"/>
      <c r="B1605" s="9"/>
      <c r="H1605" s="9"/>
      <c r="I1605" s="9"/>
      <c r="O1605" s="9"/>
    </row>
    <row r="1606" spans="1:15" x14ac:dyDescent="0.15">
      <c r="A1606" s="9"/>
      <c r="B1606" s="9"/>
      <c r="H1606" s="9"/>
      <c r="I1606" s="9"/>
      <c r="O1606" s="9"/>
    </row>
    <row r="1607" spans="1:15" x14ac:dyDescent="0.15">
      <c r="A1607" s="9"/>
      <c r="B1607" s="9"/>
      <c r="H1607" s="9"/>
      <c r="I1607" s="9"/>
      <c r="O1607" s="9"/>
    </row>
    <row r="1608" spans="1:15" x14ac:dyDescent="0.15">
      <c r="A1608" s="9"/>
      <c r="B1608" s="9"/>
      <c r="H1608" s="9"/>
      <c r="I1608" s="9"/>
      <c r="O1608" s="9"/>
    </row>
    <row r="1609" spans="1:15" x14ac:dyDescent="0.15">
      <c r="A1609" s="9"/>
      <c r="B1609" s="9"/>
      <c r="H1609" s="9"/>
      <c r="I1609" s="9"/>
      <c r="O1609" s="9"/>
    </row>
    <row r="1610" spans="1:15" x14ac:dyDescent="0.15">
      <c r="A1610" s="9"/>
      <c r="B1610" s="9"/>
      <c r="H1610" s="9"/>
      <c r="I1610" s="9"/>
      <c r="O1610" s="9"/>
    </row>
    <row r="1611" spans="1:15" x14ac:dyDescent="0.15">
      <c r="A1611" s="9"/>
      <c r="B1611" s="9"/>
      <c r="H1611" s="9"/>
      <c r="I1611" s="9"/>
      <c r="O1611" s="9"/>
    </row>
    <row r="1612" spans="1:15" x14ac:dyDescent="0.15">
      <c r="A1612" s="9"/>
      <c r="B1612" s="9"/>
      <c r="H1612" s="9"/>
      <c r="I1612" s="9"/>
      <c r="O1612" s="9"/>
    </row>
    <row r="1613" spans="1:15" x14ac:dyDescent="0.15">
      <c r="A1613" s="9"/>
      <c r="B1613" s="9"/>
      <c r="H1613" s="9"/>
      <c r="I1613" s="9"/>
      <c r="O1613" s="9"/>
    </row>
    <row r="1614" spans="1:15" x14ac:dyDescent="0.15">
      <c r="A1614" s="9"/>
      <c r="B1614" s="9"/>
      <c r="H1614" s="9"/>
      <c r="I1614" s="9"/>
      <c r="O1614" s="9"/>
    </row>
    <row r="1615" spans="1:15" x14ac:dyDescent="0.15">
      <c r="A1615" s="9"/>
      <c r="B1615" s="9"/>
      <c r="H1615" s="9"/>
      <c r="I1615" s="9"/>
      <c r="O1615" s="9"/>
    </row>
    <row r="1616" spans="1:15" x14ac:dyDescent="0.15">
      <c r="A1616" s="9"/>
      <c r="B1616" s="9"/>
      <c r="H1616" s="9"/>
      <c r="I1616" s="9"/>
      <c r="O1616" s="9"/>
    </row>
    <row r="1617" spans="1:15" x14ac:dyDescent="0.15">
      <c r="A1617" s="9"/>
      <c r="B1617" s="9"/>
      <c r="H1617" s="9"/>
      <c r="I1617" s="9"/>
      <c r="O1617" s="9"/>
    </row>
    <row r="1618" spans="1:15" x14ac:dyDescent="0.15">
      <c r="A1618" s="9"/>
      <c r="B1618" s="9"/>
      <c r="H1618" s="9"/>
      <c r="I1618" s="9"/>
      <c r="O1618" s="9"/>
    </row>
    <row r="1619" spans="1:15" x14ac:dyDescent="0.15">
      <c r="A1619" s="9"/>
      <c r="B1619" s="9"/>
      <c r="H1619" s="9"/>
      <c r="I1619" s="9"/>
      <c r="O1619" s="9"/>
    </row>
    <row r="1620" spans="1:15" x14ac:dyDescent="0.15">
      <c r="A1620" s="9"/>
      <c r="B1620" s="9"/>
      <c r="H1620" s="9"/>
      <c r="I1620" s="9"/>
      <c r="O1620" s="9"/>
    </row>
    <row r="1621" spans="1:15" x14ac:dyDescent="0.15">
      <c r="A1621" s="9"/>
      <c r="B1621" s="9"/>
      <c r="H1621" s="9"/>
      <c r="I1621" s="9"/>
      <c r="O1621" s="9"/>
    </row>
    <row r="1622" spans="1:15" x14ac:dyDescent="0.15">
      <c r="A1622" s="9"/>
      <c r="B1622" s="9"/>
      <c r="H1622" s="9"/>
      <c r="I1622" s="9"/>
      <c r="O1622" s="9"/>
    </row>
    <row r="1623" spans="1:15" x14ac:dyDescent="0.15">
      <c r="A1623" s="9"/>
      <c r="B1623" s="9"/>
      <c r="H1623" s="9"/>
      <c r="I1623" s="9"/>
      <c r="O1623" s="9"/>
    </row>
    <row r="1624" spans="1:15" x14ac:dyDescent="0.15">
      <c r="A1624" s="9"/>
      <c r="B1624" s="9"/>
      <c r="H1624" s="9"/>
      <c r="I1624" s="9"/>
      <c r="O1624" s="9"/>
    </row>
    <row r="1625" spans="1:15" x14ac:dyDescent="0.15">
      <c r="A1625" s="9"/>
      <c r="B1625" s="9"/>
      <c r="H1625" s="9"/>
      <c r="I1625" s="9"/>
      <c r="O1625" s="9"/>
    </row>
    <row r="1626" spans="1:15" x14ac:dyDescent="0.15">
      <c r="A1626" s="9"/>
      <c r="B1626" s="9"/>
      <c r="H1626" s="9"/>
      <c r="I1626" s="9"/>
      <c r="O1626" s="9"/>
    </row>
    <row r="1627" spans="1:15" x14ac:dyDescent="0.15">
      <c r="A1627" s="9"/>
      <c r="B1627" s="9"/>
      <c r="H1627" s="9"/>
      <c r="I1627" s="9"/>
      <c r="O1627" s="9"/>
    </row>
    <row r="1628" spans="1:15" x14ac:dyDescent="0.15">
      <c r="A1628" s="9"/>
      <c r="B1628" s="9"/>
      <c r="H1628" s="9"/>
      <c r="I1628" s="9"/>
      <c r="O1628" s="9"/>
    </row>
    <row r="1629" spans="1:15" x14ac:dyDescent="0.15">
      <c r="A1629" s="9"/>
      <c r="B1629" s="9"/>
      <c r="H1629" s="9"/>
      <c r="I1629" s="9"/>
      <c r="O1629" s="9"/>
    </row>
    <row r="1630" spans="1:15" x14ac:dyDescent="0.15">
      <c r="J1630" s="15"/>
      <c r="K1630" s="15"/>
      <c r="L1630" s="15"/>
      <c r="M1630" s="15"/>
      <c r="N1630" s="15"/>
    </row>
    <row r="1631" spans="1:15" x14ac:dyDescent="0.15">
      <c r="J1631" s="15"/>
      <c r="K1631" s="15"/>
      <c r="L1631" s="15"/>
      <c r="M1631" s="15"/>
      <c r="N1631" s="15"/>
    </row>
    <row r="1632" spans="1:15" x14ac:dyDescent="0.15">
      <c r="J1632" s="15"/>
      <c r="K1632" s="15"/>
      <c r="L1632" s="15"/>
      <c r="M1632" s="15"/>
      <c r="N1632" s="15"/>
    </row>
    <row r="1633" spans="10:14" x14ac:dyDescent="0.15">
      <c r="J1633" s="15"/>
      <c r="K1633" s="15"/>
      <c r="L1633" s="15"/>
      <c r="M1633" s="15"/>
      <c r="N1633" s="15"/>
    </row>
    <row r="1634" spans="10:14" x14ac:dyDescent="0.15">
      <c r="J1634" s="15"/>
      <c r="K1634" s="15"/>
      <c r="L1634" s="15"/>
      <c r="M1634" s="15"/>
      <c r="N1634" s="15"/>
    </row>
    <row r="1635" spans="10:14" x14ac:dyDescent="0.15">
      <c r="J1635" s="15"/>
      <c r="K1635" s="15"/>
      <c r="L1635" s="15"/>
      <c r="M1635" s="15"/>
      <c r="N1635" s="15"/>
    </row>
    <row r="1636" spans="10:14" x14ac:dyDescent="0.15">
      <c r="J1636" s="15"/>
      <c r="K1636" s="15"/>
      <c r="L1636" s="15"/>
      <c r="M1636" s="15"/>
      <c r="N1636" s="15"/>
    </row>
    <row r="1637" spans="10:14" x14ac:dyDescent="0.15">
      <c r="J1637" s="15"/>
      <c r="K1637" s="15"/>
      <c r="L1637" s="15"/>
      <c r="M1637" s="15"/>
      <c r="N1637" s="15"/>
    </row>
    <row r="1638" spans="10:14" x14ac:dyDescent="0.15">
      <c r="J1638" s="15"/>
      <c r="K1638" s="15"/>
      <c r="L1638" s="15"/>
      <c r="M1638" s="15"/>
      <c r="N1638" s="15"/>
    </row>
    <row r="1639" spans="10:14" x14ac:dyDescent="0.15">
      <c r="J1639" s="15"/>
      <c r="K1639" s="15"/>
      <c r="L1639" s="15"/>
      <c r="M1639" s="15"/>
      <c r="N1639" s="15"/>
    </row>
    <row r="1640" spans="10:14" x14ac:dyDescent="0.15">
      <c r="J1640" s="15"/>
      <c r="K1640" s="15"/>
      <c r="L1640" s="15"/>
      <c r="M1640" s="15"/>
      <c r="N1640" s="15"/>
    </row>
    <row r="1641" spans="10:14" x14ac:dyDescent="0.15">
      <c r="J1641" s="15"/>
      <c r="K1641" s="15"/>
      <c r="L1641" s="15"/>
      <c r="M1641" s="15"/>
      <c r="N1641" s="15"/>
    </row>
    <row r="1642" spans="10:14" x14ac:dyDescent="0.15">
      <c r="J1642" s="15"/>
      <c r="K1642" s="15"/>
      <c r="L1642" s="15"/>
      <c r="M1642" s="15"/>
      <c r="N1642" s="15"/>
    </row>
    <row r="1643" spans="10:14" x14ac:dyDescent="0.15">
      <c r="J1643" s="15"/>
      <c r="K1643" s="15"/>
      <c r="L1643" s="15"/>
      <c r="M1643" s="15"/>
      <c r="N1643" s="15"/>
    </row>
    <row r="1644" spans="10:14" x14ac:dyDescent="0.15">
      <c r="J1644" s="15"/>
      <c r="K1644" s="15"/>
      <c r="L1644" s="15"/>
      <c r="M1644" s="15"/>
      <c r="N1644" s="15"/>
    </row>
    <row r="1645" spans="10:14" x14ac:dyDescent="0.15">
      <c r="J1645" s="15"/>
      <c r="K1645" s="15"/>
      <c r="L1645" s="15"/>
      <c r="M1645" s="15"/>
      <c r="N1645" s="15"/>
    </row>
    <row r="1646" spans="10:14" x14ac:dyDescent="0.15">
      <c r="J1646" s="15"/>
      <c r="K1646" s="15"/>
      <c r="L1646" s="15"/>
      <c r="M1646" s="15"/>
      <c r="N1646" s="15"/>
    </row>
    <row r="1647" spans="10:14" x14ac:dyDescent="0.15">
      <c r="J1647" s="15"/>
      <c r="K1647" s="15"/>
      <c r="L1647" s="15"/>
      <c r="M1647" s="15"/>
      <c r="N1647" s="15"/>
    </row>
    <row r="1648" spans="10:14" x14ac:dyDescent="0.15">
      <c r="J1648" s="15"/>
      <c r="K1648" s="15"/>
      <c r="L1648" s="15"/>
      <c r="M1648" s="15"/>
      <c r="N1648" s="15"/>
    </row>
    <row r="1649" spans="10:14" x14ac:dyDescent="0.15">
      <c r="J1649" s="15"/>
      <c r="K1649" s="15"/>
      <c r="L1649" s="15"/>
      <c r="M1649" s="15"/>
      <c r="N1649" s="15"/>
    </row>
    <row r="1650" spans="10:14" x14ac:dyDescent="0.15">
      <c r="J1650" s="15"/>
      <c r="K1650" s="15"/>
      <c r="L1650" s="15"/>
      <c r="M1650" s="15"/>
      <c r="N1650" s="15"/>
    </row>
    <row r="1651" spans="10:14" x14ac:dyDescent="0.15">
      <c r="J1651" s="15"/>
      <c r="K1651" s="15"/>
      <c r="L1651" s="15"/>
      <c r="M1651" s="15"/>
      <c r="N1651" s="15"/>
    </row>
    <row r="1652" spans="10:14" x14ac:dyDescent="0.15">
      <c r="J1652" s="15"/>
      <c r="K1652" s="15"/>
      <c r="L1652" s="15"/>
      <c r="M1652" s="15"/>
      <c r="N1652" s="15"/>
    </row>
    <row r="1653" spans="10:14" x14ac:dyDescent="0.15">
      <c r="J1653" s="15"/>
      <c r="K1653" s="15"/>
      <c r="L1653" s="15"/>
      <c r="M1653" s="15"/>
      <c r="N1653" s="15"/>
    </row>
    <row r="1654" spans="10:14" x14ac:dyDescent="0.15">
      <c r="J1654" s="15"/>
      <c r="K1654" s="15"/>
      <c r="L1654" s="15"/>
      <c r="M1654" s="15"/>
      <c r="N1654" s="15"/>
    </row>
    <row r="1655" spans="10:14" x14ac:dyDescent="0.15">
      <c r="J1655" s="15"/>
      <c r="K1655" s="15"/>
      <c r="L1655" s="15"/>
      <c r="M1655" s="15"/>
      <c r="N1655" s="15"/>
    </row>
    <row r="1656" spans="10:14" x14ac:dyDescent="0.15">
      <c r="J1656" s="15"/>
      <c r="K1656" s="15"/>
      <c r="L1656" s="15"/>
      <c r="M1656" s="15"/>
      <c r="N1656" s="15"/>
    </row>
    <row r="1657" spans="10:14" x14ac:dyDescent="0.15">
      <c r="J1657" s="15"/>
      <c r="K1657" s="15"/>
      <c r="L1657" s="15"/>
      <c r="M1657" s="15"/>
      <c r="N1657" s="15"/>
    </row>
    <row r="1658" spans="10:14" x14ac:dyDescent="0.15">
      <c r="J1658" s="15"/>
      <c r="K1658" s="15"/>
      <c r="L1658" s="15"/>
      <c r="M1658" s="15"/>
      <c r="N1658" s="15"/>
    </row>
    <row r="1659" spans="10:14" x14ac:dyDescent="0.15">
      <c r="J1659" s="15"/>
      <c r="K1659" s="15"/>
      <c r="L1659" s="15"/>
      <c r="M1659" s="15"/>
      <c r="N1659" s="15"/>
    </row>
    <row r="1660" spans="10:14" x14ac:dyDescent="0.15">
      <c r="J1660" s="15"/>
      <c r="K1660" s="15"/>
      <c r="L1660" s="15"/>
      <c r="M1660" s="15"/>
      <c r="N1660" s="15"/>
    </row>
    <row r="1661" spans="10:14" x14ac:dyDescent="0.15">
      <c r="J1661" s="15"/>
      <c r="K1661" s="15"/>
      <c r="L1661" s="15"/>
      <c r="M1661" s="15"/>
      <c r="N1661" s="15"/>
    </row>
    <row r="1662" spans="10:14" x14ac:dyDescent="0.15">
      <c r="J1662" s="15"/>
      <c r="K1662" s="15"/>
      <c r="L1662" s="15"/>
      <c r="M1662" s="15"/>
      <c r="N1662" s="15"/>
    </row>
    <row r="1663" spans="10:14" x14ac:dyDescent="0.15">
      <c r="J1663" s="15"/>
      <c r="K1663" s="15"/>
      <c r="L1663" s="15"/>
      <c r="M1663" s="15"/>
      <c r="N1663" s="15"/>
    </row>
    <row r="1664" spans="10:14" x14ac:dyDescent="0.15">
      <c r="J1664" s="15"/>
      <c r="K1664" s="15"/>
      <c r="L1664" s="15"/>
      <c r="M1664" s="15"/>
      <c r="N1664" s="15"/>
    </row>
    <row r="1665" spans="10:14" x14ac:dyDescent="0.15">
      <c r="J1665" s="15"/>
      <c r="K1665" s="15"/>
      <c r="L1665" s="15"/>
      <c r="M1665" s="15"/>
      <c r="N1665" s="15"/>
    </row>
    <row r="1666" spans="10:14" x14ac:dyDescent="0.15">
      <c r="J1666" s="15"/>
      <c r="K1666" s="15"/>
      <c r="L1666" s="15"/>
      <c r="M1666" s="15"/>
      <c r="N1666" s="15"/>
    </row>
    <row r="1667" spans="10:14" x14ac:dyDescent="0.15">
      <c r="J1667" s="15"/>
      <c r="K1667" s="15"/>
      <c r="L1667" s="15"/>
      <c r="M1667" s="15"/>
      <c r="N1667" s="15"/>
    </row>
    <row r="1668" spans="10:14" x14ac:dyDescent="0.15">
      <c r="J1668" s="15"/>
      <c r="K1668" s="15"/>
      <c r="L1668" s="15"/>
      <c r="M1668" s="15"/>
      <c r="N1668" s="15"/>
    </row>
    <row r="1669" spans="10:14" x14ac:dyDescent="0.15">
      <c r="J1669" s="15"/>
      <c r="K1669" s="15"/>
      <c r="L1669" s="15"/>
      <c r="M1669" s="15"/>
      <c r="N1669" s="15"/>
    </row>
    <row r="1670" spans="10:14" x14ac:dyDescent="0.15">
      <c r="J1670" s="15"/>
      <c r="K1670" s="15"/>
      <c r="L1670" s="15"/>
      <c r="M1670" s="15"/>
      <c r="N1670" s="15"/>
    </row>
    <row r="1671" spans="10:14" x14ac:dyDescent="0.15">
      <c r="J1671" s="15"/>
      <c r="K1671" s="15"/>
      <c r="L1671" s="15"/>
      <c r="M1671" s="15"/>
      <c r="N1671" s="15"/>
    </row>
    <row r="1672" spans="10:14" x14ac:dyDescent="0.15">
      <c r="J1672" s="15"/>
      <c r="K1672" s="15"/>
      <c r="L1672" s="15"/>
      <c r="M1672" s="15"/>
      <c r="N1672" s="15"/>
    </row>
    <row r="1673" spans="10:14" x14ac:dyDescent="0.15">
      <c r="J1673" s="15"/>
      <c r="K1673" s="15"/>
      <c r="L1673" s="15"/>
      <c r="M1673" s="15"/>
      <c r="N1673" s="15"/>
    </row>
    <row r="1674" spans="10:14" x14ac:dyDescent="0.15">
      <c r="J1674" s="15"/>
      <c r="K1674" s="15"/>
      <c r="L1674" s="15"/>
      <c r="M1674" s="15"/>
      <c r="N1674" s="15"/>
    </row>
    <row r="1675" spans="10:14" x14ac:dyDescent="0.15">
      <c r="J1675" s="15"/>
      <c r="K1675" s="15"/>
      <c r="L1675" s="15"/>
      <c r="M1675" s="15"/>
      <c r="N1675" s="15"/>
    </row>
    <row r="1676" spans="10:14" x14ac:dyDescent="0.15">
      <c r="J1676" s="15"/>
      <c r="K1676" s="15"/>
      <c r="L1676" s="15"/>
      <c r="M1676" s="15"/>
      <c r="N1676" s="15"/>
    </row>
    <row r="1677" spans="10:14" x14ac:dyDescent="0.15">
      <c r="J1677" s="15"/>
      <c r="K1677" s="15"/>
      <c r="L1677" s="15"/>
      <c r="M1677" s="15"/>
      <c r="N1677" s="15"/>
    </row>
    <row r="1678" spans="10:14" x14ac:dyDescent="0.15">
      <c r="J1678" s="15"/>
      <c r="K1678" s="15"/>
      <c r="L1678" s="15"/>
      <c r="M1678" s="15"/>
      <c r="N1678" s="15"/>
    </row>
    <row r="1679" spans="10:14" x14ac:dyDescent="0.15">
      <c r="J1679" s="15"/>
      <c r="K1679" s="15"/>
      <c r="L1679" s="15"/>
      <c r="M1679" s="15"/>
      <c r="N1679" s="15"/>
    </row>
    <row r="1680" spans="10:14" x14ac:dyDescent="0.15">
      <c r="J1680" s="15"/>
      <c r="K1680" s="15"/>
      <c r="L1680" s="15"/>
      <c r="M1680" s="15"/>
      <c r="N1680" s="15"/>
    </row>
    <row r="1681" spans="10:14" x14ac:dyDescent="0.15">
      <c r="J1681" s="15"/>
      <c r="K1681" s="15"/>
      <c r="L1681" s="15"/>
      <c r="M1681" s="15"/>
      <c r="N1681" s="15"/>
    </row>
    <row r="1682" spans="10:14" x14ac:dyDescent="0.15">
      <c r="J1682" s="15"/>
      <c r="K1682" s="15"/>
      <c r="L1682" s="15"/>
      <c r="M1682" s="15"/>
      <c r="N1682" s="15"/>
    </row>
    <row r="1683" spans="10:14" x14ac:dyDescent="0.15">
      <c r="J1683" s="15"/>
      <c r="K1683" s="15"/>
      <c r="L1683" s="15"/>
      <c r="M1683" s="15"/>
      <c r="N1683" s="15"/>
    </row>
    <row r="1684" spans="10:14" x14ac:dyDescent="0.15">
      <c r="J1684" s="15"/>
      <c r="K1684" s="15"/>
      <c r="L1684" s="15"/>
      <c r="M1684" s="15"/>
      <c r="N1684" s="15"/>
    </row>
    <row r="1685" spans="10:14" x14ac:dyDescent="0.15">
      <c r="J1685" s="15"/>
      <c r="K1685" s="15"/>
      <c r="L1685" s="15"/>
      <c r="M1685" s="15"/>
      <c r="N1685" s="15"/>
    </row>
    <row r="1686" spans="10:14" x14ac:dyDescent="0.15">
      <c r="J1686" s="15"/>
      <c r="K1686" s="15"/>
      <c r="L1686" s="15"/>
      <c r="M1686" s="15"/>
      <c r="N1686" s="15"/>
    </row>
    <row r="1687" spans="10:14" x14ac:dyDescent="0.15">
      <c r="J1687" s="15"/>
      <c r="K1687" s="15"/>
      <c r="L1687" s="15"/>
      <c r="M1687" s="15"/>
      <c r="N1687" s="15"/>
    </row>
    <row r="1688" spans="10:14" x14ac:dyDescent="0.15">
      <c r="J1688" s="15"/>
      <c r="K1688" s="15"/>
      <c r="L1688" s="15"/>
      <c r="M1688" s="15"/>
      <c r="N1688" s="15"/>
    </row>
    <row r="1689" spans="10:14" x14ac:dyDescent="0.15">
      <c r="J1689" s="15"/>
      <c r="K1689" s="15"/>
      <c r="L1689" s="15"/>
      <c r="M1689" s="15"/>
      <c r="N1689" s="15"/>
    </row>
    <row r="1690" spans="10:14" x14ac:dyDescent="0.15">
      <c r="J1690" s="15"/>
      <c r="K1690" s="15"/>
      <c r="L1690" s="15"/>
      <c r="M1690" s="15"/>
      <c r="N1690" s="15"/>
    </row>
    <row r="1691" spans="10:14" x14ac:dyDescent="0.15">
      <c r="J1691" s="15"/>
      <c r="K1691" s="15"/>
      <c r="L1691" s="15"/>
      <c r="M1691" s="15"/>
      <c r="N1691" s="15"/>
    </row>
    <row r="1692" spans="10:14" x14ac:dyDescent="0.15">
      <c r="J1692" s="15"/>
      <c r="K1692" s="15"/>
      <c r="L1692" s="15"/>
      <c r="M1692" s="15"/>
      <c r="N1692" s="15"/>
    </row>
    <row r="1693" spans="10:14" x14ac:dyDescent="0.15">
      <c r="J1693" s="15"/>
      <c r="K1693" s="15"/>
      <c r="L1693" s="15"/>
      <c r="M1693" s="15"/>
      <c r="N1693" s="15"/>
    </row>
    <row r="1694" spans="10:14" x14ac:dyDescent="0.15">
      <c r="J1694" s="15"/>
      <c r="K1694" s="15"/>
      <c r="L1694" s="15"/>
      <c r="M1694" s="15"/>
      <c r="N1694" s="15"/>
    </row>
    <row r="1695" spans="10:14" x14ac:dyDescent="0.15">
      <c r="J1695" s="15"/>
      <c r="K1695" s="15"/>
      <c r="L1695" s="15"/>
      <c r="M1695" s="15"/>
      <c r="N1695" s="15"/>
    </row>
    <row r="1696" spans="10:14" x14ac:dyDescent="0.15">
      <c r="J1696" s="15"/>
      <c r="K1696" s="15"/>
      <c r="L1696" s="15"/>
      <c r="M1696" s="15"/>
      <c r="N1696" s="15"/>
    </row>
    <row r="1697" spans="10:14" x14ac:dyDescent="0.15">
      <c r="J1697" s="15"/>
      <c r="K1697" s="15"/>
      <c r="L1697" s="15"/>
      <c r="M1697" s="15"/>
      <c r="N1697" s="15"/>
    </row>
    <row r="1698" spans="10:14" x14ac:dyDescent="0.15">
      <c r="J1698" s="15"/>
      <c r="K1698" s="15"/>
      <c r="L1698" s="15"/>
      <c r="M1698" s="15"/>
      <c r="N1698" s="15"/>
    </row>
    <row r="1699" spans="10:14" x14ac:dyDescent="0.15">
      <c r="J1699" s="15"/>
      <c r="K1699" s="15"/>
      <c r="L1699" s="15"/>
      <c r="M1699" s="15"/>
      <c r="N1699" s="15"/>
    </row>
    <row r="1700" spans="10:14" x14ac:dyDescent="0.15">
      <c r="J1700" s="15"/>
      <c r="K1700" s="15"/>
      <c r="L1700" s="15"/>
      <c r="M1700" s="15"/>
      <c r="N1700" s="15"/>
    </row>
    <row r="1701" spans="10:14" x14ac:dyDescent="0.15">
      <c r="J1701" s="15"/>
      <c r="K1701" s="15"/>
      <c r="L1701" s="15"/>
      <c r="M1701" s="15"/>
      <c r="N1701" s="15"/>
    </row>
    <row r="1702" spans="10:14" x14ac:dyDescent="0.15">
      <c r="J1702" s="15"/>
      <c r="K1702" s="15"/>
      <c r="L1702" s="15"/>
      <c r="M1702" s="15"/>
      <c r="N1702" s="15"/>
    </row>
    <row r="1703" spans="10:14" x14ac:dyDescent="0.15">
      <c r="J1703" s="15"/>
      <c r="K1703" s="15"/>
      <c r="L1703" s="15"/>
      <c r="M1703" s="15"/>
      <c r="N1703" s="15"/>
    </row>
    <row r="1704" spans="10:14" x14ac:dyDescent="0.15">
      <c r="J1704" s="15"/>
      <c r="K1704" s="15"/>
      <c r="L1704" s="15"/>
      <c r="M1704" s="15"/>
      <c r="N1704" s="15"/>
    </row>
    <row r="1705" spans="10:14" x14ac:dyDescent="0.15">
      <c r="J1705" s="15"/>
      <c r="K1705" s="15"/>
      <c r="L1705" s="15"/>
      <c r="M1705" s="15"/>
      <c r="N1705" s="15"/>
    </row>
    <row r="1706" spans="10:14" x14ac:dyDescent="0.15">
      <c r="J1706" s="15"/>
      <c r="K1706" s="15"/>
      <c r="L1706" s="15"/>
      <c r="M1706" s="15"/>
      <c r="N1706" s="15"/>
    </row>
    <row r="1707" spans="10:14" x14ac:dyDescent="0.15">
      <c r="J1707" s="15"/>
      <c r="K1707" s="15"/>
      <c r="L1707" s="15"/>
      <c r="M1707" s="15"/>
      <c r="N1707" s="15"/>
    </row>
    <row r="1708" spans="10:14" x14ac:dyDescent="0.15">
      <c r="J1708" s="15"/>
      <c r="K1708" s="15"/>
      <c r="L1708" s="15"/>
      <c r="M1708" s="15"/>
      <c r="N1708" s="15"/>
    </row>
    <row r="1709" spans="10:14" x14ac:dyDescent="0.15">
      <c r="J1709" s="15"/>
      <c r="K1709" s="15"/>
      <c r="L1709" s="15"/>
      <c r="M1709" s="15"/>
      <c r="N1709" s="15"/>
    </row>
    <row r="1710" spans="10:14" x14ac:dyDescent="0.15">
      <c r="J1710" s="15"/>
      <c r="K1710" s="15"/>
      <c r="L1710" s="15"/>
      <c r="M1710" s="15"/>
      <c r="N1710" s="15"/>
    </row>
    <row r="1711" spans="10:14" x14ac:dyDescent="0.15">
      <c r="J1711" s="15"/>
      <c r="K1711" s="15"/>
      <c r="L1711" s="15"/>
      <c r="M1711" s="15"/>
      <c r="N1711" s="15"/>
    </row>
    <row r="1712" spans="10:14" x14ac:dyDescent="0.15">
      <c r="J1712" s="15"/>
      <c r="K1712" s="15"/>
      <c r="L1712" s="15"/>
      <c r="M1712" s="15"/>
      <c r="N1712" s="15"/>
    </row>
    <row r="1713" spans="10:14" x14ac:dyDescent="0.15">
      <c r="J1713" s="15"/>
      <c r="K1713" s="15"/>
      <c r="L1713" s="15"/>
      <c r="M1713" s="15"/>
      <c r="N1713" s="15"/>
    </row>
    <row r="1714" spans="10:14" x14ac:dyDescent="0.15">
      <c r="J1714" s="15"/>
      <c r="K1714" s="15"/>
      <c r="L1714" s="15"/>
      <c r="M1714" s="15"/>
      <c r="N1714" s="15"/>
    </row>
    <row r="1715" spans="10:14" x14ac:dyDescent="0.15">
      <c r="J1715" s="15"/>
      <c r="K1715" s="15"/>
      <c r="L1715" s="15"/>
      <c r="M1715" s="15"/>
      <c r="N1715" s="15"/>
    </row>
    <row r="1716" spans="10:14" x14ac:dyDescent="0.15">
      <c r="J1716" s="15"/>
      <c r="K1716" s="15"/>
      <c r="L1716" s="15"/>
      <c r="M1716" s="15"/>
      <c r="N1716" s="15"/>
    </row>
    <row r="1717" spans="10:14" x14ac:dyDescent="0.15">
      <c r="J1717" s="15"/>
      <c r="K1717" s="15"/>
      <c r="L1717" s="15"/>
      <c r="M1717" s="15"/>
      <c r="N1717" s="15"/>
    </row>
    <row r="1718" spans="10:14" x14ac:dyDescent="0.15">
      <c r="J1718" s="15"/>
      <c r="K1718" s="15"/>
      <c r="L1718" s="15"/>
      <c r="M1718" s="15"/>
      <c r="N1718" s="15"/>
    </row>
    <row r="1719" spans="10:14" x14ac:dyDescent="0.15">
      <c r="J1719" s="15"/>
      <c r="K1719" s="15"/>
      <c r="L1719" s="15"/>
      <c r="M1719" s="15"/>
      <c r="N1719" s="15"/>
    </row>
    <row r="1720" spans="10:14" x14ac:dyDescent="0.15">
      <c r="J1720" s="15"/>
      <c r="K1720" s="15"/>
      <c r="L1720" s="15"/>
      <c r="M1720" s="15"/>
      <c r="N1720" s="15"/>
    </row>
    <row r="1721" spans="10:14" x14ac:dyDescent="0.15">
      <c r="J1721" s="15"/>
      <c r="K1721" s="15"/>
      <c r="L1721" s="15"/>
      <c r="M1721" s="15"/>
      <c r="N1721" s="15"/>
    </row>
    <row r="1722" spans="10:14" x14ac:dyDescent="0.15">
      <c r="J1722" s="15"/>
      <c r="K1722" s="15"/>
      <c r="L1722" s="15"/>
      <c r="M1722" s="15"/>
      <c r="N1722" s="15"/>
    </row>
    <row r="1723" spans="10:14" x14ac:dyDescent="0.15">
      <c r="J1723" s="15"/>
      <c r="K1723" s="15"/>
      <c r="L1723" s="15"/>
      <c r="M1723" s="15"/>
      <c r="N1723" s="15"/>
    </row>
    <row r="1724" spans="10:14" x14ac:dyDescent="0.15">
      <c r="J1724" s="15"/>
      <c r="K1724" s="15"/>
      <c r="L1724" s="15"/>
      <c r="M1724" s="15"/>
      <c r="N1724" s="15"/>
    </row>
    <row r="1725" spans="10:14" x14ac:dyDescent="0.15">
      <c r="J1725" s="15"/>
      <c r="K1725" s="15"/>
      <c r="L1725" s="15"/>
      <c r="M1725" s="15"/>
      <c r="N1725" s="15"/>
    </row>
    <row r="1726" spans="10:14" x14ac:dyDescent="0.15">
      <c r="J1726" s="15"/>
      <c r="K1726" s="15"/>
      <c r="L1726" s="15"/>
      <c r="M1726" s="15"/>
      <c r="N1726" s="15"/>
    </row>
    <row r="1727" spans="10:14" x14ac:dyDescent="0.15">
      <c r="J1727" s="15"/>
      <c r="K1727" s="15"/>
      <c r="L1727" s="15"/>
      <c r="M1727" s="15"/>
      <c r="N1727" s="15"/>
    </row>
    <row r="1728" spans="10:14" x14ac:dyDescent="0.15">
      <c r="J1728" s="15"/>
      <c r="K1728" s="15"/>
      <c r="L1728" s="15"/>
      <c r="M1728" s="15"/>
      <c r="N1728" s="15"/>
    </row>
    <row r="1729" spans="10:14" x14ac:dyDescent="0.15">
      <c r="J1729" s="15"/>
      <c r="K1729" s="15"/>
      <c r="L1729" s="15"/>
      <c r="M1729" s="15"/>
      <c r="N1729" s="15"/>
    </row>
    <row r="1730" spans="10:14" x14ac:dyDescent="0.15">
      <c r="J1730" s="15"/>
      <c r="K1730" s="15"/>
      <c r="L1730" s="15"/>
      <c r="M1730" s="15"/>
      <c r="N1730" s="15"/>
    </row>
    <row r="1731" spans="10:14" x14ac:dyDescent="0.15">
      <c r="J1731" s="15"/>
      <c r="K1731" s="15"/>
      <c r="L1731" s="15"/>
      <c r="M1731" s="15"/>
      <c r="N1731" s="15"/>
    </row>
    <row r="1732" spans="10:14" x14ac:dyDescent="0.15">
      <c r="J1732" s="15"/>
      <c r="K1732" s="15"/>
      <c r="L1732" s="15"/>
      <c r="M1732" s="15"/>
      <c r="N1732" s="15"/>
    </row>
    <row r="1733" spans="10:14" x14ac:dyDescent="0.15">
      <c r="J1733" s="15"/>
      <c r="K1733" s="15"/>
      <c r="L1733" s="15"/>
      <c r="M1733" s="15"/>
      <c r="N1733" s="15"/>
    </row>
    <row r="1734" spans="10:14" x14ac:dyDescent="0.15">
      <c r="J1734" s="15"/>
      <c r="K1734" s="15"/>
      <c r="L1734" s="15"/>
      <c r="M1734" s="15"/>
      <c r="N1734" s="15"/>
    </row>
    <row r="1735" spans="10:14" x14ac:dyDescent="0.15">
      <c r="J1735" s="15"/>
      <c r="K1735" s="15"/>
      <c r="L1735" s="15"/>
      <c r="M1735" s="15"/>
      <c r="N1735" s="15"/>
    </row>
    <row r="1736" spans="10:14" x14ac:dyDescent="0.15">
      <c r="J1736" s="15"/>
      <c r="K1736" s="15"/>
      <c r="L1736" s="15"/>
      <c r="M1736" s="15"/>
      <c r="N1736" s="15"/>
    </row>
    <row r="1737" spans="10:14" x14ac:dyDescent="0.15">
      <c r="J1737" s="15"/>
      <c r="K1737" s="15"/>
      <c r="L1737" s="15"/>
      <c r="M1737" s="15"/>
      <c r="N1737" s="15"/>
    </row>
    <row r="1738" spans="10:14" x14ac:dyDescent="0.15">
      <c r="J1738" s="15"/>
      <c r="K1738" s="15"/>
      <c r="L1738" s="15"/>
      <c r="M1738" s="15"/>
      <c r="N1738" s="15"/>
    </row>
    <row r="1739" spans="10:14" x14ac:dyDescent="0.15">
      <c r="J1739" s="15"/>
      <c r="K1739" s="15"/>
      <c r="L1739" s="15"/>
      <c r="M1739" s="15"/>
      <c r="N1739" s="15"/>
    </row>
    <row r="1740" spans="10:14" x14ac:dyDescent="0.15">
      <c r="J1740" s="15"/>
      <c r="K1740" s="15"/>
      <c r="L1740" s="15"/>
      <c r="M1740" s="15"/>
      <c r="N1740" s="15"/>
    </row>
    <row r="1741" spans="10:14" x14ac:dyDescent="0.15">
      <c r="J1741" s="15"/>
      <c r="K1741" s="15"/>
      <c r="L1741" s="15"/>
      <c r="M1741" s="15"/>
      <c r="N1741" s="15"/>
    </row>
    <row r="1742" spans="10:14" x14ac:dyDescent="0.15">
      <c r="J1742" s="15"/>
      <c r="K1742" s="15"/>
      <c r="L1742" s="15"/>
      <c r="M1742" s="15"/>
      <c r="N1742" s="15"/>
    </row>
    <row r="1743" spans="10:14" x14ac:dyDescent="0.15">
      <c r="J1743" s="15"/>
      <c r="K1743" s="15"/>
      <c r="L1743" s="15"/>
      <c r="M1743" s="15"/>
      <c r="N1743" s="15"/>
    </row>
    <row r="1744" spans="10:14" x14ac:dyDescent="0.15">
      <c r="J1744" s="15"/>
      <c r="K1744" s="15"/>
      <c r="L1744" s="15"/>
      <c r="M1744" s="15"/>
      <c r="N1744" s="15"/>
    </row>
    <row r="1745" spans="10:14" x14ac:dyDescent="0.15">
      <c r="J1745" s="15"/>
      <c r="K1745" s="15"/>
      <c r="L1745" s="15"/>
      <c r="M1745" s="15"/>
      <c r="N1745" s="15"/>
    </row>
    <row r="1746" spans="10:14" x14ac:dyDescent="0.15">
      <c r="J1746" s="15"/>
      <c r="K1746" s="15"/>
      <c r="L1746" s="15"/>
      <c r="M1746" s="15"/>
      <c r="N1746" s="15"/>
    </row>
    <row r="1747" spans="10:14" x14ac:dyDescent="0.15">
      <c r="J1747" s="15"/>
      <c r="K1747" s="15"/>
      <c r="L1747" s="15"/>
      <c r="M1747" s="15"/>
      <c r="N1747" s="15"/>
    </row>
    <row r="1748" spans="10:14" x14ac:dyDescent="0.15">
      <c r="J1748" s="15"/>
      <c r="K1748" s="15"/>
      <c r="L1748" s="15"/>
      <c r="M1748" s="15"/>
      <c r="N1748" s="15"/>
    </row>
    <row r="1749" spans="10:14" x14ac:dyDescent="0.15">
      <c r="J1749" s="15"/>
      <c r="K1749" s="15"/>
      <c r="L1749" s="15"/>
      <c r="M1749" s="15"/>
      <c r="N1749" s="15"/>
    </row>
    <row r="1750" spans="10:14" x14ac:dyDescent="0.15">
      <c r="J1750" s="15"/>
      <c r="K1750" s="15"/>
      <c r="L1750" s="15"/>
      <c r="M1750" s="15"/>
      <c r="N1750" s="15"/>
    </row>
    <row r="1751" spans="10:14" x14ac:dyDescent="0.15">
      <c r="J1751" s="15"/>
      <c r="K1751" s="15"/>
      <c r="L1751" s="15"/>
      <c r="M1751" s="15"/>
      <c r="N1751" s="15"/>
    </row>
    <row r="1752" spans="10:14" x14ac:dyDescent="0.15">
      <c r="J1752" s="15"/>
      <c r="K1752" s="15"/>
      <c r="L1752" s="15"/>
      <c r="M1752" s="15"/>
      <c r="N1752" s="15"/>
    </row>
    <row r="1753" spans="10:14" x14ac:dyDescent="0.15">
      <c r="J1753" s="15"/>
      <c r="K1753" s="15"/>
      <c r="L1753" s="15"/>
      <c r="M1753" s="15"/>
      <c r="N1753" s="15"/>
    </row>
    <row r="1754" spans="10:14" x14ac:dyDescent="0.15">
      <c r="J1754" s="15"/>
      <c r="K1754" s="15"/>
      <c r="L1754" s="15"/>
      <c r="M1754" s="15"/>
      <c r="N1754" s="15"/>
    </row>
    <row r="1755" spans="10:14" x14ac:dyDescent="0.15">
      <c r="J1755" s="15"/>
      <c r="K1755" s="15"/>
      <c r="L1755" s="15"/>
      <c r="M1755" s="15"/>
      <c r="N1755" s="15"/>
    </row>
    <row r="1756" spans="10:14" x14ac:dyDescent="0.15">
      <c r="J1756" s="15"/>
      <c r="K1756" s="15"/>
      <c r="L1756" s="15"/>
      <c r="M1756" s="15"/>
      <c r="N1756" s="15"/>
    </row>
    <row r="1757" spans="10:14" x14ac:dyDescent="0.15">
      <c r="J1757" s="15"/>
      <c r="K1757" s="15"/>
      <c r="L1757" s="15"/>
      <c r="M1757" s="15"/>
      <c r="N1757" s="15"/>
    </row>
    <row r="1758" spans="10:14" x14ac:dyDescent="0.15">
      <c r="J1758" s="15"/>
      <c r="K1758" s="15"/>
      <c r="L1758" s="15"/>
      <c r="M1758" s="15"/>
      <c r="N1758" s="15"/>
    </row>
    <row r="1759" spans="10:14" x14ac:dyDescent="0.15">
      <c r="J1759" s="15"/>
      <c r="K1759" s="15"/>
      <c r="L1759" s="15"/>
      <c r="M1759" s="15"/>
      <c r="N1759" s="15"/>
    </row>
    <row r="1760" spans="10:14" x14ac:dyDescent="0.15">
      <c r="J1760" s="15"/>
      <c r="K1760" s="15"/>
      <c r="L1760" s="15"/>
      <c r="M1760" s="15"/>
      <c r="N1760" s="15"/>
    </row>
    <row r="1761" spans="10:14" x14ac:dyDescent="0.15">
      <c r="J1761" s="15"/>
      <c r="K1761" s="15"/>
      <c r="L1761" s="15"/>
      <c r="M1761" s="15"/>
      <c r="N1761" s="15"/>
    </row>
    <row r="1762" spans="10:14" x14ac:dyDescent="0.15">
      <c r="J1762" s="15"/>
      <c r="K1762" s="15"/>
      <c r="L1762" s="15"/>
      <c r="M1762" s="15"/>
      <c r="N1762" s="15"/>
    </row>
    <row r="1763" spans="10:14" x14ac:dyDescent="0.15">
      <c r="J1763" s="15"/>
      <c r="K1763" s="15"/>
      <c r="L1763" s="15"/>
      <c r="M1763" s="15"/>
      <c r="N1763" s="15"/>
    </row>
    <row r="1764" spans="10:14" x14ac:dyDescent="0.15">
      <c r="J1764" s="15"/>
      <c r="K1764" s="15"/>
      <c r="L1764" s="15"/>
      <c r="M1764" s="15"/>
      <c r="N1764" s="15"/>
    </row>
    <row r="1765" spans="10:14" x14ac:dyDescent="0.15">
      <c r="J1765" s="15"/>
      <c r="K1765" s="15"/>
      <c r="L1765" s="15"/>
      <c r="M1765" s="15"/>
      <c r="N1765" s="15"/>
    </row>
    <row r="1766" spans="10:14" x14ac:dyDescent="0.15">
      <c r="J1766" s="15"/>
      <c r="K1766" s="15"/>
      <c r="L1766" s="15"/>
      <c r="M1766" s="15"/>
      <c r="N1766" s="15"/>
    </row>
    <row r="1767" spans="10:14" x14ac:dyDescent="0.15">
      <c r="J1767" s="15"/>
      <c r="K1767" s="15"/>
      <c r="L1767" s="15"/>
      <c r="M1767" s="15"/>
      <c r="N1767" s="15"/>
    </row>
    <row r="1768" spans="10:14" x14ac:dyDescent="0.15">
      <c r="J1768" s="15"/>
      <c r="K1768" s="15"/>
      <c r="L1768" s="15"/>
      <c r="M1768" s="15"/>
      <c r="N1768" s="15"/>
    </row>
    <row r="1769" spans="10:14" x14ac:dyDescent="0.15">
      <c r="J1769" s="15"/>
      <c r="K1769" s="15"/>
      <c r="L1769" s="15"/>
      <c r="M1769" s="15"/>
      <c r="N1769" s="15"/>
    </row>
    <row r="1770" spans="10:14" x14ac:dyDescent="0.15">
      <c r="J1770" s="15"/>
      <c r="K1770" s="15"/>
      <c r="L1770" s="15"/>
      <c r="M1770" s="15"/>
      <c r="N1770" s="15"/>
    </row>
    <row r="1771" spans="10:14" x14ac:dyDescent="0.15">
      <c r="J1771" s="15"/>
      <c r="K1771" s="15"/>
      <c r="L1771" s="15"/>
      <c r="M1771" s="15"/>
      <c r="N1771" s="15"/>
    </row>
    <row r="1772" spans="10:14" x14ac:dyDescent="0.15">
      <c r="J1772" s="15"/>
      <c r="K1772" s="15"/>
      <c r="L1772" s="15"/>
      <c r="M1772" s="15"/>
      <c r="N1772" s="15"/>
    </row>
    <row r="1773" spans="10:14" x14ac:dyDescent="0.15">
      <c r="J1773" s="15"/>
      <c r="K1773" s="15"/>
      <c r="L1773" s="15"/>
      <c r="M1773" s="15"/>
      <c r="N1773" s="15"/>
    </row>
    <row r="1774" spans="10:14" x14ac:dyDescent="0.15">
      <c r="J1774" s="15"/>
      <c r="K1774" s="15"/>
      <c r="L1774" s="15"/>
      <c r="M1774" s="15"/>
      <c r="N1774" s="15"/>
    </row>
    <row r="1775" spans="10:14" x14ac:dyDescent="0.15">
      <c r="J1775" s="15"/>
      <c r="K1775" s="15"/>
      <c r="L1775" s="15"/>
      <c r="M1775" s="15"/>
      <c r="N1775" s="15"/>
    </row>
    <row r="1776" spans="10:14" x14ac:dyDescent="0.15">
      <c r="J1776" s="15"/>
      <c r="K1776" s="15"/>
      <c r="L1776" s="15"/>
      <c r="M1776" s="15"/>
      <c r="N1776" s="15"/>
    </row>
    <row r="1777" spans="2:16" x14ac:dyDescent="0.15">
      <c r="J1777" s="15"/>
      <c r="K1777" s="15"/>
      <c r="L1777" s="15"/>
      <c r="M1777" s="15"/>
      <c r="N1777" s="15"/>
    </row>
    <row r="1778" spans="2:16" x14ac:dyDescent="0.15">
      <c r="J1778" s="15"/>
      <c r="K1778" s="15"/>
      <c r="L1778" s="15"/>
      <c r="M1778" s="15"/>
      <c r="N1778" s="15"/>
    </row>
    <row r="1779" spans="2:16" x14ac:dyDescent="0.15">
      <c r="J1779" s="15"/>
      <c r="K1779" s="15"/>
      <c r="L1779" s="15"/>
      <c r="M1779" s="15"/>
      <c r="N1779" s="15"/>
    </row>
    <row r="1780" spans="2:16" x14ac:dyDescent="0.15">
      <c r="J1780" s="15"/>
      <c r="K1780" s="15"/>
      <c r="L1780" s="15"/>
      <c r="M1780" s="15"/>
      <c r="N1780" s="15"/>
    </row>
    <row r="1781" spans="2:16" x14ac:dyDescent="0.15">
      <c r="J1781" s="15"/>
      <c r="K1781" s="15"/>
      <c r="L1781" s="15"/>
      <c r="M1781" s="15"/>
      <c r="N1781" s="15"/>
    </row>
    <row r="1782" spans="2:16" x14ac:dyDescent="0.15">
      <c r="J1782" s="15"/>
      <c r="K1782" s="15"/>
      <c r="L1782" s="15"/>
      <c r="M1782" s="15"/>
      <c r="N1782" s="15"/>
    </row>
    <row r="1783" spans="2:16" x14ac:dyDescent="0.15">
      <c r="J1783" s="15"/>
      <c r="K1783" s="15"/>
      <c r="L1783" s="15"/>
      <c r="M1783" s="15"/>
      <c r="N1783" s="15"/>
    </row>
    <row r="1784" spans="2:16" x14ac:dyDescent="0.15">
      <c r="J1784" s="15"/>
      <c r="K1784" s="15"/>
      <c r="L1784" s="15"/>
      <c r="M1784" s="15"/>
      <c r="N1784" s="15"/>
    </row>
    <row r="1785" spans="2:16" x14ac:dyDescent="0.15">
      <c r="J1785" s="15"/>
      <c r="K1785" s="15"/>
      <c r="L1785" s="15"/>
      <c r="M1785" s="15"/>
      <c r="N1785" s="15"/>
    </row>
    <row r="1786" spans="2:16" x14ac:dyDescent="0.15">
      <c r="J1786" s="15"/>
      <c r="K1786" s="15"/>
      <c r="L1786" s="15"/>
      <c r="M1786" s="15"/>
      <c r="N1786" s="15"/>
    </row>
    <row r="1787" spans="2:16" x14ac:dyDescent="0.15">
      <c r="J1787" s="15"/>
      <c r="K1787" s="15"/>
      <c r="L1787" s="15"/>
      <c r="M1787" s="15"/>
      <c r="N1787" s="15"/>
    </row>
    <row r="1788" spans="2:16" x14ac:dyDescent="0.15">
      <c r="J1788" s="15"/>
      <c r="K1788" s="15"/>
      <c r="L1788" s="15"/>
      <c r="M1788" s="15"/>
      <c r="N1788" s="15"/>
    </row>
    <row r="1789" spans="2:16" x14ac:dyDescent="0.15">
      <c r="J1789" s="15"/>
      <c r="K1789" s="15"/>
      <c r="L1789" s="15"/>
      <c r="M1789" s="15"/>
      <c r="N1789" s="15"/>
    </row>
    <row r="1790" spans="2:16" x14ac:dyDescent="0.15">
      <c r="J1790" s="15"/>
      <c r="K1790" s="15"/>
      <c r="L1790" s="15"/>
      <c r="M1790" s="15"/>
      <c r="N1790" s="15"/>
    </row>
    <row r="1791" spans="2:16" x14ac:dyDescent="0.15">
      <c r="B1791" s="59"/>
      <c r="C1791" s="60"/>
      <c r="D1791" s="60"/>
      <c r="E1791" s="60"/>
      <c r="F1791" s="60"/>
      <c r="G1791" s="60"/>
      <c r="H1791" s="60"/>
      <c r="I1791" s="59"/>
      <c r="J1791" s="61"/>
      <c r="K1791" s="61"/>
      <c r="L1791" s="61"/>
      <c r="M1791" s="61"/>
      <c r="N1791" s="61"/>
      <c r="O1791" s="60"/>
      <c r="P1791" s="60"/>
    </row>
    <row r="1792" spans="2:16" x14ac:dyDescent="0.15">
      <c r="B1792" s="59"/>
      <c r="C1792" s="60"/>
      <c r="D1792" s="60"/>
      <c r="E1792" s="60"/>
      <c r="F1792" s="60"/>
      <c r="G1792" s="60"/>
      <c r="H1792" s="60"/>
      <c r="I1792" s="59"/>
      <c r="J1792" s="61"/>
      <c r="K1792" s="61"/>
      <c r="L1792" s="61"/>
      <c r="M1792" s="61"/>
      <c r="N1792" s="61"/>
      <c r="O1792" s="60"/>
      <c r="P1792" s="60"/>
    </row>
    <row r="1793" spans="2:16" x14ac:dyDescent="0.15">
      <c r="B1793" s="59"/>
      <c r="C1793" s="60"/>
      <c r="D1793" s="60"/>
      <c r="E1793" s="60"/>
      <c r="F1793" s="60"/>
      <c r="G1793" s="60"/>
      <c r="H1793" s="60"/>
      <c r="I1793" s="59"/>
      <c r="J1793" s="61"/>
      <c r="K1793" s="61"/>
      <c r="L1793" s="61"/>
      <c r="M1793" s="61"/>
      <c r="N1793" s="61"/>
      <c r="O1793" s="60"/>
      <c r="P1793" s="60"/>
    </row>
    <row r="1794" spans="2:16" x14ac:dyDescent="0.15">
      <c r="B1794" s="59"/>
      <c r="C1794" s="60"/>
      <c r="D1794" s="60"/>
      <c r="E1794" s="60"/>
      <c r="F1794" s="60"/>
      <c r="G1794" s="60"/>
      <c r="H1794" s="60"/>
      <c r="I1794" s="59"/>
      <c r="J1794" s="61"/>
      <c r="K1794" s="61"/>
      <c r="L1794" s="61"/>
      <c r="M1794" s="61"/>
      <c r="N1794" s="61"/>
      <c r="O1794" s="60"/>
      <c r="P1794" s="60"/>
    </row>
    <row r="1795" spans="2:16" x14ac:dyDescent="0.15">
      <c r="B1795" s="59"/>
      <c r="C1795" s="60"/>
      <c r="D1795" s="60"/>
      <c r="E1795" s="60"/>
      <c r="F1795" s="60"/>
      <c r="G1795" s="60"/>
      <c r="H1795" s="60"/>
      <c r="I1795" s="59"/>
      <c r="J1795" s="61"/>
      <c r="K1795" s="61"/>
      <c r="L1795" s="61"/>
      <c r="M1795" s="61"/>
      <c r="N1795" s="61"/>
      <c r="O1795" s="60"/>
      <c r="P1795" s="60"/>
    </row>
    <row r="1796" spans="2:16" x14ac:dyDescent="0.15">
      <c r="B1796" s="59"/>
      <c r="C1796" s="60"/>
      <c r="D1796" s="60"/>
      <c r="E1796" s="60"/>
      <c r="F1796" s="60"/>
      <c r="G1796" s="60"/>
      <c r="H1796" s="60"/>
      <c r="I1796" s="59"/>
      <c r="J1796" s="61"/>
      <c r="K1796" s="61"/>
      <c r="L1796" s="61"/>
      <c r="M1796" s="61"/>
      <c r="N1796" s="61"/>
      <c r="O1796" s="60"/>
      <c r="P1796" s="60"/>
    </row>
    <row r="1797" spans="2:16" x14ac:dyDescent="0.15">
      <c r="B1797" s="59"/>
      <c r="C1797" s="60"/>
      <c r="D1797" s="60"/>
      <c r="E1797" s="60"/>
      <c r="F1797" s="60"/>
      <c r="G1797" s="60"/>
      <c r="H1797" s="60"/>
      <c r="I1797" s="59"/>
      <c r="J1797" s="61"/>
      <c r="K1797" s="61"/>
      <c r="L1797" s="61"/>
      <c r="M1797" s="61"/>
      <c r="N1797" s="61"/>
      <c r="O1797" s="60"/>
      <c r="P1797" s="60"/>
    </row>
    <row r="1798" spans="2:16" x14ac:dyDescent="0.15">
      <c r="B1798" s="59"/>
      <c r="C1798" s="60"/>
      <c r="D1798" s="60"/>
      <c r="E1798" s="60"/>
      <c r="F1798" s="60"/>
      <c r="G1798" s="60"/>
      <c r="H1798" s="60"/>
      <c r="I1798" s="59"/>
      <c r="J1798" s="61"/>
      <c r="K1798" s="61"/>
      <c r="L1798" s="61"/>
      <c r="M1798" s="61"/>
      <c r="N1798" s="61"/>
      <c r="O1798" s="60"/>
      <c r="P1798" s="60"/>
    </row>
    <row r="1799" spans="2:16" x14ac:dyDescent="0.15">
      <c r="B1799" s="59"/>
      <c r="C1799" s="60"/>
      <c r="D1799" s="60"/>
      <c r="E1799" s="60"/>
      <c r="F1799" s="60"/>
      <c r="G1799" s="60"/>
      <c r="H1799" s="60"/>
      <c r="I1799" s="59"/>
      <c r="J1799" s="61"/>
      <c r="K1799" s="61"/>
      <c r="L1799" s="61"/>
      <c r="M1799" s="61"/>
      <c r="N1799" s="61"/>
      <c r="O1799" s="60"/>
      <c r="P1799" s="60"/>
    </row>
    <row r="1800" spans="2:16" x14ac:dyDescent="0.15">
      <c r="B1800" s="59"/>
      <c r="C1800" s="60"/>
      <c r="D1800" s="60"/>
      <c r="E1800" s="60"/>
      <c r="F1800" s="60"/>
      <c r="G1800" s="60"/>
      <c r="H1800" s="60"/>
      <c r="I1800" s="59"/>
      <c r="J1800" s="61"/>
      <c r="K1800" s="61"/>
      <c r="L1800" s="61"/>
      <c r="M1800" s="61"/>
      <c r="N1800" s="61"/>
      <c r="O1800" s="60"/>
      <c r="P1800" s="60"/>
    </row>
    <row r="1801" spans="2:16" x14ac:dyDescent="0.15">
      <c r="B1801" s="59"/>
      <c r="C1801" s="60"/>
      <c r="D1801" s="60"/>
      <c r="E1801" s="60"/>
      <c r="F1801" s="60"/>
      <c r="G1801" s="60"/>
      <c r="H1801" s="60"/>
      <c r="I1801" s="59"/>
      <c r="J1801" s="61"/>
      <c r="K1801" s="61"/>
      <c r="L1801" s="61"/>
      <c r="M1801" s="61"/>
      <c r="N1801" s="61"/>
      <c r="O1801" s="60"/>
      <c r="P1801" s="60"/>
    </row>
    <row r="1802" spans="2:16" x14ac:dyDescent="0.15">
      <c r="B1802" s="59"/>
      <c r="C1802" s="60"/>
      <c r="D1802" s="60"/>
      <c r="E1802" s="60"/>
      <c r="F1802" s="60"/>
      <c r="G1802" s="60"/>
      <c r="H1802" s="60"/>
      <c r="I1802" s="59"/>
      <c r="J1802" s="61"/>
      <c r="K1802" s="61"/>
      <c r="L1802" s="61"/>
      <c r="M1802" s="61"/>
      <c r="N1802" s="61"/>
      <c r="O1802" s="60"/>
      <c r="P1802" s="60"/>
    </row>
    <row r="1803" spans="2:16" x14ac:dyDescent="0.15">
      <c r="B1803" s="59"/>
      <c r="C1803" s="60"/>
      <c r="D1803" s="60"/>
      <c r="E1803" s="60"/>
      <c r="F1803" s="60"/>
      <c r="G1803" s="60"/>
      <c r="H1803" s="60"/>
      <c r="I1803" s="59"/>
      <c r="J1803" s="61"/>
      <c r="K1803" s="61"/>
      <c r="L1803" s="61"/>
      <c r="M1803" s="61"/>
      <c r="N1803" s="61"/>
      <c r="O1803" s="60"/>
      <c r="P1803" s="60"/>
    </row>
    <row r="1804" spans="2:16" x14ac:dyDescent="0.15">
      <c r="B1804" s="59"/>
      <c r="C1804" s="60"/>
      <c r="D1804" s="60"/>
      <c r="E1804" s="60"/>
      <c r="F1804" s="60"/>
      <c r="G1804" s="60"/>
      <c r="H1804" s="60"/>
      <c r="I1804" s="59"/>
      <c r="J1804" s="61"/>
      <c r="K1804" s="61"/>
      <c r="L1804" s="61"/>
      <c r="M1804" s="61"/>
      <c r="N1804" s="61"/>
      <c r="O1804" s="60"/>
      <c r="P1804" s="60"/>
    </row>
    <row r="1805" spans="2:16" x14ac:dyDescent="0.15">
      <c r="B1805" s="59"/>
      <c r="C1805" s="60"/>
      <c r="D1805" s="60"/>
      <c r="E1805" s="60"/>
      <c r="F1805" s="60"/>
      <c r="G1805" s="60"/>
      <c r="H1805" s="60"/>
      <c r="I1805" s="59"/>
      <c r="J1805" s="61"/>
      <c r="K1805" s="61"/>
      <c r="L1805" s="61"/>
      <c r="M1805" s="61"/>
      <c r="N1805" s="61"/>
      <c r="O1805" s="60"/>
      <c r="P1805" s="60"/>
    </row>
    <row r="1806" spans="2:16" x14ac:dyDescent="0.15">
      <c r="B1806" s="59"/>
      <c r="C1806" s="60"/>
      <c r="D1806" s="60"/>
      <c r="E1806" s="60"/>
      <c r="F1806" s="60"/>
      <c r="G1806" s="60"/>
      <c r="H1806" s="60"/>
      <c r="I1806" s="59"/>
      <c r="J1806" s="61"/>
      <c r="K1806" s="61"/>
      <c r="L1806" s="61"/>
      <c r="M1806" s="61"/>
      <c r="N1806" s="61"/>
      <c r="O1806" s="60"/>
      <c r="P1806" s="60"/>
    </row>
    <row r="1807" spans="2:16" x14ac:dyDescent="0.15">
      <c r="B1807" s="59"/>
      <c r="C1807" s="60"/>
      <c r="D1807" s="60"/>
      <c r="E1807" s="60"/>
      <c r="F1807" s="60"/>
      <c r="G1807" s="60"/>
      <c r="H1807" s="60"/>
      <c r="I1807" s="59"/>
      <c r="J1807" s="61"/>
      <c r="K1807" s="61"/>
      <c r="L1807" s="61"/>
      <c r="M1807" s="61"/>
      <c r="N1807" s="61"/>
      <c r="O1807" s="60"/>
      <c r="P1807" s="60"/>
    </row>
    <row r="1808" spans="2:16" x14ac:dyDescent="0.15">
      <c r="B1808" s="59"/>
      <c r="C1808" s="60"/>
      <c r="D1808" s="60"/>
      <c r="E1808" s="60"/>
      <c r="F1808" s="60"/>
      <c r="G1808" s="60"/>
      <c r="H1808" s="60"/>
      <c r="I1808" s="59"/>
      <c r="J1808" s="61"/>
      <c r="K1808" s="61"/>
      <c r="L1808" s="61"/>
      <c r="M1808" s="61"/>
      <c r="N1808" s="61"/>
      <c r="O1808" s="60"/>
      <c r="P1808" s="60"/>
    </row>
    <row r="1809" spans="2:16" x14ac:dyDescent="0.15">
      <c r="B1809" s="59"/>
      <c r="C1809" s="60"/>
      <c r="D1809" s="60"/>
      <c r="E1809" s="60"/>
      <c r="F1809" s="60"/>
      <c r="G1809" s="60"/>
      <c r="H1809" s="60"/>
      <c r="I1809" s="59"/>
      <c r="J1809" s="61"/>
      <c r="K1809" s="61"/>
      <c r="L1809" s="61"/>
      <c r="M1809" s="61"/>
      <c r="N1809" s="61"/>
      <c r="O1809" s="60"/>
      <c r="P1809" s="60"/>
    </row>
    <row r="1810" spans="2:16" x14ac:dyDescent="0.15">
      <c r="B1810" s="59"/>
      <c r="C1810" s="60"/>
      <c r="D1810" s="60"/>
      <c r="E1810" s="60"/>
      <c r="F1810" s="60"/>
      <c r="G1810" s="60"/>
      <c r="H1810" s="60"/>
      <c r="I1810" s="59"/>
      <c r="J1810" s="61"/>
      <c r="K1810" s="61"/>
      <c r="L1810" s="61"/>
      <c r="M1810" s="61"/>
      <c r="N1810" s="61"/>
      <c r="O1810" s="60"/>
      <c r="P1810" s="60"/>
    </row>
    <row r="1811" spans="2:16" x14ac:dyDescent="0.15">
      <c r="B1811" s="59"/>
      <c r="C1811" s="60"/>
      <c r="D1811" s="60"/>
      <c r="E1811" s="60"/>
      <c r="F1811" s="60"/>
      <c r="G1811" s="60"/>
      <c r="H1811" s="60"/>
      <c r="I1811" s="59"/>
      <c r="J1811" s="61"/>
      <c r="K1811" s="61"/>
      <c r="L1811" s="61"/>
      <c r="M1811" s="61"/>
      <c r="N1811" s="61"/>
      <c r="O1811" s="60"/>
      <c r="P1811" s="60"/>
    </row>
    <row r="1812" spans="2:16" x14ac:dyDescent="0.15">
      <c r="B1812" s="59"/>
      <c r="C1812" s="60"/>
      <c r="D1812" s="60"/>
      <c r="E1812" s="60"/>
      <c r="F1812" s="60"/>
      <c r="G1812" s="60"/>
      <c r="H1812" s="60"/>
      <c r="I1812" s="59"/>
      <c r="J1812" s="61"/>
      <c r="K1812" s="61"/>
      <c r="L1812" s="61"/>
      <c r="M1812" s="61"/>
      <c r="N1812" s="61"/>
      <c r="O1812" s="60"/>
      <c r="P1812" s="60"/>
    </row>
    <row r="1813" spans="2:16" x14ac:dyDescent="0.15">
      <c r="B1813" s="59"/>
      <c r="C1813" s="60"/>
      <c r="D1813" s="60"/>
      <c r="E1813" s="60"/>
      <c r="F1813" s="60"/>
      <c r="G1813" s="60"/>
      <c r="H1813" s="60"/>
      <c r="I1813" s="59"/>
      <c r="J1813" s="61"/>
      <c r="K1813" s="61"/>
      <c r="L1813" s="61"/>
      <c r="M1813" s="61"/>
      <c r="N1813" s="61"/>
      <c r="O1813" s="60"/>
      <c r="P1813" s="60"/>
    </row>
    <row r="1814" spans="2:16" x14ac:dyDescent="0.15">
      <c r="B1814" s="59"/>
      <c r="C1814" s="60"/>
      <c r="D1814" s="60"/>
      <c r="E1814" s="60"/>
      <c r="F1814" s="60"/>
      <c r="G1814" s="60"/>
      <c r="H1814" s="60"/>
      <c r="I1814" s="59"/>
      <c r="J1814" s="61"/>
      <c r="K1814" s="61"/>
      <c r="L1814" s="61"/>
      <c r="M1814" s="61"/>
      <c r="N1814" s="61"/>
      <c r="O1814" s="60"/>
      <c r="P1814" s="60"/>
    </row>
    <row r="1815" spans="2:16" x14ac:dyDescent="0.15">
      <c r="B1815" s="59"/>
      <c r="C1815" s="60"/>
      <c r="D1815" s="60"/>
      <c r="E1815" s="60"/>
      <c r="F1815" s="60"/>
      <c r="G1815" s="60"/>
      <c r="H1815" s="60"/>
      <c r="I1815" s="59"/>
      <c r="J1815" s="61"/>
      <c r="K1815" s="61"/>
      <c r="L1815" s="61"/>
      <c r="M1815" s="61"/>
      <c r="N1815" s="61"/>
      <c r="O1815" s="60"/>
      <c r="P1815" s="60"/>
    </row>
    <row r="1816" spans="2:16" x14ac:dyDescent="0.15">
      <c r="B1816" s="59"/>
      <c r="C1816" s="60"/>
      <c r="D1816" s="60"/>
      <c r="E1816" s="60"/>
      <c r="F1816" s="60"/>
      <c r="G1816" s="60"/>
      <c r="H1816" s="60"/>
      <c r="I1816" s="59"/>
      <c r="J1816" s="61"/>
      <c r="K1816" s="61"/>
      <c r="L1816" s="61"/>
      <c r="M1816" s="61"/>
      <c r="N1816" s="61"/>
      <c r="O1816" s="60"/>
      <c r="P1816" s="60"/>
    </row>
    <row r="1817" spans="2:16" x14ac:dyDescent="0.15">
      <c r="B1817" s="59"/>
      <c r="C1817" s="60"/>
      <c r="D1817" s="60"/>
      <c r="E1817" s="60"/>
      <c r="F1817" s="60"/>
      <c r="G1817" s="60"/>
      <c r="H1817" s="60"/>
      <c r="I1817" s="59"/>
      <c r="J1817" s="61"/>
      <c r="K1817" s="61"/>
      <c r="L1817" s="61"/>
      <c r="M1817" s="61"/>
      <c r="N1817" s="61"/>
      <c r="O1817" s="60"/>
      <c r="P1817" s="60"/>
    </row>
    <row r="1818" spans="2:16" x14ac:dyDescent="0.15">
      <c r="B1818" s="59"/>
      <c r="C1818" s="60"/>
      <c r="D1818" s="60"/>
      <c r="E1818" s="60"/>
      <c r="F1818" s="60"/>
      <c r="G1818" s="60"/>
      <c r="H1818" s="60"/>
      <c r="I1818" s="59"/>
      <c r="J1818" s="61"/>
      <c r="K1818" s="61"/>
      <c r="L1818" s="61"/>
      <c r="M1818" s="61"/>
      <c r="N1818" s="61"/>
      <c r="O1818" s="60"/>
      <c r="P1818" s="60"/>
    </row>
    <row r="1819" spans="2:16" x14ac:dyDescent="0.15">
      <c r="B1819" s="59"/>
      <c r="C1819" s="60"/>
      <c r="D1819" s="60"/>
      <c r="E1819" s="60"/>
      <c r="F1819" s="60"/>
      <c r="G1819" s="60"/>
      <c r="H1819" s="60"/>
      <c r="I1819" s="59"/>
      <c r="J1819" s="61"/>
      <c r="K1819" s="61"/>
      <c r="L1819" s="61"/>
      <c r="M1819" s="61"/>
      <c r="N1819" s="61"/>
      <c r="O1819" s="60"/>
      <c r="P1819" s="60"/>
    </row>
    <row r="1820" spans="2:16" x14ac:dyDescent="0.15">
      <c r="B1820" s="59"/>
      <c r="C1820" s="60"/>
      <c r="D1820" s="60"/>
      <c r="E1820" s="60"/>
      <c r="F1820" s="60"/>
      <c r="G1820" s="60"/>
      <c r="H1820" s="60"/>
      <c r="I1820" s="59"/>
      <c r="J1820" s="61"/>
      <c r="K1820" s="61"/>
      <c r="L1820" s="61"/>
      <c r="M1820" s="61"/>
      <c r="N1820" s="61"/>
      <c r="O1820" s="60"/>
      <c r="P1820" s="60"/>
    </row>
    <row r="1821" spans="2:16" x14ac:dyDescent="0.15">
      <c r="B1821" s="59"/>
      <c r="C1821" s="60"/>
      <c r="D1821" s="60"/>
      <c r="E1821" s="60"/>
      <c r="F1821" s="60"/>
      <c r="G1821" s="60"/>
      <c r="H1821" s="60"/>
      <c r="I1821" s="59"/>
      <c r="J1821" s="61"/>
      <c r="K1821" s="61"/>
      <c r="L1821" s="61"/>
      <c r="M1821" s="61"/>
      <c r="N1821" s="61"/>
      <c r="O1821" s="60"/>
      <c r="P1821" s="60"/>
    </row>
    <row r="1822" spans="2:16" x14ac:dyDescent="0.15">
      <c r="B1822" s="59"/>
      <c r="C1822" s="60"/>
      <c r="D1822" s="60"/>
      <c r="E1822" s="60"/>
      <c r="F1822" s="60"/>
      <c r="G1822" s="60"/>
      <c r="H1822" s="60"/>
      <c r="I1822" s="59"/>
      <c r="J1822" s="61"/>
      <c r="K1822" s="61"/>
      <c r="L1822" s="61"/>
      <c r="M1822" s="61"/>
      <c r="N1822" s="61"/>
      <c r="O1822" s="60"/>
      <c r="P1822" s="60"/>
    </row>
    <row r="1823" spans="2:16" x14ac:dyDescent="0.15">
      <c r="B1823" s="59"/>
      <c r="C1823" s="60"/>
      <c r="D1823" s="60"/>
      <c r="E1823" s="60"/>
      <c r="F1823" s="60"/>
      <c r="G1823" s="60"/>
      <c r="H1823" s="60"/>
      <c r="I1823" s="59"/>
      <c r="J1823" s="61"/>
      <c r="K1823" s="61"/>
      <c r="L1823" s="61"/>
      <c r="M1823" s="61"/>
      <c r="N1823" s="61"/>
      <c r="O1823" s="60"/>
      <c r="P1823" s="60"/>
    </row>
    <row r="1824" spans="2:16" x14ac:dyDescent="0.15">
      <c r="B1824" s="59"/>
      <c r="C1824" s="60"/>
      <c r="D1824" s="60"/>
      <c r="E1824" s="60"/>
      <c r="F1824" s="60"/>
      <c r="G1824" s="60"/>
      <c r="H1824" s="60"/>
      <c r="I1824" s="59"/>
      <c r="J1824" s="61"/>
      <c r="K1824" s="61"/>
      <c r="L1824" s="61"/>
      <c r="M1824" s="61"/>
      <c r="N1824" s="61"/>
      <c r="O1824" s="60"/>
      <c r="P1824" s="60"/>
    </row>
    <row r="1825" spans="2:16" x14ac:dyDescent="0.15">
      <c r="B1825" s="59"/>
      <c r="C1825" s="60"/>
      <c r="D1825" s="60"/>
      <c r="E1825" s="60"/>
      <c r="F1825" s="60"/>
      <c r="G1825" s="60"/>
      <c r="H1825" s="60"/>
      <c r="I1825" s="59"/>
      <c r="J1825" s="61"/>
      <c r="K1825" s="61"/>
      <c r="L1825" s="61"/>
      <c r="M1825" s="61"/>
      <c r="N1825" s="61"/>
      <c r="O1825" s="60"/>
      <c r="P1825" s="60"/>
    </row>
    <row r="1826" spans="2:16" x14ac:dyDescent="0.15">
      <c r="B1826" s="59"/>
      <c r="C1826" s="60"/>
      <c r="D1826" s="60"/>
      <c r="E1826" s="60"/>
      <c r="F1826" s="60"/>
      <c r="G1826" s="60"/>
      <c r="H1826" s="60"/>
      <c r="I1826" s="59"/>
      <c r="J1826" s="61"/>
      <c r="K1826" s="61"/>
      <c r="L1826" s="61"/>
      <c r="M1826" s="61"/>
      <c r="N1826" s="61"/>
      <c r="O1826" s="60"/>
      <c r="P1826" s="60"/>
    </row>
    <row r="1827" spans="2:16" x14ac:dyDescent="0.15">
      <c r="B1827" s="59"/>
      <c r="C1827" s="60"/>
      <c r="D1827" s="60"/>
      <c r="E1827" s="60"/>
      <c r="F1827" s="60"/>
      <c r="G1827" s="60"/>
      <c r="H1827" s="60"/>
      <c r="I1827" s="59"/>
      <c r="J1827" s="61"/>
      <c r="K1827" s="61"/>
      <c r="L1827" s="61"/>
      <c r="M1827" s="61"/>
      <c r="N1827" s="61"/>
      <c r="O1827" s="60"/>
      <c r="P1827" s="60"/>
    </row>
    <row r="1828" spans="2:16" x14ac:dyDescent="0.15">
      <c r="B1828" s="59"/>
      <c r="C1828" s="60"/>
      <c r="D1828" s="60"/>
      <c r="E1828" s="60"/>
      <c r="F1828" s="60"/>
      <c r="G1828" s="60"/>
      <c r="H1828" s="60"/>
      <c r="I1828" s="59"/>
      <c r="J1828" s="61"/>
      <c r="K1828" s="61"/>
      <c r="L1828" s="61"/>
      <c r="M1828" s="61"/>
      <c r="N1828" s="61"/>
      <c r="O1828" s="60"/>
      <c r="P1828" s="60"/>
    </row>
    <row r="1829" spans="2:16" x14ac:dyDescent="0.15">
      <c r="B1829" s="59"/>
      <c r="C1829" s="60"/>
      <c r="D1829" s="60"/>
      <c r="E1829" s="60"/>
      <c r="F1829" s="60"/>
      <c r="G1829" s="60"/>
      <c r="H1829" s="60"/>
      <c r="I1829" s="59"/>
      <c r="J1829" s="61"/>
      <c r="K1829" s="61"/>
      <c r="L1829" s="61"/>
      <c r="M1829" s="61"/>
      <c r="N1829" s="61"/>
      <c r="O1829" s="60"/>
      <c r="P1829" s="60"/>
    </row>
    <row r="1830" spans="2:16" x14ac:dyDescent="0.15">
      <c r="B1830" s="59"/>
      <c r="C1830" s="60"/>
      <c r="D1830" s="60"/>
      <c r="E1830" s="60"/>
      <c r="F1830" s="60"/>
      <c r="G1830" s="60"/>
      <c r="H1830" s="60"/>
      <c r="I1830" s="59"/>
      <c r="J1830" s="61"/>
      <c r="K1830" s="61"/>
      <c r="L1830" s="61"/>
      <c r="M1830" s="61"/>
      <c r="N1830" s="61"/>
      <c r="O1830" s="60"/>
      <c r="P1830" s="60"/>
    </row>
    <row r="1831" spans="2:16" x14ac:dyDescent="0.15">
      <c r="B1831" s="59"/>
      <c r="C1831" s="60"/>
      <c r="D1831" s="60"/>
      <c r="E1831" s="60"/>
      <c r="F1831" s="60"/>
      <c r="G1831" s="60"/>
      <c r="H1831" s="60"/>
      <c r="I1831" s="59"/>
      <c r="J1831" s="61"/>
      <c r="K1831" s="61"/>
      <c r="L1831" s="61"/>
      <c r="M1831" s="61"/>
      <c r="N1831" s="61"/>
      <c r="O1831" s="60"/>
      <c r="P1831" s="60"/>
    </row>
    <row r="1832" spans="2:16" x14ac:dyDescent="0.15">
      <c r="B1832" s="59"/>
      <c r="C1832" s="60"/>
      <c r="D1832" s="60"/>
      <c r="E1832" s="60"/>
      <c r="F1832" s="60"/>
      <c r="G1832" s="60"/>
      <c r="H1832" s="60"/>
      <c r="I1832" s="59"/>
      <c r="J1832" s="61"/>
      <c r="K1832" s="61"/>
      <c r="L1832" s="61"/>
      <c r="M1832" s="61"/>
      <c r="N1832" s="61"/>
      <c r="O1832" s="60"/>
      <c r="P1832" s="60"/>
    </row>
    <row r="1833" spans="2:16" x14ac:dyDescent="0.15">
      <c r="B1833" s="59"/>
      <c r="C1833" s="60"/>
      <c r="D1833" s="60"/>
      <c r="E1833" s="60"/>
      <c r="F1833" s="60"/>
      <c r="G1833" s="60"/>
      <c r="H1833" s="60"/>
      <c r="I1833" s="59"/>
      <c r="J1833" s="61"/>
      <c r="K1833" s="61"/>
      <c r="L1833" s="61"/>
      <c r="M1833" s="61"/>
      <c r="N1833" s="61"/>
      <c r="O1833" s="60"/>
      <c r="P1833" s="60"/>
    </row>
    <row r="1834" spans="2:16" x14ac:dyDescent="0.15">
      <c r="B1834" s="59"/>
      <c r="C1834" s="60"/>
      <c r="D1834" s="60"/>
      <c r="E1834" s="60"/>
      <c r="F1834" s="60"/>
      <c r="G1834" s="60"/>
      <c r="H1834" s="60"/>
      <c r="I1834" s="59"/>
      <c r="J1834" s="61"/>
      <c r="K1834" s="61"/>
      <c r="L1834" s="61"/>
      <c r="M1834" s="61"/>
      <c r="N1834" s="61"/>
      <c r="O1834" s="60"/>
      <c r="P1834" s="60"/>
    </row>
  </sheetData>
  <sheetProtection formatColumns="0" formatRows="0"/>
  <mergeCells count="5">
    <mergeCell ref="C1:M1"/>
    <mergeCell ref="D7:E7"/>
    <mergeCell ref="K7:L7"/>
    <mergeCell ref="B37:G37"/>
    <mergeCell ref="I37:N37"/>
  </mergeCells>
  <phoneticPr fontId="3" type="noConversion"/>
  <hyperlinks>
    <hyperlink ref="G6" location="'4'!A1" display="上一页"/>
    <hyperlink ref="B6" location="目录!A1" display="目录"/>
    <hyperlink ref="N6" location="目录!A1" display="目录"/>
  </hyperlinks>
  <pageMargins left="0.7" right="0.7" top="0.75" bottom="0.75" header="0.3" footer="0.3"/>
  <pageSetup paperSize="1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33506" r:id="rId4" name="SpinButtonB">
          <controlPr defaultSize="0" autoLine="0" r:id="rId5">
            <anchor moveWithCells="1" siz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33506" r:id="rId4" name="SpinButtonB"/>
      </mc:Fallback>
    </mc:AlternateContent>
    <mc:AlternateContent xmlns:mc="http://schemas.openxmlformats.org/markup-compatibility/2006">
      <mc:Choice Requires="x14">
        <control shapeId="533505" r:id="rId6" name="SpinButtonA">
          <controlPr defaultSize="0" autoLine="0" r:id="rId5">
            <anchor moveWithCells="1" sizeWithCells="1">
              <from>
                <xdr:col>3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33505" r:id="rId6" name="SpinButtonA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63636D"/>
  </sheetPr>
  <dimension ref="A1"/>
  <sheetViews>
    <sheetView workbookViewId="0"/>
  </sheetViews>
  <sheetFormatPr defaultRowHeight="14.25" x14ac:dyDescent="0.15"/>
  <sheetData>
    <row r="1" spans="1:1" x14ac:dyDescent="0.15">
      <c r="A1" s="72" t="s">
        <v>47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目录</vt:lpstr>
      <vt:lpstr>1</vt:lpstr>
      <vt:lpstr>2</vt:lpstr>
      <vt:lpstr>3</vt:lpstr>
      <vt:lpstr>4</vt:lpstr>
      <vt:lpstr>5</vt:lpstr>
      <vt:lpstr>6</vt:lpstr>
      <vt:lpstr>Wind模板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Lei</dc:creator>
  <cp:lastModifiedBy>Cui YongQiang</cp:lastModifiedBy>
  <cp:lastPrinted>2011-06-15T07:35:22Z</cp:lastPrinted>
  <dcterms:created xsi:type="dcterms:W3CDTF">1996-12-17T01:32:42Z</dcterms:created>
  <dcterms:modified xsi:type="dcterms:W3CDTF">2024-06-14T10:18:02Z</dcterms:modified>
</cp:coreProperties>
</file>