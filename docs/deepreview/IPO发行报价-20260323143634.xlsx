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20230727 模板库-更新计划1期\股票\"/>
    </mc:Choice>
  </mc:AlternateContent>
  <bookViews>
    <workbookView xWindow="1035" yWindow="-255" windowWidth="21255" windowHeight="9075"/>
  </bookViews>
  <sheets>
    <sheet name="IPO发行报价" sheetId="12" r:id="rId1"/>
    <sheet name="Wind模板" sheetId="13" state="veryHidden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H8" i="12" l="1"/>
  <c r="BA82" i="12"/>
  <c r="AU28" i="12"/>
  <c r="AU24" i="12"/>
  <c r="AW71" i="12"/>
  <c r="AU107" i="12"/>
  <c r="BA119" i="12"/>
  <c r="AM69" i="12"/>
  <c r="AT109" i="12"/>
  <c r="AT79" i="12"/>
  <c r="AL34" i="12"/>
  <c r="AN47" i="12"/>
  <c r="AY13" i="12"/>
  <c r="AY113" i="12"/>
  <c r="AR88" i="12"/>
  <c r="AS68" i="12"/>
  <c r="AO108" i="12"/>
  <c r="AV59" i="12"/>
  <c r="AX13" i="12"/>
  <c r="AV107" i="12"/>
  <c r="AL99" i="12"/>
  <c r="AV39" i="12"/>
  <c r="AP67" i="12"/>
  <c r="AM20" i="12"/>
  <c r="AT85" i="12"/>
  <c r="AU26" i="12"/>
  <c r="AT68" i="12"/>
  <c r="AZ22" i="12"/>
  <c r="AT49" i="12"/>
  <c r="AZ109" i="12"/>
  <c r="AL17" i="12"/>
  <c r="AZ69" i="12"/>
  <c r="AN113" i="12"/>
  <c r="AV65" i="12"/>
  <c r="AN56" i="12"/>
  <c r="AX31" i="12"/>
  <c r="AR119" i="12"/>
  <c r="AU91" i="12"/>
  <c r="AN88" i="12"/>
  <c r="AM35" i="12"/>
  <c r="AZ9" i="12"/>
  <c r="AV108" i="12"/>
  <c r="AS37" i="12"/>
  <c r="AZ72" i="12"/>
  <c r="AX92" i="12"/>
  <c r="AV75" i="12"/>
  <c r="AM117" i="12"/>
  <c r="AL82" i="12"/>
  <c r="AM95" i="12"/>
  <c r="AT66" i="12"/>
  <c r="AL29" i="12"/>
  <c r="AQ70" i="12"/>
  <c r="AO107" i="12"/>
  <c r="AW46" i="12"/>
  <c r="AL68" i="12"/>
  <c r="AP98" i="12"/>
  <c r="AZ89" i="12"/>
  <c r="AY117" i="12"/>
  <c r="BA57" i="12"/>
  <c r="AS64" i="12"/>
  <c r="AZ15" i="12"/>
  <c r="AW118" i="12"/>
  <c r="AN62" i="12"/>
  <c r="AL55" i="12"/>
  <c r="AS101" i="12"/>
  <c r="AL77" i="12"/>
  <c r="AQ35" i="12"/>
  <c r="BA60" i="12"/>
  <c r="AN41" i="12"/>
  <c r="AM9" i="12"/>
  <c r="AS34" i="12"/>
  <c r="AX120" i="12"/>
  <c r="AR113" i="12"/>
  <c r="AU58" i="12"/>
  <c r="AY98" i="12"/>
  <c r="AM48" i="12"/>
  <c r="AW36" i="12"/>
  <c r="AU77" i="12"/>
  <c r="AL44" i="12"/>
  <c r="AL57" i="12"/>
  <c r="AM15" i="12"/>
  <c r="AS35" i="12"/>
  <c r="AT47" i="12"/>
  <c r="BA44" i="12"/>
  <c r="AW16" i="12"/>
  <c r="AX96" i="12"/>
  <c r="AZ24" i="12"/>
  <c r="BA43" i="12"/>
  <c r="AV31" i="12"/>
  <c r="AX63" i="12"/>
  <c r="AR98" i="12"/>
  <c r="AU54" i="12"/>
  <c r="AT100" i="12"/>
  <c r="AP97" i="12"/>
  <c r="AQ82" i="12"/>
  <c r="AM22" i="12"/>
  <c r="AV8" i="12"/>
  <c r="AO46" i="12"/>
  <c r="AP19" i="12"/>
  <c r="AS69" i="12"/>
  <c r="AM106" i="12"/>
  <c r="AN12" i="12"/>
  <c r="BA34" i="12"/>
  <c r="AP41" i="12"/>
  <c r="AM91" i="12"/>
  <c r="AX57" i="12"/>
  <c r="AM55" i="12"/>
  <c r="AT95" i="12"/>
  <c r="AV79" i="12"/>
  <c r="AR41" i="12"/>
  <c r="AX64" i="12"/>
  <c r="AZ108" i="12"/>
  <c r="AS72" i="12"/>
  <c r="AX9" i="12"/>
  <c r="AL14" i="12"/>
  <c r="AU16" i="12"/>
  <c r="AU44" i="12"/>
  <c r="AL100" i="12"/>
  <c r="AR105" i="12"/>
  <c r="AV11" i="12"/>
  <c r="AW78" i="12"/>
  <c r="AV96" i="12"/>
  <c r="AW45" i="12"/>
  <c r="BA96" i="12"/>
  <c r="AM46" i="12"/>
  <c r="AT116" i="12"/>
  <c r="AW38" i="12"/>
  <c r="BA99" i="12"/>
  <c r="AX45" i="12"/>
  <c r="AV99" i="12"/>
  <c r="AN36" i="12"/>
  <c r="AL101" i="12"/>
  <c r="AU72" i="12"/>
  <c r="AY40" i="12"/>
  <c r="AL81" i="12"/>
  <c r="AM47" i="12"/>
  <c r="AN13" i="12"/>
  <c r="AN21" i="12"/>
  <c r="BA111" i="12"/>
  <c r="AX53" i="12"/>
  <c r="AP64" i="12"/>
  <c r="AY62" i="12"/>
  <c r="AT12" i="12"/>
  <c r="AP60" i="12"/>
  <c r="AM72" i="12"/>
  <c r="AW50" i="12"/>
  <c r="AR58" i="12"/>
  <c r="AS16" i="12"/>
  <c r="AV88" i="12"/>
  <c r="BA91" i="12"/>
  <c r="AW57" i="12"/>
  <c r="AS112" i="12"/>
  <c r="AL63" i="12"/>
  <c r="AY12" i="12"/>
  <c r="AX100" i="12"/>
  <c r="AV69" i="12"/>
  <c r="AM30" i="12"/>
  <c r="AW28" i="12"/>
  <c r="AU87" i="12"/>
  <c r="AM75" i="12"/>
  <c r="AP13" i="12"/>
  <c r="AL73" i="12"/>
  <c r="AU20" i="12"/>
  <c r="AT14" i="12"/>
  <c r="AT112" i="12"/>
  <c r="AN10" i="12"/>
  <c r="AR121" i="12"/>
  <c r="AY11" i="12"/>
  <c r="BA59" i="12"/>
  <c r="AM63" i="12"/>
  <c r="AY76" i="12"/>
  <c r="AQ43" i="12"/>
  <c r="AY89" i="12"/>
  <c r="AW95" i="12"/>
  <c r="AL106" i="12"/>
  <c r="AY88" i="12"/>
  <c r="AM78" i="12"/>
  <c r="AY95" i="12"/>
  <c r="AM52" i="12"/>
  <c r="AW42" i="12"/>
  <c r="AN112" i="12"/>
  <c r="AQ24" i="12"/>
  <c r="AS81" i="12"/>
  <c r="AV33" i="12"/>
  <c r="AT62" i="12"/>
  <c r="AY70" i="12"/>
  <c r="AL94" i="12"/>
  <c r="AX89" i="12"/>
  <c r="AR94" i="12"/>
  <c r="AX37" i="12"/>
  <c r="AQ52" i="12"/>
  <c r="AT37" i="12"/>
  <c r="AZ83" i="12"/>
  <c r="AM104" i="12"/>
  <c r="AL59" i="12"/>
  <c r="AO30" i="12"/>
  <c r="AR48" i="12"/>
  <c r="AN42" i="12"/>
  <c r="AV106" i="12"/>
  <c r="AU40" i="12"/>
  <c r="AP75" i="12"/>
  <c r="AT28" i="12"/>
  <c r="AM93" i="12"/>
  <c r="AO89" i="12"/>
  <c r="AQ64" i="12"/>
  <c r="AM122" i="12"/>
  <c r="AY56" i="12"/>
  <c r="AL80" i="12"/>
  <c r="AY112" i="12"/>
  <c r="AZ62" i="12"/>
  <c r="AT72" i="12"/>
  <c r="AU122" i="12"/>
  <c r="AR19" i="12"/>
  <c r="AY115" i="12"/>
  <c r="AT90" i="12"/>
  <c r="AL84" i="12"/>
  <c r="AO13" i="12"/>
  <c r="AQ100" i="12"/>
  <c r="AX14" i="12"/>
  <c r="AO35" i="12"/>
  <c r="AM28" i="12"/>
  <c r="AQ47" i="12"/>
  <c r="AN96" i="12"/>
  <c r="AO25" i="12"/>
  <c r="AX52" i="12"/>
  <c r="AR13" i="12"/>
  <c r="AX26" i="12"/>
  <c r="AW82" i="12"/>
  <c r="AU120" i="12"/>
  <c r="AX8" i="12"/>
  <c r="BA9" i="12"/>
  <c r="AZ21" i="12"/>
  <c r="AW30" i="12"/>
  <c r="AY79" i="12"/>
  <c r="AY103" i="12"/>
  <c r="AQ44" i="12"/>
  <c r="AQ39" i="12"/>
  <c r="AT83" i="12"/>
  <c r="AT92" i="12"/>
  <c r="AZ73" i="12"/>
  <c r="AW89" i="12"/>
  <c r="AQ72" i="12"/>
  <c r="AM84" i="12"/>
  <c r="AY57" i="12"/>
  <c r="AR78" i="12"/>
  <c r="AR40" i="12"/>
  <c r="AR52" i="12"/>
  <c r="AV23" i="12"/>
  <c r="AW32" i="12"/>
  <c r="AZ105" i="12"/>
  <c r="AN30" i="12"/>
  <c r="AU96" i="12"/>
  <c r="AS89" i="12"/>
  <c r="AZ96" i="12"/>
  <c r="AM37" i="12"/>
  <c r="AZ122" i="12"/>
  <c r="AU31" i="12"/>
  <c r="AP104" i="12"/>
  <c r="AU67" i="12"/>
  <c r="AZ88" i="12"/>
  <c r="AT22" i="12"/>
  <c r="AU39" i="12"/>
  <c r="BA115" i="12"/>
  <c r="AN83" i="12"/>
  <c r="AW115" i="12"/>
  <c r="AU22" i="12"/>
  <c r="AN46" i="12"/>
  <c r="AO119" i="12"/>
  <c r="AU38" i="12"/>
  <c r="AU116" i="12"/>
  <c r="AR107" i="12"/>
  <c r="AY120" i="12"/>
  <c r="AU41" i="12"/>
  <c r="AP101" i="12"/>
  <c r="AU98" i="12"/>
  <c r="AS47" i="12"/>
  <c r="AU62" i="12"/>
  <c r="AY59" i="12"/>
  <c r="AM70" i="12"/>
  <c r="AR15" i="12"/>
  <c r="AY46" i="12"/>
  <c r="AV52" i="12"/>
  <c r="AN122" i="12"/>
  <c r="AR36" i="12"/>
  <c r="AR10" i="12"/>
  <c r="AZ102" i="12"/>
  <c r="AU42" i="12"/>
  <c r="AQ41" i="12"/>
  <c r="AV20" i="12"/>
  <c r="AL12" i="12"/>
  <c r="AM34" i="12"/>
  <c r="AW109" i="12"/>
  <c r="AV22" i="12"/>
  <c r="AR11" i="12"/>
  <c r="AL24" i="12"/>
  <c r="AQ59" i="12"/>
  <c r="AQ78" i="12"/>
  <c r="AV80" i="12"/>
  <c r="AZ104" i="12"/>
  <c r="AN70" i="12"/>
  <c r="AZ112" i="12"/>
  <c r="AT50" i="12"/>
  <c r="AT21" i="12"/>
  <c r="BA18" i="12"/>
  <c r="AS74" i="12"/>
  <c r="AN16" i="12"/>
  <c r="AW63" i="12"/>
  <c r="AM86" i="12"/>
  <c r="BA39" i="12"/>
  <c r="AX66" i="12"/>
  <c r="AV14" i="12"/>
  <c r="BA110" i="12"/>
  <c r="AQ38" i="12"/>
  <c r="AW23" i="12"/>
  <c r="AX88" i="12"/>
  <c r="AZ113" i="12"/>
  <c r="AY41" i="12"/>
  <c r="AZ110" i="12"/>
  <c r="AU51" i="12"/>
  <c r="AX109" i="12"/>
  <c r="BA51" i="12"/>
  <c r="AT87" i="12"/>
  <c r="AR80" i="12"/>
  <c r="AN115" i="12"/>
  <c r="AL20" i="12"/>
  <c r="AP10" i="12"/>
  <c r="AP23" i="12"/>
  <c r="AL97" i="12"/>
  <c r="AW43" i="12"/>
  <c r="AV103" i="12"/>
  <c r="AR63" i="12"/>
  <c r="AO24" i="12"/>
  <c r="AT53" i="12"/>
  <c r="AU10" i="12"/>
  <c r="AZ63" i="12"/>
  <c r="AZ121" i="12"/>
  <c r="AZ114" i="12"/>
  <c r="AT76" i="12"/>
  <c r="AW98" i="12"/>
  <c r="AN101" i="12"/>
  <c r="AN15" i="12"/>
  <c r="AW49" i="12"/>
  <c r="AX82" i="12"/>
  <c r="AM42" i="12"/>
  <c r="AZ57" i="12"/>
  <c r="AS65" i="12"/>
  <c r="AU33" i="12"/>
  <c r="AZ25" i="12"/>
  <c r="AM14" i="12"/>
  <c r="AT106" i="12"/>
  <c r="AV116" i="12"/>
  <c r="BA22" i="12"/>
  <c r="AV94" i="12"/>
  <c r="AL121" i="12"/>
  <c r="BA85" i="12"/>
  <c r="AO20" i="12"/>
  <c r="AQ15" i="12"/>
  <c r="AY18" i="12"/>
  <c r="AP15" i="12"/>
  <c r="AM73" i="12"/>
  <c r="AO54" i="12"/>
  <c r="AW55" i="12"/>
  <c r="AX84" i="12"/>
  <c r="AR25" i="12"/>
  <c r="AO34" i="12"/>
  <c r="AU12" i="12"/>
  <c r="BA21" i="12"/>
  <c r="AY86" i="12"/>
  <c r="AR14" i="12"/>
  <c r="AT111" i="12"/>
  <c r="AP71" i="12"/>
  <c r="AM110" i="12"/>
  <c r="AR79" i="12"/>
  <c r="AX39" i="12"/>
  <c r="AZ31" i="12"/>
  <c r="AY19" i="12"/>
  <c r="AX29" i="12"/>
  <c r="AX46" i="12"/>
  <c r="AS82" i="12"/>
  <c r="AM96" i="12"/>
  <c r="AW75" i="12"/>
  <c r="AQ75" i="12"/>
  <c r="AW59" i="12"/>
  <c r="AL27" i="12"/>
  <c r="AT94" i="12"/>
  <c r="AP95" i="12"/>
  <c r="AX118" i="12"/>
  <c r="AN69" i="12"/>
  <c r="AS114" i="12"/>
  <c r="AR92" i="12"/>
  <c r="AP72" i="12"/>
  <c r="AM83" i="12"/>
  <c r="AR33" i="12"/>
  <c r="AM105" i="12"/>
  <c r="AV19" i="12"/>
  <c r="AY107" i="12"/>
  <c r="AT20" i="12"/>
  <c r="AM77" i="12"/>
  <c r="AS75" i="12"/>
  <c r="AQ81" i="12"/>
  <c r="AN82" i="12"/>
  <c r="AZ98" i="12"/>
  <c r="AW52" i="12"/>
  <c r="AX110" i="12"/>
  <c r="AT9" i="12"/>
  <c r="AP16" i="12"/>
  <c r="AO39" i="12"/>
  <c r="AX50" i="12"/>
  <c r="AS11" i="12"/>
  <c r="AR81" i="12"/>
  <c r="AP85" i="12"/>
  <c r="AO79" i="12"/>
  <c r="AN75" i="12"/>
  <c r="AV29" i="12"/>
  <c r="AR24" i="12"/>
  <c r="AO92" i="12"/>
  <c r="AY42" i="12"/>
  <c r="AN44" i="12"/>
  <c r="AS83" i="12"/>
  <c r="AU17" i="12"/>
  <c r="AM76" i="12"/>
  <c r="AT71" i="12"/>
  <c r="AX106" i="12"/>
  <c r="AS103" i="12"/>
  <c r="AS66" i="12"/>
  <c r="AN117" i="12"/>
  <c r="AU47" i="12"/>
  <c r="AY28" i="12"/>
  <c r="AX122" i="12"/>
  <c r="AM116" i="12"/>
  <c r="AV87" i="12"/>
  <c r="AS32" i="12"/>
  <c r="AW21" i="12"/>
  <c r="AO48" i="12"/>
  <c r="AZ40" i="12"/>
  <c r="AR43" i="12"/>
  <c r="AV21" i="12"/>
  <c r="AY97" i="12"/>
  <c r="AX68" i="12"/>
  <c r="AX40" i="12"/>
  <c r="AZ93" i="12"/>
  <c r="AP9" i="12"/>
  <c r="AO68" i="12"/>
  <c r="AV13" i="12"/>
  <c r="AX95" i="12"/>
  <c r="AO103" i="12"/>
  <c r="BA24" i="12"/>
  <c r="AN111" i="12"/>
  <c r="AQ71" i="12"/>
  <c r="BA23" i="12"/>
  <c r="AP66" i="12"/>
  <c r="AX77" i="12"/>
  <c r="AQ108" i="12"/>
  <c r="AL96" i="12"/>
  <c r="AO26" i="12"/>
  <c r="AY24" i="12"/>
  <c r="AM112" i="12"/>
  <c r="AO27" i="12"/>
  <c r="AN81" i="12"/>
  <c r="AT114" i="12"/>
  <c r="AN78" i="12"/>
  <c r="AS122" i="12"/>
  <c r="AQ121" i="12"/>
  <c r="AQ18" i="12"/>
  <c r="AU103" i="12"/>
  <c r="AU119" i="12"/>
  <c r="AU113" i="12"/>
  <c r="AT89" i="12"/>
  <c r="AW31" i="12"/>
  <c r="AS9" i="12"/>
  <c r="AO77" i="12"/>
  <c r="AM103" i="12"/>
  <c r="AL98" i="12"/>
  <c r="AO113" i="12"/>
  <c r="AV118" i="12"/>
  <c r="AO21" i="12"/>
  <c r="AV27" i="12"/>
  <c r="AO99" i="12"/>
  <c r="AV76" i="12"/>
  <c r="AM113" i="12"/>
  <c r="AU73" i="12"/>
  <c r="AT40" i="12"/>
  <c r="AS41" i="12"/>
  <c r="AX33" i="12"/>
  <c r="AY81" i="12"/>
  <c r="AZ95" i="12"/>
  <c r="AZ77" i="12"/>
  <c r="AX113" i="12"/>
  <c r="AT65" i="12"/>
  <c r="AQ122" i="12"/>
  <c r="AX105" i="12"/>
  <c r="AV73" i="12"/>
  <c r="AU21" i="12"/>
  <c r="AT44" i="12"/>
  <c r="AV100" i="12"/>
  <c r="AW110" i="12"/>
  <c r="AQ83" i="12"/>
  <c r="AX51" i="12"/>
  <c r="AL66" i="12"/>
  <c r="AO93" i="12"/>
  <c r="AV57" i="12"/>
  <c r="AT41" i="12"/>
  <c r="AQ98" i="12"/>
  <c r="AR84" i="12"/>
  <c r="AV60" i="12"/>
  <c r="AV91" i="12"/>
  <c r="AM79" i="12"/>
  <c r="AS121" i="12"/>
  <c r="AW99" i="12"/>
  <c r="AX97" i="12"/>
  <c r="AX25" i="12"/>
  <c r="AY29" i="12"/>
  <c r="AM118" i="12"/>
  <c r="AO115" i="12"/>
  <c r="AL83" i="12"/>
  <c r="AN40" i="12"/>
  <c r="AO94" i="12"/>
  <c r="AZ70" i="12"/>
  <c r="AL39" i="12"/>
  <c r="AV41" i="12"/>
  <c r="AL60" i="12"/>
  <c r="AQ56" i="12"/>
  <c r="AV104" i="12"/>
  <c r="AW106" i="12"/>
  <c r="AO82" i="12"/>
  <c r="AZ94" i="12"/>
  <c r="AV17" i="12"/>
  <c r="AL40" i="12"/>
  <c r="AO74" i="12"/>
  <c r="AO72" i="12"/>
  <c r="AN23" i="12"/>
  <c r="AT19" i="12"/>
  <c r="AR106" i="12"/>
  <c r="AQ34" i="12"/>
  <c r="BA103" i="12"/>
  <c r="AT34" i="12"/>
  <c r="AT15" i="12"/>
  <c r="AS60" i="12"/>
  <c r="AO116" i="12"/>
  <c r="AV54" i="12"/>
  <c r="AU13" i="12"/>
  <c r="AP50" i="12"/>
  <c r="AW88" i="12"/>
  <c r="AP86" i="12"/>
  <c r="AS110" i="12"/>
  <c r="AP8" i="12"/>
  <c r="AV16" i="12"/>
  <c r="AP90" i="12"/>
  <c r="AQ80" i="12"/>
  <c r="AV24" i="12"/>
  <c r="AS119" i="12"/>
  <c r="AR86" i="12"/>
  <c r="BA72" i="12"/>
  <c r="AU83" i="12"/>
  <c r="AW60" i="12"/>
  <c r="AP58" i="12"/>
  <c r="AU48" i="12"/>
  <c r="AN31" i="12"/>
  <c r="AX23" i="12"/>
  <c r="BA84" i="12"/>
  <c r="AP112" i="12"/>
  <c r="AV55" i="12"/>
  <c r="AN53" i="12"/>
  <c r="AQ68" i="12"/>
  <c r="AU65" i="12"/>
  <c r="AW44" i="12"/>
  <c r="AX49" i="12"/>
  <c r="BA78" i="12"/>
  <c r="AN25" i="12"/>
  <c r="AV28" i="12"/>
  <c r="AM19" i="12"/>
  <c r="AW117" i="12"/>
  <c r="AZ64" i="12"/>
  <c r="AW56" i="12"/>
  <c r="AQ10" i="12"/>
  <c r="AR111" i="12"/>
  <c r="AO10" i="12"/>
  <c r="AN14" i="12"/>
  <c r="AY36" i="12"/>
  <c r="AO80" i="12"/>
  <c r="AM59" i="12"/>
  <c r="AY35" i="12"/>
  <c r="AT69" i="12"/>
  <c r="AU85" i="12"/>
  <c r="BA29" i="12"/>
  <c r="AX104" i="12"/>
  <c r="AQ118" i="12"/>
  <c r="AT48" i="12"/>
  <c r="AP92" i="12"/>
  <c r="AP80" i="12"/>
  <c r="AY14" i="12"/>
  <c r="AS71" i="12"/>
  <c r="AV50" i="12"/>
  <c r="AS85" i="12"/>
  <c r="AU14" i="12"/>
  <c r="AV98" i="12"/>
  <c r="AY67" i="12"/>
  <c r="AN95" i="12"/>
  <c r="AQ84" i="12"/>
  <c r="AX75" i="12"/>
  <c r="AX56" i="12"/>
  <c r="AQ66" i="12"/>
  <c r="AQ42" i="12"/>
  <c r="AP107" i="12"/>
  <c r="BA79" i="12"/>
  <c r="AP42" i="12"/>
  <c r="AM85" i="12"/>
  <c r="AV70" i="12"/>
  <c r="AS100" i="12"/>
  <c r="AU86" i="12"/>
  <c r="AZ81" i="12"/>
  <c r="AZ23" i="12"/>
  <c r="AN98" i="12"/>
  <c r="AP22" i="12"/>
  <c r="AM64" i="12"/>
  <c r="BA25" i="12"/>
  <c r="AQ49" i="12"/>
  <c r="AW12" i="12"/>
  <c r="AO64" i="12"/>
  <c r="AT58" i="12"/>
  <c r="AP76" i="12"/>
  <c r="AP52" i="12"/>
  <c r="AP11" i="12"/>
  <c r="AR82" i="12"/>
  <c r="AN66" i="12"/>
  <c r="AT24" i="12"/>
  <c r="AO41" i="12"/>
  <c r="AY45" i="12"/>
  <c r="AU89" i="12"/>
  <c r="AO16" i="12"/>
  <c r="AY54" i="12"/>
  <c r="AR56" i="12"/>
  <c r="AS96" i="12"/>
  <c r="AX83" i="12"/>
  <c r="AV97" i="12"/>
  <c r="AO45" i="12"/>
  <c r="BA93" i="12"/>
  <c r="AV38" i="12"/>
  <c r="AN33" i="12"/>
  <c r="AY15" i="12"/>
  <c r="AN102" i="12"/>
  <c r="AS98" i="12"/>
  <c r="AM25" i="12"/>
  <c r="AV113" i="12"/>
  <c r="AM97" i="12"/>
  <c r="AN114" i="12"/>
  <c r="AZ35" i="12"/>
  <c r="AM107" i="12"/>
  <c r="AX35" i="12"/>
  <c r="AW105" i="12"/>
  <c r="AR76" i="12"/>
  <c r="AN18" i="12"/>
  <c r="AU35" i="12"/>
  <c r="AW101" i="12"/>
  <c r="AR114" i="12"/>
  <c r="AQ105" i="12"/>
  <c r="AV44" i="12"/>
  <c r="AQ36" i="12"/>
  <c r="AQ33" i="12"/>
  <c r="AO67" i="12"/>
  <c r="AN84" i="12"/>
  <c r="AY17" i="12"/>
  <c r="AO88" i="12"/>
  <c r="AL69" i="12"/>
  <c r="AM54" i="12"/>
  <c r="AQ99" i="12"/>
  <c r="AQ97" i="12"/>
  <c r="AU90" i="12"/>
  <c r="AZ100" i="12"/>
  <c r="BA48" i="12"/>
  <c r="BA109" i="12"/>
  <c r="AM61" i="12"/>
  <c r="AP51" i="12"/>
  <c r="AO29" i="12"/>
  <c r="AV89" i="12"/>
  <c r="AP48" i="12"/>
  <c r="AW22" i="12"/>
  <c r="AY53" i="12"/>
  <c r="AT120" i="12"/>
  <c r="AO38" i="12"/>
  <c r="AL115" i="12"/>
  <c r="AX32" i="12"/>
  <c r="AW83" i="12"/>
  <c r="AV26" i="12"/>
  <c r="AS105" i="12"/>
  <c r="AX11" i="12"/>
  <c r="AR91" i="12"/>
  <c r="AP116" i="12"/>
  <c r="AZ17" i="12"/>
  <c r="AX67" i="12"/>
  <c r="AX74" i="12"/>
  <c r="AR64" i="12"/>
  <c r="AX19" i="12"/>
  <c r="AX99" i="12"/>
  <c r="AX10" i="12"/>
  <c r="BA95" i="12"/>
  <c r="AL92" i="12"/>
  <c r="AW86" i="12"/>
  <c r="AV95" i="12"/>
  <c r="AW9" i="12"/>
  <c r="AS36" i="12"/>
  <c r="AN73" i="12"/>
  <c r="AR75" i="12"/>
  <c r="AT93" i="12"/>
  <c r="AR51" i="12"/>
  <c r="AR16" i="12"/>
  <c r="AV74" i="12"/>
  <c r="AT70" i="12"/>
  <c r="AT115" i="12"/>
  <c r="AN108" i="12"/>
  <c r="BA92" i="12"/>
  <c r="AP111" i="12"/>
  <c r="AL72" i="12"/>
  <c r="BA86" i="12"/>
  <c r="AY22" i="12"/>
  <c r="AX38" i="12"/>
  <c r="BA36" i="12"/>
  <c r="AS39" i="12"/>
  <c r="BA50" i="12"/>
  <c r="AX42" i="12"/>
  <c r="AP65" i="12"/>
  <c r="AT13" i="12"/>
  <c r="AU92" i="12"/>
  <c r="AX102" i="12"/>
  <c r="AT51" i="12"/>
  <c r="AY16" i="12"/>
  <c r="AQ21" i="12"/>
  <c r="AM21" i="12"/>
  <c r="AN8" i="12"/>
  <c r="AZ79" i="12"/>
  <c r="AM12" i="12"/>
  <c r="AN22" i="12"/>
  <c r="AW114" i="12"/>
  <c r="AP103" i="12"/>
  <c r="AT17" i="12"/>
  <c r="AW92" i="12"/>
  <c r="AR18" i="12"/>
  <c r="AU84" i="12"/>
  <c r="AX70" i="12"/>
  <c r="AY20" i="12"/>
  <c r="AS86" i="12"/>
  <c r="AT74" i="12"/>
  <c r="AW33" i="12"/>
  <c r="AV49" i="12"/>
  <c r="AS13" i="12"/>
  <c r="AP105" i="12"/>
  <c r="AZ48" i="12"/>
  <c r="AZ86" i="12"/>
  <c r="AO96" i="12"/>
  <c r="AT78" i="12"/>
  <c r="AO78" i="12"/>
  <c r="AS92" i="12"/>
  <c r="BA54" i="12"/>
  <c r="AY73" i="12"/>
  <c r="AY48" i="12"/>
  <c r="AV109" i="12"/>
  <c r="AS76" i="12"/>
  <c r="AU52" i="12"/>
  <c r="AR108" i="12"/>
  <c r="AP69" i="12"/>
  <c r="AL76" i="12"/>
  <c r="AX86" i="12"/>
  <c r="AO57" i="12"/>
  <c r="AP94" i="12"/>
  <c r="AQ65" i="12"/>
  <c r="AR32" i="12"/>
  <c r="AU79" i="12"/>
  <c r="AQ93" i="12"/>
  <c r="AL103" i="12"/>
  <c r="AS23" i="12"/>
  <c r="AS50" i="12"/>
  <c r="AL74" i="12"/>
  <c r="AO76" i="12"/>
  <c r="AW68" i="12"/>
  <c r="AX27" i="12"/>
  <c r="AR100" i="12"/>
  <c r="BA83" i="12"/>
  <c r="AZ97" i="12"/>
  <c r="AW104" i="12"/>
  <c r="AQ112" i="12"/>
  <c r="AR50" i="12"/>
  <c r="AQ86" i="12"/>
  <c r="AR97" i="12"/>
  <c r="AY106" i="12"/>
  <c r="AR49" i="12"/>
  <c r="AQ55" i="12"/>
  <c r="AV119" i="12"/>
  <c r="AZ50" i="12"/>
  <c r="AN51" i="12"/>
  <c r="AV61" i="12"/>
  <c r="AS93" i="12"/>
  <c r="AS90" i="12"/>
  <c r="AZ68" i="12"/>
  <c r="AQ88" i="12"/>
  <c r="AR83" i="12"/>
  <c r="AN103" i="12"/>
  <c r="AS10" i="12"/>
  <c r="AY60" i="12"/>
  <c r="AZ37" i="12"/>
  <c r="AN91" i="12"/>
  <c r="AV46" i="12"/>
  <c r="AN65" i="12"/>
  <c r="AO43" i="12"/>
  <c r="AL43" i="12"/>
  <c r="AY93" i="12"/>
  <c r="AU78" i="12"/>
  <c r="AR93" i="12"/>
  <c r="AZ52" i="12"/>
  <c r="AL52" i="12"/>
  <c r="AN93" i="12"/>
  <c r="AO49" i="12"/>
  <c r="AS67" i="12"/>
  <c r="AZ53" i="12"/>
  <c r="AM51" i="12"/>
  <c r="AS22" i="12"/>
  <c r="AP106" i="12"/>
  <c r="AY31" i="12"/>
  <c r="AO111" i="12"/>
  <c r="AL30" i="12"/>
  <c r="AN54" i="12"/>
  <c r="AW91" i="12"/>
  <c r="AP77" i="12"/>
  <c r="AT38" i="12"/>
  <c r="AN38" i="12"/>
  <c r="BA118" i="12"/>
  <c r="BA100" i="12"/>
  <c r="AR46" i="12"/>
  <c r="AT82" i="12"/>
  <c r="AR104" i="12"/>
  <c r="AQ91" i="12"/>
  <c r="AX101" i="12"/>
  <c r="AY44" i="12"/>
  <c r="AX93" i="12"/>
  <c r="AW35" i="12"/>
  <c r="AY91" i="12"/>
  <c r="AW108" i="12"/>
  <c r="AW119" i="12"/>
  <c r="AL22" i="12"/>
  <c r="AL53" i="12"/>
  <c r="AS20" i="12"/>
  <c r="AQ120" i="12"/>
  <c r="AV63" i="12"/>
  <c r="AU66" i="12"/>
  <c r="AO23" i="12"/>
  <c r="AY69" i="12"/>
  <c r="AX81" i="12"/>
  <c r="AW72" i="12"/>
  <c r="AV18" i="12"/>
  <c r="AU59" i="12"/>
  <c r="AX94" i="12"/>
  <c r="AN94" i="12"/>
  <c r="AS19" i="12"/>
  <c r="AX61" i="12"/>
  <c r="AN118" i="12"/>
  <c r="AZ87" i="12"/>
  <c r="AY80" i="12"/>
  <c r="AP28" i="12"/>
  <c r="AX71" i="12"/>
  <c r="AS120" i="12"/>
  <c r="AZ92" i="12"/>
  <c r="BA113" i="12"/>
  <c r="AZ26" i="12"/>
  <c r="AU64" i="12"/>
  <c r="BA47" i="12"/>
  <c r="AY108" i="12"/>
  <c r="AP46" i="12"/>
  <c r="AS94" i="12"/>
  <c r="AU46" i="12"/>
  <c r="AO14" i="12"/>
  <c r="AW79" i="12"/>
  <c r="AL49" i="12"/>
  <c r="AX76" i="12"/>
  <c r="AL26" i="12"/>
  <c r="AL10" i="12"/>
  <c r="AL122" i="12"/>
  <c r="AU43" i="12"/>
  <c r="AN29" i="12"/>
  <c r="AR117" i="12"/>
  <c r="AY72" i="12"/>
  <c r="BA49" i="12"/>
  <c r="AU81" i="12"/>
  <c r="AM49" i="12"/>
  <c r="AT18" i="12"/>
  <c r="AL87" i="12"/>
  <c r="AL37" i="12"/>
  <c r="AM10" i="12"/>
  <c r="AP113" i="12"/>
  <c r="AO75" i="12"/>
  <c r="AZ20" i="12"/>
  <c r="AX34" i="12"/>
  <c r="AO97" i="12"/>
  <c r="AQ23" i="12"/>
  <c r="AU112" i="12"/>
  <c r="AZ85" i="12"/>
  <c r="AV115" i="12"/>
  <c r="AW29" i="12"/>
  <c r="AL88" i="12"/>
  <c r="AU75" i="12"/>
  <c r="AS24" i="12"/>
  <c r="AS27" i="12"/>
  <c r="AV71" i="12"/>
  <c r="AU63" i="12"/>
  <c r="AU95" i="12"/>
  <c r="AX59" i="12"/>
  <c r="AQ73" i="12"/>
  <c r="AW40" i="12"/>
  <c r="AZ54" i="12"/>
  <c r="AW47" i="12"/>
  <c r="AT43" i="12"/>
  <c r="AM8" i="12"/>
  <c r="AP38" i="12"/>
  <c r="AQ45" i="12"/>
  <c r="AV83" i="12"/>
  <c r="AQ92" i="12"/>
  <c r="AM115" i="12"/>
  <c r="AT36" i="12"/>
  <c r="AU88" i="12"/>
  <c r="AM68" i="12"/>
  <c r="AT97" i="12"/>
  <c r="AQ74" i="12"/>
  <c r="AW116" i="12"/>
  <c r="AZ60" i="12"/>
  <c r="AP121" i="12"/>
  <c r="AQ87" i="12"/>
  <c r="AP40" i="12"/>
  <c r="AM99" i="12"/>
  <c r="AV85" i="12"/>
  <c r="AR89" i="12"/>
  <c r="AO110" i="12"/>
  <c r="AT96" i="12"/>
  <c r="AW122" i="12"/>
  <c r="AO31" i="12"/>
  <c r="AT121" i="12"/>
  <c r="AO28" i="12"/>
  <c r="AN90" i="12"/>
  <c r="AS84" i="12"/>
  <c r="AZ8" i="12"/>
  <c r="AZ18" i="12"/>
  <c r="AL46" i="12"/>
  <c r="AW54" i="12"/>
  <c r="BA65" i="12"/>
  <c r="AO22" i="12"/>
  <c r="AN79" i="12"/>
  <c r="AQ117" i="12"/>
  <c r="AP43" i="12"/>
  <c r="AP83" i="12"/>
  <c r="AP55" i="12"/>
  <c r="AO33" i="12"/>
  <c r="AN45" i="12"/>
  <c r="AP84" i="12"/>
  <c r="AL75" i="12"/>
  <c r="AW80" i="12"/>
  <c r="BA112" i="12"/>
  <c r="BA37" i="12"/>
  <c r="AZ80" i="12"/>
  <c r="BA32" i="12"/>
  <c r="AO40" i="12"/>
  <c r="AS61" i="12"/>
  <c r="AM31" i="12"/>
  <c r="AZ16" i="12"/>
  <c r="BA12" i="12"/>
  <c r="AW19" i="12"/>
  <c r="AW97" i="12"/>
  <c r="AS44" i="12"/>
  <c r="AX44" i="12"/>
  <c r="AQ14" i="12"/>
  <c r="AN76" i="12"/>
  <c r="AL78" i="12"/>
  <c r="AR17" i="12"/>
  <c r="AQ69" i="12"/>
  <c r="AX87" i="12"/>
  <c r="AN57" i="12"/>
  <c r="AT86" i="12"/>
  <c r="AS55" i="12"/>
  <c r="AN106" i="12"/>
  <c r="AL117" i="12"/>
  <c r="AV43" i="12"/>
  <c r="AL79" i="12"/>
  <c r="AO98" i="12"/>
  <c r="AP21" i="12"/>
  <c r="AP89" i="12"/>
  <c r="AZ67" i="12"/>
  <c r="AV10" i="12"/>
  <c r="AX43" i="12"/>
  <c r="BA14" i="12"/>
  <c r="AP44" i="12"/>
  <c r="AX21" i="12"/>
  <c r="AR95" i="12"/>
  <c r="AU94" i="12"/>
  <c r="AM120" i="12"/>
  <c r="AP49" i="12"/>
  <c r="AO104" i="12"/>
  <c r="AQ57" i="12"/>
  <c r="AR55" i="12"/>
  <c r="AM24" i="12"/>
  <c r="AM38" i="12"/>
  <c r="AU45" i="12"/>
  <c r="AR85" i="12"/>
  <c r="AX58" i="12"/>
  <c r="AN17" i="12"/>
  <c r="AL56" i="12"/>
  <c r="BA61" i="12"/>
  <c r="AT52" i="12"/>
  <c r="AO42" i="12"/>
  <c r="AL64" i="12"/>
  <c r="AV68" i="12"/>
  <c r="BA64" i="12"/>
  <c r="AL71" i="12"/>
  <c r="AT101" i="12"/>
  <c r="AO91" i="12"/>
  <c r="AY47" i="12"/>
  <c r="AQ96" i="12"/>
  <c r="AM11" i="12"/>
  <c r="AP108" i="12"/>
  <c r="AL118" i="12"/>
  <c r="BA68" i="12"/>
  <c r="AQ60" i="12"/>
  <c r="AZ44" i="12"/>
  <c r="AY32" i="12"/>
  <c r="AS116" i="12"/>
  <c r="AS45" i="12"/>
  <c r="AU25" i="12"/>
  <c r="AS115" i="12"/>
  <c r="AL11" i="12"/>
  <c r="BA102" i="12"/>
  <c r="AY23" i="12"/>
  <c r="AU108" i="12"/>
  <c r="AO37" i="12"/>
  <c r="AT11" i="12"/>
  <c r="AL95" i="12"/>
  <c r="AV122" i="12"/>
  <c r="AP45" i="12"/>
  <c r="AS38" i="12"/>
  <c r="AQ11" i="12"/>
  <c r="AM67" i="12"/>
  <c r="AY39" i="12"/>
  <c r="AV81" i="12"/>
  <c r="AW34" i="12"/>
  <c r="AV64" i="12"/>
  <c r="AS29" i="12"/>
  <c r="AT80" i="12"/>
  <c r="AX15" i="12"/>
  <c r="AZ118" i="12"/>
  <c r="AL70" i="12"/>
  <c r="AL9" i="12"/>
  <c r="AU109" i="12"/>
  <c r="AO59" i="12"/>
  <c r="AR28" i="12"/>
  <c r="AV15" i="12"/>
  <c r="AW66" i="12"/>
  <c r="AR57" i="12"/>
  <c r="AN121" i="12"/>
  <c r="AV9" i="12"/>
  <c r="AQ107" i="12"/>
  <c r="BA62" i="12"/>
  <c r="AO122" i="12"/>
  <c r="AM13" i="12"/>
  <c r="AP32" i="12"/>
  <c r="AP82" i="12"/>
  <c r="AW20" i="12"/>
  <c r="AS95" i="12"/>
  <c r="AS80" i="12"/>
  <c r="AY102" i="12"/>
  <c r="AN43" i="12"/>
  <c r="AN20" i="12"/>
  <c r="AN34" i="12"/>
  <c r="AZ61" i="12"/>
  <c r="AX112" i="12"/>
  <c r="AM17" i="12"/>
  <c r="AN60" i="12"/>
  <c r="AL58" i="12"/>
  <c r="AN77" i="12"/>
  <c r="AZ58" i="12"/>
  <c r="AT56" i="12"/>
  <c r="AT77" i="12"/>
  <c r="AY66" i="12"/>
  <c r="AU56" i="12"/>
  <c r="AO83" i="12"/>
  <c r="AM50" i="12"/>
  <c r="AO109" i="12"/>
  <c r="AU97" i="12"/>
  <c r="AW10" i="12"/>
  <c r="AY25" i="12"/>
  <c r="AL93" i="12"/>
  <c r="AY68" i="12"/>
  <c r="AS30" i="12"/>
  <c r="AP74" i="12"/>
  <c r="AR21" i="12"/>
  <c r="BA56" i="12"/>
  <c r="AV32" i="12"/>
  <c r="AN86" i="12"/>
  <c r="AW53" i="12"/>
  <c r="BA63" i="12"/>
  <c r="AT103" i="12"/>
  <c r="AS54" i="12"/>
  <c r="AN110" i="12"/>
  <c r="AL105" i="12"/>
  <c r="AX114" i="12"/>
  <c r="AT84" i="12"/>
  <c r="AO86" i="12"/>
  <c r="AU49" i="12"/>
  <c r="AO60" i="12"/>
  <c r="AP29" i="12"/>
  <c r="AR44" i="12"/>
  <c r="AT59" i="12"/>
  <c r="AO84" i="12"/>
  <c r="AR22" i="12"/>
  <c r="AS63" i="12"/>
  <c r="BA11" i="12"/>
  <c r="AX30" i="12"/>
  <c r="AQ40" i="12"/>
  <c r="AM101" i="12"/>
  <c r="AN92" i="12"/>
  <c r="AW8" i="12"/>
  <c r="AP35" i="12"/>
  <c r="AY105" i="12"/>
  <c r="AN64" i="12"/>
  <c r="AU118" i="12"/>
  <c r="AT45" i="12"/>
  <c r="AT102" i="12"/>
  <c r="AU61" i="12"/>
  <c r="AS59" i="12"/>
  <c r="AY55" i="12"/>
  <c r="AV45" i="12"/>
  <c r="AX62" i="12"/>
  <c r="AS117" i="12"/>
  <c r="AL85" i="12"/>
  <c r="AS104" i="12"/>
  <c r="AP68" i="12"/>
  <c r="AX107" i="12"/>
  <c r="BA15" i="12"/>
  <c r="AP47" i="12"/>
  <c r="AU23" i="12"/>
  <c r="AZ56" i="12"/>
  <c r="AY38" i="12"/>
  <c r="AQ19" i="12"/>
  <c r="BA58" i="12"/>
  <c r="AX108" i="12"/>
  <c r="AV47" i="12"/>
  <c r="AY114" i="12"/>
  <c r="BA71" i="12"/>
  <c r="AR54" i="12"/>
  <c r="AT35" i="12"/>
  <c r="AM57" i="12"/>
  <c r="AY65" i="12"/>
  <c r="AZ45" i="12"/>
  <c r="AL90" i="12"/>
  <c r="AU9" i="12"/>
  <c r="AP78" i="12"/>
  <c r="AQ16" i="12"/>
  <c r="AO52" i="12"/>
  <c r="AX20" i="12"/>
  <c r="AY30" i="12"/>
  <c r="AX47" i="12"/>
  <c r="AV84" i="12"/>
  <c r="AP93" i="12"/>
  <c r="AV101" i="12"/>
  <c r="AL67" i="12"/>
  <c r="AM102" i="12"/>
  <c r="AM29" i="12"/>
  <c r="AQ8" i="12"/>
  <c r="AM27" i="12"/>
  <c r="AR96" i="12"/>
  <c r="AZ49" i="12"/>
  <c r="AQ20" i="12"/>
  <c r="AN49" i="12"/>
  <c r="AW93" i="12"/>
  <c r="AU111" i="12"/>
  <c r="AR102" i="12"/>
  <c r="AY83" i="12"/>
  <c r="AO53" i="12"/>
  <c r="AP122" i="12"/>
  <c r="AT8" i="12"/>
  <c r="AO50" i="12"/>
  <c r="AQ101" i="12"/>
  <c r="AS42" i="12"/>
  <c r="AM109" i="12"/>
  <c r="AR35" i="12"/>
  <c r="AL108" i="12"/>
  <c r="AZ36" i="12"/>
  <c r="AT105" i="12"/>
  <c r="AO105" i="12"/>
  <c r="AL54" i="12"/>
  <c r="BA87" i="12"/>
  <c r="AS106" i="12"/>
  <c r="AV51" i="12"/>
  <c r="AY74" i="12"/>
  <c r="AW25" i="12"/>
  <c r="AM32" i="12"/>
  <c r="AN89" i="12"/>
  <c r="AQ90" i="12"/>
  <c r="AS25" i="12"/>
  <c r="BA122" i="12"/>
  <c r="AS99" i="12"/>
  <c r="AO19" i="12"/>
  <c r="AP117" i="12"/>
  <c r="AL28" i="12"/>
  <c r="AP61" i="12"/>
  <c r="BA120" i="12"/>
  <c r="AN58" i="12"/>
  <c r="AV12" i="12"/>
  <c r="AP96" i="12"/>
  <c r="BA55" i="12"/>
  <c r="AM58" i="12"/>
  <c r="AN68" i="12"/>
  <c r="AR38" i="12"/>
  <c r="AX115" i="12"/>
  <c r="AP24" i="12"/>
  <c r="AQ103" i="12"/>
  <c r="AT57" i="12"/>
  <c r="AR37" i="12"/>
  <c r="AQ9" i="12"/>
  <c r="AZ84" i="12"/>
  <c r="AX54" i="12"/>
  <c r="AL16" i="12"/>
  <c r="BA116" i="12"/>
  <c r="AQ79" i="12"/>
  <c r="AL119" i="12"/>
  <c r="BA80" i="12"/>
  <c r="AP109" i="12"/>
  <c r="AT91" i="12"/>
  <c r="AZ42" i="12"/>
  <c r="AP119" i="12"/>
  <c r="AO112" i="12"/>
  <c r="AP37" i="12"/>
  <c r="AL86" i="12"/>
  <c r="AR70" i="12"/>
  <c r="AR47" i="12"/>
  <c r="AZ13" i="12"/>
  <c r="AS107" i="12"/>
  <c r="AU55" i="12"/>
  <c r="AV42" i="12"/>
  <c r="AO87" i="12"/>
  <c r="AO12" i="12"/>
  <c r="AM16" i="12"/>
  <c r="AR101" i="12"/>
  <c r="AN11" i="12"/>
  <c r="AX72" i="12"/>
  <c r="AZ91" i="12"/>
  <c r="AR110" i="12"/>
  <c r="AS14" i="12"/>
  <c r="AU60" i="12"/>
  <c r="AU115" i="12"/>
  <c r="AM119" i="12"/>
  <c r="AR31" i="12"/>
  <c r="AT54" i="12"/>
  <c r="AW94" i="12"/>
  <c r="AM18" i="12"/>
  <c r="AM39" i="12"/>
  <c r="AW41" i="12"/>
  <c r="BA105" i="12"/>
  <c r="AZ116" i="12"/>
  <c r="AS108" i="12"/>
  <c r="AN55" i="12"/>
  <c r="AZ65" i="12"/>
  <c r="AV66" i="12"/>
  <c r="AT31" i="12"/>
  <c r="AV48" i="12"/>
  <c r="AT122" i="12"/>
  <c r="AR115" i="12"/>
  <c r="AL19" i="12"/>
  <c r="BA17" i="12"/>
  <c r="AU93" i="12"/>
  <c r="AT29" i="12"/>
  <c r="AQ94" i="12"/>
  <c r="AL32" i="12"/>
  <c r="AU37" i="12"/>
  <c r="AO66" i="12"/>
  <c r="AY10" i="12"/>
  <c r="AP59" i="12"/>
  <c r="AO36" i="12"/>
  <c r="AQ25" i="12"/>
  <c r="AT104" i="12"/>
  <c r="AZ55" i="12"/>
  <c r="AL116" i="12"/>
  <c r="BA28" i="12"/>
  <c r="AU76" i="12"/>
  <c r="AU29" i="12"/>
  <c r="AO55" i="12"/>
  <c r="AP70" i="12"/>
  <c r="AO81" i="12"/>
  <c r="AX116" i="12"/>
  <c r="AN24" i="12"/>
  <c r="AM26" i="12"/>
  <c r="AX12" i="12"/>
  <c r="AR60" i="12"/>
  <c r="AZ32" i="12"/>
  <c r="AX73" i="12"/>
  <c r="AQ106" i="12"/>
  <c r="AP34" i="12"/>
  <c r="AX91" i="12"/>
  <c r="AT75" i="12"/>
  <c r="AQ13" i="12"/>
  <c r="AS26" i="12"/>
  <c r="AS17" i="12"/>
  <c r="AW37" i="12"/>
  <c r="AY8" i="12"/>
  <c r="AW48" i="12"/>
  <c r="AX78" i="12"/>
  <c r="AL42" i="12"/>
  <c r="AN9" i="12"/>
  <c r="AV121" i="12"/>
  <c r="AV53" i="12"/>
  <c r="BA117" i="12"/>
  <c r="AQ17" i="12"/>
  <c r="AW15" i="12"/>
  <c r="AV86" i="12"/>
  <c r="AP12" i="12"/>
  <c r="AO69" i="12"/>
  <c r="AN107" i="12"/>
  <c r="AM111" i="12"/>
  <c r="BA77" i="12"/>
  <c r="AQ85" i="12"/>
  <c r="BA19" i="12"/>
  <c r="AN61" i="12"/>
  <c r="AM114" i="12"/>
  <c r="AL109" i="12"/>
  <c r="AR87" i="12"/>
  <c r="AL48" i="12"/>
  <c r="BA69" i="12"/>
  <c r="AS78" i="12"/>
  <c r="AY110" i="12"/>
  <c r="AU36" i="12"/>
  <c r="AR26" i="12"/>
  <c r="AW13" i="12"/>
  <c r="AT98" i="12"/>
  <c r="AW69" i="12"/>
  <c r="AQ22" i="12"/>
  <c r="AU117" i="12"/>
  <c r="AO11" i="12"/>
  <c r="AX69" i="12"/>
  <c r="AN19" i="12"/>
  <c r="AQ77" i="12"/>
  <c r="AW62" i="12"/>
  <c r="AL91" i="12"/>
  <c r="AP53" i="12"/>
  <c r="AN119" i="12"/>
  <c r="AX55" i="12"/>
  <c r="AZ75" i="12"/>
  <c r="AY71" i="12"/>
  <c r="AQ116" i="12"/>
  <c r="AP99" i="12"/>
  <c r="BA107" i="12"/>
  <c r="AR90" i="12"/>
  <c r="AZ19" i="12"/>
  <c r="AL38" i="12"/>
  <c r="AQ53" i="12"/>
  <c r="AY43" i="12"/>
  <c r="AN59" i="12"/>
  <c r="AS62" i="12"/>
  <c r="AU104" i="12"/>
  <c r="AQ62" i="12"/>
  <c r="AS51" i="12"/>
  <c r="AM88" i="12"/>
  <c r="AY50" i="12"/>
  <c r="AV56" i="12"/>
  <c r="AR103" i="12"/>
  <c r="AN26" i="12"/>
  <c r="AO90" i="12"/>
  <c r="AZ103" i="12"/>
  <c r="AQ26" i="12"/>
  <c r="AV112" i="12"/>
  <c r="BA108" i="12"/>
  <c r="AR72" i="12"/>
  <c r="AM89" i="12"/>
  <c r="AP79" i="12"/>
  <c r="AL45" i="12"/>
  <c r="AQ95" i="12"/>
  <c r="AZ27" i="12"/>
  <c r="AN50" i="12"/>
  <c r="AY94" i="12"/>
  <c r="AP118" i="12"/>
  <c r="AT119" i="12"/>
  <c r="BA94" i="12"/>
  <c r="AQ12" i="12"/>
  <c r="AW64" i="12"/>
  <c r="AW18" i="12"/>
  <c r="AQ115" i="12"/>
  <c r="AY75" i="12"/>
  <c r="AY96" i="12"/>
  <c r="AY9" i="12"/>
  <c r="AR9" i="12"/>
  <c r="AW76" i="12"/>
  <c r="AL112" i="12"/>
  <c r="AN48" i="12"/>
  <c r="AP120" i="12"/>
  <c r="AQ89" i="12"/>
  <c r="AM74" i="12"/>
  <c r="AN104" i="12"/>
  <c r="AP18" i="12"/>
  <c r="AY100" i="12"/>
  <c r="AY118" i="12"/>
  <c r="AZ106" i="12"/>
  <c r="AO8" i="12"/>
  <c r="AY121" i="12"/>
  <c r="AL104" i="12"/>
  <c r="AR65" i="12"/>
  <c r="AR68" i="12"/>
  <c r="AO62" i="12"/>
  <c r="AP102" i="12"/>
  <c r="AL50" i="12"/>
  <c r="AP115" i="12"/>
  <c r="AQ32" i="12"/>
  <c r="AZ120" i="12"/>
  <c r="AZ71" i="12"/>
  <c r="AX24" i="12"/>
  <c r="AZ101" i="12"/>
  <c r="AW87" i="12"/>
  <c r="AM40" i="12"/>
  <c r="AT33" i="12"/>
  <c r="AO9" i="12"/>
  <c r="BA45" i="12"/>
  <c r="AM81" i="12"/>
  <c r="AT63" i="12"/>
  <c r="AR61" i="12"/>
  <c r="AQ110" i="12"/>
  <c r="AO73" i="12"/>
  <c r="AM33" i="12"/>
  <c r="BA27" i="12"/>
  <c r="AO56" i="12"/>
  <c r="AL107" i="12"/>
  <c r="AM62" i="12"/>
  <c r="AL33" i="12"/>
  <c r="AZ33" i="12"/>
  <c r="AW26" i="12"/>
  <c r="AO51" i="12"/>
  <c r="AL18" i="12"/>
  <c r="AL21" i="12"/>
  <c r="BA101" i="12"/>
  <c r="AP26" i="12"/>
  <c r="AQ46" i="12"/>
  <c r="AV77" i="12"/>
  <c r="AZ34" i="12"/>
  <c r="AP27" i="12"/>
  <c r="AN120" i="12"/>
  <c r="AP91" i="12"/>
  <c r="AV58" i="12"/>
  <c r="AU19" i="12"/>
  <c r="AZ43" i="12"/>
  <c r="AN63" i="12"/>
  <c r="AP17" i="12"/>
  <c r="AN85" i="12"/>
  <c r="AP81" i="12"/>
  <c r="BA46" i="12"/>
  <c r="AW96" i="12"/>
  <c r="AZ30" i="12"/>
  <c r="AN72" i="12"/>
  <c r="AW103" i="12"/>
  <c r="AU121" i="12"/>
  <c r="AS15" i="12"/>
  <c r="AV35" i="12"/>
  <c r="AR27" i="12"/>
  <c r="AO70" i="12"/>
  <c r="BA98" i="12"/>
  <c r="AO18" i="12"/>
  <c r="AS102" i="12"/>
  <c r="AL13" i="12"/>
  <c r="AS58" i="12"/>
  <c r="AP114" i="12"/>
  <c r="AY85" i="12"/>
  <c r="AN32" i="12"/>
  <c r="AU99" i="12"/>
  <c r="AL110" i="12"/>
  <c r="AM90" i="12"/>
  <c r="AT99" i="12"/>
  <c r="AY116" i="12"/>
  <c r="AY77" i="12"/>
  <c r="AP88" i="12"/>
  <c r="AM108" i="12"/>
  <c r="AZ76" i="12"/>
  <c r="AS73" i="12"/>
  <c r="AR42" i="12"/>
  <c r="AX117" i="12"/>
  <c r="AQ61" i="12"/>
  <c r="AR23" i="12"/>
  <c r="AW27" i="12"/>
  <c r="AS70" i="12"/>
  <c r="AQ51" i="12"/>
  <c r="AX103" i="12"/>
  <c r="AM100" i="12"/>
  <c r="AU15" i="12"/>
  <c r="AY27" i="12"/>
  <c r="BA73" i="12"/>
  <c r="AL102" i="12"/>
  <c r="AR118" i="12"/>
  <c r="AM53" i="12"/>
  <c r="AU18" i="12"/>
  <c r="AS12" i="12"/>
  <c r="AT81" i="12"/>
  <c r="AN71" i="12"/>
  <c r="AM80" i="12"/>
  <c r="AL62" i="12"/>
  <c r="AU102" i="12"/>
  <c r="AO100" i="12"/>
  <c r="AZ107" i="12"/>
  <c r="AN109" i="12"/>
  <c r="AS79" i="12"/>
  <c r="AN87" i="12"/>
  <c r="AQ102" i="12"/>
  <c r="AM71" i="12"/>
  <c r="AY82" i="12"/>
  <c r="AX119" i="12"/>
  <c r="AR39" i="12"/>
  <c r="AY87" i="12"/>
  <c r="AO117" i="12"/>
  <c r="AR109" i="12"/>
  <c r="AT27" i="12"/>
  <c r="AN105" i="12"/>
  <c r="BA33" i="12"/>
  <c r="AM41" i="12"/>
  <c r="AL35" i="12"/>
  <c r="AQ28" i="12"/>
  <c r="AR112" i="12"/>
  <c r="AP100" i="12"/>
  <c r="AL111" i="12"/>
  <c r="AS43" i="12"/>
  <c r="AX111" i="12"/>
  <c r="AY33" i="12"/>
  <c r="AY78" i="12"/>
  <c r="AW84" i="12"/>
  <c r="AR74" i="12"/>
  <c r="AL113" i="12"/>
  <c r="AT42" i="12"/>
  <c r="AL25" i="12"/>
  <c r="AS33" i="12"/>
  <c r="AO102" i="12"/>
  <c r="AN28" i="12"/>
  <c r="AU114" i="12"/>
  <c r="AZ111" i="12"/>
  <c r="AR116" i="12"/>
  <c r="BA75" i="12"/>
  <c r="AS56" i="12"/>
  <c r="AW17" i="12"/>
  <c r="AX121" i="12"/>
  <c r="AT32" i="12"/>
  <c r="AQ29" i="12"/>
  <c r="AW67" i="12"/>
  <c r="BA53" i="12"/>
  <c r="AT107" i="12"/>
  <c r="AP56" i="12"/>
  <c r="AY21" i="12"/>
  <c r="AZ117" i="12"/>
  <c r="BA13" i="12"/>
  <c r="AM56" i="12"/>
  <c r="AW107" i="12"/>
  <c r="AX79" i="12"/>
  <c r="AM98" i="12"/>
  <c r="AL114" i="12"/>
  <c r="AW90" i="12"/>
  <c r="AS57" i="12"/>
  <c r="AL23" i="12"/>
  <c r="AR67" i="12"/>
  <c r="AX48" i="12"/>
  <c r="AX65" i="12"/>
  <c r="AZ14" i="12"/>
  <c r="AT23" i="12"/>
  <c r="BA52" i="12"/>
  <c r="BA114" i="12"/>
  <c r="AY90" i="12"/>
  <c r="AV92" i="12"/>
  <c r="AQ27" i="12"/>
  <c r="AS52" i="12"/>
  <c r="AY109" i="12"/>
  <c r="AY92" i="12"/>
  <c r="AR30" i="12"/>
  <c r="AS53" i="12"/>
  <c r="AO95" i="12"/>
  <c r="AP20" i="12"/>
  <c r="AT61" i="12"/>
  <c r="AV78" i="12"/>
  <c r="AZ12" i="12"/>
  <c r="AW100" i="12"/>
  <c r="AQ54" i="12"/>
  <c r="AR62" i="12"/>
  <c r="AM94" i="12"/>
  <c r="AY52" i="12"/>
  <c r="AV25" i="12"/>
  <c r="AS118" i="12"/>
  <c r="AQ58" i="12"/>
  <c r="AT64" i="12"/>
  <c r="AZ41" i="12"/>
  <c r="AL31" i="12"/>
  <c r="AS97" i="12"/>
  <c r="AU11" i="12"/>
  <c r="AR45" i="12"/>
  <c r="AP63" i="12"/>
  <c r="AX22" i="12"/>
  <c r="AO120" i="12"/>
  <c r="AM82" i="12"/>
  <c r="AP62" i="12"/>
  <c r="AR71" i="12"/>
  <c r="AS21" i="12"/>
  <c r="AY119" i="12"/>
  <c r="AT55" i="12"/>
  <c r="AQ111" i="12"/>
  <c r="AW51" i="12"/>
  <c r="AS18" i="12"/>
  <c r="AS8" i="12"/>
  <c r="AW74" i="12"/>
  <c r="AN97" i="12"/>
  <c r="AY111" i="12"/>
  <c r="AR59" i="12"/>
  <c r="AN52" i="12"/>
  <c r="AQ114" i="12"/>
  <c r="AT67" i="12"/>
  <c r="AY34" i="12"/>
  <c r="AY64" i="12"/>
  <c r="AM43" i="12"/>
  <c r="AO85" i="12"/>
  <c r="AV110" i="12"/>
  <c r="AQ119" i="12"/>
  <c r="AS46" i="12"/>
  <c r="AL61" i="12"/>
  <c r="AQ109" i="12"/>
  <c r="AU106" i="12"/>
  <c r="AO47" i="12"/>
  <c r="AX80" i="12"/>
  <c r="AO101" i="12"/>
  <c r="BA31" i="12"/>
  <c r="AU80" i="12"/>
  <c r="AW70" i="12"/>
  <c r="AU53" i="12"/>
  <c r="AS49" i="12"/>
  <c r="AZ39" i="12"/>
  <c r="AM92" i="12"/>
  <c r="AW14" i="12"/>
  <c r="AQ113" i="12"/>
  <c r="AZ46" i="12"/>
  <c r="BA20" i="12"/>
  <c r="AZ78" i="12"/>
  <c r="AU8" i="12"/>
  <c r="AM44" i="12"/>
  <c r="BA26" i="12"/>
  <c r="AT30" i="12"/>
  <c r="AR122" i="12"/>
  <c r="AU27" i="12"/>
  <c r="AV30" i="12"/>
  <c r="BA10" i="12"/>
  <c r="AL89" i="12"/>
  <c r="AQ104" i="12"/>
  <c r="AU50" i="12"/>
  <c r="BA90" i="12"/>
  <c r="AL120" i="12"/>
  <c r="AM23" i="12"/>
  <c r="AR53" i="12"/>
  <c r="AX16" i="12"/>
  <c r="AQ76" i="12"/>
  <c r="AL65" i="12"/>
  <c r="AO114" i="12"/>
  <c r="AM60" i="12"/>
  <c r="AU70" i="12"/>
  <c r="AV72" i="12"/>
  <c r="AL51" i="12"/>
  <c r="AQ67" i="12"/>
  <c r="AZ38" i="12"/>
  <c r="AZ115" i="12"/>
  <c r="AO61" i="12"/>
  <c r="AS40" i="12"/>
  <c r="AY61" i="12"/>
  <c r="AY101" i="12"/>
  <c r="BA88" i="12"/>
  <c r="AV37" i="12"/>
  <c r="BA35" i="12"/>
  <c r="AN39" i="12"/>
  <c r="AN80" i="12"/>
  <c r="AX28" i="12"/>
  <c r="AN35" i="12"/>
  <c r="AO58" i="12"/>
  <c r="BA70" i="12"/>
  <c r="AS48" i="12"/>
  <c r="AU105" i="12"/>
  <c r="AS113" i="12"/>
  <c r="AS109" i="12"/>
  <c r="AT10" i="12"/>
  <c r="BA8" i="12"/>
  <c r="AU100" i="12"/>
  <c r="AY51" i="12"/>
  <c r="AU57" i="12"/>
  <c r="AU30" i="12"/>
  <c r="AO106" i="12"/>
  <c r="AP110" i="12"/>
  <c r="AW102" i="12"/>
  <c r="AV120" i="12"/>
  <c r="AY26" i="12"/>
  <c r="BA97" i="12"/>
  <c r="AW85" i="12"/>
  <c r="BA74" i="12"/>
  <c r="AT88" i="12"/>
  <c r="AU110" i="12"/>
  <c r="AX41" i="12"/>
  <c r="AQ50" i="12"/>
  <c r="AO32" i="12"/>
  <c r="AS88" i="12"/>
  <c r="AY37" i="12"/>
  <c r="AO63" i="12"/>
  <c r="AT46" i="12"/>
  <c r="AZ10" i="12"/>
  <c r="AT108" i="12"/>
  <c r="AW39" i="12"/>
  <c r="AL36" i="12"/>
  <c r="AV114" i="12"/>
  <c r="BA41" i="12"/>
  <c r="AV62" i="12"/>
  <c r="AV93" i="12"/>
  <c r="AT39" i="12"/>
  <c r="AR120" i="12"/>
  <c r="AZ47" i="12"/>
  <c r="AR29" i="12"/>
  <c r="BA42" i="12"/>
  <c r="AY99" i="12"/>
  <c r="AW58" i="12"/>
  <c r="AP33" i="12"/>
  <c r="AR20" i="12"/>
  <c r="AL8" i="12"/>
  <c r="BA104" i="12"/>
  <c r="AZ29" i="12"/>
  <c r="AZ119" i="12"/>
  <c r="AZ74" i="12"/>
  <c r="AO121" i="12"/>
  <c r="AT25" i="12"/>
  <c r="AU34" i="12"/>
  <c r="AZ51" i="12"/>
  <c r="AS77" i="12"/>
  <c r="BA76" i="12"/>
  <c r="AN99" i="12"/>
  <c r="AZ28" i="12"/>
  <c r="AP36" i="12"/>
  <c r="AP25" i="12"/>
  <c r="AX18" i="12"/>
  <c r="AP57" i="12"/>
  <c r="AN27" i="12"/>
  <c r="AM66" i="12"/>
  <c r="AX90" i="12"/>
  <c r="AQ30" i="12"/>
  <c r="AT73" i="12"/>
  <c r="BA30" i="12"/>
  <c r="AM45" i="12"/>
  <c r="BA38" i="12"/>
  <c r="AW121" i="12"/>
  <c r="AT113" i="12"/>
  <c r="AV117" i="12"/>
  <c r="AY58" i="12"/>
  <c r="AS28" i="12"/>
  <c r="AW120" i="12"/>
  <c r="AW77" i="12"/>
  <c r="AW65" i="12"/>
  <c r="AW113" i="12"/>
  <c r="AY122" i="12"/>
  <c r="AZ99" i="12"/>
  <c r="AO118" i="12"/>
  <c r="AP73" i="12"/>
  <c r="AT118" i="12"/>
  <c r="AY104" i="12"/>
  <c r="AU71" i="12"/>
  <c r="AX17" i="12"/>
  <c r="BA67" i="12"/>
  <c r="AU74" i="12"/>
  <c r="AV67" i="12"/>
  <c r="AW61" i="12"/>
  <c r="AV36" i="12"/>
  <c r="AY63" i="12"/>
  <c r="AV82" i="12"/>
  <c r="AZ11" i="12"/>
  <c r="AU68" i="12"/>
  <c r="BA40" i="12"/>
  <c r="AL15" i="12"/>
  <c r="AQ31" i="12"/>
  <c r="AN116" i="12"/>
  <c r="AR77" i="12"/>
  <c r="AR73" i="12"/>
  <c r="AT110" i="12"/>
  <c r="BA81" i="12"/>
  <c r="AL47" i="12"/>
  <c r="AR66" i="12"/>
  <c r="AY84" i="12"/>
  <c r="AV90" i="12"/>
  <c r="AS111" i="12"/>
  <c r="AR99" i="12"/>
  <c r="AX60" i="12"/>
  <c r="AZ90" i="12"/>
  <c r="AN100" i="12"/>
  <c r="AQ48" i="12"/>
  <c r="AP31" i="12"/>
  <c r="AQ37" i="12"/>
  <c r="BA106" i="12"/>
  <c r="BA89" i="12"/>
  <c r="AX98" i="12"/>
  <c r="AP87" i="12"/>
  <c r="AW73" i="12"/>
  <c r="AP39" i="12"/>
  <c r="AN37" i="12"/>
  <c r="AL41" i="12"/>
  <c r="AM121" i="12"/>
  <c r="AW11" i="12"/>
  <c r="AW81" i="12"/>
  <c r="AN74" i="12"/>
  <c r="AT16" i="12"/>
  <c r="AO44" i="12"/>
  <c r="AP14" i="12"/>
  <c r="AP30" i="12"/>
  <c r="AT60" i="12"/>
  <c r="BA66" i="12"/>
  <c r="AS91" i="12"/>
  <c r="AW111" i="12"/>
  <c r="AU69" i="12"/>
  <c r="AR12" i="12"/>
  <c r="AU32" i="12"/>
  <c r="AV102" i="12"/>
  <c r="AX36" i="12"/>
  <c r="AS87" i="12"/>
  <c r="AU82" i="12"/>
  <c r="AV34" i="12"/>
  <c r="BA121" i="12"/>
  <c r="AT117" i="12"/>
  <c r="AM65" i="12"/>
  <c r="AM87" i="12"/>
  <c r="AW112" i="12"/>
  <c r="AP54" i="12"/>
  <c r="AR8" i="12"/>
  <c r="AQ63" i="12"/>
  <c r="AZ59" i="12"/>
  <c r="AT26" i="12"/>
  <c r="AR69" i="12"/>
  <c r="AW24" i="12"/>
  <c r="AV111" i="12"/>
  <c r="AZ66" i="12"/>
  <c r="AY49" i="12"/>
  <c r="AO71" i="12"/>
  <c r="AO17" i="12"/>
  <c r="BA16" i="12"/>
  <c r="AS31" i="12"/>
  <c r="AO65" i="12"/>
  <c r="AX85" i="12"/>
  <c r="AN67" i="12"/>
  <c r="AV105" i="12"/>
  <c r="AO15" i="12"/>
  <c r="AU101" i="12"/>
  <c r="AR34" i="12"/>
  <c r="AM36" i="12"/>
  <c r="AZ82" i="12"/>
  <c r="AV40" i="12"/>
</calcChain>
</file>

<file path=xl/comments1.xml><?xml version="1.0" encoding="utf-8"?>
<comments xmlns="http://schemas.openxmlformats.org/spreadsheetml/2006/main">
  <authors>
    <author>Chen SiYu</author>
  </authors>
  <commentList>
    <comment ref="D7" authorId="0" shapeId="0">
      <text>
        <r>
          <rPr>
            <b/>
            <sz val="9"/>
            <color indexed="81"/>
            <rFont val="宋体"/>
            <family val="3"/>
            <charset val="134"/>
          </rPr>
          <t>使用注释:
您可通过调整起始与截止日期以提取所需时间段的数据。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格式：YYYYMMDD</t>
        </r>
      </text>
    </comment>
    <comment ref="D8" authorId="0" shapeId="0">
      <text>
        <r>
          <rPr>
            <b/>
            <sz val="9"/>
            <color indexed="81"/>
            <rFont val="宋体"/>
            <family val="3"/>
            <charset val="134"/>
          </rPr>
          <t>使用注释:
您可通过调整起始与截止日期以提取所需时间段的数据。
格式：YYYYMMDD</t>
        </r>
      </text>
    </comment>
    <comment ref="H8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D10" authorId="0" shapeId="0">
      <text>
        <r>
          <rPr>
            <b/>
            <sz val="9"/>
            <color indexed="81"/>
            <rFont val="宋体"/>
            <family val="3"/>
            <charset val="134"/>
          </rPr>
          <t>使用注释:
可在此处输入“全部”、“主板”、“科创板”、“创业板”、“北证”来控制输出的数据内容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<sst xmlns="http://schemas.openxmlformats.org/spreadsheetml/2006/main" count="1013" uniqueCount="462">
  <si>
    <t>数据集名称</t>
  </si>
  <si>
    <t>新股发行资料</t>
  </si>
  <si>
    <t>截止日期</t>
  </si>
  <si>
    <t>日期类型</t>
  </si>
  <si>
    <t>网上发行日期</t>
  </si>
  <si>
    <t>上市板</t>
  </si>
  <si>
    <t>wind代码</t>
  </si>
  <si>
    <t>sec_name</t>
    <phoneticPr fontId="1" type="noConversion"/>
  </si>
  <si>
    <t>名称</t>
  </si>
  <si>
    <t>prospectus_date</t>
  </si>
  <si>
    <t>招股日期</t>
  </si>
  <si>
    <t>online_issue_date</t>
  </si>
  <si>
    <t>listing_date</t>
  </si>
  <si>
    <t>上市日期</t>
  </si>
  <si>
    <t>ipo_board</t>
  </si>
  <si>
    <t>上市版</t>
  </si>
  <si>
    <t>issue_price</t>
  </si>
  <si>
    <t>发行价格</t>
  </si>
  <si>
    <t>ipo_pe</t>
  </si>
  <si>
    <t>发行市盈率</t>
  </si>
  <si>
    <t>offline_amt</t>
  </si>
  <si>
    <t>网下配售数量(万股)</t>
  </si>
  <si>
    <t>offline_issue_amt</t>
  </si>
  <si>
    <t>网上发行数量(万股)</t>
  </si>
  <si>
    <t>investor_num</t>
  </si>
  <si>
    <t>投资者家数</t>
  </si>
  <si>
    <t>ri_target</t>
  </si>
  <si>
    <t>配售对象数量(个)</t>
  </si>
  <si>
    <t>enquiry_purchase_amt</t>
  </si>
  <si>
    <t>询价申购数量(万股)</t>
  </si>
  <si>
    <t>enquiry_purchase_ratio_</t>
  </si>
  <si>
    <t>询价认购倍数</t>
  </si>
  <si>
    <t>valid_ri_target</t>
  </si>
  <si>
    <t>有效报价配售对象家数</t>
  </si>
  <si>
    <t>valid_investors</t>
  </si>
  <si>
    <t>有效报价投资者家数</t>
  </si>
  <si>
    <t>valid_purchase</t>
  </si>
  <si>
    <t>有效申购配售对象家数</t>
  </si>
  <si>
    <t>offline_btc_ratio</t>
  </si>
  <si>
    <t>网下申购获配比例(%)</t>
  </si>
  <si>
    <t>offline_os_ratio</t>
  </si>
  <si>
    <t>网下认购倍数</t>
  </si>
  <si>
    <t>StrategicAllotmentRatio</t>
  </si>
  <si>
    <t>网下战略配售获配股份占比</t>
  </si>
  <si>
    <t>issue_type</t>
  </si>
  <si>
    <t>发行方式</t>
  </si>
  <si>
    <t>lead_underwriter</t>
  </si>
  <si>
    <t>主承销商</t>
  </si>
  <si>
    <t>issue_announcedate</t>
  </si>
  <si>
    <t>发行公告日</t>
  </si>
  <si>
    <t>offline_start_date</t>
  </si>
  <si>
    <t>网下发行起始日</t>
  </si>
  <si>
    <t>offline_end_date</t>
  </si>
  <si>
    <t>网下发行止日期</t>
  </si>
  <si>
    <t>online_blocked_funds</t>
  </si>
  <si>
    <t>网上发行冻结资金(亿元)</t>
  </si>
  <si>
    <t>offline_blocked_funds</t>
  </si>
  <si>
    <t>网下配售冻结资金(亿元)</t>
  </si>
  <si>
    <t>windIndustry</t>
  </si>
  <si>
    <t>Wind行业</t>
  </si>
  <si>
    <t>stockType</t>
  </si>
  <si>
    <t>证券类型</t>
  </si>
  <si>
    <t>exchange</t>
  </si>
  <si>
    <t>交易所</t>
  </si>
  <si>
    <t>最近更新：</t>
    <phoneticPr fontId="9" type="noConversion"/>
  </si>
  <si>
    <t>wind_code</t>
    <phoneticPr fontId="9" type="noConversion"/>
  </si>
  <si>
    <t>起始日期</t>
    <phoneticPr fontId="9" type="noConversion"/>
  </si>
  <si>
    <t>基础信息</t>
    <phoneticPr fontId="9" type="noConversion"/>
  </si>
  <si>
    <t>20220301</t>
    <phoneticPr fontId="1" type="noConversion"/>
  </si>
  <si>
    <t>全部</t>
    <phoneticPr fontId="9" type="noConversion"/>
  </si>
  <si>
    <t>IPO发行资料</t>
    <phoneticPr fontId="9" type="noConversion"/>
  </si>
  <si>
    <t>数据信息</t>
    <phoneticPr fontId="9" type="noConversion"/>
  </si>
  <si>
    <t>询价与配售日期</t>
    <phoneticPr fontId="9" type="noConversion"/>
  </si>
  <si>
    <t>初步询价公告日</t>
    <phoneticPr fontId="9" type="noConversion"/>
  </si>
  <si>
    <t>初步询价起始日</t>
    <phoneticPr fontId="9" type="noConversion"/>
  </si>
  <si>
    <t>初步询价截止日</t>
    <phoneticPr fontId="9" type="noConversion"/>
  </si>
  <si>
    <t>初步询价结果公告日</t>
    <phoneticPr fontId="9" type="noConversion"/>
  </si>
  <si>
    <t>网下申购截止日（t）</t>
    <phoneticPr fontId="9" type="noConversion"/>
  </si>
  <si>
    <t>网下申购缴款日</t>
    <phoneticPr fontId="9" type="noConversion"/>
  </si>
  <si>
    <t>网下配售结果公告日</t>
    <phoneticPr fontId="9" type="noConversion"/>
  </si>
  <si>
    <t>20220621</t>
    <phoneticPr fontId="9" type="noConversion"/>
  </si>
  <si>
    <t>网下报价数据</t>
    <phoneticPr fontId="9" type="noConversion"/>
  </si>
  <si>
    <t>网下有效报价下限(元)</t>
    <phoneticPr fontId="9" type="noConversion"/>
  </si>
  <si>
    <t>网下有效报价申购数量(亿股)</t>
    <phoneticPr fontId="9" type="noConversion"/>
  </si>
  <si>
    <t>网下有效报价申购量比例(%)</t>
    <phoneticPr fontId="9" type="noConversion"/>
  </si>
  <si>
    <t>网下高于有效报价上限的申购量(亿股)</t>
    <phoneticPr fontId="9" type="noConversion"/>
  </si>
  <si>
    <t>网下有效报价上限(元)</t>
    <phoneticPr fontId="9" type="noConversion"/>
  </si>
  <si>
    <t>网下高于有效报价上限的申购量比例(%)</t>
    <phoneticPr fontId="9" type="noConversion"/>
  </si>
  <si>
    <t>网下投资者中签率</t>
    <phoneticPr fontId="9" type="noConversion"/>
  </si>
  <si>
    <t>网下A类投资者中签率(%)</t>
    <phoneticPr fontId="9" type="noConversion"/>
  </si>
  <si>
    <t>网下B类投资者中签率(%)</t>
    <phoneticPr fontId="9" type="noConversion"/>
  </si>
  <si>
    <t>网下C类投资者中签率(%)</t>
    <phoneticPr fontId="9" type="noConversion"/>
  </si>
  <si>
    <t>联合精密</t>
    <phoneticPr fontId="1" type="noConversion"/>
  </si>
  <si>
    <t>深证主板</t>
    <phoneticPr fontId="9" type="noConversion"/>
  </si>
  <si>
    <t>A股</t>
    <phoneticPr fontId="9" type="noConversion"/>
  </si>
  <si>
    <t>深圳</t>
    <phoneticPr fontId="9" type="noConversion"/>
  </si>
  <si>
    <t>IPO发行报价</t>
  </si>
  <si>
    <t>网下询价,网上定价</t>
    <phoneticPr fontId="9" type="noConversion"/>
  </si>
  <si>
    <t>光大证券股份有限公司</t>
    <phoneticPr fontId="9" type="noConversion"/>
  </si>
  <si>
    <t>工业--资本货物--机械--工业机械</t>
    <phoneticPr fontId="9" type="noConversion"/>
  </si>
  <si>
    <t>601089.SH</t>
    <phoneticPr fontId="1" type="noConversion"/>
  </si>
  <si>
    <t>福元医药</t>
    <phoneticPr fontId="1" type="noConversion"/>
  </si>
  <si>
    <t>上证主板</t>
    <phoneticPr fontId="1" type="noConversion"/>
  </si>
  <si>
    <t>网下询价,网上定价</t>
    <phoneticPr fontId="1" type="noConversion"/>
  </si>
  <si>
    <t>中信建投证券股份有限公司</t>
    <phoneticPr fontId="1" type="noConversion"/>
  </si>
  <si>
    <t>医疗保健--制药、生物科技与生命科学--制药--西药</t>
    <phoneticPr fontId="1" type="noConversion"/>
  </si>
  <si>
    <t>A股</t>
    <phoneticPr fontId="1" type="noConversion"/>
  </si>
  <si>
    <t>上海</t>
    <phoneticPr fontId="1" type="noConversion"/>
  </si>
  <si>
    <t>301239.SZ</t>
    <phoneticPr fontId="1" type="noConversion"/>
  </si>
  <si>
    <t>普瑞眼科</t>
    <phoneticPr fontId="1" type="noConversion"/>
  </si>
  <si>
    <t>创业板</t>
    <phoneticPr fontId="1" type="noConversion"/>
  </si>
  <si>
    <t>海通证券股份有限公司</t>
    <phoneticPr fontId="1" type="noConversion"/>
  </si>
  <si>
    <t>医疗保健--医疗保健设备与服务--医疗保健提供商与服务--保健护理设施</t>
    <phoneticPr fontId="1" type="noConversion"/>
  </si>
  <si>
    <t>深圳</t>
    <phoneticPr fontId="1" type="noConversion"/>
  </si>
  <si>
    <t>301112.SZ</t>
    <phoneticPr fontId="1" type="noConversion"/>
  </si>
  <si>
    <t>信邦智能</t>
    <phoneticPr fontId="1" type="noConversion"/>
  </si>
  <si>
    <t>创业板</t>
    <phoneticPr fontId="1" type="noConversion"/>
  </si>
  <si>
    <t>战略配售,网下询价,网上定价</t>
    <phoneticPr fontId="1" type="noConversion"/>
  </si>
  <si>
    <t>中信证券股份有限公司</t>
    <phoneticPr fontId="1" type="noConversion"/>
  </si>
  <si>
    <t>工业--资本货物--机械--工业机械</t>
    <phoneticPr fontId="1" type="noConversion"/>
  </si>
  <si>
    <t>A股</t>
    <phoneticPr fontId="1" type="noConversion"/>
  </si>
  <si>
    <t>深圳</t>
    <phoneticPr fontId="1" type="noConversion"/>
  </si>
  <si>
    <t>688047.SH</t>
    <phoneticPr fontId="1" type="noConversion"/>
  </si>
  <si>
    <t>龙芯中科</t>
    <phoneticPr fontId="1" type="noConversion"/>
  </si>
  <si>
    <t>科创板</t>
    <phoneticPr fontId="1" type="noConversion"/>
  </si>
  <si>
    <t>战略配售,网下询价,网上定价</t>
    <phoneticPr fontId="1" type="noConversion"/>
  </si>
  <si>
    <t>信息技术--半导体与半导体生产设备--半导体产品与半导体设备--半导体产品</t>
    <phoneticPr fontId="1" type="noConversion"/>
  </si>
  <si>
    <t>上海</t>
    <phoneticPr fontId="1" type="noConversion"/>
  </si>
  <si>
    <t>001316.SZ</t>
    <phoneticPr fontId="1" type="noConversion"/>
  </si>
  <si>
    <t>润贝航科</t>
    <phoneticPr fontId="1" type="noConversion"/>
  </si>
  <si>
    <t>深证主板</t>
    <phoneticPr fontId="1" type="noConversion"/>
  </si>
  <si>
    <t>网上定价</t>
    <phoneticPr fontId="1" type="noConversion"/>
  </si>
  <si>
    <t>国信证券股份有限公司</t>
    <phoneticPr fontId="1" type="noConversion"/>
  </si>
  <si>
    <t>材料--材料Ⅱ--化工--特种化工</t>
    <phoneticPr fontId="1" type="noConversion"/>
  </si>
  <si>
    <t>688297.SH</t>
    <phoneticPr fontId="1" type="noConversion"/>
  </si>
  <si>
    <t>中无人机</t>
    <phoneticPr fontId="1" type="noConversion"/>
  </si>
  <si>
    <t>科创板</t>
    <phoneticPr fontId="1" type="noConversion"/>
  </si>
  <si>
    <t>中信建投证券股份有限公司,中航证券有限公司</t>
    <phoneticPr fontId="1" type="noConversion"/>
  </si>
  <si>
    <t>工业--资本货物--航空航天与国防Ⅲ--航天航空与国防</t>
    <phoneticPr fontId="1" type="noConversion"/>
  </si>
  <si>
    <t>001323.SZ</t>
    <phoneticPr fontId="1" type="noConversion"/>
  </si>
  <si>
    <t>慕思股份</t>
    <phoneticPr fontId="1" type="noConversion"/>
  </si>
  <si>
    <t>招商证券股份有限公司</t>
    <phoneticPr fontId="1" type="noConversion"/>
  </si>
  <si>
    <t>可选消费--耐用消费品与服装--家庭耐用消费品--家庭装饰品</t>
    <phoneticPr fontId="1" type="noConversion"/>
  </si>
  <si>
    <t>301302.SZ</t>
    <phoneticPr fontId="1" type="noConversion"/>
  </si>
  <si>
    <t>华如科技</t>
    <phoneticPr fontId="1" type="noConversion"/>
  </si>
  <si>
    <t>信息技术--软件与服务--软件--应用软件</t>
    <phoneticPr fontId="1" type="noConversion"/>
  </si>
  <si>
    <t>001226.SZ</t>
    <phoneticPr fontId="1" type="noConversion"/>
  </si>
  <si>
    <t>拓山重工</t>
    <phoneticPr fontId="1" type="noConversion"/>
  </si>
  <si>
    <t>网上定价</t>
    <phoneticPr fontId="1" type="noConversion"/>
  </si>
  <si>
    <t>民生证券股份有限公司</t>
    <phoneticPr fontId="1" type="noConversion"/>
  </si>
  <si>
    <t>688349.SH</t>
    <phoneticPr fontId="1" type="noConversion"/>
  </si>
  <si>
    <t>三一重能</t>
    <phoneticPr fontId="1" type="noConversion"/>
  </si>
  <si>
    <t>工业--资本货物--电气设备--重型电气设备</t>
    <phoneticPr fontId="1" type="noConversion"/>
  </si>
  <si>
    <t>301220.SZ</t>
    <phoneticPr fontId="1" type="noConversion"/>
  </si>
  <si>
    <t>亚香股份</t>
    <phoneticPr fontId="1" type="noConversion"/>
  </si>
  <si>
    <t>平安证券股份有限公司,广发证券股份有限公司</t>
    <phoneticPr fontId="1" type="noConversion"/>
  </si>
  <si>
    <t>材料--材料Ⅱ--化工--基础化工</t>
    <phoneticPr fontId="1" type="noConversion"/>
  </si>
  <si>
    <t>301289.SZ</t>
    <phoneticPr fontId="1" type="noConversion"/>
  </si>
  <si>
    <t>国缆检测</t>
    <phoneticPr fontId="1" type="noConversion"/>
  </si>
  <si>
    <t>国泰君安证券股份有限公司</t>
    <phoneticPr fontId="1" type="noConversion"/>
  </si>
  <si>
    <t>工业--商业和专业服务--专业服务--调查和咨询服务</t>
    <phoneticPr fontId="1" type="noConversion"/>
  </si>
  <si>
    <t>833943.BJ</t>
    <phoneticPr fontId="1" type="noConversion"/>
  </si>
  <si>
    <t>优机股份</t>
    <phoneticPr fontId="1" type="noConversion"/>
  </si>
  <si>
    <t>北交所</t>
    <phoneticPr fontId="1" type="noConversion"/>
  </si>
  <si>
    <t>战略配售,网上定价</t>
    <phoneticPr fontId="1" type="noConversion"/>
  </si>
  <si>
    <t>东莞证券股份有限公司</t>
    <phoneticPr fontId="1" type="noConversion"/>
  </si>
  <si>
    <t>北京</t>
    <phoneticPr fontId="1" type="noConversion"/>
  </si>
  <si>
    <t>301156.SZ</t>
    <phoneticPr fontId="1" type="noConversion"/>
  </si>
  <si>
    <t>美农生物</t>
    <phoneticPr fontId="1" type="noConversion"/>
  </si>
  <si>
    <t>中泰证券股份有限公司</t>
    <phoneticPr fontId="1" type="noConversion"/>
  </si>
  <si>
    <t>日常消费--食品、饮料与烟草--食品--农产品</t>
    <phoneticPr fontId="1" type="noConversion"/>
  </si>
  <si>
    <t>301238.SZ</t>
    <phoneticPr fontId="1" type="noConversion"/>
  </si>
  <si>
    <t>瑞泰新材</t>
    <phoneticPr fontId="1" type="noConversion"/>
  </si>
  <si>
    <t>831278.BJ</t>
    <phoneticPr fontId="1" type="noConversion"/>
  </si>
  <si>
    <t>泰德股份</t>
    <phoneticPr fontId="1" type="noConversion"/>
  </si>
  <si>
    <t>战略配售,网上定价</t>
    <phoneticPr fontId="1" type="noConversion"/>
  </si>
  <si>
    <t>可选消费--汽车与汽车零部件--汽车零配件--机动车零配件与设备</t>
    <phoneticPr fontId="1" type="noConversion"/>
  </si>
  <si>
    <t>301286.SZ</t>
    <phoneticPr fontId="1" type="noConversion"/>
  </si>
  <si>
    <t>侨源股份</t>
    <phoneticPr fontId="1" type="noConversion"/>
  </si>
  <si>
    <t>材料--材料Ⅱ--化工--工业气体</t>
    <phoneticPr fontId="1" type="noConversion"/>
  </si>
  <si>
    <t>430564.BJ</t>
    <phoneticPr fontId="1" type="noConversion"/>
  </si>
  <si>
    <t>天润科技</t>
    <phoneticPr fontId="1" type="noConversion"/>
  </si>
  <si>
    <t>开源证券股份有限公司</t>
    <phoneticPr fontId="1" type="noConversion"/>
  </si>
  <si>
    <t>信息技术--软件与服务--互联网软件与服务Ⅲ--互联网软件与服务</t>
    <phoneticPr fontId="1" type="noConversion"/>
  </si>
  <si>
    <t>北京</t>
    <phoneticPr fontId="1" type="noConversion"/>
  </si>
  <si>
    <t>832491.BJ</t>
    <phoneticPr fontId="1" type="noConversion"/>
  </si>
  <si>
    <t>奥迪威</t>
    <phoneticPr fontId="1" type="noConversion"/>
  </si>
  <si>
    <t>北交所</t>
    <phoneticPr fontId="1" type="noConversion"/>
  </si>
  <si>
    <t>民生证券股份有限公司</t>
    <phoneticPr fontId="1" type="noConversion"/>
  </si>
  <si>
    <t>信息技术--技术硬件与设备--电子设备、仪器和元件--电子元件</t>
    <phoneticPr fontId="1" type="noConversion"/>
  </si>
  <si>
    <t>688348.SH</t>
    <phoneticPr fontId="1" type="noConversion"/>
  </si>
  <si>
    <t>昱能科技</t>
    <phoneticPr fontId="1" type="noConversion"/>
  </si>
  <si>
    <t>东方证券承销保荐有限公司</t>
    <phoneticPr fontId="1" type="noConversion"/>
  </si>
  <si>
    <t>工业--资本货物--电气设备--电气部件与设备</t>
    <phoneticPr fontId="1" type="noConversion"/>
  </si>
  <si>
    <t>301266.SZ</t>
    <phoneticPr fontId="1" type="noConversion"/>
  </si>
  <si>
    <t>宇邦新材</t>
    <phoneticPr fontId="1" type="noConversion"/>
  </si>
  <si>
    <t>688120.SH</t>
    <phoneticPr fontId="1" type="noConversion"/>
  </si>
  <si>
    <t>华海清科</t>
    <phoneticPr fontId="1" type="noConversion"/>
  </si>
  <si>
    <t>国泰君安证券股份有限公司</t>
    <phoneticPr fontId="1" type="noConversion"/>
  </si>
  <si>
    <t>信息技术--半导体与半导体生产设备--半导体产品与半导体设备--半导体设备</t>
    <phoneticPr fontId="1" type="noConversion"/>
  </si>
  <si>
    <t>301125.SZ</t>
    <phoneticPr fontId="1" type="noConversion"/>
  </si>
  <si>
    <t>腾亚精工</t>
    <phoneticPr fontId="1" type="noConversion"/>
  </si>
  <si>
    <t>网下询价,网上定价</t>
    <phoneticPr fontId="1" type="noConversion"/>
  </si>
  <si>
    <t>东吴证券股份有限公司,南京证券股份有限公司</t>
    <phoneticPr fontId="1" type="noConversion"/>
  </si>
  <si>
    <t>301298.SZ</t>
    <phoneticPr fontId="1" type="noConversion"/>
  </si>
  <si>
    <t>东利机械</t>
    <phoneticPr fontId="1" type="noConversion"/>
  </si>
  <si>
    <t>华泰联合证券有限责任公司</t>
    <phoneticPr fontId="1" type="noConversion"/>
  </si>
  <si>
    <t>可选消费--汽车与汽车零部件--汽车零配件--机动车零配件与设备</t>
    <phoneticPr fontId="1" type="noConversion"/>
  </si>
  <si>
    <t>688251.SH</t>
    <phoneticPr fontId="1" type="noConversion"/>
  </si>
  <si>
    <t>井松智能</t>
    <phoneticPr fontId="1" type="noConversion"/>
  </si>
  <si>
    <t>华安证券股份有限公司</t>
    <phoneticPr fontId="1" type="noConversion"/>
  </si>
  <si>
    <t>信息技术--软件与服务--信息技术服务--信息科技咨询与其它服务</t>
    <phoneticPr fontId="1" type="noConversion"/>
  </si>
  <si>
    <t>688119.SH</t>
    <phoneticPr fontId="1" type="noConversion"/>
  </si>
  <si>
    <t>中钢洛耐</t>
    <phoneticPr fontId="1" type="noConversion"/>
  </si>
  <si>
    <t>材料--材料Ⅱ--建材Ⅲ--建材</t>
    <phoneticPr fontId="1" type="noConversion"/>
  </si>
  <si>
    <t>001270.SZ</t>
    <phoneticPr fontId="1" type="noConversion"/>
  </si>
  <si>
    <t>铖昌科技</t>
    <phoneticPr fontId="1" type="noConversion"/>
  </si>
  <si>
    <t>国信证券股份有限公司</t>
    <phoneticPr fontId="1" type="noConversion"/>
  </si>
  <si>
    <t>870299.BJ</t>
    <phoneticPr fontId="1" type="noConversion"/>
  </si>
  <si>
    <t>灿能电力</t>
    <phoneticPr fontId="1" type="noConversion"/>
  </si>
  <si>
    <t>申万宏源证券承销保荐有限责任公司</t>
    <phoneticPr fontId="1" type="noConversion"/>
  </si>
  <si>
    <t>信息技术--技术硬件与设备--电子设备、仪器和元件--电子设备和仪器</t>
    <phoneticPr fontId="1" type="noConversion"/>
  </si>
  <si>
    <t>301160.SZ</t>
    <phoneticPr fontId="1" type="noConversion"/>
  </si>
  <si>
    <t>翔楼新材</t>
    <phoneticPr fontId="1" type="noConversion"/>
  </si>
  <si>
    <t>873223.BJ</t>
    <phoneticPr fontId="1" type="noConversion"/>
  </si>
  <si>
    <t>荣亿精密</t>
    <phoneticPr fontId="1" type="noConversion"/>
  </si>
  <si>
    <t>中德证券有限责任公司</t>
    <phoneticPr fontId="1" type="noConversion"/>
  </si>
  <si>
    <t>工业--资本货物--机械--工业机械</t>
    <phoneticPr fontId="1" type="noConversion"/>
  </si>
  <si>
    <t>838171.BJ</t>
    <phoneticPr fontId="1" type="noConversion"/>
  </si>
  <si>
    <t>邦德股份</t>
    <phoneticPr fontId="1" type="noConversion"/>
  </si>
  <si>
    <t>688327.SH</t>
    <phoneticPr fontId="1" type="noConversion"/>
  </si>
  <si>
    <t>云从科技-UW</t>
    <phoneticPr fontId="1" type="noConversion"/>
  </si>
  <si>
    <t>信息技术--软件与服务--互联网软件与服务Ⅲ--互联网软件与服务</t>
    <phoneticPr fontId="1" type="noConversion"/>
  </si>
  <si>
    <t>688045.SH</t>
    <phoneticPr fontId="1" type="noConversion"/>
  </si>
  <si>
    <t>必易微</t>
    <phoneticPr fontId="1" type="noConversion"/>
  </si>
  <si>
    <t>301191.SZ</t>
    <phoneticPr fontId="1" type="noConversion"/>
  </si>
  <si>
    <t>菲菱科思</t>
    <phoneticPr fontId="1" type="noConversion"/>
  </si>
  <si>
    <t>信息技术--技术硬件与设备--通信设备Ⅲ--通信设备</t>
    <phoneticPr fontId="1" type="noConversion"/>
  </si>
  <si>
    <t>301107.SZ</t>
    <phoneticPr fontId="1" type="noConversion"/>
  </si>
  <si>
    <t>瑜欣电子</t>
    <phoneticPr fontId="1" type="noConversion"/>
  </si>
  <si>
    <t>301183.SZ</t>
    <phoneticPr fontId="1" type="noConversion"/>
  </si>
  <si>
    <t>东田微</t>
    <phoneticPr fontId="1" type="noConversion"/>
  </si>
  <si>
    <t>东方证券承销保荐有限公司</t>
    <phoneticPr fontId="1" type="noConversion"/>
  </si>
  <si>
    <t>信息技术--技术硬件与设备--电子设备、仪器和元件--电子元件</t>
    <phoneticPr fontId="1" type="noConversion"/>
  </si>
  <si>
    <t>688213.SH</t>
    <phoneticPr fontId="1" type="noConversion"/>
  </si>
  <si>
    <t>思特威-W</t>
    <phoneticPr fontId="1" type="noConversion"/>
  </si>
  <si>
    <t>831167.BJ</t>
    <phoneticPr fontId="1" type="noConversion"/>
  </si>
  <si>
    <t>鑫汇科</t>
    <phoneticPr fontId="1" type="noConversion"/>
  </si>
  <si>
    <t>安信证券股份有限公司</t>
    <phoneticPr fontId="1" type="noConversion"/>
  </si>
  <si>
    <t>信息技术--技术硬件与设备--电子设备、仪器和元件--电子制造服务</t>
    <phoneticPr fontId="1" type="noConversion"/>
  </si>
  <si>
    <t>603272.SH</t>
    <phoneticPr fontId="1" type="noConversion"/>
  </si>
  <si>
    <t>联翔股份</t>
    <phoneticPr fontId="1" type="noConversion"/>
  </si>
  <si>
    <t>工业--资本货物--建筑产品Ⅲ--建筑产品</t>
    <phoneticPr fontId="1" type="noConversion"/>
  </si>
  <si>
    <t>001318.SZ</t>
    <phoneticPr fontId="1" type="noConversion"/>
  </si>
  <si>
    <t>阳光乳业</t>
    <phoneticPr fontId="1" type="noConversion"/>
  </si>
  <si>
    <t>深证主板</t>
    <phoneticPr fontId="1" type="noConversion"/>
  </si>
  <si>
    <t>东兴证券股份有限公司</t>
    <phoneticPr fontId="1" type="noConversion"/>
  </si>
  <si>
    <t>日常消费--食品、饮料与烟草--食品--食品加工与肉类</t>
    <phoneticPr fontId="1" type="noConversion"/>
  </si>
  <si>
    <t>833533.BJ</t>
    <phoneticPr fontId="1" type="noConversion"/>
  </si>
  <si>
    <t>骏创科技</t>
    <phoneticPr fontId="1" type="noConversion"/>
  </si>
  <si>
    <t>301257.SZ</t>
    <phoneticPr fontId="1" type="noConversion"/>
  </si>
  <si>
    <t>普蕊斯</t>
    <phoneticPr fontId="1" type="noConversion"/>
  </si>
  <si>
    <t>医疗保健--制药、生物科技与生命科学--生命科学工具和服务Ⅲ--生命科学工具和服务</t>
    <phoneticPr fontId="1" type="noConversion"/>
  </si>
  <si>
    <t>301153.SZ</t>
    <phoneticPr fontId="1" type="noConversion"/>
  </si>
  <si>
    <t>中科江南</t>
    <phoneticPr fontId="1" type="noConversion"/>
  </si>
  <si>
    <t>华泰联合证券有限责任公司</t>
    <phoneticPr fontId="1" type="noConversion"/>
  </si>
  <si>
    <t>信息技术--软件与服务--软件--应用软件</t>
    <phoneticPr fontId="1" type="noConversion"/>
  </si>
  <si>
    <t>871970.BJ</t>
    <phoneticPr fontId="1" type="noConversion"/>
  </si>
  <si>
    <t>大禹生物</t>
    <phoneticPr fontId="1" type="noConversion"/>
  </si>
  <si>
    <t>603097.SH</t>
    <phoneticPr fontId="1" type="noConversion"/>
  </si>
  <si>
    <t>江苏华辰</t>
    <phoneticPr fontId="1" type="noConversion"/>
  </si>
  <si>
    <t>上证主板</t>
    <phoneticPr fontId="1" type="noConversion"/>
  </si>
  <si>
    <t>甬兴证券有限公司</t>
    <phoneticPr fontId="1" type="noConversion"/>
  </si>
  <si>
    <t>工业--资本货物--电气设备--电气部件与设备</t>
    <phoneticPr fontId="1" type="noConversion"/>
  </si>
  <si>
    <t>001319.SZ</t>
    <phoneticPr fontId="1" type="noConversion"/>
  </si>
  <si>
    <t>铭科精技</t>
    <phoneticPr fontId="1" type="noConversion"/>
  </si>
  <si>
    <t>华林证券股份有限公司</t>
    <phoneticPr fontId="1" type="noConversion"/>
  </si>
  <si>
    <t>833580.BJ</t>
    <phoneticPr fontId="1" type="noConversion"/>
  </si>
  <si>
    <t>科创新材</t>
    <phoneticPr fontId="1" type="noConversion"/>
  </si>
  <si>
    <t>川财证券有限责任公司</t>
    <phoneticPr fontId="1" type="noConversion"/>
  </si>
  <si>
    <t>材料--材料Ⅱ--金属、非金属与采矿--金属非金属</t>
    <phoneticPr fontId="1" type="noConversion"/>
  </si>
  <si>
    <t>688170.SH</t>
    <phoneticPr fontId="1" type="noConversion"/>
  </si>
  <si>
    <t>德龙激光</t>
    <phoneticPr fontId="1" type="noConversion"/>
  </si>
  <si>
    <t>001228.SZ</t>
    <phoneticPr fontId="1" type="noConversion"/>
  </si>
  <si>
    <t>永泰运</t>
    <phoneticPr fontId="1" type="noConversion"/>
  </si>
  <si>
    <t>工业--运输--航空货运与物流Ⅲ--航空货运与物流</t>
    <phoneticPr fontId="1" type="noConversion"/>
  </si>
  <si>
    <t>603206.SH</t>
    <phoneticPr fontId="1" type="noConversion"/>
  </si>
  <si>
    <t>嘉环科技</t>
    <phoneticPr fontId="1" type="noConversion"/>
  </si>
  <si>
    <t>中国国际金融股份有限公司</t>
    <phoneticPr fontId="1" type="noConversion"/>
  </si>
  <si>
    <t>信息技术--技术硬件与设备--通信设备Ⅲ--通信设备</t>
    <phoneticPr fontId="1" type="noConversion"/>
  </si>
  <si>
    <t>688320.SH</t>
    <phoneticPr fontId="1" type="noConversion"/>
  </si>
  <si>
    <t>禾川科技</t>
    <phoneticPr fontId="1" type="noConversion"/>
  </si>
  <si>
    <t>中国国际金融股份有限公司</t>
    <phoneticPr fontId="1" type="noConversion"/>
  </si>
  <si>
    <t>688290.SH</t>
    <phoneticPr fontId="1" type="noConversion"/>
  </si>
  <si>
    <t>景业智能</t>
    <phoneticPr fontId="1" type="noConversion"/>
  </si>
  <si>
    <t>中信证券股份有限公司</t>
    <phoneticPr fontId="1" type="noConversion"/>
  </si>
  <si>
    <t>603191.SH</t>
    <phoneticPr fontId="1" type="noConversion"/>
  </si>
  <si>
    <t>望变电气</t>
    <phoneticPr fontId="1" type="noConversion"/>
  </si>
  <si>
    <t>301162.SZ</t>
    <phoneticPr fontId="1" type="noConversion"/>
  </si>
  <si>
    <t>国能日新</t>
    <phoneticPr fontId="1" type="noConversion"/>
  </si>
  <si>
    <t>长江证券承销保荐有限公司</t>
    <phoneticPr fontId="1" type="noConversion"/>
  </si>
  <si>
    <t>301259.SZ</t>
    <phoneticPr fontId="1" type="noConversion"/>
  </si>
  <si>
    <t>艾布鲁</t>
    <phoneticPr fontId="1" type="noConversion"/>
  </si>
  <si>
    <t>西部证券股份有限公司</t>
    <phoneticPr fontId="1" type="noConversion"/>
  </si>
  <si>
    <t>工业--商业和专业服务--商业服务与用品--环境与设施服务</t>
    <phoneticPr fontId="1" type="noConversion"/>
  </si>
  <si>
    <t>688325.SH</t>
    <phoneticPr fontId="1" type="noConversion"/>
  </si>
  <si>
    <t>赛微微电</t>
    <phoneticPr fontId="1" type="noConversion"/>
  </si>
  <si>
    <t>国泰君安证券股份有限公司,华泰联合证券有限责任公司</t>
    <phoneticPr fontId="1" type="noConversion"/>
  </si>
  <si>
    <t>301150.SZ</t>
    <phoneticPr fontId="1" type="noConversion"/>
  </si>
  <si>
    <t>中一科技</t>
    <phoneticPr fontId="1" type="noConversion"/>
  </si>
  <si>
    <t>材料--材料Ⅱ--金属、非金属与采矿--金属非金属</t>
    <phoneticPr fontId="1" type="noConversion"/>
  </si>
  <si>
    <t>301148.SZ</t>
    <phoneticPr fontId="1" type="noConversion"/>
  </si>
  <si>
    <t>嘉戎技术</t>
    <phoneticPr fontId="1" type="noConversion"/>
  </si>
  <si>
    <t>安信证券股份有限公司</t>
    <phoneticPr fontId="1" type="noConversion"/>
  </si>
  <si>
    <t>688046.SH</t>
    <phoneticPr fontId="1" type="noConversion"/>
  </si>
  <si>
    <t>药康生物</t>
    <phoneticPr fontId="1" type="noConversion"/>
  </si>
  <si>
    <t>医疗保健--制药、生物科技与生命科学--生命科学工具和服务Ⅲ--生命科学工具和服务</t>
    <phoneticPr fontId="1" type="noConversion"/>
  </si>
  <si>
    <t>301288.SZ</t>
    <phoneticPr fontId="1" type="noConversion"/>
  </si>
  <si>
    <t>清研环境</t>
    <phoneticPr fontId="1" type="noConversion"/>
  </si>
  <si>
    <t>中信建投证券股份有限公司</t>
    <phoneticPr fontId="1" type="noConversion"/>
  </si>
  <si>
    <t>688052.SH</t>
    <phoneticPr fontId="1" type="noConversion"/>
  </si>
  <si>
    <t>纳芯微</t>
    <phoneticPr fontId="1" type="noConversion"/>
  </si>
  <si>
    <t>光大证券股份有限公司</t>
    <phoneticPr fontId="1" type="noConversion"/>
  </si>
  <si>
    <t>600938.SH</t>
    <phoneticPr fontId="1" type="noConversion"/>
  </si>
  <si>
    <t>中国海油</t>
    <phoneticPr fontId="1" type="noConversion"/>
  </si>
  <si>
    <t>中信证券股份有限公司,中国国际金融股份有限公司,中银国际证券股份有限公司</t>
    <phoneticPr fontId="1" type="noConversion"/>
  </si>
  <si>
    <t>能源--能源Ⅱ--石油、天然气与供消费用燃料--石油天然气勘探与生产</t>
    <phoneticPr fontId="1" type="noConversion"/>
  </si>
  <si>
    <t>301248.SZ</t>
    <phoneticPr fontId="1" type="noConversion"/>
  </si>
  <si>
    <t>杰创智能</t>
    <phoneticPr fontId="1" type="noConversion"/>
  </si>
  <si>
    <t>301187.SZ</t>
    <phoneticPr fontId="1" type="noConversion"/>
  </si>
  <si>
    <t>欧圣电气</t>
    <phoneticPr fontId="1" type="noConversion"/>
  </si>
  <si>
    <t>中泰证券股份有限公司,民生证券股份有限公司</t>
    <phoneticPr fontId="1" type="noConversion"/>
  </si>
  <si>
    <t>688279.SH</t>
    <phoneticPr fontId="1" type="noConversion"/>
  </si>
  <si>
    <t>峰岹科技</t>
    <phoneticPr fontId="1" type="noConversion"/>
  </si>
  <si>
    <t>688209.SH</t>
    <phoneticPr fontId="1" type="noConversion"/>
  </si>
  <si>
    <t>英集芯</t>
    <phoneticPr fontId="1" type="noConversion"/>
  </si>
  <si>
    <t>信息技术--半导体与半导体生产设备--半导体产品与半导体设备--半导体产品</t>
    <phoneticPr fontId="1" type="noConversion"/>
  </si>
  <si>
    <t>688072.SH</t>
    <phoneticPr fontId="1" type="noConversion"/>
  </si>
  <si>
    <t>拓荆科技</t>
    <phoneticPr fontId="1" type="noConversion"/>
  </si>
  <si>
    <t>招商证券股份有限公司,国开证券股份有限公司</t>
    <phoneticPr fontId="1" type="noConversion"/>
  </si>
  <si>
    <t>301163.SZ</t>
    <phoneticPr fontId="1" type="noConversion"/>
  </si>
  <si>
    <t>宏德股份</t>
    <phoneticPr fontId="1" type="noConversion"/>
  </si>
  <si>
    <t>688326.SH</t>
    <phoneticPr fontId="1" type="noConversion"/>
  </si>
  <si>
    <t>经纬恒润-W</t>
    <phoneticPr fontId="1" type="noConversion"/>
  </si>
  <si>
    <t>中信证券股份有限公司,华兴证券有限公司</t>
    <phoneticPr fontId="1" type="noConversion"/>
  </si>
  <si>
    <t>信息技术--软件与服务--软件--系统软件</t>
    <phoneticPr fontId="1" type="noConversion"/>
  </si>
  <si>
    <t>301120.SZ</t>
    <phoneticPr fontId="1" type="noConversion"/>
  </si>
  <si>
    <t>新特电气</t>
    <phoneticPr fontId="1" type="noConversion"/>
  </si>
  <si>
    <t>688125.SH</t>
    <phoneticPr fontId="1" type="noConversion"/>
  </si>
  <si>
    <t>安达智能</t>
    <phoneticPr fontId="1" type="noConversion"/>
  </si>
  <si>
    <t>301212.SZ</t>
    <phoneticPr fontId="1" type="noConversion"/>
  </si>
  <si>
    <t>联盛化学</t>
    <phoneticPr fontId="1" type="noConversion"/>
  </si>
  <si>
    <t>国金证券股份有限公司</t>
    <phoneticPr fontId="1" type="noConversion"/>
  </si>
  <si>
    <t>301109.SZ</t>
    <phoneticPr fontId="1" type="noConversion"/>
  </si>
  <si>
    <t>军信股份</t>
    <phoneticPr fontId="1" type="noConversion"/>
  </si>
  <si>
    <t>301279.SZ</t>
    <phoneticPr fontId="1" type="noConversion"/>
  </si>
  <si>
    <t>金道科技</t>
    <phoneticPr fontId="1" type="noConversion"/>
  </si>
  <si>
    <t>688302.SH</t>
    <phoneticPr fontId="1" type="noConversion"/>
  </si>
  <si>
    <t>海创药业-U</t>
    <phoneticPr fontId="1" type="noConversion"/>
  </si>
  <si>
    <t>301135.SZ</t>
    <phoneticPr fontId="1" type="noConversion"/>
  </si>
  <si>
    <t>瑞德智能</t>
    <phoneticPr fontId="1" type="noConversion"/>
  </si>
  <si>
    <t>国元证券股份有限公司</t>
    <phoneticPr fontId="1" type="noConversion"/>
  </si>
  <si>
    <t>688153.SH</t>
    <phoneticPr fontId="1" type="noConversion"/>
  </si>
  <si>
    <t>唯捷创芯</t>
    <phoneticPr fontId="1" type="noConversion"/>
  </si>
  <si>
    <t>688337.SH</t>
    <phoneticPr fontId="1" type="noConversion"/>
  </si>
  <si>
    <t>普源精电</t>
    <phoneticPr fontId="1" type="noConversion"/>
  </si>
  <si>
    <t>国泰君安证券股份有限公司,大和证券(中国)有限责任公司</t>
    <phoneticPr fontId="1" type="noConversion"/>
  </si>
  <si>
    <t>信息技术--技术硬件与设备--电子设备、仪器和元件--电子设备和仪器</t>
    <phoneticPr fontId="1" type="noConversion"/>
  </si>
  <si>
    <t>301151.SZ</t>
    <phoneticPr fontId="1" type="noConversion"/>
  </si>
  <si>
    <t>冠龙节能</t>
    <phoneticPr fontId="1" type="noConversion"/>
  </si>
  <si>
    <t>873169.BJ</t>
    <phoneticPr fontId="1" type="noConversion"/>
  </si>
  <si>
    <t>七丰精工</t>
    <phoneticPr fontId="1" type="noConversion"/>
  </si>
  <si>
    <t>301268.SZ</t>
    <phoneticPr fontId="1" type="noConversion"/>
  </si>
  <si>
    <t>铭利达</t>
    <phoneticPr fontId="1" type="noConversion"/>
  </si>
  <si>
    <t>688295.SH</t>
    <phoneticPr fontId="1" type="noConversion"/>
  </si>
  <si>
    <t>中复神鹰</t>
    <phoneticPr fontId="1" type="noConversion"/>
  </si>
  <si>
    <t>国泰君安证券股份有限公司,中国国际金融股份有限公司</t>
    <phoneticPr fontId="1" type="noConversion"/>
  </si>
  <si>
    <t>材料--材料Ⅱ--化工--化纤</t>
    <phoneticPr fontId="1" type="noConversion"/>
  </si>
  <si>
    <t>688048.SH</t>
    <phoneticPr fontId="1" type="noConversion"/>
  </si>
  <si>
    <t>长光华芯</t>
    <phoneticPr fontId="1" type="noConversion"/>
  </si>
  <si>
    <t>301097.SZ</t>
    <phoneticPr fontId="1" type="noConversion"/>
  </si>
  <si>
    <t>天益医疗</t>
    <phoneticPr fontId="1" type="noConversion"/>
  </si>
  <si>
    <t>医疗保健--医疗保健设备与服务--医疗保健设备与用品--医疗保健用品</t>
    <phoneticPr fontId="1" type="noConversion"/>
  </si>
  <si>
    <t>688331.SH</t>
    <phoneticPr fontId="1" type="noConversion"/>
  </si>
  <si>
    <t>荣昌生物</t>
    <phoneticPr fontId="1" type="noConversion"/>
  </si>
  <si>
    <t>华泰联合证券有限责任公司,摩根大通证券(中国)有限公司</t>
    <phoneticPr fontId="1" type="noConversion"/>
  </si>
  <si>
    <t>医疗保健--制药、生物科技与生命科学--生物科技Ⅲ--生物科技</t>
    <phoneticPr fontId="1" type="noConversion"/>
  </si>
  <si>
    <t>688193.SH</t>
    <phoneticPr fontId="1" type="noConversion"/>
  </si>
  <si>
    <t>仁度生物</t>
    <phoneticPr fontId="1" type="noConversion"/>
  </si>
  <si>
    <t>301263.SZ</t>
    <phoneticPr fontId="1" type="noConversion"/>
  </si>
  <si>
    <t>泰恩康</t>
    <phoneticPr fontId="1" type="noConversion"/>
  </si>
  <si>
    <t>301216.SZ</t>
    <phoneticPr fontId="1" type="noConversion"/>
  </si>
  <si>
    <t>万凯新材</t>
    <phoneticPr fontId="1" type="noConversion"/>
  </si>
  <si>
    <t>材料--材料Ⅱ--化工--化纤</t>
    <phoneticPr fontId="1" type="noConversion"/>
  </si>
  <si>
    <t>301258.SZ</t>
    <phoneticPr fontId="1" type="noConversion"/>
  </si>
  <si>
    <t>富士莱</t>
    <phoneticPr fontId="1" type="noConversion"/>
  </si>
  <si>
    <t>东方证券承销保荐有限公司,国泰君安证券股份有限公司</t>
    <phoneticPr fontId="1" type="noConversion"/>
  </si>
  <si>
    <t>603051.SH</t>
    <phoneticPr fontId="1" type="noConversion"/>
  </si>
  <si>
    <t>鹿山新材</t>
    <phoneticPr fontId="1" type="noConversion"/>
  </si>
  <si>
    <t>材料--材料Ⅱ--化工--基础化工</t>
    <phoneticPr fontId="1" type="noConversion"/>
  </si>
  <si>
    <t>603209.SH</t>
    <phoneticPr fontId="1" type="noConversion"/>
  </si>
  <si>
    <t>兴通股份</t>
    <phoneticPr fontId="1" type="noConversion"/>
  </si>
  <si>
    <t>工业--运输--海运Ⅲ--海运</t>
    <phoneticPr fontId="1" type="noConversion"/>
  </si>
  <si>
    <t>301237.SZ</t>
    <phoneticPr fontId="1" type="noConversion"/>
  </si>
  <si>
    <t>和顺科技</t>
    <phoneticPr fontId="1" type="noConversion"/>
  </si>
  <si>
    <t>688197.SH</t>
    <phoneticPr fontId="1" type="noConversion"/>
  </si>
  <si>
    <t>首药控股-U</t>
    <phoneticPr fontId="1" type="noConversion"/>
  </si>
  <si>
    <t>301102.SZ</t>
    <phoneticPr fontId="1" type="noConversion"/>
  </si>
  <si>
    <t>兆讯传媒</t>
    <phoneticPr fontId="1" type="noConversion"/>
  </si>
  <si>
    <t>可选消费--媒体Ⅱ--媒体Ⅲ--广告</t>
    <phoneticPr fontId="1" type="noConversion"/>
  </si>
  <si>
    <t>688306.SH</t>
    <phoneticPr fontId="1" type="noConversion"/>
  </si>
  <si>
    <t>均普智能</t>
    <phoneticPr fontId="1" type="noConversion"/>
  </si>
  <si>
    <t>301226.SZ</t>
    <phoneticPr fontId="1" type="noConversion"/>
  </si>
  <si>
    <t>祥明智能</t>
    <phoneticPr fontId="1" type="noConversion"/>
  </si>
  <si>
    <t>688238.SH</t>
    <phoneticPr fontId="1" type="noConversion"/>
  </si>
  <si>
    <t>和元生物</t>
    <phoneticPr fontId="1" type="noConversion"/>
  </si>
  <si>
    <t>海通证券股份有限公司,国泰君安证券股份有限公司</t>
    <phoneticPr fontId="1" type="noConversion"/>
  </si>
  <si>
    <t>301256.SZ</t>
    <phoneticPr fontId="1" type="noConversion"/>
  </si>
  <si>
    <t>华融化学</t>
    <phoneticPr fontId="1" type="noConversion"/>
  </si>
  <si>
    <t>301103.SZ</t>
    <phoneticPr fontId="1" type="noConversion"/>
  </si>
  <si>
    <t>何氏眼科</t>
    <phoneticPr fontId="1" type="noConversion"/>
  </si>
  <si>
    <t>中原证券股份有限公司</t>
    <phoneticPr fontId="1" type="noConversion"/>
  </si>
  <si>
    <t>医疗保健--医疗保健设备与服务--医疗保健提供商与服务--保健护理服务</t>
    <phoneticPr fontId="1" type="noConversion"/>
  </si>
  <si>
    <t>301137.SZ</t>
    <phoneticPr fontId="1" type="noConversion"/>
  </si>
  <si>
    <t>哈焊华通</t>
    <phoneticPr fontId="1" type="noConversion"/>
  </si>
  <si>
    <t>688282.SH</t>
    <phoneticPr fontId="1" type="noConversion"/>
  </si>
  <si>
    <t>理工导航</t>
    <phoneticPr fontId="1" type="noConversion"/>
  </si>
  <si>
    <t>688150.SH</t>
    <phoneticPr fontId="1" type="noConversion"/>
  </si>
  <si>
    <t>莱特光电</t>
    <phoneticPr fontId="1" type="noConversion"/>
  </si>
  <si>
    <t>材料--材料Ⅱ--化工--特种化工</t>
    <phoneticPr fontId="1" type="noConversion"/>
  </si>
  <si>
    <t>001308.SZ</t>
    <phoneticPr fontId="1" type="noConversion"/>
  </si>
  <si>
    <t>康冠科技</t>
    <phoneticPr fontId="1" type="noConversion"/>
  </si>
  <si>
    <t>301219.SZ</t>
    <phoneticPr fontId="1" type="noConversion"/>
  </si>
  <si>
    <t>腾远钴业</t>
    <phoneticPr fontId="1" type="noConversion"/>
  </si>
  <si>
    <t>东兴证券股份有限公司</t>
    <phoneticPr fontId="1" type="noConversion"/>
  </si>
  <si>
    <t>688102.SH</t>
    <phoneticPr fontId="1" type="noConversion"/>
  </si>
  <si>
    <t>斯瑞新材</t>
    <phoneticPr fontId="1" type="noConversion"/>
  </si>
  <si>
    <t>海通证券股份有限公司</t>
    <phoneticPr fontId="1" type="noConversion"/>
  </si>
  <si>
    <t>688207.SH</t>
    <phoneticPr fontId="1" type="noConversion"/>
  </si>
  <si>
    <t>格灵深瞳</t>
    <phoneticPr fontId="1" type="noConversion"/>
  </si>
  <si>
    <t>301236.SZ</t>
    <phoneticPr fontId="1" type="noConversion"/>
  </si>
  <si>
    <t>软通动力</t>
    <phoneticPr fontId="1" type="noConversion"/>
  </si>
  <si>
    <t>中信建投证券股份有限公司,民生证券股份有限公司</t>
    <phoneticPr fontId="1" type="noConversion"/>
  </si>
  <si>
    <t>信息技术--软件与服务--信息技术服务--信息科技咨询与其它服务</t>
    <phoneticPr fontId="1" type="noConversion"/>
  </si>
  <si>
    <t>688175.SH</t>
    <phoneticPr fontId="1" type="noConversion"/>
  </si>
  <si>
    <t>高凌信息</t>
    <phoneticPr fontId="1" type="noConversion"/>
  </si>
  <si>
    <t>长城证券股份有限公司</t>
    <phoneticPr fontId="1" type="noConversion"/>
  </si>
  <si>
    <t>831689.BJ</t>
    <phoneticPr fontId="1" type="noConversion"/>
  </si>
  <si>
    <t>克莱特</t>
    <phoneticPr fontId="1" type="noConversion"/>
  </si>
  <si>
    <t>西南证券股份有限公司</t>
    <phoneticPr fontId="1" type="noConversion"/>
  </si>
  <si>
    <t>688115.SH</t>
    <phoneticPr fontId="1" type="noConversion"/>
  </si>
  <si>
    <t>思林杰</t>
    <phoneticPr fontId="1" type="noConversion"/>
  </si>
  <si>
    <t>603261.SH</t>
    <phoneticPr fontId="1" type="noConversion"/>
  </si>
  <si>
    <t>立航科技</t>
    <phoneticPr fontId="1" type="noConversion"/>
  </si>
  <si>
    <t>华西证券股份有限公司</t>
    <phoneticPr fontId="1" type="noConversion"/>
  </si>
  <si>
    <t>301131.SZ</t>
    <phoneticPr fontId="1" type="noConversion"/>
  </si>
  <si>
    <t>聚赛龙</t>
    <phoneticPr fontId="1" type="noConversion"/>
  </si>
  <si>
    <t>301110.SZ</t>
    <phoneticPr fontId="1" type="noConversion"/>
  </si>
  <si>
    <t>青木股份</t>
    <phoneticPr fontId="1" type="noConversion"/>
  </si>
  <si>
    <t>兴业证券股份有限公司</t>
    <phoneticPr fontId="1" type="noConversion"/>
  </si>
  <si>
    <t>603070.SH</t>
    <phoneticPr fontId="1" type="noConversion"/>
  </si>
  <si>
    <t>万控智造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</si>
</sst>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76" formatCode="yyyy\-mm\-dd"/>
    <numFmt numFmtId="177" formatCode="###,###,##0.0000"/>
    <numFmt numFmtId="178" formatCode="###,###,##0.00"/>
    <numFmt numFmtId="179" formatCode="#,##0.##"/>
  </numFmts>
  <fonts count="1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10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 style="dotted">
        <color auto="1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tted">
        <color auto="1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tted">
        <color auto="1"/>
      </right>
      <top/>
      <bottom/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</borders>
  <cellStyleXfs count="12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43" fontId="6" fillId="0" borderId="0" applyFont="0" applyFill="0" applyBorder="0" applyAlignment="0" applyProtection="0">
      <alignment vertical="center"/>
    </xf>
    <xf numFmtId="0" fontId="7" fillId="0" borderId="0"/>
  </cellStyleXfs>
  <cellXfs count="84">
    <xf numFmtId="0" fontId="0" fillId="0" borderId="0" xfId="0">
      <alignment vertical="center"/>
    </xf>
    <xf numFmtId="0" fontId="8" fillId="2" borderId="0" xfId="0" applyFont="1" applyFill="1" applyAlignment="1"/>
    <xf numFmtId="0" fontId="8" fillId="2" borderId="0" xfId="0" applyFont="1" applyFill="1">
      <alignment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0" fillId="3" borderId="0" xfId="0" applyFill="1">
      <alignment vertical="center"/>
    </xf>
    <xf numFmtId="0" fontId="10" fillId="4" borderId="1" xfId="0" applyFont="1" applyFill="1" applyBorder="1" applyAlignment="1">
      <alignment vertical="top"/>
    </xf>
    <xf numFmtId="0" fontId="0" fillId="4" borderId="0" xfId="0" applyFill="1">
      <alignment vertical="center"/>
    </xf>
    <xf numFmtId="0" fontId="10" fillId="4" borderId="0" xfId="0" applyFont="1" applyFill="1" applyBorder="1" applyAlignment="1">
      <alignment vertical="top"/>
    </xf>
    <xf numFmtId="0" fontId="11" fillId="5" borderId="0" xfId="0" applyFont="1" applyFill="1" applyBorder="1">
      <alignment vertical="center"/>
    </xf>
    <xf numFmtId="0" fontId="11" fillId="4" borderId="0" xfId="0" applyFont="1" applyFill="1" applyBorder="1" applyAlignment="1">
      <alignment horizontal="right" vertical="center"/>
    </xf>
    <xf numFmtId="49" fontId="11" fillId="6" borderId="0" xfId="0" applyNumberFormat="1" applyFont="1" applyFill="1" applyBorder="1" applyAlignment="1">
      <alignment horizontal="right" vertical="center"/>
    </xf>
    <xf numFmtId="49" fontId="11" fillId="4" borderId="0" xfId="0" applyNumberFormat="1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0" fillId="4" borderId="0" xfId="0" applyFill="1" applyAlignment="1">
      <alignment horizontal="right" vertical="center"/>
    </xf>
    <xf numFmtId="0" fontId="0" fillId="5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10" fillId="4" borderId="1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10" fillId="4" borderId="1" xfId="0" applyFont="1" applyFill="1" applyBorder="1" applyAlignment="1">
      <alignment horizontal="right" vertical="top"/>
    </xf>
    <xf numFmtId="0" fontId="0" fillId="3" borderId="0" xfId="0" applyFill="1" applyAlignment="1">
      <alignment horizontal="right" vertical="center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1" fillId="3" borderId="0" xfId="0" applyFont="1" applyFill="1">
      <alignment vertical="center"/>
    </xf>
    <xf numFmtId="0" fontId="11" fillId="4" borderId="0" xfId="0" applyFont="1" applyFill="1">
      <alignment vertical="center"/>
    </xf>
    <xf numFmtId="49" fontId="0" fillId="4" borderId="0" xfId="0" applyNumberFormat="1" applyFill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49" fontId="13" fillId="5" borderId="3" xfId="0" applyNumberFormat="1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right" vertical="center"/>
    </xf>
    <xf numFmtId="0" fontId="13" fillId="5" borderId="3" xfId="0" applyFont="1" applyFill="1" applyBorder="1" applyAlignment="1">
      <alignment vertical="center"/>
    </xf>
    <xf numFmtId="49" fontId="11" fillId="0" borderId="3" xfId="0" applyNumberFormat="1" applyFont="1" applyFill="1" applyBorder="1" applyAlignment="1">
      <alignment horizontal="right" vertical="center"/>
    </xf>
    <xf numFmtId="3" fontId="11" fillId="0" borderId="3" xfId="0" applyNumberFormat="1" applyFont="1" applyFill="1" applyBorder="1" applyAlignment="1">
      <alignment horizontal="right" vertical="center"/>
    </xf>
    <xf numFmtId="49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13" fillId="5" borderId="5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right" vertical="center"/>
    </xf>
    <xf numFmtId="0" fontId="13" fillId="5" borderId="6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3" fillId="3" borderId="7" xfId="0" applyFont="1" applyFill="1" applyBorder="1" applyAlignment="1">
      <alignment horizontal="right" vertical="center"/>
    </xf>
    <xf numFmtId="0" fontId="13" fillId="3" borderId="8" xfId="0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178" fontId="11" fillId="0" borderId="10" xfId="0" applyNumberFormat="1" applyFont="1" applyBorder="1" applyAlignment="1">
      <alignment horizontal="right" vertical="center"/>
    </xf>
    <xf numFmtId="178" fontId="11" fillId="0" borderId="11" xfId="0" applyNumberFormat="1" applyFont="1" applyBorder="1" applyAlignment="1">
      <alignment horizontal="right" vertical="center"/>
    </xf>
    <xf numFmtId="178" fontId="11" fillId="0" borderId="12" xfId="0" applyNumberFormat="1" applyFont="1" applyBorder="1" applyAlignment="1">
      <alignment horizontal="right" vertical="center"/>
    </xf>
    <xf numFmtId="178" fontId="0" fillId="0" borderId="10" xfId="0" applyNumberFormat="1" applyBorder="1" applyAlignment="1">
      <alignment horizontal="right" vertical="center"/>
    </xf>
    <xf numFmtId="178" fontId="0" fillId="0" borderId="11" xfId="0" applyNumberFormat="1" applyBorder="1" applyAlignment="1">
      <alignment horizontal="right" vertical="center"/>
    </xf>
    <xf numFmtId="178" fontId="0" fillId="0" borderId="12" xfId="0" applyNumberFormat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177" fontId="11" fillId="0" borderId="10" xfId="0" applyNumberFormat="1" applyFont="1" applyBorder="1" applyAlignment="1">
      <alignment horizontal="right" vertical="center"/>
    </xf>
    <xf numFmtId="177" fontId="11" fillId="0" borderId="11" xfId="0" applyNumberFormat="1" applyFont="1" applyBorder="1" applyAlignment="1">
      <alignment horizontal="right" vertical="center"/>
    </xf>
    <xf numFmtId="177" fontId="11" fillId="0" borderId="14" xfId="0" applyNumberFormat="1" applyFont="1" applyBorder="1" applyAlignment="1">
      <alignment horizontal="right" vertical="center"/>
    </xf>
    <xf numFmtId="177" fontId="0" fillId="0" borderId="10" xfId="0" applyNumberFormat="1" applyBorder="1" applyAlignment="1">
      <alignment horizontal="right" vertical="center"/>
    </xf>
    <xf numFmtId="177" fontId="0" fillId="0" borderId="11" xfId="0" applyNumberFormat="1" applyBorder="1" applyAlignment="1">
      <alignment horizontal="right" vertical="center"/>
    </xf>
    <xf numFmtId="177" fontId="0" fillId="0" borderId="14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49" fontId="11" fillId="0" borderId="2" xfId="0" applyNumberFormat="1" applyFont="1" applyFill="1" applyBorder="1" applyAlignment="1">
      <alignment horizontal="right" vertical="center"/>
    </xf>
    <xf numFmtId="49" fontId="11" fillId="0" borderId="2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9" fontId="11" fillId="0" borderId="3" xfId="0" applyNumberFormat="1" applyFont="1" applyFill="1" applyBorder="1" applyAlignment="1">
      <alignment horizontal="right" vertical="center"/>
    </xf>
    <xf numFmtId="179" fontId="11" fillId="0" borderId="3" xfId="0" applyNumberFormat="1" applyFont="1" applyBorder="1" applyAlignment="1">
      <alignment horizontal="right" vertical="center"/>
    </xf>
    <xf numFmtId="0" fontId="10" fillId="0" borderId="0" xfId="0" applyFont="1" applyAlignment="1"/>
    <xf numFmtId="0" fontId="15" fillId="2" borderId="0" xfId="0" applyFont="1" applyFill="1" applyAlignment="1">
      <alignment horizontal="right" vertical="center"/>
    </xf>
    <xf numFmtId="14" fontId="16" fillId="2" borderId="0" xfId="0" applyNumberFormat="1" applyFont="1" applyFill="1" applyAlignment="1">
      <alignment horizontal="right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12">
    <cellStyle name="常规" xfId="0" builtinId="0"/>
    <cellStyle name="常规 11" xfId="3"/>
    <cellStyle name="常规 13" xfId="4"/>
    <cellStyle name="常规 16" xfId="5"/>
    <cellStyle name="常规 2" xfId="1"/>
    <cellStyle name="常规 2 10" xfId="6"/>
    <cellStyle name="常规 2 2" xfId="11"/>
    <cellStyle name="常规 3" xfId="2"/>
    <cellStyle name="常规 4" xfId="9"/>
    <cellStyle name="常规 7" xfId="7"/>
    <cellStyle name="常规 9" xfId="8"/>
    <cellStyle name="千位分隔 2" xfId="10"/>
  </cellStyles>
  <dxfs count="124"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E9E9E9"/>
        </patternFill>
      </fill>
    </dxf>
    <dxf>
      <numFmt numFmtId="177" formatCode="###,###,##0.00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76" formatCode="yyyy\-mm\-dd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77" formatCode="###,###,##0.00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76" formatCode="yyyy\-mm\-dd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77" formatCode="###,###,##0.00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0" formatCode="@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78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0" formatCode="@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78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0" formatCode="@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78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0" formatCode="@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78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0" formatCode="@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78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0" formatCode="@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78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" formatCode="#,##0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0" formatCode="@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3" formatCode="#,##0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3" formatCode="#,##0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3" formatCode="#,##0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3" formatCode="#,##0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3" formatCode="#,##0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3" formatCode="#,##0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80" formatCode="#,##0.###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80" formatCode="#,##0.######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30" formatCode="@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76" formatCode="yyyy\-mm\-d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76" formatCode="yyyy\-mm\-dd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76" formatCode="yyyy\-mm\-d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76" formatCode="yyyy\-mm\-dd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176" formatCode="yyyy\-mm\-d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176" formatCode="yyyy\-mm\-dd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30" formatCode="@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numFmt numFmtId="30" formatCode="@"/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dotted">
          <color auto="1"/>
        </right>
        <top/>
        <bottom/>
        <vertical style="dotted">
          <color auto="1"/>
        </vertical>
        <horizontal/>
      </border>
    </dxf>
    <dxf>
      <fill>
        <patternFill patternType="solid">
          <fgColor indexed="64"/>
          <bgColor rgb="FFE9E9E9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E9E9E9"/>
        </patternFill>
      </fill>
    </dxf>
    <dxf>
      <fill>
        <patternFill patternType="solid">
          <fgColor indexed="64"/>
          <bgColor rgb="FFE9E9E9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微软雅黑"/>
        <scheme val="none"/>
      </font>
      <numFmt numFmtId="30" formatCode="@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rgb="FFE8E8E8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ill>
        <patternFill>
          <bgColor rgb="FFF4F4F4"/>
        </patternFill>
      </fill>
    </dxf>
    <dxf>
      <fill>
        <patternFill>
          <bgColor theme="0"/>
        </patternFill>
      </fill>
    </dxf>
  </dxfs>
  <tableStyles count="1" defaultTableStyle="TableStyleMedium9" defaultPivotStyle="PivotStyleLight16">
    <tableStyle name="表样式 1" pivot="0" count="2">
      <tableStyleElement type="firstRowStripe" dxfId="123"/>
      <tableStyleElement type="secondRowStripe" dxfId="122"/>
    </tableStyle>
  </tableStyles>
  <colors>
    <mruColors>
      <color rgb="FF63636D"/>
      <color rgb="FFE8E8E8"/>
      <color rgb="FFF4F4F4"/>
      <color rgb="FFE9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0</xdr:row>
      <xdr:rowOff>85725</xdr:rowOff>
    </xdr:from>
    <xdr:to>
      <xdr:col>7</xdr:col>
      <xdr:colOff>578577</xdr:colOff>
      <xdr:row>0</xdr:row>
      <xdr:rowOff>305325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607152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po_cappaydate"/>
      <definedName name="s_ipo_inq_anncedate"/>
      <definedName name="s_ipo_inq_enddate"/>
      <definedName name="s_ipo_inq_startdate"/>
      <definedName name="s_ipo_inqresultdate"/>
      <definedName name="s_ipo_invsshares_a"/>
      <definedName name="s_ipo_invssharespct_a"/>
      <definedName name="s_ipo_lotteryrate_abc"/>
      <definedName name="s_ipo_op_enddate"/>
      <definedName name="s_ipo_placingdate"/>
      <definedName name="s_ipo_vsprice_max"/>
      <definedName name="s_ipo_vsprice_min"/>
      <definedName name="s_ipo_vsshares"/>
      <definedName name="s_ipo_vssharespct"/>
      <definedName name="wset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表1" displayName="表1" ref="C6:D10" headerRowCount="0" totalsRowShown="0" headerRowDxfId="121" dataDxfId="120">
  <tableColumns count="2">
    <tableColumn id="1" name="列1" headerRowDxfId="119" dataDxfId="118"/>
    <tableColumn id="2" name="列2" headerRowDxfId="117" dataDxfId="1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H8:BL685" headerRowCount="0" totalsRowShown="0" headerRowDxfId="115" dataDxfId="114">
  <tableColumns count="57">
    <tableColumn id="1" name="列1" headerRowDxfId="113" dataDxfId="112"/>
    <tableColumn id="2" name="列2" headerRowDxfId="111" dataDxfId="110"/>
    <tableColumn id="3" name="列3" headerRowDxfId="109" dataDxfId="108"/>
    <tableColumn id="4" name="列4" headerRowDxfId="107" dataDxfId="106"/>
    <tableColumn id="5" name="列5" headerRowDxfId="105" dataDxfId="104"/>
    <tableColumn id="6" name="列6" headerRowDxfId="103" dataDxfId="102"/>
    <tableColumn id="7" name="列7" headerRowDxfId="101" dataDxfId="100"/>
    <tableColumn id="8" name="列8" headerRowDxfId="99" dataDxfId="98"/>
    <tableColumn id="9" name="列9" headerRowDxfId="97" dataDxfId="96"/>
    <tableColumn id="10" name="列10" headerRowDxfId="95" dataDxfId="94"/>
    <tableColumn id="11" name="列11" headerRowDxfId="93" dataDxfId="92"/>
    <tableColumn id="12" name="列12" headerRowDxfId="91" dataDxfId="90"/>
    <tableColumn id="13" name="列13" headerRowDxfId="89" dataDxfId="88"/>
    <tableColumn id="14" name="列14" headerRowDxfId="87" dataDxfId="86"/>
    <tableColumn id="15" name="列15" headerRowDxfId="85" dataDxfId="84"/>
    <tableColumn id="16" name="列16" headerRowDxfId="83" dataDxfId="82"/>
    <tableColumn id="17" name="列17" headerRowDxfId="81" dataDxfId="80"/>
    <tableColumn id="18" name="列18" headerRowDxfId="79" dataDxfId="78"/>
    <tableColumn id="19" name="列19" headerRowDxfId="77" dataDxfId="76"/>
    <tableColumn id="20" name="列20" headerRowDxfId="75" dataDxfId="74"/>
    <tableColumn id="21" name="列21" headerRowDxfId="73" dataDxfId="72"/>
    <tableColumn id="22" name="列22" headerRowDxfId="71" dataDxfId="70"/>
    <tableColumn id="23" name="列23" headerRowDxfId="69" dataDxfId="68"/>
    <tableColumn id="24" name="列24" headerRowDxfId="67" dataDxfId="66"/>
    <tableColumn id="25" name="列25" headerRowDxfId="65" dataDxfId="64"/>
    <tableColumn id="26" name="列26" headerRowDxfId="63" dataDxfId="62"/>
    <tableColumn id="27" name="列27" headerRowDxfId="61" dataDxfId="60"/>
    <tableColumn id="28" name="列28" headerRowDxfId="59" dataDxfId="58"/>
    <tableColumn id="29" name="列29" headerRowDxfId="57" dataDxfId="56"/>
    <tableColumn id="30" name="列30" headerRowDxfId="55" dataDxfId="54"/>
    <tableColumn id="44" name="列44" headerRowDxfId="53" dataDxfId="52">
      <calculatedColumnFormula>[1]!s_ipo_inq_anncedate(H8)</calculatedColumnFormula>
    </tableColumn>
    <tableColumn id="45" name="列45" headerRowDxfId="51" dataDxfId="50">
      <calculatedColumnFormula>[1]!s_ipo_inq_startdate(H8)</calculatedColumnFormula>
    </tableColumn>
    <tableColumn id="46" name="列46" headerRowDxfId="49" dataDxfId="48">
      <calculatedColumnFormula>[1]!s_ipo_inq_enddate(H8)</calculatedColumnFormula>
    </tableColumn>
    <tableColumn id="47" name="列47" headerRowDxfId="47" dataDxfId="46">
      <calculatedColumnFormula>[1]!s_ipo_inqresultdate(H8)</calculatedColumnFormula>
    </tableColumn>
    <tableColumn id="48" name="列48" headerRowDxfId="45" dataDxfId="44">
      <calculatedColumnFormula>[1]!s_ipo_op_enddate(H8)</calculatedColumnFormula>
    </tableColumn>
    <tableColumn id="49" name="列49" headerRowDxfId="43" dataDxfId="42">
      <calculatedColumnFormula>[1]!s_ipo_cappaydate(H8)</calculatedColumnFormula>
    </tableColumn>
    <tableColumn id="50" name="列50" headerRowDxfId="41" dataDxfId="40">
      <calculatedColumnFormula>[1]!s_ipo_placingdate(H8)</calculatedColumnFormula>
    </tableColumn>
    <tableColumn id="51" name="列51" headerRowDxfId="39" dataDxfId="38">
      <calculatedColumnFormula>[1]!s_ipo_vsprice_max(H8)</calculatedColumnFormula>
    </tableColumn>
    <tableColumn id="52" name="列52" headerRowDxfId="37" dataDxfId="36">
      <calculatedColumnFormula>[1]!s_ipo_vsprice_min(H8)</calculatedColumnFormula>
    </tableColumn>
    <tableColumn id="53" name="列53" headerRowDxfId="35" dataDxfId="34">
      <calculatedColumnFormula>[1]!s_ipo_vsshares(H8,100000000)</calculatedColumnFormula>
    </tableColumn>
    <tableColumn id="54" name="列54" headerRowDxfId="33" dataDxfId="32">
      <calculatedColumnFormula>[1]!s_ipo_vssharespct(H8)</calculatedColumnFormula>
    </tableColumn>
    <tableColumn id="55" name="列55" headerRowDxfId="31" dataDxfId="30">
      <calculatedColumnFormula>[1]!s_ipo_invsshares_a(H8,100000000)</calculatedColumnFormula>
    </tableColumn>
    <tableColumn id="56" name="列56" headerRowDxfId="29" dataDxfId="28">
      <calculatedColumnFormula>[1]!s_ipo_invssharespct_a(H8)</calculatedColumnFormula>
    </tableColumn>
    <tableColumn id="57" name="列57" headerRowDxfId="27" dataDxfId="26">
      <calculatedColumnFormula>[1]!s_ipo_lotteryrate_abc(H8,1)</calculatedColumnFormula>
    </tableColumn>
    <tableColumn id="58" name="列58" headerRowDxfId="25" dataDxfId="24">
      <calculatedColumnFormula>[1]!s_ipo_lotteryrate_abc(H8,2)</calculatedColumnFormula>
    </tableColumn>
    <tableColumn id="59" name="列59" headerRowDxfId="23" dataDxfId="22">
      <calculatedColumnFormula>[1]!s_ipo_lotteryrate_abc(H8,3)</calculatedColumnFormula>
    </tableColumn>
    <tableColumn id="96" name="列96" headerRowDxfId="21" dataDxfId="20"/>
    <tableColumn id="97" name="列97" headerRowDxfId="19" dataDxfId="18"/>
    <tableColumn id="98" name="列98" headerRowDxfId="17" dataDxfId="16"/>
    <tableColumn id="99" name="列99" headerRowDxfId="15" dataDxfId="14"/>
    <tableColumn id="100" name="列100" headerRowDxfId="13" dataDxfId="12"/>
    <tableColumn id="101" name="列101" headerRowDxfId="11" dataDxfId="10"/>
    <tableColumn id="102" name="列102" headerRowDxfId="9" dataDxfId="8"/>
    <tableColumn id="103" name="列103" headerRowDxfId="7" dataDxfId="6"/>
    <tableColumn id="104" name="列104" headerRowDxfId="5" dataDxfId="4"/>
    <tableColumn id="105" name="列105" headerRowDxfId="3" dataDxfId="2"/>
    <tableColumn id="106" name="列106" headerRowDxfId="1" dataDxfId="0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63636D"/>
  </sheetPr>
  <dimension ref="A1:BF2157"/>
  <sheetViews>
    <sheetView tabSelected="1" zoomScaleNormal="100" workbookViewId="0">
      <selection activeCell="C44" sqref="C44"/>
    </sheetView>
  </sheetViews>
  <sheetFormatPr defaultRowHeight="13.5" x14ac:dyDescent="0.15"/>
  <cols>
    <col min="1" max="2" width="1.5" style="5" customWidth="1"/>
    <col min="3" max="3" width="11" style="5" bestFit="1" customWidth="1"/>
    <col min="4" max="4" width="13" style="5" bestFit="1" customWidth="1"/>
    <col min="5" max="7" width="1.5" style="5" customWidth="1"/>
    <col min="8" max="8" width="10.5" style="18" bestFit="1" customWidth="1"/>
    <col min="9" max="9" width="12.625" style="18" customWidth="1"/>
    <col min="10" max="10" width="14.625" style="18" customWidth="1"/>
    <col min="11" max="11" width="17.625" style="18" customWidth="1"/>
    <col min="12" max="13" width="13.625" style="18" customWidth="1"/>
    <col min="14" max="14" width="10.625" style="22" customWidth="1"/>
    <col min="15" max="15" width="12.625" style="22" customWidth="1"/>
    <col min="16" max="17" width="17.625" style="22" customWidth="1"/>
    <col min="18" max="18" width="13.625" style="22" customWidth="1"/>
    <col min="19" max="19" width="17.625" style="22" customWidth="1"/>
    <col min="20" max="20" width="22.625" style="22" customWidth="1"/>
    <col min="21" max="21" width="26.625" style="22" customWidth="1"/>
    <col min="22" max="22" width="21.625" style="22" customWidth="1"/>
    <col min="23" max="23" width="19.625" style="22" customWidth="1"/>
    <col min="24" max="24" width="21.625" style="22" customWidth="1"/>
    <col min="25" max="25" width="20.625" style="22" customWidth="1"/>
    <col min="26" max="26" width="18.625" style="22" customWidth="1"/>
    <col min="27" max="27" width="26.625" style="22" customWidth="1"/>
    <col min="28" max="28" width="27.625" style="25" customWidth="1"/>
    <col min="29" max="29" width="73.625" style="18" customWidth="1"/>
    <col min="30" max="31" width="20.625" style="18" customWidth="1"/>
    <col min="32" max="32" width="18.625" style="18" customWidth="1"/>
    <col min="33" max="33" width="23.625" style="22" customWidth="1"/>
    <col min="34" max="34" width="23.875" style="22" bestFit="1" customWidth="1"/>
    <col min="35" max="35" width="79.625" style="25" customWidth="1"/>
    <col min="36" max="36" width="10.625" style="25" customWidth="1"/>
    <col min="37" max="37" width="9.625" style="25" customWidth="1"/>
    <col min="38" max="40" width="15.125" style="18" bestFit="1" customWidth="1"/>
    <col min="41" max="41" width="19.25" style="18" bestFit="1" customWidth="1"/>
    <col min="42" max="42" width="20.375" style="18" bestFit="1" customWidth="1"/>
    <col min="43" max="43" width="15.125" style="18" bestFit="1" customWidth="1"/>
    <col min="44" max="44" width="19.25" style="18" bestFit="1" customWidth="1"/>
    <col min="45" max="46" width="21.5" style="22" bestFit="1" customWidth="1"/>
    <col min="47" max="47" width="27.75" style="22" bestFit="1" customWidth="1"/>
    <col min="48" max="48" width="26.75" style="22" bestFit="1" customWidth="1"/>
    <col min="49" max="49" width="36.125" style="22" bestFit="1" customWidth="1"/>
    <col min="50" max="50" width="37.125" style="22" bestFit="1" customWidth="1"/>
    <col min="51" max="53" width="23.75" style="22" bestFit="1" customWidth="1"/>
    <col min="54" max="54" width="1.5" style="5" customWidth="1"/>
    <col min="55" max="16384" width="9" style="5"/>
  </cols>
  <sheetData>
    <row r="1" spans="1:58" s="2" customFormat="1" ht="30" customHeight="1" x14ac:dyDescent="0.3">
      <c r="A1" s="1"/>
      <c r="B1" s="1"/>
      <c r="C1" s="1"/>
      <c r="E1" s="1"/>
      <c r="F1" s="1"/>
      <c r="H1" s="3"/>
      <c r="I1" s="3"/>
      <c r="J1" s="83" t="s">
        <v>70</v>
      </c>
      <c r="K1" s="83"/>
      <c r="L1" s="83"/>
      <c r="M1" s="83"/>
      <c r="N1" s="83"/>
      <c r="O1" s="83"/>
      <c r="P1" s="83"/>
      <c r="Q1" s="79" t="s">
        <v>64</v>
      </c>
      <c r="R1" s="80">
        <v>44733</v>
      </c>
      <c r="S1" s="4"/>
      <c r="T1" s="4"/>
      <c r="U1" s="4"/>
      <c r="X1" s="19"/>
      <c r="Y1" s="4"/>
      <c r="Z1" s="4"/>
      <c r="AA1" s="4"/>
      <c r="AB1" s="1"/>
      <c r="AC1" s="3"/>
      <c r="AD1" s="3"/>
      <c r="AE1" s="3"/>
      <c r="AF1" s="3"/>
      <c r="AG1" s="4"/>
      <c r="AH1" s="4"/>
      <c r="AI1" s="1"/>
      <c r="AJ1" s="1"/>
      <c r="AK1" s="1"/>
      <c r="AL1" s="3"/>
      <c r="AM1" s="3"/>
      <c r="AN1" s="3"/>
      <c r="AO1" s="3"/>
      <c r="AP1" s="3"/>
      <c r="AQ1" s="3"/>
      <c r="AR1" s="3"/>
      <c r="AS1" s="4"/>
      <c r="AT1" s="4"/>
      <c r="AU1" s="4"/>
      <c r="AV1" s="4"/>
      <c r="AW1" s="4"/>
      <c r="AX1" s="4"/>
      <c r="AY1" s="4"/>
      <c r="AZ1" s="4"/>
      <c r="BA1" s="4"/>
    </row>
    <row r="2" spans="1:58" ht="8.25" customHeight="1" x14ac:dyDescent="0.15">
      <c r="F2" s="13"/>
      <c r="G2" s="13"/>
      <c r="H2" s="15"/>
      <c r="I2" s="15"/>
      <c r="J2" s="15"/>
      <c r="K2" s="15"/>
      <c r="L2" s="15"/>
      <c r="M2" s="15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3"/>
      <c r="AC2" s="15"/>
      <c r="AD2" s="15"/>
      <c r="AE2" s="15"/>
      <c r="AF2" s="15"/>
      <c r="AG2" s="20"/>
      <c r="AH2" s="20"/>
      <c r="AI2" s="23"/>
      <c r="AJ2" s="23"/>
      <c r="AK2" s="23"/>
      <c r="AL2" s="15"/>
      <c r="AM2" s="15"/>
      <c r="AN2" s="15"/>
      <c r="AO2" s="15"/>
      <c r="AP2" s="15"/>
      <c r="AQ2" s="15"/>
      <c r="AR2" s="15"/>
      <c r="AS2" s="20"/>
      <c r="AT2" s="20"/>
      <c r="AU2" s="20"/>
      <c r="AV2" s="20"/>
      <c r="AW2" s="20"/>
      <c r="AX2" s="20"/>
      <c r="AY2" s="20"/>
      <c r="AZ2" s="20"/>
      <c r="BA2" s="20"/>
      <c r="BB2" s="13"/>
      <c r="BC2" s="13"/>
      <c r="BD2" s="13"/>
      <c r="BE2" s="13"/>
      <c r="BF2" s="13"/>
    </row>
    <row r="3" spans="1:58" ht="9" customHeight="1" x14ac:dyDescent="0.15">
      <c r="B3" s="7"/>
      <c r="C3" s="7"/>
      <c r="D3" s="7"/>
      <c r="E3" s="7"/>
      <c r="F3" s="13"/>
      <c r="G3" s="7"/>
      <c r="H3" s="16"/>
      <c r="I3" s="28"/>
      <c r="J3" s="16"/>
      <c r="K3" s="16"/>
      <c r="L3" s="16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24"/>
      <c r="AC3" s="16"/>
      <c r="AD3" s="16"/>
      <c r="AE3" s="16"/>
      <c r="AF3" s="16"/>
      <c r="AG3" s="14"/>
      <c r="AH3" s="14"/>
      <c r="AI3" s="24"/>
      <c r="AJ3" s="24"/>
      <c r="AK3" s="24"/>
      <c r="AL3" s="16"/>
      <c r="AM3" s="16"/>
      <c r="AN3" s="16"/>
      <c r="AO3" s="16"/>
      <c r="AP3" s="16"/>
      <c r="AQ3" s="16"/>
      <c r="AR3" s="16"/>
      <c r="AS3" s="14"/>
      <c r="AT3" s="14"/>
      <c r="AU3" s="14"/>
      <c r="AV3" s="14"/>
      <c r="AW3" s="14"/>
      <c r="AX3" s="14"/>
      <c r="AY3" s="14"/>
      <c r="AZ3" s="14"/>
      <c r="BA3" s="14"/>
      <c r="BB3" s="7"/>
      <c r="BC3" s="13"/>
      <c r="BD3" s="13"/>
      <c r="BE3" s="13"/>
      <c r="BF3" s="13"/>
    </row>
    <row r="4" spans="1:58" ht="17.25" x14ac:dyDescent="0.15">
      <c r="B4" s="7"/>
      <c r="C4" s="6" t="s">
        <v>71</v>
      </c>
      <c r="D4" s="6"/>
      <c r="E4" s="8"/>
      <c r="F4" s="13"/>
      <c r="G4" s="7"/>
      <c r="H4" s="17" t="s">
        <v>67</v>
      </c>
      <c r="I4" s="17"/>
      <c r="J4" s="17"/>
      <c r="K4" s="17"/>
      <c r="L4" s="17"/>
      <c r="M4" s="17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6"/>
      <c r="AC4" s="17"/>
      <c r="AD4" s="17"/>
      <c r="AE4" s="17"/>
      <c r="AF4" s="17"/>
      <c r="AG4" s="21"/>
      <c r="AH4" s="21"/>
      <c r="AI4" s="6"/>
      <c r="AJ4" s="6"/>
      <c r="AK4" s="6"/>
      <c r="AL4" s="17"/>
      <c r="AM4" s="17"/>
      <c r="AN4" s="17"/>
      <c r="AO4" s="17"/>
      <c r="AP4" s="17"/>
      <c r="AQ4" s="17"/>
      <c r="AR4" s="17"/>
      <c r="AS4" s="21"/>
      <c r="AT4" s="21"/>
      <c r="AU4" s="21"/>
      <c r="AV4" s="21"/>
      <c r="AW4" s="21"/>
      <c r="AX4" s="21"/>
      <c r="AY4" s="21"/>
      <c r="AZ4" s="21"/>
      <c r="BA4" s="21"/>
      <c r="BB4" s="7"/>
      <c r="BC4" s="13"/>
      <c r="BD4" s="13"/>
      <c r="BE4" s="13"/>
      <c r="BF4" s="13"/>
    </row>
    <row r="5" spans="1:58" ht="9" customHeight="1" x14ac:dyDescent="0.15">
      <c r="B5" s="7"/>
      <c r="C5" s="7"/>
      <c r="D5" s="7"/>
      <c r="E5" s="7"/>
      <c r="F5" s="13"/>
      <c r="G5" s="7"/>
      <c r="H5" s="16"/>
      <c r="I5" s="28"/>
      <c r="J5" s="16"/>
      <c r="K5" s="16"/>
      <c r="L5" s="16"/>
      <c r="M5" s="1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24"/>
      <c r="AC5" s="16"/>
      <c r="AD5" s="16"/>
      <c r="AE5" s="16"/>
      <c r="AF5" s="16"/>
      <c r="AG5" s="14"/>
      <c r="AH5" s="14"/>
      <c r="AI5" s="24"/>
      <c r="AJ5" s="24"/>
      <c r="AK5" s="24"/>
      <c r="AL5" s="16"/>
      <c r="AM5" s="16"/>
      <c r="AN5" s="16"/>
      <c r="AO5" s="16"/>
      <c r="AP5" s="16"/>
      <c r="AQ5" s="16"/>
      <c r="AR5" s="16"/>
      <c r="AS5" s="14"/>
      <c r="AT5" s="14"/>
      <c r="AU5" s="14"/>
      <c r="AV5" s="14"/>
      <c r="AW5" s="14"/>
      <c r="AX5" s="14"/>
      <c r="AY5" s="14"/>
      <c r="AZ5" s="14"/>
      <c r="BA5" s="14"/>
      <c r="BB5" s="7"/>
      <c r="BC5" s="13"/>
      <c r="BD5" s="13"/>
      <c r="BE5" s="13"/>
      <c r="BF5" s="13"/>
    </row>
    <row r="6" spans="1:58" s="26" customFormat="1" ht="16.5" x14ac:dyDescent="0.15">
      <c r="A6" s="5"/>
      <c r="B6" s="7"/>
      <c r="C6" s="9" t="s">
        <v>0</v>
      </c>
      <c r="D6" s="10" t="s">
        <v>1</v>
      </c>
      <c r="E6" s="7"/>
      <c r="F6" s="13"/>
      <c r="G6" s="7"/>
      <c r="H6" s="29" t="s">
        <v>65</v>
      </c>
      <c r="I6" s="30" t="s">
        <v>7</v>
      </c>
      <c r="J6" s="31" t="s">
        <v>9</v>
      </c>
      <c r="K6" s="31" t="s">
        <v>11</v>
      </c>
      <c r="L6" s="31" t="s">
        <v>12</v>
      </c>
      <c r="M6" s="31" t="s">
        <v>14</v>
      </c>
      <c r="N6" s="32" t="s">
        <v>16</v>
      </c>
      <c r="O6" s="32" t="s">
        <v>18</v>
      </c>
      <c r="P6" s="32" t="s">
        <v>20</v>
      </c>
      <c r="Q6" s="32" t="s">
        <v>22</v>
      </c>
      <c r="R6" s="32" t="s">
        <v>24</v>
      </c>
      <c r="S6" s="32" t="s">
        <v>26</v>
      </c>
      <c r="T6" s="32" t="s">
        <v>28</v>
      </c>
      <c r="U6" s="32" t="s">
        <v>30</v>
      </c>
      <c r="V6" s="32" t="s">
        <v>32</v>
      </c>
      <c r="W6" s="32" t="s">
        <v>34</v>
      </c>
      <c r="X6" s="32" t="s">
        <v>36</v>
      </c>
      <c r="Y6" s="32" t="s">
        <v>38</v>
      </c>
      <c r="Z6" s="32" t="s">
        <v>40</v>
      </c>
      <c r="AA6" s="32" t="s">
        <v>42</v>
      </c>
      <c r="AB6" s="33" t="s">
        <v>44</v>
      </c>
      <c r="AC6" s="31" t="s">
        <v>46</v>
      </c>
      <c r="AD6" s="31" t="s">
        <v>48</v>
      </c>
      <c r="AE6" s="31" t="s">
        <v>50</v>
      </c>
      <c r="AF6" s="31" t="s">
        <v>52</v>
      </c>
      <c r="AG6" s="32" t="s">
        <v>54</v>
      </c>
      <c r="AH6" s="32" t="s">
        <v>56</v>
      </c>
      <c r="AI6" s="33" t="s">
        <v>58</v>
      </c>
      <c r="AJ6" s="33" t="s">
        <v>60</v>
      </c>
      <c r="AK6" s="33" t="s">
        <v>62</v>
      </c>
      <c r="AL6" s="81" t="s">
        <v>72</v>
      </c>
      <c r="AM6" s="81"/>
      <c r="AN6" s="81"/>
      <c r="AO6" s="81"/>
      <c r="AP6" s="81"/>
      <c r="AQ6" s="81"/>
      <c r="AR6" s="81"/>
      <c r="AS6" s="81" t="s">
        <v>81</v>
      </c>
      <c r="AT6" s="81"/>
      <c r="AU6" s="81"/>
      <c r="AV6" s="81"/>
      <c r="AW6" s="81"/>
      <c r="AX6" s="81"/>
      <c r="AY6" s="81" t="s">
        <v>88</v>
      </c>
      <c r="AZ6" s="81"/>
      <c r="BA6" s="82"/>
      <c r="BB6" s="27"/>
    </row>
    <row r="7" spans="1:58" s="26" customFormat="1" ht="16.5" x14ac:dyDescent="0.15">
      <c r="A7" s="5"/>
      <c r="B7" s="7"/>
      <c r="C7" s="9" t="s">
        <v>66</v>
      </c>
      <c r="D7" s="11" t="s">
        <v>68</v>
      </c>
      <c r="E7" s="7"/>
      <c r="F7" s="13"/>
      <c r="G7" s="7"/>
      <c r="H7" s="42" t="s">
        <v>6</v>
      </c>
      <c r="I7" s="43" t="s">
        <v>8</v>
      </c>
      <c r="J7" s="43" t="s">
        <v>10</v>
      </c>
      <c r="K7" s="43" t="s">
        <v>4</v>
      </c>
      <c r="L7" s="43" t="s">
        <v>13</v>
      </c>
      <c r="M7" s="43" t="s">
        <v>15</v>
      </c>
      <c r="N7" s="44" t="s">
        <v>17</v>
      </c>
      <c r="O7" s="44" t="s">
        <v>19</v>
      </c>
      <c r="P7" s="44" t="s">
        <v>21</v>
      </c>
      <c r="Q7" s="44" t="s">
        <v>23</v>
      </c>
      <c r="R7" s="44" t="s">
        <v>25</v>
      </c>
      <c r="S7" s="44" t="s">
        <v>27</v>
      </c>
      <c r="T7" s="44" t="s">
        <v>29</v>
      </c>
      <c r="U7" s="44" t="s">
        <v>31</v>
      </c>
      <c r="V7" s="44" t="s">
        <v>33</v>
      </c>
      <c r="W7" s="44" t="s">
        <v>35</v>
      </c>
      <c r="X7" s="44" t="s">
        <v>37</v>
      </c>
      <c r="Y7" s="44" t="s">
        <v>39</v>
      </c>
      <c r="Z7" s="44" t="s">
        <v>41</v>
      </c>
      <c r="AA7" s="44" t="s">
        <v>43</v>
      </c>
      <c r="AB7" s="45" t="s">
        <v>45</v>
      </c>
      <c r="AC7" s="43" t="s">
        <v>47</v>
      </c>
      <c r="AD7" s="43" t="s">
        <v>49</v>
      </c>
      <c r="AE7" s="43" t="s">
        <v>51</v>
      </c>
      <c r="AF7" s="43" t="s">
        <v>53</v>
      </c>
      <c r="AG7" s="44" t="s">
        <v>55</v>
      </c>
      <c r="AH7" s="44" t="s">
        <v>57</v>
      </c>
      <c r="AI7" s="45" t="s">
        <v>59</v>
      </c>
      <c r="AJ7" s="45" t="s">
        <v>61</v>
      </c>
      <c r="AK7" s="45" t="s">
        <v>63</v>
      </c>
      <c r="AL7" s="46" t="s">
        <v>73</v>
      </c>
      <c r="AM7" s="47" t="s">
        <v>74</v>
      </c>
      <c r="AN7" s="47" t="s">
        <v>75</v>
      </c>
      <c r="AO7" s="47" t="s">
        <v>76</v>
      </c>
      <c r="AP7" s="47" t="s">
        <v>77</v>
      </c>
      <c r="AQ7" s="47" t="s">
        <v>78</v>
      </c>
      <c r="AR7" s="48" t="s">
        <v>79</v>
      </c>
      <c r="AS7" s="55" t="s">
        <v>86</v>
      </c>
      <c r="AT7" s="56" t="s">
        <v>82</v>
      </c>
      <c r="AU7" s="56" t="s">
        <v>83</v>
      </c>
      <c r="AV7" s="56" t="s">
        <v>84</v>
      </c>
      <c r="AW7" s="56" t="s">
        <v>85</v>
      </c>
      <c r="AX7" s="57" t="s">
        <v>87</v>
      </c>
      <c r="AY7" s="55" t="s">
        <v>89</v>
      </c>
      <c r="AZ7" s="56" t="s">
        <v>90</v>
      </c>
      <c r="BA7" s="64" t="s">
        <v>91</v>
      </c>
      <c r="BB7" s="27"/>
    </row>
    <row r="8" spans="1:58" s="26" customFormat="1" ht="16.5" x14ac:dyDescent="0.15">
      <c r="A8" s="5"/>
      <c r="B8" s="7"/>
      <c r="C8" s="9" t="s">
        <v>2</v>
      </c>
      <c r="D8" s="12" t="s">
        <v>80</v>
      </c>
      <c r="E8" s="7"/>
      <c r="F8" s="13"/>
      <c r="G8" s="7"/>
      <c r="H8" s="71" t="str">
        <f>[1]!wset("newstockissueinformation","startdate="&amp;D7,"enddate="&amp;D8,"datetype="&amp;D9,"board="&amp;D10,"field="&amp;H6&amp;","&amp;I6&amp;","&amp;J6&amp;","&amp;K6&amp;","&amp;L6&amp;","&amp;M6&amp;","&amp;N6&amp;","&amp;O6&amp;","&amp;P6&amp;","&amp;Q6&amp;","&amp;R6&amp;","&amp;S6&amp;","&amp;T6&amp;","&amp;U6&amp;","&amp;V6&amp;","&amp;W6&amp;","&amp;X6&amp;","&amp;Y6&amp;","&amp;Z6&amp;","&amp;AA6&amp;","&amp;AB6&amp;","&amp;AC6&amp;","&amp;AD6&amp;","&amp;AE6&amp;","&amp;AF6&amp;","&amp;AG6&amp;","&amp;AH6&amp;","&amp;AI6&amp;","&amp;AJ6&amp;","&amp;AK6,"cols=30;rows=115")</f>
        <v>001268.SZ</v>
      </c>
      <c r="I8" s="34" t="s">
        <v>92</v>
      </c>
      <c r="J8" s="74">
        <v>44725</v>
      </c>
      <c r="K8" s="74">
        <v>44733</v>
      </c>
      <c r="L8" s="74">
        <v>44742</v>
      </c>
      <c r="M8" s="34" t="s">
        <v>93</v>
      </c>
      <c r="N8" s="76">
        <v>19.25</v>
      </c>
      <c r="O8" s="76">
        <v>22.99</v>
      </c>
      <c r="P8" s="76">
        <v>269.78339999999997</v>
      </c>
      <c r="Q8" s="76">
        <v>2428.5500000000002</v>
      </c>
      <c r="R8" s="34">
        <v>2803</v>
      </c>
      <c r="S8" s="34">
        <v>11299</v>
      </c>
      <c r="T8" s="35">
        <v>3377770</v>
      </c>
      <c r="U8" s="76">
        <v>12520.30332481539</v>
      </c>
      <c r="V8" s="34">
        <v>10970</v>
      </c>
      <c r="W8" s="34">
        <v>2789</v>
      </c>
      <c r="X8" s="35">
        <v>10968</v>
      </c>
      <c r="Y8" s="76">
        <v>8.2287200000000001E-3</v>
      </c>
      <c r="Z8" s="76">
        <v>12152.563899999999</v>
      </c>
      <c r="AA8" s="76"/>
      <c r="AB8" s="34" t="s">
        <v>97</v>
      </c>
      <c r="AC8" s="34" t="s">
        <v>98</v>
      </c>
      <c r="AD8" s="74">
        <v>44732</v>
      </c>
      <c r="AE8" s="74">
        <v>44733</v>
      </c>
      <c r="AF8" s="74">
        <v>44733</v>
      </c>
      <c r="AG8" s="76">
        <v>19015.906332499999</v>
      </c>
      <c r="AH8" s="34"/>
      <c r="AI8" s="34" t="s">
        <v>99</v>
      </c>
      <c r="AJ8" s="34" t="s">
        <v>94</v>
      </c>
      <c r="AK8" s="34" t="s">
        <v>95</v>
      </c>
      <c r="AL8" s="49" t="str">
        <f>[1]!s_ipo_inq_anncedate(H8)</f>
        <v>2022-06-13</v>
      </c>
      <c r="AM8" s="50" t="str">
        <f>[1]!s_ipo_inq_startdate(H8)</f>
        <v>2022-06-15</v>
      </c>
      <c r="AN8" s="50" t="str">
        <f>[1]!s_ipo_inq_enddate(H8)</f>
        <v>2022-06-15</v>
      </c>
      <c r="AO8" s="50" t="str">
        <f>[1]!s_ipo_inqresultdate(H8)</f>
        <v>2022-06-20</v>
      </c>
      <c r="AP8" s="50" t="str">
        <f>[1]!s_ipo_op_enddate(H8)</f>
        <v>2022-06-21</v>
      </c>
      <c r="AQ8" s="50" t="str">
        <f>[1]!s_ipo_cappaydate(H8)</f>
        <v>2022-06-23</v>
      </c>
      <c r="AR8" s="51" t="str">
        <f>[1]!s_ipo_placingdate(H8)</f>
        <v>2022-06-27</v>
      </c>
      <c r="AS8" s="58">
        <f>[1]!s_ipo_vsprice_max(H8)</f>
        <v>19.25</v>
      </c>
      <c r="AT8" s="59">
        <f>[1]!s_ipo_vsprice_min(H8)</f>
        <v>19.25</v>
      </c>
      <c r="AU8" s="59">
        <f>[1]!s_ipo_vsshares(H8,100000000)</f>
        <v>327.916</v>
      </c>
      <c r="AV8" s="59">
        <f>[1]!s_ipo_vssharespct(H8)</f>
        <v>97.080618277739447</v>
      </c>
      <c r="AW8" s="59">
        <f>[1]!s_ipo_invsshares_a(H8,100000000)</f>
        <v>2.58</v>
      </c>
      <c r="AX8" s="60">
        <f>[1]!s_ipo_invssharespct_a(H8)</f>
        <v>0.76381754826409143</v>
      </c>
      <c r="AY8" s="65">
        <f>[1]!s_ipo_lotteryrate_abc(H8,1)</f>
        <v>1.365574E-2</v>
      </c>
      <c r="AZ8" s="66">
        <f>[1]!s_ipo_lotteryrate_abc(H8,2)</f>
        <v>8.2005700000000008E-3</v>
      </c>
      <c r="BA8" s="67">
        <f>[1]!s_ipo_lotteryrate_abc(H8,3)</f>
        <v>5.3336499999999997E-3</v>
      </c>
      <c r="BB8" s="27"/>
    </row>
    <row r="9" spans="1:58" s="26" customFormat="1" ht="16.5" x14ac:dyDescent="0.15">
      <c r="A9" s="5"/>
      <c r="B9" s="7"/>
      <c r="C9" s="9" t="s">
        <v>3</v>
      </c>
      <c r="D9" s="11" t="s">
        <v>4</v>
      </c>
      <c r="E9" s="7"/>
      <c r="F9" s="13"/>
      <c r="G9" s="7"/>
      <c r="H9" s="72" t="s">
        <v>100</v>
      </c>
      <c r="I9" s="34" t="s">
        <v>101</v>
      </c>
      <c r="J9" s="74">
        <v>44725</v>
      </c>
      <c r="K9" s="74">
        <v>44733</v>
      </c>
      <c r="L9" s="74">
        <v>44742</v>
      </c>
      <c r="M9" s="34" t="s">
        <v>102</v>
      </c>
      <c r="N9" s="76">
        <v>14.62</v>
      </c>
      <c r="O9" s="76">
        <v>22.98</v>
      </c>
      <c r="P9" s="76">
        <v>1200</v>
      </c>
      <c r="Q9" s="76">
        <v>10800</v>
      </c>
      <c r="R9" s="34">
        <v>2422</v>
      </c>
      <c r="S9" s="34">
        <v>12688</v>
      </c>
      <c r="T9" s="35">
        <v>5171360</v>
      </c>
      <c r="U9" s="76">
        <v>4309.4666666666662</v>
      </c>
      <c r="V9" s="34">
        <v>12671</v>
      </c>
      <c r="W9" s="34">
        <v>2412</v>
      </c>
      <c r="X9" s="35">
        <v>12613</v>
      </c>
      <c r="Y9" s="76">
        <v>2.3343530000000001E-2</v>
      </c>
      <c r="Z9" s="76">
        <v>4283.8416999999999</v>
      </c>
      <c r="AA9" s="76"/>
      <c r="AB9" s="34" t="s">
        <v>103</v>
      </c>
      <c r="AC9" s="34" t="s">
        <v>104</v>
      </c>
      <c r="AD9" s="74">
        <v>44732</v>
      </c>
      <c r="AE9" s="74">
        <v>44733</v>
      </c>
      <c r="AF9" s="74">
        <v>44733</v>
      </c>
      <c r="AG9" s="76">
        <v>23545.238945199999</v>
      </c>
      <c r="AH9" s="34"/>
      <c r="AI9" s="34" t="s">
        <v>105</v>
      </c>
      <c r="AJ9" s="34" t="s">
        <v>106</v>
      </c>
      <c r="AK9" s="34" t="s">
        <v>107</v>
      </c>
      <c r="AL9" s="49" t="str">
        <f>[1]!s_ipo_inq_anncedate(H9)</f>
        <v>2022-06-13</v>
      </c>
      <c r="AM9" s="50" t="str">
        <f>[1]!s_ipo_inq_startdate(H9)</f>
        <v>2022-06-15</v>
      </c>
      <c r="AN9" s="50" t="str">
        <f>[1]!s_ipo_inq_enddate(H9)</f>
        <v>2022-06-15</v>
      </c>
      <c r="AO9" s="50" t="str">
        <f>[1]!s_ipo_inqresultdate(H9)</f>
        <v>2022-06-20</v>
      </c>
      <c r="AP9" s="50" t="str">
        <f>[1]!s_ipo_op_enddate(H9)</f>
        <v>2022-06-21</v>
      </c>
      <c r="AQ9" s="50" t="str">
        <f>[1]!s_ipo_cappaydate(H9)</f>
        <v>2022-06-23</v>
      </c>
      <c r="AR9" s="51" t="str">
        <f>[1]!s_ipo_placingdate(H9)</f>
        <v>2022-06-27</v>
      </c>
      <c r="AS9" s="58">
        <f>[1]!s_ipo_vsprice_max(H9)</f>
        <v>14.62</v>
      </c>
      <c r="AT9" s="59">
        <f>[1]!s_ipo_vsprice_min(H9)</f>
        <v>14.62</v>
      </c>
      <c r="AU9" s="59">
        <f>[1]!s_ipo_vsshares(H9,100000000)</f>
        <v>516.43899999999996</v>
      </c>
      <c r="AV9" s="59">
        <f>[1]!s_ipo_vssharespct(H9)</f>
        <v>99.865219207326504</v>
      </c>
      <c r="AW9" s="59">
        <f>[1]!s_ipo_invsshares_a(H9,100000000)</f>
        <v>0.32800000000000001</v>
      </c>
      <c r="AX9" s="60">
        <f>[1]!s_ipo_invssharespct_a(H9)</f>
        <v>6.3426255375761895E-2</v>
      </c>
      <c r="AY9" s="65">
        <f>[1]!s_ipo_lotteryrate_abc(H9,1)</f>
        <v>4.2660139999999999E-2</v>
      </c>
      <c r="AZ9" s="66">
        <f>[1]!s_ipo_lotteryrate_abc(H9,2)</f>
        <v>3.0292679999999999E-2</v>
      </c>
      <c r="BA9" s="67">
        <f>[1]!s_ipo_lotteryrate_abc(H9,3)</f>
        <v>9.3170500000000003E-3</v>
      </c>
      <c r="BB9" s="27"/>
    </row>
    <row r="10" spans="1:58" s="26" customFormat="1" ht="16.5" x14ac:dyDescent="0.15">
      <c r="A10" s="5"/>
      <c r="B10" s="7"/>
      <c r="C10" s="9" t="s">
        <v>5</v>
      </c>
      <c r="D10" s="12" t="s">
        <v>69</v>
      </c>
      <c r="E10" s="7"/>
      <c r="F10" s="13"/>
      <c r="G10" s="7"/>
      <c r="H10" s="72" t="s">
        <v>108</v>
      </c>
      <c r="I10" s="34" t="s">
        <v>109</v>
      </c>
      <c r="J10" s="74">
        <v>44722</v>
      </c>
      <c r="K10" s="74">
        <v>44732</v>
      </c>
      <c r="L10" s="74">
        <v>44747</v>
      </c>
      <c r="M10" s="34" t="s">
        <v>110</v>
      </c>
      <c r="N10" s="76">
        <v>33.65</v>
      </c>
      <c r="O10" s="76">
        <v>58.77</v>
      </c>
      <c r="P10" s="76">
        <v>1926.3761999999999</v>
      </c>
      <c r="Q10" s="76">
        <v>1814.1</v>
      </c>
      <c r="R10" s="34">
        <v>330</v>
      </c>
      <c r="S10" s="34">
        <v>7177</v>
      </c>
      <c r="T10" s="35">
        <v>6607590</v>
      </c>
      <c r="U10" s="76">
        <v>3430.0621031343721</v>
      </c>
      <c r="V10" s="34">
        <v>5802</v>
      </c>
      <c r="W10" s="34">
        <v>271</v>
      </c>
      <c r="X10" s="35">
        <v>5802</v>
      </c>
      <c r="Y10" s="76">
        <v>3.7445640000000002E-2</v>
      </c>
      <c r="Z10" s="76">
        <v>2670.5376000000001</v>
      </c>
      <c r="AA10" s="76"/>
      <c r="AB10" s="34" t="s">
        <v>103</v>
      </c>
      <c r="AC10" s="34" t="s">
        <v>111</v>
      </c>
      <c r="AD10" s="74">
        <v>44729</v>
      </c>
      <c r="AE10" s="74">
        <v>44732</v>
      </c>
      <c r="AF10" s="74">
        <v>44732</v>
      </c>
      <c r="AG10" s="76">
        <v>28913.64623925</v>
      </c>
      <c r="AH10" s="34"/>
      <c r="AI10" s="34" t="s">
        <v>112</v>
      </c>
      <c r="AJ10" s="34" t="s">
        <v>106</v>
      </c>
      <c r="AK10" s="34" t="s">
        <v>113</v>
      </c>
      <c r="AL10" s="49" t="str">
        <f>[1]!s_ipo_inq_anncedate(H10)</f>
        <v>2022-06-10</v>
      </c>
      <c r="AM10" s="50" t="str">
        <f>[1]!s_ipo_inq_startdate(H10)</f>
        <v>2022-06-14</v>
      </c>
      <c r="AN10" s="50" t="str">
        <f>[1]!s_ipo_inq_enddate(H10)</f>
        <v>2022-06-14</v>
      </c>
      <c r="AO10" s="50" t="str">
        <f>[1]!s_ipo_inqresultdate(H10)</f>
        <v>2022-06-17</v>
      </c>
      <c r="AP10" s="50" t="str">
        <f>[1]!s_ipo_op_enddate(H10)</f>
        <v>2022-06-20</v>
      </c>
      <c r="AQ10" s="50" t="str">
        <f>[1]!s_ipo_cappaydate(H10)</f>
        <v>2022-06-22</v>
      </c>
      <c r="AR10" s="51" t="str">
        <f>[1]!s_ipo_placingdate(H10)</f>
        <v>2022-06-24</v>
      </c>
      <c r="AS10" s="58">
        <f>[1]!s_ipo_vsprice_max(H10)</f>
        <v>40.229999999999997</v>
      </c>
      <c r="AT10" s="59">
        <f>[1]!s_ipo_vsprice_min(H10)</f>
        <v>33.65</v>
      </c>
      <c r="AU10" s="59">
        <f>[1]!s_ipo_vsshares(H10,100000000)</f>
        <v>514.44600000000003</v>
      </c>
      <c r="AV10" s="59">
        <f>[1]!s_ipo_vssharespct(H10)</f>
        <v>77.856828283837217</v>
      </c>
      <c r="AW10" s="59">
        <f>[1]!s_ipo_invsshares_a(H10,100000000)</f>
        <v>6.6189999999999998</v>
      </c>
      <c r="AX10" s="60">
        <f>[1]!s_ipo_invssharespct_a(H10)</f>
        <v>1.0017268020564229</v>
      </c>
      <c r="AY10" s="65">
        <f>[1]!s_ipo_lotteryrate_abc(H10,1)</f>
        <v>4.789562E-2</v>
      </c>
      <c r="AZ10" s="66">
        <f>[1]!s_ipo_lotteryrate_abc(H10,2)</f>
        <v>3.7438520000000003E-2</v>
      </c>
      <c r="BA10" s="67">
        <f>[1]!s_ipo_lotteryrate_abc(H10,3)</f>
        <v>2.43447E-2</v>
      </c>
      <c r="BB10" s="27"/>
    </row>
    <row r="11" spans="1:58" s="26" customFormat="1" ht="16.5" x14ac:dyDescent="0.15">
      <c r="A11" s="5"/>
      <c r="B11" s="7"/>
      <c r="C11" s="7"/>
      <c r="D11" s="7"/>
      <c r="E11" s="7"/>
      <c r="F11" s="13"/>
      <c r="G11" s="7"/>
      <c r="H11" s="72" t="s">
        <v>114</v>
      </c>
      <c r="I11" s="34" t="s">
        <v>115</v>
      </c>
      <c r="J11" s="74">
        <v>44714</v>
      </c>
      <c r="K11" s="74">
        <v>44728</v>
      </c>
      <c r="L11" s="74">
        <v>44741</v>
      </c>
      <c r="M11" s="34" t="s">
        <v>116</v>
      </c>
      <c r="N11" s="76">
        <v>27.53</v>
      </c>
      <c r="O11" s="76">
        <v>40.99</v>
      </c>
      <c r="P11" s="76">
        <v>1552.415</v>
      </c>
      <c r="Q11" s="76">
        <v>1204.25</v>
      </c>
      <c r="R11" s="34">
        <v>314</v>
      </c>
      <c r="S11" s="34">
        <v>7064</v>
      </c>
      <c r="T11" s="35">
        <v>5685080</v>
      </c>
      <c r="U11" s="76">
        <v>4366.2471800277071</v>
      </c>
      <c r="V11" s="34">
        <v>5072</v>
      </c>
      <c r="W11" s="34">
        <v>207</v>
      </c>
      <c r="X11" s="35">
        <v>5072</v>
      </c>
      <c r="Y11" s="76">
        <v>3.2829280000000002E-2</v>
      </c>
      <c r="Z11" s="76">
        <v>3046.0616</v>
      </c>
      <c r="AA11" s="76">
        <v>9.0821046445614542</v>
      </c>
      <c r="AB11" s="34" t="s">
        <v>117</v>
      </c>
      <c r="AC11" s="34" t="s">
        <v>118</v>
      </c>
      <c r="AD11" s="74">
        <v>44727</v>
      </c>
      <c r="AE11" s="74">
        <v>44728</v>
      </c>
      <c r="AF11" s="74">
        <v>44728</v>
      </c>
      <c r="AG11" s="76">
        <v>17106.196069199999</v>
      </c>
      <c r="AH11" s="34"/>
      <c r="AI11" s="34" t="s">
        <v>119</v>
      </c>
      <c r="AJ11" s="34" t="s">
        <v>120</v>
      </c>
      <c r="AK11" s="34" t="s">
        <v>121</v>
      </c>
      <c r="AL11" s="49" t="str">
        <f>[1]!s_ipo_inq_anncedate(H11)</f>
        <v>2022-06-02</v>
      </c>
      <c r="AM11" s="50" t="str">
        <f>[1]!s_ipo_inq_startdate(H11)</f>
        <v>2022-06-10</v>
      </c>
      <c r="AN11" s="50" t="str">
        <f>[1]!s_ipo_inq_enddate(H11)</f>
        <v>2022-06-10</v>
      </c>
      <c r="AO11" s="50" t="str">
        <f>[1]!s_ipo_inqresultdate(H11)</f>
        <v>2022-06-15</v>
      </c>
      <c r="AP11" s="50" t="str">
        <f>[1]!s_ipo_op_enddate(H11)</f>
        <v>2022-06-16</v>
      </c>
      <c r="AQ11" s="50" t="str">
        <f>[1]!s_ipo_cappaydate(H11)</f>
        <v>2022-06-20</v>
      </c>
      <c r="AR11" s="51" t="str">
        <f>[1]!s_ipo_placingdate(H11)</f>
        <v>2022-06-22</v>
      </c>
      <c r="AS11" s="58">
        <f>[1]!s_ipo_vsprice_max(H11)</f>
        <v>31.09</v>
      </c>
      <c r="AT11" s="59">
        <f>[1]!s_ipo_vsprice_min(H11)</f>
        <v>27.53</v>
      </c>
      <c r="AU11" s="59">
        <f>[1]!s_ipo_vsshares(H11,100000000)</f>
        <v>396.613</v>
      </c>
      <c r="AV11" s="59">
        <f>[1]!s_ipo_vssharespct(H11)</f>
        <v>69.763837975894788</v>
      </c>
      <c r="AW11" s="59">
        <f>[1]!s_ipo_invsshares_a(H11,100000000)</f>
        <v>5.6909999999999998</v>
      </c>
      <c r="AX11" s="60">
        <f>[1]!s_ipo_invssharespct_a(H11)</f>
        <v>1.0010413221977528</v>
      </c>
      <c r="AY11" s="65">
        <f>[1]!s_ipo_lotteryrate_abc(H11,1)</f>
        <v>4.4266489999999999E-2</v>
      </c>
      <c r="AZ11" s="66">
        <f>[1]!s_ipo_lotteryrate_abc(H11,2)</f>
        <v>4.4254969999999998E-2</v>
      </c>
      <c r="BA11" s="67">
        <f>[1]!s_ipo_lotteryrate_abc(H11,3)</f>
        <v>2.0220019999999998E-2</v>
      </c>
      <c r="BB11" s="27"/>
    </row>
    <row r="12" spans="1:58" s="26" customFormat="1" ht="16.5" x14ac:dyDescent="0.15">
      <c r="A12" s="5"/>
      <c r="B12" s="5"/>
      <c r="C12" s="5"/>
      <c r="D12" s="5"/>
      <c r="E12" s="5"/>
      <c r="F12" s="13"/>
      <c r="G12" s="7"/>
      <c r="H12" s="72" t="s">
        <v>122</v>
      </c>
      <c r="I12" s="34" t="s">
        <v>123</v>
      </c>
      <c r="J12" s="74">
        <v>44719</v>
      </c>
      <c r="K12" s="74">
        <v>44727</v>
      </c>
      <c r="L12" s="74">
        <v>44736</v>
      </c>
      <c r="M12" s="34" t="s">
        <v>124</v>
      </c>
      <c r="N12" s="76">
        <v>60.06</v>
      </c>
      <c r="O12" s="76">
        <v>141.68</v>
      </c>
      <c r="P12" s="76">
        <v>3116</v>
      </c>
      <c r="Q12" s="76">
        <v>984</v>
      </c>
      <c r="R12" s="34">
        <v>342</v>
      </c>
      <c r="S12" s="34">
        <v>8450</v>
      </c>
      <c r="T12" s="35">
        <v>6989890</v>
      </c>
      <c r="U12" s="76">
        <v>3044.3771777003485</v>
      </c>
      <c r="V12" s="34">
        <v>5784</v>
      </c>
      <c r="W12" s="34">
        <v>256</v>
      </c>
      <c r="X12" s="35">
        <v>5784</v>
      </c>
      <c r="Y12" s="76">
        <v>5.7336640000000001E-2</v>
      </c>
      <c r="Z12" s="76">
        <v>1744.0853999999999</v>
      </c>
      <c r="AA12" s="76">
        <v>20</v>
      </c>
      <c r="AB12" s="34" t="s">
        <v>125</v>
      </c>
      <c r="AC12" s="34" t="s">
        <v>118</v>
      </c>
      <c r="AD12" s="74">
        <v>44726</v>
      </c>
      <c r="AE12" s="74">
        <v>44727</v>
      </c>
      <c r="AF12" s="74">
        <v>44727</v>
      </c>
      <c r="AG12" s="76">
        <v>16000.4900055</v>
      </c>
      <c r="AH12" s="34"/>
      <c r="AI12" s="34" t="s">
        <v>126</v>
      </c>
      <c r="AJ12" s="34" t="s">
        <v>106</v>
      </c>
      <c r="AK12" s="34" t="s">
        <v>127</v>
      </c>
      <c r="AL12" s="49" t="str">
        <f>[1]!s_ipo_inq_anncedate(H12)</f>
        <v>2022-06-07</v>
      </c>
      <c r="AM12" s="50" t="str">
        <f>[1]!s_ipo_inq_startdate(H12)</f>
        <v>2022-06-10</v>
      </c>
      <c r="AN12" s="50" t="str">
        <f>[1]!s_ipo_inq_enddate(H12)</f>
        <v>2022-06-10</v>
      </c>
      <c r="AO12" s="50" t="str">
        <f>[1]!s_ipo_inqresultdate(H12)</f>
        <v>2022-06-14</v>
      </c>
      <c r="AP12" s="50" t="str">
        <f>[1]!s_ipo_op_enddate(H12)</f>
        <v>2022-06-15</v>
      </c>
      <c r="AQ12" s="50" t="str">
        <f>[1]!s_ipo_cappaydate(H12)</f>
        <v>2022-06-17</v>
      </c>
      <c r="AR12" s="51" t="str">
        <f>[1]!s_ipo_placingdate(H12)</f>
        <v>2022-06-21</v>
      </c>
      <c r="AS12" s="58">
        <f>[1]!s_ipo_vsprice_max(H12)</f>
        <v>80</v>
      </c>
      <c r="AT12" s="59">
        <f>[1]!s_ipo_vsprice_min(H12)</f>
        <v>60.22</v>
      </c>
      <c r="AU12" s="59">
        <f>[1]!s_ipo_vsshares(H12,100000000)</f>
        <v>400.44200000000001</v>
      </c>
      <c r="AV12" s="59">
        <f>[1]!s_ipo_vssharespct(H12)</f>
        <v>57.288741310664406</v>
      </c>
      <c r="AW12" s="59">
        <f>[1]!s_ipo_invsshares_a(H12,100000000)</f>
        <v>7.016</v>
      </c>
      <c r="AX12" s="60">
        <f>[1]!s_ipo_invssharespct_a(H12)</f>
        <v>1.0037353949776033</v>
      </c>
      <c r="AY12" s="65">
        <f>[1]!s_ipo_lotteryrate_abc(H12,1)</f>
        <v>6.1813479999999997E-2</v>
      </c>
      <c r="AZ12" s="66">
        <f>[1]!s_ipo_lotteryrate_abc(H12,2)</f>
        <v>6.1804089999999999E-2</v>
      </c>
      <c r="BA12" s="67">
        <f>[1]!s_ipo_lotteryrate_abc(H12,3)</f>
        <v>4.9043499999999997E-2</v>
      </c>
      <c r="BB12" s="27"/>
    </row>
    <row r="13" spans="1:58" s="26" customFormat="1" ht="16.5" x14ac:dyDescent="0.15">
      <c r="A13" s="5"/>
      <c r="B13" s="5"/>
      <c r="C13" s="5"/>
      <c r="D13" s="5"/>
      <c r="E13" s="5"/>
      <c r="F13" s="13"/>
      <c r="G13" s="7"/>
      <c r="H13" s="72" t="s">
        <v>128</v>
      </c>
      <c r="I13" s="34" t="s">
        <v>129</v>
      </c>
      <c r="J13" s="74">
        <v>44704</v>
      </c>
      <c r="K13" s="74">
        <v>44727</v>
      </c>
      <c r="L13" s="74">
        <v>44736</v>
      </c>
      <c r="M13" s="34" t="s">
        <v>130</v>
      </c>
      <c r="N13" s="76">
        <v>29.2</v>
      </c>
      <c r="O13" s="76">
        <v>22.99</v>
      </c>
      <c r="P13" s="76"/>
      <c r="Q13" s="76">
        <v>2000</v>
      </c>
      <c r="R13" s="34"/>
      <c r="S13" s="34"/>
      <c r="T13" s="35"/>
      <c r="U13" s="76"/>
      <c r="V13" s="34"/>
      <c r="W13" s="34"/>
      <c r="X13" s="35"/>
      <c r="Y13" s="76"/>
      <c r="Z13" s="76"/>
      <c r="AA13" s="76"/>
      <c r="AB13" s="34" t="s">
        <v>131</v>
      </c>
      <c r="AC13" s="34" t="s">
        <v>132</v>
      </c>
      <c r="AD13" s="74">
        <v>44726</v>
      </c>
      <c r="AE13" s="74"/>
      <c r="AF13" s="74"/>
      <c r="AG13" s="76">
        <v>42652.825731999998</v>
      </c>
      <c r="AH13" s="34"/>
      <c r="AI13" s="34" t="s">
        <v>133</v>
      </c>
      <c r="AJ13" s="34" t="s">
        <v>106</v>
      </c>
      <c r="AK13" s="34" t="s">
        <v>113</v>
      </c>
      <c r="AL13" s="49">
        <f>[1]!s_ipo_inq_anncedate(H13)</f>
        <v>0</v>
      </c>
      <c r="AM13" s="50">
        <f>[1]!s_ipo_inq_startdate(H13)</f>
        <v>0</v>
      </c>
      <c r="AN13" s="50">
        <f>[1]!s_ipo_inq_enddate(H13)</f>
        <v>0</v>
      </c>
      <c r="AO13" s="50">
        <f>[1]!s_ipo_inqresultdate(H13)</f>
        <v>0</v>
      </c>
      <c r="AP13" s="50">
        <f>[1]!s_ipo_op_enddate(H13)</f>
        <v>0</v>
      </c>
      <c r="AQ13" s="50" t="str">
        <f>[1]!s_ipo_cappaydate(H13)</f>
        <v>2022-06-17</v>
      </c>
      <c r="AR13" s="51">
        <f>[1]!s_ipo_placingdate(H13)</f>
        <v>0</v>
      </c>
      <c r="AS13" s="58">
        <f>[1]!s_ipo_vsprice_max(H13)</f>
        <v>0</v>
      </c>
      <c r="AT13" s="59">
        <f>[1]!s_ipo_vsprice_min(H13)</f>
        <v>0</v>
      </c>
      <c r="AU13" s="59">
        <f>[1]!s_ipo_vsshares(H13,100000000)</f>
        <v>0</v>
      </c>
      <c r="AV13" s="59">
        <f>[1]!s_ipo_vssharespct(H13)</f>
        <v>0</v>
      </c>
      <c r="AW13" s="59">
        <f>[1]!s_ipo_invsshares_a(H13,100000000)</f>
        <v>0</v>
      </c>
      <c r="AX13" s="60">
        <f>[1]!s_ipo_invssharespct_a(H13)</f>
        <v>0</v>
      </c>
      <c r="AY13" s="65">
        <f>[1]!s_ipo_lotteryrate_abc(H13,1)</f>
        <v>0</v>
      </c>
      <c r="AZ13" s="66">
        <f>[1]!s_ipo_lotteryrate_abc(H13,2)</f>
        <v>0</v>
      </c>
      <c r="BA13" s="67">
        <f>[1]!s_ipo_lotteryrate_abc(H13,3)</f>
        <v>0</v>
      </c>
      <c r="BB13" s="27"/>
    </row>
    <row r="14" spans="1:58" s="26" customFormat="1" ht="16.5" x14ac:dyDescent="0.15">
      <c r="A14" s="5"/>
      <c r="B14" s="5"/>
      <c r="C14" s="5"/>
      <c r="D14" s="5"/>
      <c r="E14" s="5"/>
      <c r="F14" s="13"/>
      <c r="G14" s="7"/>
      <c r="H14" s="72" t="s">
        <v>134</v>
      </c>
      <c r="I14" s="34" t="s">
        <v>135</v>
      </c>
      <c r="J14" s="74">
        <v>44719</v>
      </c>
      <c r="K14" s="74">
        <v>44727</v>
      </c>
      <c r="L14" s="74">
        <v>44741</v>
      </c>
      <c r="M14" s="34" t="s">
        <v>136</v>
      </c>
      <c r="N14" s="76">
        <v>32.35</v>
      </c>
      <c r="O14" s="76">
        <v>75.62</v>
      </c>
      <c r="P14" s="76">
        <v>9781.7999999999993</v>
      </c>
      <c r="Q14" s="76">
        <v>3718.2</v>
      </c>
      <c r="R14" s="34">
        <v>358</v>
      </c>
      <c r="S14" s="34">
        <v>8580</v>
      </c>
      <c r="T14" s="35">
        <v>19201740</v>
      </c>
      <c r="U14" s="76">
        <v>2095.4449808928011</v>
      </c>
      <c r="V14" s="34">
        <v>6003</v>
      </c>
      <c r="W14" s="34">
        <v>261</v>
      </c>
      <c r="X14" s="35">
        <v>5978</v>
      </c>
      <c r="Y14" s="76">
        <v>7.3659050000000004E-2</v>
      </c>
      <c r="Z14" s="76">
        <v>1357.6063999999999</v>
      </c>
      <c r="AA14" s="76">
        <v>4.5795407407407414</v>
      </c>
      <c r="AB14" s="34" t="s">
        <v>125</v>
      </c>
      <c r="AC14" s="34" t="s">
        <v>137</v>
      </c>
      <c r="AD14" s="74">
        <v>44726</v>
      </c>
      <c r="AE14" s="74">
        <v>44727</v>
      </c>
      <c r="AF14" s="74">
        <v>44727</v>
      </c>
      <c r="AG14" s="76">
        <v>26077.157883749998</v>
      </c>
      <c r="AH14" s="34"/>
      <c r="AI14" s="34" t="s">
        <v>138</v>
      </c>
      <c r="AJ14" s="34" t="s">
        <v>120</v>
      </c>
      <c r="AK14" s="34" t="s">
        <v>127</v>
      </c>
      <c r="AL14" s="49" t="str">
        <f>[1]!s_ipo_inq_anncedate(H14)</f>
        <v>2022-06-07</v>
      </c>
      <c r="AM14" s="50" t="str">
        <f>[1]!s_ipo_inq_startdate(H14)</f>
        <v>2022-06-10</v>
      </c>
      <c r="AN14" s="50" t="str">
        <f>[1]!s_ipo_inq_enddate(H14)</f>
        <v>2022-06-10</v>
      </c>
      <c r="AO14" s="50" t="str">
        <f>[1]!s_ipo_inqresultdate(H14)</f>
        <v>2022-06-14</v>
      </c>
      <c r="AP14" s="50" t="str">
        <f>[1]!s_ipo_op_enddate(H14)</f>
        <v>2022-06-15</v>
      </c>
      <c r="AQ14" s="50" t="str">
        <f>[1]!s_ipo_cappaydate(H14)</f>
        <v>2022-06-17</v>
      </c>
      <c r="AR14" s="51" t="str">
        <f>[1]!s_ipo_placingdate(H14)</f>
        <v>2022-06-21</v>
      </c>
      <c r="AS14" s="58">
        <f>[1]!s_ipo_vsprice_max(H14)</f>
        <v>41.2</v>
      </c>
      <c r="AT14" s="59">
        <f>[1]!s_ipo_vsprice_min(H14)</f>
        <v>32.4</v>
      </c>
      <c r="AU14" s="59">
        <f>[1]!s_ipo_vsshares(H14,100000000)</f>
        <v>1245.1669999999999</v>
      </c>
      <c r="AV14" s="59">
        <f>[1]!s_ipo_vssharespct(H14)</f>
        <v>64.846571196152013</v>
      </c>
      <c r="AW14" s="59">
        <f>[1]!s_ipo_invsshares_a(H14,100000000)</f>
        <v>19.234999999999999</v>
      </c>
      <c r="AX14" s="60">
        <f>[1]!s_ipo_invssharespct_a(H14)</f>
        <v>1.0017321346919601</v>
      </c>
      <c r="AY14" s="65">
        <f>[1]!s_ipo_lotteryrate_abc(H14,1)</f>
        <v>7.4494160000000004E-2</v>
      </c>
      <c r="AZ14" s="66">
        <f>[1]!s_ipo_lotteryrate_abc(H14,2)</f>
        <v>7.3968519999999996E-2</v>
      </c>
      <c r="BA14" s="67">
        <f>[1]!s_ipo_lotteryrate_abc(H14,3)</f>
        <v>7.1330630000000006E-2</v>
      </c>
      <c r="BB14" s="27"/>
    </row>
    <row r="15" spans="1:58" s="26" customFormat="1" ht="16.5" x14ac:dyDescent="0.15">
      <c r="A15" s="5"/>
      <c r="B15" s="5"/>
      <c r="C15" s="5"/>
      <c r="D15" s="5"/>
      <c r="E15" s="5"/>
      <c r="F15" s="13"/>
      <c r="G15" s="7"/>
      <c r="H15" s="72" t="s">
        <v>139</v>
      </c>
      <c r="I15" s="34" t="s">
        <v>140</v>
      </c>
      <c r="J15" s="74">
        <v>44718</v>
      </c>
      <c r="K15" s="74">
        <v>44726</v>
      </c>
      <c r="L15" s="74">
        <v>44735</v>
      </c>
      <c r="M15" s="34" t="s">
        <v>130</v>
      </c>
      <c r="N15" s="76">
        <v>38.93</v>
      </c>
      <c r="O15" s="76">
        <v>22.99</v>
      </c>
      <c r="P15" s="76">
        <v>400.1</v>
      </c>
      <c r="Q15" s="76">
        <v>3600.9</v>
      </c>
      <c r="R15" s="34">
        <v>2672</v>
      </c>
      <c r="S15" s="34">
        <v>11094</v>
      </c>
      <c r="T15" s="35">
        <v>1654080</v>
      </c>
      <c r="U15" s="76">
        <v>4134.1664583854035</v>
      </c>
      <c r="V15" s="34">
        <v>11043</v>
      </c>
      <c r="W15" s="34">
        <v>2652</v>
      </c>
      <c r="X15" s="35">
        <v>11031</v>
      </c>
      <c r="Y15" s="76">
        <v>2.4324999999999999E-2</v>
      </c>
      <c r="Z15" s="76">
        <v>4110.9973</v>
      </c>
      <c r="AA15" s="76"/>
      <c r="AB15" s="34" t="s">
        <v>103</v>
      </c>
      <c r="AC15" s="34" t="s">
        <v>141</v>
      </c>
      <c r="AD15" s="74">
        <v>44725</v>
      </c>
      <c r="AE15" s="74">
        <v>44726</v>
      </c>
      <c r="AF15" s="74">
        <v>44726</v>
      </c>
      <c r="AG15" s="76">
        <v>39094.69862055</v>
      </c>
      <c r="AH15" s="34"/>
      <c r="AI15" s="34" t="s">
        <v>142</v>
      </c>
      <c r="AJ15" s="34" t="s">
        <v>106</v>
      </c>
      <c r="AK15" s="34" t="s">
        <v>113</v>
      </c>
      <c r="AL15" s="49" t="str">
        <f>[1]!s_ipo_inq_anncedate(H15)</f>
        <v>2022-06-06</v>
      </c>
      <c r="AM15" s="50" t="str">
        <f>[1]!s_ipo_inq_startdate(H15)</f>
        <v>2022-06-08</v>
      </c>
      <c r="AN15" s="50" t="str">
        <f>[1]!s_ipo_inq_enddate(H15)</f>
        <v>2022-06-08</v>
      </c>
      <c r="AO15" s="50" t="str">
        <f>[1]!s_ipo_inqresultdate(H15)</f>
        <v>2022-06-13</v>
      </c>
      <c r="AP15" s="50" t="str">
        <f>[1]!s_ipo_op_enddate(H15)</f>
        <v>2022-06-14</v>
      </c>
      <c r="AQ15" s="50" t="str">
        <f>[1]!s_ipo_cappaydate(H15)</f>
        <v>2022-06-16</v>
      </c>
      <c r="AR15" s="51" t="str">
        <f>[1]!s_ipo_placingdate(H15)</f>
        <v>2022-06-20</v>
      </c>
      <c r="AS15" s="58">
        <f>[1]!s_ipo_vsprice_max(H15)</f>
        <v>38.93</v>
      </c>
      <c r="AT15" s="59">
        <f>[1]!s_ipo_vsprice_min(H15)</f>
        <v>38.93</v>
      </c>
      <c r="AU15" s="59">
        <f>[1]!s_ipo_vsshares(H15,100000000)</f>
        <v>164.661</v>
      </c>
      <c r="AV15" s="59">
        <f>[1]!s_ipo_vssharespct(H15)</f>
        <v>99.548389437028433</v>
      </c>
      <c r="AW15" s="59">
        <f>[1]!s_ipo_invsshares_a(H15,100000000)</f>
        <v>0.17699999999999999</v>
      </c>
      <c r="AX15" s="60">
        <f>[1]!s_ipo_invssharespct_a(H15)</f>
        <v>0.10700812536273942</v>
      </c>
      <c r="AY15" s="65">
        <f>[1]!s_ipo_lotteryrate_abc(H15,1)</f>
        <v>3.820424E-2</v>
      </c>
      <c r="AZ15" s="66">
        <f>[1]!s_ipo_lotteryrate_abc(H15,2)</f>
        <v>3.813333E-2</v>
      </c>
      <c r="BA15" s="67">
        <f>[1]!s_ipo_lotteryrate_abc(H15,3)</f>
        <v>1.2933210000000001E-2</v>
      </c>
      <c r="BB15" s="27"/>
    </row>
    <row r="16" spans="1:58" s="26" customFormat="1" ht="16.5" x14ac:dyDescent="0.15">
      <c r="A16" s="5"/>
      <c r="B16" s="5"/>
      <c r="C16" s="5"/>
      <c r="D16" s="5"/>
      <c r="E16" s="5"/>
      <c r="F16" s="13"/>
      <c r="G16" s="7"/>
      <c r="H16" s="72" t="s">
        <v>143</v>
      </c>
      <c r="I16" s="34" t="s">
        <v>144</v>
      </c>
      <c r="J16" s="74">
        <v>44714</v>
      </c>
      <c r="K16" s="74">
        <v>44726</v>
      </c>
      <c r="L16" s="74">
        <v>44735</v>
      </c>
      <c r="M16" s="34" t="s">
        <v>116</v>
      </c>
      <c r="N16" s="76">
        <v>52.03</v>
      </c>
      <c r="O16" s="76">
        <v>51.64</v>
      </c>
      <c r="P16" s="76">
        <v>1358.1</v>
      </c>
      <c r="Q16" s="76">
        <v>1278.9000000000001</v>
      </c>
      <c r="R16" s="34">
        <v>316</v>
      </c>
      <c r="S16" s="34">
        <v>7227</v>
      </c>
      <c r="T16" s="35">
        <v>4806960</v>
      </c>
      <c r="U16" s="76">
        <v>3539.4742655180034</v>
      </c>
      <c r="V16" s="34">
        <v>5010</v>
      </c>
      <c r="W16" s="34">
        <v>228</v>
      </c>
      <c r="X16" s="35">
        <v>5010</v>
      </c>
      <c r="Y16" s="76">
        <v>4.4628979999999999E-2</v>
      </c>
      <c r="Z16" s="76">
        <v>2240.6966000000002</v>
      </c>
      <c r="AA16" s="76"/>
      <c r="AB16" s="34" t="s">
        <v>103</v>
      </c>
      <c r="AC16" s="34" t="s">
        <v>118</v>
      </c>
      <c r="AD16" s="74">
        <v>44725</v>
      </c>
      <c r="AE16" s="74">
        <v>44726</v>
      </c>
      <c r="AF16" s="74">
        <v>44726</v>
      </c>
      <c r="AG16" s="76">
        <v>32426.481819050001</v>
      </c>
      <c r="AH16" s="34"/>
      <c r="AI16" s="34" t="s">
        <v>145</v>
      </c>
      <c r="AJ16" s="34" t="s">
        <v>106</v>
      </c>
      <c r="AK16" s="34" t="s">
        <v>121</v>
      </c>
      <c r="AL16" s="49" t="str">
        <f>[1]!s_ipo_inq_anncedate(H16)</f>
        <v>2022-06-02</v>
      </c>
      <c r="AM16" s="50" t="str">
        <f>[1]!s_ipo_inq_startdate(H16)</f>
        <v>2022-06-08</v>
      </c>
      <c r="AN16" s="50" t="str">
        <f>[1]!s_ipo_inq_enddate(H16)</f>
        <v>2022-06-08</v>
      </c>
      <c r="AO16" s="50" t="str">
        <f>[1]!s_ipo_inqresultdate(H16)</f>
        <v>2022-06-13</v>
      </c>
      <c r="AP16" s="50" t="str">
        <f>[1]!s_ipo_op_enddate(H16)</f>
        <v>2022-06-14</v>
      </c>
      <c r="AQ16" s="50" t="str">
        <f>[1]!s_ipo_cappaydate(H16)</f>
        <v>2022-06-16</v>
      </c>
      <c r="AR16" s="51" t="str">
        <f>[1]!s_ipo_placingdate(H16)</f>
        <v>2022-06-20</v>
      </c>
      <c r="AS16" s="58">
        <f>[1]!s_ipo_vsprice_max(H16)</f>
        <v>60</v>
      </c>
      <c r="AT16" s="59">
        <f>[1]!s_ipo_vsprice_min(H16)</f>
        <v>52.07</v>
      </c>
      <c r="AU16" s="59">
        <f>[1]!s_ipo_vsshares(H16,100000000)</f>
        <v>304.30900000000003</v>
      </c>
      <c r="AV16" s="59">
        <f>[1]!s_ipo_vssharespct(H16)</f>
        <v>63.305914756935778</v>
      </c>
      <c r="AW16" s="59">
        <f>[1]!s_ipo_invsshares_a(H16,100000000)</f>
        <v>4.883</v>
      </c>
      <c r="AX16" s="60">
        <f>[1]!s_ipo_invssharespct_a(H16)</f>
        <v>1.0158187295088787</v>
      </c>
      <c r="AY16" s="65">
        <f>[1]!s_ipo_lotteryrate_abc(H16,1)</f>
        <v>5.2850870000000001E-2</v>
      </c>
      <c r="AZ16" s="66">
        <f>[1]!s_ipo_lotteryrate_abc(H16,2)</f>
        <v>5.283703E-2</v>
      </c>
      <c r="BA16" s="67">
        <f>[1]!s_ipo_lotteryrate_abc(H16,3)</f>
        <v>3.2342639999999999E-2</v>
      </c>
      <c r="BB16" s="27"/>
    </row>
    <row r="17" spans="1:54" s="26" customFormat="1" ht="16.5" x14ac:dyDescent="0.15">
      <c r="A17" s="5"/>
      <c r="B17" s="5"/>
      <c r="C17" s="5"/>
      <c r="D17" s="5"/>
      <c r="E17" s="5"/>
      <c r="F17" s="13"/>
      <c r="G17" s="7"/>
      <c r="H17" s="72" t="s">
        <v>146</v>
      </c>
      <c r="I17" s="34" t="s">
        <v>147</v>
      </c>
      <c r="J17" s="74">
        <v>44699</v>
      </c>
      <c r="K17" s="74">
        <v>44725</v>
      </c>
      <c r="L17" s="74">
        <v>44734</v>
      </c>
      <c r="M17" s="34" t="s">
        <v>130</v>
      </c>
      <c r="N17" s="76">
        <v>24.66</v>
      </c>
      <c r="O17" s="76">
        <v>22.99</v>
      </c>
      <c r="P17" s="76"/>
      <c r="Q17" s="76">
        <v>1866.65</v>
      </c>
      <c r="R17" s="34"/>
      <c r="S17" s="34"/>
      <c r="T17" s="35"/>
      <c r="U17" s="76"/>
      <c r="V17" s="34"/>
      <c r="W17" s="34"/>
      <c r="X17" s="35"/>
      <c r="Y17" s="76"/>
      <c r="Z17" s="76"/>
      <c r="AA17" s="76"/>
      <c r="AB17" s="34" t="s">
        <v>148</v>
      </c>
      <c r="AC17" s="34" t="s">
        <v>149</v>
      </c>
      <c r="AD17" s="74">
        <v>44722</v>
      </c>
      <c r="AE17" s="74"/>
      <c r="AF17" s="74"/>
      <c r="AG17" s="76">
        <v>34283.262051899997</v>
      </c>
      <c r="AH17" s="34"/>
      <c r="AI17" s="34" t="s">
        <v>119</v>
      </c>
      <c r="AJ17" s="34" t="s">
        <v>106</v>
      </c>
      <c r="AK17" s="34" t="s">
        <v>113</v>
      </c>
      <c r="AL17" s="49">
        <f>[1]!s_ipo_inq_anncedate(H17)</f>
        <v>0</v>
      </c>
      <c r="AM17" s="50">
        <f>[1]!s_ipo_inq_startdate(H17)</f>
        <v>0</v>
      </c>
      <c r="AN17" s="50">
        <f>[1]!s_ipo_inq_enddate(H17)</f>
        <v>0</v>
      </c>
      <c r="AO17" s="50">
        <f>[1]!s_ipo_inqresultdate(H17)</f>
        <v>0</v>
      </c>
      <c r="AP17" s="50">
        <f>[1]!s_ipo_op_enddate(H17)</f>
        <v>0</v>
      </c>
      <c r="AQ17" s="50" t="str">
        <f>[1]!s_ipo_cappaydate(H17)</f>
        <v>2022-06-15</v>
      </c>
      <c r="AR17" s="51">
        <f>[1]!s_ipo_placingdate(H17)</f>
        <v>0</v>
      </c>
      <c r="AS17" s="58">
        <f>[1]!s_ipo_vsprice_max(H17)</f>
        <v>0</v>
      </c>
      <c r="AT17" s="59">
        <f>[1]!s_ipo_vsprice_min(H17)</f>
        <v>0</v>
      </c>
      <c r="AU17" s="59">
        <f>[1]!s_ipo_vsshares(H17,100000000)</f>
        <v>0</v>
      </c>
      <c r="AV17" s="59">
        <f>[1]!s_ipo_vssharespct(H17)</f>
        <v>0</v>
      </c>
      <c r="AW17" s="59">
        <f>[1]!s_ipo_invsshares_a(H17,100000000)</f>
        <v>0</v>
      </c>
      <c r="AX17" s="60">
        <f>[1]!s_ipo_invssharespct_a(H17)</f>
        <v>0</v>
      </c>
      <c r="AY17" s="65">
        <f>[1]!s_ipo_lotteryrate_abc(H17,1)</f>
        <v>0</v>
      </c>
      <c r="AZ17" s="66">
        <f>[1]!s_ipo_lotteryrate_abc(H17,2)</f>
        <v>0</v>
      </c>
      <c r="BA17" s="67">
        <f>[1]!s_ipo_lotteryrate_abc(H17,3)</f>
        <v>0</v>
      </c>
      <c r="BB17" s="27"/>
    </row>
    <row r="18" spans="1:54" s="26" customFormat="1" ht="16.5" x14ac:dyDescent="0.15">
      <c r="A18" s="5"/>
      <c r="B18" s="5"/>
      <c r="C18" s="5"/>
      <c r="D18" s="5"/>
      <c r="E18" s="5"/>
      <c r="F18" s="13"/>
      <c r="G18" s="7"/>
      <c r="H18" s="72" t="s">
        <v>150</v>
      </c>
      <c r="I18" s="34" t="s">
        <v>151</v>
      </c>
      <c r="J18" s="74">
        <v>44714</v>
      </c>
      <c r="K18" s="74">
        <v>44725</v>
      </c>
      <c r="L18" s="74">
        <v>44734</v>
      </c>
      <c r="M18" s="34" t="s">
        <v>136</v>
      </c>
      <c r="N18" s="76">
        <v>29.8</v>
      </c>
      <c r="O18" s="76">
        <v>22.93</v>
      </c>
      <c r="P18" s="76">
        <v>14806.771499999999</v>
      </c>
      <c r="Q18" s="76">
        <v>4021.8</v>
      </c>
      <c r="R18" s="34">
        <v>322</v>
      </c>
      <c r="S18" s="34">
        <v>8444</v>
      </c>
      <c r="T18" s="35">
        <v>20314450</v>
      </c>
      <c r="U18" s="76">
        <v>2065.3560395055206</v>
      </c>
      <c r="V18" s="34">
        <v>6574</v>
      </c>
      <c r="W18" s="34">
        <v>250</v>
      </c>
      <c r="X18" s="35">
        <v>6573</v>
      </c>
      <c r="Y18" s="76">
        <v>6.5318979999999999E-2</v>
      </c>
      <c r="Z18" s="76">
        <v>1530.9485999999999</v>
      </c>
      <c r="AA18" s="76">
        <v>26.401160066763431</v>
      </c>
      <c r="AB18" s="34" t="s">
        <v>125</v>
      </c>
      <c r="AC18" s="34" t="s">
        <v>118</v>
      </c>
      <c r="AD18" s="74">
        <v>44722</v>
      </c>
      <c r="AE18" s="74">
        <v>44725</v>
      </c>
      <c r="AF18" s="74">
        <v>44725</v>
      </c>
      <c r="AG18" s="76">
        <v>25261.347505000002</v>
      </c>
      <c r="AH18" s="34"/>
      <c r="AI18" s="34" t="s">
        <v>152</v>
      </c>
      <c r="AJ18" s="34" t="s">
        <v>120</v>
      </c>
      <c r="AK18" s="34" t="s">
        <v>127</v>
      </c>
      <c r="AL18" s="49" t="str">
        <f>[1]!s_ipo_inq_anncedate(H18)</f>
        <v>2022-06-02</v>
      </c>
      <c r="AM18" s="50" t="str">
        <f>[1]!s_ipo_inq_startdate(H18)</f>
        <v>2022-06-08</v>
      </c>
      <c r="AN18" s="50" t="str">
        <f>[1]!s_ipo_inq_enddate(H18)</f>
        <v>2022-06-08</v>
      </c>
      <c r="AO18" s="50" t="str">
        <f>[1]!s_ipo_inqresultdate(H18)</f>
        <v>2022-06-10</v>
      </c>
      <c r="AP18" s="50" t="str">
        <f>[1]!s_ipo_op_enddate(H18)</f>
        <v>2022-06-13</v>
      </c>
      <c r="AQ18" s="50" t="str">
        <f>[1]!s_ipo_cappaydate(H18)</f>
        <v>2022-06-15</v>
      </c>
      <c r="AR18" s="51" t="str">
        <f>[1]!s_ipo_placingdate(H18)</f>
        <v>2022-06-17</v>
      </c>
      <c r="AS18" s="58">
        <f>[1]!s_ipo_vsprice_max(H18)</f>
        <v>35.67</v>
      </c>
      <c r="AT18" s="59">
        <f>[1]!s_ipo_vsprice_min(H18)</f>
        <v>29.8</v>
      </c>
      <c r="AU18" s="59">
        <f>[1]!s_ipo_vsshares(H18,100000000)</f>
        <v>1506.3119999999999</v>
      </c>
      <c r="AV18" s="59">
        <f>[1]!s_ipo_vssharespct(H18)</f>
        <v>74.149780082650523</v>
      </c>
      <c r="AW18" s="59">
        <f>[1]!s_ipo_invsshares_a(H18,100000000)</f>
        <v>20.324999999999999</v>
      </c>
      <c r="AX18" s="60">
        <f>[1]!s_ipo_invssharespct_a(H18)</f>
        <v>1.0005193347592478</v>
      </c>
      <c r="AY18" s="65">
        <f>[1]!s_ipo_lotteryrate_abc(H18,1)</f>
        <v>6.5299300000000005E-2</v>
      </c>
      <c r="AZ18" s="66">
        <f>[1]!s_ipo_lotteryrate_abc(H18,2)</f>
        <v>6.5296110000000004E-2</v>
      </c>
      <c r="BA18" s="67">
        <f>[1]!s_ipo_lotteryrate_abc(H18,3)</f>
        <v>6.5290979999999998E-2</v>
      </c>
      <c r="BB18" s="27"/>
    </row>
    <row r="19" spans="1:54" s="26" customFormat="1" ht="16.5" x14ac:dyDescent="0.15">
      <c r="A19" s="5"/>
      <c r="B19" s="5"/>
      <c r="C19" s="5"/>
      <c r="D19" s="5"/>
      <c r="E19" s="5"/>
      <c r="F19" s="13"/>
      <c r="G19" s="7"/>
      <c r="H19" s="72" t="s">
        <v>153</v>
      </c>
      <c r="I19" s="34" t="s">
        <v>154</v>
      </c>
      <c r="J19" s="74">
        <v>44713</v>
      </c>
      <c r="K19" s="74">
        <v>44725</v>
      </c>
      <c r="L19" s="74">
        <v>44734</v>
      </c>
      <c r="M19" s="34" t="s">
        <v>116</v>
      </c>
      <c r="N19" s="76">
        <v>35.979999999999997</v>
      </c>
      <c r="O19" s="76">
        <v>32.71</v>
      </c>
      <c r="P19" s="76">
        <v>1122.55</v>
      </c>
      <c r="Q19" s="76">
        <v>897.45</v>
      </c>
      <c r="R19" s="34">
        <v>299</v>
      </c>
      <c r="S19" s="34">
        <v>6678</v>
      </c>
      <c r="T19" s="35">
        <v>1976260</v>
      </c>
      <c r="U19" s="76">
        <v>1948.6736021511472</v>
      </c>
      <c r="V19" s="34">
        <v>5072</v>
      </c>
      <c r="W19" s="34">
        <v>205</v>
      </c>
      <c r="X19" s="35">
        <v>5072</v>
      </c>
      <c r="Y19" s="76">
        <v>6.7719689999999999E-2</v>
      </c>
      <c r="Z19" s="76">
        <v>1476.6754000000001</v>
      </c>
      <c r="AA19" s="76">
        <v>5.3660148514851489</v>
      </c>
      <c r="AB19" s="34" t="s">
        <v>117</v>
      </c>
      <c r="AC19" s="34" t="s">
        <v>155</v>
      </c>
      <c r="AD19" s="74">
        <v>44722</v>
      </c>
      <c r="AE19" s="74">
        <v>44725</v>
      </c>
      <c r="AF19" s="74">
        <v>44725</v>
      </c>
      <c r="AG19" s="76">
        <v>17628.298456999997</v>
      </c>
      <c r="AH19" s="34"/>
      <c r="AI19" s="34" t="s">
        <v>156</v>
      </c>
      <c r="AJ19" s="34" t="s">
        <v>120</v>
      </c>
      <c r="AK19" s="34" t="s">
        <v>113</v>
      </c>
      <c r="AL19" s="49" t="str">
        <f>[1]!s_ipo_inq_anncedate(H19)</f>
        <v>2022-06-01</v>
      </c>
      <c r="AM19" s="50" t="str">
        <f>[1]!s_ipo_inq_startdate(H19)</f>
        <v>2022-06-07</v>
      </c>
      <c r="AN19" s="50" t="str">
        <f>[1]!s_ipo_inq_enddate(H19)</f>
        <v>2022-06-07</v>
      </c>
      <c r="AO19" s="50" t="str">
        <f>[1]!s_ipo_inqresultdate(H19)</f>
        <v>2022-06-10</v>
      </c>
      <c r="AP19" s="50" t="str">
        <f>[1]!s_ipo_op_enddate(H19)</f>
        <v>2022-06-13</v>
      </c>
      <c r="AQ19" s="50" t="str">
        <f>[1]!s_ipo_cappaydate(H19)</f>
        <v>2022-06-15</v>
      </c>
      <c r="AR19" s="51" t="str">
        <f>[1]!s_ipo_placingdate(H19)</f>
        <v>2022-06-17</v>
      </c>
      <c r="AS19" s="58">
        <f>[1]!s_ipo_vsprice_max(H19)</f>
        <v>44.34</v>
      </c>
      <c r="AT19" s="59">
        <f>[1]!s_ipo_vsprice_min(H19)</f>
        <v>35.99</v>
      </c>
      <c r="AU19" s="59">
        <f>[1]!s_ipo_vsshares(H19,100000000)</f>
        <v>149.75800000000001</v>
      </c>
      <c r="AV19" s="59">
        <f>[1]!s_ipo_vssharespct(H19)</f>
        <v>75.778490684424114</v>
      </c>
      <c r="AW19" s="59">
        <f>[1]!s_ipo_invsshares_a(H19,100000000)</f>
        <v>1.9990000000000001</v>
      </c>
      <c r="AX19" s="60">
        <f>[1]!s_ipo_invssharespct_a(H19)</f>
        <v>1.0115065831418943</v>
      </c>
      <c r="AY19" s="65">
        <f>[1]!s_ipo_lotteryrate_abc(H19,1)</f>
        <v>9.4966599999999998E-2</v>
      </c>
      <c r="AZ19" s="66">
        <f>[1]!s_ipo_lotteryrate_abc(H19,2)</f>
        <v>7.9799999999999996E-2</v>
      </c>
      <c r="BA19" s="67">
        <f>[1]!s_ipo_lotteryrate_abc(H19,3)</f>
        <v>3.9499020000000003E-2</v>
      </c>
      <c r="BB19" s="27"/>
    </row>
    <row r="20" spans="1:54" s="26" customFormat="1" ht="16.5" x14ac:dyDescent="0.15">
      <c r="A20" s="5"/>
      <c r="B20" s="5"/>
      <c r="C20" s="5"/>
      <c r="D20" s="5"/>
      <c r="E20" s="5"/>
      <c r="F20" s="13"/>
      <c r="G20" s="7"/>
      <c r="H20" s="72" t="s">
        <v>157</v>
      </c>
      <c r="I20" s="34" t="s">
        <v>158</v>
      </c>
      <c r="J20" s="74">
        <v>44721</v>
      </c>
      <c r="K20" s="74">
        <v>44725</v>
      </c>
      <c r="L20" s="74">
        <v>44734</v>
      </c>
      <c r="M20" s="34" t="s">
        <v>110</v>
      </c>
      <c r="N20" s="76">
        <v>33.549999999999997</v>
      </c>
      <c r="O20" s="76">
        <v>28.5</v>
      </c>
      <c r="P20" s="76"/>
      <c r="Q20" s="76">
        <v>1500</v>
      </c>
      <c r="R20" s="34"/>
      <c r="S20" s="34"/>
      <c r="T20" s="35"/>
      <c r="U20" s="76"/>
      <c r="V20" s="34"/>
      <c r="W20" s="34"/>
      <c r="X20" s="35"/>
      <c r="Y20" s="76"/>
      <c r="Z20" s="76"/>
      <c r="AA20" s="76"/>
      <c r="AB20" s="34" t="s">
        <v>148</v>
      </c>
      <c r="AC20" s="34" t="s">
        <v>159</v>
      </c>
      <c r="AD20" s="74">
        <v>44722</v>
      </c>
      <c r="AE20" s="74"/>
      <c r="AF20" s="74"/>
      <c r="AG20" s="76">
        <v>36718.635117999998</v>
      </c>
      <c r="AH20" s="34"/>
      <c r="AI20" s="34" t="s">
        <v>160</v>
      </c>
      <c r="AJ20" s="34" t="s">
        <v>106</v>
      </c>
      <c r="AK20" s="34" t="s">
        <v>121</v>
      </c>
      <c r="AL20" s="49">
        <f>[1]!s_ipo_inq_anncedate(H20)</f>
        <v>0</v>
      </c>
      <c r="AM20" s="50">
        <f>[1]!s_ipo_inq_startdate(H20)</f>
        <v>0</v>
      </c>
      <c r="AN20" s="50">
        <f>[1]!s_ipo_inq_enddate(H20)</f>
        <v>0</v>
      </c>
      <c r="AO20" s="50">
        <f>[1]!s_ipo_inqresultdate(H20)</f>
        <v>0</v>
      </c>
      <c r="AP20" s="50">
        <f>[1]!s_ipo_op_enddate(H20)</f>
        <v>0</v>
      </c>
      <c r="AQ20" s="50" t="str">
        <f>[1]!s_ipo_cappaydate(H20)</f>
        <v>2022-06-15</v>
      </c>
      <c r="AR20" s="51">
        <f>[1]!s_ipo_placingdate(H20)</f>
        <v>0</v>
      </c>
      <c r="AS20" s="58">
        <f>[1]!s_ipo_vsprice_max(H20)</f>
        <v>0</v>
      </c>
      <c r="AT20" s="59">
        <f>[1]!s_ipo_vsprice_min(H20)</f>
        <v>0</v>
      </c>
      <c r="AU20" s="59">
        <f>[1]!s_ipo_vsshares(H20,100000000)</f>
        <v>0</v>
      </c>
      <c r="AV20" s="59">
        <f>[1]!s_ipo_vssharespct(H20)</f>
        <v>0</v>
      </c>
      <c r="AW20" s="59">
        <f>[1]!s_ipo_invsshares_a(H20,100000000)</f>
        <v>0</v>
      </c>
      <c r="AX20" s="60">
        <f>[1]!s_ipo_invssharespct_a(H20)</f>
        <v>0</v>
      </c>
      <c r="AY20" s="65">
        <f>[1]!s_ipo_lotteryrate_abc(H20,1)</f>
        <v>0</v>
      </c>
      <c r="AZ20" s="66">
        <f>[1]!s_ipo_lotteryrate_abc(H20,2)</f>
        <v>0</v>
      </c>
      <c r="BA20" s="67">
        <f>[1]!s_ipo_lotteryrate_abc(H20,3)</f>
        <v>0</v>
      </c>
      <c r="BB20" s="27"/>
    </row>
    <row r="21" spans="1:54" s="26" customFormat="1" ht="16.5" x14ac:dyDescent="0.15">
      <c r="A21" s="5"/>
      <c r="B21" s="5"/>
      <c r="C21" s="5"/>
      <c r="D21" s="5"/>
      <c r="E21" s="5"/>
      <c r="F21" s="13"/>
      <c r="G21" s="7"/>
      <c r="H21" s="72" t="s">
        <v>161</v>
      </c>
      <c r="I21" s="34" t="s">
        <v>162</v>
      </c>
      <c r="J21" s="74">
        <v>44721</v>
      </c>
      <c r="K21" s="74">
        <v>44725</v>
      </c>
      <c r="L21" s="74">
        <v>44736</v>
      </c>
      <c r="M21" s="34" t="s">
        <v>163</v>
      </c>
      <c r="N21" s="76">
        <v>7</v>
      </c>
      <c r="O21" s="76">
        <v>13.03</v>
      </c>
      <c r="P21" s="76">
        <v>230</v>
      </c>
      <c r="Q21" s="76">
        <v>1065.3368</v>
      </c>
      <c r="R21" s="34"/>
      <c r="S21" s="34"/>
      <c r="T21" s="35"/>
      <c r="U21" s="76"/>
      <c r="V21" s="34"/>
      <c r="W21" s="34"/>
      <c r="X21" s="35"/>
      <c r="Y21" s="76"/>
      <c r="Z21" s="76"/>
      <c r="AA21" s="76">
        <v>17.7559998295424</v>
      </c>
      <c r="AB21" s="34" t="s">
        <v>164</v>
      </c>
      <c r="AC21" s="34" t="s">
        <v>165</v>
      </c>
      <c r="AD21" s="74">
        <v>44721</v>
      </c>
      <c r="AE21" s="74"/>
      <c r="AF21" s="74"/>
      <c r="AG21" s="76">
        <v>505.20313900000002</v>
      </c>
      <c r="AH21" s="34"/>
      <c r="AI21" s="34" t="s">
        <v>119</v>
      </c>
      <c r="AJ21" s="34" t="s">
        <v>106</v>
      </c>
      <c r="AK21" s="34" t="s">
        <v>166</v>
      </c>
      <c r="AL21" s="49">
        <f>[1]!s_ipo_inq_anncedate(H21)</f>
        <v>0</v>
      </c>
      <c r="AM21" s="50">
        <f>[1]!s_ipo_inq_startdate(H21)</f>
        <v>0</v>
      </c>
      <c r="AN21" s="50">
        <f>[1]!s_ipo_inq_enddate(H21)</f>
        <v>0</v>
      </c>
      <c r="AO21" s="50">
        <f>[1]!s_ipo_inqresultdate(H21)</f>
        <v>0</v>
      </c>
      <c r="AP21" s="50">
        <f>[1]!s_ipo_op_enddate(H21)</f>
        <v>0</v>
      </c>
      <c r="AQ21" s="50" t="str">
        <f>[1]!s_ipo_cappaydate(H21)</f>
        <v>2022-06-13</v>
      </c>
      <c r="AR21" s="51">
        <f>[1]!s_ipo_placingdate(H21)</f>
        <v>0</v>
      </c>
      <c r="AS21" s="58">
        <f>[1]!s_ipo_vsprice_max(H21)</f>
        <v>0</v>
      </c>
      <c r="AT21" s="59">
        <f>[1]!s_ipo_vsprice_min(H21)</f>
        <v>0</v>
      </c>
      <c r="AU21" s="59">
        <f>[1]!s_ipo_vsshares(H21,100000000)</f>
        <v>0</v>
      </c>
      <c r="AV21" s="59">
        <f>[1]!s_ipo_vssharespct(H21)</f>
        <v>0</v>
      </c>
      <c r="AW21" s="59">
        <f>[1]!s_ipo_invsshares_a(H21,100000000)</f>
        <v>0</v>
      </c>
      <c r="AX21" s="60">
        <f>[1]!s_ipo_invssharespct_a(H21)</f>
        <v>0</v>
      </c>
      <c r="AY21" s="65">
        <f>[1]!s_ipo_lotteryrate_abc(H21,1)</f>
        <v>0</v>
      </c>
      <c r="AZ21" s="66">
        <f>[1]!s_ipo_lotteryrate_abc(H21,2)</f>
        <v>0</v>
      </c>
      <c r="BA21" s="67">
        <f>[1]!s_ipo_lotteryrate_abc(H21,3)</f>
        <v>0</v>
      </c>
      <c r="BB21" s="27"/>
    </row>
    <row r="22" spans="1:54" s="26" customFormat="1" ht="16.5" x14ac:dyDescent="0.15">
      <c r="A22" s="5"/>
      <c r="B22" s="5"/>
      <c r="C22" s="5"/>
      <c r="D22" s="5"/>
      <c r="E22" s="5"/>
      <c r="F22" s="13"/>
      <c r="G22" s="7"/>
      <c r="H22" s="72" t="s">
        <v>167</v>
      </c>
      <c r="I22" s="34" t="s">
        <v>168</v>
      </c>
      <c r="J22" s="74">
        <v>44718</v>
      </c>
      <c r="K22" s="74">
        <v>44720</v>
      </c>
      <c r="L22" s="74">
        <v>44729</v>
      </c>
      <c r="M22" s="34" t="s">
        <v>116</v>
      </c>
      <c r="N22" s="76">
        <v>23.48</v>
      </c>
      <c r="O22" s="76">
        <v>29.23</v>
      </c>
      <c r="P22" s="76"/>
      <c r="Q22" s="76">
        <v>2000</v>
      </c>
      <c r="R22" s="34"/>
      <c r="S22" s="34"/>
      <c r="T22" s="35"/>
      <c r="U22" s="76"/>
      <c r="V22" s="34"/>
      <c r="W22" s="34"/>
      <c r="X22" s="35"/>
      <c r="Y22" s="76"/>
      <c r="Z22" s="76"/>
      <c r="AA22" s="76"/>
      <c r="AB22" s="34" t="s">
        <v>131</v>
      </c>
      <c r="AC22" s="34" t="s">
        <v>169</v>
      </c>
      <c r="AD22" s="74">
        <v>44719</v>
      </c>
      <c r="AE22" s="74"/>
      <c r="AF22" s="74"/>
      <c r="AG22" s="76">
        <v>29452.0530024</v>
      </c>
      <c r="AH22" s="34"/>
      <c r="AI22" s="34" t="s">
        <v>170</v>
      </c>
      <c r="AJ22" s="34" t="s">
        <v>106</v>
      </c>
      <c r="AK22" s="34" t="s">
        <v>113</v>
      </c>
      <c r="AL22" s="49">
        <f>[1]!s_ipo_inq_anncedate(H22)</f>
        <v>0</v>
      </c>
      <c r="AM22" s="50">
        <f>[1]!s_ipo_inq_startdate(H22)</f>
        <v>0</v>
      </c>
      <c r="AN22" s="50">
        <f>[1]!s_ipo_inq_enddate(H22)</f>
        <v>0</v>
      </c>
      <c r="AO22" s="50">
        <f>[1]!s_ipo_inqresultdate(H22)</f>
        <v>0</v>
      </c>
      <c r="AP22" s="50">
        <f>[1]!s_ipo_op_enddate(H22)</f>
        <v>0</v>
      </c>
      <c r="AQ22" s="50" t="str">
        <f>[1]!s_ipo_cappaydate(H22)</f>
        <v>2022-06-10</v>
      </c>
      <c r="AR22" s="51">
        <f>[1]!s_ipo_placingdate(H22)</f>
        <v>0</v>
      </c>
      <c r="AS22" s="58">
        <f>[1]!s_ipo_vsprice_max(H22)</f>
        <v>0</v>
      </c>
      <c r="AT22" s="59">
        <f>[1]!s_ipo_vsprice_min(H22)</f>
        <v>0</v>
      </c>
      <c r="AU22" s="59">
        <f>[1]!s_ipo_vsshares(H22,100000000)</f>
        <v>0</v>
      </c>
      <c r="AV22" s="59">
        <f>[1]!s_ipo_vssharespct(H22)</f>
        <v>0</v>
      </c>
      <c r="AW22" s="59">
        <f>[1]!s_ipo_invsshares_a(H22,100000000)</f>
        <v>0</v>
      </c>
      <c r="AX22" s="60">
        <f>[1]!s_ipo_invssharespct_a(H22)</f>
        <v>0</v>
      </c>
      <c r="AY22" s="65">
        <f>[1]!s_ipo_lotteryrate_abc(H22,1)</f>
        <v>0</v>
      </c>
      <c r="AZ22" s="66">
        <f>[1]!s_ipo_lotteryrate_abc(H22,2)</f>
        <v>0</v>
      </c>
      <c r="BA22" s="67">
        <f>[1]!s_ipo_lotteryrate_abc(H22,3)</f>
        <v>0</v>
      </c>
      <c r="BB22" s="27"/>
    </row>
    <row r="23" spans="1:54" s="26" customFormat="1" ht="16.5" x14ac:dyDescent="0.15">
      <c r="A23" s="5"/>
      <c r="B23" s="5"/>
      <c r="C23" s="5"/>
      <c r="D23" s="5"/>
      <c r="E23" s="5"/>
      <c r="F23" s="13"/>
      <c r="G23" s="7"/>
      <c r="H23" s="72" t="s">
        <v>171</v>
      </c>
      <c r="I23" s="34" t="s">
        <v>172</v>
      </c>
      <c r="J23" s="74">
        <v>44711</v>
      </c>
      <c r="K23" s="74">
        <v>44720</v>
      </c>
      <c r="L23" s="74">
        <v>44729</v>
      </c>
      <c r="M23" s="34" t="s">
        <v>110</v>
      </c>
      <c r="N23" s="76">
        <v>19.18</v>
      </c>
      <c r="O23" s="76">
        <v>23.71</v>
      </c>
      <c r="P23" s="76">
        <v>12675.23</v>
      </c>
      <c r="Q23" s="76">
        <v>5658.1</v>
      </c>
      <c r="R23" s="34">
        <v>293</v>
      </c>
      <c r="S23" s="34">
        <v>6655</v>
      </c>
      <c r="T23" s="35">
        <v>19548450</v>
      </c>
      <c r="U23" s="76">
        <v>1994.9133940961722</v>
      </c>
      <c r="V23" s="34">
        <v>5425</v>
      </c>
      <c r="W23" s="34">
        <v>236</v>
      </c>
      <c r="X23" s="35">
        <v>5425</v>
      </c>
      <c r="Y23" s="76">
        <v>6.7237140000000001E-2</v>
      </c>
      <c r="Z23" s="76">
        <v>1487.2733000000001</v>
      </c>
      <c r="AA23" s="76">
        <v>15.687727215950401</v>
      </c>
      <c r="AB23" s="34" t="s">
        <v>117</v>
      </c>
      <c r="AC23" s="34" t="s">
        <v>118</v>
      </c>
      <c r="AD23" s="74">
        <v>44719</v>
      </c>
      <c r="AE23" s="74">
        <v>44720</v>
      </c>
      <c r="AF23" s="74">
        <v>44720</v>
      </c>
      <c r="AG23" s="76">
        <v>27427.239751100002</v>
      </c>
      <c r="AH23" s="34"/>
      <c r="AI23" s="34" t="s">
        <v>133</v>
      </c>
      <c r="AJ23" s="34" t="s">
        <v>120</v>
      </c>
      <c r="AK23" s="34" t="s">
        <v>113</v>
      </c>
      <c r="AL23" s="49" t="str">
        <f>[1]!s_ipo_inq_anncedate(H23)</f>
        <v>2022-05-30</v>
      </c>
      <c r="AM23" s="50" t="str">
        <f>[1]!s_ipo_inq_startdate(H23)</f>
        <v>2022-06-01</v>
      </c>
      <c r="AN23" s="50" t="str">
        <f>[1]!s_ipo_inq_enddate(H23)</f>
        <v>2022-06-01</v>
      </c>
      <c r="AO23" s="50" t="str">
        <f>[1]!s_ipo_inqresultdate(H23)</f>
        <v>2022-06-07</v>
      </c>
      <c r="AP23" s="50" t="str">
        <f>[1]!s_ipo_op_enddate(H23)</f>
        <v>2022-06-08</v>
      </c>
      <c r="AQ23" s="50" t="str">
        <f>[1]!s_ipo_cappaydate(H23)</f>
        <v>2022-06-10</v>
      </c>
      <c r="AR23" s="51" t="str">
        <f>[1]!s_ipo_placingdate(H23)</f>
        <v>2022-06-14</v>
      </c>
      <c r="AS23" s="58">
        <f>[1]!s_ipo_vsprice_max(H23)</f>
        <v>26.4</v>
      </c>
      <c r="AT23" s="59">
        <f>[1]!s_ipo_vsprice_min(H23)</f>
        <v>19.18</v>
      </c>
      <c r="AU23" s="59">
        <f>[1]!s_ipo_vsshares(H23,100000000)</f>
        <v>1457.4010000000001</v>
      </c>
      <c r="AV23" s="59">
        <f>[1]!s_ipo_vssharespct(H23)</f>
        <v>74.553276602492787</v>
      </c>
      <c r="AW23" s="59">
        <f>[1]!s_ipo_invsshares_a(H23,100000000)</f>
        <v>19.7</v>
      </c>
      <c r="AX23" s="60">
        <f>[1]!s_ipo_invssharespct_a(H23)</f>
        <v>1.0077525328095067</v>
      </c>
      <c r="AY23" s="65">
        <f>[1]!s_ipo_lotteryrate_abc(H23,1)</f>
        <v>6.7242170000000004E-2</v>
      </c>
      <c r="AZ23" s="66">
        <f>[1]!s_ipo_lotteryrate_abc(H23,2)</f>
        <v>6.7239729999999998E-2</v>
      </c>
      <c r="BA23" s="67">
        <f>[1]!s_ipo_lotteryrate_abc(H23,3)</f>
        <v>6.7224259999999994E-2</v>
      </c>
      <c r="BB23" s="27"/>
    </row>
    <row r="24" spans="1:54" s="26" customFormat="1" ht="16.5" x14ac:dyDescent="0.15">
      <c r="A24" s="5"/>
      <c r="B24" s="5"/>
      <c r="C24" s="5"/>
      <c r="D24" s="5"/>
      <c r="E24" s="5"/>
      <c r="F24" s="13"/>
      <c r="G24" s="7"/>
      <c r="H24" s="72" t="s">
        <v>173</v>
      </c>
      <c r="I24" s="34" t="s">
        <v>174</v>
      </c>
      <c r="J24" s="74">
        <v>44713</v>
      </c>
      <c r="K24" s="74">
        <v>44718</v>
      </c>
      <c r="L24" s="74">
        <v>44732</v>
      </c>
      <c r="M24" s="34" t="s">
        <v>163</v>
      </c>
      <c r="N24" s="76">
        <v>4.0599999999999996</v>
      </c>
      <c r="O24" s="76">
        <v>18.53</v>
      </c>
      <c r="P24" s="76">
        <v>500</v>
      </c>
      <c r="Q24" s="76">
        <v>2000</v>
      </c>
      <c r="R24" s="34"/>
      <c r="S24" s="34"/>
      <c r="T24" s="35"/>
      <c r="U24" s="76"/>
      <c r="V24" s="34"/>
      <c r="W24" s="34"/>
      <c r="X24" s="35"/>
      <c r="Y24" s="76"/>
      <c r="Z24" s="76"/>
      <c r="AA24" s="76">
        <v>20</v>
      </c>
      <c r="AB24" s="34" t="s">
        <v>175</v>
      </c>
      <c r="AC24" s="34" t="s">
        <v>169</v>
      </c>
      <c r="AD24" s="74">
        <v>44713</v>
      </c>
      <c r="AE24" s="74"/>
      <c r="AF24" s="74"/>
      <c r="AG24" s="76">
        <v>610.20525565999992</v>
      </c>
      <c r="AH24" s="34"/>
      <c r="AI24" s="34" t="s">
        <v>176</v>
      </c>
      <c r="AJ24" s="34" t="s">
        <v>106</v>
      </c>
      <c r="AK24" s="34" t="s">
        <v>166</v>
      </c>
      <c r="AL24" s="49">
        <f>[1]!s_ipo_inq_anncedate(H24)</f>
        <v>0</v>
      </c>
      <c r="AM24" s="50">
        <f>[1]!s_ipo_inq_startdate(H24)</f>
        <v>0</v>
      </c>
      <c r="AN24" s="50">
        <f>[1]!s_ipo_inq_enddate(H24)</f>
        <v>0</v>
      </c>
      <c r="AO24" s="50">
        <f>[1]!s_ipo_inqresultdate(H24)</f>
        <v>0</v>
      </c>
      <c r="AP24" s="50">
        <f>[1]!s_ipo_op_enddate(H24)</f>
        <v>0</v>
      </c>
      <c r="AQ24" s="50" t="str">
        <f>[1]!s_ipo_cappaydate(H24)</f>
        <v>2022-06-06</v>
      </c>
      <c r="AR24" s="51">
        <f>[1]!s_ipo_placingdate(H24)</f>
        <v>0</v>
      </c>
      <c r="AS24" s="58">
        <f>[1]!s_ipo_vsprice_max(H24)</f>
        <v>0</v>
      </c>
      <c r="AT24" s="59">
        <f>[1]!s_ipo_vsprice_min(H24)</f>
        <v>0</v>
      </c>
      <c r="AU24" s="59">
        <f>[1]!s_ipo_vsshares(H24,100000000)</f>
        <v>0</v>
      </c>
      <c r="AV24" s="59">
        <f>[1]!s_ipo_vssharespct(H24)</f>
        <v>0</v>
      </c>
      <c r="AW24" s="59">
        <f>[1]!s_ipo_invsshares_a(H24,100000000)</f>
        <v>0</v>
      </c>
      <c r="AX24" s="60">
        <f>[1]!s_ipo_invssharespct_a(H24)</f>
        <v>0</v>
      </c>
      <c r="AY24" s="65">
        <f>[1]!s_ipo_lotteryrate_abc(H24,1)</f>
        <v>0</v>
      </c>
      <c r="AZ24" s="66">
        <f>[1]!s_ipo_lotteryrate_abc(H24,2)</f>
        <v>0</v>
      </c>
      <c r="BA24" s="67">
        <f>[1]!s_ipo_lotteryrate_abc(H24,3)</f>
        <v>0</v>
      </c>
      <c r="BB24" s="27"/>
    </row>
    <row r="25" spans="1:54" s="26" customFormat="1" ht="16.5" x14ac:dyDescent="0.15">
      <c r="A25" s="5"/>
      <c r="B25" s="5"/>
      <c r="C25" s="5"/>
      <c r="D25" s="5"/>
      <c r="E25" s="5"/>
      <c r="F25" s="13"/>
      <c r="G25" s="7"/>
      <c r="H25" s="73" t="s">
        <v>177</v>
      </c>
      <c r="I25" s="36" t="s">
        <v>178</v>
      </c>
      <c r="J25" s="75">
        <v>44705</v>
      </c>
      <c r="K25" s="75">
        <v>44713</v>
      </c>
      <c r="L25" s="75">
        <v>44726</v>
      </c>
      <c r="M25" s="36" t="s">
        <v>110</v>
      </c>
      <c r="N25" s="77">
        <v>16.91</v>
      </c>
      <c r="O25" s="77">
        <v>39</v>
      </c>
      <c r="P25" s="77">
        <v>2600.65</v>
      </c>
      <c r="Q25" s="77">
        <v>1400.35</v>
      </c>
      <c r="R25" s="36">
        <v>268</v>
      </c>
      <c r="S25" s="36">
        <v>6473</v>
      </c>
      <c r="T25" s="37">
        <v>7922000</v>
      </c>
      <c r="U25" s="77">
        <v>3600.0090886369312</v>
      </c>
      <c r="V25" s="36">
        <v>4839</v>
      </c>
      <c r="W25" s="36">
        <v>187</v>
      </c>
      <c r="X25" s="37">
        <v>4839</v>
      </c>
      <c r="Y25" s="77">
        <v>3.8095919999999998E-2</v>
      </c>
      <c r="Z25" s="77">
        <v>2624.9529000000002</v>
      </c>
      <c r="AA25" s="77">
        <v>10</v>
      </c>
      <c r="AB25" s="36" t="s">
        <v>117</v>
      </c>
      <c r="AC25" s="36" t="s">
        <v>104</v>
      </c>
      <c r="AD25" s="75">
        <v>44712</v>
      </c>
      <c r="AE25" s="75">
        <v>44713</v>
      </c>
      <c r="AF25" s="75">
        <v>44713</v>
      </c>
      <c r="AG25" s="77">
        <v>9000.9900799999996</v>
      </c>
      <c r="AH25" s="36"/>
      <c r="AI25" s="36" t="s">
        <v>179</v>
      </c>
      <c r="AJ25" s="36" t="s">
        <v>106</v>
      </c>
      <c r="AK25" s="36" t="s">
        <v>121</v>
      </c>
      <c r="AL25" s="49" t="str">
        <f>[1]!s_ipo_inq_anncedate(H25)</f>
        <v>2022-05-24</v>
      </c>
      <c r="AM25" s="50" t="str">
        <f>[1]!s_ipo_inq_startdate(H25)</f>
        <v>2022-05-26</v>
      </c>
      <c r="AN25" s="50" t="str">
        <f>[1]!s_ipo_inq_enddate(H25)</f>
        <v>2022-05-26</v>
      </c>
      <c r="AO25" s="50" t="str">
        <f>[1]!s_ipo_inqresultdate(H25)</f>
        <v>2022-05-31</v>
      </c>
      <c r="AP25" s="50" t="str">
        <f>[1]!s_ipo_op_enddate(H25)</f>
        <v>2022-06-01</v>
      </c>
      <c r="AQ25" s="50" t="str">
        <f>[1]!s_ipo_cappaydate(H25)</f>
        <v>2022-06-06</v>
      </c>
      <c r="AR25" s="51" t="str">
        <f>[1]!s_ipo_placingdate(H25)</f>
        <v>2022-06-08</v>
      </c>
      <c r="AS25" s="58">
        <f>[1]!s_ipo_vsprice_max(H25)</f>
        <v>21.38</v>
      </c>
      <c r="AT25" s="59">
        <f>[1]!s_ipo_vsprice_min(H25)</f>
        <v>16.93</v>
      </c>
      <c r="AU25" s="59">
        <f>[1]!s_ipo_vsshares(H25,100000000)</f>
        <v>577.63400000000001</v>
      </c>
      <c r="AV25" s="59">
        <f>[1]!s_ipo_vssharespct(H25)</f>
        <v>72.915172936127234</v>
      </c>
      <c r="AW25" s="59">
        <f>[1]!s_ipo_invsshares_a(H25,100000000)</f>
        <v>8.0310000000000006</v>
      </c>
      <c r="AX25" s="60">
        <f>[1]!s_ipo_invssharespct_a(H25)</f>
        <v>1.0137591517293612</v>
      </c>
      <c r="AY25" s="65">
        <f>[1]!s_ipo_lotteryrate_abc(H25,1)</f>
        <v>5.7642489999999998E-2</v>
      </c>
      <c r="AZ25" s="66">
        <f>[1]!s_ipo_lotteryrate_abc(H25,2)</f>
        <v>3.070604E-2</v>
      </c>
      <c r="BA25" s="67">
        <f>[1]!s_ipo_lotteryrate_abc(H25,3)</f>
        <v>2.1122729999999999E-2</v>
      </c>
      <c r="BB25" s="27"/>
    </row>
    <row r="26" spans="1:54" s="26" customFormat="1" ht="16.5" x14ac:dyDescent="0.15">
      <c r="A26" s="5"/>
      <c r="B26" s="5"/>
      <c r="C26" s="5"/>
      <c r="D26" s="5"/>
      <c r="E26" s="5"/>
      <c r="F26" s="13"/>
      <c r="G26" s="7"/>
      <c r="H26" s="73" t="s">
        <v>180</v>
      </c>
      <c r="I26" s="36" t="s">
        <v>181</v>
      </c>
      <c r="J26" s="75">
        <v>44707</v>
      </c>
      <c r="K26" s="75">
        <v>44711</v>
      </c>
      <c r="L26" s="75">
        <v>44729</v>
      </c>
      <c r="M26" s="36" t="s">
        <v>163</v>
      </c>
      <c r="N26" s="77">
        <v>8.0500000000000007</v>
      </c>
      <c r="O26" s="77">
        <v>17.510000000000002</v>
      </c>
      <c r="P26" s="77">
        <v>367.2251</v>
      </c>
      <c r="Q26" s="77">
        <v>1468.9004</v>
      </c>
      <c r="R26" s="36"/>
      <c r="S26" s="36"/>
      <c r="T26" s="37"/>
      <c r="U26" s="77"/>
      <c r="V26" s="36"/>
      <c r="W26" s="36"/>
      <c r="X26" s="37"/>
      <c r="Y26" s="77"/>
      <c r="Z26" s="77"/>
      <c r="AA26" s="77">
        <v>20</v>
      </c>
      <c r="AB26" s="36" t="s">
        <v>175</v>
      </c>
      <c r="AC26" s="36" t="s">
        <v>182</v>
      </c>
      <c r="AD26" s="75">
        <v>44707</v>
      </c>
      <c r="AE26" s="75"/>
      <c r="AF26" s="75"/>
      <c r="AG26" s="77">
        <v>329.67676980000005</v>
      </c>
      <c r="AH26" s="36"/>
      <c r="AI26" s="36" t="s">
        <v>183</v>
      </c>
      <c r="AJ26" s="36" t="s">
        <v>106</v>
      </c>
      <c r="AK26" s="36" t="s">
        <v>184</v>
      </c>
      <c r="AL26" s="49">
        <f>[1]!s_ipo_inq_anncedate(H26)</f>
        <v>0</v>
      </c>
      <c r="AM26" s="50">
        <f>[1]!s_ipo_inq_startdate(H26)</f>
        <v>0</v>
      </c>
      <c r="AN26" s="50">
        <f>[1]!s_ipo_inq_enddate(H26)</f>
        <v>0</v>
      </c>
      <c r="AO26" s="50">
        <f>[1]!s_ipo_inqresultdate(H26)</f>
        <v>0</v>
      </c>
      <c r="AP26" s="50">
        <f>[1]!s_ipo_op_enddate(H26)</f>
        <v>0</v>
      </c>
      <c r="AQ26" s="50" t="str">
        <f>[1]!s_ipo_cappaydate(H26)</f>
        <v>2022-05-30</v>
      </c>
      <c r="AR26" s="51">
        <f>[1]!s_ipo_placingdate(H26)</f>
        <v>0</v>
      </c>
      <c r="AS26" s="58">
        <f>[1]!s_ipo_vsprice_max(H26)</f>
        <v>0</v>
      </c>
      <c r="AT26" s="59">
        <f>[1]!s_ipo_vsprice_min(H26)</f>
        <v>0</v>
      </c>
      <c r="AU26" s="59">
        <f>[1]!s_ipo_vsshares(H26,100000000)</f>
        <v>0</v>
      </c>
      <c r="AV26" s="59">
        <f>[1]!s_ipo_vssharespct(H26)</f>
        <v>0</v>
      </c>
      <c r="AW26" s="59">
        <f>[1]!s_ipo_invsshares_a(H26,100000000)</f>
        <v>0</v>
      </c>
      <c r="AX26" s="60">
        <f>[1]!s_ipo_invssharespct_a(H26)</f>
        <v>0</v>
      </c>
      <c r="AY26" s="65">
        <f>[1]!s_ipo_lotteryrate_abc(H26,1)</f>
        <v>0</v>
      </c>
      <c r="AZ26" s="66">
        <f>[1]!s_ipo_lotteryrate_abc(H26,2)</f>
        <v>0</v>
      </c>
      <c r="BA26" s="67">
        <f>[1]!s_ipo_lotteryrate_abc(H26,3)</f>
        <v>0</v>
      </c>
      <c r="BB26" s="27"/>
    </row>
    <row r="27" spans="1:54" s="26" customFormat="1" ht="16.5" x14ac:dyDescent="0.15">
      <c r="A27" s="5"/>
      <c r="B27" s="5"/>
      <c r="C27" s="5"/>
      <c r="D27" s="5"/>
      <c r="E27" s="5"/>
      <c r="F27" s="13"/>
      <c r="G27" s="7"/>
      <c r="H27" s="73" t="s">
        <v>185</v>
      </c>
      <c r="I27" s="36" t="s">
        <v>186</v>
      </c>
      <c r="J27" s="75">
        <v>44707</v>
      </c>
      <c r="K27" s="75">
        <v>44711</v>
      </c>
      <c r="L27" s="75">
        <v>44726</v>
      </c>
      <c r="M27" s="36" t="s">
        <v>187</v>
      </c>
      <c r="N27" s="77">
        <v>11</v>
      </c>
      <c r="O27" s="77">
        <v>25.98</v>
      </c>
      <c r="P27" s="77">
        <v>626.08690000000001</v>
      </c>
      <c r="Q27" s="77">
        <v>2504.3479000000002</v>
      </c>
      <c r="R27" s="36"/>
      <c r="S27" s="36"/>
      <c r="T27" s="37"/>
      <c r="U27" s="77"/>
      <c r="V27" s="36"/>
      <c r="W27" s="36"/>
      <c r="X27" s="37"/>
      <c r="Y27" s="77"/>
      <c r="Z27" s="77"/>
      <c r="AA27" s="77">
        <v>19.999998083333345</v>
      </c>
      <c r="AB27" s="36" t="s">
        <v>175</v>
      </c>
      <c r="AC27" s="36" t="s">
        <v>188</v>
      </c>
      <c r="AD27" s="75">
        <v>44707</v>
      </c>
      <c r="AE27" s="75"/>
      <c r="AF27" s="75"/>
      <c r="AG27" s="77">
        <v>254.71986100000001</v>
      </c>
      <c r="AH27" s="36"/>
      <c r="AI27" s="36" t="s">
        <v>189</v>
      </c>
      <c r="AJ27" s="36" t="s">
        <v>106</v>
      </c>
      <c r="AK27" s="36" t="s">
        <v>184</v>
      </c>
      <c r="AL27" s="49">
        <f>[1]!s_ipo_inq_anncedate(H27)</f>
        <v>0</v>
      </c>
      <c r="AM27" s="50">
        <f>[1]!s_ipo_inq_startdate(H27)</f>
        <v>0</v>
      </c>
      <c r="AN27" s="50">
        <f>[1]!s_ipo_inq_enddate(H27)</f>
        <v>0</v>
      </c>
      <c r="AO27" s="50">
        <f>[1]!s_ipo_inqresultdate(H27)</f>
        <v>0</v>
      </c>
      <c r="AP27" s="50">
        <f>[1]!s_ipo_op_enddate(H27)</f>
        <v>0</v>
      </c>
      <c r="AQ27" s="50" t="str">
        <f>[1]!s_ipo_cappaydate(H27)</f>
        <v>2022-05-30</v>
      </c>
      <c r="AR27" s="51">
        <f>[1]!s_ipo_placingdate(H27)</f>
        <v>0</v>
      </c>
      <c r="AS27" s="58">
        <f>[1]!s_ipo_vsprice_max(H27)</f>
        <v>0</v>
      </c>
      <c r="AT27" s="59">
        <f>[1]!s_ipo_vsprice_min(H27)</f>
        <v>0</v>
      </c>
      <c r="AU27" s="59">
        <f>[1]!s_ipo_vsshares(H27,100000000)</f>
        <v>0</v>
      </c>
      <c r="AV27" s="59">
        <f>[1]!s_ipo_vssharespct(H27)</f>
        <v>0</v>
      </c>
      <c r="AW27" s="59">
        <f>[1]!s_ipo_invsshares_a(H27,100000000)</f>
        <v>0</v>
      </c>
      <c r="AX27" s="60">
        <f>[1]!s_ipo_invssharespct_a(H27)</f>
        <v>0</v>
      </c>
      <c r="AY27" s="65">
        <f>[1]!s_ipo_lotteryrate_abc(H27,1)</f>
        <v>0</v>
      </c>
      <c r="AZ27" s="66">
        <f>[1]!s_ipo_lotteryrate_abc(H27,2)</f>
        <v>0</v>
      </c>
      <c r="BA27" s="67">
        <f>[1]!s_ipo_lotteryrate_abc(H27,3)</f>
        <v>0</v>
      </c>
      <c r="BB27" s="27"/>
    </row>
    <row r="28" spans="1:54" s="26" customFormat="1" ht="16.5" x14ac:dyDescent="0.15">
      <c r="A28" s="5"/>
      <c r="B28" s="5"/>
      <c r="C28" s="5"/>
      <c r="D28" s="5"/>
      <c r="E28" s="5"/>
      <c r="F28" s="13"/>
      <c r="G28" s="7"/>
      <c r="H28" s="73" t="s">
        <v>190</v>
      </c>
      <c r="I28" s="36" t="s">
        <v>191</v>
      </c>
      <c r="J28" s="75">
        <v>44700</v>
      </c>
      <c r="K28" s="75">
        <v>44708</v>
      </c>
      <c r="L28" s="75">
        <v>44720</v>
      </c>
      <c r="M28" s="36" t="s">
        <v>136</v>
      </c>
      <c r="N28" s="77">
        <v>163</v>
      </c>
      <c r="O28" s="77">
        <v>135.19999999999999</v>
      </c>
      <c r="P28" s="77">
        <v>1298.3499999999999</v>
      </c>
      <c r="Q28" s="77">
        <v>701.65</v>
      </c>
      <c r="R28" s="36">
        <v>274</v>
      </c>
      <c r="S28" s="36">
        <v>7035</v>
      </c>
      <c r="T28" s="37">
        <v>2533480</v>
      </c>
      <c r="U28" s="77">
        <v>2085.4486721633166</v>
      </c>
      <c r="V28" s="36">
        <v>4161</v>
      </c>
      <c r="W28" s="36">
        <v>153</v>
      </c>
      <c r="X28" s="37">
        <v>4161</v>
      </c>
      <c r="Y28" s="77">
        <v>8.9827560000000001E-2</v>
      </c>
      <c r="Z28" s="77">
        <v>1113.2440999999999</v>
      </c>
      <c r="AA28" s="77">
        <v>4.1756550000000008</v>
      </c>
      <c r="AB28" s="36" t="s">
        <v>117</v>
      </c>
      <c r="AC28" s="36" t="s">
        <v>192</v>
      </c>
      <c r="AD28" s="75">
        <v>44707</v>
      </c>
      <c r="AE28" s="75">
        <v>44708</v>
      </c>
      <c r="AF28" s="75">
        <v>44708</v>
      </c>
      <c r="AG28" s="77">
        <v>24214.566060000001</v>
      </c>
      <c r="AH28" s="36"/>
      <c r="AI28" s="36" t="s">
        <v>193</v>
      </c>
      <c r="AJ28" s="36" t="s">
        <v>120</v>
      </c>
      <c r="AK28" s="36" t="s">
        <v>127</v>
      </c>
      <c r="AL28" s="49" t="str">
        <f>[1]!s_ipo_inq_anncedate(H28)</f>
        <v>2022-05-19</v>
      </c>
      <c r="AM28" s="50" t="str">
        <f>[1]!s_ipo_inq_startdate(H28)</f>
        <v>2022-05-24</v>
      </c>
      <c r="AN28" s="50" t="str">
        <f>[1]!s_ipo_inq_enddate(H28)</f>
        <v>2022-05-24</v>
      </c>
      <c r="AO28" s="50" t="str">
        <f>[1]!s_ipo_inqresultdate(H28)</f>
        <v>2022-05-26</v>
      </c>
      <c r="AP28" s="50" t="str">
        <f>[1]!s_ipo_op_enddate(H28)</f>
        <v>2022-05-27</v>
      </c>
      <c r="AQ28" s="50" t="str">
        <f>[1]!s_ipo_cappaydate(H28)</f>
        <v>2022-05-31</v>
      </c>
      <c r="AR28" s="51" t="str">
        <f>[1]!s_ipo_placingdate(H28)</f>
        <v>2022-06-02</v>
      </c>
      <c r="AS28" s="58">
        <f>[1]!s_ipo_vsprice_max(H28)</f>
        <v>192</v>
      </c>
      <c r="AT28" s="59">
        <f>[1]!s_ipo_vsprice_min(H28)</f>
        <v>163</v>
      </c>
      <c r="AU28" s="59">
        <f>[1]!s_ipo_vsshares(H28,100000000)</f>
        <v>135.24100000000001</v>
      </c>
      <c r="AV28" s="59">
        <f>[1]!s_ipo_vssharespct(H28)</f>
        <v>53.381514754408954</v>
      </c>
      <c r="AW28" s="59">
        <f>[1]!s_ipo_invsshares_a(H28,100000000)</f>
        <v>2.5379999999999998</v>
      </c>
      <c r="AX28" s="60">
        <f>[1]!s_ipo_invssharespct_a(H28)</f>
        <v>1.0017841072358968</v>
      </c>
      <c r="AY28" s="65">
        <f>[1]!s_ipo_lotteryrate_abc(H28,1)</f>
        <v>9.4070890000000004E-2</v>
      </c>
      <c r="AZ28" s="66">
        <f>[1]!s_ipo_lotteryrate_abc(H28,2)</f>
        <v>8.6355559999999998E-2</v>
      </c>
      <c r="BA28" s="67">
        <f>[1]!s_ipo_lotteryrate_abc(H28,3)</f>
        <v>7.9000000000000001E-2</v>
      </c>
      <c r="BB28" s="27"/>
    </row>
    <row r="29" spans="1:54" s="26" customFormat="1" ht="16.5" x14ac:dyDescent="0.15">
      <c r="A29" s="5"/>
      <c r="B29" s="5"/>
      <c r="C29" s="5"/>
      <c r="D29" s="5"/>
      <c r="E29" s="5"/>
      <c r="F29" s="13"/>
      <c r="G29" s="7"/>
      <c r="H29" s="73" t="s">
        <v>194</v>
      </c>
      <c r="I29" s="36" t="s">
        <v>195</v>
      </c>
      <c r="J29" s="75">
        <v>44699</v>
      </c>
      <c r="K29" s="75">
        <v>44707</v>
      </c>
      <c r="L29" s="75">
        <v>44720</v>
      </c>
      <c r="M29" s="36" t="s">
        <v>110</v>
      </c>
      <c r="N29" s="77">
        <v>26.86</v>
      </c>
      <c r="O29" s="77">
        <v>38.35</v>
      </c>
      <c r="P29" s="77">
        <v>1339</v>
      </c>
      <c r="Q29" s="77">
        <v>1261</v>
      </c>
      <c r="R29" s="36">
        <v>284</v>
      </c>
      <c r="S29" s="36">
        <v>6730</v>
      </c>
      <c r="T29" s="37">
        <v>5436210</v>
      </c>
      <c r="U29" s="77">
        <v>4059.9029126213591</v>
      </c>
      <c r="V29" s="36">
        <v>4287</v>
      </c>
      <c r="W29" s="36">
        <v>159</v>
      </c>
      <c r="X29" s="37">
        <v>4287</v>
      </c>
      <c r="Y29" s="77">
        <v>4.0188370000000001E-2</v>
      </c>
      <c r="Z29" s="77">
        <v>2488.2822999999999</v>
      </c>
      <c r="AA29" s="77"/>
      <c r="AB29" s="36" t="s">
        <v>103</v>
      </c>
      <c r="AC29" s="36" t="s">
        <v>104</v>
      </c>
      <c r="AD29" s="75">
        <v>44706</v>
      </c>
      <c r="AE29" s="75">
        <v>44707</v>
      </c>
      <c r="AF29" s="75">
        <v>44707</v>
      </c>
      <c r="AG29" s="77">
        <v>15564.397668</v>
      </c>
      <c r="AH29" s="36"/>
      <c r="AI29" s="36" t="s">
        <v>126</v>
      </c>
      <c r="AJ29" s="36" t="s">
        <v>106</v>
      </c>
      <c r="AK29" s="36" t="s">
        <v>121</v>
      </c>
      <c r="AL29" s="49" t="str">
        <f>[1]!s_ipo_inq_anncedate(H29)</f>
        <v>2022-05-18</v>
      </c>
      <c r="AM29" s="50" t="str">
        <f>[1]!s_ipo_inq_startdate(H29)</f>
        <v>2022-05-20</v>
      </c>
      <c r="AN29" s="50" t="str">
        <f>[1]!s_ipo_inq_enddate(H29)</f>
        <v>2022-05-20</v>
      </c>
      <c r="AO29" s="50" t="str">
        <f>[1]!s_ipo_inqresultdate(H29)</f>
        <v>2022-05-25</v>
      </c>
      <c r="AP29" s="50" t="str">
        <f>[1]!s_ipo_op_enddate(H29)</f>
        <v>2022-05-26</v>
      </c>
      <c r="AQ29" s="50" t="str">
        <f>[1]!s_ipo_cappaydate(H29)</f>
        <v>2022-05-30</v>
      </c>
      <c r="AR29" s="51" t="str">
        <f>[1]!s_ipo_placingdate(H29)</f>
        <v>2022-06-01</v>
      </c>
      <c r="AS29" s="58">
        <f>[1]!s_ipo_vsprice_max(H29)</f>
        <v>34</v>
      </c>
      <c r="AT29" s="59">
        <f>[1]!s_ipo_vsprice_min(H29)</f>
        <v>26.92</v>
      </c>
      <c r="AU29" s="59">
        <f>[1]!s_ipo_vsshares(H29,100000000)</f>
        <v>333.18099999999998</v>
      </c>
      <c r="AV29" s="59">
        <f>[1]!s_ipo_vssharespct(H29)</f>
        <v>61.289207002672818</v>
      </c>
      <c r="AW29" s="59">
        <f>[1]!s_ipo_invsshares_a(H29,100000000)</f>
        <v>5.4470000000000001</v>
      </c>
      <c r="AX29" s="60">
        <f>[1]!s_ipo_invssharespct_a(H29)</f>
        <v>1.0019848387019632</v>
      </c>
      <c r="AY29" s="65">
        <f>[1]!s_ipo_lotteryrate_abc(H29,1)</f>
        <v>5.7350320000000003E-2</v>
      </c>
      <c r="AZ29" s="66">
        <f>[1]!s_ipo_lotteryrate_abc(H29,2)</f>
        <v>2.333207E-2</v>
      </c>
      <c r="BA29" s="67">
        <f>[1]!s_ipo_lotteryrate_abc(H29,3)</f>
        <v>2.2596600000000001E-2</v>
      </c>
      <c r="BB29" s="27"/>
    </row>
    <row r="30" spans="1:54" s="26" customFormat="1" ht="16.5" x14ac:dyDescent="0.15">
      <c r="A30" s="5"/>
      <c r="B30" s="5"/>
      <c r="C30" s="5"/>
      <c r="D30" s="5"/>
      <c r="E30" s="5"/>
      <c r="F30" s="13"/>
      <c r="G30" s="7"/>
      <c r="H30" s="73" t="s">
        <v>196</v>
      </c>
      <c r="I30" s="36" t="s">
        <v>197</v>
      </c>
      <c r="J30" s="75">
        <v>44699</v>
      </c>
      <c r="K30" s="75">
        <v>44707</v>
      </c>
      <c r="L30" s="75">
        <v>44720</v>
      </c>
      <c r="M30" s="36" t="s">
        <v>124</v>
      </c>
      <c r="N30" s="77">
        <v>136.66</v>
      </c>
      <c r="O30" s="77">
        <v>127.9</v>
      </c>
      <c r="P30" s="77">
        <v>1735.7199999999998</v>
      </c>
      <c r="Q30" s="77">
        <v>930.95</v>
      </c>
      <c r="R30" s="36">
        <v>273</v>
      </c>
      <c r="S30" s="36">
        <v>6845</v>
      </c>
      <c r="T30" s="37">
        <v>3017450</v>
      </c>
      <c r="U30" s="77">
        <v>1911.7112452805134</v>
      </c>
      <c r="V30" s="36">
        <v>6052</v>
      </c>
      <c r="W30" s="36">
        <v>221</v>
      </c>
      <c r="X30" s="37">
        <v>6052</v>
      </c>
      <c r="Y30" s="77">
        <v>5.9502409999999999E-2</v>
      </c>
      <c r="Z30" s="77">
        <v>1680.6042</v>
      </c>
      <c r="AA30" s="77">
        <v>5.8993951257560937</v>
      </c>
      <c r="AB30" s="36" t="s">
        <v>125</v>
      </c>
      <c r="AC30" s="36" t="s">
        <v>198</v>
      </c>
      <c r="AD30" s="75">
        <v>44706</v>
      </c>
      <c r="AE30" s="75">
        <v>44707</v>
      </c>
      <c r="AF30" s="75">
        <v>44707</v>
      </c>
      <c r="AG30" s="77">
        <v>28887.564565100001</v>
      </c>
      <c r="AH30" s="36"/>
      <c r="AI30" s="36" t="s">
        <v>199</v>
      </c>
      <c r="AJ30" s="36" t="s">
        <v>120</v>
      </c>
      <c r="AK30" s="36" t="s">
        <v>127</v>
      </c>
      <c r="AL30" s="49" t="str">
        <f>[1]!s_ipo_inq_anncedate(H30)</f>
        <v>2022-05-18</v>
      </c>
      <c r="AM30" s="50" t="str">
        <f>[1]!s_ipo_inq_startdate(H30)</f>
        <v>2022-05-23</v>
      </c>
      <c r="AN30" s="50" t="str">
        <f>[1]!s_ipo_inq_enddate(H30)</f>
        <v>2022-05-23</v>
      </c>
      <c r="AO30" s="50" t="str">
        <f>[1]!s_ipo_inqresultdate(H30)</f>
        <v>2022-05-25</v>
      </c>
      <c r="AP30" s="50" t="str">
        <f>[1]!s_ipo_op_enddate(H30)</f>
        <v>2022-05-26</v>
      </c>
      <c r="AQ30" s="50" t="str">
        <f>[1]!s_ipo_cappaydate(H30)</f>
        <v>2022-05-30</v>
      </c>
      <c r="AR30" s="51" t="str">
        <f>[1]!s_ipo_placingdate(H30)</f>
        <v>2022-06-01</v>
      </c>
      <c r="AS30" s="58">
        <f>[1]!s_ipo_vsprice_max(H30)</f>
        <v>178</v>
      </c>
      <c r="AT30" s="59">
        <f>[1]!s_ipo_vsprice_min(H30)</f>
        <v>137</v>
      </c>
      <c r="AU30" s="59">
        <f>[1]!s_ipo_vsshares(H30,100000000)</f>
        <v>265.267</v>
      </c>
      <c r="AV30" s="59">
        <f>[1]!s_ipo_vssharespct(H30)</f>
        <v>87.910984440504407</v>
      </c>
      <c r="AW30" s="59">
        <f>[1]!s_ipo_invsshares_a(H30,100000000)</f>
        <v>3.044</v>
      </c>
      <c r="AX30" s="60">
        <f>[1]!s_ipo_invssharespct_a(H30)</f>
        <v>1.0087988201958606</v>
      </c>
      <c r="AY30" s="65">
        <f>[1]!s_ipo_lotteryrate_abc(H30,1)</f>
        <v>6.027648E-2</v>
      </c>
      <c r="AZ30" s="66">
        <f>[1]!s_ipo_lotteryrate_abc(H30,2)</f>
        <v>5.9490309999999998E-2</v>
      </c>
      <c r="BA30" s="67">
        <f>[1]!s_ipo_lotteryrate_abc(H30,3)</f>
        <v>5.7125530000000001E-2</v>
      </c>
      <c r="BB30" s="27"/>
    </row>
    <row r="31" spans="1:54" s="26" customFormat="1" ht="16.5" x14ac:dyDescent="0.15">
      <c r="A31" s="5"/>
      <c r="B31" s="5"/>
      <c r="C31" s="5"/>
      <c r="D31" s="5"/>
      <c r="E31" s="5"/>
      <c r="F31" s="13"/>
      <c r="G31" s="7"/>
      <c r="H31" s="73" t="s">
        <v>200</v>
      </c>
      <c r="I31" s="36" t="s">
        <v>201</v>
      </c>
      <c r="J31" s="75">
        <v>44698</v>
      </c>
      <c r="K31" s="75">
        <v>44706</v>
      </c>
      <c r="L31" s="75">
        <v>44720</v>
      </c>
      <c r="M31" s="36" t="s">
        <v>110</v>
      </c>
      <c r="N31" s="77">
        <v>22.49</v>
      </c>
      <c r="O31" s="77">
        <v>29.91</v>
      </c>
      <c r="P31" s="77">
        <v>932.15</v>
      </c>
      <c r="Q31" s="77">
        <v>877.85</v>
      </c>
      <c r="R31" s="36">
        <v>280</v>
      </c>
      <c r="S31" s="36">
        <v>6245</v>
      </c>
      <c r="T31" s="37">
        <v>3642960</v>
      </c>
      <c r="U31" s="77">
        <v>3908.1263745105402</v>
      </c>
      <c r="V31" s="36">
        <v>4858</v>
      </c>
      <c r="W31" s="36">
        <v>205</v>
      </c>
      <c r="X31" s="37">
        <v>4858</v>
      </c>
      <c r="Y31" s="77">
        <v>3.3096279999999999E-2</v>
      </c>
      <c r="Z31" s="77">
        <v>3021.4879999999998</v>
      </c>
      <c r="AA31" s="77"/>
      <c r="AB31" s="36" t="s">
        <v>202</v>
      </c>
      <c r="AC31" s="36" t="s">
        <v>203</v>
      </c>
      <c r="AD31" s="75">
        <v>44705</v>
      </c>
      <c r="AE31" s="75">
        <v>44706</v>
      </c>
      <c r="AF31" s="75">
        <v>44706</v>
      </c>
      <c r="AG31" s="77">
        <v>10396.601521149998</v>
      </c>
      <c r="AH31" s="36"/>
      <c r="AI31" s="36" t="s">
        <v>119</v>
      </c>
      <c r="AJ31" s="36" t="s">
        <v>106</v>
      </c>
      <c r="AK31" s="36" t="s">
        <v>121</v>
      </c>
      <c r="AL31" s="49" t="str">
        <f>[1]!s_ipo_inq_anncedate(H31)</f>
        <v>2022-05-17</v>
      </c>
      <c r="AM31" s="50" t="str">
        <f>[1]!s_ipo_inq_startdate(H31)</f>
        <v>2022-05-20</v>
      </c>
      <c r="AN31" s="50" t="str">
        <f>[1]!s_ipo_inq_enddate(H31)</f>
        <v>2022-05-20</v>
      </c>
      <c r="AO31" s="50" t="str">
        <f>[1]!s_ipo_inqresultdate(H31)</f>
        <v>2022-05-24</v>
      </c>
      <c r="AP31" s="50" t="str">
        <f>[1]!s_ipo_op_enddate(H31)</f>
        <v>2022-05-25</v>
      </c>
      <c r="AQ31" s="50" t="str">
        <f>[1]!s_ipo_cappaydate(H31)</f>
        <v>2022-05-27</v>
      </c>
      <c r="AR31" s="51" t="str">
        <f>[1]!s_ipo_placingdate(H31)</f>
        <v>2022-05-31</v>
      </c>
      <c r="AS31" s="58">
        <f>[1]!s_ipo_vsprice_max(H31)</f>
        <v>30</v>
      </c>
      <c r="AT31" s="59">
        <f>[1]!s_ipo_vsprice_min(H31)</f>
        <v>22.5</v>
      </c>
      <c r="AU31" s="59">
        <f>[1]!s_ipo_vsshares(H31,100000000)</f>
        <v>281.64800000000002</v>
      </c>
      <c r="AV31" s="59">
        <f>[1]!s_ipo_vssharespct(H31)</f>
        <v>77.31295430089817</v>
      </c>
      <c r="AW31" s="59">
        <f>[1]!s_ipo_invsshares_a(H31,100000000)</f>
        <v>3.67</v>
      </c>
      <c r="AX31" s="60">
        <f>[1]!s_ipo_invssharespct_a(H31)</f>
        <v>1.0074225355205657</v>
      </c>
      <c r="AY31" s="65">
        <f>[1]!s_ipo_lotteryrate_abc(H31,1)</f>
        <v>5.4500020000000003E-2</v>
      </c>
      <c r="AZ31" s="66">
        <f>[1]!s_ipo_lotteryrate_abc(H31,2)</f>
        <v>3.2616430000000002E-2</v>
      </c>
      <c r="BA31" s="67">
        <f>[1]!s_ipo_lotteryrate_abc(H31,3)</f>
        <v>1.683196E-2</v>
      </c>
      <c r="BB31" s="27"/>
    </row>
    <row r="32" spans="1:54" s="26" customFormat="1" ht="16.5" x14ac:dyDescent="0.15">
      <c r="A32" s="5"/>
      <c r="B32" s="5"/>
      <c r="C32" s="5"/>
      <c r="D32" s="5"/>
      <c r="E32" s="5"/>
      <c r="F32" s="13"/>
      <c r="G32" s="7"/>
      <c r="H32" s="73" t="s">
        <v>204</v>
      </c>
      <c r="I32" s="36" t="s">
        <v>205</v>
      </c>
      <c r="J32" s="75">
        <v>44698</v>
      </c>
      <c r="K32" s="75">
        <v>44706</v>
      </c>
      <c r="L32" s="75">
        <v>44718</v>
      </c>
      <c r="M32" s="36" t="s">
        <v>110</v>
      </c>
      <c r="N32" s="77">
        <v>12.68</v>
      </c>
      <c r="O32" s="77">
        <v>35.42</v>
      </c>
      <c r="P32" s="77">
        <v>1895.2</v>
      </c>
      <c r="Q32" s="77">
        <v>1784.8</v>
      </c>
      <c r="R32" s="36">
        <v>281</v>
      </c>
      <c r="S32" s="36">
        <v>6375</v>
      </c>
      <c r="T32" s="37">
        <v>7363490</v>
      </c>
      <c r="U32" s="77">
        <v>3885.3366399324609</v>
      </c>
      <c r="V32" s="36">
        <v>5054</v>
      </c>
      <c r="W32" s="36">
        <v>193</v>
      </c>
      <c r="X32" s="37">
        <v>5054</v>
      </c>
      <c r="Y32" s="77">
        <v>3.2689610000000001E-2</v>
      </c>
      <c r="Z32" s="77">
        <v>3059.0756000000001</v>
      </c>
      <c r="AA32" s="77"/>
      <c r="AB32" s="36" t="s">
        <v>103</v>
      </c>
      <c r="AC32" s="36" t="s">
        <v>206</v>
      </c>
      <c r="AD32" s="75">
        <v>44705</v>
      </c>
      <c r="AE32" s="75">
        <v>44706</v>
      </c>
      <c r="AF32" s="75">
        <v>44706</v>
      </c>
      <c r="AG32" s="77">
        <v>9915.5355006000009</v>
      </c>
      <c r="AH32" s="36"/>
      <c r="AI32" s="36" t="s">
        <v>207</v>
      </c>
      <c r="AJ32" s="36" t="s">
        <v>120</v>
      </c>
      <c r="AK32" s="36" t="s">
        <v>121</v>
      </c>
      <c r="AL32" s="49" t="str">
        <f>[1]!s_ipo_inq_anncedate(H32)</f>
        <v>2022-05-17</v>
      </c>
      <c r="AM32" s="50" t="str">
        <f>[1]!s_ipo_inq_startdate(H32)</f>
        <v>2022-05-20</v>
      </c>
      <c r="AN32" s="50" t="str">
        <f>[1]!s_ipo_inq_enddate(H32)</f>
        <v>2022-05-20</v>
      </c>
      <c r="AO32" s="50" t="str">
        <f>[1]!s_ipo_inqresultdate(H32)</f>
        <v>2022-05-24</v>
      </c>
      <c r="AP32" s="50" t="str">
        <f>[1]!s_ipo_op_enddate(H32)</f>
        <v>2022-05-25</v>
      </c>
      <c r="AQ32" s="50" t="str">
        <f>[1]!s_ipo_cappaydate(H32)</f>
        <v>2022-05-27</v>
      </c>
      <c r="AR32" s="51" t="str">
        <f>[1]!s_ipo_placingdate(H32)</f>
        <v>2022-05-31</v>
      </c>
      <c r="AS32" s="58">
        <f>[1]!s_ipo_vsprice_max(H32)</f>
        <v>16.07</v>
      </c>
      <c r="AT32" s="59">
        <f>[1]!s_ipo_vsprice_min(H32)</f>
        <v>12.72</v>
      </c>
      <c r="AU32" s="59">
        <f>[1]!s_ipo_vsshares(H32,100000000)</f>
        <v>579.75599999999997</v>
      </c>
      <c r="AV32" s="59">
        <f>[1]!s_ipo_vssharespct(H32)</f>
        <v>78.733861253291579</v>
      </c>
      <c r="AW32" s="59">
        <f>[1]!s_ipo_invsshares_a(H32,100000000)</f>
        <v>7.4249999999999998</v>
      </c>
      <c r="AX32" s="60">
        <f>[1]!s_ipo_invssharespct_a(H32)</f>
        <v>1.0083533759127805</v>
      </c>
      <c r="AY32" s="65">
        <f>[1]!s_ipo_lotteryrate_abc(H32,1)</f>
        <v>5.2844139999999998E-2</v>
      </c>
      <c r="AZ32" s="66">
        <f>[1]!s_ipo_lotteryrate_abc(H32,2)</f>
        <v>3.290005E-2</v>
      </c>
      <c r="BA32" s="67">
        <f>[1]!s_ipo_lotteryrate_abc(H32,3)</f>
        <v>1.709047E-2</v>
      </c>
      <c r="BB32" s="27"/>
    </row>
    <row r="33" spans="1:54" s="26" customFormat="1" ht="16.5" x14ac:dyDescent="0.15">
      <c r="A33" s="5"/>
      <c r="B33" s="5"/>
      <c r="C33" s="5"/>
      <c r="D33" s="5"/>
      <c r="E33" s="5"/>
      <c r="F33" s="13"/>
      <c r="G33" s="7"/>
      <c r="H33" s="73" t="s">
        <v>208</v>
      </c>
      <c r="I33" s="36" t="s">
        <v>209</v>
      </c>
      <c r="J33" s="75">
        <v>44698</v>
      </c>
      <c r="K33" s="75">
        <v>44706</v>
      </c>
      <c r="L33" s="75">
        <v>44718</v>
      </c>
      <c r="M33" s="36" t="s">
        <v>136</v>
      </c>
      <c r="N33" s="77">
        <v>35.619999999999997</v>
      </c>
      <c r="O33" s="77">
        <v>37.700000000000003</v>
      </c>
      <c r="P33" s="77">
        <v>921.16159999999991</v>
      </c>
      <c r="Q33" s="77">
        <v>564.54999999999995</v>
      </c>
      <c r="R33" s="36">
        <v>283</v>
      </c>
      <c r="S33" s="36">
        <v>7816</v>
      </c>
      <c r="T33" s="37">
        <v>3654360</v>
      </c>
      <c r="U33" s="77">
        <v>4315.1058342536771</v>
      </c>
      <c r="V33" s="36">
        <v>4537</v>
      </c>
      <c r="W33" s="36">
        <v>181</v>
      </c>
      <c r="X33" s="37">
        <v>4537</v>
      </c>
      <c r="Y33" s="77">
        <v>4.0797769999999997E-2</v>
      </c>
      <c r="Z33" s="77">
        <v>2451.1142</v>
      </c>
      <c r="AA33" s="77">
        <v>4.9999946153748818</v>
      </c>
      <c r="AB33" s="36" t="s">
        <v>117</v>
      </c>
      <c r="AC33" s="36" t="s">
        <v>210</v>
      </c>
      <c r="AD33" s="75">
        <v>44705</v>
      </c>
      <c r="AE33" s="75">
        <v>44706</v>
      </c>
      <c r="AF33" s="75">
        <v>44706</v>
      </c>
      <c r="AG33" s="77">
        <v>5827.1805228000003</v>
      </c>
      <c r="AH33" s="36"/>
      <c r="AI33" s="36" t="s">
        <v>211</v>
      </c>
      <c r="AJ33" s="36" t="s">
        <v>120</v>
      </c>
      <c r="AK33" s="36" t="s">
        <v>127</v>
      </c>
      <c r="AL33" s="49" t="str">
        <f>[1]!s_ipo_inq_anncedate(H33)</f>
        <v>2022-05-17</v>
      </c>
      <c r="AM33" s="50" t="str">
        <f>[1]!s_ipo_inq_startdate(H33)</f>
        <v>2022-05-20</v>
      </c>
      <c r="AN33" s="50" t="str">
        <f>[1]!s_ipo_inq_enddate(H33)</f>
        <v>2022-05-20</v>
      </c>
      <c r="AO33" s="50" t="str">
        <f>[1]!s_ipo_inqresultdate(H33)</f>
        <v>2022-05-24</v>
      </c>
      <c r="AP33" s="50" t="str">
        <f>[1]!s_ipo_op_enddate(H33)</f>
        <v>2022-05-25</v>
      </c>
      <c r="AQ33" s="50" t="str">
        <f>[1]!s_ipo_cappaydate(H33)</f>
        <v>2022-05-27</v>
      </c>
      <c r="AR33" s="51" t="str">
        <f>[1]!s_ipo_placingdate(H33)</f>
        <v>2022-05-31</v>
      </c>
      <c r="AS33" s="58">
        <f>[1]!s_ipo_vsprice_max(H33)</f>
        <v>44.11</v>
      </c>
      <c r="AT33" s="59">
        <f>[1]!s_ipo_vsprice_min(H33)</f>
        <v>35.619999999999997</v>
      </c>
      <c r="AU33" s="59">
        <f>[1]!s_ipo_vsshares(H33,100000000)</f>
        <v>207.57900000000001</v>
      </c>
      <c r="AV33" s="59">
        <f>[1]!s_ipo_vssharespct(H33)</f>
        <v>56.80310642629626</v>
      </c>
      <c r="AW33" s="59">
        <f>[1]!s_ipo_invsshares_a(H33,100000000)</f>
        <v>3.6949999999999998</v>
      </c>
      <c r="AX33" s="60">
        <f>[1]!s_ipo_invssharespct_a(H33)</f>
        <v>1.0111209623572937</v>
      </c>
      <c r="AY33" s="65">
        <f>[1]!s_ipo_lotteryrate_abc(H33,1)</f>
        <v>6.9231260000000003E-2</v>
      </c>
      <c r="AZ33" s="66">
        <f>[1]!s_ipo_lotteryrate_abc(H33,2)</f>
        <v>3.8387310000000001E-2</v>
      </c>
      <c r="BA33" s="67">
        <f>[1]!s_ipo_lotteryrate_abc(H33,3)</f>
        <v>1.813932E-2</v>
      </c>
      <c r="BB33" s="27"/>
    </row>
    <row r="34" spans="1:54" s="26" customFormat="1" ht="16.5" x14ac:dyDescent="0.15">
      <c r="A34" s="5"/>
      <c r="B34" s="5"/>
      <c r="C34" s="5"/>
      <c r="D34" s="5"/>
      <c r="E34" s="5"/>
      <c r="F34" s="13"/>
      <c r="G34" s="7"/>
      <c r="H34" s="73" t="s">
        <v>212</v>
      </c>
      <c r="I34" s="36" t="s">
        <v>213</v>
      </c>
      <c r="J34" s="75">
        <v>44698</v>
      </c>
      <c r="K34" s="75">
        <v>44706</v>
      </c>
      <c r="L34" s="75">
        <v>44718</v>
      </c>
      <c r="M34" s="36" t="s">
        <v>124</v>
      </c>
      <c r="N34" s="77">
        <v>5.0599999999999996</v>
      </c>
      <c r="O34" s="77">
        <v>32.82</v>
      </c>
      <c r="P34" s="77">
        <v>17775</v>
      </c>
      <c r="Q34" s="77">
        <v>4725</v>
      </c>
      <c r="R34" s="36">
        <v>282</v>
      </c>
      <c r="S34" s="36">
        <v>7546</v>
      </c>
      <c r="T34" s="37">
        <v>39191170</v>
      </c>
      <c r="U34" s="77">
        <v>3554.7546485260773</v>
      </c>
      <c r="V34" s="36">
        <v>5712</v>
      </c>
      <c r="W34" s="36">
        <v>202</v>
      </c>
      <c r="X34" s="37">
        <v>5712</v>
      </c>
      <c r="Y34" s="77">
        <v>3.8987920000000002E-2</v>
      </c>
      <c r="Z34" s="77">
        <v>2564.8971000000001</v>
      </c>
      <c r="AA34" s="77">
        <v>29.999999999999993</v>
      </c>
      <c r="AB34" s="36" t="s">
        <v>117</v>
      </c>
      <c r="AC34" s="36" t="s">
        <v>104</v>
      </c>
      <c r="AD34" s="75">
        <v>44705</v>
      </c>
      <c r="AE34" s="75">
        <v>44706</v>
      </c>
      <c r="AF34" s="75">
        <v>44706</v>
      </c>
      <c r="AG34" s="77">
        <v>4510.2308481999989</v>
      </c>
      <c r="AH34" s="36"/>
      <c r="AI34" s="36" t="s">
        <v>214</v>
      </c>
      <c r="AJ34" s="36" t="s">
        <v>106</v>
      </c>
      <c r="AK34" s="36" t="s">
        <v>107</v>
      </c>
      <c r="AL34" s="49" t="str">
        <f>[1]!s_ipo_inq_anncedate(H34)</f>
        <v>2022-05-17</v>
      </c>
      <c r="AM34" s="50" t="str">
        <f>[1]!s_ipo_inq_startdate(H34)</f>
        <v>2022-05-20</v>
      </c>
      <c r="AN34" s="50" t="str">
        <f>[1]!s_ipo_inq_enddate(H34)</f>
        <v>2022-05-20</v>
      </c>
      <c r="AO34" s="50" t="str">
        <f>[1]!s_ipo_inqresultdate(H34)</f>
        <v>2022-05-24</v>
      </c>
      <c r="AP34" s="50" t="str">
        <f>[1]!s_ipo_op_enddate(H34)</f>
        <v>2022-05-25</v>
      </c>
      <c r="AQ34" s="50" t="str">
        <f>[1]!s_ipo_cappaydate(H34)</f>
        <v>2022-05-27</v>
      </c>
      <c r="AR34" s="51" t="str">
        <f>[1]!s_ipo_placingdate(H34)</f>
        <v>2022-05-31</v>
      </c>
      <c r="AS34" s="58">
        <f>[1]!s_ipo_vsprice_max(H34)</f>
        <v>6.59</v>
      </c>
      <c r="AT34" s="59">
        <f>[1]!s_ipo_vsprice_min(H34)</f>
        <v>5.0999999999999996</v>
      </c>
      <c r="AU34" s="59">
        <f>[1]!s_ipo_vsshares(H34,100000000)</f>
        <v>2827.799</v>
      </c>
      <c r="AV34" s="59">
        <f>[1]!s_ipo_vssharespct(H34)</f>
        <v>72.153982644559989</v>
      </c>
      <c r="AW34" s="59">
        <f>[1]!s_ipo_invsshares_a(H34,100000000)</f>
        <v>39.31</v>
      </c>
      <c r="AX34" s="60">
        <f>[1]!s_ipo_invssharespct_a(H34)</f>
        <v>1.0030320605381262</v>
      </c>
      <c r="AY34" s="65">
        <f>[1]!s_ipo_lotteryrate_abc(H34,1)</f>
        <v>5.2900849999999999E-2</v>
      </c>
      <c r="AZ34" s="66">
        <f>[1]!s_ipo_lotteryrate_abc(H34,2)</f>
        <v>5.2895060000000001E-2</v>
      </c>
      <c r="BA34" s="67">
        <f>[1]!s_ipo_lotteryrate_abc(H34,3)</f>
        <v>2.3881690000000001E-2</v>
      </c>
      <c r="BB34" s="27"/>
    </row>
    <row r="35" spans="1:54" s="26" customFormat="1" ht="16.5" x14ac:dyDescent="0.15">
      <c r="A35" s="5"/>
      <c r="B35" s="5"/>
      <c r="C35" s="5"/>
      <c r="D35" s="5"/>
      <c r="E35" s="5"/>
      <c r="F35" s="13"/>
      <c r="G35" s="7"/>
      <c r="H35" s="73" t="s">
        <v>215</v>
      </c>
      <c r="I35" s="36" t="s">
        <v>216</v>
      </c>
      <c r="J35" s="75">
        <v>44697</v>
      </c>
      <c r="K35" s="75">
        <v>44705</v>
      </c>
      <c r="L35" s="75">
        <v>44718</v>
      </c>
      <c r="M35" s="36" t="s">
        <v>130</v>
      </c>
      <c r="N35" s="77">
        <v>21.68</v>
      </c>
      <c r="O35" s="77">
        <v>22.99</v>
      </c>
      <c r="P35" s="77">
        <v>279.5</v>
      </c>
      <c r="Q35" s="77">
        <v>2515.85</v>
      </c>
      <c r="R35" s="36">
        <v>2627</v>
      </c>
      <c r="S35" s="36">
        <v>10089</v>
      </c>
      <c r="T35" s="37">
        <v>2013710</v>
      </c>
      <c r="U35" s="77">
        <v>7204.6869409660103</v>
      </c>
      <c r="V35" s="36">
        <v>9851</v>
      </c>
      <c r="W35" s="36">
        <v>2610</v>
      </c>
      <c r="X35" s="37">
        <v>9824</v>
      </c>
      <c r="Y35" s="77">
        <v>1.425497E-2</v>
      </c>
      <c r="Z35" s="77">
        <v>7015.0983999999999</v>
      </c>
      <c r="AA35" s="77"/>
      <c r="AB35" s="36" t="s">
        <v>103</v>
      </c>
      <c r="AC35" s="36" t="s">
        <v>217</v>
      </c>
      <c r="AD35" s="75">
        <v>44704</v>
      </c>
      <c r="AE35" s="75">
        <v>44705</v>
      </c>
      <c r="AF35" s="75">
        <v>44705</v>
      </c>
      <c r="AG35" s="77">
        <v>19412.9751908</v>
      </c>
      <c r="AH35" s="36"/>
      <c r="AI35" s="36" t="s">
        <v>138</v>
      </c>
      <c r="AJ35" s="36" t="s">
        <v>120</v>
      </c>
      <c r="AK35" s="36" t="s">
        <v>121</v>
      </c>
      <c r="AL35" s="49" t="str">
        <f>[1]!s_ipo_inq_anncedate(H35)</f>
        <v>2022-05-16</v>
      </c>
      <c r="AM35" s="50" t="str">
        <f>[1]!s_ipo_inq_startdate(H35)</f>
        <v>2022-05-18</v>
      </c>
      <c r="AN35" s="50" t="str">
        <f>[1]!s_ipo_inq_enddate(H35)</f>
        <v>2022-05-18</v>
      </c>
      <c r="AO35" s="50" t="str">
        <f>[1]!s_ipo_inqresultdate(H35)</f>
        <v>2022-05-23</v>
      </c>
      <c r="AP35" s="50" t="str">
        <f>[1]!s_ipo_op_enddate(H35)</f>
        <v>2022-05-24</v>
      </c>
      <c r="AQ35" s="50" t="str">
        <f>[1]!s_ipo_cappaydate(H35)</f>
        <v>2022-05-26</v>
      </c>
      <c r="AR35" s="51" t="str">
        <f>[1]!s_ipo_placingdate(H35)</f>
        <v>2022-05-30</v>
      </c>
      <c r="AS35" s="58">
        <f>[1]!s_ipo_vsprice_max(H35)</f>
        <v>21.68</v>
      </c>
      <c r="AT35" s="59">
        <f>[1]!s_ipo_vsprice_min(H35)</f>
        <v>21.68</v>
      </c>
      <c r="AU35" s="59">
        <f>[1]!s_ipo_vsshares(H35,100000000)</f>
        <v>196.61199999999999</v>
      </c>
      <c r="AV35" s="59">
        <f>[1]!s_ipo_vssharespct(H35)</f>
        <v>97.636700418630284</v>
      </c>
      <c r="AW35" s="59">
        <f>[1]!s_ipo_invsshares_a(H35,100000000)</f>
        <v>0.22</v>
      </c>
      <c r="AX35" s="60">
        <f>[1]!s_ipo_invssharespct_a(H35)</f>
        <v>0.10925108382041109</v>
      </c>
      <c r="AY35" s="65">
        <f>[1]!s_ipo_lotteryrate_abc(H35,1)</f>
        <v>2.8512940000000001E-2</v>
      </c>
      <c r="AZ35" s="66">
        <f>[1]!s_ipo_lotteryrate_abc(H35,2)</f>
        <v>1.805E-2</v>
      </c>
      <c r="BA35" s="67">
        <f>[1]!s_ipo_lotteryrate_abc(H35,3)</f>
        <v>5.6499999999999996E-3</v>
      </c>
      <c r="BB35" s="27"/>
    </row>
    <row r="36" spans="1:54" s="26" customFormat="1" ht="16.5" x14ac:dyDescent="0.15">
      <c r="A36" s="5"/>
      <c r="B36" s="5"/>
      <c r="C36" s="5"/>
      <c r="D36" s="5"/>
      <c r="E36" s="5"/>
      <c r="F36" s="13"/>
      <c r="G36" s="7"/>
      <c r="H36" s="73" t="s">
        <v>218</v>
      </c>
      <c r="I36" s="36" t="s">
        <v>219</v>
      </c>
      <c r="J36" s="75">
        <v>44701</v>
      </c>
      <c r="K36" s="75">
        <v>44705</v>
      </c>
      <c r="L36" s="75">
        <v>44722</v>
      </c>
      <c r="M36" s="36" t="s">
        <v>163</v>
      </c>
      <c r="N36" s="77">
        <v>5.8</v>
      </c>
      <c r="O36" s="77">
        <v>21.41</v>
      </c>
      <c r="P36" s="77">
        <v>404.9855</v>
      </c>
      <c r="Q36" s="77">
        <v>1619.9421</v>
      </c>
      <c r="R36" s="36"/>
      <c r="S36" s="36"/>
      <c r="T36" s="37"/>
      <c r="U36" s="77"/>
      <c r="V36" s="36"/>
      <c r="W36" s="36"/>
      <c r="X36" s="37"/>
      <c r="Y36" s="77"/>
      <c r="Z36" s="77"/>
      <c r="AA36" s="77">
        <v>19.999999012310365</v>
      </c>
      <c r="AB36" s="36" t="s">
        <v>164</v>
      </c>
      <c r="AC36" s="36" t="s">
        <v>220</v>
      </c>
      <c r="AD36" s="75">
        <v>44701</v>
      </c>
      <c r="AE36" s="75"/>
      <c r="AF36" s="75"/>
      <c r="AG36" s="77">
        <v>379.18313740000002</v>
      </c>
      <c r="AH36" s="36"/>
      <c r="AI36" s="36" t="s">
        <v>221</v>
      </c>
      <c r="AJ36" s="36" t="s">
        <v>106</v>
      </c>
      <c r="AK36" s="36" t="s">
        <v>184</v>
      </c>
      <c r="AL36" s="49">
        <f>[1]!s_ipo_inq_anncedate(H36)</f>
        <v>0</v>
      </c>
      <c r="AM36" s="50">
        <f>[1]!s_ipo_inq_startdate(H36)</f>
        <v>0</v>
      </c>
      <c r="AN36" s="50">
        <f>[1]!s_ipo_inq_enddate(H36)</f>
        <v>0</v>
      </c>
      <c r="AO36" s="50">
        <f>[1]!s_ipo_inqresultdate(H36)</f>
        <v>0</v>
      </c>
      <c r="AP36" s="50">
        <f>[1]!s_ipo_op_enddate(H36)</f>
        <v>0</v>
      </c>
      <c r="AQ36" s="50" t="str">
        <f>[1]!s_ipo_cappaydate(H36)</f>
        <v>2022-05-24</v>
      </c>
      <c r="AR36" s="51">
        <f>[1]!s_ipo_placingdate(H36)</f>
        <v>0</v>
      </c>
      <c r="AS36" s="58">
        <f>[1]!s_ipo_vsprice_max(H36)</f>
        <v>0</v>
      </c>
      <c r="AT36" s="59">
        <f>[1]!s_ipo_vsprice_min(H36)</f>
        <v>0</v>
      </c>
      <c r="AU36" s="59">
        <f>[1]!s_ipo_vsshares(H36,100000000)</f>
        <v>0</v>
      </c>
      <c r="AV36" s="59">
        <f>[1]!s_ipo_vssharespct(H36)</f>
        <v>0</v>
      </c>
      <c r="AW36" s="59">
        <f>[1]!s_ipo_invsshares_a(H36,100000000)</f>
        <v>0</v>
      </c>
      <c r="AX36" s="60">
        <f>[1]!s_ipo_invssharespct_a(H36)</f>
        <v>0</v>
      </c>
      <c r="AY36" s="65">
        <f>[1]!s_ipo_lotteryrate_abc(H36,1)</f>
        <v>0</v>
      </c>
      <c r="AZ36" s="66">
        <f>[1]!s_ipo_lotteryrate_abc(H36,2)</f>
        <v>0</v>
      </c>
      <c r="BA36" s="67">
        <f>[1]!s_ipo_lotteryrate_abc(H36,3)</f>
        <v>0</v>
      </c>
      <c r="BB36" s="27"/>
    </row>
    <row r="37" spans="1:54" s="26" customFormat="1" ht="16.5" x14ac:dyDescent="0.15">
      <c r="A37" s="5"/>
      <c r="B37" s="5"/>
      <c r="C37" s="5"/>
      <c r="D37" s="5"/>
      <c r="E37" s="5"/>
      <c r="F37" s="13"/>
      <c r="G37" s="7"/>
      <c r="H37" s="73" t="s">
        <v>222</v>
      </c>
      <c r="I37" s="36" t="s">
        <v>223</v>
      </c>
      <c r="J37" s="75">
        <v>44694</v>
      </c>
      <c r="K37" s="75">
        <v>44704</v>
      </c>
      <c r="L37" s="75">
        <v>44718</v>
      </c>
      <c r="M37" s="36" t="s">
        <v>116</v>
      </c>
      <c r="N37" s="77">
        <v>31.56</v>
      </c>
      <c r="O37" s="77">
        <v>20.03</v>
      </c>
      <c r="P37" s="77">
        <v>961.31669999999997</v>
      </c>
      <c r="Q37" s="77">
        <v>905.35</v>
      </c>
      <c r="R37" s="36">
        <v>278</v>
      </c>
      <c r="S37" s="36">
        <v>6177</v>
      </c>
      <c r="T37" s="37">
        <v>3478820</v>
      </c>
      <c r="U37" s="77">
        <v>3618.8074127912269</v>
      </c>
      <c r="V37" s="36">
        <v>4120</v>
      </c>
      <c r="W37" s="36">
        <v>124</v>
      </c>
      <c r="X37" s="37">
        <v>4120</v>
      </c>
      <c r="Y37" s="77">
        <v>4.1662150000000002E-2</v>
      </c>
      <c r="Z37" s="77">
        <v>2400.2600000000002</v>
      </c>
      <c r="AA37" s="77"/>
      <c r="AB37" s="36" t="s">
        <v>103</v>
      </c>
      <c r="AC37" s="36" t="s">
        <v>206</v>
      </c>
      <c r="AD37" s="75">
        <v>44701</v>
      </c>
      <c r="AE37" s="75">
        <v>44704</v>
      </c>
      <c r="AF37" s="75">
        <v>44704</v>
      </c>
      <c r="AG37" s="77">
        <v>14303.469029399999</v>
      </c>
      <c r="AH37" s="36"/>
      <c r="AI37" s="36" t="s">
        <v>176</v>
      </c>
      <c r="AJ37" s="36" t="s">
        <v>120</v>
      </c>
      <c r="AK37" s="36" t="s">
        <v>113</v>
      </c>
      <c r="AL37" s="49" t="str">
        <f>[1]!s_ipo_inq_anncedate(H37)</f>
        <v>2022-05-13</v>
      </c>
      <c r="AM37" s="50" t="str">
        <f>[1]!s_ipo_inq_startdate(H37)</f>
        <v>2022-05-18</v>
      </c>
      <c r="AN37" s="50" t="str">
        <f>[1]!s_ipo_inq_enddate(H37)</f>
        <v>2022-05-18</v>
      </c>
      <c r="AO37" s="50" t="str">
        <f>[1]!s_ipo_inqresultdate(H37)</f>
        <v>2022-05-20</v>
      </c>
      <c r="AP37" s="50" t="str">
        <f>[1]!s_ipo_op_enddate(H37)</f>
        <v>2022-05-23</v>
      </c>
      <c r="AQ37" s="50" t="str">
        <f>[1]!s_ipo_cappaydate(H37)</f>
        <v>2022-05-25</v>
      </c>
      <c r="AR37" s="51" t="str">
        <f>[1]!s_ipo_placingdate(H37)</f>
        <v>2022-05-27</v>
      </c>
      <c r="AS37" s="58">
        <f>[1]!s_ipo_vsprice_max(H37)</f>
        <v>35.47</v>
      </c>
      <c r="AT37" s="59">
        <f>[1]!s_ipo_vsprice_min(H37)</f>
        <v>31.58</v>
      </c>
      <c r="AU37" s="59">
        <f>[1]!s_ipo_vsshares(H37,100000000)</f>
        <v>230.74100000000001</v>
      </c>
      <c r="AV37" s="59">
        <f>[1]!s_ipo_vssharespct(H37)</f>
        <v>66.327375374408561</v>
      </c>
      <c r="AW37" s="59">
        <f>[1]!s_ipo_invsshares_a(H37,100000000)</f>
        <v>3.5150000000000001</v>
      </c>
      <c r="AX37" s="60">
        <f>[1]!s_ipo_invssharespct_a(H37)</f>
        <v>1.0104000781874314</v>
      </c>
      <c r="AY37" s="65">
        <f>[1]!s_ipo_lotteryrate_abc(H37,1)</f>
        <v>6.5318829999999994E-2</v>
      </c>
      <c r="AZ37" s="66">
        <f>[1]!s_ipo_lotteryrate_abc(H37,2)</f>
        <v>4.1832540000000001E-2</v>
      </c>
      <c r="BA37" s="67">
        <f>[1]!s_ipo_lotteryrate_abc(H37,3)</f>
        <v>2.241456E-2</v>
      </c>
      <c r="BB37" s="27"/>
    </row>
    <row r="38" spans="1:54" s="26" customFormat="1" ht="16.5" x14ac:dyDescent="0.15">
      <c r="A38" s="5"/>
      <c r="B38" s="5"/>
      <c r="C38" s="5"/>
      <c r="D38" s="5"/>
      <c r="E38" s="5"/>
      <c r="F38" s="13"/>
      <c r="G38" s="7"/>
      <c r="H38" s="73" t="s">
        <v>224</v>
      </c>
      <c r="I38" s="36" t="s">
        <v>225</v>
      </c>
      <c r="J38" s="75">
        <v>44694</v>
      </c>
      <c r="K38" s="75">
        <v>44704</v>
      </c>
      <c r="L38" s="75">
        <v>44721</v>
      </c>
      <c r="M38" s="36" t="s">
        <v>163</v>
      </c>
      <c r="N38" s="77">
        <v>3.21</v>
      </c>
      <c r="O38" s="77">
        <v>21.17</v>
      </c>
      <c r="P38" s="77">
        <v>758</v>
      </c>
      <c r="Q38" s="77">
        <v>3600.5</v>
      </c>
      <c r="R38" s="36"/>
      <c r="S38" s="36"/>
      <c r="T38" s="37"/>
      <c r="U38" s="77"/>
      <c r="V38" s="36"/>
      <c r="W38" s="36"/>
      <c r="X38" s="37"/>
      <c r="Y38" s="77"/>
      <c r="Z38" s="77"/>
      <c r="AA38" s="77">
        <v>17.391304347826086</v>
      </c>
      <c r="AB38" s="36" t="s">
        <v>175</v>
      </c>
      <c r="AC38" s="36" t="s">
        <v>226</v>
      </c>
      <c r="AD38" s="75">
        <v>44700</v>
      </c>
      <c r="AE38" s="75"/>
      <c r="AF38" s="75"/>
      <c r="AG38" s="77">
        <v>476.36874438000001</v>
      </c>
      <c r="AH38" s="36"/>
      <c r="AI38" s="36" t="s">
        <v>227</v>
      </c>
      <c r="AJ38" s="36" t="s">
        <v>106</v>
      </c>
      <c r="AK38" s="36" t="s">
        <v>166</v>
      </c>
      <c r="AL38" s="49">
        <f>[1]!s_ipo_inq_anncedate(H38)</f>
        <v>0</v>
      </c>
      <c r="AM38" s="50">
        <f>[1]!s_ipo_inq_startdate(H38)</f>
        <v>0</v>
      </c>
      <c r="AN38" s="50">
        <f>[1]!s_ipo_inq_enddate(H38)</f>
        <v>0</v>
      </c>
      <c r="AO38" s="50">
        <f>[1]!s_ipo_inqresultdate(H38)</f>
        <v>0</v>
      </c>
      <c r="AP38" s="50">
        <f>[1]!s_ipo_op_enddate(H38)</f>
        <v>0</v>
      </c>
      <c r="AQ38" s="50" t="str">
        <f>[1]!s_ipo_cappaydate(H38)</f>
        <v>2022-05-23</v>
      </c>
      <c r="AR38" s="51">
        <f>[1]!s_ipo_placingdate(H38)</f>
        <v>0</v>
      </c>
      <c r="AS38" s="58">
        <f>[1]!s_ipo_vsprice_max(H38)</f>
        <v>0</v>
      </c>
      <c r="AT38" s="59">
        <f>[1]!s_ipo_vsprice_min(H38)</f>
        <v>0</v>
      </c>
      <c r="AU38" s="59">
        <f>[1]!s_ipo_vsshares(H38,100000000)</f>
        <v>0</v>
      </c>
      <c r="AV38" s="59">
        <f>[1]!s_ipo_vssharespct(H38)</f>
        <v>0</v>
      </c>
      <c r="AW38" s="59">
        <f>[1]!s_ipo_invsshares_a(H38,100000000)</f>
        <v>0</v>
      </c>
      <c r="AX38" s="60">
        <f>[1]!s_ipo_invssharespct_a(H38)</f>
        <v>0</v>
      </c>
      <c r="AY38" s="65">
        <f>[1]!s_ipo_lotteryrate_abc(H38,1)</f>
        <v>0</v>
      </c>
      <c r="AZ38" s="66">
        <f>[1]!s_ipo_lotteryrate_abc(H38,2)</f>
        <v>0</v>
      </c>
      <c r="BA38" s="67">
        <f>[1]!s_ipo_lotteryrate_abc(H38,3)</f>
        <v>0</v>
      </c>
      <c r="BB38" s="27"/>
    </row>
    <row r="39" spans="1:54" s="26" customFormat="1" ht="16.5" x14ac:dyDescent="0.15">
      <c r="A39" s="5"/>
      <c r="B39" s="5"/>
      <c r="C39" s="5"/>
      <c r="D39" s="5"/>
      <c r="E39" s="5"/>
      <c r="F39" s="13"/>
      <c r="G39" s="7"/>
      <c r="H39" s="73" t="s">
        <v>228</v>
      </c>
      <c r="I39" s="36" t="s">
        <v>229</v>
      </c>
      <c r="J39" s="75">
        <v>44698</v>
      </c>
      <c r="K39" s="75">
        <v>44700</v>
      </c>
      <c r="L39" s="75">
        <v>44714</v>
      </c>
      <c r="M39" s="36" t="s">
        <v>163</v>
      </c>
      <c r="N39" s="77">
        <v>7</v>
      </c>
      <c r="O39" s="77">
        <v>22.58</v>
      </c>
      <c r="P39" s="77">
        <v>405</v>
      </c>
      <c r="Q39" s="77">
        <v>1620</v>
      </c>
      <c r="R39" s="36"/>
      <c r="S39" s="36"/>
      <c r="T39" s="37"/>
      <c r="U39" s="77"/>
      <c r="V39" s="36"/>
      <c r="W39" s="36"/>
      <c r="X39" s="37"/>
      <c r="Y39" s="77"/>
      <c r="Z39" s="77"/>
      <c r="AA39" s="77">
        <v>20</v>
      </c>
      <c r="AB39" s="36" t="s">
        <v>164</v>
      </c>
      <c r="AC39" s="36" t="s">
        <v>169</v>
      </c>
      <c r="AD39" s="75">
        <v>44698</v>
      </c>
      <c r="AE39" s="75"/>
      <c r="AF39" s="75"/>
      <c r="AG39" s="77">
        <v>345.11243899999999</v>
      </c>
      <c r="AH39" s="36"/>
      <c r="AI39" s="36" t="s">
        <v>207</v>
      </c>
      <c r="AJ39" s="36" t="s">
        <v>106</v>
      </c>
      <c r="AK39" s="36" t="s">
        <v>166</v>
      </c>
      <c r="AL39" s="49">
        <f>[1]!s_ipo_inq_anncedate(H39)</f>
        <v>0</v>
      </c>
      <c r="AM39" s="50">
        <f>[1]!s_ipo_inq_startdate(H39)</f>
        <v>0</v>
      </c>
      <c r="AN39" s="50">
        <f>[1]!s_ipo_inq_enddate(H39)</f>
        <v>0</v>
      </c>
      <c r="AO39" s="50">
        <f>[1]!s_ipo_inqresultdate(H39)</f>
        <v>0</v>
      </c>
      <c r="AP39" s="50">
        <f>[1]!s_ipo_op_enddate(H39)</f>
        <v>0</v>
      </c>
      <c r="AQ39" s="50" t="str">
        <f>[1]!s_ipo_cappaydate(H39)</f>
        <v>2022-05-19</v>
      </c>
      <c r="AR39" s="51">
        <f>[1]!s_ipo_placingdate(H39)</f>
        <v>0</v>
      </c>
      <c r="AS39" s="58">
        <f>[1]!s_ipo_vsprice_max(H39)</f>
        <v>0</v>
      </c>
      <c r="AT39" s="59">
        <f>[1]!s_ipo_vsprice_min(H39)</f>
        <v>0</v>
      </c>
      <c r="AU39" s="59">
        <f>[1]!s_ipo_vsshares(H39,100000000)</f>
        <v>0</v>
      </c>
      <c r="AV39" s="59">
        <f>[1]!s_ipo_vssharespct(H39)</f>
        <v>0</v>
      </c>
      <c r="AW39" s="59">
        <f>[1]!s_ipo_invsshares_a(H39,100000000)</f>
        <v>0</v>
      </c>
      <c r="AX39" s="60">
        <f>[1]!s_ipo_invssharespct_a(H39)</f>
        <v>0</v>
      </c>
      <c r="AY39" s="65">
        <f>[1]!s_ipo_lotteryrate_abc(H39,1)</f>
        <v>0</v>
      </c>
      <c r="AZ39" s="66">
        <f>[1]!s_ipo_lotteryrate_abc(H39,2)</f>
        <v>0</v>
      </c>
      <c r="BA39" s="67">
        <f>[1]!s_ipo_lotteryrate_abc(H39,3)</f>
        <v>0</v>
      </c>
      <c r="BB39" s="27"/>
    </row>
    <row r="40" spans="1:54" s="26" customFormat="1" ht="16.5" x14ac:dyDescent="0.15">
      <c r="A40" s="5"/>
      <c r="B40" s="5"/>
      <c r="C40" s="5"/>
      <c r="D40" s="5"/>
      <c r="E40" s="5"/>
      <c r="F40" s="13"/>
      <c r="G40" s="7"/>
      <c r="H40" s="73" t="s">
        <v>230</v>
      </c>
      <c r="I40" s="36" t="s">
        <v>231</v>
      </c>
      <c r="J40" s="75">
        <v>44680</v>
      </c>
      <c r="K40" s="75">
        <v>44699</v>
      </c>
      <c r="L40" s="75">
        <v>44708</v>
      </c>
      <c r="M40" s="36" t="s">
        <v>124</v>
      </c>
      <c r="N40" s="77">
        <v>15.37</v>
      </c>
      <c r="O40" s="77"/>
      <c r="P40" s="77">
        <v>8881.9500000000007</v>
      </c>
      <c r="Q40" s="77">
        <v>2361.0500000000002</v>
      </c>
      <c r="R40" s="36">
        <v>151</v>
      </c>
      <c r="S40" s="36">
        <v>4115</v>
      </c>
      <c r="T40" s="37">
        <v>9085650</v>
      </c>
      <c r="U40" s="77">
        <v>1649.2226427423966</v>
      </c>
      <c r="V40" s="36">
        <v>933</v>
      </c>
      <c r="W40" s="36">
        <v>46</v>
      </c>
      <c r="X40" s="37">
        <v>933</v>
      </c>
      <c r="Y40" s="77">
        <v>0.28089054000000002</v>
      </c>
      <c r="Z40" s="77">
        <v>356.01060000000001</v>
      </c>
      <c r="AA40" s="77">
        <v>30</v>
      </c>
      <c r="AB40" s="36" t="s">
        <v>125</v>
      </c>
      <c r="AC40" s="36" t="s">
        <v>104</v>
      </c>
      <c r="AD40" s="75">
        <v>44698</v>
      </c>
      <c r="AE40" s="75">
        <v>44699</v>
      </c>
      <c r="AF40" s="75">
        <v>44699</v>
      </c>
      <c r="AG40" s="77">
        <v>7513.18038385</v>
      </c>
      <c r="AH40" s="36"/>
      <c r="AI40" s="36" t="s">
        <v>232</v>
      </c>
      <c r="AJ40" s="36" t="s">
        <v>106</v>
      </c>
      <c r="AK40" s="36" t="s">
        <v>127</v>
      </c>
      <c r="AL40" s="49" t="str">
        <f>[1]!s_ipo_inq_anncedate(H40)</f>
        <v>2022-04-29</v>
      </c>
      <c r="AM40" s="50" t="str">
        <f>[1]!s_ipo_inq_startdate(H40)</f>
        <v>2022-05-13</v>
      </c>
      <c r="AN40" s="50" t="str">
        <f>[1]!s_ipo_inq_enddate(H40)</f>
        <v>2022-05-13</v>
      </c>
      <c r="AO40" s="50" t="str">
        <f>[1]!s_ipo_inqresultdate(H40)</f>
        <v>2022-05-17</v>
      </c>
      <c r="AP40" s="50" t="str">
        <f>[1]!s_ipo_op_enddate(H40)</f>
        <v>2022-05-18</v>
      </c>
      <c r="AQ40" s="50" t="str">
        <f>[1]!s_ipo_cappaydate(H40)</f>
        <v>2022-05-20</v>
      </c>
      <c r="AR40" s="51" t="str">
        <f>[1]!s_ipo_placingdate(H40)</f>
        <v>2022-05-24</v>
      </c>
      <c r="AS40" s="58">
        <f>[1]!s_ipo_vsprice_max(H40)</f>
        <v>23.27</v>
      </c>
      <c r="AT40" s="59">
        <f>[1]!s_ipo_vsprice_min(H40)</f>
        <v>15.37</v>
      </c>
      <c r="AU40" s="59">
        <f>[1]!s_ipo_vsshares(H40,100000000)</f>
        <v>196.12799999999999</v>
      </c>
      <c r="AV40" s="59">
        <f>[1]!s_ipo_vssharespct(H40)</f>
        <v>21.586567829489358</v>
      </c>
      <c r="AW40" s="59">
        <f>[1]!s_ipo_invsshares_a(H40,100000000)</f>
        <v>9.1560000000000006</v>
      </c>
      <c r="AX40" s="60">
        <f>[1]!s_ipo_invssharespct_a(H40)</f>
        <v>1.0077429793135328</v>
      </c>
      <c r="AY40" s="65">
        <f>[1]!s_ipo_lotteryrate_abc(H40,1)</f>
        <v>0.28151893</v>
      </c>
      <c r="AZ40" s="66">
        <f>[1]!s_ipo_lotteryrate_abc(H40,2)</f>
        <v>0.28029446000000002</v>
      </c>
      <c r="BA40" s="67">
        <f>[1]!s_ipo_lotteryrate_abc(H40,3)</f>
        <v>0.27942573999999998</v>
      </c>
      <c r="BB40" s="27"/>
    </row>
    <row r="41" spans="1:54" s="26" customFormat="1" ht="16.5" x14ac:dyDescent="0.15">
      <c r="A41" s="5"/>
      <c r="B41" s="5"/>
      <c r="C41" s="5"/>
      <c r="D41" s="5"/>
      <c r="E41" s="5"/>
      <c r="F41" s="13"/>
      <c r="G41" s="7"/>
      <c r="H41" s="73" t="s">
        <v>233</v>
      </c>
      <c r="I41" s="36" t="s">
        <v>234</v>
      </c>
      <c r="J41" s="75">
        <v>44690</v>
      </c>
      <c r="K41" s="75">
        <v>44698</v>
      </c>
      <c r="L41" s="75">
        <v>44707</v>
      </c>
      <c r="M41" s="36" t="s">
        <v>136</v>
      </c>
      <c r="N41" s="77">
        <v>55.15</v>
      </c>
      <c r="O41" s="77">
        <v>16.239999999999998</v>
      </c>
      <c r="P41" s="77">
        <v>1132.93</v>
      </c>
      <c r="Q41" s="77">
        <v>593.29999999999995</v>
      </c>
      <c r="R41" s="36">
        <v>254</v>
      </c>
      <c r="S41" s="36">
        <v>6678</v>
      </c>
      <c r="T41" s="37">
        <v>2815140</v>
      </c>
      <c r="U41" s="77">
        <v>3002.130713629102</v>
      </c>
      <c r="V41" s="36">
        <v>4212</v>
      </c>
      <c r="W41" s="36">
        <v>199</v>
      </c>
      <c r="X41" s="37">
        <v>4199</v>
      </c>
      <c r="Y41" s="77">
        <v>5.4782610000000002E-2</v>
      </c>
      <c r="Z41" s="77">
        <v>1825.3967</v>
      </c>
      <c r="AA41" s="77">
        <v>11.308805894927096</v>
      </c>
      <c r="AB41" s="36" t="s">
        <v>117</v>
      </c>
      <c r="AC41" s="36" t="s">
        <v>220</v>
      </c>
      <c r="AD41" s="75">
        <v>44697</v>
      </c>
      <c r="AE41" s="75">
        <v>44698</v>
      </c>
      <c r="AF41" s="75">
        <v>44698</v>
      </c>
      <c r="AG41" s="77">
        <v>8383.9225782499998</v>
      </c>
      <c r="AH41" s="36"/>
      <c r="AI41" s="36" t="s">
        <v>126</v>
      </c>
      <c r="AJ41" s="36" t="s">
        <v>120</v>
      </c>
      <c r="AK41" s="36" t="s">
        <v>127</v>
      </c>
      <c r="AL41" s="49" t="str">
        <f>[1]!s_ipo_inq_anncedate(H41)</f>
        <v>2022-05-09</v>
      </c>
      <c r="AM41" s="50" t="str">
        <f>[1]!s_ipo_inq_startdate(H41)</f>
        <v>2022-05-12</v>
      </c>
      <c r="AN41" s="50" t="str">
        <f>[1]!s_ipo_inq_enddate(H41)</f>
        <v>2022-05-12</v>
      </c>
      <c r="AO41" s="50" t="str">
        <f>[1]!s_ipo_inqresultdate(H41)</f>
        <v>2022-05-16</v>
      </c>
      <c r="AP41" s="50" t="str">
        <f>[1]!s_ipo_op_enddate(H41)</f>
        <v>2022-05-17</v>
      </c>
      <c r="AQ41" s="50" t="str">
        <f>[1]!s_ipo_cappaydate(H41)</f>
        <v>2022-05-19</v>
      </c>
      <c r="AR41" s="51" t="str">
        <f>[1]!s_ipo_placingdate(H41)</f>
        <v>2022-05-23</v>
      </c>
      <c r="AS41" s="58">
        <f>[1]!s_ipo_vsprice_max(H41)</f>
        <v>82.87</v>
      </c>
      <c r="AT41" s="59">
        <f>[1]!s_ipo_vsprice_min(H41)</f>
        <v>55.2</v>
      </c>
      <c r="AU41" s="59">
        <f>[1]!s_ipo_vsshares(H41,100000000)</f>
        <v>171.71700000000001</v>
      </c>
      <c r="AV41" s="59">
        <f>[1]!s_ipo_vssharespct(H41)</f>
        <v>60.997676847332642</v>
      </c>
      <c r="AW41" s="59">
        <f>[1]!s_ipo_invsshares_a(H41,100000000)</f>
        <v>2.84</v>
      </c>
      <c r="AX41" s="60">
        <f>[1]!s_ipo_invssharespct_a(H41)</f>
        <v>1.0088308219129423</v>
      </c>
      <c r="AY41" s="65">
        <f>[1]!s_ipo_lotteryrate_abc(H41,1)</f>
        <v>7.8813599999999998E-2</v>
      </c>
      <c r="AZ41" s="66">
        <f>[1]!s_ipo_lotteryrate_abc(H41,2)</f>
        <v>7.6201740000000004E-2</v>
      </c>
      <c r="BA41" s="67">
        <f>[1]!s_ipo_lotteryrate_abc(H41,3)</f>
        <v>3.1651579999999999E-2</v>
      </c>
      <c r="BB41" s="27"/>
    </row>
    <row r="42" spans="1:54" s="26" customFormat="1" ht="16.5" x14ac:dyDescent="0.15">
      <c r="A42" s="5"/>
      <c r="B42" s="5"/>
      <c r="C42" s="5"/>
      <c r="D42" s="5"/>
      <c r="E42" s="5"/>
      <c r="F42" s="13"/>
      <c r="G42" s="7"/>
      <c r="H42" s="73" t="s">
        <v>235</v>
      </c>
      <c r="I42" s="36" t="s">
        <v>236</v>
      </c>
      <c r="J42" s="75">
        <v>44694</v>
      </c>
      <c r="K42" s="75">
        <v>44698</v>
      </c>
      <c r="L42" s="75">
        <v>44707</v>
      </c>
      <c r="M42" s="36" t="s">
        <v>110</v>
      </c>
      <c r="N42" s="77">
        <v>72</v>
      </c>
      <c r="O42" s="77">
        <v>24.07</v>
      </c>
      <c r="P42" s="77"/>
      <c r="Q42" s="77">
        <v>1334</v>
      </c>
      <c r="R42" s="36"/>
      <c r="S42" s="36"/>
      <c r="T42" s="37"/>
      <c r="U42" s="77"/>
      <c r="V42" s="36"/>
      <c r="W42" s="36"/>
      <c r="X42" s="37"/>
      <c r="Y42" s="77"/>
      <c r="Z42" s="77"/>
      <c r="AA42" s="77"/>
      <c r="AB42" s="36" t="s">
        <v>148</v>
      </c>
      <c r="AC42" s="36" t="s">
        <v>217</v>
      </c>
      <c r="AD42" s="75">
        <v>44697</v>
      </c>
      <c r="AE42" s="75"/>
      <c r="AF42" s="75"/>
      <c r="AG42" s="77">
        <v>59246.766000000003</v>
      </c>
      <c r="AH42" s="36"/>
      <c r="AI42" s="36" t="s">
        <v>237</v>
      </c>
      <c r="AJ42" s="36" t="s">
        <v>106</v>
      </c>
      <c r="AK42" s="36" t="s">
        <v>121</v>
      </c>
      <c r="AL42" s="49">
        <f>[1]!s_ipo_inq_anncedate(H42)</f>
        <v>0</v>
      </c>
      <c r="AM42" s="50">
        <f>[1]!s_ipo_inq_startdate(H42)</f>
        <v>0</v>
      </c>
      <c r="AN42" s="50">
        <f>[1]!s_ipo_inq_enddate(H42)</f>
        <v>0</v>
      </c>
      <c r="AO42" s="50">
        <f>[1]!s_ipo_inqresultdate(H42)</f>
        <v>0</v>
      </c>
      <c r="AP42" s="50">
        <f>[1]!s_ipo_op_enddate(H42)</f>
        <v>0</v>
      </c>
      <c r="AQ42" s="50" t="str">
        <f>[1]!s_ipo_cappaydate(H42)</f>
        <v>2022-05-19</v>
      </c>
      <c r="AR42" s="51">
        <f>[1]!s_ipo_placingdate(H42)</f>
        <v>0</v>
      </c>
      <c r="AS42" s="58">
        <f>[1]!s_ipo_vsprice_max(H42)</f>
        <v>0</v>
      </c>
      <c r="AT42" s="59">
        <f>[1]!s_ipo_vsprice_min(H42)</f>
        <v>0</v>
      </c>
      <c r="AU42" s="59">
        <f>[1]!s_ipo_vsshares(H42,100000000)</f>
        <v>0</v>
      </c>
      <c r="AV42" s="59">
        <f>[1]!s_ipo_vssharespct(H42)</f>
        <v>0</v>
      </c>
      <c r="AW42" s="59">
        <f>[1]!s_ipo_invsshares_a(H42,100000000)</f>
        <v>0</v>
      </c>
      <c r="AX42" s="60">
        <f>[1]!s_ipo_invssharespct_a(H42)</f>
        <v>0</v>
      </c>
      <c r="AY42" s="65">
        <f>[1]!s_ipo_lotteryrate_abc(H42,1)</f>
        <v>0</v>
      </c>
      <c r="AZ42" s="66">
        <f>[1]!s_ipo_lotteryrate_abc(H42,2)</f>
        <v>0</v>
      </c>
      <c r="BA42" s="67">
        <f>[1]!s_ipo_lotteryrate_abc(H42,3)</f>
        <v>0</v>
      </c>
      <c r="BB42" s="27"/>
    </row>
    <row r="43" spans="1:54" s="26" customFormat="1" ht="16.5" x14ac:dyDescent="0.15">
      <c r="A43" s="5"/>
      <c r="B43" s="5"/>
      <c r="C43" s="5"/>
      <c r="D43" s="5"/>
      <c r="E43" s="5"/>
      <c r="F43" s="13"/>
      <c r="G43" s="7"/>
      <c r="H43" s="73" t="s">
        <v>238</v>
      </c>
      <c r="I43" s="36" t="s">
        <v>239</v>
      </c>
      <c r="J43" s="75">
        <v>44692</v>
      </c>
      <c r="K43" s="75">
        <v>44694</v>
      </c>
      <c r="L43" s="75">
        <v>44705</v>
      </c>
      <c r="M43" s="36" t="s">
        <v>110</v>
      </c>
      <c r="N43" s="77">
        <v>25.64</v>
      </c>
      <c r="O43" s="77">
        <v>25</v>
      </c>
      <c r="P43" s="77"/>
      <c r="Q43" s="77">
        <v>1837</v>
      </c>
      <c r="R43" s="36"/>
      <c r="S43" s="36"/>
      <c r="T43" s="37"/>
      <c r="U43" s="77"/>
      <c r="V43" s="36"/>
      <c r="W43" s="36"/>
      <c r="X43" s="37"/>
      <c r="Y43" s="77"/>
      <c r="Z43" s="77"/>
      <c r="AA43" s="77"/>
      <c r="AB43" s="36" t="s">
        <v>148</v>
      </c>
      <c r="AC43" s="36" t="s">
        <v>220</v>
      </c>
      <c r="AD43" s="75">
        <v>44693</v>
      </c>
      <c r="AE43" s="75"/>
      <c r="AF43" s="75"/>
      <c r="AG43" s="77">
        <v>28195.528415799999</v>
      </c>
      <c r="AH43" s="36"/>
      <c r="AI43" s="36" t="s">
        <v>227</v>
      </c>
      <c r="AJ43" s="36" t="s">
        <v>106</v>
      </c>
      <c r="AK43" s="36" t="s">
        <v>121</v>
      </c>
      <c r="AL43" s="49">
        <f>[1]!s_ipo_inq_anncedate(H43)</f>
        <v>0</v>
      </c>
      <c r="AM43" s="50">
        <f>[1]!s_ipo_inq_startdate(H43)</f>
        <v>0</v>
      </c>
      <c r="AN43" s="50">
        <f>[1]!s_ipo_inq_enddate(H43)</f>
        <v>0</v>
      </c>
      <c r="AO43" s="50">
        <f>[1]!s_ipo_inqresultdate(H43)</f>
        <v>0</v>
      </c>
      <c r="AP43" s="50">
        <f>[1]!s_ipo_op_enddate(H43)</f>
        <v>0</v>
      </c>
      <c r="AQ43" s="50" t="str">
        <f>[1]!s_ipo_cappaydate(H43)</f>
        <v>2022-05-17</v>
      </c>
      <c r="AR43" s="51">
        <f>[1]!s_ipo_placingdate(H43)</f>
        <v>0</v>
      </c>
      <c r="AS43" s="58">
        <f>[1]!s_ipo_vsprice_max(H43)</f>
        <v>0</v>
      </c>
      <c r="AT43" s="59">
        <f>[1]!s_ipo_vsprice_min(H43)</f>
        <v>0</v>
      </c>
      <c r="AU43" s="59">
        <f>[1]!s_ipo_vsshares(H43,100000000)</f>
        <v>0</v>
      </c>
      <c r="AV43" s="59">
        <f>[1]!s_ipo_vssharespct(H43)</f>
        <v>0</v>
      </c>
      <c r="AW43" s="59">
        <f>[1]!s_ipo_invsshares_a(H43,100000000)</f>
        <v>0</v>
      </c>
      <c r="AX43" s="60">
        <f>[1]!s_ipo_invssharespct_a(H43)</f>
        <v>0</v>
      </c>
      <c r="AY43" s="65">
        <f>[1]!s_ipo_lotteryrate_abc(H43,1)</f>
        <v>0</v>
      </c>
      <c r="AZ43" s="66">
        <f>[1]!s_ipo_lotteryrate_abc(H43,2)</f>
        <v>0</v>
      </c>
      <c r="BA43" s="67">
        <f>[1]!s_ipo_lotteryrate_abc(H43,3)</f>
        <v>0</v>
      </c>
      <c r="BB43" s="27"/>
    </row>
    <row r="44" spans="1:54" s="26" customFormat="1" ht="16.5" x14ac:dyDescent="0.15">
      <c r="A44" s="5"/>
      <c r="B44" s="5"/>
      <c r="C44" s="5"/>
      <c r="D44" s="5"/>
      <c r="E44" s="5"/>
      <c r="F44" s="13"/>
      <c r="G44" s="7"/>
      <c r="H44" s="73" t="s">
        <v>240</v>
      </c>
      <c r="I44" s="36" t="s">
        <v>241</v>
      </c>
      <c r="J44" s="75">
        <v>44692</v>
      </c>
      <c r="K44" s="75">
        <v>44694</v>
      </c>
      <c r="L44" s="75">
        <v>44705</v>
      </c>
      <c r="M44" s="36" t="s">
        <v>110</v>
      </c>
      <c r="N44" s="77">
        <v>22.92</v>
      </c>
      <c r="O44" s="77">
        <v>30.06</v>
      </c>
      <c r="P44" s="77"/>
      <c r="Q44" s="77">
        <v>2000</v>
      </c>
      <c r="R44" s="36"/>
      <c r="S44" s="36"/>
      <c r="T44" s="37"/>
      <c r="U44" s="77"/>
      <c r="V44" s="36"/>
      <c r="W44" s="36"/>
      <c r="X44" s="37"/>
      <c r="Y44" s="77"/>
      <c r="Z44" s="77"/>
      <c r="AA44" s="77"/>
      <c r="AB44" s="36" t="s">
        <v>148</v>
      </c>
      <c r="AC44" s="36" t="s">
        <v>242</v>
      </c>
      <c r="AD44" s="75">
        <v>44693</v>
      </c>
      <c r="AE44" s="75"/>
      <c r="AF44" s="75"/>
      <c r="AG44" s="77">
        <v>26637.3488454</v>
      </c>
      <c r="AH44" s="36"/>
      <c r="AI44" s="36" t="s">
        <v>243</v>
      </c>
      <c r="AJ44" s="36" t="s">
        <v>106</v>
      </c>
      <c r="AK44" s="36" t="s">
        <v>113</v>
      </c>
      <c r="AL44" s="49">
        <f>[1]!s_ipo_inq_anncedate(H44)</f>
        <v>0</v>
      </c>
      <c r="AM44" s="50">
        <f>[1]!s_ipo_inq_startdate(H44)</f>
        <v>0</v>
      </c>
      <c r="AN44" s="50">
        <f>[1]!s_ipo_inq_enddate(H44)</f>
        <v>0</v>
      </c>
      <c r="AO44" s="50">
        <f>[1]!s_ipo_inqresultdate(H44)</f>
        <v>0</v>
      </c>
      <c r="AP44" s="50">
        <f>[1]!s_ipo_op_enddate(H44)</f>
        <v>0</v>
      </c>
      <c r="AQ44" s="50" t="str">
        <f>[1]!s_ipo_cappaydate(H44)</f>
        <v>2022-05-17</v>
      </c>
      <c r="AR44" s="51">
        <f>[1]!s_ipo_placingdate(H44)</f>
        <v>0</v>
      </c>
      <c r="AS44" s="58">
        <f>[1]!s_ipo_vsprice_max(H44)</f>
        <v>0</v>
      </c>
      <c r="AT44" s="59">
        <f>[1]!s_ipo_vsprice_min(H44)</f>
        <v>0</v>
      </c>
      <c r="AU44" s="59">
        <f>[1]!s_ipo_vsshares(H44,100000000)</f>
        <v>0</v>
      </c>
      <c r="AV44" s="59">
        <f>[1]!s_ipo_vssharespct(H44)</f>
        <v>0</v>
      </c>
      <c r="AW44" s="59">
        <f>[1]!s_ipo_invsshares_a(H44,100000000)</f>
        <v>0</v>
      </c>
      <c r="AX44" s="60">
        <f>[1]!s_ipo_invssharespct_a(H44)</f>
        <v>0</v>
      </c>
      <c r="AY44" s="65">
        <f>[1]!s_ipo_lotteryrate_abc(H44,1)</f>
        <v>0</v>
      </c>
      <c r="AZ44" s="66">
        <f>[1]!s_ipo_lotteryrate_abc(H44,2)</f>
        <v>0</v>
      </c>
      <c r="BA44" s="67">
        <f>[1]!s_ipo_lotteryrate_abc(H44,3)</f>
        <v>0</v>
      </c>
      <c r="BB44" s="27"/>
    </row>
    <row r="45" spans="1:54" s="26" customFormat="1" ht="16.5" x14ac:dyDescent="0.15">
      <c r="A45" s="5"/>
      <c r="B45" s="5"/>
      <c r="C45" s="5"/>
      <c r="D45" s="5"/>
      <c r="E45" s="5"/>
      <c r="F45" s="13"/>
      <c r="G45" s="7"/>
      <c r="H45" s="73" t="s">
        <v>244</v>
      </c>
      <c r="I45" s="36" t="s">
        <v>245</v>
      </c>
      <c r="J45" s="75">
        <v>44679</v>
      </c>
      <c r="K45" s="75">
        <v>44692</v>
      </c>
      <c r="L45" s="75">
        <v>44701</v>
      </c>
      <c r="M45" s="36" t="s">
        <v>136</v>
      </c>
      <c r="N45" s="77">
        <v>31.51</v>
      </c>
      <c r="O45" s="77">
        <v>105.65</v>
      </c>
      <c r="P45" s="77">
        <v>3040.75</v>
      </c>
      <c r="Q45" s="77">
        <v>960.25</v>
      </c>
      <c r="R45" s="36">
        <v>255</v>
      </c>
      <c r="S45" s="36">
        <v>6481</v>
      </c>
      <c r="T45" s="37">
        <v>6527550</v>
      </c>
      <c r="U45" s="77">
        <v>2913.3694851710516</v>
      </c>
      <c r="V45" s="36">
        <v>1804</v>
      </c>
      <c r="W45" s="36">
        <v>49</v>
      </c>
      <c r="X45" s="37">
        <v>1804</v>
      </c>
      <c r="Y45" s="77">
        <v>0.10811691</v>
      </c>
      <c r="Z45" s="77">
        <v>924.92470000000003</v>
      </c>
      <c r="AA45" s="77">
        <v>20</v>
      </c>
      <c r="AB45" s="36" t="s">
        <v>117</v>
      </c>
      <c r="AC45" s="36" t="s">
        <v>104</v>
      </c>
      <c r="AD45" s="75">
        <v>44691</v>
      </c>
      <c r="AE45" s="75">
        <v>44692</v>
      </c>
      <c r="AF45" s="75">
        <v>44692</v>
      </c>
      <c r="AG45" s="77">
        <v>7079.2042332000001</v>
      </c>
      <c r="AH45" s="36"/>
      <c r="AI45" s="36" t="s">
        <v>126</v>
      </c>
      <c r="AJ45" s="36" t="s">
        <v>120</v>
      </c>
      <c r="AK45" s="36" t="s">
        <v>127</v>
      </c>
      <c r="AL45" s="49" t="str">
        <f>[1]!s_ipo_inq_anncedate(H45)</f>
        <v>2022-04-28</v>
      </c>
      <c r="AM45" s="50" t="str">
        <f>[1]!s_ipo_inq_startdate(H45)</f>
        <v>2022-05-06</v>
      </c>
      <c r="AN45" s="50" t="str">
        <f>[1]!s_ipo_inq_enddate(H45)</f>
        <v>2022-05-06</v>
      </c>
      <c r="AO45" s="50" t="str">
        <f>[1]!s_ipo_inqresultdate(H45)</f>
        <v>2022-05-10</v>
      </c>
      <c r="AP45" s="50" t="str">
        <f>[1]!s_ipo_op_enddate(H45)</f>
        <v>2022-05-11</v>
      </c>
      <c r="AQ45" s="50" t="str">
        <f>[1]!s_ipo_cappaydate(H45)</f>
        <v>2022-05-13</v>
      </c>
      <c r="AR45" s="51" t="str">
        <f>[1]!s_ipo_placingdate(H45)</f>
        <v>2022-05-17</v>
      </c>
      <c r="AS45" s="58">
        <f>[1]!s_ipo_vsprice_max(H45)</f>
        <v>43.12</v>
      </c>
      <c r="AT45" s="59">
        <f>[1]!s_ipo_vsprice_min(H45)</f>
        <v>31.51</v>
      </c>
      <c r="AU45" s="59">
        <f>[1]!s_ipo_vsshares(H45,100000000)</f>
        <v>207.23400000000001</v>
      </c>
      <c r="AV45" s="59">
        <f>[1]!s_ipo_vssharespct(H45)</f>
        <v>31.747592894730797</v>
      </c>
      <c r="AW45" s="59">
        <f>[1]!s_ipo_invsshares_a(H45,100000000)</f>
        <v>6.5990000000000002</v>
      </c>
      <c r="AX45" s="60">
        <f>[1]!s_ipo_invssharespct_a(H45)</f>
        <v>1.0109459138574197</v>
      </c>
      <c r="AY45" s="65">
        <f>[1]!s_ipo_lotteryrate_abc(H45,1)</f>
        <v>0.10973513999999999</v>
      </c>
      <c r="AZ45" s="66">
        <f>[1]!s_ipo_lotteryrate_abc(H45,2)</f>
        <v>0.10925781</v>
      </c>
      <c r="BA45" s="67">
        <f>[1]!s_ipo_lotteryrate_abc(H45,3)</f>
        <v>0.10126350000000001</v>
      </c>
      <c r="BB45" s="27"/>
    </row>
    <row r="46" spans="1:54" s="26" customFormat="1" ht="16.5" x14ac:dyDescent="0.15">
      <c r="A46" s="5"/>
      <c r="B46" s="5"/>
      <c r="C46" s="5"/>
      <c r="D46" s="5"/>
      <c r="E46" s="5"/>
      <c r="F46" s="13"/>
      <c r="G46" s="7"/>
      <c r="H46" s="73" t="s">
        <v>246</v>
      </c>
      <c r="I46" s="36" t="s">
        <v>247</v>
      </c>
      <c r="J46" s="75">
        <v>44688</v>
      </c>
      <c r="K46" s="75">
        <v>44692</v>
      </c>
      <c r="L46" s="75">
        <v>44708</v>
      </c>
      <c r="M46" s="36" t="s">
        <v>163</v>
      </c>
      <c r="N46" s="77">
        <v>15.21</v>
      </c>
      <c r="O46" s="77">
        <v>21.43</v>
      </c>
      <c r="P46" s="77">
        <v>140</v>
      </c>
      <c r="Q46" s="77">
        <v>560</v>
      </c>
      <c r="R46" s="36"/>
      <c r="S46" s="36"/>
      <c r="T46" s="37"/>
      <c r="U46" s="77"/>
      <c r="V46" s="36"/>
      <c r="W46" s="36"/>
      <c r="X46" s="37"/>
      <c r="Y46" s="77"/>
      <c r="Z46" s="77"/>
      <c r="AA46" s="77">
        <v>20</v>
      </c>
      <c r="AB46" s="36" t="s">
        <v>175</v>
      </c>
      <c r="AC46" s="36" t="s">
        <v>248</v>
      </c>
      <c r="AD46" s="75">
        <v>44690</v>
      </c>
      <c r="AE46" s="75"/>
      <c r="AF46" s="75"/>
      <c r="AG46" s="77">
        <v>171.29042658000003</v>
      </c>
      <c r="AH46" s="36"/>
      <c r="AI46" s="36" t="s">
        <v>249</v>
      </c>
      <c r="AJ46" s="36" t="s">
        <v>120</v>
      </c>
      <c r="AK46" s="36" t="s">
        <v>184</v>
      </c>
      <c r="AL46" s="49">
        <f>[1]!s_ipo_inq_anncedate(H46)</f>
        <v>0</v>
      </c>
      <c r="AM46" s="50">
        <f>[1]!s_ipo_inq_startdate(H46)</f>
        <v>0</v>
      </c>
      <c r="AN46" s="50">
        <f>[1]!s_ipo_inq_enddate(H46)</f>
        <v>0</v>
      </c>
      <c r="AO46" s="50">
        <f>[1]!s_ipo_inqresultdate(H46)</f>
        <v>0</v>
      </c>
      <c r="AP46" s="50">
        <f>[1]!s_ipo_op_enddate(H46)</f>
        <v>0</v>
      </c>
      <c r="AQ46" s="50" t="str">
        <f>[1]!s_ipo_cappaydate(H46)</f>
        <v>2022-05-11</v>
      </c>
      <c r="AR46" s="51">
        <f>[1]!s_ipo_placingdate(H46)</f>
        <v>0</v>
      </c>
      <c r="AS46" s="58">
        <f>[1]!s_ipo_vsprice_max(H46)</f>
        <v>0</v>
      </c>
      <c r="AT46" s="59">
        <f>[1]!s_ipo_vsprice_min(H46)</f>
        <v>0</v>
      </c>
      <c r="AU46" s="59">
        <f>[1]!s_ipo_vsshares(H46,100000000)</f>
        <v>0</v>
      </c>
      <c r="AV46" s="59">
        <f>[1]!s_ipo_vssharespct(H46)</f>
        <v>0</v>
      </c>
      <c r="AW46" s="59">
        <f>[1]!s_ipo_invsshares_a(H46,100000000)</f>
        <v>0</v>
      </c>
      <c r="AX46" s="60">
        <f>[1]!s_ipo_invssharespct_a(H46)</f>
        <v>0</v>
      </c>
      <c r="AY46" s="65">
        <f>[1]!s_ipo_lotteryrate_abc(H46,1)</f>
        <v>0</v>
      </c>
      <c r="AZ46" s="66">
        <f>[1]!s_ipo_lotteryrate_abc(H46,2)</f>
        <v>0</v>
      </c>
      <c r="BA46" s="67">
        <f>[1]!s_ipo_lotteryrate_abc(H46,3)</f>
        <v>0</v>
      </c>
      <c r="BB46" s="27"/>
    </row>
    <row r="47" spans="1:54" s="26" customFormat="1" ht="16.5" x14ac:dyDescent="0.15">
      <c r="A47" s="5"/>
      <c r="B47" s="5"/>
      <c r="C47" s="5"/>
      <c r="D47" s="5"/>
      <c r="E47" s="5"/>
      <c r="F47" s="13"/>
      <c r="G47" s="7"/>
      <c r="H47" s="73" t="s">
        <v>250</v>
      </c>
      <c r="I47" s="36" t="s">
        <v>251</v>
      </c>
      <c r="J47" s="75">
        <v>44678</v>
      </c>
      <c r="K47" s="75">
        <v>44691</v>
      </c>
      <c r="L47" s="75">
        <v>44701</v>
      </c>
      <c r="M47" s="36" t="s">
        <v>102</v>
      </c>
      <c r="N47" s="77">
        <v>13.64</v>
      </c>
      <c r="O47" s="77">
        <v>22.99</v>
      </c>
      <c r="P47" s="77">
        <v>258.97500000000002</v>
      </c>
      <c r="Q47" s="77">
        <v>2331.6999999999998</v>
      </c>
      <c r="R47" s="36">
        <v>2411</v>
      </c>
      <c r="S47" s="36">
        <v>11541</v>
      </c>
      <c r="T47" s="37">
        <v>4933370</v>
      </c>
      <c r="U47" s="77">
        <v>19049.599382179746</v>
      </c>
      <c r="V47" s="36">
        <v>11286</v>
      </c>
      <c r="W47" s="36">
        <v>2404</v>
      </c>
      <c r="X47" s="37">
        <v>11260</v>
      </c>
      <c r="Y47" s="77">
        <v>5.3802800000000003E-3</v>
      </c>
      <c r="Z47" s="77">
        <v>18586.388599999998</v>
      </c>
      <c r="AA47" s="77"/>
      <c r="AB47" s="36" t="s">
        <v>103</v>
      </c>
      <c r="AC47" s="36" t="s">
        <v>104</v>
      </c>
      <c r="AD47" s="75">
        <v>44690</v>
      </c>
      <c r="AE47" s="75">
        <v>44691</v>
      </c>
      <c r="AF47" s="75">
        <v>44691</v>
      </c>
      <c r="AG47" s="77">
        <v>9721.8232496000001</v>
      </c>
      <c r="AH47" s="36"/>
      <c r="AI47" s="36" t="s">
        <v>252</v>
      </c>
      <c r="AJ47" s="36" t="s">
        <v>106</v>
      </c>
      <c r="AK47" s="36" t="s">
        <v>107</v>
      </c>
      <c r="AL47" s="49" t="str">
        <f>[1]!s_ipo_inq_anncedate(H47)</f>
        <v>2022-04-27</v>
      </c>
      <c r="AM47" s="50" t="str">
        <f>[1]!s_ipo_inq_startdate(H47)</f>
        <v>2022-04-29</v>
      </c>
      <c r="AN47" s="50" t="str">
        <f>[1]!s_ipo_inq_enddate(H47)</f>
        <v>2022-04-29</v>
      </c>
      <c r="AO47" s="50" t="str">
        <f>[1]!s_ipo_inqresultdate(H47)</f>
        <v>2022-05-09</v>
      </c>
      <c r="AP47" s="50" t="str">
        <f>[1]!s_ipo_op_enddate(H47)</f>
        <v>2022-05-10</v>
      </c>
      <c r="AQ47" s="50" t="str">
        <f>[1]!s_ipo_cappaydate(H47)</f>
        <v>2022-05-12</v>
      </c>
      <c r="AR47" s="51" t="str">
        <f>[1]!s_ipo_placingdate(H47)</f>
        <v>2022-05-16</v>
      </c>
      <c r="AS47" s="58">
        <f>[1]!s_ipo_vsprice_max(H47)</f>
        <v>13.64</v>
      </c>
      <c r="AT47" s="59">
        <f>[1]!s_ipo_vsprice_min(H47)</f>
        <v>13.64</v>
      </c>
      <c r="AU47" s="59">
        <f>[1]!s_ipo_vsshares(H47,100000000)</f>
        <v>482.459</v>
      </c>
      <c r="AV47" s="59">
        <f>[1]!s_ipo_vssharespct(H47)</f>
        <v>97.795016388391716</v>
      </c>
      <c r="AW47" s="59">
        <f>[1]!s_ipo_invsshares_a(H47,100000000)</f>
        <v>10.706</v>
      </c>
      <c r="AX47" s="60">
        <f>[1]!s_ipo_invssharespct_a(H47)</f>
        <v>2.1701190058722535</v>
      </c>
      <c r="AY47" s="65">
        <f>[1]!s_ipo_lotteryrate_abc(H47,1)</f>
        <v>1.0305099999999999E-2</v>
      </c>
      <c r="AZ47" s="66">
        <f>[1]!s_ipo_lotteryrate_abc(H47,2)</f>
        <v>6.6976700000000002E-3</v>
      </c>
      <c r="BA47" s="67">
        <f>[1]!s_ipo_lotteryrate_abc(H47,3)</f>
        <v>2.6976299999999999E-3</v>
      </c>
      <c r="BB47" s="27"/>
    </row>
    <row r="48" spans="1:54" s="26" customFormat="1" ht="16.5" x14ac:dyDescent="0.15">
      <c r="A48" s="5"/>
      <c r="B48" s="5"/>
      <c r="C48" s="5"/>
      <c r="D48" s="5"/>
      <c r="E48" s="5"/>
      <c r="F48" s="13"/>
      <c r="G48" s="7"/>
      <c r="H48" s="73" t="s">
        <v>253</v>
      </c>
      <c r="I48" s="36" t="s">
        <v>254</v>
      </c>
      <c r="J48" s="75">
        <v>44677</v>
      </c>
      <c r="K48" s="75">
        <v>44690</v>
      </c>
      <c r="L48" s="75">
        <v>44701</v>
      </c>
      <c r="M48" s="36" t="s">
        <v>255</v>
      </c>
      <c r="N48" s="77">
        <v>9.4600000000000009</v>
      </c>
      <c r="O48" s="77">
        <v>19.95</v>
      </c>
      <c r="P48" s="77">
        <v>707</v>
      </c>
      <c r="Q48" s="77">
        <v>6363</v>
      </c>
      <c r="R48" s="36">
        <v>2735</v>
      </c>
      <c r="S48" s="36">
        <v>11273</v>
      </c>
      <c r="T48" s="37">
        <v>6735430</v>
      </c>
      <c r="U48" s="77">
        <v>9526.7751060820374</v>
      </c>
      <c r="V48" s="36">
        <v>10128</v>
      </c>
      <c r="W48" s="36">
        <v>2355</v>
      </c>
      <c r="X48" s="37">
        <v>10110</v>
      </c>
      <c r="Y48" s="77">
        <v>1.17085E-2</v>
      </c>
      <c r="Z48" s="77">
        <v>8540.8062000000009</v>
      </c>
      <c r="AA48" s="77"/>
      <c r="AB48" s="36" t="s">
        <v>202</v>
      </c>
      <c r="AC48" s="36" t="s">
        <v>256</v>
      </c>
      <c r="AD48" s="75">
        <v>44687</v>
      </c>
      <c r="AE48" s="75">
        <v>44690</v>
      </c>
      <c r="AF48" s="75">
        <v>44690</v>
      </c>
      <c r="AG48" s="77">
        <v>14393.416204200003</v>
      </c>
      <c r="AH48" s="36"/>
      <c r="AI48" s="36" t="s">
        <v>257</v>
      </c>
      <c r="AJ48" s="36" t="s">
        <v>120</v>
      </c>
      <c r="AK48" s="36" t="s">
        <v>121</v>
      </c>
      <c r="AL48" s="49" t="str">
        <f>[1]!s_ipo_inq_anncedate(H48)</f>
        <v>2022-04-26</v>
      </c>
      <c r="AM48" s="50" t="str">
        <f>[1]!s_ipo_inq_startdate(H48)</f>
        <v>2022-04-28</v>
      </c>
      <c r="AN48" s="50" t="str">
        <f>[1]!s_ipo_inq_enddate(H48)</f>
        <v>2022-04-28</v>
      </c>
      <c r="AO48" s="50" t="str">
        <f>[1]!s_ipo_inqresultdate(H48)</f>
        <v>2022-05-06</v>
      </c>
      <c r="AP48" s="50" t="str">
        <f>[1]!s_ipo_op_enddate(H48)</f>
        <v>2022-05-09</v>
      </c>
      <c r="AQ48" s="50" t="str">
        <f>[1]!s_ipo_cappaydate(H48)</f>
        <v>2022-05-11</v>
      </c>
      <c r="AR48" s="51" t="str">
        <f>[1]!s_ipo_placingdate(H48)</f>
        <v>2022-05-13</v>
      </c>
      <c r="AS48" s="58">
        <f>[1]!s_ipo_vsprice_max(H48)</f>
        <v>9.4600000000000009</v>
      </c>
      <c r="AT48" s="59">
        <f>[1]!s_ipo_vsprice_min(H48)</f>
        <v>9.4600000000000009</v>
      </c>
      <c r="AU48" s="59">
        <f>[1]!s_ipo_vsshares(H48,100000000)</f>
        <v>604.91499999999996</v>
      </c>
      <c r="AV48" s="59">
        <f>[1]!s_ipo_vssharespct(H48)</f>
        <v>89.810895518177759</v>
      </c>
      <c r="AW48" s="59">
        <f>[1]!s_ipo_invsshares_a(H48,100000000)</f>
        <v>0.24</v>
      </c>
      <c r="AX48" s="60">
        <f>[1]!s_ipo_invssharespct_a(H48)</f>
        <v>3.5632468899535738E-2</v>
      </c>
      <c r="AY48" s="65">
        <f>[1]!s_ipo_lotteryrate_abc(H48,1)</f>
        <v>1.9036000000000001E-2</v>
      </c>
      <c r="AZ48" s="66">
        <f>[1]!s_ipo_lotteryrate_abc(H48,2)</f>
        <v>9.5666699999999993E-3</v>
      </c>
      <c r="BA48" s="67">
        <f>[1]!s_ipo_lotteryrate_abc(H48,3)</f>
        <v>8.0000000000000002E-3</v>
      </c>
      <c r="BB48" s="27"/>
    </row>
    <row r="49" spans="1:54" s="26" customFormat="1" ht="16.5" x14ac:dyDescent="0.15">
      <c r="A49" s="5"/>
      <c r="B49" s="5"/>
      <c r="C49" s="5"/>
      <c r="D49" s="5"/>
      <c r="E49" s="5"/>
      <c r="F49" s="13"/>
      <c r="G49" s="7"/>
      <c r="H49" s="73" t="s">
        <v>258</v>
      </c>
      <c r="I49" s="36" t="s">
        <v>259</v>
      </c>
      <c r="J49" s="75">
        <v>44687</v>
      </c>
      <c r="K49" s="75">
        <v>44691</v>
      </c>
      <c r="L49" s="75">
        <v>44705</v>
      </c>
      <c r="M49" s="36" t="s">
        <v>187</v>
      </c>
      <c r="N49" s="77">
        <v>12.5</v>
      </c>
      <c r="O49" s="77">
        <v>24.59</v>
      </c>
      <c r="P49" s="77">
        <v>172</v>
      </c>
      <c r="Q49" s="77">
        <v>688</v>
      </c>
      <c r="R49" s="36"/>
      <c r="S49" s="36"/>
      <c r="T49" s="37"/>
      <c r="U49" s="77"/>
      <c r="V49" s="36"/>
      <c r="W49" s="36"/>
      <c r="X49" s="37"/>
      <c r="Y49" s="77"/>
      <c r="Z49" s="77"/>
      <c r="AA49" s="77">
        <v>20.000000000000004</v>
      </c>
      <c r="AB49" s="36" t="s">
        <v>175</v>
      </c>
      <c r="AC49" s="36" t="s">
        <v>104</v>
      </c>
      <c r="AD49" s="75">
        <v>44687</v>
      </c>
      <c r="AE49" s="75"/>
      <c r="AF49" s="75"/>
      <c r="AG49" s="77">
        <v>214.2162625</v>
      </c>
      <c r="AH49" s="36"/>
      <c r="AI49" s="36" t="s">
        <v>207</v>
      </c>
      <c r="AJ49" s="36" t="s">
        <v>106</v>
      </c>
      <c r="AK49" s="36" t="s">
        <v>184</v>
      </c>
      <c r="AL49" s="49">
        <f>[1]!s_ipo_inq_anncedate(H49)</f>
        <v>0</v>
      </c>
      <c r="AM49" s="50">
        <f>[1]!s_ipo_inq_startdate(H49)</f>
        <v>0</v>
      </c>
      <c r="AN49" s="50">
        <f>[1]!s_ipo_inq_enddate(H49)</f>
        <v>0</v>
      </c>
      <c r="AO49" s="50">
        <f>[1]!s_ipo_inqresultdate(H49)</f>
        <v>0</v>
      </c>
      <c r="AP49" s="50">
        <f>[1]!s_ipo_op_enddate(H49)</f>
        <v>0</v>
      </c>
      <c r="AQ49" s="50" t="str">
        <f>[1]!s_ipo_cappaydate(H49)</f>
        <v>2022-05-10</v>
      </c>
      <c r="AR49" s="51">
        <f>[1]!s_ipo_placingdate(H49)</f>
        <v>0</v>
      </c>
      <c r="AS49" s="58">
        <f>[1]!s_ipo_vsprice_max(H49)</f>
        <v>0</v>
      </c>
      <c r="AT49" s="59">
        <f>[1]!s_ipo_vsprice_min(H49)</f>
        <v>0</v>
      </c>
      <c r="AU49" s="59">
        <f>[1]!s_ipo_vsshares(H49,100000000)</f>
        <v>0</v>
      </c>
      <c r="AV49" s="59">
        <f>[1]!s_ipo_vssharespct(H49)</f>
        <v>0</v>
      </c>
      <c r="AW49" s="59">
        <f>[1]!s_ipo_invsshares_a(H49,100000000)</f>
        <v>0</v>
      </c>
      <c r="AX49" s="60">
        <f>[1]!s_ipo_invssharespct_a(H49)</f>
        <v>0</v>
      </c>
      <c r="AY49" s="65">
        <f>[1]!s_ipo_lotteryrate_abc(H49,1)</f>
        <v>0</v>
      </c>
      <c r="AZ49" s="66">
        <f>[1]!s_ipo_lotteryrate_abc(H49,2)</f>
        <v>0</v>
      </c>
      <c r="BA49" s="67">
        <f>[1]!s_ipo_lotteryrate_abc(H49,3)</f>
        <v>0</v>
      </c>
      <c r="BB49" s="27"/>
    </row>
    <row r="50" spans="1:54" s="26" customFormat="1" ht="16.5" x14ac:dyDescent="0.15">
      <c r="A50" s="5"/>
      <c r="B50" s="5"/>
      <c r="C50" s="5"/>
      <c r="D50" s="5"/>
      <c r="E50" s="5"/>
      <c r="F50" s="13"/>
      <c r="G50" s="7"/>
      <c r="H50" s="73" t="s">
        <v>260</v>
      </c>
      <c r="I50" s="36" t="s">
        <v>261</v>
      </c>
      <c r="J50" s="75">
        <v>44680</v>
      </c>
      <c r="K50" s="75">
        <v>44687</v>
      </c>
      <c r="L50" s="75">
        <v>44698</v>
      </c>
      <c r="M50" s="36" t="s">
        <v>110</v>
      </c>
      <c r="N50" s="77">
        <v>46.8</v>
      </c>
      <c r="O50" s="77">
        <v>48.75</v>
      </c>
      <c r="P50" s="77"/>
      <c r="Q50" s="77">
        <v>1500</v>
      </c>
      <c r="R50" s="36"/>
      <c r="S50" s="36"/>
      <c r="T50" s="37"/>
      <c r="U50" s="77"/>
      <c r="V50" s="36"/>
      <c r="W50" s="36"/>
      <c r="X50" s="37"/>
      <c r="Y50" s="77"/>
      <c r="Z50" s="77"/>
      <c r="AA50" s="77"/>
      <c r="AB50" s="36" t="s">
        <v>148</v>
      </c>
      <c r="AC50" s="36" t="s">
        <v>206</v>
      </c>
      <c r="AD50" s="75">
        <v>44686</v>
      </c>
      <c r="AE50" s="75"/>
      <c r="AF50" s="75"/>
      <c r="AG50" s="77">
        <v>41200.624061999995</v>
      </c>
      <c r="AH50" s="36"/>
      <c r="AI50" s="36" t="s">
        <v>262</v>
      </c>
      <c r="AJ50" s="36" t="s">
        <v>106</v>
      </c>
      <c r="AK50" s="36" t="s">
        <v>113</v>
      </c>
      <c r="AL50" s="49">
        <f>[1]!s_ipo_inq_anncedate(H50)</f>
        <v>0</v>
      </c>
      <c r="AM50" s="50">
        <f>[1]!s_ipo_inq_startdate(H50)</f>
        <v>0</v>
      </c>
      <c r="AN50" s="50">
        <f>[1]!s_ipo_inq_enddate(H50)</f>
        <v>0</v>
      </c>
      <c r="AO50" s="50">
        <f>[1]!s_ipo_inqresultdate(H50)</f>
        <v>0</v>
      </c>
      <c r="AP50" s="50">
        <f>[1]!s_ipo_op_enddate(H50)</f>
        <v>0</v>
      </c>
      <c r="AQ50" s="50" t="str">
        <f>[1]!s_ipo_cappaydate(H50)</f>
        <v>2022-05-10</v>
      </c>
      <c r="AR50" s="51">
        <f>[1]!s_ipo_placingdate(H50)</f>
        <v>0</v>
      </c>
      <c r="AS50" s="58">
        <f>[1]!s_ipo_vsprice_max(H50)</f>
        <v>0</v>
      </c>
      <c r="AT50" s="59">
        <f>[1]!s_ipo_vsprice_min(H50)</f>
        <v>0</v>
      </c>
      <c r="AU50" s="59">
        <f>[1]!s_ipo_vsshares(H50,100000000)</f>
        <v>0</v>
      </c>
      <c r="AV50" s="59">
        <f>[1]!s_ipo_vssharespct(H50)</f>
        <v>0</v>
      </c>
      <c r="AW50" s="59">
        <f>[1]!s_ipo_invsshares_a(H50,100000000)</f>
        <v>0</v>
      </c>
      <c r="AX50" s="60">
        <f>[1]!s_ipo_invssharespct_a(H50)</f>
        <v>0</v>
      </c>
      <c r="AY50" s="65">
        <f>[1]!s_ipo_lotteryrate_abc(H50,1)</f>
        <v>0</v>
      </c>
      <c r="AZ50" s="66">
        <f>[1]!s_ipo_lotteryrate_abc(H50,2)</f>
        <v>0</v>
      </c>
      <c r="BA50" s="67">
        <f>[1]!s_ipo_lotteryrate_abc(H50,3)</f>
        <v>0</v>
      </c>
      <c r="BB50" s="27"/>
    </row>
    <row r="51" spans="1:54" s="26" customFormat="1" ht="16.5" x14ac:dyDescent="0.15">
      <c r="A51" s="5"/>
      <c r="B51" s="5"/>
      <c r="C51" s="5"/>
      <c r="D51" s="5"/>
      <c r="E51" s="5"/>
      <c r="F51" s="13"/>
      <c r="G51" s="7"/>
      <c r="H51" s="73" t="s">
        <v>263</v>
      </c>
      <c r="I51" s="36" t="s">
        <v>264</v>
      </c>
      <c r="J51" s="75">
        <v>44676</v>
      </c>
      <c r="K51" s="75">
        <v>44687</v>
      </c>
      <c r="L51" s="75">
        <v>44699</v>
      </c>
      <c r="M51" s="36" t="s">
        <v>110</v>
      </c>
      <c r="N51" s="77">
        <v>33.68</v>
      </c>
      <c r="O51" s="77">
        <v>24.36</v>
      </c>
      <c r="P51" s="77">
        <v>1525.5</v>
      </c>
      <c r="Q51" s="77">
        <v>1174.5</v>
      </c>
      <c r="R51" s="36">
        <v>284</v>
      </c>
      <c r="S51" s="36">
        <v>6651</v>
      </c>
      <c r="T51" s="37">
        <v>4439000</v>
      </c>
      <c r="U51" s="77">
        <v>3535.6431700517724</v>
      </c>
      <c r="V51" s="36">
        <v>5580</v>
      </c>
      <c r="W51" s="36">
        <v>245</v>
      </c>
      <c r="X51" s="37">
        <v>5580</v>
      </c>
      <c r="Y51" s="77">
        <v>3.4617479999999999E-2</v>
      </c>
      <c r="Z51" s="77">
        <v>2888.7136999999998</v>
      </c>
      <c r="AA51" s="77">
        <v>10</v>
      </c>
      <c r="AB51" s="36" t="s">
        <v>117</v>
      </c>
      <c r="AC51" s="36" t="s">
        <v>265</v>
      </c>
      <c r="AD51" s="75">
        <v>44686</v>
      </c>
      <c r="AE51" s="75">
        <v>44687</v>
      </c>
      <c r="AF51" s="75">
        <v>44687</v>
      </c>
      <c r="AG51" s="77">
        <v>17238.174895600001</v>
      </c>
      <c r="AH51" s="36"/>
      <c r="AI51" s="36" t="s">
        <v>266</v>
      </c>
      <c r="AJ51" s="36" t="s">
        <v>106</v>
      </c>
      <c r="AK51" s="36" t="s">
        <v>113</v>
      </c>
      <c r="AL51" s="49" t="str">
        <f>[1]!s_ipo_inq_anncedate(H51)</f>
        <v>2022-04-25</v>
      </c>
      <c r="AM51" s="50" t="str">
        <f>[1]!s_ipo_inq_startdate(H51)</f>
        <v>2022-04-27</v>
      </c>
      <c r="AN51" s="50" t="str">
        <f>[1]!s_ipo_inq_enddate(H51)</f>
        <v>2022-04-27</v>
      </c>
      <c r="AO51" s="50" t="str">
        <f>[1]!s_ipo_inqresultdate(H51)</f>
        <v>2022-05-05</v>
      </c>
      <c r="AP51" s="50" t="str">
        <f>[1]!s_ipo_op_enddate(H51)</f>
        <v>2022-05-06</v>
      </c>
      <c r="AQ51" s="50" t="str">
        <f>[1]!s_ipo_cappaydate(H51)</f>
        <v>2022-05-10</v>
      </c>
      <c r="AR51" s="51" t="str">
        <f>[1]!s_ipo_placingdate(H51)</f>
        <v>2022-05-12</v>
      </c>
      <c r="AS51" s="58">
        <f>[1]!s_ipo_vsprice_max(H51)</f>
        <v>49.65</v>
      </c>
      <c r="AT51" s="59">
        <f>[1]!s_ipo_vsprice_min(H51)</f>
        <v>34.47</v>
      </c>
      <c r="AU51" s="59">
        <f>[1]!s_ipo_vsshares(H51,100000000)</f>
        <v>362.678</v>
      </c>
      <c r="AV51" s="59">
        <f>[1]!s_ipo_vssharespct(H51)</f>
        <v>81.702635728767731</v>
      </c>
      <c r="AW51" s="59">
        <f>[1]!s_ipo_invsshares_a(H51,100000000)</f>
        <v>4.4489999999999998</v>
      </c>
      <c r="AX51" s="60">
        <f>[1]!s_ipo_invssharespct_a(H51)</f>
        <v>1.0022527596305473</v>
      </c>
      <c r="AY51" s="65">
        <f>[1]!s_ipo_lotteryrate_abc(H51,1)</f>
        <v>4.9669320000000003E-2</v>
      </c>
      <c r="AZ51" s="66">
        <f>[1]!s_ipo_lotteryrate_abc(H51,2)</f>
        <v>4.0208170000000001E-2</v>
      </c>
      <c r="BA51" s="67">
        <f>[1]!s_ipo_lotteryrate_abc(H51,3)</f>
        <v>2.0103159999999998E-2</v>
      </c>
      <c r="BB51" s="27"/>
    </row>
    <row r="52" spans="1:54" s="26" customFormat="1" ht="16.5" x14ac:dyDescent="0.15">
      <c r="A52" s="5"/>
      <c r="B52" s="5"/>
      <c r="C52" s="5"/>
      <c r="D52" s="5"/>
      <c r="E52" s="5"/>
      <c r="F52" s="13"/>
      <c r="G52" s="7"/>
      <c r="H52" s="73" t="s">
        <v>267</v>
      </c>
      <c r="I52" s="36" t="s">
        <v>268</v>
      </c>
      <c r="J52" s="75">
        <v>44679</v>
      </c>
      <c r="K52" s="75">
        <v>44686</v>
      </c>
      <c r="L52" s="75">
        <v>44699</v>
      </c>
      <c r="M52" s="36" t="s">
        <v>163</v>
      </c>
      <c r="N52" s="77">
        <v>10</v>
      </c>
      <c r="O52" s="77">
        <v>15.96</v>
      </c>
      <c r="P52" s="77">
        <v>300</v>
      </c>
      <c r="Q52" s="77">
        <v>1200</v>
      </c>
      <c r="R52" s="36"/>
      <c r="S52" s="36"/>
      <c r="T52" s="37"/>
      <c r="U52" s="77"/>
      <c r="V52" s="36"/>
      <c r="W52" s="36"/>
      <c r="X52" s="37"/>
      <c r="Y52" s="77"/>
      <c r="Z52" s="77"/>
      <c r="AA52" s="77">
        <v>20</v>
      </c>
      <c r="AB52" s="36" t="s">
        <v>164</v>
      </c>
      <c r="AC52" s="36" t="s">
        <v>248</v>
      </c>
      <c r="AD52" s="75">
        <v>44679</v>
      </c>
      <c r="AE52" s="75"/>
      <c r="AF52" s="75"/>
      <c r="AG52" s="77">
        <v>287.54642000000001</v>
      </c>
      <c r="AH52" s="36"/>
      <c r="AI52" s="36" t="s">
        <v>170</v>
      </c>
      <c r="AJ52" s="36" t="s">
        <v>120</v>
      </c>
      <c r="AK52" s="36" t="s">
        <v>184</v>
      </c>
      <c r="AL52" s="49">
        <f>[1]!s_ipo_inq_anncedate(H52)</f>
        <v>0</v>
      </c>
      <c r="AM52" s="50">
        <f>[1]!s_ipo_inq_startdate(H52)</f>
        <v>0</v>
      </c>
      <c r="AN52" s="50">
        <f>[1]!s_ipo_inq_enddate(H52)</f>
        <v>0</v>
      </c>
      <c r="AO52" s="50">
        <f>[1]!s_ipo_inqresultdate(H52)</f>
        <v>0</v>
      </c>
      <c r="AP52" s="50">
        <f>[1]!s_ipo_op_enddate(H52)</f>
        <v>0</v>
      </c>
      <c r="AQ52" s="50" t="str">
        <f>[1]!s_ipo_cappaydate(H52)</f>
        <v>2022-05-05</v>
      </c>
      <c r="AR52" s="51">
        <f>[1]!s_ipo_placingdate(H52)</f>
        <v>0</v>
      </c>
      <c r="AS52" s="58">
        <f>[1]!s_ipo_vsprice_max(H52)</f>
        <v>0</v>
      </c>
      <c r="AT52" s="59">
        <f>[1]!s_ipo_vsprice_min(H52)</f>
        <v>0</v>
      </c>
      <c r="AU52" s="59">
        <f>[1]!s_ipo_vsshares(H52,100000000)</f>
        <v>0</v>
      </c>
      <c r="AV52" s="59">
        <f>[1]!s_ipo_vssharespct(H52)</f>
        <v>0</v>
      </c>
      <c r="AW52" s="59">
        <f>[1]!s_ipo_invsshares_a(H52,100000000)</f>
        <v>0</v>
      </c>
      <c r="AX52" s="60">
        <f>[1]!s_ipo_invssharespct_a(H52)</f>
        <v>0</v>
      </c>
      <c r="AY52" s="65">
        <f>[1]!s_ipo_lotteryrate_abc(H52,1)</f>
        <v>0</v>
      </c>
      <c r="AZ52" s="66">
        <f>[1]!s_ipo_lotteryrate_abc(H52,2)</f>
        <v>0</v>
      </c>
      <c r="BA52" s="67">
        <f>[1]!s_ipo_lotteryrate_abc(H52,3)</f>
        <v>0</v>
      </c>
      <c r="BB52" s="27"/>
    </row>
    <row r="53" spans="1:54" s="26" customFormat="1" ht="16.5" x14ac:dyDescent="0.15">
      <c r="A53" s="5"/>
      <c r="B53" s="5"/>
      <c r="C53" s="5"/>
      <c r="D53" s="5"/>
      <c r="E53" s="5"/>
      <c r="F53" s="13"/>
      <c r="G53" s="7"/>
      <c r="H53" s="73" t="s">
        <v>269</v>
      </c>
      <c r="I53" s="36" t="s">
        <v>270</v>
      </c>
      <c r="J53" s="75">
        <v>44671</v>
      </c>
      <c r="K53" s="75">
        <v>44679</v>
      </c>
      <c r="L53" s="75">
        <v>44693</v>
      </c>
      <c r="M53" s="36" t="s">
        <v>271</v>
      </c>
      <c r="N53" s="77">
        <v>8.5299999999999994</v>
      </c>
      <c r="O53" s="77">
        <v>22.97</v>
      </c>
      <c r="P53" s="77">
        <v>400</v>
      </c>
      <c r="Q53" s="77">
        <v>3600</v>
      </c>
      <c r="R53" s="36">
        <v>2443</v>
      </c>
      <c r="S53" s="36">
        <v>12589</v>
      </c>
      <c r="T53" s="37">
        <v>8751120</v>
      </c>
      <c r="U53" s="77">
        <v>21877.8</v>
      </c>
      <c r="V53" s="36">
        <v>12581</v>
      </c>
      <c r="W53" s="36">
        <v>2435</v>
      </c>
      <c r="X53" s="37">
        <v>12562</v>
      </c>
      <c r="Y53" s="77">
        <v>4.5807399999999998E-3</v>
      </c>
      <c r="Z53" s="77">
        <v>21830.55</v>
      </c>
      <c r="AA53" s="77"/>
      <c r="AB53" s="36" t="s">
        <v>103</v>
      </c>
      <c r="AC53" s="36" t="s">
        <v>272</v>
      </c>
      <c r="AD53" s="75">
        <v>44678</v>
      </c>
      <c r="AE53" s="75">
        <v>44679</v>
      </c>
      <c r="AF53" s="75">
        <v>44679</v>
      </c>
      <c r="AG53" s="77">
        <v>7663.3251305000003</v>
      </c>
      <c r="AH53" s="36"/>
      <c r="AI53" s="36" t="s">
        <v>273</v>
      </c>
      <c r="AJ53" s="36" t="s">
        <v>120</v>
      </c>
      <c r="AK53" s="36" t="s">
        <v>127</v>
      </c>
      <c r="AL53" s="49" t="str">
        <f>[1]!s_ipo_inq_anncedate(H53)</f>
        <v>2022-04-20</v>
      </c>
      <c r="AM53" s="50" t="str">
        <f>[1]!s_ipo_inq_startdate(H53)</f>
        <v>2022-04-22</v>
      </c>
      <c r="AN53" s="50" t="str">
        <f>[1]!s_ipo_inq_enddate(H53)</f>
        <v>2022-04-22</v>
      </c>
      <c r="AO53" s="50" t="str">
        <f>[1]!s_ipo_inqresultdate(H53)</f>
        <v>2022-04-27</v>
      </c>
      <c r="AP53" s="50" t="str">
        <f>[1]!s_ipo_op_enddate(H53)</f>
        <v>2022-04-28</v>
      </c>
      <c r="AQ53" s="50" t="str">
        <f>[1]!s_ipo_cappaydate(H53)</f>
        <v>2022-05-05</v>
      </c>
      <c r="AR53" s="51" t="str">
        <f>[1]!s_ipo_placingdate(H53)</f>
        <v>2022-05-09</v>
      </c>
      <c r="AS53" s="58">
        <f>[1]!s_ipo_vsprice_max(H53)</f>
        <v>8.5299999999999994</v>
      </c>
      <c r="AT53" s="59">
        <f>[1]!s_ipo_vsprice_min(H53)</f>
        <v>8.5299999999999994</v>
      </c>
      <c r="AU53" s="59">
        <f>[1]!s_ipo_vsshares(H53,100000000)</f>
        <v>874.55200000000002</v>
      </c>
      <c r="AV53" s="59">
        <f>[1]!s_ipo_vssharespct(H53)</f>
        <v>99.936008190951554</v>
      </c>
      <c r="AW53" s="59">
        <f>[1]!s_ipo_invsshares_a(H53,100000000)</f>
        <v>0.28000000000000003</v>
      </c>
      <c r="AX53" s="60">
        <f>[1]!s_ipo_invssharespct_a(H53)</f>
        <v>3.1995904524220901E-2</v>
      </c>
      <c r="AY53" s="65">
        <f>[1]!s_ipo_lotteryrate_abc(H53,1)</f>
        <v>8.2431899999999992E-3</v>
      </c>
      <c r="AZ53" s="66">
        <f>[1]!s_ipo_lotteryrate_abc(H53,2)</f>
        <v>5.4857100000000004E-3</v>
      </c>
      <c r="BA53" s="67">
        <f>[1]!s_ipo_lotteryrate_abc(H53,3)</f>
        <v>2.3999799999999999E-3</v>
      </c>
      <c r="BB53" s="27"/>
    </row>
    <row r="54" spans="1:54" s="26" customFormat="1" ht="16.5" x14ac:dyDescent="0.15">
      <c r="A54" s="5"/>
      <c r="B54" s="5"/>
      <c r="C54" s="5"/>
      <c r="D54" s="5"/>
      <c r="E54" s="5"/>
      <c r="F54" s="13"/>
      <c r="G54" s="7"/>
      <c r="H54" s="73" t="s">
        <v>274</v>
      </c>
      <c r="I54" s="36" t="s">
        <v>275</v>
      </c>
      <c r="J54" s="75">
        <v>44669</v>
      </c>
      <c r="K54" s="75">
        <v>44677</v>
      </c>
      <c r="L54" s="75">
        <v>44693</v>
      </c>
      <c r="M54" s="36" t="s">
        <v>255</v>
      </c>
      <c r="N54" s="77">
        <v>14.89</v>
      </c>
      <c r="O54" s="77">
        <v>22.98</v>
      </c>
      <c r="P54" s="77">
        <v>353.5</v>
      </c>
      <c r="Q54" s="77">
        <v>3181.5</v>
      </c>
      <c r="R54" s="36">
        <v>2861</v>
      </c>
      <c r="S54" s="36">
        <v>11633</v>
      </c>
      <c r="T54" s="37">
        <v>4634800</v>
      </c>
      <c r="U54" s="77">
        <v>13111.173974540312</v>
      </c>
      <c r="V54" s="36">
        <v>11604</v>
      </c>
      <c r="W54" s="36">
        <v>2841</v>
      </c>
      <c r="X54" s="37">
        <v>11573</v>
      </c>
      <c r="Y54" s="77">
        <v>7.6667799999999998E-3</v>
      </c>
      <c r="Z54" s="77">
        <v>13043.281499999999</v>
      </c>
      <c r="AA54" s="77"/>
      <c r="AB54" s="36" t="s">
        <v>103</v>
      </c>
      <c r="AC54" s="36" t="s">
        <v>276</v>
      </c>
      <c r="AD54" s="75">
        <v>44676</v>
      </c>
      <c r="AE54" s="75">
        <v>44677</v>
      </c>
      <c r="AF54" s="75">
        <v>44677</v>
      </c>
      <c r="AG54" s="77">
        <v>14030.242466</v>
      </c>
      <c r="AH54" s="36"/>
      <c r="AI54" s="36" t="s">
        <v>176</v>
      </c>
      <c r="AJ54" s="36" t="s">
        <v>106</v>
      </c>
      <c r="AK54" s="36" t="s">
        <v>113</v>
      </c>
      <c r="AL54" s="49" t="str">
        <f>[1]!s_ipo_inq_anncedate(H54)</f>
        <v>2022-04-18</v>
      </c>
      <c r="AM54" s="50" t="str">
        <f>[1]!s_ipo_inq_startdate(H54)</f>
        <v>2022-04-20</v>
      </c>
      <c r="AN54" s="50" t="str">
        <f>[1]!s_ipo_inq_enddate(H54)</f>
        <v>2022-04-20</v>
      </c>
      <c r="AO54" s="50" t="str">
        <f>[1]!s_ipo_inqresultdate(H54)</f>
        <v>2022-04-25</v>
      </c>
      <c r="AP54" s="50" t="str">
        <f>[1]!s_ipo_op_enddate(H54)</f>
        <v>2022-04-26</v>
      </c>
      <c r="AQ54" s="50" t="str">
        <f>[1]!s_ipo_cappaydate(H54)</f>
        <v>2022-04-28</v>
      </c>
      <c r="AR54" s="51" t="str">
        <f>[1]!s_ipo_placingdate(H54)</f>
        <v>2022-05-05</v>
      </c>
      <c r="AS54" s="58">
        <f>[1]!s_ipo_vsprice_max(H54)</f>
        <v>14.89</v>
      </c>
      <c r="AT54" s="59">
        <f>[1]!s_ipo_vsprice_min(H54)</f>
        <v>14.89</v>
      </c>
      <c r="AU54" s="59">
        <f>[1]!s_ipo_vsshares(H54,100000000)</f>
        <v>462.32</v>
      </c>
      <c r="AV54" s="59">
        <f>[1]!s_ipo_vssharespct(H54)</f>
        <v>99.749719513247598</v>
      </c>
      <c r="AW54" s="59">
        <f>[1]!s_ipo_invsshares_a(H54,100000000)</f>
        <v>0.52</v>
      </c>
      <c r="AX54" s="60">
        <f>[1]!s_ipo_invssharespct_a(H54)</f>
        <v>0.11219470095797016</v>
      </c>
      <c r="AY54" s="65">
        <f>[1]!s_ipo_lotteryrate_abc(H54,1)</f>
        <v>1.3404350000000001E-2</v>
      </c>
      <c r="AZ54" s="66">
        <f>[1]!s_ipo_lotteryrate_abc(H54,2)</f>
        <v>6.0749999999999997E-3</v>
      </c>
      <c r="BA54" s="67">
        <f>[1]!s_ipo_lotteryrate_abc(H54,3)</f>
        <v>5.1499800000000002E-3</v>
      </c>
      <c r="BB54" s="27"/>
    </row>
    <row r="55" spans="1:54" s="26" customFormat="1" ht="16.5" x14ac:dyDescent="0.15">
      <c r="A55" s="5"/>
      <c r="B55" s="5"/>
      <c r="C55" s="5"/>
      <c r="D55" s="5"/>
      <c r="E55" s="5"/>
      <c r="F55" s="13"/>
      <c r="G55" s="7"/>
      <c r="H55" s="73" t="s">
        <v>277</v>
      </c>
      <c r="I55" s="36" t="s">
        <v>278</v>
      </c>
      <c r="J55" s="75">
        <v>44672</v>
      </c>
      <c r="K55" s="75">
        <v>44676</v>
      </c>
      <c r="L55" s="75">
        <v>44694</v>
      </c>
      <c r="M55" s="36" t="s">
        <v>163</v>
      </c>
      <c r="N55" s="77">
        <v>4.5999999999999996</v>
      </c>
      <c r="O55" s="77">
        <v>14.41</v>
      </c>
      <c r="P55" s="77">
        <v>400</v>
      </c>
      <c r="Q55" s="77">
        <v>1900</v>
      </c>
      <c r="R55" s="36"/>
      <c r="S55" s="36"/>
      <c r="T55" s="37"/>
      <c r="U55" s="77"/>
      <c r="V55" s="36"/>
      <c r="W55" s="36"/>
      <c r="X55" s="37"/>
      <c r="Y55" s="77"/>
      <c r="Z55" s="77"/>
      <c r="AA55" s="77">
        <v>17.391304347826086</v>
      </c>
      <c r="AB55" s="36" t="s">
        <v>175</v>
      </c>
      <c r="AC55" s="36" t="s">
        <v>279</v>
      </c>
      <c r="AD55" s="75">
        <v>44672</v>
      </c>
      <c r="AE55" s="75"/>
      <c r="AF55" s="75"/>
      <c r="AG55" s="77">
        <v>231.82699120000001</v>
      </c>
      <c r="AH55" s="36"/>
      <c r="AI55" s="36" t="s">
        <v>280</v>
      </c>
      <c r="AJ55" s="36" t="s">
        <v>106</v>
      </c>
      <c r="AK55" s="36" t="s">
        <v>166</v>
      </c>
      <c r="AL55" s="49">
        <f>[1]!s_ipo_inq_anncedate(H55)</f>
        <v>0</v>
      </c>
      <c r="AM55" s="50">
        <f>[1]!s_ipo_inq_startdate(H55)</f>
        <v>0</v>
      </c>
      <c r="AN55" s="50">
        <f>[1]!s_ipo_inq_enddate(H55)</f>
        <v>0</v>
      </c>
      <c r="AO55" s="50">
        <f>[1]!s_ipo_inqresultdate(H55)</f>
        <v>0</v>
      </c>
      <c r="AP55" s="50">
        <f>[1]!s_ipo_op_enddate(H55)</f>
        <v>0</v>
      </c>
      <c r="AQ55" s="50" t="str">
        <f>[1]!s_ipo_cappaydate(H55)</f>
        <v>2022-04-25</v>
      </c>
      <c r="AR55" s="51">
        <f>[1]!s_ipo_placingdate(H55)</f>
        <v>0</v>
      </c>
      <c r="AS55" s="58">
        <f>[1]!s_ipo_vsprice_max(H55)</f>
        <v>0</v>
      </c>
      <c r="AT55" s="59">
        <f>[1]!s_ipo_vsprice_min(H55)</f>
        <v>0</v>
      </c>
      <c r="AU55" s="59">
        <f>[1]!s_ipo_vsshares(H55,100000000)</f>
        <v>0</v>
      </c>
      <c r="AV55" s="59">
        <f>[1]!s_ipo_vssharespct(H55)</f>
        <v>0</v>
      </c>
      <c r="AW55" s="59">
        <f>[1]!s_ipo_invsshares_a(H55,100000000)</f>
        <v>0</v>
      </c>
      <c r="AX55" s="60">
        <f>[1]!s_ipo_invssharespct_a(H55)</f>
        <v>0</v>
      </c>
      <c r="AY55" s="65">
        <f>[1]!s_ipo_lotteryrate_abc(H55,1)</f>
        <v>0</v>
      </c>
      <c r="AZ55" s="66">
        <f>[1]!s_ipo_lotteryrate_abc(H55,2)</f>
        <v>0</v>
      </c>
      <c r="BA55" s="67">
        <f>[1]!s_ipo_lotteryrate_abc(H55,3)</f>
        <v>0</v>
      </c>
      <c r="BB55" s="27"/>
    </row>
    <row r="56" spans="1:54" s="26" customFormat="1" ht="16.5" x14ac:dyDescent="0.15">
      <c r="A56" s="5"/>
      <c r="B56" s="5"/>
      <c r="C56" s="5"/>
      <c r="D56" s="5"/>
      <c r="E56" s="5"/>
      <c r="F56" s="13"/>
      <c r="G56" s="7"/>
      <c r="H56" s="73" t="s">
        <v>281</v>
      </c>
      <c r="I56" s="36" t="s">
        <v>282</v>
      </c>
      <c r="J56" s="75">
        <v>44663</v>
      </c>
      <c r="K56" s="75">
        <v>44671</v>
      </c>
      <c r="L56" s="75">
        <v>44680</v>
      </c>
      <c r="M56" s="36" t="s">
        <v>136</v>
      </c>
      <c r="N56" s="77">
        <v>30.18</v>
      </c>
      <c r="O56" s="77">
        <v>38.86</v>
      </c>
      <c r="P56" s="77">
        <v>1705.4499999999998</v>
      </c>
      <c r="Q56" s="77">
        <v>878.55</v>
      </c>
      <c r="R56" s="36">
        <v>311</v>
      </c>
      <c r="S56" s="36">
        <v>8372</v>
      </c>
      <c r="T56" s="37">
        <v>5770020</v>
      </c>
      <c r="U56" s="77">
        <v>4378.3586902910047</v>
      </c>
      <c r="V56" s="36">
        <v>3574</v>
      </c>
      <c r="W56" s="36">
        <v>158</v>
      </c>
      <c r="X56" s="37">
        <v>3574</v>
      </c>
      <c r="Y56" s="77">
        <v>5.4405130000000003E-2</v>
      </c>
      <c r="Z56" s="77">
        <v>1838.0619999999999</v>
      </c>
      <c r="AA56" s="77">
        <v>15</v>
      </c>
      <c r="AB56" s="36" t="s">
        <v>117</v>
      </c>
      <c r="AC56" s="36" t="s">
        <v>104</v>
      </c>
      <c r="AD56" s="75">
        <v>44670</v>
      </c>
      <c r="AE56" s="75">
        <v>44671</v>
      </c>
      <c r="AF56" s="75">
        <v>44671</v>
      </c>
      <c r="AG56" s="77">
        <v>7265.3095661999996</v>
      </c>
      <c r="AH56" s="36"/>
      <c r="AI56" s="36" t="s">
        <v>221</v>
      </c>
      <c r="AJ56" s="36" t="s">
        <v>120</v>
      </c>
      <c r="AK56" s="36" t="s">
        <v>127</v>
      </c>
      <c r="AL56" s="49" t="str">
        <f>[1]!s_ipo_inq_anncedate(H56)</f>
        <v>2022-04-12</v>
      </c>
      <c r="AM56" s="50" t="str">
        <f>[1]!s_ipo_inq_startdate(H56)</f>
        <v>2022-04-15</v>
      </c>
      <c r="AN56" s="50" t="str">
        <f>[1]!s_ipo_inq_enddate(H56)</f>
        <v>2022-04-15</v>
      </c>
      <c r="AO56" s="50" t="str">
        <f>[1]!s_ipo_inqresultdate(H56)</f>
        <v>2022-04-19</v>
      </c>
      <c r="AP56" s="50" t="str">
        <f>[1]!s_ipo_op_enddate(H56)</f>
        <v>2022-04-20</v>
      </c>
      <c r="AQ56" s="50" t="str">
        <f>[1]!s_ipo_cappaydate(H56)</f>
        <v>2022-04-22</v>
      </c>
      <c r="AR56" s="51" t="str">
        <f>[1]!s_ipo_placingdate(H56)</f>
        <v>2022-04-26</v>
      </c>
      <c r="AS56" s="58">
        <f>[1]!s_ipo_vsprice_max(H56)</f>
        <v>44.7</v>
      </c>
      <c r="AT56" s="59">
        <f>[1]!s_ipo_vsprice_min(H56)</f>
        <v>30.22</v>
      </c>
      <c r="AU56" s="59">
        <f>[1]!s_ipo_vsshares(H56,100000000)</f>
        <v>242.28299999999999</v>
      </c>
      <c r="AV56" s="59">
        <f>[1]!s_ipo_vssharespct(H56)</f>
        <v>41.989975771314484</v>
      </c>
      <c r="AW56" s="59">
        <f>[1]!s_ipo_invsshares_a(H56,100000000)</f>
        <v>5.8019999999999996</v>
      </c>
      <c r="AX56" s="60">
        <f>[1]!s_ipo_invssharespct_a(H56)</f>
        <v>1.0055424417939627</v>
      </c>
      <c r="AY56" s="65">
        <f>[1]!s_ipo_lotteryrate_abc(H56,1)</f>
        <v>8.2342490000000004E-2</v>
      </c>
      <c r="AZ56" s="66">
        <f>[1]!s_ipo_lotteryrate_abc(H56,2)</f>
        <v>8.2158919999999996E-2</v>
      </c>
      <c r="BA56" s="67">
        <f>[1]!s_ipo_lotteryrate_abc(H56,3)</f>
        <v>3.0024599999999999E-2</v>
      </c>
      <c r="BB56" s="27"/>
    </row>
    <row r="57" spans="1:54" s="26" customFormat="1" ht="16.5" x14ac:dyDescent="0.15">
      <c r="A57" s="5"/>
      <c r="B57" s="5"/>
      <c r="C57" s="5"/>
      <c r="D57" s="5"/>
      <c r="E57" s="5"/>
      <c r="F57" s="13"/>
      <c r="G57" s="7"/>
      <c r="H57" s="73" t="s">
        <v>283</v>
      </c>
      <c r="I57" s="36" t="s">
        <v>284</v>
      </c>
      <c r="J57" s="75">
        <v>44663</v>
      </c>
      <c r="K57" s="75">
        <v>44671</v>
      </c>
      <c r="L57" s="75">
        <v>44680</v>
      </c>
      <c r="M57" s="36" t="s">
        <v>255</v>
      </c>
      <c r="N57" s="77">
        <v>30.46</v>
      </c>
      <c r="O57" s="77">
        <v>19.88</v>
      </c>
      <c r="P57" s="77">
        <v>259.7</v>
      </c>
      <c r="Q57" s="77">
        <v>2337.3000000000002</v>
      </c>
      <c r="R57" s="36">
        <v>2744</v>
      </c>
      <c r="S57" s="36">
        <v>11343</v>
      </c>
      <c r="T57" s="37">
        <v>2258340</v>
      </c>
      <c r="U57" s="77">
        <v>8695.9568733153646</v>
      </c>
      <c r="V57" s="36">
        <v>11320</v>
      </c>
      <c r="W57" s="36">
        <v>2729</v>
      </c>
      <c r="X57" s="37">
        <v>11260</v>
      </c>
      <c r="Y57" s="77">
        <v>1.158475E-2</v>
      </c>
      <c r="Z57" s="77">
        <v>8632.0370000000003</v>
      </c>
      <c r="AA57" s="77"/>
      <c r="AB57" s="36" t="s">
        <v>103</v>
      </c>
      <c r="AC57" s="36" t="s">
        <v>248</v>
      </c>
      <c r="AD57" s="75">
        <v>44670</v>
      </c>
      <c r="AE57" s="75">
        <v>44671</v>
      </c>
      <c r="AF57" s="75">
        <v>44671</v>
      </c>
      <c r="AG57" s="77">
        <v>26739.3513595</v>
      </c>
      <c r="AH57" s="36"/>
      <c r="AI57" s="36" t="s">
        <v>285</v>
      </c>
      <c r="AJ57" s="36" t="s">
        <v>106</v>
      </c>
      <c r="AK57" s="36" t="s">
        <v>113</v>
      </c>
      <c r="AL57" s="49" t="str">
        <f>[1]!s_ipo_inq_anncedate(H57)</f>
        <v>2022-04-12</v>
      </c>
      <c r="AM57" s="50" t="str">
        <f>[1]!s_ipo_inq_startdate(H57)</f>
        <v>2022-04-14</v>
      </c>
      <c r="AN57" s="50" t="str">
        <f>[1]!s_ipo_inq_enddate(H57)</f>
        <v>2022-04-14</v>
      </c>
      <c r="AO57" s="50" t="str">
        <f>[1]!s_ipo_inqresultdate(H57)</f>
        <v>2022-04-19</v>
      </c>
      <c r="AP57" s="50" t="str">
        <f>[1]!s_ipo_op_enddate(H57)</f>
        <v>2022-04-20</v>
      </c>
      <c r="AQ57" s="50" t="str">
        <f>[1]!s_ipo_cappaydate(H57)</f>
        <v>2022-04-22</v>
      </c>
      <c r="AR57" s="51" t="str">
        <f>[1]!s_ipo_placingdate(H57)</f>
        <v>2022-04-26</v>
      </c>
      <c r="AS57" s="58">
        <f>[1]!s_ipo_vsprice_max(H57)</f>
        <v>30.46</v>
      </c>
      <c r="AT57" s="59">
        <f>[1]!s_ipo_vsprice_min(H57)</f>
        <v>30.46</v>
      </c>
      <c r="AU57" s="59">
        <f>[1]!s_ipo_vsshares(H57,100000000)</f>
        <v>225.374</v>
      </c>
      <c r="AV57" s="59">
        <f>[1]!s_ipo_vssharespct(H57)</f>
        <v>99.796310564396862</v>
      </c>
      <c r="AW57" s="59">
        <f>[1]!s_ipo_invsshares_a(H57,100000000)</f>
        <v>0.22</v>
      </c>
      <c r="AX57" s="60">
        <f>[1]!s_ipo_invssharespct_a(H57)</f>
        <v>9.7416686592807111E-2</v>
      </c>
      <c r="AY57" s="65">
        <f>[1]!s_ipo_lotteryrate_abc(H57,1)</f>
        <v>1.9155459999999999E-2</v>
      </c>
      <c r="AZ57" s="66">
        <f>[1]!s_ipo_lotteryrate_abc(H57,2)</f>
        <v>8.3499999999999998E-3</v>
      </c>
      <c r="BA57" s="67">
        <f>[1]!s_ipo_lotteryrate_abc(H57,3)</f>
        <v>8.2000200000000006E-3</v>
      </c>
      <c r="BB57" s="27"/>
    </row>
    <row r="58" spans="1:54" s="26" customFormat="1" ht="16.5" x14ac:dyDescent="0.15">
      <c r="A58" s="5"/>
      <c r="B58" s="5"/>
      <c r="C58" s="5"/>
      <c r="D58" s="5"/>
      <c r="E58" s="5"/>
      <c r="F58" s="13"/>
      <c r="G58" s="7"/>
      <c r="H58" s="73" t="s">
        <v>286</v>
      </c>
      <c r="I58" s="36" t="s">
        <v>287</v>
      </c>
      <c r="J58" s="75">
        <v>44663</v>
      </c>
      <c r="K58" s="75">
        <v>44671</v>
      </c>
      <c r="L58" s="75">
        <v>44687</v>
      </c>
      <c r="M58" s="36" t="s">
        <v>102</v>
      </c>
      <c r="N58" s="77">
        <v>14.53</v>
      </c>
      <c r="O58" s="77">
        <v>22.99</v>
      </c>
      <c r="P58" s="77">
        <v>763</v>
      </c>
      <c r="Q58" s="77">
        <v>6867</v>
      </c>
      <c r="R58" s="36">
        <v>2390</v>
      </c>
      <c r="S58" s="36">
        <v>11791</v>
      </c>
      <c r="T58" s="37">
        <v>4691910</v>
      </c>
      <c r="U58" s="77">
        <v>6149.2922673656622</v>
      </c>
      <c r="V58" s="36">
        <v>11463</v>
      </c>
      <c r="W58" s="36">
        <v>2363</v>
      </c>
      <c r="X58" s="37">
        <v>11420</v>
      </c>
      <c r="Y58" s="77">
        <v>1.6789780000000001E-2</v>
      </c>
      <c r="Z58" s="77">
        <v>5956.0025999999998</v>
      </c>
      <c r="AA58" s="77"/>
      <c r="AB58" s="36" t="s">
        <v>103</v>
      </c>
      <c r="AC58" s="36" t="s">
        <v>288</v>
      </c>
      <c r="AD58" s="75">
        <v>44670</v>
      </c>
      <c r="AE58" s="75">
        <v>44671</v>
      </c>
      <c r="AF58" s="75">
        <v>44671</v>
      </c>
      <c r="AG58" s="77">
        <v>20490.9293034</v>
      </c>
      <c r="AH58" s="36"/>
      <c r="AI58" s="36" t="s">
        <v>289</v>
      </c>
      <c r="AJ58" s="36" t="s">
        <v>106</v>
      </c>
      <c r="AK58" s="36" t="s">
        <v>127</v>
      </c>
      <c r="AL58" s="49" t="str">
        <f>[1]!s_ipo_inq_anncedate(H58)</f>
        <v>2022-04-12</v>
      </c>
      <c r="AM58" s="50" t="str">
        <f>[1]!s_ipo_inq_startdate(H58)</f>
        <v>2022-04-15</v>
      </c>
      <c r="AN58" s="50" t="str">
        <f>[1]!s_ipo_inq_enddate(H58)</f>
        <v>2022-04-15</v>
      </c>
      <c r="AO58" s="50" t="str">
        <f>[1]!s_ipo_inqresultdate(H58)</f>
        <v>2022-04-19</v>
      </c>
      <c r="AP58" s="50" t="str">
        <f>[1]!s_ipo_op_enddate(H58)</f>
        <v>2022-04-20</v>
      </c>
      <c r="AQ58" s="50" t="str">
        <f>[1]!s_ipo_cappaydate(H58)</f>
        <v>2022-04-22</v>
      </c>
      <c r="AR58" s="51" t="str">
        <f>[1]!s_ipo_placingdate(H58)</f>
        <v>2022-04-26</v>
      </c>
      <c r="AS58" s="58">
        <f>[1]!s_ipo_vsprice_max(H58)</f>
        <v>14.53</v>
      </c>
      <c r="AT58" s="59">
        <f>[1]!s_ipo_vsprice_min(H58)</f>
        <v>14.53</v>
      </c>
      <c r="AU58" s="59">
        <f>[1]!s_ipo_vsshares(H58,100000000)</f>
        <v>456.16300000000001</v>
      </c>
      <c r="AV58" s="59">
        <f>[1]!s_ipo_vssharespct(H58)</f>
        <v>97.223305647380272</v>
      </c>
      <c r="AW58" s="59">
        <f>[1]!s_ipo_invsshares_a(H58,100000000)</f>
        <v>12.548</v>
      </c>
      <c r="AX58" s="60">
        <f>[1]!s_ipo_invssharespct_a(H58)</f>
        <v>2.674390599990196</v>
      </c>
      <c r="AY58" s="65">
        <f>[1]!s_ipo_lotteryrate_abc(H58,1)</f>
        <v>3.0250840000000001E-2</v>
      </c>
      <c r="AZ58" s="66">
        <f>[1]!s_ipo_lotteryrate_abc(H58,2)</f>
        <v>2.1825000000000001E-2</v>
      </c>
      <c r="BA58" s="67">
        <f>[1]!s_ipo_lotteryrate_abc(H58,3)</f>
        <v>8.4270999999999999E-3</v>
      </c>
      <c r="BB58" s="27"/>
    </row>
    <row r="59" spans="1:54" s="26" customFormat="1" ht="16.5" x14ac:dyDescent="0.15">
      <c r="A59" s="5"/>
      <c r="B59" s="5"/>
      <c r="C59" s="5"/>
      <c r="D59" s="5"/>
      <c r="E59" s="5"/>
      <c r="F59" s="13"/>
      <c r="G59" s="7"/>
      <c r="H59" s="73" t="s">
        <v>290</v>
      </c>
      <c r="I59" s="36" t="s">
        <v>291</v>
      </c>
      <c r="J59" s="75">
        <v>44662</v>
      </c>
      <c r="K59" s="75">
        <v>44670</v>
      </c>
      <c r="L59" s="75">
        <v>44679</v>
      </c>
      <c r="M59" s="36" t="s">
        <v>136</v>
      </c>
      <c r="N59" s="77">
        <v>23.66</v>
      </c>
      <c r="O59" s="77">
        <v>36.020000000000003</v>
      </c>
      <c r="P59" s="77">
        <v>2490.1999999999998</v>
      </c>
      <c r="Q59" s="77">
        <v>1285.8</v>
      </c>
      <c r="R59" s="36">
        <v>320</v>
      </c>
      <c r="S59" s="36">
        <v>8810</v>
      </c>
      <c r="T59" s="37">
        <v>8819590</v>
      </c>
      <c r="U59" s="77">
        <v>4537.9038838596598</v>
      </c>
      <c r="V59" s="36">
        <v>4846</v>
      </c>
      <c r="W59" s="36">
        <v>209</v>
      </c>
      <c r="X59" s="37">
        <v>4846</v>
      </c>
      <c r="Y59" s="77">
        <v>4.1250420000000003E-2</v>
      </c>
      <c r="Z59" s="77">
        <v>2424.2177000000001</v>
      </c>
      <c r="AA59" s="77">
        <v>14.477269597457626</v>
      </c>
      <c r="AB59" s="36" t="s">
        <v>117</v>
      </c>
      <c r="AC59" s="36" t="s">
        <v>292</v>
      </c>
      <c r="AD59" s="75">
        <v>44669</v>
      </c>
      <c r="AE59" s="75">
        <v>44670</v>
      </c>
      <c r="AF59" s="75">
        <v>44670</v>
      </c>
      <c r="AG59" s="77">
        <v>7711.5302991999997</v>
      </c>
      <c r="AH59" s="36"/>
      <c r="AI59" s="36" t="s">
        <v>273</v>
      </c>
      <c r="AJ59" s="36" t="s">
        <v>106</v>
      </c>
      <c r="AK59" s="36" t="s">
        <v>107</v>
      </c>
      <c r="AL59" s="49" t="str">
        <f>[1]!s_ipo_inq_anncedate(H59)</f>
        <v>2022-04-11</v>
      </c>
      <c r="AM59" s="50" t="str">
        <f>[1]!s_ipo_inq_startdate(H59)</f>
        <v>2022-04-14</v>
      </c>
      <c r="AN59" s="50" t="str">
        <f>[1]!s_ipo_inq_enddate(H59)</f>
        <v>2022-04-14</v>
      </c>
      <c r="AO59" s="50" t="str">
        <f>[1]!s_ipo_inqresultdate(H59)</f>
        <v>2022-04-18</v>
      </c>
      <c r="AP59" s="50" t="str">
        <f>[1]!s_ipo_op_enddate(H59)</f>
        <v>2022-04-19</v>
      </c>
      <c r="AQ59" s="50" t="str">
        <f>[1]!s_ipo_cappaydate(H59)</f>
        <v>2022-04-21</v>
      </c>
      <c r="AR59" s="51" t="str">
        <f>[1]!s_ipo_placingdate(H59)</f>
        <v>2022-04-25</v>
      </c>
      <c r="AS59" s="58">
        <f>[1]!s_ipo_vsprice_max(H59)</f>
        <v>30.59</v>
      </c>
      <c r="AT59" s="59">
        <f>[1]!s_ipo_vsprice_min(H59)</f>
        <v>23.66</v>
      </c>
      <c r="AU59" s="59">
        <f>[1]!s_ipo_vsshares(H59,100000000)</f>
        <v>471.15600000000001</v>
      </c>
      <c r="AV59" s="59">
        <f>[1]!s_ipo_vssharespct(H59)</f>
        <v>53.421530932843822</v>
      </c>
      <c r="AW59" s="59">
        <f>[1]!s_ipo_invsshares_a(H59,100000000)</f>
        <v>8.8729999999999993</v>
      </c>
      <c r="AX59" s="60">
        <f>[1]!s_ipo_invssharespct_a(H59)</f>
        <v>1.0060558370627206</v>
      </c>
      <c r="AY59" s="65">
        <f>[1]!s_ipo_lotteryrate_abc(H59,1)</f>
        <v>5.3999999999999999E-2</v>
      </c>
      <c r="AZ59" s="66">
        <f>[1]!s_ipo_lotteryrate_abc(H59,2)</f>
        <v>4.8782699999999998E-2</v>
      </c>
      <c r="BA59" s="67">
        <f>[1]!s_ipo_lotteryrate_abc(H59,3)</f>
        <v>2.6096029999999999E-2</v>
      </c>
      <c r="BB59" s="27"/>
    </row>
    <row r="60" spans="1:54" s="26" customFormat="1" ht="16.5" x14ac:dyDescent="0.15">
      <c r="A60" s="5"/>
      <c r="B60" s="5"/>
      <c r="C60" s="5"/>
      <c r="D60" s="5"/>
      <c r="E60" s="5"/>
      <c r="F60" s="13"/>
      <c r="G60" s="7"/>
      <c r="H60" s="73" t="s">
        <v>293</v>
      </c>
      <c r="I60" s="36" t="s">
        <v>294</v>
      </c>
      <c r="J60" s="75">
        <v>44662</v>
      </c>
      <c r="K60" s="75">
        <v>44670</v>
      </c>
      <c r="L60" s="75">
        <v>44680</v>
      </c>
      <c r="M60" s="36" t="s">
        <v>136</v>
      </c>
      <c r="N60" s="77">
        <v>33.89</v>
      </c>
      <c r="O60" s="77">
        <v>41.94</v>
      </c>
      <c r="P60" s="77">
        <v>1359.6</v>
      </c>
      <c r="Q60" s="77">
        <v>700.4</v>
      </c>
      <c r="R60" s="36">
        <v>313</v>
      </c>
      <c r="S60" s="36">
        <v>8290</v>
      </c>
      <c r="T60" s="37">
        <v>4667370</v>
      </c>
      <c r="U60" s="77">
        <v>4442.5756710451178</v>
      </c>
      <c r="V60" s="36">
        <v>4962</v>
      </c>
      <c r="W60" s="36">
        <v>197</v>
      </c>
      <c r="X60" s="37">
        <v>4962</v>
      </c>
      <c r="Y60" s="77">
        <v>3.820614E-2</v>
      </c>
      <c r="Z60" s="77">
        <v>2617.3805000000002</v>
      </c>
      <c r="AA60" s="77">
        <v>15</v>
      </c>
      <c r="AB60" s="36" t="s">
        <v>125</v>
      </c>
      <c r="AC60" s="36" t="s">
        <v>295</v>
      </c>
      <c r="AD60" s="75">
        <v>44669</v>
      </c>
      <c r="AE60" s="75">
        <v>44670</v>
      </c>
      <c r="AF60" s="75">
        <v>44670</v>
      </c>
      <c r="AG60" s="77">
        <v>6219.5632912000001</v>
      </c>
      <c r="AH60" s="36"/>
      <c r="AI60" s="36" t="s">
        <v>227</v>
      </c>
      <c r="AJ60" s="36" t="s">
        <v>106</v>
      </c>
      <c r="AK60" s="36" t="s">
        <v>107</v>
      </c>
      <c r="AL60" s="49" t="str">
        <f>[1]!s_ipo_inq_anncedate(H60)</f>
        <v>2022-04-11</v>
      </c>
      <c r="AM60" s="50" t="str">
        <f>[1]!s_ipo_inq_startdate(H60)</f>
        <v>2022-04-14</v>
      </c>
      <c r="AN60" s="50" t="str">
        <f>[1]!s_ipo_inq_enddate(H60)</f>
        <v>2022-04-14</v>
      </c>
      <c r="AO60" s="50" t="str">
        <f>[1]!s_ipo_inqresultdate(H60)</f>
        <v>2022-04-18</v>
      </c>
      <c r="AP60" s="50" t="str">
        <f>[1]!s_ipo_op_enddate(H60)</f>
        <v>2022-04-19</v>
      </c>
      <c r="AQ60" s="50" t="str">
        <f>[1]!s_ipo_cappaydate(H60)</f>
        <v>2022-04-21</v>
      </c>
      <c r="AR60" s="51" t="str">
        <f>[1]!s_ipo_placingdate(H60)</f>
        <v>2022-04-25</v>
      </c>
      <c r="AS60" s="58">
        <f>[1]!s_ipo_vsprice_max(H60)</f>
        <v>43.79</v>
      </c>
      <c r="AT60" s="59">
        <f>[1]!s_ipo_vsprice_min(H60)</f>
        <v>33.96</v>
      </c>
      <c r="AU60" s="59">
        <f>[1]!s_ipo_vsshares(H60,100000000)</f>
        <v>274.98200000000003</v>
      </c>
      <c r="AV60" s="59">
        <f>[1]!s_ipo_vssharespct(H60)</f>
        <v>58.915834827750956</v>
      </c>
      <c r="AW60" s="59">
        <f>[1]!s_ipo_invsshares_a(H60,100000000)</f>
        <v>4.68</v>
      </c>
      <c r="AX60" s="60">
        <f>[1]!s_ipo_invssharespct_a(H60)</f>
        <v>1.0027060207354463</v>
      </c>
      <c r="AY60" s="65">
        <f>[1]!s_ipo_lotteryrate_abc(H60,1)</f>
        <v>5.0666580000000003E-2</v>
      </c>
      <c r="AZ60" s="66">
        <f>[1]!s_ipo_lotteryrate_abc(H60,2)</f>
        <v>5.0650000000000001E-2</v>
      </c>
      <c r="BA60" s="67">
        <f>[1]!s_ipo_lotteryrate_abc(H60,3)</f>
        <v>2.4251000000000002E-2</v>
      </c>
      <c r="BB60" s="27"/>
    </row>
    <row r="61" spans="1:54" s="26" customFormat="1" ht="16.5" x14ac:dyDescent="0.15">
      <c r="A61" s="5"/>
      <c r="B61" s="5"/>
      <c r="C61" s="5"/>
      <c r="D61" s="5"/>
      <c r="E61" s="5"/>
      <c r="F61" s="13"/>
      <c r="G61" s="7"/>
      <c r="H61" s="73" t="s">
        <v>296</v>
      </c>
      <c r="I61" s="36" t="s">
        <v>297</v>
      </c>
      <c r="J61" s="75">
        <v>44638</v>
      </c>
      <c r="K61" s="75">
        <v>44669</v>
      </c>
      <c r="L61" s="75">
        <v>44679</v>
      </c>
      <c r="M61" s="36" t="s">
        <v>102</v>
      </c>
      <c r="N61" s="77">
        <v>11.86</v>
      </c>
      <c r="O61" s="77">
        <v>22.99</v>
      </c>
      <c r="P61" s="77">
        <v>832.88520000000005</v>
      </c>
      <c r="Q61" s="77">
        <v>7496.3</v>
      </c>
      <c r="R61" s="36">
        <v>2691</v>
      </c>
      <c r="S61" s="36">
        <v>12916</v>
      </c>
      <c r="T61" s="37">
        <v>7704760</v>
      </c>
      <c r="U61" s="77">
        <v>9250.6866492525023</v>
      </c>
      <c r="V61" s="36">
        <v>12900</v>
      </c>
      <c r="W61" s="36">
        <v>2676</v>
      </c>
      <c r="X61" s="37">
        <v>12837</v>
      </c>
      <c r="Y61" s="77">
        <v>1.087628E-2</v>
      </c>
      <c r="Z61" s="77">
        <v>9194.3163000000004</v>
      </c>
      <c r="AA61" s="77"/>
      <c r="AB61" s="36" t="s">
        <v>103</v>
      </c>
      <c r="AC61" s="36" t="s">
        <v>118</v>
      </c>
      <c r="AD61" s="75">
        <v>44666</v>
      </c>
      <c r="AE61" s="75">
        <v>44669</v>
      </c>
      <c r="AF61" s="75">
        <v>44669</v>
      </c>
      <c r="AG61" s="77">
        <v>17438.254103800002</v>
      </c>
      <c r="AH61" s="36"/>
      <c r="AI61" s="36" t="s">
        <v>273</v>
      </c>
      <c r="AJ61" s="36" t="s">
        <v>120</v>
      </c>
      <c r="AK61" s="36" t="s">
        <v>107</v>
      </c>
      <c r="AL61" s="49" t="str">
        <f>[1]!s_ipo_inq_anncedate(H61)</f>
        <v>2022-03-18</v>
      </c>
      <c r="AM61" s="50" t="str">
        <f>[1]!s_ipo_inq_startdate(H61)</f>
        <v>2022-03-22</v>
      </c>
      <c r="AN61" s="50" t="str">
        <f>[1]!s_ipo_inq_enddate(H61)</f>
        <v>2022-03-22</v>
      </c>
      <c r="AO61" s="50" t="str">
        <f>[1]!s_ipo_inqresultdate(H61)</f>
        <v>2022-03-25</v>
      </c>
      <c r="AP61" s="50" t="str">
        <f>[1]!s_ipo_op_enddate(H61)</f>
        <v>2022-04-18</v>
      </c>
      <c r="AQ61" s="50" t="str">
        <f>[1]!s_ipo_cappaydate(H61)</f>
        <v>2022-04-20</v>
      </c>
      <c r="AR61" s="51" t="str">
        <f>[1]!s_ipo_placingdate(H61)</f>
        <v>2022-04-22</v>
      </c>
      <c r="AS61" s="58">
        <f>[1]!s_ipo_vsprice_max(H61)</f>
        <v>11.86</v>
      </c>
      <c r="AT61" s="59">
        <f>[1]!s_ipo_vsprice_min(H61)</f>
        <v>11.86</v>
      </c>
      <c r="AU61" s="59">
        <f>[1]!s_ipo_vsshares(H61,100000000)</f>
        <v>769.51599999999996</v>
      </c>
      <c r="AV61" s="59">
        <f>[1]!s_ipo_vssharespct(H61)</f>
        <v>99.875401699728485</v>
      </c>
      <c r="AW61" s="59">
        <f>[1]!s_ipo_invsshares_a(H61,100000000)</f>
        <v>0.18</v>
      </c>
      <c r="AX61" s="60">
        <f>[1]!s_ipo_invssharespct_a(H61)</f>
        <v>2.3362181300910088E-2</v>
      </c>
      <c r="AY61" s="65">
        <f>[1]!s_ipo_lotteryrate_abc(H61,1)</f>
        <v>1.9150549999999999E-2</v>
      </c>
      <c r="AZ61" s="66">
        <f>[1]!s_ipo_lotteryrate_abc(H61,2)</f>
        <v>1.18E-2</v>
      </c>
      <c r="BA61" s="67">
        <f>[1]!s_ipo_lotteryrate_abc(H61,3)</f>
        <v>6.0500800000000002E-3</v>
      </c>
      <c r="BB61" s="27"/>
    </row>
    <row r="62" spans="1:54" s="26" customFormat="1" ht="16.5" x14ac:dyDescent="0.15">
      <c r="A62" s="5"/>
      <c r="B62" s="5"/>
      <c r="C62" s="5"/>
      <c r="D62" s="5"/>
      <c r="E62" s="5"/>
      <c r="F62" s="13"/>
      <c r="G62" s="7"/>
      <c r="H62" s="73" t="s">
        <v>298</v>
      </c>
      <c r="I62" s="36" t="s">
        <v>299</v>
      </c>
      <c r="J62" s="75">
        <v>44650</v>
      </c>
      <c r="K62" s="75">
        <v>44666</v>
      </c>
      <c r="L62" s="75">
        <v>44680</v>
      </c>
      <c r="M62" s="36" t="s">
        <v>116</v>
      </c>
      <c r="N62" s="77">
        <v>45.13</v>
      </c>
      <c r="O62" s="77">
        <v>61.3</v>
      </c>
      <c r="P62" s="77">
        <v>913.1</v>
      </c>
      <c r="Q62" s="77">
        <v>859.9</v>
      </c>
      <c r="R62" s="36">
        <v>308</v>
      </c>
      <c r="S62" s="36">
        <v>7055</v>
      </c>
      <c r="T62" s="37">
        <v>3738020</v>
      </c>
      <c r="U62" s="77">
        <v>4093.768480998795</v>
      </c>
      <c r="V62" s="36">
        <v>3858</v>
      </c>
      <c r="W62" s="36">
        <v>168</v>
      </c>
      <c r="X62" s="37">
        <v>3858</v>
      </c>
      <c r="Y62" s="77">
        <v>4.4841350000000002E-2</v>
      </c>
      <c r="Z62" s="77">
        <v>2230.0843</v>
      </c>
      <c r="AA62" s="77"/>
      <c r="AB62" s="36" t="s">
        <v>103</v>
      </c>
      <c r="AC62" s="36" t="s">
        <v>300</v>
      </c>
      <c r="AD62" s="75">
        <v>44665</v>
      </c>
      <c r="AE62" s="75">
        <v>44666</v>
      </c>
      <c r="AF62" s="75">
        <v>44666</v>
      </c>
      <c r="AG62" s="77">
        <v>17721.93113945</v>
      </c>
      <c r="AH62" s="36"/>
      <c r="AI62" s="36" t="s">
        <v>266</v>
      </c>
      <c r="AJ62" s="36" t="s">
        <v>106</v>
      </c>
      <c r="AK62" s="36" t="s">
        <v>113</v>
      </c>
      <c r="AL62" s="49" t="str">
        <f>[1]!s_ipo_inq_anncedate(H62)</f>
        <v>2022-03-30</v>
      </c>
      <c r="AM62" s="50" t="str">
        <f>[1]!s_ipo_inq_startdate(H62)</f>
        <v>2022-04-11</v>
      </c>
      <c r="AN62" s="50" t="str">
        <f>[1]!s_ipo_inq_enddate(H62)</f>
        <v>2022-04-11</v>
      </c>
      <c r="AO62" s="50" t="str">
        <f>[1]!s_ipo_inqresultdate(H62)</f>
        <v>2022-04-14</v>
      </c>
      <c r="AP62" s="50" t="str">
        <f>[1]!s_ipo_op_enddate(H62)</f>
        <v>2022-04-15</v>
      </c>
      <c r="AQ62" s="50" t="str">
        <f>[1]!s_ipo_cappaydate(H62)</f>
        <v>2022-04-19</v>
      </c>
      <c r="AR62" s="51" t="str">
        <f>[1]!s_ipo_placingdate(H62)</f>
        <v>2022-04-21</v>
      </c>
      <c r="AS62" s="58">
        <f>[1]!s_ipo_vsprice_max(H62)</f>
        <v>62.99</v>
      </c>
      <c r="AT62" s="59">
        <f>[1]!s_ipo_vsprice_min(H62)</f>
        <v>45.14</v>
      </c>
      <c r="AU62" s="59">
        <f>[1]!s_ipo_vsshares(H62,100000000)</f>
        <v>203.62899999999999</v>
      </c>
      <c r="AV62" s="59">
        <f>[1]!s_ipo_vssharespct(H62)</f>
        <v>54.47509644143156</v>
      </c>
      <c r="AW62" s="59">
        <f>[1]!s_ipo_invsshares_a(H62,100000000)</f>
        <v>3.7490000000000001</v>
      </c>
      <c r="AX62" s="60">
        <f>[1]!s_ipo_invssharespct_a(H62)</f>
        <v>1.0029373839626325</v>
      </c>
      <c r="AY62" s="65">
        <f>[1]!s_ipo_lotteryrate_abc(H62,1)</f>
        <v>5.5520470000000002E-2</v>
      </c>
      <c r="AZ62" s="66">
        <f>[1]!s_ipo_lotteryrate_abc(H62,2)</f>
        <v>3.502976E-2</v>
      </c>
      <c r="BA62" s="67">
        <f>[1]!s_ipo_lotteryrate_abc(H62,3)</f>
        <v>3.0795389999999999E-2</v>
      </c>
      <c r="BB62" s="27"/>
    </row>
    <row r="63" spans="1:54" s="26" customFormat="1" ht="16.5" x14ac:dyDescent="0.15">
      <c r="A63" s="5"/>
      <c r="B63" s="5"/>
      <c r="C63" s="5"/>
      <c r="D63" s="5"/>
      <c r="E63" s="5"/>
      <c r="F63" s="13"/>
      <c r="G63" s="7"/>
      <c r="H63" s="73" t="s">
        <v>301</v>
      </c>
      <c r="I63" s="36" t="s">
        <v>302</v>
      </c>
      <c r="J63" s="75">
        <v>44657</v>
      </c>
      <c r="K63" s="75">
        <v>44665</v>
      </c>
      <c r="L63" s="75">
        <v>44677</v>
      </c>
      <c r="M63" s="36" t="s">
        <v>116</v>
      </c>
      <c r="N63" s="77">
        <v>18.39</v>
      </c>
      <c r="O63" s="77">
        <v>34.44</v>
      </c>
      <c r="P63" s="77">
        <v>1545</v>
      </c>
      <c r="Q63" s="77">
        <v>1455</v>
      </c>
      <c r="R63" s="36">
        <v>326</v>
      </c>
      <c r="S63" s="36">
        <v>8172</v>
      </c>
      <c r="T63" s="37">
        <v>7714080</v>
      </c>
      <c r="U63" s="77">
        <v>4992.9320388349515</v>
      </c>
      <c r="V63" s="36">
        <v>5756</v>
      </c>
      <c r="W63" s="36">
        <v>211</v>
      </c>
      <c r="X63" s="37">
        <v>5754</v>
      </c>
      <c r="Y63" s="77">
        <v>2.8950150000000001E-2</v>
      </c>
      <c r="Z63" s="77">
        <v>3454.2136</v>
      </c>
      <c r="AA63" s="77"/>
      <c r="AB63" s="36" t="s">
        <v>103</v>
      </c>
      <c r="AC63" s="36" t="s">
        <v>303</v>
      </c>
      <c r="AD63" s="75">
        <v>44664</v>
      </c>
      <c r="AE63" s="75">
        <v>44665</v>
      </c>
      <c r="AF63" s="75">
        <v>44665</v>
      </c>
      <c r="AG63" s="77">
        <v>12787.6632279</v>
      </c>
      <c r="AH63" s="36"/>
      <c r="AI63" s="36" t="s">
        <v>304</v>
      </c>
      <c r="AJ63" s="36" t="s">
        <v>106</v>
      </c>
      <c r="AK63" s="36" t="s">
        <v>113</v>
      </c>
      <c r="AL63" s="49" t="str">
        <f>[1]!s_ipo_inq_anncedate(H63)</f>
        <v>2022-04-06</v>
      </c>
      <c r="AM63" s="50" t="str">
        <f>[1]!s_ipo_inq_startdate(H63)</f>
        <v>2022-04-11</v>
      </c>
      <c r="AN63" s="50" t="str">
        <f>[1]!s_ipo_inq_enddate(H63)</f>
        <v>2022-04-11</v>
      </c>
      <c r="AO63" s="50" t="str">
        <f>[1]!s_ipo_inqresultdate(H63)</f>
        <v>2022-04-13</v>
      </c>
      <c r="AP63" s="50" t="str">
        <f>[1]!s_ipo_op_enddate(H63)</f>
        <v>2022-04-14</v>
      </c>
      <c r="AQ63" s="50" t="str">
        <f>[1]!s_ipo_cappaydate(H63)</f>
        <v>2022-04-18</v>
      </c>
      <c r="AR63" s="51" t="str">
        <f>[1]!s_ipo_placingdate(H63)</f>
        <v>2022-04-20</v>
      </c>
      <c r="AS63" s="58">
        <f>[1]!s_ipo_vsprice_max(H63)</f>
        <v>25</v>
      </c>
      <c r="AT63" s="59">
        <f>[1]!s_ipo_vsprice_min(H63)</f>
        <v>18.41</v>
      </c>
      <c r="AU63" s="59">
        <f>[1]!s_ipo_vsshares(H63,100000000)</f>
        <v>533.87599999999998</v>
      </c>
      <c r="AV63" s="59">
        <f>[1]!s_ipo_vssharespct(H63)</f>
        <v>69.207993694646674</v>
      </c>
      <c r="AW63" s="59">
        <f>[1]!s_ipo_invsshares_a(H63,100000000)</f>
        <v>7.7370000000000001</v>
      </c>
      <c r="AX63" s="60">
        <f>[1]!s_ipo_invssharespct_a(H63)</f>
        <v>1.0029711903428535</v>
      </c>
      <c r="AY63" s="65">
        <f>[1]!s_ipo_lotteryrate_abc(H63,1)</f>
        <v>4.8283310000000003E-2</v>
      </c>
      <c r="AZ63" s="66">
        <f>[1]!s_ipo_lotteryrate_abc(H63,2)</f>
        <v>2.9788709999999999E-2</v>
      </c>
      <c r="BA63" s="67">
        <f>[1]!s_ipo_lotteryrate_abc(H63,3)</f>
        <v>1.492801E-2</v>
      </c>
      <c r="BB63" s="27"/>
    </row>
    <row r="64" spans="1:54" s="26" customFormat="1" ht="16.5" x14ac:dyDescent="0.15">
      <c r="A64" s="5"/>
      <c r="B64" s="5"/>
      <c r="C64" s="5"/>
      <c r="D64" s="5"/>
      <c r="E64" s="5"/>
      <c r="F64" s="13"/>
      <c r="G64" s="7"/>
      <c r="H64" s="73" t="s">
        <v>305</v>
      </c>
      <c r="I64" s="36" t="s">
        <v>306</v>
      </c>
      <c r="J64" s="75">
        <v>44651</v>
      </c>
      <c r="K64" s="75">
        <v>44664</v>
      </c>
      <c r="L64" s="75">
        <v>44673</v>
      </c>
      <c r="M64" s="36" t="s">
        <v>136</v>
      </c>
      <c r="N64" s="77">
        <v>74.55</v>
      </c>
      <c r="O64" s="77">
        <v>183.74</v>
      </c>
      <c r="P64" s="77">
        <v>1238</v>
      </c>
      <c r="Q64" s="77">
        <v>762</v>
      </c>
      <c r="R64" s="36">
        <v>276</v>
      </c>
      <c r="S64" s="36">
        <v>7037</v>
      </c>
      <c r="T64" s="37">
        <v>3551660</v>
      </c>
      <c r="U64" s="77">
        <v>3067.0639032815197</v>
      </c>
      <c r="V64" s="36">
        <v>4437</v>
      </c>
      <c r="W64" s="36">
        <v>196</v>
      </c>
      <c r="X64" s="37">
        <v>4437</v>
      </c>
      <c r="Y64" s="77">
        <v>5.5990449999999997E-2</v>
      </c>
      <c r="Z64" s="77">
        <v>1786.019</v>
      </c>
      <c r="AA64" s="77">
        <v>4</v>
      </c>
      <c r="AB64" s="36" t="s">
        <v>125</v>
      </c>
      <c r="AC64" s="36" t="s">
        <v>307</v>
      </c>
      <c r="AD64" s="75">
        <v>44663</v>
      </c>
      <c r="AE64" s="75">
        <v>44664</v>
      </c>
      <c r="AF64" s="75">
        <v>44664</v>
      </c>
      <c r="AG64" s="77">
        <v>12224.030222249999</v>
      </c>
      <c r="AH64" s="36"/>
      <c r="AI64" s="36" t="s">
        <v>126</v>
      </c>
      <c r="AJ64" s="36" t="s">
        <v>106</v>
      </c>
      <c r="AK64" s="36" t="s">
        <v>127</v>
      </c>
      <c r="AL64" s="49" t="str">
        <f>[1]!s_ipo_inq_anncedate(H64)</f>
        <v>2022-03-31</v>
      </c>
      <c r="AM64" s="50" t="str">
        <f>[1]!s_ipo_inq_startdate(H64)</f>
        <v>2022-04-08</v>
      </c>
      <c r="AN64" s="50" t="str">
        <f>[1]!s_ipo_inq_enddate(H64)</f>
        <v>2022-04-08</v>
      </c>
      <c r="AO64" s="50" t="str">
        <f>[1]!s_ipo_inqresultdate(H64)</f>
        <v>2022-04-12</v>
      </c>
      <c r="AP64" s="50" t="str">
        <f>[1]!s_ipo_op_enddate(H64)</f>
        <v>2022-04-13</v>
      </c>
      <c r="AQ64" s="50" t="str">
        <f>[1]!s_ipo_cappaydate(H64)</f>
        <v>2022-04-15</v>
      </c>
      <c r="AR64" s="51" t="str">
        <f>[1]!s_ipo_placingdate(H64)</f>
        <v>2022-04-19</v>
      </c>
      <c r="AS64" s="58">
        <f>[1]!s_ipo_vsprice_max(H64)</f>
        <v>100</v>
      </c>
      <c r="AT64" s="59">
        <f>[1]!s_ipo_vsprice_min(H64)</f>
        <v>74.55</v>
      </c>
      <c r="AU64" s="59">
        <f>[1]!s_ipo_vsshares(H64,100000000)</f>
        <v>206.821</v>
      </c>
      <c r="AV64" s="59">
        <f>[1]!s_ipo_vssharespct(H64)</f>
        <v>58.232206911697624</v>
      </c>
      <c r="AW64" s="59">
        <f>[1]!s_ipo_invsshares_a(H64,100000000)</f>
        <v>3.577</v>
      </c>
      <c r="AX64" s="60">
        <f>[1]!s_ipo_invssharespct_a(H64)</f>
        <v>1.0071346919468642</v>
      </c>
      <c r="AY64" s="65">
        <f>[1]!s_ipo_lotteryrate_abc(H64,1)</f>
        <v>6.1204040000000001E-2</v>
      </c>
      <c r="AZ64" s="66">
        <f>[1]!s_ipo_lotteryrate_abc(H64,2)</f>
        <v>5.5990440000000002E-2</v>
      </c>
      <c r="BA64" s="67">
        <f>[1]!s_ipo_lotteryrate_abc(H64,3)</f>
        <v>4.637231E-2</v>
      </c>
      <c r="BB64" s="27"/>
    </row>
    <row r="65" spans="1:54" s="26" customFormat="1" ht="16.5" x14ac:dyDescent="0.15">
      <c r="A65" s="5"/>
      <c r="B65" s="5"/>
      <c r="C65" s="5"/>
      <c r="D65" s="5"/>
      <c r="E65" s="5"/>
      <c r="F65" s="13"/>
      <c r="G65" s="7"/>
      <c r="H65" s="73" t="s">
        <v>308</v>
      </c>
      <c r="I65" s="36" t="s">
        <v>309</v>
      </c>
      <c r="J65" s="75">
        <v>44651</v>
      </c>
      <c r="K65" s="75">
        <v>44663</v>
      </c>
      <c r="L65" s="75">
        <v>44672</v>
      </c>
      <c r="M65" s="36" t="s">
        <v>110</v>
      </c>
      <c r="N65" s="77">
        <v>163.56</v>
      </c>
      <c r="O65" s="77">
        <v>91.57</v>
      </c>
      <c r="P65" s="77">
        <v>992.05000000000007</v>
      </c>
      <c r="Q65" s="77">
        <v>691.65</v>
      </c>
      <c r="R65" s="36">
        <v>299</v>
      </c>
      <c r="S65" s="36">
        <v>7087</v>
      </c>
      <c r="T65" s="37">
        <v>2123290</v>
      </c>
      <c r="U65" s="77">
        <v>2845.5809727260907</v>
      </c>
      <c r="V65" s="36">
        <v>5335</v>
      </c>
      <c r="W65" s="36">
        <v>251</v>
      </c>
      <c r="X65" s="37">
        <v>5335</v>
      </c>
      <c r="Y65" s="77">
        <v>5.1560700000000001E-2</v>
      </c>
      <c r="Z65" s="77">
        <v>1939.4616000000001</v>
      </c>
      <c r="AA65" s="77">
        <v>14.603492308606047</v>
      </c>
      <c r="AB65" s="36" t="s">
        <v>117</v>
      </c>
      <c r="AC65" s="36" t="s">
        <v>288</v>
      </c>
      <c r="AD65" s="75">
        <v>44662</v>
      </c>
      <c r="AE65" s="75">
        <v>44663</v>
      </c>
      <c r="AF65" s="75">
        <v>44663</v>
      </c>
      <c r="AG65" s="77">
        <v>59260.533354599997</v>
      </c>
      <c r="AH65" s="36"/>
      <c r="AI65" s="36" t="s">
        <v>310</v>
      </c>
      <c r="AJ65" s="36" t="s">
        <v>106</v>
      </c>
      <c r="AK65" s="36" t="s">
        <v>113</v>
      </c>
      <c r="AL65" s="49" t="str">
        <f>[1]!s_ipo_inq_anncedate(H65)</f>
        <v>2022-03-31</v>
      </c>
      <c r="AM65" s="50" t="str">
        <f>[1]!s_ipo_inq_startdate(H65)</f>
        <v>2022-04-07</v>
      </c>
      <c r="AN65" s="50" t="str">
        <f>[1]!s_ipo_inq_enddate(H65)</f>
        <v>2022-04-07</v>
      </c>
      <c r="AO65" s="50" t="str">
        <f>[1]!s_ipo_inqresultdate(H65)</f>
        <v>2022-04-11</v>
      </c>
      <c r="AP65" s="50" t="str">
        <f>[1]!s_ipo_op_enddate(H65)</f>
        <v>2022-04-12</v>
      </c>
      <c r="AQ65" s="50" t="str">
        <f>[1]!s_ipo_cappaydate(H65)</f>
        <v>2022-04-14</v>
      </c>
      <c r="AR65" s="51" t="str">
        <f>[1]!s_ipo_placingdate(H65)</f>
        <v>2022-04-18</v>
      </c>
      <c r="AS65" s="58">
        <f>[1]!s_ipo_vsprice_max(H65)</f>
        <v>225</v>
      </c>
      <c r="AT65" s="59">
        <f>[1]!s_ipo_vsprice_min(H65)</f>
        <v>165</v>
      </c>
      <c r="AU65" s="59">
        <f>[1]!s_ipo_vsshares(H65,100000000)</f>
        <v>144.71700000000001</v>
      </c>
      <c r="AV65" s="59">
        <f>[1]!s_ipo_vssharespct(H65)</f>
        <v>68.156963956878229</v>
      </c>
      <c r="AW65" s="59">
        <f>[1]!s_ipo_invsshares_a(H65,100000000)</f>
        <v>2.1659999999999999</v>
      </c>
      <c r="AX65" s="60">
        <f>[1]!s_ipo_invssharespct_a(H65)</f>
        <v>1.0201150101964405</v>
      </c>
      <c r="AY65" s="65">
        <f>[1]!s_ipo_lotteryrate_abc(H65,1)</f>
        <v>5.7106240000000003E-2</v>
      </c>
      <c r="AZ65" s="66">
        <f>[1]!s_ipo_lotteryrate_abc(H65,2)</f>
        <v>5.5884749999999997E-2</v>
      </c>
      <c r="BA65" s="67">
        <f>[1]!s_ipo_lotteryrate_abc(H65,3)</f>
        <v>3.9320870000000001E-2</v>
      </c>
      <c r="BB65" s="27"/>
    </row>
    <row r="66" spans="1:54" s="26" customFormat="1" ht="16.5" x14ac:dyDescent="0.15">
      <c r="A66" s="5"/>
      <c r="B66" s="5"/>
      <c r="C66" s="5"/>
      <c r="D66" s="5"/>
      <c r="E66" s="5"/>
      <c r="F66" s="13"/>
      <c r="G66" s="7"/>
      <c r="H66" s="73" t="s">
        <v>311</v>
      </c>
      <c r="I66" s="36" t="s">
        <v>312</v>
      </c>
      <c r="J66" s="75">
        <v>44651</v>
      </c>
      <c r="K66" s="75">
        <v>44663</v>
      </c>
      <c r="L66" s="75">
        <v>44672</v>
      </c>
      <c r="M66" s="36" t="s">
        <v>110</v>
      </c>
      <c r="N66" s="77">
        <v>38.39</v>
      </c>
      <c r="O66" s="77">
        <v>34.880000000000003</v>
      </c>
      <c r="P66" s="77">
        <v>1713.4</v>
      </c>
      <c r="Q66" s="77">
        <v>1199.5999999999999</v>
      </c>
      <c r="R66" s="36">
        <v>309</v>
      </c>
      <c r="S66" s="36">
        <v>7693</v>
      </c>
      <c r="T66" s="37">
        <v>5066610</v>
      </c>
      <c r="U66" s="77">
        <v>3889.1765717681615</v>
      </c>
      <c r="V66" s="36">
        <v>5169</v>
      </c>
      <c r="W66" s="36">
        <v>230</v>
      </c>
      <c r="X66" s="37">
        <v>5169</v>
      </c>
      <c r="Y66" s="77">
        <v>4.0915519999999997E-2</v>
      </c>
      <c r="Z66" s="77">
        <v>2444.0601000000001</v>
      </c>
      <c r="AA66" s="77">
        <v>14.097281153450053</v>
      </c>
      <c r="AB66" s="36" t="s">
        <v>125</v>
      </c>
      <c r="AC66" s="36" t="s">
        <v>313</v>
      </c>
      <c r="AD66" s="75">
        <v>44662</v>
      </c>
      <c r="AE66" s="75">
        <v>44663</v>
      </c>
      <c r="AF66" s="75">
        <v>44663</v>
      </c>
      <c r="AG66" s="77">
        <v>22514.23759805</v>
      </c>
      <c r="AH66" s="36"/>
      <c r="AI66" s="36" t="s">
        <v>304</v>
      </c>
      <c r="AJ66" s="36" t="s">
        <v>106</v>
      </c>
      <c r="AK66" s="36" t="s">
        <v>113</v>
      </c>
      <c r="AL66" s="49" t="str">
        <f>[1]!s_ipo_inq_anncedate(H66)</f>
        <v>2022-03-31</v>
      </c>
      <c r="AM66" s="50" t="str">
        <f>[1]!s_ipo_inq_startdate(H66)</f>
        <v>2022-04-06</v>
      </c>
      <c r="AN66" s="50" t="str">
        <f>[1]!s_ipo_inq_enddate(H66)</f>
        <v>2022-04-06</v>
      </c>
      <c r="AO66" s="50" t="str">
        <f>[1]!s_ipo_inqresultdate(H66)</f>
        <v>2022-04-11</v>
      </c>
      <c r="AP66" s="50" t="str">
        <f>[1]!s_ipo_op_enddate(H66)</f>
        <v>2022-04-12</v>
      </c>
      <c r="AQ66" s="50" t="str">
        <f>[1]!s_ipo_cappaydate(H66)</f>
        <v>2022-04-14</v>
      </c>
      <c r="AR66" s="51" t="str">
        <f>[1]!s_ipo_placingdate(H66)</f>
        <v>2022-04-18</v>
      </c>
      <c r="AS66" s="58">
        <f>[1]!s_ipo_vsprice_max(H66)</f>
        <v>54.51</v>
      </c>
      <c r="AT66" s="59">
        <f>[1]!s_ipo_vsprice_min(H66)</f>
        <v>38.4</v>
      </c>
      <c r="AU66" s="59">
        <f>[1]!s_ipo_vsshares(H66,100000000)</f>
        <v>318.399</v>
      </c>
      <c r="AV66" s="59">
        <f>[1]!s_ipo_vssharespct(H66)</f>
        <v>62.84261073972538</v>
      </c>
      <c r="AW66" s="59">
        <f>[1]!s_ipo_invsshares_a(H66,100000000)</f>
        <v>5.1390000000000002</v>
      </c>
      <c r="AX66" s="60">
        <f>[1]!s_ipo_invssharespct_a(H66)</f>
        <v>1.0142876597961952</v>
      </c>
      <c r="AY66" s="65">
        <f>[1]!s_ipo_lotteryrate_abc(H66,1)</f>
        <v>6.442262E-2</v>
      </c>
      <c r="AZ66" s="66">
        <f>[1]!s_ipo_lotteryrate_abc(H66,2)</f>
        <v>5.1161430000000001E-2</v>
      </c>
      <c r="BA66" s="67">
        <f>[1]!s_ipo_lotteryrate_abc(H66,3)</f>
        <v>2.1269429999999999E-2</v>
      </c>
      <c r="BB66" s="27"/>
    </row>
    <row r="67" spans="1:54" s="26" customFormat="1" ht="16.5" x14ac:dyDescent="0.15">
      <c r="A67" s="5"/>
      <c r="B67" s="5"/>
      <c r="C67" s="5"/>
      <c r="D67" s="5"/>
      <c r="E67" s="5"/>
      <c r="F67" s="13"/>
      <c r="G67" s="7"/>
      <c r="H67" s="73" t="s">
        <v>314</v>
      </c>
      <c r="I67" s="36" t="s">
        <v>315</v>
      </c>
      <c r="J67" s="75">
        <v>44651</v>
      </c>
      <c r="K67" s="75">
        <v>44663</v>
      </c>
      <c r="L67" s="75">
        <v>44676</v>
      </c>
      <c r="M67" s="36" t="s">
        <v>136</v>
      </c>
      <c r="N67" s="77">
        <v>22.53</v>
      </c>
      <c r="O67" s="77">
        <v>138.99</v>
      </c>
      <c r="P67" s="77">
        <v>3700.2000000000003</v>
      </c>
      <c r="Q67" s="77">
        <v>1299.8</v>
      </c>
      <c r="R67" s="36">
        <v>324</v>
      </c>
      <c r="S67" s="36">
        <v>8958</v>
      </c>
      <c r="T67" s="37">
        <v>12046840</v>
      </c>
      <c r="U67" s="77">
        <v>3767.0121302716198</v>
      </c>
      <c r="V67" s="36">
        <v>5582</v>
      </c>
      <c r="W67" s="36">
        <v>230</v>
      </c>
      <c r="X67" s="37">
        <v>5582</v>
      </c>
      <c r="Y67" s="77">
        <v>4.7367979999999997E-2</v>
      </c>
      <c r="Z67" s="77">
        <v>2111.1307999999999</v>
      </c>
      <c r="AA67" s="77">
        <v>10.044343999999999</v>
      </c>
      <c r="AB67" s="36" t="s">
        <v>117</v>
      </c>
      <c r="AC67" s="36" t="s">
        <v>206</v>
      </c>
      <c r="AD67" s="75">
        <v>44662</v>
      </c>
      <c r="AE67" s="75">
        <v>44663</v>
      </c>
      <c r="AF67" s="75">
        <v>44663</v>
      </c>
      <c r="AG67" s="77">
        <v>7206.1540365000001</v>
      </c>
      <c r="AH67" s="36"/>
      <c r="AI67" s="36" t="s">
        <v>316</v>
      </c>
      <c r="AJ67" s="36" t="s">
        <v>106</v>
      </c>
      <c r="AK67" s="36" t="s">
        <v>127</v>
      </c>
      <c r="AL67" s="49" t="str">
        <f>[1]!s_ipo_inq_anncedate(H67)</f>
        <v>2022-03-31</v>
      </c>
      <c r="AM67" s="50" t="str">
        <f>[1]!s_ipo_inq_startdate(H67)</f>
        <v>2022-04-07</v>
      </c>
      <c r="AN67" s="50" t="str">
        <f>[1]!s_ipo_inq_enddate(H67)</f>
        <v>2022-04-07</v>
      </c>
      <c r="AO67" s="50" t="str">
        <f>[1]!s_ipo_inqresultdate(H67)</f>
        <v>2022-04-11</v>
      </c>
      <c r="AP67" s="50" t="str">
        <f>[1]!s_ipo_op_enddate(H67)</f>
        <v>2022-04-12</v>
      </c>
      <c r="AQ67" s="50" t="str">
        <f>[1]!s_ipo_cappaydate(H67)</f>
        <v>2022-04-14</v>
      </c>
      <c r="AR67" s="51" t="str">
        <f>[1]!s_ipo_placingdate(H67)</f>
        <v>2022-04-18</v>
      </c>
      <c r="AS67" s="58">
        <f>[1]!s_ipo_vsprice_max(H67)</f>
        <v>30.43</v>
      </c>
      <c r="AT67" s="59">
        <f>[1]!s_ipo_vsprice_min(H67)</f>
        <v>22.55</v>
      </c>
      <c r="AU67" s="59">
        <f>[1]!s_ipo_vsshares(H67,100000000)</f>
        <v>675.13599999999997</v>
      </c>
      <c r="AV67" s="59">
        <f>[1]!s_ipo_vssharespct(H67)</f>
        <v>56.042580460934154</v>
      </c>
      <c r="AW67" s="59">
        <f>[1]!s_ipo_invsshares_a(H67,100000000)</f>
        <v>12.114000000000001</v>
      </c>
      <c r="AX67" s="60">
        <f>[1]!s_ipo_invssharespct_a(H67)</f>
        <v>1.00557490595044</v>
      </c>
      <c r="AY67" s="65">
        <f>[1]!s_ipo_lotteryrate_abc(H67,1)</f>
        <v>7.0999999999999994E-2</v>
      </c>
      <c r="AZ67" s="66">
        <f>[1]!s_ipo_lotteryrate_abc(H67,2)</f>
        <v>3.8050609999999999E-2</v>
      </c>
      <c r="BA67" s="67">
        <f>[1]!s_ipo_lotteryrate_abc(H67,3)</f>
        <v>2.5999999999999999E-2</v>
      </c>
      <c r="BB67" s="27"/>
    </row>
    <row r="68" spans="1:54" s="26" customFormat="1" ht="16.5" x14ac:dyDescent="0.15">
      <c r="A68" s="5"/>
      <c r="B68" s="5"/>
      <c r="C68" s="5"/>
      <c r="D68" s="5"/>
      <c r="E68" s="5"/>
      <c r="F68" s="13"/>
      <c r="G68" s="7"/>
      <c r="H68" s="73" t="s">
        <v>317</v>
      </c>
      <c r="I68" s="36" t="s">
        <v>318</v>
      </c>
      <c r="J68" s="75">
        <v>44651</v>
      </c>
      <c r="K68" s="75">
        <v>44663</v>
      </c>
      <c r="L68" s="75">
        <v>44673</v>
      </c>
      <c r="M68" s="36" t="s">
        <v>110</v>
      </c>
      <c r="N68" s="77">
        <v>19.09</v>
      </c>
      <c r="O68" s="77">
        <v>33.49</v>
      </c>
      <c r="P68" s="77">
        <v>1515.95</v>
      </c>
      <c r="Q68" s="77">
        <v>1185.05</v>
      </c>
      <c r="R68" s="36">
        <v>319</v>
      </c>
      <c r="S68" s="36">
        <v>7675</v>
      </c>
      <c r="T68" s="37">
        <v>5875940</v>
      </c>
      <c r="U68" s="77">
        <v>4532.3935231466057</v>
      </c>
      <c r="V68" s="36">
        <v>5137</v>
      </c>
      <c r="W68" s="36">
        <v>239</v>
      </c>
      <c r="X68" s="37">
        <v>5137</v>
      </c>
      <c r="Y68" s="77">
        <v>3.3551289999999998E-2</v>
      </c>
      <c r="Z68" s="77">
        <v>2980.5111000000002</v>
      </c>
      <c r="AA68" s="77">
        <v>8.1272861902998894</v>
      </c>
      <c r="AB68" s="36" t="s">
        <v>117</v>
      </c>
      <c r="AC68" s="36" t="s">
        <v>319</v>
      </c>
      <c r="AD68" s="75">
        <v>44662</v>
      </c>
      <c r="AE68" s="75">
        <v>44663</v>
      </c>
      <c r="AF68" s="75">
        <v>44663</v>
      </c>
      <c r="AG68" s="77">
        <v>11726.964664700001</v>
      </c>
      <c r="AH68" s="36"/>
      <c r="AI68" s="36" t="s">
        <v>304</v>
      </c>
      <c r="AJ68" s="36" t="s">
        <v>106</v>
      </c>
      <c r="AK68" s="36" t="s">
        <v>121</v>
      </c>
      <c r="AL68" s="49" t="str">
        <f>[1]!s_ipo_inq_anncedate(H68)</f>
        <v>2022-03-31</v>
      </c>
      <c r="AM68" s="50" t="str">
        <f>[1]!s_ipo_inq_startdate(H68)</f>
        <v>2022-04-06</v>
      </c>
      <c r="AN68" s="50" t="str">
        <f>[1]!s_ipo_inq_enddate(H68)</f>
        <v>2022-04-06</v>
      </c>
      <c r="AO68" s="50" t="str">
        <f>[1]!s_ipo_inqresultdate(H68)</f>
        <v>2022-04-11</v>
      </c>
      <c r="AP68" s="50" t="str">
        <f>[1]!s_ipo_op_enddate(H68)</f>
        <v>2022-04-12</v>
      </c>
      <c r="AQ68" s="50" t="str">
        <f>[1]!s_ipo_cappaydate(H68)</f>
        <v>2022-04-14</v>
      </c>
      <c r="AR68" s="51" t="str">
        <f>[1]!s_ipo_placingdate(H68)</f>
        <v>2022-04-18</v>
      </c>
      <c r="AS68" s="58">
        <f>[1]!s_ipo_vsprice_max(H68)</f>
        <v>27.6</v>
      </c>
      <c r="AT68" s="59">
        <f>[1]!s_ipo_vsprice_min(H68)</f>
        <v>19.100000000000001</v>
      </c>
      <c r="AU68" s="59">
        <f>[1]!s_ipo_vsshares(H68,100000000)</f>
        <v>386.40300000000002</v>
      </c>
      <c r="AV68" s="59">
        <f>[1]!s_ipo_vssharespct(H68)</f>
        <v>65.760201771971808</v>
      </c>
      <c r="AW68" s="59">
        <f>[1]!s_ipo_invsshares_a(H68,100000000)</f>
        <v>5.9139999999999997</v>
      </c>
      <c r="AX68" s="60">
        <f>[1]!s_ipo_invssharespct_a(H68)</f>
        <v>1.0064772615104987</v>
      </c>
      <c r="AY68" s="65">
        <f>[1]!s_ipo_lotteryrate_abc(H68,1)</f>
        <v>5.645621E-2</v>
      </c>
      <c r="AZ68" s="66">
        <f>[1]!s_ipo_lotteryrate_abc(H68,2)</f>
        <v>1.9149869999999999E-2</v>
      </c>
      <c r="BA68" s="67">
        <f>[1]!s_ipo_lotteryrate_abc(H68,3)</f>
        <v>1.6810619999999998E-2</v>
      </c>
      <c r="BB68" s="27"/>
    </row>
    <row r="69" spans="1:54" s="26" customFormat="1" ht="16.5" x14ac:dyDescent="0.15">
      <c r="A69" s="5"/>
      <c r="B69" s="5"/>
      <c r="C69" s="5"/>
      <c r="D69" s="5"/>
      <c r="E69" s="5"/>
      <c r="F69" s="13"/>
      <c r="G69" s="7"/>
      <c r="H69" s="73" t="s">
        <v>320</v>
      </c>
      <c r="I69" s="36" t="s">
        <v>321</v>
      </c>
      <c r="J69" s="75">
        <v>44651</v>
      </c>
      <c r="K69" s="75">
        <v>44663</v>
      </c>
      <c r="L69" s="75">
        <v>44673</v>
      </c>
      <c r="M69" s="36" t="s">
        <v>136</v>
      </c>
      <c r="N69" s="77">
        <v>230</v>
      </c>
      <c r="O69" s="77">
        <v>574.04999999999995</v>
      </c>
      <c r="P69" s="77">
        <v>1654.25</v>
      </c>
      <c r="Q69" s="77">
        <v>872.35</v>
      </c>
      <c r="R69" s="36">
        <v>252</v>
      </c>
      <c r="S69" s="36">
        <v>5823</v>
      </c>
      <c r="T69" s="37">
        <v>2302930</v>
      </c>
      <c r="U69" s="77">
        <v>1635.4165727202662</v>
      </c>
      <c r="V69" s="36">
        <v>4179</v>
      </c>
      <c r="W69" s="36">
        <v>161</v>
      </c>
      <c r="X69" s="37">
        <v>4179</v>
      </c>
      <c r="Y69" s="77">
        <v>8.5622279999999995E-2</v>
      </c>
      <c r="Z69" s="77">
        <v>1167.9203</v>
      </c>
      <c r="AA69" s="77">
        <v>9.7399232169714267</v>
      </c>
      <c r="AB69" s="36" t="s">
        <v>117</v>
      </c>
      <c r="AC69" s="36" t="s">
        <v>322</v>
      </c>
      <c r="AD69" s="75">
        <v>44662</v>
      </c>
      <c r="AE69" s="75">
        <v>44663</v>
      </c>
      <c r="AF69" s="75">
        <v>44663</v>
      </c>
      <c r="AG69" s="77">
        <v>47559.224049999997</v>
      </c>
      <c r="AH69" s="36"/>
      <c r="AI69" s="36" t="s">
        <v>126</v>
      </c>
      <c r="AJ69" s="36" t="s">
        <v>120</v>
      </c>
      <c r="AK69" s="36" t="s">
        <v>107</v>
      </c>
      <c r="AL69" s="49" t="str">
        <f>[1]!s_ipo_inq_anncedate(H69)</f>
        <v>2022-03-31</v>
      </c>
      <c r="AM69" s="50" t="str">
        <f>[1]!s_ipo_inq_startdate(H69)</f>
        <v>2022-04-07</v>
      </c>
      <c r="AN69" s="50" t="str">
        <f>[1]!s_ipo_inq_enddate(H69)</f>
        <v>2022-04-07</v>
      </c>
      <c r="AO69" s="50" t="str">
        <f>[1]!s_ipo_inqresultdate(H69)</f>
        <v>2022-04-11</v>
      </c>
      <c r="AP69" s="50" t="str">
        <f>[1]!s_ipo_op_enddate(H69)</f>
        <v>2022-04-12</v>
      </c>
      <c r="AQ69" s="50" t="str">
        <f>[1]!s_ipo_cappaydate(H69)</f>
        <v>2022-04-14</v>
      </c>
      <c r="AR69" s="51" t="str">
        <f>[1]!s_ipo_placingdate(H69)</f>
        <v>2022-04-18</v>
      </c>
      <c r="AS69" s="58">
        <f>[1]!s_ipo_vsprice_max(H69)</f>
        <v>346.33</v>
      </c>
      <c r="AT69" s="59">
        <f>[1]!s_ipo_vsprice_min(H69)</f>
        <v>230</v>
      </c>
      <c r="AU69" s="59">
        <f>[1]!s_ipo_vsshares(H69,100000000)</f>
        <v>164.46199999999999</v>
      </c>
      <c r="AV69" s="59">
        <f>[1]!s_ipo_vssharespct(H69)</f>
        <v>71.414241857112458</v>
      </c>
      <c r="AW69" s="59">
        <f>[1]!s_ipo_invsshares_a(H69,100000000)</f>
        <v>2.3119999999999998</v>
      </c>
      <c r="AX69" s="60">
        <f>[1]!s_ipo_invssharespct_a(H69)</f>
        <v>1.0039384610040254</v>
      </c>
      <c r="AY69" s="65">
        <f>[1]!s_ipo_lotteryrate_abc(H69,1)</f>
        <v>8.7006070000000005E-2</v>
      </c>
      <c r="AZ69" s="66">
        <f>[1]!s_ipo_lotteryrate_abc(H69,2)</f>
        <v>8.5642109999999994E-2</v>
      </c>
      <c r="BA69" s="67">
        <f>[1]!s_ipo_lotteryrate_abc(H69,3)</f>
        <v>7.7558749999999996E-2</v>
      </c>
      <c r="BB69" s="27"/>
    </row>
    <row r="70" spans="1:54" s="26" customFormat="1" ht="16.5" x14ac:dyDescent="0.15">
      <c r="A70" s="5"/>
      <c r="B70" s="5"/>
      <c r="C70" s="5"/>
      <c r="D70" s="5"/>
      <c r="E70" s="5"/>
      <c r="F70" s="13"/>
      <c r="G70" s="7"/>
      <c r="H70" s="73" t="s">
        <v>323</v>
      </c>
      <c r="I70" s="36" t="s">
        <v>324</v>
      </c>
      <c r="J70" s="75">
        <v>44651</v>
      </c>
      <c r="K70" s="75">
        <v>44663</v>
      </c>
      <c r="L70" s="75">
        <v>44672</v>
      </c>
      <c r="M70" s="36" t="s">
        <v>102</v>
      </c>
      <c r="N70" s="77">
        <v>10.8</v>
      </c>
      <c r="O70" s="77">
        <v>24.07</v>
      </c>
      <c r="P70" s="77">
        <v>160743.20000000001</v>
      </c>
      <c r="Q70" s="77">
        <v>138256.79999999999</v>
      </c>
      <c r="R70" s="36">
        <v>1323</v>
      </c>
      <c r="S70" s="36">
        <v>6840</v>
      </c>
      <c r="T70" s="37">
        <v>4061740</v>
      </c>
      <c r="U70" s="77">
        <v>110.48830442341394</v>
      </c>
      <c r="V70" s="36">
        <v>6097</v>
      </c>
      <c r="W70" s="36">
        <v>784</v>
      </c>
      <c r="X70" s="37">
        <v>6089</v>
      </c>
      <c r="Y70" s="77">
        <v>1.01700327</v>
      </c>
      <c r="Z70" s="77">
        <v>98.328100000000006</v>
      </c>
      <c r="AA70" s="77">
        <v>41.465378260869556</v>
      </c>
      <c r="AB70" s="36" t="s">
        <v>125</v>
      </c>
      <c r="AC70" s="36" t="s">
        <v>325</v>
      </c>
      <c r="AD70" s="75">
        <v>44662</v>
      </c>
      <c r="AE70" s="75">
        <v>44663</v>
      </c>
      <c r="AF70" s="75">
        <v>44663</v>
      </c>
      <c r="AG70" s="77">
        <v>34971.379128</v>
      </c>
      <c r="AH70" s="36"/>
      <c r="AI70" s="36" t="s">
        <v>326</v>
      </c>
      <c r="AJ70" s="36" t="s">
        <v>106</v>
      </c>
      <c r="AK70" s="36" t="s">
        <v>127</v>
      </c>
      <c r="AL70" s="49" t="str">
        <f>[1]!s_ipo_inq_anncedate(H70)</f>
        <v>2022-03-31</v>
      </c>
      <c r="AM70" s="50" t="str">
        <f>[1]!s_ipo_inq_startdate(H70)</f>
        <v>2022-04-06</v>
      </c>
      <c r="AN70" s="50" t="str">
        <f>[1]!s_ipo_inq_enddate(H70)</f>
        <v>2022-04-07</v>
      </c>
      <c r="AO70" s="50" t="str">
        <f>[1]!s_ipo_inqresultdate(H70)</f>
        <v>2022-04-11</v>
      </c>
      <c r="AP70" s="50" t="str">
        <f>[1]!s_ipo_op_enddate(H70)</f>
        <v>2022-04-12</v>
      </c>
      <c r="AQ70" s="50" t="str">
        <f>[1]!s_ipo_cappaydate(H70)</f>
        <v>2022-04-14</v>
      </c>
      <c r="AR70" s="51" t="str">
        <f>[1]!s_ipo_placingdate(H70)</f>
        <v>2022-04-18</v>
      </c>
      <c r="AS70" s="58">
        <f>[1]!s_ipo_vsprice_max(H70)</f>
        <v>13.85</v>
      </c>
      <c r="AT70" s="59">
        <f>[1]!s_ipo_vsprice_min(H70)</f>
        <v>10.8</v>
      </c>
      <c r="AU70" s="59">
        <f>[1]!s_ipo_vsshares(H70,100000000)</f>
        <v>361.95100000000002</v>
      </c>
      <c r="AV70" s="59">
        <f>[1]!s_ipo_vssharespct(H70)</f>
        <v>89.112301624426976</v>
      </c>
      <c r="AW70" s="59">
        <f>[1]!s_ipo_invsshares_a(H70,100000000)</f>
        <v>40.622999999999998</v>
      </c>
      <c r="AX70" s="60">
        <f>[1]!s_ipo_invssharespct_a(H70)</f>
        <v>10.001378719465057</v>
      </c>
      <c r="AY70" s="65">
        <f>[1]!s_ipo_lotteryrate_abc(H70,1)</f>
        <v>2.0000867000000002</v>
      </c>
      <c r="AZ70" s="66">
        <f>[1]!s_ipo_lotteryrate_abc(H70,2)</f>
        <v>1.2507666799999999</v>
      </c>
      <c r="BA70" s="67">
        <f>[1]!s_ipo_lotteryrate_abc(H70,3)</f>
        <v>0.18477805999999999</v>
      </c>
      <c r="BB70" s="27"/>
    </row>
    <row r="71" spans="1:54" s="26" customFormat="1" ht="16.5" x14ac:dyDescent="0.15">
      <c r="A71" s="5"/>
      <c r="B71" s="5"/>
      <c r="C71" s="5"/>
      <c r="D71" s="5"/>
      <c r="E71" s="5"/>
      <c r="F71" s="13"/>
      <c r="G71" s="7"/>
      <c r="H71" s="73" t="s">
        <v>327</v>
      </c>
      <c r="I71" s="36" t="s">
        <v>328</v>
      </c>
      <c r="J71" s="75">
        <v>44650</v>
      </c>
      <c r="K71" s="75">
        <v>44662</v>
      </c>
      <c r="L71" s="75">
        <v>44671</v>
      </c>
      <c r="M71" s="36" t="s">
        <v>110</v>
      </c>
      <c r="N71" s="77">
        <v>39.07</v>
      </c>
      <c r="O71" s="77">
        <v>38.479999999999997</v>
      </c>
      <c r="P71" s="77">
        <v>1428.6999999999998</v>
      </c>
      <c r="Q71" s="77">
        <v>1133.3</v>
      </c>
      <c r="R71" s="36">
        <v>320</v>
      </c>
      <c r="S71" s="36">
        <v>7794</v>
      </c>
      <c r="T71" s="37">
        <v>5191530</v>
      </c>
      <c r="U71" s="77">
        <v>4099.1027268765047</v>
      </c>
      <c r="V71" s="36">
        <v>5332</v>
      </c>
      <c r="W71" s="36">
        <v>247</v>
      </c>
      <c r="X71" s="37">
        <v>5332</v>
      </c>
      <c r="Y71" s="77">
        <v>3.807489E-2</v>
      </c>
      <c r="Z71" s="77">
        <v>2626.4031</v>
      </c>
      <c r="AA71" s="77">
        <v>6.330835284933646</v>
      </c>
      <c r="AB71" s="36" t="s">
        <v>117</v>
      </c>
      <c r="AC71" s="36" t="s">
        <v>159</v>
      </c>
      <c r="AD71" s="75">
        <v>44659</v>
      </c>
      <c r="AE71" s="75">
        <v>44662</v>
      </c>
      <c r="AF71" s="75">
        <v>44662</v>
      </c>
      <c r="AG71" s="77">
        <v>22862.452029399999</v>
      </c>
      <c r="AH71" s="36"/>
      <c r="AI71" s="36" t="s">
        <v>211</v>
      </c>
      <c r="AJ71" s="36" t="s">
        <v>106</v>
      </c>
      <c r="AK71" s="36" t="s">
        <v>113</v>
      </c>
      <c r="AL71" s="49" t="str">
        <f>[1]!s_ipo_inq_anncedate(H71)</f>
        <v>2022-03-30</v>
      </c>
      <c r="AM71" s="50" t="str">
        <f>[1]!s_ipo_inq_startdate(H71)</f>
        <v>2022-04-06</v>
      </c>
      <c r="AN71" s="50" t="str">
        <f>[1]!s_ipo_inq_enddate(H71)</f>
        <v>2022-04-06</v>
      </c>
      <c r="AO71" s="50" t="str">
        <f>[1]!s_ipo_inqresultdate(H71)</f>
        <v>2022-04-08</v>
      </c>
      <c r="AP71" s="50" t="str">
        <f>[1]!s_ipo_op_enddate(H71)</f>
        <v>2022-04-11</v>
      </c>
      <c r="AQ71" s="50" t="str">
        <f>[1]!s_ipo_cappaydate(H71)</f>
        <v>2022-04-13</v>
      </c>
      <c r="AR71" s="51" t="str">
        <f>[1]!s_ipo_placingdate(H71)</f>
        <v>2022-04-15</v>
      </c>
      <c r="AS71" s="58">
        <f>[1]!s_ipo_vsprice_max(H71)</f>
        <v>46.2</v>
      </c>
      <c r="AT71" s="59">
        <f>[1]!s_ipo_vsprice_min(H71)</f>
        <v>39.07</v>
      </c>
      <c r="AU71" s="59">
        <f>[1]!s_ipo_vsshares(H71,100000000)</f>
        <v>332.63499999999999</v>
      </c>
      <c r="AV71" s="59">
        <f>[1]!s_ipo_vssharespct(H71)</f>
        <v>64.072633693728051</v>
      </c>
      <c r="AW71" s="59">
        <f>[1]!s_ipo_invsshares_a(H71,100000000)</f>
        <v>5.2370000000000001</v>
      </c>
      <c r="AX71" s="60">
        <f>[1]!s_ipo_invssharespct_a(H71)</f>
        <v>1.0087584970134045</v>
      </c>
      <c r="AY71" s="65">
        <f>[1]!s_ipo_lotteryrate_abc(H71,1)</f>
        <v>5.895823E-2</v>
      </c>
      <c r="AZ71" s="66">
        <f>[1]!s_ipo_lotteryrate_abc(H71,2)</f>
        <v>5.4710059999999998E-2</v>
      </c>
      <c r="BA71" s="67">
        <f>[1]!s_ipo_lotteryrate_abc(H71,3)</f>
        <v>2.0296709999999999E-2</v>
      </c>
      <c r="BB71" s="27"/>
    </row>
    <row r="72" spans="1:54" s="26" customFormat="1" ht="16.5" x14ac:dyDescent="0.15">
      <c r="A72" s="5"/>
      <c r="B72" s="5"/>
      <c r="C72" s="5"/>
      <c r="D72" s="5"/>
      <c r="E72" s="5"/>
      <c r="F72" s="13"/>
      <c r="G72" s="7"/>
      <c r="H72" s="73" t="s">
        <v>329</v>
      </c>
      <c r="I72" s="36" t="s">
        <v>330</v>
      </c>
      <c r="J72" s="75">
        <v>44650</v>
      </c>
      <c r="K72" s="75">
        <v>44662</v>
      </c>
      <c r="L72" s="75">
        <v>44673</v>
      </c>
      <c r="M72" s="36" t="s">
        <v>116</v>
      </c>
      <c r="N72" s="77">
        <v>21.33</v>
      </c>
      <c r="O72" s="77">
        <v>32.479999999999997</v>
      </c>
      <c r="P72" s="77">
        <v>2351.1</v>
      </c>
      <c r="Q72" s="77">
        <v>2214.1</v>
      </c>
      <c r="R72" s="36">
        <v>324</v>
      </c>
      <c r="S72" s="36">
        <v>8049</v>
      </c>
      <c r="T72" s="37">
        <v>9932990</v>
      </c>
      <c r="U72" s="77">
        <v>4224.8266768746544</v>
      </c>
      <c r="V72" s="36">
        <v>5486</v>
      </c>
      <c r="W72" s="36">
        <v>214</v>
      </c>
      <c r="X72" s="37">
        <v>5486</v>
      </c>
      <c r="Y72" s="77">
        <v>3.6962849999999998E-2</v>
      </c>
      <c r="Z72" s="77">
        <v>2705.4187000000002</v>
      </c>
      <c r="AA72" s="77"/>
      <c r="AB72" s="36" t="s">
        <v>103</v>
      </c>
      <c r="AC72" s="36" t="s">
        <v>331</v>
      </c>
      <c r="AD72" s="75">
        <v>44659</v>
      </c>
      <c r="AE72" s="75">
        <v>44662</v>
      </c>
      <c r="AF72" s="75">
        <v>44662</v>
      </c>
      <c r="AG72" s="77">
        <v>20818.965408299999</v>
      </c>
      <c r="AH72" s="36"/>
      <c r="AI72" s="36" t="s">
        <v>119</v>
      </c>
      <c r="AJ72" s="36" t="s">
        <v>106</v>
      </c>
      <c r="AK72" s="36" t="s">
        <v>113</v>
      </c>
      <c r="AL72" s="49" t="str">
        <f>[1]!s_ipo_inq_anncedate(H72)</f>
        <v>2022-03-30</v>
      </c>
      <c r="AM72" s="50" t="str">
        <f>[1]!s_ipo_inq_startdate(H72)</f>
        <v>2022-04-06</v>
      </c>
      <c r="AN72" s="50" t="str">
        <f>[1]!s_ipo_inq_enddate(H72)</f>
        <v>2022-04-06</v>
      </c>
      <c r="AO72" s="50" t="str">
        <f>[1]!s_ipo_inqresultdate(H72)</f>
        <v>2022-04-08</v>
      </c>
      <c r="AP72" s="50" t="str">
        <f>[1]!s_ipo_op_enddate(H72)</f>
        <v>2022-04-11</v>
      </c>
      <c r="AQ72" s="50" t="str">
        <f>[1]!s_ipo_cappaydate(H72)</f>
        <v>2022-04-13</v>
      </c>
      <c r="AR72" s="51" t="str">
        <f>[1]!s_ipo_placingdate(H72)</f>
        <v>2022-04-15</v>
      </c>
      <c r="AS72" s="58">
        <f>[1]!s_ipo_vsprice_max(H72)</f>
        <v>25.22</v>
      </c>
      <c r="AT72" s="59">
        <f>[1]!s_ipo_vsprice_min(H72)</f>
        <v>21.34</v>
      </c>
      <c r="AU72" s="59">
        <f>[1]!s_ipo_vsshares(H72,100000000)</f>
        <v>636.07100000000003</v>
      </c>
      <c r="AV72" s="59">
        <f>[1]!s_ipo_vssharespct(H72)</f>
        <v>64.0362066205644</v>
      </c>
      <c r="AW72" s="59">
        <f>[1]!s_ipo_invsshares_a(H72,100000000)</f>
        <v>11.037000000000001</v>
      </c>
      <c r="AX72" s="60">
        <f>[1]!s_ipo_invssharespct_a(H72)</f>
        <v>1.1111457879248847</v>
      </c>
      <c r="AY72" s="65">
        <f>[1]!s_ipo_lotteryrate_abc(H72,1)</f>
        <v>5.8393220000000003E-2</v>
      </c>
      <c r="AZ72" s="66">
        <f>[1]!s_ipo_lotteryrate_abc(H72,2)</f>
        <v>3.8607120000000002E-2</v>
      </c>
      <c r="BA72" s="67">
        <f>[1]!s_ipo_lotteryrate_abc(H72,3)</f>
        <v>1.9257819999999998E-2</v>
      </c>
      <c r="BB72" s="27"/>
    </row>
    <row r="73" spans="1:54" s="26" customFormat="1" ht="16.5" x14ac:dyDescent="0.15">
      <c r="A73" s="5"/>
      <c r="B73" s="5"/>
      <c r="C73" s="5"/>
      <c r="D73" s="5"/>
      <c r="E73" s="5"/>
      <c r="F73" s="13"/>
      <c r="G73" s="7"/>
      <c r="H73" s="73" t="s">
        <v>332</v>
      </c>
      <c r="I73" s="36" t="s">
        <v>333</v>
      </c>
      <c r="J73" s="75">
        <v>44650</v>
      </c>
      <c r="K73" s="75">
        <v>44662</v>
      </c>
      <c r="L73" s="75">
        <v>44671</v>
      </c>
      <c r="M73" s="36" t="s">
        <v>124</v>
      </c>
      <c r="N73" s="77">
        <v>82</v>
      </c>
      <c r="O73" s="77">
        <v>107.36</v>
      </c>
      <c r="P73" s="77">
        <v>1500.385</v>
      </c>
      <c r="Q73" s="77">
        <v>808.7</v>
      </c>
      <c r="R73" s="36">
        <v>319</v>
      </c>
      <c r="S73" s="36">
        <v>8091</v>
      </c>
      <c r="T73" s="37">
        <v>3665810</v>
      </c>
      <c r="U73" s="77">
        <v>2637.5304930804409</v>
      </c>
      <c r="V73" s="36">
        <v>4398</v>
      </c>
      <c r="W73" s="36">
        <v>199</v>
      </c>
      <c r="X73" s="37">
        <v>4398</v>
      </c>
      <c r="Y73" s="77">
        <v>7.6100669999999995E-2</v>
      </c>
      <c r="Z73" s="77">
        <v>1314.049</v>
      </c>
      <c r="AA73" s="77">
        <v>4.7863331146319865</v>
      </c>
      <c r="AB73" s="36" t="s">
        <v>125</v>
      </c>
      <c r="AC73" s="36" t="s">
        <v>111</v>
      </c>
      <c r="AD73" s="75">
        <v>44659</v>
      </c>
      <c r="AE73" s="75">
        <v>44662</v>
      </c>
      <c r="AF73" s="75">
        <v>44662</v>
      </c>
      <c r="AG73" s="77">
        <v>15725.363859999999</v>
      </c>
      <c r="AH73" s="36"/>
      <c r="AI73" s="36" t="s">
        <v>126</v>
      </c>
      <c r="AJ73" s="36" t="s">
        <v>106</v>
      </c>
      <c r="AK73" s="36" t="s">
        <v>107</v>
      </c>
      <c r="AL73" s="49" t="str">
        <f>[1]!s_ipo_inq_anncedate(H73)</f>
        <v>2022-03-30</v>
      </c>
      <c r="AM73" s="50" t="str">
        <f>[1]!s_ipo_inq_startdate(H73)</f>
        <v>2022-04-06</v>
      </c>
      <c r="AN73" s="50" t="str">
        <f>[1]!s_ipo_inq_enddate(H73)</f>
        <v>2022-04-06</v>
      </c>
      <c r="AO73" s="50" t="str">
        <f>[1]!s_ipo_inqresultdate(H73)</f>
        <v>2022-04-08</v>
      </c>
      <c r="AP73" s="50" t="str">
        <f>[1]!s_ipo_op_enddate(H73)</f>
        <v>2022-04-11</v>
      </c>
      <c r="AQ73" s="50" t="str">
        <f>[1]!s_ipo_cappaydate(H73)</f>
        <v>2022-04-13</v>
      </c>
      <c r="AR73" s="51" t="str">
        <f>[1]!s_ipo_placingdate(H73)</f>
        <v>2022-04-15</v>
      </c>
      <c r="AS73" s="58">
        <f>[1]!s_ipo_vsprice_max(H73)</f>
        <v>106.97</v>
      </c>
      <c r="AT73" s="59">
        <f>[1]!s_ipo_vsprice_min(H73)</f>
        <v>82</v>
      </c>
      <c r="AU73" s="59">
        <f>[1]!s_ipo_vsshares(H73,100000000)</f>
        <v>182.63499999999999</v>
      </c>
      <c r="AV73" s="59">
        <f>[1]!s_ipo_vssharespct(H73)</f>
        <v>49.821185495156598</v>
      </c>
      <c r="AW73" s="59">
        <f>[1]!s_ipo_invsshares_a(H73,100000000)</f>
        <v>3.694</v>
      </c>
      <c r="AX73" s="60">
        <f>[1]!s_ipo_invssharespct_a(H73)</f>
        <v>1.0076899784767894</v>
      </c>
      <c r="AY73" s="65">
        <f>[1]!s_ipo_lotteryrate_abc(H73,1)</f>
        <v>9.1758859999999998E-2</v>
      </c>
      <c r="AZ73" s="66">
        <f>[1]!s_ipo_lotteryrate_abc(H73,2)</f>
        <v>9.1726940000000007E-2</v>
      </c>
      <c r="BA73" s="67">
        <f>[1]!s_ipo_lotteryrate_abc(H73,3)</f>
        <v>5.3389369999999998E-2</v>
      </c>
      <c r="BB73" s="27"/>
    </row>
    <row r="74" spans="1:54" s="26" customFormat="1" ht="16.5" x14ac:dyDescent="0.15">
      <c r="A74" s="5"/>
      <c r="B74" s="5"/>
      <c r="C74" s="5"/>
      <c r="D74" s="5"/>
      <c r="E74" s="5"/>
      <c r="F74" s="13"/>
      <c r="G74" s="7"/>
      <c r="H74" s="73" t="s">
        <v>334</v>
      </c>
      <c r="I74" s="36" t="s">
        <v>335</v>
      </c>
      <c r="J74" s="75">
        <v>44649</v>
      </c>
      <c r="K74" s="75">
        <v>44659</v>
      </c>
      <c r="L74" s="75">
        <v>44670</v>
      </c>
      <c r="M74" s="36" t="s">
        <v>136</v>
      </c>
      <c r="N74" s="77">
        <v>24.23</v>
      </c>
      <c r="O74" s="77">
        <v>164.3</v>
      </c>
      <c r="P74" s="77">
        <v>3099.2999999999997</v>
      </c>
      <c r="Q74" s="77">
        <v>1100.7</v>
      </c>
      <c r="R74" s="36">
        <v>355</v>
      </c>
      <c r="S74" s="36">
        <v>9249</v>
      </c>
      <c r="T74" s="37">
        <v>11185000</v>
      </c>
      <c r="U74" s="77">
        <v>4043.3104522087574</v>
      </c>
      <c r="V74" s="36">
        <v>6508</v>
      </c>
      <c r="W74" s="36">
        <v>234</v>
      </c>
      <c r="X74" s="37">
        <v>6508</v>
      </c>
      <c r="Y74" s="77">
        <v>3.5970839999999997E-2</v>
      </c>
      <c r="Z74" s="77">
        <v>2780.0299</v>
      </c>
      <c r="AA74" s="77">
        <v>7.92862857142857</v>
      </c>
      <c r="AB74" s="36" t="s">
        <v>125</v>
      </c>
      <c r="AC74" s="36" t="s">
        <v>206</v>
      </c>
      <c r="AD74" s="75">
        <v>44658</v>
      </c>
      <c r="AE74" s="75">
        <v>44659</v>
      </c>
      <c r="AF74" s="75">
        <v>44659</v>
      </c>
      <c r="AG74" s="77">
        <v>6694.2991700499997</v>
      </c>
      <c r="AH74" s="36"/>
      <c r="AI74" s="36" t="s">
        <v>336</v>
      </c>
      <c r="AJ74" s="36" t="s">
        <v>106</v>
      </c>
      <c r="AK74" s="36" t="s">
        <v>107</v>
      </c>
      <c r="AL74" s="49" t="str">
        <f>[1]!s_ipo_inq_anncedate(H74)</f>
        <v>2022-03-29</v>
      </c>
      <c r="AM74" s="50" t="str">
        <f>[1]!s_ipo_inq_startdate(H74)</f>
        <v>2022-04-01</v>
      </c>
      <c r="AN74" s="50" t="str">
        <f>[1]!s_ipo_inq_enddate(H74)</f>
        <v>2022-04-01</v>
      </c>
      <c r="AO74" s="50" t="str">
        <f>[1]!s_ipo_inqresultdate(H74)</f>
        <v>2022-04-07</v>
      </c>
      <c r="AP74" s="50" t="str">
        <f>[1]!s_ipo_op_enddate(H74)</f>
        <v>2022-04-08</v>
      </c>
      <c r="AQ74" s="50" t="str">
        <f>[1]!s_ipo_cappaydate(H74)</f>
        <v>2022-04-12</v>
      </c>
      <c r="AR74" s="51" t="str">
        <f>[1]!s_ipo_placingdate(H74)</f>
        <v>2022-04-14</v>
      </c>
      <c r="AS74" s="58">
        <f>[1]!s_ipo_vsprice_max(H74)</f>
        <v>28.14</v>
      </c>
      <c r="AT74" s="59">
        <f>[1]!s_ipo_vsprice_min(H74)</f>
        <v>24.23</v>
      </c>
      <c r="AU74" s="59">
        <f>[1]!s_ipo_vsshares(H74,100000000)</f>
        <v>769.03899999999999</v>
      </c>
      <c r="AV74" s="59">
        <f>[1]!s_ipo_vssharespct(H74)</f>
        <v>68.756280733124726</v>
      </c>
      <c r="AW74" s="59">
        <f>[1]!s_ipo_invsshares_a(H74,100000000)</f>
        <v>11.237</v>
      </c>
      <c r="AX74" s="60">
        <f>[1]!s_ipo_invssharespct_a(H74)</f>
        <v>1.0046490835940991</v>
      </c>
      <c r="AY74" s="65">
        <f>[1]!s_ipo_lotteryrate_abc(H74,1)</f>
        <v>4.5487350000000003E-2</v>
      </c>
      <c r="AZ74" s="66">
        <f>[1]!s_ipo_lotteryrate_abc(H74,2)</f>
        <v>3.8632399999999997E-2</v>
      </c>
      <c r="BA74" s="67">
        <f>[1]!s_ipo_lotteryrate_abc(H74,3)</f>
        <v>2.4016889999999999E-2</v>
      </c>
      <c r="BB74" s="27"/>
    </row>
    <row r="75" spans="1:54" s="26" customFormat="1" ht="16.5" x14ac:dyDescent="0.15">
      <c r="A75" s="5"/>
      <c r="B75" s="5"/>
      <c r="C75" s="5"/>
      <c r="D75" s="5"/>
      <c r="E75" s="5"/>
      <c r="F75" s="13"/>
      <c r="G75" s="7"/>
      <c r="H75" s="73" t="s">
        <v>337</v>
      </c>
      <c r="I75" s="36" t="s">
        <v>338</v>
      </c>
      <c r="J75" s="75">
        <v>44649</v>
      </c>
      <c r="K75" s="75">
        <v>44659</v>
      </c>
      <c r="L75" s="75">
        <v>44671</v>
      </c>
      <c r="M75" s="36" t="s">
        <v>136</v>
      </c>
      <c r="N75" s="77">
        <v>71.88</v>
      </c>
      <c r="O75" s="77"/>
      <c r="P75" s="77">
        <v>2348.5300000000002</v>
      </c>
      <c r="Q75" s="77">
        <v>813.45</v>
      </c>
      <c r="R75" s="36">
        <v>299</v>
      </c>
      <c r="S75" s="36">
        <v>7708</v>
      </c>
      <c r="T75" s="37">
        <v>5100290</v>
      </c>
      <c r="U75" s="77">
        <v>2621.484506468325</v>
      </c>
      <c r="V75" s="36">
        <v>5708</v>
      </c>
      <c r="W75" s="36">
        <v>208</v>
      </c>
      <c r="X75" s="37">
        <v>5708</v>
      </c>
      <c r="Y75" s="77">
        <v>5.2602110000000001E-2</v>
      </c>
      <c r="Z75" s="77">
        <v>1901.0644</v>
      </c>
      <c r="AA75" s="77">
        <v>12.743812421330938</v>
      </c>
      <c r="AB75" s="36" t="s">
        <v>117</v>
      </c>
      <c r="AC75" s="36" t="s">
        <v>339</v>
      </c>
      <c r="AD75" s="75">
        <v>44658</v>
      </c>
      <c r="AE75" s="75">
        <v>44659</v>
      </c>
      <c r="AF75" s="75">
        <v>44659</v>
      </c>
      <c r="AG75" s="77">
        <v>13424.083815600001</v>
      </c>
      <c r="AH75" s="36"/>
      <c r="AI75" s="36" t="s">
        <v>189</v>
      </c>
      <c r="AJ75" s="36" t="s">
        <v>120</v>
      </c>
      <c r="AK75" s="36" t="s">
        <v>127</v>
      </c>
      <c r="AL75" s="49" t="str">
        <f>[1]!s_ipo_inq_anncedate(H75)</f>
        <v>2022-03-29</v>
      </c>
      <c r="AM75" s="50" t="str">
        <f>[1]!s_ipo_inq_startdate(H75)</f>
        <v>2022-04-01</v>
      </c>
      <c r="AN75" s="50" t="str">
        <f>[1]!s_ipo_inq_enddate(H75)</f>
        <v>2022-04-01</v>
      </c>
      <c r="AO75" s="50" t="str">
        <f>[1]!s_ipo_inqresultdate(H75)</f>
        <v>2022-04-07</v>
      </c>
      <c r="AP75" s="50" t="str">
        <f>[1]!s_ipo_op_enddate(H75)</f>
        <v>2022-04-08</v>
      </c>
      <c r="AQ75" s="50" t="str">
        <f>[1]!s_ipo_cappaydate(H75)</f>
        <v>2022-04-12</v>
      </c>
      <c r="AR75" s="51" t="str">
        <f>[1]!s_ipo_placingdate(H75)</f>
        <v>2022-04-14</v>
      </c>
      <c r="AS75" s="58">
        <f>[1]!s_ipo_vsprice_max(H75)</f>
        <v>119.05</v>
      </c>
      <c r="AT75" s="59">
        <f>[1]!s_ipo_vsprice_min(H75)</f>
        <v>71.88</v>
      </c>
      <c r="AU75" s="59">
        <f>[1]!s_ipo_vsshares(H75,100000000)</f>
        <v>369.86599999999999</v>
      </c>
      <c r="AV75" s="59">
        <f>[1]!s_ipo_vssharespct(H75)</f>
        <v>72.518621490150565</v>
      </c>
      <c r="AW75" s="59">
        <f>[1]!s_ipo_invsshares_a(H75,100000000)</f>
        <v>5.141</v>
      </c>
      <c r="AX75" s="60">
        <f>[1]!s_ipo_invssharespct_a(H75)</f>
        <v>1.0079818990684843</v>
      </c>
      <c r="AY75" s="65">
        <f>[1]!s_ipo_lotteryrate_abc(H75,1)</f>
        <v>5.3004839999999998E-2</v>
      </c>
      <c r="AZ75" s="66">
        <f>[1]!s_ipo_lotteryrate_abc(H75,2)</f>
        <v>5.2265100000000002E-2</v>
      </c>
      <c r="BA75" s="67">
        <f>[1]!s_ipo_lotteryrate_abc(H75,3)</f>
        <v>5.1542280000000003E-2</v>
      </c>
      <c r="BB75" s="27"/>
    </row>
    <row r="76" spans="1:54" s="26" customFormat="1" ht="16.5" x14ac:dyDescent="0.15">
      <c r="A76" s="5"/>
      <c r="B76" s="5"/>
      <c r="C76" s="5"/>
      <c r="D76" s="5"/>
      <c r="E76" s="5"/>
      <c r="F76" s="13"/>
      <c r="G76" s="7"/>
      <c r="H76" s="73" t="s">
        <v>340</v>
      </c>
      <c r="I76" s="36" t="s">
        <v>341</v>
      </c>
      <c r="J76" s="75">
        <v>44645</v>
      </c>
      <c r="K76" s="75">
        <v>44658</v>
      </c>
      <c r="L76" s="75">
        <v>44670</v>
      </c>
      <c r="M76" s="36" t="s">
        <v>110</v>
      </c>
      <c r="N76" s="77">
        <v>26.27</v>
      </c>
      <c r="O76" s="77">
        <v>28.78</v>
      </c>
      <c r="P76" s="77">
        <v>1050.5999999999999</v>
      </c>
      <c r="Q76" s="77">
        <v>989.4</v>
      </c>
      <c r="R76" s="36">
        <v>342</v>
      </c>
      <c r="S76" s="36">
        <v>8122</v>
      </c>
      <c r="T76" s="37">
        <v>4679190</v>
      </c>
      <c r="U76" s="77">
        <v>4453.8263849229015</v>
      </c>
      <c r="V76" s="36">
        <v>5925</v>
      </c>
      <c r="W76" s="36">
        <v>243</v>
      </c>
      <c r="X76" s="37">
        <v>5925</v>
      </c>
      <c r="Y76" s="77">
        <v>3.0806489999999999E-2</v>
      </c>
      <c r="Z76" s="77">
        <v>3246.0689000000002</v>
      </c>
      <c r="AA76" s="77"/>
      <c r="AB76" s="36" t="s">
        <v>103</v>
      </c>
      <c r="AC76" s="36" t="s">
        <v>188</v>
      </c>
      <c r="AD76" s="75">
        <v>44657</v>
      </c>
      <c r="AE76" s="75">
        <v>44658</v>
      </c>
      <c r="AF76" s="75">
        <v>44658</v>
      </c>
      <c r="AG76" s="77">
        <v>14505.194731850001</v>
      </c>
      <c r="AH76" s="36"/>
      <c r="AI76" s="36" t="s">
        <v>152</v>
      </c>
      <c r="AJ76" s="36" t="s">
        <v>106</v>
      </c>
      <c r="AK76" s="36" t="s">
        <v>121</v>
      </c>
      <c r="AL76" s="49" t="str">
        <f>[1]!s_ipo_inq_anncedate(H76)</f>
        <v>2022-03-25</v>
      </c>
      <c r="AM76" s="50" t="str">
        <f>[1]!s_ipo_inq_startdate(H76)</f>
        <v>2022-03-31</v>
      </c>
      <c r="AN76" s="50" t="str">
        <f>[1]!s_ipo_inq_enddate(H76)</f>
        <v>2022-03-31</v>
      </c>
      <c r="AO76" s="50" t="str">
        <f>[1]!s_ipo_inqresultdate(H76)</f>
        <v>2022-04-06</v>
      </c>
      <c r="AP76" s="50" t="str">
        <f>[1]!s_ipo_op_enddate(H76)</f>
        <v>2022-04-07</v>
      </c>
      <c r="AQ76" s="50" t="str">
        <f>[1]!s_ipo_cappaydate(H76)</f>
        <v>2022-04-11</v>
      </c>
      <c r="AR76" s="51" t="str">
        <f>[1]!s_ipo_placingdate(H76)</f>
        <v>2022-04-13</v>
      </c>
      <c r="AS76" s="58">
        <f>[1]!s_ipo_vsprice_max(H76)</f>
        <v>31</v>
      </c>
      <c r="AT76" s="59">
        <f>[1]!s_ipo_vsprice_min(H76)</f>
        <v>26.28</v>
      </c>
      <c r="AU76" s="59">
        <f>[1]!s_ipo_vsshares(H76,100000000)</f>
        <v>341.03199999999998</v>
      </c>
      <c r="AV76" s="59">
        <f>[1]!s_ipo_vssharespct(H76)</f>
        <v>72.882699783509537</v>
      </c>
      <c r="AW76" s="59">
        <f>[1]!s_ipo_invsshares_a(H76,100000000)</f>
        <v>4.7009999999999996</v>
      </c>
      <c r="AX76" s="60">
        <f>[1]!s_ipo_invssharespct_a(H76)</f>
        <v>1.0046610631327217</v>
      </c>
      <c r="AY76" s="65">
        <f>[1]!s_ipo_lotteryrate_abc(H76,1)</f>
        <v>4.6069569999999997E-2</v>
      </c>
      <c r="AZ76" s="66">
        <f>[1]!s_ipo_lotteryrate_abc(H76,2)</f>
        <v>1.7882909999999998E-2</v>
      </c>
      <c r="BA76" s="67">
        <f>[1]!s_ipo_lotteryrate_abc(H76,3)</f>
        <v>1.6364500000000001E-2</v>
      </c>
      <c r="BB76" s="27"/>
    </row>
    <row r="77" spans="1:54" s="26" customFormat="1" ht="16.5" x14ac:dyDescent="0.15">
      <c r="A77" s="5"/>
      <c r="B77" s="5"/>
      <c r="C77" s="5"/>
      <c r="D77" s="5"/>
      <c r="E77" s="5"/>
      <c r="F77" s="13"/>
      <c r="G77" s="7"/>
      <c r="H77" s="73" t="s">
        <v>342</v>
      </c>
      <c r="I77" s="36" t="s">
        <v>343</v>
      </c>
      <c r="J77" s="75">
        <v>44648</v>
      </c>
      <c r="K77" s="75">
        <v>44658</v>
      </c>
      <c r="L77" s="75">
        <v>44670</v>
      </c>
      <c r="M77" s="36" t="s">
        <v>136</v>
      </c>
      <c r="N77" s="77">
        <v>121</v>
      </c>
      <c r="O77" s="77">
        <v>244.87</v>
      </c>
      <c r="P77" s="77">
        <v>2033.25</v>
      </c>
      <c r="Q77" s="77">
        <v>966.75</v>
      </c>
      <c r="R77" s="36">
        <v>284</v>
      </c>
      <c r="S77" s="36">
        <v>7060</v>
      </c>
      <c r="T77" s="37">
        <v>3663080</v>
      </c>
      <c r="U77" s="77">
        <v>2441.0681182408116</v>
      </c>
      <c r="V77" s="36">
        <v>3470</v>
      </c>
      <c r="W77" s="36">
        <v>118</v>
      </c>
      <c r="X77" s="37">
        <v>3470</v>
      </c>
      <c r="Y77" s="77">
        <v>7.5905840000000002E-2</v>
      </c>
      <c r="Z77" s="77">
        <v>1317.4215999999999</v>
      </c>
      <c r="AA77" s="77">
        <v>17.754820000000006</v>
      </c>
      <c r="AB77" s="36" t="s">
        <v>117</v>
      </c>
      <c r="AC77" s="36" t="s">
        <v>344</v>
      </c>
      <c r="AD77" s="75">
        <v>44657</v>
      </c>
      <c r="AE77" s="75">
        <v>44658</v>
      </c>
      <c r="AF77" s="75">
        <v>44658</v>
      </c>
      <c r="AG77" s="77">
        <v>30184.504515000001</v>
      </c>
      <c r="AH77" s="36"/>
      <c r="AI77" s="36" t="s">
        <v>345</v>
      </c>
      <c r="AJ77" s="36" t="s">
        <v>120</v>
      </c>
      <c r="AK77" s="36" t="s">
        <v>107</v>
      </c>
      <c r="AL77" s="49" t="str">
        <f>[1]!s_ipo_inq_anncedate(H77)</f>
        <v>2022-03-28</v>
      </c>
      <c r="AM77" s="50" t="str">
        <f>[1]!s_ipo_inq_startdate(H77)</f>
        <v>2022-03-31</v>
      </c>
      <c r="AN77" s="50" t="str">
        <f>[1]!s_ipo_inq_enddate(H77)</f>
        <v>2022-03-31</v>
      </c>
      <c r="AO77" s="50" t="str">
        <f>[1]!s_ipo_inqresultdate(H77)</f>
        <v>2022-04-06</v>
      </c>
      <c r="AP77" s="50" t="str">
        <f>[1]!s_ipo_op_enddate(H77)</f>
        <v>2022-04-07</v>
      </c>
      <c r="AQ77" s="50" t="str">
        <f>[1]!s_ipo_cappaydate(H77)</f>
        <v>2022-04-11</v>
      </c>
      <c r="AR77" s="51" t="str">
        <f>[1]!s_ipo_placingdate(H77)</f>
        <v>2022-04-13</v>
      </c>
      <c r="AS77" s="58">
        <f>[1]!s_ipo_vsprice_max(H77)</f>
        <v>196.88</v>
      </c>
      <c r="AT77" s="59">
        <f>[1]!s_ipo_vsprice_min(H77)</f>
        <v>121</v>
      </c>
      <c r="AU77" s="59">
        <f>[1]!s_ipo_vsshares(H77,100000000)</f>
        <v>197.69300000000001</v>
      </c>
      <c r="AV77" s="59">
        <f>[1]!s_ipo_vssharespct(H77)</f>
        <v>53.969064284700309</v>
      </c>
      <c r="AW77" s="59">
        <f>[1]!s_ipo_invsshares_a(H77,100000000)</f>
        <v>3.702</v>
      </c>
      <c r="AX77" s="60">
        <f>[1]!s_ipo_invssharespct_a(H77)</f>
        <v>1.0106249385762802</v>
      </c>
      <c r="AY77" s="65">
        <f>[1]!s_ipo_lotteryrate_abc(H77,1)</f>
        <v>7.5910569999999997E-2</v>
      </c>
      <c r="AZ77" s="66">
        <f>[1]!s_ipo_lotteryrate_abc(H77,2)</f>
        <v>7.5898030000000005E-2</v>
      </c>
      <c r="BA77" s="67">
        <f>[1]!s_ipo_lotteryrate_abc(H77,3)</f>
        <v>7.5877620000000007E-2</v>
      </c>
      <c r="BB77" s="27"/>
    </row>
    <row r="78" spans="1:54" s="26" customFormat="1" ht="16.5" x14ac:dyDescent="0.15">
      <c r="A78" s="5"/>
      <c r="B78" s="5"/>
      <c r="C78" s="5"/>
      <c r="D78" s="5"/>
      <c r="E78" s="5"/>
      <c r="F78" s="13"/>
      <c r="G78" s="7"/>
      <c r="H78" s="73" t="s">
        <v>346</v>
      </c>
      <c r="I78" s="36" t="s">
        <v>347</v>
      </c>
      <c r="J78" s="75">
        <v>44645</v>
      </c>
      <c r="K78" s="75">
        <v>44658</v>
      </c>
      <c r="L78" s="75">
        <v>44670</v>
      </c>
      <c r="M78" s="36" t="s">
        <v>110</v>
      </c>
      <c r="N78" s="77">
        <v>13.73</v>
      </c>
      <c r="O78" s="77">
        <v>43.68</v>
      </c>
      <c r="P78" s="77">
        <v>3506.45</v>
      </c>
      <c r="Q78" s="77">
        <v>2685.55</v>
      </c>
      <c r="R78" s="36">
        <v>354</v>
      </c>
      <c r="S78" s="36">
        <v>8452</v>
      </c>
      <c r="T78" s="37">
        <v>11731520</v>
      </c>
      <c r="U78" s="77">
        <v>4120.2124321223246</v>
      </c>
      <c r="V78" s="36">
        <v>5694</v>
      </c>
      <c r="W78" s="36">
        <v>278</v>
      </c>
      <c r="X78" s="37">
        <v>5688</v>
      </c>
      <c r="Y78" s="77">
        <v>3.7077869999999999E-2</v>
      </c>
      <c r="Z78" s="77">
        <v>2697.0268000000001</v>
      </c>
      <c r="AA78" s="77">
        <v>10.645033914728682</v>
      </c>
      <c r="AB78" s="36" t="s">
        <v>125</v>
      </c>
      <c r="AC78" s="36" t="s">
        <v>188</v>
      </c>
      <c r="AD78" s="75">
        <v>44657</v>
      </c>
      <c r="AE78" s="75">
        <v>44658</v>
      </c>
      <c r="AF78" s="75">
        <v>44658</v>
      </c>
      <c r="AG78" s="77">
        <v>16103.54388725</v>
      </c>
      <c r="AH78" s="36"/>
      <c r="AI78" s="36" t="s">
        <v>273</v>
      </c>
      <c r="AJ78" s="36" t="s">
        <v>106</v>
      </c>
      <c r="AK78" s="36" t="s">
        <v>113</v>
      </c>
      <c r="AL78" s="49" t="str">
        <f>[1]!s_ipo_inq_anncedate(H78)</f>
        <v>2022-03-25</v>
      </c>
      <c r="AM78" s="50" t="str">
        <f>[1]!s_ipo_inq_startdate(H78)</f>
        <v>2022-03-30</v>
      </c>
      <c r="AN78" s="50" t="str">
        <f>[1]!s_ipo_inq_enddate(H78)</f>
        <v>2022-03-30</v>
      </c>
      <c r="AO78" s="50" t="str">
        <f>[1]!s_ipo_inqresultdate(H78)</f>
        <v>2022-04-06</v>
      </c>
      <c r="AP78" s="50" t="str">
        <f>[1]!s_ipo_op_enddate(H78)</f>
        <v>2022-04-07</v>
      </c>
      <c r="AQ78" s="50" t="str">
        <f>[1]!s_ipo_cappaydate(H78)</f>
        <v>2022-04-11</v>
      </c>
      <c r="AR78" s="51" t="str">
        <f>[1]!s_ipo_placingdate(H78)</f>
        <v>2022-04-13</v>
      </c>
      <c r="AS78" s="58">
        <f>[1]!s_ipo_vsprice_max(H78)</f>
        <v>16.100000000000001</v>
      </c>
      <c r="AT78" s="59">
        <f>[1]!s_ipo_vsprice_min(H78)</f>
        <v>13.73</v>
      </c>
      <c r="AU78" s="59">
        <f>[1]!s_ipo_vsshares(H78,100000000)</f>
        <v>768.59</v>
      </c>
      <c r="AV78" s="59">
        <f>[1]!s_ipo_vssharespct(H78)</f>
        <v>65.514954583890244</v>
      </c>
      <c r="AW78" s="59">
        <f>[1]!s_ipo_invsshares_a(H78,100000000)</f>
        <v>11.788</v>
      </c>
      <c r="AX78" s="60">
        <f>[1]!s_ipo_invssharespct_a(H78)</f>
        <v>1.0048143804042442</v>
      </c>
      <c r="AY78" s="65">
        <f>[1]!s_ipo_lotteryrate_abc(H78,1)</f>
        <v>6.8742600000000001E-2</v>
      </c>
      <c r="AZ78" s="66">
        <f>[1]!s_ipo_lotteryrate_abc(H78,2)</f>
        <v>3.761337E-2</v>
      </c>
      <c r="BA78" s="67">
        <f>[1]!s_ipo_lotteryrate_abc(H78,3)</f>
        <v>1.7398670000000001E-2</v>
      </c>
      <c r="BB78" s="27"/>
    </row>
    <row r="79" spans="1:54" s="26" customFormat="1" ht="16.5" x14ac:dyDescent="0.15">
      <c r="A79" s="5"/>
      <c r="B79" s="5"/>
      <c r="C79" s="5"/>
      <c r="D79" s="5"/>
      <c r="E79" s="5"/>
      <c r="F79" s="13"/>
      <c r="G79" s="7"/>
      <c r="H79" s="73" t="s">
        <v>348</v>
      </c>
      <c r="I79" s="36" t="s">
        <v>349</v>
      </c>
      <c r="J79" s="75">
        <v>44645</v>
      </c>
      <c r="K79" s="75">
        <v>44657</v>
      </c>
      <c r="L79" s="75">
        <v>44666</v>
      </c>
      <c r="M79" s="36" t="s">
        <v>136</v>
      </c>
      <c r="N79" s="77">
        <v>60.55</v>
      </c>
      <c r="O79" s="77">
        <v>39.590000000000003</v>
      </c>
      <c r="P79" s="77">
        <v>1330.5520000000001</v>
      </c>
      <c r="Q79" s="77">
        <v>689.65</v>
      </c>
      <c r="R79" s="36">
        <v>330</v>
      </c>
      <c r="S79" s="36">
        <v>8750</v>
      </c>
      <c r="T79" s="37">
        <v>4258600</v>
      </c>
      <c r="U79" s="77">
        <v>4036.982957667798</v>
      </c>
      <c r="V79" s="36">
        <v>4687</v>
      </c>
      <c r="W79" s="36">
        <v>234</v>
      </c>
      <c r="X79" s="37">
        <v>4687</v>
      </c>
      <c r="Y79" s="77">
        <v>4.8255619999999999E-2</v>
      </c>
      <c r="Z79" s="77">
        <v>2072.2977000000001</v>
      </c>
      <c r="AA79" s="77">
        <v>13.644937486449374</v>
      </c>
      <c r="AB79" s="36" t="s">
        <v>125</v>
      </c>
      <c r="AC79" s="36" t="s">
        <v>288</v>
      </c>
      <c r="AD79" s="75">
        <v>44652</v>
      </c>
      <c r="AE79" s="75">
        <v>44657</v>
      </c>
      <c r="AF79" s="75">
        <v>44657</v>
      </c>
      <c r="AG79" s="77">
        <v>12253.624599999999</v>
      </c>
      <c r="AH79" s="36"/>
      <c r="AI79" s="36" t="s">
        <v>119</v>
      </c>
      <c r="AJ79" s="36" t="s">
        <v>106</v>
      </c>
      <c r="AK79" s="36" t="s">
        <v>127</v>
      </c>
      <c r="AL79" s="49" t="str">
        <f>[1]!s_ipo_inq_anncedate(H79)</f>
        <v>2022-03-25</v>
      </c>
      <c r="AM79" s="50" t="str">
        <f>[1]!s_ipo_inq_startdate(H79)</f>
        <v>2022-03-30</v>
      </c>
      <c r="AN79" s="50" t="str">
        <f>[1]!s_ipo_inq_enddate(H79)</f>
        <v>2022-03-30</v>
      </c>
      <c r="AO79" s="50" t="str">
        <f>[1]!s_ipo_inqresultdate(H79)</f>
        <v>2022-04-01</v>
      </c>
      <c r="AP79" s="50" t="str">
        <f>[1]!s_ipo_op_enddate(H79)</f>
        <v>2022-04-06</v>
      </c>
      <c r="AQ79" s="50" t="str">
        <f>[1]!s_ipo_cappaydate(H79)</f>
        <v>2022-04-08</v>
      </c>
      <c r="AR79" s="51" t="str">
        <f>[1]!s_ipo_placingdate(H79)</f>
        <v>2022-04-12</v>
      </c>
      <c r="AS79" s="58">
        <f>[1]!s_ipo_vsprice_max(H79)</f>
        <v>81.5</v>
      </c>
      <c r="AT79" s="59">
        <f>[1]!s_ipo_vsprice_min(H79)</f>
        <v>60.55</v>
      </c>
      <c r="AU79" s="59">
        <f>[1]!s_ipo_vsshares(H79,100000000)</f>
        <v>218.60599999999999</v>
      </c>
      <c r="AV79" s="59">
        <f>[1]!s_ipo_vssharespct(H79)</f>
        <v>51.332832386230223</v>
      </c>
      <c r="AW79" s="59">
        <f>[1]!s_ipo_invsshares_a(H79,100000000)</f>
        <v>4.2839999999999998</v>
      </c>
      <c r="AX79" s="60">
        <f>[1]!s_ipo_invssharespct_a(H79)</f>
        <v>1.0059644014464848</v>
      </c>
      <c r="AY79" s="65">
        <f>[1]!s_ipo_lotteryrate_abc(H79,1)</f>
        <v>6.2898540000000003E-2</v>
      </c>
      <c r="AZ79" s="66">
        <f>[1]!s_ipo_lotteryrate_abc(H79,2)</f>
        <v>6.0358549999999997E-2</v>
      </c>
      <c r="BA79" s="67">
        <f>[1]!s_ipo_lotteryrate_abc(H79,3)</f>
        <v>2.7008319999999999E-2</v>
      </c>
      <c r="BB79" s="27"/>
    </row>
    <row r="80" spans="1:54" s="26" customFormat="1" ht="16.5" x14ac:dyDescent="0.15">
      <c r="A80" s="5"/>
      <c r="B80" s="5"/>
      <c r="C80" s="5"/>
      <c r="D80" s="5"/>
      <c r="E80" s="5"/>
      <c r="F80" s="13"/>
      <c r="G80" s="7"/>
      <c r="H80" s="73" t="s">
        <v>350</v>
      </c>
      <c r="I80" s="36" t="s">
        <v>351</v>
      </c>
      <c r="J80" s="75">
        <v>44641</v>
      </c>
      <c r="K80" s="75">
        <v>44652</v>
      </c>
      <c r="L80" s="75">
        <v>44670</v>
      </c>
      <c r="M80" s="36" t="s">
        <v>110</v>
      </c>
      <c r="N80" s="77">
        <v>29.67</v>
      </c>
      <c r="O80" s="77">
        <v>34.619999999999997</v>
      </c>
      <c r="P80" s="77">
        <v>1390.5</v>
      </c>
      <c r="Q80" s="77">
        <v>1309.5</v>
      </c>
      <c r="R80" s="36">
        <v>357</v>
      </c>
      <c r="S80" s="36">
        <v>8388</v>
      </c>
      <c r="T80" s="37">
        <v>6705200</v>
      </c>
      <c r="U80" s="77">
        <v>4822.1503056454512</v>
      </c>
      <c r="V80" s="36">
        <v>5391</v>
      </c>
      <c r="W80" s="36">
        <v>231</v>
      </c>
      <c r="X80" s="37">
        <v>5391</v>
      </c>
      <c r="Y80" s="77">
        <v>3.3282590000000001E-2</v>
      </c>
      <c r="Z80" s="77">
        <v>3004.5738999999999</v>
      </c>
      <c r="AA80" s="77"/>
      <c r="AB80" s="36" t="s">
        <v>202</v>
      </c>
      <c r="AC80" s="36" t="s">
        <v>352</v>
      </c>
      <c r="AD80" s="75">
        <v>44651</v>
      </c>
      <c r="AE80" s="75">
        <v>44652</v>
      </c>
      <c r="AF80" s="75">
        <v>44652</v>
      </c>
      <c r="AG80" s="77">
        <v>20386.6741602</v>
      </c>
      <c r="AH80" s="36"/>
      <c r="AI80" s="36" t="s">
        <v>133</v>
      </c>
      <c r="AJ80" s="36" t="s">
        <v>120</v>
      </c>
      <c r="AK80" s="36" t="s">
        <v>113</v>
      </c>
      <c r="AL80" s="49" t="str">
        <f>[1]!s_ipo_inq_anncedate(H80)</f>
        <v>2022-03-21</v>
      </c>
      <c r="AM80" s="50" t="str">
        <f>[1]!s_ipo_inq_startdate(H80)</f>
        <v>2022-03-28</v>
      </c>
      <c r="AN80" s="50" t="str">
        <f>[1]!s_ipo_inq_enddate(H80)</f>
        <v>2022-03-28</v>
      </c>
      <c r="AO80" s="50" t="str">
        <f>[1]!s_ipo_inqresultdate(H80)</f>
        <v>2022-03-31</v>
      </c>
      <c r="AP80" s="50" t="str">
        <f>[1]!s_ipo_op_enddate(H80)</f>
        <v>2022-04-01</v>
      </c>
      <c r="AQ80" s="50" t="str">
        <f>[1]!s_ipo_cappaydate(H80)</f>
        <v>2022-04-07</v>
      </c>
      <c r="AR80" s="51" t="str">
        <f>[1]!s_ipo_placingdate(H80)</f>
        <v>2022-04-11</v>
      </c>
      <c r="AS80" s="58">
        <f>[1]!s_ipo_vsprice_max(H80)</f>
        <v>35.35</v>
      </c>
      <c r="AT80" s="59">
        <f>[1]!s_ipo_vsprice_min(H80)</f>
        <v>29.67</v>
      </c>
      <c r="AU80" s="59">
        <f>[1]!s_ipo_vsshares(H80,100000000)</f>
        <v>417.786</v>
      </c>
      <c r="AV80" s="59">
        <f>[1]!s_ipo_vssharespct(H80)</f>
        <v>62.30776114060729</v>
      </c>
      <c r="AW80" s="59">
        <f>[1]!s_ipo_invsshares_a(H80,100000000)</f>
        <v>6.7610000000000001</v>
      </c>
      <c r="AX80" s="60">
        <f>[1]!s_ipo_invssharespct_a(H80)</f>
        <v>1.0083218994213445</v>
      </c>
      <c r="AY80" s="65">
        <f>[1]!s_ipo_lotteryrate_abc(H80,1)</f>
        <v>4.6205870000000003E-2</v>
      </c>
      <c r="AZ80" s="66">
        <f>[1]!s_ipo_lotteryrate_abc(H80,2)</f>
        <v>4.3954189999999997E-2</v>
      </c>
      <c r="BA80" s="67">
        <f>[1]!s_ipo_lotteryrate_abc(H80,3)</f>
        <v>1.991884E-2</v>
      </c>
      <c r="BB80" s="27"/>
    </row>
    <row r="81" spans="1:54" s="26" customFormat="1" ht="16.5" x14ac:dyDescent="0.15">
      <c r="A81" s="5"/>
      <c r="B81" s="5"/>
      <c r="C81" s="5"/>
      <c r="D81" s="5"/>
      <c r="E81" s="5"/>
      <c r="F81" s="13"/>
      <c r="G81" s="7"/>
      <c r="H81" s="73" t="s">
        <v>353</v>
      </c>
      <c r="I81" s="36" t="s">
        <v>354</v>
      </c>
      <c r="J81" s="75">
        <v>44643</v>
      </c>
      <c r="K81" s="75">
        <v>44651</v>
      </c>
      <c r="L81" s="75">
        <v>44664</v>
      </c>
      <c r="M81" s="36" t="s">
        <v>110</v>
      </c>
      <c r="N81" s="77">
        <v>34.81</v>
      </c>
      <c r="O81" s="77">
        <v>22.91</v>
      </c>
      <c r="P81" s="77">
        <v>4002.2000000000003</v>
      </c>
      <c r="Q81" s="77">
        <v>2831.8</v>
      </c>
      <c r="R81" s="36">
        <v>343</v>
      </c>
      <c r="S81" s="36">
        <v>8074</v>
      </c>
      <c r="T81" s="37">
        <v>10296140</v>
      </c>
      <c r="U81" s="77">
        <v>3293.2408462119338</v>
      </c>
      <c r="V81" s="36">
        <v>5559</v>
      </c>
      <c r="W81" s="36">
        <v>269</v>
      </c>
      <c r="X81" s="37">
        <v>5553</v>
      </c>
      <c r="Y81" s="77">
        <v>5.0883770000000002E-2</v>
      </c>
      <c r="Z81" s="77">
        <v>1965.2634</v>
      </c>
      <c r="AA81" s="77">
        <v>12.814660520924786</v>
      </c>
      <c r="AB81" s="36" t="s">
        <v>117</v>
      </c>
      <c r="AC81" s="36" t="s">
        <v>118</v>
      </c>
      <c r="AD81" s="75">
        <v>44650</v>
      </c>
      <c r="AE81" s="75">
        <v>44651</v>
      </c>
      <c r="AF81" s="75">
        <v>44651</v>
      </c>
      <c r="AG81" s="77">
        <v>41843.641416700004</v>
      </c>
      <c r="AH81" s="36"/>
      <c r="AI81" s="36" t="s">
        <v>304</v>
      </c>
      <c r="AJ81" s="36" t="s">
        <v>106</v>
      </c>
      <c r="AK81" s="36" t="s">
        <v>113</v>
      </c>
      <c r="AL81" s="49" t="str">
        <f>[1]!s_ipo_inq_anncedate(H81)</f>
        <v>2022-03-23</v>
      </c>
      <c r="AM81" s="50" t="str">
        <f>[1]!s_ipo_inq_startdate(H81)</f>
        <v>2022-03-25</v>
      </c>
      <c r="AN81" s="50" t="str">
        <f>[1]!s_ipo_inq_enddate(H81)</f>
        <v>2022-03-25</v>
      </c>
      <c r="AO81" s="50" t="str">
        <f>[1]!s_ipo_inqresultdate(H81)</f>
        <v>2022-03-30</v>
      </c>
      <c r="AP81" s="50" t="str">
        <f>[1]!s_ipo_op_enddate(H81)</f>
        <v>2022-03-31</v>
      </c>
      <c r="AQ81" s="50" t="str">
        <f>[1]!s_ipo_cappaydate(H81)</f>
        <v>2022-04-06</v>
      </c>
      <c r="AR81" s="51" t="str">
        <f>[1]!s_ipo_placingdate(H81)</f>
        <v>2022-04-08</v>
      </c>
      <c r="AS81" s="58">
        <f>[1]!s_ipo_vsprice_max(H81)</f>
        <v>51.22</v>
      </c>
      <c r="AT81" s="59">
        <f>[1]!s_ipo_vsprice_min(H81)</f>
        <v>34.869999999999997</v>
      </c>
      <c r="AU81" s="59">
        <f>[1]!s_ipo_vsshares(H81,100000000)</f>
        <v>615.09100000000001</v>
      </c>
      <c r="AV81" s="59">
        <f>[1]!s_ipo_vssharespct(H81)</f>
        <v>59.739960800843818</v>
      </c>
      <c r="AW81" s="59">
        <f>[1]!s_ipo_invsshares_a(H81,100000000)</f>
        <v>10.321999999999999</v>
      </c>
      <c r="AX81" s="60">
        <f>[1]!s_ipo_invssharespct_a(H81)</f>
        <v>1.0025116208598563</v>
      </c>
      <c r="AY81" s="65">
        <f>[1]!s_ipo_lotteryrate_abc(H81,1)</f>
        <v>6.124947E-2</v>
      </c>
      <c r="AZ81" s="66">
        <f>[1]!s_ipo_lotteryrate_abc(H81,2)</f>
        <v>6.1243930000000002E-2</v>
      </c>
      <c r="BA81" s="67">
        <f>[1]!s_ipo_lotteryrate_abc(H81,3)</f>
        <v>3.601066E-2</v>
      </c>
      <c r="BB81" s="27"/>
    </row>
    <row r="82" spans="1:54" s="26" customFormat="1" ht="16.5" x14ac:dyDescent="0.15">
      <c r="A82" s="5"/>
      <c r="B82" s="5"/>
      <c r="C82" s="5"/>
      <c r="D82" s="5"/>
      <c r="E82" s="5"/>
      <c r="F82" s="13"/>
      <c r="G82" s="7"/>
      <c r="H82" s="73" t="s">
        <v>355</v>
      </c>
      <c r="I82" s="36" t="s">
        <v>356</v>
      </c>
      <c r="J82" s="75">
        <v>44643</v>
      </c>
      <c r="K82" s="75">
        <v>44651</v>
      </c>
      <c r="L82" s="75">
        <v>44664</v>
      </c>
      <c r="M82" s="36" t="s">
        <v>110</v>
      </c>
      <c r="N82" s="77">
        <v>31.2</v>
      </c>
      <c r="O82" s="77">
        <v>47.9</v>
      </c>
      <c r="P82" s="77">
        <v>1398.3500000000001</v>
      </c>
      <c r="Q82" s="77">
        <v>1101.6500000000001</v>
      </c>
      <c r="R82" s="36">
        <v>348</v>
      </c>
      <c r="S82" s="36">
        <v>8078</v>
      </c>
      <c r="T82" s="37">
        <v>5525870</v>
      </c>
      <c r="U82" s="77">
        <v>4533.0314085106338</v>
      </c>
      <c r="V82" s="36">
        <v>5960</v>
      </c>
      <c r="W82" s="36">
        <v>263</v>
      </c>
      <c r="X82" s="37">
        <v>5954</v>
      </c>
      <c r="Y82" s="77">
        <v>3.0194840000000001E-2</v>
      </c>
      <c r="Z82" s="77">
        <v>3311.8240000000001</v>
      </c>
      <c r="AA82" s="77">
        <v>7.173076</v>
      </c>
      <c r="AB82" s="36" t="s">
        <v>125</v>
      </c>
      <c r="AC82" s="36" t="s">
        <v>198</v>
      </c>
      <c r="AD82" s="75">
        <v>44650</v>
      </c>
      <c r="AE82" s="75">
        <v>44651</v>
      </c>
      <c r="AF82" s="75">
        <v>44651</v>
      </c>
      <c r="AG82" s="77">
        <v>18328.582116000001</v>
      </c>
      <c r="AH82" s="36"/>
      <c r="AI82" s="36" t="s">
        <v>207</v>
      </c>
      <c r="AJ82" s="36" t="s">
        <v>106</v>
      </c>
      <c r="AK82" s="36" t="s">
        <v>113</v>
      </c>
      <c r="AL82" s="49" t="str">
        <f>[1]!s_ipo_inq_anncedate(H82)</f>
        <v>2022-03-23</v>
      </c>
      <c r="AM82" s="50" t="str">
        <f>[1]!s_ipo_inq_startdate(H82)</f>
        <v>2022-03-28</v>
      </c>
      <c r="AN82" s="50" t="str">
        <f>[1]!s_ipo_inq_enddate(H82)</f>
        <v>2022-03-28</v>
      </c>
      <c r="AO82" s="50" t="str">
        <f>[1]!s_ipo_inqresultdate(H82)</f>
        <v>2022-03-30</v>
      </c>
      <c r="AP82" s="50" t="str">
        <f>[1]!s_ipo_op_enddate(H82)</f>
        <v>2022-03-31</v>
      </c>
      <c r="AQ82" s="50" t="str">
        <f>[1]!s_ipo_cappaydate(H82)</f>
        <v>2022-04-06</v>
      </c>
      <c r="AR82" s="51" t="str">
        <f>[1]!s_ipo_placingdate(H82)</f>
        <v>2022-04-08</v>
      </c>
      <c r="AS82" s="58">
        <f>[1]!s_ipo_vsprice_max(H82)</f>
        <v>36.950000000000003</v>
      </c>
      <c r="AT82" s="59">
        <f>[1]!s_ipo_vsprice_min(H82)</f>
        <v>31.2</v>
      </c>
      <c r="AU82" s="59">
        <f>[1]!s_ipo_vsshares(H82,100000000)</f>
        <v>404.02600000000001</v>
      </c>
      <c r="AV82" s="59">
        <f>[1]!s_ipo_vssharespct(H82)</f>
        <v>73.115364639414253</v>
      </c>
      <c r="AW82" s="59">
        <f>[1]!s_ipo_invsshares_a(H82,100000000)</f>
        <v>5.5759999999999996</v>
      </c>
      <c r="AX82" s="60">
        <f>[1]!s_ipo_invssharespct_a(H82)</f>
        <v>1.0090718746550316</v>
      </c>
      <c r="AY82" s="65">
        <f>[1]!s_ipo_lotteryrate_abc(H82,1)</f>
        <v>3.9426360000000001E-2</v>
      </c>
      <c r="AZ82" s="66">
        <f>[1]!s_ipo_lotteryrate_abc(H82,2)</f>
        <v>3.2293250000000003E-2</v>
      </c>
      <c r="BA82" s="67">
        <f>[1]!s_ipo_lotteryrate_abc(H82,3)</f>
        <v>1.9146360000000001E-2</v>
      </c>
      <c r="BB82" s="27"/>
    </row>
    <row r="83" spans="1:54" s="26" customFormat="1" ht="16.5" x14ac:dyDescent="0.15">
      <c r="A83" s="5"/>
      <c r="B83" s="5"/>
      <c r="C83" s="5"/>
      <c r="D83" s="5"/>
      <c r="E83" s="5"/>
      <c r="F83" s="13"/>
      <c r="G83" s="7"/>
      <c r="H83" s="73" t="s">
        <v>357</v>
      </c>
      <c r="I83" s="36" t="s">
        <v>358</v>
      </c>
      <c r="J83" s="75">
        <v>44642</v>
      </c>
      <c r="K83" s="75">
        <v>44650</v>
      </c>
      <c r="L83" s="75">
        <v>44663</v>
      </c>
      <c r="M83" s="36" t="s">
        <v>136</v>
      </c>
      <c r="N83" s="77">
        <v>42.92</v>
      </c>
      <c r="O83" s="77"/>
      <c r="P83" s="77">
        <v>1767.8999999999999</v>
      </c>
      <c r="Q83" s="77">
        <v>708.1</v>
      </c>
      <c r="R83" s="36">
        <v>181</v>
      </c>
      <c r="S83" s="36">
        <v>3846</v>
      </c>
      <c r="T83" s="37">
        <v>2682820</v>
      </c>
      <c r="U83" s="77">
        <v>1607.5764294188848</v>
      </c>
      <c r="V83" s="36">
        <v>1908</v>
      </c>
      <c r="W83" s="36">
        <v>101</v>
      </c>
      <c r="X83" s="37">
        <v>1908</v>
      </c>
      <c r="Y83" s="77">
        <v>0.13167171999999999</v>
      </c>
      <c r="Z83" s="77">
        <v>759.46450000000004</v>
      </c>
      <c r="AA83" s="77">
        <v>4.0000000000000009</v>
      </c>
      <c r="AB83" s="36" t="s">
        <v>117</v>
      </c>
      <c r="AC83" s="36" t="s">
        <v>295</v>
      </c>
      <c r="AD83" s="75">
        <v>44649</v>
      </c>
      <c r="AE83" s="75">
        <v>44650</v>
      </c>
      <c r="AF83" s="75">
        <v>44650</v>
      </c>
      <c r="AG83" s="77">
        <v>8228.9136122</v>
      </c>
      <c r="AH83" s="36"/>
      <c r="AI83" s="36" t="s">
        <v>105</v>
      </c>
      <c r="AJ83" s="36" t="s">
        <v>106</v>
      </c>
      <c r="AK83" s="36" t="s">
        <v>127</v>
      </c>
      <c r="AL83" s="49" t="str">
        <f>[1]!s_ipo_inq_anncedate(H83)</f>
        <v>2022-03-22</v>
      </c>
      <c r="AM83" s="50" t="str">
        <f>[1]!s_ipo_inq_startdate(H83)</f>
        <v>2022-03-25</v>
      </c>
      <c r="AN83" s="50" t="str">
        <f>[1]!s_ipo_inq_enddate(H83)</f>
        <v>2022-03-25</v>
      </c>
      <c r="AO83" s="50" t="str">
        <f>[1]!s_ipo_inqresultdate(H83)</f>
        <v>2022-03-29</v>
      </c>
      <c r="AP83" s="50" t="str">
        <f>[1]!s_ipo_op_enddate(H83)</f>
        <v>2022-03-30</v>
      </c>
      <c r="AQ83" s="50" t="str">
        <f>[1]!s_ipo_cappaydate(H83)</f>
        <v>2022-04-01</v>
      </c>
      <c r="AR83" s="51" t="str">
        <f>[1]!s_ipo_placingdate(H83)</f>
        <v>2022-04-07</v>
      </c>
      <c r="AS83" s="58">
        <f>[1]!s_ipo_vsprice_max(H83)</f>
        <v>111.11</v>
      </c>
      <c r="AT83" s="59">
        <f>[1]!s_ipo_vsprice_min(H83)</f>
        <v>42.92</v>
      </c>
      <c r="AU83" s="59">
        <f>[1]!s_ipo_vsshares(H83,100000000)</f>
        <v>126.744</v>
      </c>
      <c r="AV83" s="59">
        <f>[1]!s_ipo_vssharespct(H83)</f>
        <v>47.242826578003744</v>
      </c>
      <c r="AW83" s="59">
        <f>[1]!s_ipo_invsshares_a(H83,100000000)</f>
        <v>2.7240000000000002</v>
      </c>
      <c r="AX83" s="60">
        <f>[1]!s_ipo_invssharespct_a(H83)</f>
        <v>1.0153495202808984</v>
      </c>
      <c r="AY83" s="65">
        <f>[1]!s_ipo_lotteryrate_abc(H83,1)</f>
        <v>0.14535534</v>
      </c>
      <c r="AZ83" s="66">
        <f>[1]!s_ipo_lotteryrate_abc(H83,2)</f>
        <v>0.14534322</v>
      </c>
      <c r="BA83" s="67">
        <f>[1]!s_ipo_lotteryrate_abc(H83,3)</f>
        <v>0.10793756</v>
      </c>
      <c r="BB83" s="27"/>
    </row>
    <row r="84" spans="1:54" s="26" customFormat="1" ht="16.5" x14ac:dyDescent="0.15">
      <c r="A84" s="5"/>
      <c r="B84" s="5"/>
      <c r="C84" s="5"/>
      <c r="D84" s="5"/>
      <c r="E84" s="5"/>
      <c r="F84" s="13"/>
      <c r="G84" s="7"/>
      <c r="H84" s="73" t="s">
        <v>359</v>
      </c>
      <c r="I84" s="36" t="s">
        <v>360</v>
      </c>
      <c r="J84" s="75">
        <v>44641</v>
      </c>
      <c r="K84" s="75">
        <v>44650</v>
      </c>
      <c r="L84" s="75">
        <v>44663</v>
      </c>
      <c r="M84" s="36" t="s">
        <v>116</v>
      </c>
      <c r="N84" s="77">
        <v>31.98</v>
      </c>
      <c r="O84" s="77">
        <v>49.77</v>
      </c>
      <c r="P84" s="77">
        <v>1422.25</v>
      </c>
      <c r="Q84" s="77">
        <v>1126.55</v>
      </c>
      <c r="R84" s="36">
        <v>376</v>
      </c>
      <c r="S84" s="36">
        <v>8779</v>
      </c>
      <c r="T84" s="37">
        <v>6256920</v>
      </c>
      <c r="U84" s="77">
        <v>4979.5566570090523</v>
      </c>
      <c r="V84" s="36">
        <v>6610</v>
      </c>
      <c r="W84" s="36">
        <v>292</v>
      </c>
      <c r="X84" s="37">
        <v>6610</v>
      </c>
      <c r="Y84" s="77">
        <v>2.7486699999999999E-2</v>
      </c>
      <c r="Z84" s="77">
        <v>3638.1232</v>
      </c>
      <c r="AA84" s="77">
        <v>6.5022167294413054</v>
      </c>
      <c r="AB84" s="36" t="s">
        <v>125</v>
      </c>
      <c r="AC84" s="36" t="s">
        <v>361</v>
      </c>
      <c r="AD84" s="75">
        <v>44649</v>
      </c>
      <c r="AE84" s="75">
        <v>44650</v>
      </c>
      <c r="AF84" s="75">
        <v>44650</v>
      </c>
      <c r="AG84" s="77">
        <v>19324.373593200002</v>
      </c>
      <c r="AH84" s="36"/>
      <c r="AI84" s="36" t="s">
        <v>189</v>
      </c>
      <c r="AJ84" s="36" t="s">
        <v>120</v>
      </c>
      <c r="AK84" s="36" t="s">
        <v>113</v>
      </c>
      <c r="AL84" s="49" t="str">
        <f>[1]!s_ipo_inq_anncedate(H84)</f>
        <v>2022-03-21</v>
      </c>
      <c r="AM84" s="50" t="str">
        <f>[1]!s_ipo_inq_startdate(H84)</f>
        <v>2022-03-24</v>
      </c>
      <c r="AN84" s="50" t="str">
        <f>[1]!s_ipo_inq_enddate(H84)</f>
        <v>2022-03-24</v>
      </c>
      <c r="AO84" s="50" t="str">
        <f>[1]!s_ipo_inqresultdate(H84)</f>
        <v>2022-03-29</v>
      </c>
      <c r="AP84" s="50" t="str">
        <f>[1]!s_ipo_op_enddate(H84)</f>
        <v>2022-03-30</v>
      </c>
      <c r="AQ84" s="50" t="str">
        <f>[1]!s_ipo_cappaydate(H84)</f>
        <v>2022-04-01</v>
      </c>
      <c r="AR84" s="51" t="str">
        <f>[1]!s_ipo_placingdate(H84)</f>
        <v>2022-04-07</v>
      </c>
      <c r="AS84" s="58">
        <f>[1]!s_ipo_vsprice_max(H84)</f>
        <v>38.299999999999997</v>
      </c>
      <c r="AT84" s="59">
        <f>[1]!s_ipo_vsprice_min(H84)</f>
        <v>32</v>
      </c>
      <c r="AU84" s="59">
        <f>[1]!s_ipo_vsshares(H84,100000000)</f>
        <v>457.13799999999998</v>
      </c>
      <c r="AV84" s="59">
        <f>[1]!s_ipo_vssharespct(H84)</f>
        <v>73.061186654136549</v>
      </c>
      <c r="AW84" s="59">
        <f>[1]!s_ipo_invsshares_a(H84,100000000)</f>
        <v>6.3109999999999999</v>
      </c>
      <c r="AX84" s="60">
        <f>[1]!s_ipo_invssharespct_a(H84)</f>
        <v>1.0086432302155053</v>
      </c>
      <c r="AY84" s="65">
        <f>[1]!s_ipo_lotteryrate_abc(H84,1)</f>
        <v>4.2211680000000001E-2</v>
      </c>
      <c r="AZ84" s="66">
        <f>[1]!s_ipo_lotteryrate_abc(H84,2)</f>
        <v>3.7862270000000003E-2</v>
      </c>
      <c r="BA84" s="67">
        <f>[1]!s_ipo_lotteryrate_abc(H84,3)</f>
        <v>1.48367E-2</v>
      </c>
      <c r="BB84" s="27"/>
    </row>
    <row r="85" spans="1:54" s="26" customFormat="1" ht="16.5" x14ac:dyDescent="0.15">
      <c r="A85" s="5"/>
      <c r="B85" s="5"/>
      <c r="C85" s="5"/>
      <c r="D85" s="5"/>
      <c r="E85" s="5"/>
      <c r="F85" s="13"/>
      <c r="G85" s="7"/>
      <c r="H85" s="73" t="s">
        <v>362</v>
      </c>
      <c r="I85" s="36" t="s">
        <v>363</v>
      </c>
      <c r="J85" s="75">
        <v>44642</v>
      </c>
      <c r="K85" s="75">
        <v>44650</v>
      </c>
      <c r="L85" s="75">
        <v>44663</v>
      </c>
      <c r="M85" s="36" t="s">
        <v>136</v>
      </c>
      <c r="N85" s="77">
        <v>66.599999999999994</v>
      </c>
      <c r="O85" s="77"/>
      <c r="P85" s="77">
        <v>3045.2</v>
      </c>
      <c r="Q85" s="77">
        <v>962.8</v>
      </c>
      <c r="R85" s="36">
        <v>339</v>
      </c>
      <c r="S85" s="36">
        <v>9168</v>
      </c>
      <c r="T85" s="37">
        <v>7147790</v>
      </c>
      <c r="U85" s="77">
        <v>3173.0636096754292</v>
      </c>
      <c r="V85" s="36">
        <v>5842</v>
      </c>
      <c r="W85" s="36">
        <v>255</v>
      </c>
      <c r="X85" s="37">
        <v>5842</v>
      </c>
      <c r="Y85" s="77">
        <v>5.4467269999999998E-2</v>
      </c>
      <c r="Z85" s="77">
        <v>1835.9650999999999</v>
      </c>
      <c r="AA85" s="77">
        <v>19.774293912175654</v>
      </c>
      <c r="AB85" s="36" t="s">
        <v>117</v>
      </c>
      <c r="AC85" s="36" t="s">
        <v>104</v>
      </c>
      <c r="AD85" s="75">
        <v>44649</v>
      </c>
      <c r="AE85" s="75">
        <v>44650</v>
      </c>
      <c r="AF85" s="75">
        <v>44650</v>
      </c>
      <c r="AG85" s="77">
        <v>16480.876625999997</v>
      </c>
      <c r="AH85" s="36"/>
      <c r="AI85" s="36" t="s">
        <v>221</v>
      </c>
      <c r="AJ85" s="36" t="s">
        <v>120</v>
      </c>
      <c r="AK85" s="36" t="s">
        <v>127</v>
      </c>
      <c r="AL85" s="49" t="str">
        <f>[1]!s_ipo_inq_anncedate(H85)</f>
        <v>2022-03-22</v>
      </c>
      <c r="AM85" s="50" t="str">
        <f>[1]!s_ipo_inq_startdate(H85)</f>
        <v>2022-03-25</v>
      </c>
      <c r="AN85" s="50" t="str">
        <f>[1]!s_ipo_inq_enddate(H85)</f>
        <v>2022-03-25</v>
      </c>
      <c r="AO85" s="50" t="str">
        <f>[1]!s_ipo_inqresultdate(H85)</f>
        <v>2022-03-29</v>
      </c>
      <c r="AP85" s="50" t="str">
        <f>[1]!s_ipo_op_enddate(H85)</f>
        <v>2022-03-30</v>
      </c>
      <c r="AQ85" s="50" t="str">
        <f>[1]!s_ipo_cappaydate(H85)</f>
        <v>2022-04-01</v>
      </c>
      <c r="AR85" s="51" t="str">
        <f>[1]!s_ipo_placingdate(H85)</f>
        <v>2022-04-07</v>
      </c>
      <c r="AS85" s="58">
        <f>[1]!s_ipo_vsprice_max(H85)</f>
        <v>86.36</v>
      </c>
      <c r="AT85" s="59">
        <f>[1]!s_ipo_vsprice_min(H85)</f>
        <v>66.599999999999994</v>
      </c>
      <c r="AU85" s="59">
        <f>[1]!s_ipo_vsshares(H85,100000000)</f>
        <v>413.57799999999997</v>
      </c>
      <c r="AV85" s="59">
        <f>[1]!s_ipo_vssharespct(H85)</f>
        <v>57.860961220181338</v>
      </c>
      <c r="AW85" s="59">
        <f>[1]!s_ipo_invsshares_a(H85,100000000)</f>
        <v>7.1820000000000004</v>
      </c>
      <c r="AX85" s="60">
        <f>[1]!s_ipo_invssharespct_a(H85)</f>
        <v>1.0047860947229843</v>
      </c>
      <c r="AY85" s="65">
        <f>[1]!s_ipo_lotteryrate_abc(H85,1)</f>
        <v>5.9035619999999997E-2</v>
      </c>
      <c r="AZ85" s="66">
        <f>[1]!s_ipo_lotteryrate_abc(H85,2)</f>
        <v>4.6667130000000001E-2</v>
      </c>
      <c r="BA85" s="67">
        <f>[1]!s_ipo_lotteryrate_abc(H85,3)</f>
        <v>4.6002790000000002E-2</v>
      </c>
      <c r="BB85" s="27"/>
    </row>
    <row r="86" spans="1:54" s="26" customFormat="1" ht="16.5" x14ac:dyDescent="0.15">
      <c r="A86" s="5"/>
      <c r="B86" s="5"/>
      <c r="C86" s="5"/>
      <c r="D86" s="5"/>
      <c r="E86" s="5"/>
      <c r="F86" s="13"/>
      <c r="G86" s="7"/>
      <c r="H86" s="73" t="s">
        <v>364</v>
      </c>
      <c r="I86" s="36" t="s">
        <v>365</v>
      </c>
      <c r="J86" s="75">
        <v>44637</v>
      </c>
      <c r="K86" s="75">
        <v>44648</v>
      </c>
      <c r="L86" s="75">
        <v>44659</v>
      </c>
      <c r="M86" s="36" t="s">
        <v>136</v>
      </c>
      <c r="N86" s="77">
        <v>60.88</v>
      </c>
      <c r="O86" s="77"/>
      <c r="P86" s="77">
        <v>2250.4888999999998</v>
      </c>
      <c r="Q86" s="77">
        <v>782.25</v>
      </c>
      <c r="R86" s="36">
        <v>304</v>
      </c>
      <c r="S86" s="36">
        <v>8178</v>
      </c>
      <c r="T86" s="37">
        <v>5704300</v>
      </c>
      <c r="U86" s="77">
        <v>3026.6202828605683</v>
      </c>
      <c r="V86" s="36">
        <v>4688</v>
      </c>
      <c r="W86" s="36">
        <v>227</v>
      </c>
      <c r="X86" s="37">
        <v>4688</v>
      </c>
      <c r="Y86" s="77">
        <v>6.1061810000000001E-2</v>
      </c>
      <c r="Z86" s="77">
        <v>1637.6847</v>
      </c>
      <c r="AA86" s="77">
        <v>12.061025101765273</v>
      </c>
      <c r="AB86" s="36" t="s">
        <v>117</v>
      </c>
      <c r="AC86" s="36" t="s">
        <v>366</v>
      </c>
      <c r="AD86" s="75">
        <v>44645</v>
      </c>
      <c r="AE86" s="75">
        <v>44648</v>
      </c>
      <c r="AF86" s="75">
        <v>44648</v>
      </c>
      <c r="AG86" s="77">
        <v>12107.0999732</v>
      </c>
      <c r="AH86" s="36"/>
      <c r="AI86" s="36" t="s">
        <v>367</v>
      </c>
      <c r="AJ86" s="36" t="s">
        <v>120</v>
      </c>
      <c r="AK86" s="36" t="s">
        <v>127</v>
      </c>
      <c r="AL86" s="49" t="str">
        <f>[1]!s_ipo_inq_anncedate(H86)</f>
        <v>2022-03-17</v>
      </c>
      <c r="AM86" s="50" t="str">
        <f>[1]!s_ipo_inq_startdate(H86)</f>
        <v>2022-03-23</v>
      </c>
      <c r="AN86" s="50" t="str">
        <f>[1]!s_ipo_inq_enddate(H86)</f>
        <v>2022-03-23</v>
      </c>
      <c r="AO86" s="50" t="str">
        <f>[1]!s_ipo_inqresultdate(H86)</f>
        <v>2022-03-25</v>
      </c>
      <c r="AP86" s="50" t="str">
        <f>[1]!s_ipo_op_enddate(H86)</f>
        <v>2022-03-28</v>
      </c>
      <c r="AQ86" s="50" t="str">
        <f>[1]!s_ipo_cappaydate(H86)</f>
        <v>2022-03-30</v>
      </c>
      <c r="AR86" s="51" t="str">
        <f>[1]!s_ipo_placingdate(H86)</f>
        <v>2022-04-01</v>
      </c>
      <c r="AS86" s="58">
        <f>[1]!s_ipo_vsprice_max(H86)</f>
        <v>96.67</v>
      </c>
      <c r="AT86" s="59">
        <f>[1]!s_ipo_vsprice_min(H86)</f>
        <v>61.32</v>
      </c>
      <c r="AU86" s="59">
        <f>[1]!s_ipo_vsshares(H86,100000000)</f>
        <v>308.65600000000001</v>
      </c>
      <c r="AV86" s="59">
        <f>[1]!s_ipo_vssharespct(H86)</f>
        <v>54.109356099784378</v>
      </c>
      <c r="AW86" s="59">
        <f>[1]!s_ipo_invsshares_a(H86,100000000)</f>
        <v>5.7370000000000001</v>
      </c>
      <c r="AX86" s="60">
        <f>[1]!s_ipo_invssharespct_a(H86)</f>
        <v>1.0057325175744614</v>
      </c>
      <c r="AY86" s="65">
        <f>[1]!s_ipo_lotteryrate_abc(H86,1)</f>
        <v>6.5626119999999996E-2</v>
      </c>
      <c r="AZ86" s="66">
        <f>[1]!s_ipo_lotteryrate_abc(H86,2)</f>
        <v>6.1061810000000001E-2</v>
      </c>
      <c r="BA86" s="67">
        <f>[1]!s_ipo_lotteryrate_abc(H86,3)</f>
        <v>5.2423820000000003E-2</v>
      </c>
      <c r="BB86" s="27"/>
    </row>
    <row r="87" spans="1:54" s="26" customFormat="1" ht="16.5" x14ac:dyDescent="0.15">
      <c r="A87" s="5"/>
      <c r="B87" s="5"/>
      <c r="C87" s="5"/>
      <c r="D87" s="5"/>
      <c r="E87" s="5"/>
      <c r="F87" s="13"/>
      <c r="G87" s="7"/>
      <c r="H87" s="73" t="s">
        <v>368</v>
      </c>
      <c r="I87" s="36" t="s">
        <v>369</v>
      </c>
      <c r="J87" s="75">
        <v>44637</v>
      </c>
      <c r="K87" s="75">
        <v>44648</v>
      </c>
      <c r="L87" s="75">
        <v>44662</v>
      </c>
      <c r="M87" s="36" t="s">
        <v>110</v>
      </c>
      <c r="N87" s="77">
        <v>30.82</v>
      </c>
      <c r="O87" s="77">
        <v>46.52</v>
      </c>
      <c r="P87" s="77">
        <v>2163</v>
      </c>
      <c r="Q87" s="77">
        <v>2037</v>
      </c>
      <c r="R87" s="36">
        <v>365</v>
      </c>
      <c r="S87" s="36">
        <v>8662</v>
      </c>
      <c r="T87" s="37">
        <v>9544130</v>
      </c>
      <c r="U87" s="77">
        <v>4412.4503005085526</v>
      </c>
      <c r="V87" s="36">
        <v>6005</v>
      </c>
      <c r="W87" s="36">
        <v>270</v>
      </c>
      <c r="X87" s="37">
        <v>5998</v>
      </c>
      <c r="Y87" s="77">
        <v>3.5590940000000001E-2</v>
      </c>
      <c r="Z87" s="77">
        <v>2809.7040999999999</v>
      </c>
      <c r="AA87" s="77"/>
      <c r="AB87" s="36" t="s">
        <v>202</v>
      </c>
      <c r="AC87" s="36" t="s">
        <v>300</v>
      </c>
      <c r="AD87" s="75">
        <v>44645</v>
      </c>
      <c r="AE87" s="75">
        <v>44648</v>
      </c>
      <c r="AF87" s="75">
        <v>44648</v>
      </c>
      <c r="AG87" s="77">
        <v>29177.600196700001</v>
      </c>
      <c r="AH87" s="36"/>
      <c r="AI87" s="36" t="s">
        <v>119</v>
      </c>
      <c r="AJ87" s="36" t="s">
        <v>120</v>
      </c>
      <c r="AK87" s="36" t="s">
        <v>113</v>
      </c>
      <c r="AL87" s="49" t="str">
        <f>[1]!s_ipo_inq_anncedate(H87)</f>
        <v>2022-03-17</v>
      </c>
      <c r="AM87" s="50" t="str">
        <f>[1]!s_ipo_inq_startdate(H87)</f>
        <v>2022-03-22</v>
      </c>
      <c r="AN87" s="50" t="str">
        <f>[1]!s_ipo_inq_enddate(H87)</f>
        <v>2022-03-22</v>
      </c>
      <c r="AO87" s="50" t="str">
        <f>[1]!s_ipo_inqresultdate(H87)</f>
        <v>2022-03-25</v>
      </c>
      <c r="AP87" s="50" t="str">
        <f>[1]!s_ipo_op_enddate(H87)</f>
        <v>2022-03-28</v>
      </c>
      <c r="AQ87" s="50" t="str">
        <f>[1]!s_ipo_cappaydate(H87)</f>
        <v>2022-03-30</v>
      </c>
      <c r="AR87" s="51" t="str">
        <f>[1]!s_ipo_placingdate(H87)</f>
        <v>2022-04-01</v>
      </c>
      <c r="AS87" s="58">
        <f>[1]!s_ipo_vsprice_max(H87)</f>
        <v>36.729999999999997</v>
      </c>
      <c r="AT87" s="59">
        <f>[1]!s_ipo_vsprice_min(H87)</f>
        <v>30.88</v>
      </c>
      <c r="AU87" s="59">
        <f>[1]!s_ipo_vsshares(H87,100000000)</f>
        <v>607.86400000000003</v>
      </c>
      <c r="AV87" s="59">
        <f>[1]!s_ipo_vssharespct(H87)</f>
        <v>63.6898281980652</v>
      </c>
      <c r="AW87" s="59">
        <f>[1]!s_ipo_invsshares_a(H87,100000000)</f>
        <v>9.57</v>
      </c>
      <c r="AX87" s="60">
        <f>[1]!s_ipo_invssharespct_a(H87)</f>
        <v>1.0027105665995748</v>
      </c>
      <c r="AY87" s="65">
        <f>[1]!s_ipo_lotteryrate_abc(H87,1)</f>
        <v>4.6834929999999997E-2</v>
      </c>
      <c r="AZ87" s="66">
        <f>[1]!s_ipo_lotteryrate_abc(H87,2)</f>
        <v>3.9323940000000002E-2</v>
      </c>
      <c r="BA87" s="67">
        <f>[1]!s_ipo_lotteryrate_abc(H87,3)</f>
        <v>2.1999999999999999E-2</v>
      </c>
      <c r="BB87" s="27"/>
    </row>
    <row r="88" spans="1:54" s="26" customFormat="1" ht="16.5" x14ac:dyDescent="0.15">
      <c r="A88" s="5"/>
      <c r="B88" s="5"/>
      <c r="C88" s="5"/>
      <c r="D88" s="5"/>
      <c r="E88" s="5"/>
      <c r="F88" s="13"/>
      <c r="G88" s="7"/>
      <c r="H88" s="73" t="s">
        <v>370</v>
      </c>
      <c r="I88" s="36" t="s">
        <v>371</v>
      </c>
      <c r="J88" s="75">
        <v>44645</v>
      </c>
      <c r="K88" s="75">
        <v>44649</v>
      </c>
      <c r="L88" s="75">
        <v>44666</v>
      </c>
      <c r="M88" s="36" t="s">
        <v>187</v>
      </c>
      <c r="N88" s="77">
        <v>6</v>
      </c>
      <c r="O88" s="77">
        <v>13.56</v>
      </c>
      <c r="P88" s="77">
        <v>400</v>
      </c>
      <c r="Q88" s="77">
        <v>1827.4090000000001</v>
      </c>
      <c r="R88" s="36"/>
      <c r="S88" s="36"/>
      <c r="T88" s="37"/>
      <c r="U88" s="77"/>
      <c r="V88" s="36"/>
      <c r="W88" s="36"/>
      <c r="X88" s="37"/>
      <c r="Y88" s="77"/>
      <c r="Z88" s="77"/>
      <c r="AA88" s="77">
        <v>17.958084931864782</v>
      </c>
      <c r="AB88" s="36" t="s">
        <v>164</v>
      </c>
      <c r="AC88" s="36" t="s">
        <v>182</v>
      </c>
      <c r="AD88" s="75">
        <v>44645</v>
      </c>
      <c r="AE88" s="75"/>
      <c r="AF88" s="75"/>
      <c r="AG88" s="77">
        <v>340.28994</v>
      </c>
      <c r="AH88" s="36"/>
      <c r="AI88" s="36" t="s">
        <v>119</v>
      </c>
      <c r="AJ88" s="36" t="s">
        <v>106</v>
      </c>
      <c r="AK88" s="36" t="s">
        <v>184</v>
      </c>
      <c r="AL88" s="49">
        <f>[1]!s_ipo_inq_anncedate(H88)</f>
        <v>0</v>
      </c>
      <c r="AM88" s="50">
        <f>[1]!s_ipo_inq_startdate(H88)</f>
        <v>0</v>
      </c>
      <c r="AN88" s="50">
        <f>[1]!s_ipo_inq_enddate(H88)</f>
        <v>0</v>
      </c>
      <c r="AO88" s="50">
        <f>[1]!s_ipo_inqresultdate(H88)</f>
        <v>0</v>
      </c>
      <c r="AP88" s="50">
        <f>[1]!s_ipo_op_enddate(H88)</f>
        <v>0</v>
      </c>
      <c r="AQ88" s="50" t="str">
        <f>[1]!s_ipo_cappaydate(H88)</f>
        <v>2022-03-29</v>
      </c>
      <c r="AR88" s="51">
        <f>[1]!s_ipo_placingdate(H88)</f>
        <v>0</v>
      </c>
      <c r="AS88" s="58">
        <f>[1]!s_ipo_vsprice_max(H88)</f>
        <v>0</v>
      </c>
      <c r="AT88" s="59">
        <f>[1]!s_ipo_vsprice_min(H88)</f>
        <v>0</v>
      </c>
      <c r="AU88" s="59">
        <f>[1]!s_ipo_vsshares(H88,100000000)</f>
        <v>0</v>
      </c>
      <c r="AV88" s="59">
        <f>[1]!s_ipo_vssharespct(H88)</f>
        <v>0</v>
      </c>
      <c r="AW88" s="59">
        <f>[1]!s_ipo_invsshares_a(H88,100000000)</f>
        <v>0</v>
      </c>
      <c r="AX88" s="60">
        <f>[1]!s_ipo_invssharespct_a(H88)</f>
        <v>0</v>
      </c>
      <c r="AY88" s="65">
        <f>[1]!s_ipo_lotteryrate_abc(H88,1)</f>
        <v>0</v>
      </c>
      <c r="AZ88" s="66">
        <f>[1]!s_ipo_lotteryrate_abc(H88,2)</f>
        <v>0</v>
      </c>
      <c r="BA88" s="67">
        <f>[1]!s_ipo_lotteryrate_abc(H88,3)</f>
        <v>0</v>
      </c>
      <c r="BB88" s="27"/>
    </row>
    <row r="89" spans="1:54" s="26" customFormat="1" ht="16.5" x14ac:dyDescent="0.15">
      <c r="A89" s="5"/>
      <c r="B89" s="5"/>
      <c r="C89" s="5"/>
      <c r="D89" s="5"/>
      <c r="E89" s="5"/>
      <c r="F89" s="13"/>
      <c r="G89" s="7"/>
      <c r="H89" s="73" t="s">
        <v>372</v>
      </c>
      <c r="I89" s="36" t="s">
        <v>373</v>
      </c>
      <c r="J89" s="75">
        <v>44637</v>
      </c>
      <c r="K89" s="75">
        <v>44645</v>
      </c>
      <c r="L89" s="75">
        <v>44658</v>
      </c>
      <c r="M89" s="36" t="s">
        <v>110</v>
      </c>
      <c r="N89" s="77">
        <v>28.5</v>
      </c>
      <c r="O89" s="77">
        <v>90.84</v>
      </c>
      <c r="P89" s="77">
        <v>2600.65</v>
      </c>
      <c r="Q89" s="77">
        <v>1400.35</v>
      </c>
      <c r="R89" s="36">
        <v>345</v>
      </c>
      <c r="S89" s="36">
        <v>8526</v>
      </c>
      <c r="T89" s="37">
        <v>9157420</v>
      </c>
      <c r="U89" s="77">
        <v>4161.4232805435004</v>
      </c>
      <c r="V89" s="36">
        <v>6328</v>
      </c>
      <c r="W89" s="36">
        <v>258</v>
      </c>
      <c r="X89" s="37">
        <v>6321</v>
      </c>
      <c r="Y89" s="77">
        <v>3.4579940000000003E-2</v>
      </c>
      <c r="Z89" s="77">
        <v>2891.8498</v>
      </c>
      <c r="AA89" s="77">
        <v>10</v>
      </c>
      <c r="AB89" s="36" t="s">
        <v>125</v>
      </c>
      <c r="AC89" s="36" t="s">
        <v>159</v>
      </c>
      <c r="AD89" s="75">
        <v>44644</v>
      </c>
      <c r="AE89" s="75">
        <v>44645</v>
      </c>
      <c r="AF89" s="75">
        <v>44645</v>
      </c>
      <c r="AG89" s="77">
        <v>17105.762699999999</v>
      </c>
      <c r="AH89" s="36"/>
      <c r="AI89" s="36" t="s">
        <v>221</v>
      </c>
      <c r="AJ89" s="36" t="s">
        <v>120</v>
      </c>
      <c r="AK89" s="36" t="s">
        <v>113</v>
      </c>
      <c r="AL89" s="49" t="str">
        <f>[1]!s_ipo_inq_anncedate(H89)</f>
        <v>2022-03-17</v>
      </c>
      <c r="AM89" s="50" t="str">
        <f>[1]!s_ipo_inq_startdate(H89)</f>
        <v>2022-03-22</v>
      </c>
      <c r="AN89" s="50" t="str">
        <f>[1]!s_ipo_inq_enddate(H89)</f>
        <v>2022-03-22</v>
      </c>
      <c r="AO89" s="50" t="str">
        <f>[1]!s_ipo_inqresultdate(H89)</f>
        <v>2022-03-24</v>
      </c>
      <c r="AP89" s="50" t="str">
        <f>[1]!s_ipo_op_enddate(H89)</f>
        <v>2022-03-25</v>
      </c>
      <c r="AQ89" s="50" t="str">
        <f>[1]!s_ipo_cappaydate(H89)</f>
        <v>2022-03-29</v>
      </c>
      <c r="AR89" s="51" t="str">
        <f>[1]!s_ipo_placingdate(H89)</f>
        <v>2022-03-31</v>
      </c>
      <c r="AS89" s="58">
        <f>[1]!s_ipo_vsprice_max(H89)</f>
        <v>37.369999999999997</v>
      </c>
      <c r="AT89" s="59">
        <f>[1]!s_ipo_vsprice_min(H89)</f>
        <v>28.67</v>
      </c>
      <c r="AU89" s="59">
        <f>[1]!s_ipo_vsshares(H89,100000000)</f>
        <v>636.49099999999999</v>
      </c>
      <c r="AV89" s="59">
        <f>[1]!s_ipo_vssharespct(H89)</f>
        <v>69.505493905488663</v>
      </c>
      <c r="AW89" s="59">
        <f>[1]!s_ipo_invsshares_a(H89,100000000)</f>
        <v>9.2579999999999991</v>
      </c>
      <c r="AX89" s="60">
        <f>[1]!s_ipo_invssharespct_a(H89)</f>
        <v>1.0109834429348006</v>
      </c>
      <c r="AY89" s="65">
        <f>[1]!s_ipo_lotteryrate_abc(H89,1)</f>
        <v>4.5763459999999999E-2</v>
      </c>
      <c r="AZ89" s="66">
        <f>[1]!s_ipo_lotteryrate_abc(H89,2)</f>
        <v>4.3585640000000002E-2</v>
      </c>
      <c r="BA89" s="67">
        <f>[1]!s_ipo_lotteryrate_abc(H89,3)</f>
        <v>2.1003730000000002E-2</v>
      </c>
      <c r="BB89" s="27"/>
    </row>
    <row r="90" spans="1:54" s="26" customFormat="1" ht="16.5" x14ac:dyDescent="0.15">
      <c r="A90" s="5"/>
      <c r="B90" s="5"/>
      <c r="C90" s="5"/>
      <c r="D90" s="5"/>
      <c r="E90" s="5"/>
      <c r="F90" s="13"/>
      <c r="G90" s="7"/>
      <c r="H90" s="73" t="s">
        <v>374</v>
      </c>
      <c r="I90" s="36" t="s">
        <v>375</v>
      </c>
      <c r="J90" s="75">
        <v>44636</v>
      </c>
      <c r="K90" s="75">
        <v>44644</v>
      </c>
      <c r="L90" s="75">
        <v>44657</v>
      </c>
      <c r="M90" s="36" t="s">
        <v>124</v>
      </c>
      <c r="N90" s="77">
        <v>29.33</v>
      </c>
      <c r="O90" s="77">
        <v>385.14</v>
      </c>
      <c r="P90" s="77">
        <v>7872.7999999999993</v>
      </c>
      <c r="Q90" s="77">
        <v>2127.1999999999998</v>
      </c>
      <c r="R90" s="36">
        <v>375</v>
      </c>
      <c r="S90" s="36">
        <v>9671</v>
      </c>
      <c r="T90" s="37">
        <v>16848670</v>
      </c>
      <c r="U90" s="77">
        <v>3275.0512211793152</v>
      </c>
      <c r="V90" s="36">
        <v>6046</v>
      </c>
      <c r="W90" s="36">
        <v>187</v>
      </c>
      <c r="X90" s="37">
        <v>6046</v>
      </c>
      <c r="Y90" s="77">
        <v>4.9396830000000003E-2</v>
      </c>
      <c r="Z90" s="77">
        <v>2024.4213</v>
      </c>
      <c r="AA90" s="77">
        <v>27.282484</v>
      </c>
      <c r="AB90" s="36" t="s">
        <v>125</v>
      </c>
      <c r="AC90" s="36" t="s">
        <v>376</v>
      </c>
      <c r="AD90" s="75">
        <v>44643</v>
      </c>
      <c r="AE90" s="75">
        <v>44644</v>
      </c>
      <c r="AF90" s="75">
        <v>44644</v>
      </c>
      <c r="AG90" s="77">
        <v>14987.7270823</v>
      </c>
      <c r="AH90" s="36"/>
      <c r="AI90" s="36" t="s">
        <v>377</v>
      </c>
      <c r="AJ90" s="36" t="s">
        <v>106</v>
      </c>
      <c r="AK90" s="36" t="s">
        <v>127</v>
      </c>
      <c r="AL90" s="49" t="str">
        <f>[1]!s_ipo_inq_anncedate(H90)</f>
        <v>2022-03-16</v>
      </c>
      <c r="AM90" s="50" t="str">
        <f>[1]!s_ipo_inq_startdate(H90)</f>
        <v>2022-03-21</v>
      </c>
      <c r="AN90" s="50" t="str">
        <f>[1]!s_ipo_inq_enddate(H90)</f>
        <v>2022-03-21</v>
      </c>
      <c r="AO90" s="50" t="str">
        <f>[1]!s_ipo_inqresultdate(H90)</f>
        <v>2022-03-23</v>
      </c>
      <c r="AP90" s="50" t="str">
        <f>[1]!s_ipo_op_enddate(H90)</f>
        <v>2022-03-24</v>
      </c>
      <c r="AQ90" s="50" t="str">
        <f>[1]!s_ipo_cappaydate(H90)</f>
        <v>2022-03-28</v>
      </c>
      <c r="AR90" s="51" t="str">
        <f>[1]!s_ipo_placingdate(H90)</f>
        <v>2022-03-30</v>
      </c>
      <c r="AS90" s="58">
        <f>[1]!s_ipo_vsprice_max(H90)</f>
        <v>33.44</v>
      </c>
      <c r="AT90" s="59">
        <f>[1]!s_ipo_vsprice_min(H90)</f>
        <v>29.36</v>
      </c>
      <c r="AU90" s="59">
        <f>[1]!s_ipo_vsshares(H90,100000000)</f>
        <v>1041.4739999999999</v>
      </c>
      <c r="AV90" s="59">
        <f>[1]!s_ipo_vssharespct(H90)</f>
        <v>61.81342503592272</v>
      </c>
      <c r="AW90" s="59">
        <f>[1]!s_ipo_invsshares_a(H90,100000000)</f>
        <v>16.946999999999999</v>
      </c>
      <c r="AX90" s="60">
        <f>[1]!s_ipo_invssharespct_a(H90)</f>
        <v>1.0058360689597459</v>
      </c>
      <c r="AY90" s="65">
        <f>[1]!s_ipo_lotteryrate_abc(H90,1)</f>
        <v>4.9990010000000001E-2</v>
      </c>
      <c r="AZ90" s="66">
        <f>[1]!s_ipo_lotteryrate_abc(H90,2)</f>
        <v>4.9651220000000003E-2</v>
      </c>
      <c r="BA90" s="67">
        <f>[1]!s_ipo_lotteryrate_abc(H90,3)</f>
        <v>4.769002E-2</v>
      </c>
      <c r="BB90" s="27"/>
    </row>
    <row r="91" spans="1:54" s="26" customFormat="1" ht="16.5" x14ac:dyDescent="0.15">
      <c r="A91" s="5"/>
      <c r="B91" s="5"/>
      <c r="C91" s="5"/>
      <c r="D91" s="5"/>
      <c r="E91" s="5"/>
      <c r="F91" s="13"/>
      <c r="G91" s="7"/>
      <c r="H91" s="73" t="s">
        <v>378</v>
      </c>
      <c r="I91" s="36" t="s">
        <v>379</v>
      </c>
      <c r="J91" s="75">
        <v>44635</v>
      </c>
      <c r="K91" s="75">
        <v>44643</v>
      </c>
      <c r="L91" s="75">
        <v>44652</v>
      </c>
      <c r="M91" s="36" t="s">
        <v>136</v>
      </c>
      <c r="N91" s="77">
        <v>80.8</v>
      </c>
      <c r="O91" s="77"/>
      <c r="P91" s="77">
        <v>2501.4499999999998</v>
      </c>
      <c r="Q91" s="77">
        <v>888.55</v>
      </c>
      <c r="R91" s="36">
        <v>357</v>
      </c>
      <c r="S91" s="36">
        <v>9411</v>
      </c>
      <c r="T91" s="37">
        <v>6187650</v>
      </c>
      <c r="U91" s="77">
        <v>2770.0747317826845</v>
      </c>
      <c r="V91" s="36">
        <v>4787</v>
      </c>
      <c r="W91" s="36">
        <v>144</v>
      </c>
      <c r="X91" s="37">
        <v>4787</v>
      </c>
      <c r="Y91" s="77">
        <v>5.8374839999999997E-2</v>
      </c>
      <c r="Z91" s="77">
        <v>1713.0667000000001</v>
      </c>
      <c r="AA91" s="77">
        <v>7.8968023598820061</v>
      </c>
      <c r="AB91" s="36" t="s">
        <v>117</v>
      </c>
      <c r="AC91" s="36" t="s">
        <v>206</v>
      </c>
      <c r="AD91" s="75">
        <v>44642</v>
      </c>
      <c r="AE91" s="75">
        <v>44643</v>
      </c>
      <c r="AF91" s="75">
        <v>44643</v>
      </c>
      <c r="AG91" s="77">
        <v>18732.667556</v>
      </c>
      <c r="AH91" s="36"/>
      <c r="AI91" s="36" t="s">
        <v>126</v>
      </c>
      <c r="AJ91" s="36" t="s">
        <v>106</v>
      </c>
      <c r="AK91" s="36" t="s">
        <v>127</v>
      </c>
      <c r="AL91" s="49" t="str">
        <f>[1]!s_ipo_inq_anncedate(H91)</f>
        <v>2022-03-15</v>
      </c>
      <c r="AM91" s="50" t="str">
        <f>[1]!s_ipo_inq_startdate(H91)</f>
        <v>2022-03-18</v>
      </c>
      <c r="AN91" s="50" t="str">
        <f>[1]!s_ipo_inq_enddate(H91)</f>
        <v>2022-03-18</v>
      </c>
      <c r="AO91" s="50" t="str">
        <f>[1]!s_ipo_inqresultdate(H91)</f>
        <v>2022-03-22</v>
      </c>
      <c r="AP91" s="50" t="str">
        <f>[1]!s_ipo_op_enddate(H91)</f>
        <v>2022-03-23</v>
      </c>
      <c r="AQ91" s="50" t="str">
        <f>[1]!s_ipo_cappaydate(H91)</f>
        <v>2022-03-25</v>
      </c>
      <c r="AR91" s="51" t="str">
        <f>[1]!s_ipo_placingdate(H91)</f>
        <v>2022-03-29</v>
      </c>
      <c r="AS91" s="58">
        <f>[1]!s_ipo_vsprice_max(H91)</f>
        <v>123.52</v>
      </c>
      <c r="AT91" s="59">
        <f>[1]!s_ipo_vsprice_min(H91)</f>
        <v>80.8</v>
      </c>
      <c r="AU91" s="59">
        <f>[1]!s_ipo_vsshares(H91,100000000)</f>
        <v>382.65600000000001</v>
      </c>
      <c r="AV91" s="59">
        <f>[1]!s_ipo_vssharespct(H91)</f>
        <v>61.841894741945644</v>
      </c>
      <c r="AW91" s="59">
        <f>[1]!s_ipo_invsshares_a(H91,100000000)</f>
        <v>6.2329999999999997</v>
      </c>
      <c r="AX91" s="60">
        <f>[1]!s_ipo_invssharespct_a(H91)</f>
        <v>1.0073291152537718</v>
      </c>
      <c r="AY91" s="65">
        <f>[1]!s_ipo_lotteryrate_abc(H91,1)</f>
        <v>5.905005E-2</v>
      </c>
      <c r="AZ91" s="66">
        <f>[1]!s_ipo_lotteryrate_abc(H91,2)</f>
        <v>5.8029450000000003E-2</v>
      </c>
      <c r="BA91" s="67">
        <f>[1]!s_ipo_lotteryrate_abc(H91,3)</f>
        <v>5.4097329999999999E-2</v>
      </c>
      <c r="BB91" s="27"/>
    </row>
    <row r="92" spans="1:54" s="26" customFormat="1" ht="16.5" x14ac:dyDescent="0.15">
      <c r="A92" s="5"/>
      <c r="B92" s="5"/>
      <c r="C92" s="5"/>
      <c r="D92" s="5"/>
      <c r="E92" s="5"/>
      <c r="F92" s="13"/>
      <c r="G92" s="7"/>
      <c r="H92" s="73" t="s">
        <v>380</v>
      </c>
      <c r="I92" s="36" t="s">
        <v>381</v>
      </c>
      <c r="J92" s="75">
        <v>44635</v>
      </c>
      <c r="K92" s="75">
        <v>44643</v>
      </c>
      <c r="L92" s="75">
        <v>44658</v>
      </c>
      <c r="M92" s="36" t="s">
        <v>110</v>
      </c>
      <c r="N92" s="77">
        <v>52.37</v>
      </c>
      <c r="O92" s="77">
        <v>60.08</v>
      </c>
      <c r="P92" s="77">
        <v>758.93420000000003</v>
      </c>
      <c r="Q92" s="77">
        <v>714.75</v>
      </c>
      <c r="R92" s="36">
        <v>349</v>
      </c>
      <c r="S92" s="36">
        <v>8404</v>
      </c>
      <c r="T92" s="37">
        <v>3781070</v>
      </c>
      <c r="U92" s="77">
        <v>4982.0788152648802</v>
      </c>
      <c r="V92" s="36">
        <v>4545</v>
      </c>
      <c r="W92" s="36">
        <v>180</v>
      </c>
      <c r="X92" s="37">
        <v>4545</v>
      </c>
      <c r="Y92" s="77">
        <v>3.7547759999999999E-2</v>
      </c>
      <c r="Z92" s="77">
        <v>2663.2743999999998</v>
      </c>
      <c r="AA92" s="77"/>
      <c r="AB92" s="36" t="s">
        <v>103</v>
      </c>
      <c r="AC92" s="36" t="s">
        <v>198</v>
      </c>
      <c r="AD92" s="75">
        <v>44642</v>
      </c>
      <c r="AE92" s="75">
        <v>44643</v>
      </c>
      <c r="AF92" s="75">
        <v>44643</v>
      </c>
      <c r="AG92" s="77">
        <v>21889.646640499999</v>
      </c>
      <c r="AH92" s="36"/>
      <c r="AI92" s="36" t="s">
        <v>382</v>
      </c>
      <c r="AJ92" s="36" t="s">
        <v>120</v>
      </c>
      <c r="AK92" s="36" t="s">
        <v>113</v>
      </c>
      <c r="AL92" s="49" t="str">
        <f>[1]!s_ipo_inq_anncedate(H92)</f>
        <v>2022-03-15</v>
      </c>
      <c r="AM92" s="50" t="str">
        <f>[1]!s_ipo_inq_startdate(H92)</f>
        <v>2022-03-18</v>
      </c>
      <c r="AN92" s="50" t="str">
        <f>[1]!s_ipo_inq_enddate(H92)</f>
        <v>2022-03-18</v>
      </c>
      <c r="AO92" s="50" t="str">
        <f>[1]!s_ipo_inqresultdate(H92)</f>
        <v>2022-03-22</v>
      </c>
      <c r="AP92" s="50" t="str">
        <f>[1]!s_ipo_op_enddate(H92)</f>
        <v>2022-03-23</v>
      </c>
      <c r="AQ92" s="50" t="str">
        <f>[1]!s_ipo_cappaydate(H92)</f>
        <v>2022-03-25</v>
      </c>
      <c r="AR92" s="51" t="str">
        <f>[1]!s_ipo_placingdate(H92)</f>
        <v>2022-03-29</v>
      </c>
      <c r="AS92" s="58">
        <f>[1]!s_ipo_vsprice_max(H92)</f>
        <v>68.8</v>
      </c>
      <c r="AT92" s="59">
        <f>[1]!s_ipo_vsprice_min(H92)</f>
        <v>52.38</v>
      </c>
      <c r="AU92" s="59">
        <f>[1]!s_ipo_vsshares(H92,100000000)</f>
        <v>202.125</v>
      </c>
      <c r="AV92" s="59">
        <f>[1]!s_ipo_vssharespct(H92)</f>
        <v>53.457090188756098</v>
      </c>
      <c r="AW92" s="59">
        <f>[1]!s_ipo_invsshares_a(H92,100000000)</f>
        <v>3.831</v>
      </c>
      <c r="AX92" s="60">
        <f>[1]!s_ipo_invssharespct_a(H92)</f>
        <v>1.0132052567130467</v>
      </c>
      <c r="AY92" s="65">
        <f>[1]!s_ipo_lotteryrate_abc(H92,1)</f>
        <v>4.9720090000000002E-2</v>
      </c>
      <c r="AZ92" s="66">
        <f>[1]!s_ipo_lotteryrate_abc(H92,2)</f>
        <v>4.0142850000000001E-2</v>
      </c>
      <c r="BA92" s="67">
        <f>[1]!s_ipo_lotteryrate_abc(H92,3)</f>
        <v>2.2979900000000001E-2</v>
      </c>
      <c r="BB92" s="27"/>
    </row>
    <row r="93" spans="1:54" s="26" customFormat="1" ht="16.5" x14ac:dyDescent="0.15">
      <c r="A93" s="5"/>
      <c r="B93" s="5"/>
      <c r="C93" s="5"/>
      <c r="D93" s="5"/>
      <c r="E93" s="5"/>
      <c r="F93" s="13"/>
      <c r="G93" s="7"/>
      <c r="H93" s="73" t="s">
        <v>383</v>
      </c>
      <c r="I93" s="36" t="s">
        <v>384</v>
      </c>
      <c r="J93" s="75">
        <v>44634</v>
      </c>
      <c r="K93" s="75">
        <v>44642</v>
      </c>
      <c r="L93" s="75">
        <v>44651</v>
      </c>
      <c r="M93" s="36" t="s">
        <v>124</v>
      </c>
      <c r="N93" s="77">
        <v>48</v>
      </c>
      <c r="O93" s="77"/>
      <c r="P93" s="77">
        <v>4136.3801000000003</v>
      </c>
      <c r="Q93" s="77">
        <v>1306.25</v>
      </c>
      <c r="R93" s="36">
        <v>293</v>
      </c>
      <c r="S93" s="36">
        <v>8643</v>
      </c>
      <c r="T93" s="37">
        <v>9259300</v>
      </c>
      <c r="U93" s="77">
        <v>3037.9735040466667</v>
      </c>
      <c r="V93" s="36">
        <v>2968</v>
      </c>
      <c r="W93" s="36">
        <v>102</v>
      </c>
      <c r="X93" s="37">
        <v>2968</v>
      </c>
      <c r="Y93" s="77">
        <v>9.0694289999999997E-2</v>
      </c>
      <c r="Z93" s="77">
        <v>1102.6052999999999</v>
      </c>
      <c r="AA93" s="77">
        <v>19.99999963253061</v>
      </c>
      <c r="AB93" s="36" t="s">
        <v>125</v>
      </c>
      <c r="AC93" s="36" t="s">
        <v>385</v>
      </c>
      <c r="AD93" s="75">
        <v>44641</v>
      </c>
      <c r="AE93" s="75">
        <v>44642</v>
      </c>
      <c r="AF93" s="75">
        <v>44642</v>
      </c>
      <c r="AG93" s="77">
        <v>16566.443039999998</v>
      </c>
      <c r="AH93" s="36"/>
      <c r="AI93" s="36" t="s">
        <v>386</v>
      </c>
      <c r="AJ93" s="36" t="s">
        <v>120</v>
      </c>
      <c r="AK93" s="36" t="s">
        <v>107</v>
      </c>
      <c r="AL93" s="49" t="str">
        <f>[1]!s_ipo_inq_anncedate(H93)</f>
        <v>2022-03-14</v>
      </c>
      <c r="AM93" s="50" t="str">
        <f>[1]!s_ipo_inq_startdate(H93)</f>
        <v>2022-03-17</v>
      </c>
      <c r="AN93" s="50" t="str">
        <f>[1]!s_ipo_inq_enddate(H93)</f>
        <v>2022-03-17</v>
      </c>
      <c r="AO93" s="50" t="str">
        <f>[1]!s_ipo_inqresultdate(H93)</f>
        <v>2022-03-21</v>
      </c>
      <c r="AP93" s="50" t="str">
        <f>[1]!s_ipo_op_enddate(H93)</f>
        <v>2022-03-22</v>
      </c>
      <c r="AQ93" s="50" t="str">
        <f>[1]!s_ipo_cappaydate(H93)</f>
        <v>2022-03-24</v>
      </c>
      <c r="AR93" s="51" t="str">
        <f>[1]!s_ipo_placingdate(H93)</f>
        <v>2022-03-28</v>
      </c>
      <c r="AS93" s="58">
        <f>[1]!s_ipo_vsprice_max(H93)</f>
        <v>69.05</v>
      </c>
      <c r="AT93" s="59">
        <f>[1]!s_ipo_vsprice_min(H93)</f>
        <v>48</v>
      </c>
      <c r="AU93" s="59">
        <f>[1]!s_ipo_vsshares(H93,100000000)</f>
        <v>336.05799999999999</v>
      </c>
      <c r="AV93" s="59">
        <f>[1]!s_ipo_vssharespct(H93)</f>
        <v>36.294104305941055</v>
      </c>
      <c r="AW93" s="59">
        <f>[1]!s_ipo_invsshares_a(H93,100000000)</f>
        <v>9.3390000000000004</v>
      </c>
      <c r="AX93" s="60">
        <f>[1]!s_ipo_invssharespct_a(H93)</f>
        <v>1.0086075621267268</v>
      </c>
      <c r="AY93" s="65">
        <f>[1]!s_ipo_lotteryrate_abc(H93,1)</f>
        <v>9.1466000000000006E-2</v>
      </c>
      <c r="AZ93" s="66">
        <f>[1]!s_ipo_lotteryrate_abc(H93,2)</f>
        <v>9.1404100000000002E-2</v>
      </c>
      <c r="BA93" s="67">
        <f>[1]!s_ipo_lotteryrate_abc(H93,3)</f>
        <v>8.8528750000000003E-2</v>
      </c>
      <c r="BB93" s="27"/>
    </row>
    <row r="94" spans="1:54" s="26" customFormat="1" ht="16.5" x14ac:dyDescent="0.15">
      <c r="A94" s="5"/>
      <c r="B94" s="5"/>
      <c r="C94" s="5"/>
      <c r="D94" s="5"/>
      <c r="E94" s="5"/>
      <c r="F94" s="13"/>
      <c r="G94" s="7"/>
      <c r="H94" s="73" t="s">
        <v>387</v>
      </c>
      <c r="I94" s="36" t="s">
        <v>388</v>
      </c>
      <c r="J94" s="75">
        <v>44631</v>
      </c>
      <c r="K94" s="75">
        <v>44641</v>
      </c>
      <c r="L94" s="75">
        <v>44650</v>
      </c>
      <c r="M94" s="36" t="s">
        <v>136</v>
      </c>
      <c r="N94" s="77">
        <v>72.650000000000006</v>
      </c>
      <c r="O94" s="77">
        <v>54.54</v>
      </c>
      <c r="P94" s="77">
        <v>659.55</v>
      </c>
      <c r="Q94" s="77">
        <v>340.45</v>
      </c>
      <c r="R94" s="36">
        <v>372</v>
      </c>
      <c r="S94" s="36">
        <v>9834</v>
      </c>
      <c r="T94" s="37">
        <v>2649390</v>
      </c>
      <c r="U94" s="77">
        <v>5157.6963734019628</v>
      </c>
      <c r="V94" s="36">
        <v>5112</v>
      </c>
      <c r="W94" s="36">
        <v>253</v>
      </c>
      <c r="X94" s="37">
        <v>5112</v>
      </c>
      <c r="Y94" s="77">
        <v>3.7944190000000003E-2</v>
      </c>
      <c r="Z94" s="77">
        <v>2635.4499000000001</v>
      </c>
      <c r="AA94" s="77">
        <v>14.587300000000001</v>
      </c>
      <c r="AB94" s="36" t="s">
        <v>117</v>
      </c>
      <c r="AC94" s="36" t="s">
        <v>288</v>
      </c>
      <c r="AD94" s="75">
        <v>44638</v>
      </c>
      <c r="AE94" s="75">
        <v>44641</v>
      </c>
      <c r="AF94" s="75">
        <v>44641</v>
      </c>
      <c r="AG94" s="77">
        <v>8037.4304197500014</v>
      </c>
      <c r="AH94" s="36"/>
      <c r="AI94" s="36" t="s">
        <v>386</v>
      </c>
      <c r="AJ94" s="36" t="s">
        <v>106</v>
      </c>
      <c r="AK94" s="36" t="s">
        <v>127</v>
      </c>
      <c r="AL94" s="49" t="str">
        <f>[1]!s_ipo_inq_anncedate(H94)</f>
        <v>2022-03-11</v>
      </c>
      <c r="AM94" s="50" t="str">
        <f>[1]!s_ipo_inq_startdate(H94)</f>
        <v>2022-03-16</v>
      </c>
      <c r="AN94" s="50" t="str">
        <f>[1]!s_ipo_inq_enddate(H94)</f>
        <v>2022-03-16</v>
      </c>
      <c r="AO94" s="50" t="str">
        <f>[1]!s_ipo_inqresultdate(H94)</f>
        <v>2022-03-18</v>
      </c>
      <c r="AP94" s="50" t="str">
        <f>[1]!s_ipo_op_enddate(H94)</f>
        <v>2022-03-21</v>
      </c>
      <c r="AQ94" s="50" t="str">
        <f>[1]!s_ipo_cappaydate(H94)</f>
        <v>2022-03-23</v>
      </c>
      <c r="AR94" s="51" t="str">
        <f>[1]!s_ipo_placingdate(H94)</f>
        <v>2022-03-25</v>
      </c>
      <c r="AS94" s="58">
        <f>[1]!s_ipo_vsprice_max(H94)</f>
        <v>122</v>
      </c>
      <c r="AT94" s="59">
        <f>[1]!s_ipo_vsprice_min(H94)</f>
        <v>72.66</v>
      </c>
      <c r="AU94" s="59">
        <f>[1]!s_ipo_vsshares(H94,100000000)</f>
        <v>135.37700000000001</v>
      </c>
      <c r="AV94" s="59">
        <f>[1]!s_ipo_vssharespct(H94)</f>
        <v>51.097422425539463</v>
      </c>
      <c r="AW94" s="59">
        <f>[1]!s_ipo_invsshares_a(H94,100000000)</f>
        <v>2.6640000000000001</v>
      </c>
      <c r="AX94" s="60">
        <f>[1]!s_ipo_invssharespct_a(H94)</f>
        <v>1.0055144769173281</v>
      </c>
      <c r="AY94" s="65">
        <f>[1]!s_ipo_lotteryrate_abc(H94,1)</f>
        <v>5.6379909999999998E-2</v>
      </c>
      <c r="AZ94" s="66">
        <f>[1]!s_ipo_lotteryrate_abc(H94,2)</f>
        <v>4.2725109999999997E-2</v>
      </c>
      <c r="BA94" s="67">
        <f>[1]!s_ipo_lotteryrate_abc(H94,3)</f>
        <v>2.1380619999999999E-2</v>
      </c>
      <c r="BB94" s="27"/>
    </row>
    <row r="95" spans="1:54" s="26" customFormat="1" ht="16.5" x14ac:dyDescent="0.15">
      <c r="A95" s="5"/>
      <c r="B95" s="5"/>
      <c r="C95" s="5"/>
      <c r="D95" s="5"/>
      <c r="E95" s="5"/>
      <c r="F95" s="13"/>
      <c r="G95" s="7"/>
      <c r="H95" s="73" t="s">
        <v>389</v>
      </c>
      <c r="I95" s="36" t="s">
        <v>390</v>
      </c>
      <c r="J95" s="75">
        <v>44630</v>
      </c>
      <c r="K95" s="75">
        <v>44638</v>
      </c>
      <c r="L95" s="75">
        <v>44649</v>
      </c>
      <c r="M95" s="36" t="s">
        <v>110</v>
      </c>
      <c r="N95" s="77">
        <v>19.93</v>
      </c>
      <c r="O95" s="77">
        <v>30.84</v>
      </c>
      <c r="P95" s="77">
        <v>3329.65</v>
      </c>
      <c r="Q95" s="77">
        <v>2580.35</v>
      </c>
      <c r="R95" s="36">
        <v>373</v>
      </c>
      <c r="S95" s="36">
        <v>8458</v>
      </c>
      <c r="T95" s="37">
        <v>12099020</v>
      </c>
      <c r="U95" s="77">
        <v>4342.5621569681261</v>
      </c>
      <c r="V95" s="36">
        <v>6615</v>
      </c>
      <c r="W95" s="36">
        <v>269</v>
      </c>
      <c r="X95" s="37">
        <v>6593</v>
      </c>
      <c r="Y95" s="77">
        <v>3.044877E-2</v>
      </c>
      <c r="Z95" s="77">
        <v>3284.2048</v>
      </c>
      <c r="AA95" s="77">
        <v>9.1963147208121843</v>
      </c>
      <c r="AB95" s="36" t="s">
        <v>125</v>
      </c>
      <c r="AC95" s="36" t="s">
        <v>198</v>
      </c>
      <c r="AD95" s="75">
        <v>44637</v>
      </c>
      <c r="AE95" s="75">
        <v>44638</v>
      </c>
      <c r="AF95" s="75">
        <v>44638</v>
      </c>
      <c r="AG95" s="77">
        <v>23991.222795500002</v>
      </c>
      <c r="AH95" s="36"/>
      <c r="AI95" s="36" t="s">
        <v>105</v>
      </c>
      <c r="AJ95" s="36" t="s">
        <v>120</v>
      </c>
      <c r="AK95" s="36" t="s">
        <v>121</v>
      </c>
      <c r="AL95" s="49" t="str">
        <f>[1]!s_ipo_inq_anncedate(H95)</f>
        <v>2022-03-10</v>
      </c>
      <c r="AM95" s="50" t="str">
        <f>[1]!s_ipo_inq_startdate(H95)</f>
        <v>2022-03-15</v>
      </c>
      <c r="AN95" s="50" t="str">
        <f>[1]!s_ipo_inq_enddate(H95)</f>
        <v>2022-03-15</v>
      </c>
      <c r="AO95" s="50" t="str">
        <f>[1]!s_ipo_inqresultdate(H95)</f>
        <v>2022-03-17</v>
      </c>
      <c r="AP95" s="50" t="str">
        <f>[1]!s_ipo_op_enddate(H95)</f>
        <v>2022-03-18</v>
      </c>
      <c r="AQ95" s="50" t="str">
        <f>[1]!s_ipo_cappaydate(H95)</f>
        <v>2022-03-22</v>
      </c>
      <c r="AR95" s="51" t="str">
        <f>[1]!s_ipo_placingdate(H95)</f>
        <v>2022-03-24</v>
      </c>
      <c r="AS95" s="58">
        <f>[1]!s_ipo_vsprice_max(H95)</f>
        <v>23.23</v>
      </c>
      <c r="AT95" s="59">
        <f>[1]!s_ipo_vsprice_min(H95)</f>
        <v>19.98</v>
      </c>
      <c r="AU95" s="59">
        <f>[1]!s_ipo_vsshares(H95,100000000)</f>
        <v>917.54</v>
      </c>
      <c r="AV95" s="59">
        <f>[1]!s_ipo_vssharespct(H95)</f>
        <v>75.835894146798665</v>
      </c>
      <c r="AW95" s="59">
        <f>[1]!s_ipo_invsshares_a(H95,100000000)</f>
        <v>12.146000000000001</v>
      </c>
      <c r="AX95" s="60">
        <f>[1]!s_ipo_invssharespct_a(H95)</f>
        <v>1.003882959115697</v>
      </c>
      <c r="AY95" s="65">
        <f>[1]!s_ipo_lotteryrate_abc(H95,1)</f>
        <v>3.8936329999999998E-2</v>
      </c>
      <c r="AZ95" s="66">
        <f>[1]!s_ipo_lotteryrate_abc(H95,2)</f>
        <v>3.863755E-2</v>
      </c>
      <c r="BA95" s="67">
        <f>[1]!s_ipo_lotteryrate_abc(H95,3)</f>
        <v>2.005096E-2</v>
      </c>
      <c r="BB95" s="27"/>
    </row>
    <row r="96" spans="1:54" s="26" customFormat="1" ht="16.5" x14ac:dyDescent="0.15">
      <c r="A96" s="5"/>
      <c r="B96" s="5"/>
      <c r="C96" s="5"/>
      <c r="D96" s="5"/>
      <c r="E96" s="5"/>
      <c r="F96" s="13"/>
      <c r="G96" s="7"/>
      <c r="H96" s="73" t="s">
        <v>391</v>
      </c>
      <c r="I96" s="36" t="s">
        <v>392</v>
      </c>
      <c r="J96" s="75">
        <v>44629</v>
      </c>
      <c r="K96" s="75">
        <v>44637</v>
      </c>
      <c r="L96" s="75">
        <v>44649</v>
      </c>
      <c r="M96" s="36" t="s">
        <v>110</v>
      </c>
      <c r="N96" s="77">
        <v>35.68</v>
      </c>
      <c r="O96" s="77">
        <v>68.209999999999994</v>
      </c>
      <c r="P96" s="77">
        <v>5014.95</v>
      </c>
      <c r="Q96" s="77">
        <v>3570.05</v>
      </c>
      <c r="R96" s="36">
        <v>397</v>
      </c>
      <c r="S96" s="36">
        <v>8942</v>
      </c>
      <c r="T96" s="37">
        <v>12667670</v>
      </c>
      <c r="U96" s="77">
        <v>3184.4681388654326</v>
      </c>
      <c r="V96" s="36">
        <v>7063</v>
      </c>
      <c r="W96" s="36">
        <v>340</v>
      </c>
      <c r="X96" s="37">
        <v>7043</v>
      </c>
      <c r="Y96" s="77">
        <v>4.3057890000000001E-2</v>
      </c>
      <c r="Z96" s="77">
        <v>2322.4548</v>
      </c>
      <c r="AA96" s="77">
        <v>12.079153174140945</v>
      </c>
      <c r="AB96" s="36" t="s">
        <v>117</v>
      </c>
      <c r="AC96" s="36" t="s">
        <v>292</v>
      </c>
      <c r="AD96" s="75">
        <v>44636</v>
      </c>
      <c r="AE96" s="75">
        <v>44637</v>
      </c>
      <c r="AF96" s="75">
        <v>44637</v>
      </c>
      <c r="AG96" s="77">
        <v>52074.348801599997</v>
      </c>
      <c r="AH96" s="36"/>
      <c r="AI96" s="36" t="s">
        <v>393</v>
      </c>
      <c r="AJ96" s="36" t="s">
        <v>106</v>
      </c>
      <c r="AK96" s="36" t="s">
        <v>121</v>
      </c>
      <c r="AL96" s="49" t="str">
        <f>[1]!s_ipo_inq_anncedate(H96)</f>
        <v>2022-03-09</v>
      </c>
      <c r="AM96" s="50" t="str">
        <f>[1]!s_ipo_inq_startdate(H96)</f>
        <v>2022-03-14</v>
      </c>
      <c r="AN96" s="50" t="str">
        <f>[1]!s_ipo_inq_enddate(H96)</f>
        <v>2022-03-14</v>
      </c>
      <c r="AO96" s="50" t="str">
        <f>[1]!s_ipo_inqresultdate(H96)</f>
        <v>2022-03-16</v>
      </c>
      <c r="AP96" s="50" t="str">
        <f>[1]!s_ipo_op_enddate(H96)</f>
        <v>2022-03-17</v>
      </c>
      <c r="AQ96" s="50" t="str">
        <f>[1]!s_ipo_cappaydate(H96)</f>
        <v>2022-03-21</v>
      </c>
      <c r="AR96" s="51" t="str">
        <f>[1]!s_ipo_placingdate(H96)</f>
        <v>2022-03-23</v>
      </c>
      <c r="AS96" s="58">
        <f>[1]!s_ipo_vsprice_max(H96)</f>
        <v>45.01</v>
      </c>
      <c r="AT96" s="59">
        <f>[1]!s_ipo_vsprice_min(H96)</f>
        <v>35.840000000000003</v>
      </c>
      <c r="AU96" s="59">
        <f>[1]!s_ipo_vsshares(H96,100000000)</f>
        <v>925.13099999999997</v>
      </c>
      <c r="AV96" s="59">
        <f>[1]!s_ipo_vssharespct(H96)</f>
        <v>73.030873080842809</v>
      </c>
      <c r="AW96" s="59">
        <f>[1]!s_ipo_invsshares_a(H96,100000000)</f>
        <v>12.689</v>
      </c>
      <c r="AX96" s="60">
        <f>[1]!s_ipo_invssharespct_a(H96)</f>
        <v>1.0016838139926285</v>
      </c>
      <c r="AY96" s="65">
        <f>[1]!s_ipo_lotteryrate_abc(H96,1)</f>
        <v>4.6644669999999999E-2</v>
      </c>
      <c r="AZ96" s="66">
        <f>[1]!s_ipo_lotteryrate_abc(H96,2)</f>
        <v>4.5218109999999999E-2</v>
      </c>
      <c r="BA96" s="67">
        <f>[1]!s_ipo_lotteryrate_abc(H96,3)</f>
        <v>3.4883659999999997E-2</v>
      </c>
      <c r="BB96" s="27"/>
    </row>
    <row r="97" spans="1:54" s="26" customFormat="1" ht="16.5" x14ac:dyDescent="0.15">
      <c r="A97" s="5"/>
      <c r="B97" s="5"/>
      <c r="C97" s="5"/>
      <c r="D97" s="5"/>
      <c r="E97" s="5"/>
      <c r="F97" s="13"/>
      <c r="G97" s="7"/>
      <c r="H97" s="73" t="s">
        <v>394</v>
      </c>
      <c r="I97" s="36" t="s">
        <v>395</v>
      </c>
      <c r="J97" s="75">
        <v>44629</v>
      </c>
      <c r="K97" s="75">
        <v>44637</v>
      </c>
      <c r="L97" s="75">
        <v>44649</v>
      </c>
      <c r="M97" s="36" t="s">
        <v>110</v>
      </c>
      <c r="N97" s="77">
        <v>48.3</v>
      </c>
      <c r="O97" s="77">
        <v>32.67</v>
      </c>
      <c r="P97" s="77">
        <v>1180.4000000000001</v>
      </c>
      <c r="Q97" s="77">
        <v>1111.5999999999999</v>
      </c>
      <c r="R97" s="36">
        <v>397</v>
      </c>
      <c r="S97" s="36">
        <v>8968</v>
      </c>
      <c r="T97" s="37">
        <v>5720080</v>
      </c>
      <c r="U97" s="77">
        <v>4845.8827516096235</v>
      </c>
      <c r="V97" s="36">
        <v>6789</v>
      </c>
      <c r="W97" s="36">
        <v>328</v>
      </c>
      <c r="X97" s="37">
        <v>6768</v>
      </c>
      <c r="Y97" s="77">
        <v>2.80544E-2</v>
      </c>
      <c r="Z97" s="77">
        <v>3564.5036</v>
      </c>
      <c r="AA97" s="77"/>
      <c r="AB97" s="36" t="s">
        <v>202</v>
      </c>
      <c r="AC97" s="36" t="s">
        <v>396</v>
      </c>
      <c r="AD97" s="75">
        <v>44636</v>
      </c>
      <c r="AE97" s="75">
        <v>44637</v>
      </c>
      <c r="AF97" s="75">
        <v>44637</v>
      </c>
      <c r="AG97" s="77">
        <v>32422.065931500001</v>
      </c>
      <c r="AH97" s="36"/>
      <c r="AI97" s="36" t="s">
        <v>105</v>
      </c>
      <c r="AJ97" s="36" t="s">
        <v>106</v>
      </c>
      <c r="AK97" s="36" t="s">
        <v>113</v>
      </c>
      <c r="AL97" s="49" t="str">
        <f>[1]!s_ipo_inq_anncedate(H97)</f>
        <v>2022-03-09</v>
      </c>
      <c r="AM97" s="50" t="str">
        <f>[1]!s_ipo_inq_startdate(H97)</f>
        <v>2022-03-11</v>
      </c>
      <c r="AN97" s="50" t="str">
        <f>[1]!s_ipo_inq_enddate(H97)</f>
        <v>2022-03-11</v>
      </c>
      <c r="AO97" s="50" t="str">
        <f>[1]!s_ipo_inqresultdate(H97)</f>
        <v>2022-03-16</v>
      </c>
      <c r="AP97" s="50" t="str">
        <f>[1]!s_ipo_op_enddate(H97)</f>
        <v>2022-03-17</v>
      </c>
      <c r="AQ97" s="50" t="str">
        <f>[1]!s_ipo_cappaydate(H97)</f>
        <v>2022-03-21</v>
      </c>
      <c r="AR97" s="51" t="str">
        <f>[1]!s_ipo_placingdate(H97)</f>
        <v>2022-03-23</v>
      </c>
      <c r="AS97" s="58">
        <f>[1]!s_ipo_vsprice_max(H97)</f>
        <v>57.5</v>
      </c>
      <c r="AT97" s="59">
        <f>[1]!s_ipo_vsprice_min(H97)</f>
        <v>48.31</v>
      </c>
      <c r="AU97" s="59">
        <f>[1]!s_ipo_vsshares(H97,100000000)</f>
        <v>421.78300000000002</v>
      </c>
      <c r="AV97" s="59">
        <f>[1]!s_ipo_vssharespct(H97)</f>
        <v>73.737255423001073</v>
      </c>
      <c r="AW97" s="59">
        <f>[1]!s_ipo_invsshares_a(H97,100000000)</f>
        <v>5.7489999999999997</v>
      </c>
      <c r="AX97" s="60">
        <f>[1]!s_ipo_invssharespct_a(H97)</f>
        <v>1.0050558733444288</v>
      </c>
      <c r="AY97" s="65">
        <f>[1]!s_ipo_lotteryrate_abc(H97,1)</f>
        <v>3.6780739999999999E-2</v>
      </c>
      <c r="AZ97" s="66">
        <f>[1]!s_ipo_lotteryrate_abc(H97,2)</f>
        <v>3.6281979999999998E-2</v>
      </c>
      <c r="BA97" s="67">
        <f>[1]!s_ipo_lotteryrate_abc(H97,3)</f>
        <v>1.571958E-2</v>
      </c>
      <c r="BB97" s="27"/>
    </row>
    <row r="98" spans="1:54" s="26" customFormat="1" ht="16.5" x14ac:dyDescent="0.15">
      <c r="A98" s="5"/>
      <c r="B98" s="5"/>
      <c r="C98" s="5"/>
      <c r="D98" s="5"/>
      <c r="E98" s="5"/>
      <c r="F98" s="13"/>
      <c r="G98" s="7"/>
      <c r="H98" s="73" t="s">
        <v>397</v>
      </c>
      <c r="I98" s="36" t="s">
        <v>398</v>
      </c>
      <c r="J98" s="75">
        <v>44628</v>
      </c>
      <c r="K98" s="75">
        <v>44636</v>
      </c>
      <c r="L98" s="75">
        <v>44645</v>
      </c>
      <c r="M98" s="36" t="s">
        <v>102</v>
      </c>
      <c r="N98" s="77">
        <v>25.79</v>
      </c>
      <c r="O98" s="77">
        <v>22.99</v>
      </c>
      <c r="P98" s="77">
        <v>230</v>
      </c>
      <c r="Q98" s="77">
        <v>2070.3000000000002</v>
      </c>
      <c r="R98" s="36">
        <v>2918</v>
      </c>
      <c r="S98" s="36">
        <v>14266</v>
      </c>
      <c r="T98" s="37">
        <v>2845180</v>
      </c>
      <c r="U98" s="77">
        <v>12370.347826086956</v>
      </c>
      <c r="V98" s="36">
        <v>14247</v>
      </c>
      <c r="W98" s="36">
        <v>2899</v>
      </c>
      <c r="X98" s="37">
        <v>14226</v>
      </c>
      <c r="Y98" s="77">
        <v>8.10664E-3</v>
      </c>
      <c r="Z98" s="77">
        <v>12335.565199999999</v>
      </c>
      <c r="AA98" s="77"/>
      <c r="AB98" s="36" t="s">
        <v>202</v>
      </c>
      <c r="AC98" s="36" t="s">
        <v>118</v>
      </c>
      <c r="AD98" s="75">
        <v>44635</v>
      </c>
      <c r="AE98" s="75">
        <v>44636</v>
      </c>
      <c r="AF98" s="75">
        <v>44636</v>
      </c>
      <c r="AG98" s="77">
        <v>20000.413731799999</v>
      </c>
      <c r="AH98" s="36"/>
      <c r="AI98" s="36" t="s">
        <v>399</v>
      </c>
      <c r="AJ98" s="36" t="s">
        <v>120</v>
      </c>
      <c r="AK98" s="36" t="s">
        <v>127</v>
      </c>
      <c r="AL98" s="49" t="str">
        <f>[1]!s_ipo_inq_anncedate(H98)</f>
        <v>2022-03-08</v>
      </c>
      <c r="AM98" s="50" t="str">
        <f>[1]!s_ipo_inq_startdate(H98)</f>
        <v>2022-03-11</v>
      </c>
      <c r="AN98" s="50" t="str">
        <f>[1]!s_ipo_inq_enddate(H98)</f>
        <v>2022-03-11</v>
      </c>
      <c r="AO98" s="50" t="str">
        <f>[1]!s_ipo_inqresultdate(H98)</f>
        <v>2022-03-15</v>
      </c>
      <c r="AP98" s="50" t="str">
        <f>[1]!s_ipo_op_enddate(H98)</f>
        <v>2022-03-16</v>
      </c>
      <c r="AQ98" s="50" t="str">
        <f>[1]!s_ipo_cappaydate(H98)</f>
        <v>2022-03-18</v>
      </c>
      <c r="AR98" s="51" t="str">
        <f>[1]!s_ipo_placingdate(H98)</f>
        <v>2022-03-22</v>
      </c>
      <c r="AS98" s="58">
        <f>[1]!s_ipo_vsprice_max(H98)</f>
        <v>25.79</v>
      </c>
      <c r="AT98" s="59">
        <f>[1]!s_ipo_vsprice_min(H98)</f>
        <v>25.79</v>
      </c>
      <c r="AU98" s="59">
        <f>[1]!s_ipo_vsshares(H98,100000000)</f>
        <v>284.13799999999998</v>
      </c>
      <c r="AV98" s="59">
        <f>[1]!s_ipo_vssharespct(H98)</f>
        <v>99.866440787577588</v>
      </c>
      <c r="AW98" s="59">
        <f>[1]!s_ipo_invsshares_a(H98,100000000)</f>
        <v>0.06</v>
      </c>
      <c r="AX98" s="60">
        <f>[1]!s_ipo_invssharespct_a(H98)</f>
        <v>2.108829669827568E-2</v>
      </c>
      <c r="AY98" s="65">
        <f>[1]!s_ipo_lotteryrate_abc(H98,1)</f>
        <v>1.3602629999999999E-2</v>
      </c>
      <c r="AZ98" s="66">
        <f>[1]!s_ipo_lotteryrate_abc(H98,2)</f>
        <v>9.1500000000000001E-3</v>
      </c>
      <c r="BA98" s="67">
        <f>[1]!s_ipo_lotteryrate_abc(H98,3)</f>
        <v>4.4999999999999997E-3</v>
      </c>
      <c r="BB98" s="27"/>
    </row>
    <row r="99" spans="1:54" s="26" customFormat="1" ht="16.5" x14ac:dyDescent="0.15">
      <c r="A99" s="5"/>
      <c r="B99" s="5"/>
      <c r="C99" s="5"/>
      <c r="D99" s="5"/>
      <c r="E99" s="5"/>
      <c r="F99" s="13"/>
      <c r="G99" s="7"/>
      <c r="H99" s="73" t="s">
        <v>400</v>
      </c>
      <c r="I99" s="36" t="s">
        <v>401</v>
      </c>
      <c r="J99" s="75">
        <v>44606</v>
      </c>
      <c r="K99" s="75">
        <v>44635</v>
      </c>
      <c r="L99" s="75">
        <v>44644</v>
      </c>
      <c r="M99" s="36" t="s">
        <v>102</v>
      </c>
      <c r="N99" s="77">
        <v>21.52</v>
      </c>
      <c r="O99" s="77">
        <v>22.99</v>
      </c>
      <c r="P99" s="77">
        <v>500</v>
      </c>
      <c r="Q99" s="77">
        <v>4500</v>
      </c>
      <c r="R99" s="36">
        <v>2976</v>
      </c>
      <c r="S99" s="36">
        <v>14324</v>
      </c>
      <c r="T99" s="37">
        <v>3986180</v>
      </c>
      <c r="U99" s="77">
        <v>7972.36</v>
      </c>
      <c r="V99" s="36">
        <v>14179</v>
      </c>
      <c r="W99" s="36">
        <v>2896</v>
      </c>
      <c r="X99" s="37">
        <v>14144</v>
      </c>
      <c r="Y99" s="77">
        <v>1.270396E-2</v>
      </c>
      <c r="Z99" s="77">
        <v>7871.56</v>
      </c>
      <c r="AA99" s="77"/>
      <c r="AB99" s="36" t="s">
        <v>103</v>
      </c>
      <c r="AC99" s="36" t="s">
        <v>295</v>
      </c>
      <c r="AD99" s="75">
        <v>44634</v>
      </c>
      <c r="AE99" s="75">
        <v>44635</v>
      </c>
      <c r="AF99" s="75">
        <v>44635</v>
      </c>
      <c r="AG99" s="77">
        <v>26912.627936000001</v>
      </c>
      <c r="AH99" s="36"/>
      <c r="AI99" s="36" t="s">
        <v>402</v>
      </c>
      <c r="AJ99" s="36" t="s">
        <v>120</v>
      </c>
      <c r="AK99" s="36" t="s">
        <v>127</v>
      </c>
      <c r="AL99" s="49" t="str">
        <f>[1]!s_ipo_inq_anncedate(H99)</f>
        <v>2022-02-14</v>
      </c>
      <c r="AM99" s="50" t="str">
        <f>[1]!s_ipo_inq_startdate(H99)</f>
        <v>2022-02-16</v>
      </c>
      <c r="AN99" s="50" t="str">
        <f>[1]!s_ipo_inq_enddate(H99)</f>
        <v>2022-02-16</v>
      </c>
      <c r="AO99" s="50" t="str">
        <f>[1]!s_ipo_inqresultdate(H99)</f>
        <v>2022-02-21</v>
      </c>
      <c r="AP99" s="50" t="str">
        <f>[1]!s_ipo_op_enddate(H99)</f>
        <v>2022-03-15</v>
      </c>
      <c r="AQ99" s="50" t="str">
        <f>[1]!s_ipo_cappaydate(H99)</f>
        <v>2022-03-17</v>
      </c>
      <c r="AR99" s="51" t="str">
        <f>[1]!s_ipo_placingdate(H99)</f>
        <v>2022-03-21</v>
      </c>
      <c r="AS99" s="58">
        <f>[1]!s_ipo_vsprice_max(H99)</f>
        <v>21.52</v>
      </c>
      <c r="AT99" s="59">
        <f>[1]!s_ipo_vsprice_min(H99)</f>
        <v>21.52</v>
      </c>
      <c r="AU99" s="59">
        <f>[1]!s_ipo_vsshares(H99,100000000)</f>
        <v>394.55799999999999</v>
      </c>
      <c r="AV99" s="59">
        <f>[1]!s_ipo_vssharespct(H99)</f>
        <v>98.981481016913435</v>
      </c>
      <c r="AW99" s="59">
        <f>[1]!s_ipo_invsshares_a(H99,100000000)</f>
        <v>8.4000000000000005E-2</v>
      </c>
      <c r="AX99" s="60">
        <f>[1]!s_ipo_invssharespct_a(H99)</f>
        <v>2.1072806546618566E-2</v>
      </c>
      <c r="AY99" s="65">
        <f>[1]!s_ipo_lotteryrate_abc(H99,1)</f>
        <v>2.1254430000000001E-2</v>
      </c>
      <c r="AZ99" s="66">
        <f>[1]!s_ipo_lotteryrate_abc(H99,2)</f>
        <v>1.3571430000000001E-2</v>
      </c>
      <c r="BA99" s="67">
        <f>[1]!s_ipo_lotteryrate_abc(H99,3)</f>
        <v>7.3928800000000001E-3</v>
      </c>
      <c r="BB99" s="27"/>
    </row>
    <row r="100" spans="1:54" s="26" customFormat="1" ht="16.5" x14ac:dyDescent="0.15">
      <c r="A100" s="5"/>
      <c r="B100" s="5"/>
      <c r="C100" s="5"/>
      <c r="D100" s="5"/>
      <c r="E100" s="5"/>
      <c r="F100" s="13"/>
      <c r="G100" s="7"/>
      <c r="H100" s="73" t="s">
        <v>403</v>
      </c>
      <c r="I100" s="36" t="s">
        <v>404</v>
      </c>
      <c r="J100" s="75">
        <v>44624</v>
      </c>
      <c r="K100" s="75">
        <v>44634</v>
      </c>
      <c r="L100" s="75">
        <v>44643</v>
      </c>
      <c r="M100" s="36" t="s">
        <v>116</v>
      </c>
      <c r="N100" s="77">
        <v>56.69</v>
      </c>
      <c r="O100" s="77">
        <v>62.39</v>
      </c>
      <c r="P100" s="77">
        <v>1030</v>
      </c>
      <c r="Q100" s="77">
        <v>970</v>
      </c>
      <c r="R100" s="36">
        <v>423</v>
      </c>
      <c r="S100" s="36">
        <v>9805</v>
      </c>
      <c r="T100" s="37">
        <v>4857140</v>
      </c>
      <c r="U100" s="77">
        <v>4715.6699029126212</v>
      </c>
      <c r="V100" s="36">
        <v>7095</v>
      </c>
      <c r="W100" s="36">
        <v>341</v>
      </c>
      <c r="X100" s="37">
        <v>7095</v>
      </c>
      <c r="Y100" s="77">
        <v>3.0929999999999999E-2</v>
      </c>
      <c r="Z100" s="77">
        <v>3233.1068</v>
      </c>
      <c r="AA100" s="77"/>
      <c r="AB100" s="36" t="s">
        <v>103</v>
      </c>
      <c r="AC100" s="36" t="s">
        <v>256</v>
      </c>
      <c r="AD100" s="75">
        <v>44631</v>
      </c>
      <c r="AE100" s="75">
        <v>44634</v>
      </c>
      <c r="AF100" s="75">
        <v>44634</v>
      </c>
      <c r="AG100" s="77">
        <v>31382.5845553</v>
      </c>
      <c r="AH100" s="36"/>
      <c r="AI100" s="36" t="s">
        <v>399</v>
      </c>
      <c r="AJ100" s="36" t="s">
        <v>106</v>
      </c>
      <c r="AK100" s="36" t="s">
        <v>113</v>
      </c>
      <c r="AL100" s="49" t="str">
        <f>[1]!s_ipo_inq_anncedate(H100)</f>
        <v>2022-03-04</v>
      </c>
      <c r="AM100" s="50" t="str">
        <f>[1]!s_ipo_inq_startdate(H100)</f>
        <v>2022-03-09</v>
      </c>
      <c r="AN100" s="50" t="str">
        <f>[1]!s_ipo_inq_enddate(H100)</f>
        <v>2022-03-09</v>
      </c>
      <c r="AO100" s="50" t="str">
        <f>[1]!s_ipo_inqresultdate(H100)</f>
        <v>2022-03-11</v>
      </c>
      <c r="AP100" s="50" t="str">
        <f>[1]!s_ipo_op_enddate(H100)</f>
        <v>2022-03-14</v>
      </c>
      <c r="AQ100" s="50" t="str">
        <f>[1]!s_ipo_cappaydate(H100)</f>
        <v>2022-03-16</v>
      </c>
      <c r="AR100" s="51" t="str">
        <f>[1]!s_ipo_placingdate(H100)</f>
        <v>2022-03-18</v>
      </c>
      <c r="AS100" s="58">
        <f>[1]!s_ipo_vsprice_max(H100)</f>
        <v>71</v>
      </c>
      <c r="AT100" s="59">
        <f>[1]!s_ipo_vsprice_min(H100)</f>
        <v>57.03</v>
      </c>
      <c r="AU100" s="59">
        <f>[1]!s_ipo_vsshares(H100,100000000)</f>
        <v>333.01</v>
      </c>
      <c r="AV100" s="59">
        <f>[1]!s_ipo_vssharespct(H100)</f>
        <v>68.560922682895693</v>
      </c>
      <c r="AW100" s="59">
        <f>[1]!s_ipo_invsshares_a(H100,100000000)</f>
        <v>4.8879999999999999</v>
      </c>
      <c r="AX100" s="60">
        <f>[1]!s_ipo_invssharespct_a(H100)</f>
        <v>1.0063535331491371</v>
      </c>
      <c r="AY100" s="65">
        <f>[1]!s_ipo_lotteryrate_abc(H100,1)</f>
        <v>4.3507579999999997E-2</v>
      </c>
      <c r="AZ100" s="66">
        <f>[1]!s_ipo_lotteryrate_abc(H100,2)</f>
        <v>2.413508E-2</v>
      </c>
      <c r="BA100" s="67">
        <f>[1]!s_ipo_lotteryrate_abc(H100,3)</f>
        <v>1.819277E-2</v>
      </c>
      <c r="BB100" s="27"/>
    </row>
    <row r="101" spans="1:54" s="26" customFormat="1" ht="16.5" x14ac:dyDescent="0.15">
      <c r="A101" s="5"/>
      <c r="B101" s="5"/>
      <c r="C101" s="5"/>
      <c r="D101" s="5"/>
      <c r="E101" s="5"/>
      <c r="F101" s="13"/>
      <c r="G101" s="7"/>
      <c r="H101" s="73" t="s">
        <v>405</v>
      </c>
      <c r="I101" s="36" t="s">
        <v>406</v>
      </c>
      <c r="J101" s="75">
        <v>44624</v>
      </c>
      <c r="K101" s="75">
        <v>44634</v>
      </c>
      <c r="L101" s="75">
        <v>44643</v>
      </c>
      <c r="M101" s="36" t="s">
        <v>124</v>
      </c>
      <c r="N101" s="77">
        <v>39.9</v>
      </c>
      <c r="O101" s="77"/>
      <c r="P101" s="77">
        <v>2654.6499999999996</v>
      </c>
      <c r="Q101" s="77">
        <v>1063.3499999999999</v>
      </c>
      <c r="R101" s="36">
        <v>263</v>
      </c>
      <c r="S101" s="36">
        <v>5592</v>
      </c>
      <c r="T101" s="37">
        <v>5648080</v>
      </c>
      <c r="U101" s="77">
        <v>2253.8857829229069</v>
      </c>
      <c r="V101" s="36">
        <v>1466</v>
      </c>
      <c r="W101" s="36">
        <v>111</v>
      </c>
      <c r="X101" s="37">
        <v>1466</v>
      </c>
      <c r="Y101" s="77">
        <v>0.17283825</v>
      </c>
      <c r="Z101" s="77">
        <v>578.57560000000001</v>
      </c>
      <c r="AA101" s="77">
        <v>4</v>
      </c>
      <c r="AB101" s="36" t="s">
        <v>125</v>
      </c>
      <c r="AC101" s="36" t="s">
        <v>104</v>
      </c>
      <c r="AD101" s="75">
        <v>44631</v>
      </c>
      <c r="AE101" s="75">
        <v>44634</v>
      </c>
      <c r="AF101" s="75">
        <v>44634</v>
      </c>
      <c r="AG101" s="77">
        <v>11932.348764</v>
      </c>
      <c r="AH101" s="36"/>
      <c r="AI101" s="36" t="s">
        <v>105</v>
      </c>
      <c r="AJ101" s="36" t="s">
        <v>106</v>
      </c>
      <c r="AK101" s="36" t="s">
        <v>107</v>
      </c>
      <c r="AL101" s="49" t="str">
        <f>[1]!s_ipo_inq_anncedate(H101)</f>
        <v>2022-03-04</v>
      </c>
      <c r="AM101" s="50" t="str">
        <f>[1]!s_ipo_inq_startdate(H101)</f>
        <v>2022-03-09</v>
      </c>
      <c r="AN101" s="50" t="str">
        <f>[1]!s_ipo_inq_enddate(H101)</f>
        <v>2022-03-09</v>
      </c>
      <c r="AO101" s="50" t="str">
        <f>[1]!s_ipo_inqresultdate(H101)</f>
        <v>2022-03-11</v>
      </c>
      <c r="AP101" s="50" t="str">
        <f>[1]!s_ipo_op_enddate(H101)</f>
        <v>2022-03-14</v>
      </c>
      <c r="AQ101" s="50" t="str">
        <f>[1]!s_ipo_cappaydate(H101)</f>
        <v>2022-03-16</v>
      </c>
      <c r="AR101" s="51" t="str">
        <f>[1]!s_ipo_placingdate(H101)</f>
        <v>2022-03-18</v>
      </c>
      <c r="AS101" s="58">
        <f>[1]!s_ipo_vsprice_max(H101)</f>
        <v>70.03</v>
      </c>
      <c r="AT101" s="59">
        <f>[1]!s_ipo_vsprice_min(H101)</f>
        <v>39.9</v>
      </c>
      <c r="AU101" s="59">
        <f>[1]!s_ipo_vsshares(H101,100000000)</f>
        <v>144.98699999999999</v>
      </c>
      <c r="AV101" s="59">
        <f>[1]!s_ipo_vssharespct(H101)</f>
        <v>25.670139233155336</v>
      </c>
      <c r="AW101" s="59">
        <f>[1]!s_ipo_invsshares_a(H101,100000000)</f>
        <v>5.7469999999999999</v>
      </c>
      <c r="AX101" s="60">
        <f>[1]!s_ipo_invssharespct_a(H101)</f>
        <v>1.0175139162334812</v>
      </c>
      <c r="AY101" s="65">
        <f>[1]!s_ipo_lotteryrate_abc(H101,1)</f>
        <v>0.17329933</v>
      </c>
      <c r="AZ101" s="66">
        <f>[1]!s_ipo_lotteryrate_abc(H101,2)</f>
        <v>0.17256840000000001</v>
      </c>
      <c r="BA101" s="67">
        <f>[1]!s_ipo_lotteryrate_abc(H101,3)</f>
        <v>0.17135423</v>
      </c>
      <c r="BB101" s="27"/>
    </row>
    <row r="102" spans="1:54" s="26" customFormat="1" ht="16.5" x14ac:dyDescent="0.15">
      <c r="A102" s="5"/>
      <c r="B102" s="5"/>
      <c r="C102" s="5"/>
      <c r="D102" s="5"/>
      <c r="E102" s="5"/>
      <c r="F102" s="13"/>
      <c r="G102" s="7"/>
      <c r="H102" s="73" t="s">
        <v>407</v>
      </c>
      <c r="I102" s="36" t="s">
        <v>408</v>
      </c>
      <c r="J102" s="75">
        <v>44623</v>
      </c>
      <c r="K102" s="75">
        <v>44631</v>
      </c>
      <c r="L102" s="75">
        <v>44648</v>
      </c>
      <c r="M102" s="36" t="s">
        <v>116</v>
      </c>
      <c r="N102" s="77">
        <v>39.880000000000003</v>
      </c>
      <c r="O102" s="77">
        <v>39.33</v>
      </c>
      <c r="P102" s="77">
        <v>2887.75</v>
      </c>
      <c r="Q102" s="77">
        <v>2112.25</v>
      </c>
      <c r="R102" s="36">
        <v>422</v>
      </c>
      <c r="S102" s="36">
        <v>9922</v>
      </c>
      <c r="T102" s="37">
        <v>9944370</v>
      </c>
      <c r="U102" s="77">
        <v>4060.6938440187255</v>
      </c>
      <c r="V102" s="36">
        <v>7142</v>
      </c>
      <c r="W102" s="36">
        <v>343</v>
      </c>
      <c r="X102" s="37">
        <v>7142</v>
      </c>
      <c r="Y102" s="77">
        <v>3.7219870000000002E-2</v>
      </c>
      <c r="Z102" s="77">
        <v>2686.7366999999999</v>
      </c>
      <c r="AA102" s="77">
        <v>8.7763259999999992</v>
      </c>
      <c r="AB102" s="36" t="s">
        <v>117</v>
      </c>
      <c r="AC102" s="36" t="s">
        <v>313</v>
      </c>
      <c r="AD102" s="75">
        <v>44630</v>
      </c>
      <c r="AE102" s="75">
        <v>44631</v>
      </c>
      <c r="AF102" s="75">
        <v>44631</v>
      </c>
      <c r="AG102" s="77">
        <v>41761.474392600008</v>
      </c>
      <c r="AH102" s="36"/>
      <c r="AI102" s="36" t="s">
        <v>409</v>
      </c>
      <c r="AJ102" s="36" t="s">
        <v>106</v>
      </c>
      <c r="AK102" s="36" t="s">
        <v>113</v>
      </c>
      <c r="AL102" s="49" t="str">
        <f>[1]!s_ipo_inq_anncedate(H102)</f>
        <v>2022-03-03</v>
      </c>
      <c r="AM102" s="50" t="str">
        <f>[1]!s_ipo_inq_startdate(H102)</f>
        <v>2022-03-07</v>
      </c>
      <c r="AN102" s="50" t="str">
        <f>[1]!s_ipo_inq_enddate(H102)</f>
        <v>2022-03-07</v>
      </c>
      <c r="AO102" s="50" t="str">
        <f>[1]!s_ipo_inqresultdate(H102)</f>
        <v>2022-03-10</v>
      </c>
      <c r="AP102" s="50" t="str">
        <f>[1]!s_ipo_op_enddate(H102)</f>
        <v>2022-03-11</v>
      </c>
      <c r="AQ102" s="50" t="str">
        <f>[1]!s_ipo_cappaydate(H102)</f>
        <v>2022-03-15</v>
      </c>
      <c r="AR102" s="51" t="str">
        <f>[1]!s_ipo_placingdate(H102)</f>
        <v>2022-03-17</v>
      </c>
      <c r="AS102" s="58">
        <f>[1]!s_ipo_vsprice_max(H102)</f>
        <v>49.18</v>
      </c>
      <c r="AT102" s="59">
        <f>[1]!s_ipo_vsprice_min(H102)</f>
        <v>39.979999999999997</v>
      </c>
      <c r="AU102" s="59">
        <f>[1]!s_ipo_vsshares(H102,100000000)</f>
        <v>657.96400000000006</v>
      </c>
      <c r="AV102" s="59">
        <f>[1]!s_ipo_vssharespct(H102)</f>
        <v>66.164472963093687</v>
      </c>
      <c r="AW102" s="59">
        <f>[1]!s_ipo_invsshares_a(H102,100000000)</f>
        <v>10.023</v>
      </c>
      <c r="AX102" s="60">
        <f>[1]!s_ipo_invssharespct_a(H102)</f>
        <v>1.0079069865662682</v>
      </c>
      <c r="AY102" s="65">
        <f>[1]!s_ipo_lotteryrate_abc(H102,1)</f>
        <v>4.5823990000000002E-2</v>
      </c>
      <c r="AZ102" s="66">
        <f>[1]!s_ipo_lotteryrate_abc(H102,2)</f>
        <v>3.2134589999999998E-2</v>
      </c>
      <c r="BA102" s="67">
        <f>[1]!s_ipo_lotteryrate_abc(H102,3)</f>
        <v>2.5789969999999999E-2</v>
      </c>
      <c r="BB102" s="27"/>
    </row>
    <row r="103" spans="1:54" s="26" customFormat="1" ht="16.5" x14ac:dyDescent="0.15">
      <c r="A103" s="5"/>
      <c r="B103" s="5"/>
      <c r="C103" s="5"/>
      <c r="D103" s="5"/>
      <c r="E103" s="5"/>
      <c r="F103" s="13"/>
      <c r="G103" s="7"/>
      <c r="H103" s="73" t="s">
        <v>410</v>
      </c>
      <c r="I103" s="36" t="s">
        <v>411</v>
      </c>
      <c r="J103" s="75">
        <v>44623</v>
      </c>
      <c r="K103" s="75">
        <v>44631</v>
      </c>
      <c r="L103" s="75">
        <v>44642</v>
      </c>
      <c r="M103" s="36" t="s">
        <v>136</v>
      </c>
      <c r="N103" s="77">
        <v>5.08</v>
      </c>
      <c r="O103" s="77"/>
      <c r="P103" s="77">
        <v>22632.17</v>
      </c>
      <c r="Q103" s="77">
        <v>8074.9</v>
      </c>
      <c r="R103" s="36">
        <v>412</v>
      </c>
      <c r="S103" s="36">
        <v>10036</v>
      </c>
      <c r="T103" s="37">
        <v>72660610</v>
      </c>
      <c r="U103" s="77">
        <v>3549.317608141881</v>
      </c>
      <c r="V103" s="36">
        <v>8002</v>
      </c>
      <c r="W103" s="36">
        <v>338</v>
      </c>
      <c r="X103" s="37">
        <v>8002</v>
      </c>
      <c r="Y103" s="77">
        <v>3.8010929999999998E-2</v>
      </c>
      <c r="Z103" s="77">
        <v>2630.8224</v>
      </c>
      <c r="AA103" s="77">
        <v>7.0357002475325725</v>
      </c>
      <c r="AB103" s="36" t="s">
        <v>117</v>
      </c>
      <c r="AC103" s="36" t="s">
        <v>111</v>
      </c>
      <c r="AD103" s="75">
        <v>44630</v>
      </c>
      <c r="AE103" s="75">
        <v>44631</v>
      </c>
      <c r="AF103" s="75">
        <v>44631</v>
      </c>
      <c r="AG103" s="77">
        <v>7299.6109785999997</v>
      </c>
      <c r="AH103" s="36"/>
      <c r="AI103" s="36" t="s">
        <v>119</v>
      </c>
      <c r="AJ103" s="36" t="s">
        <v>106</v>
      </c>
      <c r="AK103" s="36" t="s">
        <v>107</v>
      </c>
      <c r="AL103" s="49" t="str">
        <f>[1]!s_ipo_inq_anncedate(H103)</f>
        <v>2022-03-03</v>
      </c>
      <c r="AM103" s="50" t="str">
        <f>[1]!s_ipo_inq_startdate(H103)</f>
        <v>2022-03-08</v>
      </c>
      <c r="AN103" s="50" t="str">
        <f>[1]!s_ipo_inq_enddate(H103)</f>
        <v>2022-03-08</v>
      </c>
      <c r="AO103" s="50" t="str">
        <f>[1]!s_ipo_inqresultdate(H103)</f>
        <v>2022-03-10</v>
      </c>
      <c r="AP103" s="50" t="str">
        <f>[1]!s_ipo_op_enddate(H103)</f>
        <v>2022-03-11</v>
      </c>
      <c r="AQ103" s="50" t="str">
        <f>[1]!s_ipo_cappaydate(H103)</f>
        <v>2022-03-15</v>
      </c>
      <c r="AR103" s="51" t="str">
        <f>[1]!s_ipo_placingdate(H103)</f>
        <v>2022-03-17</v>
      </c>
      <c r="AS103" s="58">
        <f>[1]!s_ipo_vsprice_max(H103)</f>
        <v>7.38</v>
      </c>
      <c r="AT103" s="59">
        <f>[1]!s_ipo_vsprice_min(H103)</f>
        <v>5.0999999999999996</v>
      </c>
      <c r="AU103" s="59">
        <f>[1]!s_ipo_vsshares(H103,100000000)</f>
        <v>5385.7439999999997</v>
      </c>
      <c r="AV103" s="59">
        <f>[1]!s_ipo_vssharespct(H103)</f>
        <v>74.121921079385373</v>
      </c>
      <c r="AW103" s="59">
        <f>[1]!s_ipo_invsshares_a(H103,100000000)</f>
        <v>73.194000000000003</v>
      </c>
      <c r="AX103" s="60">
        <f>[1]!s_ipo_invssharespct_a(H103)</f>
        <v>1.0073408412068106</v>
      </c>
      <c r="AY103" s="65">
        <f>[1]!s_ipo_lotteryrate_abc(H103,1)</f>
        <v>4.4852219999999998E-2</v>
      </c>
      <c r="AZ103" s="66">
        <f>[1]!s_ipo_lotteryrate_abc(H103,2)</f>
        <v>4.4850370000000001E-2</v>
      </c>
      <c r="BA103" s="67">
        <f>[1]!s_ipo_lotteryrate_abc(H103,3)</f>
        <v>2.709452E-2</v>
      </c>
      <c r="BB103" s="27"/>
    </row>
    <row r="104" spans="1:54" s="26" customFormat="1" ht="16.5" x14ac:dyDescent="0.15">
      <c r="A104" s="5"/>
      <c r="B104" s="5"/>
      <c r="C104" s="5"/>
      <c r="D104" s="5"/>
      <c r="E104" s="5"/>
      <c r="F104" s="13"/>
      <c r="G104" s="7"/>
      <c r="H104" s="73" t="s">
        <v>412</v>
      </c>
      <c r="I104" s="36" t="s">
        <v>413</v>
      </c>
      <c r="J104" s="75">
        <v>44629</v>
      </c>
      <c r="K104" s="75">
        <v>44631</v>
      </c>
      <c r="L104" s="75">
        <v>44645</v>
      </c>
      <c r="M104" s="36" t="s">
        <v>110</v>
      </c>
      <c r="N104" s="77">
        <v>29.66</v>
      </c>
      <c r="O104" s="77">
        <v>35</v>
      </c>
      <c r="P104" s="77"/>
      <c r="Q104" s="77">
        <v>1700</v>
      </c>
      <c r="R104" s="36"/>
      <c r="S104" s="36"/>
      <c r="T104" s="37"/>
      <c r="U104" s="77"/>
      <c r="V104" s="36"/>
      <c r="W104" s="36"/>
      <c r="X104" s="37"/>
      <c r="Y104" s="77"/>
      <c r="Z104" s="77"/>
      <c r="AA104" s="77"/>
      <c r="AB104" s="36" t="s">
        <v>148</v>
      </c>
      <c r="AC104" s="36" t="s">
        <v>188</v>
      </c>
      <c r="AD104" s="75">
        <v>44630</v>
      </c>
      <c r="AE104" s="75"/>
      <c r="AF104" s="75"/>
      <c r="AG104" s="77">
        <v>39482.692172299998</v>
      </c>
      <c r="AH104" s="36"/>
      <c r="AI104" s="36" t="s">
        <v>273</v>
      </c>
      <c r="AJ104" s="36" t="s">
        <v>120</v>
      </c>
      <c r="AK104" s="36" t="s">
        <v>121</v>
      </c>
      <c r="AL104" s="49">
        <f>[1]!s_ipo_inq_anncedate(H104)</f>
        <v>0</v>
      </c>
      <c r="AM104" s="50">
        <f>[1]!s_ipo_inq_startdate(H104)</f>
        <v>0</v>
      </c>
      <c r="AN104" s="50">
        <f>[1]!s_ipo_inq_enddate(H104)</f>
        <v>0</v>
      </c>
      <c r="AO104" s="50">
        <f>[1]!s_ipo_inqresultdate(H104)</f>
        <v>0</v>
      </c>
      <c r="AP104" s="50">
        <f>[1]!s_ipo_op_enddate(H104)</f>
        <v>0</v>
      </c>
      <c r="AQ104" s="50" t="str">
        <f>[1]!s_ipo_cappaydate(H104)</f>
        <v>2022-03-15</v>
      </c>
      <c r="AR104" s="51">
        <f>[1]!s_ipo_placingdate(H104)</f>
        <v>0</v>
      </c>
      <c r="AS104" s="58">
        <f>[1]!s_ipo_vsprice_max(H104)</f>
        <v>0</v>
      </c>
      <c r="AT104" s="59">
        <f>[1]!s_ipo_vsprice_min(H104)</f>
        <v>0</v>
      </c>
      <c r="AU104" s="59">
        <f>[1]!s_ipo_vsshares(H104,100000000)</f>
        <v>0</v>
      </c>
      <c r="AV104" s="59">
        <f>[1]!s_ipo_vssharespct(H104)</f>
        <v>0</v>
      </c>
      <c r="AW104" s="59">
        <f>[1]!s_ipo_invsshares_a(H104,100000000)</f>
        <v>0</v>
      </c>
      <c r="AX104" s="60">
        <f>[1]!s_ipo_invssharespct_a(H104)</f>
        <v>0</v>
      </c>
      <c r="AY104" s="65">
        <f>[1]!s_ipo_lotteryrate_abc(H104,1)</f>
        <v>0</v>
      </c>
      <c r="AZ104" s="66">
        <f>[1]!s_ipo_lotteryrate_abc(H104,2)</f>
        <v>0</v>
      </c>
      <c r="BA104" s="67">
        <f>[1]!s_ipo_lotteryrate_abc(H104,3)</f>
        <v>0</v>
      </c>
      <c r="BB104" s="27"/>
    </row>
    <row r="105" spans="1:54" s="26" customFormat="1" ht="16.5" x14ac:dyDescent="0.15">
      <c r="A105" s="5"/>
      <c r="B105" s="5"/>
      <c r="C105" s="5"/>
      <c r="D105" s="5"/>
      <c r="E105" s="5"/>
      <c r="F105" s="13"/>
      <c r="G105" s="7"/>
      <c r="H105" s="73" t="s">
        <v>414</v>
      </c>
      <c r="I105" s="36" t="s">
        <v>415</v>
      </c>
      <c r="J105" s="75">
        <v>44623</v>
      </c>
      <c r="K105" s="75">
        <v>44631</v>
      </c>
      <c r="L105" s="75">
        <v>44642</v>
      </c>
      <c r="M105" s="36" t="s">
        <v>136</v>
      </c>
      <c r="N105" s="77">
        <v>13.23</v>
      </c>
      <c r="O105" s="77">
        <v>244.67</v>
      </c>
      <c r="P105" s="77">
        <v>7873.1500000000005</v>
      </c>
      <c r="Q105" s="77">
        <v>2126.85</v>
      </c>
      <c r="R105" s="36">
        <v>403</v>
      </c>
      <c r="S105" s="36">
        <v>10330</v>
      </c>
      <c r="T105" s="37">
        <v>24043080</v>
      </c>
      <c r="U105" s="77">
        <v>4676.142655503787</v>
      </c>
      <c r="V105" s="36">
        <v>5948</v>
      </c>
      <c r="W105" s="36">
        <v>184</v>
      </c>
      <c r="X105" s="37">
        <v>5948</v>
      </c>
      <c r="Y105" s="77">
        <v>3.9083550000000002E-2</v>
      </c>
      <c r="Z105" s="77">
        <v>2558.6212</v>
      </c>
      <c r="AA105" s="77">
        <v>27.315019000000003</v>
      </c>
      <c r="AB105" s="36" t="s">
        <v>125</v>
      </c>
      <c r="AC105" s="36" t="s">
        <v>416</v>
      </c>
      <c r="AD105" s="75">
        <v>44630</v>
      </c>
      <c r="AE105" s="75">
        <v>44631</v>
      </c>
      <c r="AF105" s="75">
        <v>44631</v>
      </c>
      <c r="AG105" s="77">
        <v>7780.4025201000004</v>
      </c>
      <c r="AH105" s="36"/>
      <c r="AI105" s="36" t="s">
        <v>316</v>
      </c>
      <c r="AJ105" s="36" t="s">
        <v>120</v>
      </c>
      <c r="AK105" s="36" t="s">
        <v>127</v>
      </c>
      <c r="AL105" s="49" t="str">
        <f>[1]!s_ipo_inq_anncedate(H105)</f>
        <v>2022-03-03</v>
      </c>
      <c r="AM105" s="50" t="str">
        <f>[1]!s_ipo_inq_startdate(H105)</f>
        <v>2022-03-08</v>
      </c>
      <c r="AN105" s="50" t="str">
        <f>[1]!s_ipo_inq_enddate(H105)</f>
        <v>2022-03-08</v>
      </c>
      <c r="AO105" s="50" t="str">
        <f>[1]!s_ipo_inqresultdate(H105)</f>
        <v>2022-03-10</v>
      </c>
      <c r="AP105" s="50" t="str">
        <f>[1]!s_ipo_op_enddate(H105)</f>
        <v>2022-03-11</v>
      </c>
      <c r="AQ105" s="50" t="str">
        <f>[1]!s_ipo_cappaydate(H105)</f>
        <v>2022-03-15</v>
      </c>
      <c r="AR105" s="51" t="str">
        <f>[1]!s_ipo_placingdate(H105)</f>
        <v>2022-03-17</v>
      </c>
      <c r="AS105" s="58">
        <f>[1]!s_ipo_vsprice_max(H105)</f>
        <v>17.71</v>
      </c>
      <c r="AT105" s="59">
        <f>[1]!s_ipo_vsprice_min(H105)</f>
        <v>13.25</v>
      </c>
      <c r="AU105" s="59">
        <f>[1]!s_ipo_vsshares(H105,100000000)</f>
        <v>1315.5530000000001</v>
      </c>
      <c r="AV105" s="59">
        <f>[1]!s_ipo_vssharespct(H105)</f>
        <v>54.716492229780876</v>
      </c>
      <c r="AW105" s="59">
        <f>[1]!s_ipo_invsshares_a(H105,100000000)</f>
        <v>24.213000000000001</v>
      </c>
      <c r="AX105" s="60">
        <f>[1]!s_ipo_invssharespct_a(H105)</f>
        <v>1.0070673141710629</v>
      </c>
      <c r="AY105" s="65">
        <f>[1]!s_ipo_lotteryrate_abc(H105,1)</f>
        <v>4.5845039999999997E-2</v>
      </c>
      <c r="AZ105" s="66">
        <f>[1]!s_ipo_lotteryrate_abc(H105,2)</f>
        <v>4.5839449999999997E-2</v>
      </c>
      <c r="BA105" s="67">
        <f>[1]!s_ipo_lotteryrate_abc(H105,3)</f>
        <v>2.858136E-2</v>
      </c>
      <c r="BB105" s="27"/>
    </row>
    <row r="106" spans="1:54" s="26" customFormat="1" ht="16.5" x14ac:dyDescent="0.15">
      <c r="A106" s="5"/>
      <c r="B106" s="5"/>
      <c r="C106" s="5"/>
      <c r="D106" s="5"/>
      <c r="E106" s="5"/>
      <c r="F106" s="13"/>
      <c r="G106" s="7"/>
      <c r="H106" s="73" t="s">
        <v>417</v>
      </c>
      <c r="I106" s="36" t="s">
        <v>418</v>
      </c>
      <c r="J106" s="75">
        <v>44622</v>
      </c>
      <c r="K106" s="75">
        <v>44630</v>
      </c>
      <c r="L106" s="75">
        <v>44642</v>
      </c>
      <c r="M106" s="36" t="s">
        <v>110</v>
      </c>
      <c r="N106" s="77">
        <v>8.0500000000000007</v>
      </c>
      <c r="O106" s="77">
        <v>38.47</v>
      </c>
      <c r="P106" s="77">
        <v>7320</v>
      </c>
      <c r="Q106" s="77">
        <v>4680</v>
      </c>
      <c r="R106" s="36">
        <v>423</v>
      </c>
      <c r="S106" s="36">
        <v>9666</v>
      </c>
      <c r="T106" s="37">
        <v>35688670</v>
      </c>
      <c r="U106" s="77">
        <v>4875.5013661202183</v>
      </c>
      <c r="V106" s="36">
        <v>6848</v>
      </c>
      <c r="W106" s="36">
        <v>310</v>
      </c>
      <c r="X106" s="37">
        <v>6848</v>
      </c>
      <c r="Y106" s="77">
        <v>3.0648160000000001E-2</v>
      </c>
      <c r="Z106" s="77">
        <v>3262.8388</v>
      </c>
      <c r="AA106" s="77"/>
      <c r="AB106" s="36" t="s">
        <v>103</v>
      </c>
      <c r="AC106" s="36" t="s">
        <v>206</v>
      </c>
      <c r="AD106" s="75">
        <v>44629</v>
      </c>
      <c r="AE106" s="75">
        <v>44630</v>
      </c>
      <c r="AF106" s="75">
        <v>44630</v>
      </c>
      <c r="AG106" s="77">
        <v>13001.98330025</v>
      </c>
      <c r="AH106" s="36"/>
      <c r="AI106" s="36" t="s">
        <v>399</v>
      </c>
      <c r="AJ106" s="36" t="s">
        <v>106</v>
      </c>
      <c r="AK106" s="36" t="s">
        <v>113</v>
      </c>
      <c r="AL106" s="49" t="str">
        <f>[1]!s_ipo_inq_anncedate(H106)</f>
        <v>2022-03-02</v>
      </c>
      <c r="AM106" s="50" t="str">
        <f>[1]!s_ipo_inq_startdate(H106)</f>
        <v>2022-03-04</v>
      </c>
      <c r="AN106" s="50" t="str">
        <f>[1]!s_ipo_inq_enddate(H106)</f>
        <v>2022-03-04</v>
      </c>
      <c r="AO106" s="50" t="str">
        <f>[1]!s_ipo_inqresultdate(H106)</f>
        <v>2022-03-09</v>
      </c>
      <c r="AP106" s="50" t="str">
        <f>[1]!s_ipo_op_enddate(H106)</f>
        <v>2022-03-10</v>
      </c>
      <c r="AQ106" s="50" t="str">
        <f>[1]!s_ipo_cappaydate(H106)</f>
        <v>2022-03-14</v>
      </c>
      <c r="AR106" s="51" t="str">
        <f>[1]!s_ipo_placingdate(H106)</f>
        <v>2022-03-16</v>
      </c>
      <c r="AS106" s="58">
        <f>[1]!s_ipo_vsprice_max(H106)</f>
        <v>10.14</v>
      </c>
      <c r="AT106" s="59">
        <f>[1]!s_ipo_vsprice_min(H106)</f>
        <v>8.0500000000000007</v>
      </c>
      <c r="AU106" s="59">
        <f>[1]!s_ipo_vsshares(H106,100000000)</f>
        <v>2388.3980000000001</v>
      </c>
      <c r="AV106" s="59">
        <f>[1]!s_ipo_vssharespct(H106)</f>
        <v>66.92314395577084</v>
      </c>
      <c r="AW106" s="59">
        <f>[1]!s_ipo_invsshares_a(H106,100000000)</f>
        <v>35.884999999999998</v>
      </c>
      <c r="AX106" s="60">
        <f>[1]!s_ipo_invssharespct_a(H106)</f>
        <v>1.0055011856704104</v>
      </c>
      <c r="AY106" s="65">
        <f>[1]!s_ipo_lotteryrate_abc(H106,1)</f>
        <v>4.0685300000000001E-2</v>
      </c>
      <c r="AZ106" s="66">
        <f>[1]!s_ipo_lotteryrate_abc(H106,2)</f>
        <v>3.6350010000000002E-2</v>
      </c>
      <c r="BA106" s="67">
        <f>[1]!s_ipo_lotteryrate_abc(H106,3)</f>
        <v>1.925164E-2</v>
      </c>
      <c r="BB106" s="27"/>
    </row>
    <row r="107" spans="1:54" s="26" customFormat="1" ht="16.5" x14ac:dyDescent="0.15">
      <c r="A107" s="5"/>
      <c r="B107" s="5"/>
      <c r="C107" s="5"/>
      <c r="D107" s="5"/>
      <c r="E107" s="5"/>
      <c r="F107" s="13"/>
      <c r="G107" s="7"/>
      <c r="H107" s="73" t="s">
        <v>419</v>
      </c>
      <c r="I107" s="36" t="s">
        <v>420</v>
      </c>
      <c r="J107" s="75">
        <v>44622</v>
      </c>
      <c r="K107" s="75">
        <v>44630</v>
      </c>
      <c r="L107" s="75">
        <v>44642</v>
      </c>
      <c r="M107" s="36" t="s">
        <v>110</v>
      </c>
      <c r="N107" s="77">
        <v>42.5</v>
      </c>
      <c r="O107" s="77">
        <v>57.91</v>
      </c>
      <c r="P107" s="77">
        <v>1570.75</v>
      </c>
      <c r="Q107" s="77">
        <v>1479.25</v>
      </c>
      <c r="R107" s="36">
        <v>424</v>
      </c>
      <c r="S107" s="36">
        <v>10102</v>
      </c>
      <c r="T107" s="37">
        <v>7981920</v>
      </c>
      <c r="U107" s="77">
        <v>5081.5979627566448</v>
      </c>
      <c r="V107" s="36">
        <v>7504</v>
      </c>
      <c r="W107" s="36">
        <v>334</v>
      </c>
      <c r="X107" s="37">
        <v>7504</v>
      </c>
      <c r="Y107" s="77">
        <v>2.777719E-2</v>
      </c>
      <c r="Z107" s="77">
        <v>3600.0763999999999</v>
      </c>
      <c r="AA107" s="77"/>
      <c r="AB107" s="36" t="s">
        <v>202</v>
      </c>
      <c r="AC107" s="36" t="s">
        <v>421</v>
      </c>
      <c r="AD107" s="75">
        <v>44629</v>
      </c>
      <c r="AE107" s="75">
        <v>44630</v>
      </c>
      <c r="AF107" s="75">
        <v>44630</v>
      </c>
      <c r="AG107" s="77">
        <v>35786.581850000002</v>
      </c>
      <c r="AH107" s="36"/>
      <c r="AI107" s="36" t="s">
        <v>422</v>
      </c>
      <c r="AJ107" s="36" t="s">
        <v>106</v>
      </c>
      <c r="AK107" s="36" t="s">
        <v>113</v>
      </c>
      <c r="AL107" s="49" t="str">
        <f>[1]!s_ipo_inq_anncedate(H107)</f>
        <v>2022-03-02</v>
      </c>
      <c r="AM107" s="50" t="str">
        <f>[1]!s_ipo_inq_startdate(H107)</f>
        <v>2022-03-07</v>
      </c>
      <c r="AN107" s="50" t="str">
        <f>[1]!s_ipo_inq_enddate(H107)</f>
        <v>2022-03-07</v>
      </c>
      <c r="AO107" s="50" t="str">
        <f>[1]!s_ipo_inqresultdate(H107)</f>
        <v>2022-03-09</v>
      </c>
      <c r="AP107" s="50" t="str">
        <f>[1]!s_ipo_op_enddate(H107)</f>
        <v>2022-03-10</v>
      </c>
      <c r="AQ107" s="50" t="str">
        <f>[1]!s_ipo_cappaydate(H107)</f>
        <v>2022-03-14</v>
      </c>
      <c r="AR107" s="51" t="str">
        <f>[1]!s_ipo_placingdate(H107)</f>
        <v>2022-03-16</v>
      </c>
      <c r="AS107" s="58">
        <f>[1]!s_ipo_vsprice_max(H107)</f>
        <v>50</v>
      </c>
      <c r="AT107" s="59">
        <f>[1]!s_ipo_vsprice_min(H107)</f>
        <v>42.5</v>
      </c>
      <c r="AU107" s="59">
        <f>[1]!s_ipo_vsshares(H107,100000000)</f>
        <v>565.48199999999997</v>
      </c>
      <c r="AV107" s="59">
        <f>[1]!s_ipo_vssharespct(H107)</f>
        <v>70.845360514763371</v>
      </c>
      <c r="AW107" s="59">
        <f>[1]!s_ipo_invsshares_a(H107,100000000)</f>
        <v>7.6859999999999999</v>
      </c>
      <c r="AX107" s="60">
        <f>[1]!s_ipo_invssharespct_a(H107)</f>
        <v>0.96292621324192673</v>
      </c>
      <c r="AY107" s="65">
        <f>[1]!s_ipo_lotteryrate_abc(H107,1)</f>
        <v>3.8570130000000001E-2</v>
      </c>
      <c r="AZ107" s="66">
        <f>[1]!s_ipo_lotteryrate_abc(H107,2)</f>
        <v>1.8974919999999999E-2</v>
      </c>
      <c r="BA107" s="67">
        <f>[1]!s_ipo_lotteryrate_abc(H107,3)</f>
        <v>1.3941469999999999E-2</v>
      </c>
      <c r="BB107" s="27"/>
    </row>
    <row r="108" spans="1:54" s="26" customFormat="1" ht="16.5" x14ac:dyDescent="0.15">
      <c r="A108" s="5"/>
      <c r="B108" s="5"/>
      <c r="C108" s="5"/>
      <c r="D108" s="5"/>
      <c r="E108" s="5"/>
      <c r="F108" s="13"/>
      <c r="G108" s="7"/>
      <c r="H108" s="73" t="s">
        <v>423</v>
      </c>
      <c r="I108" s="36" t="s">
        <v>424</v>
      </c>
      <c r="J108" s="75">
        <v>44622</v>
      </c>
      <c r="K108" s="75">
        <v>44630</v>
      </c>
      <c r="L108" s="75">
        <v>44642</v>
      </c>
      <c r="M108" s="36" t="s">
        <v>110</v>
      </c>
      <c r="N108" s="77">
        <v>15.37</v>
      </c>
      <c r="O108" s="77">
        <v>40.69</v>
      </c>
      <c r="P108" s="77">
        <v>2340.84</v>
      </c>
      <c r="Q108" s="77">
        <v>2204.5</v>
      </c>
      <c r="R108" s="36">
        <v>431</v>
      </c>
      <c r="S108" s="36">
        <v>9744</v>
      </c>
      <c r="T108" s="37">
        <v>13305770</v>
      </c>
      <c r="U108" s="77">
        <v>5684.186018694144</v>
      </c>
      <c r="V108" s="36">
        <v>6471</v>
      </c>
      <c r="W108" s="36">
        <v>325</v>
      </c>
      <c r="X108" s="37">
        <v>6471</v>
      </c>
      <c r="Y108" s="77">
        <v>2.740151E-2</v>
      </c>
      <c r="Z108" s="77">
        <v>3649.4335000000001</v>
      </c>
      <c r="AA108" s="77"/>
      <c r="AB108" s="36" t="s">
        <v>103</v>
      </c>
      <c r="AC108" s="36" t="s">
        <v>319</v>
      </c>
      <c r="AD108" s="75">
        <v>44629</v>
      </c>
      <c r="AE108" s="75">
        <v>44630</v>
      </c>
      <c r="AF108" s="75">
        <v>44630</v>
      </c>
      <c r="AG108" s="77">
        <v>17180.57454935</v>
      </c>
      <c r="AH108" s="36"/>
      <c r="AI108" s="36" t="s">
        <v>310</v>
      </c>
      <c r="AJ108" s="36" t="s">
        <v>106</v>
      </c>
      <c r="AK108" s="36" t="s">
        <v>113</v>
      </c>
      <c r="AL108" s="49" t="str">
        <f>[1]!s_ipo_inq_anncedate(H108)</f>
        <v>2022-03-02</v>
      </c>
      <c r="AM108" s="50" t="str">
        <f>[1]!s_ipo_inq_startdate(H108)</f>
        <v>2022-03-04</v>
      </c>
      <c r="AN108" s="50" t="str">
        <f>[1]!s_ipo_inq_enddate(H108)</f>
        <v>2022-03-04</v>
      </c>
      <c r="AO108" s="50" t="str">
        <f>[1]!s_ipo_inqresultdate(H108)</f>
        <v>2022-03-09</v>
      </c>
      <c r="AP108" s="50" t="str">
        <f>[1]!s_ipo_op_enddate(H108)</f>
        <v>2022-03-10</v>
      </c>
      <c r="AQ108" s="50" t="str">
        <f>[1]!s_ipo_cappaydate(H108)</f>
        <v>2022-03-14</v>
      </c>
      <c r="AR108" s="51" t="str">
        <f>[1]!s_ipo_placingdate(H108)</f>
        <v>2022-03-16</v>
      </c>
      <c r="AS108" s="58">
        <f>[1]!s_ipo_vsprice_max(H108)</f>
        <v>19.53</v>
      </c>
      <c r="AT108" s="59">
        <f>[1]!s_ipo_vsprice_min(H108)</f>
        <v>15.39</v>
      </c>
      <c r="AU108" s="59">
        <f>[1]!s_ipo_vsshares(H108,100000000)</f>
        <v>854.274</v>
      </c>
      <c r="AV108" s="59">
        <f>[1]!s_ipo_vssharespct(H108)</f>
        <v>64.203274218628465</v>
      </c>
      <c r="AW108" s="59">
        <f>[1]!s_ipo_invsshares_a(H108,100000000)</f>
        <v>13.436999999999999</v>
      </c>
      <c r="AX108" s="60">
        <f>[1]!s_ipo_invssharespct_a(H108)</f>
        <v>1.0098626385395209</v>
      </c>
      <c r="AY108" s="65">
        <f>[1]!s_ipo_lotteryrate_abc(H108,1)</f>
        <v>4.2874059999999999E-2</v>
      </c>
      <c r="AZ108" s="66">
        <f>[1]!s_ipo_lotteryrate_abc(H108,2)</f>
        <v>2.7287100000000002E-2</v>
      </c>
      <c r="BA108" s="67">
        <f>[1]!s_ipo_lotteryrate_abc(H108,3)</f>
        <v>1.4E-2</v>
      </c>
      <c r="BB108" s="27"/>
    </row>
    <row r="109" spans="1:54" s="26" customFormat="1" ht="16.5" x14ac:dyDescent="0.15">
      <c r="A109" s="5"/>
      <c r="B109" s="5"/>
      <c r="C109" s="5"/>
      <c r="D109" s="5"/>
      <c r="E109" s="5"/>
      <c r="F109" s="13"/>
      <c r="G109" s="7"/>
      <c r="H109" s="73" t="s">
        <v>425</v>
      </c>
      <c r="I109" s="36" t="s">
        <v>426</v>
      </c>
      <c r="J109" s="75">
        <v>44620</v>
      </c>
      <c r="K109" s="75">
        <v>44628</v>
      </c>
      <c r="L109" s="75">
        <v>44638</v>
      </c>
      <c r="M109" s="36" t="s">
        <v>124</v>
      </c>
      <c r="N109" s="77">
        <v>65.209999999999994</v>
      </c>
      <c r="O109" s="77">
        <v>80.87</v>
      </c>
      <c r="P109" s="77">
        <v>1432.4499999999998</v>
      </c>
      <c r="Q109" s="77">
        <v>767.55</v>
      </c>
      <c r="R109" s="36">
        <v>452</v>
      </c>
      <c r="S109" s="36">
        <v>10946</v>
      </c>
      <c r="T109" s="37">
        <v>5582120</v>
      </c>
      <c r="U109" s="77">
        <v>4301.5077917110139</v>
      </c>
      <c r="V109" s="36">
        <v>7346</v>
      </c>
      <c r="W109" s="36">
        <v>343</v>
      </c>
      <c r="X109" s="37">
        <v>7346</v>
      </c>
      <c r="Y109" s="77">
        <v>3.6512389999999999E-2</v>
      </c>
      <c r="Z109" s="77">
        <v>2738.7964000000002</v>
      </c>
      <c r="AA109" s="77">
        <v>6.1244363636363621</v>
      </c>
      <c r="AB109" s="36" t="s">
        <v>117</v>
      </c>
      <c r="AC109" s="36" t="s">
        <v>292</v>
      </c>
      <c r="AD109" s="75">
        <v>44627</v>
      </c>
      <c r="AE109" s="75">
        <v>44628</v>
      </c>
      <c r="AF109" s="75">
        <v>44628</v>
      </c>
      <c r="AG109" s="77">
        <v>16052.055452149998</v>
      </c>
      <c r="AH109" s="36"/>
      <c r="AI109" s="36" t="s">
        <v>138</v>
      </c>
      <c r="AJ109" s="36" t="s">
        <v>120</v>
      </c>
      <c r="AK109" s="36" t="s">
        <v>127</v>
      </c>
      <c r="AL109" s="49" t="str">
        <f>[1]!s_ipo_inq_anncedate(H109)</f>
        <v>2022-02-28</v>
      </c>
      <c r="AM109" s="50" t="str">
        <f>[1]!s_ipo_inq_startdate(H109)</f>
        <v>2022-03-03</v>
      </c>
      <c r="AN109" s="50" t="str">
        <f>[1]!s_ipo_inq_enddate(H109)</f>
        <v>2022-03-03</v>
      </c>
      <c r="AO109" s="50" t="str">
        <f>[1]!s_ipo_inqresultdate(H109)</f>
        <v>2022-03-07</v>
      </c>
      <c r="AP109" s="50" t="str">
        <f>[1]!s_ipo_op_enddate(H109)</f>
        <v>2022-03-08</v>
      </c>
      <c r="AQ109" s="50" t="str">
        <f>[1]!s_ipo_cappaydate(H109)</f>
        <v>2022-03-10</v>
      </c>
      <c r="AR109" s="51" t="str">
        <f>[1]!s_ipo_placingdate(H109)</f>
        <v>2022-03-14</v>
      </c>
      <c r="AS109" s="58">
        <f>[1]!s_ipo_vsprice_max(H109)</f>
        <v>98</v>
      </c>
      <c r="AT109" s="59">
        <f>[1]!s_ipo_vsprice_min(H109)</f>
        <v>65.27</v>
      </c>
      <c r="AU109" s="59">
        <f>[1]!s_ipo_vsshares(H109,100000000)</f>
        <v>355.41699999999997</v>
      </c>
      <c r="AV109" s="59">
        <f>[1]!s_ipo_vssharespct(H109)</f>
        <v>63.670612598797597</v>
      </c>
      <c r="AW109" s="59">
        <f>[1]!s_ipo_invsshares_a(H109,100000000)</f>
        <v>5.5970000000000004</v>
      </c>
      <c r="AX109" s="60">
        <f>[1]!s_ipo_invssharespct_a(H109)</f>
        <v>1.0026656539092675</v>
      </c>
      <c r="AY109" s="65">
        <f>[1]!s_ipo_lotteryrate_abc(H109,1)</f>
        <v>4.9000000000000002E-2</v>
      </c>
      <c r="AZ109" s="66">
        <f>[1]!s_ipo_lotteryrate_abc(H109,2)</f>
        <v>3.5277320000000001E-2</v>
      </c>
      <c r="BA109" s="67">
        <f>[1]!s_ipo_lotteryrate_abc(H109,3)</f>
        <v>2.0028259999999999E-2</v>
      </c>
      <c r="BB109" s="27"/>
    </row>
    <row r="110" spans="1:54" s="26" customFormat="1" ht="16.5" x14ac:dyDescent="0.15">
      <c r="A110" s="5"/>
      <c r="B110" s="5"/>
      <c r="C110" s="5"/>
      <c r="D110" s="5"/>
      <c r="E110" s="5"/>
      <c r="F110" s="13"/>
      <c r="G110" s="7"/>
      <c r="H110" s="73" t="s">
        <v>427</v>
      </c>
      <c r="I110" s="36" t="s">
        <v>428</v>
      </c>
      <c r="J110" s="75">
        <v>44620</v>
      </c>
      <c r="K110" s="75">
        <v>44628</v>
      </c>
      <c r="L110" s="75">
        <v>44638</v>
      </c>
      <c r="M110" s="36" t="s">
        <v>124</v>
      </c>
      <c r="N110" s="77">
        <v>22.05</v>
      </c>
      <c r="O110" s="77">
        <v>133.71</v>
      </c>
      <c r="P110" s="77">
        <v>2996.1759000000002</v>
      </c>
      <c r="Q110" s="77">
        <v>1028.2</v>
      </c>
      <c r="R110" s="36">
        <v>423</v>
      </c>
      <c r="S110" s="36">
        <v>10759</v>
      </c>
      <c r="T110" s="37">
        <v>13043570</v>
      </c>
      <c r="U110" s="77">
        <v>5407.0363265828264</v>
      </c>
      <c r="V110" s="36">
        <v>6503</v>
      </c>
      <c r="W110" s="36">
        <v>239</v>
      </c>
      <c r="X110" s="37">
        <v>6503</v>
      </c>
      <c r="Y110" s="77">
        <v>3.1824039999999998E-2</v>
      </c>
      <c r="Z110" s="77">
        <v>3142.2781</v>
      </c>
      <c r="AA110" s="77">
        <v>14.507673102803345</v>
      </c>
      <c r="AB110" s="36" t="s">
        <v>117</v>
      </c>
      <c r="AC110" s="36" t="s">
        <v>118</v>
      </c>
      <c r="AD110" s="75">
        <v>44627</v>
      </c>
      <c r="AE110" s="75">
        <v>44628</v>
      </c>
      <c r="AF110" s="75">
        <v>44628</v>
      </c>
      <c r="AG110" s="77">
        <v>6406.0415212500002</v>
      </c>
      <c r="AH110" s="36"/>
      <c r="AI110" s="36" t="s">
        <v>429</v>
      </c>
      <c r="AJ110" s="36" t="s">
        <v>106</v>
      </c>
      <c r="AK110" s="36" t="s">
        <v>127</v>
      </c>
      <c r="AL110" s="49" t="str">
        <f>[1]!s_ipo_inq_anncedate(H110)</f>
        <v>2022-02-28</v>
      </c>
      <c r="AM110" s="50" t="str">
        <f>[1]!s_ipo_inq_startdate(H110)</f>
        <v>2022-03-03</v>
      </c>
      <c r="AN110" s="50" t="str">
        <f>[1]!s_ipo_inq_enddate(H110)</f>
        <v>2022-03-03</v>
      </c>
      <c r="AO110" s="50" t="str">
        <f>[1]!s_ipo_inqresultdate(H110)</f>
        <v>2022-03-07</v>
      </c>
      <c r="AP110" s="50" t="str">
        <f>[1]!s_ipo_op_enddate(H110)</f>
        <v>2022-03-08</v>
      </c>
      <c r="AQ110" s="50" t="str">
        <f>[1]!s_ipo_cappaydate(H110)</f>
        <v>2022-03-10</v>
      </c>
      <c r="AR110" s="51" t="str">
        <f>[1]!s_ipo_placingdate(H110)</f>
        <v>2022-03-14</v>
      </c>
      <c r="AS110" s="58">
        <f>[1]!s_ipo_vsprice_max(H110)</f>
        <v>28.2</v>
      </c>
      <c r="AT110" s="59">
        <f>[1]!s_ipo_vsprice_min(H110)</f>
        <v>22.1</v>
      </c>
      <c r="AU110" s="59">
        <f>[1]!s_ipo_vsshares(H110,100000000)</f>
        <v>758.02200000000005</v>
      </c>
      <c r="AV110" s="59">
        <f>[1]!s_ipo_vssharespct(H110)</f>
        <v>58.114611260567472</v>
      </c>
      <c r="AW110" s="59">
        <f>[1]!s_ipo_invsshares_a(H110,100000000)</f>
        <v>13.138999999999999</v>
      </c>
      <c r="AX110" s="60">
        <f>[1]!s_ipo_invssharespct_a(H110)</f>
        <v>1.0073162485423852</v>
      </c>
      <c r="AY110" s="65">
        <f>[1]!s_ipo_lotteryrate_abc(H110,1)</f>
        <v>4.0186520000000003E-2</v>
      </c>
      <c r="AZ110" s="66">
        <f>[1]!s_ipo_lotteryrate_abc(H110,2)</f>
        <v>4.0179489999999998E-2</v>
      </c>
      <c r="BA110" s="67">
        <f>[1]!s_ipo_lotteryrate_abc(H110,3)</f>
        <v>2.140651E-2</v>
      </c>
      <c r="BB110" s="27"/>
    </row>
    <row r="111" spans="1:54" s="26" customFormat="1" ht="16.5" x14ac:dyDescent="0.15">
      <c r="A111" s="5"/>
      <c r="B111" s="5"/>
      <c r="C111" s="5"/>
      <c r="D111" s="5"/>
      <c r="E111" s="5"/>
      <c r="F111" s="13"/>
      <c r="G111" s="7"/>
      <c r="H111" s="73" t="s">
        <v>430</v>
      </c>
      <c r="I111" s="36" t="s">
        <v>431</v>
      </c>
      <c r="J111" s="75">
        <v>44620</v>
      </c>
      <c r="K111" s="75">
        <v>44628</v>
      </c>
      <c r="L111" s="75">
        <v>44638</v>
      </c>
      <c r="M111" s="36" t="s">
        <v>255</v>
      </c>
      <c r="N111" s="77">
        <v>48.84</v>
      </c>
      <c r="O111" s="77">
        <v>22.99</v>
      </c>
      <c r="P111" s="77">
        <v>424.85</v>
      </c>
      <c r="Q111" s="77">
        <v>3823.9</v>
      </c>
      <c r="R111" s="36">
        <v>3419</v>
      </c>
      <c r="S111" s="36">
        <v>14085</v>
      </c>
      <c r="T111" s="37">
        <v>1686750</v>
      </c>
      <c r="U111" s="77">
        <v>3970.2247852183123</v>
      </c>
      <c r="V111" s="36">
        <v>14034</v>
      </c>
      <c r="W111" s="36">
        <v>3397</v>
      </c>
      <c r="X111" s="37">
        <v>13999</v>
      </c>
      <c r="Y111" s="77">
        <v>2.534254E-2</v>
      </c>
      <c r="Z111" s="77">
        <v>3945.9339</v>
      </c>
      <c r="AA111" s="77"/>
      <c r="AB111" s="36" t="s">
        <v>103</v>
      </c>
      <c r="AC111" s="36" t="s">
        <v>276</v>
      </c>
      <c r="AD111" s="75">
        <v>44627</v>
      </c>
      <c r="AE111" s="75">
        <v>44628</v>
      </c>
      <c r="AF111" s="75">
        <v>44628</v>
      </c>
      <c r="AG111" s="77">
        <v>57392.815623000002</v>
      </c>
      <c r="AH111" s="36"/>
      <c r="AI111" s="36" t="s">
        <v>221</v>
      </c>
      <c r="AJ111" s="36" t="s">
        <v>106</v>
      </c>
      <c r="AK111" s="36" t="s">
        <v>121</v>
      </c>
      <c r="AL111" s="49" t="str">
        <f>[1]!s_ipo_inq_anncedate(H111)</f>
        <v>2022-02-28</v>
      </c>
      <c r="AM111" s="50" t="str">
        <f>[1]!s_ipo_inq_startdate(H111)</f>
        <v>2022-03-02</v>
      </c>
      <c r="AN111" s="50" t="str">
        <f>[1]!s_ipo_inq_enddate(H111)</f>
        <v>2022-03-02</v>
      </c>
      <c r="AO111" s="50" t="str">
        <f>[1]!s_ipo_inqresultdate(H111)</f>
        <v>2022-03-07</v>
      </c>
      <c r="AP111" s="50" t="str">
        <f>[1]!s_ipo_op_enddate(H111)</f>
        <v>2022-03-08</v>
      </c>
      <c r="AQ111" s="50" t="str">
        <f>[1]!s_ipo_cappaydate(H111)</f>
        <v>2022-03-10</v>
      </c>
      <c r="AR111" s="51" t="str">
        <f>[1]!s_ipo_placingdate(H111)</f>
        <v>2022-03-14</v>
      </c>
      <c r="AS111" s="58">
        <f>[1]!s_ipo_vsprice_max(H111)</f>
        <v>48.84</v>
      </c>
      <c r="AT111" s="59">
        <f>[1]!s_ipo_vsprice_min(H111)</f>
        <v>48.84</v>
      </c>
      <c r="AU111" s="59">
        <f>[1]!s_ipo_vsshares(H111,100000000)</f>
        <v>168.06299999999999</v>
      </c>
      <c r="AV111" s="59">
        <f>[1]!s_ipo_vssharespct(H111)</f>
        <v>99.637172076478436</v>
      </c>
      <c r="AW111" s="59">
        <f>[1]!s_ipo_invsshares_a(H111,100000000)</f>
        <v>3.5999999999999997E-2</v>
      </c>
      <c r="AX111" s="60">
        <f>[1]!s_ipo_invssharespct_a(H111)</f>
        <v>2.1342819030680301E-2</v>
      </c>
      <c r="AY111" s="65">
        <f>[1]!s_ipo_lotteryrate_abc(H111,1)</f>
        <v>4.2775420000000001E-2</v>
      </c>
      <c r="AZ111" s="66">
        <f>[1]!s_ipo_lotteryrate_abc(H111,2)</f>
        <v>1.7916669999999999E-2</v>
      </c>
      <c r="BA111" s="67">
        <f>[1]!s_ipo_lotteryrate_abc(H111,3)</f>
        <v>1.758328E-2</v>
      </c>
      <c r="BB111" s="27"/>
    </row>
    <row r="112" spans="1:54" s="26" customFormat="1" ht="16.5" x14ac:dyDescent="0.15">
      <c r="A112" s="5"/>
      <c r="B112" s="5"/>
      <c r="C112" s="5"/>
      <c r="D112" s="5"/>
      <c r="E112" s="5"/>
      <c r="F112" s="13"/>
      <c r="G112" s="7"/>
      <c r="H112" s="73" t="s">
        <v>432</v>
      </c>
      <c r="I112" s="36" t="s">
        <v>433</v>
      </c>
      <c r="J112" s="75">
        <v>44621</v>
      </c>
      <c r="K112" s="75">
        <v>44628</v>
      </c>
      <c r="L112" s="75">
        <v>44637</v>
      </c>
      <c r="M112" s="36" t="s">
        <v>110</v>
      </c>
      <c r="N112" s="77">
        <v>173.98</v>
      </c>
      <c r="O112" s="77">
        <v>63.05</v>
      </c>
      <c r="P112" s="77">
        <v>1883.99</v>
      </c>
      <c r="Q112" s="77">
        <v>1264.7</v>
      </c>
      <c r="R112" s="36">
        <v>421</v>
      </c>
      <c r="S112" s="36">
        <v>9432</v>
      </c>
      <c r="T112" s="37">
        <v>3440970</v>
      </c>
      <c r="U112" s="77">
        <v>2687.2631052661914</v>
      </c>
      <c r="V112" s="36">
        <v>9161</v>
      </c>
      <c r="W112" s="36">
        <v>400</v>
      </c>
      <c r="X112" s="37">
        <v>9161</v>
      </c>
      <c r="Y112" s="77">
        <v>3.8583480000000003E-2</v>
      </c>
      <c r="Z112" s="77">
        <v>2591.7828</v>
      </c>
      <c r="AA112" s="77">
        <v>19.167215572190337</v>
      </c>
      <c r="AB112" s="36" t="s">
        <v>117</v>
      </c>
      <c r="AC112" s="36" t="s">
        <v>434</v>
      </c>
      <c r="AD112" s="75">
        <v>44627</v>
      </c>
      <c r="AE112" s="75">
        <v>44628</v>
      </c>
      <c r="AF112" s="75">
        <v>44628</v>
      </c>
      <c r="AG112" s="77">
        <v>120171.874453</v>
      </c>
      <c r="AH112" s="36"/>
      <c r="AI112" s="36" t="s">
        <v>280</v>
      </c>
      <c r="AJ112" s="36" t="s">
        <v>106</v>
      </c>
      <c r="AK112" s="36" t="s">
        <v>113</v>
      </c>
      <c r="AL112" s="49" t="str">
        <f>[1]!s_ipo_inq_anncedate(H112)</f>
        <v>2022-03-01</v>
      </c>
      <c r="AM112" s="50" t="str">
        <f>[1]!s_ipo_inq_startdate(H112)</f>
        <v>2022-03-03</v>
      </c>
      <c r="AN112" s="50" t="str">
        <f>[1]!s_ipo_inq_enddate(H112)</f>
        <v>2022-03-03</v>
      </c>
      <c r="AO112" s="50" t="str">
        <f>[1]!s_ipo_inqresultdate(H112)</f>
        <v>2022-03-07</v>
      </c>
      <c r="AP112" s="50" t="str">
        <f>[1]!s_ipo_op_enddate(H112)</f>
        <v>2022-03-08</v>
      </c>
      <c r="AQ112" s="50" t="str">
        <f>[1]!s_ipo_cappaydate(H112)</f>
        <v>2022-03-10</v>
      </c>
      <c r="AR112" s="51" t="str">
        <f>[1]!s_ipo_placingdate(H112)</f>
        <v>2022-03-14</v>
      </c>
      <c r="AS112" s="58">
        <f>[1]!s_ipo_vsprice_max(H112)</f>
        <v>290</v>
      </c>
      <c r="AT112" s="59">
        <f>[1]!s_ipo_vsprice_min(H112)</f>
        <v>175.47</v>
      </c>
      <c r="AU112" s="59">
        <f>[1]!s_ipo_vsshares(H112,100000000)</f>
        <v>331.87099999999998</v>
      </c>
      <c r="AV112" s="59">
        <f>[1]!s_ipo_vssharespct(H112)</f>
        <v>96.446932115072201</v>
      </c>
      <c r="AW112" s="59">
        <f>[1]!s_ipo_invsshares_a(H112,100000000)</f>
        <v>3.4710000000000001</v>
      </c>
      <c r="AX112" s="60">
        <f>[1]!s_ipo_invssharespct_a(H112)</f>
        <v>1.0087271902980846</v>
      </c>
      <c r="AY112" s="65">
        <f>[1]!s_ipo_lotteryrate_abc(H112,1)</f>
        <v>4.0016860000000001E-2</v>
      </c>
      <c r="AZ112" s="66">
        <f>[1]!s_ipo_lotteryrate_abc(H112,2)</f>
        <v>3.6779640000000002E-2</v>
      </c>
      <c r="BA112" s="67">
        <f>[1]!s_ipo_lotteryrate_abc(H112,3)</f>
        <v>3.4000000000000002E-2</v>
      </c>
      <c r="BB112" s="27"/>
    </row>
    <row r="113" spans="1:54" s="26" customFormat="1" ht="16.5" x14ac:dyDescent="0.15">
      <c r="A113" s="5"/>
      <c r="B113" s="5"/>
      <c r="C113" s="5"/>
      <c r="D113" s="5"/>
      <c r="E113" s="5"/>
      <c r="F113" s="13"/>
      <c r="G113" s="7"/>
      <c r="H113" s="73" t="s">
        <v>435</v>
      </c>
      <c r="I113" s="36" t="s">
        <v>436</v>
      </c>
      <c r="J113" s="75">
        <v>44617</v>
      </c>
      <c r="K113" s="75">
        <v>44627</v>
      </c>
      <c r="L113" s="75">
        <v>44636</v>
      </c>
      <c r="M113" s="36" t="s">
        <v>136</v>
      </c>
      <c r="N113" s="77">
        <v>10.48</v>
      </c>
      <c r="O113" s="77">
        <v>101.03</v>
      </c>
      <c r="P113" s="77">
        <v>2974.8999999999996</v>
      </c>
      <c r="Q113" s="77">
        <v>1026.0999999999999</v>
      </c>
      <c r="R113" s="36">
        <v>428</v>
      </c>
      <c r="S113" s="36">
        <v>10366</v>
      </c>
      <c r="T113" s="37">
        <v>14167120</v>
      </c>
      <c r="U113" s="77">
        <v>5822.7878484580415</v>
      </c>
      <c r="V113" s="36">
        <v>6536</v>
      </c>
      <c r="W113" s="36">
        <v>275</v>
      </c>
      <c r="X113" s="37">
        <v>6536</v>
      </c>
      <c r="Y113" s="77">
        <v>2.7483400000000002E-2</v>
      </c>
      <c r="Z113" s="77">
        <v>3638.5601000000001</v>
      </c>
      <c r="AA113" s="77">
        <v>13.542924268932765</v>
      </c>
      <c r="AB113" s="36" t="s">
        <v>117</v>
      </c>
      <c r="AC113" s="36" t="s">
        <v>437</v>
      </c>
      <c r="AD113" s="75">
        <v>44624</v>
      </c>
      <c r="AE113" s="75">
        <v>44627</v>
      </c>
      <c r="AF113" s="75">
        <v>44627</v>
      </c>
      <c r="AG113" s="77">
        <v>3167.2598360000002</v>
      </c>
      <c r="AH113" s="36"/>
      <c r="AI113" s="36" t="s">
        <v>280</v>
      </c>
      <c r="AJ113" s="36" t="s">
        <v>106</v>
      </c>
      <c r="AK113" s="36" t="s">
        <v>127</v>
      </c>
      <c r="AL113" s="49" t="str">
        <f>[1]!s_ipo_inq_anncedate(H113)</f>
        <v>2022-02-25</v>
      </c>
      <c r="AM113" s="50" t="str">
        <f>[1]!s_ipo_inq_startdate(H113)</f>
        <v>2022-03-02</v>
      </c>
      <c r="AN113" s="50" t="str">
        <f>[1]!s_ipo_inq_enddate(H113)</f>
        <v>2022-03-02</v>
      </c>
      <c r="AO113" s="50" t="str">
        <f>[1]!s_ipo_inqresultdate(H113)</f>
        <v>2022-03-04</v>
      </c>
      <c r="AP113" s="50" t="str">
        <f>[1]!s_ipo_op_enddate(H113)</f>
        <v>2022-03-07</v>
      </c>
      <c r="AQ113" s="50" t="str">
        <f>[1]!s_ipo_cappaydate(H113)</f>
        <v>2022-03-09</v>
      </c>
      <c r="AR113" s="51" t="str">
        <f>[1]!s_ipo_placingdate(H113)</f>
        <v>2022-03-11</v>
      </c>
      <c r="AS113" s="58">
        <f>[1]!s_ipo_vsprice_max(H113)</f>
        <v>12.88</v>
      </c>
      <c r="AT113" s="59">
        <f>[1]!s_ipo_vsprice_min(H113)</f>
        <v>10.5</v>
      </c>
      <c r="AU113" s="59">
        <f>[1]!s_ipo_vsshares(H113,100000000)</f>
        <v>885.279</v>
      </c>
      <c r="AV113" s="59">
        <f>[1]!s_ipo_vssharespct(H113)</f>
        <v>62.488282727893882</v>
      </c>
      <c r="AW113" s="59">
        <f>[1]!s_ipo_invsshares_a(H113,100000000)</f>
        <v>14.193</v>
      </c>
      <c r="AX113" s="60">
        <f>[1]!s_ipo_invssharespct_a(H113)</f>
        <v>1.0018267650729293</v>
      </c>
      <c r="AY113" s="65">
        <f>[1]!s_ipo_lotteryrate_abc(H113,1)</f>
        <v>4.3073729999999998E-2</v>
      </c>
      <c r="AZ113" s="66">
        <f>[1]!s_ipo_lotteryrate_abc(H113,2)</f>
        <v>4.3064030000000003E-2</v>
      </c>
      <c r="BA113" s="67">
        <f>[1]!s_ipo_lotteryrate_abc(H113,3)</f>
        <v>1.4271010000000001E-2</v>
      </c>
      <c r="BB113" s="27"/>
    </row>
    <row r="114" spans="1:54" s="26" customFormat="1" ht="16.5" x14ac:dyDescent="0.15">
      <c r="A114" s="5"/>
      <c r="B114" s="5"/>
      <c r="C114" s="5"/>
      <c r="D114" s="5"/>
      <c r="E114" s="5"/>
      <c r="F114" s="13"/>
      <c r="G114" s="7"/>
      <c r="H114" s="73" t="s">
        <v>438</v>
      </c>
      <c r="I114" s="36" t="s">
        <v>439</v>
      </c>
      <c r="J114" s="75">
        <v>44617</v>
      </c>
      <c r="K114" s="75">
        <v>44627</v>
      </c>
      <c r="L114" s="75">
        <v>44637</v>
      </c>
      <c r="M114" s="36" t="s">
        <v>124</v>
      </c>
      <c r="N114" s="77">
        <v>39.49</v>
      </c>
      <c r="O114" s="77"/>
      <c r="P114" s="77">
        <v>3298.5705000000003</v>
      </c>
      <c r="Q114" s="77">
        <v>1325.95</v>
      </c>
      <c r="R114" s="36">
        <v>355</v>
      </c>
      <c r="S114" s="36">
        <v>8836</v>
      </c>
      <c r="T114" s="37">
        <v>10376990</v>
      </c>
      <c r="U114" s="77">
        <v>3297.8071102912718</v>
      </c>
      <c r="V114" s="36">
        <v>4633</v>
      </c>
      <c r="W114" s="36">
        <v>210</v>
      </c>
      <c r="X114" s="37">
        <v>4633</v>
      </c>
      <c r="Y114" s="77">
        <v>6.8462819999999994E-2</v>
      </c>
      <c r="Z114" s="77">
        <v>1460.6468</v>
      </c>
      <c r="AA114" s="77">
        <v>3.2854671095089745</v>
      </c>
      <c r="AB114" s="36" t="s">
        <v>117</v>
      </c>
      <c r="AC114" s="36" t="s">
        <v>111</v>
      </c>
      <c r="AD114" s="75">
        <v>44624</v>
      </c>
      <c r="AE114" s="75">
        <v>44627</v>
      </c>
      <c r="AF114" s="75">
        <v>44627</v>
      </c>
      <c r="AG114" s="77">
        <v>14485.42819185</v>
      </c>
      <c r="AH114" s="36"/>
      <c r="AI114" s="36" t="s">
        <v>183</v>
      </c>
      <c r="AJ114" s="36" t="s">
        <v>120</v>
      </c>
      <c r="AK114" s="36" t="s">
        <v>107</v>
      </c>
      <c r="AL114" s="49" t="str">
        <f>[1]!s_ipo_inq_anncedate(H114)</f>
        <v>2022-02-25</v>
      </c>
      <c r="AM114" s="50" t="str">
        <f>[1]!s_ipo_inq_startdate(H114)</f>
        <v>2022-03-02</v>
      </c>
      <c r="AN114" s="50" t="str">
        <f>[1]!s_ipo_inq_enddate(H114)</f>
        <v>2022-03-02</v>
      </c>
      <c r="AO114" s="50" t="str">
        <f>[1]!s_ipo_inqresultdate(H114)</f>
        <v>2022-03-04</v>
      </c>
      <c r="AP114" s="50" t="str">
        <f>[1]!s_ipo_op_enddate(H114)</f>
        <v>2022-03-07</v>
      </c>
      <c r="AQ114" s="50" t="str">
        <f>[1]!s_ipo_cappaydate(H114)</f>
        <v>2022-03-09</v>
      </c>
      <c r="AR114" s="51" t="str">
        <f>[1]!s_ipo_placingdate(H114)</f>
        <v>2022-03-11</v>
      </c>
      <c r="AS114" s="58">
        <f>[1]!s_ipo_vsprice_max(H114)</f>
        <v>64</v>
      </c>
      <c r="AT114" s="59">
        <f>[1]!s_ipo_vsprice_min(H114)</f>
        <v>39.5</v>
      </c>
      <c r="AU114" s="59">
        <f>[1]!s_ipo_vsshares(H114,100000000)</f>
        <v>459.61200000000002</v>
      </c>
      <c r="AV114" s="59">
        <f>[1]!s_ipo_vssharespct(H114)</f>
        <v>44.29145638571493</v>
      </c>
      <c r="AW114" s="59">
        <f>[1]!s_ipo_invsshares_a(H114,100000000)</f>
        <v>10.403</v>
      </c>
      <c r="AX114" s="60">
        <f>[1]!s_ipo_invssharespct_a(H114)</f>
        <v>1.0025065071856096</v>
      </c>
      <c r="AY114" s="65">
        <f>[1]!s_ipo_lotteryrate_abc(H114,1)</f>
        <v>7.4400279999999999E-2</v>
      </c>
      <c r="AZ114" s="66">
        <f>[1]!s_ipo_lotteryrate_abc(H114,2)</f>
        <v>7.4387540000000002E-2</v>
      </c>
      <c r="BA114" s="67">
        <f>[1]!s_ipo_lotteryrate_abc(H114,3)</f>
        <v>5.7530919999999999E-2</v>
      </c>
      <c r="BB114" s="27"/>
    </row>
    <row r="115" spans="1:54" s="26" customFormat="1" ht="16.5" x14ac:dyDescent="0.15">
      <c r="A115" s="5"/>
      <c r="B115" s="5"/>
      <c r="C115" s="5"/>
      <c r="D115" s="5"/>
      <c r="E115" s="5"/>
      <c r="F115" s="13"/>
      <c r="G115" s="7"/>
      <c r="H115" s="73" t="s">
        <v>440</v>
      </c>
      <c r="I115" s="36" t="s">
        <v>441</v>
      </c>
      <c r="J115" s="75">
        <v>44616</v>
      </c>
      <c r="K115" s="75">
        <v>44624</v>
      </c>
      <c r="L115" s="75">
        <v>44635</v>
      </c>
      <c r="M115" s="36" t="s">
        <v>110</v>
      </c>
      <c r="N115" s="77">
        <v>72.88</v>
      </c>
      <c r="O115" s="77">
        <v>27.9</v>
      </c>
      <c r="P115" s="77">
        <v>4243.3912</v>
      </c>
      <c r="Q115" s="77">
        <v>2109.5500000000002</v>
      </c>
      <c r="R115" s="36">
        <v>409</v>
      </c>
      <c r="S115" s="36">
        <v>8285</v>
      </c>
      <c r="T115" s="37">
        <v>7915850</v>
      </c>
      <c r="U115" s="77">
        <v>2358.8844255846661</v>
      </c>
      <c r="V115" s="36">
        <v>6117</v>
      </c>
      <c r="W115" s="36">
        <v>328</v>
      </c>
      <c r="X115" s="37">
        <v>6115</v>
      </c>
      <c r="Y115" s="77">
        <v>6.5914109999999998E-2</v>
      </c>
      <c r="Z115" s="77">
        <v>1517.1258</v>
      </c>
      <c r="AA115" s="77">
        <v>13.971972540844547</v>
      </c>
      <c r="AB115" s="36" t="s">
        <v>125</v>
      </c>
      <c r="AC115" s="36" t="s">
        <v>442</v>
      </c>
      <c r="AD115" s="75">
        <v>44623</v>
      </c>
      <c r="AE115" s="75">
        <v>44624</v>
      </c>
      <c r="AF115" s="75">
        <v>44624</v>
      </c>
      <c r="AG115" s="77">
        <v>64023.693458000002</v>
      </c>
      <c r="AH115" s="36"/>
      <c r="AI115" s="36" t="s">
        <v>443</v>
      </c>
      <c r="AJ115" s="36" t="s">
        <v>106</v>
      </c>
      <c r="AK115" s="36" t="s">
        <v>121</v>
      </c>
      <c r="AL115" s="49" t="str">
        <f>[1]!s_ipo_inq_anncedate(H115)</f>
        <v>2022-02-24</v>
      </c>
      <c r="AM115" s="50" t="str">
        <f>[1]!s_ipo_inq_startdate(H115)</f>
        <v>2022-02-28</v>
      </c>
      <c r="AN115" s="50" t="str">
        <f>[1]!s_ipo_inq_enddate(H115)</f>
        <v>2022-02-28</v>
      </c>
      <c r="AO115" s="50" t="str">
        <f>[1]!s_ipo_inqresultdate(H115)</f>
        <v>2022-03-03</v>
      </c>
      <c r="AP115" s="50" t="str">
        <f>[1]!s_ipo_op_enddate(H115)</f>
        <v>2022-03-04</v>
      </c>
      <c r="AQ115" s="50" t="str">
        <f>[1]!s_ipo_cappaydate(H115)</f>
        <v>2022-03-08</v>
      </c>
      <c r="AR115" s="51" t="str">
        <f>[1]!s_ipo_placingdate(H115)</f>
        <v>2022-03-10</v>
      </c>
      <c r="AS115" s="58">
        <f>[1]!s_ipo_vsprice_max(H115)</f>
        <v>89.1</v>
      </c>
      <c r="AT115" s="59">
        <f>[1]!s_ipo_vsprice_min(H115)</f>
        <v>73</v>
      </c>
      <c r="AU115" s="59">
        <f>[1]!s_ipo_vsshares(H115,100000000)</f>
        <v>509.25900000000001</v>
      </c>
      <c r="AV115" s="59">
        <f>[1]!s_ipo_vssharespct(H115)</f>
        <v>64.33408920078071</v>
      </c>
      <c r="AW115" s="59">
        <f>[1]!s_ipo_invsshares_a(H115,100000000)</f>
        <v>8.0570000000000004</v>
      </c>
      <c r="AX115" s="60">
        <f>[1]!s_ipo_invssharespct_a(H115)</f>
        <v>1.0178313131249328</v>
      </c>
      <c r="AY115" s="65">
        <f>[1]!s_ipo_lotteryrate_abc(H115,1)</f>
        <v>6.9155030000000006E-2</v>
      </c>
      <c r="AZ115" s="66">
        <f>[1]!s_ipo_lotteryrate_abc(H115,2)</f>
        <v>6.3717590000000005E-2</v>
      </c>
      <c r="BA115" s="67">
        <f>[1]!s_ipo_lotteryrate_abc(H115,3)</f>
        <v>5.8000000000000003E-2</v>
      </c>
      <c r="BB115" s="27"/>
    </row>
    <row r="116" spans="1:54" s="26" customFormat="1" ht="16.5" x14ac:dyDescent="0.15">
      <c r="A116" s="5"/>
      <c r="B116" s="5"/>
      <c r="C116" s="5"/>
      <c r="D116" s="5"/>
      <c r="E116" s="5"/>
      <c r="F116" s="13"/>
      <c r="G116" s="7"/>
      <c r="H116" s="73" t="s">
        <v>444</v>
      </c>
      <c r="I116" s="36" t="s">
        <v>445</v>
      </c>
      <c r="J116" s="75">
        <v>44616</v>
      </c>
      <c r="K116" s="75">
        <v>44624</v>
      </c>
      <c r="L116" s="75">
        <v>44635</v>
      </c>
      <c r="M116" s="36" t="s">
        <v>124</v>
      </c>
      <c r="N116" s="77">
        <v>51.68</v>
      </c>
      <c r="O116" s="77">
        <v>50.55</v>
      </c>
      <c r="P116" s="77">
        <v>1579.4095</v>
      </c>
      <c r="Q116" s="77">
        <v>743.25</v>
      </c>
      <c r="R116" s="36">
        <v>448</v>
      </c>
      <c r="S116" s="36">
        <v>10231</v>
      </c>
      <c r="T116" s="37">
        <v>5581830</v>
      </c>
      <c r="U116" s="77">
        <v>5006.6751722341533</v>
      </c>
      <c r="V116" s="36">
        <v>6994</v>
      </c>
      <c r="W116" s="36">
        <v>347</v>
      </c>
      <c r="X116" s="37">
        <v>6994</v>
      </c>
      <c r="Y116" s="77">
        <v>3.0099859999999999E-2</v>
      </c>
      <c r="Z116" s="77">
        <v>3322.2750000000001</v>
      </c>
      <c r="AA116" s="77">
        <v>19.999999999999996</v>
      </c>
      <c r="AB116" s="36" t="s">
        <v>117</v>
      </c>
      <c r="AC116" s="36" t="s">
        <v>446</v>
      </c>
      <c r="AD116" s="75">
        <v>44623</v>
      </c>
      <c r="AE116" s="75">
        <v>44624</v>
      </c>
      <c r="AF116" s="75">
        <v>44624</v>
      </c>
      <c r="AG116" s="77">
        <v>12997.654368</v>
      </c>
      <c r="AH116" s="36"/>
      <c r="AI116" s="36" t="s">
        <v>211</v>
      </c>
      <c r="AJ116" s="36" t="s">
        <v>120</v>
      </c>
      <c r="AK116" s="36" t="s">
        <v>107</v>
      </c>
      <c r="AL116" s="49" t="str">
        <f>[1]!s_ipo_inq_anncedate(H116)</f>
        <v>2022-02-24</v>
      </c>
      <c r="AM116" s="50" t="str">
        <f>[1]!s_ipo_inq_startdate(H116)</f>
        <v>2022-03-01</v>
      </c>
      <c r="AN116" s="50" t="str">
        <f>[1]!s_ipo_inq_enddate(H116)</f>
        <v>2022-03-01</v>
      </c>
      <c r="AO116" s="50" t="str">
        <f>[1]!s_ipo_inqresultdate(H116)</f>
        <v>2022-03-03</v>
      </c>
      <c r="AP116" s="50" t="str">
        <f>[1]!s_ipo_op_enddate(H116)</f>
        <v>2022-03-04</v>
      </c>
      <c r="AQ116" s="50" t="str">
        <f>[1]!s_ipo_cappaydate(H116)</f>
        <v>2022-03-08</v>
      </c>
      <c r="AR116" s="51" t="str">
        <f>[1]!s_ipo_placingdate(H116)</f>
        <v>2022-03-10</v>
      </c>
      <c r="AS116" s="58">
        <f>[1]!s_ipo_vsprice_max(H116)</f>
        <v>61.34</v>
      </c>
      <c r="AT116" s="59">
        <f>[1]!s_ipo_vsprice_min(H116)</f>
        <v>51.8</v>
      </c>
      <c r="AU116" s="59">
        <f>[1]!s_ipo_vsshares(H116,100000000)</f>
        <v>370.39299999999997</v>
      </c>
      <c r="AV116" s="59">
        <f>[1]!s_ipo_vssharespct(H116)</f>
        <v>66.356911622174081</v>
      </c>
      <c r="AW116" s="59">
        <f>[1]!s_ipo_invsshares_a(H116,100000000)</f>
        <v>5.5910000000000002</v>
      </c>
      <c r="AX116" s="60">
        <f>[1]!s_ipo_invssharespct_a(H116)</f>
        <v>1.0016428303979161</v>
      </c>
      <c r="AY116" s="65">
        <f>[1]!s_ipo_lotteryrate_abc(H116,1)</f>
        <v>4.3862070000000003E-2</v>
      </c>
      <c r="AZ116" s="66">
        <f>[1]!s_ipo_lotteryrate_abc(H116,2)</f>
        <v>3.5811179999999998E-2</v>
      </c>
      <c r="BA116" s="67">
        <f>[1]!s_ipo_lotteryrate_abc(H116,3)</f>
        <v>1.654572E-2</v>
      </c>
      <c r="BB116" s="27"/>
    </row>
    <row r="117" spans="1:54" s="26" customFormat="1" ht="16.5" x14ac:dyDescent="0.15">
      <c r="A117" s="5"/>
      <c r="B117" s="5"/>
      <c r="C117" s="5"/>
      <c r="D117" s="5"/>
      <c r="E117" s="5"/>
      <c r="F117" s="13"/>
      <c r="G117" s="7"/>
      <c r="H117" s="73" t="s">
        <v>447</v>
      </c>
      <c r="I117" s="36" t="s">
        <v>448</v>
      </c>
      <c r="J117" s="75">
        <v>44623</v>
      </c>
      <c r="K117" s="75">
        <v>44627</v>
      </c>
      <c r="L117" s="75">
        <v>44641</v>
      </c>
      <c r="M117" s="36" t="s">
        <v>163</v>
      </c>
      <c r="N117" s="77">
        <v>10.8</v>
      </c>
      <c r="O117" s="77">
        <v>30.85</v>
      </c>
      <c r="P117" s="77">
        <v>200</v>
      </c>
      <c r="Q117" s="77">
        <v>800</v>
      </c>
      <c r="R117" s="36"/>
      <c r="S117" s="36"/>
      <c r="T117" s="37"/>
      <c r="U117" s="77"/>
      <c r="V117" s="36"/>
      <c r="W117" s="36"/>
      <c r="X117" s="37"/>
      <c r="Y117" s="77"/>
      <c r="Z117" s="77"/>
      <c r="AA117" s="77">
        <v>20</v>
      </c>
      <c r="AB117" s="36" t="s">
        <v>175</v>
      </c>
      <c r="AC117" s="36" t="s">
        <v>449</v>
      </c>
      <c r="AD117" s="75">
        <v>44623</v>
      </c>
      <c r="AE117" s="75"/>
      <c r="AF117" s="75"/>
      <c r="AG117" s="77">
        <v>698.6833848</v>
      </c>
      <c r="AH117" s="36"/>
      <c r="AI117" s="36" t="s">
        <v>119</v>
      </c>
      <c r="AJ117" s="36" t="s">
        <v>120</v>
      </c>
      <c r="AK117" s="36" t="s">
        <v>184</v>
      </c>
      <c r="AL117" s="49">
        <f>[1]!s_ipo_inq_anncedate(H117)</f>
        <v>0</v>
      </c>
      <c r="AM117" s="50">
        <f>[1]!s_ipo_inq_startdate(H117)</f>
        <v>0</v>
      </c>
      <c r="AN117" s="50">
        <f>[1]!s_ipo_inq_enddate(H117)</f>
        <v>0</v>
      </c>
      <c r="AO117" s="50">
        <f>[1]!s_ipo_inqresultdate(H117)</f>
        <v>0</v>
      </c>
      <c r="AP117" s="50">
        <f>[1]!s_ipo_op_enddate(H117)</f>
        <v>0</v>
      </c>
      <c r="AQ117" s="50" t="str">
        <f>[1]!s_ipo_cappaydate(H117)</f>
        <v>2022-03-07</v>
      </c>
      <c r="AR117" s="51">
        <f>[1]!s_ipo_placingdate(H117)</f>
        <v>0</v>
      </c>
      <c r="AS117" s="58">
        <f>[1]!s_ipo_vsprice_max(H117)</f>
        <v>0</v>
      </c>
      <c r="AT117" s="59">
        <f>[1]!s_ipo_vsprice_min(H117)</f>
        <v>0</v>
      </c>
      <c r="AU117" s="59">
        <f>[1]!s_ipo_vsshares(H117,100000000)</f>
        <v>0</v>
      </c>
      <c r="AV117" s="59">
        <f>[1]!s_ipo_vssharespct(H117)</f>
        <v>0</v>
      </c>
      <c r="AW117" s="59">
        <f>[1]!s_ipo_invsshares_a(H117,100000000)</f>
        <v>0</v>
      </c>
      <c r="AX117" s="60">
        <f>[1]!s_ipo_invssharespct_a(H117)</f>
        <v>0</v>
      </c>
      <c r="AY117" s="65">
        <f>[1]!s_ipo_lotteryrate_abc(H117,1)</f>
        <v>0</v>
      </c>
      <c r="AZ117" s="66">
        <f>[1]!s_ipo_lotteryrate_abc(H117,2)</f>
        <v>0</v>
      </c>
      <c r="BA117" s="67">
        <f>[1]!s_ipo_lotteryrate_abc(H117,3)</f>
        <v>0</v>
      </c>
      <c r="BB117" s="27"/>
    </row>
    <row r="118" spans="1:54" s="26" customFormat="1" ht="16.5" x14ac:dyDescent="0.15">
      <c r="A118" s="5"/>
      <c r="B118" s="5"/>
      <c r="C118" s="5"/>
      <c r="D118" s="5"/>
      <c r="E118" s="5"/>
      <c r="F118" s="13"/>
      <c r="G118" s="7"/>
      <c r="H118" s="73" t="s">
        <v>450</v>
      </c>
      <c r="I118" s="36" t="s">
        <v>451</v>
      </c>
      <c r="J118" s="75">
        <v>44615</v>
      </c>
      <c r="K118" s="75">
        <v>44623</v>
      </c>
      <c r="L118" s="75">
        <v>44634</v>
      </c>
      <c r="M118" s="36" t="s">
        <v>124</v>
      </c>
      <c r="N118" s="77">
        <v>65.650000000000006</v>
      </c>
      <c r="O118" s="77">
        <v>75.599999999999994</v>
      </c>
      <c r="P118" s="77">
        <v>1031.9000000000001</v>
      </c>
      <c r="Q118" s="77">
        <v>635.1</v>
      </c>
      <c r="R118" s="36">
        <v>444</v>
      </c>
      <c r="S118" s="36">
        <v>10921</v>
      </c>
      <c r="T118" s="37">
        <v>4618730</v>
      </c>
      <c r="U118" s="77">
        <v>4785.1577878618345</v>
      </c>
      <c r="V118" s="36">
        <v>7844</v>
      </c>
      <c r="W118" s="36">
        <v>339</v>
      </c>
      <c r="X118" s="37">
        <v>7844</v>
      </c>
      <c r="Y118" s="77">
        <v>3.045809E-2</v>
      </c>
      <c r="Z118" s="77">
        <v>3283.1997000000001</v>
      </c>
      <c r="AA118" s="77">
        <v>4.0000000000000009</v>
      </c>
      <c r="AB118" s="36" t="s">
        <v>117</v>
      </c>
      <c r="AC118" s="36" t="s">
        <v>188</v>
      </c>
      <c r="AD118" s="75">
        <v>44622</v>
      </c>
      <c r="AE118" s="75">
        <v>44623</v>
      </c>
      <c r="AF118" s="75">
        <v>44623</v>
      </c>
      <c r="AG118" s="77">
        <v>13739.15617425</v>
      </c>
      <c r="AH118" s="36"/>
      <c r="AI118" s="36" t="s">
        <v>221</v>
      </c>
      <c r="AJ118" s="36" t="s">
        <v>106</v>
      </c>
      <c r="AK118" s="36" t="s">
        <v>127</v>
      </c>
      <c r="AL118" s="49" t="str">
        <f>[1]!s_ipo_inq_anncedate(H118)</f>
        <v>2022-02-23</v>
      </c>
      <c r="AM118" s="50" t="str">
        <f>[1]!s_ipo_inq_startdate(H118)</f>
        <v>2022-02-28</v>
      </c>
      <c r="AN118" s="50" t="str">
        <f>[1]!s_ipo_inq_enddate(H118)</f>
        <v>2022-02-28</v>
      </c>
      <c r="AO118" s="50" t="str">
        <f>[1]!s_ipo_inqresultdate(H118)</f>
        <v>2022-03-02</v>
      </c>
      <c r="AP118" s="50" t="str">
        <f>[1]!s_ipo_op_enddate(H118)</f>
        <v>2022-03-03</v>
      </c>
      <c r="AQ118" s="50" t="str">
        <f>[1]!s_ipo_cappaydate(H118)</f>
        <v>2022-03-07</v>
      </c>
      <c r="AR118" s="51" t="str">
        <f>[1]!s_ipo_placingdate(H118)</f>
        <v>2022-03-09</v>
      </c>
      <c r="AS118" s="58">
        <f>[1]!s_ipo_vsprice_max(H118)</f>
        <v>79.209999999999994</v>
      </c>
      <c r="AT118" s="59">
        <f>[1]!s_ipo_vsprice_min(H118)</f>
        <v>65.92</v>
      </c>
      <c r="AU118" s="59">
        <f>[1]!s_ipo_vsshares(H118,100000000)</f>
        <v>316.90100000000001</v>
      </c>
      <c r="AV118" s="59">
        <f>[1]!s_ipo_vssharespct(H118)</f>
        <v>68.612150959246378</v>
      </c>
      <c r="AW118" s="59">
        <f>[1]!s_ipo_invsshares_a(H118,100000000)</f>
        <v>4.6660000000000004</v>
      </c>
      <c r="AX118" s="60">
        <f>[1]!s_ipo_invssharespct_a(H118)</f>
        <v>1.0102344150881304</v>
      </c>
      <c r="AY118" s="65">
        <f>[1]!s_ipo_lotteryrate_abc(H118,1)</f>
        <v>4.3062379999999997E-2</v>
      </c>
      <c r="AZ118" s="66">
        <f>[1]!s_ipo_lotteryrate_abc(H118,2)</f>
        <v>2.4525689999999999E-2</v>
      </c>
      <c r="BA118" s="67">
        <f>[1]!s_ipo_lotteryrate_abc(H118,3)</f>
        <v>1.7472149999999999E-2</v>
      </c>
      <c r="BB118" s="27"/>
    </row>
    <row r="119" spans="1:54" s="26" customFormat="1" ht="16.5" x14ac:dyDescent="0.15">
      <c r="A119" s="5"/>
      <c r="B119" s="5"/>
      <c r="C119" s="5"/>
      <c r="D119" s="5"/>
      <c r="E119" s="5"/>
      <c r="F119" s="13"/>
      <c r="G119" s="7"/>
      <c r="H119" s="73" t="s">
        <v>452</v>
      </c>
      <c r="I119" s="36" t="s">
        <v>453</v>
      </c>
      <c r="J119" s="75">
        <v>44621</v>
      </c>
      <c r="K119" s="75">
        <v>44623</v>
      </c>
      <c r="L119" s="75">
        <v>44635</v>
      </c>
      <c r="M119" s="36" t="s">
        <v>271</v>
      </c>
      <c r="N119" s="77">
        <v>19.7</v>
      </c>
      <c r="O119" s="77">
        <v>22.59</v>
      </c>
      <c r="P119" s="77"/>
      <c r="Q119" s="77">
        <v>1925</v>
      </c>
      <c r="R119" s="36"/>
      <c r="S119" s="36"/>
      <c r="T119" s="37"/>
      <c r="U119" s="77"/>
      <c r="V119" s="36"/>
      <c r="W119" s="36"/>
      <c r="X119" s="37"/>
      <c r="Y119" s="77"/>
      <c r="Z119" s="77"/>
      <c r="AA119" s="77"/>
      <c r="AB119" s="36" t="s">
        <v>148</v>
      </c>
      <c r="AC119" s="36" t="s">
        <v>454</v>
      </c>
      <c r="AD119" s="75">
        <v>44622</v>
      </c>
      <c r="AE119" s="75"/>
      <c r="AF119" s="75"/>
      <c r="AG119" s="77">
        <v>26939.265183</v>
      </c>
      <c r="AH119" s="36"/>
      <c r="AI119" s="36" t="s">
        <v>138</v>
      </c>
      <c r="AJ119" s="36" t="s">
        <v>106</v>
      </c>
      <c r="AK119" s="36" t="s">
        <v>107</v>
      </c>
      <c r="AL119" s="49">
        <f>[1]!s_ipo_inq_anncedate(H119)</f>
        <v>0</v>
      </c>
      <c r="AM119" s="50">
        <f>[1]!s_ipo_inq_startdate(H119)</f>
        <v>0</v>
      </c>
      <c r="AN119" s="50">
        <f>[1]!s_ipo_inq_enddate(H119)</f>
        <v>0</v>
      </c>
      <c r="AO119" s="50">
        <f>[1]!s_ipo_inqresultdate(H119)</f>
        <v>0</v>
      </c>
      <c r="AP119" s="50">
        <f>[1]!s_ipo_op_enddate(H119)</f>
        <v>0</v>
      </c>
      <c r="AQ119" s="50" t="str">
        <f>[1]!s_ipo_cappaydate(H119)</f>
        <v>2022-03-07</v>
      </c>
      <c r="AR119" s="51">
        <f>[1]!s_ipo_placingdate(H119)</f>
        <v>0</v>
      </c>
      <c r="AS119" s="58">
        <f>[1]!s_ipo_vsprice_max(H119)</f>
        <v>0</v>
      </c>
      <c r="AT119" s="59">
        <f>[1]!s_ipo_vsprice_min(H119)</f>
        <v>0</v>
      </c>
      <c r="AU119" s="59">
        <f>[1]!s_ipo_vsshares(H119,100000000)</f>
        <v>0</v>
      </c>
      <c r="AV119" s="59">
        <f>[1]!s_ipo_vssharespct(H119)</f>
        <v>0</v>
      </c>
      <c r="AW119" s="59">
        <f>[1]!s_ipo_invsshares_a(H119,100000000)</f>
        <v>0</v>
      </c>
      <c r="AX119" s="60">
        <f>[1]!s_ipo_invssharespct_a(H119)</f>
        <v>0</v>
      </c>
      <c r="AY119" s="65">
        <f>[1]!s_ipo_lotteryrate_abc(H119,1)</f>
        <v>0</v>
      </c>
      <c r="AZ119" s="66">
        <f>[1]!s_ipo_lotteryrate_abc(H119,2)</f>
        <v>0</v>
      </c>
      <c r="BA119" s="67">
        <f>[1]!s_ipo_lotteryrate_abc(H119,3)</f>
        <v>0</v>
      </c>
      <c r="BB119" s="27"/>
    </row>
    <row r="120" spans="1:54" s="26" customFormat="1" ht="16.5" x14ac:dyDescent="0.15">
      <c r="A120" s="5"/>
      <c r="B120" s="5"/>
      <c r="C120" s="5"/>
      <c r="D120" s="5"/>
      <c r="E120" s="5"/>
      <c r="F120" s="13"/>
      <c r="G120" s="7"/>
      <c r="H120" s="73" t="s">
        <v>455</v>
      </c>
      <c r="I120" s="36" t="s">
        <v>456</v>
      </c>
      <c r="J120" s="75">
        <v>44620</v>
      </c>
      <c r="K120" s="75">
        <v>44622</v>
      </c>
      <c r="L120" s="75">
        <v>44634</v>
      </c>
      <c r="M120" s="36" t="s">
        <v>110</v>
      </c>
      <c r="N120" s="77">
        <v>30</v>
      </c>
      <c r="O120" s="77">
        <v>19.13</v>
      </c>
      <c r="P120" s="77"/>
      <c r="Q120" s="77">
        <v>1195.2</v>
      </c>
      <c r="R120" s="36"/>
      <c r="S120" s="36"/>
      <c r="T120" s="37"/>
      <c r="U120" s="77"/>
      <c r="V120" s="36"/>
      <c r="W120" s="36"/>
      <c r="X120" s="37"/>
      <c r="Y120" s="77"/>
      <c r="Z120" s="77"/>
      <c r="AA120" s="77"/>
      <c r="AB120" s="36" t="s">
        <v>148</v>
      </c>
      <c r="AC120" s="36" t="s">
        <v>446</v>
      </c>
      <c r="AD120" s="75">
        <v>44621</v>
      </c>
      <c r="AE120" s="75"/>
      <c r="AF120" s="75"/>
      <c r="AG120" s="77">
        <v>31434.412199999999</v>
      </c>
      <c r="AH120" s="36"/>
      <c r="AI120" s="36" t="s">
        <v>156</v>
      </c>
      <c r="AJ120" s="36" t="s">
        <v>106</v>
      </c>
      <c r="AK120" s="36" t="s">
        <v>113</v>
      </c>
      <c r="AL120" s="49">
        <f>[1]!s_ipo_inq_anncedate(H120)</f>
        <v>0</v>
      </c>
      <c r="AM120" s="50">
        <f>[1]!s_ipo_inq_startdate(H120)</f>
        <v>0</v>
      </c>
      <c r="AN120" s="50">
        <f>[1]!s_ipo_inq_enddate(H120)</f>
        <v>0</v>
      </c>
      <c r="AO120" s="50">
        <f>[1]!s_ipo_inqresultdate(H120)</f>
        <v>0</v>
      </c>
      <c r="AP120" s="50">
        <f>[1]!s_ipo_op_enddate(H120)</f>
        <v>0</v>
      </c>
      <c r="AQ120" s="50" t="str">
        <f>[1]!s_ipo_cappaydate(H120)</f>
        <v>2022-03-04</v>
      </c>
      <c r="AR120" s="51">
        <f>[1]!s_ipo_placingdate(H120)</f>
        <v>0</v>
      </c>
      <c r="AS120" s="58">
        <f>[1]!s_ipo_vsprice_max(H120)</f>
        <v>0</v>
      </c>
      <c r="AT120" s="59">
        <f>[1]!s_ipo_vsprice_min(H120)</f>
        <v>0</v>
      </c>
      <c r="AU120" s="59">
        <f>[1]!s_ipo_vsshares(H120,100000000)</f>
        <v>0</v>
      </c>
      <c r="AV120" s="59">
        <f>[1]!s_ipo_vssharespct(H120)</f>
        <v>0</v>
      </c>
      <c r="AW120" s="59">
        <f>[1]!s_ipo_invsshares_a(H120,100000000)</f>
        <v>0</v>
      </c>
      <c r="AX120" s="60">
        <f>[1]!s_ipo_invssharespct_a(H120)</f>
        <v>0</v>
      </c>
      <c r="AY120" s="65">
        <f>[1]!s_ipo_lotteryrate_abc(H120,1)</f>
        <v>0</v>
      </c>
      <c r="AZ120" s="66">
        <f>[1]!s_ipo_lotteryrate_abc(H120,2)</f>
        <v>0</v>
      </c>
      <c r="BA120" s="67">
        <f>[1]!s_ipo_lotteryrate_abc(H120,3)</f>
        <v>0</v>
      </c>
      <c r="BB120" s="27"/>
    </row>
    <row r="121" spans="1:54" s="26" customFormat="1" ht="16.5" x14ac:dyDescent="0.15">
      <c r="A121" s="5"/>
      <c r="B121" s="5"/>
      <c r="C121" s="5"/>
      <c r="D121" s="5"/>
      <c r="E121" s="5"/>
      <c r="F121" s="13"/>
      <c r="G121" s="7"/>
      <c r="H121" s="73" t="s">
        <v>457</v>
      </c>
      <c r="I121" s="36" t="s">
        <v>458</v>
      </c>
      <c r="J121" s="75">
        <v>44614</v>
      </c>
      <c r="K121" s="75">
        <v>44622</v>
      </c>
      <c r="L121" s="75">
        <v>44631</v>
      </c>
      <c r="M121" s="36" t="s">
        <v>116</v>
      </c>
      <c r="N121" s="77">
        <v>63.1</v>
      </c>
      <c r="O121" s="77">
        <v>34.25</v>
      </c>
      <c r="P121" s="77">
        <v>871.61670000000004</v>
      </c>
      <c r="Q121" s="77">
        <v>795.05</v>
      </c>
      <c r="R121" s="36">
        <v>426</v>
      </c>
      <c r="S121" s="36">
        <v>9779</v>
      </c>
      <c r="T121" s="37">
        <v>4470940</v>
      </c>
      <c r="U121" s="77">
        <v>5554.3070309575714</v>
      </c>
      <c r="V121" s="36">
        <v>6829</v>
      </c>
      <c r="W121" s="36">
        <v>309</v>
      </c>
      <c r="X121" s="37">
        <v>6829</v>
      </c>
      <c r="Y121" s="77">
        <v>2.6969300000000002E-2</v>
      </c>
      <c r="Z121" s="77">
        <v>3707.9193</v>
      </c>
      <c r="AA121" s="77">
        <v>3.9999959200000816</v>
      </c>
      <c r="AB121" s="36" t="s">
        <v>125</v>
      </c>
      <c r="AC121" s="36" t="s">
        <v>459</v>
      </c>
      <c r="AD121" s="75">
        <v>44621</v>
      </c>
      <c r="AE121" s="75">
        <v>44622</v>
      </c>
      <c r="AF121" s="75">
        <v>44622</v>
      </c>
      <c r="AG121" s="77">
        <v>31013.834883</v>
      </c>
      <c r="AH121" s="36"/>
      <c r="AI121" s="36" t="s">
        <v>183</v>
      </c>
      <c r="AJ121" s="36" t="s">
        <v>120</v>
      </c>
      <c r="AK121" s="36" t="s">
        <v>113</v>
      </c>
      <c r="AL121" s="49" t="str">
        <f>[1]!s_ipo_inq_anncedate(H121)</f>
        <v>2022-02-22</v>
      </c>
      <c r="AM121" s="50" t="str">
        <f>[1]!s_ipo_inq_startdate(H121)</f>
        <v>2022-02-25</v>
      </c>
      <c r="AN121" s="50" t="str">
        <f>[1]!s_ipo_inq_enddate(H121)</f>
        <v>2022-02-25</v>
      </c>
      <c r="AO121" s="50" t="str">
        <f>[1]!s_ipo_inqresultdate(H121)</f>
        <v>2022-03-01</v>
      </c>
      <c r="AP121" s="50" t="str">
        <f>[1]!s_ipo_op_enddate(H121)</f>
        <v>2022-03-02</v>
      </c>
      <c r="AQ121" s="50" t="str">
        <f>[1]!s_ipo_cappaydate(H121)</f>
        <v>2022-03-04</v>
      </c>
      <c r="AR121" s="51" t="str">
        <f>[1]!s_ipo_placingdate(H121)</f>
        <v>2022-03-08</v>
      </c>
      <c r="AS121" s="58">
        <f>[1]!s_ipo_vsprice_max(H121)</f>
        <v>72.27</v>
      </c>
      <c r="AT121" s="59">
        <f>[1]!s_ipo_vsprice_min(H121)</f>
        <v>63.1</v>
      </c>
      <c r="AU121" s="59">
        <f>[1]!s_ipo_vsshares(H121,100000000)</f>
        <v>298.46899999999999</v>
      </c>
      <c r="AV121" s="59">
        <f>[1]!s_ipo_vssharespct(H121)</f>
        <v>66.757549866471038</v>
      </c>
      <c r="AW121" s="59">
        <f>[1]!s_ipo_invsshares_a(H121,100000000)</f>
        <v>4.5129999999999999</v>
      </c>
      <c r="AX121" s="60">
        <f>[1]!s_ipo_invssharespct_a(H121)</f>
        <v>1.0094074176795036</v>
      </c>
      <c r="AY121" s="65">
        <f>[1]!s_ipo_lotteryrate_abc(H121,1)</f>
        <v>3.6600000000000001E-2</v>
      </c>
      <c r="AZ121" s="66">
        <f>[1]!s_ipo_lotteryrate_abc(H121,2)</f>
        <v>3.474E-2</v>
      </c>
      <c r="BA121" s="67">
        <f>[1]!s_ipo_lotteryrate_abc(H121,3)</f>
        <v>1.6449999999999999E-2</v>
      </c>
      <c r="BB121" s="27"/>
    </row>
    <row r="122" spans="1:54" s="26" customFormat="1" ht="16.5" x14ac:dyDescent="0.15">
      <c r="A122" s="5"/>
      <c r="B122" s="5"/>
      <c r="C122" s="5"/>
      <c r="D122" s="5"/>
      <c r="E122" s="5"/>
      <c r="F122" s="13"/>
      <c r="G122" s="7"/>
      <c r="H122" s="73" t="s">
        <v>460</v>
      </c>
      <c r="I122" s="36" t="s">
        <v>461</v>
      </c>
      <c r="J122" s="75">
        <v>44613</v>
      </c>
      <c r="K122" s="75">
        <v>44621</v>
      </c>
      <c r="L122" s="75">
        <v>44630</v>
      </c>
      <c r="M122" s="36" t="s">
        <v>102</v>
      </c>
      <c r="N122" s="77">
        <v>9.42</v>
      </c>
      <c r="O122" s="77">
        <v>22.98</v>
      </c>
      <c r="P122" s="77">
        <v>600</v>
      </c>
      <c r="Q122" s="77">
        <v>5400</v>
      </c>
      <c r="R122" s="36">
        <v>2924</v>
      </c>
      <c r="S122" s="36">
        <v>14608</v>
      </c>
      <c r="T122" s="37">
        <v>9160150</v>
      </c>
      <c r="U122" s="77">
        <v>15266.916666666666</v>
      </c>
      <c r="V122" s="36">
        <v>14597</v>
      </c>
      <c r="W122" s="36">
        <v>2917</v>
      </c>
      <c r="X122" s="37">
        <v>14586</v>
      </c>
      <c r="Y122" s="77">
        <v>6.5600399999999996E-3</v>
      </c>
      <c r="Z122" s="77">
        <v>15243.816699999999</v>
      </c>
      <c r="AA122" s="77"/>
      <c r="AB122" s="36" t="s">
        <v>103</v>
      </c>
      <c r="AC122" s="36" t="s">
        <v>159</v>
      </c>
      <c r="AD122" s="75">
        <v>44620</v>
      </c>
      <c r="AE122" s="75">
        <v>44621</v>
      </c>
      <c r="AF122" s="75">
        <v>44621</v>
      </c>
      <c r="AG122" s="77">
        <v>12416.1111642</v>
      </c>
      <c r="AH122" s="36"/>
      <c r="AI122" s="36" t="s">
        <v>193</v>
      </c>
      <c r="AJ122" s="36" t="s">
        <v>106</v>
      </c>
      <c r="AK122" s="36" t="s">
        <v>107</v>
      </c>
      <c r="AL122" s="49" t="str">
        <f>[1]!s_ipo_inq_anncedate(H122)</f>
        <v>2022-02-21</v>
      </c>
      <c r="AM122" s="50" t="str">
        <f>[1]!s_ipo_inq_startdate(H122)</f>
        <v>2022-02-23</v>
      </c>
      <c r="AN122" s="50" t="str">
        <f>[1]!s_ipo_inq_enddate(H122)</f>
        <v>2022-02-23</v>
      </c>
      <c r="AO122" s="50" t="str">
        <f>[1]!s_ipo_inqresultdate(H122)</f>
        <v>2022-02-28</v>
      </c>
      <c r="AP122" s="50" t="str">
        <f>[1]!s_ipo_op_enddate(H122)</f>
        <v>2022-03-01</v>
      </c>
      <c r="AQ122" s="50" t="str">
        <f>[1]!s_ipo_cappaydate(H122)</f>
        <v>2022-03-03</v>
      </c>
      <c r="AR122" s="51" t="str">
        <f>[1]!s_ipo_placingdate(H122)</f>
        <v>2022-03-07</v>
      </c>
      <c r="AS122" s="58">
        <f>[1]!s_ipo_vsprice_max(H122)</f>
        <v>9.42</v>
      </c>
      <c r="AT122" s="59">
        <f>[1]!s_ipo_vsprice_min(H122)</f>
        <v>9.42</v>
      </c>
      <c r="AU122" s="59">
        <f>[1]!s_ipo_vsshares(H122,100000000)</f>
        <v>915.322</v>
      </c>
      <c r="AV122" s="59">
        <f>[1]!s_ipo_vssharespct(H122)</f>
        <v>99.924346217037936</v>
      </c>
      <c r="AW122" s="59">
        <f>[1]!s_ipo_invsshares_a(H122,100000000)</f>
        <v>0.441</v>
      </c>
      <c r="AX122" s="60">
        <f>[1]!s_ipo_invssharespct_a(H122)</f>
        <v>4.8143316430407798E-2</v>
      </c>
      <c r="AY122" s="65">
        <f>[1]!s_ipo_lotteryrate_abc(H122,1)</f>
        <v>1.230148E-2</v>
      </c>
      <c r="AZ122" s="66">
        <f>[1]!s_ipo_lotteryrate_abc(H122,2)</f>
        <v>5.44444E-3</v>
      </c>
      <c r="BA122" s="67">
        <f>[1]!s_ipo_lotteryrate_abc(H122,3)</f>
        <v>3.6843100000000001E-3</v>
      </c>
      <c r="BB122" s="27"/>
    </row>
    <row r="123" spans="1:54" x14ac:dyDescent="0.15">
      <c r="F123" s="13"/>
      <c r="G123" s="7"/>
      <c r="H123" s="38"/>
      <c r="I123" s="39"/>
      <c r="J123" s="39"/>
      <c r="K123" s="39"/>
      <c r="L123" s="39"/>
      <c r="M123" s="39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1"/>
      <c r="AC123" s="39"/>
      <c r="AD123" s="39"/>
      <c r="AE123" s="39"/>
      <c r="AF123" s="39"/>
      <c r="AG123" s="40"/>
      <c r="AH123" s="40"/>
      <c r="AI123" s="41"/>
      <c r="AJ123" s="41"/>
      <c r="AK123" s="41"/>
      <c r="AL123" s="52"/>
      <c r="AM123" s="53"/>
      <c r="AN123" s="53"/>
      <c r="AO123" s="53"/>
      <c r="AP123" s="53"/>
      <c r="AQ123" s="53"/>
      <c r="AR123" s="54"/>
      <c r="AS123" s="61"/>
      <c r="AT123" s="62"/>
      <c r="AU123" s="62"/>
      <c r="AV123" s="62"/>
      <c r="AW123" s="62"/>
      <c r="AX123" s="63"/>
      <c r="AY123" s="68"/>
      <c r="AZ123" s="69"/>
      <c r="BA123" s="70"/>
      <c r="BB123" s="7"/>
    </row>
    <row r="124" spans="1:54" x14ac:dyDescent="0.15">
      <c r="F124" s="13"/>
      <c r="G124" s="7"/>
      <c r="H124" s="38"/>
      <c r="I124" s="39"/>
      <c r="J124" s="39"/>
      <c r="K124" s="39"/>
      <c r="L124" s="39"/>
      <c r="M124" s="39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1"/>
      <c r="AC124" s="39"/>
      <c r="AD124" s="39"/>
      <c r="AE124" s="39"/>
      <c r="AF124" s="39"/>
      <c r="AG124" s="40"/>
      <c r="AH124" s="40"/>
      <c r="AI124" s="41"/>
      <c r="AJ124" s="41"/>
      <c r="AK124" s="41"/>
      <c r="AL124" s="52"/>
      <c r="AM124" s="53"/>
      <c r="AN124" s="53"/>
      <c r="AO124" s="53"/>
      <c r="AP124" s="53"/>
      <c r="AQ124" s="53"/>
      <c r="AR124" s="54"/>
      <c r="AS124" s="61"/>
      <c r="AT124" s="62"/>
      <c r="AU124" s="62"/>
      <c r="AV124" s="62"/>
      <c r="AW124" s="62"/>
      <c r="AX124" s="63"/>
      <c r="AY124" s="68"/>
      <c r="AZ124" s="69"/>
      <c r="BA124" s="70"/>
      <c r="BB124" s="7"/>
    </row>
    <row r="125" spans="1:54" x14ac:dyDescent="0.15">
      <c r="F125" s="13"/>
      <c r="G125" s="7"/>
      <c r="H125" s="38"/>
      <c r="I125" s="39"/>
      <c r="J125" s="39"/>
      <c r="K125" s="39"/>
      <c r="L125" s="39"/>
      <c r="M125" s="39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1"/>
      <c r="AC125" s="39"/>
      <c r="AD125" s="39"/>
      <c r="AE125" s="39"/>
      <c r="AF125" s="39"/>
      <c r="AG125" s="40"/>
      <c r="AH125" s="40"/>
      <c r="AI125" s="41"/>
      <c r="AJ125" s="41"/>
      <c r="AK125" s="41"/>
      <c r="AL125" s="52"/>
      <c r="AM125" s="53"/>
      <c r="AN125" s="53"/>
      <c r="AO125" s="53"/>
      <c r="AP125" s="53"/>
      <c r="AQ125" s="53"/>
      <c r="AR125" s="54"/>
      <c r="AS125" s="61"/>
      <c r="AT125" s="62"/>
      <c r="AU125" s="62"/>
      <c r="AV125" s="62"/>
      <c r="AW125" s="62"/>
      <c r="AX125" s="63"/>
      <c r="AY125" s="68"/>
      <c r="AZ125" s="69"/>
      <c r="BA125" s="70"/>
      <c r="BB125" s="7"/>
    </row>
    <row r="126" spans="1:54" x14ac:dyDescent="0.15">
      <c r="F126" s="13"/>
      <c r="G126" s="7"/>
      <c r="H126" s="38"/>
      <c r="I126" s="39"/>
      <c r="J126" s="39"/>
      <c r="K126" s="39"/>
      <c r="L126" s="39"/>
      <c r="M126" s="39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1"/>
      <c r="AC126" s="39"/>
      <c r="AD126" s="39"/>
      <c r="AE126" s="39"/>
      <c r="AF126" s="39"/>
      <c r="AG126" s="40"/>
      <c r="AH126" s="40"/>
      <c r="AI126" s="41"/>
      <c r="AJ126" s="41"/>
      <c r="AK126" s="41"/>
      <c r="AL126" s="52"/>
      <c r="AM126" s="53"/>
      <c r="AN126" s="53"/>
      <c r="AO126" s="53"/>
      <c r="AP126" s="53"/>
      <c r="AQ126" s="53"/>
      <c r="AR126" s="54"/>
      <c r="AS126" s="61"/>
      <c r="AT126" s="62"/>
      <c r="AU126" s="62"/>
      <c r="AV126" s="62"/>
      <c r="AW126" s="62"/>
      <c r="AX126" s="63"/>
      <c r="AY126" s="68"/>
      <c r="AZ126" s="69"/>
      <c r="BA126" s="70"/>
      <c r="BB126" s="7"/>
    </row>
    <row r="127" spans="1:54" x14ac:dyDescent="0.15">
      <c r="F127" s="13"/>
      <c r="G127" s="7"/>
      <c r="H127" s="38"/>
      <c r="I127" s="39"/>
      <c r="J127" s="39"/>
      <c r="K127" s="39"/>
      <c r="L127" s="39"/>
      <c r="M127" s="39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1"/>
      <c r="AC127" s="39"/>
      <c r="AD127" s="39"/>
      <c r="AE127" s="39"/>
      <c r="AF127" s="39"/>
      <c r="AG127" s="40"/>
      <c r="AH127" s="40"/>
      <c r="AI127" s="41"/>
      <c r="AJ127" s="41"/>
      <c r="AK127" s="41"/>
      <c r="AL127" s="52"/>
      <c r="AM127" s="53"/>
      <c r="AN127" s="53"/>
      <c r="AO127" s="53"/>
      <c r="AP127" s="53"/>
      <c r="AQ127" s="53"/>
      <c r="AR127" s="54"/>
      <c r="AS127" s="61"/>
      <c r="AT127" s="62"/>
      <c r="AU127" s="62"/>
      <c r="AV127" s="62"/>
      <c r="AW127" s="62"/>
      <c r="AX127" s="63"/>
      <c r="AY127" s="68"/>
      <c r="AZ127" s="69"/>
      <c r="BA127" s="70"/>
      <c r="BB127" s="7"/>
    </row>
    <row r="128" spans="1:54" x14ac:dyDescent="0.15">
      <c r="F128" s="13"/>
      <c r="G128" s="7"/>
      <c r="H128" s="38"/>
      <c r="I128" s="39"/>
      <c r="J128" s="39"/>
      <c r="K128" s="39"/>
      <c r="L128" s="39"/>
      <c r="M128" s="39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1"/>
      <c r="AC128" s="39"/>
      <c r="AD128" s="39"/>
      <c r="AE128" s="39"/>
      <c r="AF128" s="39"/>
      <c r="AG128" s="40"/>
      <c r="AH128" s="40"/>
      <c r="AI128" s="41"/>
      <c r="AJ128" s="41"/>
      <c r="AK128" s="41"/>
      <c r="AL128" s="52"/>
      <c r="AM128" s="53"/>
      <c r="AN128" s="53"/>
      <c r="AO128" s="53"/>
      <c r="AP128" s="53"/>
      <c r="AQ128" s="53"/>
      <c r="AR128" s="54"/>
      <c r="AS128" s="61"/>
      <c r="AT128" s="62"/>
      <c r="AU128" s="62"/>
      <c r="AV128" s="62"/>
      <c r="AW128" s="62"/>
      <c r="AX128" s="63"/>
      <c r="AY128" s="68"/>
      <c r="AZ128" s="69"/>
      <c r="BA128" s="70"/>
      <c r="BB128" s="7"/>
    </row>
    <row r="129" spans="6:54" x14ac:dyDescent="0.15">
      <c r="F129" s="13"/>
      <c r="G129" s="7"/>
      <c r="H129" s="38"/>
      <c r="I129" s="39"/>
      <c r="J129" s="39"/>
      <c r="K129" s="39"/>
      <c r="L129" s="39"/>
      <c r="M129" s="39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1"/>
      <c r="AC129" s="39"/>
      <c r="AD129" s="39"/>
      <c r="AE129" s="39"/>
      <c r="AF129" s="39"/>
      <c r="AG129" s="40"/>
      <c r="AH129" s="40"/>
      <c r="AI129" s="41"/>
      <c r="AJ129" s="41"/>
      <c r="AK129" s="41"/>
      <c r="AL129" s="52"/>
      <c r="AM129" s="53"/>
      <c r="AN129" s="53"/>
      <c r="AO129" s="53"/>
      <c r="AP129" s="53"/>
      <c r="AQ129" s="53"/>
      <c r="AR129" s="54"/>
      <c r="AS129" s="61"/>
      <c r="AT129" s="62"/>
      <c r="AU129" s="62"/>
      <c r="AV129" s="62"/>
      <c r="AW129" s="62"/>
      <c r="AX129" s="63"/>
      <c r="AY129" s="68"/>
      <c r="AZ129" s="69"/>
      <c r="BA129" s="70"/>
      <c r="BB129" s="7"/>
    </row>
    <row r="130" spans="6:54" x14ac:dyDescent="0.15">
      <c r="F130" s="13"/>
      <c r="G130" s="7"/>
      <c r="H130" s="38"/>
      <c r="I130" s="39"/>
      <c r="J130" s="39"/>
      <c r="K130" s="39"/>
      <c r="L130" s="39"/>
      <c r="M130" s="39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1"/>
      <c r="AC130" s="39"/>
      <c r="AD130" s="39"/>
      <c r="AE130" s="39"/>
      <c r="AF130" s="39"/>
      <c r="AG130" s="40"/>
      <c r="AH130" s="40"/>
      <c r="AI130" s="41"/>
      <c r="AJ130" s="41"/>
      <c r="AK130" s="41"/>
      <c r="AL130" s="52"/>
      <c r="AM130" s="53"/>
      <c r="AN130" s="53"/>
      <c r="AO130" s="53"/>
      <c r="AP130" s="53"/>
      <c r="AQ130" s="53"/>
      <c r="AR130" s="54"/>
      <c r="AS130" s="61"/>
      <c r="AT130" s="62"/>
      <c r="AU130" s="62"/>
      <c r="AV130" s="62"/>
      <c r="AW130" s="62"/>
      <c r="AX130" s="63"/>
      <c r="AY130" s="68"/>
      <c r="AZ130" s="69"/>
      <c r="BA130" s="70"/>
      <c r="BB130" s="7"/>
    </row>
    <row r="131" spans="6:54" x14ac:dyDescent="0.15">
      <c r="F131" s="13"/>
      <c r="G131" s="7"/>
      <c r="H131" s="38"/>
      <c r="I131" s="39"/>
      <c r="J131" s="39"/>
      <c r="K131" s="39"/>
      <c r="L131" s="39"/>
      <c r="M131" s="39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1"/>
      <c r="AC131" s="39"/>
      <c r="AD131" s="39"/>
      <c r="AE131" s="39"/>
      <c r="AF131" s="39"/>
      <c r="AG131" s="40"/>
      <c r="AH131" s="40"/>
      <c r="AI131" s="41"/>
      <c r="AJ131" s="41"/>
      <c r="AK131" s="41"/>
      <c r="AL131" s="52"/>
      <c r="AM131" s="53"/>
      <c r="AN131" s="53"/>
      <c r="AO131" s="53"/>
      <c r="AP131" s="53"/>
      <c r="AQ131" s="53"/>
      <c r="AR131" s="54"/>
      <c r="AS131" s="61"/>
      <c r="AT131" s="62"/>
      <c r="AU131" s="62"/>
      <c r="AV131" s="62"/>
      <c r="AW131" s="62"/>
      <c r="AX131" s="63"/>
      <c r="AY131" s="68"/>
      <c r="AZ131" s="69"/>
      <c r="BA131" s="70"/>
      <c r="BB131" s="7"/>
    </row>
    <row r="132" spans="6:54" x14ac:dyDescent="0.15">
      <c r="F132" s="13"/>
      <c r="G132" s="7"/>
      <c r="H132" s="38"/>
      <c r="I132" s="39"/>
      <c r="J132" s="39"/>
      <c r="K132" s="39"/>
      <c r="L132" s="39"/>
      <c r="M132" s="39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1"/>
      <c r="AC132" s="39"/>
      <c r="AD132" s="39"/>
      <c r="AE132" s="39"/>
      <c r="AF132" s="39"/>
      <c r="AG132" s="40"/>
      <c r="AH132" s="40"/>
      <c r="AI132" s="41"/>
      <c r="AJ132" s="41"/>
      <c r="AK132" s="41"/>
      <c r="AL132" s="52"/>
      <c r="AM132" s="53"/>
      <c r="AN132" s="53"/>
      <c r="AO132" s="53"/>
      <c r="AP132" s="53"/>
      <c r="AQ132" s="53"/>
      <c r="AR132" s="54"/>
      <c r="AS132" s="61"/>
      <c r="AT132" s="62"/>
      <c r="AU132" s="62"/>
      <c r="AV132" s="62"/>
      <c r="AW132" s="62"/>
      <c r="AX132" s="63"/>
      <c r="AY132" s="68"/>
      <c r="AZ132" s="69"/>
      <c r="BA132" s="70"/>
      <c r="BB132" s="7"/>
    </row>
    <row r="133" spans="6:54" x14ac:dyDescent="0.15">
      <c r="F133" s="13"/>
      <c r="G133" s="7"/>
      <c r="H133" s="38"/>
      <c r="I133" s="39"/>
      <c r="J133" s="39"/>
      <c r="K133" s="39"/>
      <c r="L133" s="39"/>
      <c r="M133" s="39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1"/>
      <c r="AC133" s="39"/>
      <c r="AD133" s="39"/>
      <c r="AE133" s="39"/>
      <c r="AF133" s="39"/>
      <c r="AG133" s="40"/>
      <c r="AH133" s="40"/>
      <c r="AI133" s="41"/>
      <c r="AJ133" s="41"/>
      <c r="AK133" s="41"/>
      <c r="AL133" s="52"/>
      <c r="AM133" s="53"/>
      <c r="AN133" s="53"/>
      <c r="AO133" s="53"/>
      <c r="AP133" s="53"/>
      <c r="AQ133" s="53"/>
      <c r="AR133" s="54"/>
      <c r="AS133" s="61"/>
      <c r="AT133" s="62"/>
      <c r="AU133" s="62"/>
      <c r="AV133" s="62"/>
      <c r="AW133" s="62"/>
      <c r="AX133" s="63"/>
      <c r="AY133" s="68"/>
      <c r="AZ133" s="69"/>
      <c r="BA133" s="70"/>
      <c r="BB133" s="7"/>
    </row>
    <row r="134" spans="6:54" x14ac:dyDescent="0.15">
      <c r="F134" s="13"/>
      <c r="G134" s="7"/>
      <c r="H134" s="38"/>
      <c r="I134" s="39"/>
      <c r="J134" s="39"/>
      <c r="K134" s="39"/>
      <c r="L134" s="39"/>
      <c r="M134" s="39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1"/>
      <c r="AC134" s="39"/>
      <c r="AD134" s="39"/>
      <c r="AE134" s="39"/>
      <c r="AF134" s="39"/>
      <c r="AG134" s="40"/>
      <c r="AH134" s="40"/>
      <c r="AI134" s="41"/>
      <c r="AJ134" s="41"/>
      <c r="AK134" s="41"/>
      <c r="AL134" s="52"/>
      <c r="AM134" s="53"/>
      <c r="AN134" s="53"/>
      <c r="AO134" s="53"/>
      <c r="AP134" s="53"/>
      <c r="AQ134" s="53"/>
      <c r="AR134" s="54"/>
      <c r="AS134" s="61"/>
      <c r="AT134" s="62"/>
      <c r="AU134" s="62"/>
      <c r="AV134" s="62"/>
      <c r="AW134" s="62"/>
      <c r="AX134" s="63"/>
      <c r="AY134" s="68"/>
      <c r="AZ134" s="69"/>
      <c r="BA134" s="70"/>
      <c r="BB134" s="7"/>
    </row>
    <row r="135" spans="6:54" x14ac:dyDescent="0.15">
      <c r="F135" s="13"/>
      <c r="G135" s="7"/>
      <c r="H135" s="38"/>
      <c r="I135" s="39"/>
      <c r="J135" s="39"/>
      <c r="K135" s="39"/>
      <c r="L135" s="39"/>
      <c r="M135" s="39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1"/>
      <c r="AC135" s="39"/>
      <c r="AD135" s="39"/>
      <c r="AE135" s="39"/>
      <c r="AF135" s="39"/>
      <c r="AG135" s="40"/>
      <c r="AH135" s="40"/>
      <c r="AI135" s="41"/>
      <c r="AJ135" s="41"/>
      <c r="AK135" s="41"/>
      <c r="AL135" s="52"/>
      <c r="AM135" s="53"/>
      <c r="AN135" s="53"/>
      <c r="AO135" s="53"/>
      <c r="AP135" s="53"/>
      <c r="AQ135" s="53"/>
      <c r="AR135" s="54"/>
      <c r="AS135" s="61"/>
      <c r="AT135" s="62"/>
      <c r="AU135" s="62"/>
      <c r="AV135" s="62"/>
      <c r="AW135" s="62"/>
      <c r="AX135" s="63"/>
      <c r="AY135" s="68"/>
      <c r="AZ135" s="69"/>
      <c r="BA135" s="70"/>
      <c r="BB135" s="7"/>
    </row>
    <row r="136" spans="6:54" x14ac:dyDescent="0.15">
      <c r="F136" s="13"/>
      <c r="G136" s="7"/>
      <c r="H136" s="38"/>
      <c r="I136" s="39"/>
      <c r="J136" s="39"/>
      <c r="K136" s="39"/>
      <c r="L136" s="39"/>
      <c r="M136" s="39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1"/>
      <c r="AC136" s="39"/>
      <c r="AD136" s="39"/>
      <c r="AE136" s="39"/>
      <c r="AF136" s="39"/>
      <c r="AG136" s="40"/>
      <c r="AH136" s="40"/>
      <c r="AI136" s="41"/>
      <c r="AJ136" s="41"/>
      <c r="AK136" s="41"/>
      <c r="AL136" s="52"/>
      <c r="AM136" s="53"/>
      <c r="AN136" s="53"/>
      <c r="AO136" s="53"/>
      <c r="AP136" s="53"/>
      <c r="AQ136" s="53"/>
      <c r="AR136" s="54"/>
      <c r="AS136" s="61"/>
      <c r="AT136" s="62"/>
      <c r="AU136" s="62"/>
      <c r="AV136" s="62"/>
      <c r="AW136" s="62"/>
      <c r="AX136" s="63"/>
      <c r="AY136" s="68"/>
      <c r="AZ136" s="69"/>
      <c r="BA136" s="70"/>
      <c r="BB136" s="7"/>
    </row>
    <row r="137" spans="6:54" x14ac:dyDescent="0.15">
      <c r="F137" s="13"/>
      <c r="G137" s="7"/>
      <c r="H137" s="38"/>
      <c r="I137" s="39"/>
      <c r="J137" s="39"/>
      <c r="K137" s="39"/>
      <c r="L137" s="39"/>
      <c r="M137" s="39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1"/>
      <c r="AC137" s="39"/>
      <c r="AD137" s="39"/>
      <c r="AE137" s="39"/>
      <c r="AF137" s="39"/>
      <c r="AG137" s="40"/>
      <c r="AH137" s="40"/>
      <c r="AI137" s="41"/>
      <c r="AJ137" s="41"/>
      <c r="AK137" s="41"/>
      <c r="AL137" s="52"/>
      <c r="AM137" s="53"/>
      <c r="AN137" s="53"/>
      <c r="AO137" s="53"/>
      <c r="AP137" s="53"/>
      <c r="AQ137" s="53"/>
      <c r="AR137" s="54"/>
      <c r="AS137" s="61"/>
      <c r="AT137" s="62"/>
      <c r="AU137" s="62"/>
      <c r="AV137" s="62"/>
      <c r="AW137" s="62"/>
      <c r="AX137" s="63"/>
      <c r="AY137" s="68"/>
      <c r="AZ137" s="69"/>
      <c r="BA137" s="70"/>
      <c r="BB137" s="7"/>
    </row>
    <row r="138" spans="6:54" x14ac:dyDescent="0.15">
      <c r="F138" s="13"/>
      <c r="G138" s="7"/>
      <c r="H138" s="38"/>
      <c r="I138" s="39"/>
      <c r="J138" s="39"/>
      <c r="K138" s="39"/>
      <c r="L138" s="39"/>
      <c r="M138" s="39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1"/>
      <c r="AC138" s="39"/>
      <c r="AD138" s="39"/>
      <c r="AE138" s="39"/>
      <c r="AF138" s="39"/>
      <c r="AG138" s="40"/>
      <c r="AH138" s="40"/>
      <c r="AI138" s="41"/>
      <c r="AJ138" s="41"/>
      <c r="AK138" s="41"/>
      <c r="AL138" s="52"/>
      <c r="AM138" s="53"/>
      <c r="AN138" s="53"/>
      <c r="AO138" s="53"/>
      <c r="AP138" s="53"/>
      <c r="AQ138" s="53"/>
      <c r="AR138" s="54"/>
      <c r="AS138" s="61"/>
      <c r="AT138" s="62"/>
      <c r="AU138" s="62"/>
      <c r="AV138" s="62"/>
      <c r="AW138" s="62"/>
      <c r="AX138" s="63"/>
      <c r="AY138" s="68"/>
      <c r="AZ138" s="69"/>
      <c r="BA138" s="70"/>
      <c r="BB138" s="7"/>
    </row>
    <row r="139" spans="6:54" x14ac:dyDescent="0.15">
      <c r="F139" s="13"/>
      <c r="G139" s="7"/>
      <c r="H139" s="38"/>
      <c r="I139" s="39"/>
      <c r="J139" s="39"/>
      <c r="K139" s="39"/>
      <c r="L139" s="39"/>
      <c r="M139" s="39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1"/>
      <c r="AC139" s="39"/>
      <c r="AD139" s="39"/>
      <c r="AE139" s="39"/>
      <c r="AF139" s="39"/>
      <c r="AG139" s="40"/>
      <c r="AH139" s="40"/>
      <c r="AI139" s="41"/>
      <c r="AJ139" s="41"/>
      <c r="AK139" s="41"/>
      <c r="AL139" s="52"/>
      <c r="AM139" s="53"/>
      <c r="AN139" s="53"/>
      <c r="AO139" s="53"/>
      <c r="AP139" s="53"/>
      <c r="AQ139" s="53"/>
      <c r="AR139" s="54"/>
      <c r="AS139" s="61"/>
      <c r="AT139" s="62"/>
      <c r="AU139" s="62"/>
      <c r="AV139" s="62"/>
      <c r="AW139" s="62"/>
      <c r="AX139" s="63"/>
      <c r="AY139" s="68"/>
      <c r="AZ139" s="69"/>
      <c r="BA139" s="70"/>
      <c r="BB139" s="7"/>
    </row>
    <row r="140" spans="6:54" x14ac:dyDescent="0.15">
      <c r="F140" s="13"/>
      <c r="G140" s="7"/>
      <c r="H140" s="38"/>
      <c r="I140" s="39"/>
      <c r="J140" s="39"/>
      <c r="K140" s="39"/>
      <c r="L140" s="39"/>
      <c r="M140" s="39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1"/>
      <c r="AC140" s="39"/>
      <c r="AD140" s="39"/>
      <c r="AE140" s="39"/>
      <c r="AF140" s="39"/>
      <c r="AG140" s="40"/>
      <c r="AH140" s="40"/>
      <c r="AI140" s="41"/>
      <c r="AJ140" s="41"/>
      <c r="AK140" s="41"/>
      <c r="AL140" s="52"/>
      <c r="AM140" s="53"/>
      <c r="AN140" s="53"/>
      <c r="AO140" s="53"/>
      <c r="AP140" s="53"/>
      <c r="AQ140" s="53"/>
      <c r="AR140" s="54"/>
      <c r="AS140" s="61"/>
      <c r="AT140" s="62"/>
      <c r="AU140" s="62"/>
      <c r="AV140" s="62"/>
      <c r="AW140" s="62"/>
      <c r="AX140" s="63"/>
      <c r="AY140" s="68"/>
      <c r="AZ140" s="69"/>
      <c r="BA140" s="70"/>
      <c r="BB140" s="7"/>
    </row>
    <row r="141" spans="6:54" x14ac:dyDescent="0.15">
      <c r="F141" s="13"/>
      <c r="G141" s="7"/>
      <c r="H141" s="38"/>
      <c r="I141" s="39"/>
      <c r="J141" s="39"/>
      <c r="K141" s="39"/>
      <c r="L141" s="39"/>
      <c r="M141" s="39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1"/>
      <c r="AC141" s="39"/>
      <c r="AD141" s="39"/>
      <c r="AE141" s="39"/>
      <c r="AF141" s="39"/>
      <c r="AG141" s="40"/>
      <c r="AH141" s="40"/>
      <c r="AI141" s="41"/>
      <c r="AJ141" s="41"/>
      <c r="AK141" s="41"/>
      <c r="AL141" s="52"/>
      <c r="AM141" s="53"/>
      <c r="AN141" s="53"/>
      <c r="AO141" s="53"/>
      <c r="AP141" s="53"/>
      <c r="AQ141" s="53"/>
      <c r="AR141" s="54"/>
      <c r="AS141" s="61"/>
      <c r="AT141" s="62"/>
      <c r="AU141" s="62"/>
      <c r="AV141" s="62"/>
      <c r="AW141" s="62"/>
      <c r="AX141" s="63"/>
      <c r="AY141" s="68"/>
      <c r="AZ141" s="69"/>
      <c r="BA141" s="70"/>
      <c r="BB141" s="7"/>
    </row>
    <row r="142" spans="6:54" x14ac:dyDescent="0.15">
      <c r="F142" s="13"/>
      <c r="G142" s="7"/>
      <c r="H142" s="38"/>
      <c r="I142" s="39"/>
      <c r="J142" s="39"/>
      <c r="K142" s="39"/>
      <c r="L142" s="39"/>
      <c r="M142" s="39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1"/>
      <c r="AC142" s="39"/>
      <c r="AD142" s="39"/>
      <c r="AE142" s="39"/>
      <c r="AF142" s="39"/>
      <c r="AG142" s="40"/>
      <c r="AH142" s="40"/>
      <c r="AI142" s="41"/>
      <c r="AJ142" s="41"/>
      <c r="AK142" s="41"/>
      <c r="AL142" s="52"/>
      <c r="AM142" s="53"/>
      <c r="AN142" s="53"/>
      <c r="AO142" s="53"/>
      <c r="AP142" s="53"/>
      <c r="AQ142" s="53"/>
      <c r="AR142" s="54"/>
      <c r="AS142" s="61"/>
      <c r="AT142" s="62"/>
      <c r="AU142" s="62"/>
      <c r="AV142" s="62"/>
      <c r="AW142" s="62"/>
      <c r="AX142" s="63"/>
      <c r="AY142" s="68"/>
      <c r="AZ142" s="69"/>
      <c r="BA142" s="70"/>
      <c r="BB142" s="7"/>
    </row>
    <row r="143" spans="6:54" x14ac:dyDescent="0.15">
      <c r="F143" s="13"/>
      <c r="G143" s="7"/>
      <c r="H143" s="38"/>
      <c r="I143" s="39"/>
      <c r="J143" s="39"/>
      <c r="K143" s="39"/>
      <c r="L143" s="39"/>
      <c r="M143" s="39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1"/>
      <c r="AC143" s="39"/>
      <c r="AD143" s="39"/>
      <c r="AE143" s="39"/>
      <c r="AF143" s="39"/>
      <c r="AG143" s="40"/>
      <c r="AH143" s="40"/>
      <c r="AI143" s="41"/>
      <c r="AJ143" s="41"/>
      <c r="AK143" s="41"/>
      <c r="AL143" s="52"/>
      <c r="AM143" s="53"/>
      <c r="AN143" s="53"/>
      <c r="AO143" s="53"/>
      <c r="AP143" s="53"/>
      <c r="AQ143" s="53"/>
      <c r="AR143" s="54"/>
      <c r="AS143" s="61"/>
      <c r="AT143" s="62"/>
      <c r="AU143" s="62"/>
      <c r="AV143" s="62"/>
      <c r="AW143" s="62"/>
      <c r="AX143" s="63"/>
      <c r="AY143" s="68"/>
      <c r="AZ143" s="69"/>
      <c r="BA143" s="70"/>
      <c r="BB143" s="7"/>
    </row>
    <row r="144" spans="6:54" x14ac:dyDescent="0.15">
      <c r="F144" s="13"/>
      <c r="G144" s="7"/>
      <c r="H144" s="38"/>
      <c r="I144" s="39"/>
      <c r="J144" s="39"/>
      <c r="K144" s="39"/>
      <c r="L144" s="39"/>
      <c r="M144" s="39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1"/>
      <c r="AC144" s="39"/>
      <c r="AD144" s="39"/>
      <c r="AE144" s="39"/>
      <c r="AF144" s="39"/>
      <c r="AG144" s="40"/>
      <c r="AH144" s="40"/>
      <c r="AI144" s="41"/>
      <c r="AJ144" s="41"/>
      <c r="AK144" s="41"/>
      <c r="AL144" s="52"/>
      <c r="AM144" s="53"/>
      <c r="AN144" s="53"/>
      <c r="AO144" s="53"/>
      <c r="AP144" s="53"/>
      <c r="AQ144" s="53"/>
      <c r="AR144" s="54"/>
      <c r="AS144" s="61"/>
      <c r="AT144" s="62"/>
      <c r="AU144" s="62"/>
      <c r="AV144" s="62"/>
      <c r="AW144" s="62"/>
      <c r="AX144" s="63"/>
      <c r="AY144" s="68"/>
      <c r="AZ144" s="69"/>
      <c r="BA144" s="70"/>
      <c r="BB144" s="7"/>
    </row>
    <row r="145" spans="6:54" x14ac:dyDescent="0.15">
      <c r="F145" s="13"/>
      <c r="G145" s="7"/>
      <c r="H145" s="38"/>
      <c r="I145" s="39"/>
      <c r="J145" s="39"/>
      <c r="K145" s="39"/>
      <c r="L145" s="39"/>
      <c r="M145" s="39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1"/>
      <c r="AC145" s="39"/>
      <c r="AD145" s="39"/>
      <c r="AE145" s="39"/>
      <c r="AF145" s="39"/>
      <c r="AG145" s="40"/>
      <c r="AH145" s="40"/>
      <c r="AI145" s="41"/>
      <c r="AJ145" s="41"/>
      <c r="AK145" s="41"/>
      <c r="AL145" s="52"/>
      <c r="AM145" s="53"/>
      <c r="AN145" s="53"/>
      <c r="AO145" s="53"/>
      <c r="AP145" s="53"/>
      <c r="AQ145" s="53"/>
      <c r="AR145" s="54"/>
      <c r="AS145" s="61"/>
      <c r="AT145" s="62"/>
      <c r="AU145" s="62"/>
      <c r="AV145" s="62"/>
      <c r="AW145" s="62"/>
      <c r="AX145" s="63"/>
      <c r="AY145" s="68"/>
      <c r="AZ145" s="69"/>
      <c r="BA145" s="70"/>
      <c r="BB145" s="7"/>
    </row>
    <row r="146" spans="6:54" x14ac:dyDescent="0.15">
      <c r="F146" s="13"/>
      <c r="G146" s="7"/>
      <c r="H146" s="38"/>
      <c r="I146" s="39"/>
      <c r="J146" s="39"/>
      <c r="K146" s="39"/>
      <c r="L146" s="39"/>
      <c r="M146" s="39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1"/>
      <c r="AC146" s="39"/>
      <c r="AD146" s="39"/>
      <c r="AE146" s="39"/>
      <c r="AF146" s="39"/>
      <c r="AG146" s="40"/>
      <c r="AH146" s="40"/>
      <c r="AI146" s="41"/>
      <c r="AJ146" s="41"/>
      <c r="AK146" s="41"/>
      <c r="AL146" s="52"/>
      <c r="AM146" s="53"/>
      <c r="AN146" s="53"/>
      <c r="AO146" s="53"/>
      <c r="AP146" s="53"/>
      <c r="AQ146" s="53"/>
      <c r="AR146" s="54"/>
      <c r="AS146" s="61"/>
      <c r="AT146" s="62"/>
      <c r="AU146" s="62"/>
      <c r="AV146" s="62"/>
      <c r="AW146" s="62"/>
      <c r="AX146" s="63"/>
      <c r="AY146" s="68"/>
      <c r="AZ146" s="69"/>
      <c r="BA146" s="70"/>
      <c r="BB146" s="7"/>
    </row>
    <row r="147" spans="6:54" x14ac:dyDescent="0.15">
      <c r="F147" s="13"/>
      <c r="G147" s="7"/>
      <c r="H147" s="38"/>
      <c r="I147" s="39"/>
      <c r="J147" s="39"/>
      <c r="K147" s="39"/>
      <c r="L147" s="39"/>
      <c r="M147" s="39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1"/>
      <c r="AC147" s="39"/>
      <c r="AD147" s="39"/>
      <c r="AE147" s="39"/>
      <c r="AF147" s="39"/>
      <c r="AG147" s="40"/>
      <c r="AH147" s="40"/>
      <c r="AI147" s="41"/>
      <c r="AJ147" s="41"/>
      <c r="AK147" s="41"/>
      <c r="AL147" s="52"/>
      <c r="AM147" s="53"/>
      <c r="AN147" s="53"/>
      <c r="AO147" s="53"/>
      <c r="AP147" s="53"/>
      <c r="AQ147" s="53"/>
      <c r="AR147" s="54"/>
      <c r="AS147" s="61"/>
      <c r="AT147" s="62"/>
      <c r="AU147" s="62"/>
      <c r="AV147" s="62"/>
      <c r="AW147" s="62"/>
      <c r="AX147" s="63"/>
      <c r="AY147" s="68"/>
      <c r="AZ147" s="69"/>
      <c r="BA147" s="70"/>
      <c r="BB147" s="7"/>
    </row>
    <row r="148" spans="6:54" x14ac:dyDescent="0.15">
      <c r="F148" s="13"/>
      <c r="G148" s="7"/>
      <c r="H148" s="38"/>
      <c r="I148" s="39"/>
      <c r="J148" s="39"/>
      <c r="K148" s="39"/>
      <c r="L148" s="39"/>
      <c r="M148" s="39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1"/>
      <c r="AC148" s="39"/>
      <c r="AD148" s="39"/>
      <c r="AE148" s="39"/>
      <c r="AF148" s="39"/>
      <c r="AG148" s="40"/>
      <c r="AH148" s="40"/>
      <c r="AI148" s="41"/>
      <c r="AJ148" s="41"/>
      <c r="AK148" s="41"/>
      <c r="AL148" s="52"/>
      <c r="AM148" s="53"/>
      <c r="AN148" s="53"/>
      <c r="AO148" s="53"/>
      <c r="AP148" s="53"/>
      <c r="AQ148" s="53"/>
      <c r="AR148" s="54"/>
      <c r="AS148" s="61"/>
      <c r="AT148" s="62"/>
      <c r="AU148" s="62"/>
      <c r="AV148" s="62"/>
      <c r="AW148" s="62"/>
      <c r="AX148" s="63"/>
      <c r="AY148" s="68"/>
      <c r="AZ148" s="69"/>
      <c r="BA148" s="70"/>
      <c r="BB148" s="7"/>
    </row>
    <row r="149" spans="6:54" x14ac:dyDescent="0.15">
      <c r="F149" s="13"/>
      <c r="G149" s="7"/>
      <c r="H149" s="38"/>
      <c r="I149" s="39"/>
      <c r="J149" s="39"/>
      <c r="K149" s="39"/>
      <c r="L149" s="39"/>
      <c r="M149" s="39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1"/>
      <c r="AC149" s="39"/>
      <c r="AD149" s="39"/>
      <c r="AE149" s="39"/>
      <c r="AF149" s="39"/>
      <c r="AG149" s="40"/>
      <c r="AH149" s="40"/>
      <c r="AI149" s="41"/>
      <c r="AJ149" s="41"/>
      <c r="AK149" s="41"/>
      <c r="AL149" s="52"/>
      <c r="AM149" s="53"/>
      <c r="AN149" s="53"/>
      <c r="AO149" s="53"/>
      <c r="AP149" s="53"/>
      <c r="AQ149" s="53"/>
      <c r="AR149" s="54"/>
      <c r="AS149" s="61"/>
      <c r="AT149" s="62"/>
      <c r="AU149" s="62"/>
      <c r="AV149" s="62"/>
      <c r="AW149" s="62"/>
      <c r="AX149" s="63"/>
      <c r="AY149" s="68"/>
      <c r="AZ149" s="69"/>
      <c r="BA149" s="70"/>
      <c r="BB149" s="7"/>
    </row>
    <row r="150" spans="6:54" x14ac:dyDescent="0.15">
      <c r="F150" s="13"/>
      <c r="G150" s="7"/>
      <c r="H150" s="38"/>
      <c r="I150" s="39"/>
      <c r="J150" s="39"/>
      <c r="K150" s="39"/>
      <c r="L150" s="39"/>
      <c r="M150" s="39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1"/>
      <c r="AC150" s="39"/>
      <c r="AD150" s="39"/>
      <c r="AE150" s="39"/>
      <c r="AF150" s="39"/>
      <c r="AG150" s="40"/>
      <c r="AH150" s="40"/>
      <c r="AI150" s="41"/>
      <c r="AJ150" s="41"/>
      <c r="AK150" s="41"/>
      <c r="AL150" s="52"/>
      <c r="AM150" s="53"/>
      <c r="AN150" s="53"/>
      <c r="AO150" s="53"/>
      <c r="AP150" s="53"/>
      <c r="AQ150" s="53"/>
      <c r="AR150" s="54"/>
      <c r="AS150" s="61"/>
      <c r="AT150" s="62"/>
      <c r="AU150" s="62"/>
      <c r="AV150" s="62"/>
      <c r="AW150" s="62"/>
      <c r="AX150" s="63"/>
      <c r="AY150" s="68"/>
      <c r="AZ150" s="69"/>
      <c r="BA150" s="70"/>
      <c r="BB150" s="7"/>
    </row>
    <row r="151" spans="6:54" x14ac:dyDescent="0.15">
      <c r="F151" s="13"/>
      <c r="G151" s="7"/>
      <c r="H151" s="38"/>
      <c r="I151" s="39"/>
      <c r="J151" s="39"/>
      <c r="K151" s="39"/>
      <c r="L151" s="39"/>
      <c r="M151" s="39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1"/>
      <c r="AC151" s="39"/>
      <c r="AD151" s="39"/>
      <c r="AE151" s="39"/>
      <c r="AF151" s="39"/>
      <c r="AG151" s="40"/>
      <c r="AH151" s="40"/>
      <c r="AI151" s="41"/>
      <c r="AJ151" s="41"/>
      <c r="AK151" s="41"/>
      <c r="AL151" s="52"/>
      <c r="AM151" s="53"/>
      <c r="AN151" s="53"/>
      <c r="AO151" s="53"/>
      <c r="AP151" s="53"/>
      <c r="AQ151" s="53"/>
      <c r="AR151" s="54"/>
      <c r="AS151" s="61"/>
      <c r="AT151" s="62"/>
      <c r="AU151" s="62"/>
      <c r="AV151" s="62"/>
      <c r="AW151" s="62"/>
      <c r="AX151" s="63"/>
      <c r="AY151" s="68"/>
      <c r="AZ151" s="69"/>
      <c r="BA151" s="70"/>
      <c r="BB151" s="7"/>
    </row>
    <row r="152" spans="6:54" x14ac:dyDescent="0.15">
      <c r="F152" s="13"/>
      <c r="G152" s="7"/>
      <c r="H152" s="38"/>
      <c r="I152" s="39"/>
      <c r="J152" s="39"/>
      <c r="K152" s="39"/>
      <c r="L152" s="39"/>
      <c r="M152" s="39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1"/>
      <c r="AC152" s="39"/>
      <c r="AD152" s="39"/>
      <c r="AE152" s="39"/>
      <c r="AF152" s="39"/>
      <c r="AG152" s="40"/>
      <c r="AH152" s="40"/>
      <c r="AI152" s="41"/>
      <c r="AJ152" s="41"/>
      <c r="AK152" s="41"/>
      <c r="AL152" s="52"/>
      <c r="AM152" s="53"/>
      <c r="AN152" s="53"/>
      <c r="AO152" s="53"/>
      <c r="AP152" s="53"/>
      <c r="AQ152" s="53"/>
      <c r="AR152" s="54"/>
      <c r="AS152" s="61"/>
      <c r="AT152" s="62"/>
      <c r="AU152" s="62"/>
      <c r="AV152" s="62"/>
      <c r="AW152" s="62"/>
      <c r="AX152" s="63"/>
      <c r="AY152" s="68"/>
      <c r="AZ152" s="69"/>
      <c r="BA152" s="70"/>
      <c r="BB152" s="7"/>
    </row>
    <row r="153" spans="6:54" x14ac:dyDescent="0.15">
      <c r="F153" s="13"/>
      <c r="G153" s="7"/>
      <c r="H153" s="38"/>
      <c r="I153" s="39"/>
      <c r="J153" s="39"/>
      <c r="K153" s="39"/>
      <c r="L153" s="39"/>
      <c r="M153" s="39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1"/>
      <c r="AC153" s="39"/>
      <c r="AD153" s="39"/>
      <c r="AE153" s="39"/>
      <c r="AF153" s="39"/>
      <c r="AG153" s="40"/>
      <c r="AH153" s="40"/>
      <c r="AI153" s="41"/>
      <c r="AJ153" s="41"/>
      <c r="AK153" s="41"/>
      <c r="AL153" s="52"/>
      <c r="AM153" s="53"/>
      <c r="AN153" s="53"/>
      <c r="AO153" s="53"/>
      <c r="AP153" s="53"/>
      <c r="AQ153" s="53"/>
      <c r="AR153" s="54"/>
      <c r="AS153" s="61"/>
      <c r="AT153" s="62"/>
      <c r="AU153" s="62"/>
      <c r="AV153" s="62"/>
      <c r="AW153" s="62"/>
      <c r="AX153" s="63"/>
      <c r="AY153" s="68"/>
      <c r="AZ153" s="69"/>
      <c r="BA153" s="70"/>
      <c r="BB153" s="7"/>
    </row>
    <row r="154" spans="6:54" x14ac:dyDescent="0.15">
      <c r="F154" s="13"/>
      <c r="G154" s="7"/>
      <c r="H154" s="38"/>
      <c r="I154" s="39"/>
      <c r="J154" s="39"/>
      <c r="K154" s="39"/>
      <c r="L154" s="39"/>
      <c r="M154" s="39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1"/>
      <c r="AC154" s="39"/>
      <c r="AD154" s="39"/>
      <c r="AE154" s="39"/>
      <c r="AF154" s="39"/>
      <c r="AG154" s="40"/>
      <c r="AH154" s="40"/>
      <c r="AI154" s="41"/>
      <c r="AJ154" s="41"/>
      <c r="AK154" s="41"/>
      <c r="AL154" s="52"/>
      <c r="AM154" s="53"/>
      <c r="AN154" s="53"/>
      <c r="AO154" s="53"/>
      <c r="AP154" s="53"/>
      <c r="AQ154" s="53"/>
      <c r="AR154" s="54"/>
      <c r="AS154" s="61"/>
      <c r="AT154" s="62"/>
      <c r="AU154" s="62"/>
      <c r="AV154" s="62"/>
      <c r="AW154" s="62"/>
      <c r="AX154" s="63"/>
      <c r="AY154" s="68"/>
      <c r="AZ154" s="69"/>
      <c r="BA154" s="70"/>
      <c r="BB154" s="7"/>
    </row>
    <row r="155" spans="6:54" x14ac:dyDescent="0.15">
      <c r="F155" s="13"/>
      <c r="G155" s="7"/>
      <c r="H155" s="38"/>
      <c r="I155" s="39"/>
      <c r="J155" s="39"/>
      <c r="K155" s="39"/>
      <c r="L155" s="39"/>
      <c r="M155" s="39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1"/>
      <c r="AC155" s="39"/>
      <c r="AD155" s="39"/>
      <c r="AE155" s="39"/>
      <c r="AF155" s="39"/>
      <c r="AG155" s="40"/>
      <c r="AH155" s="40"/>
      <c r="AI155" s="41"/>
      <c r="AJ155" s="41"/>
      <c r="AK155" s="41"/>
      <c r="AL155" s="52"/>
      <c r="AM155" s="53"/>
      <c r="AN155" s="53"/>
      <c r="AO155" s="53"/>
      <c r="AP155" s="53"/>
      <c r="AQ155" s="53"/>
      <c r="AR155" s="54"/>
      <c r="AS155" s="61"/>
      <c r="AT155" s="62"/>
      <c r="AU155" s="62"/>
      <c r="AV155" s="62"/>
      <c r="AW155" s="62"/>
      <c r="AX155" s="63"/>
      <c r="AY155" s="68"/>
      <c r="AZ155" s="69"/>
      <c r="BA155" s="70"/>
      <c r="BB155" s="7"/>
    </row>
    <row r="156" spans="6:54" x14ac:dyDescent="0.15">
      <c r="F156" s="13"/>
      <c r="G156" s="7"/>
      <c r="H156" s="38"/>
      <c r="I156" s="39"/>
      <c r="J156" s="39"/>
      <c r="K156" s="39"/>
      <c r="L156" s="39"/>
      <c r="M156" s="39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1"/>
      <c r="AC156" s="39"/>
      <c r="AD156" s="39"/>
      <c r="AE156" s="39"/>
      <c r="AF156" s="39"/>
      <c r="AG156" s="40"/>
      <c r="AH156" s="40"/>
      <c r="AI156" s="41"/>
      <c r="AJ156" s="41"/>
      <c r="AK156" s="41"/>
      <c r="AL156" s="52"/>
      <c r="AM156" s="53"/>
      <c r="AN156" s="53"/>
      <c r="AO156" s="53"/>
      <c r="AP156" s="53"/>
      <c r="AQ156" s="53"/>
      <c r="AR156" s="54"/>
      <c r="AS156" s="61"/>
      <c r="AT156" s="62"/>
      <c r="AU156" s="62"/>
      <c r="AV156" s="62"/>
      <c r="AW156" s="62"/>
      <c r="AX156" s="63"/>
      <c r="AY156" s="68"/>
      <c r="AZ156" s="69"/>
      <c r="BA156" s="70"/>
      <c r="BB156" s="7"/>
    </row>
    <row r="157" spans="6:54" x14ac:dyDescent="0.15">
      <c r="F157" s="13"/>
      <c r="G157" s="7"/>
      <c r="H157" s="38"/>
      <c r="I157" s="39"/>
      <c r="J157" s="39"/>
      <c r="K157" s="39"/>
      <c r="L157" s="39"/>
      <c r="M157" s="39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1"/>
      <c r="AC157" s="39"/>
      <c r="AD157" s="39"/>
      <c r="AE157" s="39"/>
      <c r="AF157" s="39"/>
      <c r="AG157" s="40"/>
      <c r="AH157" s="40"/>
      <c r="AI157" s="41"/>
      <c r="AJ157" s="41"/>
      <c r="AK157" s="41"/>
      <c r="AL157" s="52"/>
      <c r="AM157" s="53"/>
      <c r="AN157" s="53"/>
      <c r="AO157" s="53"/>
      <c r="AP157" s="53"/>
      <c r="AQ157" s="53"/>
      <c r="AR157" s="54"/>
      <c r="AS157" s="61"/>
      <c r="AT157" s="62"/>
      <c r="AU157" s="62"/>
      <c r="AV157" s="62"/>
      <c r="AW157" s="62"/>
      <c r="AX157" s="63"/>
      <c r="AY157" s="68"/>
      <c r="AZ157" s="69"/>
      <c r="BA157" s="70"/>
      <c r="BB157" s="7"/>
    </row>
    <row r="158" spans="6:54" x14ac:dyDescent="0.15">
      <c r="F158" s="13"/>
      <c r="G158" s="7"/>
      <c r="H158" s="38"/>
      <c r="I158" s="39"/>
      <c r="J158" s="39"/>
      <c r="K158" s="39"/>
      <c r="L158" s="39"/>
      <c r="M158" s="39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1"/>
      <c r="AC158" s="39"/>
      <c r="AD158" s="39"/>
      <c r="AE158" s="39"/>
      <c r="AF158" s="39"/>
      <c r="AG158" s="40"/>
      <c r="AH158" s="40"/>
      <c r="AI158" s="41"/>
      <c r="AJ158" s="41"/>
      <c r="AK158" s="41"/>
      <c r="AL158" s="52"/>
      <c r="AM158" s="53"/>
      <c r="AN158" s="53"/>
      <c r="AO158" s="53"/>
      <c r="AP158" s="53"/>
      <c r="AQ158" s="53"/>
      <c r="AR158" s="54"/>
      <c r="AS158" s="61"/>
      <c r="AT158" s="62"/>
      <c r="AU158" s="62"/>
      <c r="AV158" s="62"/>
      <c r="AW158" s="62"/>
      <c r="AX158" s="63"/>
      <c r="AY158" s="68"/>
      <c r="AZ158" s="69"/>
      <c r="BA158" s="70"/>
      <c r="BB158" s="7"/>
    </row>
    <row r="159" spans="6:54" x14ac:dyDescent="0.15">
      <c r="F159" s="13"/>
      <c r="G159" s="7"/>
      <c r="H159" s="38"/>
      <c r="I159" s="39"/>
      <c r="J159" s="39"/>
      <c r="K159" s="39"/>
      <c r="L159" s="39"/>
      <c r="M159" s="39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1"/>
      <c r="AC159" s="39"/>
      <c r="AD159" s="39"/>
      <c r="AE159" s="39"/>
      <c r="AF159" s="39"/>
      <c r="AG159" s="40"/>
      <c r="AH159" s="40"/>
      <c r="AI159" s="41"/>
      <c r="AJ159" s="41"/>
      <c r="AK159" s="41"/>
      <c r="AL159" s="52"/>
      <c r="AM159" s="53"/>
      <c r="AN159" s="53"/>
      <c r="AO159" s="53"/>
      <c r="AP159" s="53"/>
      <c r="AQ159" s="53"/>
      <c r="AR159" s="54"/>
      <c r="AS159" s="61"/>
      <c r="AT159" s="62"/>
      <c r="AU159" s="62"/>
      <c r="AV159" s="62"/>
      <c r="AW159" s="62"/>
      <c r="AX159" s="63"/>
      <c r="AY159" s="68"/>
      <c r="AZ159" s="69"/>
      <c r="BA159" s="70"/>
      <c r="BB159" s="7"/>
    </row>
    <row r="160" spans="6:54" x14ac:dyDescent="0.15">
      <c r="F160" s="13"/>
      <c r="G160" s="7"/>
      <c r="H160" s="38"/>
      <c r="I160" s="39"/>
      <c r="J160" s="39"/>
      <c r="K160" s="39"/>
      <c r="L160" s="39"/>
      <c r="M160" s="39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1"/>
      <c r="AC160" s="39"/>
      <c r="AD160" s="39"/>
      <c r="AE160" s="39"/>
      <c r="AF160" s="39"/>
      <c r="AG160" s="40"/>
      <c r="AH160" s="40"/>
      <c r="AI160" s="41"/>
      <c r="AJ160" s="41"/>
      <c r="AK160" s="41"/>
      <c r="AL160" s="52"/>
      <c r="AM160" s="53"/>
      <c r="AN160" s="53"/>
      <c r="AO160" s="53"/>
      <c r="AP160" s="53"/>
      <c r="AQ160" s="53"/>
      <c r="AR160" s="54"/>
      <c r="AS160" s="61"/>
      <c r="AT160" s="62"/>
      <c r="AU160" s="62"/>
      <c r="AV160" s="62"/>
      <c r="AW160" s="62"/>
      <c r="AX160" s="63"/>
      <c r="AY160" s="68"/>
      <c r="AZ160" s="69"/>
      <c r="BA160" s="70"/>
      <c r="BB160" s="7"/>
    </row>
    <row r="161" spans="6:54" x14ac:dyDescent="0.15">
      <c r="F161" s="13"/>
      <c r="G161" s="7"/>
      <c r="H161" s="38"/>
      <c r="I161" s="39"/>
      <c r="J161" s="39"/>
      <c r="K161" s="39"/>
      <c r="L161" s="39"/>
      <c r="M161" s="39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1"/>
      <c r="AC161" s="39"/>
      <c r="AD161" s="39"/>
      <c r="AE161" s="39"/>
      <c r="AF161" s="39"/>
      <c r="AG161" s="40"/>
      <c r="AH161" s="40"/>
      <c r="AI161" s="41"/>
      <c r="AJ161" s="41"/>
      <c r="AK161" s="41"/>
      <c r="AL161" s="52"/>
      <c r="AM161" s="53"/>
      <c r="AN161" s="53"/>
      <c r="AO161" s="53"/>
      <c r="AP161" s="53"/>
      <c r="AQ161" s="53"/>
      <c r="AR161" s="54"/>
      <c r="AS161" s="61"/>
      <c r="AT161" s="62"/>
      <c r="AU161" s="62"/>
      <c r="AV161" s="62"/>
      <c r="AW161" s="62"/>
      <c r="AX161" s="63"/>
      <c r="AY161" s="68"/>
      <c r="AZ161" s="69"/>
      <c r="BA161" s="70"/>
      <c r="BB161" s="7"/>
    </row>
    <row r="162" spans="6:54" x14ac:dyDescent="0.15">
      <c r="G162" s="7"/>
      <c r="H162" s="38"/>
      <c r="I162" s="39"/>
      <c r="J162" s="39"/>
      <c r="K162" s="39"/>
      <c r="L162" s="39"/>
      <c r="M162" s="39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1"/>
      <c r="AC162" s="39"/>
      <c r="AD162" s="39"/>
      <c r="AE162" s="39"/>
      <c r="AF162" s="39"/>
      <c r="AG162" s="40"/>
      <c r="AH162" s="40"/>
      <c r="AI162" s="41"/>
      <c r="AJ162" s="41"/>
      <c r="AK162" s="41"/>
      <c r="AL162" s="52"/>
      <c r="AM162" s="53"/>
      <c r="AN162" s="53"/>
      <c r="AO162" s="53"/>
      <c r="AP162" s="53"/>
      <c r="AQ162" s="53"/>
      <c r="AR162" s="54"/>
      <c r="AS162" s="61"/>
      <c r="AT162" s="62"/>
      <c r="AU162" s="62"/>
      <c r="AV162" s="62"/>
      <c r="AW162" s="62"/>
      <c r="AX162" s="63"/>
      <c r="AY162" s="68"/>
      <c r="AZ162" s="69"/>
      <c r="BA162" s="70"/>
      <c r="BB162" s="7"/>
    </row>
    <row r="163" spans="6:54" x14ac:dyDescent="0.15">
      <c r="G163" s="7"/>
      <c r="H163" s="38"/>
      <c r="I163" s="39"/>
      <c r="J163" s="39"/>
      <c r="K163" s="39"/>
      <c r="L163" s="39"/>
      <c r="M163" s="39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1"/>
      <c r="AC163" s="39"/>
      <c r="AD163" s="39"/>
      <c r="AE163" s="39"/>
      <c r="AF163" s="39"/>
      <c r="AG163" s="40"/>
      <c r="AH163" s="40"/>
      <c r="AI163" s="41"/>
      <c r="AJ163" s="41"/>
      <c r="AK163" s="41"/>
      <c r="AL163" s="52"/>
      <c r="AM163" s="53"/>
      <c r="AN163" s="53"/>
      <c r="AO163" s="53"/>
      <c r="AP163" s="53"/>
      <c r="AQ163" s="53"/>
      <c r="AR163" s="54"/>
      <c r="AS163" s="61"/>
      <c r="AT163" s="62"/>
      <c r="AU163" s="62"/>
      <c r="AV163" s="62"/>
      <c r="AW163" s="62"/>
      <c r="AX163" s="63"/>
      <c r="AY163" s="68"/>
      <c r="AZ163" s="69"/>
      <c r="BA163" s="70"/>
      <c r="BB163" s="7"/>
    </row>
    <row r="164" spans="6:54" x14ac:dyDescent="0.15">
      <c r="G164" s="7"/>
      <c r="H164" s="38"/>
      <c r="I164" s="39"/>
      <c r="J164" s="39"/>
      <c r="K164" s="39"/>
      <c r="L164" s="39"/>
      <c r="M164" s="39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1"/>
      <c r="AC164" s="39"/>
      <c r="AD164" s="39"/>
      <c r="AE164" s="39"/>
      <c r="AF164" s="39"/>
      <c r="AG164" s="40"/>
      <c r="AH164" s="40"/>
      <c r="AI164" s="41"/>
      <c r="AJ164" s="41"/>
      <c r="AK164" s="41"/>
      <c r="AL164" s="52"/>
      <c r="AM164" s="53"/>
      <c r="AN164" s="53"/>
      <c r="AO164" s="53"/>
      <c r="AP164" s="53"/>
      <c r="AQ164" s="53"/>
      <c r="AR164" s="54"/>
      <c r="AS164" s="61"/>
      <c r="AT164" s="62"/>
      <c r="AU164" s="62"/>
      <c r="AV164" s="62"/>
      <c r="AW164" s="62"/>
      <c r="AX164" s="63"/>
      <c r="AY164" s="68"/>
      <c r="AZ164" s="69"/>
      <c r="BA164" s="70"/>
      <c r="BB164" s="7"/>
    </row>
    <row r="165" spans="6:54" x14ac:dyDescent="0.15">
      <c r="G165" s="7"/>
      <c r="H165" s="38"/>
      <c r="I165" s="39"/>
      <c r="J165" s="39"/>
      <c r="K165" s="39"/>
      <c r="L165" s="39"/>
      <c r="M165" s="39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1"/>
      <c r="AC165" s="39"/>
      <c r="AD165" s="39"/>
      <c r="AE165" s="39"/>
      <c r="AF165" s="39"/>
      <c r="AG165" s="40"/>
      <c r="AH165" s="40"/>
      <c r="AI165" s="41"/>
      <c r="AJ165" s="41"/>
      <c r="AK165" s="41"/>
      <c r="AL165" s="52"/>
      <c r="AM165" s="53"/>
      <c r="AN165" s="53"/>
      <c r="AO165" s="53"/>
      <c r="AP165" s="53"/>
      <c r="AQ165" s="53"/>
      <c r="AR165" s="54"/>
      <c r="AS165" s="61"/>
      <c r="AT165" s="62"/>
      <c r="AU165" s="62"/>
      <c r="AV165" s="62"/>
      <c r="AW165" s="62"/>
      <c r="AX165" s="63"/>
      <c r="AY165" s="68"/>
      <c r="AZ165" s="69"/>
      <c r="BA165" s="70"/>
      <c r="BB165" s="7"/>
    </row>
    <row r="166" spans="6:54" x14ac:dyDescent="0.15">
      <c r="G166" s="7"/>
      <c r="H166" s="38"/>
      <c r="I166" s="39"/>
      <c r="J166" s="39"/>
      <c r="K166" s="39"/>
      <c r="L166" s="39"/>
      <c r="M166" s="39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1"/>
      <c r="AC166" s="39"/>
      <c r="AD166" s="39"/>
      <c r="AE166" s="39"/>
      <c r="AF166" s="39"/>
      <c r="AG166" s="40"/>
      <c r="AH166" s="40"/>
      <c r="AI166" s="41"/>
      <c r="AJ166" s="41"/>
      <c r="AK166" s="41"/>
      <c r="AL166" s="52"/>
      <c r="AM166" s="53"/>
      <c r="AN166" s="53"/>
      <c r="AO166" s="53"/>
      <c r="AP166" s="53"/>
      <c r="AQ166" s="53"/>
      <c r="AR166" s="54"/>
      <c r="AS166" s="61"/>
      <c r="AT166" s="62"/>
      <c r="AU166" s="62"/>
      <c r="AV166" s="62"/>
      <c r="AW166" s="62"/>
      <c r="AX166" s="63"/>
      <c r="AY166" s="68"/>
      <c r="AZ166" s="69"/>
      <c r="BA166" s="70"/>
      <c r="BB166" s="7"/>
    </row>
    <row r="167" spans="6:54" x14ac:dyDescent="0.15">
      <c r="G167" s="7"/>
      <c r="H167" s="38"/>
      <c r="I167" s="39"/>
      <c r="J167" s="39"/>
      <c r="K167" s="39"/>
      <c r="L167" s="39"/>
      <c r="M167" s="39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1"/>
      <c r="AC167" s="39"/>
      <c r="AD167" s="39"/>
      <c r="AE167" s="39"/>
      <c r="AF167" s="39"/>
      <c r="AG167" s="40"/>
      <c r="AH167" s="40"/>
      <c r="AI167" s="41"/>
      <c r="AJ167" s="41"/>
      <c r="AK167" s="41"/>
      <c r="AL167" s="52"/>
      <c r="AM167" s="53"/>
      <c r="AN167" s="53"/>
      <c r="AO167" s="53"/>
      <c r="AP167" s="53"/>
      <c r="AQ167" s="53"/>
      <c r="AR167" s="54"/>
      <c r="AS167" s="61"/>
      <c r="AT167" s="62"/>
      <c r="AU167" s="62"/>
      <c r="AV167" s="62"/>
      <c r="AW167" s="62"/>
      <c r="AX167" s="63"/>
      <c r="AY167" s="68"/>
      <c r="AZ167" s="69"/>
      <c r="BA167" s="70"/>
      <c r="BB167" s="7"/>
    </row>
    <row r="168" spans="6:54" x14ac:dyDescent="0.15">
      <c r="G168" s="7"/>
      <c r="H168" s="38"/>
      <c r="I168" s="39"/>
      <c r="J168" s="39"/>
      <c r="K168" s="39"/>
      <c r="L168" s="39"/>
      <c r="M168" s="39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1"/>
      <c r="AC168" s="39"/>
      <c r="AD168" s="39"/>
      <c r="AE168" s="39"/>
      <c r="AF168" s="39"/>
      <c r="AG168" s="40"/>
      <c r="AH168" s="40"/>
      <c r="AI168" s="41"/>
      <c r="AJ168" s="41"/>
      <c r="AK168" s="41"/>
      <c r="AL168" s="52"/>
      <c r="AM168" s="53"/>
      <c r="AN168" s="53"/>
      <c r="AO168" s="53"/>
      <c r="AP168" s="53"/>
      <c r="AQ168" s="53"/>
      <c r="AR168" s="54"/>
      <c r="AS168" s="61"/>
      <c r="AT168" s="62"/>
      <c r="AU168" s="62"/>
      <c r="AV168" s="62"/>
      <c r="AW168" s="62"/>
      <c r="AX168" s="63"/>
      <c r="AY168" s="68"/>
      <c r="AZ168" s="69"/>
      <c r="BA168" s="70"/>
      <c r="BB168" s="7"/>
    </row>
    <row r="169" spans="6:54" x14ac:dyDescent="0.15">
      <c r="G169" s="7"/>
      <c r="H169" s="38"/>
      <c r="I169" s="39"/>
      <c r="J169" s="39"/>
      <c r="K169" s="39"/>
      <c r="L169" s="39"/>
      <c r="M169" s="39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1"/>
      <c r="AC169" s="39"/>
      <c r="AD169" s="39"/>
      <c r="AE169" s="39"/>
      <c r="AF169" s="39"/>
      <c r="AG169" s="40"/>
      <c r="AH169" s="40"/>
      <c r="AI169" s="41"/>
      <c r="AJ169" s="41"/>
      <c r="AK169" s="41"/>
      <c r="AL169" s="52"/>
      <c r="AM169" s="53"/>
      <c r="AN169" s="53"/>
      <c r="AO169" s="53"/>
      <c r="AP169" s="53"/>
      <c r="AQ169" s="53"/>
      <c r="AR169" s="54"/>
      <c r="AS169" s="61"/>
      <c r="AT169" s="62"/>
      <c r="AU169" s="62"/>
      <c r="AV169" s="62"/>
      <c r="AW169" s="62"/>
      <c r="AX169" s="63"/>
      <c r="AY169" s="68"/>
      <c r="AZ169" s="69"/>
      <c r="BA169" s="70"/>
      <c r="BB169" s="7"/>
    </row>
    <row r="170" spans="6:54" x14ac:dyDescent="0.15">
      <c r="G170" s="7"/>
      <c r="H170" s="38"/>
      <c r="I170" s="39"/>
      <c r="J170" s="39"/>
      <c r="K170" s="39"/>
      <c r="L170" s="39"/>
      <c r="M170" s="39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1"/>
      <c r="AC170" s="39"/>
      <c r="AD170" s="39"/>
      <c r="AE170" s="39"/>
      <c r="AF170" s="39"/>
      <c r="AG170" s="40"/>
      <c r="AH170" s="40"/>
      <c r="AI170" s="41"/>
      <c r="AJ170" s="41"/>
      <c r="AK170" s="41"/>
      <c r="AL170" s="52"/>
      <c r="AM170" s="53"/>
      <c r="AN170" s="53"/>
      <c r="AO170" s="53"/>
      <c r="AP170" s="53"/>
      <c r="AQ170" s="53"/>
      <c r="AR170" s="54"/>
      <c r="AS170" s="61"/>
      <c r="AT170" s="62"/>
      <c r="AU170" s="62"/>
      <c r="AV170" s="62"/>
      <c r="AW170" s="62"/>
      <c r="AX170" s="63"/>
      <c r="AY170" s="68"/>
      <c r="AZ170" s="69"/>
      <c r="BA170" s="70"/>
      <c r="BB170" s="7"/>
    </row>
    <row r="171" spans="6:54" x14ac:dyDescent="0.15">
      <c r="G171" s="7"/>
      <c r="H171" s="38"/>
      <c r="I171" s="39"/>
      <c r="J171" s="39"/>
      <c r="K171" s="39"/>
      <c r="L171" s="39"/>
      <c r="M171" s="39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1"/>
      <c r="AC171" s="39"/>
      <c r="AD171" s="39"/>
      <c r="AE171" s="39"/>
      <c r="AF171" s="39"/>
      <c r="AG171" s="40"/>
      <c r="AH171" s="40"/>
      <c r="AI171" s="41"/>
      <c r="AJ171" s="41"/>
      <c r="AK171" s="41"/>
      <c r="AL171" s="52"/>
      <c r="AM171" s="53"/>
      <c r="AN171" s="53"/>
      <c r="AO171" s="53"/>
      <c r="AP171" s="53"/>
      <c r="AQ171" s="53"/>
      <c r="AR171" s="54"/>
      <c r="AS171" s="61"/>
      <c r="AT171" s="62"/>
      <c r="AU171" s="62"/>
      <c r="AV171" s="62"/>
      <c r="AW171" s="62"/>
      <c r="AX171" s="63"/>
      <c r="AY171" s="68"/>
      <c r="AZ171" s="69"/>
      <c r="BA171" s="70"/>
      <c r="BB171" s="7"/>
    </row>
    <row r="172" spans="6:54" x14ac:dyDescent="0.15">
      <c r="G172" s="7"/>
      <c r="H172" s="38"/>
      <c r="I172" s="39"/>
      <c r="J172" s="39"/>
      <c r="K172" s="39"/>
      <c r="L172" s="39"/>
      <c r="M172" s="39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1"/>
      <c r="AC172" s="39"/>
      <c r="AD172" s="39"/>
      <c r="AE172" s="39"/>
      <c r="AF172" s="39"/>
      <c r="AG172" s="40"/>
      <c r="AH172" s="40"/>
      <c r="AI172" s="41"/>
      <c r="AJ172" s="41"/>
      <c r="AK172" s="41"/>
      <c r="AL172" s="52"/>
      <c r="AM172" s="53"/>
      <c r="AN172" s="53"/>
      <c r="AO172" s="53"/>
      <c r="AP172" s="53"/>
      <c r="AQ172" s="53"/>
      <c r="AR172" s="54"/>
      <c r="AS172" s="61"/>
      <c r="AT172" s="62"/>
      <c r="AU172" s="62"/>
      <c r="AV172" s="62"/>
      <c r="AW172" s="62"/>
      <c r="AX172" s="63"/>
      <c r="AY172" s="68"/>
      <c r="AZ172" s="69"/>
      <c r="BA172" s="70"/>
      <c r="BB172" s="7"/>
    </row>
    <row r="173" spans="6:54" x14ac:dyDescent="0.15">
      <c r="G173" s="7"/>
      <c r="H173" s="38"/>
      <c r="I173" s="39"/>
      <c r="J173" s="39"/>
      <c r="K173" s="39"/>
      <c r="L173" s="39"/>
      <c r="M173" s="39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1"/>
      <c r="AC173" s="39"/>
      <c r="AD173" s="39"/>
      <c r="AE173" s="39"/>
      <c r="AF173" s="39"/>
      <c r="AG173" s="40"/>
      <c r="AH173" s="40"/>
      <c r="AI173" s="41"/>
      <c r="AJ173" s="41"/>
      <c r="AK173" s="41"/>
      <c r="AL173" s="52"/>
      <c r="AM173" s="53"/>
      <c r="AN173" s="53"/>
      <c r="AO173" s="53"/>
      <c r="AP173" s="53"/>
      <c r="AQ173" s="53"/>
      <c r="AR173" s="54"/>
      <c r="AS173" s="61"/>
      <c r="AT173" s="62"/>
      <c r="AU173" s="62"/>
      <c r="AV173" s="62"/>
      <c r="AW173" s="62"/>
      <c r="AX173" s="63"/>
      <c r="AY173" s="68"/>
      <c r="AZ173" s="69"/>
      <c r="BA173" s="70"/>
      <c r="BB173" s="7"/>
    </row>
    <row r="174" spans="6:54" x14ac:dyDescent="0.15">
      <c r="G174" s="7"/>
      <c r="H174" s="38"/>
      <c r="I174" s="39"/>
      <c r="J174" s="39"/>
      <c r="K174" s="39"/>
      <c r="L174" s="39"/>
      <c r="M174" s="39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1"/>
      <c r="AC174" s="39"/>
      <c r="AD174" s="39"/>
      <c r="AE174" s="39"/>
      <c r="AF174" s="39"/>
      <c r="AG174" s="40"/>
      <c r="AH174" s="40"/>
      <c r="AI174" s="41"/>
      <c r="AJ174" s="41"/>
      <c r="AK174" s="41"/>
      <c r="AL174" s="52"/>
      <c r="AM174" s="53"/>
      <c r="AN174" s="53"/>
      <c r="AO174" s="53"/>
      <c r="AP174" s="53"/>
      <c r="AQ174" s="53"/>
      <c r="AR174" s="54"/>
      <c r="AS174" s="61"/>
      <c r="AT174" s="62"/>
      <c r="AU174" s="62"/>
      <c r="AV174" s="62"/>
      <c r="AW174" s="62"/>
      <c r="AX174" s="63"/>
      <c r="AY174" s="68"/>
      <c r="AZ174" s="69"/>
      <c r="BA174" s="70"/>
      <c r="BB174" s="7"/>
    </row>
    <row r="175" spans="6:54" x14ac:dyDescent="0.15">
      <c r="G175" s="7"/>
      <c r="H175" s="38"/>
      <c r="I175" s="39"/>
      <c r="J175" s="39"/>
      <c r="K175" s="39"/>
      <c r="L175" s="39"/>
      <c r="M175" s="39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1"/>
      <c r="AC175" s="39"/>
      <c r="AD175" s="39"/>
      <c r="AE175" s="39"/>
      <c r="AF175" s="39"/>
      <c r="AG175" s="40"/>
      <c r="AH175" s="40"/>
      <c r="AI175" s="41"/>
      <c r="AJ175" s="41"/>
      <c r="AK175" s="41"/>
      <c r="AL175" s="52"/>
      <c r="AM175" s="53"/>
      <c r="AN175" s="53"/>
      <c r="AO175" s="53"/>
      <c r="AP175" s="53"/>
      <c r="AQ175" s="53"/>
      <c r="AR175" s="54"/>
      <c r="AS175" s="61"/>
      <c r="AT175" s="62"/>
      <c r="AU175" s="62"/>
      <c r="AV175" s="62"/>
      <c r="AW175" s="62"/>
      <c r="AX175" s="63"/>
      <c r="AY175" s="68"/>
      <c r="AZ175" s="69"/>
      <c r="BA175" s="70"/>
      <c r="BB175" s="7"/>
    </row>
    <row r="176" spans="6:54" x14ac:dyDescent="0.15">
      <c r="G176" s="7"/>
      <c r="H176" s="38"/>
      <c r="I176" s="39"/>
      <c r="J176" s="39"/>
      <c r="K176" s="39"/>
      <c r="L176" s="39"/>
      <c r="M176" s="39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1"/>
      <c r="AC176" s="39"/>
      <c r="AD176" s="39"/>
      <c r="AE176" s="39"/>
      <c r="AF176" s="39"/>
      <c r="AG176" s="40"/>
      <c r="AH176" s="40"/>
      <c r="AI176" s="41"/>
      <c r="AJ176" s="41"/>
      <c r="AK176" s="41"/>
      <c r="AL176" s="52"/>
      <c r="AM176" s="53"/>
      <c r="AN176" s="53"/>
      <c r="AO176" s="53"/>
      <c r="AP176" s="53"/>
      <c r="AQ176" s="53"/>
      <c r="AR176" s="54"/>
      <c r="AS176" s="61"/>
      <c r="AT176" s="62"/>
      <c r="AU176" s="62"/>
      <c r="AV176" s="62"/>
      <c r="AW176" s="62"/>
      <c r="AX176" s="63"/>
      <c r="AY176" s="68"/>
      <c r="AZ176" s="69"/>
      <c r="BA176" s="70"/>
      <c r="BB176" s="7"/>
    </row>
    <row r="177" spans="7:54" x14ac:dyDescent="0.15">
      <c r="G177" s="7"/>
      <c r="H177" s="38"/>
      <c r="I177" s="39"/>
      <c r="J177" s="39"/>
      <c r="K177" s="39"/>
      <c r="L177" s="39"/>
      <c r="M177" s="39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1"/>
      <c r="AC177" s="39"/>
      <c r="AD177" s="39"/>
      <c r="AE177" s="39"/>
      <c r="AF177" s="39"/>
      <c r="AG177" s="40"/>
      <c r="AH177" s="40"/>
      <c r="AI177" s="41"/>
      <c r="AJ177" s="41"/>
      <c r="AK177" s="41"/>
      <c r="AL177" s="52"/>
      <c r="AM177" s="53"/>
      <c r="AN177" s="53"/>
      <c r="AO177" s="53"/>
      <c r="AP177" s="53"/>
      <c r="AQ177" s="53"/>
      <c r="AR177" s="54"/>
      <c r="AS177" s="61"/>
      <c r="AT177" s="62"/>
      <c r="AU177" s="62"/>
      <c r="AV177" s="62"/>
      <c r="AW177" s="62"/>
      <c r="AX177" s="63"/>
      <c r="AY177" s="68"/>
      <c r="AZ177" s="69"/>
      <c r="BA177" s="70"/>
      <c r="BB177" s="7"/>
    </row>
    <row r="178" spans="7:54" x14ac:dyDescent="0.15">
      <c r="G178" s="7"/>
      <c r="H178" s="38"/>
      <c r="I178" s="39"/>
      <c r="J178" s="39"/>
      <c r="K178" s="39"/>
      <c r="L178" s="39"/>
      <c r="M178" s="39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1"/>
      <c r="AC178" s="39"/>
      <c r="AD178" s="39"/>
      <c r="AE178" s="39"/>
      <c r="AF178" s="39"/>
      <c r="AG178" s="40"/>
      <c r="AH178" s="40"/>
      <c r="AI178" s="41"/>
      <c r="AJ178" s="41"/>
      <c r="AK178" s="41"/>
      <c r="AL178" s="52"/>
      <c r="AM178" s="53"/>
      <c r="AN178" s="53"/>
      <c r="AO178" s="53"/>
      <c r="AP178" s="53"/>
      <c r="AQ178" s="53"/>
      <c r="AR178" s="54"/>
      <c r="AS178" s="61"/>
      <c r="AT178" s="62"/>
      <c r="AU178" s="62"/>
      <c r="AV178" s="62"/>
      <c r="AW178" s="62"/>
      <c r="AX178" s="63"/>
      <c r="AY178" s="68"/>
      <c r="AZ178" s="69"/>
      <c r="BA178" s="70"/>
      <c r="BB178" s="7"/>
    </row>
    <row r="179" spans="7:54" x14ac:dyDescent="0.15">
      <c r="G179" s="7"/>
      <c r="H179" s="38"/>
      <c r="I179" s="39"/>
      <c r="J179" s="39"/>
      <c r="K179" s="39"/>
      <c r="L179" s="39"/>
      <c r="M179" s="39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1"/>
      <c r="AC179" s="39"/>
      <c r="AD179" s="39"/>
      <c r="AE179" s="39"/>
      <c r="AF179" s="39"/>
      <c r="AG179" s="40"/>
      <c r="AH179" s="40"/>
      <c r="AI179" s="41"/>
      <c r="AJ179" s="41"/>
      <c r="AK179" s="41"/>
      <c r="AL179" s="52"/>
      <c r="AM179" s="53"/>
      <c r="AN179" s="53"/>
      <c r="AO179" s="53"/>
      <c r="AP179" s="53"/>
      <c r="AQ179" s="53"/>
      <c r="AR179" s="54"/>
      <c r="AS179" s="61"/>
      <c r="AT179" s="62"/>
      <c r="AU179" s="62"/>
      <c r="AV179" s="62"/>
      <c r="AW179" s="62"/>
      <c r="AX179" s="63"/>
      <c r="AY179" s="68"/>
      <c r="AZ179" s="69"/>
      <c r="BA179" s="70"/>
      <c r="BB179" s="7"/>
    </row>
    <row r="180" spans="7:54" x14ac:dyDescent="0.15">
      <c r="G180" s="7"/>
      <c r="H180" s="38"/>
      <c r="I180" s="39"/>
      <c r="J180" s="39"/>
      <c r="K180" s="39"/>
      <c r="L180" s="39"/>
      <c r="M180" s="39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1"/>
      <c r="AC180" s="39"/>
      <c r="AD180" s="39"/>
      <c r="AE180" s="39"/>
      <c r="AF180" s="39"/>
      <c r="AG180" s="40"/>
      <c r="AH180" s="40"/>
      <c r="AI180" s="41"/>
      <c r="AJ180" s="41"/>
      <c r="AK180" s="41"/>
      <c r="AL180" s="52"/>
      <c r="AM180" s="53"/>
      <c r="AN180" s="53"/>
      <c r="AO180" s="53"/>
      <c r="AP180" s="53"/>
      <c r="AQ180" s="53"/>
      <c r="AR180" s="54"/>
      <c r="AS180" s="61"/>
      <c r="AT180" s="62"/>
      <c r="AU180" s="62"/>
      <c r="AV180" s="62"/>
      <c r="AW180" s="62"/>
      <c r="AX180" s="63"/>
      <c r="AY180" s="68"/>
      <c r="AZ180" s="69"/>
      <c r="BA180" s="70"/>
      <c r="BB180" s="7"/>
    </row>
    <row r="181" spans="7:54" x14ac:dyDescent="0.15">
      <c r="G181" s="7"/>
      <c r="H181" s="38"/>
      <c r="I181" s="39"/>
      <c r="J181" s="39"/>
      <c r="K181" s="39"/>
      <c r="L181" s="39"/>
      <c r="M181" s="39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1"/>
      <c r="AC181" s="39"/>
      <c r="AD181" s="39"/>
      <c r="AE181" s="39"/>
      <c r="AF181" s="39"/>
      <c r="AG181" s="40"/>
      <c r="AH181" s="40"/>
      <c r="AI181" s="41"/>
      <c r="AJ181" s="41"/>
      <c r="AK181" s="41"/>
      <c r="AL181" s="52"/>
      <c r="AM181" s="53"/>
      <c r="AN181" s="53"/>
      <c r="AO181" s="53"/>
      <c r="AP181" s="53"/>
      <c r="AQ181" s="53"/>
      <c r="AR181" s="54"/>
      <c r="AS181" s="61"/>
      <c r="AT181" s="62"/>
      <c r="AU181" s="62"/>
      <c r="AV181" s="62"/>
      <c r="AW181" s="62"/>
      <c r="AX181" s="63"/>
      <c r="AY181" s="68"/>
      <c r="AZ181" s="69"/>
      <c r="BA181" s="70"/>
      <c r="BB181" s="7"/>
    </row>
    <row r="182" spans="7:54" x14ac:dyDescent="0.15">
      <c r="G182" s="7"/>
      <c r="H182" s="38"/>
      <c r="I182" s="39"/>
      <c r="J182" s="39"/>
      <c r="K182" s="39"/>
      <c r="L182" s="39"/>
      <c r="M182" s="39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1"/>
      <c r="AC182" s="39"/>
      <c r="AD182" s="39"/>
      <c r="AE182" s="39"/>
      <c r="AF182" s="39"/>
      <c r="AG182" s="40"/>
      <c r="AH182" s="40"/>
      <c r="AI182" s="41"/>
      <c r="AJ182" s="41"/>
      <c r="AK182" s="41"/>
      <c r="AL182" s="52"/>
      <c r="AM182" s="53"/>
      <c r="AN182" s="53"/>
      <c r="AO182" s="53"/>
      <c r="AP182" s="53"/>
      <c r="AQ182" s="53"/>
      <c r="AR182" s="54"/>
      <c r="AS182" s="61"/>
      <c r="AT182" s="62"/>
      <c r="AU182" s="62"/>
      <c r="AV182" s="62"/>
      <c r="AW182" s="62"/>
      <c r="AX182" s="63"/>
      <c r="AY182" s="68"/>
      <c r="AZ182" s="69"/>
      <c r="BA182" s="70"/>
      <c r="BB182" s="7"/>
    </row>
    <row r="183" spans="7:54" x14ac:dyDescent="0.15">
      <c r="G183" s="7"/>
      <c r="H183" s="38"/>
      <c r="I183" s="39"/>
      <c r="J183" s="39"/>
      <c r="K183" s="39"/>
      <c r="L183" s="39"/>
      <c r="M183" s="39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1"/>
      <c r="AC183" s="39"/>
      <c r="AD183" s="39"/>
      <c r="AE183" s="39"/>
      <c r="AF183" s="39"/>
      <c r="AG183" s="40"/>
      <c r="AH183" s="40"/>
      <c r="AI183" s="41"/>
      <c r="AJ183" s="41"/>
      <c r="AK183" s="41"/>
      <c r="AL183" s="52"/>
      <c r="AM183" s="53"/>
      <c r="AN183" s="53"/>
      <c r="AO183" s="53"/>
      <c r="AP183" s="53"/>
      <c r="AQ183" s="53"/>
      <c r="AR183" s="54"/>
      <c r="AS183" s="61"/>
      <c r="AT183" s="62"/>
      <c r="AU183" s="62"/>
      <c r="AV183" s="62"/>
      <c r="AW183" s="62"/>
      <c r="AX183" s="63"/>
      <c r="AY183" s="68"/>
      <c r="AZ183" s="69"/>
      <c r="BA183" s="70"/>
      <c r="BB183" s="7"/>
    </row>
    <row r="184" spans="7:54" x14ac:dyDescent="0.15">
      <c r="G184" s="7"/>
      <c r="H184" s="38"/>
      <c r="I184" s="39"/>
      <c r="J184" s="39"/>
      <c r="K184" s="39"/>
      <c r="L184" s="39"/>
      <c r="M184" s="39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1"/>
      <c r="AC184" s="39"/>
      <c r="AD184" s="39"/>
      <c r="AE184" s="39"/>
      <c r="AF184" s="39"/>
      <c r="AG184" s="40"/>
      <c r="AH184" s="40"/>
      <c r="AI184" s="41"/>
      <c r="AJ184" s="41"/>
      <c r="AK184" s="41"/>
      <c r="AL184" s="52"/>
      <c r="AM184" s="53"/>
      <c r="AN184" s="53"/>
      <c r="AO184" s="53"/>
      <c r="AP184" s="53"/>
      <c r="AQ184" s="53"/>
      <c r="AR184" s="54"/>
      <c r="AS184" s="61"/>
      <c r="AT184" s="62"/>
      <c r="AU184" s="62"/>
      <c r="AV184" s="62"/>
      <c r="AW184" s="62"/>
      <c r="AX184" s="63"/>
      <c r="AY184" s="68"/>
      <c r="AZ184" s="69"/>
      <c r="BA184" s="70"/>
      <c r="BB184" s="7"/>
    </row>
    <row r="185" spans="7:54" x14ac:dyDescent="0.15">
      <c r="G185" s="7"/>
      <c r="H185" s="38"/>
      <c r="I185" s="39"/>
      <c r="J185" s="39"/>
      <c r="K185" s="39"/>
      <c r="L185" s="39"/>
      <c r="M185" s="39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1"/>
      <c r="AC185" s="39"/>
      <c r="AD185" s="39"/>
      <c r="AE185" s="39"/>
      <c r="AF185" s="39"/>
      <c r="AG185" s="40"/>
      <c r="AH185" s="40"/>
      <c r="AI185" s="41"/>
      <c r="AJ185" s="41"/>
      <c r="AK185" s="41"/>
      <c r="AL185" s="52"/>
      <c r="AM185" s="53"/>
      <c r="AN185" s="53"/>
      <c r="AO185" s="53"/>
      <c r="AP185" s="53"/>
      <c r="AQ185" s="53"/>
      <c r="AR185" s="54"/>
      <c r="AS185" s="61"/>
      <c r="AT185" s="62"/>
      <c r="AU185" s="62"/>
      <c r="AV185" s="62"/>
      <c r="AW185" s="62"/>
      <c r="AX185" s="63"/>
      <c r="AY185" s="68"/>
      <c r="AZ185" s="69"/>
      <c r="BA185" s="70"/>
      <c r="BB185" s="7"/>
    </row>
    <row r="186" spans="7:54" x14ac:dyDescent="0.15">
      <c r="G186" s="7"/>
      <c r="H186" s="38"/>
      <c r="I186" s="39"/>
      <c r="J186" s="39"/>
      <c r="K186" s="39"/>
      <c r="L186" s="39"/>
      <c r="M186" s="39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1"/>
      <c r="AC186" s="39"/>
      <c r="AD186" s="39"/>
      <c r="AE186" s="39"/>
      <c r="AF186" s="39"/>
      <c r="AG186" s="40"/>
      <c r="AH186" s="40"/>
      <c r="AI186" s="41"/>
      <c r="AJ186" s="41"/>
      <c r="AK186" s="41"/>
      <c r="AL186" s="52"/>
      <c r="AM186" s="53"/>
      <c r="AN186" s="53"/>
      <c r="AO186" s="53"/>
      <c r="AP186" s="53"/>
      <c r="AQ186" s="53"/>
      <c r="AR186" s="54"/>
      <c r="AS186" s="61"/>
      <c r="AT186" s="62"/>
      <c r="AU186" s="62"/>
      <c r="AV186" s="62"/>
      <c r="AW186" s="62"/>
      <c r="AX186" s="63"/>
      <c r="AY186" s="68"/>
      <c r="AZ186" s="69"/>
      <c r="BA186" s="70"/>
      <c r="BB186" s="7"/>
    </row>
    <row r="187" spans="7:54" x14ac:dyDescent="0.15">
      <c r="G187" s="7"/>
      <c r="H187" s="38"/>
      <c r="I187" s="39"/>
      <c r="J187" s="39"/>
      <c r="K187" s="39"/>
      <c r="L187" s="39"/>
      <c r="M187" s="39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1"/>
      <c r="AC187" s="39"/>
      <c r="AD187" s="39"/>
      <c r="AE187" s="39"/>
      <c r="AF187" s="39"/>
      <c r="AG187" s="40"/>
      <c r="AH187" s="40"/>
      <c r="AI187" s="41"/>
      <c r="AJ187" s="41"/>
      <c r="AK187" s="41"/>
      <c r="AL187" s="52"/>
      <c r="AM187" s="53"/>
      <c r="AN187" s="53"/>
      <c r="AO187" s="53"/>
      <c r="AP187" s="53"/>
      <c r="AQ187" s="53"/>
      <c r="AR187" s="54"/>
      <c r="AS187" s="61"/>
      <c r="AT187" s="62"/>
      <c r="AU187" s="62"/>
      <c r="AV187" s="62"/>
      <c r="AW187" s="62"/>
      <c r="AX187" s="63"/>
      <c r="AY187" s="68"/>
      <c r="AZ187" s="69"/>
      <c r="BA187" s="70"/>
      <c r="BB187" s="7"/>
    </row>
    <row r="188" spans="7:54" x14ac:dyDescent="0.15">
      <c r="G188" s="7"/>
      <c r="H188" s="38"/>
      <c r="I188" s="39"/>
      <c r="J188" s="39"/>
      <c r="K188" s="39"/>
      <c r="L188" s="39"/>
      <c r="M188" s="39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1"/>
      <c r="AC188" s="39"/>
      <c r="AD188" s="39"/>
      <c r="AE188" s="39"/>
      <c r="AF188" s="39"/>
      <c r="AG188" s="40"/>
      <c r="AH188" s="40"/>
      <c r="AI188" s="41"/>
      <c r="AJ188" s="41"/>
      <c r="AK188" s="41"/>
      <c r="AL188" s="52"/>
      <c r="AM188" s="53"/>
      <c r="AN188" s="53"/>
      <c r="AO188" s="53"/>
      <c r="AP188" s="53"/>
      <c r="AQ188" s="53"/>
      <c r="AR188" s="54"/>
      <c r="AS188" s="61"/>
      <c r="AT188" s="62"/>
      <c r="AU188" s="62"/>
      <c r="AV188" s="62"/>
      <c r="AW188" s="62"/>
      <c r="AX188" s="63"/>
      <c r="AY188" s="68"/>
      <c r="AZ188" s="69"/>
      <c r="BA188" s="70"/>
      <c r="BB188" s="7"/>
    </row>
    <row r="189" spans="7:54" x14ac:dyDescent="0.15">
      <c r="G189" s="7"/>
      <c r="H189" s="38"/>
      <c r="I189" s="39"/>
      <c r="J189" s="39"/>
      <c r="K189" s="39"/>
      <c r="L189" s="39"/>
      <c r="M189" s="39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1"/>
      <c r="AC189" s="39"/>
      <c r="AD189" s="39"/>
      <c r="AE189" s="39"/>
      <c r="AF189" s="39"/>
      <c r="AG189" s="40"/>
      <c r="AH189" s="40"/>
      <c r="AI189" s="41"/>
      <c r="AJ189" s="41"/>
      <c r="AK189" s="41"/>
      <c r="AL189" s="52"/>
      <c r="AM189" s="53"/>
      <c r="AN189" s="53"/>
      <c r="AO189" s="53"/>
      <c r="AP189" s="53"/>
      <c r="AQ189" s="53"/>
      <c r="AR189" s="54"/>
      <c r="AS189" s="61"/>
      <c r="AT189" s="62"/>
      <c r="AU189" s="62"/>
      <c r="AV189" s="62"/>
      <c r="AW189" s="62"/>
      <c r="AX189" s="63"/>
      <c r="AY189" s="68"/>
      <c r="AZ189" s="69"/>
      <c r="BA189" s="70"/>
      <c r="BB189" s="7"/>
    </row>
    <row r="190" spans="7:54" x14ac:dyDescent="0.15">
      <c r="G190" s="7"/>
      <c r="H190" s="38"/>
      <c r="I190" s="39"/>
      <c r="J190" s="39"/>
      <c r="K190" s="39"/>
      <c r="L190" s="39"/>
      <c r="M190" s="39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1"/>
      <c r="AC190" s="39"/>
      <c r="AD190" s="39"/>
      <c r="AE190" s="39"/>
      <c r="AF190" s="39"/>
      <c r="AG190" s="40"/>
      <c r="AH190" s="40"/>
      <c r="AI190" s="41"/>
      <c r="AJ190" s="41"/>
      <c r="AK190" s="41"/>
      <c r="AL190" s="52"/>
      <c r="AM190" s="53"/>
      <c r="AN190" s="53"/>
      <c r="AO190" s="53"/>
      <c r="AP190" s="53"/>
      <c r="AQ190" s="53"/>
      <c r="AR190" s="54"/>
      <c r="AS190" s="61"/>
      <c r="AT190" s="62"/>
      <c r="AU190" s="62"/>
      <c r="AV190" s="62"/>
      <c r="AW190" s="62"/>
      <c r="AX190" s="63"/>
      <c r="AY190" s="68"/>
      <c r="AZ190" s="69"/>
      <c r="BA190" s="70"/>
      <c r="BB190" s="7"/>
    </row>
    <row r="191" spans="7:54" x14ac:dyDescent="0.15">
      <c r="G191" s="7"/>
      <c r="H191" s="38"/>
      <c r="I191" s="39"/>
      <c r="J191" s="39"/>
      <c r="K191" s="39"/>
      <c r="L191" s="39"/>
      <c r="M191" s="39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1"/>
      <c r="AC191" s="39"/>
      <c r="AD191" s="39"/>
      <c r="AE191" s="39"/>
      <c r="AF191" s="39"/>
      <c r="AG191" s="40"/>
      <c r="AH191" s="40"/>
      <c r="AI191" s="41"/>
      <c r="AJ191" s="41"/>
      <c r="AK191" s="41"/>
      <c r="AL191" s="52"/>
      <c r="AM191" s="53"/>
      <c r="AN191" s="53"/>
      <c r="AO191" s="53"/>
      <c r="AP191" s="53"/>
      <c r="AQ191" s="53"/>
      <c r="AR191" s="54"/>
      <c r="AS191" s="61"/>
      <c r="AT191" s="62"/>
      <c r="AU191" s="62"/>
      <c r="AV191" s="62"/>
      <c r="AW191" s="62"/>
      <c r="AX191" s="63"/>
      <c r="AY191" s="68"/>
      <c r="AZ191" s="69"/>
      <c r="BA191" s="70"/>
      <c r="BB191" s="7"/>
    </row>
    <row r="192" spans="7:54" x14ac:dyDescent="0.15">
      <c r="G192" s="7"/>
      <c r="H192" s="38"/>
      <c r="I192" s="39"/>
      <c r="J192" s="39"/>
      <c r="K192" s="39"/>
      <c r="L192" s="39"/>
      <c r="M192" s="39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1"/>
      <c r="AC192" s="39"/>
      <c r="AD192" s="39"/>
      <c r="AE192" s="39"/>
      <c r="AF192" s="39"/>
      <c r="AG192" s="40"/>
      <c r="AH192" s="40"/>
      <c r="AI192" s="41"/>
      <c r="AJ192" s="41"/>
      <c r="AK192" s="41"/>
      <c r="AL192" s="52"/>
      <c r="AM192" s="53"/>
      <c r="AN192" s="53"/>
      <c r="AO192" s="53"/>
      <c r="AP192" s="53"/>
      <c r="AQ192" s="53"/>
      <c r="AR192" s="54"/>
      <c r="AS192" s="61"/>
      <c r="AT192" s="62"/>
      <c r="AU192" s="62"/>
      <c r="AV192" s="62"/>
      <c r="AW192" s="62"/>
      <c r="AX192" s="63"/>
      <c r="AY192" s="68"/>
      <c r="AZ192" s="69"/>
      <c r="BA192" s="70"/>
      <c r="BB192" s="7"/>
    </row>
    <row r="193" spans="7:54" x14ac:dyDescent="0.15">
      <c r="G193" s="7"/>
      <c r="H193" s="38"/>
      <c r="I193" s="39"/>
      <c r="J193" s="39"/>
      <c r="K193" s="39"/>
      <c r="L193" s="39"/>
      <c r="M193" s="39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1"/>
      <c r="AC193" s="39"/>
      <c r="AD193" s="39"/>
      <c r="AE193" s="39"/>
      <c r="AF193" s="39"/>
      <c r="AG193" s="40"/>
      <c r="AH193" s="40"/>
      <c r="AI193" s="41"/>
      <c r="AJ193" s="41"/>
      <c r="AK193" s="41"/>
      <c r="AL193" s="52"/>
      <c r="AM193" s="53"/>
      <c r="AN193" s="53"/>
      <c r="AO193" s="53"/>
      <c r="AP193" s="53"/>
      <c r="AQ193" s="53"/>
      <c r="AR193" s="54"/>
      <c r="AS193" s="61"/>
      <c r="AT193" s="62"/>
      <c r="AU193" s="62"/>
      <c r="AV193" s="62"/>
      <c r="AW193" s="62"/>
      <c r="AX193" s="63"/>
      <c r="AY193" s="68"/>
      <c r="AZ193" s="69"/>
      <c r="BA193" s="70"/>
      <c r="BB193" s="7"/>
    </row>
    <row r="194" spans="7:54" x14ac:dyDescent="0.15">
      <c r="G194" s="7"/>
      <c r="H194" s="38"/>
      <c r="I194" s="39"/>
      <c r="J194" s="39"/>
      <c r="K194" s="39"/>
      <c r="L194" s="39"/>
      <c r="M194" s="39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1"/>
      <c r="AC194" s="39"/>
      <c r="AD194" s="39"/>
      <c r="AE194" s="39"/>
      <c r="AF194" s="39"/>
      <c r="AG194" s="40"/>
      <c r="AH194" s="40"/>
      <c r="AI194" s="41"/>
      <c r="AJ194" s="41"/>
      <c r="AK194" s="41"/>
      <c r="AL194" s="52"/>
      <c r="AM194" s="53"/>
      <c r="AN194" s="53"/>
      <c r="AO194" s="53"/>
      <c r="AP194" s="53"/>
      <c r="AQ194" s="53"/>
      <c r="AR194" s="54"/>
      <c r="AS194" s="61"/>
      <c r="AT194" s="62"/>
      <c r="AU194" s="62"/>
      <c r="AV194" s="62"/>
      <c r="AW194" s="62"/>
      <c r="AX194" s="63"/>
      <c r="AY194" s="68"/>
      <c r="AZ194" s="69"/>
      <c r="BA194" s="70"/>
      <c r="BB194" s="7"/>
    </row>
    <row r="195" spans="7:54" x14ac:dyDescent="0.15">
      <c r="G195" s="7"/>
      <c r="H195" s="38"/>
      <c r="I195" s="39"/>
      <c r="J195" s="39"/>
      <c r="K195" s="39"/>
      <c r="L195" s="39"/>
      <c r="M195" s="39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1"/>
      <c r="AC195" s="39"/>
      <c r="AD195" s="39"/>
      <c r="AE195" s="39"/>
      <c r="AF195" s="39"/>
      <c r="AG195" s="40"/>
      <c r="AH195" s="40"/>
      <c r="AI195" s="41"/>
      <c r="AJ195" s="41"/>
      <c r="AK195" s="41"/>
      <c r="AL195" s="52"/>
      <c r="AM195" s="53"/>
      <c r="AN195" s="53"/>
      <c r="AO195" s="53"/>
      <c r="AP195" s="53"/>
      <c r="AQ195" s="53"/>
      <c r="AR195" s="54"/>
      <c r="AS195" s="61"/>
      <c r="AT195" s="62"/>
      <c r="AU195" s="62"/>
      <c r="AV195" s="62"/>
      <c r="AW195" s="62"/>
      <c r="AX195" s="63"/>
      <c r="AY195" s="68"/>
      <c r="AZ195" s="69"/>
      <c r="BA195" s="70"/>
      <c r="BB195" s="7"/>
    </row>
    <row r="196" spans="7:54" x14ac:dyDescent="0.15">
      <c r="G196" s="7"/>
      <c r="H196" s="38"/>
      <c r="I196" s="39"/>
      <c r="J196" s="39"/>
      <c r="K196" s="39"/>
      <c r="L196" s="39"/>
      <c r="M196" s="39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1"/>
      <c r="AC196" s="39"/>
      <c r="AD196" s="39"/>
      <c r="AE196" s="39"/>
      <c r="AF196" s="39"/>
      <c r="AG196" s="40"/>
      <c r="AH196" s="40"/>
      <c r="AI196" s="41"/>
      <c r="AJ196" s="41"/>
      <c r="AK196" s="41"/>
      <c r="AL196" s="52"/>
      <c r="AM196" s="53"/>
      <c r="AN196" s="53"/>
      <c r="AO196" s="53"/>
      <c r="AP196" s="53"/>
      <c r="AQ196" s="53"/>
      <c r="AR196" s="54"/>
      <c r="AS196" s="61"/>
      <c r="AT196" s="62"/>
      <c r="AU196" s="62"/>
      <c r="AV196" s="62"/>
      <c r="AW196" s="62"/>
      <c r="AX196" s="63"/>
      <c r="AY196" s="68"/>
      <c r="AZ196" s="69"/>
      <c r="BA196" s="70"/>
      <c r="BB196" s="7"/>
    </row>
    <row r="197" spans="7:54" x14ac:dyDescent="0.15">
      <c r="G197" s="7"/>
      <c r="H197" s="38"/>
      <c r="I197" s="39"/>
      <c r="J197" s="39"/>
      <c r="K197" s="39"/>
      <c r="L197" s="39"/>
      <c r="M197" s="39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1"/>
      <c r="AC197" s="39"/>
      <c r="AD197" s="39"/>
      <c r="AE197" s="39"/>
      <c r="AF197" s="39"/>
      <c r="AG197" s="40"/>
      <c r="AH197" s="40"/>
      <c r="AI197" s="41"/>
      <c r="AJ197" s="41"/>
      <c r="AK197" s="41"/>
      <c r="AL197" s="52"/>
      <c r="AM197" s="53"/>
      <c r="AN197" s="53"/>
      <c r="AO197" s="53"/>
      <c r="AP197" s="53"/>
      <c r="AQ197" s="53"/>
      <c r="AR197" s="54"/>
      <c r="AS197" s="61"/>
      <c r="AT197" s="62"/>
      <c r="AU197" s="62"/>
      <c r="AV197" s="62"/>
      <c r="AW197" s="62"/>
      <c r="AX197" s="63"/>
      <c r="AY197" s="68"/>
      <c r="AZ197" s="69"/>
      <c r="BA197" s="70"/>
      <c r="BB197" s="7"/>
    </row>
    <row r="198" spans="7:54" x14ac:dyDescent="0.15">
      <c r="G198" s="7"/>
      <c r="H198" s="38"/>
      <c r="I198" s="39"/>
      <c r="J198" s="39"/>
      <c r="K198" s="39"/>
      <c r="L198" s="39"/>
      <c r="M198" s="39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1"/>
      <c r="AC198" s="39"/>
      <c r="AD198" s="39"/>
      <c r="AE198" s="39"/>
      <c r="AF198" s="39"/>
      <c r="AG198" s="40"/>
      <c r="AH198" s="40"/>
      <c r="AI198" s="41"/>
      <c r="AJ198" s="41"/>
      <c r="AK198" s="41"/>
      <c r="AL198" s="52"/>
      <c r="AM198" s="53"/>
      <c r="AN198" s="53"/>
      <c r="AO198" s="53"/>
      <c r="AP198" s="53"/>
      <c r="AQ198" s="53"/>
      <c r="AR198" s="54"/>
      <c r="AS198" s="61"/>
      <c r="AT198" s="62"/>
      <c r="AU198" s="62"/>
      <c r="AV198" s="62"/>
      <c r="AW198" s="62"/>
      <c r="AX198" s="63"/>
      <c r="AY198" s="68"/>
      <c r="AZ198" s="69"/>
      <c r="BA198" s="70"/>
      <c r="BB198" s="7"/>
    </row>
    <row r="199" spans="7:54" x14ac:dyDescent="0.15">
      <c r="G199" s="7"/>
      <c r="H199" s="38"/>
      <c r="I199" s="39"/>
      <c r="J199" s="39"/>
      <c r="K199" s="39"/>
      <c r="L199" s="39"/>
      <c r="M199" s="39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1"/>
      <c r="AC199" s="39"/>
      <c r="AD199" s="39"/>
      <c r="AE199" s="39"/>
      <c r="AF199" s="39"/>
      <c r="AG199" s="40"/>
      <c r="AH199" s="40"/>
      <c r="AI199" s="41"/>
      <c r="AJ199" s="41"/>
      <c r="AK199" s="41"/>
      <c r="AL199" s="52"/>
      <c r="AM199" s="53"/>
      <c r="AN199" s="53"/>
      <c r="AO199" s="53"/>
      <c r="AP199" s="53"/>
      <c r="AQ199" s="53"/>
      <c r="AR199" s="54"/>
      <c r="AS199" s="61"/>
      <c r="AT199" s="62"/>
      <c r="AU199" s="62"/>
      <c r="AV199" s="62"/>
      <c r="AW199" s="62"/>
      <c r="AX199" s="63"/>
      <c r="AY199" s="68"/>
      <c r="AZ199" s="69"/>
      <c r="BA199" s="70"/>
      <c r="BB199" s="7"/>
    </row>
    <row r="200" spans="7:54" x14ac:dyDescent="0.15">
      <c r="G200" s="7"/>
      <c r="H200" s="38"/>
      <c r="I200" s="39"/>
      <c r="J200" s="39"/>
      <c r="K200" s="39"/>
      <c r="L200" s="39"/>
      <c r="M200" s="39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1"/>
      <c r="AC200" s="39"/>
      <c r="AD200" s="39"/>
      <c r="AE200" s="39"/>
      <c r="AF200" s="39"/>
      <c r="AG200" s="40"/>
      <c r="AH200" s="40"/>
      <c r="AI200" s="41"/>
      <c r="AJ200" s="41"/>
      <c r="AK200" s="41"/>
      <c r="AL200" s="52"/>
      <c r="AM200" s="53"/>
      <c r="AN200" s="53"/>
      <c r="AO200" s="53"/>
      <c r="AP200" s="53"/>
      <c r="AQ200" s="53"/>
      <c r="AR200" s="54"/>
      <c r="AS200" s="61"/>
      <c r="AT200" s="62"/>
      <c r="AU200" s="62"/>
      <c r="AV200" s="62"/>
      <c r="AW200" s="62"/>
      <c r="AX200" s="63"/>
      <c r="AY200" s="68"/>
      <c r="AZ200" s="69"/>
      <c r="BA200" s="70"/>
      <c r="BB200" s="7"/>
    </row>
    <row r="201" spans="7:54" x14ac:dyDescent="0.15">
      <c r="G201" s="7"/>
      <c r="H201" s="38"/>
      <c r="I201" s="39"/>
      <c r="J201" s="39"/>
      <c r="K201" s="39"/>
      <c r="L201" s="39"/>
      <c r="M201" s="39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1"/>
      <c r="AC201" s="39"/>
      <c r="AD201" s="39"/>
      <c r="AE201" s="39"/>
      <c r="AF201" s="39"/>
      <c r="AG201" s="40"/>
      <c r="AH201" s="40"/>
      <c r="AI201" s="41"/>
      <c r="AJ201" s="41"/>
      <c r="AK201" s="41"/>
      <c r="AL201" s="52"/>
      <c r="AM201" s="53"/>
      <c r="AN201" s="53"/>
      <c r="AO201" s="53"/>
      <c r="AP201" s="53"/>
      <c r="AQ201" s="53"/>
      <c r="AR201" s="54"/>
      <c r="AS201" s="61"/>
      <c r="AT201" s="62"/>
      <c r="AU201" s="62"/>
      <c r="AV201" s="62"/>
      <c r="AW201" s="62"/>
      <c r="AX201" s="63"/>
      <c r="AY201" s="68"/>
      <c r="AZ201" s="69"/>
      <c r="BA201" s="70"/>
      <c r="BB201" s="7"/>
    </row>
    <row r="202" spans="7:54" x14ac:dyDescent="0.15">
      <c r="G202" s="7"/>
      <c r="H202" s="38"/>
      <c r="I202" s="39"/>
      <c r="J202" s="39"/>
      <c r="K202" s="39"/>
      <c r="L202" s="39"/>
      <c r="M202" s="39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1"/>
      <c r="AC202" s="39"/>
      <c r="AD202" s="39"/>
      <c r="AE202" s="39"/>
      <c r="AF202" s="39"/>
      <c r="AG202" s="40"/>
      <c r="AH202" s="40"/>
      <c r="AI202" s="41"/>
      <c r="AJ202" s="41"/>
      <c r="AK202" s="41"/>
      <c r="AL202" s="52"/>
      <c r="AM202" s="53"/>
      <c r="AN202" s="53"/>
      <c r="AO202" s="53"/>
      <c r="AP202" s="53"/>
      <c r="AQ202" s="53"/>
      <c r="AR202" s="54"/>
      <c r="AS202" s="61"/>
      <c r="AT202" s="62"/>
      <c r="AU202" s="62"/>
      <c r="AV202" s="62"/>
      <c r="AW202" s="62"/>
      <c r="AX202" s="63"/>
      <c r="AY202" s="68"/>
      <c r="AZ202" s="69"/>
      <c r="BA202" s="70"/>
      <c r="BB202" s="7"/>
    </row>
    <row r="203" spans="7:54" x14ac:dyDescent="0.15">
      <c r="G203" s="7"/>
      <c r="H203" s="38"/>
      <c r="I203" s="39"/>
      <c r="J203" s="39"/>
      <c r="K203" s="39"/>
      <c r="L203" s="39"/>
      <c r="M203" s="39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1"/>
      <c r="AC203" s="39"/>
      <c r="AD203" s="39"/>
      <c r="AE203" s="39"/>
      <c r="AF203" s="39"/>
      <c r="AG203" s="40"/>
      <c r="AH203" s="40"/>
      <c r="AI203" s="41"/>
      <c r="AJ203" s="41"/>
      <c r="AK203" s="41"/>
      <c r="AL203" s="52"/>
      <c r="AM203" s="53"/>
      <c r="AN203" s="53"/>
      <c r="AO203" s="53"/>
      <c r="AP203" s="53"/>
      <c r="AQ203" s="53"/>
      <c r="AR203" s="54"/>
      <c r="AS203" s="61"/>
      <c r="AT203" s="62"/>
      <c r="AU203" s="62"/>
      <c r="AV203" s="62"/>
      <c r="AW203" s="62"/>
      <c r="AX203" s="63"/>
      <c r="AY203" s="68"/>
      <c r="AZ203" s="69"/>
      <c r="BA203" s="70"/>
      <c r="BB203" s="7"/>
    </row>
    <row r="204" spans="7:54" x14ac:dyDescent="0.15">
      <c r="G204" s="7"/>
      <c r="H204" s="38"/>
      <c r="I204" s="39"/>
      <c r="J204" s="39"/>
      <c r="K204" s="39"/>
      <c r="L204" s="39"/>
      <c r="M204" s="39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1"/>
      <c r="AC204" s="39"/>
      <c r="AD204" s="39"/>
      <c r="AE204" s="39"/>
      <c r="AF204" s="39"/>
      <c r="AG204" s="40"/>
      <c r="AH204" s="40"/>
      <c r="AI204" s="41"/>
      <c r="AJ204" s="41"/>
      <c r="AK204" s="41"/>
      <c r="AL204" s="52"/>
      <c r="AM204" s="53"/>
      <c r="AN204" s="53"/>
      <c r="AO204" s="53"/>
      <c r="AP204" s="53"/>
      <c r="AQ204" s="53"/>
      <c r="AR204" s="54"/>
      <c r="AS204" s="61"/>
      <c r="AT204" s="62"/>
      <c r="AU204" s="62"/>
      <c r="AV204" s="62"/>
      <c r="AW204" s="62"/>
      <c r="AX204" s="63"/>
      <c r="AY204" s="68"/>
      <c r="AZ204" s="69"/>
      <c r="BA204" s="70"/>
      <c r="BB204" s="7"/>
    </row>
    <row r="205" spans="7:54" x14ac:dyDescent="0.15">
      <c r="G205" s="7"/>
      <c r="H205" s="38"/>
      <c r="I205" s="39"/>
      <c r="J205" s="39"/>
      <c r="K205" s="39"/>
      <c r="L205" s="39"/>
      <c r="M205" s="39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1"/>
      <c r="AC205" s="39"/>
      <c r="AD205" s="39"/>
      <c r="AE205" s="39"/>
      <c r="AF205" s="39"/>
      <c r="AG205" s="40"/>
      <c r="AH205" s="40"/>
      <c r="AI205" s="41"/>
      <c r="AJ205" s="41"/>
      <c r="AK205" s="41"/>
      <c r="AL205" s="52"/>
      <c r="AM205" s="53"/>
      <c r="AN205" s="53"/>
      <c r="AO205" s="53"/>
      <c r="AP205" s="53"/>
      <c r="AQ205" s="53"/>
      <c r="AR205" s="54"/>
      <c r="AS205" s="61"/>
      <c r="AT205" s="62"/>
      <c r="AU205" s="62"/>
      <c r="AV205" s="62"/>
      <c r="AW205" s="62"/>
      <c r="AX205" s="63"/>
      <c r="AY205" s="68"/>
      <c r="AZ205" s="69"/>
      <c r="BA205" s="70"/>
      <c r="BB205" s="7"/>
    </row>
    <row r="206" spans="7:54" x14ac:dyDescent="0.15">
      <c r="G206" s="7"/>
      <c r="H206" s="38"/>
      <c r="I206" s="39"/>
      <c r="J206" s="39"/>
      <c r="K206" s="39"/>
      <c r="L206" s="39"/>
      <c r="M206" s="39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1"/>
      <c r="AC206" s="39"/>
      <c r="AD206" s="39"/>
      <c r="AE206" s="39"/>
      <c r="AF206" s="39"/>
      <c r="AG206" s="40"/>
      <c r="AH206" s="40"/>
      <c r="AI206" s="41"/>
      <c r="AJ206" s="41"/>
      <c r="AK206" s="41"/>
      <c r="AL206" s="52"/>
      <c r="AM206" s="53"/>
      <c r="AN206" s="53"/>
      <c r="AO206" s="53"/>
      <c r="AP206" s="53"/>
      <c r="AQ206" s="53"/>
      <c r="AR206" s="54"/>
      <c r="AS206" s="61"/>
      <c r="AT206" s="62"/>
      <c r="AU206" s="62"/>
      <c r="AV206" s="62"/>
      <c r="AW206" s="62"/>
      <c r="AX206" s="63"/>
      <c r="AY206" s="68"/>
      <c r="AZ206" s="69"/>
      <c r="BA206" s="70"/>
      <c r="BB206" s="7"/>
    </row>
    <row r="207" spans="7:54" x14ac:dyDescent="0.15">
      <c r="G207" s="7"/>
      <c r="H207" s="38"/>
      <c r="I207" s="39"/>
      <c r="J207" s="39"/>
      <c r="K207" s="39"/>
      <c r="L207" s="39"/>
      <c r="M207" s="39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1"/>
      <c r="AC207" s="39"/>
      <c r="AD207" s="39"/>
      <c r="AE207" s="39"/>
      <c r="AF207" s="39"/>
      <c r="AG207" s="40"/>
      <c r="AH207" s="40"/>
      <c r="AI207" s="41"/>
      <c r="AJ207" s="41"/>
      <c r="AK207" s="41"/>
      <c r="AL207" s="52"/>
      <c r="AM207" s="53"/>
      <c r="AN207" s="53"/>
      <c r="AO207" s="53"/>
      <c r="AP207" s="53"/>
      <c r="AQ207" s="53"/>
      <c r="AR207" s="54"/>
      <c r="AS207" s="61"/>
      <c r="AT207" s="62"/>
      <c r="AU207" s="62"/>
      <c r="AV207" s="62"/>
      <c r="AW207" s="62"/>
      <c r="AX207" s="63"/>
      <c r="AY207" s="68"/>
      <c r="AZ207" s="69"/>
      <c r="BA207" s="70"/>
      <c r="BB207" s="7"/>
    </row>
    <row r="208" spans="7:54" x14ac:dyDescent="0.15">
      <c r="G208" s="7"/>
      <c r="H208" s="38"/>
      <c r="I208" s="39"/>
      <c r="J208" s="39"/>
      <c r="K208" s="39"/>
      <c r="L208" s="39"/>
      <c r="M208" s="39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1"/>
      <c r="AC208" s="39"/>
      <c r="AD208" s="39"/>
      <c r="AE208" s="39"/>
      <c r="AF208" s="39"/>
      <c r="AG208" s="40"/>
      <c r="AH208" s="40"/>
      <c r="AI208" s="41"/>
      <c r="AJ208" s="41"/>
      <c r="AK208" s="41"/>
      <c r="AL208" s="52"/>
      <c r="AM208" s="53"/>
      <c r="AN208" s="53"/>
      <c r="AO208" s="53"/>
      <c r="AP208" s="53"/>
      <c r="AQ208" s="53"/>
      <c r="AR208" s="54"/>
      <c r="AS208" s="61"/>
      <c r="AT208" s="62"/>
      <c r="AU208" s="62"/>
      <c r="AV208" s="62"/>
      <c r="AW208" s="62"/>
      <c r="AX208" s="63"/>
      <c r="AY208" s="68"/>
      <c r="AZ208" s="69"/>
      <c r="BA208" s="70"/>
      <c r="BB208" s="7"/>
    </row>
    <row r="209" spans="7:54" x14ac:dyDescent="0.15">
      <c r="G209" s="7"/>
      <c r="H209" s="38"/>
      <c r="I209" s="39"/>
      <c r="J209" s="39"/>
      <c r="K209" s="39"/>
      <c r="L209" s="39"/>
      <c r="M209" s="39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1"/>
      <c r="AC209" s="39"/>
      <c r="AD209" s="39"/>
      <c r="AE209" s="39"/>
      <c r="AF209" s="39"/>
      <c r="AG209" s="40"/>
      <c r="AH209" s="40"/>
      <c r="AI209" s="41"/>
      <c r="AJ209" s="41"/>
      <c r="AK209" s="41"/>
      <c r="AL209" s="52"/>
      <c r="AM209" s="53"/>
      <c r="AN209" s="53"/>
      <c r="AO209" s="53"/>
      <c r="AP209" s="53"/>
      <c r="AQ209" s="53"/>
      <c r="AR209" s="54"/>
      <c r="AS209" s="61"/>
      <c r="AT209" s="62"/>
      <c r="AU209" s="62"/>
      <c r="AV209" s="62"/>
      <c r="AW209" s="62"/>
      <c r="AX209" s="63"/>
      <c r="AY209" s="68"/>
      <c r="AZ209" s="69"/>
      <c r="BA209" s="70"/>
      <c r="BB209" s="7"/>
    </row>
    <row r="210" spans="7:54" x14ac:dyDescent="0.15">
      <c r="G210" s="7"/>
      <c r="H210" s="38"/>
      <c r="I210" s="39"/>
      <c r="J210" s="39"/>
      <c r="K210" s="39"/>
      <c r="L210" s="39"/>
      <c r="M210" s="39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1"/>
      <c r="AC210" s="39"/>
      <c r="AD210" s="39"/>
      <c r="AE210" s="39"/>
      <c r="AF210" s="39"/>
      <c r="AG210" s="40"/>
      <c r="AH210" s="40"/>
      <c r="AI210" s="41"/>
      <c r="AJ210" s="41"/>
      <c r="AK210" s="41"/>
      <c r="AL210" s="52"/>
      <c r="AM210" s="53"/>
      <c r="AN210" s="53"/>
      <c r="AO210" s="53"/>
      <c r="AP210" s="53"/>
      <c r="AQ210" s="53"/>
      <c r="AR210" s="54"/>
      <c r="AS210" s="61"/>
      <c r="AT210" s="62"/>
      <c r="AU210" s="62"/>
      <c r="AV210" s="62"/>
      <c r="AW210" s="62"/>
      <c r="AX210" s="63"/>
      <c r="AY210" s="68"/>
      <c r="AZ210" s="69"/>
      <c r="BA210" s="70"/>
      <c r="BB210" s="7"/>
    </row>
    <row r="211" spans="7:54" x14ac:dyDescent="0.15">
      <c r="G211" s="7"/>
      <c r="H211" s="38"/>
      <c r="I211" s="39"/>
      <c r="J211" s="39"/>
      <c r="K211" s="39"/>
      <c r="L211" s="39"/>
      <c r="M211" s="39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1"/>
      <c r="AC211" s="39"/>
      <c r="AD211" s="39"/>
      <c r="AE211" s="39"/>
      <c r="AF211" s="39"/>
      <c r="AG211" s="40"/>
      <c r="AH211" s="40"/>
      <c r="AI211" s="41"/>
      <c r="AJ211" s="41"/>
      <c r="AK211" s="41"/>
      <c r="AL211" s="52"/>
      <c r="AM211" s="53"/>
      <c r="AN211" s="53"/>
      <c r="AO211" s="53"/>
      <c r="AP211" s="53"/>
      <c r="AQ211" s="53"/>
      <c r="AR211" s="54"/>
      <c r="AS211" s="61"/>
      <c r="AT211" s="62"/>
      <c r="AU211" s="62"/>
      <c r="AV211" s="62"/>
      <c r="AW211" s="62"/>
      <c r="AX211" s="63"/>
      <c r="AY211" s="68"/>
      <c r="AZ211" s="69"/>
      <c r="BA211" s="70"/>
      <c r="BB211" s="7"/>
    </row>
    <row r="212" spans="7:54" x14ac:dyDescent="0.15">
      <c r="G212" s="7"/>
      <c r="H212" s="38"/>
      <c r="I212" s="39"/>
      <c r="J212" s="39"/>
      <c r="K212" s="39"/>
      <c r="L212" s="39"/>
      <c r="M212" s="39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1"/>
      <c r="AC212" s="39"/>
      <c r="AD212" s="39"/>
      <c r="AE212" s="39"/>
      <c r="AF212" s="39"/>
      <c r="AG212" s="40"/>
      <c r="AH212" s="40"/>
      <c r="AI212" s="41"/>
      <c r="AJ212" s="41"/>
      <c r="AK212" s="41"/>
      <c r="AL212" s="52"/>
      <c r="AM212" s="53"/>
      <c r="AN212" s="53"/>
      <c r="AO212" s="53"/>
      <c r="AP212" s="53"/>
      <c r="AQ212" s="53"/>
      <c r="AR212" s="54"/>
      <c r="AS212" s="61"/>
      <c r="AT212" s="62"/>
      <c r="AU212" s="62"/>
      <c r="AV212" s="62"/>
      <c r="AW212" s="62"/>
      <c r="AX212" s="63"/>
      <c r="AY212" s="68"/>
      <c r="AZ212" s="69"/>
      <c r="BA212" s="70"/>
      <c r="BB212" s="7"/>
    </row>
    <row r="213" spans="7:54" x14ac:dyDescent="0.15">
      <c r="G213" s="7"/>
      <c r="H213" s="38"/>
      <c r="I213" s="39"/>
      <c r="J213" s="39"/>
      <c r="K213" s="39"/>
      <c r="L213" s="39"/>
      <c r="M213" s="39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1"/>
      <c r="AC213" s="39"/>
      <c r="AD213" s="39"/>
      <c r="AE213" s="39"/>
      <c r="AF213" s="39"/>
      <c r="AG213" s="40"/>
      <c r="AH213" s="40"/>
      <c r="AI213" s="41"/>
      <c r="AJ213" s="41"/>
      <c r="AK213" s="41"/>
      <c r="AL213" s="52"/>
      <c r="AM213" s="53"/>
      <c r="AN213" s="53"/>
      <c r="AO213" s="53"/>
      <c r="AP213" s="53"/>
      <c r="AQ213" s="53"/>
      <c r="AR213" s="54"/>
      <c r="AS213" s="61"/>
      <c r="AT213" s="62"/>
      <c r="AU213" s="62"/>
      <c r="AV213" s="62"/>
      <c r="AW213" s="62"/>
      <c r="AX213" s="63"/>
      <c r="AY213" s="68"/>
      <c r="AZ213" s="69"/>
      <c r="BA213" s="70"/>
      <c r="BB213" s="7"/>
    </row>
    <row r="214" spans="7:54" x14ac:dyDescent="0.15">
      <c r="G214" s="7"/>
      <c r="H214" s="38"/>
      <c r="I214" s="39"/>
      <c r="J214" s="39"/>
      <c r="K214" s="39"/>
      <c r="L214" s="39"/>
      <c r="M214" s="39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1"/>
      <c r="AC214" s="39"/>
      <c r="AD214" s="39"/>
      <c r="AE214" s="39"/>
      <c r="AF214" s="39"/>
      <c r="AG214" s="40"/>
      <c r="AH214" s="40"/>
      <c r="AI214" s="41"/>
      <c r="AJ214" s="41"/>
      <c r="AK214" s="41"/>
      <c r="AL214" s="52"/>
      <c r="AM214" s="53"/>
      <c r="AN214" s="53"/>
      <c r="AO214" s="53"/>
      <c r="AP214" s="53"/>
      <c r="AQ214" s="53"/>
      <c r="AR214" s="54"/>
      <c r="AS214" s="61"/>
      <c r="AT214" s="62"/>
      <c r="AU214" s="62"/>
      <c r="AV214" s="62"/>
      <c r="AW214" s="62"/>
      <c r="AX214" s="63"/>
      <c r="AY214" s="68"/>
      <c r="AZ214" s="69"/>
      <c r="BA214" s="70"/>
      <c r="BB214" s="7"/>
    </row>
    <row r="215" spans="7:54" x14ac:dyDescent="0.15">
      <c r="G215" s="7"/>
      <c r="H215" s="38"/>
      <c r="I215" s="39"/>
      <c r="J215" s="39"/>
      <c r="K215" s="39"/>
      <c r="L215" s="39"/>
      <c r="M215" s="39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1"/>
      <c r="AC215" s="39"/>
      <c r="AD215" s="39"/>
      <c r="AE215" s="39"/>
      <c r="AF215" s="39"/>
      <c r="AG215" s="40"/>
      <c r="AH215" s="40"/>
      <c r="AI215" s="41"/>
      <c r="AJ215" s="41"/>
      <c r="AK215" s="41"/>
      <c r="AL215" s="52"/>
      <c r="AM215" s="53"/>
      <c r="AN215" s="53"/>
      <c r="AO215" s="53"/>
      <c r="AP215" s="53"/>
      <c r="AQ215" s="53"/>
      <c r="AR215" s="54"/>
      <c r="AS215" s="61"/>
      <c r="AT215" s="62"/>
      <c r="AU215" s="62"/>
      <c r="AV215" s="62"/>
      <c r="AW215" s="62"/>
      <c r="AX215" s="63"/>
      <c r="AY215" s="68"/>
      <c r="AZ215" s="69"/>
      <c r="BA215" s="70"/>
      <c r="BB215" s="7"/>
    </row>
    <row r="216" spans="7:54" x14ac:dyDescent="0.15">
      <c r="G216" s="7"/>
      <c r="H216" s="38"/>
      <c r="I216" s="39"/>
      <c r="J216" s="39"/>
      <c r="K216" s="39"/>
      <c r="L216" s="39"/>
      <c r="M216" s="39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1"/>
      <c r="AC216" s="39"/>
      <c r="AD216" s="39"/>
      <c r="AE216" s="39"/>
      <c r="AF216" s="39"/>
      <c r="AG216" s="40"/>
      <c r="AH216" s="40"/>
      <c r="AI216" s="41"/>
      <c r="AJ216" s="41"/>
      <c r="AK216" s="41"/>
      <c r="AL216" s="52"/>
      <c r="AM216" s="53"/>
      <c r="AN216" s="53"/>
      <c r="AO216" s="53"/>
      <c r="AP216" s="53"/>
      <c r="AQ216" s="53"/>
      <c r="AR216" s="54"/>
      <c r="AS216" s="61"/>
      <c r="AT216" s="62"/>
      <c r="AU216" s="62"/>
      <c r="AV216" s="62"/>
      <c r="AW216" s="62"/>
      <c r="AX216" s="63"/>
      <c r="AY216" s="68"/>
      <c r="AZ216" s="69"/>
      <c r="BA216" s="70"/>
      <c r="BB216" s="7"/>
    </row>
    <row r="217" spans="7:54" x14ac:dyDescent="0.15">
      <c r="G217" s="7"/>
      <c r="H217" s="38"/>
      <c r="I217" s="39"/>
      <c r="J217" s="39"/>
      <c r="K217" s="39"/>
      <c r="L217" s="39"/>
      <c r="M217" s="39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1"/>
      <c r="AC217" s="39"/>
      <c r="AD217" s="39"/>
      <c r="AE217" s="39"/>
      <c r="AF217" s="39"/>
      <c r="AG217" s="40"/>
      <c r="AH217" s="40"/>
      <c r="AI217" s="41"/>
      <c r="AJ217" s="41"/>
      <c r="AK217" s="41"/>
      <c r="AL217" s="52"/>
      <c r="AM217" s="53"/>
      <c r="AN217" s="53"/>
      <c r="AO217" s="53"/>
      <c r="AP217" s="53"/>
      <c r="AQ217" s="53"/>
      <c r="AR217" s="54"/>
      <c r="AS217" s="61"/>
      <c r="AT217" s="62"/>
      <c r="AU217" s="62"/>
      <c r="AV217" s="62"/>
      <c r="AW217" s="62"/>
      <c r="AX217" s="63"/>
      <c r="AY217" s="68"/>
      <c r="AZ217" s="69"/>
      <c r="BA217" s="70"/>
      <c r="BB217" s="7"/>
    </row>
    <row r="218" spans="7:54" x14ac:dyDescent="0.15">
      <c r="G218" s="7"/>
      <c r="H218" s="38"/>
      <c r="I218" s="39"/>
      <c r="J218" s="39"/>
      <c r="K218" s="39"/>
      <c r="L218" s="39"/>
      <c r="M218" s="39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1"/>
      <c r="AC218" s="39"/>
      <c r="AD218" s="39"/>
      <c r="AE218" s="39"/>
      <c r="AF218" s="39"/>
      <c r="AG218" s="40"/>
      <c r="AH218" s="40"/>
      <c r="AI218" s="41"/>
      <c r="AJ218" s="41"/>
      <c r="AK218" s="41"/>
      <c r="AL218" s="52"/>
      <c r="AM218" s="53"/>
      <c r="AN218" s="53"/>
      <c r="AO218" s="53"/>
      <c r="AP218" s="53"/>
      <c r="AQ218" s="53"/>
      <c r="AR218" s="54"/>
      <c r="AS218" s="61"/>
      <c r="AT218" s="62"/>
      <c r="AU218" s="62"/>
      <c r="AV218" s="62"/>
      <c r="AW218" s="62"/>
      <c r="AX218" s="63"/>
      <c r="AY218" s="68"/>
      <c r="AZ218" s="69"/>
      <c r="BA218" s="70"/>
      <c r="BB218" s="7"/>
    </row>
    <row r="219" spans="7:54" x14ac:dyDescent="0.15">
      <c r="G219" s="7"/>
      <c r="H219" s="38"/>
      <c r="I219" s="39"/>
      <c r="J219" s="39"/>
      <c r="K219" s="39"/>
      <c r="L219" s="39"/>
      <c r="M219" s="39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1"/>
      <c r="AC219" s="39"/>
      <c r="AD219" s="39"/>
      <c r="AE219" s="39"/>
      <c r="AF219" s="39"/>
      <c r="AG219" s="40"/>
      <c r="AH219" s="40"/>
      <c r="AI219" s="41"/>
      <c r="AJ219" s="41"/>
      <c r="AK219" s="41"/>
      <c r="AL219" s="52"/>
      <c r="AM219" s="53"/>
      <c r="AN219" s="53"/>
      <c r="AO219" s="53"/>
      <c r="AP219" s="53"/>
      <c r="AQ219" s="53"/>
      <c r="AR219" s="54"/>
      <c r="AS219" s="61"/>
      <c r="AT219" s="62"/>
      <c r="AU219" s="62"/>
      <c r="AV219" s="62"/>
      <c r="AW219" s="62"/>
      <c r="AX219" s="63"/>
      <c r="AY219" s="68"/>
      <c r="AZ219" s="69"/>
      <c r="BA219" s="70"/>
      <c r="BB219" s="7"/>
    </row>
    <row r="220" spans="7:54" x14ac:dyDescent="0.15">
      <c r="G220" s="7"/>
      <c r="H220" s="38"/>
      <c r="I220" s="39"/>
      <c r="J220" s="39"/>
      <c r="K220" s="39"/>
      <c r="L220" s="39"/>
      <c r="M220" s="39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1"/>
      <c r="AC220" s="39"/>
      <c r="AD220" s="39"/>
      <c r="AE220" s="39"/>
      <c r="AF220" s="39"/>
      <c r="AG220" s="40"/>
      <c r="AH220" s="40"/>
      <c r="AI220" s="41"/>
      <c r="AJ220" s="41"/>
      <c r="AK220" s="41"/>
      <c r="AL220" s="52"/>
      <c r="AM220" s="53"/>
      <c r="AN220" s="53"/>
      <c r="AO220" s="53"/>
      <c r="AP220" s="53"/>
      <c r="AQ220" s="53"/>
      <c r="AR220" s="54"/>
      <c r="AS220" s="61"/>
      <c r="AT220" s="62"/>
      <c r="AU220" s="62"/>
      <c r="AV220" s="62"/>
      <c r="AW220" s="62"/>
      <c r="AX220" s="63"/>
      <c r="AY220" s="68"/>
      <c r="AZ220" s="69"/>
      <c r="BA220" s="70"/>
      <c r="BB220" s="7"/>
    </row>
    <row r="221" spans="7:54" x14ac:dyDescent="0.15">
      <c r="G221" s="7"/>
      <c r="H221" s="38"/>
      <c r="I221" s="39"/>
      <c r="J221" s="39"/>
      <c r="K221" s="39"/>
      <c r="L221" s="39"/>
      <c r="M221" s="39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1"/>
      <c r="AC221" s="39"/>
      <c r="AD221" s="39"/>
      <c r="AE221" s="39"/>
      <c r="AF221" s="39"/>
      <c r="AG221" s="40"/>
      <c r="AH221" s="40"/>
      <c r="AI221" s="41"/>
      <c r="AJ221" s="41"/>
      <c r="AK221" s="41"/>
      <c r="AL221" s="52"/>
      <c r="AM221" s="53"/>
      <c r="AN221" s="53"/>
      <c r="AO221" s="53"/>
      <c r="AP221" s="53"/>
      <c r="AQ221" s="53"/>
      <c r="AR221" s="54"/>
      <c r="AS221" s="61"/>
      <c r="AT221" s="62"/>
      <c r="AU221" s="62"/>
      <c r="AV221" s="62"/>
      <c r="AW221" s="62"/>
      <c r="AX221" s="63"/>
      <c r="AY221" s="68"/>
      <c r="AZ221" s="69"/>
      <c r="BA221" s="70"/>
      <c r="BB221" s="7"/>
    </row>
    <row r="222" spans="7:54" x14ac:dyDescent="0.15">
      <c r="G222" s="7"/>
      <c r="H222" s="38"/>
      <c r="I222" s="39"/>
      <c r="J222" s="39"/>
      <c r="K222" s="39"/>
      <c r="L222" s="39"/>
      <c r="M222" s="39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1"/>
      <c r="AC222" s="39"/>
      <c r="AD222" s="39"/>
      <c r="AE222" s="39"/>
      <c r="AF222" s="39"/>
      <c r="AG222" s="40"/>
      <c r="AH222" s="40"/>
      <c r="AI222" s="41"/>
      <c r="AJ222" s="41"/>
      <c r="AK222" s="41"/>
      <c r="AL222" s="52"/>
      <c r="AM222" s="53"/>
      <c r="AN222" s="53"/>
      <c r="AO222" s="53"/>
      <c r="AP222" s="53"/>
      <c r="AQ222" s="53"/>
      <c r="AR222" s="54"/>
      <c r="AS222" s="61"/>
      <c r="AT222" s="62"/>
      <c r="AU222" s="62"/>
      <c r="AV222" s="62"/>
      <c r="AW222" s="62"/>
      <c r="AX222" s="63"/>
      <c r="AY222" s="68"/>
      <c r="AZ222" s="69"/>
      <c r="BA222" s="70"/>
      <c r="BB222" s="7"/>
    </row>
    <row r="223" spans="7:54" x14ac:dyDescent="0.15">
      <c r="G223" s="7"/>
      <c r="H223" s="38"/>
      <c r="I223" s="39"/>
      <c r="J223" s="39"/>
      <c r="K223" s="39"/>
      <c r="L223" s="39"/>
      <c r="M223" s="39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1"/>
      <c r="AC223" s="39"/>
      <c r="AD223" s="39"/>
      <c r="AE223" s="39"/>
      <c r="AF223" s="39"/>
      <c r="AG223" s="40"/>
      <c r="AH223" s="40"/>
      <c r="AI223" s="41"/>
      <c r="AJ223" s="41"/>
      <c r="AK223" s="41"/>
      <c r="AL223" s="52"/>
      <c r="AM223" s="53"/>
      <c r="AN223" s="53"/>
      <c r="AO223" s="53"/>
      <c r="AP223" s="53"/>
      <c r="AQ223" s="53"/>
      <c r="AR223" s="54"/>
      <c r="AS223" s="61"/>
      <c r="AT223" s="62"/>
      <c r="AU223" s="62"/>
      <c r="AV223" s="62"/>
      <c r="AW223" s="62"/>
      <c r="AX223" s="63"/>
      <c r="AY223" s="68"/>
      <c r="AZ223" s="69"/>
      <c r="BA223" s="70"/>
      <c r="BB223" s="7"/>
    </row>
    <row r="224" spans="7:54" x14ac:dyDescent="0.15">
      <c r="G224" s="7"/>
      <c r="H224" s="38"/>
      <c r="I224" s="39"/>
      <c r="J224" s="39"/>
      <c r="K224" s="39"/>
      <c r="L224" s="39"/>
      <c r="M224" s="39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1"/>
      <c r="AC224" s="39"/>
      <c r="AD224" s="39"/>
      <c r="AE224" s="39"/>
      <c r="AF224" s="39"/>
      <c r="AG224" s="40"/>
      <c r="AH224" s="40"/>
      <c r="AI224" s="41"/>
      <c r="AJ224" s="41"/>
      <c r="AK224" s="41"/>
      <c r="AL224" s="52"/>
      <c r="AM224" s="53"/>
      <c r="AN224" s="53"/>
      <c r="AO224" s="53"/>
      <c r="AP224" s="53"/>
      <c r="AQ224" s="53"/>
      <c r="AR224" s="54"/>
      <c r="AS224" s="61"/>
      <c r="AT224" s="62"/>
      <c r="AU224" s="62"/>
      <c r="AV224" s="62"/>
      <c r="AW224" s="62"/>
      <c r="AX224" s="63"/>
      <c r="AY224" s="68"/>
      <c r="AZ224" s="69"/>
      <c r="BA224" s="70"/>
      <c r="BB224" s="7"/>
    </row>
    <row r="225" spans="7:54" x14ac:dyDescent="0.15">
      <c r="G225" s="7"/>
      <c r="H225" s="38"/>
      <c r="I225" s="39"/>
      <c r="J225" s="39"/>
      <c r="K225" s="39"/>
      <c r="L225" s="39"/>
      <c r="M225" s="39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1"/>
      <c r="AC225" s="39"/>
      <c r="AD225" s="39"/>
      <c r="AE225" s="39"/>
      <c r="AF225" s="39"/>
      <c r="AG225" s="40"/>
      <c r="AH225" s="40"/>
      <c r="AI225" s="41"/>
      <c r="AJ225" s="41"/>
      <c r="AK225" s="41"/>
      <c r="AL225" s="52"/>
      <c r="AM225" s="53"/>
      <c r="AN225" s="53"/>
      <c r="AO225" s="53"/>
      <c r="AP225" s="53"/>
      <c r="AQ225" s="53"/>
      <c r="AR225" s="54"/>
      <c r="AS225" s="61"/>
      <c r="AT225" s="62"/>
      <c r="AU225" s="62"/>
      <c r="AV225" s="62"/>
      <c r="AW225" s="62"/>
      <c r="AX225" s="63"/>
      <c r="AY225" s="68"/>
      <c r="AZ225" s="69"/>
      <c r="BA225" s="70"/>
      <c r="BB225" s="7"/>
    </row>
    <row r="226" spans="7:54" x14ac:dyDescent="0.15">
      <c r="G226" s="7"/>
      <c r="H226" s="38"/>
      <c r="I226" s="39"/>
      <c r="J226" s="39"/>
      <c r="K226" s="39"/>
      <c r="L226" s="39"/>
      <c r="M226" s="39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1"/>
      <c r="AC226" s="39"/>
      <c r="AD226" s="39"/>
      <c r="AE226" s="39"/>
      <c r="AF226" s="39"/>
      <c r="AG226" s="40"/>
      <c r="AH226" s="40"/>
      <c r="AI226" s="41"/>
      <c r="AJ226" s="41"/>
      <c r="AK226" s="41"/>
      <c r="AL226" s="52"/>
      <c r="AM226" s="53"/>
      <c r="AN226" s="53"/>
      <c r="AO226" s="53"/>
      <c r="AP226" s="53"/>
      <c r="AQ226" s="53"/>
      <c r="AR226" s="54"/>
      <c r="AS226" s="61"/>
      <c r="AT226" s="62"/>
      <c r="AU226" s="62"/>
      <c r="AV226" s="62"/>
      <c r="AW226" s="62"/>
      <c r="AX226" s="63"/>
      <c r="AY226" s="68"/>
      <c r="AZ226" s="69"/>
      <c r="BA226" s="70"/>
      <c r="BB226" s="7"/>
    </row>
    <row r="227" spans="7:54" x14ac:dyDescent="0.15">
      <c r="G227" s="7"/>
      <c r="H227" s="38"/>
      <c r="I227" s="39"/>
      <c r="J227" s="39"/>
      <c r="K227" s="39"/>
      <c r="L227" s="39"/>
      <c r="M227" s="39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1"/>
      <c r="AC227" s="39"/>
      <c r="AD227" s="39"/>
      <c r="AE227" s="39"/>
      <c r="AF227" s="39"/>
      <c r="AG227" s="40"/>
      <c r="AH227" s="40"/>
      <c r="AI227" s="41"/>
      <c r="AJ227" s="41"/>
      <c r="AK227" s="41"/>
      <c r="AL227" s="52"/>
      <c r="AM227" s="53"/>
      <c r="AN227" s="53"/>
      <c r="AO227" s="53"/>
      <c r="AP227" s="53"/>
      <c r="AQ227" s="53"/>
      <c r="AR227" s="54"/>
      <c r="AS227" s="61"/>
      <c r="AT227" s="62"/>
      <c r="AU227" s="62"/>
      <c r="AV227" s="62"/>
      <c r="AW227" s="62"/>
      <c r="AX227" s="63"/>
      <c r="AY227" s="68"/>
      <c r="AZ227" s="69"/>
      <c r="BA227" s="70"/>
      <c r="BB227" s="7"/>
    </row>
    <row r="228" spans="7:54" x14ac:dyDescent="0.15">
      <c r="G228" s="7"/>
      <c r="H228" s="38"/>
      <c r="I228" s="39"/>
      <c r="J228" s="39"/>
      <c r="K228" s="39"/>
      <c r="L228" s="39"/>
      <c r="M228" s="39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1"/>
      <c r="AC228" s="39"/>
      <c r="AD228" s="39"/>
      <c r="AE228" s="39"/>
      <c r="AF228" s="39"/>
      <c r="AG228" s="40"/>
      <c r="AH228" s="40"/>
      <c r="AI228" s="41"/>
      <c r="AJ228" s="41"/>
      <c r="AK228" s="41"/>
      <c r="AL228" s="52"/>
      <c r="AM228" s="53"/>
      <c r="AN228" s="53"/>
      <c r="AO228" s="53"/>
      <c r="AP228" s="53"/>
      <c r="AQ228" s="53"/>
      <c r="AR228" s="54"/>
      <c r="AS228" s="61"/>
      <c r="AT228" s="62"/>
      <c r="AU228" s="62"/>
      <c r="AV228" s="62"/>
      <c r="AW228" s="62"/>
      <c r="AX228" s="63"/>
      <c r="AY228" s="68"/>
      <c r="AZ228" s="69"/>
      <c r="BA228" s="70"/>
      <c r="BB228" s="7"/>
    </row>
    <row r="229" spans="7:54" x14ac:dyDescent="0.15">
      <c r="G229" s="7"/>
      <c r="H229" s="38"/>
      <c r="I229" s="39"/>
      <c r="J229" s="39"/>
      <c r="K229" s="39"/>
      <c r="L229" s="39"/>
      <c r="M229" s="39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1"/>
      <c r="AC229" s="39"/>
      <c r="AD229" s="39"/>
      <c r="AE229" s="39"/>
      <c r="AF229" s="39"/>
      <c r="AG229" s="40"/>
      <c r="AH229" s="40"/>
      <c r="AI229" s="41"/>
      <c r="AJ229" s="41"/>
      <c r="AK229" s="41"/>
      <c r="AL229" s="52"/>
      <c r="AM229" s="53"/>
      <c r="AN229" s="53"/>
      <c r="AO229" s="53"/>
      <c r="AP229" s="53"/>
      <c r="AQ229" s="53"/>
      <c r="AR229" s="54"/>
      <c r="AS229" s="61"/>
      <c r="AT229" s="62"/>
      <c r="AU229" s="62"/>
      <c r="AV229" s="62"/>
      <c r="AW229" s="62"/>
      <c r="AX229" s="63"/>
      <c r="AY229" s="68"/>
      <c r="AZ229" s="69"/>
      <c r="BA229" s="70"/>
      <c r="BB229" s="7"/>
    </row>
    <row r="230" spans="7:54" x14ac:dyDescent="0.15">
      <c r="G230" s="7"/>
      <c r="H230" s="38"/>
      <c r="I230" s="39"/>
      <c r="J230" s="39"/>
      <c r="K230" s="39"/>
      <c r="L230" s="39"/>
      <c r="M230" s="39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1"/>
      <c r="AC230" s="39"/>
      <c r="AD230" s="39"/>
      <c r="AE230" s="39"/>
      <c r="AF230" s="39"/>
      <c r="AG230" s="40"/>
      <c r="AH230" s="40"/>
      <c r="AI230" s="41"/>
      <c r="AJ230" s="41"/>
      <c r="AK230" s="41"/>
      <c r="AL230" s="52"/>
      <c r="AM230" s="53"/>
      <c r="AN230" s="53"/>
      <c r="AO230" s="53"/>
      <c r="AP230" s="53"/>
      <c r="AQ230" s="53"/>
      <c r="AR230" s="54"/>
      <c r="AS230" s="61"/>
      <c r="AT230" s="62"/>
      <c r="AU230" s="62"/>
      <c r="AV230" s="62"/>
      <c r="AW230" s="62"/>
      <c r="AX230" s="63"/>
      <c r="AY230" s="68"/>
      <c r="AZ230" s="69"/>
      <c r="BA230" s="70"/>
      <c r="BB230" s="7"/>
    </row>
    <row r="231" spans="7:54" x14ac:dyDescent="0.15">
      <c r="G231" s="7"/>
      <c r="H231" s="38"/>
      <c r="I231" s="39"/>
      <c r="J231" s="39"/>
      <c r="K231" s="39"/>
      <c r="L231" s="39"/>
      <c r="M231" s="39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1"/>
      <c r="AC231" s="39"/>
      <c r="AD231" s="39"/>
      <c r="AE231" s="39"/>
      <c r="AF231" s="39"/>
      <c r="AG231" s="40"/>
      <c r="AH231" s="40"/>
      <c r="AI231" s="41"/>
      <c r="AJ231" s="41"/>
      <c r="AK231" s="41"/>
      <c r="AL231" s="52"/>
      <c r="AM231" s="53"/>
      <c r="AN231" s="53"/>
      <c r="AO231" s="53"/>
      <c r="AP231" s="53"/>
      <c r="AQ231" s="53"/>
      <c r="AR231" s="54"/>
      <c r="AS231" s="61"/>
      <c r="AT231" s="62"/>
      <c r="AU231" s="62"/>
      <c r="AV231" s="62"/>
      <c r="AW231" s="62"/>
      <c r="AX231" s="63"/>
      <c r="AY231" s="68"/>
      <c r="AZ231" s="69"/>
      <c r="BA231" s="70"/>
      <c r="BB231" s="7"/>
    </row>
    <row r="232" spans="7:54" x14ac:dyDescent="0.15">
      <c r="G232" s="7"/>
      <c r="H232" s="38"/>
      <c r="I232" s="39"/>
      <c r="J232" s="39"/>
      <c r="K232" s="39"/>
      <c r="L232" s="39"/>
      <c r="M232" s="39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1"/>
      <c r="AC232" s="39"/>
      <c r="AD232" s="39"/>
      <c r="AE232" s="39"/>
      <c r="AF232" s="39"/>
      <c r="AG232" s="40"/>
      <c r="AH232" s="40"/>
      <c r="AI232" s="41"/>
      <c r="AJ232" s="41"/>
      <c r="AK232" s="41"/>
      <c r="AL232" s="52"/>
      <c r="AM232" s="53"/>
      <c r="AN232" s="53"/>
      <c r="AO232" s="53"/>
      <c r="AP232" s="53"/>
      <c r="AQ232" s="53"/>
      <c r="AR232" s="54"/>
      <c r="AS232" s="61"/>
      <c r="AT232" s="62"/>
      <c r="AU232" s="62"/>
      <c r="AV232" s="62"/>
      <c r="AW232" s="62"/>
      <c r="AX232" s="63"/>
      <c r="AY232" s="68"/>
      <c r="AZ232" s="69"/>
      <c r="BA232" s="70"/>
      <c r="BB232" s="7"/>
    </row>
    <row r="233" spans="7:54" x14ac:dyDescent="0.15">
      <c r="G233" s="7"/>
      <c r="H233" s="38"/>
      <c r="I233" s="39"/>
      <c r="J233" s="39"/>
      <c r="K233" s="39"/>
      <c r="L233" s="39"/>
      <c r="M233" s="39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1"/>
      <c r="AC233" s="39"/>
      <c r="AD233" s="39"/>
      <c r="AE233" s="39"/>
      <c r="AF233" s="39"/>
      <c r="AG233" s="40"/>
      <c r="AH233" s="40"/>
      <c r="AI233" s="41"/>
      <c r="AJ233" s="41"/>
      <c r="AK233" s="41"/>
      <c r="AL233" s="52"/>
      <c r="AM233" s="53"/>
      <c r="AN233" s="53"/>
      <c r="AO233" s="53"/>
      <c r="AP233" s="53"/>
      <c r="AQ233" s="53"/>
      <c r="AR233" s="54"/>
      <c r="AS233" s="61"/>
      <c r="AT233" s="62"/>
      <c r="AU233" s="62"/>
      <c r="AV233" s="62"/>
      <c r="AW233" s="62"/>
      <c r="AX233" s="63"/>
      <c r="AY233" s="68"/>
      <c r="AZ233" s="69"/>
      <c r="BA233" s="70"/>
      <c r="BB233" s="7"/>
    </row>
    <row r="234" spans="7:54" x14ac:dyDescent="0.15">
      <c r="G234" s="7"/>
      <c r="H234" s="38"/>
      <c r="I234" s="39"/>
      <c r="J234" s="39"/>
      <c r="K234" s="39"/>
      <c r="L234" s="39"/>
      <c r="M234" s="39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1"/>
      <c r="AC234" s="39"/>
      <c r="AD234" s="39"/>
      <c r="AE234" s="39"/>
      <c r="AF234" s="39"/>
      <c r="AG234" s="40"/>
      <c r="AH234" s="40"/>
      <c r="AI234" s="41"/>
      <c r="AJ234" s="41"/>
      <c r="AK234" s="41"/>
      <c r="AL234" s="52"/>
      <c r="AM234" s="53"/>
      <c r="AN234" s="53"/>
      <c r="AO234" s="53"/>
      <c r="AP234" s="53"/>
      <c r="AQ234" s="53"/>
      <c r="AR234" s="54"/>
      <c r="AS234" s="61"/>
      <c r="AT234" s="62"/>
      <c r="AU234" s="62"/>
      <c r="AV234" s="62"/>
      <c r="AW234" s="62"/>
      <c r="AX234" s="63"/>
      <c r="AY234" s="68"/>
      <c r="AZ234" s="69"/>
      <c r="BA234" s="70"/>
      <c r="BB234" s="7"/>
    </row>
    <row r="235" spans="7:54" x14ac:dyDescent="0.15">
      <c r="G235" s="7"/>
      <c r="H235" s="38"/>
      <c r="I235" s="39"/>
      <c r="J235" s="39"/>
      <c r="K235" s="39"/>
      <c r="L235" s="39"/>
      <c r="M235" s="39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1"/>
      <c r="AC235" s="39"/>
      <c r="AD235" s="39"/>
      <c r="AE235" s="39"/>
      <c r="AF235" s="39"/>
      <c r="AG235" s="40"/>
      <c r="AH235" s="40"/>
      <c r="AI235" s="41"/>
      <c r="AJ235" s="41"/>
      <c r="AK235" s="41"/>
      <c r="AL235" s="52"/>
      <c r="AM235" s="53"/>
      <c r="AN235" s="53"/>
      <c r="AO235" s="53"/>
      <c r="AP235" s="53"/>
      <c r="AQ235" s="53"/>
      <c r="AR235" s="54"/>
      <c r="AS235" s="61"/>
      <c r="AT235" s="62"/>
      <c r="AU235" s="62"/>
      <c r="AV235" s="62"/>
      <c r="AW235" s="62"/>
      <c r="AX235" s="63"/>
      <c r="AY235" s="68"/>
      <c r="AZ235" s="69"/>
      <c r="BA235" s="70"/>
      <c r="BB235" s="7"/>
    </row>
    <row r="236" spans="7:54" x14ac:dyDescent="0.15">
      <c r="G236" s="7"/>
      <c r="H236" s="38"/>
      <c r="I236" s="39"/>
      <c r="J236" s="39"/>
      <c r="K236" s="39"/>
      <c r="L236" s="39"/>
      <c r="M236" s="39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1"/>
      <c r="AC236" s="39"/>
      <c r="AD236" s="39"/>
      <c r="AE236" s="39"/>
      <c r="AF236" s="39"/>
      <c r="AG236" s="40"/>
      <c r="AH236" s="40"/>
      <c r="AI236" s="41"/>
      <c r="AJ236" s="41"/>
      <c r="AK236" s="41"/>
      <c r="AL236" s="52"/>
      <c r="AM236" s="53"/>
      <c r="AN236" s="53"/>
      <c r="AO236" s="53"/>
      <c r="AP236" s="53"/>
      <c r="AQ236" s="53"/>
      <c r="AR236" s="54"/>
      <c r="AS236" s="61"/>
      <c r="AT236" s="62"/>
      <c r="AU236" s="62"/>
      <c r="AV236" s="62"/>
      <c r="AW236" s="62"/>
      <c r="AX236" s="63"/>
      <c r="AY236" s="68"/>
      <c r="AZ236" s="69"/>
      <c r="BA236" s="70"/>
      <c r="BB236" s="7"/>
    </row>
    <row r="237" spans="7:54" x14ac:dyDescent="0.15">
      <c r="G237" s="7"/>
      <c r="H237" s="38"/>
      <c r="I237" s="39"/>
      <c r="J237" s="39"/>
      <c r="K237" s="39"/>
      <c r="L237" s="39"/>
      <c r="M237" s="39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1"/>
      <c r="AC237" s="39"/>
      <c r="AD237" s="39"/>
      <c r="AE237" s="39"/>
      <c r="AF237" s="39"/>
      <c r="AG237" s="40"/>
      <c r="AH237" s="40"/>
      <c r="AI237" s="41"/>
      <c r="AJ237" s="41"/>
      <c r="AK237" s="41"/>
      <c r="AL237" s="52"/>
      <c r="AM237" s="53"/>
      <c r="AN237" s="53"/>
      <c r="AO237" s="53"/>
      <c r="AP237" s="53"/>
      <c r="AQ237" s="53"/>
      <c r="AR237" s="54"/>
      <c r="AS237" s="61"/>
      <c r="AT237" s="62"/>
      <c r="AU237" s="62"/>
      <c r="AV237" s="62"/>
      <c r="AW237" s="62"/>
      <c r="AX237" s="63"/>
      <c r="AY237" s="68"/>
      <c r="AZ237" s="69"/>
      <c r="BA237" s="70"/>
      <c r="BB237" s="7"/>
    </row>
    <row r="238" spans="7:54" x14ac:dyDescent="0.15">
      <c r="G238" s="7"/>
      <c r="H238" s="38"/>
      <c r="I238" s="39"/>
      <c r="J238" s="39"/>
      <c r="K238" s="39"/>
      <c r="L238" s="39"/>
      <c r="M238" s="39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1"/>
      <c r="AC238" s="39"/>
      <c r="AD238" s="39"/>
      <c r="AE238" s="39"/>
      <c r="AF238" s="39"/>
      <c r="AG238" s="40"/>
      <c r="AH238" s="40"/>
      <c r="AI238" s="41"/>
      <c r="AJ238" s="41"/>
      <c r="AK238" s="41"/>
      <c r="AL238" s="52"/>
      <c r="AM238" s="53"/>
      <c r="AN238" s="53"/>
      <c r="AO238" s="53"/>
      <c r="AP238" s="53"/>
      <c r="AQ238" s="53"/>
      <c r="AR238" s="54"/>
      <c r="AS238" s="61"/>
      <c r="AT238" s="62"/>
      <c r="AU238" s="62"/>
      <c r="AV238" s="62"/>
      <c r="AW238" s="62"/>
      <c r="AX238" s="63"/>
      <c r="AY238" s="68"/>
      <c r="AZ238" s="69"/>
      <c r="BA238" s="70"/>
      <c r="BB238" s="7"/>
    </row>
    <row r="239" spans="7:54" x14ac:dyDescent="0.15">
      <c r="G239" s="7"/>
      <c r="H239" s="38"/>
      <c r="I239" s="39"/>
      <c r="J239" s="39"/>
      <c r="K239" s="39"/>
      <c r="L239" s="39"/>
      <c r="M239" s="39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1"/>
      <c r="AC239" s="39"/>
      <c r="AD239" s="39"/>
      <c r="AE239" s="39"/>
      <c r="AF239" s="39"/>
      <c r="AG239" s="40"/>
      <c r="AH239" s="40"/>
      <c r="AI239" s="41"/>
      <c r="AJ239" s="41"/>
      <c r="AK239" s="41"/>
      <c r="AL239" s="52"/>
      <c r="AM239" s="53"/>
      <c r="AN239" s="53"/>
      <c r="AO239" s="53"/>
      <c r="AP239" s="53"/>
      <c r="AQ239" s="53"/>
      <c r="AR239" s="54"/>
      <c r="AS239" s="61"/>
      <c r="AT239" s="62"/>
      <c r="AU239" s="62"/>
      <c r="AV239" s="62"/>
      <c r="AW239" s="62"/>
      <c r="AX239" s="63"/>
      <c r="AY239" s="68"/>
      <c r="AZ239" s="69"/>
      <c r="BA239" s="70"/>
      <c r="BB239" s="7"/>
    </row>
    <row r="240" spans="7:54" x14ac:dyDescent="0.15">
      <c r="G240" s="7"/>
      <c r="H240" s="38"/>
      <c r="I240" s="39"/>
      <c r="J240" s="39"/>
      <c r="K240" s="39"/>
      <c r="L240" s="39"/>
      <c r="M240" s="39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1"/>
      <c r="AC240" s="39"/>
      <c r="AD240" s="39"/>
      <c r="AE240" s="39"/>
      <c r="AF240" s="39"/>
      <c r="AG240" s="40"/>
      <c r="AH240" s="40"/>
      <c r="AI240" s="41"/>
      <c r="AJ240" s="41"/>
      <c r="AK240" s="41"/>
      <c r="AL240" s="52"/>
      <c r="AM240" s="53"/>
      <c r="AN240" s="53"/>
      <c r="AO240" s="53"/>
      <c r="AP240" s="53"/>
      <c r="AQ240" s="53"/>
      <c r="AR240" s="54"/>
      <c r="AS240" s="61"/>
      <c r="AT240" s="62"/>
      <c r="AU240" s="62"/>
      <c r="AV240" s="62"/>
      <c r="AW240" s="62"/>
      <c r="AX240" s="63"/>
      <c r="AY240" s="68"/>
      <c r="AZ240" s="69"/>
      <c r="BA240" s="70"/>
      <c r="BB240" s="7"/>
    </row>
    <row r="241" spans="7:54" x14ac:dyDescent="0.15">
      <c r="G241" s="7"/>
      <c r="H241" s="38"/>
      <c r="I241" s="39"/>
      <c r="J241" s="39"/>
      <c r="K241" s="39"/>
      <c r="L241" s="39"/>
      <c r="M241" s="39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1"/>
      <c r="AC241" s="39"/>
      <c r="AD241" s="39"/>
      <c r="AE241" s="39"/>
      <c r="AF241" s="39"/>
      <c r="AG241" s="40"/>
      <c r="AH241" s="40"/>
      <c r="AI241" s="41"/>
      <c r="AJ241" s="41"/>
      <c r="AK241" s="41"/>
      <c r="AL241" s="52"/>
      <c r="AM241" s="53"/>
      <c r="AN241" s="53"/>
      <c r="AO241" s="53"/>
      <c r="AP241" s="53"/>
      <c r="AQ241" s="53"/>
      <c r="AR241" s="54"/>
      <c r="AS241" s="61"/>
      <c r="AT241" s="62"/>
      <c r="AU241" s="62"/>
      <c r="AV241" s="62"/>
      <c r="AW241" s="62"/>
      <c r="AX241" s="63"/>
      <c r="AY241" s="68"/>
      <c r="AZ241" s="69"/>
      <c r="BA241" s="70"/>
      <c r="BB241" s="7"/>
    </row>
    <row r="242" spans="7:54" x14ac:dyDescent="0.15">
      <c r="G242" s="7"/>
      <c r="H242" s="38"/>
      <c r="I242" s="39"/>
      <c r="J242" s="39"/>
      <c r="K242" s="39"/>
      <c r="L242" s="39"/>
      <c r="M242" s="39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1"/>
      <c r="AC242" s="39"/>
      <c r="AD242" s="39"/>
      <c r="AE242" s="39"/>
      <c r="AF242" s="39"/>
      <c r="AG242" s="40"/>
      <c r="AH242" s="40"/>
      <c r="AI242" s="41"/>
      <c r="AJ242" s="41"/>
      <c r="AK242" s="41"/>
      <c r="AL242" s="52"/>
      <c r="AM242" s="53"/>
      <c r="AN242" s="53"/>
      <c r="AO242" s="53"/>
      <c r="AP242" s="53"/>
      <c r="AQ242" s="53"/>
      <c r="AR242" s="54"/>
      <c r="AS242" s="61"/>
      <c r="AT242" s="62"/>
      <c r="AU242" s="62"/>
      <c r="AV242" s="62"/>
      <c r="AW242" s="62"/>
      <c r="AX242" s="63"/>
      <c r="AY242" s="68"/>
      <c r="AZ242" s="69"/>
      <c r="BA242" s="70"/>
      <c r="BB242" s="7"/>
    </row>
    <row r="243" spans="7:54" x14ac:dyDescent="0.15">
      <c r="G243" s="7"/>
      <c r="H243" s="38"/>
      <c r="I243" s="39"/>
      <c r="J243" s="39"/>
      <c r="K243" s="39"/>
      <c r="L243" s="39"/>
      <c r="M243" s="39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1"/>
      <c r="AC243" s="39"/>
      <c r="AD243" s="39"/>
      <c r="AE243" s="39"/>
      <c r="AF243" s="39"/>
      <c r="AG243" s="40"/>
      <c r="AH243" s="40"/>
      <c r="AI243" s="41"/>
      <c r="AJ243" s="41"/>
      <c r="AK243" s="41"/>
      <c r="AL243" s="52"/>
      <c r="AM243" s="53"/>
      <c r="AN243" s="53"/>
      <c r="AO243" s="53"/>
      <c r="AP243" s="53"/>
      <c r="AQ243" s="53"/>
      <c r="AR243" s="54"/>
      <c r="AS243" s="61"/>
      <c r="AT243" s="62"/>
      <c r="AU243" s="62"/>
      <c r="AV243" s="62"/>
      <c r="AW243" s="62"/>
      <c r="AX243" s="63"/>
      <c r="AY243" s="68"/>
      <c r="AZ243" s="69"/>
      <c r="BA243" s="70"/>
      <c r="BB243" s="7"/>
    </row>
    <row r="244" spans="7:54" x14ac:dyDescent="0.15">
      <c r="G244" s="7"/>
      <c r="H244" s="38"/>
      <c r="I244" s="39"/>
      <c r="J244" s="39"/>
      <c r="K244" s="39"/>
      <c r="L244" s="39"/>
      <c r="M244" s="39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1"/>
      <c r="AC244" s="39"/>
      <c r="AD244" s="39"/>
      <c r="AE244" s="39"/>
      <c r="AF244" s="39"/>
      <c r="AG244" s="40"/>
      <c r="AH244" s="40"/>
      <c r="AI244" s="41"/>
      <c r="AJ244" s="41"/>
      <c r="AK244" s="41"/>
      <c r="AL244" s="52"/>
      <c r="AM244" s="53"/>
      <c r="AN244" s="53"/>
      <c r="AO244" s="53"/>
      <c r="AP244" s="53"/>
      <c r="AQ244" s="53"/>
      <c r="AR244" s="54"/>
      <c r="AS244" s="61"/>
      <c r="AT244" s="62"/>
      <c r="AU244" s="62"/>
      <c r="AV244" s="62"/>
      <c r="AW244" s="62"/>
      <c r="AX244" s="63"/>
      <c r="AY244" s="68"/>
      <c r="AZ244" s="69"/>
      <c r="BA244" s="70"/>
      <c r="BB244" s="7"/>
    </row>
    <row r="245" spans="7:54" x14ac:dyDescent="0.15">
      <c r="G245" s="7"/>
      <c r="H245" s="38"/>
      <c r="I245" s="39"/>
      <c r="J245" s="39"/>
      <c r="K245" s="39"/>
      <c r="L245" s="39"/>
      <c r="M245" s="39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1"/>
      <c r="AC245" s="39"/>
      <c r="AD245" s="39"/>
      <c r="AE245" s="39"/>
      <c r="AF245" s="39"/>
      <c r="AG245" s="40"/>
      <c r="AH245" s="40"/>
      <c r="AI245" s="41"/>
      <c r="AJ245" s="41"/>
      <c r="AK245" s="41"/>
      <c r="AL245" s="52"/>
      <c r="AM245" s="53"/>
      <c r="AN245" s="53"/>
      <c r="AO245" s="53"/>
      <c r="AP245" s="53"/>
      <c r="AQ245" s="53"/>
      <c r="AR245" s="54"/>
      <c r="AS245" s="61"/>
      <c r="AT245" s="62"/>
      <c r="AU245" s="62"/>
      <c r="AV245" s="62"/>
      <c r="AW245" s="62"/>
      <c r="AX245" s="63"/>
      <c r="AY245" s="68"/>
      <c r="AZ245" s="69"/>
      <c r="BA245" s="70"/>
      <c r="BB245" s="7"/>
    </row>
    <row r="246" spans="7:54" x14ac:dyDescent="0.15">
      <c r="G246" s="7"/>
      <c r="H246" s="38"/>
      <c r="I246" s="39"/>
      <c r="J246" s="39"/>
      <c r="K246" s="39"/>
      <c r="L246" s="39"/>
      <c r="M246" s="39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1"/>
      <c r="AC246" s="39"/>
      <c r="AD246" s="39"/>
      <c r="AE246" s="39"/>
      <c r="AF246" s="39"/>
      <c r="AG246" s="40"/>
      <c r="AH246" s="40"/>
      <c r="AI246" s="41"/>
      <c r="AJ246" s="41"/>
      <c r="AK246" s="41"/>
      <c r="AL246" s="52"/>
      <c r="AM246" s="53"/>
      <c r="AN246" s="53"/>
      <c r="AO246" s="53"/>
      <c r="AP246" s="53"/>
      <c r="AQ246" s="53"/>
      <c r="AR246" s="54"/>
      <c r="AS246" s="61"/>
      <c r="AT246" s="62"/>
      <c r="AU246" s="62"/>
      <c r="AV246" s="62"/>
      <c r="AW246" s="62"/>
      <c r="AX246" s="63"/>
      <c r="AY246" s="68"/>
      <c r="AZ246" s="69"/>
      <c r="BA246" s="70"/>
      <c r="BB246" s="7"/>
    </row>
    <row r="247" spans="7:54" x14ac:dyDescent="0.15">
      <c r="G247" s="7"/>
      <c r="H247" s="38"/>
      <c r="I247" s="39"/>
      <c r="J247" s="39"/>
      <c r="K247" s="39"/>
      <c r="L247" s="39"/>
      <c r="M247" s="39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1"/>
      <c r="AC247" s="39"/>
      <c r="AD247" s="39"/>
      <c r="AE247" s="39"/>
      <c r="AF247" s="39"/>
      <c r="AG247" s="40"/>
      <c r="AH247" s="40"/>
      <c r="AI247" s="41"/>
      <c r="AJ247" s="41"/>
      <c r="AK247" s="41"/>
      <c r="AL247" s="52"/>
      <c r="AM247" s="53"/>
      <c r="AN247" s="53"/>
      <c r="AO247" s="53"/>
      <c r="AP247" s="53"/>
      <c r="AQ247" s="53"/>
      <c r="AR247" s="54"/>
      <c r="AS247" s="61"/>
      <c r="AT247" s="62"/>
      <c r="AU247" s="62"/>
      <c r="AV247" s="62"/>
      <c r="AW247" s="62"/>
      <c r="AX247" s="63"/>
      <c r="AY247" s="68"/>
      <c r="AZ247" s="69"/>
      <c r="BA247" s="70"/>
      <c r="BB247" s="7"/>
    </row>
    <row r="248" spans="7:54" x14ac:dyDescent="0.15">
      <c r="G248" s="7"/>
      <c r="H248" s="38"/>
      <c r="I248" s="39"/>
      <c r="J248" s="39"/>
      <c r="K248" s="39"/>
      <c r="L248" s="39"/>
      <c r="M248" s="39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1"/>
      <c r="AC248" s="39"/>
      <c r="AD248" s="39"/>
      <c r="AE248" s="39"/>
      <c r="AF248" s="39"/>
      <c r="AG248" s="40"/>
      <c r="AH248" s="40"/>
      <c r="AI248" s="41"/>
      <c r="AJ248" s="41"/>
      <c r="AK248" s="41"/>
      <c r="AL248" s="52"/>
      <c r="AM248" s="53"/>
      <c r="AN248" s="53"/>
      <c r="AO248" s="53"/>
      <c r="AP248" s="53"/>
      <c r="AQ248" s="53"/>
      <c r="AR248" s="54"/>
      <c r="AS248" s="61"/>
      <c r="AT248" s="62"/>
      <c r="AU248" s="62"/>
      <c r="AV248" s="62"/>
      <c r="AW248" s="62"/>
      <c r="AX248" s="63"/>
      <c r="AY248" s="68"/>
      <c r="AZ248" s="69"/>
      <c r="BA248" s="70"/>
      <c r="BB248" s="7"/>
    </row>
    <row r="249" spans="7:54" x14ac:dyDescent="0.15">
      <c r="G249" s="7"/>
      <c r="H249" s="38"/>
      <c r="I249" s="39"/>
      <c r="J249" s="39"/>
      <c r="K249" s="39"/>
      <c r="L249" s="39"/>
      <c r="M249" s="39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1"/>
      <c r="AC249" s="39"/>
      <c r="AD249" s="39"/>
      <c r="AE249" s="39"/>
      <c r="AF249" s="39"/>
      <c r="AG249" s="40"/>
      <c r="AH249" s="40"/>
      <c r="AI249" s="41"/>
      <c r="AJ249" s="41"/>
      <c r="AK249" s="41"/>
      <c r="AL249" s="52"/>
      <c r="AM249" s="53"/>
      <c r="AN249" s="53"/>
      <c r="AO249" s="53"/>
      <c r="AP249" s="53"/>
      <c r="AQ249" s="53"/>
      <c r="AR249" s="54"/>
      <c r="AS249" s="61"/>
      <c r="AT249" s="62"/>
      <c r="AU249" s="62"/>
      <c r="AV249" s="62"/>
      <c r="AW249" s="62"/>
      <c r="AX249" s="63"/>
      <c r="AY249" s="68"/>
      <c r="AZ249" s="69"/>
      <c r="BA249" s="70"/>
      <c r="BB249" s="7"/>
    </row>
    <row r="250" spans="7:54" x14ac:dyDescent="0.15">
      <c r="G250" s="7"/>
      <c r="H250" s="38"/>
      <c r="I250" s="39"/>
      <c r="J250" s="39"/>
      <c r="K250" s="39"/>
      <c r="L250" s="39"/>
      <c r="M250" s="39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1"/>
      <c r="AC250" s="39"/>
      <c r="AD250" s="39"/>
      <c r="AE250" s="39"/>
      <c r="AF250" s="39"/>
      <c r="AG250" s="40"/>
      <c r="AH250" s="40"/>
      <c r="AI250" s="41"/>
      <c r="AJ250" s="41"/>
      <c r="AK250" s="41"/>
      <c r="AL250" s="52"/>
      <c r="AM250" s="53"/>
      <c r="AN250" s="53"/>
      <c r="AO250" s="53"/>
      <c r="AP250" s="53"/>
      <c r="AQ250" s="53"/>
      <c r="AR250" s="54"/>
      <c r="AS250" s="61"/>
      <c r="AT250" s="62"/>
      <c r="AU250" s="62"/>
      <c r="AV250" s="62"/>
      <c r="AW250" s="62"/>
      <c r="AX250" s="63"/>
      <c r="AY250" s="68"/>
      <c r="AZ250" s="69"/>
      <c r="BA250" s="70"/>
      <c r="BB250" s="7"/>
    </row>
    <row r="251" spans="7:54" x14ac:dyDescent="0.15">
      <c r="G251" s="7"/>
      <c r="H251" s="38"/>
      <c r="I251" s="39"/>
      <c r="J251" s="39"/>
      <c r="K251" s="39"/>
      <c r="L251" s="39"/>
      <c r="M251" s="39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1"/>
      <c r="AC251" s="39"/>
      <c r="AD251" s="39"/>
      <c r="AE251" s="39"/>
      <c r="AF251" s="39"/>
      <c r="AG251" s="40"/>
      <c r="AH251" s="40"/>
      <c r="AI251" s="41"/>
      <c r="AJ251" s="41"/>
      <c r="AK251" s="41"/>
      <c r="AL251" s="52"/>
      <c r="AM251" s="53"/>
      <c r="AN251" s="53"/>
      <c r="AO251" s="53"/>
      <c r="AP251" s="53"/>
      <c r="AQ251" s="53"/>
      <c r="AR251" s="54"/>
      <c r="AS251" s="61"/>
      <c r="AT251" s="62"/>
      <c r="AU251" s="62"/>
      <c r="AV251" s="62"/>
      <c r="AW251" s="62"/>
      <c r="AX251" s="63"/>
      <c r="AY251" s="68"/>
      <c r="AZ251" s="69"/>
      <c r="BA251" s="70"/>
      <c r="BB251" s="7"/>
    </row>
    <row r="252" spans="7:54" x14ac:dyDescent="0.15">
      <c r="G252" s="7"/>
      <c r="H252" s="38"/>
      <c r="I252" s="39"/>
      <c r="J252" s="39"/>
      <c r="K252" s="39"/>
      <c r="L252" s="39"/>
      <c r="M252" s="39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1"/>
      <c r="AC252" s="39"/>
      <c r="AD252" s="39"/>
      <c r="AE252" s="39"/>
      <c r="AF252" s="39"/>
      <c r="AG252" s="40"/>
      <c r="AH252" s="40"/>
      <c r="AI252" s="41"/>
      <c r="AJ252" s="41"/>
      <c r="AK252" s="41"/>
      <c r="AL252" s="52"/>
      <c r="AM252" s="53"/>
      <c r="AN252" s="53"/>
      <c r="AO252" s="53"/>
      <c r="AP252" s="53"/>
      <c r="AQ252" s="53"/>
      <c r="AR252" s="54"/>
      <c r="AS252" s="61"/>
      <c r="AT252" s="62"/>
      <c r="AU252" s="62"/>
      <c r="AV252" s="62"/>
      <c r="AW252" s="62"/>
      <c r="AX252" s="63"/>
      <c r="AY252" s="68"/>
      <c r="AZ252" s="69"/>
      <c r="BA252" s="70"/>
      <c r="BB252" s="7"/>
    </row>
    <row r="253" spans="7:54" x14ac:dyDescent="0.15">
      <c r="G253" s="7"/>
      <c r="H253" s="38"/>
      <c r="I253" s="39"/>
      <c r="J253" s="39"/>
      <c r="K253" s="39"/>
      <c r="L253" s="39"/>
      <c r="M253" s="39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1"/>
      <c r="AC253" s="39"/>
      <c r="AD253" s="39"/>
      <c r="AE253" s="39"/>
      <c r="AF253" s="39"/>
      <c r="AG253" s="40"/>
      <c r="AH253" s="40"/>
      <c r="AI253" s="41"/>
      <c r="AJ253" s="41"/>
      <c r="AK253" s="41"/>
      <c r="AL253" s="52"/>
      <c r="AM253" s="53"/>
      <c r="AN253" s="53"/>
      <c r="AO253" s="53"/>
      <c r="AP253" s="53"/>
      <c r="AQ253" s="53"/>
      <c r="AR253" s="54"/>
      <c r="AS253" s="61"/>
      <c r="AT253" s="62"/>
      <c r="AU253" s="62"/>
      <c r="AV253" s="62"/>
      <c r="AW253" s="62"/>
      <c r="AX253" s="63"/>
      <c r="AY253" s="68"/>
      <c r="AZ253" s="69"/>
      <c r="BA253" s="70"/>
      <c r="BB253" s="7"/>
    </row>
    <row r="254" spans="7:54" x14ac:dyDescent="0.15">
      <c r="G254" s="7"/>
      <c r="H254" s="38"/>
      <c r="I254" s="39"/>
      <c r="J254" s="39"/>
      <c r="K254" s="39"/>
      <c r="L254" s="39"/>
      <c r="M254" s="39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1"/>
      <c r="AC254" s="39"/>
      <c r="AD254" s="39"/>
      <c r="AE254" s="39"/>
      <c r="AF254" s="39"/>
      <c r="AG254" s="40"/>
      <c r="AH254" s="40"/>
      <c r="AI254" s="41"/>
      <c r="AJ254" s="41"/>
      <c r="AK254" s="41"/>
      <c r="AL254" s="52"/>
      <c r="AM254" s="53"/>
      <c r="AN254" s="53"/>
      <c r="AO254" s="53"/>
      <c r="AP254" s="53"/>
      <c r="AQ254" s="53"/>
      <c r="AR254" s="54"/>
      <c r="AS254" s="61"/>
      <c r="AT254" s="62"/>
      <c r="AU254" s="62"/>
      <c r="AV254" s="62"/>
      <c r="AW254" s="62"/>
      <c r="AX254" s="63"/>
      <c r="AY254" s="68"/>
      <c r="AZ254" s="69"/>
      <c r="BA254" s="70"/>
      <c r="BB254" s="7"/>
    </row>
    <row r="255" spans="7:54" x14ac:dyDescent="0.15">
      <c r="G255" s="7"/>
      <c r="H255" s="38"/>
      <c r="I255" s="39"/>
      <c r="J255" s="39"/>
      <c r="K255" s="39"/>
      <c r="L255" s="39"/>
      <c r="M255" s="39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1"/>
      <c r="AC255" s="39"/>
      <c r="AD255" s="39"/>
      <c r="AE255" s="39"/>
      <c r="AF255" s="39"/>
      <c r="AG255" s="40"/>
      <c r="AH255" s="40"/>
      <c r="AI255" s="41"/>
      <c r="AJ255" s="41"/>
      <c r="AK255" s="41"/>
      <c r="AL255" s="52"/>
      <c r="AM255" s="53"/>
      <c r="AN255" s="53"/>
      <c r="AO255" s="53"/>
      <c r="AP255" s="53"/>
      <c r="AQ255" s="53"/>
      <c r="AR255" s="54"/>
      <c r="AS255" s="61"/>
      <c r="AT255" s="62"/>
      <c r="AU255" s="62"/>
      <c r="AV255" s="62"/>
      <c r="AW255" s="62"/>
      <c r="AX255" s="63"/>
      <c r="AY255" s="68"/>
      <c r="AZ255" s="69"/>
      <c r="BA255" s="70"/>
      <c r="BB255" s="7"/>
    </row>
    <row r="256" spans="7:54" x14ac:dyDescent="0.15">
      <c r="G256" s="7"/>
      <c r="H256" s="38"/>
      <c r="I256" s="39"/>
      <c r="J256" s="39"/>
      <c r="K256" s="39"/>
      <c r="L256" s="39"/>
      <c r="M256" s="39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1"/>
      <c r="AC256" s="39"/>
      <c r="AD256" s="39"/>
      <c r="AE256" s="39"/>
      <c r="AF256" s="39"/>
      <c r="AG256" s="40"/>
      <c r="AH256" s="40"/>
      <c r="AI256" s="41"/>
      <c r="AJ256" s="41"/>
      <c r="AK256" s="41"/>
      <c r="AL256" s="52"/>
      <c r="AM256" s="53"/>
      <c r="AN256" s="53"/>
      <c r="AO256" s="53"/>
      <c r="AP256" s="53"/>
      <c r="AQ256" s="53"/>
      <c r="AR256" s="54"/>
      <c r="AS256" s="61"/>
      <c r="AT256" s="62"/>
      <c r="AU256" s="62"/>
      <c r="AV256" s="62"/>
      <c r="AW256" s="62"/>
      <c r="AX256" s="63"/>
      <c r="AY256" s="68"/>
      <c r="AZ256" s="69"/>
      <c r="BA256" s="70"/>
      <c r="BB256" s="7"/>
    </row>
    <row r="257" spans="7:54" x14ac:dyDescent="0.15">
      <c r="G257" s="7"/>
      <c r="H257" s="38"/>
      <c r="I257" s="39"/>
      <c r="J257" s="39"/>
      <c r="K257" s="39"/>
      <c r="L257" s="39"/>
      <c r="M257" s="39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1"/>
      <c r="AC257" s="39"/>
      <c r="AD257" s="39"/>
      <c r="AE257" s="39"/>
      <c r="AF257" s="39"/>
      <c r="AG257" s="40"/>
      <c r="AH257" s="40"/>
      <c r="AI257" s="41"/>
      <c r="AJ257" s="41"/>
      <c r="AK257" s="41"/>
      <c r="AL257" s="52"/>
      <c r="AM257" s="53"/>
      <c r="AN257" s="53"/>
      <c r="AO257" s="53"/>
      <c r="AP257" s="53"/>
      <c r="AQ257" s="53"/>
      <c r="AR257" s="54"/>
      <c r="AS257" s="61"/>
      <c r="AT257" s="62"/>
      <c r="AU257" s="62"/>
      <c r="AV257" s="62"/>
      <c r="AW257" s="62"/>
      <c r="AX257" s="63"/>
      <c r="AY257" s="68"/>
      <c r="AZ257" s="69"/>
      <c r="BA257" s="70"/>
      <c r="BB257" s="7"/>
    </row>
    <row r="258" spans="7:54" x14ac:dyDescent="0.15">
      <c r="G258" s="7"/>
      <c r="H258" s="38"/>
      <c r="I258" s="39"/>
      <c r="J258" s="39"/>
      <c r="K258" s="39"/>
      <c r="L258" s="39"/>
      <c r="M258" s="39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1"/>
      <c r="AC258" s="39"/>
      <c r="AD258" s="39"/>
      <c r="AE258" s="39"/>
      <c r="AF258" s="39"/>
      <c r="AG258" s="40"/>
      <c r="AH258" s="40"/>
      <c r="AI258" s="41"/>
      <c r="AJ258" s="41"/>
      <c r="AK258" s="41"/>
      <c r="AL258" s="52"/>
      <c r="AM258" s="53"/>
      <c r="AN258" s="53"/>
      <c r="AO258" s="53"/>
      <c r="AP258" s="53"/>
      <c r="AQ258" s="53"/>
      <c r="AR258" s="54"/>
      <c r="AS258" s="61"/>
      <c r="AT258" s="62"/>
      <c r="AU258" s="62"/>
      <c r="AV258" s="62"/>
      <c r="AW258" s="62"/>
      <c r="AX258" s="63"/>
      <c r="AY258" s="68"/>
      <c r="AZ258" s="69"/>
      <c r="BA258" s="70"/>
      <c r="BB258" s="7"/>
    </row>
    <row r="259" spans="7:54" x14ac:dyDescent="0.15">
      <c r="G259" s="7"/>
      <c r="H259" s="38"/>
      <c r="I259" s="39"/>
      <c r="J259" s="39"/>
      <c r="K259" s="39"/>
      <c r="L259" s="39"/>
      <c r="M259" s="39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1"/>
      <c r="AC259" s="39"/>
      <c r="AD259" s="39"/>
      <c r="AE259" s="39"/>
      <c r="AF259" s="39"/>
      <c r="AG259" s="40"/>
      <c r="AH259" s="40"/>
      <c r="AI259" s="41"/>
      <c r="AJ259" s="41"/>
      <c r="AK259" s="41"/>
      <c r="AL259" s="52"/>
      <c r="AM259" s="53"/>
      <c r="AN259" s="53"/>
      <c r="AO259" s="53"/>
      <c r="AP259" s="53"/>
      <c r="AQ259" s="53"/>
      <c r="AR259" s="54"/>
      <c r="AS259" s="61"/>
      <c r="AT259" s="62"/>
      <c r="AU259" s="62"/>
      <c r="AV259" s="62"/>
      <c r="AW259" s="62"/>
      <c r="AX259" s="63"/>
      <c r="AY259" s="68"/>
      <c r="AZ259" s="69"/>
      <c r="BA259" s="70"/>
      <c r="BB259" s="7"/>
    </row>
    <row r="260" spans="7:54" x14ac:dyDescent="0.15">
      <c r="G260" s="7"/>
      <c r="H260" s="38"/>
      <c r="I260" s="39"/>
      <c r="J260" s="39"/>
      <c r="K260" s="39"/>
      <c r="L260" s="39"/>
      <c r="M260" s="39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1"/>
      <c r="AC260" s="39"/>
      <c r="AD260" s="39"/>
      <c r="AE260" s="39"/>
      <c r="AF260" s="39"/>
      <c r="AG260" s="40"/>
      <c r="AH260" s="40"/>
      <c r="AI260" s="41"/>
      <c r="AJ260" s="41"/>
      <c r="AK260" s="41"/>
      <c r="AL260" s="52"/>
      <c r="AM260" s="53"/>
      <c r="AN260" s="53"/>
      <c r="AO260" s="53"/>
      <c r="AP260" s="53"/>
      <c r="AQ260" s="53"/>
      <c r="AR260" s="54"/>
      <c r="AS260" s="61"/>
      <c r="AT260" s="62"/>
      <c r="AU260" s="62"/>
      <c r="AV260" s="62"/>
      <c r="AW260" s="62"/>
      <c r="AX260" s="63"/>
      <c r="AY260" s="68"/>
      <c r="AZ260" s="69"/>
      <c r="BA260" s="70"/>
      <c r="BB260" s="7"/>
    </row>
    <row r="261" spans="7:54" x14ac:dyDescent="0.15">
      <c r="G261" s="7"/>
      <c r="H261" s="38"/>
      <c r="I261" s="39"/>
      <c r="J261" s="39"/>
      <c r="K261" s="39"/>
      <c r="L261" s="39"/>
      <c r="M261" s="39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1"/>
      <c r="AC261" s="39"/>
      <c r="AD261" s="39"/>
      <c r="AE261" s="39"/>
      <c r="AF261" s="39"/>
      <c r="AG261" s="40"/>
      <c r="AH261" s="40"/>
      <c r="AI261" s="41"/>
      <c r="AJ261" s="41"/>
      <c r="AK261" s="41"/>
      <c r="AL261" s="52"/>
      <c r="AM261" s="53"/>
      <c r="AN261" s="53"/>
      <c r="AO261" s="53"/>
      <c r="AP261" s="53"/>
      <c r="AQ261" s="53"/>
      <c r="AR261" s="54"/>
      <c r="AS261" s="61"/>
      <c r="AT261" s="62"/>
      <c r="AU261" s="62"/>
      <c r="AV261" s="62"/>
      <c r="AW261" s="62"/>
      <c r="AX261" s="63"/>
      <c r="AY261" s="68"/>
      <c r="AZ261" s="69"/>
      <c r="BA261" s="70"/>
      <c r="BB261" s="7"/>
    </row>
    <row r="262" spans="7:54" x14ac:dyDescent="0.15">
      <c r="G262" s="7"/>
      <c r="H262" s="38"/>
      <c r="I262" s="39"/>
      <c r="J262" s="39"/>
      <c r="K262" s="39"/>
      <c r="L262" s="39"/>
      <c r="M262" s="39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1"/>
      <c r="AC262" s="39"/>
      <c r="AD262" s="39"/>
      <c r="AE262" s="39"/>
      <c r="AF262" s="39"/>
      <c r="AG262" s="40"/>
      <c r="AH262" s="40"/>
      <c r="AI262" s="41"/>
      <c r="AJ262" s="41"/>
      <c r="AK262" s="41"/>
      <c r="AL262" s="52"/>
      <c r="AM262" s="53"/>
      <c r="AN262" s="53"/>
      <c r="AO262" s="53"/>
      <c r="AP262" s="53"/>
      <c r="AQ262" s="53"/>
      <c r="AR262" s="54"/>
      <c r="AS262" s="61"/>
      <c r="AT262" s="62"/>
      <c r="AU262" s="62"/>
      <c r="AV262" s="62"/>
      <c r="AW262" s="62"/>
      <c r="AX262" s="63"/>
      <c r="AY262" s="68"/>
      <c r="AZ262" s="69"/>
      <c r="BA262" s="70"/>
      <c r="BB262" s="7"/>
    </row>
    <row r="263" spans="7:54" x14ac:dyDescent="0.15">
      <c r="G263" s="7"/>
      <c r="H263" s="38"/>
      <c r="I263" s="39"/>
      <c r="J263" s="39"/>
      <c r="K263" s="39"/>
      <c r="L263" s="39"/>
      <c r="M263" s="39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1"/>
      <c r="AC263" s="39"/>
      <c r="AD263" s="39"/>
      <c r="AE263" s="39"/>
      <c r="AF263" s="39"/>
      <c r="AG263" s="40"/>
      <c r="AH263" s="40"/>
      <c r="AI263" s="41"/>
      <c r="AJ263" s="41"/>
      <c r="AK263" s="41"/>
      <c r="AL263" s="52"/>
      <c r="AM263" s="53"/>
      <c r="AN263" s="53"/>
      <c r="AO263" s="53"/>
      <c r="AP263" s="53"/>
      <c r="AQ263" s="53"/>
      <c r="AR263" s="54"/>
      <c r="AS263" s="61"/>
      <c r="AT263" s="62"/>
      <c r="AU263" s="62"/>
      <c r="AV263" s="62"/>
      <c r="AW263" s="62"/>
      <c r="AX263" s="63"/>
      <c r="AY263" s="68"/>
      <c r="AZ263" s="69"/>
      <c r="BA263" s="70"/>
      <c r="BB263" s="7"/>
    </row>
    <row r="264" spans="7:54" x14ac:dyDescent="0.15">
      <c r="G264" s="7"/>
      <c r="H264" s="38"/>
      <c r="I264" s="39"/>
      <c r="J264" s="39"/>
      <c r="K264" s="39"/>
      <c r="L264" s="39"/>
      <c r="M264" s="39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1"/>
      <c r="AC264" s="39"/>
      <c r="AD264" s="39"/>
      <c r="AE264" s="39"/>
      <c r="AF264" s="39"/>
      <c r="AG264" s="40"/>
      <c r="AH264" s="40"/>
      <c r="AI264" s="41"/>
      <c r="AJ264" s="41"/>
      <c r="AK264" s="41"/>
      <c r="AL264" s="52"/>
      <c r="AM264" s="53"/>
      <c r="AN264" s="53"/>
      <c r="AO264" s="53"/>
      <c r="AP264" s="53"/>
      <c r="AQ264" s="53"/>
      <c r="AR264" s="54"/>
      <c r="AS264" s="61"/>
      <c r="AT264" s="62"/>
      <c r="AU264" s="62"/>
      <c r="AV264" s="62"/>
      <c r="AW264" s="62"/>
      <c r="AX264" s="63"/>
      <c r="AY264" s="68"/>
      <c r="AZ264" s="69"/>
      <c r="BA264" s="70"/>
      <c r="BB264" s="7"/>
    </row>
    <row r="265" spans="7:54" x14ac:dyDescent="0.15">
      <c r="G265" s="7"/>
      <c r="H265" s="38"/>
      <c r="I265" s="39"/>
      <c r="J265" s="39"/>
      <c r="K265" s="39"/>
      <c r="L265" s="39"/>
      <c r="M265" s="39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1"/>
      <c r="AC265" s="39"/>
      <c r="AD265" s="39"/>
      <c r="AE265" s="39"/>
      <c r="AF265" s="39"/>
      <c r="AG265" s="40"/>
      <c r="AH265" s="40"/>
      <c r="AI265" s="41"/>
      <c r="AJ265" s="41"/>
      <c r="AK265" s="41"/>
      <c r="AL265" s="52"/>
      <c r="AM265" s="53"/>
      <c r="AN265" s="53"/>
      <c r="AO265" s="53"/>
      <c r="AP265" s="53"/>
      <c r="AQ265" s="53"/>
      <c r="AR265" s="54"/>
      <c r="AS265" s="61"/>
      <c r="AT265" s="62"/>
      <c r="AU265" s="62"/>
      <c r="AV265" s="62"/>
      <c r="AW265" s="62"/>
      <c r="AX265" s="63"/>
      <c r="AY265" s="68"/>
      <c r="AZ265" s="69"/>
      <c r="BA265" s="70"/>
      <c r="BB265" s="7"/>
    </row>
    <row r="266" spans="7:54" x14ac:dyDescent="0.15">
      <c r="G266" s="7"/>
      <c r="H266" s="38"/>
      <c r="I266" s="39"/>
      <c r="J266" s="39"/>
      <c r="K266" s="39"/>
      <c r="L266" s="39"/>
      <c r="M266" s="39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1"/>
      <c r="AC266" s="39"/>
      <c r="AD266" s="39"/>
      <c r="AE266" s="39"/>
      <c r="AF266" s="39"/>
      <c r="AG266" s="40"/>
      <c r="AH266" s="40"/>
      <c r="AI266" s="41"/>
      <c r="AJ266" s="41"/>
      <c r="AK266" s="41"/>
      <c r="AL266" s="52"/>
      <c r="AM266" s="53"/>
      <c r="AN266" s="53"/>
      <c r="AO266" s="53"/>
      <c r="AP266" s="53"/>
      <c r="AQ266" s="53"/>
      <c r="AR266" s="54"/>
      <c r="AS266" s="61"/>
      <c r="AT266" s="62"/>
      <c r="AU266" s="62"/>
      <c r="AV266" s="62"/>
      <c r="AW266" s="62"/>
      <c r="AX266" s="63"/>
      <c r="AY266" s="68"/>
      <c r="AZ266" s="69"/>
      <c r="BA266" s="70"/>
      <c r="BB266" s="7"/>
    </row>
    <row r="267" spans="7:54" x14ac:dyDescent="0.15">
      <c r="G267" s="7"/>
      <c r="H267" s="38"/>
      <c r="I267" s="39"/>
      <c r="J267" s="39"/>
      <c r="K267" s="39"/>
      <c r="L267" s="39"/>
      <c r="M267" s="39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1"/>
      <c r="AC267" s="39"/>
      <c r="AD267" s="39"/>
      <c r="AE267" s="39"/>
      <c r="AF267" s="39"/>
      <c r="AG267" s="40"/>
      <c r="AH267" s="40"/>
      <c r="AI267" s="41"/>
      <c r="AJ267" s="41"/>
      <c r="AK267" s="41"/>
      <c r="AL267" s="52"/>
      <c r="AM267" s="53"/>
      <c r="AN267" s="53"/>
      <c r="AO267" s="53"/>
      <c r="AP267" s="53"/>
      <c r="AQ267" s="53"/>
      <c r="AR267" s="54"/>
      <c r="AS267" s="61"/>
      <c r="AT267" s="62"/>
      <c r="AU267" s="62"/>
      <c r="AV267" s="62"/>
      <c r="AW267" s="62"/>
      <c r="AX267" s="63"/>
      <c r="AY267" s="68"/>
      <c r="AZ267" s="69"/>
      <c r="BA267" s="70"/>
      <c r="BB267" s="7"/>
    </row>
    <row r="268" spans="7:54" x14ac:dyDescent="0.15">
      <c r="G268" s="7"/>
      <c r="H268" s="38"/>
      <c r="I268" s="39"/>
      <c r="J268" s="39"/>
      <c r="K268" s="39"/>
      <c r="L268" s="39"/>
      <c r="M268" s="39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1"/>
      <c r="AC268" s="39"/>
      <c r="AD268" s="39"/>
      <c r="AE268" s="39"/>
      <c r="AF268" s="39"/>
      <c r="AG268" s="40"/>
      <c r="AH268" s="40"/>
      <c r="AI268" s="41"/>
      <c r="AJ268" s="41"/>
      <c r="AK268" s="41"/>
      <c r="AL268" s="52"/>
      <c r="AM268" s="53"/>
      <c r="AN268" s="53"/>
      <c r="AO268" s="53"/>
      <c r="AP268" s="53"/>
      <c r="AQ268" s="53"/>
      <c r="AR268" s="54"/>
      <c r="AS268" s="61"/>
      <c r="AT268" s="62"/>
      <c r="AU268" s="62"/>
      <c r="AV268" s="62"/>
      <c r="AW268" s="62"/>
      <c r="AX268" s="63"/>
      <c r="AY268" s="68"/>
      <c r="AZ268" s="69"/>
      <c r="BA268" s="70"/>
      <c r="BB268" s="7"/>
    </row>
    <row r="269" spans="7:54" x14ac:dyDescent="0.15">
      <c r="G269" s="7"/>
      <c r="H269" s="38"/>
      <c r="I269" s="39"/>
      <c r="J269" s="39"/>
      <c r="K269" s="39"/>
      <c r="L269" s="39"/>
      <c r="M269" s="39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1"/>
      <c r="AC269" s="39"/>
      <c r="AD269" s="39"/>
      <c r="AE269" s="39"/>
      <c r="AF269" s="39"/>
      <c r="AG269" s="40"/>
      <c r="AH269" s="40"/>
      <c r="AI269" s="41"/>
      <c r="AJ269" s="41"/>
      <c r="AK269" s="41"/>
      <c r="AL269" s="52"/>
      <c r="AM269" s="53"/>
      <c r="AN269" s="53"/>
      <c r="AO269" s="53"/>
      <c r="AP269" s="53"/>
      <c r="AQ269" s="53"/>
      <c r="AR269" s="54"/>
      <c r="AS269" s="61"/>
      <c r="AT269" s="62"/>
      <c r="AU269" s="62"/>
      <c r="AV269" s="62"/>
      <c r="AW269" s="62"/>
      <c r="AX269" s="63"/>
      <c r="AY269" s="68"/>
      <c r="AZ269" s="69"/>
      <c r="BA269" s="70"/>
      <c r="BB269" s="7"/>
    </row>
    <row r="270" spans="7:54" x14ac:dyDescent="0.15">
      <c r="G270" s="7"/>
      <c r="H270" s="38"/>
      <c r="I270" s="39"/>
      <c r="J270" s="39"/>
      <c r="K270" s="39"/>
      <c r="L270" s="39"/>
      <c r="M270" s="39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1"/>
      <c r="AC270" s="39"/>
      <c r="AD270" s="39"/>
      <c r="AE270" s="39"/>
      <c r="AF270" s="39"/>
      <c r="AG270" s="40"/>
      <c r="AH270" s="40"/>
      <c r="AI270" s="41"/>
      <c r="AJ270" s="41"/>
      <c r="AK270" s="41"/>
      <c r="AL270" s="52"/>
      <c r="AM270" s="53"/>
      <c r="AN270" s="53"/>
      <c r="AO270" s="53"/>
      <c r="AP270" s="53"/>
      <c r="AQ270" s="53"/>
      <c r="AR270" s="54"/>
      <c r="AS270" s="61"/>
      <c r="AT270" s="62"/>
      <c r="AU270" s="62"/>
      <c r="AV270" s="62"/>
      <c r="AW270" s="62"/>
      <c r="AX270" s="63"/>
      <c r="AY270" s="68"/>
      <c r="AZ270" s="69"/>
      <c r="BA270" s="70"/>
      <c r="BB270" s="7"/>
    </row>
    <row r="271" spans="7:54" x14ac:dyDescent="0.15">
      <c r="G271" s="7"/>
      <c r="H271" s="38"/>
      <c r="I271" s="39"/>
      <c r="J271" s="39"/>
      <c r="K271" s="39"/>
      <c r="L271" s="39"/>
      <c r="M271" s="39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1"/>
      <c r="AC271" s="39"/>
      <c r="AD271" s="39"/>
      <c r="AE271" s="39"/>
      <c r="AF271" s="39"/>
      <c r="AG271" s="40"/>
      <c r="AH271" s="40"/>
      <c r="AI271" s="41"/>
      <c r="AJ271" s="41"/>
      <c r="AK271" s="41"/>
      <c r="AL271" s="52"/>
      <c r="AM271" s="53"/>
      <c r="AN271" s="53"/>
      <c r="AO271" s="53"/>
      <c r="AP271" s="53"/>
      <c r="AQ271" s="53"/>
      <c r="AR271" s="54"/>
      <c r="AS271" s="61"/>
      <c r="AT271" s="62"/>
      <c r="AU271" s="62"/>
      <c r="AV271" s="62"/>
      <c r="AW271" s="62"/>
      <c r="AX271" s="63"/>
      <c r="AY271" s="68"/>
      <c r="AZ271" s="69"/>
      <c r="BA271" s="70"/>
      <c r="BB271" s="7"/>
    </row>
    <row r="272" spans="7:54" x14ac:dyDescent="0.15">
      <c r="G272" s="7"/>
      <c r="H272" s="38"/>
      <c r="I272" s="39"/>
      <c r="J272" s="39"/>
      <c r="K272" s="39"/>
      <c r="L272" s="39"/>
      <c r="M272" s="39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1"/>
      <c r="AC272" s="39"/>
      <c r="AD272" s="39"/>
      <c r="AE272" s="39"/>
      <c r="AF272" s="39"/>
      <c r="AG272" s="40"/>
      <c r="AH272" s="40"/>
      <c r="AI272" s="41"/>
      <c r="AJ272" s="41"/>
      <c r="AK272" s="41"/>
      <c r="AL272" s="52"/>
      <c r="AM272" s="53"/>
      <c r="AN272" s="53"/>
      <c r="AO272" s="53"/>
      <c r="AP272" s="53"/>
      <c r="AQ272" s="53"/>
      <c r="AR272" s="54"/>
      <c r="AS272" s="61"/>
      <c r="AT272" s="62"/>
      <c r="AU272" s="62"/>
      <c r="AV272" s="62"/>
      <c r="AW272" s="62"/>
      <c r="AX272" s="63"/>
      <c r="AY272" s="68"/>
      <c r="AZ272" s="69"/>
      <c r="BA272" s="70"/>
      <c r="BB272" s="7"/>
    </row>
    <row r="273" spans="7:54" x14ac:dyDescent="0.15">
      <c r="G273" s="7"/>
      <c r="H273" s="38"/>
      <c r="I273" s="39"/>
      <c r="J273" s="39"/>
      <c r="K273" s="39"/>
      <c r="L273" s="39"/>
      <c r="M273" s="39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1"/>
      <c r="AC273" s="39"/>
      <c r="AD273" s="39"/>
      <c r="AE273" s="39"/>
      <c r="AF273" s="39"/>
      <c r="AG273" s="40"/>
      <c r="AH273" s="40"/>
      <c r="AI273" s="41"/>
      <c r="AJ273" s="41"/>
      <c r="AK273" s="41"/>
      <c r="AL273" s="52"/>
      <c r="AM273" s="53"/>
      <c r="AN273" s="53"/>
      <c r="AO273" s="53"/>
      <c r="AP273" s="53"/>
      <c r="AQ273" s="53"/>
      <c r="AR273" s="54"/>
      <c r="AS273" s="61"/>
      <c r="AT273" s="62"/>
      <c r="AU273" s="62"/>
      <c r="AV273" s="62"/>
      <c r="AW273" s="62"/>
      <c r="AX273" s="63"/>
      <c r="AY273" s="68"/>
      <c r="AZ273" s="69"/>
      <c r="BA273" s="70"/>
      <c r="BB273" s="7"/>
    </row>
    <row r="274" spans="7:54" x14ac:dyDescent="0.15">
      <c r="G274" s="7"/>
      <c r="H274" s="38"/>
      <c r="I274" s="39"/>
      <c r="J274" s="39"/>
      <c r="K274" s="39"/>
      <c r="L274" s="39"/>
      <c r="M274" s="39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1"/>
      <c r="AC274" s="39"/>
      <c r="AD274" s="39"/>
      <c r="AE274" s="39"/>
      <c r="AF274" s="39"/>
      <c r="AG274" s="40"/>
      <c r="AH274" s="40"/>
      <c r="AI274" s="41"/>
      <c r="AJ274" s="41"/>
      <c r="AK274" s="41"/>
      <c r="AL274" s="52"/>
      <c r="AM274" s="53"/>
      <c r="AN274" s="53"/>
      <c r="AO274" s="53"/>
      <c r="AP274" s="53"/>
      <c r="AQ274" s="53"/>
      <c r="AR274" s="54"/>
      <c r="AS274" s="61"/>
      <c r="AT274" s="62"/>
      <c r="AU274" s="62"/>
      <c r="AV274" s="62"/>
      <c r="AW274" s="62"/>
      <c r="AX274" s="63"/>
      <c r="AY274" s="68"/>
      <c r="AZ274" s="69"/>
      <c r="BA274" s="70"/>
      <c r="BB274" s="7"/>
    </row>
    <row r="275" spans="7:54" x14ac:dyDescent="0.15">
      <c r="G275" s="7"/>
      <c r="H275" s="38"/>
      <c r="I275" s="39"/>
      <c r="J275" s="39"/>
      <c r="K275" s="39"/>
      <c r="L275" s="39"/>
      <c r="M275" s="39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1"/>
      <c r="AC275" s="39"/>
      <c r="AD275" s="39"/>
      <c r="AE275" s="39"/>
      <c r="AF275" s="39"/>
      <c r="AG275" s="40"/>
      <c r="AH275" s="40"/>
      <c r="AI275" s="41"/>
      <c r="AJ275" s="41"/>
      <c r="AK275" s="41"/>
      <c r="AL275" s="52"/>
      <c r="AM275" s="53"/>
      <c r="AN275" s="53"/>
      <c r="AO275" s="53"/>
      <c r="AP275" s="53"/>
      <c r="AQ275" s="53"/>
      <c r="AR275" s="54"/>
      <c r="AS275" s="61"/>
      <c r="AT275" s="62"/>
      <c r="AU275" s="62"/>
      <c r="AV275" s="62"/>
      <c r="AW275" s="62"/>
      <c r="AX275" s="63"/>
      <c r="AY275" s="68"/>
      <c r="AZ275" s="69"/>
      <c r="BA275" s="70"/>
      <c r="BB275" s="7"/>
    </row>
    <row r="276" spans="7:54" x14ac:dyDescent="0.15">
      <c r="G276" s="7"/>
      <c r="H276" s="38"/>
      <c r="I276" s="39"/>
      <c r="J276" s="39"/>
      <c r="K276" s="39"/>
      <c r="L276" s="39"/>
      <c r="M276" s="39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1"/>
      <c r="AC276" s="39"/>
      <c r="AD276" s="39"/>
      <c r="AE276" s="39"/>
      <c r="AF276" s="39"/>
      <c r="AG276" s="40"/>
      <c r="AH276" s="40"/>
      <c r="AI276" s="41"/>
      <c r="AJ276" s="41"/>
      <c r="AK276" s="41"/>
      <c r="AL276" s="52"/>
      <c r="AM276" s="53"/>
      <c r="AN276" s="53"/>
      <c r="AO276" s="53"/>
      <c r="AP276" s="53"/>
      <c r="AQ276" s="53"/>
      <c r="AR276" s="54"/>
      <c r="AS276" s="61"/>
      <c r="AT276" s="62"/>
      <c r="AU276" s="62"/>
      <c r="AV276" s="62"/>
      <c r="AW276" s="62"/>
      <c r="AX276" s="63"/>
      <c r="AY276" s="68"/>
      <c r="AZ276" s="69"/>
      <c r="BA276" s="70"/>
      <c r="BB276" s="7"/>
    </row>
    <row r="277" spans="7:54" x14ac:dyDescent="0.15">
      <c r="G277" s="7"/>
      <c r="H277" s="38"/>
      <c r="I277" s="39"/>
      <c r="J277" s="39"/>
      <c r="K277" s="39"/>
      <c r="L277" s="39"/>
      <c r="M277" s="39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1"/>
      <c r="AC277" s="39"/>
      <c r="AD277" s="39"/>
      <c r="AE277" s="39"/>
      <c r="AF277" s="39"/>
      <c r="AG277" s="40"/>
      <c r="AH277" s="40"/>
      <c r="AI277" s="41"/>
      <c r="AJ277" s="41"/>
      <c r="AK277" s="41"/>
      <c r="AL277" s="52"/>
      <c r="AM277" s="53"/>
      <c r="AN277" s="53"/>
      <c r="AO277" s="53"/>
      <c r="AP277" s="53"/>
      <c r="AQ277" s="53"/>
      <c r="AR277" s="54"/>
      <c r="AS277" s="61"/>
      <c r="AT277" s="62"/>
      <c r="AU277" s="62"/>
      <c r="AV277" s="62"/>
      <c r="AW277" s="62"/>
      <c r="AX277" s="63"/>
      <c r="AY277" s="68"/>
      <c r="AZ277" s="69"/>
      <c r="BA277" s="70"/>
      <c r="BB277" s="7"/>
    </row>
    <row r="278" spans="7:54" x14ac:dyDescent="0.15">
      <c r="G278" s="7"/>
      <c r="H278" s="38"/>
      <c r="I278" s="39"/>
      <c r="J278" s="39"/>
      <c r="K278" s="39"/>
      <c r="L278" s="39"/>
      <c r="M278" s="39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1"/>
      <c r="AC278" s="39"/>
      <c r="AD278" s="39"/>
      <c r="AE278" s="39"/>
      <c r="AF278" s="39"/>
      <c r="AG278" s="40"/>
      <c r="AH278" s="40"/>
      <c r="AI278" s="41"/>
      <c r="AJ278" s="41"/>
      <c r="AK278" s="41"/>
      <c r="AL278" s="52"/>
      <c r="AM278" s="53"/>
      <c r="AN278" s="53"/>
      <c r="AO278" s="53"/>
      <c r="AP278" s="53"/>
      <c r="AQ278" s="53"/>
      <c r="AR278" s="54"/>
      <c r="AS278" s="61"/>
      <c r="AT278" s="62"/>
      <c r="AU278" s="62"/>
      <c r="AV278" s="62"/>
      <c r="AW278" s="62"/>
      <c r="AX278" s="63"/>
      <c r="AY278" s="68"/>
      <c r="AZ278" s="69"/>
      <c r="BA278" s="70"/>
      <c r="BB278" s="7"/>
    </row>
    <row r="279" spans="7:54" x14ac:dyDescent="0.15">
      <c r="G279" s="7"/>
      <c r="H279" s="38"/>
      <c r="I279" s="39"/>
      <c r="J279" s="39"/>
      <c r="K279" s="39"/>
      <c r="L279" s="39"/>
      <c r="M279" s="39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1"/>
      <c r="AC279" s="39"/>
      <c r="AD279" s="39"/>
      <c r="AE279" s="39"/>
      <c r="AF279" s="39"/>
      <c r="AG279" s="40"/>
      <c r="AH279" s="40"/>
      <c r="AI279" s="41"/>
      <c r="AJ279" s="41"/>
      <c r="AK279" s="41"/>
      <c r="AL279" s="52"/>
      <c r="AM279" s="53"/>
      <c r="AN279" s="53"/>
      <c r="AO279" s="53"/>
      <c r="AP279" s="53"/>
      <c r="AQ279" s="53"/>
      <c r="AR279" s="54"/>
      <c r="AS279" s="61"/>
      <c r="AT279" s="62"/>
      <c r="AU279" s="62"/>
      <c r="AV279" s="62"/>
      <c r="AW279" s="62"/>
      <c r="AX279" s="63"/>
      <c r="AY279" s="68"/>
      <c r="AZ279" s="69"/>
      <c r="BA279" s="70"/>
      <c r="BB279" s="7"/>
    </row>
    <row r="280" spans="7:54" x14ac:dyDescent="0.15">
      <c r="G280" s="7"/>
      <c r="H280" s="38"/>
      <c r="I280" s="39"/>
      <c r="J280" s="39"/>
      <c r="K280" s="39"/>
      <c r="L280" s="39"/>
      <c r="M280" s="39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1"/>
      <c r="AC280" s="39"/>
      <c r="AD280" s="39"/>
      <c r="AE280" s="39"/>
      <c r="AF280" s="39"/>
      <c r="AG280" s="40"/>
      <c r="AH280" s="40"/>
      <c r="AI280" s="41"/>
      <c r="AJ280" s="41"/>
      <c r="AK280" s="41"/>
      <c r="AL280" s="52"/>
      <c r="AM280" s="53"/>
      <c r="AN280" s="53"/>
      <c r="AO280" s="53"/>
      <c r="AP280" s="53"/>
      <c r="AQ280" s="53"/>
      <c r="AR280" s="54"/>
      <c r="AS280" s="61"/>
      <c r="AT280" s="62"/>
      <c r="AU280" s="62"/>
      <c r="AV280" s="62"/>
      <c r="AW280" s="62"/>
      <c r="AX280" s="63"/>
      <c r="AY280" s="68"/>
      <c r="AZ280" s="69"/>
      <c r="BA280" s="70"/>
      <c r="BB280" s="7"/>
    </row>
    <row r="281" spans="7:54" x14ac:dyDescent="0.15">
      <c r="G281" s="7"/>
      <c r="H281" s="38"/>
      <c r="I281" s="39"/>
      <c r="J281" s="39"/>
      <c r="K281" s="39"/>
      <c r="L281" s="39"/>
      <c r="M281" s="39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1"/>
      <c r="AC281" s="39"/>
      <c r="AD281" s="39"/>
      <c r="AE281" s="39"/>
      <c r="AF281" s="39"/>
      <c r="AG281" s="40"/>
      <c r="AH281" s="40"/>
      <c r="AI281" s="41"/>
      <c r="AJ281" s="41"/>
      <c r="AK281" s="41"/>
      <c r="AL281" s="52"/>
      <c r="AM281" s="53"/>
      <c r="AN281" s="53"/>
      <c r="AO281" s="53"/>
      <c r="AP281" s="53"/>
      <c r="AQ281" s="53"/>
      <c r="AR281" s="54"/>
      <c r="AS281" s="61"/>
      <c r="AT281" s="62"/>
      <c r="AU281" s="62"/>
      <c r="AV281" s="62"/>
      <c r="AW281" s="62"/>
      <c r="AX281" s="63"/>
      <c r="AY281" s="68"/>
      <c r="AZ281" s="69"/>
      <c r="BA281" s="70"/>
      <c r="BB281" s="7"/>
    </row>
    <row r="282" spans="7:54" x14ac:dyDescent="0.15">
      <c r="G282" s="7"/>
      <c r="H282" s="38"/>
      <c r="I282" s="39"/>
      <c r="J282" s="39"/>
      <c r="K282" s="39"/>
      <c r="L282" s="39"/>
      <c r="M282" s="39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1"/>
      <c r="AC282" s="39"/>
      <c r="AD282" s="39"/>
      <c r="AE282" s="39"/>
      <c r="AF282" s="39"/>
      <c r="AG282" s="40"/>
      <c r="AH282" s="40"/>
      <c r="AI282" s="41"/>
      <c r="AJ282" s="41"/>
      <c r="AK282" s="41"/>
      <c r="AL282" s="52"/>
      <c r="AM282" s="53"/>
      <c r="AN282" s="53"/>
      <c r="AO282" s="53"/>
      <c r="AP282" s="53"/>
      <c r="AQ282" s="53"/>
      <c r="AR282" s="54"/>
      <c r="AS282" s="61"/>
      <c r="AT282" s="62"/>
      <c r="AU282" s="62"/>
      <c r="AV282" s="62"/>
      <c r="AW282" s="62"/>
      <c r="AX282" s="63"/>
      <c r="AY282" s="68"/>
      <c r="AZ282" s="69"/>
      <c r="BA282" s="70"/>
      <c r="BB282" s="7"/>
    </row>
    <row r="283" spans="7:54" x14ac:dyDescent="0.15">
      <c r="G283" s="7"/>
      <c r="H283" s="38"/>
      <c r="I283" s="39"/>
      <c r="J283" s="39"/>
      <c r="K283" s="39"/>
      <c r="L283" s="39"/>
      <c r="M283" s="39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1"/>
      <c r="AC283" s="39"/>
      <c r="AD283" s="39"/>
      <c r="AE283" s="39"/>
      <c r="AF283" s="39"/>
      <c r="AG283" s="40"/>
      <c r="AH283" s="40"/>
      <c r="AI283" s="41"/>
      <c r="AJ283" s="41"/>
      <c r="AK283" s="41"/>
      <c r="AL283" s="52"/>
      <c r="AM283" s="53"/>
      <c r="AN283" s="53"/>
      <c r="AO283" s="53"/>
      <c r="AP283" s="53"/>
      <c r="AQ283" s="53"/>
      <c r="AR283" s="54"/>
      <c r="AS283" s="61"/>
      <c r="AT283" s="62"/>
      <c r="AU283" s="62"/>
      <c r="AV283" s="62"/>
      <c r="AW283" s="62"/>
      <c r="AX283" s="63"/>
      <c r="AY283" s="68"/>
      <c r="AZ283" s="69"/>
      <c r="BA283" s="70"/>
      <c r="BB283" s="7"/>
    </row>
    <row r="284" spans="7:54" x14ac:dyDescent="0.15">
      <c r="G284" s="7"/>
      <c r="H284" s="38"/>
      <c r="I284" s="39"/>
      <c r="J284" s="39"/>
      <c r="K284" s="39"/>
      <c r="L284" s="39"/>
      <c r="M284" s="39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1"/>
      <c r="AC284" s="39"/>
      <c r="AD284" s="39"/>
      <c r="AE284" s="39"/>
      <c r="AF284" s="39"/>
      <c r="AG284" s="40"/>
      <c r="AH284" s="40"/>
      <c r="AI284" s="41"/>
      <c r="AJ284" s="41"/>
      <c r="AK284" s="41"/>
      <c r="AL284" s="52"/>
      <c r="AM284" s="53"/>
      <c r="AN284" s="53"/>
      <c r="AO284" s="53"/>
      <c r="AP284" s="53"/>
      <c r="AQ284" s="53"/>
      <c r="AR284" s="54"/>
      <c r="AS284" s="61"/>
      <c r="AT284" s="62"/>
      <c r="AU284" s="62"/>
      <c r="AV284" s="62"/>
      <c r="AW284" s="62"/>
      <c r="AX284" s="63"/>
      <c r="AY284" s="68"/>
      <c r="AZ284" s="69"/>
      <c r="BA284" s="70"/>
      <c r="BB284" s="7"/>
    </row>
    <row r="285" spans="7:54" x14ac:dyDescent="0.15">
      <c r="G285" s="7"/>
      <c r="H285" s="38"/>
      <c r="I285" s="39"/>
      <c r="J285" s="39"/>
      <c r="K285" s="39"/>
      <c r="L285" s="39"/>
      <c r="M285" s="39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1"/>
      <c r="AC285" s="39"/>
      <c r="AD285" s="39"/>
      <c r="AE285" s="39"/>
      <c r="AF285" s="39"/>
      <c r="AG285" s="40"/>
      <c r="AH285" s="40"/>
      <c r="AI285" s="41"/>
      <c r="AJ285" s="41"/>
      <c r="AK285" s="41"/>
      <c r="AL285" s="52"/>
      <c r="AM285" s="53"/>
      <c r="AN285" s="53"/>
      <c r="AO285" s="53"/>
      <c r="AP285" s="53"/>
      <c r="AQ285" s="53"/>
      <c r="AR285" s="54"/>
      <c r="AS285" s="61"/>
      <c r="AT285" s="62"/>
      <c r="AU285" s="62"/>
      <c r="AV285" s="62"/>
      <c r="AW285" s="62"/>
      <c r="AX285" s="63"/>
      <c r="AY285" s="68"/>
      <c r="AZ285" s="69"/>
      <c r="BA285" s="70"/>
      <c r="BB285" s="7"/>
    </row>
    <row r="286" spans="7:54" x14ac:dyDescent="0.15">
      <c r="G286" s="7"/>
      <c r="H286" s="38"/>
      <c r="I286" s="39"/>
      <c r="J286" s="39"/>
      <c r="K286" s="39"/>
      <c r="L286" s="39"/>
      <c r="M286" s="39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1"/>
      <c r="AC286" s="39"/>
      <c r="AD286" s="39"/>
      <c r="AE286" s="39"/>
      <c r="AF286" s="39"/>
      <c r="AG286" s="40"/>
      <c r="AH286" s="40"/>
      <c r="AI286" s="41"/>
      <c r="AJ286" s="41"/>
      <c r="AK286" s="41"/>
      <c r="AL286" s="52"/>
      <c r="AM286" s="53"/>
      <c r="AN286" s="53"/>
      <c r="AO286" s="53"/>
      <c r="AP286" s="53"/>
      <c r="AQ286" s="53"/>
      <c r="AR286" s="54"/>
      <c r="AS286" s="61"/>
      <c r="AT286" s="62"/>
      <c r="AU286" s="62"/>
      <c r="AV286" s="62"/>
      <c r="AW286" s="62"/>
      <c r="AX286" s="63"/>
      <c r="AY286" s="68"/>
      <c r="AZ286" s="69"/>
      <c r="BA286" s="70"/>
      <c r="BB286" s="7"/>
    </row>
    <row r="287" spans="7:54" x14ac:dyDescent="0.15">
      <c r="G287" s="7"/>
      <c r="H287" s="38"/>
      <c r="I287" s="39"/>
      <c r="J287" s="39"/>
      <c r="K287" s="39"/>
      <c r="L287" s="39"/>
      <c r="M287" s="39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1"/>
      <c r="AC287" s="39"/>
      <c r="AD287" s="39"/>
      <c r="AE287" s="39"/>
      <c r="AF287" s="39"/>
      <c r="AG287" s="40"/>
      <c r="AH287" s="40"/>
      <c r="AI287" s="41"/>
      <c r="AJ287" s="41"/>
      <c r="AK287" s="41"/>
      <c r="AL287" s="52"/>
      <c r="AM287" s="53"/>
      <c r="AN287" s="53"/>
      <c r="AO287" s="53"/>
      <c r="AP287" s="53"/>
      <c r="AQ287" s="53"/>
      <c r="AR287" s="54"/>
      <c r="AS287" s="61"/>
      <c r="AT287" s="62"/>
      <c r="AU287" s="62"/>
      <c r="AV287" s="62"/>
      <c r="AW287" s="62"/>
      <c r="AX287" s="63"/>
      <c r="AY287" s="68"/>
      <c r="AZ287" s="69"/>
      <c r="BA287" s="70"/>
      <c r="BB287" s="7"/>
    </row>
    <row r="288" spans="7:54" x14ac:dyDescent="0.15">
      <c r="G288" s="7"/>
      <c r="H288" s="38"/>
      <c r="I288" s="39"/>
      <c r="J288" s="39"/>
      <c r="K288" s="39"/>
      <c r="L288" s="39"/>
      <c r="M288" s="39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1"/>
      <c r="AC288" s="39"/>
      <c r="AD288" s="39"/>
      <c r="AE288" s="39"/>
      <c r="AF288" s="39"/>
      <c r="AG288" s="40"/>
      <c r="AH288" s="40"/>
      <c r="AI288" s="41"/>
      <c r="AJ288" s="41"/>
      <c r="AK288" s="41"/>
      <c r="AL288" s="52"/>
      <c r="AM288" s="53"/>
      <c r="AN288" s="53"/>
      <c r="AO288" s="53"/>
      <c r="AP288" s="53"/>
      <c r="AQ288" s="53"/>
      <c r="AR288" s="54"/>
      <c r="AS288" s="61"/>
      <c r="AT288" s="62"/>
      <c r="AU288" s="62"/>
      <c r="AV288" s="62"/>
      <c r="AW288" s="62"/>
      <c r="AX288" s="63"/>
      <c r="AY288" s="68"/>
      <c r="AZ288" s="69"/>
      <c r="BA288" s="70"/>
      <c r="BB288" s="7"/>
    </row>
    <row r="289" spans="7:54" x14ac:dyDescent="0.15">
      <c r="G289" s="7"/>
      <c r="H289" s="38"/>
      <c r="I289" s="39"/>
      <c r="J289" s="39"/>
      <c r="K289" s="39"/>
      <c r="L289" s="39"/>
      <c r="M289" s="39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1"/>
      <c r="AC289" s="39"/>
      <c r="AD289" s="39"/>
      <c r="AE289" s="39"/>
      <c r="AF289" s="39"/>
      <c r="AG289" s="40"/>
      <c r="AH289" s="40"/>
      <c r="AI289" s="41"/>
      <c r="AJ289" s="41"/>
      <c r="AK289" s="41"/>
      <c r="AL289" s="52"/>
      <c r="AM289" s="53"/>
      <c r="AN289" s="53"/>
      <c r="AO289" s="53"/>
      <c r="AP289" s="53"/>
      <c r="AQ289" s="53"/>
      <c r="AR289" s="54"/>
      <c r="AS289" s="61"/>
      <c r="AT289" s="62"/>
      <c r="AU289" s="62"/>
      <c r="AV289" s="62"/>
      <c r="AW289" s="62"/>
      <c r="AX289" s="63"/>
      <c r="AY289" s="68"/>
      <c r="AZ289" s="69"/>
      <c r="BA289" s="70"/>
      <c r="BB289" s="7"/>
    </row>
    <row r="290" spans="7:54" x14ac:dyDescent="0.15">
      <c r="G290" s="7"/>
      <c r="H290" s="38"/>
      <c r="I290" s="39"/>
      <c r="J290" s="39"/>
      <c r="K290" s="39"/>
      <c r="L290" s="39"/>
      <c r="M290" s="39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1"/>
      <c r="AC290" s="39"/>
      <c r="AD290" s="39"/>
      <c r="AE290" s="39"/>
      <c r="AF290" s="39"/>
      <c r="AG290" s="40"/>
      <c r="AH290" s="40"/>
      <c r="AI290" s="41"/>
      <c r="AJ290" s="41"/>
      <c r="AK290" s="41"/>
      <c r="AL290" s="52"/>
      <c r="AM290" s="53"/>
      <c r="AN290" s="53"/>
      <c r="AO290" s="53"/>
      <c r="AP290" s="53"/>
      <c r="AQ290" s="53"/>
      <c r="AR290" s="54"/>
      <c r="AS290" s="61"/>
      <c r="AT290" s="62"/>
      <c r="AU290" s="62"/>
      <c r="AV290" s="62"/>
      <c r="AW290" s="62"/>
      <c r="AX290" s="63"/>
      <c r="AY290" s="68"/>
      <c r="AZ290" s="69"/>
      <c r="BA290" s="70"/>
      <c r="BB290" s="7"/>
    </row>
    <row r="291" spans="7:54" x14ac:dyDescent="0.15">
      <c r="G291" s="7"/>
      <c r="H291" s="38"/>
      <c r="I291" s="39"/>
      <c r="J291" s="39"/>
      <c r="K291" s="39"/>
      <c r="L291" s="39"/>
      <c r="M291" s="39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1"/>
      <c r="AC291" s="39"/>
      <c r="AD291" s="39"/>
      <c r="AE291" s="39"/>
      <c r="AF291" s="39"/>
      <c r="AG291" s="40"/>
      <c r="AH291" s="40"/>
      <c r="AI291" s="41"/>
      <c r="AJ291" s="41"/>
      <c r="AK291" s="41"/>
      <c r="AL291" s="52"/>
      <c r="AM291" s="53"/>
      <c r="AN291" s="53"/>
      <c r="AO291" s="53"/>
      <c r="AP291" s="53"/>
      <c r="AQ291" s="53"/>
      <c r="AR291" s="54"/>
      <c r="AS291" s="61"/>
      <c r="AT291" s="62"/>
      <c r="AU291" s="62"/>
      <c r="AV291" s="62"/>
      <c r="AW291" s="62"/>
      <c r="AX291" s="63"/>
      <c r="AY291" s="68"/>
      <c r="AZ291" s="69"/>
      <c r="BA291" s="70"/>
      <c r="BB291" s="7"/>
    </row>
    <row r="292" spans="7:54" x14ac:dyDescent="0.15">
      <c r="G292" s="7"/>
      <c r="H292" s="38"/>
      <c r="I292" s="39"/>
      <c r="J292" s="39"/>
      <c r="K292" s="39"/>
      <c r="L292" s="39"/>
      <c r="M292" s="39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1"/>
      <c r="AC292" s="39"/>
      <c r="AD292" s="39"/>
      <c r="AE292" s="39"/>
      <c r="AF292" s="39"/>
      <c r="AG292" s="40"/>
      <c r="AH292" s="40"/>
      <c r="AI292" s="41"/>
      <c r="AJ292" s="41"/>
      <c r="AK292" s="41"/>
      <c r="AL292" s="52"/>
      <c r="AM292" s="53"/>
      <c r="AN292" s="53"/>
      <c r="AO292" s="53"/>
      <c r="AP292" s="53"/>
      <c r="AQ292" s="53"/>
      <c r="AR292" s="54"/>
      <c r="AS292" s="61"/>
      <c r="AT292" s="62"/>
      <c r="AU292" s="62"/>
      <c r="AV292" s="62"/>
      <c r="AW292" s="62"/>
      <c r="AX292" s="63"/>
      <c r="AY292" s="68"/>
      <c r="AZ292" s="69"/>
      <c r="BA292" s="70"/>
      <c r="BB292" s="7"/>
    </row>
    <row r="293" spans="7:54" x14ac:dyDescent="0.15">
      <c r="G293" s="7"/>
      <c r="H293" s="38"/>
      <c r="I293" s="39"/>
      <c r="J293" s="39"/>
      <c r="K293" s="39"/>
      <c r="L293" s="39"/>
      <c r="M293" s="39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1"/>
      <c r="AC293" s="39"/>
      <c r="AD293" s="39"/>
      <c r="AE293" s="39"/>
      <c r="AF293" s="39"/>
      <c r="AG293" s="40"/>
      <c r="AH293" s="40"/>
      <c r="AI293" s="41"/>
      <c r="AJ293" s="41"/>
      <c r="AK293" s="41"/>
      <c r="AL293" s="52"/>
      <c r="AM293" s="53"/>
      <c r="AN293" s="53"/>
      <c r="AO293" s="53"/>
      <c r="AP293" s="53"/>
      <c r="AQ293" s="53"/>
      <c r="AR293" s="54"/>
      <c r="AS293" s="61"/>
      <c r="AT293" s="62"/>
      <c r="AU293" s="62"/>
      <c r="AV293" s="62"/>
      <c r="AW293" s="62"/>
      <c r="AX293" s="63"/>
      <c r="AY293" s="68"/>
      <c r="AZ293" s="69"/>
      <c r="BA293" s="70"/>
      <c r="BB293" s="7"/>
    </row>
    <row r="294" spans="7:54" x14ac:dyDescent="0.15">
      <c r="G294" s="7"/>
      <c r="H294" s="38"/>
      <c r="I294" s="39"/>
      <c r="J294" s="39"/>
      <c r="K294" s="39"/>
      <c r="L294" s="39"/>
      <c r="M294" s="39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1"/>
      <c r="AC294" s="39"/>
      <c r="AD294" s="39"/>
      <c r="AE294" s="39"/>
      <c r="AF294" s="39"/>
      <c r="AG294" s="40"/>
      <c r="AH294" s="40"/>
      <c r="AI294" s="41"/>
      <c r="AJ294" s="41"/>
      <c r="AK294" s="41"/>
      <c r="AL294" s="52"/>
      <c r="AM294" s="53"/>
      <c r="AN294" s="53"/>
      <c r="AO294" s="53"/>
      <c r="AP294" s="53"/>
      <c r="AQ294" s="53"/>
      <c r="AR294" s="54"/>
      <c r="AS294" s="61"/>
      <c r="AT294" s="62"/>
      <c r="AU294" s="62"/>
      <c r="AV294" s="62"/>
      <c r="AW294" s="62"/>
      <c r="AX294" s="63"/>
      <c r="AY294" s="68"/>
      <c r="AZ294" s="69"/>
      <c r="BA294" s="70"/>
      <c r="BB294" s="7"/>
    </row>
    <row r="295" spans="7:54" x14ac:dyDescent="0.15">
      <c r="G295" s="7"/>
      <c r="H295" s="38"/>
      <c r="I295" s="39"/>
      <c r="J295" s="39"/>
      <c r="K295" s="39"/>
      <c r="L295" s="39"/>
      <c r="M295" s="39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1"/>
      <c r="AC295" s="39"/>
      <c r="AD295" s="39"/>
      <c r="AE295" s="39"/>
      <c r="AF295" s="39"/>
      <c r="AG295" s="40"/>
      <c r="AH295" s="40"/>
      <c r="AI295" s="41"/>
      <c r="AJ295" s="41"/>
      <c r="AK295" s="41"/>
      <c r="AL295" s="52"/>
      <c r="AM295" s="53"/>
      <c r="AN295" s="53"/>
      <c r="AO295" s="53"/>
      <c r="AP295" s="53"/>
      <c r="AQ295" s="53"/>
      <c r="AR295" s="54"/>
      <c r="AS295" s="61"/>
      <c r="AT295" s="62"/>
      <c r="AU295" s="62"/>
      <c r="AV295" s="62"/>
      <c r="AW295" s="62"/>
      <c r="AX295" s="63"/>
      <c r="AY295" s="68"/>
      <c r="AZ295" s="69"/>
      <c r="BA295" s="70"/>
      <c r="BB295" s="7"/>
    </row>
    <row r="296" spans="7:54" x14ac:dyDescent="0.15">
      <c r="G296" s="7"/>
      <c r="H296" s="38"/>
      <c r="I296" s="39"/>
      <c r="J296" s="39"/>
      <c r="K296" s="39"/>
      <c r="L296" s="39"/>
      <c r="M296" s="39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1"/>
      <c r="AC296" s="39"/>
      <c r="AD296" s="39"/>
      <c r="AE296" s="39"/>
      <c r="AF296" s="39"/>
      <c r="AG296" s="40"/>
      <c r="AH296" s="40"/>
      <c r="AI296" s="41"/>
      <c r="AJ296" s="41"/>
      <c r="AK296" s="41"/>
      <c r="AL296" s="52"/>
      <c r="AM296" s="53"/>
      <c r="AN296" s="53"/>
      <c r="AO296" s="53"/>
      <c r="AP296" s="53"/>
      <c r="AQ296" s="53"/>
      <c r="AR296" s="54"/>
      <c r="AS296" s="61"/>
      <c r="AT296" s="62"/>
      <c r="AU296" s="62"/>
      <c r="AV296" s="62"/>
      <c r="AW296" s="62"/>
      <c r="AX296" s="63"/>
      <c r="AY296" s="68"/>
      <c r="AZ296" s="69"/>
      <c r="BA296" s="70"/>
      <c r="BB296" s="7"/>
    </row>
    <row r="297" spans="7:54" x14ac:dyDescent="0.15">
      <c r="G297" s="7"/>
      <c r="H297" s="38"/>
      <c r="I297" s="39"/>
      <c r="J297" s="39"/>
      <c r="K297" s="39"/>
      <c r="L297" s="39"/>
      <c r="M297" s="39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1"/>
      <c r="AC297" s="39"/>
      <c r="AD297" s="39"/>
      <c r="AE297" s="39"/>
      <c r="AF297" s="39"/>
      <c r="AG297" s="40"/>
      <c r="AH297" s="40"/>
      <c r="AI297" s="41"/>
      <c r="AJ297" s="41"/>
      <c r="AK297" s="41"/>
      <c r="AL297" s="52"/>
      <c r="AM297" s="53"/>
      <c r="AN297" s="53"/>
      <c r="AO297" s="53"/>
      <c r="AP297" s="53"/>
      <c r="AQ297" s="53"/>
      <c r="AR297" s="54"/>
      <c r="AS297" s="61"/>
      <c r="AT297" s="62"/>
      <c r="AU297" s="62"/>
      <c r="AV297" s="62"/>
      <c r="AW297" s="62"/>
      <c r="AX297" s="63"/>
      <c r="AY297" s="68"/>
      <c r="AZ297" s="69"/>
      <c r="BA297" s="70"/>
      <c r="BB297" s="7"/>
    </row>
    <row r="298" spans="7:54" x14ac:dyDescent="0.15">
      <c r="G298" s="7"/>
      <c r="H298" s="38"/>
      <c r="I298" s="39"/>
      <c r="J298" s="39"/>
      <c r="K298" s="39"/>
      <c r="L298" s="39"/>
      <c r="M298" s="39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1"/>
      <c r="AC298" s="39"/>
      <c r="AD298" s="39"/>
      <c r="AE298" s="39"/>
      <c r="AF298" s="39"/>
      <c r="AG298" s="40"/>
      <c r="AH298" s="40"/>
      <c r="AI298" s="41"/>
      <c r="AJ298" s="41"/>
      <c r="AK298" s="41"/>
      <c r="AL298" s="52"/>
      <c r="AM298" s="53"/>
      <c r="AN298" s="53"/>
      <c r="AO298" s="53"/>
      <c r="AP298" s="53"/>
      <c r="AQ298" s="53"/>
      <c r="AR298" s="54"/>
      <c r="AS298" s="61"/>
      <c r="AT298" s="62"/>
      <c r="AU298" s="62"/>
      <c r="AV298" s="62"/>
      <c r="AW298" s="62"/>
      <c r="AX298" s="63"/>
      <c r="AY298" s="68"/>
      <c r="AZ298" s="69"/>
      <c r="BA298" s="70"/>
      <c r="BB298" s="7"/>
    </row>
    <row r="299" spans="7:54" x14ac:dyDescent="0.15">
      <c r="G299" s="7"/>
      <c r="H299" s="38"/>
      <c r="I299" s="39"/>
      <c r="J299" s="39"/>
      <c r="K299" s="39"/>
      <c r="L299" s="39"/>
      <c r="M299" s="39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1"/>
      <c r="AC299" s="39"/>
      <c r="AD299" s="39"/>
      <c r="AE299" s="39"/>
      <c r="AF299" s="39"/>
      <c r="AG299" s="40"/>
      <c r="AH299" s="40"/>
      <c r="AI299" s="41"/>
      <c r="AJ299" s="41"/>
      <c r="AK299" s="41"/>
      <c r="AL299" s="52"/>
      <c r="AM299" s="53"/>
      <c r="AN299" s="53"/>
      <c r="AO299" s="53"/>
      <c r="AP299" s="53"/>
      <c r="AQ299" s="53"/>
      <c r="AR299" s="54"/>
      <c r="AS299" s="61"/>
      <c r="AT299" s="62"/>
      <c r="AU299" s="62"/>
      <c r="AV299" s="62"/>
      <c r="AW299" s="62"/>
      <c r="AX299" s="63"/>
      <c r="AY299" s="68"/>
      <c r="AZ299" s="69"/>
      <c r="BA299" s="70"/>
      <c r="BB299" s="7"/>
    </row>
    <row r="300" spans="7:54" x14ac:dyDescent="0.15">
      <c r="G300" s="7"/>
      <c r="H300" s="38"/>
      <c r="I300" s="39"/>
      <c r="J300" s="39"/>
      <c r="K300" s="39"/>
      <c r="L300" s="39"/>
      <c r="M300" s="39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1"/>
      <c r="AC300" s="39"/>
      <c r="AD300" s="39"/>
      <c r="AE300" s="39"/>
      <c r="AF300" s="39"/>
      <c r="AG300" s="40"/>
      <c r="AH300" s="40"/>
      <c r="AI300" s="41"/>
      <c r="AJ300" s="41"/>
      <c r="AK300" s="41"/>
      <c r="AL300" s="52"/>
      <c r="AM300" s="53"/>
      <c r="AN300" s="53"/>
      <c r="AO300" s="53"/>
      <c r="AP300" s="53"/>
      <c r="AQ300" s="53"/>
      <c r="AR300" s="54"/>
      <c r="AS300" s="61"/>
      <c r="AT300" s="62"/>
      <c r="AU300" s="62"/>
      <c r="AV300" s="62"/>
      <c r="AW300" s="62"/>
      <c r="AX300" s="63"/>
      <c r="AY300" s="68"/>
      <c r="AZ300" s="69"/>
      <c r="BA300" s="70"/>
      <c r="BB300" s="7"/>
    </row>
    <row r="301" spans="7:54" x14ac:dyDescent="0.15">
      <c r="G301" s="7"/>
      <c r="H301" s="38"/>
      <c r="I301" s="39"/>
      <c r="J301" s="39"/>
      <c r="K301" s="39"/>
      <c r="L301" s="39"/>
      <c r="M301" s="39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1"/>
      <c r="AC301" s="39"/>
      <c r="AD301" s="39"/>
      <c r="AE301" s="39"/>
      <c r="AF301" s="39"/>
      <c r="AG301" s="40"/>
      <c r="AH301" s="40"/>
      <c r="AI301" s="41"/>
      <c r="AJ301" s="41"/>
      <c r="AK301" s="41"/>
      <c r="AL301" s="52"/>
      <c r="AM301" s="53"/>
      <c r="AN301" s="53"/>
      <c r="AO301" s="53"/>
      <c r="AP301" s="53"/>
      <c r="AQ301" s="53"/>
      <c r="AR301" s="54"/>
      <c r="AS301" s="61"/>
      <c r="AT301" s="62"/>
      <c r="AU301" s="62"/>
      <c r="AV301" s="62"/>
      <c r="AW301" s="62"/>
      <c r="AX301" s="63"/>
      <c r="AY301" s="68"/>
      <c r="AZ301" s="69"/>
      <c r="BA301" s="70"/>
      <c r="BB301" s="7"/>
    </row>
    <row r="302" spans="7:54" x14ac:dyDescent="0.15">
      <c r="G302" s="7"/>
      <c r="H302" s="38"/>
      <c r="I302" s="39"/>
      <c r="J302" s="39"/>
      <c r="K302" s="39"/>
      <c r="L302" s="39"/>
      <c r="M302" s="39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1"/>
      <c r="AC302" s="39"/>
      <c r="AD302" s="39"/>
      <c r="AE302" s="39"/>
      <c r="AF302" s="39"/>
      <c r="AG302" s="40"/>
      <c r="AH302" s="40"/>
      <c r="AI302" s="41"/>
      <c r="AJ302" s="41"/>
      <c r="AK302" s="41"/>
      <c r="AL302" s="52"/>
      <c r="AM302" s="53"/>
      <c r="AN302" s="53"/>
      <c r="AO302" s="53"/>
      <c r="AP302" s="53"/>
      <c r="AQ302" s="53"/>
      <c r="AR302" s="54"/>
      <c r="AS302" s="61"/>
      <c r="AT302" s="62"/>
      <c r="AU302" s="62"/>
      <c r="AV302" s="62"/>
      <c r="AW302" s="62"/>
      <c r="AX302" s="63"/>
      <c r="AY302" s="68"/>
      <c r="AZ302" s="69"/>
      <c r="BA302" s="70"/>
      <c r="BB302" s="7"/>
    </row>
    <row r="303" spans="7:54" x14ac:dyDescent="0.15">
      <c r="G303" s="7"/>
      <c r="H303" s="38"/>
      <c r="I303" s="39"/>
      <c r="J303" s="39"/>
      <c r="K303" s="39"/>
      <c r="L303" s="39"/>
      <c r="M303" s="39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1"/>
      <c r="AC303" s="39"/>
      <c r="AD303" s="39"/>
      <c r="AE303" s="39"/>
      <c r="AF303" s="39"/>
      <c r="AG303" s="40"/>
      <c r="AH303" s="40"/>
      <c r="AI303" s="41"/>
      <c r="AJ303" s="41"/>
      <c r="AK303" s="41"/>
      <c r="AL303" s="52"/>
      <c r="AM303" s="53"/>
      <c r="AN303" s="53"/>
      <c r="AO303" s="53"/>
      <c r="AP303" s="53"/>
      <c r="AQ303" s="53"/>
      <c r="AR303" s="54"/>
      <c r="AS303" s="61"/>
      <c r="AT303" s="62"/>
      <c r="AU303" s="62"/>
      <c r="AV303" s="62"/>
      <c r="AW303" s="62"/>
      <c r="AX303" s="63"/>
      <c r="AY303" s="68"/>
      <c r="AZ303" s="69"/>
      <c r="BA303" s="70"/>
      <c r="BB303" s="7"/>
    </row>
    <row r="304" spans="7:54" x14ac:dyDescent="0.15">
      <c r="G304" s="7"/>
      <c r="H304" s="38"/>
      <c r="I304" s="39"/>
      <c r="J304" s="39"/>
      <c r="K304" s="39"/>
      <c r="L304" s="39"/>
      <c r="M304" s="39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1"/>
      <c r="AC304" s="39"/>
      <c r="AD304" s="39"/>
      <c r="AE304" s="39"/>
      <c r="AF304" s="39"/>
      <c r="AG304" s="40"/>
      <c r="AH304" s="40"/>
      <c r="AI304" s="41"/>
      <c r="AJ304" s="41"/>
      <c r="AK304" s="41"/>
      <c r="AL304" s="52"/>
      <c r="AM304" s="53"/>
      <c r="AN304" s="53"/>
      <c r="AO304" s="53"/>
      <c r="AP304" s="53"/>
      <c r="AQ304" s="53"/>
      <c r="AR304" s="54"/>
      <c r="AS304" s="61"/>
      <c r="AT304" s="62"/>
      <c r="AU304" s="62"/>
      <c r="AV304" s="62"/>
      <c r="AW304" s="62"/>
      <c r="AX304" s="63"/>
      <c r="AY304" s="68"/>
      <c r="AZ304" s="69"/>
      <c r="BA304" s="70"/>
      <c r="BB304" s="7"/>
    </row>
    <row r="305" spans="7:54" x14ac:dyDescent="0.15">
      <c r="G305" s="7"/>
      <c r="H305" s="38"/>
      <c r="I305" s="39"/>
      <c r="J305" s="39"/>
      <c r="K305" s="39"/>
      <c r="L305" s="39"/>
      <c r="M305" s="39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1"/>
      <c r="AC305" s="39"/>
      <c r="AD305" s="39"/>
      <c r="AE305" s="39"/>
      <c r="AF305" s="39"/>
      <c r="AG305" s="40"/>
      <c r="AH305" s="40"/>
      <c r="AI305" s="41"/>
      <c r="AJ305" s="41"/>
      <c r="AK305" s="41"/>
      <c r="AL305" s="52"/>
      <c r="AM305" s="53"/>
      <c r="AN305" s="53"/>
      <c r="AO305" s="53"/>
      <c r="AP305" s="53"/>
      <c r="AQ305" s="53"/>
      <c r="AR305" s="54"/>
      <c r="AS305" s="61"/>
      <c r="AT305" s="62"/>
      <c r="AU305" s="62"/>
      <c r="AV305" s="62"/>
      <c r="AW305" s="62"/>
      <c r="AX305" s="63"/>
      <c r="AY305" s="68"/>
      <c r="AZ305" s="69"/>
      <c r="BA305" s="70"/>
      <c r="BB305" s="7"/>
    </row>
    <row r="306" spans="7:54" x14ac:dyDescent="0.15">
      <c r="G306" s="7"/>
      <c r="H306" s="38"/>
      <c r="I306" s="39"/>
      <c r="J306" s="39"/>
      <c r="K306" s="39"/>
      <c r="L306" s="39"/>
      <c r="M306" s="39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1"/>
      <c r="AC306" s="39"/>
      <c r="AD306" s="39"/>
      <c r="AE306" s="39"/>
      <c r="AF306" s="39"/>
      <c r="AG306" s="40"/>
      <c r="AH306" s="40"/>
      <c r="AI306" s="41"/>
      <c r="AJ306" s="41"/>
      <c r="AK306" s="41"/>
      <c r="AL306" s="52"/>
      <c r="AM306" s="53"/>
      <c r="AN306" s="53"/>
      <c r="AO306" s="53"/>
      <c r="AP306" s="53"/>
      <c r="AQ306" s="53"/>
      <c r="AR306" s="54"/>
      <c r="AS306" s="61"/>
      <c r="AT306" s="62"/>
      <c r="AU306" s="62"/>
      <c r="AV306" s="62"/>
      <c r="AW306" s="62"/>
      <c r="AX306" s="63"/>
      <c r="AY306" s="68"/>
      <c r="AZ306" s="69"/>
      <c r="BA306" s="70"/>
      <c r="BB306" s="7"/>
    </row>
    <row r="307" spans="7:54" x14ac:dyDescent="0.15">
      <c r="G307" s="7"/>
      <c r="H307" s="38"/>
      <c r="I307" s="39"/>
      <c r="J307" s="39"/>
      <c r="K307" s="39"/>
      <c r="L307" s="39"/>
      <c r="M307" s="39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1"/>
      <c r="AC307" s="39"/>
      <c r="AD307" s="39"/>
      <c r="AE307" s="39"/>
      <c r="AF307" s="39"/>
      <c r="AG307" s="40"/>
      <c r="AH307" s="40"/>
      <c r="AI307" s="41"/>
      <c r="AJ307" s="41"/>
      <c r="AK307" s="41"/>
      <c r="AL307" s="52"/>
      <c r="AM307" s="53"/>
      <c r="AN307" s="53"/>
      <c r="AO307" s="53"/>
      <c r="AP307" s="53"/>
      <c r="AQ307" s="53"/>
      <c r="AR307" s="54"/>
      <c r="AS307" s="61"/>
      <c r="AT307" s="62"/>
      <c r="AU307" s="62"/>
      <c r="AV307" s="62"/>
      <c r="AW307" s="62"/>
      <c r="AX307" s="63"/>
      <c r="AY307" s="68"/>
      <c r="AZ307" s="69"/>
      <c r="BA307" s="70"/>
      <c r="BB307" s="7"/>
    </row>
    <row r="308" spans="7:54" x14ac:dyDescent="0.15">
      <c r="G308" s="7"/>
      <c r="H308" s="38"/>
      <c r="I308" s="39"/>
      <c r="J308" s="39"/>
      <c r="K308" s="39"/>
      <c r="L308" s="39"/>
      <c r="M308" s="39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1"/>
      <c r="AC308" s="39"/>
      <c r="AD308" s="39"/>
      <c r="AE308" s="39"/>
      <c r="AF308" s="39"/>
      <c r="AG308" s="40"/>
      <c r="AH308" s="40"/>
      <c r="AI308" s="41"/>
      <c r="AJ308" s="41"/>
      <c r="AK308" s="41"/>
      <c r="AL308" s="52"/>
      <c r="AM308" s="53"/>
      <c r="AN308" s="53"/>
      <c r="AO308" s="53"/>
      <c r="AP308" s="53"/>
      <c r="AQ308" s="53"/>
      <c r="AR308" s="54"/>
      <c r="AS308" s="61"/>
      <c r="AT308" s="62"/>
      <c r="AU308" s="62"/>
      <c r="AV308" s="62"/>
      <c r="AW308" s="62"/>
      <c r="AX308" s="63"/>
      <c r="AY308" s="68"/>
      <c r="AZ308" s="69"/>
      <c r="BA308" s="70"/>
      <c r="BB308" s="7"/>
    </row>
    <row r="309" spans="7:54" x14ac:dyDescent="0.15">
      <c r="G309" s="7"/>
      <c r="H309" s="38"/>
      <c r="I309" s="39"/>
      <c r="J309" s="39"/>
      <c r="K309" s="39"/>
      <c r="L309" s="39"/>
      <c r="M309" s="39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1"/>
      <c r="AC309" s="39"/>
      <c r="AD309" s="39"/>
      <c r="AE309" s="39"/>
      <c r="AF309" s="39"/>
      <c r="AG309" s="40"/>
      <c r="AH309" s="40"/>
      <c r="AI309" s="41"/>
      <c r="AJ309" s="41"/>
      <c r="AK309" s="41"/>
      <c r="AL309" s="52"/>
      <c r="AM309" s="53"/>
      <c r="AN309" s="53"/>
      <c r="AO309" s="53"/>
      <c r="AP309" s="53"/>
      <c r="AQ309" s="53"/>
      <c r="AR309" s="54"/>
      <c r="AS309" s="61"/>
      <c r="AT309" s="62"/>
      <c r="AU309" s="62"/>
      <c r="AV309" s="62"/>
      <c r="AW309" s="62"/>
      <c r="AX309" s="63"/>
      <c r="AY309" s="68"/>
      <c r="AZ309" s="69"/>
      <c r="BA309" s="70"/>
      <c r="BB309" s="7"/>
    </row>
    <row r="310" spans="7:54" x14ac:dyDescent="0.15">
      <c r="G310" s="7"/>
      <c r="H310" s="38"/>
      <c r="I310" s="39"/>
      <c r="J310" s="39"/>
      <c r="K310" s="39"/>
      <c r="L310" s="39"/>
      <c r="M310" s="39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1"/>
      <c r="AC310" s="39"/>
      <c r="AD310" s="39"/>
      <c r="AE310" s="39"/>
      <c r="AF310" s="39"/>
      <c r="AG310" s="40"/>
      <c r="AH310" s="40"/>
      <c r="AI310" s="41"/>
      <c r="AJ310" s="41"/>
      <c r="AK310" s="41"/>
      <c r="AL310" s="52"/>
      <c r="AM310" s="53"/>
      <c r="AN310" s="53"/>
      <c r="AO310" s="53"/>
      <c r="AP310" s="53"/>
      <c r="AQ310" s="53"/>
      <c r="AR310" s="54"/>
      <c r="AS310" s="61"/>
      <c r="AT310" s="62"/>
      <c r="AU310" s="62"/>
      <c r="AV310" s="62"/>
      <c r="AW310" s="62"/>
      <c r="AX310" s="63"/>
      <c r="AY310" s="68"/>
      <c r="AZ310" s="69"/>
      <c r="BA310" s="70"/>
      <c r="BB310" s="7"/>
    </row>
    <row r="311" spans="7:54" x14ac:dyDescent="0.15">
      <c r="G311" s="7"/>
      <c r="H311" s="38"/>
      <c r="I311" s="39"/>
      <c r="J311" s="39"/>
      <c r="K311" s="39"/>
      <c r="L311" s="39"/>
      <c r="M311" s="39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1"/>
      <c r="AC311" s="39"/>
      <c r="AD311" s="39"/>
      <c r="AE311" s="39"/>
      <c r="AF311" s="39"/>
      <c r="AG311" s="40"/>
      <c r="AH311" s="40"/>
      <c r="AI311" s="41"/>
      <c r="AJ311" s="41"/>
      <c r="AK311" s="41"/>
      <c r="AL311" s="52"/>
      <c r="AM311" s="53"/>
      <c r="AN311" s="53"/>
      <c r="AO311" s="53"/>
      <c r="AP311" s="53"/>
      <c r="AQ311" s="53"/>
      <c r="AR311" s="54"/>
      <c r="AS311" s="61"/>
      <c r="AT311" s="62"/>
      <c r="AU311" s="62"/>
      <c r="AV311" s="62"/>
      <c r="AW311" s="62"/>
      <c r="AX311" s="63"/>
      <c r="AY311" s="68"/>
      <c r="AZ311" s="69"/>
      <c r="BA311" s="70"/>
      <c r="BB311" s="7"/>
    </row>
    <row r="312" spans="7:54" x14ac:dyDescent="0.15">
      <c r="G312" s="7"/>
      <c r="H312" s="38"/>
      <c r="I312" s="39"/>
      <c r="J312" s="39"/>
      <c r="K312" s="39"/>
      <c r="L312" s="39"/>
      <c r="M312" s="39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1"/>
      <c r="AC312" s="39"/>
      <c r="AD312" s="39"/>
      <c r="AE312" s="39"/>
      <c r="AF312" s="39"/>
      <c r="AG312" s="40"/>
      <c r="AH312" s="40"/>
      <c r="AI312" s="41"/>
      <c r="AJ312" s="41"/>
      <c r="AK312" s="41"/>
      <c r="AL312" s="52"/>
      <c r="AM312" s="53"/>
      <c r="AN312" s="53"/>
      <c r="AO312" s="53"/>
      <c r="AP312" s="53"/>
      <c r="AQ312" s="53"/>
      <c r="AR312" s="54"/>
      <c r="AS312" s="61"/>
      <c r="AT312" s="62"/>
      <c r="AU312" s="62"/>
      <c r="AV312" s="62"/>
      <c r="AW312" s="62"/>
      <c r="AX312" s="63"/>
      <c r="AY312" s="68"/>
      <c r="AZ312" s="69"/>
      <c r="BA312" s="70"/>
      <c r="BB312" s="7"/>
    </row>
    <row r="313" spans="7:54" x14ac:dyDescent="0.15">
      <c r="G313" s="7"/>
      <c r="H313" s="38"/>
      <c r="I313" s="39"/>
      <c r="J313" s="39"/>
      <c r="K313" s="39"/>
      <c r="L313" s="39"/>
      <c r="M313" s="39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1"/>
      <c r="AC313" s="39"/>
      <c r="AD313" s="39"/>
      <c r="AE313" s="39"/>
      <c r="AF313" s="39"/>
      <c r="AG313" s="40"/>
      <c r="AH313" s="40"/>
      <c r="AI313" s="41"/>
      <c r="AJ313" s="41"/>
      <c r="AK313" s="41"/>
      <c r="AL313" s="52"/>
      <c r="AM313" s="53"/>
      <c r="AN313" s="53"/>
      <c r="AO313" s="53"/>
      <c r="AP313" s="53"/>
      <c r="AQ313" s="53"/>
      <c r="AR313" s="54"/>
      <c r="AS313" s="61"/>
      <c r="AT313" s="62"/>
      <c r="AU313" s="62"/>
      <c r="AV313" s="62"/>
      <c r="AW313" s="62"/>
      <c r="AX313" s="63"/>
      <c r="AY313" s="68"/>
      <c r="AZ313" s="69"/>
      <c r="BA313" s="70"/>
      <c r="BB313" s="7"/>
    </row>
    <row r="314" spans="7:54" x14ac:dyDescent="0.15">
      <c r="G314" s="7"/>
      <c r="H314" s="38"/>
      <c r="I314" s="39"/>
      <c r="J314" s="39"/>
      <c r="K314" s="39"/>
      <c r="L314" s="39"/>
      <c r="M314" s="39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1"/>
      <c r="AC314" s="39"/>
      <c r="AD314" s="39"/>
      <c r="AE314" s="39"/>
      <c r="AF314" s="39"/>
      <c r="AG314" s="40"/>
      <c r="AH314" s="40"/>
      <c r="AI314" s="41"/>
      <c r="AJ314" s="41"/>
      <c r="AK314" s="41"/>
      <c r="AL314" s="52"/>
      <c r="AM314" s="53"/>
      <c r="AN314" s="53"/>
      <c r="AO314" s="53"/>
      <c r="AP314" s="53"/>
      <c r="AQ314" s="53"/>
      <c r="AR314" s="54"/>
      <c r="AS314" s="61"/>
      <c r="AT314" s="62"/>
      <c r="AU314" s="62"/>
      <c r="AV314" s="62"/>
      <c r="AW314" s="62"/>
      <c r="AX314" s="63"/>
      <c r="AY314" s="68"/>
      <c r="AZ314" s="69"/>
      <c r="BA314" s="70"/>
      <c r="BB314" s="7"/>
    </row>
    <row r="315" spans="7:54" x14ac:dyDescent="0.15">
      <c r="G315" s="7"/>
      <c r="H315" s="38"/>
      <c r="I315" s="39"/>
      <c r="J315" s="39"/>
      <c r="K315" s="39"/>
      <c r="L315" s="39"/>
      <c r="M315" s="39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1"/>
      <c r="AC315" s="39"/>
      <c r="AD315" s="39"/>
      <c r="AE315" s="39"/>
      <c r="AF315" s="39"/>
      <c r="AG315" s="40"/>
      <c r="AH315" s="40"/>
      <c r="AI315" s="41"/>
      <c r="AJ315" s="41"/>
      <c r="AK315" s="41"/>
      <c r="AL315" s="52"/>
      <c r="AM315" s="53"/>
      <c r="AN315" s="53"/>
      <c r="AO315" s="53"/>
      <c r="AP315" s="53"/>
      <c r="AQ315" s="53"/>
      <c r="AR315" s="54"/>
      <c r="AS315" s="61"/>
      <c r="AT315" s="62"/>
      <c r="AU315" s="62"/>
      <c r="AV315" s="62"/>
      <c r="AW315" s="62"/>
      <c r="AX315" s="63"/>
      <c r="AY315" s="68"/>
      <c r="AZ315" s="69"/>
      <c r="BA315" s="70"/>
      <c r="BB315" s="7"/>
    </row>
    <row r="316" spans="7:54" x14ac:dyDescent="0.15">
      <c r="G316" s="7"/>
      <c r="H316" s="38"/>
      <c r="I316" s="39"/>
      <c r="J316" s="39"/>
      <c r="K316" s="39"/>
      <c r="L316" s="39"/>
      <c r="M316" s="39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1"/>
      <c r="AC316" s="39"/>
      <c r="AD316" s="39"/>
      <c r="AE316" s="39"/>
      <c r="AF316" s="39"/>
      <c r="AG316" s="40"/>
      <c r="AH316" s="40"/>
      <c r="AI316" s="41"/>
      <c r="AJ316" s="41"/>
      <c r="AK316" s="41"/>
      <c r="AL316" s="52"/>
      <c r="AM316" s="53"/>
      <c r="AN316" s="53"/>
      <c r="AO316" s="53"/>
      <c r="AP316" s="53"/>
      <c r="AQ316" s="53"/>
      <c r="AR316" s="54"/>
      <c r="AS316" s="61"/>
      <c r="AT316" s="62"/>
      <c r="AU316" s="62"/>
      <c r="AV316" s="62"/>
      <c r="AW316" s="62"/>
      <c r="AX316" s="63"/>
      <c r="AY316" s="68"/>
      <c r="AZ316" s="69"/>
      <c r="BA316" s="70"/>
      <c r="BB316" s="7"/>
    </row>
    <row r="317" spans="7:54" x14ac:dyDescent="0.15">
      <c r="G317" s="7"/>
      <c r="H317" s="38"/>
      <c r="I317" s="39"/>
      <c r="J317" s="39"/>
      <c r="K317" s="39"/>
      <c r="L317" s="39"/>
      <c r="M317" s="39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1"/>
      <c r="AC317" s="39"/>
      <c r="AD317" s="39"/>
      <c r="AE317" s="39"/>
      <c r="AF317" s="39"/>
      <c r="AG317" s="40"/>
      <c r="AH317" s="40"/>
      <c r="AI317" s="41"/>
      <c r="AJ317" s="41"/>
      <c r="AK317" s="41"/>
      <c r="AL317" s="52"/>
      <c r="AM317" s="53"/>
      <c r="AN317" s="53"/>
      <c r="AO317" s="53"/>
      <c r="AP317" s="53"/>
      <c r="AQ317" s="53"/>
      <c r="AR317" s="54"/>
      <c r="AS317" s="61"/>
      <c r="AT317" s="62"/>
      <c r="AU317" s="62"/>
      <c r="AV317" s="62"/>
      <c r="AW317" s="62"/>
      <c r="AX317" s="63"/>
      <c r="AY317" s="68"/>
      <c r="AZ317" s="69"/>
      <c r="BA317" s="70"/>
      <c r="BB317" s="7"/>
    </row>
    <row r="318" spans="7:54" x14ac:dyDescent="0.15">
      <c r="G318" s="7"/>
      <c r="H318" s="38"/>
      <c r="I318" s="39"/>
      <c r="J318" s="39"/>
      <c r="K318" s="39"/>
      <c r="L318" s="39"/>
      <c r="M318" s="39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1"/>
      <c r="AC318" s="39"/>
      <c r="AD318" s="39"/>
      <c r="AE318" s="39"/>
      <c r="AF318" s="39"/>
      <c r="AG318" s="40"/>
      <c r="AH318" s="40"/>
      <c r="AI318" s="41"/>
      <c r="AJ318" s="41"/>
      <c r="AK318" s="41"/>
      <c r="AL318" s="52"/>
      <c r="AM318" s="53"/>
      <c r="AN318" s="53"/>
      <c r="AO318" s="53"/>
      <c r="AP318" s="53"/>
      <c r="AQ318" s="53"/>
      <c r="AR318" s="54"/>
      <c r="AS318" s="61"/>
      <c r="AT318" s="62"/>
      <c r="AU318" s="62"/>
      <c r="AV318" s="62"/>
      <c r="AW318" s="62"/>
      <c r="AX318" s="63"/>
      <c r="AY318" s="68"/>
      <c r="AZ318" s="69"/>
      <c r="BA318" s="70"/>
      <c r="BB318" s="7"/>
    </row>
    <row r="319" spans="7:54" x14ac:dyDescent="0.15">
      <c r="G319" s="7"/>
      <c r="H319" s="38"/>
      <c r="I319" s="39"/>
      <c r="J319" s="39"/>
      <c r="K319" s="39"/>
      <c r="L319" s="39"/>
      <c r="M319" s="39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1"/>
      <c r="AC319" s="39"/>
      <c r="AD319" s="39"/>
      <c r="AE319" s="39"/>
      <c r="AF319" s="39"/>
      <c r="AG319" s="40"/>
      <c r="AH319" s="40"/>
      <c r="AI319" s="41"/>
      <c r="AJ319" s="41"/>
      <c r="AK319" s="41"/>
      <c r="AL319" s="52"/>
      <c r="AM319" s="53"/>
      <c r="AN319" s="53"/>
      <c r="AO319" s="53"/>
      <c r="AP319" s="53"/>
      <c r="AQ319" s="53"/>
      <c r="AR319" s="54"/>
      <c r="AS319" s="61"/>
      <c r="AT319" s="62"/>
      <c r="AU319" s="62"/>
      <c r="AV319" s="62"/>
      <c r="AW319" s="62"/>
      <c r="AX319" s="63"/>
      <c r="AY319" s="68"/>
      <c r="AZ319" s="69"/>
      <c r="BA319" s="70"/>
      <c r="BB319" s="7"/>
    </row>
    <row r="320" spans="7:54" x14ac:dyDescent="0.15">
      <c r="G320" s="7"/>
      <c r="H320" s="38"/>
      <c r="I320" s="39"/>
      <c r="J320" s="39"/>
      <c r="K320" s="39"/>
      <c r="L320" s="39"/>
      <c r="M320" s="39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1"/>
      <c r="AC320" s="39"/>
      <c r="AD320" s="39"/>
      <c r="AE320" s="39"/>
      <c r="AF320" s="39"/>
      <c r="AG320" s="40"/>
      <c r="AH320" s="40"/>
      <c r="AI320" s="41"/>
      <c r="AJ320" s="41"/>
      <c r="AK320" s="41"/>
      <c r="AL320" s="52"/>
      <c r="AM320" s="53"/>
      <c r="AN320" s="53"/>
      <c r="AO320" s="53"/>
      <c r="AP320" s="53"/>
      <c r="AQ320" s="53"/>
      <c r="AR320" s="54"/>
      <c r="AS320" s="61"/>
      <c r="AT320" s="62"/>
      <c r="AU320" s="62"/>
      <c r="AV320" s="62"/>
      <c r="AW320" s="62"/>
      <c r="AX320" s="63"/>
      <c r="AY320" s="68"/>
      <c r="AZ320" s="69"/>
      <c r="BA320" s="70"/>
      <c r="BB320" s="7"/>
    </row>
    <row r="321" spans="7:54" x14ac:dyDescent="0.15">
      <c r="G321" s="7"/>
      <c r="H321" s="38"/>
      <c r="I321" s="39"/>
      <c r="J321" s="39"/>
      <c r="K321" s="39"/>
      <c r="L321" s="39"/>
      <c r="M321" s="39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1"/>
      <c r="AC321" s="39"/>
      <c r="AD321" s="39"/>
      <c r="AE321" s="39"/>
      <c r="AF321" s="39"/>
      <c r="AG321" s="40"/>
      <c r="AH321" s="40"/>
      <c r="AI321" s="41"/>
      <c r="AJ321" s="41"/>
      <c r="AK321" s="41"/>
      <c r="AL321" s="52"/>
      <c r="AM321" s="53"/>
      <c r="AN321" s="53"/>
      <c r="AO321" s="53"/>
      <c r="AP321" s="53"/>
      <c r="AQ321" s="53"/>
      <c r="AR321" s="54"/>
      <c r="AS321" s="61"/>
      <c r="AT321" s="62"/>
      <c r="AU321" s="62"/>
      <c r="AV321" s="62"/>
      <c r="AW321" s="62"/>
      <c r="AX321" s="63"/>
      <c r="AY321" s="68"/>
      <c r="AZ321" s="69"/>
      <c r="BA321" s="70"/>
      <c r="BB321" s="7"/>
    </row>
    <row r="322" spans="7:54" x14ac:dyDescent="0.15">
      <c r="G322" s="7"/>
      <c r="H322" s="38"/>
      <c r="I322" s="39"/>
      <c r="J322" s="39"/>
      <c r="K322" s="39"/>
      <c r="L322" s="39"/>
      <c r="M322" s="39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1"/>
      <c r="AC322" s="39"/>
      <c r="AD322" s="39"/>
      <c r="AE322" s="39"/>
      <c r="AF322" s="39"/>
      <c r="AG322" s="40"/>
      <c r="AH322" s="40"/>
      <c r="AI322" s="41"/>
      <c r="AJ322" s="41"/>
      <c r="AK322" s="41"/>
      <c r="AL322" s="52"/>
      <c r="AM322" s="53"/>
      <c r="AN322" s="53"/>
      <c r="AO322" s="53"/>
      <c r="AP322" s="53"/>
      <c r="AQ322" s="53"/>
      <c r="AR322" s="54"/>
      <c r="AS322" s="61"/>
      <c r="AT322" s="62"/>
      <c r="AU322" s="62"/>
      <c r="AV322" s="62"/>
      <c r="AW322" s="62"/>
      <c r="AX322" s="63"/>
      <c r="AY322" s="68"/>
      <c r="AZ322" s="69"/>
      <c r="BA322" s="70"/>
      <c r="BB322" s="7"/>
    </row>
    <row r="323" spans="7:54" x14ac:dyDescent="0.15">
      <c r="G323" s="7"/>
      <c r="H323" s="38"/>
      <c r="I323" s="39"/>
      <c r="J323" s="39"/>
      <c r="K323" s="39"/>
      <c r="L323" s="39"/>
      <c r="M323" s="39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1"/>
      <c r="AC323" s="39"/>
      <c r="AD323" s="39"/>
      <c r="AE323" s="39"/>
      <c r="AF323" s="39"/>
      <c r="AG323" s="40"/>
      <c r="AH323" s="40"/>
      <c r="AI323" s="41"/>
      <c r="AJ323" s="41"/>
      <c r="AK323" s="41"/>
      <c r="AL323" s="52"/>
      <c r="AM323" s="53"/>
      <c r="AN323" s="53"/>
      <c r="AO323" s="53"/>
      <c r="AP323" s="53"/>
      <c r="AQ323" s="53"/>
      <c r="AR323" s="54"/>
      <c r="AS323" s="61"/>
      <c r="AT323" s="62"/>
      <c r="AU323" s="62"/>
      <c r="AV323" s="62"/>
      <c r="AW323" s="62"/>
      <c r="AX323" s="63"/>
      <c r="AY323" s="68"/>
      <c r="AZ323" s="69"/>
      <c r="BA323" s="70"/>
      <c r="BB323" s="7"/>
    </row>
    <row r="324" spans="7:54" x14ac:dyDescent="0.15">
      <c r="G324" s="7"/>
      <c r="H324" s="38"/>
      <c r="I324" s="39"/>
      <c r="J324" s="39"/>
      <c r="K324" s="39"/>
      <c r="L324" s="39"/>
      <c r="M324" s="39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1"/>
      <c r="AC324" s="39"/>
      <c r="AD324" s="39"/>
      <c r="AE324" s="39"/>
      <c r="AF324" s="39"/>
      <c r="AG324" s="40"/>
      <c r="AH324" s="40"/>
      <c r="AI324" s="41"/>
      <c r="AJ324" s="41"/>
      <c r="AK324" s="41"/>
      <c r="AL324" s="52"/>
      <c r="AM324" s="53"/>
      <c r="AN324" s="53"/>
      <c r="AO324" s="53"/>
      <c r="AP324" s="53"/>
      <c r="AQ324" s="53"/>
      <c r="AR324" s="54"/>
      <c r="AS324" s="61"/>
      <c r="AT324" s="62"/>
      <c r="AU324" s="62"/>
      <c r="AV324" s="62"/>
      <c r="AW324" s="62"/>
      <c r="AX324" s="63"/>
      <c r="AY324" s="68"/>
      <c r="AZ324" s="69"/>
      <c r="BA324" s="70"/>
      <c r="BB324" s="7"/>
    </row>
    <row r="325" spans="7:54" x14ac:dyDescent="0.15">
      <c r="G325" s="7"/>
      <c r="H325" s="38"/>
      <c r="I325" s="39"/>
      <c r="J325" s="39"/>
      <c r="K325" s="39"/>
      <c r="L325" s="39"/>
      <c r="M325" s="39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1"/>
      <c r="AC325" s="39"/>
      <c r="AD325" s="39"/>
      <c r="AE325" s="39"/>
      <c r="AF325" s="39"/>
      <c r="AG325" s="40"/>
      <c r="AH325" s="40"/>
      <c r="AI325" s="41"/>
      <c r="AJ325" s="41"/>
      <c r="AK325" s="41"/>
      <c r="AL325" s="52"/>
      <c r="AM325" s="53"/>
      <c r="AN325" s="53"/>
      <c r="AO325" s="53"/>
      <c r="AP325" s="53"/>
      <c r="AQ325" s="53"/>
      <c r="AR325" s="54"/>
      <c r="AS325" s="61"/>
      <c r="AT325" s="62"/>
      <c r="AU325" s="62"/>
      <c r="AV325" s="62"/>
      <c r="AW325" s="62"/>
      <c r="AX325" s="63"/>
      <c r="AY325" s="68"/>
      <c r="AZ325" s="69"/>
      <c r="BA325" s="70"/>
      <c r="BB325" s="7"/>
    </row>
    <row r="326" spans="7:54" x14ac:dyDescent="0.15">
      <c r="G326" s="7"/>
      <c r="H326" s="38"/>
      <c r="I326" s="39"/>
      <c r="J326" s="39"/>
      <c r="K326" s="39"/>
      <c r="L326" s="39"/>
      <c r="M326" s="39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1"/>
      <c r="AC326" s="39"/>
      <c r="AD326" s="39"/>
      <c r="AE326" s="39"/>
      <c r="AF326" s="39"/>
      <c r="AG326" s="40"/>
      <c r="AH326" s="40"/>
      <c r="AI326" s="41"/>
      <c r="AJ326" s="41"/>
      <c r="AK326" s="41"/>
      <c r="AL326" s="52"/>
      <c r="AM326" s="53"/>
      <c r="AN326" s="53"/>
      <c r="AO326" s="53"/>
      <c r="AP326" s="53"/>
      <c r="AQ326" s="53"/>
      <c r="AR326" s="54"/>
      <c r="AS326" s="61"/>
      <c r="AT326" s="62"/>
      <c r="AU326" s="62"/>
      <c r="AV326" s="62"/>
      <c r="AW326" s="62"/>
      <c r="AX326" s="63"/>
      <c r="AY326" s="68"/>
      <c r="AZ326" s="69"/>
      <c r="BA326" s="70"/>
      <c r="BB326" s="7"/>
    </row>
    <row r="327" spans="7:54" x14ac:dyDescent="0.15">
      <c r="G327" s="7"/>
      <c r="H327" s="38"/>
      <c r="I327" s="39"/>
      <c r="J327" s="39"/>
      <c r="K327" s="39"/>
      <c r="L327" s="39"/>
      <c r="M327" s="39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1"/>
      <c r="AC327" s="39"/>
      <c r="AD327" s="39"/>
      <c r="AE327" s="39"/>
      <c r="AF327" s="39"/>
      <c r="AG327" s="40"/>
      <c r="AH327" s="40"/>
      <c r="AI327" s="41"/>
      <c r="AJ327" s="41"/>
      <c r="AK327" s="41"/>
      <c r="AL327" s="52"/>
      <c r="AM327" s="53"/>
      <c r="AN327" s="53"/>
      <c r="AO327" s="53"/>
      <c r="AP327" s="53"/>
      <c r="AQ327" s="53"/>
      <c r="AR327" s="54"/>
      <c r="AS327" s="61"/>
      <c r="AT327" s="62"/>
      <c r="AU327" s="62"/>
      <c r="AV327" s="62"/>
      <c r="AW327" s="62"/>
      <c r="AX327" s="63"/>
      <c r="AY327" s="68"/>
      <c r="AZ327" s="69"/>
      <c r="BA327" s="70"/>
      <c r="BB327" s="7"/>
    </row>
    <row r="328" spans="7:54" x14ac:dyDescent="0.15">
      <c r="G328" s="7"/>
      <c r="H328" s="38"/>
      <c r="I328" s="39"/>
      <c r="J328" s="39"/>
      <c r="K328" s="39"/>
      <c r="L328" s="39"/>
      <c r="M328" s="39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1"/>
      <c r="AC328" s="39"/>
      <c r="AD328" s="39"/>
      <c r="AE328" s="39"/>
      <c r="AF328" s="39"/>
      <c r="AG328" s="40"/>
      <c r="AH328" s="40"/>
      <c r="AI328" s="41"/>
      <c r="AJ328" s="41"/>
      <c r="AK328" s="41"/>
      <c r="AL328" s="52"/>
      <c r="AM328" s="53"/>
      <c r="AN328" s="53"/>
      <c r="AO328" s="53"/>
      <c r="AP328" s="53"/>
      <c r="AQ328" s="53"/>
      <c r="AR328" s="54"/>
      <c r="AS328" s="61"/>
      <c r="AT328" s="62"/>
      <c r="AU328" s="62"/>
      <c r="AV328" s="62"/>
      <c r="AW328" s="62"/>
      <c r="AX328" s="63"/>
      <c r="AY328" s="68"/>
      <c r="AZ328" s="69"/>
      <c r="BA328" s="70"/>
      <c r="BB328" s="7"/>
    </row>
    <row r="329" spans="7:54" x14ac:dyDescent="0.15">
      <c r="G329" s="7"/>
      <c r="H329" s="38"/>
      <c r="I329" s="39"/>
      <c r="J329" s="39"/>
      <c r="K329" s="39"/>
      <c r="L329" s="39"/>
      <c r="M329" s="39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1"/>
      <c r="AC329" s="39"/>
      <c r="AD329" s="39"/>
      <c r="AE329" s="39"/>
      <c r="AF329" s="39"/>
      <c r="AG329" s="40"/>
      <c r="AH329" s="40"/>
      <c r="AI329" s="41"/>
      <c r="AJ329" s="41"/>
      <c r="AK329" s="41"/>
      <c r="AL329" s="52"/>
      <c r="AM329" s="53"/>
      <c r="AN329" s="53"/>
      <c r="AO329" s="53"/>
      <c r="AP329" s="53"/>
      <c r="AQ329" s="53"/>
      <c r="AR329" s="54"/>
      <c r="AS329" s="61"/>
      <c r="AT329" s="62"/>
      <c r="AU329" s="62"/>
      <c r="AV329" s="62"/>
      <c r="AW329" s="62"/>
      <c r="AX329" s="63"/>
      <c r="AY329" s="68"/>
      <c r="AZ329" s="69"/>
      <c r="BA329" s="70"/>
      <c r="BB329" s="7"/>
    </row>
    <row r="330" spans="7:54" x14ac:dyDescent="0.15">
      <c r="G330" s="7"/>
      <c r="H330" s="38"/>
      <c r="I330" s="39"/>
      <c r="J330" s="39"/>
      <c r="K330" s="39"/>
      <c r="L330" s="39"/>
      <c r="M330" s="39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1"/>
      <c r="AC330" s="39"/>
      <c r="AD330" s="39"/>
      <c r="AE330" s="39"/>
      <c r="AF330" s="39"/>
      <c r="AG330" s="40"/>
      <c r="AH330" s="40"/>
      <c r="AI330" s="41"/>
      <c r="AJ330" s="41"/>
      <c r="AK330" s="41"/>
      <c r="AL330" s="52"/>
      <c r="AM330" s="53"/>
      <c r="AN330" s="53"/>
      <c r="AO330" s="53"/>
      <c r="AP330" s="53"/>
      <c r="AQ330" s="53"/>
      <c r="AR330" s="54"/>
      <c r="AS330" s="61"/>
      <c r="AT330" s="62"/>
      <c r="AU330" s="62"/>
      <c r="AV330" s="62"/>
      <c r="AW330" s="62"/>
      <c r="AX330" s="63"/>
      <c r="AY330" s="68"/>
      <c r="AZ330" s="69"/>
      <c r="BA330" s="70"/>
      <c r="BB330" s="7"/>
    </row>
    <row r="331" spans="7:54" x14ac:dyDescent="0.15">
      <c r="G331" s="7"/>
      <c r="H331" s="38"/>
      <c r="I331" s="39"/>
      <c r="J331" s="39"/>
      <c r="K331" s="39"/>
      <c r="L331" s="39"/>
      <c r="M331" s="39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1"/>
      <c r="AC331" s="39"/>
      <c r="AD331" s="39"/>
      <c r="AE331" s="39"/>
      <c r="AF331" s="39"/>
      <c r="AG331" s="40"/>
      <c r="AH331" s="40"/>
      <c r="AI331" s="41"/>
      <c r="AJ331" s="41"/>
      <c r="AK331" s="41"/>
      <c r="AL331" s="52"/>
      <c r="AM331" s="53"/>
      <c r="AN331" s="53"/>
      <c r="AO331" s="53"/>
      <c r="AP331" s="53"/>
      <c r="AQ331" s="53"/>
      <c r="AR331" s="54"/>
      <c r="AS331" s="61"/>
      <c r="AT331" s="62"/>
      <c r="AU331" s="62"/>
      <c r="AV331" s="62"/>
      <c r="AW331" s="62"/>
      <c r="AX331" s="63"/>
      <c r="AY331" s="68"/>
      <c r="AZ331" s="69"/>
      <c r="BA331" s="70"/>
      <c r="BB331" s="7"/>
    </row>
    <row r="332" spans="7:54" x14ac:dyDescent="0.15">
      <c r="G332" s="7"/>
      <c r="H332" s="38"/>
      <c r="I332" s="39"/>
      <c r="J332" s="39"/>
      <c r="K332" s="39"/>
      <c r="L332" s="39"/>
      <c r="M332" s="39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1"/>
      <c r="AC332" s="39"/>
      <c r="AD332" s="39"/>
      <c r="AE332" s="39"/>
      <c r="AF332" s="39"/>
      <c r="AG332" s="40"/>
      <c r="AH332" s="40"/>
      <c r="AI332" s="41"/>
      <c r="AJ332" s="41"/>
      <c r="AK332" s="41"/>
      <c r="AL332" s="52"/>
      <c r="AM332" s="53"/>
      <c r="AN332" s="53"/>
      <c r="AO332" s="53"/>
      <c r="AP332" s="53"/>
      <c r="AQ332" s="53"/>
      <c r="AR332" s="54"/>
      <c r="AS332" s="61"/>
      <c r="AT332" s="62"/>
      <c r="AU332" s="62"/>
      <c r="AV332" s="62"/>
      <c r="AW332" s="62"/>
      <c r="AX332" s="63"/>
      <c r="AY332" s="68"/>
      <c r="AZ332" s="69"/>
      <c r="BA332" s="70"/>
      <c r="BB332" s="7"/>
    </row>
    <row r="333" spans="7:54" x14ac:dyDescent="0.15">
      <c r="G333" s="7"/>
      <c r="H333" s="38"/>
      <c r="I333" s="39"/>
      <c r="J333" s="39"/>
      <c r="K333" s="39"/>
      <c r="L333" s="39"/>
      <c r="M333" s="39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1"/>
      <c r="AC333" s="39"/>
      <c r="AD333" s="39"/>
      <c r="AE333" s="39"/>
      <c r="AF333" s="39"/>
      <c r="AG333" s="40"/>
      <c r="AH333" s="40"/>
      <c r="AI333" s="41"/>
      <c r="AJ333" s="41"/>
      <c r="AK333" s="41"/>
      <c r="AL333" s="52"/>
      <c r="AM333" s="53"/>
      <c r="AN333" s="53"/>
      <c r="AO333" s="53"/>
      <c r="AP333" s="53"/>
      <c r="AQ333" s="53"/>
      <c r="AR333" s="54"/>
      <c r="AS333" s="61"/>
      <c r="AT333" s="62"/>
      <c r="AU333" s="62"/>
      <c r="AV333" s="62"/>
      <c r="AW333" s="62"/>
      <c r="AX333" s="63"/>
      <c r="AY333" s="68"/>
      <c r="AZ333" s="69"/>
      <c r="BA333" s="70"/>
      <c r="BB333" s="7"/>
    </row>
    <row r="334" spans="7:54" x14ac:dyDescent="0.15">
      <c r="G334" s="7"/>
      <c r="H334" s="38"/>
      <c r="I334" s="39"/>
      <c r="J334" s="39"/>
      <c r="K334" s="39"/>
      <c r="L334" s="39"/>
      <c r="M334" s="39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1"/>
      <c r="AC334" s="39"/>
      <c r="AD334" s="39"/>
      <c r="AE334" s="39"/>
      <c r="AF334" s="39"/>
      <c r="AG334" s="40"/>
      <c r="AH334" s="40"/>
      <c r="AI334" s="41"/>
      <c r="AJ334" s="41"/>
      <c r="AK334" s="41"/>
      <c r="AL334" s="52"/>
      <c r="AM334" s="53"/>
      <c r="AN334" s="53"/>
      <c r="AO334" s="53"/>
      <c r="AP334" s="53"/>
      <c r="AQ334" s="53"/>
      <c r="AR334" s="54"/>
      <c r="AS334" s="61"/>
      <c r="AT334" s="62"/>
      <c r="AU334" s="62"/>
      <c r="AV334" s="62"/>
      <c r="AW334" s="62"/>
      <c r="AX334" s="63"/>
      <c r="AY334" s="68"/>
      <c r="AZ334" s="69"/>
      <c r="BA334" s="70"/>
      <c r="BB334" s="7"/>
    </row>
    <row r="335" spans="7:54" x14ac:dyDescent="0.15">
      <c r="G335" s="7"/>
      <c r="H335" s="38"/>
      <c r="I335" s="39"/>
      <c r="J335" s="39"/>
      <c r="K335" s="39"/>
      <c r="L335" s="39"/>
      <c r="M335" s="39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1"/>
      <c r="AC335" s="39"/>
      <c r="AD335" s="39"/>
      <c r="AE335" s="39"/>
      <c r="AF335" s="39"/>
      <c r="AG335" s="40"/>
      <c r="AH335" s="40"/>
      <c r="AI335" s="41"/>
      <c r="AJ335" s="41"/>
      <c r="AK335" s="41"/>
      <c r="AL335" s="52"/>
      <c r="AM335" s="53"/>
      <c r="AN335" s="53"/>
      <c r="AO335" s="53"/>
      <c r="AP335" s="53"/>
      <c r="AQ335" s="53"/>
      <c r="AR335" s="54"/>
      <c r="AS335" s="61"/>
      <c r="AT335" s="62"/>
      <c r="AU335" s="62"/>
      <c r="AV335" s="62"/>
      <c r="AW335" s="62"/>
      <c r="AX335" s="63"/>
      <c r="AY335" s="68"/>
      <c r="AZ335" s="69"/>
      <c r="BA335" s="70"/>
      <c r="BB335" s="7"/>
    </row>
    <row r="336" spans="7:54" x14ac:dyDescent="0.15">
      <c r="G336" s="7"/>
      <c r="H336" s="38"/>
      <c r="I336" s="39"/>
      <c r="J336" s="39"/>
      <c r="K336" s="39"/>
      <c r="L336" s="39"/>
      <c r="M336" s="39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1"/>
      <c r="AC336" s="39"/>
      <c r="AD336" s="39"/>
      <c r="AE336" s="39"/>
      <c r="AF336" s="39"/>
      <c r="AG336" s="40"/>
      <c r="AH336" s="40"/>
      <c r="AI336" s="41"/>
      <c r="AJ336" s="41"/>
      <c r="AK336" s="41"/>
      <c r="AL336" s="52"/>
      <c r="AM336" s="53"/>
      <c r="AN336" s="53"/>
      <c r="AO336" s="53"/>
      <c r="AP336" s="53"/>
      <c r="AQ336" s="53"/>
      <c r="AR336" s="54"/>
      <c r="AS336" s="61"/>
      <c r="AT336" s="62"/>
      <c r="AU336" s="62"/>
      <c r="AV336" s="62"/>
      <c r="AW336" s="62"/>
      <c r="AX336" s="63"/>
      <c r="AY336" s="68"/>
      <c r="AZ336" s="69"/>
      <c r="BA336" s="70"/>
      <c r="BB336" s="7"/>
    </row>
    <row r="337" spans="7:54" x14ac:dyDescent="0.15">
      <c r="G337" s="7"/>
      <c r="H337" s="38"/>
      <c r="I337" s="39"/>
      <c r="J337" s="39"/>
      <c r="K337" s="39"/>
      <c r="L337" s="39"/>
      <c r="M337" s="39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1"/>
      <c r="AC337" s="39"/>
      <c r="AD337" s="39"/>
      <c r="AE337" s="39"/>
      <c r="AF337" s="39"/>
      <c r="AG337" s="40"/>
      <c r="AH337" s="40"/>
      <c r="AI337" s="41"/>
      <c r="AJ337" s="41"/>
      <c r="AK337" s="41"/>
      <c r="AL337" s="52"/>
      <c r="AM337" s="53"/>
      <c r="AN337" s="53"/>
      <c r="AO337" s="53"/>
      <c r="AP337" s="53"/>
      <c r="AQ337" s="53"/>
      <c r="AR337" s="54"/>
      <c r="AS337" s="61"/>
      <c r="AT337" s="62"/>
      <c r="AU337" s="62"/>
      <c r="AV337" s="62"/>
      <c r="AW337" s="62"/>
      <c r="AX337" s="63"/>
      <c r="AY337" s="68"/>
      <c r="AZ337" s="69"/>
      <c r="BA337" s="70"/>
      <c r="BB337" s="7"/>
    </row>
    <row r="338" spans="7:54" x14ac:dyDescent="0.15">
      <c r="G338" s="7"/>
      <c r="H338" s="38"/>
      <c r="I338" s="39"/>
      <c r="J338" s="39"/>
      <c r="K338" s="39"/>
      <c r="L338" s="39"/>
      <c r="M338" s="39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1"/>
      <c r="AC338" s="39"/>
      <c r="AD338" s="39"/>
      <c r="AE338" s="39"/>
      <c r="AF338" s="39"/>
      <c r="AG338" s="40"/>
      <c r="AH338" s="40"/>
      <c r="AI338" s="41"/>
      <c r="AJ338" s="41"/>
      <c r="AK338" s="41"/>
      <c r="AL338" s="52"/>
      <c r="AM338" s="53"/>
      <c r="AN338" s="53"/>
      <c r="AO338" s="53"/>
      <c r="AP338" s="53"/>
      <c r="AQ338" s="53"/>
      <c r="AR338" s="54"/>
      <c r="AS338" s="61"/>
      <c r="AT338" s="62"/>
      <c r="AU338" s="62"/>
      <c r="AV338" s="62"/>
      <c r="AW338" s="62"/>
      <c r="AX338" s="63"/>
      <c r="AY338" s="68"/>
      <c r="AZ338" s="69"/>
      <c r="BA338" s="70"/>
      <c r="BB338" s="7"/>
    </row>
    <row r="339" spans="7:54" x14ac:dyDescent="0.15">
      <c r="G339" s="7"/>
      <c r="H339" s="38"/>
      <c r="I339" s="39"/>
      <c r="J339" s="39"/>
      <c r="K339" s="39"/>
      <c r="L339" s="39"/>
      <c r="M339" s="39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1"/>
      <c r="AC339" s="39"/>
      <c r="AD339" s="39"/>
      <c r="AE339" s="39"/>
      <c r="AF339" s="39"/>
      <c r="AG339" s="40"/>
      <c r="AH339" s="40"/>
      <c r="AI339" s="41"/>
      <c r="AJ339" s="41"/>
      <c r="AK339" s="41"/>
      <c r="AL339" s="52"/>
      <c r="AM339" s="53"/>
      <c r="AN339" s="53"/>
      <c r="AO339" s="53"/>
      <c r="AP339" s="53"/>
      <c r="AQ339" s="53"/>
      <c r="AR339" s="54"/>
      <c r="AS339" s="61"/>
      <c r="AT339" s="62"/>
      <c r="AU339" s="62"/>
      <c r="AV339" s="62"/>
      <c r="AW339" s="62"/>
      <c r="AX339" s="63"/>
      <c r="AY339" s="68"/>
      <c r="AZ339" s="69"/>
      <c r="BA339" s="70"/>
      <c r="BB339" s="7"/>
    </row>
    <row r="340" spans="7:54" x14ac:dyDescent="0.15">
      <c r="G340" s="7"/>
      <c r="H340" s="38"/>
      <c r="I340" s="39"/>
      <c r="J340" s="39"/>
      <c r="K340" s="39"/>
      <c r="L340" s="39"/>
      <c r="M340" s="39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1"/>
      <c r="AC340" s="39"/>
      <c r="AD340" s="39"/>
      <c r="AE340" s="39"/>
      <c r="AF340" s="39"/>
      <c r="AG340" s="40"/>
      <c r="AH340" s="40"/>
      <c r="AI340" s="41"/>
      <c r="AJ340" s="41"/>
      <c r="AK340" s="41"/>
      <c r="AL340" s="52"/>
      <c r="AM340" s="53"/>
      <c r="AN340" s="53"/>
      <c r="AO340" s="53"/>
      <c r="AP340" s="53"/>
      <c r="AQ340" s="53"/>
      <c r="AR340" s="54"/>
      <c r="AS340" s="61"/>
      <c r="AT340" s="62"/>
      <c r="AU340" s="62"/>
      <c r="AV340" s="62"/>
      <c r="AW340" s="62"/>
      <c r="AX340" s="63"/>
      <c r="AY340" s="68"/>
      <c r="AZ340" s="69"/>
      <c r="BA340" s="70"/>
      <c r="BB340" s="7"/>
    </row>
    <row r="341" spans="7:54" x14ac:dyDescent="0.15">
      <c r="G341" s="7"/>
      <c r="H341" s="38"/>
      <c r="I341" s="39"/>
      <c r="J341" s="39"/>
      <c r="K341" s="39"/>
      <c r="L341" s="39"/>
      <c r="M341" s="39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1"/>
      <c r="AC341" s="39"/>
      <c r="AD341" s="39"/>
      <c r="AE341" s="39"/>
      <c r="AF341" s="39"/>
      <c r="AG341" s="40"/>
      <c r="AH341" s="40"/>
      <c r="AI341" s="41"/>
      <c r="AJ341" s="41"/>
      <c r="AK341" s="41"/>
      <c r="AL341" s="52"/>
      <c r="AM341" s="53"/>
      <c r="AN341" s="53"/>
      <c r="AO341" s="53"/>
      <c r="AP341" s="53"/>
      <c r="AQ341" s="53"/>
      <c r="AR341" s="54"/>
      <c r="AS341" s="61"/>
      <c r="AT341" s="62"/>
      <c r="AU341" s="62"/>
      <c r="AV341" s="62"/>
      <c r="AW341" s="62"/>
      <c r="AX341" s="63"/>
      <c r="AY341" s="68"/>
      <c r="AZ341" s="69"/>
      <c r="BA341" s="70"/>
      <c r="BB341" s="7"/>
    </row>
    <row r="342" spans="7:54" x14ac:dyDescent="0.15">
      <c r="G342" s="7"/>
      <c r="H342" s="38"/>
      <c r="I342" s="39"/>
      <c r="J342" s="39"/>
      <c r="K342" s="39"/>
      <c r="L342" s="39"/>
      <c r="M342" s="39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1"/>
      <c r="AC342" s="39"/>
      <c r="AD342" s="39"/>
      <c r="AE342" s="39"/>
      <c r="AF342" s="39"/>
      <c r="AG342" s="40"/>
      <c r="AH342" s="40"/>
      <c r="AI342" s="41"/>
      <c r="AJ342" s="41"/>
      <c r="AK342" s="41"/>
      <c r="AL342" s="52"/>
      <c r="AM342" s="53"/>
      <c r="AN342" s="53"/>
      <c r="AO342" s="53"/>
      <c r="AP342" s="53"/>
      <c r="AQ342" s="53"/>
      <c r="AR342" s="54"/>
      <c r="AS342" s="61"/>
      <c r="AT342" s="62"/>
      <c r="AU342" s="62"/>
      <c r="AV342" s="62"/>
      <c r="AW342" s="62"/>
      <c r="AX342" s="63"/>
      <c r="AY342" s="68"/>
      <c r="AZ342" s="69"/>
      <c r="BA342" s="70"/>
      <c r="BB342" s="7"/>
    </row>
    <row r="343" spans="7:54" x14ac:dyDescent="0.15">
      <c r="G343" s="7"/>
      <c r="H343" s="38"/>
      <c r="I343" s="39"/>
      <c r="J343" s="39"/>
      <c r="K343" s="39"/>
      <c r="L343" s="39"/>
      <c r="M343" s="39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1"/>
      <c r="AC343" s="39"/>
      <c r="AD343" s="39"/>
      <c r="AE343" s="39"/>
      <c r="AF343" s="39"/>
      <c r="AG343" s="40"/>
      <c r="AH343" s="40"/>
      <c r="AI343" s="41"/>
      <c r="AJ343" s="41"/>
      <c r="AK343" s="41"/>
      <c r="AL343" s="52"/>
      <c r="AM343" s="53"/>
      <c r="AN343" s="53"/>
      <c r="AO343" s="53"/>
      <c r="AP343" s="53"/>
      <c r="AQ343" s="53"/>
      <c r="AR343" s="54"/>
      <c r="AS343" s="61"/>
      <c r="AT343" s="62"/>
      <c r="AU343" s="62"/>
      <c r="AV343" s="62"/>
      <c r="AW343" s="62"/>
      <c r="AX343" s="63"/>
      <c r="AY343" s="68"/>
      <c r="AZ343" s="69"/>
      <c r="BA343" s="70"/>
      <c r="BB343" s="7"/>
    </row>
    <row r="344" spans="7:54" x14ac:dyDescent="0.15">
      <c r="G344" s="7"/>
      <c r="H344" s="38"/>
      <c r="I344" s="39"/>
      <c r="J344" s="39"/>
      <c r="K344" s="39"/>
      <c r="L344" s="39"/>
      <c r="M344" s="39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1"/>
      <c r="AC344" s="39"/>
      <c r="AD344" s="39"/>
      <c r="AE344" s="39"/>
      <c r="AF344" s="39"/>
      <c r="AG344" s="40"/>
      <c r="AH344" s="40"/>
      <c r="AI344" s="41"/>
      <c r="AJ344" s="41"/>
      <c r="AK344" s="41"/>
      <c r="AL344" s="52"/>
      <c r="AM344" s="53"/>
      <c r="AN344" s="53"/>
      <c r="AO344" s="53"/>
      <c r="AP344" s="53"/>
      <c r="AQ344" s="53"/>
      <c r="AR344" s="54"/>
      <c r="AS344" s="61"/>
      <c r="AT344" s="62"/>
      <c r="AU344" s="62"/>
      <c r="AV344" s="62"/>
      <c r="AW344" s="62"/>
      <c r="AX344" s="63"/>
      <c r="AY344" s="68"/>
      <c r="AZ344" s="69"/>
      <c r="BA344" s="70"/>
      <c r="BB344" s="7"/>
    </row>
    <row r="345" spans="7:54" x14ac:dyDescent="0.15">
      <c r="G345" s="7"/>
      <c r="H345" s="38"/>
      <c r="I345" s="39"/>
      <c r="J345" s="39"/>
      <c r="K345" s="39"/>
      <c r="L345" s="39"/>
      <c r="M345" s="39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1"/>
      <c r="AC345" s="39"/>
      <c r="AD345" s="39"/>
      <c r="AE345" s="39"/>
      <c r="AF345" s="39"/>
      <c r="AG345" s="40"/>
      <c r="AH345" s="40"/>
      <c r="AI345" s="41"/>
      <c r="AJ345" s="41"/>
      <c r="AK345" s="41"/>
      <c r="AL345" s="52"/>
      <c r="AM345" s="53"/>
      <c r="AN345" s="53"/>
      <c r="AO345" s="53"/>
      <c r="AP345" s="53"/>
      <c r="AQ345" s="53"/>
      <c r="AR345" s="54"/>
      <c r="AS345" s="61"/>
      <c r="AT345" s="62"/>
      <c r="AU345" s="62"/>
      <c r="AV345" s="62"/>
      <c r="AW345" s="62"/>
      <c r="AX345" s="63"/>
      <c r="AY345" s="68"/>
      <c r="AZ345" s="69"/>
      <c r="BA345" s="70"/>
      <c r="BB345" s="7"/>
    </row>
    <row r="346" spans="7:54" x14ac:dyDescent="0.15">
      <c r="G346" s="7"/>
      <c r="H346" s="38"/>
      <c r="I346" s="39"/>
      <c r="J346" s="39"/>
      <c r="K346" s="39"/>
      <c r="L346" s="39"/>
      <c r="M346" s="39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1"/>
      <c r="AC346" s="39"/>
      <c r="AD346" s="39"/>
      <c r="AE346" s="39"/>
      <c r="AF346" s="39"/>
      <c r="AG346" s="40"/>
      <c r="AH346" s="40"/>
      <c r="AI346" s="41"/>
      <c r="AJ346" s="41"/>
      <c r="AK346" s="41"/>
      <c r="AL346" s="52"/>
      <c r="AM346" s="53"/>
      <c r="AN346" s="53"/>
      <c r="AO346" s="53"/>
      <c r="AP346" s="53"/>
      <c r="AQ346" s="53"/>
      <c r="AR346" s="54"/>
      <c r="AS346" s="61"/>
      <c r="AT346" s="62"/>
      <c r="AU346" s="62"/>
      <c r="AV346" s="62"/>
      <c r="AW346" s="62"/>
      <c r="AX346" s="63"/>
      <c r="AY346" s="68"/>
      <c r="AZ346" s="69"/>
      <c r="BA346" s="70"/>
      <c r="BB346" s="7"/>
    </row>
    <row r="347" spans="7:54" x14ac:dyDescent="0.15">
      <c r="G347" s="7"/>
      <c r="H347" s="38"/>
      <c r="I347" s="39"/>
      <c r="J347" s="39"/>
      <c r="K347" s="39"/>
      <c r="L347" s="39"/>
      <c r="M347" s="39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1"/>
      <c r="AC347" s="39"/>
      <c r="AD347" s="39"/>
      <c r="AE347" s="39"/>
      <c r="AF347" s="39"/>
      <c r="AG347" s="40"/>
      <c r="AH347" s="40"/>
      <c r="AI347" s="41"/>
      <c r="AJ347" s="41"/>
      <c r="AK347" s="41"/>
      <c r="AL347" s="52"/>
      <c r="AM347" s="53"/>
      <c r="AN347" s="53"/>
      <c r="AO347" s="53"/>
      <c r="AP347" s="53"/>
      <c r="AQ347" s="53"/>
      <c r="AR347" s="54"/>
      <c r="AS347" s="61"/>
      <c r="AT347" s="62"/>
      <c r="AU347" s="62"/>
      <c r="AV347" s="62"/>
      <c r="AW347" s="62"/>
      <c r="AX347" s="63"/>
      <c r="AY347" s="68"/>
      <c r="AZ347" s="69"/>
      <c r="BA347" s="70"/>
      <c r="BB347" s="7"/>
    </row>
    <row r="348" spans="7:54" x14ac:dyDescent="0.15">
      <c r="G348" s="7"/>
      <c r="H348" s="38"/>
      <c r="I348" s="39"/>
      <c r="J348" s="39"/>
      <c r="K348" s="39"/>
      <c r="L348" s="39"/>
      <c r="M348" s="39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1"/>
      <c r="AC348" s="39"/>
      <c r="AD348" s="39"/>
      <c r="AE348" s="39"/>
      <c r="AF348" s="39"/>
      <c r="AG348" s="40"/>
      <c r="AH348" s="40"/>
      <c r="AI348" s="41"/>
      <c r="AJ348" s="41"/>
      <c r="AK348" s="41"/>
      <c r="AL348" s="52"/>
      <c r="AM348" s="53"/>
      <c r="AN348" s="53"/>
      <c r="AO348" s="53"/>
      <c r="AP348" s="53"/>
      <c r="AQ348" s="53"/>
      <c r="AR348" s="54"/>
      <c r="AS348" s="61"/>
      <c r="AT348" s="62"/>
      <c r="AU348" s="62"/>
      <c r="AV348" s="62"/>
      <c r="AW348" s="62"/>
      <c r="AX348" s="63"/>
      <c r="AY348" s="68"/>
      <c r="AZ348" s="69"/>
      <c r="BA348" s="70"/>
      <c r="BB348" s="7"/>
    </row>
    <row r="349" spans="7:54" x14ac:dyDescent="0.15">
      <c r="G349" s="7"/>
      <c r="H349" s="38"/>
      <c r="I349" s="39"/>
      <c r="J349" s="39"/>
      <c r="K349" s="39"/>
      <c r="L349" s="39"/>
      <c r="M349" s="39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1"/>
      <c r="AC349" s="39"/>
      <c r="AD349" s="39"/>
      <c r="AE349" s="39"/>
      <c r="AF349" s="39"/>
      <c r="AG349" s="40"/>
      <c r="AH349" s="40"/>
      <c r="AI349" s="41"/>
      <c r="AJ349" s="41"/>
      <c r="AK349" s="41"/>
      <c r="AL349" s="52"/>
      <c r="AM349" s="53"/>
      <c r="AN349" s="53"/>
      <c r="AO349" s="53"/>
      <c r="AP349" s="53"/>
      <c r="AQ349" s="53"/>
      <c r="AR349" s="54"/>
      <c r="AS349" s="61"/>
      <c r="AT349" s="62"/>
      <c r="AU349" s="62"/>
      <c r="AV349" s="62"/>
      <c r="AW349" s="62"/>
      <c r="AX349" s="63"/>
      <c r="AY349" s="68"/>
      <c r="AZ349" s="69"/>
      <c r="BA349" s="70"/>
      <c r="BB349" s="7"/>
    </row>
    <row r="350" spans="7:54" x14ac:dyDescent="0.15">
      <c r="G350" s="7"/>
      <c r="H350" s="38"/>
      <c r="I350" s="39"/>
      <c r="J350" s="39"/>
      <c r="K350" s="39"/>
      <c r="L350" s="39"/>
      <c r="M350" s="39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1"/>
      <c r="AC350" s="39"/>
      <c r="AD350" s="39"/>
      <c r="AE350" s="39"/>
      <c r="AF350" s="39"/>
      <c r="AG350" s="40"/>
      <c r="AH350" s="40"/>
      <c r="AI350" s="41"/>
      <c r="AJ350" s="41"/>
      <c r="AK350" s="41"/>
      <c r="AL350" s="52"/>
      <c r="AM350" s="53"/>
      <c r="AN350" s="53"/>
      <c r="AO350" s="53"/>
      <c r="AP350" s="53"/>
      <c r="AQ350" s="53"/>
      <c r="AR350" s="54"/>
      <c r="AS350" s="61"/>
      <c r="AT350" s="62"/>
      <c r="AU350" s="62"/>
      <c r="AV350" s="62"/>
      <c r="AW350" s="62"/>
      <c r="AX350" s="63"/>
      <c r="AY350" s="68"/>
      <c r="AZ350" s="69"/>
      <c r="BA350" s="70"/>
      <c r="BB350" s="7"/>
    </row>
    <row r="351" spans="7:54" x14ac:dyDescent="0.15">
      <c r="G351" s="7"/>
      <c r="H351" s="38"/>
      <c r="I351" s="39"/>
      <c r="J351" s="39"/>
      <c r="K351" s="39"/>
      <c r="L351" s="39"/>
      <c r="M351" s="39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1"/>
      <c r="AC351" s="39"/>
      <c r="AD351" s="39"/>
      <c r="AE351" s="39"/>
      <c r="AF351" s="39"/>
      <c r="AG351" s="40"/>
      <c r="AH351" s="40"/>
      <c r="AI351" s="41"/>
      <c r="AJ351" s="41"/>
      <c r="AK351" s="41"/>
      <c r="AL351" s="52"/>
      <c r="AM351" s="53"/>
      <c r="AN351" s="53"/>
      <c r="AO351" s="53"/>
      <c r="AP351" s="53"/>
      <c r="AQ351" s="53"/>
      <c r="AR351" s="54"/>
      <c r="AS351" s="61"/>
      <c r="AT351" s="62"/>
      <c r="AU351" s="62"/>
      <c r="AV351" s="62"/>
      <c r="AW351" s="62"/>
      <c r="AX351" s="63"/>
      <c r="AY351" s="68"/>
      <c r="AZ351" s="69"/>
      <c r="BA351" s="70"/>
      <c r="BB351" s="7"/>
    </row>
    <row r="352" spans="7:54" x14ac:dyDescent="0.15">
      <c r="G352" s="7"/>
      <c r="H352" s="38"/>
      <c r="I352" s="39"/>
      <c r="J352" s="39"/>
      <c r="K352" s="39"/>
      <c r="L352" s="39"/>
      <c r="M352" s="39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1"/>
      <c r="AC352" s="39"/>
      <c r="AD352" s="39"/>
      <c r="AE352" s="39"/>
      <c r="AF352" s="39"/>
      <c r="AG352" s="40"/>
      <c r="AH352" s="40"/>
      <c r="AI352" s="41"/>
      <c r="AJ352" s="41"/>
      <c r="AK352" s="41"/>
      <c r="AL352" s="52"/>
      <c r="AM352" s="53"/>
      <c r="AN352" s="53"/>
      <c r="AO352" s="53"/>
      <c r="AP352" s="53"/>
      <c r="AQ352" s="53"/>
      <c r="AR352" s="54"/>
      <c r="AS352" s="61"/>
      <c r="AT352" s="62"/>
      <c r="AU352" s="62"/>
      <c r="AV352" s="62"/>
      <c r="AW352" s="62"/>
      <c r="AX352" s="63"/>
      <c r="AY352" s="68"/>
      <c r="AZ352" s="69"/>
      <c r="BA352" s="70"/>
      <c r="BB352" s="7"/>
    </row>
    <row r="353" spans="7:54" x14ac:dyDescent="0.15">
      <c r="G353" s="7"/>
      <c r="H353" s="38"/>
      <c r="I353" s="39"/>
      <c r="J353" s="39"/>
      <c r="K353" s="39"/>
      <c r="L353" s="39"/>
      <c r="M353" s="39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1"/>
      <c r="AC353" s="39"/>
      <c r="AD353" s="39"/>
      <c r="AE353" s="39"/>
      <c r="AF353" s="39"/>
      <c r="AG353" s="40"/>
      <c r="AH353" s="40"/>
      <c r="AI353" s="41"/>
      <c r="AJ353" s="41"/>
      <c r="AK353" s="41"/>
      <c r="AL353" s="52"/>
      <c r="AM353" s="53"/>
      <c r="AN353" s="53"/>
      <c r="AO353" s="53"/>
      <c r="AP353" s="53"/>
      <c r="AQ353" s="53"/>
      <c r="AR353" s="54"/>
      <c r="AS353" s="61"/>
      <c r="AT353" s="62"/>
      <c r="AU353" s="62"/>
      <c r="AV353" s="62"/>
      <c r="AW353" s="62"/>
      <c r="AX353" s="63"/>
      <c r="AY353" s="68"/>
      <c r="AZ353" s="69"/>
      <c r="BA353" s="70"/>
      <c r="BB353" s="7"/>
    </row>
    <row r="354" spans="7:54" x14ac:dyDescent="0.15">
      <c r="G354" s="7"/>
      <c r="H354" s="38"/>
      <c r="I354" s="39"/>
      <c r="J354" s="39"/>
      <c r="K354" s="39"/>
      <c r="L354" s="39"/>
      <c r="M354" s="39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1"/>
      <c r="AC354" s="39"/>
      <c r="AD354" s="39"/>
      <c r="AE354" s="39"/>
      <c r="AF354" s="39"/>
      <c r="AG354" s="40"/>
      <c r="AH354" s="40"/>
      <c r="AI354" s="41"/>
      <c r="AJ354" s="41"/>
      <c r="AK354" s="41"/>
      <c r="AL354" s="52"/>
      <c r="AM354" s="53"/>
      <c r="AN354" s="53"/>
      <c r="AO354" s="53"/>
      <c r="AP354" s="53"/>
      <c r="AQ354" s="53"/>
      <c r="AR354" s="54"/>
      <c r="AS354" s="61"/>
      <c r="AT354" s="62"/>
      <c r="AU354" s="62"/>
      <c r="AV354" s="62"/>
      <c r="AW354" s="62"/>
      <c r="AX354" s="63"/>
      <c r="AY354" s="68"/>
      <c r="AZ354" s="69"/>
      <c r="BA354" s="70"/>
      <c r="BB354" s="7"/>
    </row>
    <row r="355" spans="7:54" x14ac:dyDescent="0.15">
      <c r="G355" s="7"/>
      <c r="H355" s="38"/>
      <c r="I355" s="39"/>
      <c r="J355" s="39"/>
      <c r="K355" s="39"/>
      <c r="L355" s="39"/>
      <c r="M355" s="39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1"/>
      <c r="AC355" s="39"/>
      <c r="AD355" s="39"/>
      <c r="AE355" s="39"/>
      <c r="AF355" s="39"/>
      <c r="AG355" s="40"/>
      <c r="AH355" s="40"/>
      <c r="AI355" s="41"/>
      <c r="AJ355" s="41"/>
      <c r="AK355" s="41"/>
      <c r="AL355" s="52"/>
      <c r="AM355" s="53"/>
      <c r="AN355" s="53"/>
      <c r="AO355" s="53"/>
      <c r="AP355" s="53"/>
      <c r="AQ355" s="53"/>
      <c r="AR355" s="54"/>
      <c r="AS355" s="61"/>
      <c r="AT355" s="62"/>
      <c r="AU355" s="62"/>
      <c r="AV355" s="62"/>
      <c r="AW355" s="62"/>
      <c r="AX355" s="63"/>
      <c r="AY355" s="68"/>
      <c r="AZ355" s="69"/>
      <c r="BA355" s="70"/>
      <c r="BB355" s="7"/>
    </row>
    <row r="356" spans="7:54" x14ac:dyDescent="0.15">
      <c r="G356" s="7"/>
      <c r="H356" s="38"/>
      <c r="I356" s="39"/>
      <c r="J356" s="39"/>
      <c r="K356" s="39"/>
      <c r="L356" s="39"/>
      <c r="M356" s="39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1"/>
      <c r="AC356" s="39"/>
      <c r="AD356" s="39"/>
      <c r="AE356" s="39"/>
      <c r="AF356" s="39"/>
      <c r="AG356" s="40"/>
      <c r="AH356" s="40"/>
      <c r="AI356" s="41"/>
      <c r="AJ356" s="41"/>
      <c r="AK356" s="41"/>
      <c r="AL356" s="52"/>
      <c r="AM356" s="53"/>
      <c r="AN356" s="53"/>
      <c r="AO356" s="53"/>
      <c r="AP356" s="53"/>
      <c r="AQ356" s="53"/>
      <c r="AR356" s="54"/>
      <c r="AS356" s="61"/>
      <c r="AT356" s="62"/>
      <c r="AU356" s="62"/>
      <c r="AV356" s="62"/>
      <c r="AW356" s="62"/>
      <c r="AX356" s="63"/>
      <c r="AY356" s="68"/>
      <c r="AZ356" s="69"/>
      <c r="BA356" s="70"/>
      <c r="BB356" s="7"/>
    </row>
    <row r="357" spans="7:54" x14ac:dyDescent="0.15">
      <c r="G357" s="7"/>
      <c r="H357" s="38"/>
      <c r="I357" s="39"/>
      <c r="J357" s="39"/>
      <c r="K357" s="39"/>
      <c r="L357" s="39"/>
      <c r="M357" s="39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1"/>
      <c r="AC357" s="39"/>
      <c r="AD357" s="39"/>
      <c r="AE357" s="39"/>
      <c r="AF357" s="39"/>
      <c r="AG357" s="40"/>
      <c r="AH357" s="40"/>
      <c r="AI357" s="41"/>
      <c r="AJ357" s="41"/>
      <c r="AK357" s="41"/>
      <c r="AL357" s="52"/>
      <c r="AM357" s="53"/>
      <c r="AN357" s="53"/>
      <c r="AO357" s="53"/>
      <c r="AP357" s="53"/>
      <c r="AQ357" s="53"/>
      <c r="AR357" s="54"/>
      <c r="AS357" s="61"/>
      <c r="AT357" s="62"/>
      <c r="AU357" s="62"/>
      <c r="AV357" s="62"/>
      <c r="AW357" s="62"/>
      <c r="AX357" s="63"/>
      <c r="AY357" s="68"/>
      <c r="AZ357" s="69"/>
      <c r="BA357" s="70"/>
      <c r="BB357" s="7"/>
    </row>
    <row r="358" spans="7:54" x14ac:dyDescent="0.15">
      <c r="G358" s="7"/>
      <c r="H358" s="38"/>
      <c r="I358" s="39"/>
      <c r="J358" s="39"/>
      <c r="K358" s="39"/>
      <c r="L358" s="39"/>
      <c r="M358" s="39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1"/>
      <c r="AC358" s="39"/>
      <c r="AD358" s="39"/>
      <c r="AE358" s="39"/>
      <c r="AF358" s="39"/>
      <c r="AG358" s="40"/>
      <c r="AH358" s="40"/>
      <c r="AI358" s="41"/>
      <c r="AJ358" s="41"/>
      <c r="AK358" s="41"/>
      <c r="AL358" s="52"/>
      <c r="AM358" s="53"/>
      <c r="AN358" s="53"/>
      <c r="AO358" s="53"/>
      <c r="AP358" s="53"/>
      <c r="AQ358" s="53"/>
      <c r="AR358" s="54"/>
      <c r="AS358" s="61"/>
      <c r="AT358" s="62"/>
      <c r="AU358" s="62"/>
      <c r="AV358" s="62"/>
      <c r="AW358" s="62"/>
      <c r="AX358" s="63"/>
      <c r="AY358" s="68"/>
      <c r="AZ358" s="69"/>
      <c r="BA358" s="70"/>
      <c r="BB358" s="7"/>
    </row>
    <row r="359" spans="7:54" x14ac:dyDescent="0.15">
      <c r="G359" s="7"/>
      <c r="H359" s="38"/>
      <c r="I359" s="39"/>
      <c r="J359" s="39"/>
      <c r="K359" s="39"/>
      <c r="L359" s="39"/>
      <c r="M359" s="39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1"/>
      <c r="AC359" s="39"/>
      <c r="AD359" s="39"/>
      <c r="AE359" s="39"/>
      <c r="AF359" s="39"/>
      <c r="AG359" s="40"/>
      <c r="AH359" s="40"/>
      <c r="AI359" s="41"/>
      <c r="AJ359" s="41"/>
      <c r="AK359" s="41"/>
      <c r="AL359" s="52"/>
      <c r="AM359" s="53"/>
      <c r="AN359" s="53"/>
      <c r="AO359" s="53"/>
      <c r="AP359" s="53"/>
      <c r="AQ359" s="53"/>
      <c r="AR359" s="54"/>
      <c r="AS359" s="61"/>
      <c r="AT359" s="62"/>
      <c r="AU359" s="62"/>
      <c r="AV359" s="62"/>
      <c r="AW359" s="62"/>
      <c r="AX359" s="63"/>
      <c r="AY359" s="68"/>
      <c r="AZ359" s="69"/>
      <c r="BA359" s="70"/>
      <c r="BB359" s="7"/>
    </row>
    <row r="360" spans="7:54" x14ac:dyDescent="0.15">
      <c r="G360" s="7"/>
      <c r="H360" s="38"/>
      <c r="I360" s="39"/>
      <c r="J360" s="39"/>
      <c r="K360" s="39"/>
      <c r="L360" s="39"/>
      <c r="M360" s="39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1"/>
      <c r="AC360" s="39"/>
      <c r="AD360" s="39"/>
      <c r="AE360" s="39"/>
      <c r="AF360" s="39"/>
      <c r="AG360" s="40"/>
      <c r="AH360" s="40"/>
      <c r="AI360" s="41"/>
      <c r="AJ360" s="41"/>
      <c r="AK360" s="41"/>
      <c r="AL360" s="52"/>
      <c r="AM360" s="53"/>
      <c r="AN360" s="53"/>
      <c r="AO360" s="53"/>
      <c r="AP360" s="53"/>
      <c r="AQ360" s="53"/>
      <c r="AR360" s="54"/>
      <c r="AS360" s="61"/>
      <c r="AT360" s="62"/>
      <c r="AU360" s="62"/>
      <c r="AV360" s="62"/>
      <c r="AW360" s="62"/>
      <c r="AX360" s="63"/>
      <c r="AY360" s="68"/>
      <c r="AZ360" s="69"/>
      <c r="BA360" s="70"/>
      <c r="BB360" s="7"/>
    </row>
    <row r="361" spans="7:54" x14ac:dyDescent="0.15">
      <c r="G361" s="7"/>
      <c r="H361" s="38"/>
      <c r="I361" s="39"/>
      <c r="J361" s="39"/>
      <c r="K361" s="39"/>
      <c r="L361" s="39"/>
      <c r="M361" s="39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1"/>
      <c r="AC361" s="39"/>
      <c r="AD361" s="39"/>
      <c r="AE361" s="39"/>
      <c r="AF361" s="39"/>
      <c r="AG361" s="40"/>
      <c r="AH361" s="40"/>
      <c r="AI361" s="41"/>
      <c r="AJ361" s="41"/>
      <c r="AK361" s="41"/>
      <c r="AL361" s="52"/>
      <c r="AM361" s="53"/>
      <c r="AN361" s="53"/>
      <c r="AO361" s="53"/>
      <c r="AP361" s="53"/>
      <c r="AQ361" s="53"/>
      <c r="AR361" s="54"/>
      <c r="AS361" s="61"/>
      <c r="AT361" s="62"/>
      <c r="AU361" s="62"/>
      <c r="AV361" s="62"/>
      <c r="AW361" s="62"/>
      <c r="AX361" s="63"/>
      <c r="AY361" s="68"/>
      <c r="AZ361" s="69"/>
      <c r="BA361" s="70"/>
      <c r="BB361" s="7"/>
    </row>
    <row r="362" spans="7:54" x14ac:dyDescent="0.15">
      <c r="G362" s="7"/>
      <c r="H362" s="38"/>
      <c r="I362" s="39"/>
      <c r="J362" s="39"/>
      <c r="K362" s="39"/>
      <c r="L362" s="39"/>
      <c r="M362" s="39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1"/>
      <c r="AC362" s="39"/>
      <c r="AD362" s="39"/>
      <c r="AE362" s="39"/>
      <c r="AF362" s="39"/>
      <c r="AG362" s="40"/>
      <c r="AH362" s="40"/>
      <c r="AI362" s="41"/>
      <c r="AJ362" s="41"/>
      <c r="AK362" s="41"/>
      <c r="AL362" s="52"/>
      <c r="AM362" s="53"/>
      <c r="AN362" s="53"/>
      <c r="AO362" s="53"/>
      <c r="AP362" s="53"/>
      <c r="AQ362" s="53"/>
      <c r="AR362" s="54"/>
      <c r="AS362" s="61"/>
      <c r="AT362" s="62"/>
      <c r="AU362" s="62"/>
      <c r="AV362" s="62"/>
      <c r="AW362" s="62"/>
      <c r="AX362" s="63"/>
      <c r="AY362" s="68"/>
      <c r="AZ362" s="69"/>
      <c r="BA362" s="70"/>
      <c r="BB362" s="7"/>
    </row>
    <row r="363" spans="7:54" x14ac:dyDescent="0.15">
      <c r="G363" s="7"/>
      <c r="H363" s="38"/>
      <c r="I363" s="39"/>
      <c r="J363" s="39"/>
      <c r="K363" s="39"/>
      <c r="L363" s="39"/>
      <c r="M363" s="39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1"/>
      <c r="AC363" s="39"/>
      <c r="AD363" s="39"/>
      <c r="AE363" s="39"/>
      <c r="AF363" s="39"/>
      <c r="AG363" s="40"/>
      <c r="AH363" s="40"/>
      <c r="AI363" s="41"/>
      <c r="AJ363" s="41"/>
      <c r="AK363" s="41"/>
      <c r="AL363" s="52"/>
      <c r="AM363" s="53"/>
      <c r="AN363" s="53"/>
      <c r="AO363" s="53"/>
      <c r="AP363" s="53"/>
      <c r="AQ363" s="53"/>
      <c r="AR363" s="54"/>
      <c r="AS363" s="61"/>
      <c r="AT363" s="62"/>
      <c r="AU363" s="62"/>
      <c r="AV363" s="62"/>
      <c r="AW363" s="62"/>
      <c r="AX363" s="63"/>
      <c r="AY363" s="68"/>
      <c r="AZ363" s="69"/>
      <c r="BA363" s="70"/>
      <c r="BB363" s="7"/>
    </row>
    <row r="364" spans="7:54" x14ac:dyDescent="0.15">
      <c r="G364" s="7"/>
      <c r="H364" s="38"/>
      <c r="I364" s="39"/>
      <c r="J364" s="39"/>
      <c r="K364" s="39"/>
      <c r="L364" s="39"/>
      <c r="M364" s="39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1"/>
      <c r="AC364" s="39"/>
      <c r="AD364" s="39"/>
      <c r="AE364" s="39"/>
      <c r="AF364" s="39"/>
      <c r="AG364" s="40"/>
      <c r="AH364" s="40"/>
      <c r="AI364" s="41"/>
      <c r="AJ364" s="41"/>
      <c r="AK364" s="41"/>
      <c r="AL364" s="52"/>
      <c r="AM364" s="53"/>
      <c r="AN364" s="53"/>
      <c r="AO364" s="53"/>
      <c r="AP364" s="53"/>
      <c r="AQ364" s="53"/>
      <c r="AR364" s="54"/>
      <c r="AS364" s="61"/>
      <c r="AT364" s="62"/>
      <c r="AU364" s="62"/>
      <c r="AV364" s="62"/>
      <c r="AW364" s="62"/>
      <c r="AX364" s="63"/>
      <c r="AY364" s="68"/>
      <c r="AZ364" s="69"/>
      <c r="BA364" s="70"/>
      <c r="BB364" s="7"/>
    </row>
    <row r="365" spans="7:54" x14ac:dyDescent="0.15">
      <c r="G365" s="7"/>
      <c r="H365" s="38"/>
      <c r="I365" s="39"/>
      <c r="J365" s="39"/>
      <c r="K365" s="39"/>
      <c r="L365" s="39"/>
      <c r="M365" s="39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1"/>
      <c r="AC365" s="39"/>
      <c r="AD365" s="39"/>
      <c r="AE365" s="39"/>
      <c r="AF365" s="39"/>
      <c r="AG365" s="40"/>
      <c r="AH365" s="40"/>
      <c r="AI365" s="41"/>
      <c r="AJ365" s="41"/>
      <c r="AK365" s="41"/>
      <c r="AL365" s="52"/>
      <c r="AM365" s="53"/>
      <c r="AN365" s="53"/>
      <c r="AO365" s="53"/>
      <c r="AP365" s="53"/>
      <c r="AQ365" s="53"/>
      <c r="AR365" s="54"/>
      <c r="AS365" s="61"/>
      <c r="AT365" s="62"/>
      <c r="AU365" s="62"/>
      <c r="AV365" s="62"/>
      <c r="AW365" s="62"/>
      <c r="AX365" s="63"/>
      <c r="AY365" s="68"/>
      <c r="AZ365" s="69"/>
      <c r="BA365" s="70"/>
      <c r="BB365" s="7"/>
    </row>
    <row r="366" spans="7:54" x14ac:dyDescent="0.15">
      <c r="G366" s="7"/>
      <c r="H366" s="38"/>
      <c r="I366" s="39"/>
      <c r="J366" s="39"/>
      <c r="K366" s="39"/>
      <c r="L366" s="39"/>
      <c r="M366" s="39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1"/>
      <c r="AC366" s="39"/>
      <c r="AD366" s="39"/>
      <c r="AE366" s="39"/>
      <c r="AF366" s="39"/>
      <c r="AG366" s="40"/>
      <c r="AH366" s="40"/>
      <c r="AI366" s="41"/>
      <c r="AJ366" s="41"/>
      <c r="AK366" s="41"/>
      <c r="AL366" s="52"/>
      <c r="AM366" s="53"/>
      <c r="AN366" s="53"/>
      <c r="AO366" s="53"/>
      <c r="AP366" s="53"/>
      <c r="AQ366" s="53"/>
      <c r="AR366" s="54"/>
      <c r="AS366" s="61"/>
      <c r="AT366" s="62"/>
      <c r="AU366" s="62"/>
      <c r="AV366" s="62"/>
      <c r="AW366" s="62"/>
      <c r="AX366" s="63"/>
      <c r="AY366" s="68"/>
      <c r="AZ366" s="69"/>
      <c r="BA366" s="70"/>
      <c r="BB366" s="7"/>
    </row>
    <row r="367" spans="7:54" x14ac:dyDescent="0.15">
      <c r="G367" s="7"/>
      <c r="H367" s="38"/>
      <c r="I367" s="39"/>
      <c r="J367" s="39"/>
      <c r="K367" s="39"/>
      <c r="L367" s="39"/>
      <c r="M367" s="39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1"/>
      <c r="AC367" s="39"/>
      <c r="AD367" s="39"/>
      <c r="AE367" s="39"/>
      <c r="AF367" s="39"/>
      <c r="AG367" s="40"/>
      <c r="AH367" s="40"/>
      <c r="AI367" s="41"/>
      <c r="AJ367" s="41"/>
      <c r="AK367" s="41"/>
      <c r="AL367" s="52"/>
      <c r="AM367" s="53"/>
      <c r="AN367" s="53"/>
      <c r="AO367" s="53"/>
      <c r="AP367" s="53"/>
      <c r="AQ367" s="53"/>
      <c r="AR367" s="54"/>
      <c r="AS367" s="61"/>
      <c r="AT367" s="62"/>
      <c r="AU367" s="62"/>
      <c r="AV367" s="62"/>
      <c r="AW367" s="62"/>
      <c r="AX367" s="63"/>
      <c r="AY367" s="68"/>
      <c r="AZ367" s="69"/>
      <c r="BA367" s="70"/>
      <c r="BB367" s="7"/>
    </row>
    <row r="368" spans="7:54" x14ac:dyDescent="0.15">
      <c r="G368" s="7"/>
      <c r="H368" s="38"/>
      <c r="I368" s="39"/>
      <c r="J368" s="39"/>
      <c r="K368" s="39"/>
      <c r="L368" s="39"/>
      <c r="M368" s="39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1"/>
      <c r="AC368" s="39"/>
      <c r="AD368" s="39"/>
      <c r="AE368" s="39"/>
      <c r="AF368" s="39"/>
      <c r="AG368" s="40"/>
      <c r="AH368" s="40"/>
      <c r="AI368" s="41"/>
      <c r="AJ368" s="41"/>
      <c r="AK368" s="41"/>
      <c r="AL368" s="52"/>
      <c r="AM368" s="53"/>
      <c r="AN368" s="53"/>
      <c r="AO368" s="53"/>
      <c r="AP368" s="53"/>
      <c r="AQ368" s="53"/>
      <c r="AR368" s="54"/>
      <c r="AS368" s="61"/>
      <c r="AT368" s="62"/>
      <c r="AU368" s="62"/>
      <c r="AV368" s="62"/>
      <c r="AW368" s="62"/>
      <c r="AX368" s="63"/>
      <c r="AY368" s="68"/>
      <c r="AZ368" s="69"/>
      <c r="BA368" s="70"/>
      <c r="BB368" s="7"/>
    </row>
    <row r="369" spans="7:54" x14ac:dyDescent="0.15">
      <c r="G369" s="7"/>
      <c r="H369" s="38"/>
      <c r="I369" s="39"/>
      <c r="J369" s="39"/>
      <c r="K369" s="39"/>
      <c r="L369" s="39"/>
      <c r="M369" s="39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1"/>
      <c r="AC369" s="39"/>
      <c r="AD369" s="39"/>
      <c r="AE369" s="39"/>
      <c r="AF369" s="39"/>
      <c r="AG369" s="40"/>
      <c r="AH369" s="40"/>
      <c r="AI369" s="41"/>
      <c r="AJ369" s="41"/>
      <c r="AK369" s="41"/>
      <c r="AL369" s="52"/>
      <c r="AM369" s="53"/>
      <c r="AN369" s="53"/>
      <c r="AO369" s="53"/>
      <c r="AP369" s="53"/>
      <c r="AQ369" s="53"/>
      <c r="AR369" s="54"/>
      <c r="AS369" s="61"/>
      <c r="AT369" s="62"/>
      <c r="AU369" s="62"/>
      <c r="AV369" s="62"/>
      <c r="AW369" s="62"/>
      <c r="AX369" s="63"/>
      <c r="AY369" s="68"/>
      <c r="AZ369" s="69"/>
      <c r="BA369" s="70"/>
      <c r="BB369" s="7"/>
    </row>
    <row r="370" spans="7:54" x14ac:dyDescent="0.15">
      <c r="G370" s="7"/>
      <c r="H370" s="38"/>
      <c r="I370" s="39"/>
      <c r="J370" s="39"/>
      <c r="K370" s="39"/>
      <c r="L370" s="39"/>
      <c r="M370" s="39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1"/>
      <c r="AC370" s="39"/>
      <c r="AD370" s="39"/>
      <c r="AE370" s="39"/>
      <c r="AF370" s="39"/>
      <c r="AG370" s="40"/>
      <c r="AH370" s="40"/>
      <c r="AI370" s="41"/>
      <c r="AJ370" s="41"/>
      <c r="AK370" s="41"/>
      <c r="AL370" s="52"/>
      <c r="AM370" s="53"/>
      <c r="AN370" s="53"/>
      <c r="AO370" s="53"/>
      <c r="AP370" s="53"/>
      <c r="AQ370" s="53"/>
      <c r="AR370" s="54"/>
      <c r="AS370" s="61"/>
      <c r="AT370" s="62"/>
      <c r="AU370" s="62"/>
      <c r="AV370" s="62"/>
      <c r="AW370" s="62"/>
      <c r="AX370" s="63"/>
      <c r="AY370" s="68"/>
      <c r="AZ370" s="69"/>
      <c r="BA370" s="70"/>
      <c r="BB370" s="7"/>
    </row>
    <row r="371" spans="7:54" x14ac:dyDescent="0.15">
      <c r="G371" s="7"/>
      <c r="H371" s="38"/>
      <c r="I371" s="39"/>
      <c r="J371" s="39"/>
      <c r="K371" s="39"/>
      <c r="L371" s="39"/>
      <c r="M371" s="39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1"/>
      <c r="AC371" s="39"/>
      <c r="AD371" s="39"/>
      <c r="AE371" s="39"/>
      <c r="AF371" s="39"/>
      <c r="AG371" s="40"/>
      <c r="AH371" s="40"/>
      <c r="AI371" s="41"/>
      <c r="AJ371" s="41"/>
      <c r="AK371" s="41"/>
      <c r="AL371" s="52"/>
      <c r="AM371" s="53"/>
      <c r="AN371" s="53"/>
      <c r="AO371" s="53"/>
      <c r="AP371" s="53"/>
      <c r="AQ371" s="53"/>
      <c r="AR371" s="54"/>
      <c r="AS371" s="61"/>
      <c r="AT371" s="62"/>
      <c r="AU371" s="62"/>
      <c r="AV371" s="62"/>
      <c r="AW371" s="62"/>
      <c r="AX371" s="63"/>
      <c r="AY371" s="68"/>
      <c r="AZ371" s="69"/>
      <c r="BA371" s="70"/>
      <c r="BB371" s="7"/>
    </row>
    <row r="372" spans="7:54" x14ac:dyDescent="0.15">
      <c r="G372" s="7"/>
      <c r="H372" s="38"/>
      <c r="I372" s="39"/>
      <c r="J372" s="39"/>
      <c r="K372" s="39"/>
      <c r="L372" s="39"/>
      <c r="M372" s="39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1"/>
      <c r="AC372" s="39"/>
      <c r="AD372" s="39"/>
      <c r="AE372" s="39"/>
      <c r="AF372" s="39"/>
      <c r="AG372" s="40"/>
      <c r="AH372" s="40"/>
      <c r="AI372" s="41"/>
      <c r="AJ372" s="41"/>
      <c r="AK372" s="41"/>
      <c r="AL372" s="52"/>
      <c r="AM372" s="53"/>
      <c r="AN372" s="53"/>
      <c r="AO372" s="53"/>
      <c r="AP372" s="53"/>
      <c r="AQ372" s="53"/>
      <c r="AR372" s="54"/>
      <c r="AS372" s="61"/>
      <c r="AT372" s="62"/>
      <c r="AU372" s="62"/>
      <c r="AV372" s="62"/>
      <c r="AW372" s="62"/>
      <c r="AX372" s="63"/>
      <c r="AY372" s="68"/>
      <c r="AZ372" s="69"/>
      <c r="BA372" s="70"/>
      <c r="BB372" s="7"/>
    </row>
    <row r="373" spans="7:54" x14ac:dyDescent="0.15">
      <c r="G373" s="7"/>
      <c r="H373" s="38"/>
      <c r="I373" s="39"/>
      <c r="J373" s="39"/>
      <c r="K373" s="39"/>
      <c r="L373" s="39"/>
      <c r="M373" s="39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1"/>
      <c r="AC373" s="39"/>
      <c r="AD373" s="39"/>
      <c r="AE373" s="39"/>
      <c r="AF373" s="39"/>
      <c r="AG373" s="40"/>
      <c r="AH373" s="40"/>
      <c r="AI373" s="41"/>
      <c r="AJ373" s="41"/>
      <c r="AK373" s="41"/>
      <c r="AL373" s="52"/>
      <c r="AM373" s="53"/>
      <c r="AN373" s="53"/>
      <c r="AO373" s="53"/>
      <c r="AP373" s="53"/>
      <c r="AQ373" s="53"/>
      <c r="AR373" s="54"/>
      <c r="AS373" s="61"/>
      <c r="AT373" s="62"/>
      <c r="AU373" s="62"/>
      <c r="AV373" s="62"/>
      <c r="AW373" s="62"/>
      <c r="AX373" s="63"/>
      <c r="AY373" s="68"/>
      <c r="AZ373" s="69"/>
      <c r="BA373" s="70"/>
      <c r="BB373" s="7"/>
    </row>
    <row r="374" spans="7:54" x14ac:dyDescent="0.15">
      <c r="G374" s="7"/>
      <c r="H374" s="38"/>
      <c r="I374" s="39"/>
      <c r="J374" s="39"/>
      <c r="K374" s="39"/>
      <c r="L374" s="39"/>
      <c r="M374" s="39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1"/>
      <c r="AC374" s="39"/>
      <c r="AD374" s="39"/>
      <c r="AE374" s="39"/>
      <c r="AF374" s="39"/>
      <c r="AG374" s="40"/>
      <c r="AH374" s="40"/>
      <c r="AI374" s="41"/>
      <c r="AJ374" s="41"/>
      <c r="AK374" s="41"/>
      <c r="AL374" s="52"/>
      <c r="AM374" s="53"/>
      <c r="AN374" s="53"/>
      <c r="AO374" s="53"/>
      <c r="AP374" s="53"/>
      <c r="AQ374" s="53"/>
      <c r="AR374" s="54"/>
      <c r="AS374" s="61"/>
      <c r="AT374" s="62"/>
      <c r="AU374" s="62"/>
      <c r="AV374" s="62"/>
      <c r="AW374" s="62"/>
      <c r="AX374" s="63"/>
      <c r="AY374" s="68"/>
      <c r="AZ374" s="69"/>
      <c r="BA374" s="70"/>
      <c r="BB374" s="7"/>
    </row>
    <row r="375" spans="7:54" x14ac:dyDescent="0.15">
      <c r="G375" s="7"/>
      <c r="H375" s="38"/>
      <c r="I375" s="39"/>
      <c r="J375" s="39"/>
      <c r="K375" s="39"/>
      <c r="L375" s="39"/>
      <c r="M375" s="39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1"/>
      <c r="AC375" s="39"/>
      <c r="AD375" s="39"/>
      <c r="AE375" s="39"/>
      <c r="AF375" s="39"/>
      <c r="AG375" s="40"/>
      <c r="AH375" s="40"/>
      <c r="AI375" s="41"/>
      <c r="AJ375" s="41"/>
      <c r="AK375" s="41"/>
      <c r="AL375" s="52"/>
      <c r="AM375" s="53"/>
      <c r="AN375" s="53"/>
      <c r="AO375" s="53"/>
      <c r="AP375" s="53"/>
      <c r="AQ375" s="53"/>
      <c r="AR375" s="54"/>
      <c r="AS375" s="61"/>
      <c r="AT375" s="62"/>
      <c r="AU375" s="62"/>
      <c r="AV375" s="62"/>
      <c r="AW375" s="62"/>
      <c r="AX375" s="63"/>
      <c r="AY375" s="68"/>
      <c r="AZ375" s="69"/>
      <c r="BA375" s="70"/>
      <c r="BB375" s="7"/>
    </row>
    <row r="376" spans="7:54" x14ac:dyDescent="0.15">
      <c r="G376" s="7"/>
      <c r="H376" s="38"/>
      <c r="I376" s="39"/>
      <c r="J376" s="39"/>
      <c r="K376" s="39"/>
      <c r="L376" s="39"/>
      <c r="M376" s="39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1"/>
      <c r="AC376" s="39"/>
      <c r="AD376" s="39"/>
      <c r="AE376" s="39"/>
      <c r="AF376" s="39"/>
      <c r="AG376" s="40"/>
      <c r="AH376" s="40"/>
      <c r="AI376" s="41"/>
      <c r="AJ376" s="41"/>
      <c r="AK376" s="41"/>
      <c r="AL376" s="52"/>
      <c r="AM376" s="53"/>
      <c r="AN376" s="53"/>
      <c r="AO376" s="53"/>
      <c r="AP376" s="53"/>
      <c r="AQ376" s="53"/>
      <c r="AR376" s="54"/>
      <c r="AS376" s="61"/>
      <c r="AT376" s="62"/>
      <c r="AU376" s="62"/>
      <c r="AV376" s="62"/>
      <c r="AW376" s="62"/>
      <c r="AX376" s="63"/>
      <c r="AY376" s="68"/>
      <c r="AZ376" s="69"/>
      <c r="BA376" s="70"/>
      <c r="BB376" s="7"/>
    </row>
    <row r="377" spans="7:54" x14ac:dyDescent="0.15">
      <c r="G377" s="7"/>
      <c r="H377" s="38"/>
      <c r="I377" s="39"/>
      <c r="J377" s="39"/>
      <c r="K377" s="39"/>
      <c r="L377" s="39"/>
      <c r="M377" s="39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1"/>
      <c r="AC377" s="39"/>
      <c r="AD377" s="39"/>
      <c r="AE377" s="39"/>
      <c r="AF377" s="39"/>
      <c r="AG377" s="40"/>
      <c r="AH377" s="40"/>
      <c r="AI377" s="41"/>
      <c r="AJ377" s="41"/>
      <c r="AK377" s="41"/>
      <c r="AL377" s="52"/>
      <c r="AM377" s="53"/>
      <c r="AN377" s="53"/>
      <c r="AO377" s="53"/>
      <c r="AP377" s="53"/>
      <c r="AQ377" s="53"/>
      <c r="AR377" s="54"/>
      <c r="AS377" s="61"/>
      <c r="AT377" s="62"/>
      <c r="AU377" s="62"/>
      <c r="AV377" s="62"/>
      <c r="AW377" s="62"/>
      <c r="AX377" s="63"/>
      <c r="AY377" s="68"/>
      <c r="AZ377" s="69"/>
      <c r="BA377" s="70"/>
      <c r="BB377" s="7"/>
    </row>
    <row r="378" spans="7:54" x14ac:dyDescent="0.15">
      <c r="G378" s="7"/>
      <c r="H378" s="38"/>
      <c r="I378" s="39"/>
      <c r="J378" s="39"/>
      <c r="K378" s="39"/>
      <c r="L378" s="39"/>
      <c r="M378" s="39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1"/>
      <c r="AC378" s="39"/>
      <c r="AD378" s="39"/>
      <c r="AE378" s="39"/>
      <c r="AF378" s="39"/>
      <c r="AG378" s="40"/>
      <c r="AH378" s="40"/>
      <c r="AI378" s="41"/>
      <c r="AJ378" s="41"/>
      <c r="AK378" s="41"/>
      <c r="AL378" s="52"/>
      <c r="AM378" s="53"/>
      <c r="AN378" s="53"/>
      <c r="AO378" s="53"/>
      <c r="AP378" s="53"/>
      <c r="AQ378" s="53"/>
      <c r="AR378" s="54"/>
      <c r="AS378" s="61"/>
      <c r="AT378" s="62"/>
      <c r="AU378" s="62"/>
      <c r="AV378" s="62"/>
      <c r="AW378" s="62"/>
      <c r="AX378" s="63"/>
      <c r="AY378" s="68"/>
      <c r="AZ378" s="69"/>
      <c r="BA378" s="70"/>
      <c r="BB378" s="7"/>
    </row>
    <row r="379" spans="7:54" x14ac:dyDescent="0.15">
      <c r="G379" s="7"/>
      <c r="H379" s="38"/>
      <c r="I379" s="39"/>
      <c r="J379" s="39"/>
      <c r="K379" s="39"/>
      <c r="L379" s="39"/>
      <c r="M379" s="39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1"/>
      <c r="AC379" s="39"/>
      <c r="AD379" s="39"/>
      <c r="AE379" s="39"/>
      <c r="AF379" s="39"/>
      <c r="AG379" s="40"/>
      <c r="AH379" s="40"/>
      <c r="AI379" s="41"/>
      <c r="AJ379" s="41"/>
      <c r="AK379" s="41"/>
      <c r="AL379" s="52"/>
      <c r="AM379" s="53"/>
      <c r="AN379" s="53"/>
      <c r="AO379" s="53"/>
      <c r="AP379" s="53"/>
      <c r="AQ379" s="53"/>
      <c r="AR379" s="54"/>
      <c r="AS379" s="61"/>
      <c r="AT379" s="62"/>
      <c r="AU379" s="62"/>
      <c r="AV379" s="62"/>
      <c r="AW379" s="62"/>
      <c r="AX379" s="63"/>
      <c r="AY379" s="68"/>
      <c r="AZ379" s="69"/>
      <c r="BA379" s="70"/>
      <c r="BB379" s="7"/>
    </row>
    <row r="380" spans="7:54" x14ac:dyDescent="0.15">
      <c r="G380" s="7"/>
      <c r="H380" s="38"/>
      <c r="I380" s="39"/>
      <c r="J380" s="39"/>
      <c r="K380" s="39"/>
      <c r="L380" s="39"/>
      <c r="M380" s="39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1"/>
      <c r="AC380" s="39"/>
      <c r="AD380" s="39"/>
      <c r="AE380" s="39"/>
      <c r="AF380" s="39"/>
      <c r="AG380" s="40"/>
      <c r="AH380" s="40"/>
      <c r="AI380" s="41"/>
      <c r="AJ380" s="41"/>
      <c r="AK380" s="41"/>
      <c r="AL380" s="52"/>
      <c r="AM380" s="53"/>
      <c r="AN380" s="53"/>
      <c r="AO380" s="53"/>
      <c r="AP380" s="53"/>
      <c r="AQ380" s="53"/>
      <c r="AR380" s="54"/>
      <c r="AS380" s="61"/>
      <c r="AT380" s="62"/>
      <c r="AU380" s="62"/>
      <c r="AV380" s="62"/>
      <c r="AW380" s="62"/>
      <c r="AX380" s="63"/>
      <c r="AY380" s="68"/>
      <c r="AZ380" s="69"/>
      <c r="BA380" s="70"/>
      <c r="BB380" s="7"/>
    </row>
    <row r="381" spans="7:54" x14ac:dyDescent="0.15">
      <c r="G381" s="7"/>
      <c r="H381" s="38"/>
      <c r="I381" s="39"/>
      <c r="J381" s="39"/>
      <c r="K381" s="39"/>
      <c r="L381" s="39"/>
      <c r="M381" s="39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1"/>
      <c r="AC381" s="39"/>
      <c r="AD381" s="39"/>
      <c r="AE381" s="39"/>
      <c r="AF381" s="39"/>
      <c r="AG381" s="40"/>
      <c r="AH381" s="40"/>
      <c r="AI381" s="41"/>
      <c r="AJ381" s="41"/>
      <c r="AK381" s="41"/>
      <c r="AL381" s="52"/>
      <c r="AM381" s="53"/>
      <c r="AN381" s="53"/>
      <c r="AO381" s="53"/>
      <c r="AP381" s="53"/>
      <c r="AQ381" s="53"/>
      <c r="AR381" s="54"/>
      <c r="AS381" s="61"/>
      <c r="AT381" s="62"/>
      <c r="AU381" s="62"/>
      <c r="AV381" s="62"/>
      <c r="AW381" s="62"/>
      <c r="AX381" s="63"/>
      <c r="AY381" s="68"/>
      <c r="AZ381" s="69"/>
      <c r="BA381" s="70"/>
      <c r="BB381" s="7"/>
    </row>
    <row r="382" spans="7:54" x14ac:dyDescent="0.15">
      <c r="G382" s="7"/>
      <c r="H382" s="38"/>
      <c r="I382" s="39"/>
      <c r="J382" s="39"/>
      <c r="K382" s="39"/>
      <c r="L382" s="39"/>
      <c r="M382" s="39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1"/>
      <c r="AC382" s="39"/>
      <c r="AD382" s="39"/>
      <c r="AE382" s="39"/>
      <c r="AF382" s="39"/>
      <c r="AG382" s="40"/>
      <c r="AH382" s="40"/>
      <c r="AI382" s="41"/>
      <c r="AJ382" s="41"/>
      <c r="AK382" s="41"/>
      <c r="AL382" s="52"/>
      <c r="AM382" s="53"/>
      <c r="AN382" s="53"/>
      <c r="AO382" s="53"/>
      <c r="AP382" s="53"/>
      <c r="AQ382" s="53"/>
      <c r="AR382" s="54"/>
      <c r="AS382" s="61"/>
      <c r="AT382" s="62"/>
      <c r="AU382" s="62"/>
      <c r="AV382" s="62"/>
      <c r="AW382" s="62"/>
      <c r="AX382" s="63"/>
      <c r="AY382" s="68"/>
      <c r="AZ382" s="69"/>
      <c r="BA382" s="70"/>
      <c r="BB382" s="7"/>
    </row>
    <row r="383" spans="7:54" x14ac:dyDescent="0.15">
      <c r="G383" s="7"/>
      <c r="H383" s="38"/>
      <c r="I383" s="39"/>
      <c r="J383" s="39"/>
      <c r="K383" s="39"/>
      <c r="L383" s="39"/>
      <c r="M383" s="39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1"/>
      <c r="AC383" s="39"/>
      <c r="AD383" s="39"/>
      <c r="AE383" s="39"/>
      <c r="AF383" s="39"/>
      <c r="AG383" s="40"/>
      <c r="AH383" s="40"/>
      <c r="AI383" s="41"/>
      <c r="AJ383" s="41"/>
      <c r="AK383" s="41"/>
      <c r="AL383" s="52"/>
      <c r="AM383" s="53"/>
      <c r="AN383" s="53"/>
      <c r="AO383" s="53"/>
      <c r="AP383" s="53"/>
      <c r="AQ383" s="53"/>
      <c r="AR383" s="54"/>
      <c r="AS383" s="61"/>
      <c r="AT383" s="62"/>
      <c r="AU383" s="62"/>
      <c r="AV383" s="62"/>
      <c r="AW383" s="62"/>
      <c r="AX383" s="63"/>
      <c r="AY383" s="68"/>
      <c r="AZ383" s="69"/>
      <c r="BA383" s="70"/>
      <c r="BB383" s="7"/>
    </row>
    <row r="384" spans="7:54" x14ac:dyDescent="0.15">
      <c r="G384" s="7"/>
      <c r="H384" s="38"/>
      <c r="I384" s="39"/>
      <c r="J384" s="39"/>
      <c r="K384" s="39"/>
      <c r="L384" s="39"/>
      <c r="M384" s="39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1"/>
      <c r="AC384" s="39"/>
      <c r="AD384" s="39"/>
      <c r="AE384" s="39"/>
      <c r="AF384" s="39"/>
      <c r="AG384" s="40"/>
      <c r="AH384" s="40"/>
      <c r="AI384" s="41"/>
      <c r="AJ384" s="41"/>
      <c r="AK384" s="41"/>
      <c r="AL384" s="52"/>
      <c r="AM384" s="53"/>
      <c r="AN384" s="53"/>
      <c r="AO384" s="53"/>
      <c r="AP384" s="53"/>
      <c r="AQ384" s="53"/>
      <c r="AR384" s="54"/>
      <c r="AS384" s="61"/>
      <c r="AT384" s="62"/>
      <c r="AU384" s="62"/>
      <c r="AV384" s="62"/>
      <c r="AW384" s="62"/>
      <c r="AX384" s="63"/>
      <c r="AY384" s="68"/>
      <c r="AZ384" s="69"/>
      <c r="BA384" s="70"/>
      <c r="BB384" s="7"/>
    </row>
    <row r="385" spans="7:54" x14ac:dyDescent="0.15">
      <c r="G385" s="7"/>
      <c r="H385" s="38"/>
      <c r="I385" s="39"/>
      <c r="J385" s="39"/>
      <c r="K385" s="39"/>
      <c r="L385" s="39"/>
      <c r="M385" s="39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1"/>
      <c r="AC385" s="39"/>
      <c r="AD385" s="39"/>
      <c r="AE385" s="39"/>
      <c r="AF385" s="39"/>
      <c r="AG385" s="40"/>
      <c r="AH385" s="40"/>
      <c r="AI385" s="41"/>
      <c r="AJ385" s="41"/>
      <c r="AK385" s="41"/>
      <c r="AL385" s="52"/>
      <c r="AM385" s="53"/>
      <c r="AN385" s="53"/>
      <c r="AO385" s="53"/>
      <c r="AP385" s="53"/>
      <c r="AQ385" s="53"/>
      <c r="AR385" s="54"/>
      <c r="AS385" s="61"/>
      <c r="AT385" s="62"/>
      <c r="AU385" s="62"/>
      <c r="AV385" s="62"/>
      <c r="AW385" s="62"/>
      <c r="AX385" s="63"/>
      <c r="AY385" s="68"/>
      <c r="AZ385" s="69"/>
      <c r="BA385" s="70"/>
      <c r="BB385" s="7"/>
    </row>
    <row r="386" spans="7:54" x14ac:dyDescent="0.15">
      <c r="G386" s="7"/>
      <c r="H386" s="38"/>
      <c r="I386" s="39"/>
      <c r="J386" s="39"/>
      <c r="K386" s="39"/>
      <c r="L386" s="39"/>
      <c r="M386" s="39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1"/>
      <c r="AC386" s="39"/>
      <c r="AD386" s="39"/>
      <c r="AE386" s="39"/>
      <c r="AF386" s="39"/>
      <c r="AG386" s="40"/>
      <c r="AH386" s="40"/>
      <c r="AI386" s="41"/>
      <c r="AJ386" s="41"/>
      <c r="AK386" s="41"/>
      <c r="AL386" s="52"/>
      <c r="AM386" s="53"/>
      <c r="AN386" s="53"/>
      <c r="AO386" s="53"/>
      <c r="AP386" s="53"/>
      <c r="AQ386" s="53"/>
      <c r="AR386" s="54"/>
      <c r="AS386" s="61"/>
      <c r="AT386" s="62"/>
      <c r="AU386" s="62"/>
      <c r="AV386" s="62"/>
      <c r="AW386" s="62"/>
      <c r="AX386" s="63"/>
      <c r="AY386" s="68"/>
      <c r="AZ386" s="69"/>
      <c r="BA386" s="70"/>
      <c r="BB386" s="7"/>
    </row>
    <row r="387" spans="7:54" x14ac:dyDescent="0.15">
      <c r="G387" s="7"/>
      <c r="H387" s="38"/>
      <c r="I387" s="39"/>
      <c r="J387" s="39"/>
      <c r="K387" s="39"/>
      <c r="L387" s="39"/>
      <c r="M387" s="39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1"/>
      <c r="AC387" s="39"/>
      <c r="AD387" s="39"/>
      <c r="AE387" s="39"/>
      <c r="AF387" s="39"/>
      <c r="AG387" s="40"/>
      <c r="AH387" s="40"/>
      <c r="AI387" s="41"/>
      <c r="AJ387" s="41"/>
      <c r="AK387" s="41"/>
      <c r="AL387" s="52"/>
      <c r="AM387" s="53"/>
      <c r="AN387" s="53"/>
      <c r="AO387" s="53"/>
      <c r="AP387" s="53"/>
      <c r="AQ387" s="53"/>
      <c r="AR387" s="54"/>
      <c r="AS387" s="61"/>
      <c r="AT387" s="62"/>
      <c r="AU387" s="62"/>
      <c r="AV387" s="62"/>
      <c r="AW387" s="62"/>
      <c r="AX387" s="63"/>
      <c r="AY387" s="68"/>
      <c r="AZ387" s="69"/>
      <c r="BA387" s="70"/>
      <c r="BB387" s="7"/>
    </row>
    <row r="388" spans="7:54" x14ac:dyDescent="0.15">
      <c r="G388" s="7"/>
      <c r="H388" s="38"/>
      <c r="I388" s="39"/>
      <c r="J388" s="39"/>
      <c r="K388" s="39"/>
      <c r="L388" s="39"/>
      <c r="M388" s="39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1"/>
      <c r="AC388" s="39"/>
      <c r="AD388" s="39"/>
      <c r="AE388" s="39"/>
      <c r="AF388" s="39"/>
      <c r="AG388" s="40"/>
      <c r="AH388" s="40"/>
      <c r="AI388" s="41"/>
      <c r="AJ388" s="41"/>
      <c r="AK388" s="41"/>
      <c r="AL388" s="52"/>
      <c r="AM388" s="53"/>
      <c r="AN388" s="53"/>
      <c r="AO388" s="53"/>
      <c r="AP388" s="53"/>
      <c r="AQ388" s="53"/>
      <c r="AR388" s="54"/>
      <c r="AS388" s="61"/>
      <c r="AT388" s="62"/>
      <c r="AU388" s="62"/>
      <c r="AV388" s="62"/>
      <c r="AW388" s="62"/>
      <c r="AX388" s="63"/>
      <c r="AY388" s="68"/>
      <c r="AZ388" s="69"/>
      <c r="BA388" s="70"/>
      <c r="BB388" s="7"/>
    </row>
    <row r="389" spans="7:54" x14ac:dyDescent="0.15">
      <c r="G389" s="7"/>
      <c r="H389" s="38"/>
      <c r="I389" s="39"/>
      <c r="J389" s="39"/>
      <c r="K389" s="39"/>
      <c r="L389" s="39"/>
      <c r="M389" s="39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1"/>
      <c r="AC389" s="39"/>
      <c r="AD389" s="39"/>
      <c r="AE389" s="39"/>
      <c r="AF389" s="39"/>
      <c r="AG389" s="40"/>
      <c r="AH389" s="40"/>
      <c r="AI389" s="41"/>
      <c r="AJ389" s="41"/>
      <c r="AK389" s="41"/>
      <c r="AL389" s="52"/>
      <c r="AM389" s="53"/>
      <c r="AN389" s="53"/>
      <c r="AO389" s="53"/>
      <c r="AP389" s="53"/>
      <c r="AQ389" s="53"/>
      <c r="AR389" s="54"/>
      <c r="AS389" s="61"/>
      <c r="AT389" s="62"/>
      <c r="AU389" s="62"/>
      <c r="AV389" s="62"/>
      <c r="AW389" s="62"/>
      <c r="AX389" s="63"/>
      <c r="AY389" s="68"/>
      <c r="AZ389" s="69"/>
      <c r="BA389" s="70"/>
      <c r="BB389" s="7"/>
    </row>
    <row r="390" spans="7:54" x14ac:dyDescent="0.15">
      <c r="G390" s="7"/>
      <c r="H390" s="38"/>
      <c r="I390" s="39"/>
      <c r="J390" s="39"/>
      <c r="K390" s="39"/>
      <c r="L390" s="39"/>
      <c r="M390" s="39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1"/>
      <c r="AC390" s="39"/>
      <c r="AD390" s="39"/>
      <c r="AE390" s="39"/>
      <c r="AF390" s="39"/>
      <c r="AG390" s="40"/>
      <c r="AH390" s="40"/>
      <c r="AI390" s="41"/>
      <c r="AJ390" s="41"/>
      <c r="AK390" s="41"/>
      <c r="AL390" s="52"/>
      <c r="AM390" s="53"/>
      <c r="AN390" s="53"/>
      <c r="AO390" s="53"/>
      <c r="AP390" s="53"/>
      <c r="AQ390" s="53"/>
      <c r="AR390" s="54"/>
      <c r="AS390" s="61"/>
      <c r="AT390" s="62"/>
      <c r="AU390" s="62"/>
      <c r="AV390" s="62"/>
      <c r="AW390" s="62"/>
      <c r="AX390" s="63"/>
      <c r="AY390" s="68"/>
      <c r="AZ390" s="69"/>
      <c r="BA390" s="70"/>
      <c r="BB390" s="7"/>
    </row>
    <row r="391" spans="7:54" x14ac:dyDescent="0.15">
      <c r="G391" s="7"/>
      <c r="H391" s="38"/>
      <c r="I391" s="39"/>
      <c r="J391" s="39"/>
      <c r="K391" s="39"/>
      <c r="L391" s="39"/>
      <c r="M391" s="39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1"/>
      <c r="AC391" s="39"/>
      <c r="AD391" s="39"/>
      <c r="AE391" s="39"/>
      <c r="AF391" s="39"/>
      <c r="AG391" s="40"/>
      <c r="AH391" s="40"/>
      <c r="AI391" s="41"/>
      <c r="AJ391" s="41"/>
      <c r="AK391" s="41"/>
      <c r="AL391" s="52"/>
      <c r="AM391" s="53"/>
      <c r="AN391" s="53"/>
      <c r="AO391" s="53"/>
      <c r="AP391" s="53"/>
      <c r="AQ391" s="53"/>
      <c r="AR391" s="54"/>
      <c r="AS391" s="61"/>
      <c r="AT391" s="62"/>
      <c r="AU391" s="62"/>
      <c r="AV391" s="62"/>
      <c r="AW391" s="62"/>
      <c r="AX391" s="63"/>
      <c r="AY391" s="68"/>
      <c r="AZ391" s="69"/>
      <c r="BA391" s="70"/>
      <c r="BB391" s="7"/>
    </row>
    <row r="392" spans="7:54" x14ac:dyDescent="0.15">
      <c r="G392" s="7"/>
      <c r="H392" s="38"/>
      <c r="I392" s="39"/>
      <c r="J392" s="39"/>
      <c r="K392" s="39"/>
      <c r="L392" s="39"/>
      <c r="M392" s="39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1"/>
      <c r="AC392" s="39"/>
      <c r="AD392" s="39"/>
      <c r="AE392" s="39"/>
      <c r="AF392" s="39"/>
      <c r="AG392" s="40"/>
      <c r="AH392" s="40"/>
      <c r="AI392" s="41"/>
      <c r="AJ392" s="41"/>
      <c r="AK392" s="41"/>
      <c r="AL392" s="52"/>
      <c r="AM392" s="53"/>
      <c r="AN392" s="53"/>
      <c r="AO392" s="53"/>
      <c r="AP392" s="53"/>
      <c r="AQ392" s="53"/>
      <c r="AR392" s="54"/>
      <c r="AS392" s="61"/>
      <c r="AT392" s="62"/>
      <c r="AU392" s="62"/>
      <c r="AV392" s="62"/>
      <c r="AW392" s="62"/>
      <c r="AX392" s="63"/>
      <c r="AY392" s="68"/>
      <c r="AZ392" s="69"/>
      <c r="BA392" s="70"/>
      <c r="BB392" s="7"/>
    </row>
    <row r="393" spans="7:54" x14ac:dyDescent="0.15">
      <c r="G393" s="7"/>
      <c r="H393" s="38"/>
      <c r="I393" s="39"/>
      <c r="J393" s="39"/>
      <c r="K393" s="39"/>
      <c r="L393" s="39"/>
      <c r="M393" s="39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1"/>
      <c r="AC393" s="39"/>
      <c r="AD393" s="39"/>
      <c r="AE393" s="39"/>
      <c r="AF393" s="39"/>
      <c r="AG393" s="40"/>
      <c r="AH393" s="40"/>
      <c r="AI393" s="41"/>
      <c r="AJ393" s="41"/>
      <c r="AK393" s="41"/>
      <c r="AL393" s="52"/>
      <c r="AM393" s="53"/>
      <c r="AN393" s="53"/>
      <c r="AO393" s="53"/>
      <c r="AP393" s="53"/>
      <c r="AQ393" s="53"/>
      <c r="AR393" s="54"/>
      <c r="AS393" s="61"/>
      <c r="AT393" s="62"/>
      <c r="AU393" s="62"/>
      <c r="AV393" s="62"/>
      <c r="AW393" s="62"/>
      <c r="AX393" s="63"/>
      <c r="AY393" s="68"/>
      <c r="AZ393" s="69"/>
      <c r="BA393" s="70"/>
      <c r="BB393" s="7"/>
    </row>
    <row r="394" spans="7:54" x14ac:dyDescent="0.15">
      <c r="G394" s="7"/>
      <c r="H394" s="38"/>
      <c r="I394" s="39"/>
      <c r="J394" s="39"/>
      <c r="K394" s="39"/>
      <c r="L394" s="39"/>
      <c r="M394" s="39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1"/>
      <c r="AC394" s="39"/>
      <c r="AD394" s="39"/>
      <c r="AE394" s="39"/>
      <c r="AF394" s="39"/>
      <c r="AG394" s="40"/>
      <c r="AH394" s="40"/>
      <c r="AI394" s="41"/>
      <c r="AJ394" s="41"/>
      <c r="AK394" s="41"/>
      <c r="AL394" s="52"/>
      <c r="AM394" s="53"/>
      <c r="AN394" s="53"/>
      <c r="AO394" s="53"/>
      <c r="AP394" s="53"/>
      <c r="AQ394" s="53"/>
      <c r="AR394" s="54"/>
      <c r="AS394" s="61"/>
      <c r="AT394" s="62"/>
      <c r="AU394" s="62"/>
      <c r="AV394" s="62"/>
      <c r="AW394" s="62"/>
      <c r="AX394" s="63"/>
      <c r="AY394" s="68"/>
      <c r="AZ394" s="69"/>
      <c r="BA394" s="70"/>
      <c r="BB394" s="7"/>
    </row>
    <row r="395" spans="7:54" x14ac:dyDescent="0.15">
      <c r="G395" s="7"/>
      <c r="H395" s="38"/>
      <c r="I395" s="39"/>
      <c r="J395" s="39"/>
      <c r="K395" s="39"/>
      <c r="L395" s="39"/>
      <c r="M395" s="39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1"/>
      <c r="AC395" s="39"/>
      <c r="AD395" s="39"/>
      <c r="AE395" s="39"/>
      <c r="AF395" s="39"/>
      <c r="AG395" s="40"/>
      <c r="AH395" s="40"/>
      <c r="AI395" s="41"/>
      <c r="AJ395" s="41"/>
      <c r="AK395" s="41"/>
      <c r="AL395" s="52"/>
      <c r="AM395" s="53"/>
      <c r="AN395" s="53"/>
      <c r="AO395" s="53"/>
      <c r="AP395" s="53"/>
      <c r="AQ395" s="53"/>
      <c r="AR395" s="54"/>
      <c r="AS395" s="61"/>
      <c r="AT395" s="62"/>
      <c r="AU395" s="62"/>
      <c r="AV395" s="62"/>
      <c r="AW395" s="62"/>
      <c r="AX395" s="63"/>
      <c r="AY395" s="68"/>
      <c r="AZ395" s="69"/>
      <c r="BA395" s="70"/>
      <c r="BB395" s="7"/>
    </row>
    <row r="396" spans="7:54" x14ac:dyDescent="0.15">
      <c r="G396" s="7"/>
      <c r="H396" s="38"/>
      <c r="I396" s="39"/>
      <c r="J396" s="39"/>
      <c r="K396" s="39"/>
      <c r="L396" s="39"/>
      <c r="M396" s="39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1"/>
      <c r="AC396" s="39"/>
      <c r="AD396" s="39"/>
      <c r="AE396" s="39"/>
      <c r="AF396" s="39"/>
      <c r="AG396" s="40"/>
      <c r="AH396" s="40"/>
      <c r="AI396" s="41"/>
      <c r="AJ396" s="41"/>
      <c r="AK396" s="41"/>
      <c r="AL396" s="52"/>
      <c r="AM396" s="53"/>
      <c r="AN396" s="53"/>
      <c r="AO396" s="53"/>
      <c r="AP396" s="53"/>
      <c r="AQ396" s="53"/>
      <c r="AR396" s="54"/>
      <c r="AS396" s="61"/>
      <c r="AT396" s="62"/>
      <c r="AU396" s="62"/>
      <c r="AV396" s="62"/>
      <c r="AW396" s="62"/>
      <c r="AX396" s="63"/>
      <c r="AY396" s="68"/>
      <c r="AZ396" s="69"/>
      <c r="BA396" s="70"/>
      <c r="BB396" s="7"/>
    </row>
    <row r="397" spans="7:54" x14ac:dyDescent="0.15">
      <c r="G397" s="7"/>
      <c r="H397" s="38"/>
      <c r="I397" s="39"/>
      <c r="J397" s="39"/>
      <c r="K397" s="39"/>
      <c r="L397" s="39"/>
      <c r="M397" s="39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1"/>
      <c r="AC397" s="39"/>
      <c r="AD397" s="39"/>
      <c r="AE397" s="39"/>
      <c r="AF397" s="39"/>
      <c r="AG397" s="40"/>
      <c r="AH397" s="40"/>
      <c r="AI397" s="41"/>
      <c r="AJ397" s="41"/>
      <c r="AK397" s="41"/>
      <c r="AL397" s="52"/>
      <c r="AM397" s="53"/>
      <c r="AN397" s="53"/>
      <c r="AO397" s="53"/>
      <c r="AP397" s="53"/>
      <c r="AQ397" s="53"/>
      <c r="AR397" s="54"/>
      <c r="AS397" s="61"/>
      <c r="AT397" s="62"/>
      <c r="AU397" s="62"/>
      <c r="AV397" s="62"/>
      <c r="AW397" s="62"/>
      <c r="AX397" s="63"/>
      <c r="AY397" s="68"/>
      <c r="AZ397" s="69"/>
      <c r="BA397" s="70"/>
      <c r="BB397" s="7"/>
    </row>
    <row r="398" spans="7:54" x14ac:dyDescent="0.15">
      <c r="G398" s="7"/>
      <c r="H398" s="38"/>
      <c r="I398" s="39"/>
      <c r="J398" s="39"/>
      <c r="K398" s="39"/>
      <c r="L398" s="39"/>
      <c r="M398" s="39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1"/>
      <c r="AC398" s="39"/>
      <c r="AD398" s="39"/>
      <c r="AE398" s="39"/>
      <c r="AF398" s="39"/>
      <c r="AG398" s="40"/>
      <c r="AH398" s="40"/>
      <c r="AI398" s="41"/>
      <c r="AJ398" s="41"/>
      <c r="AK398" s="41"/>
      <c r="AL398" s="52"/>
      <c r="AM398" s="53"/>
      <c r="AN398" s="53"/>
      <c r="AO398" s="53"/>
      <c r="AP398" s="53"/>
      <c r="AQ398" s="53"/>
      <c r="AR398" s="54"/>
      <c r="AS398" s="61"/>
      <c r="AT398" s="62"/>
      <c r="AU398" s="62"/>
      <c r="AV398" s="62"/>
      <c r="AW398" s="62"/>
      <c r="AX398" s="63"/>
      <c r="AY398" s="68"/>
      <c r="AZ398" s="69"/>
      <c r="BA398" s="70"/>
      <c r="BB398" s="7"/>
    </row>
    <row r="399" spans="7:54" x14ac:dyDescent="0.15">
      <c r="G399" s="7"/>
      <c r="H399" s="38"/>
      <c r="I399" s="39"/>
      <c r="J399" s="39"/>
      <c r="K399" s="39"/>
      <c r="L399" s="39"/>
      <c r="M399" s="39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1"/>
      <c r="AC399" s="39"/>
      <c r="AD399" s="39"/>
      <c r="AE399" s="39"/>
      <c r="AF399" s="39"/>
      <c r="AG399" s="40"/>
      <c r="AH399" s="40"/>
      <c r="AI399" s="41"/>
      <c r="AJ399" s="41"/>
      <c r="AK399" s="41"/>
      <c r="AL399" s="52"/>
      <c r="AM399" s="53"/>
      <c r="AN399" s="53"/>
      <c r="AO399" s="53"/>
      <c r="AP399" s="53"/>
      <c r="AQ399" s="53"/>
      <c r="AR399" s="54"/>
      <c r="AS399" s="61"/>
      <c r="AT399" s="62"/>
      <c r="AU399" s="62"/>
      <c r="AV399" s="62"/>
      <c r="AW399" s="62"/>
      <c r="AX399" s="63"/>
      <c r="AY399" s="68"/>
      <c r="AZ399" s="69"/>
      <c r="BA399" s="70"/>
      <c r="BB399" s="7"/>
    </row>
    <row r="400" spans="7:54" x14ac:dyDescent="0.15">
      <c r="G400" s="7"/>
      <c r="H400" s="38"/>
      <c r="I400" s="39"/>
      <c r="J400" s="39"/>
      <c r="K400" s="39"/>
      <c r="L400" s="39"/>
      <c r="M400" s="39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1"/>
      <c r="AC400" s="39"/>
      <c r="AD400" s="39"/>
      <c r="AE400" s="39"/>
      <c r="AF400" s="39"/>
      <c r="AG400" s="40"/>
      <c r="AH400" s="40"/>
      <c r="AI400" s="41"/>
      <c r="AJ400" s="41"/>
      <c r="AK400" s="41"/>
      <c r="AL400" s="52"/>
      <c r="AM400" s="53"/>
      <c r="AN400" s="53"/>
      <c r="AO400" s="53"/>
      <c r="AP400" s="53"/>
      <c r="AQ400" s="53"/>
      <c r="AR400" s="54"/>
      <c r="AS400" s="61"/>
      <c r="AT400" s="62"/>
      <c r="AU400" s="62"/>
      <c r="AV400" s="62"/>
      <c r="AW400" s="62"/>
      <c r="AX400" s="63"/>
      <c r="AY400" s="68"/>
      <c r="AZ400" s="69"/>
      <c r="BA400" s="70"/>
      <c r="BB400" s="7"/>
    </row>
    <row r="401" spans="7:54" x14ac:dyDescent="0.15">
      <c r="G401" s="7"/>
      <c r="H401" s="38"/>
      <c r="I401" s="39"/>
      <c r="J401" s="39"/>
      <c r="K401" s="39"/>
      <c r="L401" s="39"/>
      <c r="M401" s="39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1"/>
      <c r="AC401" s="39"/>
      <c r="AD401" s="39"/>
      <c r="AE401" s="39"/>
      <c r="AF401" s="39"/>
      <c r="AG401" s="40"/>
      <c r="AH401" s="40"/>
      <c r="AI401" s="41"/>
      <c r="AJ401" s="41"/>
      <c r="AK401" s="41"/>
      <c r="AL401" s="52"/>
      <c r="AM401" s="53"/>
      <c r="AN401" s="53"/>
      <c r="AO401" s="53"/>
      <c r="AP401" s="53"/>
      <c r="AQ401" s="53"/>
      <c r="AR401" s="54"/>
      <c r="AS401" s="61"/>
      <c r="AT401" s="62"/>
      <c r="AU401" s="62"/>
      <c r="AV401" s="62"/>
      <c r="AW401" s="62"/>
      <c r="AX401" s="63"/>
      <c r="AY401" s="68"/>
      <c r="AZ401" s="69"/>
      <c r="BA401" s="70"/>
      <c r="BB401" s="7"/>
    </row>
    <row r="402" spans="7:54" x14ac:dyDescent="0.15">
      <c r="G402" s="7"/>
      <c r="H402" s="38"/>
      <c r="I402" s="39"/>
      <c r="J402" s="39"/>
      <c r="K402" s="39"/>
      <c r="L402" s="39"/>
      <c r="M402" s="39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1"/>
      <c r="AC402" s="39"/>
      <c r="AD402" s="39"/>
      <c r="AE402" s="39"/>
      <c r="AF402" s="39"/>
      <c r="AG402" s="40"/>
      <c r="AH402" s="40"/>
      <c r="AI402" s="41"/>
      <c r="AJ402" s="41"/>
      <c r="AK402" s="41"/>
      <c r="AL402" s="52"/>
      <c r="AM402" s="53"/>
      <c r="AN402" s="53"/>
      <c r="AO402" s="53"/>
      <c r="AP402" s="53"/>
      <c r="AQ402" s="53"/>
      <c r="AR402" s="54"/>
      <c r="AS402" s="61"/>
      <c r="AT402" s="62"/>
      <c r="AU402" s="62"/>
      <c r="AV402" s="62"/>
      <c r="AW402" s="62"/>
      <c r="AX402" s="63"/>
      <c r="AY402" s="68"/>
      <c r="AZ402" s="69"/>
      <c r="BA402" s="70"/>
      <c r="BB402" s="7"/>
    </row>
    <row r="403" spans="7:54" x14ac:dyDescent="0.15">
      <c r="G403" s="7"/>
      <c r="H403" s="38"/>
      <c r="I403" s="39"/>
      <c r="J403" s="39"/>
      <c r="K403" s="39"/>
      <c r="L403" s="39"/>
      <c r="M403" s="39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1"/>
      <c r="AC403" s="39"/>
      <c r="AD403" s="39"/>
      <c r="AE403" s="39"/>
      <c r="AF403" s="39"/>
      <c r="AG403" s="40"/>
      <c r="AH403" s="40"/>
      <c r="AI403" s="41"/>
      <c r="AJ403" s="41"/>
      <c r="AK403" s="41"/>
      <c r="AL403" s="52"/>
      <c r="AM403" s="53"/>
      <c r="AN403" s="53"/>
      <c r="AO403" s="53"/>
      <c r="AP403" s="53"/>
      <c r="AQ403" s="53"/>
      <c r="AR403" s="54"/>
      <c r="AS403" s="61"/>
      <c r="AT403" s="62"/>
      <c r="AU403" s="62"/>
      <c r="AV403" s="62"/>
      <c r="AW403" s="62"/>
      <c r="AX403" s="63"/>
      <c r="AY403" s="68"/>
      <c r="AZ403" s="69"/>
      <c r="BA403" s="70"/>
      <c r="BB403" s="7"/>
    </row>
    <row r="404" spans="7:54" x14ac:dyDescent="0.15">
      <c r="G404" s="7"/>
      <c r="H404" s="38"/>
      <c r="I404" s="39"/>
      <c r="J404" s="39"/>
      <c r="K404" s="39"/>
      <c r="L404" s="39"/>
      <c r="M404" s="39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1"/>
      <c r="AC404" s="39"/>
      <c r="AD404" s="39"/>
      <c r="AE404" s="39"/>
      <c r="AF404" s="39"/>
      <c r="AG404" s="40"/>
      <c r="AH404" s="40"/>
      <c r="AI404" s="41"/>
      <c r="AJ404" s="41"/>
      <c r="AK404" s="41"/>
      <c r="AL404" s="52"/>
      <c r="AM404" s="53"/>
      <c r="AN404" s="53"/>
      <c r="AO404" s="53"/>
      <c r="AP404" s="53"/>
      <c r="AQ404" s="53"/>
      <c r="AR404" s="54"/>
      <c r="AS404" s="61"/>
      <c r="AT404" s="62"/>
      <c r="AU404" s="62"/>
      <c r="AV404" s="62"/>
      <c r="AW404" s="62"/>
      <c r="AX404" s="63"/>
      <c r="AY404" s="68"/>
      <c r="AZ404" s="69"/>
      <c r="BA404" s="70"/>
      <c r="BB404" s="7"/>
    </row>
    <row r="405" spans="7:54" x14ac:dyDescent="0.15">
      <c r="G405" s="7"/>
      <c r="H405" s="38"/>
      <c r="I405" s="39"/>
      <c r="J405" s="39"/>
      <c r="K405" s="39"/>
      <c r="L405" s="39"/>
      <c r="M405" s="39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1"/>
      <c r="AC405" s="39"/>
      <c r="AD405" s="39"/>
      <c r="AE405" s="39"/>
      <c r="AF405" s="39"/>
      <c r="AG405" s="40"/>
      <c r="AH405" s="40"/>
      <c r="AI405" s="41"/>
      <c r="AJ405" s="41"/>
      <c r="AK405" s="41"/>
      <c r="AL405" s="52"/>
      <c r="AM405" s="53"/>
      <c r="AN405" s="53"/>
      <c r="AO405" s="53"/>
      <c r="AP405" s="53"/>
      <c r="AQ405" s="53"/>
      <c r="AR405" s="54"/>
      <c r="AS405" s="61"/>
      <c r="AT405" s="62"/>
      <c r="AU405" s="62"/>
      <c r="AV405" s="62"/>
      <c r="AW405" s="62"/>
      <c r="AX405" s="63"/>
      <c r="AY405" s="68"/>
      <c r="AZ405" s="69"/>
      <c r="BA405" s="70"/>
      <c r="BB405" s="7"/>
    </row>
    <row r="406" spans="7:54" x14ac:dyDescent="0.15">
      <c r="G406" s="7"/>
      <c r="H406" s="38"/>
      <c r="I406" s="39"/>
      <c r="J406" s="39"/>
      <c r="K406" s="39"/>
      <c r="L406" s="39"/>
      <c r="M406" s="39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1"/>
      <c r="AC406" s="39"/>
      <c r="AD406" s="39"/>
      <c r="AE406" s="39"/>
      <c r="AF406" s="39"/>
      <c r="AG406" s="40"/>
      <c r="AH406" s="40"/>
      <c r="AI406" s="41"/>
      <c r="AJ406" s="41"/>
      <c r="AK406" s="41"/>
      <c r="AL406" s="52"/>
      <c r="AM406" s="53"/>
      <c r="AN406" s="53"/>
      <c r="AO406" s="53"/>
      <c r="AP406" s="53"/>
      <c r="AQ406" s="53"/>
      <c r="AR406" s="54"/>
      <c r="AS406" s="61"/>
      <c r="AT406" s="62"/>
      <c r="AU406" s="62"/>
      <c r="AV406" s="62"/>
      <c r="AW406" s="62"/>
      <c r="AX406" s="63"/>
      <c r="AY406" s="68"/>
      <c r="AZ406" s="69"/>
      <c r="BA406" s="70"/>
      <c r="BB406" s="7"/>
    </row>
    <row r="407" spans="7:54" x14ac:dyDescent="0.15">
      <c r="G407" s="7"/>
      <c r="H407" s="38"/>
      <c r="I407" s="39"/>
      <c r="J407" s="39"/>
      <c r="K407" s="39"/>
      <c r="L407" s="39"/>
      <c r="M407" s="39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1"/>
      <c r="AC407" s="39"/>
      <c r="AD407" s="39"/>
      <c r="AE407" s="39"/>
      <c r="AF407" s="39"/>
      <c r="AG407" s="40"/>
      <c r="AH407" s="40"/>
      <c r="AI407" s="41"/>
      <c r="AJ407" s="41"/>
      <c r="AK407" s="41"/>
      <c r="AL407" s="52"/>
      <c r="AM407" s="53"/>
      <c r="AN407" s="53"/>
      <c r="AO407" s="53"/>
      <c r="AP407" s="53"/>
      <c r="AQ407" s="53"/>
      <c r="AR407" s="54"/>
      <c r="AS407" s="61"/>
      <c r="AT407" s="62"/>
      <c r="AU407" s="62"/>
      <c r="AV407" s="62"/>
      <c r="AW407" s="62"/>
      <c r="AX407" s="63"/>
      <c r="AY407" s="68"/>
      <c r="AZ407" s="69"/>
      <c r="BA407" s="70"/>
      <c r="BB407" s="7"/>
    </row>
    <row r="408" spans="7:54" x14ac:dyDescent="0.15">
      <c r="G408" s="7"/>
      <c r="H408" s="38"/>
      <c r="I408" s="39"/>
      <c r="J408" s="39"/>
      <c r="K408" s="39"/>
      <c r="L408" s="39"/>
      <c r="M408" s="39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1"/>
      <c r="AC408" s="39"/>
      <c r="AD408" s="39"/>
      <c r="AE408" s="39"/>
      <c r="AF408" s="39"/>
      <c r="AG408" s="40"/>
      <c r="AH408" s="40"/>
      <c r="AI408" s="41"/>
      <c r="AJ408" s="41"/>
      <c r="AK408" s="41"/>
      <c r="AL408" s="52"/>
      <c r="AM408" s="53"/>
      <c r="AN408" s="53"/>
      <c r="AO408" s="53"/>
      <c r="AP408" s="53"/>
      <c r="AQ408" s="53"/>
      <c r="AR408" s="54"/>
      <c r="AS408" s="61"/>
      <c r="AT408" s="62"/>
      <c r="AU408" s="62"/>
      <c r="AV408" s="62"/>
      <c r="AW408" s="62"/>
      <c r="AX408" s="63"/>
      <c r="AY408" s="68"/>
      <c r="AZ408" s="69"/>
      <c r="BA408" s="70"/>
      <c r="BB408" s="7"/>
    </row>
    <row r="409" spans="7:54" x14ac:dyDescent="0.15">
      <c r="G409" s="7"/>
      <c r="H409" s="38"/>
      <c r="I409" s="39"/>
      <c r="J409" s="39"/>
      <c r="K409" s="39"/>
      <c r="L409" s="39"/>
      <c r="M409" s="39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1"/>
      <c r="AC409" s="39"/>
      <c r="AD409" s="39"/>
      <c r="AE409" s="39"/>
      <c r="AF409" s="39"/>
      <c r="AG409" s="40"/>
      <c r="AH409" s="40"/>
      <c r="AI409" s="41"/>
      <c r="AJ409" s="41"/>
      <c r="AK409" s="41"/>
      <c r="AL409" s="52"/>
      <c r="AM409" s="53"/>
      <c r="AN409" s="53"/>
      <c r="AO409" s="53"/>
      <c r="AP409" s="53"/>
      <c r="AQ409" s="53"/>
      <c r="AR409" s="54"/>
      <c r="AS409" s="61"/>
      <c r="AT409" s="62"/>
      <c r="AU409" s="62"/>
      <c r="AV409" s="62"/>
      <c r="AW409" s="62"/>
      <c r="AX409" s="63"/>
      <c r="AY409" s="68"/>
      <c r="AZ409" s="69"/>
      <c r="BA409" s="70"/>
      <c r="BB409" s="7"/>
    </row>
    <row r="410" spans="7:54" x14ac:dyDescent="0.15">
      <c r="G410" s="7"/>
      <c r="H410" s="38"/>
      <c r="I410" s="39"/>
      <c r="J410" s="39"/>
      <c r="K410" s="39"/>
      <c r="L410" s="39"/>
      <c r="M410" s="39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1"/>
      <c r="AC410" s="39"/>
      <c r="AD410" s="39"/>
      <c r="AE410" s="39"/>
      <c r="AF410" s="39"/>
      <c r="AG410" s="40"/>
      <c r="AH410" s="40"/>
      <c r="AI410" s="41"/>
      <c r="AJ410" s="41"/>
      <c r="AK410" s="41"/>
      <c r="AL410" s="52"/>
      <c r="AM410" s="53"/>
      <c r="AN410" s="53"/>
      <c r="AO410" s="53"/>
      <c r="AP410" s="53"/>
      <c r="AQ410" s="53"/>
      <c r="AR410" s="54"/>
      <c r="AS410" s="61"/>
      <c r="AT410" s="62"/>
      <c r="AU410" s="62"/>
      <c r="AV410" s="62"/>
      <c r="AW410" s="62"/>
      <c r="AX410" s="63"/>
      <c r="AY410" s="68"/>
      <c r="AZ410" s="69"/>
      <c r="BA410" s="70"/>
      <c r="BB410" s="7"/>
    </row>
    <row r="411" spans="7:54" x14ac:dyDescent="0.15">
      <c r="G411" s="7"/>
      <c r="H411" s="38"/>
      <c r="I411" s="39"/>
      <c r="J411" s="39"/>
      <c r="K411" s="39"/>
      <c r="L411" s="39"/>
      <c r="M411" s="39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1"/>
      <c r="AC411" s="39"/>
      <c r="AD411" s="39"/>
      <c r="AE411" s="39"/>
      <c r="AF411" s="39"/>
      <c r="AG411" s="40"/>
      <c r="AH411" s="40"/>
      <c r="AI411" s="41"/>
      <c r="AJ411" s="41"/>
      <c r="AK411" s="41"/>
      <c r="AL411" s="52"/>
      <c r="AM411" s="53"/>
      <c r="AN411" s="53"/>
      <c r="AO411" s="53"/>
      <c r="AP411" s="53"/>
      <c r="AQ411" s="53"/>
      <c r="AR411" s="54"/>
      <c r="AS411" s="61"/>
      <c r="AT411" s="62"/>
      <c r="AU411" s="62"/>
      <c r="AV411" s="62"/>
      <c r="AW411" s="62"/>
      <c r="AX411" s="63"/>
      <c r="AY411" s="68"/>
      <c r="AZ411" s="69"/>
      <c r="BA411" s="70"/>
      <c r="BB411" s="7"/>
    </row>
    <row r="412" spans="7:54" x14ac:dyDescent="0.15">
      <c r="G412" s="7"/>
      <c r="H412" s="38"/>
      <c r="I412" s="39"/>
      <c r="J412" s="39"/>
      <c r="K412" s="39"/>
      <c r="L412" s="39"/>
      <c r="M412" s="39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1"/>
      <c r="AC412" s="39"/>
      <c r="AD412" s="39"/>
      <c r="AE412" s="39"/>
      <c r="AF412" s="39"/>
      <c r="AG412" s="40"/>
      <c r="AH412" s="40"/>
      <c r="AI412" s="41"/>
      <c r="AJ412" s="41"/>
      <c r="AK412" s="41"/>
      <c r="AL412" s="52"/>
      <c r="AM412" s="53"/>
      <c r="AN412" s="53"/>
      <c r="AO412" s="53"/>
      <c r="AP412" s="53"/>
      <c r="AQ412" s="53"/>
      <c r="AR412" s="54"/>
      <c r="AS412" s="61"/>
      <c r="AT412" s="62"/>
      <c r="AU412" s="62"/>
      <c r="AV412" s="62"/>
      <c r="AW412" s="62"/>
      <c r="AX412" s="63"/>
      <c r="AY412" s="68"/>
      <c r="AZ412" s="69"/>
      <c r="BA412" s="70"/>
      <c r="BB412" s="7"/>
    </row>
    <row r="413" spans="7:54" x14ac:dyDescent="0.15">
      <c r="G413" s="7"/>
      <c r="H413" s="38"/>
      <c r="I413" s="39"/>
      <c r="J413" s="39"/>
      <c r="K413" s="39"/>
      <c r="L413" s="39"/>
      <c r="M413" s="39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1"/>
      <c r="AC413" s="39"/>
      <c r="AD413" s="39"/>
      <c r="AE413" s="39"/>
      <c r="AF413" s="39"/>
      <c r="AG413" s="40"/>
      <c r="AH413" s="40"/>
      <c r="AI413" s="41"/>
      <c r="AJ413" s="41"/>
      <c r="AK413" s="41"/>
      <c r="AL413" s="52"/>
      <c r="AM413" s="53"/>
      <c r="AN413" s="53"/>
      <c r="AO413" s="53"/>
      <c r="AP413" s="53"/>
      <c r="AQ413" s="53"/>
      <c r="AR413" s="54"/>
      <c r="AS413" s="61"/>
      <c r="AT413" s="62"/>
      <c r="AU413" s="62"/>
      <c r="AV413" s="62"/>
      <c r="AW413" s="62"/>
      <c r="AX413" s="63"/>
      <c r="AY413" s="68"/>
      <c r="AZ413" s="69"/>
      <c r="BA413" s="70"/>
      <c r="BB413" s="7"/>
    </row>
    <row r="414" spans="7:54" x14ac:dyDescent="0.15">
      <c r="G414" s="7"/>
      <c r="H414" s="38"/>
      <c r="I414" s="39"/>
      <c r="J414" s="39"/>
      <c r="K414" s="39"/>
      <c r="L414" s="39"/>
      <c r="M414" s="39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1"/>
      <c r="AC414" s="39"/>
      <c r="AD414" s="39"/>
      <c r="AE414" s="39"/>
      <c r="AF414" s="39"/>
      <c r="AG414" s="40"/>
      <c r="AH414" s="40"/>
      <c r="AI414" s="41"/>
      <c r="AJ414" s="41"/>
      <c r="AK414" s="41"/>
      <c r="AL414" s="52"/>
      <c r="AM414" s="53"/>
      <c r="AN414" s="53"/>
      <c r="AO414" s="53"/>
      <c r="AP414" s="53"/>
      <c r="AQ414" s="53"/>
      <c r="AR414" s="54"/>
      <c r="AS414" s="61"/>
      <c r="AT414" s="62"/>
      <c r="AU414" s="62"/>
      <c r="AV414" s="62"/>
      <c r="AW414" s="62"/>
      <c r="AX414" s="63"/>
      <c r="AY414" s="68"/>
      <c r="AZ414" s="69"/>
      <c r="BA414" s="70"/>
      <c r="BB414" s="7"/>
    </row>
    <row r="415" spans="7:54" x14ac:dyDescent="0.15">
      <c r="G415" s="7"/>
      <c r="H415" s="38"/>
      <c r="I415" s="39"/>
      <c r="J415" s="39"/>
      <c r="K415" s="39"/>
      <c r="L415" s="39"/>
      <c r="M415" s="39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1"/>
      <c r="AC415" s="39"/>
      <c r="AD415" s="39"/>
      <c r="AE415" s="39"/>
      <c r="AF415" s="39"/>
      <c r="AG415" s="40"/>
      <c r="AH415" s="40"/>
      <c r="AI415" s="41"/>
      <c r="AJ415" s="41"/>
      <c r="AK415" s="41"/>
      <c r="AL415" s="52"/>
      <c r="AM415" s="53"/>
      <c r="AN415" s="53"/>
      <c r="AO415" s="53"/>
      <c r="AP415" s="53"/>
      <c r="AQ415" s="53"/>
      <c r="AR415" s="54"/>
      <c r="AS415" s="61"/>
      <c r="AT415" s="62"/>
      <c r="AU415" s="62"/>
      <c r="AV415" s="62"/>
      <c r="AW415" s="62"/>
      <c r="AX415" s="63"/>
      <c r="AY415" s="68"/>
      <c r="AZ415" s="69"/>
      <c r="BA415" s="70"/>
      <c r="BB415" s="7"/>
    </row>
    <row r="416" spans="7:54" x14ac:dyDescent="0.15">
      <c r="G416" s="7"/>
      <c r="H416" s="38"/>
      <c r="I416" s="39"/>
      <c r="J416" s="39"/>
      <c r="K416" s="39"/>
      <c r="L416" s="39"/>
      <c r="M416" s="39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1"/>
      <c r="AC416" s="39"/>
      <c r="AD416" s="39"/>
      <c r="AE416" s="39"/>
      <c r="AF416" s="39"/>
      <c r="AG416" s="40"/>
      <c r="AH416" s="40"/>
      <c r="AI416" s="41"/>
      <c r="AJ416" s="41"/>
      <c r="AK416" s="41"/>
      <c r="AL416" s="52"/>
      <c r="AM416" s="53"/>
      <c r="AN416" s="53"/>
      <c r="AO416" s="53"/>
      <c r="AP416" s="53"/>
      <c r="AQ416" s="53"/>
      <c r="AR416" s="54"/>
      <c r="AS416" s="61"/>
      <c r="AT416" s="62"/>
      <c r="AU416" s="62"/>
      <c r="AV416" s="62"/>
      <c r="AW416" s="62"/>
      <c r="AX416" s="63"/>
      <c r="AY416" s="68"/>
      <c r="AZ416" s="69"/>
      <c r="BA416" s="70"/>
      <c r="BB416" s="7"/>
    </row>
    <row r="417" spans="7:54" x14ac:dyDescent="0.15">
      <c r="G417" s="7"/>
      <c r="H417" s="38"/>
      <c r="I417" s="39"/>
      <c r="J417" s="39"/>
      <c r="K417" s="39"/>
      <c r="L417" s="39"/>
      <c r="M417" s="39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1"/>
      <c r="AC417" s="39"/>
      <c r="AD417" s="39"/>
      <c r="AE417" s="39"/>
      <c r="AF417" s="39"/>
      <c r="AG417" s="40"/>
      <c r="AH417" s="40"/>
      <c r="AI417" s="41"/>
      <c r="AJ417" s="41"/>
      <c r="AK417" s="41"/>
      <c r="AL417" s="52"/>
      <c r="AM417" s="53"/>
      <c r="AN417" s="53"/>
      <c r="AO417" s="53"/>
      <c r="AP417" s="53"/>
      <c r="AQ417" s="53"/>
      <c r="AR417" s="54"/>
      <c r="AS417" s="61"/>
      <c r="AT417" s="62"/>
      <c r="AU417" s="62"/>
      <c r="AV417" s="62"/>
      <c r="AW417" s="62"/>
      <c r="AX417" s="63"/>
      <c r="AY417" s="68"/>
      <c r="AZ417" s="69"/>
      <c r="BA417" s="70"/>
      <c r="BB417" s="7"/>
    </row>
    <row r="418" spans="7:54" x14ac:dyDescent="0.15">
      <c r="G418" s="7"/>
      <c r="H418" s="38"/>
      <c r="I418" s="39"/>
      <c r="J418" s="39"/>
      <c r="K418" s="39"/>
      <c r="L418" s="39"/>
      <c r="M418" s="39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1"/>
      <c r="AC418" s="39"/>
      <c r="AD418" s="39"/>
      <c r="AE418" s="39"/>
      <c r="AF418" s="39"/>
      <c r="AG418" s="40"/>
      <c r="AH418" s="40"/>
      <c r="AI418" s="41"/>
      <c r="AJ418" s="41"/>
      <c r="AK418" s="41"/>
      <c r="AL418" s="52"/>
      <c r="AM418" s="53"/>
      <c r="AN418" s="53"/>
      <c r="AO418" s="53"/>
      <c r="AP418" s="53"/>
      <c r="AQ418" s="53"/>
      <c r="AR418" s="54"/>
      <c r="AS418" s="61"/>
      <c r="AT418" s="62"/>
      <c r="AU418" s="62"/>
      <c r="AV418" s="62"/>
      <c r="AW418" s="62"/>
      <c r="AX418" s="63"/>
      <c r="AY418" s="68"/>
      <c r="AZ418" s="69"/>
      <c r="BA418" s="70"/>
      <c r="BB418" s="7"/>
    </row>
    <row r="419" spans="7:54" x14ac:dyDescent="0.15">
      <c r="G419" s="7"/>
      <c r="H419" s="38"/>
      <c r="I419" s="39"/>
      <c r="J419" s="39"/>
      <c r="K419" s="39"/>
      <c r="L419" s="39"/>
      <c r="M419" s="39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1"/>
      <c r="AC419" s="39"/>
      <c r="AD419" s="39"/>
      <c r="AE419" s="39"/>
      <c r="AF419" s="39"/>
      <c r="AG419" s="40"/>
      <c r="AH419" s="40"/>
      <c r="AI419" s="41"/>
      <c r="AJ419" s="41"/>
      <c r="AK419" s="41"/>
      <c r="AL419" s="52"/>
      <c r="AM419" s="53"/>
      <c r="AN419" s="53"/>
      <c r="AO419" s="53"/>
      <c r="AP419" s="53"/>
      <c r="AQ419" s="53"/>
      <c r="AR419" s="54"/>
      <c r="AS419" s="61"/>
      <c r="AT419" s="62"/>
      <c r="AU419" s="62"/>
      <c r="AV419" s="62"/>
      <c r="AW419" s="62"/>
      <c r="AX419" s="63"/>
      <c r="AY419" s="68"/>
      <c r="AZ419" s="69"/>
      <c r="BA419" s="70"/>
      <c r="BB419" s="7"/>
    </row>
    <row r="420" spans="7:54" x14ac:dyDescent="0.15">
      <c r="G420" s="7"/>
      <c r="H420" s="38"/>
      <c r="I420" s="39"/>
      <c r="J420" s="39"/>
      <c r="K420" s="39"/>
      <c r="L420" s="39"/>
      <c r="M420" s="39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1"/>
      <c r="AC420" s="39"/>
      <c r="AD420" s="39"/>
      <c r="AE420" s="39"/>
      <c r="AF420" s="39"/>
      <c r="AG420" s="40"/>
      <c r="AH420" s="40"/>
      <c r="AI420" s="41"/>
      <c r="AJ420" s="41"/>
      <c r="AK420" s="41"/>
      <c r="AL420" s="52"/>
      <c r="AM420" s="53"/>
      <c r="AN420" s="53"/>
      <c r="AO420" s="53"/>
      <c r="AP420" s="53"/>
      <c r="AQ420" s="53"/>
      <c r="AR420" s="54"/>
      <c r="AS420" s="61"/>
      <c r="AT420" s="62"/>
      <c r="AU420" s="62"/>
      <c r="AV420" s="62"/>
      <c r="AW420" s="62"/>
      <c r="AX420" s="63"/>
      <c r="AY420" s="68"/>
      <c r="AZ420" s="69"/>
      <c r="BA420" s="70"/>
      <c r="BB420" s="7"/>
    </row>
    <row r="421" spans="7:54" x14ac:dyDescent="0.15">
      <c r="G421" s="7"/>
      <c r="H421" s="38"/>
      <c r="I421" s="39"/>
      <c r="J421" s="39"/>
      <c r="K421" s="39"/>
      <c r="L421" s="39"/>
      <c r="M421" s="39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1"/>
      <c r="AC421" s="39"/>
      <c r="AD421" s="39"/>
      <c r="AE421" s="39"/>
      <c r="AF421" s="39"/>
      <c r="AG421" s="40"/>
      <c r="AH421" s="40"/>
      <c r="AI421" s="41"/>
      <c r="AJ421" s="41"/>
      <c r="AK421" s="41"/>
      <c r="AL421" s="52"/>
      <c r="AM421" s="53"/>
      <c r="AN421" s="53"/>
      <c r="AO421" s="53"/>
      <c r="AP421" s="53"/>
      <c r="AQ421" s="53"/>
      <c r="AR421" s="54"/>
      <c r="AS421" s="61"/>
      <c r="AT421" s="62"/>
      <c r="AU421" s="62"/>
      <c r="AV421" s="62"/>
      <c r="AW421" s="62"/>
      <c r="AX421" s="63"/>
      <c r="AY421" s="68"/>
      <c r="AZ421" s="69"/>
      <c r="BA421" s="70"/>
      <c r="BB421" s="7"/>
    </row>
    <row r="422" spans="7:54" x14ac:dyDescent="0.15">
      <c r="G422" s="7"/>
      <c r="H422" s="38"/>
      <c r="I422" s="39"/>
      <c r="J422" s="39"/>
      <c r="K422" s="39"/>
      <c r="L422" s="39"/>
      <c r="M422" s="39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1"/>
      <c r="AC422" s="39"/>
      <c r="AD422" s="39"/>
      <c r="AE422" s="39"/>
      <c r="AF422" s="39"/>
      <c r="AG422" s="40"/>
      <c r="AH422" s="40"/>
      <c r="AI422" s="41"/>
      <c r="AJ422" s="41"/>
      <c r="AK422" s="41"/>
      <c r="AL422" s="52"/>
      <c r="AM422" s="53"/>
      <c r="AN422" s="53"/>
      <c r="AO422" s="53"/>
      <c r="AP422" s="53"/>
      <c r="AQ422" s="53"/>
      <c r="AR422" s="54"/>
      <c r="AS422" s="61"/>
      <c r="AT422" s="62"/>
      <c r="AU422" s="62"/>
      <c r="AV422" s="62"/>
      <c r="AW422" s="62"/>
      <c r="AX422" s="63"/>
      <c r="AY422" s="68"/>
      <c r="AZ422" s="69"/>
      <c r="BA422" s="70"/>
      <c r="BB422" s="7"/>
    </row>
    <row r="423" spans="7:54" x14ac:dyDescent="0.15">
      <c r="G423" s="7"/>
      <c r="H423" s="38"/>
      <c r="I423" s="39"/>
      <c r="J423" s="39"/>
      <c r="K423" s="39"/>
      <c r="L423" s="39"/>
      <c r="M423" s="39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1"/>
      <c r="AC423" s="39"/>
      <c r="AD423" s="39"/>
      <c r="AE423" s="39"/>
      <c r="AF423" s="39"/>
      <c r="AG423" s="40"/>
      <c r="AH423" s="40"/>
      <c r="AI423" s="41"/>
      <c r="AJ423" s="41"/>
      <c r="AK423" s="41"/>
      <c r="AL423" s="52"/>
      <c r="AM423" s="53"/>
      <c r="AN423" s="53"/>
      <c r="AO423" s="53"/>
      <c r="AP423" s="53"/>
      <c r="AQ423" s="53"/>
      <c r="AR423" s="54"/>
      <c r="AS423" s="61"/>
      <c r="AT423" s="62"/>
      <c r="AU423" s="62"/>
      <c r="AV423" s="62"/>
      <c r="AW423" s="62"/>
      <c r="AX423" s="63"/>
      <c r="AY423" s="68"/>
      <c r="AZ423" s="69"/>
      <c r="BA423" s="70"/>
      <c r="BB423" s="7"/>
    </row>
    <row r="424" spans="7:54" x14ac:dyDescent="0.15">
      <c r="G424" s="7"/>
      <c r="H424" s="38"/>
      <c r="I424" s="39"/>
      <c r="J424" s="39"/>
      <c r="K424" s="39"/>
      <c r="L424" s="39"/>
      <c r="M424" s="39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1"/>
      <c r="AC424" s="39"/>
      <c r="AD424" s="39"/>
      <c r="AE424" s="39"/>
      <c r="AF424" s="39"/>
      <c r="AG424" s="40"/>
      <c r="AH424" s="40"/>
      <c r="AI424" s="41"/>
      <c r="AJ424" s="41"/>
      <c r="AK424" s="41"/>
      <c r="AL424" s="52"/>
      <c r="AM424" s="53"/>
      <c r="AN424" s="53"/>
      <c r="AO424" s="53"/>
      <c r="AP424" s="53"/>
      <c r="AQ424" s="53"/>
      <c r="AR424" s="54"/>
      <c r="AS424" s="61"/>
      <c r="AT424" s="62"/>
      <c r="AU424" s="62"/>
      <c r="AV424" s="62"/>
      <c r="AW424" s="62"/>
      <c r="AX424" s="63"/>
      <c r="AY424" s="68"/>
      <c r="AZ424" s="69"/>
      <c r="BA424" s="70"/>
      <c r="BB424" s="7"/>
    </row>
    <row r="425" spans="7:54" x14ac:dyDescent="0.15">
      <c r="G425" s="7"/>
      <c r="H425" s="38"/>
      <c r="I425" s="39"/>
      <c r="J425" s="39"/>
      <c r="K425" s="39"/>
      <c r="L425" s="39"/>
      <c r="M425" s="39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1"/>
      <c r="AC425" s="39"/>
      <c r="AD425" s="39"/>
      <c r="AE425" s="39"/>
      <c r="AF425" s="39"/>
      <c r="AG425" s="40"/>
      <c r="AH425" s="40"/>
      <c r="AI425" s="41"/>
      <c r="AJ425" s="41"/>
      <c r="AK425" s="41"/>
      <c r="AL425" s="52"/>
      <c r="AM425" s="53"/>
      <c r="AN425" s="53"/>
      <c r="AO425" s="53"/>
      <c r="AP425" s="53"/>
      <c r="AQ425" s="53"/>
      <c r="AR425" s="54"/>
      <c r="AS425" s="61"/>
      <c r="AT425" s="62"/>
      <c r="AU425" s="62"/>
      <c r="AV425" s="62"/>
      <c r="AW425" s="62"/>
      <c r="AX425" s="63"/>
      <c r="AY425" s="68"/>
      <c r="AZ425" s="69"/>
      <c r="BA425" s="70"/>
      <c r="BB425" s="7"/>
    </row>
    <row r="426" spans="7:54" x14ac:dyDescent="0.15">
      <c r="G426" s="7"/>
      <c r="H426" s="38"/>
      <c r="I426" s="39"/>
      <c r="J426" s="39"/>
      <c r="K426" s="39"/>
      <c r="L426" s="39"/>
      <c r="M426" s="39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1"/>
      <c r="AC426" s="39"/>
      <c r="AD426" s="39"/>
      <c r="AE426" s="39"/>
      <c r="AF426" s="39"/>
      <c r="AG426" s="40"/>
      <c r="AH426" s="40"/>
      <c r="AI426" s="41"/>
      <c r="AJ426" s="41"/>
      <c r="AK426" s="41"/>
      <c r="AL426" s="52"/>
      <c r="AM426" s="53"/>
      <c r="AN426" s="53"/>
      <c r="AO426" s="53"/>
      <c r="AP426" s="53"/>
      <c r="AQ426" s="53"/>
      <c r="AR426" s="54"/>
      <c r="AS426" s="61"/>
      <c r="AT426" s="62"/>
      <c r="AU426" s="62"/>
      <c r="AV426" s="62"/>
      <c r="AW426" s="62"/>
      <c r="AX426" s="63"/>
      <c r="AY426" s="68"/>
      <c r="AZ426" s="69"/>
      <c r="BA426" s="70"/>
      <c r="BB426" s="7"/>
    </row>
    <row r="427" spans="7:54" x14ac:dyDescent="0.15">
      <c r="G427" s="7"/>
      <c r="H427" s="38"/>
      <c r="I427" s="39"/>
      <c r="J427" s="39"/>
      <c r="K427" s="39"/>
      <c r="L427" s="39"/>
      <c r="M427" s="39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1"/>
      <c r="AC427" s="39"/>
      <c r="AD427" s="39"/>
      <c r="AE427" s="39"/>
      <c r="AF427" s="39"/>
      <c r="AG427" s="40"/>
      <c r="AH427" s="40"/>
      <c r="AI427" s="41"/>
      <c r="AJ427" s="41"/>
      <c r="AK427" s="41"/>
      <c r="AL427" s="52"/>
      <c r="AM427" s="53"/>
      <c r="AN427" s="53"/>
      <c r="AO427" s="53"/>
      <c r="AP427" s="53"/>
      <c r="AQ427" s="53"/>
      <c r="AR427" s="54"/>
      <c r="AS427" s="61"/>
      <c r="AT427" s="62"/>
      <c r="AU427" s="62"/>
      <c r="AV427" s="62"/>
      <c r="AW427" s="62"/>
      <c r="AX427" s="63"/>
      <c r="AY427" s="68"/>
      <c r="AZ427" s="69"/>
      <c r="BA427" s="70"/>
      <c r="BB427" s="7"/>
    </row>
    <row r="428" spans="7:54" x14ac:dyDescent="0.15">
      <c r="G428" s="7"/>
      <c r="H428" s="38"/>
      <c r="I428" s="39"/>
      <c r="J428" s="39"/>
      <c r="K428" s="39"/>
      <c r="L428" s="39"/>
      <c r="M428" s="39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1"/>
      <c r="AC428" s="39"/>
      <c r="AD428" s="39"/>
      <c r="AE428" s="39"/>
      <c r="AF428" s="39"/>
      <c r="AG428" s="40"/>
      <c r="AH428" s="40"/>
      <c r="AI428" s="41"/>
      <c r="AJ428" s="41"/>
      <c r="AK428" s="41"/>
      <c r="AL428" s="52"/>
      <c r="AM428" s="53"/>
      <c r="AN428" s="53"/>
      <c r="AO428" s="53"/>
      <c r="AP428" s="53"/>
      <c r="AQ428" s="53"/>
      <c r="AR428" s="54"/>
      <c r="AS428" s="61"/>
      <c r="AT428" s="62"/>
      <c r="AU428" s="62"/>
      <c r="AV428" s="62"/>
      <c r="AW428" s="62"/>
      <c r="AX428" s="63"/>
      <c r="AY428" s="68"/>
      <c r="AZ428" s="69"/>
      <c r="BA428" s="70"/>
      <c r="BB428" s="7"/>
    </row>
    <row r="429" spans="7:54" x14ac:dyDescent="0.15">
      <c r="G429" s="7"/>
      <c r="H429" s="38"/>
      <c r="I429" s="39"/>
      <c r="J429" s="39"/>
      <c r="K429" s="39"/>
      <c r="L429" s="39"/>
      <c r="M429" s="39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1"/>
      <c r="AC429" s="39"/>
      <c r="AD429" s="39"/>
      <c r="AE429" s="39"/>
      <c r="AF429" s="39"/>
      <c r="AG429" s="40"/>
      <c r="AH429" s="40"/>
      <c r="AI429" s="41"/>
      <c r="AJ429" s="41"/>
      <c r="AK429" s="41"/>
      <c r="AL429" s="52"/>
      <c r="AM429" s="53"/>
      <c r="AN429" s="53"/>
      <c r="AO429" s="53"/>
      <c r="AP429" s="53"/>
      <c r="AQ429" s="53"/>
      <c r="AR429" s="54"/>
      <c r="AS429" s="61"/>
      <c r="AT429" s="62"/>
      <c r="AU429" s="62"/>
      <c r="AV429" s="62"/>
      <c r="AW429" s="62"/>
      <c r="AX429" s="63"/>
      <c r="AY429" s="68"/>
      <c r="AZ429" s="69"/>
      <c r="BA429" s="70"/>
      <c r="BB429" s="7"/>
    </row>
    <row r="430" spans="7:54" x14ac:dyDescent="0.15">
      <c r="G430" s="7"/>
      <c r="H430" s="38"/>
      <c r="I430" s="39"/>
      <c r="J430" s="39"/>
      <c r="K430" s="39"/>
      <c r="L430" s="39"/>
      <c r="M430" s="39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1"/>
      <c r="AC430" s="39"/>
      <c r="AD430" s="39"/>
      <c r="AE430" s="39"/>
      <c r="AF430" s="39"/>
      <c r="AG430" s="40"/>
      <c r="AH430" s="40"/>
      <c r="AI430" s="41"/>
      <c r="AJ430" s="41"/>
      <c r="AK430" s="41"/>
      <c r="AL430" s="52"/>
      <c r="AM430" s="53"/>
      <c r="AN430" s="53"/>
      <c r="AO430" s="53"/>
      <c r="AP430" s="53"/>
      <c r="AQ430" s="53"/>
      <c r="AR430" s="54"/>
      <c r="AS430" s="61"/>
      <c r="AT430" s="62"/>
      <c r="AU430" s="62"/>
      <c r="AV430" s="62"/>
      <c r="AW430" s="62"/>
      <c r="AX430" s="63"/>
      <c r="AY430" s="68"/>
      <c r="AZ430" s="69"/>
      <c r="BA430" s="70"/>
      <c r="BB430" s="7"/>
    </row>
    <row r="431" spans="7:54" x14ac:dyDescent="0.15">
      <c r="G431" s="7"/>
      <c r="H431" s="38"/>
      <c r="I431" s="39"/>
      <c r="J431" s="39"/>
      <c r="K431" s="39"/>
      <c r="L431" s="39"/>
      <c r="M431" s="39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1"/>
      <c r="AC431" s="39"/>
      <c r="AD431" s="39"/>
      <c r="AE431" s="39"/>
      <c r="AF431" s="39"/>
      <c r="AG431" s="40"/>
      <c r="AH431" s="40"/>
      <c r="AI431" s="41"/>
      <c r="AJ431" s="41"/>
      <c r="AK431" s="41"/>
      <c r="AL431" s="52"/>
      <c r="AM431" s="53"/>
      <c r="AN431" s="53"/>
      <c r="AO431" s="53"/>
      <c r="AP431" s="53"/>
      <c r="AQ431" s="53"/>
      <c r="AR431" s="54"/>
      <c r="AS431" s="61"/>
      <c r="AT431" s="62"/>
      <c r="AU431" s="62"/>
      <c r="AV431" s="62"/>
      <c r="AW431" s="62"/>
      <c r="AX431" s="63"/>
      <c r="AY431" s="68"/>
      <c r="AZ431" s="69"/>
      <c r="BA431" s="70"/>
      <c r="BB431" s="7"/>
    </row>
    <row r="432" spans="7:54" x14ac:dyDescent="0.15">
      <c r="G432" s="7"/>
      <c r="H432" s="38"/>
      <c r="I432" s="39"/>
      <c r="J432" s="39"/>
      <c r="K432" s="39"/>
      <c r="L432" s="39"/>
      <c r="M432" s="39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1"/>
      <c r="AC432" s="39"/>
      <c r="AD432" s="39"/>
      <c r="AE432" s="39"/>
      <c r="AF432" s="39"/>
      <c r="AG432" s="40"/>
      <c r="AH432" s="40"/>
      <c r="AI432" s="41"/>
      <c r="AJ432" s="41"/>
      <c r="AK432" s="41"/>
      <c r="AL432" s="52"/>
      <c r="AM432" s="53"/>
      <c r="AN432" s="53"/>
      <c r="AO432" s="53"/>
      <c r="AP432" s="53"/>
      <c r="AQ432" s="53"/>
      <c r="AR432" s="54"/>
      <c r="AS432" s="61"/>
      <c r="AT432" s="62"/>
      <c r="AU432" s="62"/>
      <c r="AV432" s="62"/>
      <c r="AW432" s="62"/>
      <c r="AX432" s="63"/>
      <c r="AY432" s="68"/>
      <c r="AZ432" s="69"/>
      <c r="BA432" s="70"/>
      <c r="BB432" s="7"/>
    </row>
    <row r="433" spans="7:54" x14ac:dyDescent="0.15">
      <c r="G433" s="7"/>
      <c r="H433" s="38"/>
      <c r="I433" s="39"/>
      <c r="J433" s="39"/>
      <c r="K433" s="39"/>
      <c r="L433" s="39"/>
      <c r="M433" s="39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1"/>
      <c r="AC433" s="39"/>
      <c r="AD433" s="39"/>
      <c r="AE433" s="39"/>
      <c r="AF433" s="39"/>
      <c r="AG433" s="40"/>
      <c r="AH433" s="40"/>
      <c r="AI433" s="41"/>
      <c r="AJ433" s="41"/>
      <c r="AK433" s="41"/>
      <c r="AL433" s="52"/>
      <c r="AM433" s="53"/>
      <c r="AN433" s="53"/>
      <c r="AO433" s="53"/>
      <c r="AP433" s="53"/>
      <c r="AQ433" s="53"/>
      <c r="AR433" s="54"/>
      <c r="AS433" s="61"/>
      <c r="AT433" s="62"/>
      <c r="AU433" s="62"/>
      <c r="AV433" s="62"/>
      <c r="AW433" s="62"/>
      <c r="AX433" s="63"/>
      <c r="AY433" s="68"/>
      <c r="AZ433" s="69"/>
      <c r="BA433" s="70"/>
      <c r="BB433" s="7"/>
    </row>
    <row r="434" spans="7:54" x14ac:dyDescent="0.15">
      <c r="G434" s="7"/>
      <c r="H434" s="38"/>
      <c r="I434" s="39"/>
      <c r="J434" s="39"/>
      <c r="K434" s="39"/>
      <c r="L434" s="39"/>
      <c r="M434" s="39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1"/>
      <c r="AC434" s="39"/>
      <c r="AD434" s="39"/>
      <c r="AE434" s="39"/>
      <c r="AF434" s="39"/>
      <c r="AG434" s="40"/>
      <c r="AH434" s="40"/>
      <c r="AI434" s="41"/>
      <c r="AJ434" s="41"/>
      <c r="AK434" s="41"/>
      <c r="AL434" s="52"/>
      <c r="AM434" s="53"/>
      <c r="AN434" s="53"/>
      <c r="AO434" s="53"/>
      <c r="AP434" s="53"/>
      <c r="AQ434" s="53"/>
      <c r="AR434" s="54"/>
      <c r="AS434" s="61"/>
      <c r="AT434" s="62"/>
      <c r="AU434" s="62"/>
      <c r="AV434" s="62"/>
      <c r="AW434" s="62"/>
      <c r="AX434" s="63"/>
      <c r="AY434" s="68"/>
      <c r="AZ434" s="69"/>
      <c r="BA434" s="70"/>
      <c r="BB434" s="7"/>
    </row>
    <row r="435" spans="7:54" x14ac:dyDescent="0.15">
      <c r="G435" s="7"/>
      <c r="H435" s="38"/>
      <c r="I435" s="39"/>
      <c r="J435" s="39"/>
      <c r="K435" s="39"/>
      <c r="L435" s="39"/>
      <c r="M435" s="39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1"/>
      <c r="AC435" s="39"/>
      <c r="AD435" s="39"/>
      <c r="AE435" s="39"/>
      <c r="AF435" s="39"/>
      <c r="AG435" s="40"/>
      <c r="AH435" s="40"/>
      <c r="AI435" s="41"/>
      <c r="AJ435" s="41"/>
      <c r="AK435" s="41"/>
      <c r="AL435" s="52"/>
      <c r="AM435" s="53"/>
      <c r="AN435" s="53"/>
      <c r="AO435" s="53"/>
      <c r="AP435" s="53"/>
      <c r="AQ435" s="53"/>
      <c r="AR435" s="54"/>
      <c r="AS435" s="61"/>
      <c r="AT435" s="62"/>
      <c r="AU435" s="62"/>
      <c r="AV435" s="62"/>
      <c r="AW435" s="62"/>
      <c r="AX435" s="63"/>
      <c r="AY435" s="68"/>
      <c r="AZ435" s="69"/>
      <c r="BA435" s="70"/>
      <c r="BB435" s="7"/>
    </row>
    <row r="436" spans="7:54" x14ac:dyDescent="0.15">
      <c r="G436" s="7"/>
      <c r="H436" s="38"/>
      <c r="I436" s="39"/>
      <c r="J436" s="39"/>
      <c r="K436" s="39"/>
      <c r="L436" s="39"/>
      <c r="M436" s="39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1"/>
      <c r="AC436" s="39"/>
      <c r="AD436" s="39"/>
      <c r="AE436" s="39"/>
      <c r="AF436" s="39"/>
      <c r="AG436" s="40"/>
      <c r="AH436" s="40"/>
      <c r="AI436" s="41"/>
      <c r="AJ436" s="41"/>
      <c r="AK436" s="41"/>
      <c r="AL436" s="52"/>
      <c r="AM436" s="53"/>
      <c r="AN436" s="53"/>
      <c r="AO436" s="53"/>
      <c r="AP436" s="53"/>
      <c r="AQ436" s="53"/>
      <c r="AR436" s="54"/>
      <c r="AS436" s="61"/>
      <c r="AT436" s="62"/>
      <c r="AU436" s="62"/>
      <c r="AV436" s="62"/>
      <c r="AW436" s="62"/>
      <c r="AX436" s="63"/>
      <c r="AY436" s="68"/>
      <c r="AZ436" s="69"/>
      <c r="BA436" s="70"/>
      <c r="BB436" s="7"/>
    </row>
    <row r="437" spans="7:54" x14ac:dyDescent="0.15">
      <c r="G437" s="7"/>
      <c r="H437" s="38"/>
      <c r="I437" s="39"/>
      <c r="J437" s="39"/>
      <c r="K437" s="39"/>
      <c r="L437" s="39"/>
      <c r="M437" s="39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1"/>
      <c r="AC437" s="39"/>
      <c r="AD437" s="39"/>
      <c r="AE437" s="39"/>
      <c r="AF437" s="39"/>
      <c r="AG437" s="40"/>
      <c r="AH437" s="40"/>
      <c r="AI437" s="41"/>
      <c r="AJ437" s="41"/>
      <c r="AK437" s="41"/>
      <c r="AL437" s="52"/>
      <c r="AM437" s="53"/>
      <c r="AN437" s="53"/>
      <c r="AO437" s="53"/>
      <c r="AP437" s="53"/>
      <c r="AQ437" s="53"/>
      <c r="AR437" s="54"/>
      <c r="AS437" s="61"/>
      <c r="AT437" s="62"/>
      <c r="AU437" s="62"/>
      <c r="AV437" s="62"/>
      <c r="AW437" s="62"/>
      <c r="AX437" s="63"/>
      <c r="AY437" s="68"/>
      <c r="AZ437" s="69"/>
      <c r="BA437" s="70"/>
      <c r="BB437" s="7"/>
    </row>
    <row r="438" spans="7:54" x14ac:dyDescent="0.15">
      <c r="G438" s="7"/>
      <c r="H438" s="38"/>
      <c r="I438" s="39"/>
      <c r="J438" s="39"/>
      <c r="K438" s="39"/>
      <c r="L438" s="39"/>
      <c r="M438" s="39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1"/>
      <c r="AC438" s="39"/>
      <c r="AD438" s="39"/>
      <c r="AE438" s="39"/>
      <c r="AF438" s="39"/>
      <c r="AG438" s="40"/>
      <c r="AH438" s="40"/>
      <c r="AI438" s="41"/>
      <c r="AJ438" s="41"/>
      <c r="AK438" s="41"/>
      <c r="AL438" s="52"/>
      <c r="AM438" s="53"/>
      <c r="AN438" s="53"/>
      <c r="AO438" s="53"/>
      <c r="AP438" s="53"/>
      <c r="AQ438" s="53"/>
      <c r="AR438" s="54"/>
      <c r="AS438" s="61"/>
      <c r="AT438" s="62"/>
      <c r="AU438" s="62"/>
      <c r="AV438" s="62"/>
      <c r="AW438" s="62"/>
      <c r="AX438" s="63"/>
      <c r="AY438" s="68"/>
      <c r="AZ438" s="69"/>
      <c r="BA438" s="70"/>
      <c r="BB438" s="7"/>
    </row>
    <row r="439" spans="7:54" x14ac:dyDescent="0.15">
      <c r="G439" s="7"/>
      <c r="H439" s="38"/>
      <c r="I439" s="39"/>
      <c r="J439" s="39"/>
      <c r="K439" s="39"/>
      <c r="L439" s="39"/>
      <c r="M439" s="39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1"/>
      <c r="AC439" s="39"/>
      <c r="AD439" s="39"/>
      <c r="AE439" s="39"/>
      <c r="AF439" s="39"/>
      <c r="AG439" s="40"/>
      <c r="AH439" s="40"/>
      <c r="AI439" s="41"/>
      <c r="AJ439" s="41"/>
      <c r="AK439" s="41"/>
      <c r="AL439" s="52"/>
      <c r="AM439" s="53"/>
      <c r="AN439" s="53"/>
      <c r="AO439" s="53"/>
      <c r="AP439" s="53"/>
      <c r="AQ439" s="53"/>
      <c r="AR439" s="54"/>
      <c r="AS439" s="61"/>
      <c r="AT439" s="62"/>
      <c r="AU439" s="62"/>
      <c r="AV439" s="62"/>
      <c r="AW439" s="62"/>
      <c r="AX439" s="63"/>
      <c r="AY439" s="68"/>
      <c r="AZ439" s="69"/>
      <c r="BA439" s="70"/>
      <c r="BB439" s="7"/>
    </row>
    <row r="440" spans="7:54" x14ac:dyDescent="0.15">
      <c r="G440" s="7"/>
      <c r="H440" s="38"/>
      <c r="I440" s="39"/>
      <c r="J440" s="39"/>
      <c r="K440" s="39"/>
      <c r="L440" s="39"/>
      <c r="M440" s="39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1"/>
      <c r="AC440" s="39"/>
      <c r="AD440" s="39"/>
      <c r="AE440" s="39"/>
      <c r="AF440" s="39"/>
      <c r="AG440" s="40"/>
      <c r="AH440" s="40"/>
      <c r="AI440" s="41"/>
      <c r="AJ440" s="41"/>
      <c r="AK440" s="41"/>
      <c r="AL440" s="52"/>
      <c r="AM440" s="53"/>
      <c r="AN440" s="53"/>
      <c r="AO440" s="53"/>
      <c r="AP440" s="53"/>
      <c r="AQ440" s="53"/>
      <c r="AR440" s="54"/>
      <c r="AS440" s="61"/>
      <c r="AT440" s="62"/>
      <c r="AU440" s="62"/>
      <c r="AV440" s="62"/>
      <c r="AW440" s="62"/>
      <c r="AX440" s="63"/>
      <c r="AY440" s="68"/>
      <c r="AZ440" s="69"/>
      <c r="BA440" s="70"/>
      <c r="BB440" s="7"/>
    </row>
    <row r="441" spans="7:54" x14ac:dyDescent="0.15">
      <c r="G441" s="7"/>
      <c r="H441" s="38"/>
      <c r="I441" s="39"/>
      <c r="J441" s="39"/>
      <c r="K441" s="39"/>
      <c r="L441" s="39"/>
      <c r="M441" s="39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1"/>
      <c r="AC441" s="39"/>
      <c r="AD441" s="39"/>
      <c r="AE441" s="39"/>
      <c r="AF441" s="39"/>
      <c r="AG441" s="40"/>
      <c r="AH441" s="40"/>
      <c r="AI441" s="41"/>
      <c r="AJ441" s="41"/>
      <c r="AK441" s="41"/>
      <c r="AL441" s="52"/>
      <c r="AM441" s="53"/>
      <c r="AN441" s="53"/>
      <c r="AO441" s="53"/>
      <c r="AP441" s="53"/>
      <c r="AQ441" s="53"/>
      <c r="AR441" s="54"/>
      <c r="AS441" s="61"/>
      <c r="AT441" s="62"/>
      <c r="AU441" s="62"/>
      <c r="AV441" s="62"/>
      <c r="AW441" s="62"/>
      <c r="AX441" s="63"/>
      <c r="AY441" s="68"/>
      <c r="AZ441" s="69"/>
      <c r="BA441" s="70"/>
      <c r="BB441" s="7"/>
    </row>
    <row r="442" spans="7:54" x14ac:dyDescent="0.15">
      <c r="G442" s="7"/>
      <c r="H442" s="38"/>
      <c r="I442" s="39"/>
      <c r="J442" s="39"/>
      <c r="K442" s="39"/>
      <c r="L442" s="39"/>
      <c r="M442" s="39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1"/>
      <c r="AC442" s="39"/>
      <c r="AD442" s="39"/>
      <c r="AE442" s="39"/>
      <c r="AF442" s="39"/>
      <c r="AG442" s="40"/>
      <c r="AH442" s="40"/>
      <c r="AI442" s="41"/>
      <c r="AJ442" s="41"/>
      <c r="AK442" s="41"/>
      <c r="AL442" s="52"/>
      <c r="AM442" s="53"/>
      <c r="AN442" s="53"/>
      <c r="AO442" s="53"/>
      <c r="AP442" s="53"/>
      <c r="AQ442" s="53"/>
      <c r="AR442" s="54"/>
      <c r="AS442" s="61"/>
      <c r="AT442" s="62"/>
      <c r="AU442" s="62"/>
      <c r="AV442" s="62"/>
      <c r="AW442" s="62"/>
      <c r="AX442" s="63"/>
      <c r="AY442" s="68"/>
      <c r="AZ442" s="69"/>
      <c r="BA442" s="70"/>
      <c r="BB442" s="7"/>
    </row>
    <row r="443" spans="7:54" x14ac:dyDescent="0.15">
      <c r="G443" s="7"/>
      <c r="H443" s="38"/>
      <c r="I443" s="39"/>
      <c r="J443" s="39"/>
      <c r="K443" s="39"/>
      <c r="L443" s="39"/>
      <c r="M443" s="39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1"/>
      <c r="AC443" s="39"/>
      <c r="AD443" s="39"/>
      <c r="AE443" s="39"/>
      <c r="AF443" s="39"/>
      <c r="AG443" s="40"/>
      <c r="AH443" s="40"/>
      <c r="AI443" s="41"/>
      <c r="AJ443" s="41"/>
      <c r="AK443" s="41"/>
      <c r="AL443" s="52"/>
      <c r="AM443" s="53"/>
      <c r="AN443" s="53"/>
      <c r="AO443" s="53"/>
      <c r="AP443" s="53"/>
      <c r="AQ443" s="53"/>
      <c r="AR443" s="54"/>
      <c r="AS443" s="61"/>
      <c r="AT443" s="62"/>
      <c r="AU443" s="62"/>
      <c r="AV443" s="62"/>
      <c r="AW443" s="62"/>
      <c r="AX443" s="63"/>
      <c r="AY443" s="68"/>
      <c r="AZ443" s="69"/>
      <c r="BA443" s="70"/>
      <c r="BB443" s="7"/>
    </row>
    <row r="444" spans="7:54" x14ac:dyDescent="0.15">
      <c r="G444" s="7"/>
      <c r="H444" s="38"/>
      <c r="I444" s="39"/>
      <c r="J444" s="39"/>
      <c r="K444" s="39"/>
      <c r="L444" s="39"/>
      <c r="M444" s="39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1"/>
      <c r="AC444" s="39"/>
      <c r="AD444" s="39"/>
      <c r="AE444" s="39"/>
      <c r="AF444" s="39"/>
      <c r="AG444" s="40"/>
      <c r="AH444" s="40"/>
      <c r="AI444" s="41"/>
      <c r="AJ444" s="41"/>
      <c r="AK444" s="41"/>
      <c r="AL444" s="52"/>
      <c r="AM444" s="53"/>
      <c r="AN444" s="53"/>
      <c r="AO444" s="53"/>
      <c r="AP444" s="53"/>
      <c r="AQ444" s="53"/>
      <c r="AR444" s="54"/>
      <c r="AS444" s="61"/>
      <c r="AT444" s="62"/>
      <c r="AU444" s="62"/>
      <c r="AV444" s="62"/>
      <c r="AW444" s="62"/>
      <c r="AX444" s="63"/>
      <c r="AY444" s="68"/>
      <c r="AZ444" s="69"/>
      <c r="BA444" s="70"/>
      <c r="BB444" s="7"/>
    </row>
    <row r="445" spans="7:54" x14ac:dyDescent="0.15">
      <c r="G445" s="7"/>
      <c r="H445" s="38"/>
      <c r="I445" s="39"/>
      <c r="J445" s="39"/>
      <c r="K445" s="39"/>
      <c r="L445" s="39"/>
      <c r="M445" s="39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1"/>
      <c r="AC445" s="39"/>
      <c r="AD445" s="39"/>
      <c r="AE445" s="39"/>
      <c r="AF445" s="39"/>
      <c r="AG445" s="40"/>
      <c r="AH445" s="40"/>
      <c r="AI445" s="41"/>
      <c r="AJ445" s="41"/>
      <c r="AK445" s="41"/>
      <c r="AL445" s="52"/>
      <c r="AM445" s="53"/>
      <c r="AN445" s="53"/>
      <c r="AO445" s="53"/>
      <c r="AP445" s="53"/>
      <c r="AQ445" s="53"/>
      <c r="AR445" s="54"/>
      <c r="AS445" s="61"/>
      <c r="AT445" s="62"/>
      <c r="AU445" s="62"/>
      <c r="AV445" s="62"/>
      <c r="AW445" s="62"/>
      <c r="AX445" s="63"/>
      <c r="AY445" s="68"/>
      <c r="AZ445" s="69"/>
      <c r="BA445" s="70"/>
      <c r="BB445" s="7"/>
    </row>
    <row r="446" spans="7:54" x14ac:dyDescent="0.15">
      <c r="G446" s="7"/>
      <c r="H446" s="38"/>
      <c r="I446" s="39"/>
      <c r="J446" s="39"/>
      <c r="K446" s="39"/>
      <c r="L446" s="39"/>
      <c r="M446" s="39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1"/>
      <c r="AC446" s="39"/>
      <c r="AD446" s="39"/>
      <c r="AE446" s="39"/>
      <c r="AF446" s="39"/>
      <c r="AG446" s="40"/>
      <c r="AH446" s="40"/>
      <c r="AI446" s="41"/>
      <c r="AJ446" s="41"/>
      <c r="AK446" s="41"/>
      <c r="AL446" s="52"/>
      <c r="AM446" s="53"/>
      <c r="AN446" s="53"/>
      <c r="AO446" s="53"/>
      <c r="AP446" s="53"/>
      <c r="AQ446" s="53"/>
      <c r="AR446" s="54"/>
      <c r="AS446" s="61"/>
      <c r="AT446" s="62"/>
      <c r="AU446" s="62"/>
      <c r="AV446" s="62"/>
      <c r="AW446" s="62"/>
      <c r="AX446" s="63"/>
      <c r="AY446" s="68"/>
      <c r="AZ446" s="69"/>
      <c r="BA446" s="70"/>
      <c r="BB446" s="7"/>
    </row>
    <row r="447" spans="7:54" x14ac:dyDescent="0.15">
      <c r="G447" s="7"/>
      <c r="H447" s="38"/>
      <c r="I447" s="39"/>
      <c r="J447" s="39"/>
      <c r="K447" s="39"/>
      <c r="L447" s="39"/>
      <c r="M447" s="39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1"/>
      <c r="AC447" s="39"/>
      <c r="AD447" s="39"/>
      <c r="AE447" s="39"/>
      <c r="AF447" s="39"/>
      <c r="AG447" s="40"/>
      <c r="AH447" s="40"/>
      <c r="AI447" s="41"/>
      <c r="AJ447" s="41"/>
      <c r="AK447" s="41"/>
      <c r="AL447" s="52"/>
      <c r="AM447" s="53"/>
      <c r="AN447" s="53"/>
      <c r="AO447" s="53"/>
      <c r="AP447" s="53"/>
      <c r="AQ447" s="53"/>
      <c r="AR447" s="54"/>
      <c r="AS447" s="61"/>
      <c r="AT447" s="62"/>
      <c r="AU447" s="62"/>
      <c r="AV447" s="62"/>
      <c r="AW447" s="62"/>
      <c r="AX447" s="63"/>
      <c r="AY447" s="68"/>
      <c r="AZ447" s="69"/>
      <c r="BA447" s="70"/>
      <c r="BB447" s="7"/>
    </row>
    <row r="448" spans="7:54" x14ac:dyDescent="0.15">
      <c r="G448" s="7"/>
      <c r="H448" s="38"/>
      <c r="I448" s="39"/>
      <c r="J448" s="39"/>
      <c r="K448" s="39"/>
      <c r="L448" s="39"/>
      <c r="M448" s="39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1"/>
      <c r="AC448" s="39"/>
      <c r="AD448" s="39"/>
      <c r="AE448" s="39"/>
      <c r="AF448" s="39"/>
      <c r="AG448" s="40"/>
      <c r="AH448" s="40"/>
      <c r="AI448" s="41"/>
      <c r="AJ448" s="41"/>
      <c r="AK448" s="41"/>
      <c r="AL448" s="52"/>
      <c r="AM448" s="53"/>
      <c r="AN448" s="53"/>
      <c r="AO448" s="53"/>
      <c r="AP448" s="53"/>
      <c r="AQ448" s="53"/>
      <c r="AR448" s="54"/>
      <c r="AS448" s="61"/>
      <c r="AT448" s="62"/>
      <c r="AU448" s="62"/>
      <c r="AV448" s="62"/>
      <c r="AW448" s="62"/>
      <c r="AX448" s="63"/>
      <c r="AY448" s="68"/>
      <c r="AZ448" s="69"/>
      <c r="BA448" s="70"/>
      <c r="BB448" s="7"/>
    </row>
    <row r="449" spans="7:54" x14ac:dyDescent="0.15">
      <c r="G449" s="7"/>
      <c r="H449" s="38"/>
      <c r="I449" s="39"/>
      <c r="J449" s="39"/>
      <c r="K449" s="39"/>
      <c r="L449" s="39"/>
      <c r="M449" s="39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1"/>
      <c r="AC449" s="39"/>
      <c r="AD449" s="39"/>
      <c r="AE449" s="39"/>
      <c r="AF449" s="39"/>
      <c r="AG449" s="40"/>
      <c r="AH449" s="40"/>
      <c r="AI449" s="41"/>
      <c r="AJ449" s="41"/>
      <c r="AK449" s="41"/>
      <c r="AL449" s="52"/>
      <c r="AM449" s="53"/>
      <c r="AN449" s="53"/>
      <c r="AO449" s="53"/>
      <c r="AP449" s="53"/>
      <c r="AQ449" s="53"/>
      <c r="AR449" s="54"/>
      <c r="AS449" s="61"/>
      <c r="AT449" s="62"/>
      <c r="AU449" s="62"/>
      <c r="AV449" s="62"/>
      <c r="AW449" s="62"/>
      <c r="AX449" s="63"/>
      <c r="AY449" s="68"/>
      <c r="AZ449" s="69"/>
      <c r="BA449" s="70"/>
      <c r="BB449" s="7"/>
    </row>
    <row r="450" spans="7:54" x14ac:dyDescent="0.15">
      <c r="G450" s="7"/>
      <c r="H450" s="38"/>
      <c r="I450" s="39"/>
      <c r="J450" s="39"/>
      <c r="K450" s="39"/>
      <c r="L450" s="39"/>
      <c r="M450" s="39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1"/>
      <c r="AC450" s="39"/>
      <c r="AD450" s="39"/>
      <c r="AE450" s="39"/>
      <c r="AF450" s="39"/>
      <c r="AG450" s="40"/>
      <c r="AH450" s="40"/>
      <c r="AI450" s="41"/>
      <c r="AJ450" s="41"/>
      <c r="AK450" s="41"/>
      <c r="AL450" s="52"/>
      <c r="AM450" s="53"/>
      <c r="AN450" s="53"/>
      <c r="AO450" s="53"/>
      <c r="AP450" s="53"/>
      <c r="AQ450" s="53"/>
      <c r="AR450" s="54"/>
      <c r="AS450" s="61"/>
      <c r="AT450" s="62"/>
      <c r="AU450" s="62"/>
      <c r="AV450" s="62"/>
      <c r="AW450" s="62"/>
      <c r="AX450" s="63"/>
      <c r="AY450" s="68"/>
      <c r="AZ450" s="69"/>
      <c r="BA450" s="70"/>
      <c r="BB450" s="7"/>
    </row>
    <row r="451" spans="7:54" x14ac:dyDescent="0.15">
      <c r="G451" s="7"/>
      <c r="H451" s="38"/>
      <c r="I451" s="39"/>
      <c r="J451" s="39"/>
      <c r="K451" s="39"/>
      <c r="L451" s="39"/>
      <c r="M451" s="39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1"/>
      <c r="AC451" s="39"/>
      <c r="AD451" s="39"/>
      <c r="AE451" s="39"/>
      <c r="AF451" s="39"/>
      <c r="AG451" s="40"/>
      <c r="AH451" s="40"/>
      <c r="AI451" s="41"/>
      <c r="AJ451" s="41"/>
      <c r="AK451" s="41"/>
      <c r="AL451" s="52"/>
      <c r="AM451" s="53"/>
      <c r="AN451" s="53"/>
      <c r="AO451" s="53"/>
      <c r="AP451" s="53"/>
      <c r="AQ451" s="53"/>
      <c r="AR451" s="54"/>
      <c r="AS451" s="61"/>
      <c r="AT451" s="62"/>
      <c r="AU451" s="62"/>
      <c r="AV451" s="62"/>
      <c r="AW451" s="62"/>
      <c r="AX451" s="63"/>
      <c r="AY451" s="68"/>
      <c r="AZ451" s="69"/>
      <c r="BA451" s="70"/>
      <c r="BB451" s="7"/>
    </row>
    <row r="452" spans="7:54" x14ac:dyDescent="0.15">
      <c r="G452" s="7"/>
      <c r="H452" s="38"/>
      <c r="I452" s="39"/>
      <c r="J452" s="39"/>
      <c r="K452" s="39"/>
      <c r="L452" s="39"/>
      <c r="M452" s="39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1"/>
      <c r="AC452" s="39"/>
      <c r="AD452" s="39"/>
      <c r="AE452" s="39"/>
      <c r="AF452" s="39"/>
      <c r="AG452" s="40"/>
      <c r="AH452" s="40"/>
      <c r="AI452" s="41"/>
      <c r="AJ452" s="41"/>
      <c r="AK452" s="41"/>
      <c r="AL452" s="52"/>
      <c r="AM452" s="53"/>
      <c r="AN452" s="53"/>
      <c r="AO452" s="53"/>
      <c r="AP452" s="53"/>
      <c r="AQ452" s="53"/>
      <c r="AR452" s="54"/>
      <c r="AS452" s="61"/>
      <c r="AT452" s="62"/>
      <c r="AU452" s="62"/>
      <c r="AV452" s="62"/>
      <c r="AW452" s="62"/>
      <c r="AX452" s="63"/>
      <c r="AY452" s="68"/>
      <c r="AZ452" s="69"/>
      <c r="BA452" s="70"/>
      <c r="BB452" s="7"/>
    </row>
    <row r="453" spans="7:54" x14ac:dyDescent="0.15">
      <c r="G453" s="7"/>
      <c r="H453" s="38"/>
      <c r="I453" s="39"/>
      <c r="J453" s="39"/>
      <c r="K453" s="39"/>
      <c r="L453" s="39"/>
      <c r="M453" s="39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1"/>
      <c r="AC453" s="39"/>
      <c r="AD453" s="39"/>
      <c r="AE453" s="39"/>
      <c r="AF453" s="39"/>
      <c r="AG453" s="40"/>
      <c r="AH453" s="40"/>
      <c r="AI453" s="41"/>
      <c r="AJ453" s="41"/>
      <c r="AK453" s="41"/>
      <c r="AL453" s="52"/>
      <c r="AM453" s="53"/>
      <c r="AN453" s="53"/>
      <c r="AO453" s="53"/>
      <c r="AP453" s="53"/>
      <c r="AQ453" s="53"/>
      <c r="AR453" s="54"/>
      <c r="AS453" s="61"/>
      <c r="AT453" s="62"/>
      <c r="AU453" s="62"/>
      <c r="AV453" s="62"/>
      <c r="AW453" s="62"/>
      <c r="AX453" s="63"/>
      <c r="AY453" s="68"/>
      <c r="AZ453" s="69"/>
      <c r="BA453" s="70"/>
      <c r="BB453" s="7"/>
    </row>
    <row r="454" spans="7:54" x14ac:dyDescent="0.15">
      <c r="G454" s="7"/>
      <c r="H454" s="38"/>
      <c r="I454" s="39"/>
      <c r="J454" s="39"/>
      <c r="K454" s="39"/>
      <c r="L454" s="39"/>
      <c r="M454" s="39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1"/>
      <c r="AC454" s="39"/>
      <c r="AD454" s="39"/>
      <c r="AE454" s="39"/>
      <c r="AF454" s="39"/>
      <c r="AG454" s="40"/>
      <c r="AH454" s="40"/>
      <c r="AI454" s="41"/>
      <c r="AJ454" s="41"/>
      <c r="AK454" s="41"/>
      <c r="AL454" s="52"/>
      <c r="AM454" s="53"/>
      <c r="AN454" s="53"/>
      <c r="AO454" s="53"/>
      <c r="AP454" s="53"/>
      <c r="AQ454" s="53"/>
      <c r="AR454" s="54"/>
      <c r="AS454" s="61"/>
      <c r="AT454" s="62"/>
      <c r="AU454" s="62"/>
      <c r="AV454" s="62"/>
      <c r="AW454" s="62"/>
      <c r="AX454" s="63"/>
      <c r="AY454" s="68"/>
      <c r="AZ454" s="69"/>
      <c r="BA454" s="70"/>
      <c r="BB454" s="7"/>
    </row>
    <row r="455" spans="7:54" x14ac:dyDescent="0.15">
      <c r="G455" s="7"/>
      <c r="H455" s="38"/>
      <c r="I455" s="39"/>
      <c r="J455" s="39"/>
      <c r="K455" s="39"/>
      <c r="L455" s="39"/>
      <c r="M455" s="39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1"/>
      <c r="AC455" s="39"/>
      <c r="AD455" s="39"/>
      <c r="AE455" s="39"/>
      <c r="AF455" s="39"/>
      <c r="AG455" s="40"/>
      <c r="AH455" s="40"/>
      <c r="AI455" s="41"/>
      <c r="AJ455" s="41"/>
      <c r="AK455" s="41"/>
      <c r="AL455" s="52"/>
      <c r="AM455" s="53"/>
      <c r="AN455" s="53"/>
      <c r="AO455" s="53"/>
      <c r="AP455" s="53"/>
      <c r="AQ455" s="53"/>
      <c r="AR455" s="54"/>
      <c r="AS455" s="61"/>
      <c r="AT455" s="62"/>
      <c r="AU455" s="62"/>
      <c r="AV455" s="62"/>
      <c r="AW455" s="62"/>
      <c r="AX455" s="63"/>
      <c r="AY455" s="68"/>
      <c r="AZ455" s="69"/>
      <c r="BA455" s="70"/>
      <c r="BB455" s="7"/>
    </row>
    <row r="456" spans="7:54" x14ac:dyDescent="0.15">
      <c r="G456" s="7"/>
      <c r="H456" s="38"/>
      <c r="I456" s="39"/>
      <c r="J456" s="39"/>
      <c r="K456" s="39"/>
      <c r="L456" s="39"/>
      <c r="M456" s="39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1"/>
      <c r="AC456" s="39"/>
      <c r="AD456" s="39"/>
      <c r="AE456" s="39"/>
      <c r="AF456" s="39"/>
      <c r="AG456" s="40"/>
      <c r="AH456" s="40"/>
      <c r="AI456" s="41"/>
      <c r="AJ456" s="41"/>
      <c r="AK456" s="41"/>
      <c r="AL456" s="52"/>
      <c r="AM456" s="53"/>
      <c r="AN456" s="53"/>
      <c r="AO456" s="53"/>
      <c r="AP456" s="53"/>
      <c r="AQ456" s="53"/>
      <c r="AR456" s="54"/>
      <c r="AS456" s="61"/>
      <c r="AT456" s="62"/>
      <c r="AU456" s="62"/>
      <c r="AV456" s="62"/>
      <c r="AW456" s="62"/>
      <c r="AX456" s="63"/>
      <c r="AY456" s="68"/>
      <c r="AZ456" s="69"/>
      <c r="BA456" s="70"/>
      <c r="BB456" s="7"/>
    </row>
    <row r="457" spans="7:54" x14ac:dyDescent="0.15">
      <c r="G457" s="7"/>
      <c r="H457" s="38"/>
      <c r="I457" s="39"/>
      <c r="J457" s="39"/>
      <c r="K457" s="39"/>
      <c r="L457" s="39"/>
      <c r="M457" s="39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1"/>
      <c r="AC457" s="39"/>
      <c r="AD457" s="39"/>
      <c r="AE457" s="39"/>
      <c r="AF457" s="39"/>
      <c r="AG457" s="40"/>
      <c r="AH457" s="40"/>
      <c r="AI457" s="41"/>
      <c r="AJ457" s="41"/>
      <c r="AK457" s="41"/>
      <c r="AL457" s="52"/>
      <c r="AM457" s="53"/>
      <c r="AN457" s="53"/>
      <c r="AO457" s="53"/>
      <c r="AP457" s="53"/>
      <c r="AQ457" s="53"/>
      <c r="AR457" s="54"/>
      <c r="AS457" s="61"/>
      <c r="AT457" s="62"/>
      <c r="AU457" s="62"/>
      <c r="AV457" s="62"/>
      <c r="AW457" s="62"/>
      <c r="AX457" s="63"/>
      <c r="AY457" s="68"/>
      <c r="AZ457" s="69"/>
      <c r="BA457" s="70"/>
      <c r="BB457" s="7"/>
    </row>
    <row r="458" spans="7:54" x14ac:dyDescent="0.15">
      <c r="G458" s="7"/>
      <c r="H458" s="38"/>
      <c r="I458" s="39"/>
      <c r="J458" s="39"/>
      <c r="K458" s="39"/>
      <c r="L458" s="39"/>
      <c r="M458" s="39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1"/>
      <c r="AC458" s="39"/>
      <c r="AD458" s="39"/>
      <c r="AE458" s="39"/>
      <c r="AF458" s="39"/>
      <c r="AG458" s="40"/>
      <c r="AH458" s="40"/>
      <c r="AI458" s="41"/>
      <c r="AJ458" s="41"/>
      <c r="AK458" s="41"/>
      <c r="AL458" s="52"/>
      <c r="AM458" s="53"/>
      <c r="AN458" s="53"/>
      <c r="AO458" s="53"/>
      <c r="AP458" s="53"/>
      <c r="AQ458" s="53"/>
      <c r="AR458" s="54"/>
      <c r="AS458" s="61"/>
      <c r="AT458" s="62"/>
      <c r="AU458" s="62"/>
      <c r="AV458" s="62"/>
      <c r="AW458" s="62"/>
      <c r="AX458" s="63"/>
      <c r="AY458" s="68"/>
      <c r="AZ458" s="69"/>
      <c r="BA458" s="70"/>
      <c r="BB458" s="7"/>
    </row>
    <row r="459" spans="7:54" x14ac:dyDescent="0.15">
      <c r="G459" s="7"/>
      <c r="H459" s="38"/>
      <c r="I459" s="39"/>
      <c r="J459" s="39"/>
      <c r="K459" s="39"/>
      <c r="L459" s="39"/>
      <c r="M459" s="39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1"/>
      <c r="AC459" s="39"/>
      <c r="AD459" s="39"/>
      <c r="AE459" s="39"/>
      <c r="AF459" s="39"/>
      <c r="AG459" s="40"/>
      <c r="AH459" s="40"/>
      <c r="AI459" s="41"/>
      <c r="AJ459" s="41"/>
      <c r="AK459" s="41"/>
      <c r="AL459" s="52"/>
      <c r="AM459" s="53"/>
      <c r="AN459" s="53"/>
      <c r="AO459" s="53"/>
      <c r="AP459" s="53"/>
      <c r="AQ459" s="53"/>
      <c r="AR459" s="54"/>
      <c r="AS459" s="61"/>
      <c r="AT459" s="62"/>
      <c r="AU459" s="62"/>
      <c r="AV459" s="62"/>
      <c r="AW459" s="62"/>
      <c r="AX459" s="63"/>
      <c r="AY459" s="68"/>
      <c r="AZ459" s="69"/>
      <c r="BA459" s="70"/>
      <c r="BB459" s="7"/>
    </row>
    <row r="460" spans="7:54" x14ac:dyDescent="0.15">
      <c r="G460" s="7"/>
      <c r="H460" s="38"/>
      <c r="I460" s="39"/>
      <c r="J460" s="39"/>
      <c r="K460" s="39"/>
      <c r="L460" s="39"/>
      <c r="M460" s="39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1"/>
      <c r="AC460" s="39"/>
      <c r="AD460" s="39"/>
      <c r="AE460" s="39"/>
      <c r="AF460" s="39"/>
      <c r="AG460" s="40"/>
      <c r="AH460" s="40"/>
      <c r="AI460" s="41"/>
      <c r="AJ460" s="41"/>
      <c r="AK460" s="41"/>
      <c r="AL460" s="52"/>
      <c r="AM460" s="53"/>
      <c r="AN460" s="53"/>
      <c r="AO460" s="53"/>
      <c r="AP460" s="53"/>
      <c r="AQ460" s="53"/>
      <c r="AR460" s="54"/>
      <c r="AS460" s="61"/>
      <c r="AT460" s="62"/>
      <c r="AU460" s="62"/>
      <c r="AV460" s="62"/>
      <c r="AW460" s="62"/>
      <c r="AX460" s="63"/>
      <c r="AY460" s="68"/>
      <c r="AZ460" s="69"/>
      <c r="BA460" s="70"/>
      <c r="BB460" s="7"/>
    </row>
    <row r="461" spans="7:54" x14ac:dyDescent="0.15">
      <c r="G461" s="7"/>
      <c r="H461" s="38"/>
      <c r="I461" s="39"/>
      <c r="J461" s="39"/>
      <c r="K461" s="39"/>
      <c r="L461" s="39"/>
      <c r="M461" s="39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1"/>
      <c r="AC461" s="39"/>
      <c r="AD461" s="39"/>
      <c r="AE461" s="39"/>
      <c r="AF461" s="39"/>
      <c r="AG461" s="40"/>
      <c r="AH461" s="40"/>
      <c r="AI461" s="41"/>
      <c r="AJ461" s="41"/>
      <c r="AK461" s="41"/>
      <c r="AL461" s="52"/>
      <c r="AM461" s="53"/>
      <c r="AN461" s="53"/>
      <c r="AO461" s="53"/>
      <c r="AP461" s="53"/>
      <c r="AQ461" s="53"/>
      <c r="AR461" s="54"/>
      <c r="AS461" s="61"/>
      <c r="AT461" s="62"/>
      <c r="AU461" s="62"/>
      <c r="AV461" s="62"/>
      <c r="AW461" s="62"/>
      <c r="AX461" s="63"/>
      <c r="AY461" s="68"/>
      <c r="AZ461" s="69"/>
      <c r="BA461" s="70"/>
      <c r="BB461" s="7"/>
    </row>
    <row r="462" spans="7:54" x14ac:dyDescent="0.15">
      <c r="G462" s="7"/>
      <c r="H462" s="38"/>
      <c r="I462" s="39"/>
      <c r="J462" s="39"/>
      <c r="K462" s="39"/>
      <c r="L462" s="39"/>
      <c r="M462" s="39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1"/>
      <c r="AC462" s="39"/>
      <c r="AD462" s="39"/>
      <c r="AE462" s="39"/>
      <c r="AF462" s="39"/>
      <c r="AG462" s="40"/>
      <c r="AH462" s="40"/>
      <c r="AI462" s="41"/>
      <c r="AJ462" s="41"/>
      <c r="AK462" s="41"/>
      <c r="AL462" s="52"/>
      <c r="AM462" s="53"/>
      <c r="AN462" s="53"/>
      <c r="AO462" s="53"/>
      <c r="AP462" s="53"/>
      <c r="AQ462" s="53"/>
      <c r="AR462" s="54"/>
      <c r="AS462" s="61"/>
      <c r="AT462" s="62"/>
      <c r="AU462" s="62"/>
      <c r="AV462" s="62"/>
      <c r="AW462" s="62"/>
      <c r="AX462" s="63"/>
      <c r="AY462" s="68"/>
      <c r="AZ462" s="69"/>
      <c r="BA462" s="70"/>
      <c r="BB462" s="7"/>
    </row>
    <row r="463" spans="7:54" x14ac:dyDescent="0.15">
      <c r="G463" s="7"/>
      <c r="H463" s="38"/>
      <c r="I463" s="39"/>
      <c r="J463" s="39"/>
      <c r="K463" s="39"/>
      <c r="L463" s="39"/>
      <c r="M463" s="39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1"/>
      <c r="AC463" s="39"/>
      <c r="AD463" s="39"/>
      <c r="AE463" s="39"/>
      <c r="AF463" s="39"/>
      <c r="AG463" s="40"/>
      <c r="AH463" s="40"/>
      <c r="AI463" s="41"/>
      <c r="AJ463" s="41"/>
      <c r="AK463" s="41"/>
      <c r="AL463" s="52"/>
      <c r="AM463" s="53"/>
      <c r="AN463" s="53"/>
      <c r="AO463" s="53"/>
      <c r="AP463" s="53"/>
      <c r="AQ463" s="53"/>
      <c r="AR463" s="54"/>
      <c r="AS463" s="61"/>
      <c r="AT463" s="62"/>
      <c r="AU463" s="62"/>
      <c r="AV463" s="62"/>
      <c r="AW463" s="62"/>
      <c r="AX463" s="63"/>
      <c r="AY463" s="68"/>
      <c r="AZ463" s="69"/>
      <c r="BA463" s="70"/>
      <c r="BB463" s="7"/>
    </row>
    <row r="464" spans="7:54" x14ac:dyDescent="0.15">
      <c r="G464" s="7"/>
      <c r="H464" s="38"/>
      <c r="I464" s="39"/>
      <c r="J464" s="39"/>
      <c r="K464" s="39"/>
      <c r="L464" s="39"/>
      <c r="M464" s="39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1"/>
      <c r="AC464" s="39"/>
      <c r="AD464" s="39"/>
      <c r="AE464" s="39"/>
      <c r="AF464" s="39"/>
      <c r="AG464" s="40"/>
      <c r="AH464" s="40"/>
      <c r="AI464" s="41"/>
      <c r="AJ464" s="41"/>
      <c r="AK464" s="41"/>
      <c r="AL464" s="52"/>
      <c r="AM464" s="53"/>
      <c r="AN464" s="53"/>
      <c r="AO464" s="53"/>
      <c r="AP464" s="53"/>
      <c r="AQ464" s="53"/>
      <c r="AR464" s="54"/>
      <c r="AS464" s="61"/>
      <c r="AT464" s="62"/>
      <c r="AU464" s="62"/>
      <c r="AV464" s="62"/>
      <c r="AW464" s="62"/>
      <c r="AX464" s="63"/>
      <c r="AY464" s="68"/>
      <c r="AZ464" s="69"/>
      <c r="BA464" s="70"/>
      <c r="BB464" s="7"/>
    </row>
    <row r="465" spans="7:54" x14ac:dyDescent="0.15">
      <c r="G465" s="7"/>
      <c r="H465" s="38"/>
      <c r="I465" s="39"/>
      <c r="J465" s="39"/>
      <c r="K465" s="39"/>
      <c r="L465" s="39"/>
      <c r="M465" s="39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1"/>
      <c r="AC465" s="39"/>
      <c r="AD465" s="39"/>
      <c r="AE465" s="39"/>
      <c r="AF465" s="39"/>
      <c r="AG465" s="40"/>
      <c r="AH465" s="40"/>
      <c r="AI465" s="41"/>
      <c r="AJ465" s="41"/>
      <c r="AK465" s="41"/>
      <c r="AL465" s="52"/>
      <c r="AM465" s="53"/>
      <c r="AN465" s="53"/>
      <c r="AO465" s="53"/>
      <c r="AP465" s="53"/>
      <c r="AQ465" s="53"/>
      <c r="AR465" s="54"/>
      <c r="AS465" s="61"/>
      <c r="AT465" s="62"/>
      <c r="AU465" s="62"/>
      <c r="AV465" s="62"/>
      <c r="AW465" s="62"/>
      <c r="AX465" s="63"/>
      <c r="AY465" s="68"/>
      <c r="AZ465" s="69"/>
      <c r="BA465" s="70"/>
      <c r="BB465" s="7"/>
    </row>
    <row r="466" spans="7:54" x14ac:dyDescent="0.15">
      <c r="G466" s="7"/>
      <c r="H466" s="38"/>
      <c r="I466" s="39"/>
      <c r="J466" s="39"/>
      <c r="K466" s="39"/>
      <c r="L466" s="39"/>
      <c r="M466" s="39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1"/>
      <c r="AC466" s="39"/>
      <c r="AD466" s="39"/>
      <c r="AE466" s="39"/>
      <c r="AF466" s="39"/>
      <c r="AG466" s="40"/>
      <c r="AH466" s="40"/>
      <c r="AI466" s="41"/>
      <c r="AJ466" s="41"/>
      <c r="AK466" s="41"/>
      <c r="AL466" s="52"/>
      <c r="AM466" s="53"/>
      <c r="AN466" s="53"/>
      <c r="AO466" s="53"/>
      <c r="AP466" s="53"/>
      <c r="AQ466" s="53"/>
      <c r="AR466" s="54"/>
      <c r="AS466" s="61"/>
      <c r="AT466" s="62"/>
      <c r="AU466" s="62"/>
      <c r="AV466" s="62"/>
      <c r="AW466" s="62"/>
      <c r="AX466" s="63"/>
      <c r="AY466" s="68"/>
      <c r="AZ466" s="69"/>
      <c r="BA466" s="70"/>
      <c r="BB466" s="7"/>
    </row>
    <row r="467" spans="7:54" x14ac:dyDescent="0.15">
      <c r="G467" s="7"/>
      <c r="H467" s="38"/>
      <c r="I467" s="39"/>
      <c r="J467" s="39"/>
      <c r="K467" s="39"/>
      <c r="L467" s="39"/>
      <c r="M467" s="39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1"/>
      <c r="AC467" s="39"/>
      <c r="AD467" s="39"/>
      <c r="AE467" s="39"/>
      <c r="AF467" s="39"/>
      <c r="AG467" s="40"/>
      <c r="AH467" s="40"/>
      <c r="AI467" s="41"/>
      <c r="AJ467" s="41"/>
      <c r="AK467" s="41"/>
      <c r="AL467" s="52"/>
      <c r="AM467" s="53"/>
      <c r="AN467" s="53"/>
      <c r="AO467" s="53"/>
      <c r="AP467" s="53"/>
      <c r="AQ467" s="53"/>
      <c r="AR467" s="54"/>
      <c r="AS467" s="61"/>
      <c r="AT467" s="62"/>
      <c r="AU467" s="62"/>
      <c r="AV467" s="62"/>
      <c r="AW467" s="62"/>
      <c r="AX467" s="63"/>
      <c r="AY467" s="68"/>
      <c r="AZ467" s="69"/>
      <c r="BA467" s="70"/>
      <c r="BB467" s="7"/>
    </row>
    <row r="468" spans="7:54" x14ac:dyDescent="0.15">
      <c r="G468" s="7"/>
      <c r="H468" s="38"/>
      <c r="I468" s="39"/>
      <c r="J468" s="39"/>
      <c r="K468" s="39"/>
      <c r="L468" s="39"/>
      <c r="M468" s="39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1"/>
      <c r="AC468" s="39"/>
      <c r="AD468" s="39"/>
      <c r="AE468" s="39"/>
      <c r="AF468" s="39"/>
      <c r="AG468" s="40"/>
      <c r="AH468" s="40"/>
      <c r="AI468" s="41"/>
      <c r="AJ468" s="41"/>
      <c r="AK468" s="41"/>
      <c r="AL468" s="52"/>
      <c r="AM468" s="53"/>
      <c r="AN468" s="53"/>
      <c r="AO468" s="53"/>
      <c r="AP468" s="53"/>
      <c r="AQ468" s="53"/>
      <c r="AR468" s="54"/>
      <c r="AS468" s="61"/>
      <c r="AT468" s="62"/>
      <c r="AU468" s="62"/>
      <c r="AV468" s="62"/>
      <c r="AW468" s="62"/>
      <c r="AX468" s="63"/>
      <c r="AY468" s="68"/>
      <c r="AZ468" s="69"/>
      <c r="BA468" s="70"/>
      <c r="BB468" s="7"/>
    </row>
    <row r="469" spans="7:54" x14ac:dyDescent="0.15">
      <c r="G469" s="7"/>
      <c r="H469" s="38"/>
      <c r="I469" s="39"/>
      <c r="J469" s="39"/>
      <c r="K469" s="39"/>
      <c r="L469" s="39"/>
      <c r="M469" s="39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1"/>
      <c r="AC469" s="39"/>
      <c r="AD469" s="39"/>
      <c r="AE469" s="39"/>
      <c r="AF469" s="39"/>
      <c r="AG469" s="40"/>
      <c r="AH469" s="40"/>
      <c r="AI469" s="41"/>
      <c r="AJ469" s="41"/>
      <c r="AK469" s="41"/>
      <c r="AL469" s="52"/>
      <c r="AM469" s="53"/>
      <c r="AN469" s="53"/>
      <c r="AO469" s="53"/>
      <c r="AP469" s="53"/>
      <c r="AQ469" s="53"/>
      <c r="AR469" s="54"/>
      <c r="AS469" s="61"/>
      <c r="AT469" s="62"/>
      <c r="AU469" s="62"/>
      <c r="AV469" s="62"/>
      <c r="AW469" s="62"/>
      <c r="AX469" s="63"/>
      <c r="AY469" s="68"/>
      <c r="AZ469" s="69"/>
      <c r="BA469" s="70"/>
      <c r="BB469" s="7"/>
    </row>
    <row r="470" spans="7:54" x14ac:dyDescent="0.15">
      <c r="G470" s="7"/>
      <c r="H470" s="38"/>
      <c r="I470" s="39"/>
      <c r="J470" s="39"/>
      <c r="K470" s="39"/>
      <c r="L470" s="39"/>
      <c r="M470" s="39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1"/>
      <c r="AC470" s="39"/>
      <c r="AD470" s="39"/>
      <c r="AE470" s="39"/>
      <c r="AF470" s="39"/>
      <c r="AG470" s="40"/>
      <c r="AH470" s="40"/>
      <c r="AI470" s="41"/>
      <c r="AJ470" s="41"/>
      <c r="AK470" s="41"/>
      <c r="AL470" s="52"/>
      <c r="AM470" s="53"/>
      <c r="AN470" s="53"/>
      <c r="AO470" s="53"/>
      <c r="AP470" s="53"/>
      <c r="AQ470" s="53"/>
      <c r="AR470" s="54"/>
      <c r="AS470" s="61"/>
      <c r="AT470" s="62"/>
      <c r="AU470" s="62"/>
      <c r="AV470" s="62"/>
      <c r="AW470" s="62"/>
      <c r="AX470" s="63"/>
      <c r="AY470" s="68"/>
      <c r="AZ470" s="69"/>
      <c r="BA470" s="70"/>
      <c r="BB470" s="7"/>
    </row>
    <row r="471" spans="7:54" x14ac:dyDescent="0.15">
      <c r="G471" s="7"/>
      <c r="H471" s="38"/>
      <c r="I471" s="39"/>
      <c r="J471" s="39"/>
      <c r="K471" s="39"/>
      <c r="L471" s="39"/>
      <c r="M471" s="39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1"/>
      <c r="AC471" s="39"/>
      <c r="AD471" s="39"/>
      <c r="AE471" s="39"/>
      <c r="AF471" s="39"/>
      <c r="AG471" s="40"/>
      <c r="AH471" s="40"/>
      <c r="AI471" s="41"/>
      <c r="AJ471" s="41"/>
      <c r="AK471" s="41"/>
      <c r="AL471" s="52"/>
      <c r="AM471" s="53"/>
      <c r="AN471" s="53"/>
      <c r="AO471" s="53"/>
      <c r="AP471" s="53"/>
      <c r="AQ471" s="53"/>
      <c r="AR471" s="54"/>
      <c r="AS471" s="61"/>
      <c r="AT471" s="62"/>
      <c r="AU471" s="62"/>
      <c r="AV471" s="62"/>
      <c r="AW471" s="62"/>
      <c r="AX471" s="63"/>
      <c r="AY471" s="68"/>
      <c r="AZ471" s="69"/>
      <c r="BA471" s="70"/>
      <c r="BB471" s="7"/>
    </row>
    <row r="472" spans="7:54" x14ac:dyDescent="0.15">
      <c r="G472" s="7"/>
      <c r="H472" s="38"/>
      <c r="I472" s="39"/>
      <c r="J472" s="39"/>
      <c r="K472" s="39"/>
      <c r="L472" s="39"/>
      <c r="M472" s="39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1"/>
      <c r="AC472" s="39"/>
      <c r="AD472" s="39"/>
      <c r="AE472" s="39"/>
      <c r="AF472" s="39"/>
      <c r="AG472" s="40"/>
      <c r="AH472" s="40"/>
      <c r="AI472" s="41"/>
      <c r="AJ472" s="41"/>
      <c r="AK472" s="41"/>
      <c r="AL472" s="52"/>
      <c r="AM472" s="53"/>
      <c r="AN472" s="53"/>
      <c r="AO472" s="53"/>
      <c r="AP472" s="53"/>
      <c r="AQ472" s="53"/>
      <c r="AR472" s="54"/>
      <c r="AS472" s="61"/>
      <c r="AT472" s="62"/>
      <c r="AU472" s="62"/>
      <c r="AV472" s="62"/>
      <c r="AW472" s="62"/>
      <c r="AX472" s="63"/>
      <c r="AY472" s="68"/>
      <c r="AZ472" s="69"/>
      <c r="BA472" s="70"/>
      <c r="BB472" s="7"/>
    </row>
    <row r="473" spans="7:54" x14ac:dyDescent="0.15">
      <c r="G473" s="7"/>
      <c r="H473" s="38"/>
      <c r="I473" s="39"/>
      <c r="J473" s="39"/>
      <c r="K473" s="39"/>
      <c r="L473" s="39"/>
      <c r="M473" s="39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1"/>
      <c r="AC473" s="39"/>
      <c r="AD473" s="39"/>
      <c r="AE473" s="39"/>
      <c r="AF473" s="39"/>
      <c r="AG473" s="40"/>
      <c r="AH473" s="40"/>
      <c r="AI473" s="41"/>
      <c r="AJ473" s="41"/>
      <c r="AK473" s="41"/>
      <c r="AL473" s="52"/>
      <c r="AM473" s="53"/>
      <c r="AN473" s="53"/>
      <c r="AO473" s="53"/>
      <c r="AP473" s="53"/>
      <c r="AQ473" s="53"/>
      <c r="AR473" s="54"/>
      <c r="AS473" s="61"/>
      <c r="AT473" s="62"/>
      <c r="AU473" s="62"/>
      <c r="AV473" s="62"/>
      <c r="AW473" s="62"/>
      <c r="AX473" s="63"/>
      <c r="AY473" s="68"/>
      <c r="AZ473" s="69"/>
      <c r="BA473" s="70"/>
      <c r="BB473" s="7"/>
    </row>
    <row r="474" spans="7:54" x14ac:dyDescent="0.15">
      <c r="G474" s="7"/>
      <c r="H474" s="38"/>
      <c r="I474" s="39"/>
      <c r="J474" s="39"/>
      <c r="K474" s="39"/>
      <c r="L474" s="39"/>
      <c r="M474" s="39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1"/>
      <c r="AC474" s="39"/>
      <c r="AD474" s="39"/>
      <c r="AE474" s="39"/>
      <c r="AF474" s="39"/>
      <c r="AG474" s="40"/>
      <c r="AH474" s="40"/>
      <c r="AI474" s="41"/>
      <c r="AJ474" s="41"/>
      <c r="AK474" s="41"/>
      <c r="AL474" s="52"/>
      <c r="AM474" s="53"/>
      <c r="AN474" s="53"/>
      <c r="AO474" s="53"/>
      <c r="AP474" s="53"/>
      <c r="AQ474" s="53"/>
      <c r="AR474" s="54"/>
      <c r="AS474" s="61"/>
      <c r="AT474" s="62"/>
      <c r="AU474" s="62"/>
      <c r="AV474" s="62"/>
      <c r="AW474" s="62"/>
      <c r="AX474" s="63"/>
      <c r="AY474" s="68"/>
      <c r="AZ474" s="69"/>
      <c r="BA474" s="70"/>
      <c r="BB474" s="7"/>
    </row>
    <row r="475" spans="7:54" x14ac:dyDescent="0.15">
      <c r="G475" s="7"/>
      <c r="H475" s="38"/>
      <c r="I475" s="39"/>
      <c r="J475" s="39"/>
      <c r="K475" s="39"/>
      <c r="L475" s="39"/>
      <c r="M475" s="39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1"/>
      <c r="AC475" s="39"/>
      <c r="AD475" s="39"/>
      <c r="AE475" s="39"/>
      <c r="AF475" s="39"/>
      <c r="AG475" s="40"/>
      <c r="AH475" s="40"/>
      <c r="AI475" s="41"/>
      <c r="AJ475" s="41"/>
      <c r="AK475" s="41"/>
      <c r="AL475" s="52"/>
      <c r="AM475" s="53"/>
      <c r="AN475" s="53"/>
      <c r="AO475" s="53"/>
      <c r="AP475" s="53"/>
      <c r="AQ475" s="53"/>
      <c r="AR475" s="54"/>
      <c r="AS475" s="61"/>
      <c r="AT475" s="62"/>
      <c r="AU475" s="62"/>
      <c r="AV475" s="62"/>
      <c r="AW475" s="62"/>
      <c r="AX475" s="63"/>
      <c r="AY475" s="68"/>
      <c r="AZ475" s="69"/>
      <c r="BA475" s="70"/>
      <c r="BB475" s="7"/>
    </row>
    <row r="476" spans="7:54" x14ac:dyDescent="0.15">
      <c r="G476" s="7"/>
      <c r="H476" s="38"/>
      <c r="I476" s="39"/>
      <c r="J476" s="39"/>
      <c r="K476" s="39"/>
      <c r="L476" s="39"/>
      <c r="M476" s="39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1"/>
      <c r="AC476" s="39"/>
      <c r="AD476" s="39"/>
      <c r="AE476" s="39"/>
      <c r="AF476" s="39"/>
      <c r="AG476" s="40"/>
      <c r="AH476" s="40"/>
      <c r="AI476" s="41"/>
      <c r="AJ476" s="41"/>
      <c r="AK476" s="41"/>
      <c r="AL476" s="52"/>
      <c r="AM476" s="53"/>
      <c r="AN476" s="53"/>
      <c r="AO476" s="53"/>
      <c r="AP476" s="53"/>
      <c r="AQ476" s="53"/>
      <c r="AR476" s="54"/>
      <c r="AS476" s="61"/>
      <c r="AT476" s="62"/>
      <c r="AU476" s="62"/>
      <c r="AV476" s="62"/>
      <c r="AW476" s="62"/>
      <c r="AX476" s="63"/>
      <c r="AY476" s="68"/>
      <c r="AZ476" s="69"/>
      <c r="BA476" s="70"/>
      <c r="BB476" s="7"/>
    </row>
    <row r="477" spans="7:54" x14ac:dyDescent="0.15">
      <c r="G477" s="7"/>
      <c r="H477" s="38"/>
      <c r="I477" s="39"/>
      <c r="J477" s="39"/>
      <c r="K477" s="39"/>
      <c r="L477" s="39"/>
      <c r="M477" s="39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1"/>
      <c r="AC477" s="39"/>
      <c r="AD477" s="39"/>
      <c r="AE477" s="39"/>
      <c r="AF477" s="39"/>
      <c r="AG477" s="40"/>
      <c r="AH477" s="40"/>
      <c r="AI477" s="41"/>
      <c r="AJ477" s="41"/>
      <c r="AK477" s="41"/>
      <c r="AL477" s="52"/>
      <c r="AM477" s="53"/>
      <c r="AN477" s="53"/>
      <c r="AO477" s="53"/>
      <c r="AP477" s="53"/>
      <c r="AQ477" s="53"/>
      <c r="AR477" s="54"/>
      <c r="AS477" s="61"/>
      <c r="AT477" s="62"/>
      <c r="AU477" s="62"/>
      <c r="AV477" s="62"/>
      <c r="AW477" s="62"/>
      <c r="AX477" s="63"/>
      <c r="AY477" s="68"/>
      <c r="AZ477" s="69"/>
      <c r="BA477" s="70"/>
      <c r="BB477" s="7"/>
    </row>
    <row r="478" spans="7:54" x14ac:dyDescent="0.15">
      <c r="G478" s="7"/>
      <c r="H478" s="38"/>
      <c r="I478" s="39"/>
      <c r="J478" s="39"/>
      <c r="K478" s="39"/>
      <c r="L478" s="39"/>
      <c r="M478" s="39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1"/>
      <c r="AC478" s="39"/>
      <c r="AD478" s="39"/>
      <c r="AE478" s="39"/>
      <c r="AF478" s="39"/>
      <c r="AG478" s="40"/>
      <c r="AH478" s="40"/>
      <c r="AI478" s="41"/>
      <c r="AJ478" s="41"/>
      <c r="AK478" s="41"/>
      <c r="AL478" s="52"/>
      <c r="AM478" s="53"/>
      <c r="AN478" s="53"/>
      <c r="AO478" s="53"/>
      <c r="AP478" s="53"/>
      <c r="AQ478" s="53"/>
      <c r="AR478" s="54"/>
      <c r="AS478" s="61"/>
      <c r="AT478" s="62"/>
      <c r="AU478" s="62"/>
      <c r="AV478" s="62"/>
      <c r="AW478" s="62"/>
      <c r="AX478" s="63"/>
      <c r="AY478" s="68"/>
      <c r="AZ478" s="69"/>
      <c r="BA478" s="70"/>
      <c r="BB478" s="7"/>
    </row>
    <row r="479" spans="7:54" x14ac:dyDescent="0.15">
      <c r="G479" s="7"/>
      <c r="H479" s="38"/>
      <c r="I479" s="39"/>
      <c r="J479" s="39"/>
      <c r="K479" s="39"/>
      <c r="L479" s="39"/>
      <c r="M479" s="39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1"/>
      <c r="AC479" s="39"/>
      <c r="AD479" s="39"/>
      <c r="AE479" s="39"/>
      <c r="AF479" s="39"/>
      <c r="AG479" s="40"/>
      <c r="AH479" s="40"/>
      <c r="AI479" s="41"/>
      <c r="AJ479" s="41"/>
      <c r="AK479" s="41"/>
      <c r="AL479" s="52"/>
      <c r="AM479" s="53"/>
      <c r="AN479" s="53"/>
      <c r="AO479" s="53"/>
      <c r="AP479" s="53"/>
      <c r="AQ479" s="53"/>
      <c r="AR479" s="54"/>
      <c r="AS479" s="61"/>
      <c r="AT479" s="62"/>
      <c r="AU479" s="62"/>
      <c r="AV479" s="62"/>
      <c r="AW479" s="62"/>
      <c r="AX479" s="63"/>
      <c r="AY479" s="68"/>
      <c r="AZ479" s="69"/>
      <c r="BA479" s="70"/>
      <c r="BB479" s="7"/>
    </row>
    <row r="480" spans="7:54" x14ac:dyDescent="0.15">
      <c r="G480" s="7"/>
      <c r="H480" s="38"/>
      <c r="I480" s="39"/>
      <c r="J480" s="39"/>
      <c r="K480" s="39"/>
      <c r="L480" s="39"/>
      <c r="M480" s="39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1"/>
      <c r="AC480" s="39"/>
      <c r="AD480" s="39"/>
      <c r="AE480" s="39"/>
      <c r="AF480" s="39"/>
      <c r="AG480" s="40"/>
      <c r="AH480" s="40"/>
      <c r="AI480" s="41"/>
      <c r="AJ480" s="41"/>
      <c r="AK480" s="41"/>
      <c r="AL480" s="52"/>
      <c r="AM480" s="53"/>
      <c r="AN480" s="53"/>
      <c r="AO480" s="53"/>
      <c r="AP480" s="53"/>
      <c r="AQ480" s="53"/>
      <c r="AR480" s="54"/>
      <c r="AS480" s="61"/>
      <c r="AT480" s="62"/>
      <c r="AU480" s="62"/>
      <c r="AV480" s="62"/>
      <c r="AW480" s="62"/>
      <c r="AX480" s="63"/>
      <c r="AY480" s="68"/>
      <c r="AZ480" s="69"/>
      <c r="BA480" s="70"/>
      <c r="BB480" s="7"/>
    </row>
    <row r="481" spans="7:54" x14ac:dyDescent="0.15">
      <c r="G481" s="7"/>
      <c r="H481" s="38"/>
      <c r="I481" s="39"/>
      <c r="J481" s="39"/>
      <c r="K481" s="39"/>
      <c r="L481" s="39"/>
      <c r="M481" s="39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1"/>
      <c r="AC481" s="39"/>
      <c r="AD481" s="39"/>
      <c r="AE481" s="39"/>
      <c r="AF481" s="39"/>
      <c r="AG481" s="40"/>
      <c r="AH481" s="40"/>
      <c r="AI481" s="41"/>
      <c r="AJ481" s="41"/>
      <c r="AK481" s="41"/>
      <c r="AL481" s="52"/>
      <c r="AM481" s="53"/>
      <c r="AN481" s="53"/>
      <c r="AO481" s="53"/>
      <c r="AP481" s="53"/>
      <c r="AQ481" s="53"/>
      <c r="AR481" s="54"/>
      <c r="AS481" s="61"/>
      <c r="AT481" s="62"/>
      <c r="AU481" s="62"/>
      <c r="AV481" s="62"/>
      <c r="AW481" s="62"/>
      <c r="AX481" s="63"/>
      <c r="AY481" s="68"/>
      <c r="AZ481" s="69"/>
      <c r="BA481" s="70"/>
      <c r="BB481" s="7"/>
    </row>
    <row r="482" spans="7:54" x14ac:dyDescent="0.15">
      <c r="G482" s="7"/>
      <c r="H482" s="38"/>
      <c r="I482" s="39"/>
      <c r="J482" s="39"/>
      <c r="K482" s="39"/>
      <c r="L482" s="39"/>
      <c r="M482" s="39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1"/>
      <c r="AC482" s="39"/>
      <c r="AD482" s="39"/>
      <c r="AE482" s="39"/>
      <c r="AF482" s="39"/>
      <c r="AG482" s="40"/>
      <c r="AH482" s="40"/>
      <c r="AI482" s="41"/>
      <c r="AJ482" s="41"/>
      <c r="AK482" s="41"/>
      <c r="AL482" s="52"/>
      <c r="AM482" s="53"/>
      <c r="AN482" s="53"/>
      <c r="AO482" s="53"/>
      <c r="AP482" s="53"/>
      <c r="AQ482" s="53"/>
      <c r="AR482" s="54"/>
      <c r="AS482" s="61"/>
      <c r="AT482" s="62"/>
      <c r="AU482" s="62"/>
      <c r="AV482" s="62"/>
      <c r="AW482" s="62"/>
      <c r="AX482" s="63"/>
      <c r="AY482" s="68"/>
      <c r="AZ482" s="69"/>
      <c r="BA482" s="70"/>
      <c r="BB482" s="7"/>
    </row>
    <row r="483" spans="7:54" x14ac:dyDescent="0.15">
      <c r="G483" s="7"/>
      <c r="H483" s="38"/>
      <c r="I483" s="39"/>
      <c r="J483" s="39"/>
      <c r="K483" s="39"/>
      <c r="L483" s="39"/>
      <c r="M483" s="39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1"/>
      <c r="AC483" s="39"/>
      <c r="AD483" s="39"/>
      <c r="AE483" s="39"/>
      <c r="AF483" s="39"/>
      <c r="AG483" s="40"/>
      <c r="AH483" s="40"/>
      <c r="AI483" s="41"/>
      <c r="AJ483" s="41"/>
      <c r="AK483" s="41"/>
      <c r="AL483" s="52"/>
      <c r="AM483" s="53"/>
      <c r="AN483" s="53"/>
      <c r="AO483" s="53"/>
      <c r="AP483" s="53"/>
      <c r="AQ483" s="53"/>
      <c r="AR483" s="54"/>
      <c r="AS483" s="61"/>
      <c r="AT483" s="62"/>
      <c r="AU483" s="62"/>
      <c r="AV483" s="62"/>
      <c r="AW483" s="62"/>
      <c r="AX483" s="63"/>
      <c r="AY483" s="68"/>
      <c r="AZ483" s="69"/>
      <c r="BA483" s="70"/>
      <c r="BB483" s="7"/>
    </row>
    <row r="484" spans="7:54" x14ac:dyDescent="0.15">
      <c r="G484" s="7"/>
      <c r="H484" s="38"/>
      <c r="I484" s="39"/>
      <c r="J484" s="39"/>
      <c r="K484" s="39"/>
      <c r="L484" s="39"/>
      <c r="M484" s="39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1"/>
      <c r="AC484" s="39"/>
      <c r="AD484" s="39"/>
      <c r="AE484" s="39"/>
      <c r="AF484" s="39"/>
      <c r="AG484" s="40"/>
      <c r="AH484" s="40"/>
      <c r="AI484" s="41"/>
      <c r="AJ484" s="41"/>
      <c r="AK484" s="41"/>
      <c r="AL484" s="52"/>
      <c r="AM484" s="53"/>
      <c r="AN484" s="53"/>
      <c r="AO484" s="53"/>
      <c r="AP484" s="53"/>
      <c r="AQ484" s="53"/>
      <c r="AR484" s="54"/>
      <c r="AS484" s="61"/>
      <c r="AT484" s="62"/>
      <c r="AU484" s="62"/>
      <c r="AV484" s="62"/>
      <c r="AW484" s="62"/>
      <c r="AX484" s="63"/>
      <c r="AY484" s="68"/>
      <c r="AZ484" s="69"/>
      <c r="BA484" s="70"/>
      <c r="BB484" s="7"/>
    </row>
    <row r="485" spans="7:54" x14ac:dyDescent="0.15">
      <c r="G485" s="7"/>
      <c r="H485" s="38"/>
      <c r="I485" s="39"/>
      <c r="J485" s="39"/>
      <c r="K485" s="39"/>
      <c r="L485" s="39"/>
      <c r="M485" s="39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1"/>
      <c r="AC485" s="39"/>
      <c r="AD485" s="39"/>
      <c r="AE485" s="39"/>
      <c r="AF485" s="39"/>
      <c r="AG485" s="40"/>
      <c r="AH485" s="40"/>
      <c r="AI485" s="41"/>
      <c r="AJ485" s="41"/>
      <c r="AK485" s="41"/>
      <c r="AL485" s="52"/>
      <c r="AM485" s="53"/>
      <c r="AN485" s="53"/>
      <c r="AO485" s="53"/>
      <c r="AP485" s="53"/>
      <c r="AQ485" s="53"/>
      <c r="AR485" s="54"/>
      <c r="AS485" s="61"/>
      <c r="AT485" s="62"/>
      <c r="AU485" s="62"/>
      <c r="AV485" s="62"/>
      <c r="AW485" s="62"/>
      <c r="AX485" s="63"/>
      <c r="AY485" s="68"/>
      <c r="AZ485" s="69"/>
      <c r="BA485" s="70"/>
      <c r="BB485" s="7"/>
    </row>
    <row r="486" spans="7:54" x14ac:dyDescent="0.15">
      <c r="G486" s="7"/>
      <c r="H486" s="38"/>
      <c r="I486" s="39"/>
      <c r="J486" s="39"/>
      <c r="K486" s="39"/>
      <c r="L486" s="39"/>
      <c r="M486" s="39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1"/>
      <c r="AC486" s="39"/>
      <c r="AD486" s="39"/>
      <c r="AE486" s="39"/>
      <c r="AF486" s="39"/>
      <c r="AG486" s="40"/>
      <c r="AH486" s="40"/>
      <c r="AI486" s="41"/>
      <c r="AJ486" s="41"/>
      <c r="AK486" s="41"/>
      <c r="AL486" s="52"/>
      <c r="AM486" s="53"/>
      <c r="AN486" s="53"/>
      <c r="AO486" s="53"/>
      <c r="AP486" s="53"/>
      <c r="AQ486" s="53"/>
      <c r="AR486" s="54"/>
      <c r="AS486" s="61"/>
      <c r="AT486" s="62"/>
      <c r="AU486" s="62"/>
      <c r="AV486" s="62"/>
      <c r="AW486" s="62"/>
      <c r="AX486" s="63"/>
      <c r="AY486" s="68"/>
      <c r="AZ486" s="69"/>
      <c r="BA486" s="70"/>
      <c r="BB486" s="7"/>
    </row>
    <row r="487" spans="7:54" x14ac:dyDescent="0.15">
      <c r="G487" s="7"/>
      <c r="H487" s="38"/>
      <c r="I487" s="39"/>
      <c r="J487" s="39"/>
      <c r="K487" s="39"/>
      <c r="L487" s="39"/>
      <c r="M487" s="39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1"/>
      <c r="AC487" s="39"/>
      <c r="AD487" s="39"/>
      <c r="AE487" s="39"/>
      <c r="AF487" s="39"/>
      <c r="AG487" s="40"/>
      <c r="AH487" s="40"/>
      <c r="AI487" s="41"/>
      <c r="AJ487" s="41"/>
      <c r="AK487" s="41"/>
      <c r="AL487" s="52"/>
      <c r="AM487" s="53"/>
      <c r="AN487" s="53"/>
      <c r="AO487" s="53"/>
      <c r="AP487" s="53"/>
      <c r="AQ487" s="53"/>
      <c r="AR487" s="54"/>
      <c r="AS487" s="61"/>
      <c r="AT487" s="62"/>
      <c r="AU487" s="62"/>
      <c r="AV487" s="62"/>
      <c r="AW487" s="62"/>
      <c r="AX487" s="63"/>
      <c r="AY487" s="68"/>
      <c r="AZ487" s="69"/>
      <c r="BA487" s="70"/>
      <c r="BB487" s="7"/>
    </row>
    <row r="488" spans="7:54" x14ac:dyDescent="0.15">
      <c r="G488" s="7"/>
      <c r="H488" s="38"/>
      <c r="I488" s="39"/>
      <c r="J488" s="39"/>
      <c r="K488" s="39"/>
      <c r="L488" s="39"/>
      <c r="M488" s="39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1"/>
      <c r="AC488" s="39"/>
      <c r="AD488" s="39"/>
      <c r="AE488" s="39"/>
      <c r="AF488" s="39"/>
      <c r="AG488" s="40"/>
      <c r="AH488" s="40"/>
      <c r="AI488" s="41"/>
      <c r="AJ488" s="41"/>
      <c r="AK488" s="41"/>
      <c r="AL488" s="52"/>
      <c r="AM488" s="53"/>
      <c r="AN488" s="53"/>
      <c r="AO488" s="53"/>
      <c r="AP488" s="53"/>
      <c r="AQ488" s="53"/>
      <c r="AR488" s="54"/>
      <c r="AS488" s="61"/>
      <c r="AT488" s="62"/>
      <c r="AU488" s="62"/>
      <c r="AV488" s="62"/>
      <c r="AW488" s="62"/>
      <c r="AX488" s="63"/>
      <c r="AY488" s="68"/>
      <c r="AZ488" s="69"/>
      <c r="BA488" s="70"/>
      <c r="BB488" s="7"/>
    </row>
    <row r="489" spans="7:54" x14ac:dyDescent="0.15">
      <c r="G489" s="7"/>
      <c r="H489" s="38"/>
      <c r="I489" s="39"/>
      <c r="J489" s="39"/>
      <c r="K489" s="39"/>
      <c r="L489" s="39"/>
      <c r="M489" s="39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1"/>
      <c r="AC489" s="39"/>
      <c r="AD489" s="39"/>
      <c r="AE489" s="39"/>
      <c r="AF489" s="39"/>
      <c r="AG489" s="40"/>
      <c r="AH489" s="40"/>
      <c r="AI489" s="41"/>
      <c r="AJ489" s="41"/>
      <c r="AK489" s="41"/>
      <c r="AL489" s="52"/>
      <c r="AM489" s="53"/>
      <c r="AN489" s="53"/>
      <c r="AO489" s="53"/>
      <c r="AP489" s="53"/>
      <c r="AQ489" s="53"/>
      <c r="AR489" s="54"/>
      <c r="AS489" s="61"/>
      <c r="AT489" s="62"/>
      <c r="AU489" s="62"/>
      <c r="AV489" s="62"/>
      <c r="AW489" s="62"/>
      <c r="AX489" s="63"/>
      <c r="AY489" s="68"/>
      <c r="AZ489" s="69"/>
      <c r="BA489" s="70"/>
      <c r="BB489" s="7"/>
    </row>
    <row r="490" spans="7:54" x14ac:dyDescent="0.15">
      <c r="G490" s="7"/>
      <c r="H490" s="38"/>
      <c r="I490" s="39"/>
      <c r="J490" s="39"/>
      <c r="K490" s="39"/>
      <c r="L490" s="39"/>
      <c r="M490" s="39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1"/>
      <c r="AC490" s="39"/>
      <c r="AD490" s="39"/>
      <c r="AE490" s="39"/>
      <c r="AF490" s="39"/>
      <c r="AG490" s="40"/>
      <c r="AH490" s="40"/>
      <c r="AI490" s="41"/>
      <c r="AJ490" s="41"/>
      <c r="AK490" s="41"/>
      <c r="AL490" s="52"/>
      <c r="AM490" s="53"/>
      <c r="AN490" s="53"/>
      <c r="AO490" s="53"/>
      <c r="AP490" s="53"/>
      <c r="AQ490" s="53"/>
      <c r="AR490" s="54"/>
      <c r="AS490" s="61"/>
      <c r="AT490" s="62"/>
      <c r="AU490" s="62"/>
      <c r="AV490" s="62"/>
      <c r="AW490" s="62"/>
      <c r="AX490" s="63"/>
      <c r="AY490" s="68"/>
      <c r="AZ490" s="69"/>
      <c r="BA490" s="70"/>
      <c r="BB490" s="7"/>
    </row>
    <row r="491" spans="7:54" x14ac:dyDescent="0.15">
      <c r="G491" s="7"/>
      <c r="H491" s="38"/>
      <c r="I491" s="39"/>
      <c r="J491" s="39"/>
      <c r="K491" s="39"/>
      <c r="L491" s="39"/>
      <c r="M491" s="39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1"/>
      <c r="AC491" s="39"/>
      <c r="AD491" s="39"/>
      <c r="AE491" s="39"/>
      <c r="AF491" s="39"/>
      <c r="AG491" s="40"/>
      <c r="AH491" s="40"/>
      <c r="AI491" s="41"/>
      <c r="AJ491" s="41"/>
      <c r="AK491" s="41"/>
      <c r="AL491" s="52"/>
      <c r="AM491" s="53"/>
      <c r="AN491" s="53"/>
      <c r="AO491" s="53"/>
      <c r="AP491" s="53"/>
      <c r="AQ491" s="53"/>
      <c r="AR491" s="54"/>
      <c r="AS491" s="61"/>
      <c r="AT491" s="62"/>
      <c r="AU491" s="62"/>
      <c r="AV491" s="62"/>
      <c r="AW491" s="62"/>
      <c r="AX491" s="63"/>
      <c r="AY491" s="68"/>
      <c r="AZ491" s="69"/>
      <c r="BA491" s="70"/>
      <c r="BB491" s="7"/>
    </row>
    <row r="492" spans="7:54" x14ac:dyDescent="0.15">
      <c r="G492" s="7"/>
      <c r="H492" s="38"/>
      <c r="I492" s="39"/>
      <c r="J492" s="39"/>
      <c r="K492" s="39"/>
      <c r="L492" s="39"/>
      <c r="M492" s="39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1"/>
      <c r="AC492" s="39"/>
      <c r="AD492" s="39"/>
      <c r="AE492" s="39"/>
      <c r="AF492" s="39"/>
      <c r="AG492" s="40"/>
      <c r="AH492" s="40"/>
      <c r="AI492" s="41"/>
      <c r="AJ492" s="41"/>
      <c r="AK492" s="41"/>
      <c r="AL492" s="52"/>
      <c r="AM492" s="53"/>
      <c r="AN492" s="53"/>
      <c r="AO492" s="53"/>
      <c r="AP492" s="53"/>
      <c r="AQ492" s="53"/>
      <c r="AR492" s="54"/>
      <c r="AS492" s="61"/>
      <c r="AT492" s="62"/>
      <c r="AU492" s="62"/>
      <c r="AV492" s="62"/>
      <c r="AW492" s="62"/>
      <c r="AX492" s="63"/>
      <c r="AY492" s="68"/>
      <c r="AZ492" s="69"/>
      <c r="BA492" s="70"/>
      <c r="BB492" s="7"/>
    </row>
    <row r="493" spans="7:54" x14ac:dyDescent="0.15">
      <c r="G493" s="7"/>
      <c r="H493" s="38"/>
      <c r="I493" s="39"/>
      <c r="J493" s="39"/>
      <c r="K493" s="39"/>
      <c r="L493" s="39"/>
      <c r="M493" s="39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1"/>
      <c r="AC493" s="39"/>
      <c r="AD493" s="39"/>
      <c r="AE493" s="39"/>
      <c r="AF493" s="39"/>
      <c r="AG493" s="40"/>
      <c r="AH493" s="40"/>
      <c r="AI493" s="41"/>
      <c r="AJ493" s="41"/>
      <c r="AK493" s="41"/>
      <c r="AL493" s="52"/>
      <c r="AM493" s="53"/>
      <c r="AN493" s="53"/>
      <c r="AO493" s="53"/>
      <c r="AP493" s="53"/>
      <c r="AQ493" s="53"/>
      <c r="AR493" s="54"/>
      <c r="AS493" s="61"/>
      <c r="AT493" s="62"/>
      <c r="AU493" s="62"/>
      <c r="AV493" s="62"/>
      <c r="AW493" s="62"/>
      <c r="AX493" s="63"/>
      <c r="AY493" s="68"/>
      <c r="AZ493" s="69"/>
      <c r="BA493" s="70"/>
      <c r="BB493" s="7"/>
    </row>
    <row r="494" spans="7:54" x14ac:dyDescent="0.15">
      <c r="G494" s="7"/>
      <c r="H494" s="38"/>
      <c r="I494" s="39"/>
      <c r="J494" s="39"/>
      <c r="K494" s="39"/>
      <c r="L494" s="39"/>
      <c r="M494" s="39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1"/>
      <c r="AC494" s="39"/>
      <c r="AD494" s="39"/>
      <c r="AE494" s="39"/>
      <c r="AF494" s="39"/>
      <c r="AG494" s="40"/>
      <c r="AH494" s="40"/>
      <c r="AI494" s="41"/>
      <c r="AJ494" s="41"/>
      <c r="AK494" s="41"/>
      <c r="AL494" s="52"/>
      <c r="AM494" s="53"/>
      <c r="AN494" s="53"/>
      <c r="AO494" s="53"/>
      <c r="AP494" s="53"/>
      <c r="AQ494" s="53"/>
      <c r="AR494" s="54"/>
      <c r="AS494" s="61"/>
      <c r="AT494" s="62"/>
      <c r="AU494" s="62"/>
      <c r="AV494" s="62"/>
      <c r="AW494" s="62"/>
      <c r="AX494" s="63"/>
      <c r="AY494" s="68"/>
      <c r="AZ494" s="69"/>
      <c r="BA494" s="70"/>
      <c r="BB494" s="7"/>
    </row>
    <row r="495" spans="7:54" x14ac:dyDescent="0.15">
      <c r="G495" s="7"/>
      <c r="H495" s="38"/>
      <c r="I495" s="39"/>
      <c r="J495" s="39"/>
      <c r="K495" s="39"/>
      <c r="L495" s="39"/>
      <c r="M495" s="39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1"/>
      <c r="AC495" s="39"/>
      <c r="AD495" s="39"/>
      <c r="AE495" s="39"/>
      <c r="AF495" s="39"/>
      <c r="AG495" s="40"/>
      <c r="AH495" s="40"/>
      <c r="AI495" s="41"/>
      <c r="AJ495" s="41"/>
      <c r="AK495" s="41"/>
      <c r="AL495" s="52"/>
      <c r="AM495" s="53"/>
      <c r="AN495" s="53"/>
      <c r="AO495" s="53"/>
      <c r="AP495" s="53"/>
      <c r="AQ495" s="53"/>
      <c r="AR495" s="54"/>
      <c r="AS495" s="61"/>
      <c r="AT495" s="62"/>
      <c r="AU495" s="62"/>
      <c r="AV495" s="62"/>
      <c r="AW495" s="62"/>
      <c r="AX495" s="63"/>
      <c r="AY495" s="68"/>
      <c r="AZ495" s="69"/>
      <c r="BA495" s="70"/>
      <c r="BB495" s="7"/>
    </row>
    <row r="496" spans="7:54" x14ac:dyDescent="0.15">
      <c r="G496" s="7"/>
      <c r="H496" s="38"/>
      <c r="I496" s="39"/>
      <c r="J496" s="39"/>
      <c r="K496" s="39"/>
      <c r="L496" s="39"/>
      <c r="M496" s="39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1"/>
      <c r="AC496" s="39"/>
      <c r="AD496" s="39"/>
      <c r="AE496" s="39"/>
      <c r="AF496" s="39"/>
      <c r="AG496" s="40"/>
      <c r="AH496" s="40"/>
      <c r="AI496" s="41"/>
      <c r="AJ496" s="41"/>
      <c r="AK496" s="41"/>
      <c r="AL496" s="52"/>
      <c r="AM496" s="53"/>
      <c r="AN496" s="53"/>
      <c r="AO496" s="53"/>
      <c r="AP496" s="53"/>
      <c r="AQ496" s="53"/>
      <c r="AR496" s="54"/>
      <c r="AS496" s="61"/>
      <c r="AT496" s="62"/>
      <c r="AU496" s="62"/>
      <c r="AV496" s="62"/>
      <c r="AW496" s="62"/>
      <c r="AX496" s="63"/>
      <c r="AY496" s="68"/>
      <c r="AZ496" s="69"/>
      <c r="BA496" s="70"/>
      <c r="BB496" s="7"/>
    </row>
    <row r="497" spans="7:54" x14ac:dyDescent="0.15">
      <c r="G497" s="7"/>
      <c r="H497" s="38"/>
      <c r="I497" s="39"/>
      <c r="J497" s="39"/>
      <c r="K497" s="39"/>
      <c r="L497" s="39"/>
      <c r="M497" s="39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1"/>
      <c r="AC497" s="39"/>
      <c r="AD497" s="39"/>
      <c r="AE497" s="39"/>
      <c r="AF497" s="39"/>
      <c r="AG497" s="40"/>
      <c r="AH497" s="40"/>
      <c r="AI497" s="41"/>
      <c r="AJ497" s="41"/>
      <c r="AK497" s="41"/>
      <c r="AL497" s="52"/>
      <c r="AM497" s="53"/>
      <c r="AN497" s="53"/>
      <c r="AO497" s="53"/>
      <c r="AP497" s="53"/>
      <c r="AQ497" s="53"/>
      <c r="AR497" s="54"/>
      <c r="AS497" s="61"/>
      <c r="AT497" s="62"/>
      <c r="AU497" s="62"/>
      <c r="AV497" s="62"/>
      <c r="AW497" s="62"/>
      <c r="AX497" s="63"/>
      <c r="AY497" s="68"/>
      <c r="AZ497" s="69"/>
      <c r="BA497" s="70"/>
      <c r="BB497" s="7"/>
    </row>
    <row r="498" spans="7:54" x14ac:dyDescent="0.15">
      <c r="G498" s="7"/>
      <c r="H498" s="38"/>
      <c r="I498" s="39"/>
      <c r="J498" s="39"/>
      <c r="K498" s="39"/>
      <c r="L498" s="39"/>
      <c r="M498" s="39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1"/>
      <c r="AC498" s="39"/>
      <c r="AD498" s="39"/>
      <c r="AE498" s="39"/>
      <c r="AF498" s="39"/>
      <c r="AG498" s="40"/>
      <c r="AH498" s="40"/>
      <c r="AI498" s="41"/>
      <c r="AJ498" s="41"/>
      <c r="AK498" s="41"/>
      <c r="AL498" s="52"/>
      <c r="AM498" s="53"/>
      <c r="AN498" s="53"/>
      <c r="AO498" s="53"/>
      <c r="AP498" s="53"/>
      <c r="AQ498" s="53"/>
      <c r="AR498" s="54"/>
      <c r="AS498" s="61"/>
      <c r="AT498" s="62"/>
      <c r="AU498" s="62"/>
      <c r="AV498" s="62"/>
      <c r="AW498" s="62"/>
      <c r="AX498" s="63"/>
      <c r="AY498" s="68"/>
      <c r="AZ498" s="69"/>
      <c r="BA498" s="70"/>
      <c r="BB498" s="7"/>
    </row>
    <row r="499" spans="7:54" x14ac:dyDescent="0.15">
      <c r="G499" s="7"/>
      <c r="H499" s="38"/>
      <c r="I499" s="39"/>
      <c r="J499" s="39"/>
      <c r="K499" s="39"/>
      <c r="L499" s="39"/>
      <c r="M499" s="39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1"/>
      <c r="AC499" s="39"/>
      <c r="AD499" s="39"/>
      <c r="AE499" s="39"/>
      <c r="AF499" s="39"/>
      <c r="AG499" s="40"/>
      <c r="AH499" s="40"/>
      <c r="AI499" s="41"/>
      <c r="AJ499" s="41"/>
      <c r="AK499" s="41"/>
      <c r="AL499" s="52"/>
      <c r="AM499" s="53"/>
      <c r="AN499" s="53"/>
      <c r="AO499" s="53"/>
      <c r="AP499" s="53"/>
      <c r="AQ499" s="53"/>
      <c r="AR499" s="54"/>
      <c r="AS499" s="61"/>
      <c r="AT499" s="62"/>
      <c r="AU499" s="62"/>
      <c r="AV499" s="62"/>
      <c r="AW499" s="62"/>
      <c r="AX499" s="63"/>
      <c r="AY499" s="68"/>
      <c r="AZ499" s="69"/>
      <c r="BA499" s="70"/>
      <c r="BB499" s="7"/>
    </row>
    <row r="500" spans="7:54" x14ac:dyDescent="0.15">
      <c r="G500" s="7"/>
      <c r="H500" s="38"/>
      <c r="I500" s="39"/>
      <c r="J500" s="39"/>
      <c r="K500" s="39"/>
      <c r="L500" s="39"/>
      <c r="M500" s="39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1"/>
      <c r="AC500" s="39"/>
      <c r="AD500" s="39"/>
      <c r="AE500" s="39"/>
      <c r="AF500" s="39"/>
      <c r="AG500" s="40"/>
      <c r="AH500" s="40"/>
      <c r="AI500" s="41"/>
      <c r="AJ500" s="41"/>
      <c r="AK500" s="41"/>
      <c r="AL500" s="52"/>
      <c r="AM500" s="53"/>
      <c r="AN500" s="53"/>
      <c r="AO500" s="53"/>
      <c r="AP500" s="53"/>
      <c r="AQ500" s="53"/>
      <c r="AR500" s="54"/>
      <c r="AS500" s="61"/>
      <c r="AT500" s="62"/>
      <c r="AU500" s="62"/>
      <c r="AV500" s="62"/>
      <c r="AW500" s="62"/>
      <c r="AX500" s="63"/>
      <c r="AY500" s="68"/>
      <c r="AZ500" s="69"/>
      <c r="BA500" s="70"/>
      <c r="BB500" s="7"/>
    </row>
    <row r="501" spans="7:54" x14ac:dyDescent="0.15">
      <c r="G501" s="7"/>
      <c r="H501" s="38"/>
      <c r="I501" s="39"/>
      <c r="J501" s="39"/>
      <c r="K501" s="39"/>
      <c r="L501" s="39"/>
      <c r="M501" s="39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1"/>
      <c r="AC501" s="39"/>
      <c r="AD501" s="39"/>
      <c r="AE501" s="39"/>
      <c r="AF501" s="39"/>
      <c r="AG501" s="40"/>
      <c r="AH501" s="40"/>
      <c r="AI501" s="41"/>
      <c r="AJ501" s="41"/>
      <c r="AK501" s="41"/>
      <c r="AL501" s="52"/>
      <c r="AM501" s="53"/>
      <c r="AN501" s="53"/>
      <c r="AO501" s="53"/>
      <c r="AP501" s="53"/>
      <c r="AQ501" s="53"/>
      <c r="AR501" s="54"/>
      <c r="AS501" s="61"/>
      <c r="AT501" s="62"/>
      <c r="AU501" s="62"/>
      <c r="AV501" s="62"/>
      <c r="AW501" s="62"/>
      <c r="AX501" s="63"/>
      <c r="AY501" s="68"/>
      <c r="AZ501" s="69"/>
      <c r="BA501" s="70"/>
      <c r="BB501" s="7"/>
    </row>
    <row r="502" spans="7:54" x14ac:dyDescent="0.15">
      <c r="G502" s="7"/>
      <c r="H502" s="38"/>
      <c r="I502" s="39"/>
      <c r="J502" s="39"/>
      <c r="K502" s="39"/>
      <c r="L502" s="39"/>
      <c r="M502" s="39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1"/>
      <c r="AC502" s="39"/>
      <c r="AD502" s="39"/>
      <c r="AE502" s="39"/>
      <c r="AF502" s="39"/>
      <c r="AG502" s="40"/>
      <c r="AH502" s="40"/>
      <c r="AI502" s="41"/>
      <c r="AJ502" s="41"/>
      <c r="AK502" s="41"/>
      <c r="AL502" s="52"/>
      <c r="AM502" s="53"/>
      <c r="AN502" s="53"/>
      <c r="AO502" s="53"/>
      <c r="AP502" s="53"/>
      <c r="AQ502" s="53"/>
      <c r="AR502" s="54"/>
      <c r="AS502" s="61"/>
      <c r="AT502" s="62"/>
      <c r="AU502" s="62"/>
      <c r="AV502" s="62"/>
      <c r="AW502" s="62"/>
      <c r="AX502" s="63"/>
      <c r="AY502" s="68"/>
      <c r="AZ502" s="69"/>
      <c r="BA502" s="70"/>
      <c r="BB502" s="7"/>
    </row>
    <row r="503" spans="7:54" x14ac:dyDescent="0.15">
      <c r="G503" s="7"/>
      <c r="H503" s="38"/>
      <c r="I503" s="39"/>
      <c r="J503" s="39"/>
      <c r="K503" s="39"/>
      <c r="L503" s="39"/>
      <c r="M503" s="39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1"/>
      <c r="AC503" s="39"/>
      <c r="AD503" s="39"/>
      <c r="AE503" s="39"/>
      <c r="AF503" s="39"/>
      <c r="AG503" s="40"/>
      <c r="AH503" s="40"/>
      <c r="AI503" s="41"/>
      <c r="AJ503" s="41"/>
      <c r="AK503" s="41"/>
      <c r="AL503" s="52"/>
      <c r="AM503" s="53"/>
      <c r="AN503" s="53"/>
      <c r="AO503" s="53"/>
      <c r="AP503" s="53"/>
      <c r="AQ503" s="53"/>
      <c r="AR503" s="54"/>
      <c r="AS503" s="61"/>
      <c r="AT503" s="62"/>
      <c r="AU503" s="62"/>
      <c r="AV503" s="62"/>
      <c r="AW503" s="62"/>
      <c r="AX503" s="63"/>
      <c r="AY503" s="68"/>
      <c r="AZ503" s="69"/>
      <c r="BA503" s="70"/>
      <c r="BB503" s="7"/>
    </row>
    <row r="504" spans="7:54" x14ac:dyDescent="0.15">
      <c r="G504" s="7"/>
      <c r="H504" s="38"/>
      <c r="I504" s="39"/>
      <c r="J504" s="39"/>
      <c r="K504" s="39"/>
      <c r="L504" s="39"/>
      <c r="M504" s="39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1"/>
      <c r="AC504" s="39"/>
      <c r="AD504" s="39"/>
      <c r="AE504" s="39"/>
      <c r="AF504" s="39"/>
      <c r="AG504" s="40"/>
      <c r="AH504" s="40"/>
      <c r="AI504" s="41"/>
      <c r="AJ504" s="41"/>
      <c r="AK504" s="41"/>
      <c r="AL504" s="52"/>
      <c r="AM504" s="53"/>
      <c r="AN504" s="53"/>
      <c r="AO504" s="53"/>
      <c r="AP504" s="53"/>
      <c r="AQ504" s="53"/>
      <c r="AR504" s="54"/>
      <c r="AS504" s="61"/>
      <c r="AT504" s="62"/>
      <c r="AU504" s="62"/>
      <c r="AV504" s="62"/>
      <c r="AW504" s="62"/>
      <c r="AX504" s="63"/>
      <c r="AY504" s="68"/>
      <c r="AZ504" s="69"/>
      <c r="BA504" s="70"/>
      <c r="BB504" s="7"/>
    </row>
    <row r="505" spans="7:54" x14ac:dyDescent="0.15">
      <c r="G505" s="7"/>
      <c r="H505" s="38"/>
      <c r="I505" s="39"/>
      <c r="J505" s="39"/>
      <c r="K505" s="39"/>
      <c r="L505" s="39"/>
      <c r="M505" s="39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1"/>
      <c r="AC505" s="39"/>
      <c r="AD505" s="39"/>
      <c r="AE505" s="39"/>
      <c r="AF505" s="39"/>
      <c r="AG505" s="40"/>
      <c r="AH505" s="40"/>
      <c r="AI505" s="41"/>
      <c r="AJ505" s="41"/>
      <c r="AK505" s="41"/>
      <c r="AL505" s="52"/>
      <c r="AM505" s="53"/>
      <c r="AN505" s="53"/>
      <c r="AO505" s="53"/>
      <c r="AP505" s="53"/>
      <c r="AQ505" s="53"/>
      <c r="AR505" s="54"/>
      <c r="AS505" s="61"/>
      <c r="AT505" s="62"/>
      <c r="AU505" s="62"/>
      <c r="AV505" s="62"/>
      <c r="AW505" s="62"/>
      <c r="AX505" s="63"/>
      <c r="AY505" s="68"/>
      <c r="AZ505" s="69"/>
      <c r="BA505" s="70"/>
      <c r="BB505" s="7"/>
    </row>
    <row r="506" spans="7:54" x14ac:dyDescent="0.15">
      <c r="G506" s="7"/>
      <c r="H506" s="38"/>
      <c r="I506" s="39"/>
      <c r="J506" s="39"/>
      <c r="K506" s="39"/>
      <c r="L506" s="39"/>
      <c r="M506" s="39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1"/>
      <c r="AC506" s="39"/>
      <c r="AD506" s="39"/>
      <c r="AE506" s="39"/>
      <c r="AF506" s="39"/>
      <c r="AG506" s="40"/>
      <c r="AH506" s="40"/>
      <c r="AI506" s="41"/>
      <c r="AJ506" s="41"/>
      <c r="AK506" s="41"/>
      <c r="AL506" s="52"/>
      <c r="AM506" s="53"/>
      <c r="AN506" s="53"/>
      <c r="AO506" s="53"/>
      <c r="AP506" s="53"/>
      <c r="AQ506" s="53"/>
      <c r="AR506" s="54"/>
      <c r="AS506" s="61"/>
      <c r="AT506" s="62"/>
      <c r="AU506" s="62"/>
      <c r="AV506" s="62"/>
      <c r="AW506" s="62"/>
      <c r="AX506" s="63"/>
      <c r="AY506" s="68"/>
      <c r="AZ506" s="69"/>
      <c r="BA506" s="70"/>
      <c r="BB506" s="7"/>
    </row>
    <row r="507" spans="7:54" x14ac:dyDescent="0.15">
      <c r="G507" s="7"/>
      <c r="H507" s="38"/>
      <c r="I507" s="39"/>
      <c r="J507" s="39"/>
      <c r="K507" s="39"/>
      <c r="L507" s="39"/>
      <c r="M507" s="39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1"/>
      <c r="AC507" s="39"/>
      <c r="AD507" s="39"/>
      <c r="AE507" s="39"/>
      <c r="AF507" s="39"/>
      <c r="AG507" s="40"/>
      <c r="AH507" s="40"/>
      <c r="AI507" s="41"/>
      <c r="AJ507" s="41"/>
      <c r="AK507" s="41"/>
      <c r="AL507" s="52"/>
      <c r="AM507" s="53"/>
      <c r="AN507" s="53"/>
      <c r="AO507" s="53"/>
      <c r="AP507" s="53"/>
      <c r="AQ507" s="53"/>
      <c r="AR507" s="54"/>
      <c r="AS507" s="61"/>
      <c r="AT507" s="62"/>
      <c r="AU507" s="62"/>
      <c r="AV507" s="62"/>
      <c r="AW507" s="62"/>
      <c r="AX507" s="63"/>
      <c r="AY507" s="68"/>
      <c r="AZ507" s="69"/>
      <c r="BA507" s="70"/>
      <c r="BB507" s="7"/>
    </row>
    <row r="508" spans="7:54" x14ac:dyDescent="0.15">
      <c r="G508" s="7"/>
      <c r="H508" s="38"/>
      <c r="I508" s="39"/>
      <c r="J508" s="39"/>
      <c r="K508" s="39"/>
      <c r="L508" s="39"/>
      <c r="M508" s="39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1"/>
      <c r="AC508" s="39"/>
      <c r="AD508" s="39"/>
      <c r="AE508" s="39"/>
      <c r="AF508" s="39"/>
      <c r="AG508" s="40"/>
      <c r="AH508" s="40"/>
      <c r="AI508" s="41"/>
      <c r="AJ508" s="41"/>
      <c r="AK508" s="41"/>
      <c r="AL508" s="52"/>
      <c r="AM508" s="53"/>
      <c r="AN508" s="53"/>
      <c r="AO508" s="53"/>
      <c r="AP508" s="53"/>
      <c r="AQ508" s="53"/>
      <c r="AR508" s="54"/>
      <c r="AS508" s="61"/>
      <c r="AT508" s="62"/>
      <c r="AU508" s="62"/>
      <c r="AV508" s="62"/>
      <c r="AW508" s="62"/>
      <c r="AX508" s="63"/>
      <c r="AY508" s="68"/>
      <c r="AZ508" s="69"/>
      <c r="BA508" s="70"/>
      <c r="BB508" s="7"/>
    </row>
    <row r="509" spans="7:54" x14ac:dyDescent="0.15">
      <c r="G509" s="7"/>
      <c r="H509" s="38"/>
      <c r="I509" s="39"/>
      <c r="J509" s="39"/>
      <c r="K509" s="39"/>
      <c r="L509" s="39"/>
      <c r="M509" s="39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1"/>
      <c r="AC509" s="39"/>
      <c r="AD509" s="39"/>
      <c r="AE509" s="39"/>
      <c r="AF509" s="39"/>
      <c r="AG509" s="40"/>
      <c r="AH509" s="40"/>
      <c r="AI509" s="41"/>
      <c r="AJ509" s="41"/>
      <c r="AK509" s="41"/>
      <c r="AL509" s="52"/>
      <c r="AM509" s="53"/>
      <c r="AN509" s="53"/>
      <c r="AO509" s="53"/>
      <c r="AP509" s="53"/>
      <c r="AQ509" s="53"/>
      <c r="AR509" s="54"/>
      <c r="AS509" s="61"/>
      <c r="AT509" s="62"/>
      <c r="AU509" s="62"/>
      <c r="AV509" s="62"/>
      <c r="AW509" s="62"/>
      <c r="AX509" s="63"/>
      <c r="AY509" s="68"/>
      <c r="AZ509" s="69"/>
      <c r="BA509" s="70"/>
      <c r="BB509" s="7"/>
    </row>
    <row r="510" spans="7:54" x14ac:dyDescent="0.15">
      <c r="G510" s="7"/>
      <c r="H510" s="38"/>
      <c r="I510" s="39"/>
      <c r="J510" s="39"/>
      <c r="K510" s="39"/>
      <c r="L510" s="39"/>
      <c r="M510" s="39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1"/>
      <c r="AC510" s="39"/>
      <c r="AD510" s="39"/>
      <c r="AE510" s="39"/>
      <c r="AF510" s="39"/>
      <c r="AG510" s="40"/>
      <c r="AH510" s="40"/>
      <c r="AI510" s="41"/>
      <c r="AJ510" s="41"/>
      <c r="AK510" s="41"/>
      <c r="AL510" s="52"/>
      <c r="AM510" s="53"/>
      <c r="AN510" s="53"/>
      <c r="AO510" s="53"/>
      <c r="AP510" s="53"/>
      <c r="AQ510" s="53"/>
      <c r="AR510" s="54"/>
      <c r="AS510" s="61"/>
      <c r="AT510" s="62"/>
      <c r="AU510" s="62"/>
      <c r="AV510" s="62"/>
      <c r="AW510" s="62"/>
      <c r="AX510" s="63"/>
      <c r="AY510" s="68"/>
      <c r="AZ510" s="69"/>
      <c r="BA510" s="70"/>
      <c r="BB510" s="7"/>
    </row>
    <row r="511" spans="7:54" x14ac:dyDescent="0.15">
      <c r="G511" s="7"/>
      <c r="H511" s="38"/>
      <c r="I511" s="39"/>
      <c r="J511" s="39"/>
      <c r="K511" s="39"/>
      <c r="L511" s="39"/>
      <c r="M511" s="39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1"/>
      <c r="AC511" s="39"/>
      <c r="AD511" s="39"/>
      <c r="AE511" s="39"/>
      <c r="AF511" s="39"/>
      <c r="AG511" s="40"/>
      <c r="AH511" s="40"/>
      <c r="AI511" s="41"/>
      <c r="AJ511" s="41"/>
      <c r="AK511" s="41"/>
      <c r="AL511" s="52"/>
      <c r="AM511" s="53"/>
      <c r="AN511" s="53"/>
      <c r="AO511" s="53"/>
      <c r="AP511" s="53"/>
      <c r="AQ511" s="53"/>
      <c r="AR511" s="54"/>
      <c r="AS511" s="61"/>
      <c r="AT511" s="62"/>
      <c r="AU511" s="62"/>
      <c r="AV511" s="62"/>
      <c r="AW511" s="62"/>
      <c r="AX511" s="63"/>
      <c r="AY511" s="68"/>
      <c r="AZ511" s="69"/>
      <c r="BA511" s="70"/>
      <c r="BB511" s="7"/>
    </row>
    <row r="512" spans="7:54" x14ac:dyDescent="0.15">
      <c r="G512" s="7"/>
      <c r="H512" s="38"/>
      <c r="I512" s="39"/>
      <c r="J512" s="39"/>
      <c r="K512" s="39"/>
      <c r="L512" s="39"/>
      <c r="M512" s="39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1"/>
      <c r="AC512" s="39"/>
      <c r="AD512" s="39"/>
      <c r="AE512" s="39"/>
      <c r="AF512" s="39"/>
      <c r="AG512" s="40"/>
      <c r="AH512" s="40"/>
      <c r="AI512" s="41"/>
      <c r="AJ512" s="41"/>
      <c r="AK512" s="41"/>
      <c r="AL512" s="52"/>
      <c r="AM512" s="53"/>
      <c r="AN512" s="53"/>
      <c r="AO512" s="53"/>
      <c r="AP512" s="53"/>
      <c r="AQ512" s="53"/>
      <c r="AR512" s="54"/>
      <c r="AS512" s="61"/>
      <c r="AT512" s="62"/>
      <c r="AU512" s="62"/>
      <c r="AV512" s="62"/>
      <c r="AW512" s="62"/>
      <c r="AX512" s="63"/>
      <c r="AY512" s="68"/>
      <c r="AZ512" s="69"/>
      <c r="BA512" s="70"/>
      <c r="BB512" s="7"/>
    </row>
    <row r="513" spans="7:54" x14ac:dyDescent="0.15">
      <c r="G513" s="7"/>
      <c r="H513" s="38"/>
      <c r="I513" s="39"/>
      <c r="J513" s="39"/>
      <c r="K513" s="39"/>
      <c r="L513" s="39"/>
      <c r="M513" s="39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1"/>
      <c r="AC513" s="39"/>
      <c r="AD513" s="39"/>
      <c r="AE513" s="39"/>
      <c r="AF513" s="39"/>
      <c r="AG513" s="40"/>
      <c r="AH513" s="40"/>
      <c r="AI513" s="41"/>
      <c r="AJ513" s="41"/>
      <c r="AK513" s="41"/>
      <c r="AL513" s="52"/>
      <c r="AM513" s="53"/>
      <c r="AN513" s="53"/>
      <c r="AO513" s="53"/>
      <c r="AP513" s="53"/>
      <c r="AQ513" s="53"/>
      <c r="AR513" s="54"/>
      <c r="AS513" s="61"/>
      <c r="AT513" s="62"/>
      <c r="AU513" s="62"/>
      <c r="AV513" s="62"/>
      <c r="AW513" s="62"/>
      <c r="AX513" s="63"/>
      <c r="AY513" s="68"/>
      <c r="AZ513" s="69"/>
      <c r="BA513" s="70"/>
      <c r="BB513" s="7"/>
    </row>
    <row r="514" spans="7:54" x14ac:dyDescent="0.15">
      <c r="G514" s="7"/>
      <c r="H514" s="38"/>
      <c r="I514" s="39"/>
      <c r="J514" s="39"/>
      <c r="K514" s="39"/>
      <c r="L514" s="39"/>
      <c r="M514" s="39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1"/>
      <c r="AC514" s="39"/>
      <c r="AD514" s="39"/>
      <c r="AE514" s="39"/>
      <c r="AF514" s="39"/>
      <c r="AG514" s="40"/>
      <c r="AH514" s="40"/>
      <c r="AI514" s="41"/>
      <c r="AJ514" s="41"/>
      <c r="AK514" s="41"/>
      <c r="AL514" s="52"/>
      <c r="AM514" s="53"/>
      <c r="AN514" s="53"/>
      <c r="AO514" s="53"/>
      <c r="AP514" s="53"/>
      <c r="AQ514" s="53"/>
      <c r="AR514" s="54"/>
      <c r="AS514" s="61"/>
      <c r="AT514" s="62"/>
      <c r="AU514" s="62"/>
      <c r="AV514" s="62"/>
      <c r="AW514" s="62"/>
      <c r="AX514" s="63"/>
      <c r="AY514" s="68"/>
      <c r="AZ514" s="69"/>
      <c r="BA514" s="70"/>
      <c r="BB514" s="7"/>
    </row>
    <row r="515" spans="7:54" x14ac:dyDescent="0.15">
      <c r="G515" s="7"/>
      <c r="H515" s="38"/>
      <c r="I515" s="39"/>
      <c r="J515" s="39"/>
      <c r="K515" s="39"/>
      <c r="L515" s="39"/>
      <c r="M515" s="39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1"/>
      <c r="AC515" s="39"/>
      <c r="AD515" s="39"/>
      <c r="AE515" s="39"/>
      <c r="AF515" s="39"/>
      <c r="AG515" s="40"/>
      <c r="AH515" s="40"/>
      <c r="AI515" s="41"/>
      <c r="AJ515" s="41"/>
      <c r="AK515" s="41"/>
      <c r="AL515" s="52"/>
      <c r="AM515" s="53"/>
      <c r="AN515" s="53"/>
      <c r="AO515" s="53"/>
      <c r="AP515" s="53"/>
      <c r="AQ515" s="53"/>
      <c r="AR515" s="54"/>
      <c r="AS515" s="61"/>
      <c r="AT515" s="62"/>
      <c r="AU515" s="62"/>
      <c r="AV515" s="62"/>
      <c r="AW515" s="62"/>
      <c r="AX515" s="63"/>
      <c r="AY515" s="68"/>
      <c r="AZ515" s="69"/>
      <c r="BA515" s="70"/>
      <c r="BB515" s="7"/>
    </row>
    <row r="516" spans="7:54" x14ac:dyDescent="0.15">
      <c r="G516" s="7"/>
      <c r="H516" s="38"/>
      <c r="I516" s="39"/>
      <c r="J516" s="39"/>
      <c r="K516" s="39"/>
      <c r="L516" s="39"/>
      <c r="M516" s="39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1"/>
      <c r="AC516" s="39"/>
      <c r="AD516" s="39"/>
      <c r="AE516" s="39"/>
      <c r="AF516" s="39"/>
      <c r="AG516" s="40"/>
      <c r="AH516" s="40"/>
      <c r="AI516" s="41"/>
      <c r="AJ516" s="41"/>
      <c r="AK516" s="41"/>
      <c r="AL516" s="52"/>
      <c r="AM516" s="53"/>
      <c r="AN516" s="53"/>
      <c r="AO516" s="53"/>
      <c r="AP516" s="53"/>
      <c r="AQ516" s="53"/>
      <c r="AR516" s="54"/>
      <c r="AS516" s="61"/>
      <c r="AT516" s="62"/>
      <c r="AU516" s="62"/>
      <c r="AV516" s="62"/>
      <c r="AW516" s="62"/>
      <c r="AX516" s="63"/>
      <c r="AY516" s="68"/>
      <c r="AZ516" s="69"/>
      <c r="BA516" s="70"/>
      <c r="BB516" s="7"/>
    </row>
    <row r="517" spans="7:54" x14ac:dyDescent="0.15">
      <c r="G517" s="7"/>
      <c r="H517" s="38"/>
      <c r="I517" s="39"/>
      <c r="J517" s="39"/>
      <c r="K517" s="39"/>
      <c r="L517" s="39"/>
      <c r="M517" s="39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1"/>
      <c r="AC517" s="39"/>
      <c r="AD517" s="39"/>
      <c r="AE517" s="39"/>
      <c r="AF517" s="39"/>
      <c r="AG517" s="40"/>
      <c r="AH517" s="40"/>
      <c r="AI517" s="41"/>
      <c r="AJ517" s="41"/>
      <c r="AK517" s="41"/>
      <c r="AL517" s="52"/>
      <c r="AM517" s="53"/>
      <c r="AN517" s="53"/>
      <c r="AO517" s="53"/>
      <c r="AP517" s="53"/>
      <c r="AQ517" s="53"/>
      <c r="AR517" s="54"/>
      <c r="AS517" s="61"/>
      <c r="AT517" s="62"/>
      <c r="AU517" s="62"/>
      <c r="AV517" s="62"/>
      <c r="AW517" s="62"/>
      <c r="AX517" s="63"/>
      <c r="AY517" s="68"/>
      <c r="AZ517" s="69"/>
      <c r="BA517" s="70"/>
      <c r="BB517" s="7"/>
    </row>
    <row r="518" spans="7:54" x14ac:dyDescent="0.15">
      <c r="G518" s="7"/>
      <c r="H518" s="38"/>
      <c r="I518" s="39"/>
      <c r="J518" s="39"/>
      <c r="K518" s="39"/>
      <c r="L518" s="39"/>
      <c r="M518" s="39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1"/>
      <c r="AC518" s="39"/>
      <c r="AD518" s="39"/>
      <c r="AE518" s="39"/>
      <c r="AF518" s="39"/>
      <c r="AG518" s="40"/>
      <c r="AH518" s="40"/>
      <c r="AI518" s="41"/>
      <c r="AJ518" s="41"/>
      <c r="AK518" s="41"/>
      <c r="AL518" s="52"/>
      <c r="AM518" s="53"/>
      <c r="AN518" s="53"/>
      <c r="AO518" s="53"/>
      <c r="AP518" s="53"/>
      <c r="AQ518" s="53"/>
      <c r="AR518" s="54"/>
      <c r="AS518" s="61"/>
      <c r="AT518" s="62"/>
      <c r="AU518" s="62"/>
      <c r="AV518" s="62"/>
      <c r="AW518" s="62"/>
      <c r="AX518" s="63"/>
      <c r="AY518" s="68"/>
      <c r="AZ518" s="69"/>
      <c r="BA518" s="70"/>
      <c r="BB518" s="7"/>
    </row>
    <row r="519" spans="7:54" x14ac:dyDescent="0.15">
      <c r="G519" s="7"/>
      <c r="H519" s="38"/>
      <c r="I519" s="39"/>
      <c r="J519" s="39"/>
      <c r="K519" s="39"/>
      <c r="L519" s="39"/>
      <c r="M519" s="39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1"/>
      <c r="AC519" s="39"/>
      <c r="AD519" s="39"/>
      <c r="AE519" s="39"/>
      <c r="AF519" s="39"/>
      <c r="AG519" s="40"/>
      <c r="AH519" s="40"/>
      <c r="AI519" s="41"/>
      <c r="AJ519" s="41"/>
      <c r="AK519" s="41"/>
      <c r="AL519" s="52"/>
      <c r="AM519" s="53"/>
      <c r="AN519" s="53"/>
      <c r="AO519" s="53"/>
      <c r="AP519" s="53"/>
      <c r="AQ519" s="53"/>
      <c r="AR519" s="54"/>
      <c r="AS519" s="61"/>
      <c r="AT519" s="62"/>
      <c r="AU519" s="62"/>
      <c r="AV519" s="62"/>
      <c r="AW519" s="62"/>
      <c r="AX519" s="63"/>
      <c r="AY519" s="68"/>
      <c r="AZ519" s="69"/>
      <c r="BA519" s="70"/>
      <c r="BB519" s="7"/>
    </row>
    <row r="520" spans="7:54" x14ac:dyDescent="0.15">
      <c r="G520" s="7"/>
      <c r="H520" s="38"/>
      <c r="I520" s="39"/>
      <c r="J520" s="39"/>
      <c r="K520" s="39"/>
      <c r="L520" s="39"/>
      <c r="M520" s="39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1"/>
      <c r="AC520" s="39"/>
      <c r="AD520" s="39"/>
      <c r="AE520" s="39"/>
      <c r="AF520" s="39"/>
      <c r="AG520" s="40"/>
      <c r="AH520" s="40"/>
      <c r="AI520" s="41"/>
      <c r="AJ520" s="41"/>
      <c r="AK520" s="41"/>
      <c r="AL520" s="52"/>
      <c r="AM520" s="53"/>
      <c r="AN520" s="53"/>
      <c r="AO520" s="53"/>
      <c r="AP520" s="53"/>
      <c r="AQ520" s="53"/>
      <c r="AR520" s="54"/>
      <c r="AS520" s="61"/>
      <c r="AT520" s="62"/>
      <c r="AU520" s="62"/>
      <c r="AV520" s="62"/>
      <c r="AW520" s="62"/>
      <c r="AX520" s="63"/>
      <c r="AY520" s="68"/>
      <c r="AZ520" s="69"/>
      <c r="BA520" s="70"/>
      <c r="BB520" s="7"/>
    </row>
    <row r="521" spans="7:54" x14ac:dyDescent="0.15">
      <c r="G521" s="7"/>
      <c r="H521" s="38"/>
      <c r="I521" s="39"/>
      <c r="J521" s="39"/>
      <c r="K521" s="39"/>
      <c r="L521" s="39"/>
      <c r="M521" s="39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1"/>
      <c r="AC521" s="39"/>
      <c r="AD521" s="39"/>
      <c r="AE521" s="39"/>
      <c r="AF521" s="39"/>
      <c r="AG521" s="40"/>
      <c r="AH521" s="40"/>
      <c r="AI521" s="41"/>
      <c r="AJ521" s="41"/>
      <c r="AK521" s="41"/>
      <c r="AL521" s="52"/>
      <c r="AM521" s="53"/>
      <c r="AN521" s="53"/>
      <c r="AO521" s="53"/>
      <c r="AP521" s="53"/>
      <c r="AQ521" s="53"/>
      <c r="AR521" s="54"/>
      <c r="AS521" s="61"/>
      <c r="AT521" s="62"/>
      <c r="AU521" s="62"/>
      <c r="AV521" s="62"/>
      <c r="AW521" s="62"/>
      <c r="AX521" s="63"/>
      <c r="AY521" s="68"/>
      <c r="AZ521" s="69"/>
      <c r="BA521" s="70"/>
      <c r="BB521" s="7"/>
    </row>
    <row r="522" spans="7:54" x14ac:dyDescent="0.15">
      <c r="G522" s="7"/>
      <c r="H522" s="38"/>
      <c r="I522" s="39"/>
      <c r="J522" s="39"/>
      <c r="K522" s="39"/>
      <c r="L522" s="39"/>
      <c r="M522" s="39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1"/>
      <c r="AC522" s="39"/>
      <c r="AD522" s="39"/>
      <c r="AE522" s="39"/>
      <c r="AF522" s="39"/>
      <c r="AG522" s="40"/>
      <c r="AH522" s="40"/>
      <c r="AI522" s="41"/>
      <c r="AJ522" s="41"/>
      <c r="AK522" s="41"/>
      <c r="AL522" s="52"/>
      <c r="AM522" s="53"/>
      <c r="AN522" s="53"/>
      <c r="AO522" s="53"/>
      <c r="AP522" s="53"/>
      <c r="AQ522" s="53"/>
      <c r="AR522" s="54"/>
      <c r="AS522" s="61"/>
      <c r="AT522" s="62"/>
      <c r="AU522" s="62"/>
      <c r="AV522" s="62"/>
      <c r="AW522" s="62"/>
      <c r="AX522" s="63"/>
      <c r="AY522" s="68"/>
      <c r="AZ522" s="69"/>
      <c r="BA522" s="70"/>
      <c r="BB522" s="7"/>
    </row>
    <row r="523" spans="7:54" x14ac:dyDescent="0.15">
      <c r="G523" s="7"/>
      <c r="H523" s="38"/>
      <c r="I523" s="39"/>
      <c r="J523" s="39"/>
      <c r="K523" s="39"/>
      <c r="L523" s="39"/>
      <c r="M523" s="39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1"/>
      <c r="AC523" s="39"/>
      <c r="AD523" s="39"/>
      <c r="AE523" s="39"/>
      <c r="AF523" s="39"/>
      <c r="AG523" s="40"/>
      <c r="AH523" s="40"/>
      <c r="AI523" s="41"/>
      <c r="AJ523" s="41"/>
      <c r="AK523" s="41"/>
      <c r="AL523" s="52"/>
      <c r="AM523" s="53"/>
      <c r="AN523" s="53"/>
      <c r="AO523" s="53"/>
      <c r="AP523" s="53"/>
      <c r="AQ523" s="53"/>
      <c r="AR523" s="54"/>
      <c r="AS523" s="61"/>
      <c r="AT523" s="62"/>
      <c r="AU523" s="62"/>
      <c r="AV523" s="62"/>
      <c r="AW523" s="62"/>
      <c r="AX523" s="63"/>
      <c r="AY523" s="68"/>
      <c r="AZ523" s="69"/>
      <c r="BA523" s="70"/>
      <c r="BB523" s="7"/>
    </row>
    <row r="524" spans="7:54" x14ac:dyDescent="0.15">
      <c r="G524" s="7"/>
      <c r="H524" s="38"/>
      <c r="I524" s="39"/>
      <c r="J524" s="39"/>
      <c r="K524" s="39"/>
      <c r="L524" s="39"/>
      <c r="M524" s="39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1"/>
      <c r="AC524" s="39"/>
      <c r="AD524" s="39"/>
      <c r="AE524" s="39"/>
      <c r="AF524" s="39"/>
      <c r="AG524" s="40"/>
      <c r="AH524" s="40"/>
      <c r="AI524" s="41"/>
      <c r="AJ524" s="41"/>
      <c r="AK524" s="41"/>
      <c r="AL524" s="52"/>
      <c r="AM524" s="53"/>
      <c r="AN524" s="53"/>
      <c r="AO524" s="53"/>
      <c r="AP524" s="53"/>
      <c r="AQ524" s="53"/>
      <c r="AR524" s="54"/>
      <c r="AS524" s="61"/>
      <c r="AT524" s="62"/>
      <c r="AU524" s="62"/>
      <c r="AV524" s="62"/>
      <c r="AW524" s="62"/>
      <c r="AX524" s="63"/>
      <c r="AY524" s="68"/>
      <c r="AZ524" s="69"/>
      <c r="BA524" s="70"/>
      <c r="BB524" s="7"/>
    </row>
    <row r="525" spans="7:54" x14ac:dyDescent="0.15">
      <c r="G525" s="7"/>
      <c r="H525" s="38"/>
      <c r="I525" s="39"/>
      <c r="J525" s="39"/>
      <c r="K525" s="39"/>
      <c r="L525" s="39"/>
      <c r="M525" s="39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1"/>
      <c r="AC525" s="39"/>
      <c r="AD525" s="39"/>
      <c r="AE525" s="39"/>
      <c r="AF525" s="39"/>
      <c r="AG525" s="40"/>
      <c r="AH525" s="40"/>
      <c r="AI525" s="41"/>
      <c r="AJ525" s="41"/>
      <c r="AK525" s="41"/>
      <c r="AL525" s="52"/>
      <c r="AM525" s="53"/>
      <c r="AN525" s="53"/>
      <c r="AO525" s="53"/>
      <c r="AP525" s="53"/>
      <c r="AQ525" s="53"/>
      <c r="AR525" s="54"/>
      <c r="AS525" s="61"/>
      <c r="AT525" s="62"/>
      <c r="AU525" s="62"/>
      <c r="AV525" s="62"/>
      <c r="AW525" s="62"/>
      <c r="AX525" s="63"/>
      <c r="AY525" s="68"/>
      <c r="AZ525" s="69"/>
      <c r="BA525" s="70"/>
      <c r="BB525" s="7"/>
    </row>
    <row r="526" spans="7:54" x14ac:dyDescent="0.15">
      <c r="G526" s="7"/>
      <c r="H526" s="38"/>
      <c r="I526" s="39"/>
      <c r="J526" s="39"/>
      <c r="K526" s="39"/>
      <c r="L526" s="39"/>
      <c r="M526" s="39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1"/>
      <c r="AC526" s="39"/>
      <c r="AD526" s="39"/>
      <c r="AE526" s="39"/>
      <c r="AF526" s="39"/>
      <c r="AG526" s="40"/>
      <c r="AH526" s="40"/>
      <c r="AI526" s="41"/>
      <c r="AJ526" s="41"/>
      <c r="AK526" s="41"/>
      <c r="AL526" s="52"/>
      <c r="AM526" s="53"/>
      <c r="AN526" s="53"/>
      <c r="AO526" s="53"/>
      <c r="AP526" s="53"/>
      <c r="AQ526" s="53"/>
      <c r="AR526" s="54"/>
      <c r="AS526" s="61"/>
      <c r="AT526" s="62"/>
      <c r="AU526" s="62"/>
      <c r="AV526" s="62"/>
      <c r="AW526" s="62"/>
      <c r="AX526" s="63"/>
      <c r="AY526" s="68"/>
      <c r="AZ526" s="69"/>
      <c r="BA526" s="70"/>
      <c r="BB526" s="7"/>
    </row>
    <row r="527" spans="7:54" x14ac:dyDescent="0.15">
      <c r="G527" s="7"/>
      <c r="H527" s="38"/>
      <c r="I527" s="39"/>
      <c r="J527" s="39"/>
      <c r="K527" s="39"/>
      <c r="L527" s="39"/>
      <c r="M527" s="39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1"/>
      <c r="AC527" s="39"/>
      <c r="AD527" s="39"/>
      <c r="AE527" s="39"/>
      <c r="AF527" s="39"/>
      <c r="AG527" s="40"/>
      <c r="AH527" s="40"/>
      <c r="AI527" s="41"/>
      <c r="AJ527" s="41"/>
      <c r="AK527" s="41"/>
      <c r="AL527" s="52"/>
      <c r="AM527" s="53"/>
      <c r="AN527" s="53"/>
      <c r="AO527" s="53"/>
      <c r="AP527" s="53"/>
      <c r="AQ527" s="53"/>
      <c r="AR527" s="54"/>
      <c r="AS527" s="61"/>
      <c r="AT527" s="62"/>
      <c r="AU527" s="62"/>
      <c r="AV527" s="62"/>
      <c r="AW527" s="62"/>
      <c r="AX527" s="63"/>
      <c r="AY527" s="68"/>
      <c r="AZ527" s="69"/>
      <c r="BA527" s="70"/>
      <c r="BB527" s="7"/>
    </row>
    <row r="528" spans="7:54" x14ac:dyDescent="0.15">
      <c r="G528" s="7"/>
      <c r="H528" s="38"/>
      <c r="I528" s="39"/>
      <c r="J528" s="39"/>
      <c r="K528" s="39"/>
      <c r="L528" s="39"/>
      <c r="M528" s="39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1"/>
      <c r="AC528" s="39"/>
      <c r="AD528" s="39"/>
      <c r="AE528" s="39"/>
      <c r="AF528" s="39"/>
      <c r="AG528" s="40"/>
      <c r="AH528" s="40"/>
      <c r="AI528" s="41"/>
      <c r="AJ528" s="41"/>
      <c r="AK528" s="41"/>
      <c r="AL528" s="52"/>
      <c r="AM528" s="53"/>
      <c r="AN528" s="53"/>
      <c r="AO528" s="53"/>
      <c r="AP528" s="53"/>
      <c r="AQ528" s="53"/>
      <c r="AR528" s="54"/>
      <c r="AS528" s="61"/>
      <c r="AT528" s="62"/>
      <c r="AU528" s="62"/>
      <c r="AV528" s="62"/>
      <c r="AW528" s="62"/>
      <c r="AX528" s="63"/>
      <c r="AY528" s="68"/>
      <c r="AZ528" s="69"/>
      <c r="BA528" s="70"/>
      <c r="BB528" s="7"/>
    </row>
    <row r="529" spans="7:54" x14ac:dyDescent="0.15">
      <c r="G529" s="7"/>
      <c r="H529" s="38"/>
      <c r="I529" s="39"/>
      <c r="J529" s="39"/>
      <c r="K529" s="39"/>
      <c r="L529" s="39"/>
      <c r="M529" s="39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1"/>
      <c r="AC529" s="39"/>
      <c r="AD529" s="39"/>
      <c r="AE529" s="39"/>
      <c r="AF529" s="39"/>
      <c r="AG529" s="40"/>
      <c r="AH529" s="40"/>
      <c r="AI529" s="41"/>
      <c r="AJ529" s="41"/>
      <c r="AK529" s="41"/>
      <c r="AL529" s="52"/>
      <c r="AM529" s="53"/>
      <c r="AN529" s="53"/>
      <c r="AO529" s="53"/>
      <c r="AP529" s="53"/>
      <c r="AQ529" s="53"/>
      <c r="AR529" s="54"/>
      <c r="AS529" s="61"/>
      <c r="AT529" s="62"/>
      <c r="AU529" s="62"/>
      <c r="AV529" s="62"/>
      <c r="AW529" s="62"/>
      <c r="AX529" s="63"/>
      <c r="AY529" s="68"/>
      <c r="AZ529" s="69"/>
      <c r="BA529" s="70"/>
      <c r="BB529" s="7"/>
    </row>
    <row r="530" spans="7:54" x14ac:dyDescent="0.15">
      <c r="G530" s="7"/>
      <c r="H530" s="38"/>
      <c r="I530" s="39"/>
      <c r="J530" s="39"/>
      <c r="K530" s="39"/>
      <c r="L530" s="39"/>
      <c r="M530" s="39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1"/>
      <c r="AC530" s="39"/>
      <c r="AD530" s="39"/>
      <c r="AE530" s="39"/>
      <c r="AF530" s="39"/>
      <c r="AG530" s="40"/>
      <c r="AH530" s="40"/>
      <c r="AI530" s="41"/>
      <c r="AJ530" s="41"/>
      <c r="AK530" s="41"/>
      <c r="AL530" s="52"/>
      <c r="AM530" s="53"/>
      <c r="AN530" s="53"/>
      <c r="AO530" s="53"/>
      <c r="AP530" s="53"/>
      <c r="AQ530" s="53"/>
      <c r="AR530" s="54"/>
      <c r="AS530" s="61"/>
      <c r="AT530" s="62"/>
      <c r="AU530" s="62"/>
      <c r="AV530" s="62"/>
      <c r="AW530" s="62"/>
      <c r="AX530" s="63"/>
      <c r="AY530" s="68"/>
      <c r="AZ530" s="69"/>
      <c r="BA530" s="70"/>
      <c r="BB530" s="7"/>
    </row>
    <row r="531" spans="7:54" x14ac:dyDescent="0.15">
      <c r="G531" s="7"/>
      <c r="H531" s="38"/>
      <c r="I531" s="39"/>
      <c r="J531" s="39"/>
      <c r="K531" s="39"/>
      <c r="L531" s="39"/>
      <c r="M531" s="39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1"/>
      <c r="AC531" s="39"/>
      <c r="AD531" s="39"/>
      <c r="AE531" s="39"/>
      <c r="AF531" s="39"/>
      <c r="AG531" s="40"/>
      <c r="AH531" s="40"/>
      <c r="AI531" s="41"/>
      <c r="AJ531" s="41"/>
      <c r="AK531" s="41"/>
      <c r="AL531" s="52"/>
      <c r="AM531" s="53"/>
      <c r="AN531" s="53"/>
      <c r="AO531" s="53"/>
      <c r="AP531" s="53"/>
      <c r="AQ531" s="53"/>
      <c r="AR531" s="54"/>
      <c r="AS531" s="61"/>
      <c r="AT531" s="62"/>
      <c r="AU531" s="62"/>
      <c r="AV531" s="62"/>
      <c r="AW531" s="62"/>
      <c r="AX531" s="63"/>
      <c r="AY531" s="68"/>
      <c r="AZ531" s="69"/>
      <c r="BA531" s="70"/>
      <c r="BB531" s="7"/>
    </row>
    <row r="532" spans="7:54" x14ac:dyDescent="0.15">
      <c r="G532" s="7"/>
      <c r="H532" s="38"/>
      <c r="I532" s="39"/>
      <c r="J532" s="39"/>
      <c r="K532" s="39"/>
      <c r="L532" s="39"/>
      <c r="M532" s="39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1"/>
      <c r="AC532" s="39"/>
      <c r="AD532" s="39"/>
      <c r="AE532" s="39"/>
      <c r="AF532" s="39"/>
      <c r="AG532" s="40"/>
      <c r="AH532" s="40"/>
      <c r="AI532" s="41"/>
      <c r="AJ532" s="41"/>
      <c r="AK532" s="41"/>
      <c r="AL532" s="52"/>
      <c r="AM532" s="53"/>
      <c r="AN532" s="53"/>
      <c r="AO532" s="53"/>
      <c r="AP532" s="53"/>
      <c r="AQ532" s="53"/>
      <c r="AR532" s="54"/>
      <c r="AS532" s="61"/>
      <c r="AT532" s="62"/>
      <c r="AU532" s="62"/>
      <c r="AV532" s="62"/>
      <c r="AW532" s="62"/>
      <c r="AX532" s="63"/>
      <c r="AY532" s="68"/>
      <c r="AZ532" s="69"/>
      <c r="BA532" s="70"/>
      <c r="BB532" s="7"/>
    </row>
    <row r="533" spans="7:54" x14ac:dyDescent="0.15">
      <c r="G533" s="7"/>
      <c r="H533" s="38"/>
      <c r="I533" s="39"/>
      <c r="J533" s="39"/>
      <c r="K533" s="39"/>
      <c r="L533" s="39"/>
      <c r="M533" s="39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1"/>
      <c r="AC533" s="39"/>
      <c r="AD533" s="39"/>
      <c r="AE533" s="39"/>
      <c r="AF533" s="39"/>
      <c r="AG533" s="40"/>
      <c r="AH533" s="40"/>
      <c r="AI533" s="41"/>
      <c r="AJ533" s="41"/>
      <c r="AK533" s="41"/>
      <c r="AL533" s="52"/>
      <c r="AM533" s="53"/>
      <c r="AN533" s="53"/>
      <c r="AO533" s="53"/>
      <c r="AP533" s="53"/>
      <c r="AQ533" s="53"/>
      <c r="AR533" s="54"/>
      <c r="AS533" s="61"/>
      <c r="AT533" s="62"/>
      <c r="AU533" s="62"/>
      <c r="AV533" s="62"/>
      <c r="AW533" s="62"/>
      <c r="AX533" s="63"/>
      <c r="AY533" s="68"/>
      <c r="AZ533" s="69"/>
      <c r="BA533" s="70"/>
      <c r="BB533" s="7"/>
    </row>
    <row r="534" spans="7:54" x14ac:dyDescent="0.15">
      <c r="G534" s="7"/>
      <c r="H534" s="38"/>
      <c r="I534" s="39"/>
      <c r="J534" s="39"/>
      <c r="K534" s="39"/>
      <c r="L534" s="39"/>
      <c r="M534" s="39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1"/>
      <c r="AC534" s="39"/>
      <c r="AD534" s="39"/>
      <c r="AE534" s="39"/>
      <c r="AF534" s="39"/>
      <c r="AG534" s="40"/>
      <c r="AH534" s="40"/>
      <c r="AI534" s="41"/>
      <c r="AJ534" s="41"/>
      <c r="AK534" s="41"/>
      <c r="AL534" s="52"/>
      <c r="AM534" s="53"/>
      <c r="AN534" s="53"/>
      <c r="AO534" s="53"/>
      <c r="AP534" s="53"/>
      <c r="AQ534" s="53"/>
      <c r="AR534" s="54"/>
      <c r="AS534" s="61"/>
      <c r="AT534" s="62"/>
      <c r="AU534" s="62"/>
      <c r="AV534" s="62"/>
      <c r="AW534" s="62"/>
      <c r="AX534" s="63"/>
      <c r="AY534" s="68"/>
      <c r="AZ534" s="69"/>
      <c r="BA534" s="70"/>
      <c r="BB534" s="7"/>
    </row>
    <row r="535" spans="7:54" x14ac:dyDescent="0.15">
      <c r="G535" s="7"/>
      <c r="H535" s="38"/>
      <c r="I535" s="39"/>
      <c r="J535" s="39"/>
      <c r="K535" s="39"/>
      <c r="L535" s="39"/>
      <c r="M535" s="39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1"/>
      <c r="AC535" s="39"/>
      <c r="AD535" s="39"/>
      <c r="AE535" s="39"/>
      <c r="AF535" s="39"/>
      <c r="AG535" s="40"/>
      <c r="AH535" s="40"/>
      <c r="AI535" s="41"/>
      <c r="AJ535" s="41"/>
      <c r="AK535" s="41"/>
      <c r="AL535" s="52"/>
      <c r="AM535" s="53"/>
      <c r="AN535" s="53"/>
      <c r="AO535" s="53"/>
      <c r="AP535" s="53"/>
      <c r="AQ535" s="53"/>
      <c r="AR535" s="54"/>
      <c r="AS535" s="61"/>
      <c r="AT535" s="62"/>
      <c r="AU535" s="62"/>
      <c r="AV535" s="62"/>
      <c r="AW535" s="62"/>
      <c r="AX535" s="63"/>
      <c r="AY535" s="68"/>
      <c r="AZ535" s="69"/>
      <c r="BA535" s="70"/>
      <c r="BB535" s="7"/>
    </row>
    <row r="536" spans="7:54" x14ac:dyDescent="0.15">
      <c r="G536" s="7"/>
      <c r="H536" s="38"/>
      <c r="I536" s="39"/>
      <c r="J536" s="39"/>
      <c r="K536" s="39"/>
      <c r="L536" s="39"/>
      <c r="M536" s="39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1"/>
      <c r="AC536" s="39"/>
      <c r="AD536" s="39"/>
      <c r="AE536" s="39"/>
      <c r="AF536" s="39"/>
      <c r="AG536" s="40"/>
      <c r="AH536" s="40"/>
      <c r="AI536" s="41"/>
      <c r="AJ536" s="41"/>
      <c r="AK536" s="41"/>
      <c r="AL536" s="52"/>
      <c r="AM536" s="53"/>
      <c r="AN536" s="53"/>
      <c r="AO536" s="53"/>
      <c r="AP536" s="53"/>
      <c r="AQ536" s="53"/>
      <c r="AR536" s="54"/>
      <c r="AS536" s="61"/>
      <c r="AT536" s="62"/>
      <c r="AU536" s="62"/>
      <c r="AV536" s="62"/>
      <c r="AW536" s="62"/>
      <c r="AX536" s="63"/>
      <c r="AY536" s="68"/>
      <c r="AZ536" s="69"/>
      <c r="BA536" s="70"/>
      <c r="BB536" s="7"/>
    </row>
    <row r="537" spans="7:54" x14ac:dyDescent="0.15">
      <c r="G537" s="7"/>
      <c r="H537" s="38"/>
      <c r="I537" s="39"/>
      <c r="J537" s="39"/>
      <c r="K537" s="39"/>
      <c r="L537" s="39"/>
      <c r="M537" s="39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1"/>
      <c r="AC537" s="39"/>
      <c r="AD537" s="39"/>
      <c r="AE537" s="39"/>
      <c r="AF537" s="39"/>
      <c r="AG537" s="40"/>
      <c r="AH537" s="40"/>
      <c r="AI537" s="41"/>
      <c r="AJ537" s="41"/>
      <c r="AK537" s="41"/>
      <c r="AL537" s="52"/>
      <c r="AM537" s="53"/>
      <c r="AN537" s="53"/>
      <c r="AO537" s="53"/>
      <c r="AP537" s="53"/>
      <c r="AQ537" s="53"/>
      <c r="AR537" s="54"/>
      <c r="AS537" s="61"/>
      <c r="AT537" s="62"/>
      <c r="AU537" s="62"/>
      <c r="AV537" s="62"/>
      <c r="AW537" s="62"/>
      <c r="AX537" s="63"/>
      <c r="AY537" s="68"/>
      <c r="AZ537" s="69"/>
      <c r="BA537" s="70"/>
      <c r="BB537" s="7"/>
    </row>
    <row r="538" spans="7:54" x14ac:dyDescent="0.15">
      <c r="G538" s="7"/>
      <c r="H538" s="38"/>
      <c r="I538" s="39"/>
      <c r="J538" s="39"/>
      <c r="K538" s="39"/>
      <c r="L538" s="39"/>
      <c r="M538" s="39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1"/>
      <c r="AC538" s="39"/>
      <c r="AD538" s="39"/>
      <c r="AE538" s="39"/>
      <c r="AF538" s="39"/>
      <c r="AG538" s="40"/>
      <c r="AH538" s="40"/>
      <c r="AI538" s="41"/>
      <c r="AJ538" s="41"/>
      <c r="AK538" s="41"/>
      <c r="AL538" s="52"/>
      <c r="AM538" s="53"/>
      <c r="AN538" s="53"/>
      <c r="AO538" s="53"/>
      <c r="AP538" s="53"/>
      <c r="AQ538" s="53"/>
      <c r="AR538" s="54"/>
      <c r="AS538" s="61"/>
      <c r="AT538" s="62"/>
      <c r="AU538" s="62"/>
      <c r="AV538" s="62"/>
      <c r="AW538" s="62"/>
      <c r="AX538" s="63"/>
      <c r="AY538" s="68"/>
      <c r="AZ538" s="69"/>
      <c r="BA538" s="70"/>
      <c r="BB538" s="7"/>
    </row>
    <row r="539" spans="7:54" x14ac:dyDescent="0.15">
      <c r="G539" s="7"/>
      <c r="H539" s="38"/>
      <c r="I539" s="39"/>
      <c r="J539" s="39"/>
      <c r="K539" s="39"/>
      <c r="L539" s="39"/>
      <c r="M539" s="39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1"/>
      <c r="AC539" s="39"/>
      <c r="AD539" s="39"/>
      <c r="AE539" s="39"/>
      <c r="AF539" s="39"/>
      <c r="AG539" s="40"/>
      <c r="AH539" s="40"/>
      <c r="AI539" s="41"/>
      <c r="AJ539" s="41"/>
      <c r="AK539" s="41"/>
      <c r="AL539" s="52"/>
      <c r="AM539" s="53"/>
      <c r="AN539" s="53"/>
      <c r="AO539" s="53"/>
      <c r="AP539" s="53"/>
      <c r="AQ539" s="53"/>
      <c r="AR539" s="54"/>
      <c r="AS539" s="61"/>
      <c r="AT539" s="62"/>
      <c r="AU539" s="62"/>
      <c r="AV539" s="62"/>
      <c r="AW539" s="62"/>
      <c r="AX539" s="63"/>
      <c r="AY539" s="68"/>
      <c r="AZ539" s="69"/>
      <c r="BA539" s="70"/>
      <c r="BB539" s="7"/>
    </row>
    <row r="540" spans="7:54" x14ac:dyDescent="0.15">
      <c r="G540" s="7"/>
      <c r="H540" s="38"/>
      <c r="I540" s="39"/>
      <c r="J540" s="39"/>
      <c r="K540" s="39"/>
      <c r="L540" s="39"/>
      <c r="M540" s="39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1"/>
      <c r="AC540" s="39"/>
      <c r="AD540" s="39"/>
      <c r="AE540" s="39"/>
      <c r="AF540" s="39"/>
      <c r="AG540" s="40"/>
      <c r="AH540" s="40"/>
      <c r="AI540" s="41"/>
      <c r="AJ540" s="41"/>
      <c r="AK540" s="41"/>
      <c r="AL540" s="52"/>
      <c r="AM540" s="53"/>
      <c r="AN540" s="53"/>
      <c r="AO540" s="53"/>
      <c r="AP540" s="53"/>
      <c r="AQ540" s="53"/>
      <c r="AR540" s="54"/>
      <c r="AS540" s="61"/>
      <c r="AT540" s="62"/>
      <c r="AU540" s="62"/>
      <c r="AV540" s="62"/>
      <c r="AW540" s="62"/>
      <c r="AX540" s="63"/>
      <c r="AY540" s="68"/>
      <c r="AZ540" s="69"/>
      <c r="BA540" s="70"/>
      <c r="BB540" s="7"/>
    </row>
    <row r="541" spans="7:54" x14ac:dyDescent="0.15">
      <c r="G541" s="7"/>
      <c r="H541" s="38"/>
      <c r="I541" s="39"/>
      <c r="J541" s="39"/>
      <c r="K541" s="39"/>
      <c r="L541" s="39"/>
      <c r="M541" s="39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1"/>
      <c r="AC541" s="39"/>
      <c r="AD541" s="39"/>
      <c r="AE541" s="39"/>
      <c r="AF541" s="39"/>
      <c r="AG541" s="40"/>
      <c r="AH541" s="40"/>
      <c r="AI541" s="41"/>
      <c r="AJ541" s="41"/>
      <c r="AK541" s="41"/>
      <c r="AL541" s="52"/>
      <c r="AM541" s="53"/>
      <c r="AN541" s="53"/>
      <c r="AO541" s="53"/>
      <c r="AP541" s="53"/>
      <c r="AQ541" s="53"/>
      <c r="AR541" s="54"/>
      <c r="AS541" s="61"/>
      <c r="AT541" s="62"/>
      <c r="AU541" s="62"/>
      <c r="AV541" s="62"/>
      <c r="AW541" s="62"/>
      <c r="AX541" s="63"/>
      <c r="AY541" s="68"/>
      <c r="AZ541" s="69"/>
      <c r="BA541" s="70"/>
      <c r="BB541" s="7"/>
    </row>
    <row r="542" spans="7:54" x14ac:dyDescent="0.15">
      <c r="G542" s="7"/>
      <c r="H542" s="38"/>
      <c r="I542" s="39"/>
      <c r="J542" s="39"/>
      <c r="K542" s="39"/>
      <c r="L542" s="39"/>
      <c r="M542" s="39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1"/>
      <c r="AC542" s="39"/>
      <c r="AD542" s="39"/>
      <c r="AE542" s="39"/>
      <c r="AF542" s="39"/>
      <c r="AG542" s="40"/>
      <c r="AH542" s="40"/>
      <c r="AI542" s="41"/>
      <c r="AJ542" s="41"/>
      <c r="AK542" s="41"/>
      <c r="AL542" s="52"/>
      <c r="AM542" s="53"/>
      <c r="AN542" s="53"/>
      <c r="AO542" s="53"/>
      <c r="AP542" s="53"/>
      <c r="AQ542" s="53"/>
      <c r="AR542" s="54"/>
      <c r="AS542" s="61"/>
      <c r="AT542" s="62"/>
      <c r="AU542" s="62"/>
      <c r="AV542" s="62"/>
      <c r="AW542" s="62"/>
      <c r="AX542" s="63"/>
      <c r="AY542" s="68"/>
      <c r="AZ542" s="69"/>
      <c r="BA542" s="70"/>
      <c r="BB542" s="7"/>
    </row>
    <row r="543" spans="7:54" x14ac:dyDescent="0.15">
      <c r="G543" s="7"/>
      <c r="H543" s="38"/>
      <c r="I543" s="39"/>
      <c r="J543" s="39"/>
      <c r="K543" s="39"/>
      <c r="L543" s="39"/>
      <c r="M543" s="39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1"/>
      <c r="AC543" s="39"/>
      <c r="AD543" s="39"/>
      <c r="AE543" s="39"/>
      <c r="AF543" s="39"/>
      <c r="AG543" s="40"/>
      <c r="AH543" s="40"/>
      <c r="AI543" s="41"/>
      <c r="AJ543" s="41"/>
      <c r="AK543" s="41"/>
      <c r="AL543" s="52"/>
      <c r="AM543" s="53"/>
      <c r="AN543" s="53"/>
      <c r="AO543" s="53"/>
      <c r="AP543" s="53"/>
      <c r="AQ543" s="53"/>
      <c r="AR543" s="54"/>
      <c r="AS543" s="61"/>
      <c r="AT543" s="62"/>
      <c r="AU543" s="62"/>
      <c r="AV543" s="62"/>
      <c r="AW543" s="62"/>
      <c r="AX543" s="63"/>
      <c r="AY543" s="68"/>
      <c r="AZ543" s="69"/>
      <c r="BA543" s="70"/>
      <c r="BB543" s="7"/>
    </row>
    <row r="544" spans="7:54" x14ac:dyDescent="0.15">
      <c r="G544" s="7"/>
      <c r="H544" s="38"/>
      <c r="I544" s="39"/>
      <c r="J544" s="39"/>
      <c r="K544" s="39"/>
      <c r="L544" s="39"/>
      <c r="M544" s="39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1"/>
      <c r="AC544" s="39"/>
      <c r="AD544" s="39"/>
      <c r="AE544" s="39"/>
      <c r="AF544" s="39"/>
      <c r="AG544" s="40"/>
      <c r="AH544" s="40"/>
      <c r="AI544" s="41"/>
      <c r="AJ544" s="41"/>
      <c r="AK544" s="41"/>
      <c r="AL544" s="52"/>
      <c r="AM544" s="53"/>
      <c r="AN544" s="53"/>
      <c r="AO544" s="53"/>
      <c r="AP544" s="53"/>
      <c r="AQ544" s="53"/>
      <c r="AR544" s="54"/>
      <c r="AS544" s="61"/>
      <c r="AT544" s="62"/>
      <c r="AU544" s="62"/>
      <c r="AV544" s="62"/>
      <c r="AW544" s="62"/>
      <c r="AX544" s="63"/>
      <c r="AY544" s="68"/>
      <c r="AZ544" s="69"/>
      <c r="BA544" s="70"/>
      <c r="BB544" s="7"/>
    </row>
    <row r="545" spans="7:54" x14ac:dyDescent="0.15">
      <c r="G545" s="7"/>
      <c r="H545" s="38"/>
      <c r="I545" s="39"/>
      <c r="J545" s="39"/>
      <c r="K545" s="39"/>
      <c r="L545" s="39"/>
      <c r="M545" s="39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1"/>
      <c r="AC545" s="39"/>
      <c r="AD545" s="39"/>
      <c r="AE545" s="39"/>
      <c r="AF545" s="39"/>
      <c r="AG545" s="40"/>
      <c r="AH545" s="40"/>
      <c r="AI545" s="41"/>
      <c r="AJ545" s="41"/>
      <c r="AK545" s="41"/>
      <c r="AL545" s="52"/>
      <c r="AM545" s="53"/>
      <c r="AN545" s="53"/>
      <c r="AO545" s="53"/>
      <c r="AP545" s="53"/>
      <c r="AQ545" s="53"/>
      <c r="AR545" s="54"/>
      <c r="AS545" s="61"/>
      <c r="AT545" s="62"/>
      <c r="AU545" s="62"/>
      <c r="AV545" s="62"/>
      <c r="AW545" s="62"/>
      <c r="AX545" s="63"/>
      <c r="AY545" s="68"/>
      <c r="AZ545" s="69"/>
      <c r="BA545" s="70"/>
      <c r="BB545" s="7"/>
    </row>
    <row r="546" spans="7:54" x14ac:dyDescent="0.15">
      <c r="G546" s="7"/>
      <c r="H546" s="38"/>
      <c r="I546" s="39"/>
      <c r="J546" s="39"/>
      <c r="K546" s="39"/>
      <c r="L546" s="39"/>
      <c r="M546" s="39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1"/>
      <c r="AC546" s="39"/>
      <c r="AD546" s="39"/>
      <c r="AE546" s="39"/>
      <c r="AF546" s="39"/>
      <c r="AG546" s="40"/>
      <c r="AH546" s="40"/>
      <c r="AI546" s="41"/>
      <c r="AJ546" s="41"/>
      <c r="AK546" s="41"/>
      <c r="AL546" s="52"/>
      <c r="AM546" s="53"/>
      <c r="AN546" s="53"/>
      <c r="AO546" s="53"/>
      <c r="AP546" s="53"/>
      <c r="AQ546" s="53"/>
      <c r="AR546" s="54"/>
      <c r="AS546" s="61"/>
      <c r="AT546" s="62"/>
      <c r="AU546" s="62"/>
      <c r="AV546" s="62"/>
      <c r="AW546" s="62"/>
      <c r="AX546" s="63"/>
      <c r="AY546" s="68"/>
      <c r="AZ546" s="69"/>
      <c r="BA546" s="70"/>
      <c r="BB546" s="7"/>
    </row>
    <row r="547" spans="7:54" x14ac:dyDescent="0.15">
      <c r="G547" s="7"/>
      <c r="H547" s="38"/>
      <c r="I547" s="39"/>
      <c r="J547" s="39"/>
      <c r="K547" s="39"/>
      <c r="L547" s="39"/>
      <c r="M547" s="39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1"/>
      <c r="AC547" s="39"/>
      <c r="AD547" s="39"/>
      <c r="AE547" s="39"/>
      <c r="AF547" s="39"/>
      <c r="AG547" s="40"/>
      <c r="AH547" s="40"/>
      <c r="AI547" s="41"/>
      <c r="AJ547" s="41"/>
      <c r="AK547" s="41"/>
      <c r="AL547" s="52"/>
      <c r="AM547" s="53"/>
      <c r="AN547" s="53"/>
      <c r="AO547" s="53"/>
      <c r="AP547" s="53"/>
      <c r="AQ547" s="53"/>
      <c r="AR547" s="54"/>
      <c r="AS547" s="61"/>
      <c r="AT547" s="62"/>
      <c r="AU547" s="62"/>
      <c r="AV547" s="62"/>
      <c r="AW547" s="62"/>
      <c r="AX547" s="63"/>
      <c r="AY547" s="68"/>
      <c r="AZ547" s="69"/>
      <c r="BA547" s="70"/>
      <c r="BB547" s="7"/>
    </row>
    <row r="548" spans="7:54" x14ac:dyDescent="0.15">
      <c r="G548" s="7"/>
      <c r="H548" s="38"/>
      <c r="I548" s="39"/>
      <c r="J548" s="39"/>
      <c r="K548" s="39"/>
      <c r="L548" s="39"/>
      <c r="M548" s="39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1"/>
      <c r="AC548" s="39"/>
      <c r="AD548" s="39"/>
      <c r="AE548" s="39"/>
      <c r="AF548" s="39"/>
      <c r="AG548" s="40"/>
      <c r="AH548" s="40"/>
      <c r="AI548" s="41"/>
      <c r="AJ548" s="41"/>
      <c r="AK548" s="41"/>
      <c r="AL548" s="52"/>
      <c r="AM548" s="53"/>
      <c r="AN548" s="53"/>
      <c r="AO548" s="53"/>
      <c r="AP548" s="53"/>
      <c r="AQ548" s="53"/>
      <c r="AR548" s="54"/>
      <c r="AS548" s="61"/>
      <c r="AT548" s="62"/>
      <c r="AU548" s="62"/>
      <c r="AV548" s="62"/>
      <c r="AW548" s="62"/>
      <c r="AX548" s="63"/>
      <c r="AY548" s="68"/>
      <c r="AZ548" s="69"/>
      <c r="BA548" s="70"/>
      <c r="BB548" s="7"/>
    </row>
    <row r="549" spans="7:54" x14ac:dyDescent="0.15">
      <c r="G549" s="7"/>
      <c r="H549" s="38"/>
      <c r="I549" s="39"/>
      <c r="J549" s="39"/>
      <c r="K549" s="39"/>
      <c r="L549" s="39"/>
      <c r="M549" s="39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1"/>
      <c r="AC549" s="39"/>
      <c r="AD549" s="39"/>
      <c r="AE549" s="39"/>
      <c r="AF549" s="39"/>
      <c r="AG549" s="40"/>
      <c r="AH549" s="40"/>
      <c r="AI549" s="41"/>
      <c r="AJ549" s="41"/>
      <c r="AK549" s="41"/>
      <c r="AL549" s="52"/>
      <c r="AM549" s="53"/>
      <c r="AN549" s="53"/>
      <c r="AO549" s="53"/>
      <c r="AP549" s="53"/>
      <c r="AQ549" s="53"/>
      <c r="AR549" s="54"/>
      <c r="AS549" s="61"/>
      <c r="AT549" s="62"/>
      <c r="AU549" s="62"/>
      <c r="AV549" s="62"/>
      <c r="AW549" s="62"/>
      <c r="AX549" s="63"/>
      <c r="AY549" s="68"/>
      <c r="AZ549" s="69"/>
      <c r="BA549" s="70"/>
      <c r="BB549" s="7"/>
    </row>
    <row r="550" spans="7:54" x14ac:dyDescent="0.15">
      <c r="G550" s="7"/>
      <c r="H550" s="38"/>
      <c r="I550" s="39"/>
      <c r="J550" s="39"/>
      <c r="K550" s="39"/>
      <c r="L550" s="39"/>
      <c r="M550" s="39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1"/>
      <c r="AC550" s="39"/>
      <c r="AD550" s="39"/>
      <c r="AE550" s="39"/>
      <c r="AF550" s="39"/>
      <c r="AG550" s="40"/>
      <c r="AH550" s="40"/>
      <c r="AI550" s="41"/>
      <c r="AJ550" s="41"/>
      <c r="AK550" s="41"/>
      <c r="AL550" s="52"/>
      <c r="AM550" s="53"/>
      <c r="AN550" s="53"/>
      <c r="AO550" s="53"/>
      <c r="AP550" s="53"/>
      <c r="AQ550" s="53"/>
      <c r="AR550" s="54"/>
      <c r="AS550" s="61"/>
      <c r="AT550" s="62"/>
      <c r="AU550" s="62"/>
      <c r="AV550" s="62"/>
      <c r="AW550" s="62"/>
      <c r="AX550" s="63"/>
      <c r="AY550" s="68"/>
      <c r="AZ550" s="69"/>
      <c r="BA550" s="70"/>
      <c r="BB550" s="7"/>
    </row>
    <row r="551" spans="7:54" x14ac:dyDescent="0.15">
      <c r="G551" s="7"/>
      <c r="H551" s="38"/>
      <c r="I551" s="39"/>
      <c r="J551" s="39"/>
      <c r="K551" s="39"/>
      <c r="L551" s="39"/>
      <c r="M551" s="39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1"/>
      <c r="AC551" s="39"/>
      <c r="AD551" s="39"/>
      <c r="AE551" s="39"/>
      <c r="AF551" s="39"/>
      <c r="AG551" s="40"/>
      <c r="AH551" s="40"/>
      <c r="AI551" s="41"/>
      <c r="AJ551" s="41"/>
      <c r="AK551" s="41"/>
      <c r="AL551" s="52"/>
      <c r="AM551" s="53"/>
      <c r="AN551" s="53"/>
      <c r="AO551" s="53"/>
      <c r="AP551" s="53"/>
      <c r="AQ551" s="53"/>
      <c r="AR551" s="54"/>
      <c r="AS551" s="61"/>
      <c r="AT551" s="62"/>
      <c r="AU551" s="62"/>
      <c r="AV551" s="62"/>
      <c r="AW551" s="62"/>
      <c r="AX551" s="63"/>
      <c r="AY551" s="68"/>
      <c r="AZ551" s="69"/>
      <c r="BA551" s="70"/>
      <c r="BB551" s="7"/>
    </row>
    <row r="552" spans="7:54" x14ac:dyDescent="0.15">
      <c r="G552" s="7"/>
      <c r="H552" s="38"/>
      <c r="I552" s="39"/>
      <c r="J552" s="39"/>
      <c r="K552" s="39"/>
      <c r="L552" s="39"/>
      <c r="M552" s="39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1"/>
      <c r="AC552" s="39"/>
      <c r="AD552" s="39"/>
      <c r="AE552" s="39"/>
      <c r="AF552" s="39"/>
      <c r="AG552" s="40"/>
      <c r="AH552" s="40"/>
      <c r="AI552" s="41"/>
      <c r="AJ552" s="41"/>
      <c r="AK552" s="41"/>
      <c r="AL552" s="52"/>
      <c r="AM552" s="53"/>
      <c r="AN552" s="53"/>
      <c r="AO552" s="53"/>
      <c r="AP552" s="53"/>
      <c r="AQ552" s="53"/>
      <c r="AR552" s="54"/>
      <c r="AS552" s="61"/>
      <c r="AT552" s="62"/>
      <c r="AU552" s="62"/>
      <c r="AV552" s="62"/>
      <c r="AW552" s="62"/>
      <c r="AX552" s="63"/>
      <c r="AY552" s="68"/>
      <c r="AZ552" s="69"/>
      <c r="BA552" s="70"/>
      <c r="BB552" s="7"/>
    </row>
    <row r="553" spans="7:54" x14ac:dyDescent="0.15">
      <c r="G553" s="7"/>
      <c r="H553" s="38"/>
      <c r="I553" s="39"/>
      <c r="J553" s="39"/>
      <c r="K553" s="39"/>
      <c r="L553" s="39"/>
      <c r="M553" s="39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1"/>
      <c r="AC553" s="39"/>
      <c r="AD553" s="39"/>
      <c r="AE553" s="39"/>
      <c r="AF553" s="39"/>
      <c r="AG553" s="40"/>
      <c r="AH553" s="40"/>
      <c r="AI553" s="41"/>
      <c r="AJ553" s="41"/>
      <c r="AK553" s="41"/>
      <c r="AL553" s="52"/>
      <c r="AM553" s="53"/>
      <c r="AN553" s="53"/>
      <c r="AO553" s="53"/>
      <c r="AP553" s="53"/>
      <c r="AQ553" s="53"/>
      <c r="AR553" s="54"/>
      <c r="AS553" s="61"/>
      <c r="AT553" s="62"/>
      <c r="AU553" s="62"/>
      <c r="AV553" s="62"/>
      <c r="AW553" s="62"/>
      <c r="AX553" s="63"/>
      <c r="AY553" s="68"/>
      <c r="AZ553" s="69"/>
      <c r="BA553" s="70"/>
      <c r="BB553" s="7"/>
    </row>
    <row r="554" spans="7:54" x14ac:dyDescent="0.15">
      <c r="G554" s="7"/>
      <c r="H554" s="38"/>
      <c r="I554" s="39"/>
      <c r="J554" s="39"/>
      <c r="K554" s="39"/>
      <c r="L554" s="39"/>
      <c r="M554" s="39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1"/>
      <c r="AC554" s="39"/>
      <c r="AD554" s="39"/>
      <c r="AE554" s="39"/>
      <c r="AF554" s="39"/>
      <c r="AG554" s="40"/>
      <c r="AH554" s="40"/>
      <c r="AI554" s="41"/>
      <c r="AJ554" s="41"/>
      <c r="AK554" s="41"/>
      <c r="AL554" s="52"/>
      <c r="AM554" s="53"/>
      <c r="AN554" s="53"/>
      <c r="AO554" s="53"/>
      <c r="AP554" s="53"/>
      <c r="AQ554" s="53"/>
      <c r="AR554" s="54"/>
      <c r="AS554" s="61"/>
      <c r="AT554" s="62"/>
      <c r="AU554" s="62"/>
      <c r="AV554" s="62"/>
      <c r="AW554" s="62"/>
      <c r="AX554" s="63"/>
      <c r="AY554" s="68"/>
      <c r="AZ554" s="69"/>
      <c r="BA554" s="70"/>
      <c r="BB554" s="7"/>
    </row>
    <row r="555" spans="7:54" x14ac:dyDescent="0.15">
      <c r="G555" s="7"/>
      <c r="H555" s="38"/>
      <c r="I555" s="39"/>
      <c r="J555" s="39"/>
      <c r="K555" s="39"/>
      <c r="L555" s="39"/>
      <c r="M555" s="39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1"/>
      <c r="AC555" s="39"/>
      <c r="AD555" s="39"/>
      <c r="AE555" s="39"/>
      <c r="AF555" s="39"/>
      <c r="AG555" s="40"/>
      <c r="AH555" s="40"/>
      <c r="AI555" s="41"/>
      <c r="AJ555" s="41"/>
      <c r="AK555" s="41"/>
      <c r="AL555" s="52"/>
      <c r="AM555" s="53"/>
      <c r="AN555" s="53"/>
      <c r="AO555" s="53"/>
      <c r="AP555" s="53"/>
      <c r="AQ555" s="53"/>
      <c r="AR555" s="54"/>
      <c r="AS555" s="61"/>
      <c r="AT555" s="62"/>
      <c r="AU555" s="62"/>
      <c r="AV555" s="62"/>
      <c r="AW555" s="62"/>
      <c r="AX555" s="63"/>
      <c r="AY555" s="68"/>
      <c r="AZ555" s="69"/>
      <c r="BA555" s="70"/>
      <c r="BB555" s="7"/>
    </row>
    <row r="556" spans="7:54" x14ac:dyDescent="0.15">
      <c r="G556" s="7"/>
      <c r="H556" s="38"/>
      <c r="I556" s="39"/>
      <c r="J556" s="39"/>
      <c r="K556" s="39"/>
      <c r="L556" s="39"/>
      <c r="M556" s="39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1"/>
      <c r="AC556" s="39"/>
      <c r="AD556" s="39"/>
      <c r="AE556" s="39"/>
      <c r="AF556" s="39"/>
      <c r="AG556" s="40"/>
      <c r="AH556" s="40"/>
      <c r="AI556" s="41"/>
      <c r="AJ556" s="41"/>
      <c r="AK556" s="41"/>
      <c r="AL556" s="52"/>
      <c r="AM556" s="53"/>
      <c r="AN556" s="53"/>
      <c r="AO556" s="53"/>
      <c r="AP556" s="53"/>
      <c r="AQ556" s="53"/>
      <c r="AR556" s="54"/>
      <c r="AS556" s="61"/>
      <c r="AT556" s="62"/>
      <c r="AU556" s="62"/>
      <c r="AV556" s="62"/>
      <c r="AW556" s="62"/>
      <c r="AX556" s="63"/>
      <c r="AY556" s="68"/>
      <c r="AZ556" s="69"/>
      <c r="BA556" s="70"/>
      <c r="BB556" s="7"/>
    </row>
    <row r="557" spans="7:54" x14ac:dyDescent="0.15">
      <c r="G557" s="7"/>
      <c r="H557" s="38"/>
      <c r="I557" s="39"/>
      <c r="J557" s="39"/>
      <c r="K557" s="39"/>
      <c r="L557" s="39"/>
      <c r="M557" s="39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1"/>
      <c r="AC557" s="39"/>
      <c r="AD557" s="39"/>
      <c r="AE557" s="39"/>
      <c r="AF557" s="39"/>
      <c r="AG557" s="40"/>
      <c r="AH557" s="40"/>
      <c r="AI557" s="41"/>
      <c r="AJ557" s="41"/>
      <c r="AK557" s="41"/>
      <c r="AL557" s="52"/>
      <c r="AM557" s="53"/>
      <c r="AN557" s="53"/>
      <c r="AO557" s="53"/>
      <c r="AP557" s="53"/>
      <c r="AQ557" s="53"/>
      <c r="AR557" s="54"/>
      <c r="AS557" s="61"/>
      <c r="AT557" s="62"/>
      <c r="AU557" s="62"/>
      <c r="AV557" s="62"/>
      <c r="AW557" s="62"/>
      <c r="AX557" s="63"/>
      <c r="AY557" s="68"/>
      <c r="AZ557" s="69"/>
      <c r="BA557" s="70"/>
      <c r="BB557" s="7"/>
    </row>
    <row r="558" spans="7:54" x14ac:dyDescent="0.15">
      <c r="G558" s="7"/>
      <c r="H558" s="38"/>
      <c r="I558" s="39"/>
      <c r="J558" s="39"/>
      <c r="K558" s="39"/>
      <c r="L558" s="39"/>
      <c r="M558" s="39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1"/>
      <c r="AC558" s="39"/>
      <c r="AD558" s="39"/>
      <c r="AE558" s="39"/>
      <c r="AF558" s="39"/>
      <c r="AG558" s="40"/>
      <c r="AH558" s="40"/>
      <c r="AI558" s="41"/>
      <c r="AJ558" s="41"/>
      <c r="AK558" s="41"/>
      <c r="AL558" s="52"/>
      <c r="AM558" s="53"/>
      <c r="AN558" s="53"/>
      <c r="AO558" s="53"/>
      <c r="AP558" s="53"/>
      <c r="AQ558" s="53"/>
      <c r="AR558" s="54"/>
      <c r="AS558" s="61"/>
      <c r="AT558" s="62"/>
      <c r="AU558" s="62"/>
      <c r="AV558" s="62"/>
      <c r="AW558" s="62"/>
      <c r="AX558" s="63"/>
      <c r="AY558" s="68"/>
      <c r="AZ558" s="69"/>
      <c r="BA558" s="70"/>
      <c r="BB558" s="7"/>
    </row>
    <row r="559" spans="7:54" x14ac:dyDescent="0.15">
      <c r="G559" s="7"/>
      <c r="H559" s="38"/>
      <c r="I559" s="39"/>
      <c r="J559" s="39"/>
      <c r="K559" s="39"/>
      <c r="L559" s="39"/>
      <c r="M559" s="39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1"/>
      <c r="AC559" s="39"/>
      <c r="AD559" s="39"/>
      <c r="AE559" s="39"/>
      <c r="AF559" s="39"/>
      <c r="AG559" s="40"/>
      <c r="AH559" s="40"/>
      <c r="AI559" s="41"/>
      <c r="AJ559" s="41"/>
      <c r="AK559" s="41"/>
      <c r="AL559" s="52"/>
      <c r="AM559" s="53"/>
      <c r="AN559" s="53"/>
      <c r="AO559" s="53"/>
      <c r="AP559" s="53"/>
      <c r="AQ559" s="53"/>
      <c r="AR559" s="54"/>
      <c r="AS559" s="61"/>
      <c r="AT559" s="62"/>
      <c r="AU559" s="62"/>
      <c r="AV559" s="62"/>
      <c r="AW559" s="62"/>
      <c r="AX559" s="63"/>
      <c r="AY559" s="68"/>
      <c r="AZ559" s="69"/>
      <c r="BA559" s="70"/>
      <c r="BB559" s="7"/>
    </row>
    <row r="560" spans="7:54" x14ac:dyDescent="0.15">
      <c r="G560" s="7"/>
      <c r="H560" s="38"/>
      <c r="I560" s="39"/>
      <c r="J560" s="39"/>
      <c r="K560" s="39"/>
      <c r="L560" s="39"/>
      <c r="M560" s="39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1"/>
      <c r="AC560" s="39"/>
      <c r="AD560" s="39"/>
      <c r="AE560" s="39"/>
      <c r="AF560" s="39"/>
      <c r="AG560" s="40"/>
      <c r="AH560" s="40"/>
      <c r="AI560" s="41"/>
      <c r="AJ560" s="41"/>
      <c r="AK560" s="41"/>
      <c r="AL560" s="52"/>
      <c r="AM560" s="53"/>
      <c r="AN560" s="53"/>
      <c r="AO560" s="53"/>
      <c r="AP560" s="53"/>
      <c r="AQ560" s="53"/>
      <c r="AR560" s="54"/>
      <c r="AS560" s="61"/>
      <c r="AT560" s="62"/>
      <c r="AU560" s="62"/>
      <c r="AV560" s="62"/>
      <c r="AW560" s="62"/>
      <c r="AX560" s="63"/>
      <c r="AY560" s="68"/>
      <c r="AZ560" s="69"/>
      <c r="BA560" s="70"/>
      <c r="BB560" s="7"/>
    </row>
    <row r="561" spans="7:54" x14ac:dyDescent="0.15">
      <c r="G561" s="7"/>
      <c r="H561" s="38"/>
      <c r="I561" s="39"/>
      <c r="J561" s="39"/>
      <c r="K561" s="39"/>
      <c r="L561" s="39"/>
      <c r="M561" s="39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1"/>
      <c r="AC561" s="39"/>
      <c r="AD561" s="39"/>
      <c r="AE561" s="39"/>
      <c r="AF561" s="39"/>
      <c r="AG561" s="40"/>
      <c r="AH561" s="40"/>
      <c r="AI561" s="41"/>
      <c r="AJ561" s="41"/>
      <c r="AK561" s="41"/>
      <c r="AL561" s="52"/>
      <c r="AM561" s="53"/>
      <c r="AN561" s="53"/>
      <c r="AO561" s="53"/>
      <c r="AP561" s="53"/>
      <c r="AQ561" s="53"/>
      <c r="AR561" s="54"/>
      <c r="AS561" s="61"/>
      <c r="AT561" s="62"/>
      <c r="AU561" s="62"/>
      <c r="AV561" s="62"/>
      <c r="AW561" s="62"/>
      <c r="AX561" s="63"/>
      <c r="AY561" s="68"/>
      <c r="AZ561" s="69"/>
      <c r="BA561" s="70"/>
      <c r="BB561" s="7"/>
    </row>
    <row r="562" spans="7:54" x14ac:dyDescent="0.15">
      <c r="G562" s="7"/>
      <c r="H562" s="38"/>
      <c r="I562" s="39"/>
      <c r="J562" s="39"/>
      <c r="K562" s="39"/>
      <c r="L562" s="39"/>
      <c r="M562" s="39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1"/>
      <c r="AC562" s="39"/>
      <c r="AD562" s="39"/>
      <c r="AE562" s="39"/>
      <c r="AF562" s="39"/>
      <c r="AG562" s="40"/>
      <c r="AH562" s="40"/>
      <c r="AI562" s="41"/>
      <c r="AJ562" s="41"/>
      <c r="AK562" s="41"/>
      <c r="AL562" s="52"/>
      <c r="AM562" s="53"/>
      <c r="AN562" s="53"/>
      <c r="AO562" s="53"/>
      <c r="AP562" s="53"/>
      <c r="AQ562" s="53"/>
      <c r="AR562" s="54"/>
      <c r="AS562" s="61"/>
      <c r="AT562" s="62"/>
      <c r="AU562" s="62"/>
      <c r="AV562" s="62"/>
      <c r="AW562" s="62"/>
      <c r="AX562" s="63"/>
      <c r="AY562" s="68"/>
      <c r="AZ562" s="69"/>
      <c r="BA562" s="70"/>
      <c r="BB562" s="7"/>
    </row>
    <row r="563" spans="7:54" x14ac:dyDescent="0.15">
      <c r="G563" s="7"/>
      <c r="H563" s="38"/>
      <c r="I563" s="39"/>
      <c r="J563" s="39"/>
      <c r="K563" s="39"/>
      <c r="L563" s="39"/>
      <c r="M563" s="39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1"/>
      <c r="AC563" s="39"/>
      <c r="AD563" s="39"/>
      <c r="AE563" s="39"/>
      <c r="AF563" s="39"/>
      <c r="AG563" s="40"/>
      <c r="AH563" s="40"/>
      <c r="AI563" s="41"/>
      <c r="AJ563" s="41"/>
      <c r="AK563" s="41"/>
      <c r="AL563" s="52"/>
      <c r="AM563" s="53"/>
      <c r="AN563" s="53"/>
      <c r="AO563" s="53"/>
      <c r="AP563" s="53"/>
      <c r="AQ563" s="53"/>
      <c r="AR563" s="54"/>
      <c r="AS563" s="61"/>
      <c r="AT563" s="62"/>
      <c r="AU563" s="62"/>
      <c r="AV563" s="62"/>
      <c r="AW563" s="62"/>
      <c r="AX563" s="63"/>
      <c r="AY563" s="68"/>
      <c r="AZ563" s="69"/>
      <c r="BA563" s="70"/>
      <c r="BB563" s="7"/>
    </row>
    <row r="564" spans="7:54" x14ac:dyDescent="0.15">
      <c r="G564" s="7"/>
      <c r="H564" s="38"/>
      <c r="I564" s="39"/>
      <c r="J564" s="39"/>
      <c r="K564" s="39"/>
      <c r="L564" s="39"/>
      <c r="M564" s="39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1"/>
      <c r="AC564" s="39"/>
      <c r="AD564" s="39"/>
      <c r="AE564" s="39"/>
      <c r="AF564" s="39"/>
      <c r="AG564" s="40"/>
      <c r="AH564" s="40"/>
      <c r="AI564" s="41"/>
      <c r="AJ564" s="41"/>
      <c r="AK564" s="41"/>
      <c r="AL564" s="52"/>
      <c r="AM564" s="53"/>
      <c r="AN564" s="53"/>
      <c r="AO564" s="53"/>
      <c r="AP564" s="53"/>
      <c r="AQ564" s="53"/>
      <c r="AR564" s="54"/>
      <c r="AS564" s="61"/>
      <c r="AT564" s="62"/>
      <c r="AU564" s="62"/>
      <c r="AV564" s="62"/>
      <c r="AW564" s="62"/>
      <c r="AX564" s="63"/>
      <c r="AY564" s="68"/>
      <c r="AZ564" s="69"/>
      <c r="BA564" s="70"/>
      <c r="BB564" s="7"/>
    </row>
    <row r="565" spans="7:54" x14ac:dyDescent="0.15">
      <c r="G565" s="7"/>
      <c r="H565" s="38"/>
      <c r="I565" s="39"/>
      <c r="J565" s="39"/>
      <c r="K565" s="39"/>
      <c r="L565" s="39"/>
      <c r="M565" s="39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1"/>
      <c r="AC565" s="39"/>
      <c r="AD565" s="39"/>
      <c r="AE565" s="39"/>
      <c r="AF565" s="39"/>
      <c r="AG565" s="40"/>
      <c r="AH565" s="40"/>
      <c r="AI565" s="41"/>
      <c r="AJ565" s="41"/>
      <c r="AK565" s="41"/>
      <c r="AL565" s="52"/>
      <c r="AM565" s="53"/>
      <c r="AN565" s="53"/>
      <c r="AO565" s="53"/>
      <c r="AP565" s="53"/>
      <c r="AQ565" s="53"/>
      <c r="AR565" s="54"/>
      <c r="AS565" s="61"/>
      <c r="AT565" s="62"/>
      <c r="AU565" s="62"/>
      <c r="AV565" s="62"/>
      <c r="AW565" s="62"/>
      <c r="AX565" s="63"/>
      <c r="AY565" s="68"/>
      <c r="AZ565" s="69"/>
      <c r="BA565" s="70"/>
      <c r="BB565" s="7"/>
    </row>
    <row r="566" spans="7:54" x14ac:dyDescent="0.15">
      <c r="G566" s="7"/>
      <c r="H566" s="38"/>
      <c r="I566" s="39"/>
      <c r="J566" s="39"/>
      <c r="K566" s="39"/>
      <c r="L566" s="39"/>
      <c r="M566" s="39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1"/>
      <c r="AC566" s="39"/>
      <c r="AD566" s="39"/>
      <c r="AE566" s="39"/>
      <c r="AF566" s="39"/>
      <c r="AG566" s="40"/>
      <c r="AH566" s="40"/>
      <c r="AI566" s="41"/>
      <c r="AJ566" s="41"/>
      <c r="AK566" s="41"/>
      <c r="AL566" s="52"/>
      <c r="AM566" s="53"/>
      <c r="AN566" s="53"/>
      <c r="AO566" s="53"/>
      <c r="AP566" s="53"/>
      <c r="AQ566" s="53"/>
      <c r="AR566" s="54"/>
      <c r="AS566" s="61"/>
      <c r="AT566" s="62"/>
      <c r="AU566" s="62"/>
      <c r="AV566" s="62"/>
      <c r="AW566" s="62"/>
      <c r="AX566" s="63"/>
      <c r="AY566" s="68"/>
      <c r="AZ566" s="69"/>
      <c r="BA566" s="70"/>
      <c r="BB566" s="7"/>
    </row>
    <row r="567" spans="7:54" x14ac:dyDescent="0.15">
      <c r="G567" s="7"/>
      <c r="H567" s="38"/>
      <c r="I567" s="39"/>
      <c r="J567" s="39"/>
      <c r="K567" s="39"/>
      <c r="L567" s="39"/>
      <c r="M567" s="39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1"/>
      <c r="AC567" s="39"/>
      <c r="AD567" s="39"/>
      <c r="AE567" s="39"/>
      <c r="AF567" s="39"/>
      <c r="AG567" s="40"/>
      <c r="AH567" s="40"/>
      <c r="AI567" s="41"/>
      <c r="AJ567" s="41"/>
      <c r="AK567" s="41"/>
      <c r="AL567" s="52"/>
      <c r="AM567" s="53"/>
      <c r="AN567" s="53"/>
      <c r="AO567" s="53"/>
      <c r="AP567" s="53"/>
      <c r="AQ567" s="53"/>
      <c r="AR567" s="54"/>
      <c r="AS567" s="61"/>
      <c r="AT567" s="62"/>
      <c r="AU567" s="62"/>
      <c r="AV567" s="62"/>
      <c r="AW567" s="62"/>
      <c r="AX567" s="63"/>
      <c r="AY567" s="68"/>
      <c r="AZ567" s="69"/>
      <c r="BA567" s="70"/>
      <c r="BB567" s="7"/>
    </row>
    <row r="568" spans="7:54" x14ac:dyDescent="0.15">
      <c r="G568" s="7"/>
      <c r="H568" s="38"/>
      <c r="I568" s="39"/>
      <c r="J568" s="39"/>
      <c r="K568" s="39"/>
      <c r="L568" s="39"/>
      <c r="M568" s="39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1"/>
      <c r="AC568" s="39"/>
      <c r="AD568" s="39"/>
      <c r="AE568" s="39"/>
      <c r="AF568" s="39"/>
      <c r="AG568" s="40"/>
      <c r="AH568" s="40"/>
      <c r="AI568" s="41"/>
      <c r="AJ568" s="41"/>
      <c r="AK568" s="41"/>
      <c r="AL568" s="52"/>
      <c r="AM568" s="53"/>
      <c r="AN568" s="53"/>
      <c r="AO568" s="53"/>
      <c r="AP568" s="53"/>
      <c r="AQ568" s="53"/>
      <c r="AR568" s="54"/>
      <c r="AS568" s="61"/>
      <c r="AT568" s="62"/>
      <c r="AU568" s="62"/>
      <c r="AV568" s="62"/>
      <c r="AW568" s="62"/>
      <c r="AX568" s="63"/>
      <c r="AY568" s="68"/>
      <c r="AZ568" s="69"/>
      <c r="BA568" s="70"/>
      <c r="BB568" s="7"/>
    </row>
    <row r="569" spans="7:54" x14ac:dyDescent="0.15">
      <c r="G569" s="7"/>
      <c r="H569" s="38"/>
      <c r="I569" s="39"/>
      <c r="J569" s="39"/>
      <c r="K569" s="39"/>
      <c r="L569" s="39"/>
      <c r="M569" s="39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1"/>
      <c r="AC569" s="39"/>
      <c r="AD569" s="39"/>
      <c r="AE569" s="39"/>
      <c r="AF569" s="39"/>
      <c r="AG569" s="40"/>
      <c r="AH569" s="40"/>
      <c r="AI569" s="41"/>
      <c r="AJ569" s="41"/>
      <c r="AK569" s="41"/>
      <c r="AL569" s="52"/>
      <c r="AM569" s="53"/>
      <c r="AN569" s="53"/>
      <c r="AO569" s="53"/>
      <c r="AP569" s="53"/>
      <c r="AQ569" s="53"/>
      <c r="AR569" s="54"/>
      <c r="AS569" s="61"/>
      <c r="AT569" s="62"/>
      <c r="AU569" s="62"/>
      <c r="AV569" s="62"/>
      <c r="AW569" s="62"/>
      <c r="AX569" s="63"/>
      <c r="AY569" s="68"/>
      <c r="AZ569" s="69"/>
      <c r="BA569" s="70"/>
      <c r="BB569" s="7"/>
    </row>
    <row r="570" spans="7:54" x14ac:dyDescent="0.15">
      <c r="G570" s="7"/>
      <c r="H570" s="38"/>
      <c r="I570" s="39"/>
      <c r="J570" s="39"/>
      <c r="K570" s="39"/>
      <c r="L570" s="39"/>
      <c r="M570" s="39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1"/>
      <c r="AC570" s="39"/>
      <c r="AD570" s="39"/>
      <c r="AE570" s="39"/>
      <c r="AF570" s="39"/>
      <c r="AG570" s="40"/>
      <c r="AH570" s="40"/>
      <c r="AI570" s="41"/>
      <c r="AJ570" s="41"/>
      <c r="AK570" s="41"/>
      <c r="AL570" s="52"/>
      <c r="AM570" s="53"/>
      <c r="AN570" s="53"/>
      <c r="AO570" s="53"/>
      <c r="AP570" s="53"/>
      <c r="AQ570" s="53"/>
      <c r="AR570" s="54"/>
      <c r="AS570" s="61"/>
      <c r="AT570" s="62"/>
      <c r="AU570" s="62"/>
      <c r="AV570" s="62"/>
      <c r="AW570" s="62"/>
      <c r="AX570" s="63"/>
      <c r="AY570" s="68"/>
      <c r="AZ570" s="69"/>
      <c r="BA570" s="70"/>
      <c r="BB570" s="7"/>
    </row>
    <row r="571" spans="7:54" x14ac:dyDescent="0.15">
      <c r="G571" s="7"/>
      <c r="H571" s="38"/>
      <c r="I571" s="39"/>
      <c r="J571" s="39"/>
      <c r="K571" s="39"/>
      <c r="L571" s="39"/>
      <c r="M571" s="39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1"/>
      <c r="AC571" s="39"/>
      <c r="AD571" s="39"/>
      <c r="AE571" s="39"/>
      <c r="AF571" s="39"/>
      <c r="AG571" s="40"/>
      <c r="AH571" s="40"/>
      <c r="AI571" s="41"/>
      <c r="AJ571" s="41"/>
      <c r="AK571" s="41"/>
      <c r="AL571" s="52"/>
      <c r="AM571" s="53"/>
      <c r="AN571" s="53"/>
      <c r="AO571" s="53"/>
      <c r="AP571" s="53"/>
      <c r="AQ571" s="53"/>
      <c r="AR571" s="54"/>
      <c r="AS571" s="61"/>
      <c r="AT571" s="62"/>
      <c r="AU571" s="62"/>
      <c r="AV571" s="62"/>
      <c r="AW571" s="62"/>
      <c r="AX571" s="63"/>
      <c r="AY571" s="68"/>
      <c r="AZ571" s="69"/>
      <c r="BA571" s="70"/>
      <c r="BB571" s="7"/>
    </row>
    <row r="572" spans="7:54" x14ac:dyDescent="0.15">
      <c r="G572" s="7"/>
      <c r="H572" s="38"/>
      <c r="I572" s="39"/>
      <c r="J572" s="39"/>
      <c r="K572" s="39"/>
      <c r="L572" s="39"/>
      <c r="M572" s="39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1"/>
      <c r="AC572" s="39"/>
      <c r="AD572" s="39"/>
      <c r="AE572" s="39"/>
      <c r="AF572" s="39"/>
      <c r="AG572" s="40"/>
      <c r="AH572" s="40"/>
      <c r="AI572" s="41"/>
      <c r="AJ572" s="41"/>
      <c r="AK572" s="41"/>
      <c r="AL572" s="52"/>
      <c r="AM572" s="53"/>
      <c r="AN572" s="53"/>
      <c r="AO572" s="53"/>
      <c r="AP572" s="53"/>
      <c r="AQ572" s="53"/>
      <c r="AR572" s="54"/>
      <c r="AS572" s="61"/>
      <c r="AT572" s="62"/>
      <c r="AU572" s="62"/>
      <c r="AV572" s="62"/>
      <c r="AW572" s="62"/>
      <c r="AX572" s="63"/>
      <c r="AY572" s="68"/>
      <c r="AZ572" s="69"/>
      <c r="BA572" s="70"/>
      <c r="BB572" s="7"/>
    </row>
    <row r="573" spans="7:54" x14ac:dyDescent="0.15">
      <c r="G573" s="7"/>
      <c r="H573" s="38"/>
      <c r="I573" s="39"/>
      <c r="J573" s="39"/>
      <c r="K573" s="39"/>
      <c r="L573" s="39"/>
      <c r="M573" s="39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1"/>
      <c r="AC573" s="39"/>
      <c r="AD573" s="39"/>
      <c r="AE573" s="39"/>
      <c r="AF573" s="39"/>
      <c r="AG573" s="40"/>
      <c r="AH573" s="40"/>
      <c r="AI573" s="41"/>
      <c r="AJ573" s="41"/>
      <c r="AK573" s="41"/>
      <c r="AL573" s="52"/>
      <c r="AM573" s="53"/>
      <c r="AN573" s="53"/>
      <c r="AO573" s="53"/>
      <c r="AP573" s="53"/>
      <c r="AQ573" s="53"/>
      <c r="AR573" s="54"/>
      <c r="AS573" s="61"/>
      <c r="AT573" s="62"/>
      <c r="AU573" s="62"/>
      <c r="AV573" s="62"/>
      <c r="AW573" s="62"/>
      <c r="AX573" s="63"/>
      <c r="AY573" s="68"/>
      <c r="AZ573" s="69"/>
      <c r="BA573" s="70"/>
      <c r="BB573" s="7"/>
    </row>
    <row r="574" spans="7:54" x14ac:dyDescent="0.15">
      <c r="G574" s="7"/>
      <c r="H574" s="38"/>
      <c r="I574" s="39"/>
      <c r="J574" s="39"/>
      <c r="K574" s="39"/>
      <c r="L574" s="39"/>
      <c r="M574" s="39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1"/>
      <c r="AC574" s="39"/>
      <c r="AD574" s="39"/>
      <c r="AE574" s="39"/>
      <c r="AF574" s="39"/>
      <c r="AG574" s="40"/>
      <c r="AH574" s="40"/>
      <c r="AI574" s="41"/>
      <c r="AJ574" s="41"/>
      <c r="AK574" s="41"/>
      <c r="AL574" s="52"/>
      <c r="AM574" s="53"/>
      <c r="AN574" s="53"/>
      <c r="AO574" s="53"/>
      <c r="AP574" s="53"/>
      <c r="AQ574" s="53"/>
      <c r="AR574" s="54"/>
      <c r="AS574" s="61"/>
      <c r="AT574" s="62"/>
      <c r="AU574" s="62"/>
      <c r="AV574" s="62"/>
      <c r="AW574" s="62"/>
      <c r="AX574" s="63"/>
      <c r="AY574" s="68"/>
      <c r="AZ574" s="69"/>
      <c r="BA574" s="70"/>
      <c r="BB574" s="7"/>
    </row>
    <row r="575" spans="7:54" x14ac:dyDescent="0.15">
      <c r="G575" s="7"/>
      <c r="H575" s="38"/>
      <c r="I575" s="39"/>
      <c r="J575" s="39"/>
      <c r="K575" s="39"/>
      <c r="L575" s="39"/>
      <c r="M575" s="39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1"/>
      <c r="AC575" s="39"/>
      <c r="AD575" s="39"/>
      <c r="AE575" s="39"/>
      <c r="AF575" s="39"/>
      <c r="AG575" s="40"/>
      <c r="AH575" s="40"/>
      <c r="AI575" s="41"/>
      <c r="AJ575" s="41"/>
      <c r="AK575" s="41"/>
      <c r="AL575" s="52"/>
      <c r="AM575" s="53"/>
      <c r="AN575" s="53"/>
      <c r="AO575" s="53"/>
      <c r="AP575" s="53"/>
      <c r="AQ575" s="53"/>
      <c r="AR575" s="54"/>
      <c r="AS575" s="61"/>
      <c r="AT575" s="62"/>
      <c r="AU575" s="62"/>
      <c r="AV575" s="62"/>
      <c r="AW575" s="62"/>
      <c r="AX575" s="63"/>
      <c r="AY575" s="68"/>
      <c r="AZ575" s="69"/>
      <c r="BA575" s="70"/>
      <c r="BB575" s="7"/>
    </row>
    <row r="576" spans="7:54" x14ac:dyDescent="0.15">
      <c r="G576" s="7"/>
      <c r="H576" s="38"/>
      <c r="I576" s="39"/>
      <c r="J576" s="39"/>
      <c r="K576" s="39"/>
      <c r="L576" s="39"/>
      <c r="M576" s="39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1"/>
      <c r="AC576" s="39"/>
      <c r="AD576" s="39"/>
      <c r="AE576" s="39"/>
      <c r="AF576" s="39"/>
      <c r="AG576" s="40"/>
      <c r="AH576" s="40"/>
      <c r="AI576" s="41"/>
      <c r="AJ576" s="41"/>
      <c r="AK576" s="41"/>
      <c r="AL576" s="52"/>
      <c r="AM576" s="53"/>
      <c r="AN576" s="53"/>
      <c r="AO576" s="53"/>
      <c r="AP576" s="53"/>
      <c r="AQ576" s="53"/>
      <c r="AR576" s="54"/>
      <c r="AS576" s="61"/>
      <c r="AT576" s="62"/>
      <c r="AU576" s="62"/>
      <c r="AV576" s="62"/>
      <c r="AW576" s="62"/>
      <c r="AX576" s="63"/>
      <c r="AY576" s="68"/>
      <c r="AZ576" s="69"/>
      <c r="BA576" s="70"/>
      <c r="BB576" s="7"/>
    </row>
    <row r="577" spans="7:54" x14ac:dyDescent="0.15">
      <c r="G577" s="7"/>
      <c r="H577" s="38"/>
      <c r="I577" s="39"/>
      <c r="J577" s="39"/>
      <c r="K577" s="39"/>
      <c r="L577" s="39"/>
      <c r="M577" s="39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1"/>
      <c r="AC577" s="39"/>
      <c r="AD577" s="39"/>
      <c r="AE577" s="39"/>
      <c r="AF577" s="39"/>
      <c r="AG577" s="40"/>
      <c r="AH577" s="40"/>
      <c r="AI577" s="41"/>
      <c r="AJ577" s="41"/>
      <c r="AK577" s="41"/>
      <c r="AL577" s="52"/>
      <c r="AM577" s="53"/>
      <c r="AN577" s="53"/>
      <c r="AO577" s="53"/>
      <c r="AP577" s="53"/>
      <c r="AQ577" s="53"/>
      <c r="AR577" s="54"/>
      <c r="AS577" s="61"/>
      <c r="AT577" s="62"/>
      <c r="AU577" s="62"/>
      <c r="AV577" s="62"/>
      <c r="AW577" s="62"/>
      <c r="AX577" s="63"/>
      <c r="AY577" s="68"/>
      <c r="AZ577" s="69"/>
      <c r="BA577" s="70"/>
      <c r="BB577" s="7"/>
    </row>
    <row r="578" spans="7:54" x14ac:dyDescent="0.15">
      <c r="G578" s="7"/>
      <c r="H578" s="38"/>
      <c r="I578" s="39"/>
      <c r="J578" s="39"/>
      <c r="K578" s="39"/>
      <c r="L578" s="39"/>
      <c r="M578" s="39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1"/>
      <c r="AC578" s="39"/>
      <c r="AD578" s="39"/>
      <c r="AE578" s="39"/>
      <c r="AF578" s="39"/>
      <c r="AG578" s="40"/>
      <c r="AH578" s="40"/>
      <c r="AI578" s="41"/>
      <c r="AJ578" s="41"/>
      <c r="AK578" s="41"/>
      <c r="AL578" s="52"/>
      <c r="AM578" s="53"/>
      <c r="AN578" s="53"/>
      <c r="AO578" s="53"/>
      <c r="AP578" s="53"/>
      <c r="AQ578" s="53"/>
      <c r="AR578" s="54"/>
      <c r="AS578" s="61"/>
      <c r="AT578" s="62"/>
      <c r="AU578" s="62"/>
      <c r="AV578" s="62"/>
      <c r="AW578" s="62"/>
      <c r="AX578" s="63"/>
      <c r="AY578" s="68"/>
      <c r="AZ578" s="69"/>
      <c r="BA578" s="70"/>
      <c r="BB578" s="7"/>
    </row>
    <row r="579" spans="7:54" x14ac:dyDescent="0.15">
      <c r="G579" s="7"/>
      <c r="H579" s="38"/>
      <c r="I579" s="39"/>
      <c r="J579" s="39"/>
      <c r="K579" s="39"/>
      <c r="L579" s="39"/>
      <c r="M579" s="39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1"/>
      <c r="AC579" s="39"/>
      <c r="AD579" s="39"/>
      <c r="AE579" s="39"/>
      <c r="AF579" s="39"/>
      <c r="AG579" s="40"/>
      <c r="AH579" s="40"/>
      <c r="AI579" s="41"/>
      <c r="AJ579" s="41"/>
      <c r="AK579" s="41"/>
      <c r="AL579" s="52"/>
      <c r="AM579" s="53"/>
      <c r="AN579" s="53"/>
      <c r="AO579" s="53"/>
      <c r="AP579" s="53"/>
      <c r="AQ579" s="53"/>
      <c r="AR579" s="54"/>
      <c r="AS579" s="61"/>
      <c r="AT579" s="62"/>
      <c r="AU579" s="62"/>
      <c r="AV579" s="62"/>
      <c r="AW579" s="62"/>
      <c r="AX579" s="63"/>
      <c r="AY579" s="68"/>
      <c r="AZ579" s="69"/>
      <c r="BA579" s="70"/>
      <c r="BB579" s="7"/>
    </row>
    <row r="580" spans="7:54" x14ac:dyDescent="0.15">
      <c r="G580" s="7"/>
      <c r="H580" s="38"/>
      <c r="I580" s="39"/>
      <c r="J580" s="39"/>
      <c r="K580" s="39"/>
      <c r="L580" s="39"/>
      <c r="M580" s="39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1"/>
      <c r="AC580" s="39"/>
      <c r="AD580" s="39"/>
      <c r="AE580" s="39"/>
      <c r="AF580" s="39"/>
      <c r="AG580" s="40"/>
      <c r="AH580" s="40"/>
      <c r="AI580" s="41"/>
      <c r="AJ580" s="41"/>
      <c r="AK580" s="41"/>
      <c r="AL580" s="52"/>
      <c r="AM580" s="53"/>
      <c r="AN580" s="53"/>
      <c r="AO580" s="53"/>
      <c r="AP580" s="53"/>
      <c r="AQ580" s="53"/>
      <c r="AR580" s="54"/>
      <c r="AS580" s="61"/>
      <c r="AT580" s="62"/>
      <c r="AU580" s="62"/>
      <c r="AV580" s="62"/>
      <c r="AW580" s="62"/>
      <c r="AX580" s="63"/>
      <c r="AY580" s="68"/>
      <c r="AZ580" s="69"/>
      <c r="BA580" s="70"/>
      <c r="BB580" s="7"/>
    </row>
    <row r="581" spans="7:54" x14ac:dyDescent="0.15">
      <c r="G581" s="7"/>
      <c r="H581" s="38"/>
      <c r="I581" s="39"/>
      <c r="J581" s="39"/>
      <c r="K581" s="39"/>
      <c r="L581" s="39"/>
      <c r="M581" s="39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1"/>
      <c r="AC581" s="39"/>
      <c r="AD581" s="39"/>
      <c r="AE581" s="39"/>
      <c r="AF581" s="39"/>
      <c r="AG581" s="40"/>
      <c r="AH581" s="40"/>
      <c r="AI581" s="41"/>
      <c r="AJ581" s="41"/>
      <c r="AK581" s="41"/>
      <c r="AL581" s="52"/>
      <c r="AM581" s="53"/>
      <c r="AN581" s="53"/>
      <c r="AO581" s="53"/>
      <c r="AP581" s="53"/>
      <c r="AQ581" s="53"/>
      <c r="AR581" s="54"/>
      <c r="AS581" s="61"/>
      <c r="AT581" s="62"/>
      <c r="AU581" s="62"/>
      <c r="AV581" s="62"/>
      <c r="AW581" s="62"/>
      <c r="AX581" s="63"/>
      <c r="AY581" s="68"/>
      <c r="AZ581" s="69"/>
      <c r="BA581" s="70"/>
      <c r="BB581" s="7"/>
    </row>
    <row r="582" spans="7:54" x14ac:dyDescent="0.15">
      <c r="G582" s="7"/>
      <c r="H582" s="38"/>
      <c r="I582" s="39"/>
      <c r="J582" s="39"/>
      <c r="K582" s="39"/>
      <c r="L582" s="39"/>
      <c r="M582" s="39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1"/>
      <c r="AC582" s="39"/>
      <c r="AD582" s="39"/>
      <c r="AE582" s="39"/>
      <c r="AF582" s="39"/>
      <c r="AG582" s="40"/>
      <c r="AH582" s="40"/>
      <c r="AI582" s="41"/>
      <c r="AJ582" s="41"/>
      <c r="AK582" s="41"/>
      <c r="AL582" s="52"/>
      <c r="AM582" s="53"/>
      <c r="AN582" s="53"/>
      <c r="AO582" s="53"/>
      <c r="AP582" s="53"/>
      <c r="AQ582" s="53"/>
      <c r="AR582" s="54"/>
      <c r="AS582" s="61"/>
      <c r="AT582" s="62"/>
      <c r="AU582" s="62"/>
      <c r="AV582" s="62"/>
      <c r="AW582" s="62"/>
      <c r="AX582" s="63"/>
      <c r="AY582" s="68"/>
      <c r="AZ582" s="69"/>
      <c r="BA582" s="70"/>
      <c r="BB582" s="7"/>
    </row>
    <row r="583" spans="7:54" x14ac:dyDescent="0.15">
      <c r="G583" s="7"/>
      <c r="H583" s="38"/>
      <c r="I583" s="39"/>
      <c r="J583" s="39"/>
      <c r="K583" s="39"/>
      <c r="L583" s="39"/>
      <c r="M583" s="39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1"/>
      <c r="AC583" s="39"/>
      <c r="AD583" s="39"/>
      <c r="AE583" s="39"/>
      <c r="AF583" s="39"/>
      <c r="AG583" s="40"/>
      <c r="AH583" s="40"/>
      <c r="AI583" s="41"/>
      <c r="AJ583" s="41"/>
      <c r="AK583" s="41"/>
      <c r="AL583" s="52"/>
      <c r="AM583" s="53"/>
      <c r="AN583" s="53"/>
      <c r="AO583" s="53"/>
      <c r="AP583" s="53"/>
      <c r="AQ583" s="53"/>
      <c r="AR583" s="54"/>
      <c r="AS583" s="61"/>
      <c r="AT583" s="62"/>
      <c r="AU583" s="62"/>
      <c r="AV583" s="62"/>
      <c r="AW583" s="62"/>
      <c r="AX583" s="63"/>
      <c r="AY583" s="68"/>
      <c r="AZ583" s="69"/>
      <c r="BA583" s="70"/>
      <c r="BB583" s="7"/>
    </row>
    <row r="584" spans="7:54" x14ac:dyDescent="0.15">
      <c r="G584" s="7"/>
      <c r="H584" s="38"/>
      <c r="I584" s="39"/>
      <c r="J584" s="39"/>
      <c r="K584" s="39"/>
      <c r="L584" s="39"/>
      <c r="M584" s="39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1"/>
      <c r="AC584" s="39"/>
      <c r="AD584" s="39"/>
      <c r="AE584" s="39"/>
      <c r="AF584" s="39"/>
      <c r="AG584" s="40"/>
      <c r="AH584" s="40"/>
      <c r="AI584" s="41"/>
      <c r="AJ584" s="41"/>
      <c r="AK584" s="41"/>
      <c r="AL584" s="52"/>
      <c r="AM584" s="53"/>
      <c r="AN584" s="53"/>
      <c r="AO584" s="53"/>
      <c r="AP584" s="53"/>
      <c r="AQ584" s="53"/>
      <c r="AR584" s="54"/>
      <c r="AS584" s="61"/>
      <c r="AT584" s="62"/>
      <c r="AU584" s="62"/>
      <c r="AV584" s="62"/>
      <c r="AW584" s="62"/>
      <c r="AX584" s="63"/>
      <c r="AY584" s="68"/>
      <c r="AZ584" s="69"/>
      <c r="BA584" s="70"/>
      <c r="BB584" s="7"/>
    </row>
    <row r="585" spans="7:54" x14ac:dyDescent="0.15">
      <c r="G585" s="7"/>
      <c r="H585" s="38"/>
      <c r="I585" s="39"/>
      <c r="J585" s="39"/>
      <c r="K585" s="39"/>
      <c r="L585" s="39"/>
      <c r="M585" s="39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1"/>
      <c r="AC585" s="39"/>
      <c r="AD585" s="39"/>
      <c r="AE585" s="39"/>
      <c r="AF585" s="39"/>
      <c r="AG585" s="40"/>
      <c r="AH585" s="40"/>
      <c r="AI585" s="41"/>
      <c r="AJ585" s="41"/>
      <c r="AK585" s="41"/>
      <c r="AL585" s="52"/>
      <c r="AM585" s="53"/>
      <c r="AN585" s="53"/>
      <c r="AO585" s="53"/>
      <c r="AP585" s="53"/>
      <c r="AQ585" s="53"/>
      <c r="AR585" s="54"/>
      <c r="AS585" s="61"/>
      <c r="AT585" s="62"/>
      <c r="AU585" s="62"/>
      <c r="AV585" s="62"/>
      <c r="AW585" s="62"/>
      <c r="AX585" s="63"/>
      <c r="AY585" s="68"/>
      <c r="AZ585" s="69"/>
      <c r="BA585" s="70"/>
      <c r="BB585" s="7"/>
    </row>
    <row r="586" spans="7:54" x14ac:dyDescent="0.15">
      <c r="G586" s="7"/>
      <c r="H586" s="38"/>
      <c r="I586" s="39"/>
      <c r="J586" s="39"/>
      <c r="K586" s="39"/>
      <c r="L586" s="39"/>
      <c r="M586" s="39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1"/>
      <c r="AC586" s="39"/>
      <c r="AD586" s="39"/>
      <c r="AE586" s="39"/>
      <c r="AF586" s="39"/>
      <c r="AG586" s="40"/>
      <c r="AH586" s="40"/>
      <c r="AI586" s="41"/>
      <c r="AJ586" s="41"/>
      <c r="AK586" s="41"/>
      <c r="AL586" s="52"/>
      <c r="AM586" s="53"/>
      <c r="AN586" s="53"/>
      <c r="AO586" s="53"/>
      <c r="AP586" s="53"/>
      <c r="AQ586" s="53"/>
      <c r="AR586" s="54"/>
      <c r="AS586" s="61"/>
      <c r="AT586" s="62"/>
      <c r="AU586" s="62"/>
      <c r="AV586" s="62"/>
      <c r="AW586" s="62"/>
      <c r="AX586" s="63"/>
      <c r="AY586" s="68"/>
      <c r="AZ586" s="69"/>
      <c r="BA586" s="70"/>
      <c r="BB586" s="7"/>
    </row>
    <row r="587" spans="7:54" x14ac:dyDescent="0.15">
      <c r="G587" s="7"/>
      <c r="H587" s="38"/>
      <c r="I587" s="39"/>
      <c r="J587" s="39"/>
      <c r="K587" s="39"/>
      <c r="L587" s="39"/>
      <c r="M587" s="39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1"/>
      <c r="AC587" s="39"/>
      <c r="AD587" s="39"/>
      <c r="AE587" s="39"/>
      <c r="AF587" s="39"/>
      <c r="AG587" s="40"/>
      <c r="AH587" s="40"/>
      <c r="AI587" s="41"/>
      <c r="AJ587" s="41"/>
      <c r="AK587" s="41"/>
      <c r="AL587" s="52"/>
      <c r="AM587" s="53"/>
      <c r="AN587" s="53"/>
      <c r="AO587" s="53"/>
      <c r="AP587" s="53"/>
      <c r="AQ587" s="53"/>
      <c r="AR587" s="54"/>
      <c r="AS587" s="61"/>
      <c r="AT587" s="62"/>
      <c r="AU587" s="62"/>
      <c r="AV587" s="62"/>
      <c r="AW587" s="62"/>
      <c r="AX587" s="63"/>
      <c r="AY587" s="68"/>
      <c r="AZ587" s="69"/>
      <c r="BA587" s="70"/>
      <c r="BB587" s="7"/>
    </row>
    <row r="588" spans="7:54" x14ac:dyDescent="0.15">
      <c r="G588" s="7"/>
      <c r="H588" s="38"/>
      <c r="I588" s="39"/>
      <c r="J588" s="39"/>
      <c r="K588" s="39"/>
      <c r="L588" s="39"/>
      <c r="M588" s="39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1"/>
      <c r="AC588" s="39"/>
      <c r="AD588" s="39"/>
      <c r="AE588" s="39"/>
      <c r="AF588" s="39"/>
      <c r="AG588" s="40"/>
      <c r="AH588" s="40"/>
      <c r="AI588" s="41"/>
      <c r="AJ588" s="41"/>
      <c r="AK588" s="41"/>
      <c r="AL588" s="52"/>
      <c r="AM588" s="53"/>
      <c r="AN588" s="53"/>
      <c r="AO588" s="53"/>
      <c r="AP588" s="53"/>
      <c r="AQ588" s="53"/>
      <c r="AR588" s="54"/>
      <c r="AS588" s="61"/>
      <c r="AT588" s="62"/>
      <c r="AU588" s="62"/>
      <c r="AV588" s="62"/>
      <c r="AW588" s="62"/>
      <c r="AX588" s="63"/>
      <c r="AY588" s="68"/>
      <c r="AZ588" s="69"/>
      <c r="BA588" s="70"/>
      <c r="BB588" s="7"/>
    </row>
    <row r="589" spans="7:54" x14ac:dyDescent="0.15">
      <c r="G589" s="7"/>
      <c r="H589" s="38"/>
      <c r="I589" s="39"/>
      <c r="J589" s="39"/>
      <c r="K589" s="39"/>
      <c r="L589" s="39"/>
      <c r="M589" s="39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1"/>
      <c r="AC589" s="39"/>
      <c r="AD589" s="39"/>
      <c r="AE589" s="39"/>
      <c r="AF589" s="39"/>
      <c r="AG589" s="40"/>
      <c r="AH589" s="40"/>
      <c r="AI589" s="41"/>
      <c r="AJ589" s="41"/>
      <c r="AK589" s="41"/>
      <c r="AL589" s="52"/>
      <c r="AM589" s="53"/>
      <c r="AN589" s="53"/>
      <c r="AO589" s="53"/>
      <c r="AP589" s="53"/>
      <c r="AQ589" s="53"/>
      <c r="AR589" s="54"/>
      <c r="AS589" s="61"/>
      <c r="AT589" s="62"/>
      <c r="AU589" s="62"/>
      <c r="AV589" s="62"/>
      <c r="AW589" s="62"/>
      <c r="AX589" s="63"/>
      <c r="AY589" s="68"/>
      <c r="AZ589" s="69"/>
      <c r="BA589" s="70"/>
      <c r="BB589" s="7"/>
    </row>
    <row r="590" spans="7:54" x14ac:dyDescent="0.15">
      <c r="G590" s="7"/>
      <c r="H590" s="38"/>
      <c r="I590" s="39"/>
      <c r="J590" s="39"/>
      <c r="K590" s="39"/>
      <c r="L590" s="39"/>
      <c r="M590" s="39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1"/>
      <c r="AC590" s="39"/>
      <c r="AD590" s="39"/>
      <c r="AE590" s="39"/>
      <c r="AF590" s="39"/>
      <c r="AG590" s="40"/>
      <c r="AH590" s="40"/>
      <c r="AI590" s="41"/>
      <c r="AJ590" s="41"/>
      <c r="AK590" s="41"/>
      <c r="AL590" s="52"/>
      <c r="AM590" s="53"/>
      <c r="AN590" s="53"/>
      <c r="AO590" s="53"/>
      <c r="AP590" s="53"/>
      <c r="AQ590" s="53"/>
      <c r="AR590" s="54"/>
      <c r="AS590" s="61"/>
      <c r="AT590" s="62"/>
      <c r="AU590" s="62"/>
      <c r="AV590" s="62"/>
      <c r="AW590" s="62"/>
      <c r="AX590" s="63"/>
      <c r="AY590" s="68"/>
      <c r="AZ590" s="69"/>
      <c r="BA590" s="70"/>
      <c r="BB590" s="7"/>
    </row>
    <row r="591" spans="7:54" x14ac:dyDescent="0.15">
      <c r="G591" s="7"/>
      <c r="H591" s="38"/>
      <c r="I591" s="39"/>
      <c r="J591" s="39"/>
      <c r="K591" s="39"/>
      <c r="L591" s="39"/>
      <c r="M591" s="39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1"/>
      <c r="AC591" s="39"/>
      <c r="AD591" s="39"/>
      <c r="AE591" s="39"/>
      <c r="AF591" s="39"/>
      <c r="AG591" s="40"/>
      <c r="AH591" s="40"/>
      <c r="AI591" s="41"/>
      <c r="AJ591" s="41"/>
      <c r="AK591" s="41"/>
      <c r="AL591" s="52"/>
      <c r="AM591" s="53"/>
      <c r="AN591" s="53"/>
      <c r="AO591" s="53"/>
      <c r="AP591" s="53"/>
      <c r="AQ591" s="53"/>
      <c r="AR591" s="54"/>
      <c r="AS591" s="61"/>
      <c r="AT591" s="62"/>
      <c r="AU591" s="62"/>
      <c r="AV591" s="62"/>
      <c r="AW591" s="62"/>
      <c r="AX591" s="63"/>
      <c r="AY591" s="68"/>
      <c r="AZ591" s="69"/>
      <c r="BA591" s="70"/>
      <c r="BB591" s="7"/>
    </row>
    <row r="592" spans="7:54" x14ac:dyDescent="0.15">
      <c r="G592" s="7"/>
      <c r="H592" s="38"/>
      <c r="I592" s="39"/>
      <c r="J592" s="39"/>
      <c r="K592" s="39"/>
      <c r="L592" s="39"/>
      <c r="M592" s="39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1"/>
      <c r="AC592" s="39"/>
      <c r="AD592" s="39"/>
      <c r="AE592" s="39"/>
      <c r="AF592" s="39"/>
      <c r="AG592" s="40"/>
      <c r="AH592" s="40"/>
      <c r="AI592" s="41"/>
      <c r="AJ592" s="41"/>
      <c r="AK592" s="41"/>
      <c r="AL592" s="52"/>
      <c r="AM592" s="53"/>
      <c r="AN592" s="53"/>
      <c r="AO592" s="53"/>
      <c r="AP592" s="53"/>
      <c r="AQ592" s="53"/>
      <c r="AR592" s="54"/>
      <c r="AS592" s="61"/>
      <c r="AT592" s="62"/>
      <c r="AU592" s="62"/>
      <c r="AV592" s="62"/>
      <c r="AW592" s="62"/>
      <c r="AX592" s="63"/>
      <c r="AY592" s="68"/>
      <c r="AZ592" s="69"/>
      <c r="BA592" s="70"/>
      <c r="BB592" s="7"/>
    </row>
    <row r="593" spans="7:54" x14ac:dyDescent="0.15">
      <c r="G593" s="7"/>
      <c r="H593" s="38"/>
      <c r="I593" s="39"/>
      <c r="J593" s="39"/>
      <c r="K593" s="39"/>
      <c r="L593" s="39"/>
      <c r="M593" s="39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1"/>
      <c r="AC593" s="39"/>
      <c r="AD593" s="39"/>
      <c r="AE593" s="39"/>
      <c r="AF593" s="39"/>
      <c r="AG593" s="40"/>
      <c r="AH593" s="40"/>
      <c r="AI593" s="41"/>
      <c r="AJ593" s="41"/>
      <c r="AK593" s="41"/>
      <c r="AL593" s="52"/>
      <c r="AM593" s="53"/>
      <c r="AN593" s="53"/>
      <c r="AO593" s="53"/>
      <c r="AP593" s="53"/>
      <c r="AQ593" s="53"/>
      <c r="AR593" s="54"/>
      <c r="AS593" s="61"/>
      <c r="AT593" s="62"/>
      <c r="AU593" s="62"/>
      <c r="AV593" s="62"/>
      <c r="AW593" s="62"/>
      <c r="AX593" s="63"/>
      <c r="AY593" s="68"/>
      <c r="AZ593" s="69"/>
      <c r="BA593" s="70"/>
      <c r="BB593" s="7"/>
    </row>
    <row r="594" spans="7:54" x14ac:dyDescent="0.15">
      <c r="G594" s="7"/>
      <c r="H594" s="38"/>
      <c r="I594" s="39"/>
      <c r="J594" s="39"/>
      <c r="K594" s="39"/>
      <c r="L594" s="39"/>
      <c r="M594" s="39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1"/>
      <c r="AC594" s="39"/>
      <c r="AD594" s="39"/>
      <c r="AE594" s="39"/>
      <c r="AF594" s="39"/>
      <c r="AG594" s="40"/>
      <c r="AH594" s="40"/>
      <c r="AI594" s="41"/>
      <c r="AJ594" s="41"/>
      <c r="AK594" s="41"/>
      <c r="AL594" s="52"/>
      <c r="AM594" s="53"/>
      <c r="AN594" s="53"/>
      <c r="AO594" s="53"/>
      <c r="AP594" s="53"/>
      <c r="AQ594" s="53"/>
      <c r="AR594" s="54"/>
      <c r="AS594" s="61"/>
      <c r="AT594" s="62"/>
      <c r="AU594" s="62"/>
      <c r="AV594" s="62"/>
      <c r="AW594" s="62"/>
      <c r="AX594" s="63"/>
      <c r="AY594" s="68"/>
      <c r="AZ594" s="69"/>
      <c r="BA594" s="70"/>
      <c r="BB594" s="7"/>
    </row>
    <row r="595" spans="7:54" x14ac:dyDescent="0.15">
      <c r="G595" s="7"/>
      <c r="H595" s="38"/>
      <c r="I595" s="39"/>
      <c r="J595" s="39"/>
      <c r="K595" s="39"/>
      <c r="L595" s="39"/>
      <c r="M595" s="39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1"/>
      <c r="AC595" s="39"/>
      <c r="AD595" s="39"/>
      <c r="AE595" s="39"/>
      <c r="AF595" s="39"/>
      <c r="AG595" s="40"/>
      <c r="AH595" s="40"/>
      <c r="AI595" s="41"/>
      <c r="AJ595" s="41"/>
      <c r="AK595" s="41"/>
      <c r="AL595" s="52"/>
      <c r="AM595" s="53"/>
      <c r="AN595" s="53"/>
      <c r="AO595" s="53"/>
      <c r="AP595" s="53"/>
      <c r="AQ595" s="53"/>
      <c r="AR595" s="54"/>
      <c r="AS595" s="61"/>
      <c r="AT595" s="62"/>
      <c r="AU595" s="62"/>
      <c r="AV595" s="62"/>
      <c r="AW595" s="62"/>
      <c r="AX595" s="63"/>
      <c r="AY595" s="68"/>
      <c r="AZ595" s="69"/>
      <c r="BA595" s="70"/>
      <c r="BB595" s="7"/>
    </row>
    <row r="596" spans="7:54" x14ac:dyDescent="0.15">
      <c r="G596" s="7"/>
      <c r="H596" s="38"/>
      <c r="I596" s="39"/>
      <c r="J596" s="39"/>
      <c r="K596" s="39"/>
      <c r="L596" s="39"/>
      <c r="M596" s="39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1"/>
      <c r="AC596" s="39"/>
      <c r="AD596" s="39"/>
      <c r="AE596" s="39"/>
      <c r="AF596" s="39"/>
      <c r="AG596" s="40"/>
      <c r="AH596" s="40"/>
      <c r="AI596" s="41"/>
      <c r="AJ596" s="41"/>
      <c r="AK596" s="41"/>
      <c r="AL596" s="52"/>
      <c r="AM596" s="53"/>
      <c r="AN596" s="53"/>
      <c r="AO596" s="53"/>
      <c r="AP596" s="53"/>
      <c r="AQ596" s="53"/>
      <c r="AR596" s="54"/>
      <c r="AS596" s="61"/>
      <c r="AT596" s="62"/>
      <c r="AU596" s="62"/>
      <c r="AV596" s="62"/>
      <c r="AW596" s="62"/>
      <c r="AX596" s="63"/>
      <c r="AY596" s="68"/>
      <c r="AZ596" s="69"/>
      <c r="BA596" s="70"/>
      <c r="BB596" s="7"/>
    </row>
    <row r="597" spans="7:54" x14ac:dyDescent="0.15">
      <c r="G597" s="7"/>
      <c r="H597" s="38"/>
      <c r="I597" s="39"/>
      <c r="J597" s="39"/>
      <c r="K597" s="39"/>
      <c r="L597" s="39"/>
      <c r="M597" s="39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1"/>
      <c r="AC597" s="39"/>
      <c r="AD597" s="39"/>
      <c r="AE597" s="39"/>
      <c r="AF597" s="39"/>
      <c r="AG597" s="40"/>
      <c r="AH597" s="40"/>
      <c r="AI597" s="41"/>
      <c r="AJ597" s="41"/>
      <c r="AK597" s="41"/>
      <c r="AL597" s="52"/>
      <c r="AM597" s="53"/>
      <c r="AN597" s="53"/>
      <c r="AO597" s="53"/>
      <c r="AP597" s="53"/>
      <c r="AQ597" s="53"/>
      <c r="AR597" s="54"/>
      <c r="AS597" s="61"/>
      <c r="AT597" s="62"/>
      <c r="AU597" s="62"/>
      <c r="AV597" s="62"/>
      <c r="AW597" s="62"/>
      <c r="AX597" s="63"/>
      <c r="AY597" s="68"/>
      <c r="AZ597" s="69"/>
      <c r="BA597" s="70"/>
      <c r="BB597" s="7"/>
    </row>
    <row r="598" spans="7:54" x14ac:dyDescent="0.15">
      <c r="G598" s="7"/>
      <c r="H598" s="38"/>
      <c r="I598" s="39"/>
      <c r="J598" s="39"/>
      <c r="K598" s="39"/>
      <c r="L598" s="39"/>
      <c r="M598" s="39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1"/>
      <c r="AC598" s="39"/>
      <c r="AD598" s="39"/>
      <c r="AE598" s="39"/>
      <c r="AF598" s="39"/>
      <c r="AG598" s="40"/>
      <c r="AH598" s="40"/>
      <c r="AI598" s="41"/>
      <c r="AJ598" s="41"/>
      <c r="AK598" s="41"/>
      <c r="AL598" s="52"/>
      <c r="AM598" s="53"/>
      <c r="AN598" s="53"/>
      <c r="AO598" s="53"/>
      <c r="AP598" s="53"/>
      <c r="AQ598" s="53"/>
      <c r="AR598" s="54"/>
      <c r="AS598" s="61"/>
      <c r="AT598" s="62"/>
      <c r="AU598" s="62"/>
      <c r="AV598" s="62"/>
      <c r="AW598" s="62"/>
      <c r="AX598" s="63"/>
      <c r="AY598" s="68"/>
      <c r="AZ598" s="69"/>
      <c r="BA598" s="70"/>
      <c r="BB598" s="7"/>
    </row>
    <row r="599" spans="7:54" x14ac:dyDescent="0.15">
      <c r="G599" s="7"/>
      <c r="H599" s="38"/>
      <c r="I599" s="39"/>
      <c r="J599" s="39"/>
      <c r="K599" s="39"/>
      <c r="L599" s="39"/>
      <c r="M599" s="39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1"/>
      <c r="AC599" s="39"/>
      <c r="AD599" s="39"/>
      <c r="AE599" s="39"/>
      <c r="AF599" s="39"/>
      <c r="AG599" s="40"/>
      <c r="AH599" s="40"/>
      <c r="AI599" s="41"/>
      <c r="AJ599" s="41"/>
      <c r="AK599" s="41"/>
      <c r="AL599" s="52"/>
      <c r="AM599" s="53"/>
      <c r="AN599" s="53"/>
      <c r="AO599" s="53"/>
      <c r="AP599" s="53"/>
      <c r="AQ599" s="53"/>
      <c r="AR599" s="54"/>
      <c r="AS599" s="61"/>
      <c r="AT599" s="62"/>
      <c r="AU599" s="62"/>
      <c r="AV599" s="62"/>
      <c r="AW599" s="62"/>
      <c r="AX599" s="63"/>
      <c r="AY599" s="68"/>
      <c r="AZ599" s="69"/>
      <c r="BA599" s="70"/>
      <c r="BB599" s="7"/>
    </row>
    <row r="600" spans="7:54" x14ac:dyDescent="0.15">
      <c r="G600" s="7"/>
      <c r="H600" s="38"/>
      <c r="I600" s="39"/>
      <c r="J600" s="39"/>
      <c r="K600" s="39"/>
      <c r="L600" s="39"/>
      <c r="M600" s="39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1"/>
      <c r="AC600" s="39"/>
      <c r="AD600" s="39"/>
      <c r="AE600" s="39"/>
      <c r="AF600" s="39"/>
      <c r="AG600" s="40"/>
      <c r="AH600" s="40"/>
      <c r="AI600" s="41"/>
      <c r="AJ600" s="41"/>
      <c r="AK600" s="41"/>
      <c r="AL600" s="52"/>
      <c r="AM600" s="53"/>
      <c r="AN600" s="53"/>
      <c r="AO600" s="53"/>
      <c r="AP600" s="53"/>
      <c r="AQ600" s="53"/>
      <c r="AR600" s="54"/>
      <c r="AS600" s="61"/>
      <c r="AT600" s="62"/>
      <c r="AU600" s="62"/>
      <c r="AV600" s="62"/>
      <c r="AW600" s="62"/>
      <c r="AX600" s="63"/>
      <c r="AY600" s="68"/>
      <c r="AZ600" s="69"/>
      <c r="BA600" s="70"/>
      <c r="BB600" s="7"/>
    </row>
    <row r="601" spans="7:54" x14ac:dyDescent="0.15">
      <c r="G601" s="7"/>
      <c r="H601" s="38"/>
      <c r="I601" s="39"/>
      <c r="J601" s="39"/>
      <c r="K601" s="39"/>
      <c r="L601" s="39"/>
      <c r="M601" s="39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1"/>
      <c r="AC601" s="39"/>
      <c r="AD601" s="39"/>
      <c r="AE601" s="39"/>
      <c r="AF601" s="39"/>
      <c r="AG601" s="40"/>
      <c r="AH601" s="40"/>
      <c r="AI601" s="41"/>
      <c r="AJ601" s="41"/>
      <c r="AK601" s="41"/>
      <c r="AL601" s="52"/>
      <c r="AM601" s="53"/>
      <c r="AN601" s="53"/>
      <c r="AO601" s="53"/>
      <c r="AP601" s="53"/>
      <c r="AQ601" s="53"/>
      <c r="AR601" s="54"/>
      <c r="AS601" s="61"/>
      <c r="AT601" s="62"/>
      <c r="AU601" s="62"/>
      <c r="AV601" s="62"/>
      <c r="AW601" s="62"/>
      <c r="AX601" s="63"/>
      <c r="AY601" s="68"/>
      <c r="AZ601" s="69"/>
      <c r="BA601" s="70"/>
      <c r="BB601" s="7"/>
    </row>
    <row r="602" spans="7:54" x14ac:dyDescent="0.15">
      <c r="G602" s="7"/>
      <c r="H602" s="38"/>
      <c r="I602" s="39"/>
      <c r="J602" s="39"/>
      <c r="K602" s="39"/>
      <c r="L602" s="39"/>
      <c r="M602" s="39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1"/>
      <c r="AC602" s="39"/>
      <c r="AD602" s="39"/>
      <c r="AE602" s="39"/>
      <c r="AF602" s="39"/>
      <c r="AG602" s="40"/>
      <c r="AH602" s="40"/>
      <c r="AI602" s="41"/>
      <c r="AJ602" s="41"/>
      <c r="AK602" s="41"/>
      <c r="AL602" s="52"/>
      <c r="AM602" s="53"/>
      <c r="AN602" s="53"/>
      <c r="AO602" s="53"/>
      <c r="AP602" s="53"/>
      <c r="AQ602" s="53"/>
      <c r="AR602" s="54"/>
      <c r="AS602" s="61"/>
      <c r="AT602" s="62"/>
      <c r="AU602" s="62"/>
      <c r="AV602" s="62"/>
      <c r="AW602" s="62"/>
      <c r="AX602" s="63"/>
      <c r="AY602" s="68"/>
      <c r="AZ602" s="69"/>
      <c r="BA602" s="70"/>
      <c r="BB602" s="7"/>
    </row>
    <row r="603" spans="7:54" x14ac:dyDescent="0.15">
      <c r="G603" s="7"/>
      <c r="H603" s="38"/>
      <c r="I603" s="39"/>
      <c r="J603" s="39"/>
      <c r="K603" s="39"/>
      <c r="L603" s="39"/>
      <c r="M603" s="39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1"/>
      <c r="AC603" s="39"/>
      <c r="AD603" s="39"/>
      <c r="AE603" s="39"/>
      <c r="AF603" s="39"/>
      <c r="AG603" s="40"/>
      <c r="AH603" s="40"/>
      <c r="AI603" s="41"/>
      <c r="AJ603" s="41"/>
      <c r="AK603" s="41"/>
      <c r="AL603" s="52"/>
      <c r="AM603" s="53"/>
      <c r="AN603" s="53"/>
      <c r="AO603" s="53"/>
      <c r="AP603" s="53"/>
      <c r="AQ603" s="53"/>
      <c r="AR603" s="54"/>
      <c r="AS603" s="61"/>
      <c r="AT603" s="62"/>
      <c r="AU603" s="62"/>
      <c r="AV603" s="62"/>
      <c r="AW603" s="62"/>
      <c r="AX603" s="63"/>
      <c r="AY603" s="68"/>
      <c r="AZ603" s="69"/>
      <c r="BA603" s="70"/>
      <c r="BB603" s="7"/>
    </row>
    <row r="604" spans="7:54" x14ac:dyDescent="0.15">
      <c r="G604" s="7"/>
      <c r="H604" s="38"/>
      <c r="I604" s="39"/>
      <c r="J604" s="39"/>
      <c r="K604" s="39"/>
      <c r="L604" s="39"/>
      <c r="M604" s="39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1"/>
      <c r="AC604" s="39"/>
      <c r="AD604" s="39"/>
      <c r="AE604" s="39"/>
      <c r="AF604" s="39"/>
      <c r="AG604" s="40"/>
      <c r="AH604" s="40"/>
      <c r="AI604" s="41"/>
      <c r="AJ604" s="41"/>
      <c r="AK604" s="41"/>
      <c r="AL604" s="52"/>
      <c r="AM604" s="53"/>
      <c r="AN604" s="53"/>
      <c r="AO604" s="53"/>
      <c r="AP604" s="53"/>
      <c r="AQ604" s="53"/>
      <c r="AR604" s="54"/>
      <c r="AS604" s="61"/>
      <c r="AT604" s="62"/>
      <c r="AU604" s="62"/>
      <c r="AV604" s="62"/>
      <c r="AW604" s="62"/>
      <c r="AX604" s="63"/>
      <c r="AY604" s="68"/>
      <c r="AZ604" s="69"/>
      <c r="BA604" s="70"/>
      <c r="BB604" s="7"/>
    </row>
    <row r="605" spans="7:54" x14ac:dyDescent="0.15">
      <c r="G605" s="7"/>
      <c r="H605" s="38"/>
      <c r="I605" s="39"/>
      <c r="J605" s="39"/>
      <c r="K605" s="39"/>
      <c r="L605" s="39"/>
      <c r="M605" s="39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1"/>
      <c r="AC605" s="39"/>
      <c r="AD605" s="39"/>
      <c r="AE605" s="39"/>
      <c r="AF605" s="39"/>
      <c r="AG605" s="40"/>
      <c r="AH605" s="40"/>
      <c r="AI605" s="41"/>
      <c r="AJ605" s="41"/>
      <c r="AK605" s="41"/>
      <c r="AL605" s="52"/>
      <c r="AM605" s="53"/>
      <c r="AN605" s="53"/>
      <c r="AO605" s="53"/>
      <c r="AP605" s="53"/>
      <c r="AQ605" s="53"/>
      <c r="AR605" s="54"/>
      <c r="AS605" s="61"/>
      <c r="AT605" s="62"/>
      <c r="AU605" s="62"/>
      <c r="AV605" s="62"/>
      <c r="AW605" s="62"/>
      <c r="AX605" s="63"/>
      <c r="AY605" s="68"/>
      <c r="AZ605" s="69"/>
      <c r="BA605" s="70"/>
      <c r="BB605" s="7"/>
    </row>
    <row r="606" spans="7:54" x14ac:dyDescent="0.15">
      <c r="G606" s="7"/>
      <c r="H606" s="38"/>
      <c r="I606" s="39"/>
      <c r="J606" s="39"/>
      <c r="K606" s="39"/>
      <c r="L606" s="39"/>
      <c r="M606" s="39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1"/>
      <c r="AC606" s="39"/>
      <c r="AD606" s="39"/>
      <c r="AE606" s="39"/>
      <c r="AF606" s="39"/>
      <c r="AG606" s="40"/>
      <c r="AH606" s="40"/>
      <c r="AI606" s="41"/>
      <c r="AJ606" s="41"/>
      <c r="AK606" s="41"/>
      <c r="AL606" s="52"/>
      <c r="AM606" s="53"/>
      <c r="AN606" s="53"/>
      <c r="AO606" s="53"/>
      <c r="AP606" s="53"/>
      <c r="AQ606" s="53"/>
      <c r="AR606" s="54"/>
      <c r="AS606" s="61"/>
      <c r="AT606" s="62"/>
      <c r="AU606" s="62"/>
      <c r="AV606" s="62"/>
      <c r="AW606" s="62"/>
      <c r="AX606" s="63"/>
      <c r="AY606" s="68"/>
      <c r="AZ606" s="69"/>
      <c r="BA606" s="70"/>
      <c r="BB606" s="7"/>
    </row>
    <row r="607" spans="7:54" x14ac:dyDescent="0.15">
      <c r="G607" s="7"/>
      <c r="H607" s="38"/>
      <c r="I607" s="39"/>
      <c r="J607" s="39"/>
      <c r="K607" s="39"/>
      <c r="L607" s="39"/>
      <c r="M607" s="39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1"/>
      <c r="AC607" s="39"/>
      <c r="AD607" s="39"/>
      <c r="AE607" s="39"/>
      <c r="AF607" s="39"/>
      <c r="AG607" s="40"/>
      <c r="AH607" s="40"/>
      <c r="AI607" s="41"/>
      <c r="AJ607" s="41"/>
      <c r="AK607" s="41"/>
      <c r="AL607" s="52"/>
      <c r="AM607" s="53"/>
      <c r="AN607" s="53"/>
      <c r="AO607" s="53"/>
      <c r="AP607" s="53"/>
      <c r="AQ607" s="53"/>
      <c r="AR607" s="54"/>
      <c r="AS607" s="61"/>
      <c r="AT607" s="62"/>
      <c r="AU607" s="62"/>
      <c r="AV607" s="62"/>
      <c r="AW607" s="62"/>
      <c r="AX607" s="63"/>
      <c r="AY607" s="68"/>
      <c r="AZ607" s="69"/>
      <c r="BA607" s="70"/>
      <c r="BB607" s="7"/>
    </row>
    <row r="608" spans="7:54" x14ac:dyDescent="0.15">
      <c r="G608" s="7"/>
      <c r="H608" s="38"/>
      <c r="I608" s="39"/>
      <c r="J608" s="39"/>
      <c r="K608" s="39"/>
      <c r="L608" s="39"/>
      <c r="M608" s="39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1"/>
      <c r="AC608" s="39"/>
      <c r="AD608" s="39"/>
      <c r="AE608" s="39"/>
      <c r="AF608" s="39"/>
      <c r="AG608" s="40"/>
      <c r="AH608" s="40"/>
      <c r="AI608" s="41"/>
      <c r="AJ608" s="41"/>
      <c r="AK608" s="41"/>
      <c r="AL608" s="52"/>
      <c r="AM608" s="53"/>
      <c r="AN608" s="53"/>
      <c r="AO608" s="53"/>
      <c r="AP608" s="53"/>
      <c r="AQ608" s="53"/>
      <c r="AR608" s="54"/>
      <c r="AS608" s="61"/>
      <c r="AT608" s="62"/>
      <c r="AU608" s="62"/>
      <c r="AV608" s="62"/>
      <c r="AW608" s="62"/>
      <c r="AX608" s="63"/>
      <c r="AY608" s="68"/>
      <c r="AZ608" s="69"/>
      <c r="BA608" s="70"/>
      <c r="BB608" s="7"/>
    </row>
    <row r="609" spans="7:54" x14ac:dyDescent="0.15">
      <c r="G609" s="7"/>
      <c r="H609" s="38"/>
      <c r="I609" s="39"/>
      <c r="J609" s="39"/>
      <c r="K609" s="39"/>
      <c r="L609" s="39"/>
      <c r="M609" s="39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1"/>
      <c r="AC609" s="39"/>
      <c r="AD609" s="39"/>
      <c r="AE609" s="39"/>
      <c r="AF609" s="39"/>
      <c r="AG609" s="40"/>
      <c r="AH609" s="40"/>
      <c r="AI609" s="41"/>
      <c r="AJ609" s="41"/>
      <c r="AK609" s="41"/>
      <c r="AL609" s="52"/>
      <c r="AM609" s="53"/>
      <c r="AN609" s="53"/>
      <c r="AO609" s="53"/>
      <c r="AP609" s="53"/>
      <c r="AQ609" s="53"/>
      <c r="AR609" s="54"/>
      <c r="AS609" s="61"/>
      <c r="AT609" s="62"/>
      <c r="AU609" s="62"/>
      <c r="AV609" s="62"/>
      <c r="AW609" s="62"/>
      <c r="AX609" s="63"/>
      <c r="AY609" s="68"/>
      <c r="AZ609" s="69"/>
      <c r="BA609" s="70"/>
      <c r="BB609" s="7"/>
    </row>
    <row r="610" spans="7:54" x14ac:dyDescent="0.15">
      <c r="G610" s="7"/>
      <c r="H610" s="38"/>
      <c r="I610" s="39"/>
      <c r="J610" s="39"/>
      <c r="K610" s="39"/>
      <c r="L610" s="39"/>
      <c r="M610" s="39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1"/>
      <c r="AC610" s="39"/>
      <c r="AD610" s="39"/>
      <c r="AE610" s="39"/>
      <c r="AF610" s="39"/>
      <c r="AG610" s="40"/>
      <c r="AH610" s="40"/>
      <c r="AI610" s="41"/>
      <c r="AJ610" s="41"/>
      <c r="AK610" s="41"/>
      <c r="AL610" s="52"/>
      <c r="AM610" s="53"/>
      <c r="AN610" s="53"/>
      <c r="AO610" s="53"/>
      <c r="AP610" s="53"/>
      <c r="AQ610" s="53"/>
      <c r="AR610" s="54"/>
      <c r="AS610" s="61"/>
      <c r="AT610" s="62"/>
      <c r="AU610" s="62"/>
      <c r="AV610" s="62"/>
      <c r="AW610" s="62"/>
      <c r="AX610" s="63"/>
      <c r="AY610" s="68"/>
      <c r="AZ610" s="69"/>
      <c r="BA610" s="70"/>
      <c r="BB610" s="7"/>
    </row>
    <row r="611" spans="7:54" x14ac:dyDescent="0.15">
      <c r="G611" s="7"/>
      <c r="H611" s="38"/>
      <c r="I611" s="39"/>
      <c r="J611" s="39"/>
      <c r="K611" s="39"/>
      <c r="L611" s="39"/>
      <c r="M611" s="39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1"/>
      <c r="AC611" s="39"/>
      <c r="AD611" s="39"/>
      <c r="AE611" s="39"/>
      <c r="AF611" s="39"/>
      <c r="AG611" s="40"/>
      <c r="AH611" s="40"/>
      <c r="AI611" s="41"/>
      <c r="AJ611" s="41"/>
      <c r="AK611" s="41"/>
      <c r="AL611" s="52"/>
      <c r="AM611" s="53"/>
      <c r="AN611" s="53"/>
      <c r="AO611" s="53"/>
      <c r="AP611" s="53"/>
      <c r="AQ611" s="53"/>
      <c r="AR611" s="54"/>
      <c r="AS611" s="61"/>
      <c r="AT611" s="62"/>
      <c r="AU611" s="62"/>
      <c r="AV611" s="62"/>
      <c r="AW611" s="62"/>
      <c r="AX611" s="63"/>
      <c r="AY611" s="68"/>
      <c r="AZ611" s="69"/>
      <c r="BA611" s="70"/>
      <c r="BB611" s="7"/>
    </row>
    <row r="612" spans="7:54" x14ac:dyDescent="0.15">
      <c r="G612" s="7"/>
      <c r="H612" s="38"/>
      <c r="I612" s="39"/>
      <c r="J612" s="39"/>
      <c r="K612" s="39"/>
      <c r="L612" s="39"/>
      <c r="M612" s="39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1"/>
      <c r="AC612" s="39"/>
      <c r="AD612" s="39"/>
      <c r="AE612" s="39"/>
      <c r="AF612" s="39"/>
      <c r="AG612" s="40"/>
      <c r="AH612" s="40"/>
      <c r="AI612" s="41"/>
      <c r="AJ612" s="41"/>
      <c r="AK612" s="41"/>
      <c r="AL612" s="52"/>
      <c r="AM612" s="53"/>
      <c r="AN612" s="53"/>
      <c r="AO612" s="53"/>
      <c r="AP612" s="53"/>
      <c r="AQ612" s="53"/>
      <c r="AR612" s="54"/>
      <c r="AS612" s="61"/>
      <c r="AT612" s="62"/>
      <c r="AU612" s="62"/>
      <c r="AV612" s="62"/>
      <c r="AW612" s="62"/>
      <c r="AX612" s="63"/>
      <c r="AY612" s="68"/>
      <c r="AZ612" s="69"/>
      <c r="BA612" s="70"/>
      <c r="BB612" s="7"/>
    </row>
    <row r="613" spans="7:54" x14ac:dyDescent="0.15">
      <c r="G613" s="7"/>
      <c r="H613" s="38"/>
      <c r="I613" s="39"/>
      <c r="J613" s="39"/>
      <c r="K613" s="39"/>
      <c r="L613" s="39"/>
      <c r="M613" s="39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1"/>
      <c r="AC613" s="39"/>
      <c r="AD613" s="39"/>
      <c r="AE613" s="39"/>
      <c r="AF613" s="39"/>
      <c r="AG613" s="40"/>
      <c r="AH613" s="40"/>
      <c r="AI613" s="41"/>
      <c r="AJ613" s="41"/>
      <c r="AK613" s="41"/>
      <c r="AL613" s="52"/>
      <c r="AM613" s="53"/>
      <c r="AN613" s="53"/>
      <c r="AO613" s="53"/>
      <c r="AP613" s="53"/>
      <c r="AQ613" s="53"/>
      <c r="AR613" s="54"/>
      <c r="AS613" s="61"/>
      <c r="AT613" s="62"/>
      <c r="AU613" s="62"/>
      <c r="AV613" s="62"/>
      <c r="AW613" s="62"/>
      <c r="AX613" s="63"/>
      <c r="AY613" s="68"/>
      <c r="AZ613" s="69"/>
      <c r="BA613" s="70"/>
      <c r="BB613" s="7"/>
    </row>
    <row r="614" spans="7:54" x14ac:dyDescent="0.15">
      <c r="G614" s="7"/>
      <c r="H614" s="38"/>
      <c r="I614" s="39"/>
      <c r="J614" s="39"/>
      <c r="K614" s="39"/>
      <c r="L614" s="39"/>
      <c r="M614" s="39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1"/>
      <c r="AC614" s="39"/>
      <c r="AD614" s="39"/>
      <c r="AE614" s="39"/>
      <c r="AF614" s="39"/>
      <c r="AG614" s="40"/>
      <c r="AH614" s="40"/>
      <c r="AI614" s="41"/>
      <c r="AJ614" s="41"/>
      <c r="AK614" s="41"/>
      <c r="AL614" s="52"/>
      <c r="AM614" s="53"/>
      <c r="AN614" s="53"/>
      <c r="AO614" s="53"/>
      <c r="AP614" s="53"/>
      <c r="AQ614" s="53"/>
      <c r="AR614" s="54"/>
      <c r="AS614" s="61"/>
      <c r="AT614" s="62"/>
      <c r="AU614" s="62"/>
      <c r="AV614" s="62"/>
      <c r="AW614" s="62"/>
      <c r="AX614" s="63"/>
      <c r="AY614" s="68"/>
      <c r="AZ614" s="69"/>
      <c r="BA614" s="70"/>
      <c r="BB614" s="7"/>
    </row>
    <row r="615" spans="7:54" x14ac:dyDescent="0.15">
      <c r="G615" s="7"/>
      <c r="H615" s="38"/>
      <c r="I615" s="39"/>
      <c r="J615" s="39"/>
      <c r="K615" s="39"/>
      <c r="L615" s="39"/>
      <c r="M615" s="39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1"/>
      <c r="AC615" s="39"/>
      <c r="AD615" s="39"/>
      <c r="AE615" s="39"/>
      <c r="AF615" s="39"/>
      <c r="AG615" s="40"/>
      <c r="AH615" s="40"/>
      <c r="AI615" s="41"/>
      <c r="AJ615" s="41"/>
      <c r="AK615" s="41"/>
      <c r="AL615" s="52"/>
      <c r="AM615" s="53"/>
      <c r="AN615" s="53"/>
      <c r="AO615" s="53"/>
      <c r="AP615" s="53"/>
      <c r="AQ615" s="53"/>
      <c r="AR615" s="54"/>
      <c r="AS615" s="61"/>
      <c r="AT615" s="62"/>
      <c r="AU615" s="62"/>
      <c r="AV615" s="62"/>
      <c r="AW615" s="62"/>
      <c r="AX615" s="63"/>
      <c r="AY615" s="68"/>
      <c r="AZ615" s="69"/>
      <c r="BA615" s="70"/>
      <c r="BB615" s="7"/>
    </row>
    <row r="616" spans="7:54" x14ac:dyDescent="0.15">
      <c r="G616" s="7"/>
      <c r="H616" s="38"/>
      <c r="I616" s="39"/>
      <c r="J616" s="39"/>
      <c r="K616" s="39"/>
      <c r="L616" s="39"/>
      <c r="M616" s="39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1"/>
      <c r="AC616" s="39"/>
      <c r="AD616" s="39"/>
      <c r="AE616" s="39"/>
      <c r="AF616" s="39"/>
      <c r="AG616" s="40"/>
      <c r="AH616" s="40"/>
      <c r="AI616" s="41"/>
      <c r="AJ616" s="41"/>
      <c r="AK616" s="41"/>
      <c r="AL616" s="52"/>
      <c r="AM616" s="53"/>
      <c r="AN616" s="53"/>
      <c r="AO616" s="53"/>
      <c r="AP616" s="53"/>
      <c r="AQ616" s="53"/>
      <c r="AR616" s="54"/>
      <c r="AS616" s="61"/>
      <c r="AT616" s="62"/>
      <c r="AU616" s="62"/>
      <c r="AV616" s="62"/>
      <c r="AW616" s="62"/>
      <c r="AX616" s="63"/>
      <c r="AY616" s="68"/>
      <c r="AZ616" s="69"/>
      <c r="BA616" s="70"/>
      <c r="BB616" s="7"/>
    </row>
    <row r="617" spans="7:54" x14ac:dyDescent="0.15">
      <c r="G617" s="7"/>
      <c r="H617" s="38"/>
      <c r="I617" s="39"/>
      <c r="J617" s="39"/>
      <c r="K617" s="39"/>
      <c r="L617" s="39"/>
      <c r="M617" s="39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1"/>
      <c r="AC617" s="39"/>
      <c r="AD617" s="39"/>
      <c r="AE617" s="39"/>
      <c r="AF617" s="39"/>
      <c r="AG617" s="40"/>
      <c r="AH617" s="40"/>
      <c r="AI617" s="41"/>
      <c r="AJ617" s="41"/>
      <c r="AK617" s="41"/>
      <c r="AL617" s="52"/>
      <c r="AM617" s="53"/>
      <c r="AN617" s="53"/>
      <c r="AO617" s="53"/>
      <c r="AP617" s="53"/>
      <c r="AQ617" s="53"/>
      <c r="AR617" s="54"/>
      <c r="AS617" s="61"/>
      <c r="AT617" s="62"/>
      <c r="AU617" s="62"/>
      <c r="AV617" s="62"/>
      <c r="AW617" s="62"/>
      <c r="AX617" s="63"/>
      <c r="AY617" s="68"/>
      <c r="AZ617" s="69"/>
      <c r="BA617" s="70"/>
      <c r="BB617" s="7"/>
    </row>
    <row r="618" spans="7:54" x14ac:dyDescent="0.15">
      <c r="G618" s="7"/>
      <c r="H618" s="38"/>
      <c r="I618" s="39"/>
      <c r="J618" s="39"/>
      <c r="K618" s="39"/>
      <c r="L618" s="39"/>
      <c r="M618" s="39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1"/>
      <c r="AC618" s="39"/>
      <c r="AD618" s="39"/>
      <c r="AE618" s="39"/>
      <c r="AF618" s="39"/>
      <c r="AG618" s="40"/>
      <c r="AH618" s="40"/>
      <c r="AI618" s="41"/>
      <c r="AJ618" s="41"/>
      <c r="AK618" s="41"/>
      <c r="AL618" s="52"/>
      <c r="AM618" s="53"/>
      <c r="AN618" s="53"/>
      <c r="AO618" s="53"/>
      <c r="AP618" s="53"/>
      <c r="AQ618" s="53"/>
      <c r="AR618" s="54"/>
      <c r="AS618" s="61"/>
      <c r="AT618" s="62"/>
      <c r="AU618" s="62"/>
      <c r="AV618" s="62"/>
      <c r="AW618" s="62"/>
      <c r="AX618" s="63"/>
      <c r="AY618" s="68"/>
      <c r="AZ618" s="69"/>
      <c r="BA618" s="70"/>
      <c r="BB618" s="7"/>
    </row>
    <row r="619" spans="7:54" x14ac:dyDescent="0.15">
      <c r="G619" s="7"/>
      <c r="H619" s="38"/>
      <c r="I619" s="39"/>
      <c r="J619" s="39"/>
      <c r="K619" s="39"/>
      <c r="L619" s="39"/>
      <c r="M619" s="39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1"/>
      <c r="AC619" s="39"/>
      <c r="AD619" s="39"/>
      <c r="AE619" s="39"/>
      <c r="AF619" s="39"/>
      <c r="AG619" s="40"/>
      <c r="AH619" s="40"/>
      <c r="AI619" s="41"/>
      <c r="AJ619" s="41"/>
      <c r="AK619" s="41"/>
      <c r="AL619" s="52"/>
      <c r="AM619" s="53"/>
      <c r="AN619" s="53"/>
      <c r="AO619" s="53"/>
      <c r="AP619" s="53"/>
      <c r="AQ619" s="53"/>
      <c r="AR619" s="54"/>
      <c r="AS619" s="61"/>
      <c r="AT619" s="62"/>
      <c r="AU619" s="62"/>
      <c r="AV619" s="62"/>
      <c r="AW619" s="62"/>
      <c r="AX619" s="63"/>
      <c r="AY619" s="68"/>
      <c r="AZ619" s="69"/>
      <c r="BA619" s="70"/>
      <c r="BB619" s="7"/>
    </row>
    <row r="620" spans="7:54" x14ac:dyDescent="0.15">
      <c r="G620" s="7"/>
      <c r="H620" s="38"/>
      <c r="I620" s="39"/>
      <c r="J620" s="39"/>
      <c r="K620" s="39"/>
      <c r="L620" s="39"/>
      <c r="M620" s="39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1"/>
      <c r="AC620" s="39"/>
      <c r="AD620" s="39"/>
      <c r="AE620" s="39"/>
      <c r="AF620" s="39"/>
      <c r="AG620" s="40"/>
      <c r="AH620" s="40"/>
      <c r="AI620" s="41"/>
      <c r="AJ620" s="41"/>
      <c r="AK620" s="41"/>
      <c r="AL620" s="52"/>
      <c r="AM620" s="53"/>
      <c r="AN620" s="53"/>
      <c r="AO620" s="53"/>
      <c r="AP620" s="53"/>
      <c r="AQ620" s="53"/>
      <c r="AR620" s="54"/>
      <c r="AS620" s="61"/>
      <c r="AT620" s="62"/>
      <c r="AU620" s="62"/>
      <c r="AV620" s="62"/>
      <c r="AW620" s="62"/>
      <c r="AX620" s="63"/>
      <c r="AY620" s="68"/>
      <c r="AZ620" s="69"/>
      <c r="BA620" s="70"/>
      <c r="BB620" s="7"/>
    </row>
    <row r="621" spans="7:54" x14ac:dyDescent="0.15">
      <c r="G621" s="7"/>
      <c r="H621" s="38"/>
      <c r="I621" s="39"/>
      <c r="J621" s="39"/>
      <c r="K621" s="39"/>
      <c r="L621" s="39"/>
      <c r="M621" s="39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1"/>
      <c r="AC621" s="39"/>
      <c r="AD621" s="39"/>
      <c r="AE621" s="39"/>
      <c r="AF621" s="39"/>
      <c r="AG621" s="40"/>
      <c r="AH621" s="40"/>
      <c r="AI621" s="41"/>
      <c r="AJ621" s="41"/>
      <c r="AK621" s="41"/>
      <c r="AL621" s="52"/>
      <c r="AM621" s="53"/>
      <c r="AN621" s="53"/>
      <c r="AO621" s="53"/>
      <c r="AP621" s="53"/>
      <c r="AQ621" s="53"/>
      <c r="AR621" s="54"/>
      <c r="AS621" s="61"/>
      <c r="AT621" s="62"/>
      <c r="AU621" s="62"/>
      <c r="AV621" s="62"/>
      <c r="AW621" s="62"/>
      <c r="AX621" s="63"/>
      <c r="AY621" s="68"/>
      <c r="AZ621" s="69"/>
      <c r="BA621" s="70"/>
      <c r="BB621" s="7"/>
    </row>
    <row r="622" spans="7:54" x14ac:dyDescent="0.15">
      <c r="G622" s="7"/>
      <c r="H622" s="38"/>
      <c r="I622" s="39"/>
      <c r="J622" s="39"/>
      <c r="K622" s="39"/>
      <c r="L622" s="39"/>
      <c r="M622" s="39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1"/>
      <c r="AC622" s="39"/>
      <c r="AD622" s="39"/>
      <c r="AE622" s="39"/>
      <c r="AF622" s="39"/>
      <c r="AG622" s="40"/>
      <c r="AH622" s="40"/>
      <c r="AI622" s="41"/>
      <c r="AJ622" s="41"/>
      <c r="AK622" s="41"/>
      <c r="AL622" s="52"/>
      <c r="AM622" s="53"/>
      <c r="AN622" s="53"/>
      <c r="AO622" s="53"/>
      <c r="AP622" s="53"/>
      <c r="AQ622" s="53"/>
      <c r="AR622" s="54"/>
      <c r="AS622" s="61"/>
      <c r="AT622" s="62"/>
      <c r="AU622" s="62"/>
      <c r="AV622" s="62"/>
      <c r="AW622" s="62"/>
      <c r="AX622" s="63"/>
      <c r="AY622" s="68"/>
      <c r="AZ622" s="69"/>
      <c r="BA622" s="70"/>
      <c r="BB622" s="7"/>
    </row>
    <row r="623" spans="7:54" x14ac:dyDescent="0.15">
      <c r="G623" s="7"/>
      <c r="H623" s="38"/>
      <c r="I623" s="39"/>
      <c r="J623" s="39"/>
      <c r="K623" s="39"/>
      <c r="L623" s="39"/>
      <c r="M623" s="39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1"/>
      <c r="AC623" s="39"/>
      <c r="AD623" s="39"/>
      <c r="AE623" s="39"/>
      <c r="AF623" s="39"/>
      <c r="AG623" s="40"/>
      <c r="AH623" s="40"/>
      <c r="AI623" s="41"/>
      <c r="AJ623" s="41"/>
      <c r="AK623" s="41"/>
      <c r="AL623" s="52"/>
      <c r="AM623" s="53"/>
      <c r="AN623" s="53"/>
      <c r="AO623" s="53"/>
      <c r="AP623" s="53"/>
      <c r="AQ623" s="53"/>
      <c r="AR623" s="54"/>
      <c r="AS623" s="61"/>
      <c r="AT623" s="62"/>
      <c r="AU623" s="62"/>
      <c r="AV623" s="62"/>
      <c r="AW623" s="62"/>
      <c r="AX623" s="63"/>
      <c r="AY623" s="68"/>
      <c r="AZ623" s="69"/>
      <c r="BA623" s="70"/>
      <c r="BB623" s="7"/>
    </row>
    <row r="624" spans="7:54" x14ac:dyDescent="0.15">
      <c r="G624" s="7"/>
      <c r="H624" s="38"/>
      <c r="I624" s="39"/>
      <c r="J624" s="39"/>
      <c r="K624" s="39"/>
      <c r="L624" s="39"/>
      <c r="M624" s="39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1"/>
      <c r="AC624" s="39"/>
      <c r="AD624" s="39"/>
      <c r="AE624" s="39"/>
      <c r="AF624" s="39"/>
      <c r="AG624" s="40"/>
      <c r="AH624" s="40"/>
      <c r="AI624" s="41"/>
      <c r="AJ624" s="41"/>
      <c r="AK624" s="41"/>
      <c r="AL624" s="52"/>
      <c r="AM624" s="53"/>
      <c r="AN624" s="53"/>
      <c r="AO624" s="53"/>
      <c r="AP624" s="53"/>
      <c r="AQ624" s="53"/>
      <c r="AR624" s="54"/>
      <c r="AS624" s="61"/>
      <c r="AT624" s="62"/>
      <c r="AU624" s="62"/>
      <c r="AV624" s="62"/>
      <c r="AW624" s="62"/>
      <c r="AX624" s="63"/>
      <c r="AY624" s="68"/>
      <c r="AZ624" s="69"/>
      <c r="BA624" s="70"/>
      <c r="BB624" s="7"/>
    </row>
    <row r="625" spans="7:54" x14ac:dyDescent="0.15">
      <c r="G625" s="7"/>
      <c r="H625" s="38"/>
      <c r="I625" s="39"/>
      <c r="J625" s="39"/>
      <c r="K625" s="39"/>
      <c r="L625" s="39"/>
      <c r="M625" s="39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1"/>
      <c r="AC625" s="39"/>
      <c r="AD625" s="39"/>
      <c r="AE625" s="39"/>
      <c r="AF625" s="39"/>
      <c r="AG625" s="40"/>
      <c r="AH625" s="40"/>
      <c r="AI625" s="41"/>
      <c r="AJ625" s="41"/>
      <c r="AK625" s="41"/>
      <c r="AL625" s="52"/>
      <c r="AM625" s="53"/>
      <c r="AN625" s="53"/>
      <c r="AO625" s="53"/>
      <c r="AP625" s="53"/>
      <c r="AQ625" s="53"/>
      <c r="AR625" s="54"/>
      <c r="AS625" s="61"/>
      <c r="AT625" s="62"/>
      <c r="AU625" s="62"/>
      <c r="AV625" s="62"/>
      <c r="AW625" s="62"/>
      <c r="AX625" s="63"/>
      <c r="AY625" s="68"/>
      <c r="AZ625" s="69"/>
      <c r="BA625" s="70"/>
      <c r="BB625" s="7"/>
    </row>
    <row r="626" spans="7:54" x14ac:dyDescent="0.15">
      <c r="G626" s="7"/>
      <c r="H626" s="38"/>
      <c r="I626" s="39"/>
      <c r="J626" s="39"/>
      <c r="K626" s="39"/>
      <c r="L626" s="39"/>
      <c r="M626" s="39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1"/>
      <c r="AC626" s="39"/>
      <c r="AD626" s="39"/>
      <c r="AE626" s="39"/>
      <c r="AF626" s="39"/>
      <c r="AG626" s="40"/>
      <c r="AH626" s="40"/>
      <c r="AI626" s="41"/>
      <c r="AJ626" s="41"/>
      <c r="AK626" s="41"/>
      <c r="AL626" s="52"/>
      <c r="AM626" s="53"/>
      <c r="AN626" s="53"/>
      <c r="AO626" s="53"/>
      <c r="AP626" s="53"/>
      <c r="AQ626" s="53"/>
      <c r="AR626" s="54"/>
      <c r="AS626" s="61"/>
      <c r="AT626" s="62"/>
      <c r="AU626" s="62"/>
      <c r="AV626" s="62"/>
      <c r="AW626" s="62"/>
      <c r="AX626" s="63"/>
      <c r="AY626" s="68"/>
      <c r="AZ626" s="69"/>
      <c r="BA626" s="70"/>
      <c r="BB626" s="7"/>
    </row>
    <row r="627" spans="7:54" x14ac:dyDescent="0.15">
      <c r="G627" s="7"/>
      <c r="H627" s="38"/>
      <c r="I627" s="39"/>
      <c r="J627" s="39"/>
      <c r="K627" s="39"/>
      <c r="L627" s="39"/>
      <c r="M627" s="39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1"/>
      <c r="AC627" s="39"/>
      <c r="AD627" s="39"/>
      <c r="AE627" s="39"/>
      <c r="AF627" s="39"/>
      <c r="AG627" s="40"/>
      <c r="AH627" s="40"/>
      <c r="AI627" s="41"/>
      <c r="AJ627" s="41"/>
      <c r="AK627" s="41"/>
      <c r="AL627" s="52"/>
      <c r="AM627" s="53"/>
      <c r="AN627" s="53"/>
      <c r="AO627" s="53"/>
      <c r="AP627" s="53"/>
      <c r="AQ627" s="53"/>
      <c r="AR627" s="54"/>
      <c r="AS627" s="61"/>
      <c r="AT627" s="62"/>
      <c r="AU627" s="62"/>
      <c r="AV627" s="62"/>
      <c r="AW627" s="62"/>
      <c r="AX627" s="63"/>
      <c r="AY627" s="68"/>
      <c r="AZ627" s="69"/>
      <c r="BA627" s="70"/>
      <c r="BB627" s="7"/>
    </row>
    <row r="628" spans="7:54" x14ac:dyDescent="0.15">
      <c r="G628" s="7"/>
      <c r="H628" s="38"/>
      <c r="I628" s="39"/>
      <c r="J628" s="39"/>
      <c r="K628" s="39"/>
      <c r="L628" s="39"/>
      <c r="M628" s="39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1"/>
      <c r="AC628" s="39"/>
      <c r="AD628" s="39"/>
      <c r="AE628" s="39"/>
      <c r="AF628" s="39"/>
      <c r="AG628" s="40"/>
      <c r="AH628" s="40"/>
      <c r="AI628" s="41"/>
      <c r="AJ628" s="41"/>
      <c r="AK628" s="41"/>
      <c r="AL628" s="52"/>
      <c r="AM628" s="53"/>
      <c r="AN628" s="53"/>
      <c r="AO628" s="53"/>
      <c r="AP628" s="53"/>
      <c r="AQ628" s="53"/>
      <c r="AR628" s="54"/>
      <c r="AS628" s="61"/>
      <c r="AT628" s="62"/>
      <c r="AU628" s="62"/>
      <c r="AV628" s="62"/>
      <c r="AW628" s="62"/>
      <c r="AX628" s="63"/>
      <c r="AY628" s="68"/>
      <c r="AZ628" s="69"/>
      <c r="BA628" s="70"/>
      <c r="BB628" s="7"/>
    </row>
    <row r="629" spans="7:54" x14ac:dyDescent="0.15">
      <c r="G629" s="7"/>
      <c r="H629" s="38"/>
      <c r="I629" s="39"/>
      <c r="J629" s="39"/>
      <c r="K629" s="39"/>
      <c r="L629" s="39"/>
      <c r="M629" s="39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1"/>
      <c r="AC629" s="39"/>
      <c r="AD629" s="39"/>
      <c r="AE629" s="39"/>
      <c r="AF629" s="39"/>
      <c r="AG629" s="40"/>
      <c r="AH629" s="40"/>
      <c r="AI629" s="41"/>
      <c r="AJ629" s="41"/>
      <c r="AK629" s="41"/>
      <c r="AL629" s="52"/>
      <c r="AM629" s="53"/>
      <c r="AN629" s="53"/>
      <c r="AO629" s="53"/>
      <c r="AP629" s="53"/>
      <c r="AQ629" s="53"/>
      <c r="AR629" s="54"/>
      <c r="AS629" s="61"/>
      <c r="AT629" s="62"/>
      <c r="AU629" s="62"/>
      <c r="AV629" s="62"/>
      <c r="AW629" s="62"/>
      <c r="AX629" s="63"/>
      <c r="AY629" s="68"/>
      <c r="AZ629" s="69"/>
      <c r="BA629" s="70"/>
      <c r="BB629" s="7"/>
    </row>
    <row r="630" spans="7:54" x14ac:dyDescent="0.15">
      <c r="G630" s="7"/>
      <c r="H630" s="38"/>
      <c r="I630" s="39"/>
      <c r="J630" s="39"/>
      <c r="K630" s="39"/>
      <c r="L630" s="39"/>
      <c r="M630" s="39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1"/>
      <c r="AC630" s="39"/>
      <c r="AD630" s="39"/>
      <c r="AE630" s="39"/>
      <c r="AF630" s="39"/>
      <c r="AG630" s="40"/>
      <c r="AH630" s="40"/>
      <c r="AI630" s="41"/>
      <c r="AJ630" s="41"/>
      <c r="AK630" s="41"/>
      <c r="AL630" s="52"/>
      <c r="AM630" s="53"/>
      <c r="AN630" s="53"/>
      <c r="AO630" s="53"/>
      <c r="AP630" s="53"/>
      <c r="AQ630" s="53"/>
      <c r="AR630" s="54"/>
      <c r="AS630" s="61"/>
      <c r="AT630" s="62"/>
      <c r="AU630" s="62"/>
      <c r="AV630" s="62"/>
      <c r="AW630" s="62"/>
      <c r="AX630" s="63"/>
      <c r="AY630" s="68"/>
      <c r="AZ630" s="69"/>
      <c r="BA630" s="70"/>
      <c r="BB630" s="7"/>
    </row>
    <row r="631" spans="7:54" x14ac:dyDescent="0.15">
      <c r="G631" s="7"/>
      <c r="H631" s="38"/>
      <c r="I631" s="39"/>
      <c r="J631" s="39"/>
      <c r="K631" s="39"/>
      <c r="L631" s="39"/>
      <c r="M631" s="39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1"/>
      <c r="AC631" s="39"/>
      <c r="AD631" s="39"/>
      <c r="AE631" s="39"/>
      <c r="AF631" s="39"/>
      <c r="AG631" s="40"/>
      <c r="AH631" s="40"/>
      <c r="AI631" s="41"/>
      <c r="AJ631" s="41"/>
      <c r="AK631" s="41"/>
      <c r="AL631" s="52"/>
      <c r="AM631" s="53"/>
      <c r="AN631" s="53"/>
      <c r="AO631" s="53"/>
      <c r="AP631" s="53"/>
      <c r="AQ631" s="53"/>
      <c r="AR631" s="54"/>
      <c r="AS631" s="61"/>
      <c r="AT631" s="62"/>
      <c r="AU631" s="62"/>
      <c r="AV631" s="62"/>
      <c r="AW631" s="62"/>
      <c r="AX631" s="63"/>
      <c r="AY631" s="68"/>
      <c r="AZ631" s="69"/>
      <c r="BA631" s="70"/>
      <c r="BB631" s="7"/>
    </row>
    <row r="632" spans="7:54" x14ac:dyDescent="0.15">
      <c r="G632" s="7"/>
      <c r="H632" s="38"/>
      <c r="I632" s="39"/>
      <c r="J632" s="39"/>
      <c r="K632" s="39"/>
      <c r="L632" s="39"/>
      <c r="M632" s="39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1"/>
      <c r="AC632" s="39"/>
      <c r="AD632" s="39"/>
      <c r="AE632" s="39"/>
      <c r="AF632" s="39"/>
      <c r="AG632" s="40"/>
      <c r="AH632" s="40"/>
      <c r="AI632" s="41"/>
      <c r="AJ632" s="41"/>
      <c r="AK632" s="41"/>
      <c r="AL632" s="52"/>
      <c r="AM632" s="53"/>
      <c r="AN632" s="53"/>
      <c r="AO632" s="53"/>
      <c r="AP632" s="53"/>
      <c r="AQ632" s="53"/>
      <c r="AR632" s="54"/>
      <c r="AS632" s="61"/>
      <c r="AT632" s="62"/>
      <c r="AU632" s="62"/>
      <c r="AV632" s="62"/>
      <c r="AW632" s="62"/>
      <c r="AX632" s="63"/>
      <c r="AY632" s="68"/>
      <c r="AZ632" s="69"/>
      <c r="BA632" s="70"/>
      <c r="BB632" s="7"/>
    </row>
    <row r="633" spans="7:54" x14ac:dyDescent="0.15">
      <c r="G633" s="7"/>
      <c r="H633" s="38"/>
      <c r="I633" s="39"/>
      <c r="J633" s="39"/>
      <c r="K633" s="39"/>
      <c r="L633" s="39"/>
      <c r="M633" s="39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1"/>
      <c r="AC633" s="39"/>
      <c r="AD633" s="39"/>
      <c r="AE633" s="39"/>
      <c r="AF633" s="39"/>
      <c r="AG633" s="40"/>
      <c r="AH633" s="40"/>
      <c r="AI633" s="41"/>
      <c r="AJ633" s="41"/>
      <c r="AK633" s="41"/>
      <c r="AL633" s="52"/>
      <c r="AM633" s="53"/>
      <c r="AN633" s="53"/>
      <c r="AO633" s="53"/>
      <c r="AP633" s="53"/>
      <c r="AQ633" s="53"/>
      <c r="AR633" s="54"/>
      <c r="AS633" s="61"/>
      <c r="AT633" s="62"/>
      <c r="AU633" s="62"/>
      <c r="AV633" s="62"/>
      <c r="AW633" s="62"/>
      <c r="AX633" s="63"/>
      <c r="AY633" s="68"/>
      <c r="AZ633" s="69"/>
      <c r="BA633" s="70"/>
      <c r="BB633" s="7"/>
    </row>
    <row r="634" spans="7:54" x14ac:dyDescent="0.15">
      <c r="G634" s="7"/>
      <c r="H634" s="38"/>
      <c r="I634" s="39"/>
      <c r="J634" s="39"/>
      <c r="K634" s="39"/>
      <c r="L634" s="39"/>
      <c r="M634" s="39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1"/>
      <c r="AC634" s="39"/>
      <c r="AD634" s="39"/>
      <c r="AE634" s="39"/>
      <c r="AF634" s="39"/>
      <c r="AG634" s="40"/>
      <c r="AH634" s="40"/>
      <c r="AI634" s="41"/>
      <c r="AJ634" s="41"/>
      <c r="AK634" s="41"/>
      <c r="AL634" s="52"/>
      <c r="AM634" s="53"/>
      <c r="AN634" s="53"/>
      <c r="AO634" s="53"/>
      <c r="AP634" s="53"/>
      <c r="AQ634" s="53"/>
      <c r="AR634" s="54"/>
      <c r="AS634" s="61"/>
      <c r="AT634" s="62"/>
      <c r="AU634" s="62"/>
      <c r="AV634" s="62"/>
      <c r="AW634" s="62"/>
      <c r="AX634" s="63"/>
      <c r="AY634" s="68"/>
      <c r="AZ634" s="69"/>
      <c r="BA634" s="70"/>
      <c r="BB634" s="7"/>
    </row>
    <row r="635" spans="7:54" x14ac:dyDescent="0.15">
      <c r="G635" s="7"/>
      <c r="H635" s="38"/>
      <c r="I635" s="39"/>
      <c r="J635" s="39"/>
      <c r="K635" s="39"/>
      <c r="L635" s="39"/>
      <c r="M635" s="39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1"/>
      <c r="AC635" s="39"/>
      <c r="AD635" s="39"/>
      <c r="AE635" s="39"/>
      <c r="AF635" s="39"/>
      <c r="AG635" s="40"/>
      <c r="AH635" s="40"/>
      <c r="AI635" s="41"/>
      <c r="AJ635" s="41"/>
      <c r="AK635" s="41"/>
      <c r="AL635" s="52"/>
      <c r="AM635" s="53"/>
      <c r="AN635" s="53"/>
      <c r="AO635" s="53"/>
      <c r="AP635" s="53"/>
      <c r="AQ635" s="53"/>
      <c r="AR635" s="54"/>
      <c r="AS635" s="61"/>
      <c r="AT635" s="62"/>
      <c r="AU635" s="62"/>
      <c r="AV635" s="62"/>
      <c r="AW635" s="62"/>
      <c r="AX635" s="63"/>
      <c r="AY635" s="68"/>
      <c r="AZ635" s="69"/>
      <c r="BA635" s="70"/>
      <c r="BB635" s="7"/>
    </row>
    <row r="636" spans="7:54" x14ac:dyDescent="0.15">
      <c r="G636" s="7"/>
      <c r="H636" s="38"/>
      <c r="I636" s="39"/>
      <c r="J636" s="39"/>
      <c r="K636" s="39"/>
      <c r="L636" s="39"/>
      <c r="M636" s="39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1"/>
      <c r="AC636" s="39"/>
      <c r="AD636" s="39"/>
      <c r="AE636" s="39"/>
      <c r="AF636" s="39"/>
      <c r="AG636" s="40"/>
      <c r="AH636" s="40"/>
      <c r="AI636" s="41"/>
      <c r="AJ636" s="41"/>
      <c r="AK636" s="41"/>
      <c r="AL636" s="52"/>
      <c r="AM636" s="53"/>
      <c r="AN636" s="53"/>
      <c r="AO636" s="53"/>
      <c r="AP636" s="53"/>
      <c r="AQ636" s="53"/>
      <c r="AR636" s="54"/>
      <c r="AS636" s="61"/>
      <c r="AT636" s="62"/>
      <c r="AU636" s="62"/>
      <c r="AV636" s="62"/>
      <c r="AW636" s="62"/>
      <c r="AX636" s="63"/>
      <c r="AY636" s="68"/>
      <c r="AZ636" s="69"/>
      <c r="BA636" s="70"/>
      <c r="BB636" s="7"/>
    </row>
    <row r="637" spans="7:54" x14ac:dyDescent="0.15">
      <c r="G637" s="7"/>
      <c r="H637" s="38"/>
      <c r="I637" s="39"/>
      <c r="J637" s="39"/>
      <c r="K637" s="39"/>
      <c r="L637" s="39"/>
      <c r="M637" s="39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1"/>
      <c r="AC637" s="39"/>
      <c r="AD637" s="39"/>
      <c r="AE637" s="39"/>
      <c r="AF637" s="39"/>
      <c r="AG637" s="40"/>
      <c r="AH637" s="40"/>
      <c r="AI637" s="41"/>
      <c r="AJ637" s="41"/>
      <c r="AK637" s="41"/>
      <c r="AL637" s="52"/>
      <c r="AM637" s="53"/>
      <c r="AN637" s="53"/>
      <c r="AO637" s="53"/>
      <c r="AP637" s="53"/>
      <c r="AQ637" s="53"/>
      <c r="AR637" s="54"/>
      <c r="AS637" s="61"/>
      <c r="AT637" s="62"/>
      <c r="AU637" s="62"/>
      <c r="AV637" s="62"/>
      <c r="AW637" s="62"/>
      <c r="AX637" s="63"/>
      <c r="AY637" s="68"/>
      <c r="AZ637" s="69"/>
      <c r="BA637" s="70"/>
      <c r="BB637" s="7"/>
    </row>
    <row r="638" spans="7:54" x14ac:dyDescent="0.15">
      <c r="G638" s="7"/>
      <c r="H638" s="38"/>
      <c r="I638" s="39"/>
      <c r="J638" s="39"/>
      <c r="K638" s="39"/>
      <c r="L638" s="39"/>
      <c r="M638" s="39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1"/>
      <c r="AC638" s="39"/>
      <c r="AD638" s="39"/>
      <c r="AE638" s="39"/>
      <c r="AF638" s="39"/>
      <c r="AG638" s="40"/>
      <c r="AH638" s="40"/>
      <c r="AI638" s="41"/>
      <c r="AJ638" s="41"/>
      <c r="AK638" s="41"/>
      <c r="AL638" s="52"/>
      <c r="AM638" s="53"/>
      <c r="AN638" s="53"/>
      <c r="AO638" s="53"/>
      <c r="AP638" s="53"/>
      <c r="AQ638" s="53"/>
      <c r="AR638" s="54"/>
      <c r="AS638" s="61"/>
      <c r="AT638" s="62"/>
      <c r="AU638" s="62"/>
      <c r="AV638" s="62"/>
      <c r="AW638" s="62"/>
      <c r="AX638" s="63"/>
      <c r="AY638" s="68"/>
      <c r="AZ638" s="69"/>
      <c r="BA638" s="70"/>
      <c r="BB638" s="7"/>
    </row>
    <row r="639" spans="7:54" x14ac:dyDescent="0.15">
      <c r="G639" s="7"/>
      <c r="H639" s="38"/>
      <c r="I639" s="39"/>
      <c r="J639" s="39"/>
      <c r="K639" s="39"/>
      <c r="L639" s="39"/>
      <c r="M639" s="39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1"/>
      <c r="AC639" s="39"/>
      <c r="AD639" s="39"/>
      <c r="AE639" s="39"/>
      <c r="AF639" s="39"/>
      <c r="AG639" s="40"/>
      <c r="AH639" s="40"/>
      <c r="AI639" s="41"/>
      <c r="AJ639" s="41"/>
      <c r="AK639" s="41"/>
      <c r="AL639" s="52"/>
      <c r="AM639" s="53"/>
      <c r="AN639" s="53"/>
      <c r="AO639" s="53"/>
      <c r="AP639" s="53"/>
      <c r="AQ639" s="53"/>
      <c r="AR639" s="54"/>
      <c r="AS639" s="61"/>
      <c r="AT639" s="62"/>
      <c r="AU639" s="62"/>
      <c r="AV639" s="62"/>
      <c r="AW639" s="62"/>
      <c r="AX639" s="63"/>
      <c r="AY639" s="68"/>
      <c r="AZ639" s="69"/>
      <c r="BA639" s="70"/>
      <c r="BB639" s="7"/>
    </row>
    <row r="640" spans="7:54" x14ac:dyDescent="0.15">
      <c r="G640" s="7"/>
      <c r="H640" s="38"/>
      <c r="I640" s="39"/>
      <c r="J640" s="39"/>
      <c r="K640" s="39"/>
      <c r="L640" s="39"/>
      <c r="M640" s="39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1"/>
      <c r="AC640" s="39"/>
      <c r="AD640" s="39"/>
      <c r="AE640" s="39"/>
      <c r="AF640" s="39"/>
      <c r="AG640" s="40"/>
      <c r="AH640" s="40"/>
      <c r="AI640" s="41"/>
      <c r="AJ640" s="41"/>
      <c r="AK640" s="41"/>
      <c r="AL640" s="52"/>
      <c r="AM640" s="53"/>
      <c r="AN640" s="53"/>
      <c r="AO640" s="53"/>
      <c r="AP640" s="53"/>
      <c r="AQ640" s="53"/>
      <c r="AR640" s="54"/>
      <c r="AS640" s="61"/>
      <c r="AT640" s="62"/>
      <c r="AU640" s="62"/>
      <c r="AV640" s="62"/>
      <c r="AW640" s="62"/>
      <c r="AX640" s="63"/>
      <c r="AY640" s="68"/>
      <c r="AZ640" s="69"/>
      <c r="BA640" s="70"/>
      <c r="BB640" s="7"/>
    </row>
    <row r="641" spans="7:54" x14ac:dyDescent="0.15">
      <c r="G641" s="7"/>
      <c r="H641" s="38"/>
      <c r="I641" s="39"/>
      <c r="J641" s="39"/>
      <c r="K641" s="39"/>
      <c r="L641" s="39"/>
      <c r="M641" s="39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1"/>
      <c r="AC641" s="39"/>
      <c r="AD641" s="39"/>
      <c r="AE641" s="39"/>
      <c r="AF641" s="39"/>
      <c r="AG641" s="40"/>
      <c r="AH641" s="40"/>
      <c r="AI641" s="41"/>
      <c r="AJ641" s="41"/>
      <c r="AK641" s="41"/>
      <c r="AL641" s="52"/>
      <c r="AM641" s="53"/>
      <c r="AN641" s="53"/>
      <c r="AO641" s="53"/>
      <c r="AP641" s="53"/>
      <c r="AQ641" s="53"/>
      <c r="AR641" s="54"/>
      <c r="AS641" s="61"/>
      <c r="AT641" s="62"/>
      <c r="AU641" s="62"/>
      <c r="AV641" s="62"/>
      <c r="AW641" s="62"/>
      <c r="AX641" s="63"/>
      <c r="AY641" s="68"/>
      <c r="AZ641" s="69"/>
      <c r="BA641" s="70"/>
      <c r="BB641" s="7"/>
    </row>
    <row r="642" spans="7:54" x14ac:dyDescent="0.15">
      <c r="G642" s="7"/>
      <c r="H642" s="38"/>
      <c r="I642" s="39"/>
      <c r="J642" s="39"/>
      <c r="K642" s="39"/>
      <c r="L642" s="39"/>
      <c r="M642" s="39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1"/>
      <c r="AC642" s="39"/>
      <c r="AD642" s="39"/>
      <c r="AE642" s="39"/>
      <c r="AF642" s="39"/>
      <c r="AG642" s="40"/>
      <c r="AH642" s="40"/>
      <c r="AI642" s="41"/>
      <c r="AJ642" s="41"/>
      <c r="AK642" s="41"/>
      <c r="AL642" s="52"/>
      <c r="AM642" s="53"/>
      <c r="AN642" s="53"/>
      <c r="AO642" s="53"/>
      <c r="AP642" s="53"/>
      <c r="AQ642" s="53"/>
      <c r="AR642" s="54"/>
      <c r="AS642" s="61"/>
      <c r="AT642" s="62"/>
      <c r="AU642" s="62"/>
      <c r="AV642" s="62"/>
      <c r="AW642" s="62"/>
      <c r="AX642" s="63"/>
      <c r="AY642" s="68"/>
      <c r="AZ642" s="69"/>
      <c r="BA642" s="70"/>
      <c r="BB642" s="7"/>
    </row>
    <row r="643" spans="7:54" x14ac:dyDescent="0.15">
      <c r="G643" s="7"/>
      <c r="H643" s="38"/>
      <c r="I643" s="39"/>
      <c r="J643" s="39"/>
      <c r="K643" s="39"/>
      <c r="L643" s="39"/>
      <c r="M643" s="39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1"/>
      <c r="AC643" s="39"/>
      <c r="AD643" s="39"/>
      <c r="AE643" s="39"/>
      <c r="AF643" s="39"/>
      <c r="AG643" s="40"/>
      <c r="AH643" s="40"/>
      <c r="AI643" s="41"/>
      <c r="AJ643" s="41"/>
      <c r="AK643" s="41"/>
      <c r="AL643" s="52"/>
      <c r="AM643" s="53"/>
      <c r="AN643" s="53"/>
      <c r="AO643" s="53"/>
      <c r="AP643" s="53"/>
      <c r="AQ643" s="53"/>
      <c r="AR643" s="54"/>
      <c r="AS643" s="61"/>
      <c r="AT643" s="62"/>
      <c r="AU643" s="62"/>
      <c r="AV643" s="62"/>
      <c r="AW643" s="62"/>
      <c r="AX643" s="63"/>
      <c r="AY643" s="68"/>
      <c r="AZ643" s="69"/>
      <c r="BA643" s="70"/>
      <c r="BB643" s="7"/>
    </row>
    <row r="644" spans="7:54" x14ac:dyDescent="0.15">
      <c r="G644" s="7"/>
      <c r="H644" s="38"/>
      <c r="I644" s="39"/>
      <c r="J644" s="39"/>
      <c r="K644" s="39"/>
      <c r="L644" s="39"/>
      <c r="M644" s="39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1"/>
      <c r="AC644" s="39"/>
      <c r="AD644" s="39"/>
      <c r="AE644" s="39"/>
      <c r="AF644" s="39"/>
      <c r="AG644" s="40"/>
      <c r="AH644" s="40"/>
      <c r="AI644" s="41"/>
      <c r="AJ644" s="41"/>
      <c r="AK644" s="41"/>
      <c r="AL644" s="52"/>
      <c r="AM644" s="53"/>
      <c r="AN644" s="53"/>
      <c r="AO644" s="53"/>
      <c r="AP644" s="53"/>
      <c r="AQ644" s="53"/>
      <c r="AR644" s="54"/>
      <c r="AS644" s="61"/>
      <c r="AT644" s="62"/>
      <c r="AU644" s="62"/>
      <c r="AV644" s="62"/>
      <c r="AW644" s="62"/>
      <c r="AX644" s="63"/>
      <c r="AY644" s="68"/>
      <c r="AZ644" s="69"/>
      <c r="BA644" s="70"/>
      <c r="BB644" s="7"/>
    </row>
    <row r="645" spans="7:54" x14ac:dyDescent="0.15">
      <c r="G645" s="7"/>
      <c r="H645" s="38"/>
      <c r="I645" s="39"/>
      <c r="J645" s="39"/>
      <c r="K645" s="39"/>
      <c r="L645" s="39"/>
      <c r="M645" s="39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1"/>
      <c r="AC645" s="39"/>
      <c r="AD645" s="39"/>
      <c r="AE645" s="39"/>
      <c r="AF645" s="39"/>
      <c r="AG645" s="40"/>
      <c r="AH645" s="40"/>
      <c r="AI645" s="41"/>
      <c r="AJ645" s="41"/>
      <c r="AK645" s="41"/>
      <c r="AL645" s="52"/>
      <c r="AM645" s="53"/>
      <c r="AN645" s="53"/>
      <c r="AO645" s="53"/>
      <c r="AP645" s="53"/>
      <c r="AQ645" s="53"/>
      <c r="AR645" s="54"/>
      <c r="AS645" s="61"/>
      <c r="AT645" s="62"/>
      <c r="AU645" s="62"/>
      <c r="AV645" s="62"/>
      <c r="AW645" s="62"/>
      <c r="AX645" s="63"/>
      <c r="AY645" s="68"/>
      <c r="AZ645" s="69"/>
      <c r="BA645" s="70"/>
      <c r="BB645" s="7"/>
    </row>
    <row r="646" spans="7:54" x14ac:dyDescent="0.15">
      <c r="G646" s="7"/>
      <c r="H646" s="38"/>
      <c r="I646" s="39"/>
      <c r="J646" s="39"/>
      <c r="K646" s="39"/>
      <c r="L646" s="39"/>
      <c r="M646" s="39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1"/>
      <c r="AC646" s="39"/>
      <c r="AD646" s="39"/>
      <c r="AE646" s="39"/>
      <c r="AF646" s="39"/>
      <c r="AG646" s="40"/>
      <c r="AH646" s="40"/>
      <c r="AI646" s="41"/>
      <c r="AJ646" s="41"/>
      <c r="AK646" s="41"/>
      <c r="AL646" s="52"/>
      <c r="AM646" s="53"/>
      <c r="AN646" s="53"/>
      <c r="AO646" s="53"/>
      <c r="AP646" s="53"/>
      <c r="AQ646" s="53"/>
      <c r="AR646" s="54"/>
      <c r="AS646" s="61"/>
      <c r="AT646" s="62"/>
      <c r="AU646" s="62"/>
      <c r="AV646" s="62"/>
      <c r="AW646" s="62"/>
      <c r="AX646" s="63"/>
      <c r="AY646" s="68"/>
      <c r="AZ646" s="69"/>
      <c r="BA646" s="70"/>
      <c r="BB646" s="7"/>
    </row>
    <row r="647" spans="7:54" x14ac:dyDescent="0.15">
      <c r="G647" s="7"/>
      <c r="H647" s="38"/>
      <c r="I647" s="39"/>
      <c r="J647" s="39"/>
      <c r="K647" s="39"/>
      <c r="L647" s="39"/>
      <c r="M647" s="39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1"/>
      <c r="AC647" s="39"/>
      <c r="AD647" s="39"/>
      <c r="AE647" s="39"/>
      <c r="AF647" s="39"/>
      <c r="AG647" s="40"/>
      <c r="AH647" s="40"/>
      <c r="AI647" s="41"/>
      <c r="AJ647" s="41"/>
      <c r="AK647" s="41"/>
      <c r="AL647" s="52"/>
      <c r="AM647" s="53"/>
      <c r="AN647" s="53"/>
      <c r="AO647" s="53"/>
      <c r="AP647" s="53"/>
      <c r="AQ647" s="53"/>
      <c r="AR647" s="54"/>
      <c r="AS647" s="61"/>
      <c r="AT647" s="62"/>
      <c r="AU647" s="62"/>
      <c r="AV647" s="62"/>
      <c r="AW647" s="62"/>
      <c r="AX647" s="63"/>
      <c r="AY647" s="68"/>
      <c r="AZ647" s="69"/>
      <c r="BA647" s="70"/>
      <c r="BB647" s="7"/>
    </row>
    <row r="648" spans="7:54" x14ac:dyDescent="0.15">
      <c r="G648" s="7"/>
      <c r="H648" s="38"/>
      <c r="I648" s="39"/>
      <c r="J648" s="39"/>
      <c r="K648" s="39"/>
      <c r="L648" s="39"/>
      <c r="M648" s="39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1"/>
      <c r="AC648" s="39"/>
      <c r="AD648" s="39"/>
      <c r="AE648" s="39"/>
      <c r="AF648" s="39"/>
      <c r="AG648" s="40"/>
      <c r="AH648" s="40"/>
      <c r="AI648" s="41"/>
      <c r="AJ648" s="41"/>
      <c r="AK648" s="41"/>
      <c r="AL648" s="52"/>
      <c r="AM648" s="53"/>
      <c r="AN648" s="53"/>
      <c r="AO648" s="53"/>
      <c r="AP648" s="53"/>
      <c r="AQ648" s="53"/>
      <c r="AR648" s="54"/>
      <c r="AS648" s="61"/>
      <c r="AT648" s="62"/>
      <c r="AU648" s="62"/>
      <c r="AV648" s="62"/>
      <c r="AW648" s="62"/>
      <c r="AX648" s="63"/>
      <c r="AY648" s="68"/>
      <c r="AZ648" s="69"/>
      <c r="BA648" s="70"/>
      <c r="BB648" s="7"/>
    </row>
    <row r="649" spans="7:54" x14ac:dyDescent="0.15">
      <c r="G649" s="7"/>
      <c r="H649" s="38"/>
      <c r="I649" s="39"/>
      <c r="J649" s="39"/>
      <c r="K649" s="39"/>
      <c r="L649" s="39"/>
      <c r="M649" s="39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1"/>
      <c r="AC649" s="39"/>
      <c r="AD649" s="39"/>
      <c r="AE649" s="39"/>
      <c r="AF649" s="39"/>
      <c r="AG649" s="40"/>
      <c r="AH649" s="40"/>
      <c r="AI649" s="41"/>
      <c r="AJ649" s="41"/>
      <c r="AK649" s="41"/>
      <c r="AL649" s="52"/>
      <c r="AM649" s="53"/>
      <c r="AN649" s="53"/>
      <c r="AO649" s="53"/>
      <c r="AP649" s="53"/>
      <c r="AQ649" s="53"/>
      <c r="AR649" s="54"/>
      <c r="AS649" s="61"/>
      <c r="AT649" s="62"/>
      <c r="AU649" s="62"/>
      <c r="AV649" s="62"/>
      <c r="AW649" s="62"/>
      <c r="AX649" s="63"/>
      <c r="AY649" s="68"/>
      <c r="AZ649" s="69"/>
      <c r="BA649" s="70"/>
      <c r="BB649" s="7"/>
    </row>
    <row r="650" spans="7:54" x14ac:dyDescent="0.15">
      <c r="G650" s="7"/>
      <c r="H650" s="38"/>
      <c r="I650" s="39"/>
      <c r="J650" s="39"/>
      <c r="K650" s="39"/>
      <c r="L650" s="39"/>
      <c r="M650" s="39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1"/>
      <c r="AC650" s="39"/>
      <c r="AD650" s="39"/>
      <c r="AE650" s="39"/>
      <c r="AF650" s="39"/>
      <c r="AG650" s="40"/>
      <c r="AH650" s="40"/>
      <c r="AI650" s="41"/>
      <c r="AJ650" s="41"/>
      <c r="AK650" s="41"/>
      <c r="AL650" s="52"/>
      <c r="AM650" s="53"/>
      <c r="AN650" s="53"/>
      <c r="AO650" s="53"/>
      <c r="AP650" s="53"/>
      <c r="AQ650" s="53"/>
      <c r="AR650" s="54"/>
      <c r="AS650" s="61"/>
      <c r="AT650" s="62"/>
      <c r="AU650" s="62"/>
      <c r="AV650" s="62"/>
      <c r="AW650" s="62"/>
      <c r="AX650" s="63"/>
      <c r="AY650" s="68"/>
      <c r="AZ650" s="69"/>
      <c r="BA650" s="70"/>
      <c r="BB650" s="7"/>
    </row>
    <row r="651" spans="7:54" x14ac:dyDescent="0.15">
      <c r="G651" s="7"/>
      <c r="H651" s="38"/>
      <c r="I651" s="39"/>
      <c r="J651" s="39"/>
      <c r="K651" s="39"/>
      <c r="L651" s="39"/>
      <c r="M651" s="39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1"/>
      <c r="AC651" s="39"/>
      <c r="AD651" s="39"/>
      <c r="AE651" s="39"/>
      <c r="AF651" s="39"/>
      <c r="AG651" s="40"/>
      <c r="AH651" s="40"/>
      <c r="AI651" s="41"/>
      <c r="AJ651" s="41"/>
      <c r="AK651" s="41"/>
      <c r="AL651" s="52"/>
      <c r="AM651" s="53"/>
      <c r="AN651" s="53"/>
      <c r="AO651" s="53"/>
      <c r="AP651" s="53"/>
      <c r="AQ651" s="53"/>
      <c r="AR651" s="54"/>
      <c r="AS651" s="61"/>
      <c r="AT651" s="62"/>
      <c r="AU651" s="62"/>
      <c r="AV651" s="62"/>
      <c r="AW651" s="62"/>
      <c r="AX651" s="63"/>
      <c r="AY651" s="68"/>
      <c r="AZ651" s="69"/>
      <c r="BA651" s="70"/>
      <c r="BB651" s="7"/>
    </row>
    <row r="652" spans="7:54" x14ac:dyDescent="0.15">
      <c r="G652" s="7"/>
      <c r="H652" s="38"/>
      <c r="I652" s="39"/>
      <c r="J652" s="39"/>
      <c r="K652" s="39"/>
      <c r="L652" s="39"/>
      <c r="M652" s="39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1"/>
      <c r="AC652" s="39"/>
      <c r="AD652" s="39"/>
      <c r="AE652" s="39"/>
      <c r="AF652" s="39"/>
      <c r="AG652" s="40"/>
      <c r="AH652" s="40"/>
      <c r="AI652" s="41"/>
      <c r="AJ652" s="41"/>
      <c r="AK652" s="41"/>
      <c r="AL652" s="52"/>
      <c r="AM652" s="53"/>
      <c r="AN652" s="53"/>
      <c r="AO652" s="53"/>
      <c r="AP652" s="53"/>
      <c r="AQ652" s="53"/>
      <c r="AR652" s="54"/>
      <c r="AS652" s="61"/>
      <c r="AT652" s="62"/>
      <c r="AU652" s="62"/>
      <c r="AV652" s="62"/>
      <c r="AW652" s="62"/>
      <c r="AX652" s="63"/>
      <c r="AY652" s="68"/>
      <c r="AZ652" s="69"/>
      <c r="BA652" s="70"/>
      <c r="BB652" s="7"/>
    </row>
    <row r="653" spans="7:54" x14ac:dyDescent="0.15">
      <c r="G653" s="7"/>
      <c r="H653" s="38"/>
      <c r="I653" s="39"/>
      <c r="J653" s="39"/>
      <c r="K653" s="39"/>
      <c r="L653" s="39"/>
      <c r="M653" s="39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1"/>
      <c r="AC653" s="39"/>
      <c r="AD653" s="39"/>
      <c r="AE653" s="39"/>
      <c r="AF653" s="39"/>
      <c r="AG653" s="40"/>
      <c r="AH653" s="40"/>
      <c r="AI653" s="41"/>
      <c r="AJ653" s="41"/>
      <c r="AK653" s="41"/>
      <c r="AL653" s="52"/>
      <c r="AM653" s="53"/>
      <c r="AN653" s="53"/>
      <c r="AO653" s="53"/>
      <c r="AP653" s="53"/>
      <c r="AQ653" s="53"/>
      <c r="AR653" s="54"/>
      <c r="AS653" s="61"/>
      <c r="AT653" s="62"/>
      <c r="AU653" s="62"/>
      <c r="AV653" s="62"/>
      <c r="AW653" s="62"/>
      <c r="AX653" s="63"/>
      <c r="AY653" s="68"/>
      <c r="AZ653" s="69"/>
      <c r="BA653" s="70"/>
      <c r="BB653" s="7"/>
    </row>
    <row r="654" spans="7:54" x14ac:dyDescent="0.15">
      <c r="G654" s="7"/>
      <c r="H654" s="38"/>
      <c r="I654" s="39"/>
      <c r="J654" s="39"/>
      <c r="K654" s="39"/>
      <c r="L654" s="39"/>
      <c r="M654" s="39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1"/>
      <c r="AC654" s="39"/>
      <c r="AD654" s="39"/>
      <c r="AE654" s="39"/>
      <c r="AF654" s="39"/>
      <c r="AG654" s="40"/>
      <c r="AH654" s="40"/>
      <c r="AI654" s="41"/>
      <c r="AJ654" s="41"/>
      <c r="AK654" s="41"/>
      <c r="AL654" s="52"/>
      <c r="AM654" s="53"/>
      <c r="AN654" s="53"/>
      <c r="AO654" s="53"/>
      <c r="AP654" s="53"/>
      <c r="AQ654" s="53"/>
      <c r="AR654" s="54"/>
      <c r="AS654" s="61"/>
      <c r="AT654" s="62"/>
      <c r="AU654" s="62"/>
      <c r="AV654" s="62"/>
      <c r="AW654" s="62"/>
      <c r="AX654" s="63"/>
      <c r="AY654" s="68"/>
      <c r="AZ654" s="69"/>
      <c r="BA654" s="70"/>
      <c r="BB654" s="7"/>
    </row>
    <row r="655" spans="7:54" x14ac:dyDescent="0.15">
      <c r="G655" s="7"/>
      <c r="H655" s="38"/>
      <c r="I655" s="39"/>
      <c r="J655" s="39"/>
      <c r="K655" s="39"/>
      <c r="L655" s="39"/>
      <c r="M655" s="39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1"/>
      <c r="AC655" s="39"/>
      <c r="AD655" s="39"/>
      <c r="AE655" s="39"/>
      <c r="AF655" s="39"/>
      <c r="AG655" s="40"/>
      <c r="AH655" s="40"/>
      <c r="AI655" s="41"/>
      <c r="AJ655" s="41"/>
      <c r="AK655" s="41"/>
      <c r="AL655" s="52"/>
      <c r="AM655" s="53"/>
      <c r="AN655" s="53"/>
      <c r="AO655" s="53"/>
      <c r="AP655" s="53"/>
      <c r="AQ655" s="53"/>
      <c r="AR655" s="54"/>
      <c r="AS655" s="61"/>
      <c r="AT655" s="62"/>
      <c r="AU655" s="62"/>
      <c r="AV655" s="62"/>
      <c r="AW655" s="62"/>
      <c r="AX655" s="63"/>
      <c r="AY655" s="68"/>
      <c r="AZ655" s="69"/>
      <c r="BA655" s="70"/>
      <c r="BB655" s="7"/>
    </row>
    <row r="656" spans="7:54" x14ac:dyDescent="0.15">
      <c r="G656" s="7"/>
      <c r="H656" s="38"/>
      <c r="I656" s="39"/>
      <c r="J656" s="39"/>
      <c r="K656" s="39"/>
      <c r="L656" s="39"/>
      <c r="M656" s="39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1"/>
      <c r="AC656" s="39"/>
      <c r="AD656" s="39"/>
      <c r="AE656" s="39"/>
      <c r="AF656" s="39"/>
      <c r="AG656" s="40"/>
      <c r="AH656" s="40"/>
      <c r="AI656" s="41"/>
      <c r="AJ656" s="41"/>
      <c r="AK656" s="41"/>
      <c r="AL656" s="52"/>
      <c r="AM656" s="53"/>
      <c r="AN656" s="53"/>
      <c r="AO656" s="53"/>
      <c r="AP656" s="53"/>
      <c r="AQ656" s="53"/>
      <c r="AR656" s="54"/>
      <c r="AS656" s="61"/>
      <c r="AT656" s="62"/>
      <c r="AU656" s="62"/>
      <c r="AV656" s="62"/>
      <c r="AW656" s="62"/>
      <c r="AX656" s="63"/>
      <c r="AY656" s="68"/>
      <c r="AZ656" s="69"/>
      <c r="BA656" s="70"/>
      <c r="BB656" s="7"/>
    </row>
    <row r="657" spans="7:54" x14ac:dyDescent="0.15">
      <c r="G657" s="7"/>
      <c r="H657" s="38"/>
      <c r="I657" s="39"/>
      <c r="J657" s="39"/>
      <c r="K657" s="39"/>
      <c r="L657" s="39"/>
      <c r="M657" s="39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1"/>
      <c r="AC657" s="39"/>
      <c r="AD657" s="39"/>
      <c r="AE657" s="39"/>
      <c r="AF657" s="39"/>
      <c r="AG657" s="40"/>
      <c r="AH657" s="40"/>
      <c r="AI657" s="41"/>
      <c r="AJ657" s="41"/>
      <c r="AK657" s="41"/>
      <c r="AL657" s="52"/>
      <c r="AM657" s="53"/>
      <c r="AN657" s="53"/>
      <c r="AO657" s="53"/>
      <c r="AP657" s="53"/>
      <c r="AQ657" s="53"/>
      <c r="AR657" s="54"/>
      <c r="AS657" s="61"/>
      <c r="AT657" s="62"/>
      <c r="AU657" s="62"/>
      <c r="AV657" s="62"/>
      <c r="AW657" s="62"/>
      <c r="AX657" s="63"/>
      <c r="AY657" s="68"/>
      <c r="AZ657" s="69"/>
      <c r="BA657" s="70"/>
      <c r="BB657" s="7"/>
    </row>
    <row r="658" spans="7:54" x14ac:dyDescent="0.15">
      <c r="G658" s="7"/>
      <c r="H658" s="38"/>
      <c r="I658" s="39"/>
      <c r="J658" s="39"/>
      <c r="K658" s="39"/>
      <c r="L658" s="39"/>
      <c r="M658" s="39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1"/>
      <c r="AC658" s="39"/>
      <c r="AD658" s="39"/>
      <c r="AE658" s="39"/>
      <c r="AF658" s="39"/>
      <c r="AG658" s="40"/>
      <c r="AH658" s="40"/>
      <c r="AI658" s="41"/>
      <c r="AJ658" s="41"/>
      <c r="AK658" s="41"/>
      <c r="AL658" s="52"/>
      <c r="AM658" s="53"/>
      <c r="AN658" s="53"/>
      <c r="AO658" s="53"/>
      <c r="AP658" s="53"/>
      <c r="AQ658" s="53"/>
      <c r="AR658" s="54"/>
      <c r="AS658" s="61"/>
      <c r="AT658" s="62"/>
      <c r="AU658" s="62"/>
      <c r="AV658" s="62"/>
      <c r="AW658" s="62"/>
      <c r="AX658" s="63"/>
      <c r="AY658" s="68"/>
      <c r="AZ658" s="69"/>
      <c r="BA658" s="70"/>
      <c r="BB658" s="7"/>
    </row>
    <row r="659" spans="7:54" x14ac:dyDescent="0.15">
      <c r="G659" s="7"/>
      <c r="H659" s="38"/>
      <c r="I659" s="39"/>
      <c r="J659" s="39"/>
      <c r="K659" s="39"/>
      <c r="L659" s="39"/>
      <c r="M659" s="39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1"/>
      <c r="AC659" s="39"/>
      <c r="AD659" s="39"/>
      <c r="AE659" s="39"/>
      <c r="AF659" s="39"/>
      <c r="AG659" s="40"/>
      <c r="AH659" s="40"/>
      <c r="AI659" s="41"/>
      <c r="AJ659" s="41"/>
      <c r="AK659" s="41"/>
      <c r="AL659" s="52"/>
      <c r="AM659" s="53"/>
      <c r="AN659" s="53"/>
      <c r="AO659" s="53"/>
      <c r="AP659" s="53"/>
      <c r="AQ659" s="53"/>
      <c r="AR659" s="54"/>
      <c r="AS659" s="61"/>
      <c r="AT659" s="62"/>
      <c r="AU659" s="62"/>
      <c r="AV659" s="62"/>
      <c r="AW659" s="62"/>
      <c r="AX659" s="63"/>
      <c r="AY659" s="68"/>
      <c r="AZ659" s="69"/>
      <c r="BA659" s="70"/>
      <c r="BB659" s="7"/>
    </row>
    <row r="660" spans="7:54" x14ac:dyDescent="0.15">
      <c r="G660" s="7"/>
      <c r="H660" s="38"/>
      <c r="I660" s="39"/>
      <c r="J660" s="39"/>
      <c r="K660" s="39"/>
      <c r="L660" s="39"/>
      <c r="M660" s="39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1"/>
      <c r="AC660" s="39"/>
      <c r="AD660" s="39"/>
      <c r="AE660" s="39"/>
      <c r="AF660" s="39"/>
      <c r="AG660" s="40"/>
      <c r="AH660" s="40"/>
      <c r="AI660" s="41"/>
      <c r="AJ660" s="41"/>
      <c r="AK660" s="41"/>
      <c r="AL660" s="52"/>
      <c r="AM660" s="53"/>
      <c r="AN660" s="53"/>
      <c r="AO660" s="53"/>
      <c r="AP660" s="53"/>
      <c r="AQ660" s="53"/>
      <c r="AR660" s="54"/>
      <c r="AS660" s="61"/>
      <c r="AT660" s="62"/>
      <c r="AU660" s="62"/>
      <c r="AV660" s="62"/>
      <c r="AW660" s="62"/>
      <c r="AX660" s="63"/>
      <c r="AY660" s="68"/>
      <c r="AZ660" s="69"/>
      <c r="BA660" s="70"/>
      <c r="BB660" s="7"/>
    </row>
    <row r="661" spans="7:54" x14ac:dyDescent="0.15">
      <c r="G661" s="7"/>
      <c r="H661" s="38"/>
      <c r="I661" s="39"/>
      <c r="J661" s="39"/>
      <c r="K661" s="39"/>
      <c r="L661" s="39"/>
      <c r="M661" s="39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1"/>
      <c r="AC661" s="39"/>
      <c r="AD661" s="39"/>
      <c r="AE661" s="39"/>
      <c r="AF661" s="39"/>
      <c r="AG661" s="40"/>
      <c r="AH661" s="40"/>
      <c r="AI661" s="41"/>
      <c r="AJ661" s="41"/>
      <c r="AK661" s="41"/>
      <c r="AL661" s="52"/>
      <c r="AM661" s="53"/>
      <c r="AN661" s="53"/>
      <c r="AO661" s="53"/>
      <c r="AP661" s="53"/>
      <c r="AQ661" s="53"/>
      <c r="AR661" s="54"/>
      <c r="AS661" s="61"/>
      <c r="AT661" s="62"/>
      <c r="AU661" s="62"/>
      <c r="AV661" s="62"/>
      <c r="AW661" s="62"/>
      <c r="AX661" s="63"/>
      <c r="AY661" s="68"/>
      <c r="AZ661" s="69"/>
      <c r="BA661" s="70"/>
      <c r="BB661" s="7"/>
    </row>
    <row r="662" spans="7:54" x14ac:dyDescent="0.15">
      <c r="G662" s="7"/>
      <c r="H662" s="38"/>
      <c r="I662" s="39"/>
      <c r="J662" s="39"/>
      <c r="K662" s="39"/>
      <c r="L662" s="39"/>
      <c r="M662" s="39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1"/>
      <c r="AC662" s="39"/>
      <c r="AD662" s="39"/>
      <c r="AE662" s="39"/>
      <c r="AF662" s="39"/>
      <c r="AG662" s="40"/>
      <c r="AH662" s="40"/>
      <c r="AI662" s="41"/>
      <c r="AJ662" s="41"/>
      <c r="AK662" s="41"/>
      <c r="AL662" s="52"/>
      <c r="AM662" s="53"/>
      <c r="AN662" s="53"/>
      <c r="AO662" s="53"/>
      <c r="AP662" s="53"/>
      <c r="AQ662" s="53"/>
      <c r="AR662" s="54"/>
      <c r="AS662" s="61"/>
      <c r="AT662" s="62"/>
      <c r="AU662" s="62"/>
      <c r="AV662" s="62"/>
      <c r="AW662" s="62"/>
      <c r="AX662" s="63"/>
      <c r="AY662" s="68"/>
      <c r="AZ662" s="69"/>
      <c r="BA662" s="70"/>
      <c r="BB662" s="7"/>
    </row>
    <row r="663" spans="7:54" x14ac:dyDescent="0.15">
      <c r="G663" s="7"/>
      <c r="H663" s="38"/>
      <c r="I663" s="39"/>
      <c r="J663" s="39"/>
      <c r="K663" s="39"/>
      <c r="L663" s="39"/>
      <c r="M663" s="39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1"/>
      <c r="AC663" s="39"/>
      <c r="AD663" s="39"/>
      <c r="AE663" s="39"/>
      <c r="AF663" s="39"/>
      <c r="AG663" s="40"/>
      <c r="AH663" s="40"/>
      <c r="AI663" s="41"/>
      <c r="AJ663" s="41"/>
      <c r="AK663" s="41"/>
      <c r="AL663" s="52"/>
      <c r="AM663" s="53"/>
      <c r="AN663" s="53"/>
      <c r="AO663" s="53"/>
      <c r="AP663" s="53"/>
      <c r="AQ663" s="53"/>
      <c r="AR663" s="54"/>
      <c r="AS663" s="61"/>
      <c r="AT663" s="62"/>
      <c r="AU663" s="62"/>
      <c r="AV663" s="62"/>
      <c r="AW663" s="62"/>
      <c r="AX663" s="63"/>
      <c r="AY663" s="68"/>
      <c r="AZ663" s="69"/>
      <c r="BA663" s="70"/>
      <c r="BB663" s="7"/>
    </row>
    <row r="664" spans="7:54" x14ac:dyDescent="0.15">
      <c r="G664" s="7"/>
      <c r="H664" s="38"/>
      <c r="I664" s="39"/>
      <c r="J664" s="39"/>
      <c r="K664" s="39"/>
      <c r="L664" s="39"/>
      <c r="M664" s="39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1"/>
      <c r="AC664" s="39"/>
      <c r="AD664" s="39"/>
      <c r="AE664" s="39"/>
      <c r="AF664" s="39"/>
      <c r="AG664" s="40"/>
      <c r="AH664" s="40"/>
      <c r="AI664" s="41"/>
      <c r="AJ664" s="41"/>
      <c r="AK664" s="41"/>
      <c r="AL664" s="52"/>
      <c r="AM664" s="53"/>
      <c r="AN664" s="53"/>
      <c r="AO664" s="53"/>
      <c r="AP664" s="53"/>
      <c r="AQ664" s="53"/>
      <c r="AR664" s="54"/>
      <c r="AS664" s="61"/>
      <c r="AT664" s="62"/>
      <c r="AU664" s="62"/>
      <c r="AV664" s="62"/>
      <c r="AW664" s="62"/>
      <c r="AX664" s="63"/>
      <c r="AY664" s="68"/>
      <c r="AZ664" s="69"/>
      <c r="BA664" s="70"/>
      <c r="BB664" s="7"/>
    </row>
    <row r="665" spans="7:54" x14ac:dyDescent="0.15">
      <c r="G665" s="7"/>
      <c r="H665" s="38"/>
      <c r="I665" s="39"/>
      <c r="J665" s="39"/>
      <c r="K665" s="39"/>
      <c r="L665" s="39"/>
      <c r="M665" s="39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1"/>
      <c r="AC665" s="39"/>
      <c r="AD665" s="39"/>
      <c r="AE665" s="39"/>
      <c r="AF665" s="39"/>
      <c r="AG665" s="40"/>
      <c r="AH665" s="40"/>
      <c r="AI665" s="41"/>
      <c r="AJ665" s="41"/>
      <c r="AK665" s="41"/>
      <c r="AL665" s="52"/>
      <c r="AM665" s="53"/>
      <c r="AN665" s="53"/>
      <c r="AO665" s="53"/>
      <c r="AP665" s="53"/>
      <c r="AQ665" s="53"/>
      <c r="AR665" s="54"/>
      <c r="AS665" s="61"/>
      <c r="AT665" s="62"/>
      <c r="AU665" s="62"/>
      <c r="AV665" s="62"/>
      <c r="AW665" s="62"/>
      <c r="AX665" s="63"/>
      <c r="AY665" s="68"/>
      <c r="AZ665" s="69"/>
      <c r="BA665" s="70"/>
      <c r="BB665" s="7"/>
    </row>
    <row r="666" spans="7:54" x14ac:dyDescent="0.15">
      <c r="G666" s="7"/>
      <c r="H666" s="38"/>
      <c r="I666" s="39"/>
      <c r="J666" s="39"/>
      <c r="K666" s="39"/>
      <c r="L666" s="39"/>
      <c r="M666" s="39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1"/>
      <c r="AC666" s="39"/>
      <c r="AD666" s="39"/>
      <c r="AE666" s="39"/>
      <c r="AF666" s="39"/>
      <c r="AG666" s="40"/>
      <c r="AH666" s="40"/>
      <c r="AI666" s="41"/>
      <c r="AJ666" s="41"/>
      <c r="AK666" s="41"/>
      <c r="AL666" s="52"/>
      <c r="AM666" s="53"/>
      <c r="AN666" s="53"/>
      <c r="AO666" s="53"/>
      <c r="AP666" s="53"/>
      <c r="AQ666" s="53"/>
      <c r="AR666" s="54"/>
      <c r="AS666" s="61"/>
      <c r="AT666" s="62"/>
      <c r="AU666" s="62"/>
      <c r="AV666" s="62"/>
      <c r="AW666" s="62"/>
      <c r="AX666" s="63"/>
      <c r="AY666" s="68"/>
      <c r="AZ666" s="69"/>
      <c r="BA666" s="70"/>
      <c r="BB666" s="7"/>
    </row>
    <row r="667" spans="7:54" x14ac:dyDescent="0.15">
      <c r="G667" s="7"/>
      <c r="H667" s="38"/>
      <c r="I667" s="39"/>
      <c r="J667" s="39"/>
      <c r="K667" s="39"/>
      <c r="L667" s="39"/>
      <c r="M667" s="39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1"/>
      <c r="AC667" s="39"/>
      <c r="AD667" s="39"/>
      <c r="AE667" s="39"/>
      <c r="AF667" s="39"/>
      <c r="AG667" s="40"/>
      <c r="AH667" s="40"/>
      <c r="AI667" s="41"/>
      <c r="AJ667" s="41"/>
      <c r="AK667" s="41"/>
      <c r="AL667" s="52"/>
      <c r="AM667" s="53"/>
      <c r="AN667" s="53"/>
      <c r="AO667" s="53"/>
      <c r="AP667" s="53"/>
      <c r="AQ667" s="53"/>
      <c r="AR667" s="54"/>
      <c r="AS667" s="61"/>
      <c r="AT667" s="62"/>
      <c r="AU667" s="62"/>
      <c r="AV667" s="62"/>
      <c r="AW667" s="62"/>
      <c r="AX667" s="63"/>
      <c r="AY667" s="68"/>
      <c r="AZ667" s="69"/>
      <c r="BA667" s="70"/>
      <c r="BB667" s="7"/>
    </row>
    <row r="668" spans="7:54" x14ac:dyDescent="0.15">
      <c r="G668" s="7"/>
      <c r="H668" s="38"/>
      <c r="I668" s="39"/>
      <c r="J668" s="39"/>
      <c r="K668" s="39"/>
      <c r="L668" s="39"/>
      <c r="M668" s="39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1"/>
      <c r="AC668" s="39"/>
      <c r="AD668" s="39"/>
      <c r="AE668" s="39"/>
      <c r="AF668" s="39"/>
      <c r="AG668" s="40"/>
      <c r="AH668" s="40"/>
      <c r="AI668" s="41"/>
      <c r="AJ668" s="41"/>
      <c r="AK668" s="41"/>
      <c r="AL668" s="52"/>
      <c r="AM668" s="53"/>
      <c r="AN668" s="53"/>
      <c r="AO668" s="53"/>
      <c r="AP668" s="53"/>
      <c r="AQ668" s="53"/>
      <c r="AR668" s="54"/>
      <c r="AS668" s="61"/>
      <c r="AT668" s="62"/>
      <c r="AU668" s="62"/>
      <c r="AV668" s="62"/>
      <c r="AW668" s="62"/>
      <c r="AX668" s="63"/>
      <c r="AY668" s="68"/>
      <c r="AZ668" s="69"/>
      <c r="BA668" s="70"/>
      <c r="BB668" s="7"/>
    </row>
    <row r="669" spans="7:54" x14ac:dyDescent="0.15">
      <c r="G669" s="7"/>
      <c r="H669" s="38"/>
      <c r="I669" s="39"/>
      <c r="J669" s="39"/>
      <c r="K669" s="39"/>
      <c r="L669" s="39"/>
      <c r="M669" s="39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1"/>
      <c r="AC669" s="39"/>
      <c r="AD669" s="39"/>
      <c r="AE669" s="39"/>
      <c r="AF669" s="39"/>
      <c r="AG669" s="40"/>
      <c r="AH669" s="40"/>
      <c r="AI669" s="41"/>
      <c r="AJ669" s="41"/>
      <c r="AK669" s="41"/>
      <c r="AL669" s="52"/>
      <c r="AM669" s="53"/>
      <c r="AN669" s="53"/>
      <c r="AO669" s="53"/>
      <c r="AP669" s="53"/>
      <c r="AQ669" s="53"/>
      <c r="AR669" s="54"/>
      <c r="AS669" s="61"/>
      <c r="AT669" s="62"/>
      <c r="AU669" s="62"/>
      <c r="AV669" s="62"/>
      <c r="AW669" s="62"/>
      <c r="AX669" s="63"/>
      <c r="AY669" s="68"/>
      <c r="AZ669" s="69"/>
      <c r="BA669" s="70"/>
      <c r="BB669" s="7"/>
    </row>
    <row r="670" spans="7:54" x14ac:dyDescent="0.15">
      <c r="G670" s="7"/>
      <c r="H670" s="38"/>
      <c r="I670" s="39"/>
      <c r="J670" s="39"/>
      <c r="K670" s="39"/>
      <c r="L670" s="39"/>
      <c r="M670" s="39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1"/>
      <c r="AC670" s="39"/>
      <c r="AD670" s="39"/>
      <c r="AE670" s="39"/>
      <c r="AF670" s="39"/>
      <c r="AG670" s="40"/>
      <c r="AH670" s="40"/>
      <c r="AI670" s="41"/>
      <c r="AJ670" s="41"/>
      <c r="AK670" s="41"/>
      <c r="AL670" s="52"/>
      <c r="AM670" s="53"/>
      <c r="AN670" s="53"/>
      <c r="AO670" s="53"/>
      <c r="AP670" s="53"/>
      <c r="AQ670" s="53"/>
      <c r="AR670" s="54"/>
      <c r="AS670" s="61"/>
      <c r="AT670" s="62"/>
      <c r="AU670" s="62"/>
      <c r="AV670" s="62"/>
      <c r="AW670" s="62"/>
      <c r="AX670" s="63"/>
      <c r="AY670" s="68"/>
      <c r="AZ670" s="69"/>
      <c r="BA670" s="70"/>
      <c r="BB670" s="7"/>
    </row>
    <row r="671" spans="7:54" x14ac:dyDescent="0.15">
      <c r="G671" s="7"/>
      <c r="H671" s="38"/>
      <c r="I671" s="39"/>
      <c r="J671" s="39"/>
      <c r="K671" s="39"/>
      <c r="L671" s="39"/>
      <c r="M671" s="39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1"/>
      <c r="AC671" s="39"/>
      <c r="AD671" s="39"/>
      <c r="AE671" s="39"/>
      <c r="AF671" s="39"/>
      <c r="AG671" s="40"/>
      <c r="AH671" s="40"/>
      <c r="AI671" s="41"/>
      <c r="AJ671" s="41"/>
      <c r="AK671" s="41"/>
      <c r="AL671" s="52"/>
      <c r="AM671" s="53"/>
      <c r="AN671" s="53"/>
      <c r="AO671" s="53"/>
      <c r="AP671" s="53"/>
      <c r="AQ671" s="53"/>
      <c r="AR671" s="54"/>
      <c r="AS671" s="61"/>
      <c r="AT671" s="62"/>
      <c r="AU671" s="62"/>
      <c r="AV671" s="62"/>
      <c r="AW671" s="62"/>
      <c r="AX671" s="63"/>
      <c r="AY671" s="68"/>
      <c r="AZ671" s="69"/>
      <c r="BA671" s="70"/>
      <c r="BB671" s="7"/>
    </row>
    <row r="672" spans="7:54" x14ac:dyDescent="0.15">
      <c r="G672" s="7"/>
      <c r="H672" s="38"/>
      <c r="I672" s="39"/>
      <c r="J672" s="39"/>
      <c r="K672" s="39"/>
      <c r="L672" s="39"/>
      <c r="M672" s="39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1"/>
      <c r="AC672" s="39"/>
      <c r="AD672" s="39"/>
      <c r="AE672" s="39"/>
      <c r="AF672" s="39"/>
      <c r="AG672" s="40"/>
      <c r="AH672" s="40"/>
      <c r="AI672" s="41"/>
      <c r="AJ672" s="41"/>
      <c r="AK672" s="41"/>
      <c r="AL672" s="52"/>
      <c r="AM672" s="53"/>
      <c r="AN672" s="53"/>
      <c r="AO672" s="53"/>
      <c r="AP672" s="53"/>
      <c r="AQ672" s="53"/>
      <c r="AR672" s="54"/>
      <c r="AS672" s="61"/>
      <c r="AT672" s="62"/>
      <c r="AU672" s="62"/>
      <c r="AV672" s="62"/>
      <c r="AW672" s="62"/>
      <c r="AX672" s="63"/>
      <c r="AY672" s="68"/>
      <c r="AZ672" s="69"/>
      <c r="BA672" s="70"/>
      <c r="BB672" s="7"/>
    </row>
    <row r="673" spans="7:54" x14ac:dyDescent="0.15">
      <c r="G673" s="7"/>
      <c r="H673" s="38"/>
      <c r="I673" s="39"/>
      <c r="J673" s="39"/>
      <c r="K673" s="39"/>
      <c r="L673" s="39"/>
      <c r="M673" s="39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1"/>
      <c r="AC673" s="39"/>
      <c r="AD673" s="39"/>
      <c r="AE673" s="39"/>
      <c r="AF673" s="39"/>
      <c r="AG673" s="40"/>
      <c r="AH673" s="40"/>
      <c r="AI673" s="41"/>
      <c r="AJ673" s="41"/>
      <c r="AK673" s="41"/>
      <c r="AL673" s="52"/>
      <c r="AM673" s="53"/>
      <c r="AN673" s="53"/>
      <c r="AO673" s="53"/>
      <c r="AP673" s="53"/>
      <c r="AQ673" s="53"/>
      <c r="AR673" s="54"/>
      <c r="AS673" s="61"/>
      <c r="AT673" s="62"/>
      <c r="AU673" s="62"/>
      <c r="AV673" s="62"/>
      <c r="AW673" s="62"/>
      <c r="AX673" s="63"/>
      <c r="AY673" s="68"/>
      <c r="AZ673" s="69"/>
      <c r="BA673" s="70"/>
      <c r="BB673" s="7"/>
    </row>
    <row r="674" spans="7:54" x14ac:dyDescent="0.15">
      <c r="G674" s="7"/>
      <c r="H674" s="38"/>
      <c r="I674" s="39"/>
      <c r="J674" s="39"/>
      <c r="K674" s="39"/>
      <c r="L674" s="39"/>
      <c r="M674" s="39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1"/>
      <c r="AC674" s="39"/>
      <c r="AD674" s="39"/>
      <c r="AE674" s="39"/>
      <c r="AF674" s="39"/>
      <c r="AG674" s="40"/>
      <c r="AH674" s="40"/>
      <c r="AI674" s="41"/>
      <c r="AJ674" s="41"/>
      <c r="AK674" s="41"/>
      <c r="AL674" s="52"/>
      <c r="AM674" s="53"/>
      <c r="AN674" s="53"/>
      <c r="AO674" s="53"/>
      <c r="AP674" s="53"/>
      <c r="AQ674" s="53"/>
      <c r="AR674" s="54"/>
      <c r="AS674" s="61"/>
      <c r="AT674" s="62"/>
      <c r="AU674" s="62"/>
      <c r="AV674" s="62"/>
      <c r="AW674" s="62"/>
      <c r="AX674" s="63"/>
      <c r="AY674" s="68"/>
      <c r="AZ674" s="69"/>
      <c r="BA674" s="70"/>
      <c r="BB674" s="7"/>
    </row>
    <row r="675" spans="7:54" x14ac:dyDescent="0.15">
      <c r="G675" s="7"/>
      <c r="H675" s="38"/>
      <c r="I675" s="39"/>
      <c r="J675" s="39"/>
      <c r="K675" s="39"/>
      <c r="L675" s="39"/>
      <c r="M675" s="39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1"/>
      <c r="AC675" s="39"/>
      <c r="AD675" s="39"/>
      <c r="AE675" s="39"/>
      <c r="AF675" s="39"/>
      <c r="AG675" s="40"/>
      <c r="AH675" s="40"/>
      <c r="AI675" s="41"/>
      <c r="AJ675" s="41"/>
      <c r="AK675" s="41"/>
      <c r="AL675" s="52"/>
      <c r="AM675" s="53"/>
      <c r="AN675" s="53"/>
      <c r="AO675" s="53"/>
      <c r="AP675" s="53"/>
      <c r="AQ675" s="53"/>
      <c r="AR675" s="54"/>
      <c r="AS675" s="61"/>
      <c r="AT675" s="62"/>
      <c r="AU675" s="62"/>
      <c r="AV675" s="62"/>
      <c r="AW675" s="62"/>
      <c r="AX675" s="63"/>
      <c r="AY675" s="68"/>
      <c r="AZ675" s="69"/>
      <c r="BA675" s="70"/>
      <c r="BB675" s="7"/>
    </row>
    <row r="676" spans="7:54" x14ac:dyDescent="0.15">
      <c r="G676" s="7"/>
      <c r="H676" s="38"/>
      <c r="I676" s="39"/>
      <c r="J676" s="39"/>
      <c r="K676" s="39"/>
      <c r="L676" s="39"/>
      <c r="M676" s="39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1"/>
      <c r="AC676" s="39"/>
      <c r="AD676" s="39"/>
      <c r="AE676" s="39"/>
      <c r="AF676" s="39"/>
      <c r="AG676" s="40"/>
      <c r="AH676" s="40"/>
      <c r="AI676" s="41"/>
      <c r="AJ676" s="41"/>
      <c r="AK676" s="41"/>
      <c r="AL676" s="52"/>
      <c r="AM676" s="53"/>
      <c r="AN676" s="53"/>
      <c r="AO676" s="53"/>
      <c r="AP676" s="53"/>
      <c r="AQ676" s="53"/>
      <c r="AR676" s="54"/>
      <c r="AS676" s="61"/>
      <c r="AT676" s="62"/>
      <c r="AU676" s="62"/>
      <c r="AV676" s="62"/>
      <c r="AW676" s="62"/>
      <c r="AX676" s="63"/>
      <c r="AY676" s="68"/>
      <c r="AZ676" s="69"/>
      <c r="BA676" s="70"/>
      <c r="BB676" s="7"/>
    </row>
    <row r="677" spans="7:54" x14ac:dyDescent="0.15">
      <c r="G677" s="7"/>
      <c r="H677" s="38"/>
      <c r="I677" s="39"/>
      <c r="J677" s="39"/>
      <c r="K677" s="39"/>
      <c r="L677" s="39"/>
      <c r="M677" s="39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1"/>
      <c r="AC677" s="39"/>
      <c r="AD677" s="39"/>
      <c r="AE677" s="39"/>
      <c r="AF677" s="39"/>
      <c r="AG677" s="40"/>
      <c r="AH677" s="40"/>
      <c r="AI677" s="41"/>
      <c r="AJ677" s="41"/>
      <c r="AK677" s="41"/>
      <c r="AL677" s="52"/>
      <c r="AM677" s="53"/>
      <c r="AN677" s="53"/>
      <c r="AO677" s="53"/>
      <c r="AP677" s="53"/>
      <c r="AQ677" s="53"/>
      <c r="AR677" s="54"/>
      <c r="AS677" s="61"/>
      <c r="AT677" s="62"/>
      <c r="AU677" s="62"/>
      <c r="AV677" s="62"/>
      <c r="AW677" s="62"/>
      <c r="AX677" s="63"/>
      <c r="AY677" s="68"/>
      <c r="AZ677" s="69"/>
      <c r="BA677" s="70"/>
      <c r="BB677" s="7"/>
    </row>
    <row r="678" spans="7:54" x14ac:dyDescent="0.15">
      <c r="G678" s="7"/>
      <c r="H678" s="38"/>
      <c r="I678" s="39"/>
      <c r="J678" s="39"/>
      <c r="K678" s="39"/>
      <c r="L678" s="39"/>
      <c r="M678" s="39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1"/>
      <c r="AC678" s="39"/>
      <c r="AD678" s="39"/>
      <c r="AE678" s="39"/>
      <c r="AF678" s="39"/>
      <c r="AG678" s="40"/>
      <c r="AH678" s="40"/>
      <c r="AI678" s="41"/>
      <c r="AJ678" s="41"/>
      <c r="AK678" s="41"/>
      <c r="AL678" s="52"/>
      <c r="AM678" s="53"/>
      <c r="AN678" s="53"/>
      <c r="AO678" s="53"/>
      <c r="AP678" s="53"/>
      <c r="AQ678" s="53"/>
      <c r="AR678" s="54"/>
      <c r="AS678" s="61"/>
      <c r="AT678" s="62"/>
      <c r="AU678" s="62"/>
      <c r="AV678" s="62"/>
      <c r="AW678" s="62"/>
      <c r="AX678" s="63"/>
      <c r="AY678" s="68"/>
      <c r="AZ678" s="69"/>
      <c r="BA678" s="70"/>
      <c r="BB678" s="7"/>
    </row>
    <row r="679" spans="7:54" x14ac:dyDescent="0.15">
      <c r="G679" s="7"/>
      <c r="H679" s="38"/>
      <c r="I679" s="39"/>
      <c r="J679" s="39"/>
      <c r="K679" s="39"/>
      <c r="L679" s="39"/>
      <c r="M679" s="39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1"/>
      <c r="AC679" s="39"/>
      <c r="AD679" s="39"/>
      <c r="AE679" s="39"/>
      <c r="AF679" s="39"/>
      <c r="AG679" s="40"/>
      <c r="AH679" s="40"/>
      <c r="AI679" s="41"/>
      <c r="AJ679" s="41"/>
      <c r="AK679" s="41"/>
      <c r="AL679" s="52"/>
      <c r="AM679" s="53"/>
      <c r="AN679" s="53"/>
      <c r="AO679" s="53"/>
      <c r="AP679" s="53"/>
      <c r="AQ679" s="53"/>
      <c r="AR679" s="54"/>
      <c r="AS679" s="61"/>
      <c r="AT679" s="62"/>
      <c r="AU679" s="62"/>
      <c r="AV679" s="62"/>
      <c r="AW679" s="62"/>
      <c r="AX679" s="63"/>
      <c r="AY679" s="68"/>
      <c r="AZ679" s="69"/>
      <c r="BA679" s="70"/>
      <c r="BB679" s="7"/>
    </row>
    <row r="680" spans="7:54" x14ac:dyDescent="0.15">
      <c r="G680" s="7"/>
      <c r="H680" s="38"/>
      <c r="I680" s="39"/>
      <c r="J680" s="39"/>
      <c r="K680" s="39"/>
      <c r="L680" s="39"/>
      <c r="M680" s="39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1"/>
      <c r="AC680" s="39"/>
      <c r="AD680" s="39"/>
      <c r="AE680" s="39"/>
      <c r="AF680" s="39"/>
      <c r="AG680" s="40"/>
      <c r="AH680" s="40"/>
      <c r="AI680" s="41"/>
      <c r="AJ680" s="41"/>
      <c r="AK680" s="41"/>
      <c r="AL680" s="52"/>
      <c r="AM680" s="53"/>
      <c r="AN680" s="53"/>
      <c r="AO680" s="53"/>
      <c r="AP680" s="53"/>
      <c r="AQ680" s="53"/>
      <c r="AR680" s="54"/>
      <c r="AS680" s="61"/>
      <c r="AT680" s="62"/>
      <c r="AU680" s="62"/>
      <c r="AV680" s="62"/>
      <c r="AW680" s="62"/>
      <c r="AX680" s="63"/>
      <c r="AY680" s="68"/>
      <c r="AZ680" s="69"/>
      <c r="BA680" s="70"/>
      <c r="BB680" s="7"/>
    </row>
    <row r="681" spans="7:54" x14ac:dyDescent="0.15">
      <c r="G681" s="7"/>
      <c r="H681" s="38"/>
      <c r="I681" s="39"/>
      <c r="J681" s="39"/>
      <c r="K681" s="39"/>
      <c r="L681" s="39"/>
      <c r="M681" s="39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1"/>
      <c r="AC681" s="39"/>
      <c r="AD681" s="39"/>
      <c r="AE681" s="39"/>
      <c r="AF681" s="39"/>
      <c r="AG681" s="40"/>
      <c r="AH681" s="40"/>
      <c r="AI681" s="41"/>
      <c r="AJ681" s="41"/>
      <c r="AK681" s="41"/>
      <c r="AL681" s="52"/>
      <c r="AM681" s="53"/>
      <c r="AN681" s="53"/>
      <c r="AO681" s="53"/>
      <c r="AP681" s="53"/>
      <c r="AQ681" s="53"/>
      <c r="AR681" s="54"/>
      <c r="AS681" s="61"/>
      <c r="AT681" s="62"/>
      <c r="AU681" s="62"/>
      <c r="AV681" s="62"/>
      <c r="AW681" s="62"/>
      <c r="AX681" s="63"/>
      <c r="AY681" s="68"/>
      <c r="AZ681" s="69"/>
      <c r="BA681" s="70"/>
      <c r="BB681" s="7"/>
    </row>
    <row r="682" spans="7:54" x14ac:dyDescent="0.15">
      <c r="G682" s="7"/>
      <c r="H682" s="38"/>
      <c r="I682" s="39"/>
      <c r="J682" s="39"/>
      <c r="K682" s="39"/>
      <c r="L682" s="39"/>
      <c r="M682" s="39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1"/>
      <c r="AC682" s="39"/>
      <c r="AD682" s="39"/>
      <c r="AE682" s="39"/>
      <c r="AF682" s="39"/>
      <c r="AG682" s="40"/>
      <c r="AH682" s="40"/>
      <c r="AI682" s="41"/>
      <c r="AJ682" s="41"/>
      <c r="AK682" s="41"/>
      <c r="AL682" s="52"/>
      <c r="AM682" s="53"/>
      <c r="AN682" s="53"/>
      <c r="AO682" s="53"/>
      <c r="AP682" s="53"/>
      <c r="AQ682" s="53"/>
      <c r="AR682" s="54"/>
      <c r="AS682" s="61"/>
      <c r="AT682" s="62"/>
      <c r="AU682" s="62"/>
      <c r="AV682" s="62"/>
      <c r="AW682" s="62"/>
      <c r="AX682" s="63"/>
      <c r="AY682" s="68"/>
      <c r="AZ682" s="69"/>
      <c r="BA682" s="70"/>
      <c r="BB682" s="7"/>
    </row>
    <row r="683" spans="7:54" x14ac:dyDescent="0.15">
      <c r="G683" s="7"/>
      <c r="H683" s="38"/>
      <c r="I683" s="39"/>
      <c r="J683" s="39"/>
      <c r="K683" s="39"/>
      <c r="L683" s="39"/>
      <c r="M683" s="39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1"/>
      <c r="AC683" s="39"/>
      <c r="AD683" s="39"/>
      <c r="AE683" s="39"/>
      <c r="AF683" s="39"/>
      <c r="AG683" s="40"/>
      <c r="AH683" s="40"/>
      <c r="AI683" s="41"/>
      <c r="AJ683" s="41"/>
      <c r="AK683" s="41"/>
      <c r="AL683" s="52"/>
      <c r="AM683" s="53"/>
      <c r="AN683" s="53"/>
      <c r="AO683" s="53"/>
      <c r="AP683" s="53"/>
      <c r="AQ683" s="53"/>
      <c r="AR683" s="54"/>
      <c r="AS683" s="61"/>
      <c r="AT683" s="62"/>
      <c r="AU683" s="62"/>
      <c r="AV683" s="62"/>
      <c r="AW683" s="62"/>
      <c r="AX683" s="63"/>
      <c r="AY683" s="68"/>
      <c r="AZ683" s="69"/>
      <c r="BA683" s="70"/>
      <c r="BB683" s="7"/>
    </row>
    <row r="684" spans="7:54" x14ac:dyDescent="0.15">
      <c r="G684" s="7"/>
      <c r="H684" s="38"/>
      <c r="I684" s="39"/>
      <c r="J684" s="39"/>
      <c r="K684" s="39"/>
      <c r="L684" s="39"/>
      <c r="M684" s="39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1"/>
      <c r="AC684" s="39"/>
      <c r="AD684" s="39"/>
      <c r="AE684" s="39"/>
      <c r="AF684" s="39"/>
      <c r="AG684" s="40"/>
      <c r="AH684" s="40"/>
      <c r="AI684" s="41"/>
      <c r="AJ684" s="41"/>
      <c r="AK684" s="41"/>
      <c r="AL684" s="52"/>
      <c r="AM684" s="53"/>
      <c r="AN684" s="53"/>
      <c r="AO684" s="53"/>
      <c r="AP684" s="53"/>
      <c r="AQ684" s="53"/>
      <c r="AR684" s="54"/>
      <c r="AS684" s="61"/>
      <c r="AT684" s="62"/>
      <c r="AU684" s="62"/>
      <c r="AV684" s="62"/>
      <c r="AW684" s="62"/>
      <c r="AX684" s="63"/>
      <c r="AY684" s="68"/>
      <c r="AZ684" s="69"/>
      <c r="BA684" s="70"/>
      <c r="BB684" s="7"/>
    </row>
    <row r="685" spans="7:54" x14ac:dyDescent="0.15">
      <c r="G685" s="7"/>
      <c r="H685" s="38"/>
      <c r="I685" s="39"/>
      <c r="J685" s="39"/>
      <c r="K685" s="39"/>
      <c r="L685" s="39"/>
      <c r="M685" s="39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1"/>
      <c r="AC685" s="39"/>
      <c r="AD685" s="39"/>
      <c r="AE685" s="39"/>
      <c r="AF685" s="39"/>
      <c r="AG685" s="40"/>
      <c r="AH685" s="40"/>
      <c r="AI685" s="41"/>
      <c r="AJ685" s="41"/>
      <c r="AK685" s="41"/>
      <c r="AL685" s="52"/>
      <c r="AM685" s="53"/>
      <c r="AN685" s="53"/>
      <c r="AO685" s="53"/>
      <c r="AP685" s="53"/>
      <c r="AQ685" s="53"/>
      <c r="AR685" s="54"/>
      <c r="AS685" s="61"/>
      <c r="AT685" s="62"/>
      <c r="AU685" s="62"/>
      <c r="AV685" s="62"/>
      <c r="AW685" s="62"/>
      <c r="AX685" s="63"/>
      <c r="AY685" s="68"/>
      <c r="AZ685" s="69"/>
      <c r="BA685" s="70"/>
      <c r="BB685" s="7"/>
    </row>
    <row r="686" spans="7:54" x14ac:dyDescent="0.15">
      <c r="G686" s="7"/>
      <c r="H686" s="16"/>
      <c r="I686" s="16"/>
      <c r="J686" s="16"/>
      <c r="K686" s="16"/>
      <c r="L686" s="16"/>
      <c r="M686" s="16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24"/>
      <c r="AC686" s="16"/>
      <c r="AD686" s="16"/>
      <c r="AE686" s="16"/>
      <c r="AF686" s="16"/>
      <c r="AG686" s="14"/>
      <c r="AH686" s="14"/>
      <c r="AI686" s="24"/>
      <c r="AJ686" s="24"/>
      <c r="AK686" s="24"/>
      <c r="AL686" s="16"/>
      <c r="AM686" s="16"/>
      <c r="AN686" s="16"/>
      <c r="AO686" s="16"/>
      <c r="AP686" s="16"/>
      <c r="AQ686" s="16"/>
      <c r="AR686" s="16"/>
      <c r="AS686" s="14"/>
      <c r="AT686" s="14"/>
      <c r="AU686" s="14"/>
      <c r="AV686" s="14"/>
      <c r="AW686" s="14"/>
      <c r="AX686" s="14"/>
      <c r="AY686" s="14"/>
      <c r="AZ686" s="14"/>
      <c r="BA686" s="14"/>
      <c r="BB686" s="7"/>
    </row>
    <row r="687" spans="7:54" x14ac:dyDescent="0.15">
      <c r="G687" s="7"/>
      <c r="H687" s="16"/>
      <c r="I687" s="16"/>
      <c r="J687" s="16"/>
      <c r="K687" s="16"/>
      <c r="L687" s="16"/>
      <c r="M687" s="16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24"/>
      <c r="AC687" s="16"/>
      <c r="AD687" s="16"/>
      <c r="AE687" s="16"/>
      <c r="AF687" s="16"/>
      <c r="AG687" s="14"/>
      <c r="AH687" s="14"/>
      <c r="AI687" s="24"/>
      <c r="AJ687" s="24"/>
      <c r="AK687" s="24"/>
      <c r="AL687" s="16"/>
      <c r="AM687" s="16"/>
      <c r="AN687" s="16"/>
      <c r="AO687" s="16"/>
      <c r="AP687" s="16"/>
      <c r="AQ687" s="16"/>
      <c r="AR687" s="16"/>
      <c r="AS687" s="14"/>
      <c r="AT687" s="14"/>
      <c r="AU687" s="14"/>
      <c r="AV687" s="14"/>
      <c r="AW687" s="14"/>
      <c r="AX687" s="14"/>
      <c r="AY687" s="14"/>
      <c r="AZ687" s="14"/>
      <c r="BA687" s="14"/>
      <c r="BB687" s="7"/>
    </row>
    <row r="688" spans="7:54" x14ac:dyDescent="0.15">
      <c r="G688" s="7"/>
      <c r="H688" s="16"/>
      <c r="I688" s="16"/>
      <c r="J688" s="16"/>
      <c r="K688" s="16"/>
      <c r="L688" s="16"/>
      <c r="M688" s="16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24"/>
      <c r="AC688" s="16"/>
      <c r="AD688" s="16"/>
      <c r="AE688" s="16"/>
      <c r="AF688" s="16"/>
      <c r="AG688" s="14"/>
      <c r="AH688" s="14"/>
      <c r="AI688" s="24"/>
      <c r="AJ688" s="24"/>
      <c r="AK688" s="24"/>
      <c r="AL688" s="16"/>
      <c r="AM688" s="16"/>
      <c r="AN688" s="16"/>
      <c r="AO688" s="16"/>
      <c r="AP688" s="16"/>
      <c r="AQ688" s="16"/>
      <c r="AR688" s="16"/>
      <c r="AS688" s="14"/>
      <c r="AT688" s="14"/>
      <c r="AU688" s="14"/>
      <c r="AV688" s="14"/>
      <c r="AW688" s="14"/>
      <c r="AX688" s="14"/>
      <c r="AY688" s="14"/>
      <c r="AZ688" s="14"/>
      <c r="BA688" s="14"/>
      <c r="BB688" s="7"/>
    </row>
    <row r="689" spans="7:54" x14ac:dyDescent="0.15">
      <c r="G689" s="7"/>
      <c r="H689" s="16"/>
      <c r="I689" s="16"/>
      <c r="J689" s="16"/>
      <c r="K689" s="16"/>
      <c r="L689" s="16"/>
      <c r="M689" s="16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24"/>
      <c r="AC689" s="16"/>
      <c r="AD689" s="16"/>
      <c r="AE689" s="16"/>
      <c r="AF689" s="16"/>
      <c r="AG689" s="14"/>
      <c r="AH689" s="14"/>
      <c r="AI689" s="24"/>
      <c r="AJ689" s="24"/>
      <c r="AK689" s="24"/>
      <c r="AL689" s="16"/>
      <c r="AM689" s="16"/>
      <c r="AN689" s="16"/>
      <c r="AO689" s="16"/>
      <c r="AP689" s="16"/>
      <c r="AQ689" s="16"/>
      <c r="AR689" s="16"/>
      <c r="AS689" s="14"/>
      <c r="AT689" s="14"/>
      <c r="AU689" s="14"/>
      <c r="AV689" s="14"/>
      <c r="AW689" s="14"/>
      <c r="AX689" s="14"/>
      <c r="AY689" s="14"/>
      <c r="AZ689" s="14"/>
      <c r="BA689" s="14"/>
      <c r="BB689" s="7"/>
    </row>
    <row r="690" spans="7:54" x14ac:dyDescent="0.15">
      <c r="G690" s="7"/>
      <c r="H690" s="16"/>
      <c r="I690" s="16"/>
      <c r="J690" s="16"/>
      <c r="K690" s="16"/>
      <c r="L690" s="16"/>
      <c r="M690" s="16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24"/>
      <c r="AC690" s="16"/>
      <c r="AD690" s="16"/>
      <c r="AE690" s="16"/>
      <c r="AF690" s="16"/>
      <c r="AG690" s="14"/>
      <c r="AH690" s="14"/>
      <c r="AI690" s="24"/>
      <c r="AJ690" s="24"/>
      <c r="AK690" s="24"/>
      <c r="AL690" s="16"/>
      <c r="AM690" s="16"/>
      <c r="AN690" s="16"/>
      <c r="AO690" s="16"/>
      <c r="AP690" s="16"/>
      <c r="AQ690" s="16"/>
      <c r="AR690" s="16"/>
      <c r="AS690" s="14"/>
      <c r="AT690" s="14"/>
      <c r="AU690" s="14"/>
      <c r="AV690" s="14"/>
      <c r="AW690" s="14"/>
      <c r="AX690" s="14"/>
      <c r="AY690" s="14"/>
      <c r="AZ690" s="14"/>
      <c r="BA690" s="14"/>
      <c r="BB690" s="7"/>
    </row>
    <row r="691" spans="7:54" x14ac:dyDescent="0.15">
      <c r="G691" s="7"/>
      <c r="H691" s="16"/>
      <c r="I691" s="16"/>
      <c r="J691" s="16"/>
      <c r="K691" s="16"/>
      <c r="L691" s="16"/>
      <c r="M691" s="16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24"/>
      <c r="AC691" s="16"/>
      <c r="AD691" s="16"/>
      <c r="AE691" s="16"/>
      <c r="AF691" s="16"/>
      <c r="AG691" s="14"/>
      <c r="AH691" s="14"/>
      <c r="AI691" s="24"/>
      <c r="AJ691" s="24"/>
      <c r="AK691" s="24"/>
      <c r="AL691" s="16"/>
      <c r="AM691" s="16"/>
      <c r="AN691" s="16"/>
      <c r="AO691" s="16"/>
      <c r="AP691" s="16"/>
      <c r="AQ691" s="16"/>
      <c r="AR691" s="16"/>
      <c r="AS691" s="14"/>
      <c r="AT691" s="14"/>
      <c r="AU691" s="14"/>
      <c r="AV691" s="14"/>
      <c r="AW691" s="14"/>
      <c r="AX691" s="14"/>
      <c r="AY691" s="14"/>
      <c r="AZ691" s="14"/>
      <c r="BA691" s="14"/>
      <c r="BB691" s="7"/>
    </row>
    <row r="692" spans="7:54" x14ac:dyDescent="0.15">
      <c r="G692" s="7"/>
      <c r="H692" s="16"/>
      <c r="I692" s="16"/>
      <c r="J692" s="16"/>
      <c r="K692" s="16"/>
      <c r="L692" s="16"/>
      <c r="M692" s="16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24"/>
      <c r="AC692" s="16"/>
      <c r="AD692" s="16"/>
      <c r="AE692" s="16"/>
      <c r="AF692" s="16"/>
      <c r="AG692" s="14"/>
      <c r="AH692" s="14"/>
      <c r="AI692" s="24"/>
      <c r="AJ692" s="24"/>
      <c r="AK692" s="24"/>
      <c r="AL692" s="16"/>
      <c r="AM692" s="16"/>
      <c r="AN692" s="16"/>
      <c r="AO692" s="16"/>
      <c r="AP692" s="16"/>
      <c r="AQ692" s="16"/>
      <c r="AR692" s="16"/>
      <c r="AS692" s="14"/>
      <c r="AT692" s="14"/>
      <c r="AU692" s="14"/>
      <c r="AV692" s="14"/>
      <c r="AW692" s="14"/>
      <c r="AX692" s="14"/>
      <c r="AY692" s="14"/>
      <c r="AZ692" s="14"/>
      <c r="BA692" s="14"/>
      <c r="BB692" s="7"/>
    </row>
    <row r="693" spans="7:54" x14ac:dyDescent="0.15">
      <c r="G693" s="7"/>
      <c r="H693" s="16"/>
      <c r="I693" s="16"/>
      <c r="J693" s="16"/>
      <c r="K693" s="16"/>
      <c r="L693" s="16"/>
      <c r="M693" s="16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24"/>
      <c r="AC693" s="16"/>
      <c r="AD693" s="16"/>
      <c r="AE693" s="16"/>
      <c r="AF693" s="16"/>
      <c r="AG693" s="14"/>
      <c r="AH693" s="14"/>
      <c r="AI693" s="24"/>
      <c r="AJ693" s="24"/>
      <c r="AK693" s="24"/>
      <c r="AL693" s="16"/>
      <c r="AM693" s="16"/>
      <c r="AN693" s="16"/>
      <c r="AO693" s="16"/>
      <c r="AP693" s="16"/>
      <c r="AQ693" s="16"/>
      <c r="AR693" s="16"/>
      <c r="AS693" s="14"/>
      <c r="AT693" s="14"/>
      <c r="AU693" s="14"/>
      <c r="AV693" s="14"/>
      <c r="AW693" s="14"/>
      <c r="AX693" s="14"/>
      <c r="AY693" s="14"/>
      <c r="AZ693" s="14"/>
      <c r="BA693" s="14"/>
      <c r="BB693" s="7"/>
    </row>
    <row r="694" spans="7:54" x14ac:dyDescent="0.15">
      <c r="G694" s="7"/>
      <c r="H694" s="16"/>
      <c r="I694" s="16"/>
      <c r="J694" s="16"/>
      <c r="K694" s="16"/>
      <c r="L694" s="16"/>
      <c r="M694" s="16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24"/>
      <c r="AC694" s="16"/>
      <c r="AD694" s="16"/>
      <c r="AE694" s="16"/>
      <c r="AF694" s="16"/>
      <c r="AG694" s="14"/>
      <c r="AH694" s="14"/>
      <c r="AI694" s="24"/>
      <c r="AJ694" s="24"/>
      <c r="AK694" s="24"/>
      <c r="AL694" s="16"/>
      <c r="AM694" s="16"/>
      <c r="AN694" s="16"/>
      <c r="AO694" s="16"/>
      <c r="AP694" s="16"/>
      <c r="AQ694" s="16"/>
      <c r="AR694" s="16"/>
      <c r="AS694" s="14"/>
      <c r="AT694" s="14"/>
      <c r="AU694" s="14"/>
      <c r="AV694" s="14"/>
      <c r="AW694" s="14"/>
      <c r="AX694" s="14"/>
      <c r="AY694" s="14"/>
      <c r="AZ694" s="14"/>
      <c r="BA694" s="14"/>
      <c r="BB694" s="7"/>
    </row>
    <row r="695" spans="7:54" x14ac:dyDescent="0.15">
      <c r="G695" s="7"/>
      <c r="H695" s="16"/>
      <c r="I695" s="16"/>
      <c r="J695" s="16"/>
      <c r="K695" s="16"/>
      <c r="L695" s="16"/>
      <c r="M695" s="16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24"/>
      <c r="AC695" s="16"/>
      <c r="AD695" s="16"/>
      <c r="AE695" s="16"/>
      <c r="AF695" s="16"/>
      <c r="AG695" s="14"/>
      <c r="AH695" s="14"/>
      <c r="AI695" s="24"/>
      <c r="AJ695" s="24"/>
      <c r="AK695" s="24"/>
      <c r="AL695" s="16"/>
      <c r="AM695" s="16"/>
      <c r="AN695" s="16"/>
      <c r="AO695" s="16"/>
      <c r="AP695" s="16"/>
      <c r="AQ695" s="16"/>
      <c r="AR695" s="16"/>
      <c r="AS695" s="14"/>
      <c r="AT695" s="14"/>
      <c r="AU695" s="14"/>
      <c r="AV695" s="14"/>
      <c r="AW695" s="14"/>
      <c r="AX695" s="14"/>
      <c r="AY695" s="14"/>
      <c r="AZ695" s="14"/>
      <c r="BA695" s="14"/>
      <c r="BB695" s="7"/>
    </row>
    <row r="696" spans="7:54" x14ac:dyDescent="0.15">
      <c r="G696" s="7"/>
      <c r="H696" s="16"/>
      <c r="I696" s="16"/>
      <c r="J696" s="16"/>
      <c r="K696" s="16"/>
      <c r="L696" s="16"/>
      <c r="M696" s="16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24"/>
      <c r="AC696" s="16"/>
      <c r="AD696" s="16"/>
      <c r="AE696" s="16"/>
      <c r="AF696" s="16"/>
      <c r="AG696" s="14"/>
      <c r="AH696" s="14"/>
      <c r="AI696" s="24"/>
      <c r="AJ696" s="24"/>
      <c r="AK696" s="24"/>
      <c r="AL696" s="16"/>
      <c r="AM696" s="16"/>
      <c r="AN696" s="16"/>
      <c r="AO696" s="16"/>
      <c r="AP696" s="16"/>
      <c r="AQ696" s="16"/>
      <c r="AR696" s="16"/>
      <c r="AS696" s="14"/>
      <c r="AT696" s="14"/>
      <c r="AU696" s="14"/>
      <c r="AV696" s="14"/>
      <c r="AW696" s="14"/>
      <c r="AX696" s="14"/>
      <c r="AY696" s="14"/>
      <c r="AZ696" s="14"/>
      <c r="BA696" s="14"/>
      <c r="BB696" s="7"/>
    </row>
    <row r="697" spans="7:54" x14ac:dyDescent="0.15">
      <c r="G697" s="7"/>
      <c r="H697" s="16"/>
      <c r="I697" s="16"/>
      <c r="J697" s="16"/>
      <c r="K697" s="16"/>
      <c r="L697" s="16"/>
      <c r="M697" s="16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24"/>
      <c r="AC697" s="16"/>
      <c r="AD697" s="16"/>
      <c r="AE697" s="16"/>
      <c r="AF697" s="16"/>
      <c r="AG697" s="14"/>
      <c r="AH697" s="14"/>
      <c r="AI697" s="24"/>
      <c r="AJ697" s="24"/>
      <c r="AK697" s="24"/>
      <c r="AL697" s="16"/>
      <c r="AM697" s="16"/>
      <c r="AN697" s="16"/>
      <c r="AO697" s="16"/>
      <c r="AP697" s="16"/>
      <c r="AQ697" s="16"/>
      <c r="AR697" s="16"/>
      <c r="AS697" s="14"/>
      <c r="AT697" s="14"/>
      <c r="AU697" s="14"/>
      <c r="AV697" s="14"/>
      <c r="AW697" s="14"/>
      <c r="AX697" s="14"/>
      <c r="AY697" s="14"/>
      <c r="AZ697" s="14"/>
      <c r="BA697" s="14"/>
      <c r="BB697" s="7"/>
    </row>
    <row r="698" spans="7:54" x14ac:dyDescent="0.15">
      <c r="G698" s="7"/>
      <c r="H698" s="16"/>
      <c r="I698" s="16"/>
      <c r="J698" s="16"/>
      <c r="K698" s="16"/>
      <c r="L698" s="16"/>
      <c r="M698" s="16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24"/>
      <c r="AC698" s="16"/>
      <c r="AD698" s="16"/>
      <c r="AE698" s="16"/>
      <c r="AF698" s="16"/>
      <c r="AG698" s="14"/>
      <c r="AH698" s="14"/>
      <c r="AI698" s="24"/>
      <c r="AJ698" s="24"/>
      <c r="AK698" s="24"/>
      <c r="AL698" s="16"/>
      <c r="AM698" s="16"/>
      <c r="AN698" s="16"/>
      <c r="AO698" s="16"/>
      <c r="AP698" s="16"/>
      <c r="AQ698" s="16"/>
      <c r="AR698" s="16"/>
      <c r="AS698" s="14"/>
      <c r="AT698" s="14"/>
      <c r="AU698" s="14"/>
      <c r="AV698" s="14"/>
      <c r="AW698" s="14"/>
      <c r="AX698" s="14"/>
      <c r="AY698" s="14"/>
      <c r="AZ698" s="14"/>
      <c r="BA698" s="14"/>
      <c r="BB698" s="7"/>
    </row>
    <row r="699" spans="7:54" x14ac:dyDescent="0.15">
      <c r="G699" s="7"/>
      <c r="H699" s="16"/>
      <c r="I699" s="16"/>
      <c r="J699" s="16"/>
      <c r="K699" s="16"/>
      <c r="L699" s="16"/>
      <c r="M699" s="16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24"/>
      <c r="AC699" s="16"/>
      <c r="AD699" s="16"/>
      <c r="AE699" s="16"/>
      <c r="AF699" s="16"/>
      <c r="AG699" s="14"/>
      <c r="AH699" s="14"/>
      <c r="AI699" s="24"/>
      <c r="AJ699" s="24"/>
      <c r="AK699" s="24"/>
      <c r="AL699" s="16"/>
      <c r="AM699" s="16"/>
      <c r="AN699" s="16"/>
      <c r="AO699" s="16"/>
      <c r="AP699" s="16"/>
      <c r="AQ699" s="16"/>
      <c r="AR699" s="16"/>
      <c r="AS699" s="14"/>
      <c r="AT699" s="14"/>
      <c r="AU699" s="14"/>
      <c r="AV699" s="14"/>
      <c r="AW699" s="14"/>
      <c r="AX699" s="14"/>
      <c r="AY699" s="14"/>
      <c r="AZ699" s="14"/>
      <c r="BA699" s="14"/>
      <c r="BB699" s="7"/>
    </row>
    <row r="700" spans="7:54" x14ac:dyDescent="0.15">
      <c r="G700" s="7"/>
      <c r="H700" s="16"/>
      <c r="I700" s="16"/>
      <c r="J700" s="16"/>
      <c r="K700" s="16"/>
      <c r="L700" s="16"/>
      <c r="M700" s="16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24"/>
      <c r="AC700" s="16"/>
      <c r="AD700" s="16"/>
      <c r="AE700" s="16"/>
      <c r="AF700" s="16"/>
      <c r="AG700" s="14"/>
      <c r="AH700" s="14"/>
      <c r="AI700" s="24"/>
      <c r="AJ700" s="24"/>
      <c r="AK700" s="24"/>
      <c r="AL700" s="16"/>
      <c r="AM700" s="16"/>
      <c r="AN700" s="16"/>
      <c r="AO700" s="16"/>
      <c r="AP700" s="16"/>
      <c r="AQ700" s="16"/>
      <c r="AR700" s="16"/>
      <c r="AS700" s="14"/>
      <c r="AT700" s="14"/>
      <c r="AU700" s="14"/>
      <c r="AV700" s="14"/>
      <c r="AW700" s="14"/>
      <c r="AX700" s="14"/>
      <c r="AY700" s="14"/>
      <c r="AZ700" s="14"/>
      <c r="BA700" s="14"/>
      <c r="BB700" s="7"/>
    </row>
    <row r="701" spans="7:54" x14ac:dyDescent="0.15">
      <c r="G701" s="7"/>
      <c r="H701" s="16"/>
      <c r="I701" s="16"/>
      <c r="J701" s="16"/>
      <c r="K701" s="16"/>
      <c r="L701" s="16"/>
      <c r="M701" s="16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24"/>
      <c r="AC701" s="16"/>
      <c r="AD701" s="16"/>
      <c r="AE701" s="16"/>
      <c r="AF701" s="16"/>
      <c r="AG701" s="14"/>
      <c r="AH701" s="14"/>
      <c r="AI701" s="24"/>
      <c r="AJ701" s="24"/>
      <c r="AK701" s="24"/>
      <c r="AL701" s="16"/>
      <c r="AM701" s="16"/>
      <c r="AN701" s="16"/>
      <c r="AO701" s="16"/>
      <c r="AP701" s="16"/>
      <c r="AQ701" s="16"/>
      <c r="AR701" s="16"/>
      <c r="AS701" s="14"/>
      <c r="AT701" s="14"/>
      <c r="AU701" s="14"/>
      <c r="AV701" s="14"/>
      <c r="AW701" s="14"/>
      <c r="AX701" s="14"/>
      <c r="AY701" s="14"/>
      <c r="AZ701" s="14"/>
      <c r="BA701" s="14"/>
      <c r="BB701" s="7"/>
    </row>
    <row r="702" spans="7:54" x14ac:dyDescent="0.15">
      <c r="G702" s="7"/>
      <c r="H702" s="16"/>
      <c r="I702" s="16"/>
      <c r="J702" s="16"/>
      <c r="K702" s="16"/>
      <c r="L702" s="16"/>
      <c r="M702" s="16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24"/>
      <c r="AC702" s="16"/>
      <c r="AD702" s="16"/>
      <c r="AE702" s="16"/>
      <c r="AF702" s="16"/>
      <c r="AG702" s="14"/>
      <c r="AH702" s="14"/>
      <c r="AI702" s="24"/>
      <c r="AJ702" s="24"/>
      <c r="AK702" s="24"/>
      <c r="AL702" s="16"/>
      <c r="AM702" s="16"/>
      <c r="AN702" s="16"/>
      <c r="AO702" s="16"/>
      <c r="AP702" s="16"/>
      <c r="AQ702" s="16"/>
      <c r="AR702" s="16"/>
      <c r="AS702" s="14"/>
      <c r="AT702" s="14"/>
      <c r="AU702" s="14"/>
      <c r="AV702" s="14"/>
      <c r="AW702" s="14"/>
      <c r="AX702" s="14"/>
      <c r="AY702" s="14"/>
      <c r="AZ702" s="14"/>
      <c r="BA702" s="14"/>
      <c r="BB702" s="7"/>
    </row>
    <row r="703" spans="7:54" x14ac:dyDescent="0.15">
      <c r="G703" s="7"/>
      <c r="H703" s="16"/>
      <c r="I703" s="16"/>
      <c r="J703" s="16"/>
      <c r="K703" s="16"/>
      <c r="L703" s="16"/>
      <c r="M703" s="16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24"/>
      <c r="AC703" s="16"/>
      <c r="AD703" s="16"/>
      <c r="AE703" s="16"/>
      <c r="AF703" s="16"/>
      <c r="AG703" s="14"/>
      <c r="AH703" s="14"/>
      <c r="AI703" s="24"/>
      <c r="AJ703" s="24"/>
      <c r="AK703" s="24"/>
      <c r="AL703" s="16"/>
      <c r="AM703" s="16"/>
      <c r="AN703" s="16"/>
      <c r="AO703" s="16"/>
      <c r="AP703" s="16"/>
      <c r="AQ703" s="16"/>
      <c r="AR703" s="16"/>
      <c r="AS703" s="14"/>
      <c r="AT703" s="14"/>
      <c r="AU703" s="14"/>
      <c r="AV703" s="14"/>
      <c r="AW703" s="14"/>
      <c r="AX703" s="14"/>
      <c r="AY703" s="14"/>
      <c r="AZ703" s="14"/>
      <c r="BA703" s="14"/>
      <c r="BB703" s="7"/>
    </row>
    <row r="704" spans="7:54" x14ac:dyDescent="0.15">
      <c r="G704" s="7"/>
      <c r="H704" s="16"/>
      <c r="I704" s="16"/>
      <c r="J704" s="16"/>
      <c r="K704" s="16"/>
      <c r="L704" s="16"/>
      <c r="M704" s="16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24"/>
      <c r="AC704" s="16"/>
      <c r="AD704" s="16"/>
      <c r="AE704" s="16"/>
      <c r="AF704" s="16"/>
      <c r="AG704" s="14"/>
      <c r="AH704" s="14"/>
      <c r="AI704" s="24"/>
      <c r="AJ704" s="24"/>
      <c r="AK704" s="24"/>
      <c r="AL704" s="16"/>
      <c r="AM704" s="16"/>
      <c r="AN704" s="16"/>
      <c r="AO704" s="16"/>
      <c r="AP704" s="16"/>
      <c r="AQ704" s="16"/>
      <c r="AR704" s="16"/>
      <c r="AS704" s="14"/>
      <c r="AT704" s="14"/>
      <c r="AU704" s="14"/>
      <c r="AV704" s="14"/>
      <c r="AW704" s="14"/>
      <c r="AX704" s="14"/>
      <c r="AY704" s="14"/>
      <c r="AZ704" s="14"/>
      <c r="BA704" s="14"/>
      <c r="BB704" s="7"/>
    </row>
    <row r="705" spans="7:54" x14ac:dyDescent="0.15">
      <c r="G705" s="7"/>
      <c r="H705" s="16"/>
      <c r="I705" s="16"/>
      <c r="J705" s="16"/>
      <c r="K705" s="16"/>
      <c r="L705" s="16"/>
      <c r="M705" s="16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24"/>
      <c r="AC705" s="16"/>
      <c r="AD705" s="16"/>
      <c r="AE705" s="16"/>
      <c r="AF705" s="16"/>
      <c r="AG705" s="14"/>
      <c r="AH705" s="14"/>
      <c r="AI705" s="24"/>
      <c r="AJ705" s="24"/>
      <c r="AK705" s="24"/>
      <c r="AL705" s="16"/>
      <c r="AM705" s="16"/>
      <c r="AN705" s="16"/>
      <c r="AO705" s="16"/>
      <c r="AP705" s="16"/>
      <c r="AQ705" s="16"/>
      <c r="AR705" s="16"/>
      <c r="AS705" s="14"/>
      <c r="AT705" s="14"/>
      <c r="AU705" s="14"/>
      <c r="AV705" s="14"/>
      <c r="AW705" s="14"/>
      <c r="AX705" s="14"/>
      <c r="AY705" s="14"/>
      <c r="AZ705" s="14"/>
      <c r="BA705" s="14"/>
      <c r="BB705" s="7"/>
    </row>
    <row r="706" spans="7:54" x14ac:dyDescent="0.15">
      <c r="G706" s="7"/>
      <c r="H706" s="16"/>
      <c r="I706" s="16"/>
      <c r="J706" s="16"/>
      <c r="K706" s="16"/>
      <c r="L706" s="16"/>
      <c r="M706" s="16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24"/>
      <c r="AC706" s="16"/>
      <c r="AD706" s="16"/>
      <c r="AE706" s="16"/>
      <c r="AF706" s="16"/>
      <c r="AG706" s="14"/>
      <c r="AH706" s="14"/>
      <c r="AI706" s="24"/>
      <c r="AJ706" s="24"/>
      <c r="AK706" s="24"/>
      <c r="AL706" s="16"/>
      <c r="AM706" s="16"/>
      <c r="AN706" s="16"/>
      <c r="AO706" s="16"/>
      <c r="AP706" s="16"/>
      <c r="AQ706" s="16"/>
      <c r="AR706" s="16"/>
      <c r="AS706" s="14"/>
      <c r="AT706" s="14"/>
      <c r="AU706" s="14"/>
      <c r="AV706" s="14"/>
      <c r="AW706" s="14"/>
      <c r="AX706" s="14"/>
      <c r="AY706" s="14"/>
      <c r="AZ706" s="14"/>
      <c r="BA706" s="14"/>
      <c r="BB706" s="7"/>
    </row>
    <row r="707" spans="7:54" x14ac:dyDescent="0.15">
      <c r="G707" s="7"/>
      <c r="H707" s="16"/>
      <c r="I707" s="16"/>
      <c r="J707" s="16"/>
      <c r="K707" s="16"/>
      <c r="L707" s="16"/>
      <c r="M707" s="16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24"/>
      <c r="AC707" s="16"/>
      <c r="AD707" s="16"/>
      <c r="AE707" s="16"/>
      <c r="AF707" s="16"/>
      <c r="AG707" s="14"/>
      <c r="AH707" s="14"/>
      <c r="AI707" s="24"/>
      <c r="AJ707" s="24"/>
      <c r="AK707" s="24"/>
      <c r="AL707" s="16"/>
      <c r="AM707" s="16"/>
      <c r="AN707" s="16"/>
      <c r="AO707" s="16"/>
      <c r="AP707" s="16"/>
      <c r="AQ707" s="16"/>
      <c r="AR707" s="16"/>
      <c r="AS707" s="14"/>
      <c r="AT707" s="14"/>
      <c r="AU707" s="14"/>
      <c r="AV707" s="14"/>
      <c r="AW707" s="14"/>
      <c r="AX707" s="14"/>
      <c r="AY707" s="14"/>
      <c r="AZ707" s="14"/>
      <c r="BA707" s="14"/>
      <c r="BB707" s="7"/>
    </row>
    <row r="708" spans="7:54" x14ac:dyDescent="0.15">
      <c r="G708" s="7"/>
      <c r="H708" s="16"/>
      <c r="I708" s="16"/>
      <c r="J708" s="16"/>
      <c r="K708" s="16"/>
      <c r="L708" s="16"/>
      <c r="M708" s="16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24"/>
      <c r="AC708" s="16"/>
      <c r="AD708" s="16"/>
      <c r="AE708" s="16"/>
      <c r="AF708" s="16"/>
      <c r="AG708" s="14"/>
      <c r="AH708" s="14"/>
      <c r="AI708" s="24"/>
      <c r="AJ708" s="24"/>
      <c r="AK708" s="24"/>
      <c r="AL708" s="16"/>
      <c r="AM708" s="16"/>
      <c r="AN708" s="16"/>
      <c r="AO708" s="16"/>
      <c r="AP708" s="16"/>
      <c r="AQ708" s="16"/>
      <c r="AR708" s="16"/>
      <c r="AS708" s="14"/>
      <c r="AT708" s="14"/>
      <c r="AU708" s="14"/>
      <c r="AV708" s="14"/>
      <c r="AW708" s="14"/>
      <c r="AX708" s="14"/>
      <c r="AY708" s="14"/>
      <c r="AZ708" s="14"/>
      <c r="BA708" s="14"/>
      <c r="BB708" s="7"/>
    </row>
    <row r="709" spans="7:54" x14ac:dyDescent="0.15">
      <c r="G709" s="7"/>
      <c r="H709" s="16"/>
      <c r="I709" s="16"/>
      <c r="J709" s="16"/>
      <c r="K709" s="16"/>
      <c r="L709" s="16"/>
      <c r="M709" s="16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24"/>
      <c r="AC709" s="16"/>
      <c r="AD709" s="16"/>
      <c r="AE709" s="16"/>
      <c r="AF709" s="16"/>
      <c r="AG709" s="14"/>
      <c r="AH709" s="14"/>
      <c r="AI709" s="24"/>
      <c r="AJ709" s="24"/>
      <c r="AK709" s="24"/>
      <c r="AL709" s="16"/>
      <c r="AM709" s="16"/>
      <c r="AN709" s="16"/>
      <c r="AO709" s="16"/>
      <c r="AP709" s="16"/>
      <c r="AQ709" s="16"/>
      <c r="AR709" s="16"/>
      <c r="AS709" s="14"/>
      <c r="AT709" s="14"/>
      <c r="AU709" s="14"/>
      <c r="AV709" s="14"/>
      <c r="AW709" s="14"/>
      <c r="AX709" s="14"/>
      <c r="AY709" s="14"/>
      <c r="AZ709" s="14"/>
      <c r="BA709" s="14"/>
      <c r="BB709" s="7"/>
    </row>
    <row r="710" spans="7:54" x14ac:dyDescent="0.15">
      <c r="G710" s="7"/>
      <c r="H710" s="16"/>
      <c r="I710" s="16"/>
      <c r="J710" s="16"/>
      <c r="K710" s="16"/>
      <c r="L710" s="16"/>
      <c r="M710" s="16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24"/>
      <c r="AC710" s="16"/>
      <c r="AD710" s="16"/>
      <c r="AE710" s="16"/>
      <c r="AF710" s="16"/>
      <c r="AG710" s="14"/>
      <c r="AH710" s="14"/>
      <c r="AI710" s="24"/>
      <c r="AJ710" s="24"/>
      <c r="AK710" s="24"/>
      <c r="AL710" s="16"/>
      <c r="AM710" s="16"/>
      <c r="AN710" s="16"/>
      <c r="AO710" s="16"/>
      <c r="AP710" s="16"/>
      <c r="AQ710" s="16"/>
      <c r="AR710" s="16"/>
      <c r="AS710" s="14"/>
      <c r="AT710" s="14"/>
      <c r="AU710" s="14"/>
      <c r="AV710" s="14"/>
      <c r="AW710" s="14"/>
      <c r="AX710" s="14"/>
      <c r="AY710" s="14"/>
      <c r="AZ710" s="14"/>
      <c r="BA710" s="14"/>
      <c r="BB710" s="7"/>
    </row>
    <row r="711" spans="7:54" x14ac:dyDescent="0.15">
      <c r="G711" s="7"/>
      <c r="H711" s="16"/>
      <c r="I711" s="16"/>
      <c r="J711" s="16"/>
      <c r="K711" s="16"/>
      <c r="L711" s="16"/>
      <c r="M711" s="16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24"/>
      <c r="AC711" s="16"/>
      <c r="AD711" s="16"/>
      <c r="AE711" s="16"/>
      <c r="AF711" s="16"/>
      <c r="AG711" s="14"/>
      <c r="AH711" s="14"/>
      <c r="AI711" s="24"/>
      <c r="AJ711" s="24"/>
      <c r="AK711" s="24"/>
      <c r="AL711" s="16"/>
      <c r="AM711" s="16"/>
      <c r="AN711" s="16"/>
      <c r="AO711" s="16"/>
      <c r="AP711" s="16"/>
      <c r="AQ711" s="16"/>
      <c r="AR711" s="16"/>
      <c r="AS711" s="14"/>
      <c r="AT711" s="14"/>
      <c r="AU711" s="14"/>
      <c r="AV711" s="14"/>
      <c r="AW711" s="14"/>
      <c r="AX711" s="14"/>
      <c r="AY711" s="14"/>
      <c r="AZ711" s="14"/>
      <c r="BA711" s="14"/>
      <c r="BB711" s="7"/>
    </row>
    <row r="712" spans="7:54" x14ac:dyDescent="0.15">
      <c r="G712" s="7"/>
      <c r="H712" s="16"/>
      <c r="I712" s="16"/>
      <c r="J712" s="16"/>
      <c r="K712" s="16"/>
      <c r="L712" s="16"/>
      <c r="M712" s="16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24"/>
      <c r="AC712" s="16"/>
      <c r="AD712" s="16"/>
      <c r="AE712" s="16"/>
      <c r="AF712" s="16"/>
      <c r="AG712" s="14"/>
      <c r="AH712" s="14"/>
      <c r="AI712" s="24"/>
      <c r="AJ712" s="24"/>
      <c r="AK712" s="24"/>
      <c r="AL712" s="16"/>
      <c r="AM712" s="16"/>
      <c r="AN712" s="16"/>
      <c r="AO712" s="16"/>
      <c r="AP712" s="16"/>
      <c r="AQ712" s="16"/>
      <c r="AR712" s="16"/>
      <c r="AS712" s="14"/>
      <c r="AT712" s="14"/>
      <c r="AU712" s="14"/>
      <c r="AV712" s="14"/>
      <c r="AW712" s="14"/>
      <c r="AX712" s="14"/>
      <c r="AY712" s="14"/>
      <c r="AZ712" s="14"/>
      <c r="BA712" s="14"/>
      <c r="BB712" s="7"/>
    </row>
    <row r="713" spans="7:54" x14ac:dyDescent="0.15">
      <c r="G713" s="7"/>
      <c r="H713" s="16"/>
      <c r="I713" s="16"/>
      <c r="J713" s="16"/>
      <c r="K713" s="16"/>
      <c r="L713" s="16"/>
      <c r="M713" s="16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24"/>
      <c r="AC713" s="16"/>
      <c r="AD713" s="16"/>
      <c r="AE713" s="16"/>
      <c r="AF713" s="16"/>
      <c r="AG713" s="14"/>
      <c r="AH713" s="14"/>
      <c r="AI713" s="24"/>
      <c r="AJ713" s="24"/>
      <c r="AK713" s="24"/>
      <c r="AL713" s="16"/>
      <c r="AM713" s="16"/>
      <c r="AN713" s="16"/>
      <c r="AO713" s="16"/>
      <c r="AP713" s="16"/>
      <c r="AQ713" s="16"/>
      <c r="AR713" s="16"/>
      <c r="AS713" s="14"/>
      <c r="AT713" s="14"/>
      <c r="AU713" s="14"/>
      <c r="AV713" s="14"/>
      <c r="AW713" s="14"/>
      <c r="AX713" s="14"/>
      <c r="AY713" s="14"/>
      <c r="AZ713" s="14"/>
      <c r="BA713" s="14"/>
      <c r="BB713" s="7"/>
    </row>
    <row r="714" spans="7:54" x14ac:dyDescent="0.15">
      <c r="G714" s="7"/>
      <c r="H714" s="16"/>
      <c r="I714" s="16"/>
      <c r="J714" s="16"/>
      <c r="K714" s="16"/>
      <c r="L714" s="16"/>
      <c r="M714" s="16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24"/>
      <c r="AC714" s="16"/>
      <c r="AD714" s="16"/>
      <c r="AE714" s="16"/>
      <c r="AF714" s="16"/>
      <c r="AG714" s="14"/>
      <c r="AH714" s="14"/>
      <c r="AI714" s="24"/>
      <c r="AJ714" s="24"/>
      <c r="AK714" s="24"/>
      <c r="AL714" s="16"/>
      <c r="AM714" s="16"/>
      <c r="AN714" s="16"/>
      <c r="AO714" s="16"/>
      <c r="AP714" s="16"/>
      <c r="AQ714" s="16"/>
      <c r="AR714" s="16"/>
      <c r="AS714" s="14"/>
      <c r="AT714" s="14"/>
      <c r="AU714" s="14"/>
      <c r="AV714" s="14"/>
      <c r="AW714" s="14"/>
      <c r="AX714" s="14"/>
      <c r="AY714" s="14"/>
      <c r="AZ714" s="14"/>
      <c r="BA714" s="14"/>
      <c r="BB714" s="7"/>
    </row>
    <row r="715" spans="7:54" x14ac:dyDescent="0.15">
      <c r="G715" s="7"/>
      <c r="H715" s="16"/>
      <c r="I715" s="16"/>
      <c r="J715" s="16"/>
      <c r="K715" s="16"/>
      <c r="L715" s="16"/>
      <c r="M715" s="16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24"/>
      <c r="AC715" s="16"/>
      <c r="AD715" s="16"/>
      <c r="AE715" s="16"/>
      <c r="AF715" s="16"/>
      <c r="AG715" s="14"/>
      <c r="AH715" s="14"/>
      <c r="AI715" s="24"/>
      <c r="AJ715" s="24"/>
      <c r="AK715" s="24"/>
      <c r="AL715" s="16"/>
      <c r="AM715" s="16"/>
      <c r="AN715" s="16"/>
      <c r="AO715" s="16"/>
      <c r="AP715" s="16"/>
      <c r="AQ715" s="16"/>
      <c r="AR715" s="16"/>
      <c r="AS715" s="14"/>
      <c r="AT715" s="14"/>
      <c r="AU715" s="14"/>
      <c r="AV715" s="14"/>
      <c r="AW715" s="14"/>
      <c r="AX715" s="14"/>
      <c r="AY715" s="14"/>
      <c r="AZ715" s="14"/>
      <c r="BA715" s="14"/>
      <c r="BB715" s="7"/>
    </row>
    <row r="716" spans="7:54" x14ac:dyDescent="0.15">
      <c r="G716" s="7"/>
      <c r="H716" s="16"/>
      <c r="I716" s="16"/>
      <c r="J716" s="16"/>
      <c r="K716" s="16"/>
      <c r="L716" s="16"/>
      <c r="M716" s="16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24"/>
      <c r="AC716" s="16"/>
      <c r="AD716" s="16"/>
      <c r="AE716" s="16"/>
      <c r="AF716" s="16"/>
      <c r="AG716" s="14"/>
      <c r="AH716" s="14"/>
      <c r="AI716" s="24"/>
      <c r="AJ716" s="24"/>
      <c r="AK716" s="24"/>
      <c r="AL716" s="16"/>
      <c r="AM716" s="16"/>
      <c r="AN716" s="16"/>
      <c r="AO716" s="16"/>
      <c r="AP716" s="16"/>
      <c r="AQ716" s="16"/>
      <c r="AR716" s="16"/>
      <c r="AS716" s="14"/>
      <c r="AT716" s="14"/>
      <c r="AU716" s="14"/>
      <c r="AV716" s="14"/>
      <c r="AW716" s="14"/>
      <c r="AX716" s="14"/>
      <c r="AY716" s="14"/>
      <c r="AZ716" s="14"/>
      <c r="BA716" s="14"/>
      <c r="BB716" s="7"/>
    </row>
    <row r="717" spans="7:54" x14ac:dyDescent="0.15">
      <c r="G717" s="7"/>
      <c r="H717" s="16"/>
      <c r="I717" s="16"/>
      <c r="J717" s="16"/>
      <c r="K717" s="16"/>
      <c r="L717" s="16"/>
      <c r="M717" s="16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24"/>
      <c r="AC717" s="16"/>
      <c r="AD717" s="16"/>
      <c r="AE717" s="16"/>
      <c r="AF717" s="16"/>
      <c r="AG717" s="14"/>
      <c r="AH717" s="14"/>
      <c r="AI717" s="24"/>
      <c r="AJ717" s="24"/>
      <c r="AK717" s="24"/>
      <c r="AL717" s="16"/>
      <c r="AM717" s="16"/>
      <c r="AN717" s="16"/>
      <c r="AO717" s="16"/>
      <c r="AP717" s="16"/>
      <c r="AQ717" s="16"/>
      <c r="AR717" s="16"/>
      <c r="AS717" s="14"/>
      <c r="AT717" s="14"/>
      <c r="AU717" s="14"/>
      <c r="AV717" s="14"/>
      <c r="AW717" s="14"/>
      <c r="AX717" s="14"/>
      <c r="AY717" s="14"/>
      <c r="AZ717" s="14"/>
      <c r="BA717" s="14"/>
      <c r="BB717" s="7"/>
    </row>
    <row r="718" spans="7:54" x14ac:dyDescent="0.15">
      <c r="G718" s="7"/>
      <c r="H718" s="16"/>
      <c r="I718" s="16"/>
      <c r="J718" s="16"/>
      <c r="K718" s="16"/>
      <c r="L718" s="16"/>
      <c r="M718" s="16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24"/>
      <c r="AC718" s="16"/>
      <c r="AD718" s="16"/>
      <c r="AE718" s="16"/>
      <c r="AF718" s="16"/>
      <c r="AG718" s="14"/>
      <c r="AH718" s="14"/>
      <c r="AI718" s="24"/>
      <c r="AJ718" s="24"/>
      <c r="AK718" s="24"/>
      <c r="AL718" s="16"/>
      <c r="AM718" s="16"/>
      <c r="AN718" s="16"/>
      <c r="AO718" s="16"/>
      <c r="AP718" s="16"/>
      <c r="AQ718" s="16"/>
      <c r="AR718" s="16"/>
      <c r="AS718" s="14"/>
      <c r="AT718" s="14"/>
      <c r="AU718" s="14"/>
      <c r="AV718" s="14"/>
      <c r="AW718" s="14"/>
      <c r="AX718" s="14"/>
      <c r="AY718" s="14"/>
      <c r="AZ718" s="14"/>
      <c r="BA718" s="14"/>
      <c r="BB718" s="7"/>
    </row>
    <row r="719" spans="7:54" x14ac:dyDescent="0.15">
      <c r="G719" s="7"/>
      <c r="H719" s="16"/>
      <c r="I719" s="16"/>
      <c r="J719" s="16"/>
      <c r="K719" s="16"/>
      <c r="L719" s="16"/>
      <c r="M719" s="16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24"/>
      <c r="AC719" s="16"/>
      <c r="AD719" s="16"/>
      <c r="AE719" s="16"/>
      <c r="AF719" s="16"/>
      <c r="AG719" s="14"/>
      <c r="AH719" s="14"/>
      <c r="AI719" s="24"/>
      <c r="AJ719" s="24"/>
      <c r="AK719" s="24"/>
      <c r="AL719" s="16"/>
      <c r="AM719" s="16"/>
      <c r="AN719" s="16"/>
      <c r="AO719" s="16"/>
      <c r="AP719" s="16"/>
      <c r="AQ719" s="16"/>
      <c r="AR719" s="16"/>
      <c r="AS719" s="14"/>
      <c r="AT719" s="14"/>
      <c r="AU719" s="14"/>
      <c r="AV719" s="14"/>
      <c r="AW719" s="14"/>
      <c r="AX719" s="14"/>
      <c r="AY719" s="14"/>
      <c r="AZ719" s="14"/>
      <c r="BA719" s="14"/>
      <c r="BB719" s="7"/>
    </row>
    <row r="720" spans="7:54" x14ac:dyDescent="0.15">
      <c r="G720" s="7"/>
      <c r="H720" s="16"/>
      <c r="I720" s="16"/>
      <c r="J720" s="16"/>
      <c r="K720" s="16"/>
      <c r="L720" s="16"/>
      <c r="M720" s="16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24"/>
      <c r="AC720" s="16"/>
      <c r="AD720" s="16"/>
      <c r="AE720" s="16"/>
      <c r="AF720" s="16"/>
      <c r="AG720" s="14"/>
      <c r="AH720" s="14"/>
      <c r="AI720" s="24"/>
      <c r="AJ720" s="24"/>
      <c r="AK720" s="24"/>
      <c r="AL720" s="16"/>
      <c r="AM720" s="16"/>
      <c r="AN720" s="16"/>
      <c r="AO720" s="16"/>
      <c r="AP720" s="16"/>
      <c r="AQ720" s="16"/>
      <c r="AR720" s="16"/>
      <c r="AS720" s="14"/>
      <c r="AT720" s="14"/>
      <c r="AU720" s="14"/>
      <c r="AV720" s="14"/>
      <c r="AW720" s="14"/>
      <c r="AX720" s="14"/>
      <c r="AY720" s="14"/>
      <c r="AZ720" s="14"/>
      <c r="BA720" s="14"/>
      <c r="BB720" s="7"/>
    </row>
    <row r="721" spans="7:54" x14ac:dyDescent="0.15">
      <c r="G721" s="7"/>
      <c r="H721" s="16"/>
      <c r="I721" s="16"/>
      <c r="J721" s="16"/>
      <c r="K721" s="16"/>
      <c r="L721" s="16"/>
      <c r="M721" s="16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24"/>
      <c r="AC721" s="16"/>
      <c r="AD721" s="16"/>
      <c r="AE721" s="16"/>
      <c r="AF721" s="16"/>
      <c r="AG721" s="14"/>
      <c r="AH721" s="14"/>
      <c r="AI721" s="24"/>
      <c r="AJ721" s="24"/>
      <c r="AK721" s="24"/>
      <c r="AL721" s="16"/>
      <c r="AM721" s="16"/>
      <c r="AN721" s="16"/>
      <c r="AO721" s="16"/>
      <c r="AP721" s="16"/>
      <c r="AQ721" s="16"/>
      <c r="AR721" s="16"/>
      <c r="AS721" s="14"/>
      <c r="AT721" s="14"/>
      <c r="AU721" s="14"/>
      <c r="AV721" s="14"/>
      <c r="AW721" s="14"/>
      <c r="AX721" s="14"/>
      <c r="AY721" s="14"/>
      <c r="AZ721" s="14"/>
      <c r="BA721" s="14"/>
      <c r="BB721" s="7"/>
    </row>
    <row r="722" spans="7:54" x14ac:dyDescent="0.15">
      <c r="G722" s="7"/>
      <c r="H722" s="16"/>
      <c r="I722" s="16"/>
      <c r="J722" s="16"/>
      <c r="K722" s="16"/>
      <c r="L722" s="16"/>
      <c r="M722" s="16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24"/>
      <c r="AC722" s="16"/>
      <c r="AD722" s="16"/>
      <c r="AE722" s="16"/>
      <c r="AF722" s="16"/>
      <c r="AG722" s="14"/>
      <c r="AH722" s="14"/>
      <c r="AI722" s="24"/>
      <c r="AJ722" s="24"/>
      <c r="AK722" s="24"/>
      <c r="AL722" s="16"/>
      <c r="AM722" s="16"/>
      <c r="AN722" s="16"/>
      <c r="AO722" s="16"/>
      <c r="AP722" s="16"/>
      <c r="AQ722" s="16"/>
      <c r="AR722" s="16"/>
      <c r="AS722" s="14"/>
      <c r="AT722" s="14"/>
      <c r="AU722" s="14"/>
      <c r="AV722" s="14"/>
      <c r="AW722" s="14"/>
      <c r="AX722" s="14"/>
      <c r="AY722" s="14"/>
      <c r="AZ722" s="14"/>
      <c r="BA722" s="14"/>
      <c r="BB722" s="7"/>
    </row>
    <row r="723" spans="7:54" x14ac:dyDescent="0.15">
      <c r="G723" s="7"/>
      <c r="H723" s="16"/>
      <c r="I723" s="16"/>
      <c r="J723" s="16"/>
      <c r="K723" s="16"/>
      <c r="L723" s="16"/>
      <c r="M723" s="16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24"/>
      <c r="AC723" s="16"/>
      <c r="AD723" s="16"/>
      <c r="AE723" s="16"/>
      <c r="AF723" s="16"/>
      <c r="AG723" s="14"/>
      <c r="AH723" s="14"/>
      <c r="AI723" s="24"/>
      <c r="AJ723" s="24"/>
      <c r="AK723" s="24"/>
      <c r="AL723" s="16"/>
      <c r="AM723" s="16"/>
      <c r="AN723" s="16"/>
      <c r="AO723" s="16"/>
      <c r="AP723" s="16"/>
      <c r="AQ723" s="16"/>
      <c r="AR723" s="16"/>
      <c r="AS723" s="14"/>
      <c r="AT723" s="14"/>
      <c r="AU723" s="14"/>
      <c r="AV723" s="14"/>
      <c r="AW723" s="14"/>
      <c r="AX723" s="14"/>
      <c r="AY723" s="14"/>
      <c r="AZ723" s="14"/>
      <c r="BA723" s="14"/>
      <c r="BB723" s="7"/>
    </row>
    <row r="724" spans="7:54" x14ac:dyDescent="0.15">
      <c r="G724" s="7"/>
      <c r="H724" s="16"/>
      <c r="I724" s="16"/>
      <c r="J724" s="16"/>
      <c r="K724" s="16"/>
      <c r="L724" s="16"/>
      <c r="M724" s="16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24"/>
      <c r="AC724" s="16"/>
      <c r="AD724" s="16"/>
      <c r="AE724" s="16"/>
      <c r="AF724" s="16"/>
      <c r="AG724" s="14"/>
      <c r="AH724" s="14"/>
      <c r="AI724" s="24"/>
      <c r="AJ724" s="24"/>
      <c r="AK724" s="24"/>
      <c r="AL724" s="16"/>
      <c r="AM724" s="16"/>
      <c r="AN724" s="16"/>
      <c r="AO724" s="16"/>
      <c r="AP724" s="16"/>
      <c r="AQ724" s="16"/>
      <c r="AR724" s="16"/>
      <c r="AS724" s="14"/>
      <c r="AT724" s="14"/>
      <c r="AU724" s="14"/>
      <c r="AV724" s="14"/>
      <c r="AW724" s="14"/>
      <c r="AX724" s="14"/>
      <c r="AY724" s="14"/>
      <c r="AZ724" s="14"/>
      <c r="BA724" s="14"/>
      <c r="BB724" s="7"/>
    </row>
    <row r="725" spans="7:54" x14ac:dyDescent="0.15">
      <c r="G725" s="7"/>
      <c r="H725" s="16"/>
      <c r="I725" s="16"/>
      <c r="J725" s="16"/>
      <c r="K725" s="16"/>
      <c r="L725" s="16"/>
      <c r="M725" s="16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24"/>
      <c r="AC725" s="16"/>
      <c r="AD725" s="16"/>
      <c r="AE725" s="16"/>
      <c r="AF725" s="16"/>
      <c r="AG725" s="14"/>
      <c r="AH725" s="14"/>
      <c r="AI725" s="24"/>
      <c r="AJ725" s="24"/>
      <c r="AK725" s="24"/>
      <c r="AL725" s="16"/>
      <c r="AM725" s="16"/>
      <c r="AN725" s="16"/>
      <c r="AO725" s="16"/>
      <c r="AP725" s="16"/>
      <c r="AQ725" s="16"/>
      <c r="AR725" s="16"/>
      <c r="AS725" s="14"/>
      <c r="AT725" s="14"/>
      <c r="AU725" s="14"/>
      <c r="AV725" s="14"/>
      <c r="AW725" s="14"/>
      <c r="AX725" s="14"/>
      <c r="AY725" s="14"/>
      <c r="AZ725" s="14"/>
      <c r="BA725" s="14"/>
      <c r="BB725" s="7"/>
    </row>
    <row r="726" spans="7:54" x14ac:dyDescent="0.15">
      <c r="G726" s="7"/>
      <c r="H726" s="16"/>
      <c r="I726" s="16"/>
      <c r="J726" s="16"/>
      <c r="K726" s="16"/>
      <c r="L726" s="16"/>
      <c r="M726" s="16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24"/>
      <c r="AC726" s="16"/>
      <c r="AD726" s="16"/>
      <c r="AE726" s="16"/>
      <c r="AF726" s="16"/>
      <c r="AG726" s="14"/>
      <c r="AH726" s="14"/>
      <c r="AI726" s="24"/>
      <c r="AJ726" s="24"/>
      <c r="AK726" s="24"/>
      <c r="AL726" s="16"/>
      <c r="AM726" s="16"/>
      <c r="AN726" s="16"/>
      <c r="AO726" s="16"/>
      <c r="AP726" s="16"/>
      <c r="AQ726" s="16"/>
      <c r="AR726" s="16"/>
      <c r="AS726" s="14"/>
      <c r="AT726" s="14"/>
      <c r="AU726" s="14"/>
      <c r="AV726" s="14"/>
      <c r="AW726" s="14"/>
      <c r="AX726" s="14"/>
      <c r="AY726" s="14"/>
      <c r="AZ726" s="14"/>
      <c r="BA726" s="14"/>
      <c r="BB726" s="7"/>
    </row>
    <row r="727" spans="7:54" x14ac:dyDescent="0.15">
      <c r="G727" s="7"/>
      <c r="H727" s="16"/>
      <c r="I727" s="16"/>
      <c r="J727" s="16"/>
      <c r="K727" s="16"/>
      <c r="L727" s="16"/>
      <c r="M727" s="16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24"/>
      <c r="AC727" s="16"/>
      <c r="AD727" s="16"/>
      <c r="AE727" s="16"/>
      <c r="AF727" s="16"/>
      <c r="AG727" s="14"/>
      <c r="AH727" s="14"/>
      <c r="AI727" s="24"/>
      <c r="AJ727" s="24"/>
      <c r="AK727" s="24"/>
      <c r="AL727" s="16"/>
      <c r="AM727" s="16"/>
      <c r="AN727" s="16"/>
      <c r="AO727" s="16"/>
      <c r="AP727" s="16"/>
      <c r="AQ727" s="16"/>
      <c r="AR727" s="16"/>
      <c r="AS727" s="14"/>
      <c r="AT727" s="14"/>
      <c r="AU727" s="14"/>
      <c r="AV727" s="14"/>
      <c r="AW727" s="14"/>
      <c r="AX727" s="14"/>
      <c r="AY727" s="14"/>
      <c r="AZ727" s="14"/>
      <c r="BA727" s="14"/>
      <c r="BB727" s="7"/>
    </row>
    <row r="728" spans="7:54" x14ac:dyDescent="0.15">
      <c r="G728" s="7"/>
      <c r="H728" s="16"/>
      <c r="I728" s="16"/>
      <c r="J728" s="16"/>
      <c r="K728" s="16"/>
      <c r="L728" s="16"/>
      <c r="M728" s="16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24"/>
      <c r="AC728" s="16"/>
      <c r="AD728" s="16"/>
      <c r="AE728" s="16"/>
      <c r="AF728" s="16"/>
      <c r="AG728" s="14"/>
      <c r="AH728" s="14"/>
      <c r="AI728" s="24"/>
      <c r="AJ728" s="24"/>
      <c r="AK728" s="24"/>
      <c r="AL728" s="16"/>
      <c r="AM728" s="16"/>
      <c r="AN728" s="16"/>
      <c r="AO728" s="16"/>
      <c r="AP728" s="16"/>
      <c r="AQ728" s="16"/>
      <c r="AR728" s="16"/>
      <c r="AS728" s="14"/>
      <c r="AT728" s="14"/>
      <c r="AU728" s="14"/>
      <c r="AV728" s="14"/>
      <c r="AW728" s="14"/>
      <c r="AX728" s="14"/>
      <c r="AY728" s="14"/>
      <c r="AZ728" s="14"/>
      <c r="BA728" s="14"/>
      <c r="BB728" s="7"/>
    </row>
    <row r="729" spans="7:54" x14ac:dyDescent="0.15">
      <c r="G729" s="7"/>
      <c r="H729" s="16"/>
      <c r="I729" s="16"/>
      <c r="J729" s="16"/>
      <c r="K729" s="16"/>
      <c r="L729" s="16"/>
      <c r="M729" s="16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24"/>
      <c r="AC729" s="16"/>
      <c r="AD729" s="16"/>
      <c r="AE729" s="16"/>
      <c r="AF729" s="16"/>
      <c r="AG729" s="14"/>
      <c r="AH729" s="14"/>
      <c r="AI729" s="24"/>
      <c r="AJ729" s="24"/>
      <c r="AK729" s="24"/>
      <c r="AL729" s="16"/>
      <c r="AM729" s="16"/>
      <c r="AN729" s="16"/>
      <c r="AO729" s="16"/>
      <c r="AP729" s="16"/>
      <c r="AQ729" s="16"/>
      <c r="AR729" s="16"/>
      <c r="AS729" s="14"/>
      <c r="AT729" s="14"/>
      <c r="AU729" s="14"/>
      <c r="AV729" s="14"/>
      <c r="AW729" s="14"/>
      <c r="AX729" s="14"/>
      <c r="AY729" s="14"/>
      <c r="AZ729" s="14"/>
      <c r="BA729" s="14"/>
      <c r="BB729" s="7"/>
    </row>
    <row r="730" spans="7:54" x14ac:dyDescent="0.15">
      <c r="G730" s="7"/>
      <c r="H730" s="16"/>
      <c r="I730" s="16"/>
      <c r="J730" s="16"/>
      <c r="K730" s="16"/>
      <c r="L730" s="16"/>
      <c r="M730" s="16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24"/>
      <c r="AC730" s="16"/>
      <c r="AD730" s="16"/>
      <c r="AE730" s="16"/>
      <c r="AF730" s="16"/>
      <c r="AG730" s="14"/>
      <c r="AH730" s="14"/>
      <c r="AI730" s="24"/>
      <c r="AJ730" s="24"/>
      <c r="AK730" s="24"/>
      <c r="AL730" s="16"/>
      <c r="AM730" s="16"/>
      <c r="AN730" s="16"/>
      <c r="AO730" s="16"/>
      <c r="AP730" s="16"/>
      <c r="AQ730" s="16"/>
      <c r="AR730" s="16"/>
      <c r="AS730" s="14"/>
      <c r="AT730" s="14"/>
      <c r="AU730" s="14"/>
      <c r="AV730" s="14"/>
      <c r="AW730" s="14"/>
      <c r="AX730" s="14"/>
      <c r="AY730" s="14"/>
      <c r="AZ730" s="14"/>
      <c r="BA730" s="14"/>
      <c r="BB730" s="7"/>
    </row>
    <row r="731" spans="7:54" x14ac:dyDescent="0.15">
      <c r="G731" s="7"/>
      <c r="H731" s="16"/>
      <c r="I731" s="16"/>
      <c r="J731" s="16"/>
      <c r="K731" s="16"/>
      <c r="L731" s="16"/>
      <c r="M731" s="16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24"/>
      <c r="AC731" s="16"/>
      <c r="AD731" s="16"/>
      <c r="AE731" s="16"/>
      <c r="AF731" s="16"/>
      <c r="AG731" s="14"/>
      <c r="AH731" s="14"/>
      <c r="AI731" s="24"/>
      <c r="AJ731" s="24"/>
      <c r="AK731" s="24"/>
      <c r="AL731" s="16"/>
      <c r="AM731" s="16"/>
      <c r="AN731" s="16"/>
      <c r="AO731" s="16"/>
      <c r="AP731" s="16"/>
      <c r="AQ731" s="16"/>
      <c r="AR731" s="16"/>
      <c r="AS731" s="14"/>
      <c r="AT731" s="14"/>
      <c r="AU731" s="14"/>
      <c r="AV731" s="14"/>
      <c r="AW731" s="14"/>
      <c r="AX731" s="14"/>
      <c r="AY731" s="14"/>
      <c r="AZ731" s="14"/>
      <c r="BA731" s="14"/>
      <c r="BB731" s="7"/>
    </row>
    <row r="732" spans="7:54" x14ac:dyDescent="0.15">
      <c r="G732" s="7"/>
      <c r="H732" s="16"/>
      <c r="I732" s="16"/>
      <c r="J732" s="16"/>
      <c r="K732" s="16"/>
      <c r="L732" s="16"/>
      <c r="M732" s="16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24"/>
      <c r="AC732" s="16"/>
      <c r="AD732" s="16"/>
      <c r="AE732" s="16"/>
      <c r="AF732" s="16"/>
      <c r="AG732" s="14"/>
      <c r="AH732" s="14"/>
      <c r="AI732" s="24"/>
      <c r="AJ732" s="24"/>
      <c r="AK732" s="24"/>
      <c r="AL732" s="16"/>
      <c r="AM732" s="16"/>
      <c r="AN732" s="16"/>
      <c r="AO732" s="16"/>
      <c r="AP732" s="16"/>
      <c r="AQ732" s="16"/>
      <c r="AR732" s="16"/>
      <c r="AS732" s="14"/>
      <c r="AT732" s="14"/>
      <c r="AU732" s="14"/>
      <c r="AV732" s="14"/>
      <c r="AW732" s="14"/>
      <c r="AX732" s="14"/>
      <c r="AY732" s="14"/>
      <c r="AZ732" s="14"/>
      <c r="BA732" s="14"/>
      <c r="BB732" s="7"/>
    </row>
    <row r="733" spans="7:54" x14ac:dyDescent="0.15">
      <c r="G733" s="7"/>
      <c r="H733" s="16"/>
      <c r="I733" s="16"/>
      <c r="J733" s="16"/>
      <c r="K733" s="16"/>
      <c r="L733" s="16"/>
      <c r="M733" s="16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24"/>
      <c r="AC733" s="16"/>
      <c r="AD733" s="16"/>
      <c r="AE733" s="16"/>
      <c r="AF733" s="16"/>
      <c r="AG733" s="14"/>
      <c r="AH733" s="14"/>
      <c r="AI733" s="24"/>
      <c r="AJ733" s="24"/>
      <c r="AK733" s="24"/>
      <c r="AL733" s="16"/>
      <c r="AM733" s="16"/>
      <c r="AN733" s="16"/>
      <c r="AO733" s="16"/>
      <c r="AP733" s="16"/>
      <c r="AQ733" s="16"/>
      <c r="AR733" s="16"/>
      <c r="AS733" s="14"/>
      <c r="AT733" s="14"/>
      <c r="AU733" s="14"/>
      <c r="AV733" s="14"/>
      <c r="AW733" s="14"/>
      <c r="AX733" s="14"/>
      <c r="AY733" s="14"/>
      <c r="AZ733" s="14"/>
      <c r="BA733" s="14"/>
      <c r="BB733" s="7"/>
    </row>
    <row r="734" spans="7:54" x14ac:dyDescent="0.15">
      <c r="G734" s="7"/>
      <c r="H734" s="16"/>
      <c r="I734" s="16"/>
      <c r="J734" s="16"/>
      <c r="K734" s="16"/>
      <c r="L734" s="16"/>
      <c r="M734" s="16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24"/>
      <c r="AC734" s="16"/>
      <c r="AD734" s="16"/>
      <c r="AE734" s="16"/>
      <c r="AF734" s="16"/>
      <c r="AG734" s="14"/>
      <c r="AH734" s="14"/>
      <c r="AI734" s="24"/>
      <c r="AJ734" s="24"/>
      <c r="AK734" s="24"/>
      <c r="AL734" s="16"/>
      <c r="AM734" s="16"/>
      <c r="AN734" s="16"/>
      <c r="AO734" s="16"/>
      <c r="AP734" s="16"/>
      <c r="AQ734" s="16"/>
      <c r="AR734" s="16"/>
      <c r="AS734" s="14"/>
      <c r="AT734" s="14"/>
      <c r="AU734" s="14"/>
      <c r="AV734" s="14"/>
      <c r="AW734" s="14"/>
      <c r="AX734" s="14"/>
      <c r="AY734" s="14"/>
      <c r="AZ734" s="14"/>
      <c r="BA734" s="14"/>
      <c r="BB734" s="7"/>
    </row>
    <row r="735" spans="7:54" x14ac:dyDescent="0.15">
      <c r="G735" s="7"/>
      <c r="H735" s="16"/>
      <c r="I735" s="16"/>
      <c r="J735" s="16"/>
      <c r="K735" s="16"/>
      <c r="L735" s="16"/>
      <c r="M735" s="16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24"/>
      <c r="AC735" s="16"/>
      <c r="AD735" s="16"/>
      <c r="AE735" s="16"/>
      <c r="AF735" s="16"/>
      <c r="AG735" s="14"/>
      <c r="AH735" s="14"/>
      <c r="AI735" s="24"/>
      <c r="AJ735" s="24"/>
      <c r="AK735" s="24"/>
      <c r="AL735" s="16"/>
      <c r="AM735" s="16"/>
      <c r="AN735" s="16"/>
      <c r="AO735" s="16"/>
      <c r="AP735" s="16"/>
      <c r="AQ735" s="16"/>
      <c r="AR735" s="16"/>
      <c r="AS735" s="14"/>
      <c r="AT735" s="14"/>
      <c r="AU735" s="14"/>
      <c r="AV735" s="14"/>
      <c r="AW735" s="14"/>
      <c r="AX735" s="14"/>
      <c r="AY735" s="14"/>
      <c r="AZ735" s="14"/>
      <c r="BA735" s="14"/>
      <c r="BB735" s="7"/>
    </row>
    <row r="736" spans="7:54" x14ac:dyDescent="0.15">
      <c r="G736" s="7"/>
      <c r="H736" s="16"/>
      <c r="I736" s="16"/>
      <c r="J736" s="16"/>
      <c r="K736" s="16"/>
      <c r="L736" s="16"/>
      <c r="M736" s="16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24"/>
      <c r="AC736" s="16"/>
      <c r="AD736" s="16"/>
      <c r="AE736" s="16"/>
      <c r="AF736" s="16"/>
      <c r="AG736" s="14"/>
      <c r="AH736" s="14"/>
      <c r="AI736" s="24"/>
      <c r="AJ736" s="24"/>
      <c r="AK736" s="24"/>
      <c r="AL736" s="16"/>
      <c r="AM736" s="16"/>
      <c r="AN736" s="16"/>
      <c r="AO736" s="16"/>
      <c r="AP736" s="16"/>
      <c r="AQ736" s="16"/>
      <c r="AR736" s="16"/>
      <c r="AS736" s="14"/>
      <c r="AT736" s="14"/>
      <c r="AU736" s="14"/>
      <c r="AV736" s="14"/>
      <c r="AW736" s="14"/>
      <c r="AX736" s="14"/>
      <c r="AY736" s="14"/>
      <c r="AZ736" s="14"/>
      <c r="BA736" s="14"/>
      <c r="BB736" s="7"/>
    </row>
    <row r="737" spans="7:54" x14ac:dyDescent="0.15">
      <c r="G737" s="7"/>
      <c r="H737" s="16"/>
      <c r="I737" s="16"/>
      <c r="J737" s="16"/>
      <c r="K737" s="16"/>
      <c r="L737" s="16"/>
      <c r="M737" s="16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24"/>
      <c r="AC737" s="16"/>
      <c r="AD737" s="16"/>
      <c r="AE737" s="16"/>
      <c r="AF737" s="16"/>
      <c r="AG737" s="14"/>
      <c r="AH737" s="14"/>
      <c r="AI737" s="24"/>
      <c r="AJ737" s="24"/>
      <c r="AK737" s="24"/>
      <c r="AL737" s="16"/>
      <c r="AM737" s="16"/>
      <c r="AN737" s="16"/>
      <c r="AO737" s="16"/>
      <c r="AP737" s="16"/>
      <c r="AQ737" s="16"/>
      <c r="AR737" s="16"/>
      <c r="AS737" s="14"/>
      <c r="AT737" s="14"/>
      <c r="AU737" s="14"/>
      <c r="AV737" s="14"/>
      <c r="AW737" s="14"/>
      <c r="AX737" s="14"/>
      <c r="AY737" s="14"/>
      <c r="AZ737" s="14"/>
      <c r="BA737" s="14"/>
      <c r="BB737" s="7"/>
    </row>
    <row r="738" spans="7:54" x14ac:dyDescent="0.15">
      <c r="G738" s="7"/>
      <c r="H738" s="16"/>
      <c r="I738" s="16"/>
      <c r="J738" s="16"/>
      <c r="K738" s="16"/>
      <c r="L738" s="16"/>
      <c r="M738" s="16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24"/>
      <c r="AC738" s="16"/>
      <c r="AD738" s="16"/>
      <c r="AE738" s="16"/>
      <c r="AF738" s="16"/>
      <c r="AG738" s="14"/>
      <c r="AH738" s="14"/>
      <c r="AI738" s="24"/>
      <c r="AJ738" s="24"/>
      <c r="AK738" s="24"/>
      <c r="AL738" s="16"/>
      <c r="AM738" s="16"/>
      <c r="AN738" s="16"/>
      <c r="AO738" s="16"/>
      <c r="AP738" s="16"/>
      <c r="AQ738" s="16"/>
      <c r="AR738" s="16"/>
      <c r="AS738" s="14"/>
      <c r="AT738" s="14"/>
      <c r="AU738" s="14"/>
      <c r="AV738" s="14"/>
      <c r="AW738" s="14"/>
      <c r="AX738" s="14"/>
      <c r="AY738" s="14"/>
      <c r="AZ738" s="14"/>
      <c r="BA738" s="14"/>
      <c r="BB738" s="7"/>
    </row>
    <row r="739" spans="7:54" x14ac:dyDescent="0.15">
      <c r="G739" s="7"/>
      <c r="H739" s="16"/>
      <c r="I739" s="16"/>
      <c r="J739" s="16"/>
      <c r="K739" s="16"/>
      <c r="L739" s="16"/>
      <c r="M739" s="16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24"/>
      <c r="AC739" s="16"/>
      <c r="AD739" s="16"/>
      <c r="AE739" s="16"/>
      <c r="AF739" s="16"/>
      <c r="AG739" s="14"/>
      <c r="AH739" s="14"/>
      <c r="AI739" s="24"/>
      <c r="AJ739" s="24"/>
      <c r="AK739" s="24"/>
      <c r="AL739" s="16"/>
      <c r="AM739" s="16"/>
      <c r="AN739" s="16"/>
      <c r="AO739" s="16"/>
      <c r="AP739" s="16"/>
      <c r="AQ739" s="16"/>
      <c r="AR739" s="16"/>
      <c r="AS739" s="14"/>
      <c r="AT739" s="14"/>
      <c r="AU739" s="14"/>
      <c r="AV739" s="14"/>
      <c r="AW739" s="14"/>
      <c r="AX739" s="14"/>
      <c r="AY739" s="14"/>
      <c r="AZ739" s="14"/>
      <c r="BA739" s="14"/>
      <c r="BB739" s="7"/>
    </row>
    <row r="740" spans="7:54" x14ac:dyDescent="0.15">
      <c r="G740" s="7"/>
      <c r="H740" s="16"/>
      <c r="I740" s="16"/>
      <c r="J740" s="16"/>
      <c r="K740" s="16"/>
      <c r="L740" s="16"/>
      <c r="M740" s="16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24"/>
      <c r="AC740" s="16"/>
      <c r="AD740" s="16"/>
      <c r="AE740" s="16"/>
      <c r="AF740" s="16"/>
      <c r="AG740" s="14"/>
      <c r="AH740" s="14"/>
      <c r="AI740" s="24"/>
      <c r="AJ740" s="24"/>
      <c r="AK740" s="24"/>
      <c r="AL740" s="16"/>
      <c r="AM740" s="16"/>
      <c r="AN740" s="16"/>
      <c r="AO740" s="16"/>
      <c r="AP740" s="16"/>
      <c r="AQ740" s="16"/>
      <c r="AR740" s="16"/>
      <c r="AS740" s="14"/>
      <c r="AT740" s="14"/>
      <c r="AU740" s="14"/>
      <c r="AV740" s="14"/>
      <c r="AW740" s="14"/>
      <c r="AX740" s="14"/>
      <c r="AY740" s="14"/>
      <c r="AZ740" s="14"/>
      <c r="BA740" s="14"/>
      <c r="BB740" s="7"/>
    </row>
    <row r="741" spans="7:54" x14ac:dyDescent="0.15">
      <c r="G741" s="7"/>
      <c r="H741" s="16"/>
      <c r="I741" s="16"/>
      <c r="J741" s="16"/>
      <c r="K741" s="16"/>
      <c r="L741" s="16"/>
      <c r="M741" s="16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24"/>
      <c r="AC741" s="16"/>
      <c r="AD741" s="16"/>
      <c r="AE741" s="16"/>
      <c r="AF741" s="16"/>
      <c r="AG741" s="14"/>
      <c r="AH741" s="14"/>
      <c r="AI741" s="24"/>
      <c r="AJ741" s="24"/>
      <c r="AK741" s="24"/>
      <c r="AL741" s="16"/>
      <c r="AM741" s="16"/>
      <c r="AN741" s="16"/>
      <c r="AO741" s="16"/>
      <c r="AP741" s="16"/>
      <c r="AQ741" s="16"/>
      <c r="AR741" s="16"/>
      <c r="AS741" s="14"/>
      <c r="AT741" s="14"/>
      <c r="AU741" s="14"/>
      <c r="AV741" s="14"/>
      <c r="AW741" s="14"/>
      <c r="AX741" s="14"/>
      <c r="AY741" s="14"/>
      <c r="AZ741" s="14"/>
      <c r="BA741" s="14"/>
      <c r="BB741" s="7"/>
    </row>
    <row r="742" spans="7:54" x14ac:dyDescent="0.15">
      <c r="G742" s="7"/>
      <c r="H742" s="16"/>
      <c r="I742" s="16"/>
      <c r="J742" s="16"/>
      <c r="K742" s="16"/>
      <c r="L742" s="16"/>
      <c r="M742" s="16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24"/>
      <c r="AC742" s="16"/>
      <c r="AD742" s="16"/>
      <c r="AE742" s="16"/>
      <c r="AF742" s="16"/>
      <c r="AG742" s="14"/>
      <c r="AH742" s="14"/>
      <c r="AI742" s="24"/>
      <c r="AJ742" s="24"/>
      <c r="AK742" s="24"/>
      <c r="AL742" s="16"/>
      <c r="AM742" s="16"/>
      <c r="AN742" s="16"/>
      <c r="AO742" s="16"/>
      <c r="AP742" s="16"/>
      <c r="AQ742" s="16"/>
      <c r="AR742" s="16"/>
      <c r="AS742" s="14"/>
      <c r="AT742" s="14"/>
      <c r="AU742" s="14"/>
      <c r="AV742" s="14"/>
      <c r="AW742" s="14"/>
      <c r="AX742" s="14"/>
      <c r="AY742" s="14"/>
      <c r="AZ742" s="14"/>
      <c r="BA742" s="14"/>
      <c r="BB742" s="7"/>
    </row>
    <row r="743" spans="7:54" x14ac:dyDescent="0.15">
      <c r="G743" s="7"/>
      <c r="H743" s="16"/>
      <c r="I743" s="16"/>
      <c r="J743" s="16"/>
      <c r="K743" s="16"/>
      <c r="L743" s="16"/>
      <c r="M743" s="16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24"/>
      <c r="AC743" s="16"/>
      <c r="AD743" s="16"/>
      <c r="AE743" s="16"/>
      <c r="AF743" s="16"/>
      <c r="AG743" s="14"/>
      <c r="AH743" s="14"/>
      <c r="AI743" s="24"/>
      <c r="AJ743" s="24"/>
      <c r="AK743" s="24"/>
      <c r="AL743" s="16"/>
      <c r="AM743" s="16"/>
      <c r="AN743" s="16"/>
      <c r="AO743" s="16"/>
      <c r="AP743" s="16"/>
      <c r="AQ743" s="16"/>
      <c r="AR743" s="16"/>
      <c r="AS743" s="14"/>
      <c r="AT743" s="14"/>
      <c r="AU743" s="14"/>
      <c r="AV743" s="14"/>
      <c r="AW743" s="14"/>
      <c r="AX743" s="14"/>
      <c r="AY743" s="14"/>
      <c r="AZ743" s="14"/>
      <c r="BA743" s="14"/>
      <c r="BB743" s="7"/>
    </row>
    <row r="744" spans="7:54" x14ac:dyDescent="0.15">
      <c r="G744" s="7"/>
      <c r="H744" s="16"/>
      <c r="I744" s="16"/>
      <c r="J744" s="16"/>
      <c r="K744" s="16"/>
      <c r="L744" s="16"/>
      <c r="M744" s="16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24"/>
      <c r="AC744" s="16"/>
      <c r="AD744" s="16"/>
      <c r="AE744" s="16"/>
      <c r="AF744" s="16"/>
      <c r="AG744" s="14"/>
      <c r="AH744" s="14"/>
      <c r="AI744" s="24"/>
      <c r="AJ744" s="24"/>
      <c r="AK744" s="24"/>
      <c r="AL744" s="16"/>
      <c r="AM744" s="16"/>
      <c r="AN744" s="16"/>
      <c r="AO744" s="16"/>
      <c r="AP744" s="16"/>
      <c r="AQ744" s="16"/>
      <c r="AR744" s="16"/>
      <c r="AS744" s="14"/>
      <c r="AT744" s="14"/>
      <c r="AU744" s="14"/>
      <c r="AV744" s="14"/>
      <c r="AW744" s="14"/>
      <c r="AX744" s="14"/>
      <c r="AY744" s="14"/>
      <c r="AZ744" s="14"/>
      <c r="BA744" s="14"/>
      <c r="BB744" s="7"/>
    </row>
    <row r="745" spans="7:54" x14ac:dyDescent="0.15">
      <c r="G745" s="7"/>
      <c r="H745" s="16"/>
      <c r="I745" s="16"/>
      <c r="J745" s="16"/>
      <c r="K745" s="16"/>
      <c r="L745" s="16"/>
      <c r="M745" s="16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24"/>
      <c r="AC745" s="16"/>
      <c r="AD745" s="16"/>
      <c r="AE745" s="16"/>
      <c r="AF745" s="16"/>
      <c r="AG745" s="14"/>
      <c r="AH745" s="14"/>
      <c r="AI745" s="24"/>
      <c r="AJ745" s="24"/>
      <c r="AK745" s="24"/>
      <c r="AL745" s="16"/>
      <c r="AM745" s="16"/>
      <c r="AN745" s="16"/>
      <c r="AO745" s="16"/>
      <c r="AP745" s="16"/>
      <c r="AQ745" s="16"/>
      <c r="AR745" s="16"/>
      <c r="AS745" s="14"/>
      <c r="AT745" s="14"/>
      <c r="AU745" s="14"/>
      <c r="AV745" s="14"/>
      <c r="AW745" s="14"/>
      <c r="AX745" s="14"/>
      <c r="AY745" s="14"/>
      <c r="AZ745" s="14"/>
      <c r="BA745" s="14"/>
      <c r="BB745" s="7"/>
    </row>
    <row r="746" spans="7:54" x14ac:dyDescent="0.15">
      <c r="G746" s="7"/>
      <c r="H746" s="16"/>
      <c r="I746" s="16"/>
      <c r="J746" s="16"/>
      <c r="K746" s="16"/>
      <c r="L746" s="16"/>
      <c r="M746" s="16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24"/>
      <c r="AC746" s="16"/>
      <c r="AD746" s="16"/>
      <c r="AE746" s="16"/>
      <c r="AF746" s="16"/>
      <c r="AG746" s="14"/>
      <c r="AH746" s="14"/>
      <c r="AI746" s="24"/>
      <c r="AJ746" s="24"/>
      <c r="AK746" s="24"/>
      <c r="AL746" s="16"/>
      <c r="AM746" s="16"/>
      <c r="AN746" s="16"/>
      <c r="AO746" s="16"/>
      <c r="AP746" s="16"/>
      <c r="AQ746" s="16"/>
      <c r="AR746" s="16"/>
      <c r="AS746" s="14"/>
      <c r="AT746" s="14"/>
      <c r="AU746" s="14"/>
      <c r="AV746" s="14"/>
      <c r="AW746" s="14"/>
      <c r="AX746" s="14"/>
      <c r="AY746" s="14"/>
      <c r="AZ746" s="14"/>
      <c r="BA746" s="14"/>
      <c r="BB746" s="7"/>
    </row>
    <row r="747" spans="7:54" x14ac:dyDescent="0.15">
      <c r="G747" s="7"/>
      <c r="H747" s="16"/>
      <c r="I747" s="16"/>
      <c r="J747" s="16"/>
      <c r="K747" s="16"/>
      <c r="L747" s="16"/>
      <c r="M747" s="16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24"/>
      <c r="AC747" s="16"/>
      <c r="AD747" s="16"/>
      <c r="AE747" s="16"/>
      <c r="AF747" s="16"/>
      <c r="AG747" s="14"/>
      <c r="AH747" s="14"/>
      <c r="AI747" s="24"/>
      <c r="AJ747" s="24"/>
      <c r="AK747" s="24"/>
      <c r="AL747" s="16"/>
      <c r="AM747" s="16"/>
      <c r="AN747" s="16"/>
      <c r="AO747" s="16"/>
      <c r="AP747" s="16"/>
      <c r="AQ747" s="16"/>
      <c r="AR747" s="16"/>
      <c r="AS747" s="14"/>
      <c r="AT747" s="14"/>
      <c r="AU747" s="14"/>
      <c r="AV747" s="14"/>
      <c r="AW747" s="14"/>
      <c r="AX747" s="14"/>
      <c r="AY747" s="14"/>
      <c r="AZ747" s="14"/>
      <c r="BA747" s="14"/>
      <c r="BB747" s="7"/>
    </row>
    <row r="748" spans="7:54" x14ac:dyDescent="0.15">
      <c r="G748" s="7"/>
      <c r="H748" s="16"/>
      <c r="I748" s="16"/>
      <c r="J748" s="16"/>
      <c r="K748" s="16"/>
      <c r="L748" s="16"/>
      <c r="M748" s="16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24"/>
      <c r="AC748" s="16"/>
      <c r="AD748" s="16"/>
      <c r="AE748" s="16"/>
      <c r="AF748" s="16"/>
      <c r="AG748" s="14"/>
      <c r="AH748" s="14"/>
      <c r="AI748" s="24"/>
      <c r="AJ748" s="24"/>
      <c r="AK748" s="24"/>
      <c r="AL748" s="16"/>
      <c r="AM748" s="16"/>
      <c r="AN748" s="16"/>
      <c r="AO748" s="16"/>
      <c r="AP748" s="16"/>
      <c r="AQ748" s="16"/>
      <c r="AR748" s="16"/>
      <c r="AS748" s="14"/>
      <c r="AT748" s="14"/>
      <c r="AU748" s="14"/>
      <c r="AV748" s="14"/>
      <c r="AW748" s="14"/>
      <c r="AX748" s="14"/>
      <c r="AY748" s="14"/>
      <c r="AZ748" s="14"/>
      <c r="BA748" s="14"/>
      <c r="BB748" s="7"/>
    </row>
    <row r="749" spans="7:54" x14ac:dyDescent="0.15">
      <c r="G749" s="7"/>
      <c r="H749" s="16"/>
      <c r="I749" s="16"/>
      <c r="J749" s="16"/>
      <c r="K749" s="16"/>
      <c r="L749" s="16"/>
      <c r="M749" s="16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24"/>
      <c r="AC749" s="16"/>
      <c r="AD749" s="16"/>
      <c r="AE749" s="16"/>
      <c r="AF749" s="16"/>
      <c r="AG749" s="14"/>
      <c r="AH749" s="14"/>
      <c r="AI749" s="24"/>
      <c r="AJ749" s="24"/>
      <c r="AK749" s="24"/>
      <c r="AL749" s="16"/>
      <c r="AM749" s="16"/>
      <c r="AN749" s="16"/>
      <c r="AO749" s="16"/>
      <c r="AP749" s="16"/>
      <c r="AQ749" s="16"/>
      <c r="AR749" s="16"/>
      <c r="AS749" s="14"/>
      <c r="AT749" s="14"/>
      <c r="AU749" s="14"/>
      <c r="AV749" s="14"/>
      <c r="AW749" s="14"/>
      <c r="AX749" s="14"/>
      <c r="AY749" s="14"/>
      <c r="AZ749" s="14"/>
      <c r="BA749" s="14"/>
      <c r="BB749" s="7"/>
    </row>
    <row r="750" spans="7:54" x14ac:dyDescent="0.15">
      <c r="G750" s="7"/>
      <c r="H750" s="16"/>
      <c r="I750" s="16"/>
      <c r="J750" s="16"/>
      <c r="K750" s="16"/>
      <c r="L750" s="16"/>
      <c r="M750" s="16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24"/>
      <c r="AC750" s="16"/>
      <c r="AD750" s="16"/>
      <c r="AE750" s="16"/>
      <c r="AF750" s="16"/>
      <c r="AG750" s="14"/>
      <c r="AH750" s="14"/>
      <c r="AI750" s="24"/>
      <c r="AJ750" s="24"/>
      <c r="AK750" s="24"/>
      <c r="AL750" s="16"/>
      <c r="AM750" s="16"/>
      <c r="AN750" s="16"/>
      <c r="AO750" s="16"/>
      <c r="AP750" s="16"/>
      <c r="AQ750" s="16"/>
      <c r="AR750" s="16"/>
      <c r="AS750" s="14"/>
      <c r="AT750" s="14"/>
      <c r="AU750" s="14"/>
      <c r="AV750" s="14"/>
      <c r="AW750" s="14"/>
      <c r="AX750" s="14"/>
      <c r="AY750" s="14"/>
      <c r="AZ750" s="14"/>
      <c r="BA750" s="14"/>
      <c r="BB750" s="7"/>
    </row>
    <row r="751" spans="7:54" x14ac:dyDescent="0.15">
      <c r="G751" s="7"/>
      <c r="H751" s="16"/>
      <c r="I751" s="16"/>
      <c r="J751" s="16"/>
      <c r="K751" s="16"/>
      <c r="L751" s="16"/>
      <c r="M751" s="16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24"/>
      <c r="AC751" s="16"/>
      <c r="AD751" s="16"/>
      <c r="AE751" s="16"/>
      <c r="AF751" s="16"/>
      <c r="AG751" s="14"/>
      <c r="AH751" s="14"/>
      <c r="AI751" s="24"/>
      <c r="AJ751" s="24"/>
      <c r="AK751" s="24"/>
      <c r="AL751" s="16"/>
      <c r="AM751" s="16"/>
      <c r="AN751" s="16"/>
      <c r="AO751" s="16"/>
      <c r="AP751" s="16"/>
      <c r="AQ751" s="16"/>
      <c r="AR751" s="16"/>
      <c r="AS751" s="14"/>
      <c r="AT751" s="14"/>
      <c r="AU751" s="14"/>
      <c r="AV751" s="14"/>
      <c r="AW751" s="14"/>
      <c r="AX751" s="14"/>
      <c r="AY751" s="14"/>
      <c r="AZ751" s="14"/>
      <c r="BA751" s="14"/>
      <c r="BB751" s="7"/>
    </row>
    <row r="752" spans="7:54" x14ac:dyDescent="0.15">
      <c r="G752" s="7"/>
      <c r="H752" s="16"/>
      <c r="I752" s="16"/>
      <c r="J752" s="16"/>
      <c r="K752" s="16"/>
      <c r="L752" s="16"/>
      <c r="M752" s="16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24"/>
      <c r="AC752" s="16"/>
      <c r="AD752" s="16"/>
      <c r="AE752" s="16"/>
      <c r="AF752" s="16"/>
      <c r="AG752" s="14"/>
      <c r="AH752" s="14"/>
      <c r="AI752" s="24"/>
      <c r="AJ752" s="24"/>
      <c r="AK752" s="24"/>
      <c r="AL752" s="16"/>
      <c r="AM752" s="16"/>
      <c r="AN752" s="16"/>
      <c r="AO752" s="16"/>
      <c r="AP752" s="16"/>
      <c r="AQ752" s="16"/>
      <c r="AR752" s="16"/>
      <c r="AS752" s="14"/>
      <c r="AT752" s="14"/>
      <c r="AU752" s="14"/>
      <c r="AV752" s="14"/>
      <c r="AW752" s="14"/>
      <c r="AX752" s="14"/>
      <c r="AY752" s="14"/>
      <c r="AZ752" s="14"/>
      <c r="BA752" s="14"/>
      <c r="BB752" s="7"/>
    </row>
    <row r="753" spans="7:54" x14ac:dyDescent="0.15">
      <c r="G753" s="7"/>
      <c r="H753" s="16"/>
      <c r="I753" s="16"/>
      <c r="J753" s="16"/>
      <c r="K753" s="16"/>
      <c r="L753" s="16"/>
      <c r="M753" s="16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24"/>
      <c r="AC753" s="16"/>
      <c r="AD753" s="16"/>
      <c r="AE753" s="16"/>
      <c r="AF753" s="16"/>
      <c r="AG753" s="14"/>
      <c r="AH753" s="14"/>
      <c r="AI753" s="24"/>
      <c r="AJ753" s="24"/>
      <c r="AK753" s="24"/>
      <c r="AL753" s="16"/>
      <c r="AM753" s="16"/>
      <c r="AN753" s="16"/>
      <c r="AO753" s="16"/>
      <c r="AP753" s="16"/>
      <c r="AQ753" s="16"/>
      <c r="AR753" s="16"/>
      <c r="AS753" s="14"/>
      <c r="AT753" s="14"/>
      <c r="AU753" s="14"/>
      <c r="AV753" s="14"/>
      <c r="AW753" s="14"/>
      <c r="AX753" s="14"/>
      <c r="AY753" s="14"/>
      <c r="AZ753" s="14"/>
      <c r="BA753" s="14"/>
      <c r="BB753" s="7"/>
    </row>
    <row r="754" spans="7:54" x14ac:dyDescent="0.15">
      <c r="G754" s="7"/>
      <c r="H754" s="16"/>
      <c r="I754" s="16"/>
      <c r="J754" s="16"/>
      <c r="K754" s="16"/>
      <c r="L754" s="16"/>
      <c r="M754" s="16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24"/>
      <c r="AC754" s="16"/>
      <c r="AD754" s="16"/>
      <c r="AE754" s="16"/>
      <c r="AF754" s="16"/>
      <c r="AG754" s="14"/>
      <c r="AH754" s="14"/>
      <c r="AI754" s="24"/>
      <c r="AJ754" s="24"/>
      <c r="AK754" s="24"/>
      <c r="AL754" s="16"/>
      <c r="AM754" s="16"/>
      <c r="AN754" s="16"/>
      <c r="AO754" s="16"/>
      <c r="AP754" s="16"/>
      <c r="AQ754" s="16"/>
      <c r="AR754" s="16"/>
      <c r="AS754" s="14"/>
      <c r="AT754" s="14"/>
      <c r="AU754" s="14"/>
      <c r="AV754" s="14"/>
      <c r="AW754" s="14"/>
      <c r="AX754" s="14"/>
      <c r="AY754" s="14"/>
      <c r="AZ754" s="14"/>
      <c r="BA754" s="14"/>
      <c r="BB754" s="7"/>
    </row>
    <row r="755" spans="7:54" x14ac:dyDescent="0.15">
      <c r="G755" s="7"/>
      <c r="H755" s="16"/>
      <c r="I755" s="16"/>
      <c r="J755" s="16"/>
      <c r="K755" s="16"/>
      <c r="L755" s="16"/>
      <c r="M755" s="16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24"/>
      <c r="AC755" s="16"/>
      <c r="AD755" s="16"/>
      <c r="AE755" s="16"/>
      <c r="AF755" s="16"/>
      <c r="AG755" s="14"/>
      <c r="AH755" s="14"/>
      <c r="AI755" s="24"/>
      <c r="AJ755" s="24"/>
      <c r="AK755" s="24"/>
      <c r="AL755" s="16"/>
      <c r="AM755" s="16"/>
      <c r="AN755" s="16"/>
      <c r="AO755" s="16"/>
      <c r="AP755" s="16"/>
      <c r="AQ755" s="16"/>
      <c r="AR755" s="16"/>
      <c r="AS755" s="14"/>
      <c r="AT755" s="14"/>
      <c r="AU755" s="14"/>
      <c r="AV755" s="14"/>
      <c r="AW755" s="14"/>
      <c r="AX755" s="14"/>
      <c r="AY755" s="14"/>
      <c r="AZ755" s="14"/>
      <c r="BA755" s="14"/>
      <c r="BB755" s="7"/>
    </row>
    <row r="756" spans="7:54" x14ac:dyDescent="0.15">
      <c r="G756" s="7"/>
      <c r="H756" s="16"/>
      <c r="I756" s="16"/>
      <c r="J756" s="16"/>
      <c r="K756" s="16"/>
      <c r="L756" s="16"/>
      <c r="M756" s="16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24"/>
      <c r="AC756" s="16"/>
      <c r="AD756" s="16"/>
      <c r="AE756" s="16"/>
      <c r="AF756" s="16"/>
      <c r="AG756" s="14"/>
      <c r="AH756" s="14"/>
      <c r="AI756" s="24"/>
      <c r="AJ756" s="24"/>
      <c r="AK756" s="24"/>
      <c r="AL756" s="16"/>
      <c r="AM756" s="16"/>
      <c r="AN756" s="16"/>
      <c r="AO756" s="16"/>
      <c r="AP756" s="16"/>
      <c r="AQ756" s="16"/>
      <c r="AR756" s="16"/>
      <c r="AS756" s="14"/>
      <c r="AT756" s="14"/>
      <c r="AU756" s="14"/>
      <c r="AV756" s="14"/>
      <c r="AW756" s="14"/>
      <c r="AX756" s="14"/>
      <c r="AY756" s="14"/>
      <c r="AZ756" s="14"/>
      <c r="BA756" s="14"/>
      <c r="BB756" s="7"/>
    </row>
    <row r="757" spans="7:54" x14ac:dyDescent="0.15">
      <c r="G757" s="7"/>
      <c r="H757" s="16"/>
      <c r="I757" s="16"/>
      <c r="J757" s="16"/>
      <c r="K757" s="16"/>
      <c r="L757" s="16"/>
      <c r="M757" s="16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24"/>
      <c r="AC757" s="16"/>
      <c r="AD757" s="16"/>
      <c r="AE757" s="16"/>
      <c r="AF757" s="16"/>
      <c r="AG757" s="14"/>
      <c r="AH757" s="14"/>
      <c r="AI757" s="24"/>
      <c r="AJ757" s="24"/>
      <c r="AK757" s="24"/>
      <c r="AL757" s="16"/>
      <c r="AM757" s="16"/>
      <c r="AN757" s="16"/>
      <c r="AO757" s="16"/>
      <c r="AP757" s="16"/>
      <c r="AQ757" s="16"/>
      <c r="AR757" s="16"/>
      <c r="AS757" s="14"/>
      <c r="AT757" s="14"/>
      <c r="AU757" s="14"/>
      <c r="AV757" s="14"/>
      <c r="AW757" s="14"/>
      <c r="AX757" s="14"/>
      <c r="AY757" s="14"/>
      <c r="AZ757" s="14"/>
      <c r="BA757" s="14"/>
      <c r="BB757" s="7"/>
    </row>
    <row r="758" spans="7:54" x14ac:dyDescent="0.15">
      <c r="G758" s="7"/>
      <c r="H758" s="16"/>
      <c r="I758" s="16"/>
      <c r="J758" s="16"/>
      <c r="K758" s="16"/>
      <c r="L758" s="16"/>
      <c r="M758" s="16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24"/>
      <c r="AC758" s="16"/>
      <c r="AD758" s="16"/>
      <c r="AE758" s="16"/>
      <c r="AF758" s="16"/>
      <c r="AG758" s="14"/>
      <c r="AH758" s="14"/>
      <c r="AI758" s="24"/>
      <c r="AJ758" s="24"/>
      <c r="AK758" s="24"/>
      <c r="AL758" s="16"/>
      <c r="AM758" s="16"/>
      <c r="AN758" s="16"/>
      <c r="AO758" s="16"/>
      <c r="AP758" s="16"/>
      <c r="AQ758" s="16"/>
      <c r="AR758" s="16"/>
      <c r="AS758" s="14"/>
      <c r="AT758" s="14"/>
      <c r="AU758" s="14"/>
      <c r="AV758" s="14"/>
      <c r="AW758" s="14"/>
      <c r="AX758" s="14"/>
      <c r="AY758" s="14"/>
      <c r="AZ758" s="14"/>
      <c r="BA758" s="14"/>
      <c r="BB758" s="7"/>
    </row>
    <row r="759" spans="7:54" x14ac:dyDescent="0.15">
      <c r="G759" s="7"/>
      <c r="H759" s="16"/>
      <c r="I759" s="16"/>
      <c r="J759" s="16"/>
      <c r="K759" s="16"/>
      <c r="L759" s="16"/>
      <c r="M759" s="16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24"/>
      <c r="AC759" s="16"/>
      <c r="AD759" s="16"/>
      <c r="AE759" s="16"/>
      <c r="AF759" s="16"/>
      <c r="AG759" s="14"/>
      <c r="AH759" s="14"/>
      <c r="AI759" s="24"/>
      <c r="AJ759" s="24"/>
      <c r="AK759" s="24"/>
      <c r="AL759" s="16"/>
      <c r="AM759" s="16"/>
      <c r="AN759" s="16"/>
      <c r="AO759" s="16"/>
      <c r="AP759" s="16"/>
      <c r="AQ759" s="16"/>
      <c r="AR759" s="16"/>
      <c r="AS759" s="14"/>
      <c r="AT759" s="14"/>
      <c r="AU759" s="14"/>
      <c r="AV759" s="14"/>
      <c r="AW759" s="14"/>
      <c r="AX759" s="14"/>
      <c r="AY759" s="14"/>
      <c r="AZ759" s="14"/>
      <c r="BA759" s="14"/>
      <c r="BB759" s="7"/>
    </row>
    <row r="760" spans="7:54" x14ac:dyDescent="0.15">
      <c r="G760" s="7"/>
      <c r="H760" s="16"/>
      <c r="I760" s="16"/>
      <c r="J760" s="16"/>
      <c r="K760" s="16"/>
      <c r="L760" s="16"/>
      <c r="M760" s="16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24"/>
      <c r="AC760" s="16"/>
      <c r="AD760" s="16"/>
      <c r="AE760" s="16"/>
      <c r="AF760" s="16"/>
      <c r="AG760" s="14"/>
      <c r="AH760" s="14"/>
      <c r="AI760" s="24"/>
      <c r="AJ760" s="24"/>
      <c r="AK760" s="24"/>
      <c r="AL760" s="16"/>
      <c r="AM760" s="16"/>
      <c r="AN760" s="16"/>
      <c r="AO760" s="16"/>
      <c r="AP760" s="16"/>
      <c r="AQ760" s="16"/>
      <c r="AR760" s="16"/>
      <c r="AS760" s="14"/>
      <c r="AT760" s="14"/>
      <c r="AU760" s="14"/>
      <c r="AV760" s="14"/>
      <c r="AW760" s="14"/>
      <c r="AX760" s="14"/>
      <c r="AY760" s="14"/>
      <c r="AZ760" s="14"/>
      <c r="BA760" s="14"/>
      <c r="BB760" s="7"/>
    </row>
    <row r="761" spans="7:54" x14ac:dyDescent="0.15">
      <c r="G761" s="7"/>
      <c r="H761" s="16"/>
      <c r="I761" s="16"/>
      <c r="J761" s="16"/>
      <c r="K761" s="16"/>
      <c r="L761" s="16"/>
      <c r="M761" s="16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24"/>
      <c r="AC761" s="16"/>
      <c r="AD761" s="16"/>
      <c r="AE761" s="16"/>
      <c r="AF761" s="16"/>
      <c r="AG761" s="14"/>
      <c r="AH761" s="14"/>
      <c r="AI761" s="24"/>
      <c r="AJ761" s="24"/>
      <c r="AK761" s="24"/>
      <c r="AL761" s="16"/>
      <c r="AM761" s="16"/>
      <c r="AN761" s="16"/>
      <c r="AO761" s="16"/>
      <c r="AP761" s="16"/>
      <c r="AQ761" s="16"/>
      <c r="AR761" s="16"/>
      <c r="AS761" s="14"/>
      <c r="AT761" s="14"/>
      <c r="AU761" s="14"/>
      <c r="AV761" s="14"/>
      <c r="AW761" s="14"/>
      <c r="AX761" s="14"/>
      <c r="AY761" s="14"/>
      <c r="AZ761" s="14"/>
      <c r="BA761" s="14"/>
      <c r="BB761" s="7"/>
    </row>
    <row r="762" spans="7:54" x14ac:dyDescent="0.15">
      <c r="G762" s="7"/>
      <c r="H762" s="16"/>
      <c r="I762" s="16"/>
      <c r="J762" s="16"/>
      <c r="K762" s="16"/>
      <c r="L762" s="16"/>
      <c r="M762" s="16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24"/>
      <c r="AC762" s="16"/>
      <c r="AD762" s="16"/>
      <c r="AE762" s="16"/>
      <c r="AF762" s="16"/>
      <c r="AG762" s="14"/>
      <c r="AH762" s="14"/>
      <c r="AI762" s="24"/>
      <c r="AJ762" s="24"/>
      <c r="AK762" s="24"/>
      <c r="AL762" s="16"/>
      <c r="AM762" s="16"/>
      <c r="AN762" s="16"/>
      <c r="AO762" s="16"/>
      <c r="AP762" s="16"/>
      <c r="AQ762" s="16"/>
      <c r="AR762" s="16"/>
      <c r="AS762" s="14"/>
      <c r="AT762" s="14"/>
      <c r="AU762" s="14"/>
      <c r="AV762" s="14"/>
      <c r="AW762" s="14"/>
      <c r="AX762" s="14"/>
      <c r="AY762" s="14"/>
      <c r="AZ762" s="14"/>
      <c r="BA762" s="14"/>
      <c r="BB762" s="7"/>
    </row>
    <row r="763" spans="7:54" x14ac:dyDescent="0.15">
      <c r="G763" s="7"/>
      <c r="H763" s="16"/>
      <c r="I763" s="16"/>
      <c r="J763" s="16"/>
      <c r="K763" s="16"/>
      <c r="L763" s="16"/>
      <c r="M763" s="16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24"/>
      <c r="AC763" s="16"/>
      <c r="AD763" s="16"/>
      <c r="AE763" s="16"/>
      <c r="AF763" s="16"/>
      <c r="AG763" s="14"/>
      <c r="AH763" s="14"/>
      <c r="AI763" s="24"/>
      <c r="AJ763" s="24"/>
      <c r="AK763" s="24"/>
      <c r="AL763" s="16"/>
      <c r="AM763" s="16"/>
      <c r="AN763" s="16"/>
      <c r="AO763" s="16"/>
      <c r="AP763" s="16"/>
      <c r="AQ763" s="16"/>
      <c r="AR763" s="16"/>
      <c r="AS763" s="14"/>
      <c r="AT763" s="14"/>
      <c r="AU763" s="14"/>
      <c r="AV763" s="14"/>
      <c r="AW763" s="14"/>
      <c r="AX763" s="14"/>
      <c r="AY763" s="14"/>
      <c r="AZ763" s="14"/>
      <c r="BA763" s="14"/>
      <c r="BB763" s="7"/>
    </row>
    <row r="764" spans="7:54" x14ac:dyDescent="0.15">
      <c r="G764" s="7"/>
      <c r="H764" s="16"/>
      <c r="I764" s="16"/>
      <c r="J764" s="16"/>
      <c r="K764" s="16"/>
      <c r="L764" s="16"/>
      <c r="M764" s="16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24"/>
      <c r="AC764" s="16"/>
      <c r="AD764" s="16"/>
      <c r="AE764" s="16"/>
      <c r="AF764" s="16"/>
      <c r="AG764" s="14"/>
      <c r="AH764" s="14"/>
      <c r="AI764" s="24"/>
      <c r="AJ764" s="24"/>
      <c r="AK764" s="24"/>
      <c r="AL764" s="16"/>
      <c r="AM764" s="16"/>
      <c r="AN764" s="16"/>
      <c r="AO764" s="16"/>
      <c r="AP764" s="16"/>
      <c r="AQ764" s="16"/>
      <c r="AR764" s="16"/>
      <c r="AS764" s="14"/>
      <c r="AT764" s="14"/>
      <c r="AU764" s="14"/>
      <c r="AV764" s="14"/>
      <c r="AW764" s="14"/>
      <c r="AX764" s="14"/>
      <c r="AY764" s="14"/>
      <c r="AZ764" s="14"/>
      <c r="BA764" s="14"/>
      <c r="BB764" s="7"/>
    </row>
    <row r="765" spans="7:54" x14ac:dyDescent="0.15">
      <c r="G765" s="7"/>
      <c r="H765" s="16"/>
      <c r="I765" s="16"/>
      <c r="J765" s="16"/>
      <c r="K765" s="16"/>
      <c r="L765" s="16"/>
      <c r="M765" s="16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24"/>
      <c r="AC765" s="16"/>
      <c r="AD765" s="16"/>
      <c r="AE765" s="16"/>
      <c r="AF765" s="16"/>
      <c r="AG765" s="14"/>
      <c r="AH765" s="14"/>
      <c r="AI765" s="24"/>
      <c r="AJ765" s="24"/>
      <c r="AK765" s="24"/>
      <c r="AL765" s="16"/>
      <c r="AM765" s="16"/>
      <c r="AN765" s="16"/>
      <c r="AO765" s="16"/>
      <c r="AP765" s="16"/>
      <c r="AQ765" s="16"/>
      <c r="AR765" s="16"/>
      <c r="AS765" s="14"/>
      <c r="AT765" s="14"/>
      <c r="AU765" s="14"/>
      <c r="AV765" s="14"/>
      <c r="AW765" s="14"/>
      <c r="AX765" s="14"/>
      <c r="AY765" s="14"/>
      <c r="AZ765" s="14"/>
      <c r="BA765" s="14"/>
      <c r="BB765" s="7"/>
    </row>
    <row r="766" spans="7:54" x14ac:dyDescent="0.15">
      <c r="G766" s="7"/>
      <c r="H766" s="16"/>
      <c r="I766" s="16"/>
      <c r="J766" s="16"/>
      <c r="K766" s="16"/>
      <c r="L766" s="16"/>
      <c r="M766" s="16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24"/>
      <c r="AC766" s="16"/>
      <c r="AD766" s="16"/>
      <c r="AE766" s="16"/>
      <c r="AF766" s="16"/>
      <c r="AG766" s="14"/>
      <c r="AH766" s="14"/>
      <c r="AI766" s="24"/>
      <c r="AJ766" s="24"/>
      <c r="AK766" s="24"/>
      <c r="AL766" s="16"/>
      <c r="AM766" s="16"/>
      <c r="AN766" s="16"/>
      <c r="AO766" s="16"/>
      <c r="AP766" s="16"/>
      <c r="AQ766" s="16"/>
      <c r="AR766" s="16"/>
      <c r="AS766" s="14"/>
      <c r="AT766" s="14"/>
      <c r="AU766" s="14"/>
      <c r="AV766" s="14"/>
      <c r="AW766" s="14"/>
      <c r="AX766" s="14"/>
      <c r="AY766" s="14"/>
      <c r="AZ766" s="14"/>
      <c r="BA766" s="14"/>
      <c r="BB766" s="7"/>
    </row>
    <row r="767" spans="7:54" x14ac:dyDescent="0.15">
      <c r="G767" s="7"/>
      <c r="H767" s="16"/>
      <c r="I767" s="16"/>
      <c r="J767" s="16"/>
      <c r="K767" s="16"/>
      <c r="L767" s="16"/>
      <c r="M767" s="16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24"/>
      <c r="AC767" s="16"/>
      <c r="AD767" s="16"/>
      <c r="AE767" s="16"/>
      <c r="AF767" s="16"/>
      <c r="AG767" s="14"/>
      <c r="AH767" s="14"/>
      <c r="AI767" s="24"/>
      <c r="AJ767" s="24"/>
      <c r="AK767" s="24"/>
      <c r="AL767" s="16"/>
      <c r="AM767" s="16"/>
      <c r="AN767" s="16"/>
      <c r="AO767" s="16"/>
      <c r="AP767" s="16"/>
      <c r="AQ767" s="16"/>
      <c r="AR767" s="16"/>
      <c r="AS767" s="14"/>
      <c r="AT767" s="14"/>
      <c r="AU767" s="14"/>
      <c r="AV767" s="14"/>
      <c r="AW767" s="14"/>
      <c r="AX767" s="14"/>
      <c r="AY767" s="14"/>
      <c r="AZ767" s="14"/>
      <c r="BA767" s="14"/>
      <c r="BB767" s="7"/>
    </row>
    <row r="768" spans="7:54" x14ac:dyDescent="0.15">
      <c r="G768" s="7"/>
      <c r="H768" s="16"/>
      <c r="I768" s="16"/>
      <c r="J768" s="16"/>
      <c r="K768" s="16"/>
      <c r="L768" s="16"/>
      <c r="M768" s="16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24"/>
      <c r="AC768" s="16"/>
      <c r="AD768" s="16"/>
      <c r="AE768" s="16"/>
      <c r="AF768" s="16"/>
      <c r="AG768" s="14"/>
      <c r="AH768" s="14"/>
      <c r="AI768" s="24"/>
      <c r="AJ768" s="24"/>
      <c r="AK768" s="24"/>
      <c r="AL768" s="16"/>
      <c r="AM768" s="16"/>
      <c r="AN768" s="16"/>
      <c r="AO768" s="16"/>
      <c r="AP768" s="16"/>
      <c r="AQ768" s="16"/>
      <c r="AR768" s="16"/>
      <c r="AS768" s="14"/>
      <c r="AT768" s="14"/>
      <c r="AU768" s="14"/>
      <c r="AV768" s="14"/>
      <c r="AW768" s="14"/>
      <c r="AX768" s="14"/>
      <c r="AY768" s="14"/>
      <c r="AZ768" s="14"/>
      <c r="BA768" s="14"/>
      <c r="BB768" s="7"/>
    </row>
    <row r="769" spans="7:54" x14ac:dyDescent="0.15">
      <c r="G769" s="7"/>
      <c r="H769" s="16"/>
      <c r="I769" s="16"/>
      <c r="J769" s="16"/>
      <c r="K769" s="16"/>
      <c r="L769" s="16"/>
      <c r="M769" s="16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24"/>
      <c r="AC769" s="16"/>
      <c r="AD769" s="16"/>
      <c r="AE769" s="16"/>
      <c r="AF769" s="16"/>
      <c r="AG769" s="14"/>
      <c r="AH769" s="14"/>
      <c r="AI769" s="24"/>
      <c r="AJ769" s="24"/>
      <c r="AK769" s="24"/>
      <c r="AL769" s="16"/>
      <c r="AM769" s="16"/>
      <c r="AN769" s="16"/>
      <c r="AO769" s="16"/>
      <c r="AP769" s="16"/>
      <c r="AQ769" s="16"/>
      <c r="AR769" s="16"/>
      <c r="AS769" s="14"/>
      <c r="AT769" s="14"/>
      <c r="AU769" s="14"/>
      <c r="AV769" s="14"/>
      <c r="AW769" s="14"/>
      <c r="AX769" s="14"/>
      <c r="AY769" s="14"/>
      <c r="AZ769" s="14"/>
      <c r="BA769" s="14"/>
      <c r="BB769" s="7"/>
    </row>
    <row r="770" spans="7:54" x14ac:dyDescent="0.15">
      <c r="G770" s="7"/>
      <c r="H770" s="16"/>
      <c r="I770" s="16"/>
      <c r="J770" s="16"/>
      <c r="K770" s="16"/>
      <c r="L770" s="16"/>
      <c r="M770" s="16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24"/>
      <c r="AC770" s="16"/>
      <c r="AD770" s="16"/>
      <c r="AE770" s="16"/>
      <c r="AF770" s="16"/>
      <c r="AG770" s="14"/>
      <c r="AH770" s="14"/>
      <c r="AI770" s="24"/>
      <c r="AJ770" s="24"/>
      <c r="AK770" s="24"/>
      <c r="AL770" s="16"/>
      <c r="AM770" s="16"/>
      <c r="AN770" s="16"/>
      <c r="AO770" s="16"/>
      <c r="AP770" s="16"/>
      <c r="AQ770" s="16"/>
      <c r="AR770" s="16"/>
      <c r="AS770" s="14"/>
      <c r="AT770" s="14"/>
      <c r="AU770" s="14"/>
      <c r="AV770" s="14"/>
      <c r="AW770" s="14"/>
      <c r="AX770" s="14"/>
      <c r="AY770" s="14"/>
      <c r="AZ770" s="14"/>
      <c r="BA770" s="14"/>
      <c r="BB770" s="7"/>
    </row>
    <row r="771" spans="7:54" x14ac:dyDescent="0.15">
      <c r="G771" s="7"/>
      <c r="H771" s="16"/>
      <c r="I771" s="16"/>
      <c r="J771" s="16"/>
      <c r="K771" s="16"/>
      <c r="L771" s="16"/>
      <c r="M771" s="16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24"/>
      <c r="AC771" s="16"/>
      <c r="AD771" s="16"/>
      <c r="AE771" s="16"/>
      <c r="AF771" s="16"/>
      <c r="AG771" s="14"/>
      <c r="AH771" s="14"/>
      <c r="AI771" s="24"/>
      <c r="AJ771" s="24"/>
      <c r="AK771" s="24"/>
      <c r="AL771" s="16"/>
      <c r="AM771" s="16"/>
      <c r="AN771" s="16"/>
      <c r="AO771" s="16"/>
      <c r="AP771" s="16"/>
      <c r="AQ771" s="16"/>
      <c r="AR771" s="16"/>
      <c r="AS771" s="14"/>
      <c r="AT771" s="14"/>
      <c r="AU771" s="14"/>
      <c r="AV771" s="14"/>
      <c r="AW771" s="14"/>
      <c r="AX771" s="14"/>
      <c r="AY771" s="14"/>
      <c r="AZ771" s="14"/>
      <c r="BA771" s="14"/>
      <c r="BB771" s="7"/>
    </row>
    <row r="772" spans="7:54" x14ac:dyDescent="0.15">
      <c r="G772" s="7"/>
      <c r="H772" s="16"/>
      <c r="I772" s="16"/>
      <c r="J772" s="16"/>
      <c r="K772" s="16"/>
      <c r="L772" s="16"/>
      <c r="M772" s="16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24"/>
      <c r="AC772" s="16"/>
      <c r="AD772" s="16"/>
      <c r="AE772" s="16"/>
      <c r="AF772" s="16"/>
      <c r="AG772" s="14"/>
      <c r="AH772" s="14"/>
      <c r="AI772" s="24"/>
      <c r="AJ772" s="24"/>
      <c r="AK772" s="24"/>
      <c r="AL772" s="16"/>
      <c r="AM772" s="16"/>
      <c r="AN772" s="16"/>
      <c r="AO772" s="16"/>
      <c r="AP772" s="16"/>
      <c r="AQ772" s="16"/>
      <c r="AR772" s="16"/>
      <c r="AS772" s="14"/>
      <c r="AT772" s="14"/>
      <c r="AU772" s="14"/>
      <c r="AV772" s="14"/>
      <c r="AW772" s="14"/>
      <c r="AX772" s="14"/>
      <c r="AY772" s="14"/>
      <c r="AZ772" s="14"/>
      <c r="BA772" s="14"/>
      <c r="BB772" s="7"/>
    </row>
    <row r="773" spans="7:54" x14ac:dyDescent="0.15">
      <c r="G773" s="7"/>
      <c r="H773" s="16"/>
      <c r="I773" s="16"/>
      <c r="J773" s="16"/>
      <c r="K773" s="16"/>
      <c r="L773" s="16"/>
      <c r="M773" s="16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24"/>
      <c r="AC773" s="16"/>
      <c r="AD773" s="16"/>
      <c r="AE773" s="16"/>
      <c r="AF773" s="16"/>
      <c r="AG773" s="14"/>
      <c r="AH773" s="14"/>
      <c r="AI773" s="24"/>
      <c r="AJ773" s="24"/>
      <c r="AK773" s="24"/>
      <c r="AL773" s="16"/>
      <c r="AM773" s="16"/>
      <c r="AN773" s="16"/>
      <c r="AO773" s="16"/>
      <c r="AP773" s="16"/>
      <c r="AQ773" s="16"/>
      <c r="AR773" s="16"/>
      <c r="AS773" s="14"/>
      <c r="AT773" s="14"/>
      <c r="AU773" s="14"/>
      <c r="AV773" s="14"/>
      <c r="AW773" s="14"/>
      <c r="AX773" s="14"/>
      <c r="AY773" s="14"/>
      <c r="AZ773" s="14"/>
      <c r="BA773" s="14"/>
      <c r="BB773" s="7"/>
    </row>
    <row r="774" spans="7:54" x14ac:dyDescent="0.15">
      <c r="G774" s="7"/>
      <c r="H774" s="16"/>
      <c r="I774" s="16"/>
      <c r="J774" s="16"/>
      <c r="K774" s="16"/>
      <c r="L774" s="16"/>
      <c r="M774" s="16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24"/>
      <c r="AC774" s="16"/>
      <c r="AD774" s="16"/>
      <c r="AE774" s="16"/>
      <c r="AF774" s="16"/>
      <c r="AG774" s="14"/>
      <c r="AH774" s="14"/>
      <c r="AI774" s="24"/>
      <c r="AJ774" s="24"/>
      <c r="AK774" s="24"/>
      <c r="AL774" s="16"/>
      <c r="AM774" s="16"/>
      <c r="AN774" s="16"/>
      <c r="AO774" s="16"/>
      <c r="AP774" s="16"/>
      <c r="AQ774" s="16"/>
      <c r="AR774" s="16"/>
      <c r="AS774" s="14"/>
      <c r="AT774" s="14"/>
      <c r="AU774" s="14"/>
      <c r="AV774" s="14"/>
      <c r="AW774" s="14"/>
      <c r="AX774" s="14"/>
      <c r="AY774" s="14"/>
      <c r="AZ774" s="14"/>
      <c r="BA774" s="14"/>
      <c r="BB774" s="7"/>
    </row>
    <row r="775" spans="7:54" x14ac:dyDescent="0.15">
      <c r="G775" s="7"/>
      <c r="H775" s="16"/>
      <c r="I775" s="16"/>
      <c r="J775" s="16"/>
      <c r="K775" s="16"/>
      <c r="L775" s="16"/>
      <c r="M775" s="16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24"/>
      <c r="AC775" s="16"/>
      <c r="AD775" s="16"/>
      <c r="AE775" s="16"/>
      <c r="AF775" s="16"/>
      <c r="AG775" s="14"/>
      <c r="AH775" s="14"/>
      <c r="AI775" s="24"/>
      <c r="AJ775" s="24"/>
      <c r="AK775" s="24"/>
      <c r="AL775" s="16"/>
      <c r="AM775" s="16"/>
      <c r="AN775" s="16"/>
      <c r="AO775" s="16"/>
      <c r="AP775" s="16"/>
      <c r="AQ775" s="16"/>
      <c r="AR775" s="16"/>
      <c r="AS775" s="14"/>
      <c r="AT775" s="14"/>
      <c r="AU775" s="14"/>
      <c r="AV775" s="14"/>
      <c r="AW775" s="14"/>
      <c r="AX775" s="14"/>
      <c r="AY775" s="14"/>
      <c r="AZ775" s="14"/>
      <c r="BA775" s="14"/>
      <c r="BB775" s="7"/>
    </row>
    <row r="776" spans="7:54" x14ac:dyDescent="0.15">
      <c r="G776" s="7"/>
      <c r="H776" s="16"/>
      <c r="I776" s="16"/>
      <c r="J776" s="16"/>
      <c r="K776" s="16"/>
      <c r="L776" s="16"/>
      <c r="M776" s="16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24"/>
      <c r="AC776" s="16"/>
      <c r="AD776" s="16"/>
      <c r="AE776" s="16"/>
      <c r="AF776" s="16"/>
      <c r="AG776" s="14"/>
      <c r="AH776" s="14"/>
      <c r="AI776" s="24"/>
      <c r="AJ776" s="24"/>
      <c r="AK776" s="24"/>
      <c r="AL776" s="16"/>
      <c r="AM776" s="16"/>
      <c r="AN776" s="16"/>
      <c r="AO776" s="16"/>
      <c r="AP776" s="16"/>
      <c r="AQ776" s="16"/>
      <c r="AR776" s="16"/>
      <c r="AS776" s="14"/>
      <c r="AT776" s="14"/>
      <c r="AU776" s="14"/>
      <c r="AV776" s="14"/>
      <c r="AW776" s="14"/>
      <c r="AX776" s="14"/>
      <c r="AY776" s="14"/>
      <c r="AZ776" s="14"/>
      <c r="BA776" s="14"/>
      <c r="BB776" s="7"/>
    </row>
    <row r="777" spans="7:54" x14ac:dyDescent="0.15">
      <c r="G777" s="7"/>
      <c r="H777" s="16"/>
      <c r="I777" s="16"/>
      <c r="J777" s="16"/>
      <c r="K777" s="16"/>
      <c r="L777" s="16"/>
      <c r="M777" s="16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24"/>
      <c r="AC777" s="16"/>
      <c r="AD777" s="16"/>
      <c r="AE777" s="16"/>
      <c r="AF777" s="16"/>
      <c r="AG777" s="14"/>
      <c r="AH777" s="14"/>
      <c r="AI777" s="24"/>
      <c r="AJ777" s="24"/>
      <c r="AK777" s="24"/>
      <c r="AL777" s="16"/>
      <c r="AM777" s="16"/>
      <c r="AN777" s="16"/>
      <c r="AO777" s="16"/>
      <c r="AP777" s="16"/>
      <c r="AQ777" s="16"/>
      <c r="AR777" s="16"/>
      <c r="AS777" s="14"/>
      <c r="AT777" s="14"/>
      <c r="AU777" s="14"/>
      <c r="AV777" s="14"/>
      <c r="AW777" s="14"/>
      <c r="AX777" s="14"/>
      <c r="AY777" s="14"/>
      <c r="AZ777" s="14"/>
      <c r="BA777" s="14"/>
      <c r="BB777" s="7"/>
    </row>
    <row r="778" spans="7:54" x14ac:dyDescent="0.15">
      <c r="G778" s="7"/>
      <c r="H778" s="16"/>
      <c r="I778" s="16"/>
      <c r="J778" s="16"/>
      <c r="K778" s="16"/>
      <c r="L778" s="16"/>
      <c r="M778" s="16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24"/>
      <c r="AC778" s="16"/>
      <c r="AD778" s="16"/>
      <c r="AE778" s="16"/>
      <c r="AF778" s="16"/>
      <c r="AG778" s="14"/>
      <c r="AH778" s="14"/>
      <c r="AI778" s="24"/>
      <c r="AJ778" s="24"/>
      <c r="AK778" s="24"/>
      <c r="AL778" s="16"/>
      <c r="AM778" s="16"/>
      <c r="AN778" s="16"/>
      <c r="AO778" s="16"/>
      <c r="AP778" s="16"/>
      <c r="AQ778" s="16"/>
      <c r="AR778" s="16"/>
      <c r="AS778" s="14"/>
      <c r="AT778" s="14"/>
      <c r="AU778" s="14"/>
      <c r="AV778" s="14"/>
      <c r="AW778" s="14"/>
      <c r="AX778" s="14"/>
      <c r="AY778" s="14"/>
      <c r="AZ778" s="14"/>
      <c r="BA778" s="14"/>
      <c r="BB778" s="7"/>
    </row>
    <row r="779" spans="7:54" x14ac:dyDescent="0.15">
      <c r="G779" s="7"/>
      <c r="H779" s="16"/>
      <c r="I779" s="16"/>
      <c r="J779" s="16"/>
      <c r="K779" s="16"/>
      <c r="L779" s="16"/>
      <c r="M779" s="16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24"/>
      <c r="AC779" s="16"/>
      <c r="AD779" s="16"/>
      <c r="AE779" s="16"/>
      <c r="AF779" s="16"/>
      <c r="AG779" s="14"/>
      <c r="AH779" s="14"/>
      <c r="AI779" s="24"/>
      <c r="AJ779" s="24"/>
      <c r="AK779" s="24"/>
      <c r="AL779" s="16"/>
      <c r="AM779" s="16"/>
      <c r="AN779" s="16"/>
      <c r="AO779" s="16"/>
      <c r="AP779" s="16"/>
      <c r="AQ779" s="16"/>
      <c r="AR779" s="16"/>
      <c r="AS779" s="14"/>
      <c r="AT779" s="14"/>
      <c r="AU779" s="14"/>
      <c r="AV779" s="14"/>
      <c r="AW779" s="14"/>
      <c r="AX779" s="14"/>
      <c r="AY779" s="14"/>
      <c r="AZ779" s="14"/>
      <c r="BA779" s="14"/>
      <c r="BB779" s="7"/>
    </row>
    <row r="780" spans="7:54" x14ac:dyDescent="0.15">
      <c r="G780" s="7"/>
      <c r="H780" s="16"/>
      <c r="I780" s="16"/>
      <c r="J780" s="16"/>
      <c r="K780" s="16"/>
      <c r="L780" s="16"/>
      <c r="M780" s="16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24"/>
      <c r="AC780" s="16"/>
      <c r="AD780" s="16"/>
      <c r="AE780" s="16"/>
      <c r="AF780" s="16"/>
      <c r="AG780" s="14"/>
      <c r="AH780" s="14"/>
      <c r="AI780" s="24"/>
      <c r="AJ780" s="24"/>
      <c r="AK780" s="24"/>
      <c r="AL780" s="16"/>
      <c r="AM780" s="16"/>
      <c r="AN780" s="16"/>
      <c r="AO780" s="16"/>
      <c r="AP780" s="16"/>
      <c r="AQ780" s="16"/>
      <c r="AR780" s="16"/>
      <c r="AS780" s="14"/>
      <c r="AT780" s="14"/>
      <c r="AU780" s="14"/>
      <c r="AV780" s="14"/>
      <c r="AW780" s="14"/>
      <c r="AX780" s="14"/>
      <c r="AY780" s="14"/>
      <c r="AZ780" s="14"/>
      <c r="BA780" s="14"/>
      <c r="BB780" s="7"/>
    </row>
    <row r="781" spans="7:54" x14ac:dyDescent="0.15">
      <c r="G781" s="7"/>
      <c r="H781" s="16"/>
      <c r="I781" s="16"/>
      <c r="J781" s="16"/>
      <c r="K781" s="16"/>
      <c r="L781" s="16"/>
      <c r="M781" s="16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24"/>
      <c r="AC781" s="16"/>
      <c r="AD781" s="16"/>
      <c r="AE781" s="16"/>
      <c r="AF781" s="16"/>
      <c r="AG781" s="14"/>
      <c r="AH781" s="14"/>
      <c r="AI781" s="24"/>
      <c r="AJ781" s="24"/>
      <c r="AK781" s="24"/>
      <c r="AL781" s="16"/>
      <c r="AM781" s="16"/>
      <c r="AN781" s="16"/>
      <c r="AO781" s="16"/>
      <c r="AP781" s="16"/>
      <c r="AQ781" s="16"/>
      <c r="AR781" s="16"/>
      <c r="AS781" s="14"/>
      <c r="AT781" s="14"/>
      <c r="AU781" s="14"/>
      <c r="AV781" s="14"/>
      <c r="AW781" s="14"/>
      <c r="AX781" s="14"/>
      <c r="AY781" s="14"/>
      <c r="AZ781" s="14"/>
      <c r="BA781" s="14"/>
      <c r="BB781" s="7"/>
    </row>
    <row r="782" spans="7:54" x14ac:dyDescent="0.15">
      <c r="G782" s="7"/>
      <c r="H782" s="16"/>
      <c r="I782" s="16"/>
      <c r="J782" s="16"/>
      <c r="K782" s="16"/>
      <c r="L782" s="16"/>
      <c r="M782" s="16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24"/>
      <c r="AC782" s="16"/>
      <c r="AD782" s="16"/>
      <c r="AE782" s="16"/>
      <c r="AF782" s="16"/>
      <c r="AG782" s="14"/>
      <c r="AH782" s="14"/>
      <c r="AI782" s="24"/>
      <c r="AJ782" s="24"/>
      <c r="AK782" s="24"/>
      <c r="AL782" s="16"/>
      <c r="AM782" s="16"/>
      <c r="AN782" s="16"/>
      <c r="AO782" s="16"/>
      <c r="AP782" s="16"/>
      <c r="AQ782" s="16"/>
      <c r="AR782" s="16"/>
      <c r="AS782" s="14"/>
      <c r="AT782" s="14"/>
      <c r="AU782" s="14"/>
      <c r="AV782" s="14"/>
      <c r="AW782" s="14"/>
      <c r="AX782" s="14"/>
      <c r="AY782" s="14"/>
      <c r="AZ782" s="14"/>
      <c r="BA782" s="14"/>
      <c r="BB782" s="7"/>
    </row>
    <row r="783" spans="7:54" x14ac:dyDescent="0.15">
      <c r="G783" s="7"/>
      <c r="H783" s="16"/>
      <c r="I783" s="16"/>
      <c r="J783" s="16"/>
      <c r="K783" s="16"/>
      <c r="L783" s="16"/>
      <c r="M783" s="16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24"/>
      <c r="AC783" s="16"/>
      <c r="AD783" s="16"/>
      <c r="AE783" s="16"/>
      <c r="AF783" s="16"/>
      <c r="AG783" s="14"/>
      <c r="AH783" s="14"/>
      <c r="AI783" s="24"/>
      <c r="AJ783" s="24"/>
      <c r="AK783" s="24"/>
      <c r="AL783" s="16"/>
      <c r="AM783" s="16"/>
      <c r="AN783" s="16"/>
      <c r="AO783" s="16"/>
      <c r="AP783" s="16"/>
      <c r="AQ783" s="16"/>
      <c r="AR783" s="16"/>
      <c r="AS783" s="14"/>
      <c r="AT783" s="14"/>
      <c r="AU783" s="14"/>
      <c r="AV783" s="14"/>
      <c r="AW783" s="14"/>
      <c r="AX783" s="14"/>
      <c r="AY783" s="14"/>
      <c r="AZ783" s="14"/>
      <c r="BA783" s="14"/>
      <c r="BB783" s="7"/>
    </row>
    <row r="784" spans="7:54" x14ac:dyDescent="0.15">
      <c r="G784" s="7"/>
      <c r="H784" s="16"/>
      <c r="I784" s="16"/>
      <c r="J784" s="16"/>
      <c r="K784" s="16"/>
      <c r="L784" s="16"/>
      <c r="M784" s="16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24"/>
      <c r="AC784" s="16"/>
      <c r="AD784" s="16"/>
      <c r="AE784" s="16"/>
      <c r="AF784" s="16"/>
      <c r="AG784" s="14"/>
      <c r="AH784" s="14"/>
      <c r="AI784" s="24"/>
      <c r="AJ784" s="24"/>
      <c r="AK784" s="24"/>
      <c r="AL784" s="16"/>
      <c r="AM784" s="16"/>
      <c r="AN784" s="16"/>
      <c r="AO784" s="16"/>
      <c r="AP784" s="16"/>
      <c r="AQ784" s="16"/>
      <c r="AR784" s="16"/>
      <c r="AS784" s="14"/>
      <c r="AT784" s="14"/>
      <c r="AU784" s="14"/>
      <c r="AV784" s="14"/>
      <c r="AW784" s="14"/>
      <c r="AX784" s="14"/>
      <c r="AY784" s="14"/>
      <c r="AZ784" s="14"/>
      <c r="BA784" s="14"/>
      <c r="BB784" s="7"/>
    </row>
    <row r="785" spans="7:54" x14ac:dyDescent="0.15">
      <c r="G785" s="7"/>
      <c r="H785" s="16"/>
      <c r="I785" s="16"/>
      <c r="J785" s="16"/>
      <c r="K785" s="16"/>
      <c r="L785" s="16"/>
      <c r="M785" s="16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24"/>
      <c r="AC785" s="16"/>
      <c r="AD785" s="16"/>
      <c r="AE785" s="16"/>
      <c r="AF785" s="16"/>
      <c r="AG785" s="14"/>
      <c r="AH785" s="14"/>
      <c r="AI785" s="24"/>
      <c r="AJ785" s="24"/>
      <c r="AK785" s="24"/>
      <c r="AL785" s="16"/>
      <c r="AM785" s="16"/>
      <c r="AN785" s="16"/>
      <c r="AO785" s="16"/>
      <c r="AP785" s="16"/>
      <c r="AQ785" s="16"/>
      <c r="AR785" s="16"/>
      <c r="AS785" s="14"/>
      <c r="AT785" s="14"/>
      <c r="AU785" s="14"/>
      <c r="AV785" s="14"/>
      <c r="AW785" s="14"/>
      <c r="AX785" s="14"/>
      <c r="AY785" s="14"/>
      <c r="AZ785" s="14"/>
      <c r="BA785" s="14"/>
      <c r="BB785" s="7"/>
    </row>
    <row r="786" spans="7:54" x14ac:dyDescent="0.15">
      <c r="G786" s="7"/>
      <c r="H786" s="16"/>
      <c r="I786" s="16"/>
      <c r="J786" s="16"/>
      <c r="K786" s="16"/>
      <c r="L786" s="16"/>
      <c r="M786" s="16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24"/>
      <c r="AC786" s="16"/>
      <c r="AD786" s="16"/>
      <c r="AE786" s="16"/>
      <c r="AF786" s="16"/>
      <c r="AG786" s="14"/>
      <c r="AH786" s="14"/>
      <c r="AI786" s="24"/>
      <c r="AJ786" s="24"/>
      <c r="AK786" s="24"/>
      <c r="AL786" s="16"/>
      <c r="AM786" s="16"/>
      <c r="AN786" s="16"/>
      <c r="AO786" s="16"/>
      <c r="AP786" s="16"/>
      <c r="AQ786" s="16"/>
      <c r="AR786" s="16"/>
      <c r="AS786" s="14"/>
      <c r="AT786" s="14"/>
      <c r="AU786" s="14"/>
      <c r="AV786" s="14"/>
      <c r="AW786" s="14"/>
      <c r="AX786" s="14"/>
      <c r="AY786" s="14"/>
      <c r="AZ786" s="14"/>
      <c r="BA786" s="14"/>
      <c r="BB786" s="7"/>
    </row>
    <row r="787" spans="7:54" x14ac:dyDescent="0.15">
      <c r="G787" s="7"/>
      <c r="H787" s="16"/>
      <c r="I787" s="16"/>
      <c r="J787" s="16"/>
      <c r="K787" s="16"/>
      <c r="L787" s="16"/>
      <c r="M787" s="16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24"/>
      <c r="AC787" s="16"/>
      <c r="AD787" s="16"/>
      <c r="AE787" s="16"/>
      <c r="AF787" s="16"/>
      <c r="AG787" s="14"/>
      <c r="AH787" s="14"/>
      <c r="AI787" s="24"/>
      <c r="AJ787" s="24"/>
      <c r="AK787" s="24"/>
      <c r="AL787" s="16"/>
      <c r="AM787" s="16"/>
      <c r="AN787" s="16"/>
      <c r="AO787" s="16"/>
      <c r="AP787" s="16"/>
      <c r="AQ787" s="16"/>
      <c r="AR787" s="16"/>
      <c r="AS787" s="14"/>
      <c r="AT787" s="14"/>
      <c r="AU787" s="14"/>
      <c r="AV787" s="14"/>
      <c r="AW787" s="14"/>
      <c r="AX787" s="14"/>
      <c r="AY787" s="14"/>
      <c r="AZ787" s="14"/>
      <c r="BA787" s="14"/>
      <c r="BB787" s="7"/>
    </row>
    <row r="788" spans="7:54" x14ac:dyDescent="0.15">
      <c r="G788" s="7"/>
      <c r="H788" s="16"/>
      <c r="I788" s="16"/>
      <c r="J788" s="16"/>
      <c r="K788" s="16"/>
      <c r="L788" s="16"/>
      <c r="M788" s="16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24"/>
      <c r="AC788" s="16"/>
      <c r="AD788" s="16"/>
      <c r="AE788" s="16"/>
      <c r="AF788" s="16"/>
      <c r="AG788" s="14"/>
      <c r="AH788" s="14"/>
      <c r="AI788" s="24"/>
      <c r="AJ788" s="24"/>
      <c r="AK788" s="24"/>
      <c r="AL788" s="16"/>
      <c r="AM788" s="16"/>
      <c r="AN788" s="16"/>
      <c r="AO788" s="16"/>
      <c r="AP788" s="16"/>
      <c r="AQ788" s="16"/>
      <c r="AR788" s="16"/>
      <c r="AS788" s="14"/>
      <c r="AT788" s="14"/>
      <c r="AU788" s="14"/>
      <c r="AV788" s="14"/>
      <c r="AW788" s="14"/>
      <c r="AX788" s="14"/>
      <c r="AY788" s="14"/>
      <c r="AZ788" s="14"/>
      <c r="BA788" s="14"/>
      <c r="BB788" s="7"/>
    </row>
    <row r="789" spans="7:54" x14ac:dyDescent="0.15">
      <c r="G789" s="7"/>
      <c r="H789" s="16"/>
      <c r="I789" s="16"/>
      <c r="J789" s="16"/>
      <c r="K789" s="16"/>
      <c r="L789" s="16"/>
      <c r="M789" s="16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24"/>
      <c r="AC789" s="16"/>
      <c r="AD789" s="16"/>
      <c r="AE789" s="16"/>
      <c r="AF789" s="16"/>
      <c r="AG789" s="14"/>
      <c r="AH789" s="14"/>
      <c r="AI789" s="24"/>
      <c r="AJ789" s="24"/>
      <c r="AK789" s="24"/>
      <c r="AL789" s="16"/>
      <c r="AM789" s="16"/>
      <c r="AN789" s="16"/>
      <c r="AO789" s="16"/>
      <c r="AP789" s="16"/>
      <c r="AQ789" s="16"/>
      <c r="AR789" s="16"/>
      <c r="AS789" s="14"/>
      <c r="AT789" s="14"/>
      <c r="AU789" s="14"/>
      <c r="AV789" s="14"/>
      <c r="AW789" s="14"/>
      <c r="AX789" s="14"/>
      <c r="AY789" s="14"/>
      <c r="AZ789" s="14"/>
      <c r="BA789" s="14"/>
      <c r="BB789" s="7"/>
    </row>
    <row r="790" spans="7:54" x14ac:dyDescent="0.15">
      <c r="G790" s="7"/>
      <c r="H790" s="16"/>
      <c r="I790" s="16"/>
      <c r="J790" s="16"/>
      <c r="K790" s="16"/>
      <c r="L790" s="16"/>
      <c r="M790" s="16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24"/>
      <c r="AC790" s="16"/>
      <c r="AD790" s="16"/>
      <c r="AE790" s="16"/>
      <c r="AF790" s="16"/>
      <c r="AG790" s="14"/>
      <c r="AH790" s="14"/>
      <c r="AI790" s="24"/>
      <c r="AJ790" s="24"/>
      <c r="AK790" s="24"/>
      <c r="AL790" s="16"/>
      <c r="AM790" s="16"/>
      <c r="AN790" s="16"/>
      <c r="AO790" s="16"/>
      <c r="AP790" s="16"/>
      <c r="AQ790" s="16"/>
      <c r="AR790" s="16"/>
      <c r="AS790" s="14"/>
      <c r="AT790" s="14"/>
      <c r="AU790" s="14"/>
      <c r="AV790" s="14"/>
      <c r="AW790" s="14"/>
      <c r="AX790" s="14"/>
      <c r="AY790" s="14"/>
      <c r="AZ790" s="14"/>
      <c r="BA790" s="14"/>
      <c r="BB790" s="7"/>
    </row>
    <row r="791" spans="7:54" x14ac:dyDescent="0.15">
      <c r="G791" s="7"/>
      <c r="H791" s="16"/>
      <c r="I791" s="16"/>
      <c r="J791" s="16"/>
      <c r="K791" s="16"/>
      <c r="L791" s="16"/>
      <c r="M791" s="16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24"/>
      <c r="AC791" s="16"/>
      <c r="AD791" s="16"/>
      <c r="AE791" s="16"/>
      <c r="AF791" s="16"/>
      <c r="AG791" s="14"/>
      <c r="AH791" s="14"/>
      <c r="AI791" s="24"/>
      <c r="AJ791" s="24"/>
      <c r="AK791" s="24"/>
      <c r="AL791" s="16"/>
      <c r="AM791" s="16"/>
      <c r="AN791" s="16"/>
      <c r="AO791" s="16"/>
      <c r="AP791" s="16"/>
      <c r="AQ791" s="16"/>
      <c r="AR791" s="16"/>
      <c r="AS791" s="14"/>
      <c r="AT791" s="14"/>
      <c r="AU791" s="14"/>
      <c r="AV791" s="14"/>
      <c r="AW791" s="14"/>
      <c r="AX791" s="14"/>
      <c r="AY791" s="14"/>
      <c r="AZ791" s="14"/>
      <c r="BA791" s="14"/>
      <c r="BB791" s="7"/>
    </row>
    <row r="792" spans="7:54" x14ac:dyDescent="0.15">
      <c r="G792" s="7"/>
      <c r="H792" s="16"/>
      <c r="I792" s="16"/>
      <c r="J792" s="16"/>
      <c r="K792" s="16"/>
      <c r="L792" s="16"/>
      <c r="M792" s="16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24"/>
      <c r="AC792" s="16"/>
      <c r="AD792" s="16"/>
      <c r="AE792" s="16"/>
      <c r="AF792" s="16"/>
      <c r="AG792" s="14"/>
      <c r="AH792" s="14"/>
      <c r="AI792" s="24"/>
      <c r="AJ792" s="24"/>
      <c r="AK792" s="24"/>
      <c r="AL792" s="16"/>
      <c r="AM792" s="16"/>
      <c r="AN792" s="16"/>
      <c r="AO792" s="16"/>
      <c r="AP792" s="16"/>
      <c r="AQ792" s="16"/>
      <c r="AR792" s="16"/>
      <c r="AS792" s="14"/>
      <c r="AT792" s="14"/>
      <c r="AU792" s="14"/>
      <c r="AV792" s="14"/>
      <c r="AW792" s="14"/>
      <c r="AX792" s="14"/>
      <c r="AY792" s="14"/>
      <c r="AZ792" s="14"/>
      <c r="BA792" s="14"/>
      <c r="BB792" s="7"/>
    </row>
    <row r="793" spans="7:54" x14ac:dyDescent="0.15">
      <c r="G793" s="7"/>
      <c r="H793" s="16"/>
      <c r="I793" s="16"/>
      <c r="J793" s="16"/>
      <c r="K793" s="16"/>
      <c r="L793" s="16"/>
      <c r="M793" s="16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24"/>
      <c r="AC793" s="16"/>
      <c r="AD793" s="16"/>
      <c r="AE793" s="16"/>
      <c r="AF793" s="16"/>
      <c r="AG793" s="14"/>
      <c r="AH793" s="14"/>
      <c r="AI793" s="24"/>
      <c r="AJ793" s="24"/>
      <c r="AK793" s="24"/>
      <c r="AL793" s="16"/>
      <c r="AM793" s="16"/>
      <c r="AN793" s="16"/>
      <c r="AO793" s="16"/>
      <c r="AP793" s="16"/>
      <c r="AQ793" s="16"/>
      <c r="AR793" s="16"/>
      <c r="AS793" s="14"/>
      <c r="AT793" s="14"/>
      <c r="AU793" s="14"/>
      <c r="AV793" s="14"/>
      <c r="AW793" s="14"/>
      <c r="AX793" s="14"/>
      <c r="AY793" s="14"/>
      <c r="AZ793" s="14"/>
      <c r="BA793" s="14"/>
      <c r="BB793" s="7"/>
    </row>
    <row r="794" spans="7:54" x14ac:dyDescent="0.15">
      <c r="G794" s="7"/>
      <c r="H794" s="16"/>
      <c r="I794" s="16"/>
      <c r="J794" s="16"/>
      <c r="K794" s="16"/>
      <c r="L794" s="16"/>
      <c r="M794" s="16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24"/>
      <c r="AC794" s="16"/>
      <c r="AD794" s="16"/>
      <c r="AE794" s="16"/>
      <c r="AF794" s="16"/>
      <c r="AG794" s="14"/>
      <c r="AH794" s="14"/>
      <c r="AI794" s="24"/>
      <c r="AJ794" s="24"/>
      <c r="AK794" s="24"/>
      <c r="AL794" s="16"/>
      <c r="AM794" s="16"/>
      <c r="AN794" s="16"/>
      <c r="AO794" s="16"/>
      <c r="AP794" s="16"/>
      <c r="AQ794" s="16"/>
      <c r="AR794" s="16"/>
      <c r="AS794" s="14"/>
      <c r="AT794" s="14"/>
      <c r="AU794" s="14"/>
      <c r="AV794" s="14"/>
      <c r="AW794" s="14"/>
      <c r="AX794" s="14"/>
      <c r="AY794" s="14"/>
      <c r="AZ794" s="14"/>
      <c r="BA794" s="14"/>
      <c r="BB794" s="7"/>
    </row>
    <row r="795" spans="7:54" x14ac:dyDescent="0.15">
      <c r="G795" s="7"/>
      <c r="H795" s="16"/>
      <c r="I795" s="16"/>
      <c r="J795" s="16"/>
      <c r="K795" s="16"/>
      <c r="L795" s="16"/>
      <c r="M795" s="16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24"/>
      <c r="AC795" s="16"/>
      <c r="AD795" s="16"/>
      <c r="AE795" s="16"/>
      <c r="AF795" s="16"/>
      <c r="AG795" s="14"/>
      <c r="AH795" s="14"/>
      <c r="AI795" s="24"/>
      <c r="AJ795" s="24"/>
      <c r="AK795" s="24"/>
      <c r="AL795" s="16"/>
      <c r="AM795" s="16"/>
      <c r="AN795" s="16"/>
      <c r="AO795" s="16"/>
      <c r="AP795" s="16"/>
      <c r="AQ795" s="16"/>
      <c r="AR795" s="16"/>
      <c r="AS795" s="14"/>
      <c r="AT795" s="14"/>
      <c r="AU795" s="14"/>
      <c r="AV795" s="14"/>
      <c r="AW795" s="14"/>
      <c r="AX795" s="14"/>
      <c r="AY795" s="14"/>
      <c r="AZ795" s="14"/>
      <c r="BA795" s="14"/>
      <c r="BB795" s="7"/>
    </row>
    <row r="796" spans="7:54" x14ac:dyDescent="0.15">
      <c r="G796" s="7"/>
      <c r="H796" s="16"/>
      <c r="I796" s="16"/>
      <c r="J796" s="16"/>
      <c r="K796" s="16"/>
      <c r="L796" s="16"/>
      <c r="M796" s="16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24"/>
      <c r="AC796" s="16"/>
      <c r="AD796" s="16"/>
      <c r="AE796" s="16"/>
      <c r="AF796" s="16"/>
      <c r="AG796" s="14"/>
      <c r="AH796" s="14"/>
      <c r="AI796" s="24"/>
      <c r="AJ796" s="24"/>
      <c r="AK796" s="24"/>
      <c r="AL796" s="16"/>
      <c r="AM796" s="16"/>
      <c r="AN796" s="16"/>
      <c r="AO796" s="16"/>
      <c r="AP796" s="16"/>
      <c r="AQ796" s="16"/>
      <c r="AR796" s="16"/>
      <c r="AS796" s="14"/>
      <c r="AT796" s="14"/>
      <c r="AU796" s="14"/>
      <c r="AV796" s="14"/>
      <c r="AW796" s="14"/>
      <c r="AX796" s="14"/>
      <c r="AY796" s="14"/>
      <c r="AZ796" s="14"/>
      <c r="BA796" s="14"/>
      <c r="BB796" s="7"/>
    </row>
    <row r="797" spans="7:54" x14ac:dyDescent="0.15">
      <c r="G797" s="7"/>
      <c r="H797" s="16"/>
      <c r="I797" s="16"/>
      <c r="J797" s="16"/>
      <c r="K797" s="16"/>
      <c r="L797" s="16"/>
      <c r="M797" s="16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24"/>
      <c r="AC797" s="16"/>
      <c r="AD797" s="16"/>
      <c r="AE797" s="16"/>
      <c r="AF797" s="16"/>
      <c r="AG797" s="14"/>
      <c r="AH797" s="14"/>
      <c r="AI797" s="24"/>
      <c r="AJ797" s="24"/>
      <c r="AK797" s="24"/>
      <c r="AL797" s="16"/>
      <c r="AM797" s="16"/>
      <c r="AN797" s="16"/>
      <c r="AO797" s="16"/>
      <c r="AP797" s="16"/>
      <c r="AQ797" s="16"/>
      <c r="AR797" s="16"/>
      <c r="AS797" s="14"/>
      <c r="AT797" s="14"/>
      <c r="AU797" s="14"/>
      <c r="AV797" s="14"/>
      <c r="AW797" s="14"/>
      <c r="AX797" s="14"/>
      <c r="AY797" s="14"/>
      <c r="AZ797" s="14"/>
      <c r="BA797" s="14"/>
      <c r="BB797" s="7"/>
    </row>
    <row r="798" spans="7:54" x14ac:dyDescent="0.15">
      <c r="G798" s="7"/>
      <c r="H798" s="16"/>
      <c r="I798" s="16"/>
      <c r="J798" s="16"/>
      <c r="K798" s="16"/>
      <c r="L798" s="16"/>
      <c r="M798" s="16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24"/>
      <c r="AC798" s="16"/>
      <c r="AD798" s="16"/>
      <c r="AE798" s="16"/>
      <c r="AF798" s="16"/>
      <c r="AG798" s="14"/>
      <c r="AH798" s="14"/>
      <c r="AI798" s="24"/>
      <c r="AJ798" s="24"/>
      <c r="AK798" s="24"/>
      <c r="AL798" s="16"/>
      <c r="AM798" s="16"/>
      <c r="AN798" s="16"/>
      <c r="AO798" s="16"/>
      <c r="AP798" s="16"/>
      <c r="AQ798" s="16"/>
      <c r="AR798" s="16"/>
      <c r="AS798" s="14"/>
      <c r="AT798" s="14"/>
      <c r="AU798" s="14"/>
      <c r="AV798" s="14"/>
      <c r="AW798" s="14"/>
      <c r="AX798" s="14"/>
      <c r="AY798" s="14"/>
      <c r="AZ798" s="14"/>
      <c r="BA798" s="14"/>
      <c r="BB798" s="7"/>
    </row>
    <row r="799" spans="7:54" x14ac:dyDescent="0.15">
      <c r="G799" s="7"/>
      <c r="H799" s="16"/>
      <c r="I799" s="16"/>
      <c r="J799" s="16"/>
      <c r="K799" s="16"/>
      <c r="L799" s="16"/>
      <c r="M799" s="16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24"/>
      <c r="AC799" s="16"/>
      <c r="AD799" s="16"/>
      <c r="AE799" s="16"/>
      <c r="AF799" s="16"/>
      <c r="AG799" s="14"/>
      <c r="AH799" s="14"/>
      <c r="AI799" s="24"/>
      <c r="AJ799" s="24"/>
      <c r="AK799" s="24"/>
      <c r="AL799" s="16"/>
      <c r="AM799" s="16"/>
      <c r="AN799" s="16"/>
      <c r="AO799" s="16"/>
      <c r="AP799" s="16"/>
      <c r="AQ799" s="16"/>
      <c r="AR799" s="16"/>
      <c r="AS799" s="14"/>
      <c r="AT799" s="14"/>
      <c r="AU799" s="14"/>
      <c r="AV799" s="14"/>
      <c r="AW799" s="14"/>
      <c r="AX799" s="14"/>
      <c r="AY799" s="14"/>
      <c r="AZ799" s="14"/>
      <c r="BA799" s="14"/>
      <c r="BB799" s="7"/>
    </row>
    <row r="800" spans="7:54" x14ac:dyDescent="0.15">
      <c r="G800" s="7"/>
      <c r="H800" s="16"/>
      <c r="I800" s="16"/>
      <c r="J800" s="16"/>
      <c r="K800" s="16"/>
      <c r="L800" s="16"/>
      <c r="M800" s="16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24"/>
      <c r="AC800" s="16"/>
      <c r="AD800" s="16"/>
      <c r="AE800" s="16"/>
      <c r="AF800" s="16"/>
      <c r="AG800" s="14"/>
      <c r="AH800" s="14"/>
      <c r="AI800" s="24"/>
      <c r="AJ800" s="24"/>
      <c r="AK800" s="24"/>
      <c r="AL800" s="16"/>
      <c r="AM800" s="16"/>
      <c r="AN800" s="16"/>
      <c r="AO800" s="16"/>
      <c r="AP800" s="16"/>
      <c r="AQ800" s="16"/>
      <c r="AR800" s="16"/>
      <c r="AS800" s="14"/>
      <c r="AT800" s="14"/>
      <c r="AU800" s="14"/>
      <c r="AV800" s="14"/>
      <c r="AW800" s="14"/>
      <c r="AX800" s="14"/>
      <c r="AY800" s="14"/>
      <c r="AZ800" s="14"/>
      <c r="BA800" s="14"/>
      <c r="BB800" s="7"/>
    </row>
    <row r="801" spans="7:54" x14ac:dyDescent="0.15">
      <c r="G801" s="7"/>
      <c r="H801" s="16"/>
      <c r="I801" s="16"/>
      <c r="J801" s="16"/>
      <c r="K801" s="16"/>
      <c r="L801" s="16"/>
      <c r="M801" s="16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24"/>
      <c r="AC801" s="16"/>
      <c r="AD801" s="16"/>
      <c r="AE801" s="16"/>
      <c r="AF801" s="16"/>
      <c r="AG801" s="14"/>
      <c r="AH801" s="14"/>
      <c r="AI801" s="24"/>
      <c r="AJ801" s="24"/>
      <c r="AK801" s="24"/>
      <c r="AL801" s="16"/>
      <c r="AM801" s="16"/>
      <c r="AN801" s="16"/>
      <c r="AO801" s="16"/>
      <c r="AP801" s="16"/>
      <c r="AQ801" s="16"/>
      <c r="AR801" s="16"/>
      <c r="AS801" s="14"/>
      <c r="AT801" s="14"/>
      <c r="AU801" s="14"/>
      <c r="AV801" s="14"/>
      <c r="AW801" s="14"/>
      <c r="AX801" s="14"/>
      <c r="AY801" s="14"/>
      <c r="AZ801" s="14"/>
      <c r="BA801" s="14"/>
      <c r="BB801" s="7"/>
    </row>
    <row r="802" spans="7:54" x14ac:dyDescent="0.15">
      <c r="G802" s="7"/>
      <c r="H802" s="16"/>
      <c r="I802" s="16"/>
      <c r="J802" s="16"/>
      <c r="K802" s="16"/>
      <c r="L802" s="16"/>
      <c r="M802" s="16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24"/>
      <c r="AC802" s="16"/>
      <c r="AD802" s="16"/>
      <c r="AE802" s="16"/>
      <c r="AF802" s="16"/>
      <c r="AG802" s="14"/>
      <c r="AH802" s="14"/>
      <c r="AI802" s="24"/>
      <c r="AJ802" s="24"/>
      <c r="AK802" s="24"/>
      <c r="AL802" s="16"/>
      <c r="AM802" s="16"/>
      <c r="AN802" s="16"/>
      <c r="AO802" s="16"/>
      <c r="AP802" s="16"/>
      <c r="AQ802" s="16"/>
      <c r="AR802" s="16"/>
      <c r="AS802" s="14"/>
      <c r="AT802" s="14"/>
      <c r="AU802" s="14"/>
      <c r="AV802" s="14"/>
      <c r="AW802" s="14"/>
      <c r="AX802" s="14"/>
      <c r="AY802" s="14"/>
      <c r="AZ802" s="14"/>
      <c r="BA802" s="14"/>
      <c r="BB802" s="7"/>
    </row>
    <row r="803" spans="7:54" x14ac:dyDescent="0.15">
      <c r="G803" s="7"/>
      <c r="H803" s="16"/>
      <c r="I803" s="16"/>
      <c r="J803" s="16"/>
      <c r="K803" s="16"/>
      <c r="L803" s="16"/>
      <c r="M803" s="16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24"/>
      <c r="AC803" s="16"/>
      <c r="AD803" s="16"/>
      <c r="AE803" s="16"/>
      <c r="AF803" s="16"/>
      <c r="AG803" s="14"/>
      <c r="AH803" s="14"/>
      <c r="AI803" s="24"/>
      <c r="AJ803" s="24"/>
      <c r="AK803" s="24"/>
      <c r="AL803" s="16"/>
      <c r="AM803" s="16"/>
      <c r="AN803" s="16"/>
      <c r="AO803" s="16"/>
      <c r="AP803" s="16"/>
      <c r="AQ803" s="16"/>
      <c r="AR803" s="16"/>
      <c r="AS803" s="14"/>
      <c r="AT803" s="14"/>
      <c r="AU803" s="14"/>
      <c r="AV803" s="14"/>
      <c r="AW803" s="14"/>
      <c r="AX803" s="14"/>
      <c r="AY803" s="14"/>
      <c r="AZ803" s="14"/>
      <c r="BA803" s="14"/>
      <c r="BB803" s="7"/>
    </row>
    <row r="804" spans="7:54" x14ac:dyDescent="0.15">
      <c r="G804" s="7"/>
      <c r="H804" s="16"/>
      <c r="I804" s="16"/>
      <c r="J804" s="16"/>
      <c r="K804" s="16"/>
      <c r="L804" s="16"/>
      <c r="M804" s="16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24"/>
      <c r="AC804" s="16"/>
      <c r="AD804" s="16"/>
      <c r="AE804" s="16"/>
      <c r="AF804" s="16"/>
      <c r="AG804" s="14"/>
      <c r="AH804" s="14"/>
      <c r="AI804" s="24"/>
      <c r="AJ804" s="24"/>
      <c r="AK804" s="24"/>
      <c r="AL804" s="16"/>
      <c r="AM804" s="16"/>
      <c r="AN804" s="16"/>
      <c r="AO804" s="16"/>
      <c r="AP804" s="16"/>
      <c r="AQ804" s="16"/>
      <c r="AR804" s="16"/>
      <c r="AS804" s="14"/>
      <c r="AT804" s="14"/>
      <c r="AU804" s="14"/>
      <c r="AV804" s="14"/>
      <c r="AW804" s="14"/>
      <c r="AX804" s="14"/>
      <c r="AY804" s="14"/>
      <c r="AZ804" s="14"/>
      <c r="BA804" s="14"/>
      <c r="BB804" s="7"/>
    </row>
    <row r="805" spans="7:54" x14ac:dyDescent="0.15">
      <c r="G805" s="7"/>
      <c r="H805" s="16"/>
      <c r="I805" s="16"/>
      <c r="J805" s="16"/>
      <c r="K805" s="16"/>
      <c r="L805" s="16"/>
      <c r="M805" s="16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24"/>
      <c r="AC805" s="16"/>
      <c r="AD805" s="16"/>
      <c r="AE805" s="16"/>
      <c r="AF805" s="16"/>
      <c r="AG805" s="14"/>
      <c r="AH805" s="14"/>
      <c r="AI805" s="24"/>
      <c r="AJ805" s="24"/>
      <c r="AK805" s="24"/>
      <c r="AL805" s="16"/>
      <c r="AM805" s="16"/>
      <c r="AN805" s="16"/>
      <c r="AO805" s="16"/>
      <c r="AP805" s="16"/>
      <c r="AQ805" s="16"/>
      <c r="AR805" s="16"/>
      <c r="AS805" s="14"/>
      <c r="AT805" s="14"/>
      <c r="AU805" s="14"/>
      <c r="AV805" s="14"/>
      <c r="AW805" s="14"/>
      <c r="AX805" s="14"/>
      <c r="AY805" s="14"/>
      <c r="AZ805" s="14"/>
      <c r="BA805" s="14"/>
      <c r="BB805" s="7"/>
    </row>
    <row r="806" spans="7:54" x14ac:dyDescent="0.15">
      <c r="G806" s="7"/>
      <c r="H806" s="16"/>
      <c r="I806" s="16"/>
      <c r="J806" s="16"/>
      <c r="K806" s="16"/>
      <c r="L806" s="16"/>
      <c r="M806" s="16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24"/>
      <c r="AC806" s="16"/>
      <c r="AD806" s="16"/>
      <c r="AE806" s="16"/>
      <c r="AF806" s="16"/>
      <c r="AG806" s="14"/>
      <c r="AH806" s="14"/>
      <c r="AI806" s="24"/>
      <c r="AJ806" s="24"/>
      <c r="AK806" s="24"/>
      <c r="AL806" s="16"/>
      <c r="AM806" s="16"/>
      <c r="AN806" s="16"/>
      <c r="AO806" s="16"/>
      <c r="AP806" s="16"/>
      <c r="AQ806" s="16"/>
      <c r="AR806" s="16"/>
      <c r="AS806" s="14"/>
      <c r="AT806" s="14"/>
      <c r="AU806" s="14"/>
      <c r="AV806" s="14"/>
      <c r="AW806" s="14"/>
      <c r="AX806" s="14"/>
      <c r="AY806" s="14"/>
      <c r="AZ806" s="14"/>
      <c r="BA806" s="14"/>
      <c r="BB806" s="7"/>
    </row>
    <row r="807" spans="7:54" x14ac:dyDescent="0.15">
      <c r="G807" s="7"/>
      <c r="H807" s="16"/>
      <c r="I807" s="16"/>
      <c r="J807" s="16"/>
      <c r="K807" s="16"/>
      <c r="L807" s="16"/>
      <c r="M807" s="16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24"/>
      <c r="AC807" s="16"/>
      <c r="AD807" s="16"/>
      <c r="AE807" s="16"/>
      <c r="AF807" s="16"/>
      <c r="AG807" s="14"/>
      <c r="AH807" s="14"/>
      <c r="AI807" s="24"/>
      <c r="AJ807" s="24"/>
      <c r="AK807" s="24"/>
      <c r="AL807" s="16"/>
      <c r="AM807" s="16"/>
      <c r="AN807" s="16"/>
      <c r="AO807" s="16"/>
      <c r="AP807" s="16"/>
      <c r="AQ807" s="16"/>
      <c r="AR807" s="16"/>
      <c r="AS807" s="14"/>
      <c r="AT807" s="14"/>
      <c r="AU807" s="14"/>
      <c r="AV807" s="14"/>
      <c r="AW807" s="14"/>
      <c r="AX807" s="14"/>
      <c r="AY807" s="14"/>
      <c r="AZ807" s="14"/>
      <c r="BA807" s="14"/>
      <c r="BB807" s="7"/>
    </row>
    <row r="808" spans="7:54" x14ac:dyDescent="0.15">
      <c r="G808" s="7"/>
      <c r="H808" s="16"/>
      <c r="I808" s="16"/>
      <c r="J808" s="16"/>
      <c r="K808" s="16"/>
      <c r="L808" s="16"/>
      <c r="M808" s="16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24"/>
      <c r="AC808" s="16"/>
      <c r="AD808" s="16"/>
      <c r="AE808" s="16"/>
      <c r="AF808" s="16"/>
      <c r="AG808" s="14"/>
      <c r="AH808" s="14"/>
      <c r="AI808" s="24"/>
      <c r="AJ808" s="24"/>
      <c r="AK808" s="24"/>
      <c r="AL808" s="16"/>
      <c r="AM808" s="16"/>
      <c r="AN808" s="16"/>
      <c r="AO808" s="16"/>
      <c r="AP808" s="16"/>
      <c r="AQ808" s="16"/>
      <c r="AR808" s="16"/>
      <c r="AS808" s="14"/>
      <c r="AT808" s="14"/>
      <c r="AU808" s="14"/>
      <c r="AV808" s="14"/>
      <c r="AW808" s="14"/>
      <c r="AX808" s="14"/>
      <c r="AY808" s="14"/>
      <c r="AZ808" s="14"/>
      <c r="BA808" s="14"/>
      <c r="BB808" s="7"/>
    </row>
    <row r="809" spans="7:54" x14ac:dyDescent="0.15">
      <c r="G809" s="7"/>
      <c r="H809" s="16"/>
      <c r="I809" s="16"/>
      <c r="J809" s="16"/>
      <c r="K809" s="16"/>
      <c r="L809" s="16"/>
      <c r="M809" s="16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24"/>
      <c r="AC809" s="16"/>
      <c r="AD809" s="16"/>
      <c r="AE809" s="16"/>
      <c r="AF809" s="16"/>
      <c r="AG809" s="14"/>
      <c r="AH809" s="14"/>
      <c r="AI809" s="24"/>
      <c r="AJ809" s="24"/>
      <c r="AK809" s="24"/>
      <c r="AL809" s="16"/>
      <c r="AM809" s="16"/>
      <c r="AN809" s="16"/>
      <c r="AO809" s="16"/>
      <c r="AP809" s="16"/>
      <c r="AQ809" s="16"/>
      <c r="AR809" s="16"/>
      <c r="AS809" s="14"/>
      <c r="AT809" s="14"/>
      <c r="AU809" s="14"/>
      <c r="AV809" s="14"/>
      <c r="AW809" s="14"/>
      <c r="AX809" s="14"/>
      <c r="AY809" s="14"/>
      <c r="AZ809" s="14"/>
      <c r="BA809" s="14"/>
      <c r="BB809" s="7"/>
    </row>
    <row r="810" spans="7:54" x14ac:dyDescent="0.15">
      <c r="G810" s="7"/>
      <c r="H810" s="16"/>
      <c r="I810" s="16"/>
      <c r="J810" s="16"/>
      <c r="K810" s="16"/>
      <c r="L810" s="16"/>
      <c r="M810" s="16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24"/>
      <c r="AC810" s="16"/>
      <c r="AD810" s="16"/>
      <c r="AE810" s="16"/>
      <c r="AF810" s="16"/>
      <c r="AG810" s="14"/>
      <c r="AH810" s="14"/>
      <c r="AI810" s="24"/>
      <c r="AJ810" s="24"/>
      <c r="AK810" s="24"/>
      <c r="AL810" s="16"/>
      <c r="AM810" s="16"/>
      <c r="AN810" s="16"/>
      <c r="AO810" s="16"/>
      <c r="AP810" s="16"/>
      <c r="AQ810" s="16"/>
      <c r="AR810" s="16"/>
      <c r="AS810" s="14"/>
      <c r="AT810" s="14"/>
      <c r="AU810" s="14"/>
      <c r="AV810" s="14"/>
      <c r="AW810" s="14"/>
      <c r="AX810" s="14"/>
      <c r="AY810" s="14"/>
      <c r="AZ810" s="14"/>
      <c r="BA810" s="14"/>
      <c r="BB810" s="7"/>
    </row>
    <row r="811" spans="7:54" x14ac:dyDescent="0.15">
      <c r="G811" s="7"/>
      <c r="H811" s="16"/>
      <c r="I811" s="16"/>
      <c r="J811" s="16"/>
      <c r="K811" s="16"/>
      <c r="L811" s="16"/>
      <c r="M811" s="16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24"/>
      <c r="AC811" s="16"/>
      <c r="AD811" s="16"/>
      <c r="AE811" s="16"/>
      <c r="AF811" s="16"/>
      <c r="AG811" s="14"/>
      <c r="AH811" s="14"/>
      <c r="AI811" s="24"/>
      <c r="AJ811" s="24"/>
      <c r="AK811" s="24"/>
      <c r="AL811" s="16"/>
      <c r="AM811" s="16"/>
      <c r="AN811" s="16"/>
      <c r="AO811" s="16"/>
      <c r="AP811" s="16"/>
      <c r="AQ811" s="16"/>
      <c r="AR811" s="16"/>
      <c r="AS811" s="14"/>
      <c r="AT811" s="14"/>
      <c r="AU811" s="14"/>
      <c r="AV811" s="14"/>
      <c r="AW811" s="14"/>
      <c r="AX811" s="14"/>
      <c r="AY811" s="14"/>
      <c r="AZ811" s="14"/>
      <c r="BA811" s="14"/>
      <c r="BB811" s="7"/>
    </row>
    <row r="812" spans="7:54" x14ac:dyDescent="0.15">
      <c r="G812" s="7"/>
      <c r="H812" s="16"/>
      <c r="I812" s="16"/>
      <c r="J812" s="16"/>
      <c r="K812" s="16"/>
      <c r="L812" s="16"/>
      <c r="M812" s="16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24"/>
      <c r="AC812" s="16"/>
      <c r="AD812" s="16"/>
      <c r="AE812" s="16"/>
      <c r="AF812" s="16"/>
      <c r="AG812" s="14"/>
      <c r="AH812" s="14"/>
      <c r="AI812" s="24"/>
      <c r="AJ812" s="24"/>
      <c r="AK812" s="24"/>
      <c r="AL812" s="16"/>
      <c r="AM812" s="16"/>
      <c r="AN812" s="16"/>
      <c r="AO812" s="16"/>
      <c r="AP812" s="16"/>
      <c r="AQ812" s="16"/>
      <c r="AR812" s="16"/>
      <c r="AS812" s="14"/>
      <c r="AT812" s="14"/>
      <c r="AU812" s="14"/>
      <c r="AV812" s="14"/>
      <c r="AW812" s="14"/>
      <c r="AX812" s="14"/>
      <c r="AY812" s="14"/>
      <c r="AZ812" s="14"/>
      <c r="BA812" s="14"/>
      <c r="BB812" s="7"/>
    </row>
    <row r="813" spans="7:54" x14ac:dyDescent="0.15">
      <c r="G813" s="7"/>
      <c r="H813" s="16"/>
      <c r="I813" s="16"/>
      <c r="J813" s="16"/>
      <c r="K813" s="16"/>
      <c r="L813" s="16"/>
      <c r="M813" s="16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24"/>
      <c r="AC813" s="16"/>
      <c r="AD813" s="16"/>
      <c r="AE813" s="16"/>
      <c r="AF813" s="16"/>
      <c r="AG813" s="14"/>
      <c r="AH813" s="14"/>
      <c r="AI813" s="24"/>
      <c r="AJ813" s="24"/>
      <c r="AK813" s="24"/>
      <c r="AL813" s="16"/>
      <c r="AM813" s="16"/>
      <c r="AN813" s="16"/>
      <c r="AO813" s="16"/>
      <c r="AP813" s="16"/>
      <c r="AQ813" s="16"/>
      <c r="AR813" s="16"/>
      <c r="AS813" s="14"/>
      <c r="AT813" s="14"/>
      <c r="AU813" s="14"/>
      <c r="AV813" s="14"/>
      <c r="AW813" s="14"/>
      <c r="AX813" s="14"/>
      <c r="AY813" s="14"/>
      <c r="AZ813" s="14"/>
      <c r="BA813" s="14"/>
      <c r="BB813" s="7"/>
    </row>
    <row r="814" spans="7:54" x14ac:dyDescent="0.15">
      <c r="G814" s="7"/>
      <c r="H814" s="16"/>
      <c r="I814" s="16"/>
      <c r="J814" s="16"/>
      <c r="K814" s="16"/>
      <c r="L814" s="16"/>
      <c r="M814" s="16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24"/>
      <c r="AC814" s="16"/>
      <c r="AD814" s="16"/>
      <c r="AE814" s="16"/>
      <c r="AF814" s="16"/>
      <c r="AG814" s="14"/>
      <c r="AH814" s="14"/>
      <c r="AI814" s="24"/>
      <c r="AJ814" s="24"/>
      <c r="AK814" s="24"/>
      <c r="AL814" s="16"/>
      <c r="AM814" s="16"/>
      <c r="AN814" s="16"/>
      <c r="AO814" s="16"/>
      <c r="AP814" s="16"/>
      <c r="AQ814" s="16"/>
      <c r="AR814" s="16"/>
      <c r="AS814" s="14"/>
      <c r="AT814" s="14"/>
      <c r="AU814" s="14"/>
      <c r="AV814" s="14"/>
      <c r="AW814" s="14"/>
      <c r="AX814" s="14"/>
      <c r="AY814" s="14"/>
      <c r="AZ814" s="14"/>
      <c r="BA814" s="14"/>
      <c r="BB814" s="7"/>
    </row>
    <row r="815" spans="7:54" x14ac:dyDescent="0.15">
      <c r="G815" s="7"/>
      <c r="H815" s="16"/>
      <c r="I815" s="16"/>
      <c r="J815" s="16"/>
      <c r="K815" s="16"/>
      <c r="L815" s="16"/>
      <c r="M815" s="16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24"/>
      <c r="AC815" s="16"/>
      <c r="AD815" s="16"/>
      <c r="AE815" s="16"/>
      <c r="AF815" s="16"/>
      <c r="AG815" s="14"/>
      <c r="AH815" s="14"/>
      <c r="AI815" s="24"/>
      <c r="AJ815" s="24"/>
      <c r="AK815" s="24"/>
      <c r="AL815" s="16"/>
      <c r="AM815" s="16"/>
      <c r="AN815" s="16"/>
      <c r="AO815" s="16"/>
      <c r="AP815" s="16"/>
      <c r="AQ815" s="16"/>
      <c r="AR815" s="16"/>
      <c r="AS815" s="14"/>
      <c r="AT815" s="14"/>
      <c r="AU815" s="14"/>
      <c r="AV815" s="14"/>
      <c r="AW815" s="14"/>
      <c r="AX815" s="14"/>
      <c r="AY815" s="14"/>
      <c r="AZ815" s="14"/>
      <c r="BA815" s="14"/>
      <c r="BB815" s="7"/>
    </row>
    <row r="816" spans="7:54" x14ac:dyDescent="0.15">
      <c r="G816" s="7"/>
      <c r="H816" s="16"/>
      <c r="I816" s="16"/>
      <c r="J816" s="16"/>
      <c r="K816" s="16"/>
      <c r="L816" s="16"/>
      <c r="M816" s="16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24"/>
      <c r="AC816" s="16"/>
      <c r="AD816" s="16"/>
      <c r="AE816" s="16"/>
      <c r="AF816" s="16"/>
      <c r="AG816" s="14"/>
      <c r="AH816" s="14"/>
      <c r="AI816" s="24"/>
      <c r="AJ816" s="24"/>
      <c r="AK816" s="24"/>
      <c r="AL816" s="16"/>
      <c r="AM816" s="16"/>
      <c r="AN816" s="16"/>
      <c r="AO816" s="16"/>
      <c r="AP816" s="16"/>
      <c r="AQ816" s="16"/>
      <c r="AR816" s="16"/>
      <c r="AS816" s="14"/>
      <c r="AT816" s="14"/>
      <c r="AU816" s="14"/>
      <c r="AV816" s="14"/>
      <c r="AW816" s="14"/>
      <c r="AX816" s="14"/>
      <c r="AY816" s="14"/>
      <c r="AZ816" s="14"/>
      <c r="BA816" s="14"/>
      <c r="BB816" s="7"/>
    </row>
    <row r="817" spans="7:54" x14ac:dyDescent="0.15">
      <c r="G817" s="7"/>
      <c r="H817" s="16"/>
      <c r="I817" s="16"/>
      <c r="J817" s="16"/>
      <c r="K817" s="16"/>
      <c r="L817" s="16"/>
      <c r="M817" s="16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24"/>
      <c r="AC817" s="16"/>
      <c r="AD817" s="16"/>
      <c r="AE817" s="16"/>
      <c r="AF817" s="16"/>
      <c r="AG817" s="14"/>
      <c r="AH817" s="14"/>
      <c r="AI817" s="24"/>
      <c r="AJ817" s="24"/>
      <c r="AK817" s="24"/>
      <c r="AL817" s="16"/>
      <c r="AM817" s="16"/>
      <c r="AN817" s="16"/>
      <c r="AO817" s="16"/>
      <c r="AP817" s="16"/>
      <c r="AQ817" s="16"/>
      <c r="AR817" s="16"/>
      <c r="AS817" s="14"/>
      <c r="AT817" s="14"/>
      <c r="AU817" s="14"/>
      <c r="AV817" s="14"/>
      <c r="AW817" s="14"/>
      <c r="AX817" s="14"/>
      <c r="AY817" s="14"/>
      <c r="AZ817" s="14"/>
      <c r="BA817" s="14"/>
      <c r="BB817" s="7"/>
    </row>
    <row r="818" spans="7:54" x14ac:dyDescent="0.15">
      <c r="G818" s="7"/>
      <c r="H818" s="16"/>
      <c r="I818" s="16"/>
      <c r="J818" s="16"/>
      <c r="K818" s="16"/>
      <c r="L818" s="16"/>
      <c r="M818" s="16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24"/>
      <c r="AC818" s="16"/>
      <c r="AD818" s="16"/>
      <c r="AE818" s="16"/>
      <c r="AF818" s="16"/>
      <c r="AG818" s="14"/>
      <c r="AH818" s="14"/>
      <c r="AI818" s="24"/>
      <c r="AJ818" s="24"/>
      <c r="AK818" s="24"/>
      <c r="AL818" s="16"/>
      <c r="AM818" s="16"/>
      <c r="AN818" s="16"/>
      <c r="AO818" s="16"/>
      <c r="AP818" s="16"/>
      <c r="AQ818" s="16"/>
      <c r="AR818" s="16"/>
      <c r="AS818" s="14"/>
      <c r="AT818" s="14"/>
      <c r="AU818" s="14"/>
      <c r="AV818" s="14"/>
      <c r="AW818" s="14"/>
      <c r="AX818" s="14"/>
      <c r="AY818" s="14"/>
      <c r="AZ818" s="14"/>
      <c r="BA818" s="14"/>
      <c r="BB818" s="7"/>
    </row>
    <row r="819" spans="7:54" x14ac:dyDescent="0.15">
      <c r="G819" s="7"/>
      <c r="H819" s="16"/>
      <c r="I819" s="16"/>
      <c r="J819" s="16"/>
      <c r="K819" s="16"/>
      <c r="L819" s="16"/>
      <c r="M819" s="16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24"/>
      <c r="AC819" s="16"/>
      <c r="AD819" s="16"/>
      <c r="AE819" s="16"/>
      <c r="AF819" s="16"/>
      <c r="AG819" s="14"/>
      <c r="AH819" s="14"/>
      <c r="AI819" s="24"/>
      <c r="AJ819" s="24"/>
      <c r="AK819" s="24"/>
      <c r="AL819" s="16"/>
      <c r="AM819" s="16"/>
      <c r="AN819" s="16"/>
      <c r="AO819" s="16"/>
      <c r="AP819" s="16"/>
      <c r="AQ819" s="16"/>
      <c r="AR819" s="16"/>
      <c r="AS819" s="14"/>
      <c r="AT819" s="14"/>
      <c r="AU819" s="14"/>
      <c r="AV819" s="14"/>
      <c r="AW819" s="14"/>
      <c r="AX819" s="14"/>
      <c r="AY819" s="14"/>
      <c r="AZ819" s="14"/>
      <c r="BA819" s="14"/>
      <c r="BB819" s="7"/>
    </row>
    <row r="820" spans="7:54" x14ac:dyDescent="0.15">
      <c r="G820" s="7"/>
      <c r="H820" s="16"/>
      <c r="I820" s="16"/>
      <c r="J820" s="16"/>
      <c r="K820" s="16"/>
      <c r="L820" s="16"/>
      <c r="M820" s="16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24"/>
      <c r="AC820" s="16"/>
      <c r="AD820" s="16"/>
      <c r="AE820" s="16"/>
      <c r="AF820" s="16"/>
      <c r="AG820" s="14"/>
      <c r="AH820" s="14"/>
      <c r="AI820" s="24"/>
      <c r="AJ820" s="24"/>
      <c r="AK820" s="24"/>
      <c r="AL820" s="16"/>
      <c r="AM820" s="16"/>
      <c r="AN820" s="16"/>
      <c r="AO820" s="16"/>
      <c r="AP820" s="16"/>
      <c r="AQ820" s="16"/>
      <c r="AR820" s="16"/>
      <c r="AS820" s="14"/>
      <c r="AT820" s="14"/>
      <c r="AU820" s="14"/>
      <c r="AV820" s="14"/>
      <c r="AW820" s="14"/>
      <c r="AX820" s="14"/>
      <c r="AY820" s="14"/>
      <c r="AZ820" s="14"/>
      <c r="BA820" s="14"/>
      <c r="BB820" s="7"/>
    </row>
    <row r="821" spans="7:54" x14ac:dyDescent="0.15">
      <c r="G821" s="7"/>
      <c r="H821" s="16"/>
      <c r="I821" s="16"/>
      <c r="J821" s="16"/>
      <c r="K821" s="16"/>
      <c r="L821" s="16"/>
      <c r="M821" s="16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24"/>
      <c r="AC821" s="16"/>
      <c r="AD821" s="16"/>
      <c r="AE821" s="16"/>
      <c r="AF821" s="16"/>
      <c r="AG821" s="14"/>
      <c r="AH821" s="14"/>
      <c r="AI821" s="24"/>
      <c r="AJ821" s="24"/>
      <c r="AK821" s="24"/>
      <c r="AL821" s="16"/>
      <c r="AM821" s="16"/>
      <c r="AN821" s="16"/>
      <c r="AO821" s="16"/>
      <c r="AP821" s="16"/>
      <c r="AQ821" s="16"/>
      <c r="AR821" s="16"/>
      <c r="AS821" s="14"/>
      <c r="AT821" s="14"/>
      <c r="AU821" s="14"/>
      <c r="AV821" s="14"/>
      <c r="AW821" s="14"/>
      <c r="AX821" s="14"/>
      <c r="AY821" s="14"/>
      <c r="AZ821" s="14"/>
      <c r="BA821" s="14"/>
      <c r="BB821" s="7"/>
    </row>
    <row r="822" spans="7:54" x14ac:dyDescent="0.15">
      <c r="G822" s="7"/>
      <c r="H822" s="16"/>
      <c r="I822" s="16"/>
      <c r="J822" s="16"/>
      <c r="K822" s="16"/>
      <c r="L822" s="16"/>
      <c r="M822" s="16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24"/>
      <c r="AC822" s="16"/>
      <c r="AD822" s="16"/>
      <c r="AE822" s="16"/>
      <c r="AF822" s="16"/>
      <c r="AG822" s="14"/>
      <c r="AH822" s="14"/>
      <c r="AI822" s="24"/>
      <c r="AJ822" s="24"/>
      <c r="AK822" s="24"/>
      <c r="AL822" s="16"/>
      <c r="AM822" s="16"/>
      <c r="AN822" s="16"/>
      <c r="AO822" s="16"/>
      <c r="AP822" s="16"/>
      <c r="AQ822" s="16"/>
      <c r="AR822" s="16"/>
      <c r="AS822" s="14"/>
      <c r="AT822" s="14"/>
      <c r="AU822" s="14"/>
      <c r="AV822" s="14"/>
      <c r="AW822" s="14"/>
      <c r="AX822" s="14"/>
      <c r="AY822" s="14"/>
      <c r="AZ822" s="14"/>
      <c r="BA822" s="14"/>
      <c r="BB822" s="7"/>
    </row>
    <row r="823" spans="7:54" x14ac:dyDescent="0.15">
      <c r="G823" s="7"/>
      <c r="H823" s="16"/>
      <c r="I823" s="16"/>
      <c r="J823" s="16"/>
      <c r="K823" s="16"/>
      <c r="L823" s="16"/>
      <c r="M823" s="16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24"/>
      <c r="AC823" s="16"/>
      <c r="AD823" s="16"/>
      <c r="AE823" s="16"/>
      <c r="AF823" s="16"/>
      <c r="AG823" s="14"/>
      <c r="AH823" s="14"/>
      <c r="AI823" s="24"/>
      <c r="AJ823" s="24"/>
      <c r="AK823" s="24"/>
      <c r="AL823" s="16"/>
      <c r="AM823" s="16"/>
      <c r="AN823" s="16"/>
      <c r="AO823" s="16"/>
      <c r="AP823" s="16"/>
      <c r="AQ823" s="16"/>
      <c r="AR823" s="16"/>
      <c r="AS823" s="14"/>
      <c r="AT823" s="14"/>
      <c r="AU823" s="14"/>
      <c r="AV823" s="14"/>
      <c r="AW823" s="14"/>
      <c r="AX823" s="14"/>
      <c r="AY823" s="14"/>
      <c r="AZ823" s="14"/>
      <c r="BA823" s="14"/>
      <c r="BB823" s="7"/>
    </row>
    <row r="824" spans="7:54" x14ac:dyDescent="0.15">
      <c r="G824" s="7"/>
      <c r="H824" s="16"/>
      <c r="I824" s="16"/>
      <c r="J824" s="16"/>
      <c r="K824" s="16"/>
      <c r="L824" s="16"/>
      <c r="M824" s="16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24"/>
      <c r="AC824" s="16"/>
      <c r="AD824" s="16"/>
      <c r="AE824" s="16"/>
      <c r="AF824" s="16"/>
      <c r="AG824" s="14"/>
      <c r="AH824" s="14"/>
      <c r="AI824" s="24"/>
      <c r="AJ824" s="24"/>
      <c r="AK824" s="24"/>
      <c r="AL824" s="16"/>
      <c r="AM824" s="16"/>
      <c r="AN824" s="16"/>
      <c r="AO824" s="16"/>
      <c r="AP824" s="16"/>
      <c r="AQ824" s="16"/>
      <c r="AR824" s="16"/>
      <c r="AS824" s="14"/>
      <c r="AT824" s="14"/>
      <c r="AU824" s="14"/>
      <c r="AV824" s="14"/>
      <c r="AW824" s="14"/>
      <c r="AX824" s="14"/>
      <c r="AY824" s="14"/>
      <c r="AZ824" s="14"/>
      <c r="BA824" s="14"/>
      <c r="BB824" s="7"/>
    </row>
    <row r="825" spans="7:54" x14ac:dyDescent="0.15">
      <c r="G825" s="7"/>
      <c r="H825" s="16"/>
      <c r="I825" s="16"/>
      <c r="J825" s="16"/>
      <c r="K825" s="16"/>
      <c r="L825" s="16"/>
      <c r="M825" s="16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24"/>
      <c r="AC825" s="16"/>
      <c r="AD825" s="16"/>
      <c r="AE825" s="16"/>
      <c r="AF825" s="16"/>
      <c r="AG825" s="14"/>
      <c r="AH825" s="14"/>
      <c r="AI825" s="24"/>
      <c r="AJ825" s="24"/>
      <c r="AK825" s="24"/>
      <c r="AL825" s="16"/>
      <c r="AM825" s="16"/>
      <c r="AN825" s="16"/>
      <c r="AO825" s="16"/>
      <c r="AP825" s="16"/>
      <c r="AQ825" s="16"/>
      <c r="AR825" s="16"/>
      <c r="AS825" s="14"/>
      <c r="AT825" s="14"/>
      <c r="AU825" s="14"/>
      <c r="AV825" s="14"/>
      <c r="AW825" s="14"/>
      <c r="AX825" s="14"/>
      <c r="AY825" s="14"/>
      <c r="AZ825" s="14"/>
      <c r="BA825" s="14"/>
      <c r="BB825" s="7"/>
    </row>
    <row r="826" spans="7:54" x14ac:dyDescent="0.15">
      <c r="G826" s="7"/>
      <c r="H826" s="16"/>
      <c r="I826" s="16"/>
      <c r="J826" s="16"/>
      <c r="K826" s="16"/>
      <c r="L826" s="16"/>
      <c r="M826" s="16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24"/>
      <c r="AC826" s="16"/>
      <c r="AD826" s="16"/>
      <c r="AE826" s="16"/>
      <c r="AF826" s="16"/>
      <c r="AG826" s="14"/>
      <c r="AH826" s="14"/>
      <c r="AI826" s="24"/>
      <c r="AJ826" s="24"/>
      <c r="AK826" s="24"/>
      <c r="AL826" s="16"/>
      <c r="AM826" s="16"/>
      <c r="AN826" s="16"/>
      <c r="AO826" s="16"/>
      <c r="AP826" s="16"/>
      <c r="AQ826" s="16"/>
      <c r="AR826" s="16"/>
      <c r="AS826" s="14"/>
      <c r="AT826" s="14"/>
      <c r="AU826" s="14"/>
      <c r="AV826" s="14"/>
      <c r="AW826" s="14"/>
      <c r="AX826" s="14"/>
      <c r="AY826" s="14"/>
      <c r="AZ826" s="14"/>
      <c r="BA826" s="14"/>
      <c r="BB826" s="7"/>
    </row>
    <row r="827" spans="7:54" x14ac:dyDescent="0.15">
      <c r="G827" s="7"/>
      <c r="H827" s="16"/>
      <c r="I827" s="16"/>
      <c r="J827" s="16"/>
      <c r="K827" s="16"/>
      <c r="L827" s="16"/>
      <c r="M827" s="16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24"/>
      <c r="AC827" s="16"/>
      <c r="AD827" s="16"/>
      <c r="AE827" s="16"/>
      <c r="AF827" s="16"/>
      <c r="AG827" s="14"/>
      <c r="AH827" s="14"/>
      <c r="AI827" s="24"/>
      <c r="AJ827" s="24"/>
      <c r="AK827" s="24"/>
      <c r="AL827" s="16"/>
      <c r="AM827" s="16"/>
      <c r="AN827" s="16"/>
      <c r="AO827" s="16"/>
      <c r="AP827" s="16"/>
      <c r="AQ827" s="16"/>
      <c r="AR827" s="16"/>
      <c r="AS827" s="14"/>
      <c r="AT827" s="14"/>
      <c r="AU827" s="14"/>
      <c r="AV827" s="14"/>
      <c r="AW827" s="14"/>
      <c r="AX827" s="14"/>
      <c r="AY827" s="14"/>
      <c r="AZ827" s="14"/>
      <c r="BA827" s="14"/>
      <c r="BB827" s="7"/>
    </row>
    <row r="828" spans="7:54" x14ac:dyDescent="0.15">
      <c r="G828" s="7"/>
      <c r="H828" s="16"/>
      <c r="I828" s="16"/>
      <c r="J828" s="16"/>
      <c r="K828" s="16"/>
      <c r="L828" s="16"/>
      <c r="M828" s="16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24"/>
      <c r="AC828" s="16"/>
      <c r="AD828" s="16"/>
      <c r="AE828" s="16"/>
      <c r="AF828" s="16"/>
      <c r="AG828" s="14"/>
      <c r="AH828" s="14"/>
      <c r="AI828" s="24"/>
      <c r="AJ828" s="24"/>
      <c r="AK828" s="24"/>
      <c r="AL828" s="16"/>
      <c r="AM828" s="16"/>
      <c r="AN828" s="16"/>
      <c r="AO828" s="16"/>
      <c r="AP828" s="16"/>
      <c r="AQ828" s="16"/>
      <c r="AR828" s="16"/>
      <c r="AS828" s="14"/>
      <c r="AT828" s="14"/>
      <c r="AU828" s="14"/>
      <c r="AV828" s="14"/>
      <c r="AW828" s="14"/>
      <c r="AX828" s="14"/>
      <c r="AY828" s="14"/>
      <c r="AZ828" s="14"/>
      <c r="BA828" s="14"/>
      <c r="BB828" s="7"/>
    </row>
    <row r="829" spans="7:54" x14ac:dyDescent="0.15">
      <c r="G829" s="7"/>
      <c r="H829" s="16"/>
      <c r="I829" s="16"/>
      <c r="J829" s="16"/>
      <c r="K829" s="16"/>
      <c r="L829" s="16"/>
      <c r="M829" s="16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24"/>
      <c r="AC829" s="16"/>
      <c r="AD829" s="16"/>
      <c r="AE829" s="16"/>
      <c r="AF829" s="16"/>
      <c r="AG829" s="14"/>
      <c r="AH829" s="14"/>
      <c r="AI829" s="24"/>
      <c r="AJ829" s="24"/>
      <c r="AK829" s="24"/>
      <c r="AL829" s="16"/>
      <c r="AM829" s="16"/>
      <c r="AN829" s="16"/>
      <c r="AO829" s="16"/>
      <c r="AP829" s="16"/>
      <c r="AQ829" s="16"/>
      <c r="AR829" s="16"/>
      <c r="AS829" s="14"/>
      <c r="AT829" s="14"/>
      <c r="AU829" s="14"/>
      <c r="AV829" s="14"/>
      <c r="AW829" s="14"/>
      <c r="AX829" s="14"/>
      <c r="AY829" s="14"/>
      <c r="AZ829" s="14"/>
      <c r="BA829" s="14"/>
      <c r="BB829" s="7"/>
    </row>
    <row r="830" spans="7:54" x14ac:dyDescent="0.15">
      <c r="G830" s="7"/>
      <c r="H830" s="16"/>
      <c r="I830" s="16"/>
      <c r="J830" s="16"/>
      <c r="K830" s="16"/>
      <c r="L830" s="16"/>
      <c r="M830" s="16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24"/>
      <c r="AC830" s="16"/>
      <c r="AD830" s="16"/>
      <c r="AE830" s="16"/>
      <c r="AF830" s="16"/>
      <c r="AG830" s="14"/>
      <c r="AH830" s="14"/>
      <c r="AI830" s="24"/>
      <c r="AJ830" s="24"/>
      <c r="AK830" s="24"/>
      <c r="AL830" s="16"/>
      <c r="AM830" s="16"/>
      <c r="AN830" s="16"/>
      <c r="AO830" s="16"/>
      <c r="AP830" s="16"/>
      <c r="AQ830" s="16"/>
      <c r="AR830" s="16"/>
      <c r="AS830" s="14"/>
      <c r="AT830" s="14"/>
      <c r="AU830" s="14"/>
      <c r="AV830" s="14"/>
      <c r="AW830" s="14"/>
      <c r="AX830" s="14"/>
      <c r="AY830" s="14"/>
      <c r="AZ830" s="14"/>
      <c r="BA830" s="14"/>
      <c r="BB830" s="7"/>
    </row>
    <row r="831" spans="7:54" x14ac:dyDescent="0.15">
      <c r="G831" s="7"/>
      <c r="H831" s="16"/>
      <c r="I831" s="16"/>
      <c r="J831" s="16"/>
      <c r="K831" s="16"/>
      <c r="L831" s="16"/>
      <c r="M831" s="16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24"/>
      <c r="AC831" s="16"/>
      <c r="AD831" s="16"/>
      <c r="AE831" s="16"/>
      <c r="AF831" s="16"/>
      <c r="AG831" s="14"/>
      <c r="AH831" s="14"/>
      <c r="AI831" s="24"/>
      <c r="AJ831" s="24"/>
      <c r="AK831" s="24"/>
      <c r="AL831" s="16"/>
      <c r="AM831" s="16"/>
      <c r="AN831" s="16"/>
      <c r="AO831" s="16"/>
      <c r="AP831" s="16"/>
      <c r="AQ831" s="16"/>
      <c r="AR831" s="16"/>
      <c r="AS831" s="14"/>
      <c r="AT831" s="14"/>
      <c r="AU831" s="14"/>
      <c r="AV831" s="14"/>
      <c r="AW831" s="14"/>
      <c r="AX831" s="14"/>
      <c r="AY831" s="14"/>
      <c r="AZ831" s="14"/>
      <c r="BA831" s="14"/>
      <c r="BB831" s="7"/>
    </row>
    <row r="832" spans="7:54" x14ac:dyDescent="0.15">
      <c r="G832" s="7"/>
      <c r="H832" s="16"/>
      <c r="I832" s="16"/>
      <c r="J832" s="16"/>
      <c r="K832" s="16"/>
      <c r="L832" s="16"/>
      <c r="M832" s="16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24"/>
      <c r="AC832" s="16"/>
      <c r="AD832" s="16"/>
      <c r="AE832" s="16"/>
      <c r="AF832" s="16"/>
      <c r="AG832" s="14"/>
      <c r="AH832" s="14"/>
      <c r="AI832" s="24"/>
      <c r="AJ832" s="24"/>
      <c r="AK832" s="24"/>
      <c r="AL832" s="16"/>
      <c r="AM832" s="16"/>
      <c r="AN832" s="16"/>
      <c r="AO832" s="16"/>
      <c r="AP832" s="16"/>
      <c r="AQ832" s="16"/>
      <c r="AR832" s="16"/>
      <c r="AS832" s="14"/>
      <c r="AT832" s="14"/>
      <c r="AU832" s="14"/>
      <c r="AV832" s="14"/>
      <c r="AW832" s="14"/>
      <c r="AX832" s="14"/>
      <c r="AY832" s="14"/>
      <c r="AZ832" s="14"/>
      <c r="BA832" s="14"/>
      <c r="BB832" s="7"/>
    </row>
    <row r="833" spans="7:54" x14ac:dyDescent="0.15">
      <c r="G833" s="7"/>
      <c r="H833" s="16"/>
      <c r="I833" s="16"/>
      <c r="J833" s="16"/>
      <c r="K833" s="16"/>
      <c r="L833" s="16"/>
      <c r="M833" s="16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24"/>
      <c r="AC833" s="16"/>
      <c r="AD833" s="16"/>
      <c r="AE833" s="16"/>
      <c r="AF833" s="16"/>
      <c r="AG833" s="14"/>
      <c r="AH833" s="14"/>
      <c r="AI833" s="24"/>
      <c r="AJ833" s="24"/>
      <c r="AK833" s="24"/>
      <c r="AL833" s="16"/>
      <c r="AM833" s="16"/>
      <c r="AN833" s="16"/>
      <c r="AO833" s="16"/>
      <c r="AP833" s="16"/>
      <c r="AQ833" s="16"/>
      <c r="AR833" s="16"/>
      <c r="AS833" s="14"/>
      <c r="AT833" s="14"/>
      <c r="AU833" s="14"/>
      <c r="AV833" s="14"/>
      <c r="AW833" s="14"/>
      <c r="AX833" s="14"/>
      <c r="AY833" s="14"/>
      <c r="AZ833" s="14"/>
      <c r="BA833" s="14"/>
      <c r="BB833" s="7"/>
    </row>
    <row r="834" spans="7:54" x14ac:dyDescent="0.15">
      <c r="G834" s="7"/>
      <c r="H834" s="16"/>
      <c r="I834" s="16"/>
      <c r="J834" s="16"/>
      <c r="K834" s="16"/>
      <c r="L834" s="16"/>
      <c r="M834" s="16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24"/>
      <c r="AC834" s="16"/>
      <c r="AD834" s="16"/>
      <c r="AE834" s="16"/>
      <c r="AF834" s="16"/>
      <c r="AG834" s="14"/>
      <c r="AH834" s="14"/>
      <c r="AI834" s="24"/>
      <c r="AJ834" s="24"/>
      <c r="AK834" s="24"/>
      <c r="AL834" s="16"/>
      <c r="AM834" s="16"/>
      <c r="AN834" s="16"/>
      <c r="AO834" s="16"/>
      <c r="AP834" s="16"/>
      <c r="AQ834" s="16"/>
      <c r="AR834" s="16"/>
      <c r="AS834" s="14"/>
      <c r="AT834" s="14"/>
      <c r="AU834" s="14"/>
      <c r="AV834" s="14"/>
      <c r="AW834" s="14"/>
      <c r="AX834" s="14"/>
      <c r="AY834" s="14"/>
      <c r="AZ834" s="14"/>
      <c r="BA834" s="14"/>
      <c r="BB834" s="7"/>
    </row>
    <row r="835" spans="7:54" x14ac:dyDescent="0.15">
      <c r="G835" s="7"/>
      <c r="H835" s="16"/>
      <c r="I835" s="16"/>
      <c r="J835" s="16"/>
      <c r="K835" s="16"/>
      <c r="L835" s="16"/>
      <c r="M835" s="16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24"/>
      <c r="AC835" s="16"/>
      <c r="AD835" s="16"/>
      <c r="AE835" s="16"/>
      <c r="AF835" s="16"/>
      <c r="AG835" s="14"/>
      <c r="AH835" s="14"/>
      <c r="AI835" s="24"/>
      <c r="AJ835" s="24"/>
      <c r="AK835" s="24"/>
      <c r="AL835" s="16"/>
      <c r="AM835" s="16"/>
      <c r="AN835" s="16"/>
      <c r="AO835" s="16"/>
      <c r="AP835" s="16"/>
      <c r="AQ835" s="16"/>
      <c r="AR835" s="16"/>
      <c r="AS835" s="14"/>
      <c r="AT835" s="14"/>
      <c r="AU835" s="14"/>
      <c r="AV835" s="14"/>
      <c r="AW835" s="14"/>
      <c r="AX835" s="14"/>
      <c r="AY835" s="14"/>
      <c r="AZ835" s="14"/>
      <c r="BA835" s="14"/>
      <c r="BB835" s="7"/>
    </row>
    <row r="836" spans="7:54" x14ac:dyDescent="0.15">
      <c r="G836" s="7"/>
      <c r="H836" s="16"/>
      <c r="I836" s="16"/>
      <c r="J836" s="16"/>
      <c r="K836" s="16"/>
      <c r="L836" s="16"/>
      <c r="M836" s="16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24"/>
      <c r="AC836" s="16"/>
      <c r="AD836" s="16"/>
      <c r="AE836" s="16"/>
      <c r="AF836" s="16"/>
      <c r="AG836" s="14"/>
      <c r="AH836" s="14"/>
      <c r="AI836" s="24"/>
      <c r="AJ836" s="24"/>
      <c r="AK836" s="24"/>
      <c r="AL836" s="16"/>
      <c r="AM836" s="16"/>
      <c r="AN836" s="16"/>
      <c r="AO836" s="16"/>
      <c r="AP836" s="16"/>
      <c r="AQ836" s="16"/>
      <c r="AR836" s="16"/>
      <c r="AS836" s="14"/>
      <c r="AT836" s="14"/>
      <c r="AU836" s="14"/>
      <c r="AV836" s="14"/>
      <c r="AW836" s="14"/>
      <c r="AX836" s="14"/>
      <c r="AY836" s="14"/>
      <c r="AZ836" s="14"/>
      <c r="BA836" s="14"/>
      <c r="BB836" s="7"/>
    </row>
    <row r="837" spans="7:54" x14ac:dyDescent="0.15">
      <c r="G837" s="7"/>
      <c r="H837" s="16"/>
      <c r="I837" s="16"/>
      <c r="J837" s="16"/>
      <c r="K837" s="16"/>
      <c r="L837" s="16"/>
      <c r="M837" s="16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24"/>
      <c r="AC837" s="16"/>
      <c r="AD837" s="16"/>
      <c r="AE837" s="16"/>
      <c r="AF837" s="16"/>
      <c r="AG837" s="14"/>
      <c r="AH837" s="14"/>
      <c r="AI837" s="24"/>
      <c r="AJ837" s="24"/>
      <c r="AK837" s="24"/>
      <c r="AL837" s="16"/>
      <c r="AM837" s="16"/>
      <c r="AN837" s="16"/>
      <c r="AO837" s="16"/>
      <c r="AP837" s="16"/>
      <c r="AQ837" s="16"/>
      <c r="AR837" s="16"/>
      <c r="AS837" s="14"/>
      <c r="AT837" s="14"/>
      <c r="AU837" s="14"/>
      <c r="AV837" s="14"/>
      <c r="AW837" s="14"/>
      <c r="AX837" s="14"/>
      <c r="AY837" s="14"/>
      <c r="AZ837" s="14"/>
      <c r="BA837" s="14"/>
      <c r="BB837" s="7"/>
    </row>
    <row r="838" spans="7:54" x14ac:dyDescent="0.15">
      <c r="G838" s="7"/>
      <c r="H838" s="16"/>
      <c r="I838" s="16"/>
      <c r="J838" s="16"/>
      <c r="K838" s="16"/>
      <c r="L838" s="16"/>
      <c r="M838" s="16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24"/>
      <c r="AC838" s="16"/>
      <c r="AD838" s="16"/>
      <c r="AE838" s="16"/>
      <c r="AF838" s="16"/>
      <c r="AG838" s="14"/>
      <c r="AH838" s="14"/>
      <c r="AI838" s="24"/>
      <c r="AJ838" s="24"/>
      <c r="AK838" s="24"/>
      <c r="AL838" s="16"/>
      <c r="AM838" s="16"/>
      <c r="AN838" s="16"/>
      <c r="AO838" s="16"/>
      <c r="AP838" s="16"/>
      <c r="AQ838" s="16"/>
      <c r="AR838" s="16"/>
      <c r="AS838" s="14"/>
      <c r="AT838" s="14"/>
      <c r="AU838" s="14"/>
      <c r="AV838" s="14"/>
      <c r="AW838" s="14"/>
      <c r="AX838" s="14"/>
      <c r="AY838" s="14"/>
      <c r="AZ838" s="14"/>
      <c r="BA838" s="14"/>
      <c r="BB838" s="7"/>
    </row>
    <row r="839" spans="7:54" x14ac:dyDescent="0.15">
      <c r="G839" s="7"/>
      <c r="H839" s="16"/>
      <c r="I839" s="16"/>
      <c r="J839" s="16"/>
      <c r="K839" s="16"/>
      <c r="L839" s="16"/>
      <c r="M839" s="16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24"/>
      <c r="AC839" s="16"/>
      <c r="AD839" s="16"/>
      <c r="AE839" s="16"/>
      <c r="AF839" s="16"/>
      <c r="AG839" s="14"/>
      <c r="AH839" s="14"/>
      <c r="AI839" s="24"/>
      <c r="AJ839" s="24"/>
      <c r="AK839" s="24"/>
      <c r="AL839" s="16"/>
      <c r="AM839" s="16"/>
      <c r="AN839" s="16"/>
      <c r="AO839" s="16"/>
      <c r="AP839" s="16"/>
      <c r="AQ839" s="16"/>
      <c r="AR839" s="16"/>
      <c r="AS839" s="14"/>
      <c r="AT839" s="14"/>
      <c r="AU839" s="14"/>
      <c r="AV839" s="14"/>
      <c r="AW839" s="14"/>
      <c r="AX839" s="14"/>
      <c r="AY839" s="14"/>
      <c r="AZ839" s="14"/>
      <c r="BA839" s="14"/>
      <c r="BB839" s="7"/>
    </row>
    <row r="840" spans="7:54" x14ac:dyDescent="0.15">
      <c r="G840" s="7"/>
      <c r="H840" s="16"/>
      <c r="I840" s="16"/>
      <c r="J840" s="16"/>
      <c r="K840" s="16"/>
      <c r="L840" s="16"/>
      <c r="M840" s="16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24"/>
      <c r="AC840" s="16"/>
      <c r="AD840" s="16"/>
      <c r="AE840" s="16"/>
      <c r="AF840" s="16"/>
      <c r="AG840" s="14"/>
      <c r="AH840" s="14"/>
      <c r="AI840" s="24"/>
      <c r="AJ840" s="24"/>
      <c r="AK840" s="24"/>
      <c r="AL840" s="16"/>
      <c r="AM840" s="16"/>
      <c r="AN840" s="16"/>
      <c r="AO840" s="16"/>
      <c r="AP840" s="16"/>
      <c r="AQ840" s="16"/>
      <c r="AR840" s="16"/>
      <c r="AS840" s="14"/>
      <c r="AT840" s="14"/>
      <c r="AU840" s="14"/>
      <c r="AV840" s="14"/>
      <c r="AW840" s="14"/>
      <c r="AX840" s="14"/>
      <c r="AY840" s="14"/>
      <c r="AZ840" s="14"/>
      <c r="BA840" s="14"/>
      <c r="BB840" s="7"/>
    </row>
    <row r="841" spans="7:54" x14ac:dyDescent="0.15">
      <c r="G841" s="7"/>
      <c r="H841" s="16"/>
      <c r="I841" s="16"/>
      <c r="J841" s="16"/>
      <c r="K841" s="16"/>
      <c r="L841" s="16"/>
      <c r="M841" s="16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24"/>
      <c r="AC841" s="16"/>
      <c r="AD841" s="16"/>
      <c r="AE841" s="16"/>
      <c r="AF841" s="16"/>
      <c r="AG841" s="14"/>
      <c r="AH841" s="14"/>
      <c r="AI841" s="24"/>
      <c r="AJ841" s="24"/>
      <c r="AK841" s="24"/>
      <c r="AL841" s="16"/>
      <c r="AM841" s="16"/>
      <c r="AN841" s="16"/>
      <c r="AO841" s="16"/>
      <c r="AP841" s="16"/>
      <c r="AQ841" s="16"/>
      <c r="AR841" s="16"/>
      <c r="AS841" s="14"/>
      <c r="AT841" s="14"/>
      <c r="AU841" s="14"/>
      <c r="AV841" s="14"/>
      <c r="AW841" s="14"/>
      <c r="AX841" s="14"/>
      <c r="AY841" s="14"/>
      <c r="AZ841" s="14"/>
      <c r="BA841" s="14"/>
      <c r="BB841" s="7"/>
    </row>
    <row r="842" spans="7:54" x14ac:dyDescent="0.15">
      <c r="G842" s="7"/>
      <c r="H842" s="16"/>
      <c r="I842" s="16"/>
      <c r="J842" s="16"/>
      <c r="K842" s="16"/>
      <c r="L842" s="16"/>
      <c r="M842" s="16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24"/>
      <c r="AC842" s="16"/>
      <c r="AD842" s="16"/>
      <c r="AE842" s="16"/>
      <c r="AF842" s="16"/>
      <c r="AG842" s="14"/>
      <c r="AH842" s="14"/>
      <c r="AI842" s="24"/>
      <c r="AJ842" s="24"/>
      <c r="AK842" s="24"/>
      <c r="AL842" s="16"/>
      <c r="AM842" s="16"/>
      <c r="AN842" s="16"/>
      <c r="AO842" s="16"/>
      <c r="AP842" s="16"/>
      <c r="AQ842" s="16"/>
      <c r="AR842" s="16"/>
      <c r="AS842" s="14"/>
      <c r="AT842" s="14"/>
      <c r="AU842" s="14"/>
      <c r="AV842" s="14"/>
      <c r="AW842" s="14"/>
      <c r="AX842" s="14"/>
      <c r="AY842" s="14"/>
      <c r="AZ842" s="14"/>
      <c r="BA842" s="14"/>
      <c r="BB842" s="7"/>
    </row>
    <row r="843" spans="7:54" x14ac:dyDescent="0.15">
      <c r="G843" s="7"/>
      <c r="H843" s="16"/>
      <c r="I843" s="16"/>
      <c r="J843" s="16"/>
      <c r="K843" s="16"/>
      <c r="L843" s="16"/>
      <c r="M843" s="16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24"/>
      <c r="AC843" s="16"/>
      <c r="AD843" s="16"/>
      <c r="AE843" s="16"/>
      <c r="AF843" s="16"/>
      <c r="AG843" s="14"/>
      <c r="AH843" s="14"/>
      <c r="AI843" s="24"/>
      <c r="AJ843" s="24"/>
      <c r="AK843" s="24"/>
      <c r="AL843" s="16"/>
      <c r="AM843" s="16"/>
      <c r="AN843" s="16"/>
      <c r="AO843" s="16"/>
      <c r="AP843" s="16"/>
      <c r="AQ843" s="16"/>
      <c r="AR843" s="16"/>
      <c r="AS843" s="14"/>
      <c r="AT843" s="14"/>
      <c r="AU843" s="14"/>
      <c r="AV843" s="14"/>
      <c r="AW843" s="14"/>
      <c r="AX843" s="14"/>
      <c r="AY843" s="14"/>
      <c r="AZ843" s="14"/>
      <c r="BA843" s="14"/>
      <c r="BB843" s="7"/>
    </row>
    <row r="844" spans="7:54" x14ac:dyDescent="0.15">
      <c r="G844" s="7"/>
      <c r="H844" s="16"/>
      <c r="I844" s="16"/>
      <c r="J844" s="16"/>
      <c r="K844" s="16"/>
      <c r="L844" s="16"/>
      <c r="M844" s="16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24"/>
      <c r="AC844" s="16"/>
      <c r="AD844" s="16"/>
      <c r="AE844" s="16"/>
      <c r="AF844" s="16"/>
      <c r="AG844" s="14"/>
      <c r="AH844" s="14"/>
      <c r="AI844" s="24"/>
      <c r="AJ844" s="24"/>
      <c r="AK844" s="24"/>
      <c r="AL844" s="16"/>
      <c r="AM844" s="16"/>
      <c r="AN844" s="16"/>
      <c r="AO844" s="16"/>
      <c r="AP844" s="16"/>
      <c r="AQ844" s="16"/>
      <c r="AR844" s="16"/>
      <c r="AS844" s="14"/>
      <c r="AT844" s="14"/>
      <c r="AU844" s="14"/>
      <c r="AV844" s="14"/>
      <c r="AW844" s="14"/>
      <c r="AX844" s="14"/>
      <c r="AY844" s="14"/>
      <c r="AZ844" s="14"/>
      <c r="BA844" s="14"/>
      <c r="BB844" s="7"/>
    </row>
    <row r="845" spans="7:54" x14ac:dyDescent="0.15">
      <c r="G845" s="7"/>
      <c r="H845" s="16"/>
      <c r="I845" s="16"/>
      <c r="J845" s="16"/>
      <c r="K845" s="16"/>
      <c r="L845" s="16"/>
      <c r="M845" s="16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24"/>
      <c r="AC845" s="16"/>
      <c r="AD845" s="16"/>
      <c r="AE845" s="16"/>
      <c r="AF845" s="16"/>
      <c r="AG845" s="14"/>
      <c r="AH845" s="14"/>
      <c r="AI845" s="24"/>
      <c r="AJ845" s="24"/>
      <c r="AK845" s="24"/>
      <c r="AL845" s="16"/>
      <c r="AM845" s="16"/>
      <c r="AN845" s="16"/>
      <c r="AO845" s="16"/>
      <c r="AP845" s="16"/>
      <c r="AQ845" s="16"/>
      <c r="AR845" s="16"/>
      <c r="AS845" s="14"/>
      <c r="AT845" s="14"/>
      <c r="AU845" s="14"/>
      <c r="AV845" s="14"/>
      <c r="AW845" s="14"/>
      <c r="AX845" s="14"/>
      <c r="AY845" s="14"/>
      <c r="AZ845" s="14"/>
      <c r="BA845" s="14"/>
      <c r="BB845" s="7"/>
    </row>
    <row r="846" spans="7:54" x14ac:dyDescent="0.15">
      <c r="G846" s="7"/>
      <c r="H846" s="16"/>
      <c r="I846" s="16"/>
      <c r="J846" s="16"/>
      <c r="K846" s="16"/>
      <c r="L846" s="16"/>
      <c r="M846" s="16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24"/>
      <c r="AC846" s="16"/>
      <c r="AD846" s="16"/>
      <c r="AE846" s="16"/>
      <c r="AF846" s="16"/>
      <c r="AG846" s="14"/>
      <c r="AH846" s="14"/>
      <c r="AI846" s="24"/>
      <c r="AJ846" s="24"/>
      <c r="AK846" s="24"/>
      <c r="AL846" s="16"/>
      <c r="AM846" s="16"/>
      <c r="AN846" s="16"/>
      <c r="AO846" s="16"/>
      <c r="AP846" s="16"/>
      <c r="AQ846" s="16"/>
      <c r="AR846" s="16"/>
      <c r="AS846" s="14"/>
      <c r="AT846" s="14"/>
      <c r="AU846" s="14"/>
      <c r="AV846" s="14"/>
      <c r="AW846" s="14"/>
      <c r="AX846" s="14"/>
      <c r="AY846" s="14"/>
      <c r="AZ846" s="14"/>
      <c r="BA846" s="14"/>
      <c r="BB846" s="7"/>
    </row>
    <row r="847" spans="7:54" x14ac:dyDescent="0.15">
      <c r="G847" s="7"/>
      <c r="H847" s="16"/>
      <c r="I847" s="16"/>
      <c r="J847" s="16"/>
      <c r="K847" s="16"/>
      <c r="L847" s="16"/>
      <c r="M847" s="16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24"/>
      <c r="AC847" s="16"/>
      <c r="AD847" s="16"/>
      <c r="AE847" s="16"/>
      <c r="AF847" s="16"/>
      <c r="AG847" s="14"/>
      <c r="AH847" s="14"/>
      <c r="AI847" s="24"/>
      <c r="AJ847" s="24"/>
      <c r="AK847" s="24"/>
      <c r="AL847" s="16"/>
      <c r="AM847" s="16"/>
      <c r="AN847" s="16"/>
      <c r="AO847" s="16"/>
      <c r="AP847" s="16"/>
      <c r="AQ847" s="16"/>
      <c r="AR847" s="16"/>
      <c r="AS847" s="14"/>
      <c r="AT847" s="14"/>
      <c r="AU847" s="14"/>
      <c r="AV847" s="14"/>
      <c r="AW847" s="14"/>
      <c r="AX847" s="14"/>
      <c r="AY847" s="14"/>
      <c r="AZ847" s="14"/>
      <c r="BA847" s="14"/>
      <c r="BB847" s="7"/>
    </row>
    <row r="848" spans="7:54" x14ac:dyDescent="0.15">
      <c r="G848" s="7"/>
      <c r="H848" s="16"/>
      <c r="I848" s="16"/>
      <c r="J848" s="16"/>
      <c r="K848" s="16"/>
      <c r="L848" s="16"/>
      <c r="M848" s="16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24"/>
      <c r="AC848" s="16"/>
      <c r="AD848" s="16"/>
      <c r="AE848" s="16"/>
      <c r="AF848" s="16"/>
      <c r="AG848" s="14"/>
      <c r="AH848" s="14"/>
      <c r="AI848" s="24"/>
      <c r="AJ848" s="24"/>
      <c r="AK848" s="24"/>
      <c r="AL848" s="16"/>
      <c r="AM848" s="16"/>
      <c r="AN848" s="16"/>
      <c r="AO848" s="16"/>
      <c r="AP848" s="16"/>
      <c r="AQ848" s="16"/>
      <c r="AR848" s="16"/>
      <c r="AS848" s="14"/>
      <c r="AT848" s="14"/>
      <c r="AU848" s="14"/>
      <c r="AV848" s="14"/>
      <c r="AW848" s="14"/>
      <c r="AX848" s="14"/>
      <c r="AY848" s="14"/>
      <c r="AZ848" s="14"/>
      <c r="BA848" s="14"/>
      <c r="BB848" s="7"/>
    </row>
    <row r="849" spans="7:54" x14ac:dyDescent="0.15">
      <c r="G849" s="7"/>
      <c r="H849" s="16"/>
      <c r="I849" s="16"/>
      <c r="J849" s="16"/>
      <c r="K849" s="16"/>
      <c r="L849" s="16"/>
      <c r="M849" s="16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24"/>
      <c r="AC849" s="16"/>
      <c r="AD849" s="16"/>
      <c r="AE849" s="16"/>
      <c r="AF849" s="16"/>
      <c r="AG849" s="14"/>
      <c r="AH849" s="14"/>
      <c r="AI849" s="24"/>
      <c r="AJ849" s="24"/>
      <c r="AK849" s="24"/>
      <c r="AL849" s="16"/>
      <c r="AM849" s="16"/>
      <c r="AN849" s="16"/>
      <c r="AO849" s="16"/>
      <c r="AP849" s="16"/>
      <c r="AQ849" s="16"/>
      <c r="AR849" s="16"/>
      <c r="AS849" s="14"/>
      <c r="AT849" s="14"/>
      <c r="AU849" s="14"/>
      <c r="AV849" s="14"/>
      <c r="AW849" s="14"/>
      <c r="AX849" s="14"/>
      <c r="AY849" s="14"/>
      <c r="AZ849" s="14"/>
      <c r="BA849" s="14"/>
      <c r="BB849" s="7"/>
    </row>
    <row r="850" spans="7:54" x14ac:dyDescent="0.15">
      <c r="G850" s="7"/>
      <c r="H850" s="16"/>
      <c r="I850" s="16"/>
      <c r="J850" s="16"/>
      <c r="K850" s="16"/>
      <c r="L850" s="16"/>
      <c r="M850" s="16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24"/>
      <c r="AC850" s="16"/>
      <c r="AD850" s="16"/>
      <c r="AE850" s="16"/>
      <c r="AF850" s="16"/>
      <c r="AG850" s="14"/>
      <c r="AH850" s="14"/>
      <c r="AI850" s="24"/>
      <c r="AJ850" s="24"/>
      <c r="AK850" s="24"/>
      <c r="AL850" s="16"/>
      <c r="AM850" s="16"/>
      <c r="AN850" s="16"/>
      <c r="AO850" s="16"/>
      <c r="AP850" s="16"/>
      <c r="AQ850" s="16"/>
      <c r="AR850" s="16"/>
      <c r="AS850" s="14"/>
      <c r="AT850" s="14"/>
      <c r="AU850" s="14"/>
      <c r="AV850" s="14"/>
      <c r="AW850" s="14"/>
      <c r="AX850" s="14"/>
      <c r="AY850" s="14"/>
      <c r="AZ850" s="14"/>
      <c r="BA850" s="14"/>
      <c r="BB850" s="7"/>
    </row>
    <row r="851" spans="7:54" x14ac:dyDescent="0.15">
      <c r="G851" s="7"/>
      <c r="H851" s="16"/>
      <c r="I851" s="16"/>
      <c r="J851" s="16"/>
      <c r="K851" s="16"/>
      <c r="L851" s="16"/>
      <c r="M851" s="16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24"/>
      <c r="AC851" s="16"/>
      <c r="AD851" s="16"/>
      <c r="AE851" s="16"/>
      <c r="AF851" s="16"/>
      <c r="AG851" s="14"/>
      <c r="AH851" s="14"/>
      <c r="AI851" s="24"/>
      <c r="AJ851" s="24"/>
      <c r="AK851" s="24"/>
      <c r="AL851" s="16"/>
      <c r="AM851" s="16"/>
      <c r="AN851" s="16"/>
      <c r="AO851" s="16"/>
      <c r="AP851" s="16"/>
      <c r="AQ851" s="16"/>
      <c r="AR851" s="16"/>
      <c r="AS851" s="14"/>
      <c r="AT851" s="14"/>
      <c r="AU851" s="14"/>
      <c r="AV851" s="14"/>
      <c r="AW851" s="14"/>
      <c r="AX851" s="14"/>
      <c r="AY851" s="14"/>
      <c r="AZ851" s="14"/>
      <c r="BA851" s="14"/>
      <c r="BB851" s="7"/>
    </row>
    <row r="852" spans="7:54" x14ac:dyDescent="0.15">
      <c r="G852" s="7"/>
      <c r="H852" s="16"/>
      <c r="I852" s="16"/>
      <c r="J852" s="16"/>
      <c r="K852" s="16"/>
      <c r="L852" s="16"/>
      <c r="M852" s="16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24"/>
      <c r="AC852" s="16"/>
      <c r="AD852" s="16"/>
      <c r="AE852" s="16"/>
      <c r="AF852" s="16"/>
      <c r="AG852" s="14"/>
      <c r="AH852" s="14"/>
      <c r="AI852" s="24"/>
      <c r="AJ852" s="24"/>
      <c r="AK852" s="24"/>
      <c r="AL852" s="16"/>
      <c r="AM852" s="16"/>
      <c r="AN852" s="16"/>
      <c r="AO852" s="16"/>
      <c r="AP852" s="16"/>
      <c r="AQ852" s="16"/>
      <c r="AR852" s="16"/>
      <c r="AS852" s="14"/>
      <c r="AT852" s="14"/>
      <c r="AU852" s="14"/>
      <c r="AV852" s="14"/>
      <c r="AW852" s="14"/>
      <c r="AX852" s="14"/>
      <c r="AY852" s="14"/>
      <c r="AZ852" s="14"/>
      <c r="BA852" s="14"/>
      <c r="BB852" s="7"/>
    </row>
    <row r="853" spans="7:54" x14ac:dyDescent="0.15">
      <c r="G853" s="7"/>
      <c r="H853" s="16"/>
      <c r="I853" s="16"/>
      <c r="J853" s="16"/>
      <c r="K853" s="16"/>
      <c r="L853" s="16"/>
      <c r="M853" s="16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24"/>
      <c r="AC853" s="16"/>
      <c r="AD853" s="16"/>
      <c r="AE853" s="16"/>
      <c r="AF853" s="16"/>
      <c r="AG853" s="14"/>
      <c r="AH853" s="14"/>
      <c r="AI853" s="24"/>
      <c r="AJ853" s="24"/>
      <c r="AK853" s="24"/>
      <c r="AL853" s="16"/>
      <c r="AM853" s="16"/>
      <c r="AN853" s="16"/>
      <c r="AO853" s="16"/>
      <c r="AP853" s="16"/>
      <c r="AQ853" s="16"/>
      <c r="AR853" s="16"/>
      <c r="AS853" s="14"/>
      <c r="AT853" s="14"/>
      <c r="AU853" s="14"/>
      <c r="AV853" s="14"/>
      <c r="AW853" s="14"/>
      <c r="AX853" s="14"/>
      <c r="AY853" s="14"/>
      <c r="AZ853" s="14"/>
      <c r="BA853" s="14"/>
      <c r="BB853" s="7"/>
    </row>
    <row r="854" spans="7:54" x14ac:dyDescent="0.15">
      <c r="G854" s="7"/>
      <c r="H854" s="16"/>
      <c r="I854" s="16"/>
      <c r="J854" s="16"/>
      <c r="K854" s="16"/>
      <c r="L854" s="16"/>
      <c r="M854" s="16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24"/>
      <c r="AC854" s="16"/>
      <c r="AD854" s="16"/>
      <c r="AE854" s="16"/>
      <c r="AF854" s="16"/>
      <c r="AG854" s="14"/>
      <c r="AH854" s="14"/>
      <c r="AI854" s="24"/>
      <c r="AJ854" s="24"/>
      <c r="AK854" s="24"/>
      <c r="AL854" s="16"/>
      <c r="AM854" s="16"/>
      <c r="AN854" s="16"/>
      <c r="AO854" s="16"/>
      <c r="AP854" s="16"/>
      <c r="AQ854" s="16"/>
      <c r="AR854" s="16"/>
      <c r="AS854" s="14"/>
      <c r="AT854" s="14"/>
      <c r="AU854" s="14"/>
      <c r="AV854" s="14"/>
      <c r="AW854" s="14"/>
      <c r="AX854" s="14"/>
      <c r="AY854" s="14"/>
      <c r="AZ854" s="14"/>
      <c r="BA854" s="14"/>
      <c r="BB854" s="7"/>
    </row>
    <row r="855" spans="7:54" x14ac:dyDescent="0.15">
      <c r="G855" s="7"/>
      <c r="H855" s="16"/>
      <c r="I855" s="16"/>
      <c r="J855" s="16"/>
      <c r="K855" s="16"/>
      <c r="L855" s="16"/>
      <c r="M855" s="16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24"/>
      <c r="AC855" s="16"/>
      <c r="AD855" s="16"/>
      <c r="AE855" s="16"/>
      <c r="AF855" s="16"/>
      <c r="AG855" s="14"/>
      <c r="AH855" s="14"/>
      <c r="AI855" s="24"/>
      <c r="AJ855" s="24"/>
      <c r="AK855" s="24"/>
      <c r="AL855" s="16"/>
      <c r="AM855" s="16"/>
      <c r="AN855" s="16"/>
      <c r="AO855" s="16"/>
      <c r="AP855" s="16"/>
      <c r="AQ855" s="16"/>
      <c r="AR855" s="16"/>
      <c r="AS855" s="14"/>
      <c r="AT855" s="14"/>
      <c r="AU855" s="14"/>
      <c r="AV855" s="14"/>
      <c r="AW855" s="14"/>
      <c r="AX855" s="14"/>
      <c r="AY855" s="14"/>
      <c r="AZ855" s="14"/>
      <c r="BA855" s="14"/>
      <c r="BB855" s="7"/>
    </row>
    <row r="856" spans="7:54" x14ac:dyDescent="0.15">
      <c r="G856" s="7"/>
      <c r="H856" s="16"/>
      <c r="I856" s="16"/>
      <c r="J856" s="16"/>
      <c r="K856" s="16"/>
      <c r="L856" s="16"/>
      <c r="M856" s="16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24"/>
      <c r="AC856" s="16"/>
      <c r="AD856" s="16"/>
      <c r="AE856" s="16"/>
      <c r="AF856" s="16"/>
      <c r="AG856" s="14"/>
      <c r="AH856" s="14"/>
      <c r="AI856" s="24"/>
      <c r="AJ856" s="24"/>
      <c r="AK856" s="24"/>
      <c r="AL856" s="16"/>
      <c r="AM856" s="16"/>
      <c r="AN856" s="16"/>
      <c r="AO856" s="16"/>
      <c r="AP856" s="16"/>
      <c r="AQ856" s="16"/>
      <c r="AR856" s="16"/>
      <c r="AS856" s="14"/>
      <c r="AT856" s="14"/>
      <c r="AU856" s="14"/>
      <c r="AV856" s="14"/>
      <c r="AW856" s="14"/>
      <c r="AX856" s="14"/>
      <c r="AY856" s="14"/>
      <c r="AZ856" s="14"/>
      <c r="BA856" s="14"/>
      <c r="BB856" s="7"/>
    </row>
    <row r="857" spans="7:54" x14ac:dyDescent="0.15">
      <c r="G857" s="7"/>
      <c r="H857" s="16"/>
      <c r="I857" s="16"/>
      <c r="J857" s="16"/>
      <c r="K857" s="16"/>
      <c r="L857" s="16"/>
      <c r="M857" s="16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24"/>
      <c r="AC857" s="16"/>
      <c r="AD857" s="16"/>
      <c r="AE857" s="16"/>
      <c r="AF857" s="16"/>
      <c r="AG857" s="14"/>
      <c r="AH857" s="14"/>
      <c r="AI857" s="24"/>
      <c r="AJ857" s="24"/>
      <c r="AK857" s="24"/>
      <c r="AL857" s="16"/>
      <c r="AM857" s="16"/>
      <c r="AN857" s="16"/>
      <c r="AO857" s="16"/>
      <c r="AP857" s="16"/>
      <c r="AQ857" s="16"/>
      <c r="AR857" s="16"/>
      <c r="AS857" s="14"/>
      <c r="AT857" s="14"/>
      <c r="AU857" s="14"/>
      <c r="AV857" s="14"/>
      <c r="AW857" s="14"/>
      <c r="AX857" s="14"/>
      <c r="AY857" s="14"/>
      <c r="AZ857" s="14"/>
      <c r="BA857" s="14"/>
      <c r="BB857" s="7"/>
    </row>
    <row r="858" spans="7:54" x14ac:dyDescent="0.15">
      <c r="G858" s="7"/>
      <c r="H858" s="16"/>
      <c r="I858" s="16"/>
      <c r="J858" s="16"/>
      <c r="K858" s="16"/>
      <c r="L858" s="16"/>
      <c r="M858" s="16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24"/>
      <c r="AC858" s="16"/>
      <c r="AD858" s="16"/>
      <c r="AE858" s="16"/>
      <c r="AF858" s="16"/>
      <c r="AG858" s="14"/>
      <c r="AH858" s="14"/>
      <c r="AI858" s="24"/>
      <c r="AJ858" s="24"/>
      <c r="AK858" s="24"/>
      <c r="AL858" s="16"/>
      <c r="AM858" s="16"/>
      <c r="AN858" s="16"/>
      <c r="AO858" s="16"/>
      <c r="AP858" s="16"/>
      <c r="AQ858" s="16"/>
      <c r="AR858" s="16"/>
      <c r="AS858" s="14"/>
      <c r="AT858" s="14"/>
      <c r="AU858" s="14"/>
      <c r="AV858" s="14"/>
      <c r="AW858" s="14"/>
      <c r="AX858" s="14"/>
      <c r="AY858" s="14"/>
      <c r="AZ858" s="14"/>
      <c r="BA858" s="14"/>
      <c r="BB858" s="7"/>
    </row>
    <row r="859" spans="7:54" x14ac:dyDescent="0.15">
      <c r="G859" s="7"/>
      <c r="H859" s="16"/>
      <c r="I859" s="16"/>
      <c r="J859" s="16"/>
      <c r="K859" s="16"/>
      <c r="L859" s="16"/>
      <c r="M859" s="16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24"/>
      <c r="AC859" s="16"/>
      <c r="AD859" s="16"/>
      <c r="AE859" s="16"/>
      <c r="AF859" s="16"/>
      <c r="AG859" s="14"/>
      <c r="AH859" s="14"/>
      <c r="AI859" s="24"/>
      <c r="AJ859" s="24"/>
      <c r="AK859" s="24"/>
      <c r="AL859" s="16"/>
      <c r="AM859" s="16"/>
      <c r="AN859" s="16"/>
      <c r="AO859" s="16"/>
      <c r="AP859" s="16"/>
      <c r="AQ859" s="16"/>
      <c r="AR859" s="16"/>
      <c r="AS859" s="14"/>
      <c r="AT859" s="14"/>
      <c r="AU859" s="14"/>
      <c r="AV859" s="14"/>
      <c r="AW859" s="14"/>
      <c r="AX859" s="14"/>
      <c r="AY859" s="14"/>
      <c r="AZ859" s="14"/>
      <c r="BA859" s="14"/>
      <c r="BB859" s="7"/>
    </row>
    <row r="860" spans="7:54" x14ac:dyDescent="0.15">
      <c r="G860" s="7"/>
      <c r="H860" s="16"/>
      <c r="I860" s="16"/>
      <c r="J860" s="16"/>
      <c r="K860" s="16"/>
      <c r="L860" s="16"/>
      <c r="M860" s="16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24"/>
      <c r="AC860" s="16"/>
      <c r="AD860" s="16"/>
      <c r="AE860" s="16"/>
      <c r="AF860" s="16"/>
      <c r="AG860" s="14"/>
      <c r="AH860" s="14"/>
      <c r="AI860" s="24"/>
      <c r="AJ860" s="24"/>
      <c r="AK860" s="24"/>
      <c r="AL860" s="16"/>
      <c r="AM860" s="16"/>
      <c r="AN860" s="16"/>
      <c r="AO860" s="16"/>
      <c r="AP860" s="16"/>
      <c r="AQ860" s="16"/>
      <c r="AR860" s="16"/>
      <c r="AS860" s="14"/>
      <c r="AT860" s="14"/>
      <c r="AU860" s="14"/>
      <c r="AV860" s="14"/>
      <c r="AW860" s="14"/>
      <c r="AX860" s="14"/>
      <c r="AY860" s="14"/>
      <c r="AZ860" s="14"/>
      <c r="BA860" s="14"/>
      <c r="BB860" s="7"/>
    </row>
    <row r="861" spans="7:54" x14ac:dyDescent="0.15">
      <c r="G861" s="7"/>
      <c r="H861" s="16"/>
      <c r="I861" s="16"/>
      <c r="J861" s="16"/>
      <c r="K861" s="16"/>
      <c r="L861" s="16"/>
      <c r="M861" s="16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24"/>
      <c r="AC861" s="16"/>
      <c r="AD861" s="16"/>
      <c r="AE861" s="16"/>
      <c r="AF861" s="16"/>
      <c r="AG861" s="14"/>
      <c r="AH861" s="14"/>
      <c r="AI861" s="24"/>
      <c r="AJ861" s="24"/>
      <c r="AK861" s="24"/>
      <c r="AL861" s="16"/>
      <c r="AM861" s="16"/>
      <c r="AN861" s="16"/>
      <c r="AO861" s="16"/>
      <c r="AP861" s="16"/>
      <c r="AQ861" s="16"/>
      <c r="AR861" s="16"/>
      <c r="AS861" s="14"/>
      <c r="AT861" s="14"/>
      <c r="AU861" s="14"/>
      <c r="AV861" s="14"/>
      <c r="AW861" s="14"/>
      <c r="AX861" s="14"/>
      <c r="AY861" s="14"/>
      <c r="AZ861" s="14"/>
      <c r="BA861" s="14"/>
      <c r="BB861" s="7"/>
    </row>
    <row r="862" spans="7:54" x14ac:dyDescent="0.15">
      <c r="G862" s="7"/>
      <c r="H862" s="16"/>
      <c r="I862" s="16"/>
      <c r="J862" s="16"/>
      <c r="K862" s="16"/>
      <c r="L862" s="16"/>
      <c r="M862" s="16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24"/>
      <c r="AC862" s="16"/>
      <c r="AD862" s="16"/>
      <c r="AE862" s="16"/>
      <c r="AF862" s="16"/>
      <c r="AG862" s="14"/>
      <c r="AH862" s="14"/>
      <c r="AI862" s="24"/>
      <c r="AJ862" s="24"/>
      <c r="AK862" s="24"/>
      <c r="AL862" s="16"/>
      <c r="AM862" s="16"/>
      <c r="AN862" s="16"/>
      <c r="AO862" s="16"/>
      <c r="AP862" s="16"/>
      <c r="AQ862" s="16"/>
      <c r="AR862" s="16"/>
      <c r="AS862" s="14"/>
      <c r="AT862" s="14"/>
      <c r="AU862" s="14"/>
      <c r="AV862" s="14"/>
      <c r="AW862" s="14"/>
      <c r="AX862" s="14"/>
      <c r="AY862" s="14"/>
      <c r="AZ862" s="14"/>
      <c r="BA862" s="14"/>
      <c r="BB862" s="7"/>
    </row>
    <row r="863" spans="7:54" x14ac:dyDescent="0.15">
      <c r="G863" s="7"/>
      <c r="H863" s="16"/>
      <c r="I863" s="16"/>
      <c r="J863" s="16"/>
      <c r="K863" s="16"/>
      <c r="L863" s="16"/>
      <c r="M863" s="16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24"/>
      <c r="AC863" s="16"/>
      <c r="AD863" s="16"/>
      <c r="AE863" s="16"/>
      <c r="AF863" s="16"/>
      <c r="AG863" s="14"/>
      <c r="AH863" s="14"/>
      <c r="AI863" s="24"/>
      <c r="AJ863" s="24"/>
      <c r="AK863" s="24"/>
      <c r="AL863" s="16"/>
      <c r="AM863" s="16"/>
      <c r="AN863" s="16"/>
      <c r="AO863" s="16"/>
      <c r="AP863" s="16"/>
      <c r="AQ863" s="16"/>
      <c r="AR863" s="16"/>
      <c r="AS863" s="14"/>
      <c r="AT863" s="14"/>
      <c r="AU863" s="14"/>
      <c r="AV863" s="14"/>
      <c r="AW863" s="14"/>
      <c r="AX863" s="14"/>
      <c r="AY863" s="14"/>
      <c r="AZ863" s="14"/>
      <c r="BA863" s="14"/>
      <c r="BB863" s="7"/>
    </row>
    <row r="864" spans="7:54" x14ac:dyDescent="0.15">
      <c r="G864" s="7"/>
      <c r="H864" s="16"/>
      <c r="I864" s="16"/>
      <c r="J864" s="16"/>
      <c r="K864" s="16"/>
      <c r="L864" s="16"/>
      <c r="M864" s="16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24"/>
      <c r="AC864" s="16"/>
      <c r="AD864" s="16"/>
      <c r="AE864" s="16"/>
      <c r="AF864" s="16"/>
      <c r="AG864" s="14"/>
      <c r="AH864" s="14"/>
      <c r="AI864" s="24"/>
      <c r="AJ864" s="24"/>
      <c r="AK864" s="24"/>
      <c r="AL864" s="16"/>
      <c r="AM864" s="16"/>
      <c r="AN864" s="16"/>
      <c r="AO864" s="16"/>
      <c r="AP864" s="16"/>
      <c r="AQ864" s="16"/>
      <c r="AR864" s="16"/>
      <c r="AS864" s="14"/>
      <c r="AT864" s="14"/>
      <c r="AU864" s="14"/>
      <c r="AV864" s="14"/>
      <c r="AW864" s="14"/>
      <c r="AX864" s="14"/>
      <c r="AY864" s="14"/>
      <c r="AZ864" s="14"/>
      <c r="BA864" s="14"/>
      <c r="BB864" s="7"/>
    </row>
    <row r="865" spans="7:54" x14ac:dyDescent="0.15">
      <c r="G865" s="7"/>
      <c r="H865" s="16"/>
      <c r="I865" s="16"/>
      <c r="J865" s="16"/>
      <c r="K865" s="16"/>
      <c r="L865" s="16"/>
      <c r="M865" s="16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24"/>
      <c r="AC865" s="16"/>
      <c r="AD865" s="16"/>
      <c r="AE865" s="16"/>
      <c r="AF865" s="16"/>
      <c r="AG865" s="14"/>
      <c r="AH865" s="14"/>
      <c r="AI865" s="24"/>
      <c r="AJ865" s="24"/>
      <c r="AK865" s="24"/>
      <c r="AL865" s="16"/>
      <c r="AM865" s="16"/>
      <c r="AN865" s="16"/>
      <c r="AO865" s="16"/>
      <c r="AP865" s="16"/>
      <c r="AQ865" s="16"/>
      <c r="AR865" s="16"/>
      <c r="AS865" s="14"/>
      <c r="AT865" s="14"/>
      <c r="AU865" s="14"/>
      <c r="AV865" s="14"/>
      <c r="AW865" s="14"/>
      <c r="AX865" s="14"/>
      <c r="AY865" s="14"/>
      <c r="AZ865" s="14"/>
      <c r="BA865" s="14"/>
      <c r="BB865" s="7"/>
    </row>
    <row r="866" spans="7:54" x14ac:dyDescent="0.15">
      <c r="G866" s="7"/>
      <c r="H866" s="16"/>
      <c r="I866" s="16"/>
      <c r="J866" s="16"/>
      <c r="K866" s="16"/>
      <c r="L866" s="16"/>
      <c r="M866" s="16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24"/>
      <c r="AC866" s="16"/>
      <c r="AD866" s="16"/>
      <c r="AE866" s="16"/>
      <c r="AF866" s="16"/>
      <c r="AG866" s="14"/>
      <c r="AH866" s="14"/>
      <c r="AI866" s="24"/>
      <c r="AJ866" s="24"/>
      <c r="AK866" s="24"/>
      <c r="AL866" s="16"/>
      <c r="AM866" s="16"/>
      <c r="AN866" s="16"/>
      <c r="AO866" s="16"/>
      <c r="AP866" s="16"/>
      <c r="AQ866" s="16"/>
      <c r="AR866" s="16"/>
      <c r="AS866" s="14"/>
      <c r="AT866" s="14"/>
      <c r="AU866" s="14"/>
      <c r="AV866" s="14"/>
      <c r="AW866" s="14"/>
      <c r="AX866" s="14"/>
      <c r="AY866" s="14"/>
      <c r="AZ866" s="14"/>
      <c r="BA866" s="14"/>
      <c r="BB866" s="7"/>
    </row>
    <row r="867" spans="7:54" x14ac:dyDescent="0.15">
      <c r="G867" s="7"/>
      <c r="H867" s="16"/>
      <c r="I867" s="16"/>
      <c r="J867" s="16"/>
      <c r="K867" s="16"/>
      <c r="L867" s="16"/>
      <c r="M867" s="16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24"/>
      <c r="AC867" s="16"/>
      <c r="AD867" s="16"/>
      <c r="AE867" s="16"/>
      <c r="AF867" s="16"/>
      <c r="AG867" s="14"/>
      <c r="AH867" s="14"/>
      <c r="AI867" s="24"/>
      <c r="AJ867" s="24"/>
      <c r="AK867" s="24"/>
      <c r="AL867" s="16"/>
      <c r="AM867" s="16"/>
      <c r="AN867" s="16"/>
      <c r="AO867" s="16"/>
      <c r="AP867" s="16"/>
      <c r="AQ867" s="16"/>
      <c r="AR867" s="16"/>
      <c r="AS867" s="14"/>
      <c r="AT867" s="14"/>
      <c r="AU867" s="14"/>
      <c r="AV867" s="14"/>
      <c r="AW867" s="14"/>
      <c r="AX867" s="14"/>
      <c r="AY867" s="14"/>
      <c r="AZ867" s="14"/>
      <c r="BA867" s="14"/>
      <c r="BB867" s="7"/>
    </row>
    <row r="868" spans="7:54" x14ac:dyDescent="0.15">
      <c r="G868" s="7"/>
      <c r="H868" s="16"/>
      <c r="I868" s="16"/>
      <c r="J868" s="16"/>
      <c r="K868" s="16"/>
      <c r="L868" s="16"/>
      <c r="M868" s="16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24"/>
      <c r="AC868" s="16"/>
      <c r="AD868" s="16"/>
      <c r="AE868" s="16"/>
      <c r="AF868" s="16"/>
      <c r="AG868" s="14"/>
      <c r="AH868" s="14"/>
      <c r="AI868" s="24"/>
      <c r="AJ868" s="24"/>
      <c r="AK868" s="24"/>
      <c r="AL868" s="16"/>
      <c r="AM868" s="16"/>
      <c r="AN868" s="16"/>
      <c r="AO868" s="16"/>
      <c r="AP868" s="16"/>
      <c r="AQ868" s="16"/>
      <c r="AR868" s="16"/>
      <c r="AS868" s="14"/>
      <c r="AT868" s="14"/>
      <c r="AU868" s="14"/>
      <c r="AV868" s="14"/>
      <c r="AW868" s="14"/>
      <c r="AX868" s="14"/>
      <c r="AY868" s="14"/>
      <c r="AZ868" s="14"/>
      <c r="BA868" s="14"/>
      <c r="BB868" s="7"/>
    </row>
    <row r="869" spans="7:54" x14ac:dyDescent="0.15">
      <c r="G869" s="7"/>
      <c r="H869" s="16"/>
      <c r="I869" s="16"/>
      <c r="J869" s="16"/>
      <c r="K869" s="16"/>
      <c r="L869" s="16"/>
      <c r="M869" s="16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24"/>
      <c r="AC869" s="16"/>
      <c r="AD869" s="16"/>
      <c r="AE869" s="16"/>
      <c r="AF869" s="16"/>
      <c r="AG869" s="14"/>
      <c r="AH869" s="14"/>
      <c r="AI869" s="24"/>
      <c r="AJ869" s="24"/>
      <c r="AK869" s="24"/>
      <c r="AL869" s="16"/>
      <c r="AM869" s="16"/>
      <c r="AN869" s="16"/>
      <c r="AO869" s="16"/>
      <c r="AP869" s="16"/>
      <c r="AQ869" s="16"/>
      <c r="AR869" s="16"/>
      <c r="AS869" s="14"/>
      <c r="AT869" s="14"/>
      <c r="AU869" s="14"/>
      <c r="AV869" s="14"/>
      <c r="AW869" s="14"/>
      <c r="AX869" s="14"/>
      <c r="AY869" s="14"/>
      <c r="AZ869" s="14"/>
      <c r="BA869" s="14"/>
      <c r="BB869" s="7"/>
    </row>
    <row r="870" spans="7:54" x14ac:dyDescent="0.15">
      <c r="G870" s="7"/>
      <c r="H870" s="16"/>
      <c r="I870" s="16"/>
      <c r="J870" s="16"/>
      <c r="K870" s="16"/>
      <c r="L870" s="16"/>
      <c r="M870" s="16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24"/>
      <c r="AC870" s="16"/>
      <c r="AD870" s="16"/>
      <c r="AE870" s="16"/>
      <c r="AF870" s="16"/>
      <c r="AG870" s="14"/>
      <c r="AH870" s="14"/>
      <c r="AI870" s="24"/>
      <c r="AJ870" s="24"/>
      <c r="AK870" s="24"/>
      <c r="AL870" s="16"/>
      <c r="AM870" s="16"/>
      <c r="AN870" s="16"/>
      <c r="AO870" s="16"/>
      <c r="AP870" s="16"/>
      <c r="AQ870" s="16"/>
      <c r="AR870" s="16"/>
      <c r="AS870" s="14"/>
      <c r="AT870" s="14"/>
      <c r="AU870" s="14"/>
      <c r="AV870" s="14"/>
      <c r="AW870" s="14"/>
      <c r="AX870" s="14"/>
      <c r="AY870" s="14"/>
      <c r="AZ870" s="14"/>
      <c r="BA870" s="14"/>
      <c r="BB870" s="7"/>
    </row>
    <row r="871" spans="7:54" x14ac:dyDescent="0.15">
      <c r="G871" s="7"/>
      <c r="H871" s="16"/>
      <c r="I871" s="16"/>
      <c r="J871" s="16"/>
      <c r="K871" s="16"/>
      <c r="L871" s="16"/>
      <c r="M871" s="16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24"/>
      <c r="AC871" s="16"/>
      <c r="AD871" s="16"/>
      <c r="AE871" s="16"/>
      <c r="AF871" s="16"/>
      <c r="AG871" s="14"/>
      <c r="AH871" s="14"/>
      <c r="AI871" s="24"/>
      <c r="AJ871" s="24"/>
      <c r="AK871" s="24"/>
      <c r="AL871" s="16"/>
      <c r="AM871" s="16"/>
      <c r="AN871" s="16"/>
      <c r="AO871" s="16"/>
      <c r="AP871" s="16"/>
      <c r="AQ871" s="16"/>
      <c r="AR871" s="16"/>
      <c r="AS871" s="14"/>
      <c r="AT871" s="14"/>
      <c r="AU871" s="14"/>
      <c r="AV871" s="14"/>
      <c r="AW871" s="14"/>
      <c r="AX871" s="14"/>
      <c r="AY871" s="14"/>
      <c r="AZ871" s="14"/>
      <c r="BA871" s="14"/>
      <c r="BB871" s="7"/>
    </row>
    <row r="872" spans="7:54" x14ac:dyDescent="0.15">
      <c r="G872" s="7"/>
      <c r="H872" s="16"/>
      <c r="I872" s="16"/>
      <c r="J872" s="16"/>
      <c r="K872" s="16"/>
      <c r="L872" s="16"/>
      <c r="M872" s="16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24"/>
      <c r="AC872" s="16"/>
      <c r="AD872" s="16"/>
      <c r="AE872" s="16"/>
      <c r="AF872" s="16"/>
      <c r="AG872" s="14"/>
      <c r="AH872" s="14"/>
      <c r="AI872" s="24"/>
      <c r="AJ872" s="24"/>
      <c r="AK872" s="24"/>
      <c r="AL872" s="16"/>
      <c r="AM872" s="16"/>
      <c r="AN872" s="16"/>
      <c r="AO872" s="16"/>
      <c r="AP872" s="16"/>
      <c r="AQ872" s="16"/>
      <c r="AR872" s="16"/>
      <c r="AS872" s="14"/>
      <c r="AT872" s="14"/>
      <c r="AU872" s="14"/>
      <c r="AV872" s="14"/>
      <c r="AW872" s="14"/>
      <c r="AX872" s="14"/>
      <c r="AY872" s="14"/>
      <c r="AZ872" s="14"/>
      <c r="BA872" s="14"/>
      <c r="BB872" s="7"/>
    </row>
    <row r="873" spans="7:54" x14ac:dyDescent="0.15">
      <c r="G873" s="7"/>
      <c r="H873" s="16"/>
      <c r="I873" s="16"/>
      <c r="J873" s="16"/>
      <c r="K873" s="16"/>
      <c r="L873" s="16"/>
      <c r="M873" s="16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24"/>
      <c r="AC873" s="16"/>
      <c r="AD873" s="16"/>
      <c r="AE873" s="16"/>
      <c r="AF873" s="16"/>
      <c r="AG873" s="14"/>
      <c r="AH873" s="14"/>
      <c r="AI873" s="24"/>
      <c r="AJ873" s="24"/>
      <c r="AK873" s="24"/>
      <c r="AL873" s="16"/>
      <c r="AM873" s="16"/>
      <c r="AN873" s="16"/>
      <c r="AO873" s="16"/>
      <c r="AP873" s="16"/>
      <c r="AQ873" s="16"/>
      <c r="AR873" s="16"/>
      <c r="AS873" s="14"/>
      <c r="AT873" s="14"/>
      <c r="AU873" s="14"/>
      <c r="AV873" s="14"/>
      <c r="AW873" s="14"/>
      <c r="AX873" s="14"/>
      <c r="AY873" s="14"/>
      <c r="AZ873" s="14"/>
      <c r="BA873" s="14"/>
      <c r="BB873" s="7"/>
    </row>
    <row r="874" spans="7:54" x14ac:dyDescent="0.15">
      <c r="G874" s="7"/>
      <c r="H874" s="16"/>
      <c r="I874" s="16"/>
      <c r="J874" s="16"/>
      <c r="K874" s="16"/>
      <c r="L874" s="16"/>
      <c r="M874" s="16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24"/>
      <c r="AC874" s="16"/>
      <c r="AD874" s="16"/>
      <c r="AE874" s="16"/>
      <c r="AF874" s="16"/>
      <c r="AG874" s="14"/>
      <c r="AH874" s="14"/>
      <c r="AI874" s="24"/>
      <c r="AJ874" s="24"/>
      <c r="AK874" s="24"/>
      <c r="AL874" s="16"/>
      <c r="AM874" s="16"/>
      <c r="AN874" s="16"/>
      <c r="AO874" s="16"/>
      <c r="AP874" s="16"/>
      <c r="AQ874" s="16"/>
      <c r="AR874" s="16"/>
      <c r="AS874" s="14"/>
      <c r="AT874" s="14"/>
      <c r="AU874" s="14"/>
      <c r="AV874" s="14"/>
      <c r="AW874" s="14"/>
      <c r="AX874" s="14"/>
      <c r="AY874" s="14"/>
      <c r="AZ874" s="14"/>
      <c r="BA874" s="14"/>
      <c r="BB874" s="7"/>
    </row>
    <row r="875" spans="7:54" x14ac:dyDescent="0.15">
      <c r="G875" s="7"/>
      <c r="H875" s="16"/>
      <c r="I875" s="16"/>
      <c r="J875" s="16"/>
      <c r="K875" s="16"/>
      <c r="L875" s="16"/>
      <c r="M875" s="16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24"/>
      <c r="AC875" s="16"/>
      <c r="AD875" s="16"/>
      <c r="AE875" s="16"/>
      <c r="AF875" s="16"/>
      <c r="AG875" s="14"/>
      <c r="AH875" s="14"/>
      <c r="AI875" s="24"/>
      <c r="AJ875" s="24"/>
      <c r="AK875" s="24"/>
      <c r="AL875" s="16"/>
      <c r="AM875" s="16"/>
      <c r="AN875" s="16"/>
      <c r="AO875" s="16"/>
      <c r="AP875" s="16"/>
      <c r="AQ875" s="16"/>
      <c r="AR875" s="16"/>
      <c r="AS875" s="14"/>
      <c r="AT875" s="14"/>
      <c r="AU875" s="14"/>
      <c r="AV875" s="14"/>
      <c r="AW875" s="14"/>
      <c r="AX875" s="14"/>
      <c r="AY875" s="14"/>
      <c r="AZ875" s="14"/>
      <c r="BA875" s="14"/>
      <c r="BB875" s="7"/>
    </row>
    <row r="876" spans="7:54" x14ac:dyDescent="0.15">
      <c r="G876" s="7"/>
      <c r="H876" s="16"/>
      <c r="I876" s="16"/>
      <c r="J876" s="16"/>
      <c r="K876" s="16"/>
      <c r="L876" s="16"/>
      <c r="M876" s="16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24"/>
      <c r="AC876" s="16"/>
      <c r="AD876" s="16"/>
      <c r="AE876" s="16"/>
      <c r="AF876" s="16"/>
      <c r="AG876" s="14"/>
      <c r="AH876" s="14"/>
      <c r="AI876" s="24"/>
      <c r="AJ876" s="24"/>
      <c r="AK876" s="24"/>
      <c r="AL876" s="16"/>
      <c r="AM876" s="16"/>
      <c r="AN876" s="16"/>
      <c r="AO876" s="16"/>
      <c r="AP876" s="16"/>
      <c r="AQ876" s="16"/>
      <c r="AR876" s="16"/>
      <c r="AS876" s="14"/>
      <c r="AT876" s="14"/>
      <c r="AU876" s="14"/>
      <c r="AV876" s="14"/>
      <c r="AW876" s="14"/>
      <c r="AX876" s="14"/>
      <c r="AY876" s="14"/>
      <c r="AZ876" s="14"/>
      <c r="BA876" s="14"/>
      <c r="BB876" s="7"/>
    </row>
    <row r="877" spans="7:54" x14ac:dyDescent="0.15">
      <c r="G877" s="7"/>
      <c r="H877" s="16"/>
      <c r="I877" s="16"/>
      <c r="J877" s="16"/>
      <c r="K877" s="16"/>
      <c r="L877" s="16"/>
      <c r="M877" s="16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24"/>
      <c r="AC877" s="16"/>
      <c r="AD877" s="16"/>
      <c r="AE877" s="16"/>
      <c r="AF877" s="16"/>
      <c r="AG877" s="14"/>
      <c r="AH877" s="14"/>
      <c r="AI877" s="24"/>
      <c r="AJ877" s="24"/>
      <c r="AK877" s="24"/>
      <c r="AL877" s="16"/>
      <c r="AM877" s="16"/>
      <c r="AN877" s="16"/>
      <c r="AO877" s="16"/>
      <c r="AP877" s="16"/>
      <c r="AQ877" s="16"/>
      <c r="AR877" s="16"/>
      <c r="AS877" s="14"/>
      <c r="AT877" s="14"/>
      <c r="AU877" s="14"/>
      <c r="AV877" s="14"/>
      <c r="AW877" s="14"/>
      <c r="AX877" s="14"/>
      <c r="AY877" s="14"/>
      <c r="AZ877" s="14"/>
      <c r="BA877" s="14"/>
      <c r="BB877" s="7"/>
    </row>
    <row r="878" spans="7:54" x14ac:dyDescent="0.15">
      <c r="G878" s="7"/>
      <c r="H878" s="16"/>
      <c r="I878" s="16"/>
      <c r="J878" s="16"/>
      <c r="K878" s="16"/>
      <c r="L878" s="16"/>
      <c r="M878" s="16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24"/>
      <c r="AC878" s="16"/>
      <c r="AD878" s="16"/>
      <c r="AE878" s="16"/>
      <c r="AF878" s="16"/>
      <c r="AG878" s="14"/>
      <c r="AH878" s="14"/>
      <c r="AI878" s="24"/>
      <c r="AJ878" s="24"/>
      <c r="AK878" s="24"/>
      <c r="AL878" s="16"/>
      <c r="AM878" s="16"/>
      <c r="AN878" s="16"/>
      <c r="AO878" s="16"/>
      <c r="AP878" s="16"/>
      <c r="AQ878" s="16"/>
      <c r="AR878" s="16"/>
      <c r="AS878" s="14"/>
      <c r="AT878" s="14"/>
      <c r="AU878" s="14"/>
      <c r="AV878" s="14"/>
      <c r="AW878" s="14"/>
      <c r="AX878" s="14"/>
      <c r="AY878" s="14"/>
      <c r="AZ878" s="14"/>
      <c r="BA878" s="14"/>
      <c r="BB878" s="7"/>
    </row>
    <row r="879" spans="7:54" x14ac:dyDescent="0.15">
      <c r="G879" s="7"/>
      <c r="H879" s="16"/>
      <c r="I879" s="16"/>
      <c r="J879" s="16"/>
      <c r="K879" s="16"/>
      <c r="L879" s="16"/>
      <c r="M879" s="16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24"/>
      <c r="AC879" s="16"/>
      <c r="AD879" s="16"/>
      <c r="AE879" s="16"/>
      <c r="AF879" s="16"/>
      <c r="AG879" s="14"/>
      <c r="AH879" s="14"/>
      <c r="AI879" s="24"/>
      <c r="AJ879" s="24"/>
      <c r="AK879" s="24"/>
      <c r="AL879" s="16"/>
      <c r="AM879" s="16"/>
      <c r="AN879" s="16"/>
      <c r="AO879" s="16"/>
      <c r="AP879" s="16"/>
      <c r="AQ879" s="16"/>
      <c r="AR879" s="16"/>
      <c r="AS879" s="14"/>
      <c r="AT879" s="14"/>
      <c r="AU879" s="14"/>
      <c r="AV879" s="14"/>
      <c r="AW879" s="14"/>
      <c r="AX879" s="14"/>
      <c r="AY879" s="14"/>
      <c r="AZ879" s="14"/>
      <c r="BA879" s="14"/>
      <c r="BB879" s="7"/>
    </row>
    <row r="880" spans="7:54" x14ac:dyDescent="0.15">
      <c r="G880" s="7"/>
      <c r="H880" s="16"/>
      <c r="I880" s="16"/>
      <c r="J880" s="16"/>
      <c r="K880" s="16"/>
      <c r="L880" s="16"/>
      <c r="M880" s="16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24"/>
      <c r="AC880" s="16"/>
      <c r="AD880" s="16"/>
      <c r="AE880" s="16"/>
      <c r="AF880" s="16"/>
      <c r="AG880" s="14"/>
      <c r="AH880" s="14"/>
      <c r="AI880" s="24"/>
      <c r="AJ880" s="24"/>
      <c r="AK880" s="24"/>
      <c r="AL880" s="16"/>
      <c r="AM880" s="16"/>
      <c r="AN880" s="16"/>
      <c r="AO880" s="16"/>
      <c r="AP880" s="16"/>
      <c r="AQ880" s="16"/>
      <c r="AR880" s="16"/>
      <c r="AS880" s="14"/>
      <c r="AT880" s="14"/>
      <c r="AU880" s="14"/>
      <c r="AV880" s="14"/>
      <c r="AW880" s="14"/>
      <c r="AX880" s="14"/>
      <c r="AY880" s="14"/>
      <c r="AZ880" s="14"/>
      <c r="BA880" s="14"/>
      <c r="BB880" s="7"/>
    </row>
    <row r="881" spans="7:54" x14ac:dyDescent="0.15">
      <c r="G881" s="7"/>
      <c r="H881" s="16"/>
      <c r="I881" s="16"/>
      <c r="J881" s="16"/>
      <c r="K881" s="16"/>
      <c r="L881" s="16"/>
      <c r="M881" s="16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24"/>
      <c r="AC881" s="16"/>
      <c r="AD881" s="16"/>
      <c r="AE881" s="16"/>
      <c r="AF881" s="16"/>
      <c r="AG881" s="14"/>
      <c r="AH881" s="14"/>
      <c r="AI881" s="24"/>
      <c r="AJ881" s="24"/>
      <c r="AK881" s="24"/>
      <c r="AL881" s="16"/>
      <c r="AM881" s="16"/>
      <c r="AN881" s="16"/>
      <c r="AO881" s="16"/>
      <c r="AP881" s="16"/>
      <c r="AQ881" s="16"/>
      <c r="AR881" s="16"/>
      <c r="AS881" s="14"/>
      <c r="AT881" s="14"/>
      <c r="AU881" s="14"/>
      <c r="AV881" s="14"/>
      <c r="AW881" s="14"/>
      <c r="AX881" s="14"/>
      <c r="AY881" s="14"/>
      <c r="AZ881" s="14"/>
      <c r="BA881" s="14"/>
      <c r="BB881" s="7"/>
    </row>
    <row r="882" spans="7:54" x14ac:dyDescent="0.15">
      <c r="G882" s="7"/>
      <c r="H882" s="16"/>
      <c r="I882" s="16"/>
      <c r="J882" s="16"/>
      <c r="K882" s="16"/>
      <c r="L882" s="16"/>
      <c r="M882" s="16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24"/>
      <c r="AC882" s="16"/>
      <c r="AD882" s="16"/>
      <c r="AE882" s="16"/>
      <c r="AF882" s="16"/>
      <c r="AG882" s="14"/>
      <c r="AH882" s="14"/>
      <c r="AI882" s="24"/>
      <c r="AJ882" s="24"/>
      <c r="AK882" s="24"/>
      <c r="AL882" s="16"/>
      <c r="AM882" s="16"/>
      <c r="AN882" s="16"/>
      <c r="AO882" s="16"/>
      <c r="AP882" s="16"/>
      <c r="AQ882" s="16"/>
      <c r="AR882" s="16"/>
      <c r="AS882" s="14"/>
      <c r="AT882" s="14"/>
      <c r="AU882" s="14"/>
      <c r="AV882" s="14"/>
      <c r="AW882" s="14"/>
      <c r="AX882" s="14"/>
      <c r="AY882" s="14"/>
      <c r="AZ882" s="14"/>
      <c r="BA882" s="14"/>
      <c r="BB882" s="7"/>
    </row>
    <row r="883" spans="7:54" x14ac:dyDescent="0.15">
      <c r="G883" s="7"/>
      <c r="H883" s="16"/>
      <c r="I883" s="16"/>
      <c r="J883" s="16"/>
      <c r="K883" s="16"/>
      <c r="L883" s="16"/>
      <c r="M883" s="16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24"/>
      <c r="AC883" s="16"/>
      <c r="AD883" s="16"/>
      <c r="AE883" s="16"/>
      <c r="AF883" s="16"/>
      <c r="AG883" s="14"/>
      <c r="AH883" s="14"/>
      <c r="AI883" s="24"/>
      <c r="AJ883" s="24"/>
      <c r="AK883" s="24"/>
      <c r="AL883" s="16"/>
      <c r="AM883" s="16"/>
      <c r="AN883" s="16"/>
      <c r="AO883" s="16"/>
      <c r="AP883" s="16"/>
      <c r="AQ883" s="16"/>
      <c r="AR883" s="16"/>
      <c r="AS883" s="14"/>
      <c r="AT883" s="14"/>
      <c r="AU883" s="14"/>
      <c r="AV883" s="14"/>
      <c r="AW883" s="14"/>
      <c r="AX883" s="14"/>
      <c r="AY883" s="14"/>
      <c r="AZ883" s="14"/>
      <c r="BA883" s="14"/>
      <c r="BB883" s="7"/>
    </row>
    <row r="884" spans="7:54" x14ac:dyDescent="0.15">
      <c r="G884" s="7"/>
      <c r="H884" s="16"/>
      <c r="I884" s="16"/>
      <c r="J884" s="16"/>
      <c r="K884" s="16"/>
      <c r="L884" s="16"/>
      <c r="M884" s="16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24"/>
      <c r="AC884" s="16"/>
      <c r="AD884" s="16"/>
      <c r="AE884" s="16"/>
      <c r="AF884" s="16"/>
      <c r="AG884" s="14"/>
      <c r="AH884" s="14"/>
      <c r="AI884" s="24"/>
      <c r="AJ884" s="24"/>
      <c r="AK884" s="24"/>
      <c r="AL884" s="16"/>
      <c r="AM884" s="16"/>
      <c r="AN884" s="16"/>
      <c r="AO884" s="16"/>
      <c r="AP884" s="16"/>
      <c r="AQ884" s="16"/>
      <c r="AR884" s="16"/>
      <c r="AS884" s="14"/>
      <c r="AT884" s="14"/>
      <c r="AU884" s="14"/>
      <c r="AV884" s="14"/>
      <c r="AW884" s="14"/>
      <c r="AX884" s="14"/>
      <c r="AY884" s="14"/>
      <c r="AZ884" s="14"/>
      <c r="BA884" s="14"/>
      <c r="BB884" s="7"/>
    </row>
    <row r="885" spans="7:54" x14ac:dyDescent="0.15">
      <c r="G885" s="7"/>
      <c r="H885" s="16"/>
      <c r="I885" s="16"/>
      <c r="J885" s="16"/>
      <c r="K885" s="16"/>
      <c r="L885" s="16"/>
      <c r="M885" s="16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24"/>
      <c r="AC885" s="16"/>
      <c r="AD885" s="16"/>
      <c r="AE885" s="16"/>
      <c r="AF885" s="16"/>
      <c r="AG885" s="14"/>
      <c r="AH885" s="14"/>
      <c r="AI885" s="24"/>
      <c r="AJ885" s="24"/>
      <c r="AK885" s="24"/>
      <c r="AL885" s="16"/>
      <c r="AM885" s="16"/>
      <c r="AN885" s="16"/>
      <c r="AO885" s="16"/>
      <c r="AP885" s="16"/>
      <c r="AQ885" s="16"/>
      <c r="AR885" s="16"/>
      <c r="AS885" s="14"/>
      <c r="AT885" s="14"/>
      <c r="AU885" s="14"/>
      <c r="AV885" s="14"/>
      <c r="AW885" s="14"/>
      <c r="AX885" s="14"/>
      <c r="AY885" s="14"/>
      <c r="AZ885" s="14"/>
      <c r="BA885" s="14"/>
      <c r="BB885" s="7"/>
    </row>
    <row r="886" spans="7:54" x14ac:dyDescent="0.15">
      <c r="G886" s="7"/>
      <c r="H886" s="16"/>
      <c r="I886" s="16"/>
      <c r="J886" s="16"/>
      <c r="K886" s="16"/>
      <c r="L886" s="16"/>
      <c r="M886" s="16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24"/>
      <c r="AC886" s="16"/>
      <c r="AD886" s="16"/>
      <c r="AE886" s="16"/>
      <c r="AF886" s="16"/>
      <c r="AG886" s="14"/>
      <c r="AH886" s="14"/>
      <c r="AI886" s="24"/>
      <c r="AJ886" s="24"/>
      <c r="AK886" s="24"/>
      <c r="AL886" s="16"/>
      <c r="AM886" s="16"/>
      <c r="AN886" s="16"/>
      <c r="AO886" s="16"/>
      <c r="AP886" s="16"/>
      <c r="AQ886" s="16"/>
      <c r="AR886" s="16"/>
      <c r="AS886" s="14"/>
      <c r="AT886" s="14"/>
      <c r="AU886" s="14"/>
      <c r="AV886" s="14"/>
      <c r="AW886" s="14"/>
      <c r="AX886" s="14"/>
      <c r="AY886" s="14"/>
      <c r="AZ886" s="14"/>
      <c r="BA886" s="14"/>
      <c r="BB886" s="7"/>
    </row>
    <row r="887" spans="7:54" x14ac:dyDescent="0.15">
      <c r="G887" s="7"/>
      <c r="H887" s="16"/>
      <c r="I887" s="16"/>
      <c r="J887" s="16"/>
      <c r="K887" s="16"/>
      <c r="L887" s="16"/>
      <c r="M887" s="16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24"/>
      <c r="AC887" s="16"/>
      <c r="AD887" s="16"/>
      <c r="AE887" s="16"/>
      <c r="AF887" s="16"/>
      <c r="AG887" s="14"/>
      <c r="AH887" s="14"/>
      <c r="AI887" s="24"/>
      <c r="AJ887" s="24"/>
      <c r="AK887" s="24"/>
      <c r="AL887" s="16"/>
      <c r="AM887" s="16"/>
      <c r="AN887" s="16"/>
      <c r="AO887" s="16"/>
      <c r="AP887" s="16"/>
      <c r="AQ887" s="16"/>
      <c r="AR887" s="16"/>
      <c r="AS887" s="14"/>
      <c r="AT887" s="14"/>
      <c r="AU887" s="14"/>
      <c r="AV887" s="14"/>
      <c r="AW887" s="14"/>
      <c r="AX887" s="14"/>
      <c r="AY887" s="14"/>
      <c r="AZ887" s="14"/>
      <c r="BA887" s="14"/>
      <c r="BB887" s="7"/>
    </row>
    <row r="888" spans="7:54" x14ac:dyDescent="0.15">
      <c r="G888" s="7"/>
      <c r="H888" s="16"/>
      <c r="I888" s="16"/>
      <c r="J888" s="16"/>
      <c r="K888" s="16"/>
      <c r="L888" s="16"/>
      <c r="M888" s="16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24"/>
      <c r="AC888" s="16"/>
      <c r="AD888" s="16"/>
      <c r="AE888" s="16"/>
      <c r="AF888" s="16"/>
      <c r="AG888" s="14"/>
      <c r="AH888" s="14"/>
      <c r="AI888" s="24"/>
      <c r="AJ888" s="24"/>
      <c r="AK888" s="24"/>
      <c r="AL888" s="16"/>
      <c r="AM888" s="16"/>
      <c r="AN888" s="16"/>
      <c r="AO888" s="16"/>
      <c r="AP888" s="16"/>
      <c r="AQ888" s="16"/>
      <c r="AR888" s="16"/>
      <c r="AS888" s="14"/>
      <c r="AT888" s="14"/>
      <c r="AU888" s="14"/>
      <c r="AV888" s="14"/>
      <c r="AW888" s="14"/>
      <c r="AX888" s="14"/>
      <c r="AY888" s="14"/>
      <c r="AZ888" s="14"/>
      <c r="BA888" s="14"/>
      <c r="BB888" s="7"/>
    </row>
    <row r="889" spans="7:54" x14ac:dyDescent="0.15">
      <c r="G889" s="7"/>
      <c r="H889" s="16"/>
      <c r="I889" s="16"/>
      <c r="J889" s="16"/>
      <c r="K889" s="16"/>
      <c r="L889" s="16"/>
      <c r="M889" s="16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24"/>
      <c r="AC889" s="16"/>
      <c r="AD889" s="16"/>
      <c r="AE889" s="16"/>
      <c r="AF889" s="16"/>
      <c r="AG889" s="14"/>
      <c r="AH889" s="14"/>
      <c r="AI889" s="24"/>
      <c r="AJ889" s="24"/>
      <c r="AK889" s="24"/>
      <c r="AL889" s="16"/>
      <c r="AM889" s="16"/>
      <c r="AN889" s="16"/>
      <c r="AO889" s="16"/>
      <c r="AP889" s="16"/>
      <c r="AQ889" s="16"/>
      <c r="AR889" s="16"/>
      <c r="AS889" s="14"/>
      <c r="AT889" s="14"/>
      <c r="AU889" s="14"/>
      <c r="AV889" s="14"/>
      <c r="AW889" s="14"/>
      <c r="AX889" s="14"/>
      <c r="AY889" s="14"/>
      <c r="AZ889" s="14"/>
      <c r="BA889" s="14"/>
      <c r="BB889" s="7"/>
    </row>
    <row r="890" spans="7:54" x14ac:dyDescent="0.15">
      <c r="G890" s="7"/>
      <c r="H890" s="16"/>
      <c r="I890" s="16"/>
      <c r="J890" s="16"/>
      <c r="K890" s="16"/>
      <c r="L890" s="16"/>
      <c r="M890" s="16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24"/>
      <c r="AC890" s="16"/>
      <c r="AD890" s="16"/>
      <c r="AE890" s="16"/>
      <c r="AF890" s="16"/>
      <c r="AG890" s="14"/>
      <c r="AH890" s="14"/>
      <c r="AI890" s="24"/>
      <c r="AJ890" s="24"/>
      <c r="AK890" s="24"/>
      <c r="AL890" s="16"/>
      <c r="AM890" s="16"/>
      <c r="AN890" s="16"/>
      <c r="AO890" s="16"/>
      <c r="AP890" s="16"/>
      <c r="AQ890" s="16"/>
      <c r="AR890" s="16"/>
      <c r="AS890" s="14"/>
      <c r="AT890" s="14"/>
      <c r="AU890" s="14"/>
      <c r="AV890" s="14"/>
      <c r="AW890" s="14"/>
      <c r="AX890" s="14"/>
      <c r="AY890" s="14"/>
      <c r="AZ890" s="14"/>
      <c r="BA890" s="14"/>
      <c r="BB890" s="7"/>
    </row>
    <row r="891" spans="7:54" x14ac:dyDescent="0.15">
      <c r="G891" s="7"/>
      <c r="H891" s="16"/>
      <c r="I891" s="16"/>
      <c r="J891" s="16"/>
      <c r="K891" s="16"/>
      <c r="L891" s="16"/>
      <c r="M891" s="16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24"/>
      <c r="AC891" s="16"/>
      <c r="AD891" s="16"/>
      <c r="AE891" s="16"/>
      <c r="AF891" s="16"/>
      <c r="AG891" s="14"/>
      <c r="AH891" s="14"/>
      <c r="AI891" s="24"/>
      <c r="AJ891" s="24"/>
      <c r="AK891" s="24"/>
      <c r="AL891" s="16"/>
      <c r="AM891" s="16"/>
      <c r="AN891" s="16"/>
      <c r="AO891" s="16"/>
      <c r="AP891" s="16"/>
      <c r="AQ891" s="16"/>
      <c r="AR891" s="16"/>
      <c r="AS891" s="14"/>
      <c r="AT891" s="14"/>
      <c r="AU891" s="14"/>
      <c r="AV891" s="14"/>
      <c r="AW891" s="14"/>
      <c r="AX891" s="14"/>
      <c r="AY891" s="14"/>
      <c r="AZ891" s="14"/>
      <c r="BA891" s="14"/>
      <c r="BB891" s="7"/>
    </row>
    <row r="892" spans="7:54" x14ac:dyDescent="0.15">
      <c r="G892" s="7"/>
      <c r="H892" s="16"/>
      <c r="I892" s="16"/>
      <c r="J892" s="16"/>
      <c r="K892" s="16"/>
      <c r="L892" s="16"/>
      <c r="M892" s="16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24"/>
      <c r="AC892" s="16"/>
      <c r="AD892" s="16"/>
      <c r="AE892" s="16"/>
      <c r="AF892" s="16"/>
      <c r="AG892" s="14"/>
      <c r="AH892" s="14"/>
      <c r="AI892" s="24"/>
      <c r="AJ892" s="24"/>
      <c r="AK892" s="24"/>
      <c r="AL892" s="16"/>
      <c r="AM892" s="16"/>
      <c r="AN892" s="16"/>
      <c r="AO892" s="16"/>
      <c r="AP892" s="16"/>
      <c r="AQ892" s="16"/>
      <c r="AR892" s="16"/>
      <c r="AS892" s="14"/>
      <c r="AT892" s="14"/>
      <c r="AU892" s="14"/>
      <c r="AV892" s="14"/>
      <c r="AW892" s="14"/>
      <c r="AX892" s="14"/>
      <c r="AY892" s="14"/>
      <c r="AZ892" s="14"/>
      <c r="BA892" s="14"/>
      <c r="BB892" s="7"/>
    </row>
    <row r="893" spans="7:54" x14ac:dyDescent="0.15">
      <c r="G893" s="7"/>
      <c r="H893" s="16"/>
      <c r="I893" s="16"/>
      <c r="J893" s="16"/>
      <c r="K893" s="16"/>
      <c r="L893" s="16"/>
      <c r="M893" s="16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24"/>
      <c r="AC893" s="16"/>
      <c r="AD893" s="16"/>
      <c r="AE893" s="16"/>
      <c r="AF893" s="16"/>
      <c r="AG893" s="14"/>
      <c r="AH893" s="14"/>
      <c r="AI893" s="24"/>
      <c r="AJ893" s="24"/>
      <c r="AK893" s="24"/>
      <c r="AL893" s="16"/>
      <c r="AM893" s="16"/>
      <c r="AN893" s="16"/>
      <c r="AO893" s="16"/>
      <c r="AP893" s="16"/>
      <c r="AQ893" s="16"/>
      <c r="AR893" s="16"/>
      <c r="AS893" s="14"/>
      <c r="AT893" s="14"/>
      <c r="AU893" s="14"/>
      <c r="AV893" s="14"/>
      <c r="AW893" s="14"/>
      <c r="AX893" s="14"/>
      <c r="AY893" s="14"/>
      <c r="AZ893" s="14"/>
      <c r="BA893" s="14"/>
      <c r="BB893" s="7"/>
    </row>
    <row r="894" spans="7:54" x14ac:dyDescent="0.15">
      <c r="G894" s="7"/>
      <c r="H894" s="16"/>
      <c r="I894" s="16"/>
      <c r="J894" s="16"/>
      <c r="K894" s="16"/>
      <c r="L894" s="16"/>
      <c r="M894" s="16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24"/>
      <c r="AC894" s="16"/>
      <c r="AD894" s="16"/>
      <c r="AE894" s="16"/>
      <c r="AF894" s="16"/>
      <c r="AG894" s="14"/>
      <c r="AH894" s="14"/>
      <c r="AI894" s="24"/>
      <c r="AJ894" s="24"/>
      <c r="AK894" s="24"/>
      <c r="AL894" s="16"/>
      <c r="AM894" s="16"/>
      <c r="AN894" s="16"/>
      <c r="AO894" s="16"/>
      <c r="AP894" s="16"/>
      <c r="AQ894" s="16"/>
      <c r="AR894" s="16"/>
      <c r="AS894" s="14"/>
      <c r="AT894" s="14"/>
      <c r="AU894" s="14"/>
      <c r="AV894" s="14"/>
      <c r="AW894" s="14"/>
      <c r="AX894" s="14"/>
      <c r="AY894" s="14"/>
      <c r="AZ894" s="14"/>
      <c r="BA894" s="14"/>
      <c r="BB894" s="7"/>
    </row>
    <row r="895" spans="7:54" x14ac:dyDescent="0.15">
      <c r="G895" s="7"/>
      <c r="H895" s="16"/>
      <c r="I895" s="16"/>
      <c r="J895" s="16"/>
      <c r="K895" s="16"/>
      <c r="L895" s="16"/>
      <c r="M895" s="16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24"/>
      <c r="AC895" s="16"/>
      <c r="AD895" s="16"/>
      <c r="AE895" s="16"/>
      <c r="AF895" s="16"/>
      <c r="AG895" s="14"/>
      <c r="AH895" s="14"/>
      <c r="AI895" s="24"/>
      <c r="AJ895" s="24"/>
      <c r="AK895" s="24"/>
      <c r="AL895" s="16"/>
      <c r="AM895" s="16"/>
      <c r="AN895" s="16"/>
      <c r="AO895" s="16"/>
      <c r="AP895" s="16"/>
      <c r="AQ895" s="16"/>
      <c r="AR895" s="16"/>
      <c r="AS895" s="14"/>
      <c r="AT895" s="14"/>
      <c r="AU895" s="14"/>
      <c r="AV895" s="14"/>
      <c r="AW895" s="14"/>
      <c r="AX895" s="14"/>
      <c r="AY895" s="14"/>
      <c r="AZ895" s="14"/>
      <c r="BA895" s="14"/>
      <c r="BB895" s="7"/>
    </row>
    <row r="896" spans="7:54" x14ac:dyDescent="0.15">
      <c r="G896" s="7"/>
      <c r="H896" s="16"/>
      <c r="I896" s="16"/>
      <c r="J896" s="16"/>
      <c r="K896" s="16"/>
      <c r="L896" s="16"/>
      <c r="M896" s="16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24"/>
      <c r="AC896" s="16"/>
      <c r="AD896" s="16"/>
      <c r="AE896" s="16"/>
      <c r="AF896" s="16"/>
      <c r="AG896" s="14"/>
      <c r="AH896" s="14"/>
      <c r="AI896" s="24"/>
      <c r="AJ896" s="24"/>
      <c r="AK896" s="24"/>
      <c r="AL896" s="16"/>
      <c r="AM896" s="16"/>
      <c r="AN896" s="16"/>
      <c r="AO896" s="16"/>
      <c r="AP896" s="16"/>
      <c r="AQ896" s="16"/>
      <c r="AR896" s="16"/>
      <c r="AS896" s="14"/>
      <c r="AT896" s="14"/>
      <c r="AU896" s="14"/>
      <c r="AV896" s="14"/>
      <c r="AW896" s="14"/>
      <c r="AX896" s="14"/>
      <c r="AY896" s="14"/>
      <c r="AZ896" s="14"/>
      <c r="BA896" s="14"/>
      <c r="BB896" s="7"/>
    </row>
    <row r="897" spans="7:54" x14ac:dyDescent="0.15">
      <c r="G897" s="7"/>
      <c r="H897" s="16"/>
      <c r="I897" s="16"/>
      <c r="J897" s="16"/>
      <c r="K897" s="16"/>
      <c r="L897" s="16"/>
      <c r="M897" s="16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24"/>
      <c r="AC897" s="16"/>
      <c r="AD897" s="16"/>
      <c r="AE897" s="16"/>
      <c r="AF897" s="16"/>
      <c r="AG897" s="14"/>
      <c r="AH897" s="14"/>
      <c r="AI897" s="24"/>
      <c r="AJ897" s="24"/>
      <c r="AK897" s="24"/>
      <c r="AL897" s="16"/>
      <c r="AM897" s="16"/>
      <c r="AN897" s="16"/>
      <c r="AO897" s="16"/>
      <c r="AP897" s="16"/>
      <c r="AQ897" s="16"/>
      <c r="AR897" s="16"/>
      <c r="AS897" s="14"/>
      <c r="AT897" s="14"/>
      <c r="AU897" s="14"/>
      <c r="AV897" s="14"/>
      <c r="AW897" s="14"/>
      <c r="AX897" s="14"/>
      <c r="AY897" s="14"/>
      <c r="AZ897" s="14"/>
      <c r="BA897" s="14"/>
      <c r="BB897" s="7"/>
    </row>
    <row r="898" spans="7:54" x14ac:dyDescent="0.15">
      <c r="G898" s="7"/>
      <c r="H898" s="16"/>
      <c r="I898" s="16"/>
      <c r="J898" s="16"/>
      <c r="K898" s="16"/>
      <c r="L898" s="16"/>
      <c r="M898" s="16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24"/>
      <c r="AC898" s="16"/>
      <c r="AD898" s="16"/>
      <c r="AE898" s="16"/>
      <c r="AF898" s="16"/>
      <c r="AG898" s="14"/>
      <c r="AH898" s="14"/>
      <c r="AI898" s="24"/>
      <c r="AJ898" s="24"/>
      <c r="AK898" s="24"/>
      <c r="AL898" s="16"/>
      <c r="AM898" s="16"/>
      <c r="AN898" s="16"/>
      <c r="AO898" s="16"/>
      <c r="AP898" s="16"/>
      <c r="AQ898" s="16"/>
      <c r="AR898" s="16"/>
      <c r="AS898" s="14"/>
      <c r="AT898" s="14"/>
      <c r="AU898" s="14"/>
      <c r="AV898" s="14"/>
      <c r="AW898" s="14"/>
      <c r="AX898" s="14"/>
      <c r="AY898" s="14"/>
      <c r="AZ898" s="14"/>
      <c r="BA898" s="14"/>
      <c r="BB898" s="7"/>
    </row>
    <row r="899" spans="7:54" x14ac:dyDescent="0.15">
      <c r="G899" s="7"/>
      <c r="H899" s="16"/>
      <c r="I899" s="16"/>
      <c r="J899" s="16"/>
      <c r="K899" s="16"/>
      <c r="L899" s="16"/>
      <c r="M899" s="16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24"/>
      <c r="AC899" s="16"/>
      <c r="AD899" s="16"/>
      <c r="AE899" s="16"/>
      <c r="AF899" s="16"/>
      <c r="AG899" s="14"/>
      <c r="AH899" s="14"/>
      <c r="AI899" s="24"/>
      <c r="AJ899" s="24"/>
      <c r="AK899" s="24"/>
      <c r="AL899" s="16"/>
      <c r="AM899" s="16"/>
      <c r="AN899" s="16"/>
      <c r="AO899" s="16"/>
      <c r="AP899" s="16"/>
      <c r="AQ899" s="16"/>
      <c r="AR899" s="16"/>
      <c r="AS899" s="14"/>
      <c r="AT899" s="14"/>
      <c r="AU899" s="14"/>
      <c r="AV899" s="14"/>
      <c r="AW899" s="14"/>
      <c r="AX899" s="14"/>
      <c r="AY899" s="14"/>
      <c r="AZ899" s="14"/>
      <c r="BA899" s="14"/>
      <c r="BB899" s="7"/>
    </row>
    <row r="900" spans="7:54" x14ac:dyDescent="0.15">
      <c r="G900" s="7"/>
      <c r="H900" s="16"/>
      <c r="I900" s="16"/>
      <c r="J900" s="16"/>
      <c r="K900" s="16"/>
      <c r="L900" s="16"/>
      <c r="M900" s="16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24"/>
      <c r="AC900" s="16"/>
      <c r="AD900" s="16"/>
      <c r="AE900" s="16"/>
      <c r="AF900" s="16"/>
      <c r="AG900" s="14"/>
      <c r="AH900" s="14"/>
      <c r="AI900" s="24"/>
      <c r="AJ900" s="24"/>
      <c r="AK900" s="24"/>
      <c r="AL900" s="16"/>
      <c r="AM900" s="16"/>
      <c r="AN900" s="16"/>
      <c r="AO900" s="16"/>
      <c r="AP900" s="16"/>
      <c r="AQ900" s="16"/>
      <c r="AR900" s="16"/>
      <c r="AS900" s="14"/>
      <c r="AT900" s="14"/>
      <c r="AU900" s="14"/>
      <c r="AV900" s="14"/>
      <c r="AW900" s="14"/>
      <c r="AX900" s="14"/>
      <c r="AY900" s="14"/>
      <c r="AZ900" s="14"/>
      <c r="BA900" s="14"/>
      <c r="BB900" s="7"/>
    </row>
    <row r="901" spans="7:54" x14ac:dyDescent="0.15">
      <c r="G901" s="7"/>
      <c r="H901" s="16"/>
      <c r="I901" s="16"/>
      <c r="J901" s="16"/>
      <c r="K901" s="16"/>
      <c r="L901" s="16"/>
      <c r="M901" s="16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24"/>
      <c r="AC901" s="16"/>
      <c r="AD901" s="16"/>
      <c r="AE901" s="16"/>
      <c r="AF901" s="16"/>
      <c r="AG901" s="14"/>
      <c r="AH901" s="14"/>
      <c r="AI901" s="24"/>
      <c r="AJ901" s="24"/>
      <c r="AK901" s="24"/>
      <c r="AL901" s="16"/>
      <c r="AM901" s="16"/>
      <c r="AN901" s="16"/>
      <c r="AO901" s="16"/>
      <c r="AP901" s="16"/>
      <c r="AQ901" s="16"/>
      <c r="AR901" s="16"/>
      <c r="AS901" s="14"/>
      <c r="AT901" s="14"/>
      <c r="AU901" s="14"/>
      <c r="AV901" s="14"/>
      <c r="AW901" s="14"/>
      <c r="AX901" s="14"/>
      <c r="AY901" s="14"/>
      <c r="AZ901" s="14"/>
      <c r="BA901" s="14"/>
      <c r="BB901" s="7"/>
    </row>
    <row r="902" spans="7:54" x14ac:dyDescent="0.15">
      <c r="G902" s="7"/>
      <c r="H902" s="16"/>
      <c r="I902" s="16"/>
      <c r="J902" s="16"/>
      <c r="K902" s="16"/>
      <c r="L902" s="16"/>
      <c r="M902" s="16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24"/>
      <c r="AC902" s="16"/>
      <c r="AD902" s="16"/>
      <c r="AE902" s="16"/>
      <c r="AF902" s="16"/>
      <c r="AG902" s="14"/>
      <c r="AH902" s="14"/>
      <c r="AI902" s="24"/>
      <c r="AJ902" s="24"/>
      <c r="AK902" s="24"/>
      <c r="AL902" s="16"/>
      <c r="AM902" s="16"/>
      <c r="AN902" s="16"/>
      <c r="AO902" s="16"/>
      <c r="AP902" s="16"/>
      <c r="AQ902" s="16"/>
      <c r="AR902" s="16"/>
      <c r="AS902" s="14"/>
      <c r="AT902" s="14"/>
      <c r="AU902" s="14"/>
      <c r="AV902" s="14"/>
      <c r="AW902" s="14"/>
      <c r="AX902" s="14"/>
      <c r="AY902" s="14"/>
      <c r="AZ902" s="14"/>
      <c r="BA902" s="14"/>
      <c r="BB902" s="7"/>
    </row>
    <row r="903" spans="7:54" x14ac:dyDescent="0.15">
      <c r="G903" s="7"/>
      <c r="H903" s="16"/>
      <c r="I903" s="16"/>
      <c r="J903" s="16"/>
      <c r="K903" s="16"/>
      <c r="L903" s="16"/>
      <c r="M903" s="16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24"/>
      <c r="AC903" s="16"/>
      <c r="AD903" s="16"/>
      <c r="AE903" s="16"/>
      <c r="AF903" s="16"/>
      <c r="AG903" s="14"/>
      <c r="AH903" s="14"/>
      <c r="AI903" s="24"/>
      <c r="AJ903" s="24"/>
      <c r="AK903" s="24"/>
      <c r="AL903" s="16"/>
      <c r="AM903" s="16"/>
      <c r="AN903" s="16"/>
      <c r="AO903" s="16"/>
      <c r="AP903" s="16"/>
      <c r="AQ903" s="16"/>
      <c r="AR903" s="16"/>
      <c r="AS903" s="14"/>
      <c r="AT903" s="14"/>
      <c r="AU903" s="14"/>
      <c r="AV903" s="14"/>
      <c r="AW903" s="14"/>
      <c r="AX903" s="14"/>
      <c r="AY903" s="14"/>
      <c r="AZ903" s="14"/>
      <c r="BA903" s="14"/>
      <c r="BB903" s="7"/>
    </row>
    <row r="904" spans="7:54" x14ac:dyDescent="0.15">
      <c r="G904" s="7"/>
      <c r="H904" s="16"/>
      <c r="I904" s="16"/>
      <c r="J904" s="16"/>
      <c r="K904" s="16"/>
      <c r="L904" s="16"/>
      <c r="M904" s="16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24"/>
      <c r="AC904" s="16"/>
      <c r="AD904" s="16"/>
      <c r="AE904" s="16"/>
      <c r="AF904" s="16"/>
      <c r="AG904" s="14"/>
      <c r="AH904" s="14"/>
      <c r="AI904" s="24"/>
      <c r="AJ904" s="24"/>
      <c r="AK904" s="24"/>
      <c r="AL904" s="16"/>
      <c r="AM904" s="16"/>
      <c r="AN904" s="16"/>
      <c r="AO904" s="16"/>
      <c r="AP904" s="16"/>
      <c r="AQ904" s="16"/>
      <c r="AR904" s="16"/>
      <c r="AS904" s="14"/>
      <c r="AT904" s="14"/>
      <c r="AU904" s="14"/>
      <c r="AV904" s="14"/>
      <c r="AW904" s="14"/>
      <c r="AX904" s="14"/>
      <c r="AY904" s="14"/>
      <c r="AZ904" s="14"/>
      <c r="BA904" s="14"/>
      <c r="BB904" s="7"/>
    </row>
    <row r="905" spans="7:54" x14ac:dyDescent="0.15">
      <c r="G905" s="7"/>
      <c r="H905" s="16"/>
      <c r="I905" s="16"/>
      <c r="J905" s="16"/>
      <c r="K905" s="16"/>
      <c r="L905" s="16"/>
      <c r="M905" s="16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24"/>
      <c r="AC905" s="16"/>
      <c r="AD905" s="16"/>
      <c r="AE905" s="16"/>
      <c r="AF905" s="16"/>
      <c r="AG905" s="14"/>
      <c r="AH905" s="14"/>
      <c r="AI905" s="24"/>
      <c r="AJ905" s="24"/>
      <c r="AK905" s="24"/>
      <c r="AL905" s="16"/>
      <c r="AM905" s="16"/>
      <c r="AN905" s="16"/>
      <c r="AO905" s="16"/>
      <c r="AP905" s="16"/>
      <c r="AQ905" s="16"/>
      <c r="AR905" s="16"/>
      <c r="AS905" s="14"/>
      <c r="AT905" s="14"/>
      <c r="AU905" s="14"/>
      <c r="AV905" s="14"/>
      <c r="AW905" s="14"/>
      <c r="AX905" s="14"/>
      <c r="AY905" s="14"/>
      <c r="AZ905" s="14"/>
      <c r="BA905" s="14"/>
      <c r="BB905" s="7"/>
    </row>
    <row r="906" spans="7:54" x14ac:dyDescent="0.15">
      <c r="G906" s="7"/>
      <c r="H906" s="16"/>
      <c r="I906" s="16"/>
      <c r="J906" s="16"/>
      <c r="K906" s="16"/>
      <c r="L906" s="16"/>
      <c r="M906" s="16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24"/>
      <c r="AC906" s="16"/>
      <c r="AD906" s="16"/>
      <c r="AE906" s="16"/>
      <c r="AF906" s="16"/>
      <c r="AG906" s="14"/>
      <c r="AH906" s="14"/>
      <c r="AI906" s="24"/>
      <c r="AJ906" s="24"/>
      <c r="AK906" s="24"/>
      <c r="AL906" s="16"/>
      <c r="AM906" s="16"/>
      <c r="AN906" s="16"/>
      <c r="AO906" s="16"/>
      <c r="AP906" s="16"/>
      <c r="AQ906" s="16"/>
      <c r="AR906" s="16"/>
      <c r="AS906" s="14"/>
      <c r="AT906" s="14"/>
      <c r="AU906" s="14"/>
      <c r="AV906" s="14"/>
      <c r="AW906" s="14"/>
      <c r="AX906" s="14"/>
      <c r="AY906" s="14"/>
      <c r="AZ906" s="14"/>
      <c r="BA906" s="14"/>
      <c r="BB906" s="7"/>
    </row>
    <row r="907" spans="7:54" x14ac:dyDescent="0.15">
      <c r="G907" s="7"/>
      <c r="H907" s="16"/>
      <c r="I907" s="16"/>
      <c r="J907" s="16"/>
      <c r="K907" s="16"/>
      <c r="L907" s="16"/>
      <c r="M907" s="16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24"/>
      <c r="AC907" s="16"/>
      <c r="AD907" s="16"/>
      <c r="AE907" s="16"/>
      <c r="AF907" s="16"/>
      <c r="AG907" s="14"/>
      <c r="AH907" s="14"/>
      <c r="AI907" s="24"/>
      <c r="AJ907" s="24"/>
      <c r="AK907" s="24"/>
      <c r="AL907" s="16"/>
      <c r="AM907" s="16"/>
      <c r="AN907" s="16"/>
      <c r="AO907" s="16"/>
      <c r="AP907" s="16"/>
      <c r="AQ907" s="16"/>
      <c r="AR907" s="16"/>
      <c r="AS907" s="14"/>
      <c r="AT907" s="14"/>
      <c r="AU907" s="14"/>
      <c r="AV907" s="14"/>
      <c r="AW907" s="14"/>
      <c r="AX907" s="14"/>
      <c r="AY907" s="14"/>
      <c r="AZ907" s="14"/>
      <c r="BA907" s="14"/>
      <c r="BB907" s="7"/>
    </row>
    <row r="908" spans="7:54" x14ac:dyDescent="0.15">
      <c r="G908" s="7"/>
      <c r="H908" s="16"/>
      <c r="I908" s="16"/>
      <c r="J908" s="16"/>
      <c r="K908" s="16"/>
      <c r="L908" s="16"/>
      <c r="M908" s="16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24"/>
      <c r="AC908" s="16"/>
      <c r="AD908" s="16"/>
      <c r="AE908" s="16"/>
      <c r="AF908" s="16"/>
      <c r="AG908" s="14"/>
      <c r="AH908" s="14"/>
      <c r="AI908" s="24"/>
      <c r="AJ908" s="24"/>
      <c r="AK908" s="24"/>
      <c r="AL908" s="16"/>
      <c r="AM908" s="16"/>
      <c r="AN908" s="16"/>
      <c r="AO908" s="16"/>
      <c r="AP908" s="16"/>
      <c r="AQ908" s="16"/>
      <c r="AR908" s="16"/>
      <c r="AS908" s="14"/>
      <c r="AT908" s="14"/>
      <c r="AU908" s="14"/>
      <c r="AV908" s="14"/>
      <c r="AW908" s="14"/>
      <c r="AX908" s="14"/>
      <c r="AY908" s="14"/>
      <c r="AZ908" s="14"/>
      <c r="BA908" s="14"/>
      <c r="BB908" s="7"/>
    </row>
    <row r="909" spans="7:54" x14ac:dyDescent="0.15">
      <c r="G909" s="7"/>
      <c r="H909" s="16"/>
      <c r="I909" s="16"/>
      <c r="J909" s="16"/>
      <c r="K909" s="16"/>
      <c r="L909" s="16"/>
      <c r="M909" s="16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24"/>
      <c r="AC909" s="16"/>
      <c r="AD909" s="16"/>
      <c r="AE909" s="16"/>
      <c r="AF909" s="16"/>
      <c r="AG909" s="14"/>
      <c r="AH909" s="14"/>
      <c r="AI909" s="24"/>
      <c r="AJ909" s="24"/>
      <c r="AK909" s="24"/>
      <c r="AL909" s="16"/>
      <c r="AM909" s="16"/>
      <c r="AN909" s="16"/>
      <c r="AO909" s="16"/>
      <c r="AP909" s="16"/>
      <c r="AQ909" s="16"/>
      <c r="AR909" s="16"/>
      <c r="AS909" s="14"/>
      <c r="AT909" s="14"/>
      <c r="AU909" s="14"/>
      <c r="AV909" s="14"/>
      <c r="AW909" s="14"/>
      <c r="AX909" s="14"/>
      <c r="AY909" s="14"/>
      <c r="AZ909" s="14"/>
      <c r="BA909" s="14"/>
      <c r="BB909" s="7"/>
    </row>
    <row r="910" spans="7:54" x14ac:dyDescent="0.15">
      <c r="G910" s="7"/>
      <c r="H910" s="16"/>
      <c r="I910" s="16"/>
      <c r="J910" s="16"/>
      <c r="K910" s="16"/>
      <c r="L910" s="16"/>
      <c r="M910" s="16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24"/>
      <c r="AC910" s="16"/>
      <c r="AD910" s="16"/>
      <c r="AE910" s="16"/>
      <c r="AF910" s="16"/>
      <c r="AG910" s="14"/>
      <c r="AH910" s="14"/>
      <c r="AI910" s="24"/>
      <c r="AJ910" s="24"/>
      <c r="AK910" s="24"/>
      <c r="AL910" s="16"/>
      <c r="AM910" s="16"/>
      <c r="AN910" s="16"/>
      <c r="AO910" s="16"/>
      <c r="AP910" s="16"/>
      <c r="AQ910" s="16"/>
      <c r="AR910" s="16"/>
      <c r="AS910" s="14"/>
      <c r="AT910" s="14"/>
      <c r="AU910" s="14"/>
      <c r="AV910" s="14"/>
      <c r="AW910" s="14"/>
      <c r="AX910" s="14"/>
      <c r="AY910" s="14"/>
      <c r="AZ910" s="14"/>
      <c r="BA910" s="14"/>
      <c r="BB910" s="7"/>
    </row>
    <row r="911" spans="7:54" x14ac:dyDescent="0.15">
      <c r="G911" s="7"/>
      <c r="H911" s="16"/>
      <c r="I911" s="16"/>
      <c r="J911" s="16"/>
      <c r="K911" s="16"/>
      <c r="L911" s="16"/>
      <c r="M911" s="16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24"/>
      <c r="AC911" s="16"/>
      <c r="AD911" s="16"/>
      <c r="AE911" s="16"/>
      <c r="AF911" s="16"/>
      <c r="AG911" s="14"/>
      <c r="AH911" s="14"/>
      <c r="AI911" s="24"/>
      <c r="AJ911" s="24"/>
      <c r="AK911" s="24"/>
      <c r="AL911" s="16"/>
      <c r="AM911" s="16"/>
      <c r="AN911" s="16"/>
      <c r="AO911" s="16"/>
      <c r="AP911" s="16"/>
      <c r="AQ911" s="16"/>
      <c r="AR911" s="16"/>
      <c r="AS911" s="14"/>
      <c r="AT911" s="14"/>
      <c r="AU911" s="14"/>
      <c r="AV911" s="14"/>
      <c r="AW911" s="14"/>
      <c r="AX911" s="14"/>
      <c r="AY911" s="14"/>
      <c r="AZ911" s="14"/>
      <c r="BA911" s="14"/>
      <c r="BB911" s="7"/>
    </row>
    <row r="912" spans="7:54" x14ac:dyDescent="0.15">
      <c r="G912" s="7"/>
      <c r="H912" s="16"/>
      <c r="I912" s="16"/>
      <c r="J912" s="16"/>
      <c r="K912" s="16"/>
      <c r="L912" s="16"/>
      <c r="M912" s="16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24"/>
      <c r="AC912" s="16"/>
      <c r="AD912" s="16"/>
      <c r="AE912" s="16"/>
      <c r="AF912" s="16"/>
      <c r="AG912" s="14"/>
      <c r="AH912" s="14"/>
      <c r="AI912" s="24"/>
      <c r="AJ912" s="24"/>
      <c r="AK912" s="24"/>
      <c r="AL912" s="16"/>
      <c r="AM912" s="16"/>
      <c r="AN912" s="16"/>
      <c r="AO912" s="16"/>
      <c r="AP912" s="16"/>
      <c r="AQ912" s="16"/>
      <c r="AR912" s="16"/>
      <c r="AS912" s="14"/>
      <c r="AT912" s="14"/>
      <c r="AU912" s="14"/>
      <c r="AV912" s="14"/>
      <c r="AW912" s="14"/>
      <c r="AX912" s="14"/>
      <c r="AY912" s="14"/>
      <c r="AZ912" s="14"/>
      <c r="BA912" s="14"/>
      <c r="BB912" s="7"/>
    </row>
    <row r="913" spans="7:54" x14ac:dyDescent="0.15">
      <c r="G913" s="7"/>
      <c r="H913" s="16"/>
      <c r="I913" s="16"/>
      <c r="J913" s="16"/>
      <c r="K913" s="16"/>
      <c r="L913" s="16"/>
      <c r="M913" s="16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24"/>
      <c r="AC913" s="16"/>
      <c r="AD913" s="16"/>
      <c r="AE913" s="16"/>
      <c r="AF913" s="16"/>
      <c r="AG913" s="14"/>
      <c r="AH913" s="14"/>
      <c r="AI913" s="24"/>
      <c r="AJ913" s="24"/>
      <c r="AK913" s="24"/>
      <c r="AL913" s="16"/>
      <c r="AM913" s="16"/>
      <c r="AN913" s="16"/>
      <c r="AO913" s="16"/>
      <c r="AP913" s="16"/>
      <c r="AQ913" s="16"/>
      <c r="AR913" s="16"/>
      <c r="AS913" s="14"/>
      <c r="AT913" s="14"/>
      <c r="AU913" s="14"/>
      <c r="AV913" s="14"/>
      <c r="AW913" s="14"/>
      <c r="AX913" s="14"/>
      <c r="AY913" s="14"/>
      <c r="AZ913" s="14"/>
      <c r="BA913" s="14"/>
      <c r="BB913" s="7"/>
    </row>
    <row r="914" spans="7:54" x14ac:dyDescent="0.15">
      <c r="G914" s="7"/>
      <c r="H914" s="16"/>
      <c r="I914" s="16"/>
      <c r="J914" s="16"/>
      <c r="K914" s="16"/>
      <c r="L914" s="16"/>
      <c r="M914" s="16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24"/>
      <c r="AC914" s="16"/>
      <c r="AD914" s="16"/>
      <c r="AE914" s="16"/>
      <c r="AF914" s="16"/>
      <c r="AG914" s="14"/>
      <c r="AH914" s="14"/>
      <c r="AI914" s="24"/>
      <c r="AJ914" s="24"/>
      <c r="AK914" s="24"/>
      <c r="AL914" s="16"/>
      <c r="AM914" s="16"/>
      <c r="AN914" s="16"/>
      <c r="AO914" s="16"/>
      <c r="AP914" s="16"/>
      <c r="AQ914" s="16"/>
      <c r="AR914" s="16"/>
      <c r="AS914" s="14"/>
      <c r="AT914" s="14"/>
      <c r="AU914" s="14"/>
      <c r="AV914" s="14"/>
      <c r="AW914" s="14"/>
      <c r="AX914" s="14"/>
      <c r="AY914" s="14"/>
      <c r="AZ914" s="14"/>
      <c r="BA914" s="14"/>
      <c r="BB914" s="7"/>
    </row>
    <row r="915" spans="7:54" x14ac:dyDescent="0.15">
      <c r="G915" s="7"/>
      <c r="H915" s="16"/>
      <c r="I915" s="16"/>
      <c r="J915" s="16"/>
      <c r="K915" s="16"/>
      <c r="L915" s="16"/>
      <c r="M915" s="16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24"/>
      <c r="AC915" s="16"/>
      <c r="AD915" s="16"/>
      <c r="AE915" s="16"/>
      <c r="AF915" s="16"/>
      <c r="AG915" s="14"/>
      <c r="AH915" s="14"/>
      <c r="AI915" s="24"/>
      <c r="AJ915" s="24"/>
      <c r="AK915" s="24"/>
      <c r="AL915" s="16"/>
      <c r="AM915" s="16"/>
      <c r="AN915" s="16"/>
      <c r="AO915" s="16"/>
      <c r="AP915" s="16"/>
      <c r="AQ915" s="16"/>
      <c r="AR915" s="16"/>
      <c r="AS915" s="14"/>
      <c r="AT915" s="14"/>
      <c r="AU915" s="14"/>
      <c r="AV915" s="14"/>
      <c r="AW915" s="14"/>
      <c r="AX915" s="14"/>
      <c r="AY915" s="14"/>
      <c r="AZ915" s="14"/>
      <c r="BA915" s="14"/>
      <c r="BB915" s="7"/>
    </row>
    <row r="916" spans="7:54" x14ac:dyDescent="0.15">
      <c r="G916" s="7"/>
      <c r="H916" s="16"/>
      <c r="I916" s="16"/>
      <c r="J916" s="16"/>
      <c r="K916" s="16"/>
      <c r="L916" s="16"/>
      <c r="M916" s="16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24"/>
      <c r="AC916" s="16"/>
      <c r="AD916" s="16"/>
      <c r="AE916" s="16"/>
      <c r="AF916" s="16"/>
      <c r="AG916" s="14"/>
      <c r="AH916" s="14"/>
      <c r="AI916" s="24"/>
      <c r="AJ916" s="24"/>
      <c r="AK916" s="24"/>
      <c r="AL916" s="16"/>
      <c r="AM916" s="16"/>
      <c r="AN916" s="16"/>
      <c r="AO916" s="16"/>
      <c r="AP916" s="16"/>
      <c r="AQ916" s="16"/>
      <c r="AR916" s="16"/>
      <c r="AS916" s="14"/>
      <c r="AT916" s="14"/>
      <c r="AU916" s="14"/>
      <c r="AV916" s="14"/>
      <c r="AW916" s="14"/>
      <c r="AX916" s="14"/>
      <c r="AY916" s="14"/>
      <c r="AZ916" s="14"/>
      <c r="BA916" s="14"/>
      <c r="BB916" s="7"/>
    </row>
    <row r="917" spans="7:54" x14ac:dyDescent="0.15">
      <c r="G917" s="7"/>
      <c r="H917" s="16"/>
      <c r="I917" s="16"/>
      <c r="J917" s="16"/>
      <c r="K917" s="16"/>
      <c r="L917" s="16"/>
      <c r="M917" s="16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24"/>
      <c r="AC917" s="16"/>
      <c r="AD917" s="16"/>
      <c r="AE917" s="16"/>
      <c r="AF917" s="16"/>
      <c r="AG917" s="14"/>
      <c r="AH917" s="14"/>
      <c r="AI917" s="24"/>
      <c r="AJ917" s="24"/>
      <c r="AK917" s="24"/>
      <c r="AL917" s="16"/>
      <c r="AM917" s="16"/>
      <c r="AN917" s="16"/>
      <c r="AO917" s="16"/>
      <c r="AP917" s="16"/>
      <c r="AQ917" s="16"/>
      <c r="AR917" s="16"/>
      <c r="AS917" s="14"/>
      <c r="AT917" s="14"/>
      <c r="AU917" s="14"/>
      <c r="AV917" s="14"/>
      <c r="AW917" s="14"/>
      <c r="AX917" s="14"/>
      <c r="AY917" s="14"/>
      <c r="AZ917" s="14"/>
      <c r="BA917" s="14"/>
      <c r="BB917" s="7"/>
    </row>
    <row r="918" spans="7:54" x14ac:dyDescent="0.15">
      <c r="G918" s="7"/>
      <c r="H918" s="16"/>
      <c r="I918" s="16"/>
      <c r="J918" s="16"/>
      <c r="K918" s="16"/>
      <c r="L918" s="16"/>
      <c r="M918" s="16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24"/>
      <c r="AC918" s="16"/>
      <c r="AD918" s="16"/>
      <c r="AE918" s="16"/>
      <c r="AF918" s="16"/>
      <c r="AG918" s="14"/>
      <c r="AH918" s="14"/>
      <c r="AI918" s="24"/>
      <c r="AJ918" s="24"/>
      <c r="AK918" s="24"/>
      <c r="AL918" s="16"/>
      <c r="AM918" s="16"/>
      <c r="AN918" s="16"/>
      <c r="AO918" s="16"/>
      <c r="AP918" s="16"/>
      <c r="AQ918" s="16"/>
      <c r="AR918" s="16"/>
      <c r="AS918" s="14"/>
      <c r="AT918" s="14"/>
      <c r="AU918" s="14"/>
      <c r="AV918" s="14"/>
      <c r="AW918" s="14"/>
      <c r="AX918" s="14"/>
      <c r="AY918" s="14"/>
      <c r="AZ918" s="14"/>
      <c r="BA918" s="14"/>
      <c r="BB918" s="7"/>
    </row>
    <row r="919" spans="7:54" x14ac:dyDescent="0.15">
      <c r="G919" s="7"/>
      <c r="H919" s="16"/>
      <c r="I919" s="16"/>
      <c r="J919" s="16"/>
      <c r="K919" s="16"/>
      <c r="L919" s="16"/>
      <c r="M919" s="16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24"/>
      <c r="AC919" s="16"/>
      <c r="AD919" s="16"/>
      <c r="AE919" s="16"/>
      <c r="AF919" s="16"/>
      <c r="AG919" s="14"/>
      <c r="AH919" s="14"/>
      <c r="AI919" s="24"/>
      <c r="AJ919" s="24"/>
      <c r="AK919" s="24"/>
      <c r="AL919" s="16"/>
      <c r="AM919" s="16"/>
      <c r="AN919" s="16"/>
      <c r="AO919" s="16"/>
      <c r="AP919" s="16"/>
      <c r="AQ919" s="16"/>
      <c r="AR919" s="16"/>
      <c r="AS919" s="14"/>
      <c r="AT919" s="14"/>
      <c r="AU919" s="14"/>
      <c r="AV919" s="14"/>
      <c r="AW919" s="14"/>
      <c r="AX919" s="14"/>
      <c r="AY919" s="14"/>
      <c r="AZ919" s="14"/>
      <c r="BA919" s="14"/>
      <c r="BB919" s="7"/>
    </row>
    <row r="920" spans="7:54" x14ac:dyDescent="0.15">
      <c r="G920" s="7"/>
      <c r="H920" s="16"/>
      <c r="I920" s="16"/>
      <c r="J920" s="16"/>
      <c r="K920" s="16"/>
      <c r="L920" s="16"/>
      <c r="M920" s="16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24"/>
      <c r="AC920" s="16"/>
      <c r="AD920" s="16"/>
      <c r="AE920" s="16"/>
      <c r="AF920" s="16"/>
      <c r="AG920" s="14"/>
      <c r="AH920" s="14"/>
      <c r="AI920" s="24"/>
      <c r="AJ920" s="24"/>
      <c r="AK920" s="24"/>
      <c r="AL920" s="16"/>
      <c r="AM920" s="16"/>
      <c r="AN920" s="16"/>
      <c r="AO920" s="16"/>
      <c r="AP920" s="16"/>
      <c r="AQ920" s="16"/>
      <c r="AR920" s="16"/>
      <c r="AS920" s="14"/>
      <c r="AT920" s="14"/>
      <c r="AU920" s="14"/>
      <c r="AV920" s="14"/>
      <c r="AW920" s="14"/>
      <c r="AX920" s="14"/>
      <c r="AY920" s="14"/>
      <c r="AZ920" s="14"/>
      <c r="BA920" s="14"/>
      <c r="BB920" s="7"/>
    </row>
    <row r="921" spans="7:54" x14ac:dyDescent="0.15">
      <c r="G921" s="7"/>
      <c r="H921" s="16"/>
      <c r="I921" s="16"/>
      <c r="J921" s="16"/>
      <c r="K921" s="16"/>
      <c r="L921" s="16"/>
      <c r="M921" s="16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24"/>
      <c r="AC921" s="16"/>
      <c r="AD921" s="16"/>
      <c r="AE921" s="16"/>
      <c r="AF921" s="16"/>
      <c r="AG921" s="14"/>
      <c r="AH921" s="14"/>
      <c r="AI921" s="24"/>
      <c r="AJ921" s="24"/>
      <c r="AK921" s="24"/>
      <c r="AL921" s="16"/>
      <c r="AM921" s="16"/>
      <c r="AN921" s="16"/>
      <c r="AO921" s="16"/>
      <c r="AP921" s="16"/>
      <c r="AQ921" s="16"/>
      <c r="AR921" s="16"/>
      <c r="AS921" s="14"/>
      <c r="AT921" s="14"/>
      <c r="AU921" s="14"/>
      <c r="AV921" s="14"/>
      <c r="AW921" s="14"/>
      <c r="AX921" s="14"/>
      <c r="AY921" s="14"/>
      <c r="AZ921" s="14"/>
      <c r="BA921" s="14"/>
      <c r="BB921" s="7"/>
    </row>
    <row r="922" spans="7:54" x14ac:dyDescent="0.15">
      <c r="G922" s="7"/>
      <c r="H922" s="16"/>
      <c r="I922" s="16"/>
      <c r="J922" s="16"/>
      <c r="K922" s="16"/>
      <c r="L922" s="16"/>
      <c r="M922" s="16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24"/>
      <c r="AC922" s="16"/>
      <c r="AD922" s="16"/>
      <c r="AE922" s="16"/>
      <c r="AF922" s="16"/>
      <c r="AG922" s="14"/>
      <c r="AH922" s="14"/>
      <c r="AI922" s="24"/>
      <c r="AJ922" s="24"/>
      <c r="AK922" s="24"/>
      <c r="AL922" s="16"/>
      <c r="AM922" s="16"/>
      <c r="AN922" s="16"/>
      <c r="AO922" s="16"/>
      <c r="AP922" s="16"/>
      <c r="AQ922" s="16"/>
      <c r="AR922" s="16"/>
      <c r="AS922" s="14"/>
      <c r="AT922" s="14"/>
      <c r="AU922" s="14"/>
      <c r="AV922" s="14"/>
      <c r="AW922" s="14"/>
      <c r="AX922" s="14"/>
      <c r="AY922" s="14"/>
      <c r="AZ922" s="14"/>
      <c r="BA922" s="14"/>
      <c r="BB922" s="7"/>
    </row>
    <row r="923" spans="7:54" x14ac:dyDescent="0.15">
      <c r="G923" s="7"/>
      <c r="H923" s="16"/>
      <c r="I923" s="16"/>
      <c r="J923" s="16"/>
      <c r="K923" s="16"/>
      <c r="L923" s="16"/>
      <c r="M923" s="16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24"/>
      <c r="AC923" s="16"/>
      <c r="AD923" s="16"/>
      <c r="AE923" s="16"/>
      <c r="AF923" s="16"/>
      <c r="AG923" s="14"/>
      <c r="AH923" s="14"/>
      <c r="AI923" s="24"/>
      <c r="AJ923" s="24"/>
      <c r="AK923" s="24"/>
      <c r="AL923" s="16"/>
      <c r="AM923" s="16"/>
      <c r="AN923" s="16"/>
      <c r="AO923" s="16"/>
      <c r="AP923" s="16"/>
      <c r="AQ923" s="16"/>
      <c r="AR923" s="16"/>
      <c r="AS923" s="14"/>
      <c r="AT923" s="14"/>
      <c r="AU923" s="14"/>
      <c r="AV923" s="14"/>
      <c r="AW923" s="14"/>
      <c r="AX923" s="14"/>
      <c r="AY923" s="14"/>
      <c r="AZ923" s="14"/>
      <c r="BA923" s="14"/>
      <c r="BB923" s="7"/>
    </row>
    <row r="924" spans="7:54" x14ac:dyDescent="0.15">
      <c r="G924" s="7"/>
      <c r="H924" s="16"/>
      <c r="I924" s="16"/>
      <c r="J924" s="16"/>
      <c r="K924" s="16"/>
      <c r="L924" s="16"/>
      <c r="M924" s="16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24"/>
      <c r="AC924" s="16"/>
      <c r="AD924" s="16"/>
      <c r="AE924" s="16"/>
      <c r="AF924" s="16"/>
      <c r="AG924" s="14"/>
      <c r="AH924" s="14"/>
      <c r="AI924" s="24"/>
      <c r="AJ924" s="24"/>
      <c r="AK924" s="24"/>
      <c r="AL924" s="16"/>
      <c r="AM924" s="16"/>
      <c r="AN924" s="16"/>
      <c r="AO924" s="16"/>
      <c r="AP924" s="16"/>
      <c r="AQ924" s="16"/>
      <c r="AR924" s="16"/>
      <c r="AS924" s="14"/>
      <c r="AT924" s="14"/>
      <c r="AU924" s="14"/>
      <c r="AV924" s="14"/>
      <c r="AW924" s="14"/>
      <c r="AX924" s="14"/>
      <c r="AY924" s="14"/>
      <c r="AZ924" s="14"/>
      <c r="BA924" s="14"/>
      <c r="BB924" s="7"/>
    </row>
    <row r="925" spans="7:54" x14ac:dyDescent="0.15">
      <c r="G925" s="7"/>
      <c r="H925" s="16"/>
      <c r="I925" s="16"/>
      <c r="J925" s="16"/>
      <c r="K925" s="16"/>
      <c r="L925" s="16"/>
      <c r="M925" s="16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24"/>
      <c r="AC925" s="16"/>
      <c r="AD925" s="16"/>
      <c r="AE925" s="16"/>
      <c r="AF925" s="16"/>
      <c r="AG925" s="14"/>
      <c r="AH925" s="14"/>
      <c r="AI925" s="24"/>
      <c r="AJ925" s="24"/>
      <c r="AK925" s="24"/>
      <c r="AL925" s="16"/>
      <c r="AM925" s="16"/>
      <c r="AN925" s="16"/>
      <c r="AO925" s="16"/>
      <c r="AP925" s="16"/>
      <c r="AQ925" s="16"/>
      <c r="AR925" s="16"/>
      <c r="AS925" s="14"/>
      <c r="AT925" s="14"/>
      <c r="AU925" s="14"/>
      <c r="AV925" s="14"/>
      <c r="AW925" s="14"/>
      <c r="AX925" s="14"/>
      <c r="AY925" s="14"/>
      <c r="AZ925" s="14"/>
      <c r="BA925" s="14"/>
      <c r="BB925" s="7"/>
    </row>
    <row r="926" spans="7:54" x14ac:dyDescent="0.15">
      <c r="G926" s="7"/>
      <c r="H926" s="16"/>
      <c r="I926" s="16"/>
      <c r="J926" s="16"/>
      <c r="K926" s="16"/>
      <c r="L926" s="16"/>
      <c r="M926" s="16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24"/>
      <c r="AC926" s="16"/>
      <c r="AD926" s="16"/>
      <c r="AE926" s="16"/>
      <c r="AF926" s="16"/>
      <c r="AG926" s="14"/>
      <c r="AH926" s="14"/>
      <c r="AI926" s="24"/>
      <c r="AJ926" s="24"/>
      <c r="AK926" s="24"/>
      <c r="AL926" s="16"/>
      <c r="AM926" s="16"/>
      <c r="AN926" s="16"/>
      <c r="AO926" s="16"/>
      <c r="AP926" s="16"/>
      <c r="AQ926" s="16"/>
      <c r="AR926" s="16"/>
      <c r="AS926" s="14"/>
      <c r="AT926" s="14"/>
      <c r="AU926" s="14"/>
      <c r="AV926" s="14"/>
      <c r="AW926" s="14"/>
      <c r="AX926" s="14"/>
      <c r="AY926" s="14"/>
      <c r="AZ926" s="14"/>
      <c r="BA926" s="14"/>
      <c r="BB926" s="7"/>
    </row>
    <row r="927" spans="7:54" x14ac:dyDescent="0.15">
      <c r="G927" s="7"/>
      <c r="H927" s="16"/>
      <c r="I927" s="16"/>
      <c r="J927" s="16"/>
      <c r="K927" s="16"/>
      <c r="L927" s="16"/>
      <c r="M927" s="16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24"/>
      <c r="AC927" s="16"/>
      <c r="AD927" s="16"/>
      <c r="AE927" s="16"/>
      <c r="AF927" s="16"/>
      <c r="AG927" s="14"/>
      <c r="AH927" s="14"/>
      <c r="AI927" s="24"/>
      <c r="AJ927" s="24"/>
      <c r="AK927" s="24"/>
      <c r="AL927" s="16"/>
      <c r="AM927" s="16"/>
      <c r="AN927" s="16"/>
      <c r="AO927" s="16"/>
      <c r="AP927" s="16"/>
      <c r="AQ927" s="16"/>
      <c r="AR927" s="16"/>
      <c r="AS927" s="14"/>
      <c r="AT927" s="14"/>
      <c r="AU927" s="14"/>
      <c r="AV927" s="14"/>
      <c r="AW927" s="14"/>
      <c r="AX927" s="14"/>
      <c r="AY927" s="14"/>
      <c r="AZ927" s="14"/>
      <c r="BA927" s="14"/>
      <c r="BB927" s="7"/>
    </row>
    <row r="928" spans="7:54" x14ac:dyDescent="0.15">
      <c r="G928" s="7"/>
      <c r="H928" s="16"/>
      <c r="I928" s="16"/>
      <c r="J928" s="16"/>
      <c r="K928" s="16"/>
      <c r="L928" s="16"/>
      <c r="M928" s="16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24"/>
      <c r="AC928" s="16"/>
      <c r="AD928" s="16"/>
      <c r="AE928" s="16"/>
      <c r="AF928" s="16"/>
      <c r="AG928" s="14"/>
      <c r="AH928" s="14"/>
      <c r="AI928" s="24"/>
      <c r="AJ928" s="24"/>
      <c r="AK928" s="24"/>
      <c r="AL928" s="16"/>
      <c r="AM928" s="16"/>
      <c r="AN928" s="16"/>
      <c r="AO928" s="16"/>
      <c r="AP928" s="16"/>
      <c r="AQ928" s="16"/>
      <c r="AR928" s="16"/>
      <c r="AS928" s="14"/>
      <c r="AT928" s="14"/>
      <c r="AU928" s="14"/>
      <c r="AV928" s="14"/>
      <c r="AW928" s="14"/>
      <c r="AX928" s="14"/>
      <c r="AY928" s="14"/>
      <c r="AZ928" s="14"/>
      <c r="BA928" s="14"/>
      <c r="BB928" s="7"/>
    </row>
    <row r="929" spans="7:54" x14ac:dyDescent="0.15">
      <c r="G929" s="7"/>
      <c r="H929" s="16"/>
      <c r="I929" s="16"/>
      <c r="J929" s="16"/>
      <c r="K929" s="16"/>
      <c r="L929" s="16"/>
      <c r="M929" s="16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24"/>
      <c r="AC929" s="16"/>
      <c r="AD929" s="16"/>
      <c r="AE929" s="16"/>
      <c r="AF929" s="16"/>
      <c r="AG929" s="14"/>
      <c r="AH929" s="14"/>
      <c r="AI929" s="24"/>
      <c r="AJ929" s="24"/>
      <c r="AK929" s="24"/>
      <c r="AL929" s="16"/>
      <c r="AM929" s="16"/>
      <c r="AN929" s="16"/>
      <c r="AO929" s="16"/>
      <c r="AP929" s="16"/>
      <c r="AQ929" s="16"/>
      <c r="AR929" s="16"/>
      <c r="AS929" s="14"/>
      <c r="AT929" s="14"/>
      <c r="AU929" s="14"/>
      <c r="AV929" s="14"/>
      <c r="AW929" s="14"/>
      <c r="AX929" s="14"/>
      <c r="AY929" s="14"/>
      <c r="AZ929" s="14"/>
      <c r="BA929" s="14"/>
      <c r="BB929" s="7"/>
    </row>
    <row r="930" spans="7:54" x14ac:dyDescent="0.15">
      <c r="G930" s="7"/>
      <c r="H930" s="16"/>
      <c r="I930" s="16"/>
      <c r="J930" s="16"/>
      <c r="K930" s="16"/>
      <c r="L930" s="16"/>
      <c r="M930" s="16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24"/>
      <c r="AC930" s="16"/>
      <c r="AD930" s="16"/>
      <c r="AE930" s="16"/>
      <c r="AF930" s="16"/>
      <c r="AG930" s="14"/>
      <c r="AH930" s="14"/>
      <c r="AI930" s="24"/>
      <c r="AJ930" s="24"/>
      <c r="AK930" s="24"/>
      <c r="AL930" s="16"/>
      <c r="AM930" s="16"/>
      <c r="AN930" s="16"/>
      <c r="AO930" s="16"/>
      <c r="AP930" s="16"/>
      <c r="AQ930" s="16"/>
      <c r="AR930" s="16"/>
      <c r="AS930" s="14"/>
      <c r="AT930" s="14"/>
      <c r="AU930" s="14"/>
      <c r="AV930" s="14"/>
      <c r="AW930" s="14"/>
      <c r="AX930" s="14"/>
      <c r="AY930" s="14"/>
      <c r="AZ930" s="14"/>
      <c r="BA930" s="14"/>
      <c r="BB930" s="7"/>
    </row>
    <row r="931" spans="7:54" x14ac:dyDescent="0.15">
      <c r="G931" s="7"/>
      <c r="H931" s="16"/>
      <c r="I931" s="16"/>
      <c r="J931" s="16"/>
      <c r="K931" s="16"/>
      <c r="L931" s="16"/>
      <c r="M931" s="16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24"/>
      <c r="AC931" s="16"/>
      <c r="AD931" s="16"/>
      <c r="AE931" s="16"/>
      <c r="AF931" s="16"/>
      <c r="AG931" s="14"/>
      <c r="AH931" s="14"/>
      <c r="AI931" s="24"/>
      <c r="AJ931" s="24"/>
      <c r="AK931" s="24"/>
      <c r="AL931" s="16"/>
      <c r="AM931" s="16"/>
      <c r="AN931" s="16"/>
      <c r="AO931" s="16"/>
      <c r="AP931" s="16"/>
      <c r="AQ931" s="16"/>
      <c r="AR931" s="16"/>
      <c r="AS931" s="14"/>
      <c r="AT931" s="14"/>
      <c r="AU931" s="14"/>
      <c r="AV931" s="14"/>
      <c r="AW931" s="14"/>
      <c r="AX931" s="14"/>
      <c r="AY931" s="14"/>
      <c r="AZ931" s="14"/>
      <c r="BA931" s="14"/>
      <c r="BB931" s="7"/>
    </row>
    <row r="932" spans="7:54" x14ac:dyDescent="0.15">
      <c r="G932" s="7"/>
      <c r="H932" s="16"/>
      <c r="I932" s="16"/>
      <c r="J932" s="16"/>
      <c r="K932" s="16"/>
      <c r="L932" s="16"/>
      <c r="M932" s="16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24"/>
      <c r="AC932" s="16"/>
      <c r="AD932" s="16"/>
      <c r="AE932" s="16"/>
      <c r="AF932" s="16"/>
      <c r="AG932" s="14"/>
      <c r="AH932" s="14"/>
      <c r="AI932" s="24"/>
      <c r="AJ932" s="24"/>
      <c r="AK932" s="24"/>
      <c r="AL932" s="16"/>
      <c r="AM932" s="16"/>
      <c r="AN932" s="16"/>
      <c r="AO932" s="16"/>
      <c r="AP932" s="16"/>
      <c r="AQ932" s="16"/>
      <c r="AR932" s="16"/>
      <c r="AS932" s="14"/>
      <c r="AT932" s="14"/>
      <c r="AU932" s="14"/>
      <c r="AV932" s="14"/>
      <c r="AW932" s="14"/>
      <c r="AX932" s="14"/>
      <c r="AY932" s="14"/>
      <c r="AZ932" s="14"/>
      <c r="BA932" s="14"/>
      <c r="BB932" s="7"/>
    </row>
    <row r="933" spans="7:54" x14ac:dyDescent="0.15">
      <c r="G933" s="7"/>
      <c r="H933" s="16"/>
      <c r="I933" s="16"/>
      <c r="J933" s="16"/>
      <c r="K933" s="16"/>
      <c r="L933" s="16"/>
      <c r="M933" s="16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24"/>
      <c r="AC933" s="16"/>
      <c r="AD933" s="16"/>
      <c r="AE933" s="16"/>
      <c r="AF933" s="16"/>
      <c r="AG933" s="14"/>
      <c r="AH933" s="14"/>
      <c r="AI933" s="24"/>
      <c r="AJ933" s="24"/>
      <c r="AK933" s="24"/>
      <c r="AL933" s="16"/>
      <c r="AM933" s="16"/>
      <c r="AN933" s="16"/>
      <c r="AO933" s="16"/>
      <c r="AP933" s="16"/>
      <c r="AQ933" s="16"/>
      <c r="AR933" s="16"/>
      <c r="AS933" s="14"/>
      <c r="AT933" s="14"/>
      <c r="AU933" s="14"/>
      <c r="AV933" s="14"/>
      <c r="AW933" s="14"/>
      <c r="AX933" s="14"/>
      <c r="AY933" s="14"/>
      <c r="AZ933" s="14"/>
      <c r="BA933" s="14"/>
      <c r="BB933" s="7"/>
    </row>
    <row r="934" spans="7:54" x14ac:dyDescent="0.15">
      <c r="G934" s="7"/>
      <c r="H934" s="16"/>
      <c r="I934" s="16"/>
      <c r="J934" s="16"/>
      <c r="K934" s="16"/>
      <c r="L934" s="16"/>
      <c r="M934" s="16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24"/>
      <c r="AC934" s="16"/>
      <c r="AD934" s="16"/>
      <c r="AE934" s="16"/>
      <c r="AF934" s="16"/>
      <c r="AG934" s="14"/>
      <c r="AH934" s="14"/>
      <c r="AI934" s="24"/>
      <c r="AJ934" s="24"/>
      <c r="AK934" s="24"/>
      <c r="AL934" s="16"/>
      <c r="AM934" s="16"/>
      <c r="AN934" s="16"/>
      <c r="AO934" s="16"/>
      <c r="AP934" s="16"/>
      <c r="AQ934" s="16"/>
      <c r="AR934" s="16"/>
      <c r="AS934" s="14"/>
      <c r="AT934" s="14"/>
      <c r="AU934" s="14"/>
      <c r="AV934" s="14"/>
      <c r="AW934" s="14"/>
      <c r="AX934" s="14"/>
      <c r="AY934" s="14"/>
      <c r="AZ934" s="14"/>
      <c r="BA934" s="14"/>
      <c r="BB934" s="7"/>
    </row>
    <row r="935" spans="7:54" x14ac:dyDescent="0.15">
      <c r="G935" s="7"/>
      <c r="H935" s="16"/>
      <c r="I935" s="16"/>
      <c r="J935" s="16"/>
      <c r="K935" s="16"/>
      <c r="L935" s="16"/>
      <c r="M935" s="16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24"/>
      <c r="AC935" s="16"/>
      <c r="AD935" s="16"/>
      <c r="AE935" s="16"/>
      <c r="AF935" s="16"/>
      <c r="AG935" s="14"/>
      <c r="AH935" s="14"/>
      <c r="AI935" s="24"/>
      <c r="AJ935" s="24"/>
      <c r="AK935" s="24"/>
      <c r="AL935" s="16"/>
      <c r="AM935" s="16"/>
      <c r="AN935" s="16"/>
      <c r="AO935" s="16"/>
      <c r="AP935" s="16"/>
      <c r="AQ935" s="16"/>
      <c r="AR935" s="16"/>
      <c r="AS935" s="14"/>
      <c r="AT935" s="14"/>
      <c r="AU935" s="14"/>
      <c r="AV935" s="14"/>
      <c r="AW935" s="14"/>
      <c r="AX935" s="14"/>
      <c r="AY935" s="14"/>
      <c r="AZ935" s="14"/>
      <c r="BA935" s="14"/>
      <c r="BB935" s="7"/>
    </row>
    <row r="936" spans="7:54" x14ac:dyDescent="0.15">
      <c r="G936" s="7"/>
      <c r="H936" s="16"/>
      <c r="I936" s="16"/>
      <c r="J936" s="16"/>
      <c r="K936" s="16"/>
      <c r="L936" s="16"/>
      <c r="M936" s="16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24"/>
      <c r="AC936" s="16"/>
      <c r="AD936" s="16"/>
      <c r="AE936" s="16"/>
      <c r="AF936" s="16"/>
      <c r="AG936" s="14"/>
      <c r="AH936" s="14"/>
      <c r="AI936" s="24"/>
      <c r="AJ936" s="24"/>
      <c r="AK936" s="24"/>
      <c r="AL936" s="16"/>
      <c r="AM936" s="16"/>
      <c r="AN936" s="16"/>
      <c r="AO936" s="16"/>
      <c r="AP936" s="16"/>
      <c r="AQ936" s="16"/>
      <c r="AR936" s="16"/>
      <c r="AS936" s="14"/>
      <c r="AT936" s="14"/>
      <c r="AU936" s="14"/>
      <c r="AV936" s="14"/>
      <c r="AW936" s="14"/>
      <c r="AX936" s="14"/>
      <c r="AY936" s="14"/>
      <c r="AZ936" s="14"/>
      <c r="BA936" s="14"/>
      <c r="BB936" s="7"/>
    </row>
    <row r="937" spans="7:54" x14ac:dyDescent="0.15">
      <c r="G937" s="7"/>
      <c r="H937" s="16"/>
      <c r="I937" s="16"/>
      <c r="J937" s="16"/>
      <c r="K937" s="16"/>
      <c r="L937" s="16"/>
      <c r="M937" s="16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24"/>
      <c r="AC937" s="16"/>
      <c r="AD937" s="16"/>
      <c r="AE937" s="16"/>
      <c r="AF937" s="16"/>
      <c r="AG937" s="14"/>
      <c r="AH937" s="14"/>
      <c r="AI937" s="24"/>
      <c r="AJ937" s="24"/>
      <c r="AK937" s="24"/>
      <c r="AL937" s="16"/>
      <c r="AM937" s="16"/>
      <c r="AN937" s="16"/>
      <c r="AO937" s="16"/>
      <c r="AP937" s="16"/>
      <c r="AQ937" s="16"/>
      <c r="AR937" s="16"/>
      <c r="AS937" s="14"/>
      <c r="AT937" s="14"/>
      <c r="AU937" s="14"/>
      <c r="AV937" s="14"/>
      <c r="AW937" s="14"/>
      <c r="AX937" s="14"/>
      <c r="AY937" s="14"/>
      <c r="AZ937" s="14"/>
      <c r="BA937" s="14"/>
      <c r="BB937" s="7"/>
    </row>
    <row r="938" spans="7:54" x14ac:dyDescent="0.15">
      <c r="G938" s="7"/>
      <c r="H938" s="16"/>
      <c r="I938" s="16"/>
      <c r="J938" s="16"/>
      <c r="K938" s="16"/>
      <c r="L938" s="16"/>
      <c r="M938" s="16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24"/>
      <c r="AC938" s="16"/>
      <c r="AD938" s="16"/>
      <c r="AE938" s="16"/>
      <c r="AF938" s="16"/>
      <c r="AG938" s="14"/>
      <c r="AH938" s="14"/>
      <c r="AI938" s="24"/>
      <c r="AJ938" s="24"/>
      <c r="AK938" s="24"/>
      <c r="AL938" s="16"/>
      <c r="AM938" s="16"/>
      <c r="AN938" s="16"/>
      <c r="AO938" s="16"/>
      <c r="AP938" s="16"/>
      <c r="AQ938" s="16"/>
      <c r="AR938" s="16"/>
      <c r="AS938" s="14"/>
      <c r="AT938" s="14"/>
      <c r="AU938" s="14"/>
      <c r="AV938" s="14"/>
      <c r="AW938" s="14"/>
      <c r="AX938" s="14"/>
      <c r="AY938" s="14"/>
      <c r="AZ938" s="14"/>
      <c r="BA938" s="14"/>
      <c r="BB938" s="7"/>
    </row>
    <row r="939" spans="7:54" x14ac:dyDescent="0.15">
      <c r="G939" s="7"/>
      <c r="H939" s="16"/>
      <c r="I939" s="16"/>
      <c r="J939" s="16"/>
      <c r="K939" s="16"/>
      <c r="L939" s="16"/>
      <c r="M939" s="16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24"/>
      <c r="AC939" s="16"/>
      <c r="AD939" s="16"/>
      <c r="AE939" s="16"/>
      <c r="AF939" s="16"/>
      <c r="AG939" s="14"/>
      <c r="AH939" s="14"/>
      <c r="AI939" s="24"/>
      <c r="AJ939" s="24"/>
      <c r="AK939" s="24"/>
      <c r="AL939" s="16"/>
      <c r="AM939" s="16"/>
      <c r="AN939" s="16"/>
      <c r="AO939" s="16"/>
      <c r="AP939" s="16"/>
      <c r="AQ939" s="16"/>
      <c r="AR939" s="16"/>
      <c r="AS939" s="14"/>
      <c r="AT939" s="14"/>
      <c r="AU939" s="14"/>
      <c r="AV939" s="14"/>
      <c r="AW939" s="14"/>
      <c r="AX939" s="14"/>
      <c r="AY939" s="14"/>
      <c r="AZ939" s="14"/>
      <c r="BA939" s="14"/>
      <c r="BB939" s="7"/>
    </row>
    <row r="940" spans="7:54" x14ac:dyDescent="0.15">
      <c r="G940" s="7"/>
      <c r="H940" s="16"/>
      <c r="I940" s="16"/>
      <c r="J940" s="16"/>
      <c r="K940" s="16"/>
      <c r="L940" s="16"/>
      <c r="M940" s="16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24"/>
      <c r="AC940" s="16"/>
      <c r="AD940" s="16"/>
      <c r="AE940" s="16"/>
      <c r="AF940" s="16"/>
      <c r="AG940" s="14"/>
      <c r="AH940" s="14"/>
      <c r="AI940" s="24"/>
      <c r="AJ940" s="24"/>
      <c r="AK940" s="24"/>
      <c r="AL940" s="16"/>
      <c r="AM940" s="16"/>
      <c r="AN940" s="16"/>
      <c r="AO940" s="16"/>
      <c r="AP940" s="16"/>
      <c r="AQ940" s="16"/>
      <c r="AR940" s="16"/>
      <c r="AS940" s="14"/>
      <c r="AT940" s="14"/>
      <c r="AU940" s="14"/>
      <c r="AV940" s="14"/>
      <c r="AW940" s="14"/>
      <c r="AX940" s="14"/>
      <c r="AY940" s="14"/>
      <c r="AZ940" s="14"/>
      <c r="BA940" s="14"/>
      <c r="BB940" s="7"/>
    </row>
    <row r="941" spans="7:54" x14ac:dyDescent="0.15">
      <c r="G941" s="7"/>
      <c r="H941" s="16"/>
      <c r="I941" s="16"/>
      <c r="J941" s="16"/>
      <c r="K941" s="16"/>
      <c r="L941" s="16"/>
      <c r="M941" s="16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24"/>
      <c r="AC941" s="16"/>
      <c r="AD941" s="16"/>
      <c r="AE941" s="16"/>
      <c r="AF941" s="16"/>
      <c r="AG941" s="14"/>
      <c r="AH941" s="14"/>
      <c r="AI941" s="24"/>
      <c r="AJ941" s="24"/>
      <c r="AK941" s="24"/>
      <c r="AL941" s="16"/>
      <c r="AM941" s="16"/>
      <c r="AN941" s="16"/>
      <c r="AO941" s="16"/>
      <c r="AP941" s="16"/>
      <c r="AQ941" s="16"/>
      <c r="AR941" s="16"/>
      <c r="AS941" s="14"/>
      <c r="AT941" s="14"/>
      <c r="AU941" s="14"/>
      <c r="AV941" s="14"/>
      <c r="AW941" s="14"/>
      <c r="AX941" s="14"/>
      <c r="AY941" s="14"/>
      <c r="AZ941" s="14"/>
      <c r="BA941" s="14"/>
      <c r="BB941" s="7"/>
    </row>
    <row r="942" spans="7:54" x14ac:dyDescent="0.15">
      <c r="G942" s="7"/>
      <c r="H942" s="16"/>
      <c r="I942" s="16"/>
      <c r="J942" s="16"/>
      <c r="K942" s="16"/>
      <c r="L942" s="16"/>
      <c r="M942" s="16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24"/>
      <c r="AC942" s="16"/>
      <c r="AD942" s="16"/>
      <c r="AE942" s="16"/>
      <c r="AF942" s="16"/>
      <c r="AG942" s="14"/>
      <c r="AH942" s="14"/>
      <c r="AI942" s="24"/>
      <c r="AJ942" s="24"/>
      <c r="AK942" s="24"/>
      <c r="AL942" s="16"/>
      <c r="AM942" s="16"/>
      <c r="AN942" s="16"/>
      <c r="AO942" s="16"/>
      <c r="AP942" s="16"/>
      <c r="AQ942" s="16"/>
      <c r="AR942" s="16"/>
      <c r="AS942" s="14"/>
      <c r="AT942" s="14"/>
      <c r="AU942" s="14"/>
      <c r="AV942" s="14"/>
      <c r="AW942" s="14"/>
      <c r="AX942" s="14"/>
      <c r="AY942" s="14"/>
      <c r="AZ942" s="14"/>
      <c r="BA942" s="14"/>
      <c r="BB942" s="7"/>
    </row>
    <row r="943" spans="7:54" x14ac:dyDescent="0.15">
      <c r="G943" s="7"/>
      <c r="H943" s="16"/>
      <c r="I943" s="16"/>
      <c r="J943" s="16"/>
      <c r="K943" s="16"/>
      <c r="L943" s="16"/>
      <c r="M943" s="16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24"/>
      <c r="AC943" s="16"/>
      <c r="AD943" s="16"/>
      <c r="AE943" s="16"/>
      <c r="AF943" s="16"/>
      <c r="AG943" s="14"/>
      <c r="AH943" s="14"/>
      <c r="AI943" s="24"/>
      <c r="AJ943" s="24"/>
      <c r="AK943" s="24"/>
      <c r="AL943" s="16"/>
      <c r="AM943" s="16"/>
      <c r="AN943" s="16"/>
      <c r="AO943" s="16"/>
      <c r="AP943" s="16"/>
      <c r="AQ943" s="16"/>
      <c r="AR943" s="16"/>
      <c r="AS943" s="14"/>
      <c r="AT943" s="14"/>
      <c r="AU943" s="14"/>
      <c r="AV943" s="14"/>
      <c r="AW943" s="14"/>
      <c r="AX943" s="14"/>
      <c r="AY943" s="14"/>
      <c r="AZ943" s="14"/>
      <c r="BA943" s="14"/>
      <c r="BB943" s="7"/>
    </row>
    <row r="944" spans="7:54" x14ac:dyDescent="0.15">
      <c r="G944" s="7"/>
      <c r="H944" s="16"/>
      <c r="I944" s="16"/>
      <c r="J944" s="16"/>
      <c r="K944" s="16"/>
      <c r="L944" s="16"/>
      <c r="M944" s="16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24"/>
      <c r="AC944" s="16"/>
      <c r="AD944" s="16"/>
      <c r="AE944" s="16"/>
      <c r="AF944" s="16"/>
      <c r="AG944" s="14"/>
      <c r="AH944" s="14"/>
      <c r="AI944" s="24"/>
      <c r="AJ944" s="24"/>
      <c r="AK944" s="24"/>
      <c r="AL944" s="16"/>
      <c r="AM944" s="16"/>
      <c r="AN944" s="16"/>
      <c r="AO944" s="16"/>
      <c r="AP944" s="16"/>
      <c r="AQ944" s="16"/>
      <c r="AR944" s="16"/>
      <c r="AS944" s="14"/>
      <c r="AT944" s="14"/>
      <c r="AU944" s="14"/>
      <c r="AV944" s="14"/>
      <c r="AW944" s="14"/>
      <c r="AX944" s="14"/>
      <c r="AY944" s="14"/>
      <c r="AZ944" s="14"/>
      <c r="BA944" s="14"/>
      <c r="BB944" s="7"/>
    </row>
    <row r="945" spans="7:54" x14ac:dyDescent="0.15">
      <c r="G945" s="7"/>
      <c r="H945" s="16"/>
      <c r="I945" s="16"/>
      <c r="J945" s="16"/>
      <c r="K945" s="16"/>
      <c r="L945" s="16"/>
      <c r="M945" s="16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24"/>
      <c r="AC945" s="16"/>
      <c r="AD945" s="16"/>
      <c r="AE945" s="16"/>
      <c r="AF945" s="16"/>
      <c r="AG945" s="14"/>
      <c r="AH945" s="14"/>
      <c r="AI945" s="24"/>
      <c r="AJ945" s="24"/>
      <c r="AK945" s="24"/>
      <c r="AL945" s="16"/>
      <c r="AM945" s="16"/>
      <c r="AN945" s="16"/>
      <c r="AO945" s="16"/>
      <c r="AP945" s="16"/>
      <c r="AQ945" s="16"/>
      <c r="AR945" s="16"/>
      <c r="AS945" s="14"/>
      <c r="AT945" s="14"/>
      <c r="AU945" s="14"/>
      <c r="AV945" s="14"/>
      <c r="AW945" s="14"/>
      <c r="AX945" s="14"/>
      <c r="AY945" s="14"/>
      <c r="AZ945" s="14"/>
      <c r="BA945" s="14"/>
      <c r="BB945" s="7"/>
    </row>
    <row r="946" spans="7:54" x14ac:dyDescent="0.15">
      <c r="G946" s="7"/>
      <c r="H946" s="16"/>
      <c r="I946" s="16"/>
      <c r="J946" s="16"/>
      <c r="K946" s="16"/>
      <c r="L946" s="16"/>
      <c r="M946" s="16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24"/>
      <c r="AC946" s="16"/>
      <c r="AD946" s="16"/>
      <c r="AE946" s="16"/>
      <c r="AF946" s="16"/>
      <c r="AG946" s="14"/>
      <c r="AH946" s="14"/>
      <c r="AI946" s="24"/>
      <c r="AJ946" s="24"/>
      <c r="AK946" s="24"/>
      <c r="AL946" s="16"/>
      <c r="AM946" s="16"/>
      <c r="AN946" s="16"/>
      <c r="AO946" s="16"/>
      <c r="AP946" s="16"/>
      <c r="AQ946" s="16"/>
      <c r="AR946" s="16"/>
      <c r="AS946" s="14"/>
      <c r="AT946" s="14"/>
      <c r="AU946" s="14"/>
      <c r="AV946" s="14"/>
      <c r="AW946" s="14"/>
      <c r="AX946" s="14"/>
      <c r="AY946" s="14"/>
      <c r="AZ946" s="14"/>
      <c r="BA946" s="14"/>
      <c r="BB946" s="7"/>
    </row>
    <row r="947" spans="7:54" x14ac:dyDescent="0.15">
      <c r="G947" s="7"/>
      <c r="H947" s="16"/>
      <c r="I947" s="16"/>
      <c r="J947" s="16"/>
      <c r="K947" s="16"/>
      <c r="L947" s="16"/>
      <c r="M947" s="16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24"/>
      <c r="AC947" s="16"/>
      <c r="AD947" s="16"/>
      <c r="AE947" s="16"/>
      <c r="AF947" s="16"/>
      <c r="AG947" s="14"/>
      <c r="AH947" s="14"/>
      <c r="AI947" s="24"/>
      <c r="AJ947" s="24"/>
      <c r="AK947" s="24"/>
      <c r="AL947" s="16"/>
      <c r="AM947" s="16"/>
      <c r="AN947" s="16"/>
      <c r="AO947" s="16"/>
      <c r="AP947" s="16"/>
      <c r="AQ947" s="16"/>
      <c r="AR947" s="16"/>
      <c r="AS947" s="14"/>
      <c r="AT947" s="14"/>
      <c r="AU947" s="14"/>
      <c r="AV947" s="14"/>
      <c r="AW947" s="14"/>
      <c r="AX947" s="14"/>
      <c r="AY947" s="14"/>
      <c r="AZ947" s="14"/>
      <c r="BA947" s="14"/>
      <c r="BB947" s="7"/>
    </row>
    <row r="948" spans="7:54" x14ac:dyDescent="0.15">
      <c r="G948" s="7"/>
      <c r="H948" s="16"/>
      <c r="I948" s="16"/>
      <c r="J948" s="16"/>
      <c r="K948" s="16"/>
      <c r="L948" s="16"/>
      <c r="M948" s="16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24"/>
      <c r="AC948" s="16"/>
      <c r="AD948" s="16"/>
      <c r="AE948" s="16"/>
      <c r="AF948" s="16"/>
      <c r="AG948" s="14"/>
      <c r="AH948" s="14"/>
      <c r="AI948" s="24"/>
      <c r="AJ948" s="24"/>
      <c r="AK948" s="24"/>
      <c r="AL948" s="16"/>
      <c r="AM948" s="16"/>
      <c r="AN948" s="16"/>
      <c r="AO948" s="16"/>
      <c r="AP948" s="16"/>
      <c r="AQ948" s="16"/>
      <c r="AR948" s="16"/>
      <c r="AS948" s="14"/>
      <c r="AT948" s="14"/>
      <c r="AU948" s="14"/>
      <c r="AV948" s="14"/>
      <c r="AW948" s="14"/>
      <c r="AX948" s="14"/>
      <c r="AY948" s="14"/>
      <c r="AZ948" s="14"/>
      <c r="BA948" s="14"/>
      <c r="BB948" s="7"/>
    </row>
    <row r="949" spans="7:54" x14ac:dyDescent="0.15">
      <c r="G949" s="7"/>
      <c r="H949" s="16"/>
      <c r="I949" s="16"/>
      <c r="J949" s="16"/>
      <c r="K949" s="16"/>
      <c r="L949" s="16"/>
      <c r="M949" s="16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24"/>
      <c r="AC949" s="16"/>
      <c r="AD949" s="16"/>
      <c r="AE949" s="16"/>
      <c r="AF949" s="16"/>
      <c r="AG949" s="14"/>
      <c r="AH949" s="14"/>
      <c r="AI949" s="24"/>
      <c r="AJ949" s="24"/>
      <c r="AK949" s="24"/>
      <c r="AL949" s="16"/>
      <c r="AM949" s="16"/>
      <c r="AN949" s="16"/>
      <c r="AO949" s="16"/>
      <c r="AP949" s="16"/>
      <c r="AQ949" s="16"/>
      <c r="AR949" s="16"/>
      <c r="AS949" s="14"/>
      <c r="AT949" s="14"/>
      <c r="AU949" s="14"/>
      <c r="AV949" s="14"/>
      <c r="AW949" s="14"/>
      <c r="AX949" s="14"/>
      <c r="AY949" s="14"/>
      <c r="AZ949" s="14"/>
      <c r="BA949" s="14"/>
      <c r="BB949" s="7"/>
    </row>
    <row r="950" spans="7:54" x14ac:dyDescent="0.15">
      <c r="G950" s="7"/>
      <c r="H950" s="16"/>
      <c r="I950" s="16"/>
      <c r="J950" s="16"/>
      <c r="K950" s="16"/>
      <c r="L950" s="16"/>
      <c r="M950" s="16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24"/>
      <c r="AC950" s="16"/>
      <c r="AD950" s="16"/>
      <c r="AE950" s="16"/>
      <c r="AF950" s="16"/>
      <c r="AG950" s="14"/>
      <c r="AH950" s="14"/>
      <c r="AI950" s="24"/>
      <c r="AJ950" s="24"/>
      <c r="AK950" s="24"/>
      <c r="AL950" s="16"/>
      <c r="AM950" s="16"/>
      <c r="AN950" s="16"/>
      <c r="AO950" s="16"/>
      <c r="AP950" s="16"/>
      <c r="AQ950" s="16"/>
      <c r="AR950" s="16"/>
      <c r="AS950" s="14"/>
      <c r="AT950" s="14"/>
      <c r="AU950" s="14"/>
      <c r="AV950" s="14"/>
      <c r="AW950" s="14"/>
      <c r="AX950" s="14"/>
      <c r="AY950" s="14"/>
      <c r="AZ950" s="14"/>
      <c r="BA950" s="14"/>
      <c r="BB950" s="7"/>
    </row>
    <row r="951" spans="7:54" x14ac:dyDescent="0.15">
      <c r="G951" s="7"/>
      <c r="H951" s="16"/>
      <c r="I951" s="16"/>
      <c r="J951" s="16"/>
      <c r="K951" s="16"/>
      <c r="L951" s="16"/>
      <c r="M951" s="16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24"/>
      <c r="AC951" s="16"/>
      <c r="AD951" s="16"/>
      <c r="AE951" s="16"/>
      <c r="AF951" s="16"/>
      <c r="AG951" s="14"/>
      <c r="AH951" s="14"/>
      <c r="AI951" s="24"/>
      <c r="AJ951" s="24"/>
      <c r="AK951" s="24"/>
      <c r="AL951" s="16"/>
      <c r="AM951" s="16"/>
      <c r="AN951" s="16"/>
      <c r="AO951" s="16"/>
      <c r="AP951" s="16"/>
      <c r="AQ951" s="16"/>
      <c r="AR951" s="16"/>
      <c r="AS951" s="14"/>
      <c r="AT951" s="14"/>
      <c r="AU951" s="14"/>
      <c r="AV951" s="14"/>
      <c r="AW951" s="14"/>
      <c r="AX951" s="14"/>
      <c r="AY951" s="14"/>
      <c r="AZ951" s="14"/>
      <c r="BA951" s="14"/>
      <c r="BB951" s="7"/>
    </row>
    <row r="952" spans="7:54" x14ac:dyDescent="0.15">
      <c r="G952" s="7"/>
      <c r="H952" s="16"/>
      <c r="I952" s="16"/>
      <c r="J952" s="16"/>
      <c r="K952" s="16"/>
      <c r="L952" s="16"/>
      <c r="M952" s="16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24"/>
      <c r="AC952" s="16"/>
      <c r="AD952" s="16"/>
      <c r="AE952" s="16"/>
      <c r="AF952" s="16"/>
      <c r="AG952" s="14"/>
      <c r="AH952" s="14"/>
      <c r="AI952" s="24"/>
      <c r="AJ952" s="24"/>
      <c r="AK952" s="24"/>
      <c r="AL952" s="16"/>
      <c r="AM952" s="16"/>
      <c r="AN952" s="16"/>
      <c r="AO952" s="16"/>
      <c r="AP952" s="16"/>
      <c r="AQ952" s="16"/>
      <c r="AR952" s="16"/>
      <c r="AS952" s="14"/>
      <c r="AT952" s="14"/>
      <c r="AU952" s="14"/>
      <c r="AV952" s="14"/>
      <c r="AW952" s="14"/>
      <c r="AX952" s="14"/>
      <c r="AY952" s="14"/>
      <c r="AZ952" s="14"/>
      <c r="BA952" s="14"/>
      <c r="BB952" s="7"/>
    </row>
    <row r="953" spans="7:54" x14ac:dyDescent="0.15">
      <c r="G953" s="7"/>
      <c r="H953" s="16"/>
      <c r="I953" s="16"/>
      <c r="J953" s="16"/>
      <c r="K953" s="16"/>
      <c r="L953" s="16"/>
      <c r="M953" s="16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24"/>
      <c r="AC953" s="16"/>
      <c r="AD953" s="16"/>
      <c r="AE953" s="16"/>
      <c r="AF953" s="16"/>
      <c r="AG953" s="14"/>
      <c r="AH953" s="14"/>
      <c r="AI953" s="24"/>
      <c r="AJ953" s="24"/>
      <c r="AK953" s="24"/>
      <c r="AL953" s="16"/>
      <c r="AM953" s="16"/>
      <c r="AN953" s="16"/>
      <c r="AO953" s="16"/>
      <c r="AP953" s="16"/>
      <c r="AQ953" s="16"/>
      <c r="AR953" s="16"/>
      <c r="AS953" s="14"/>
      <c r="AT953" s="14"/>
      <c r="AU953" s="14"/>
      <c r="AV953" s="14"/>
      <c r="AW953" s="14"/>
      <c r="AX953" s="14"/>
      <c r="AY953" s="14"/>
      <c r="AZ953" s="14"/>
      <c r="BA953" s="14"/>
      <c r="BB953" s="7"/>
    </row>
    <row r="954" spans="7:54" x14ac:dyDescent="0.15">
      <c r="G954" s="7"/>
      <c r="H954" s="16"/>
      <c r="I954" s="16"/>
      <c r="J954" s="16"/>
      <c r="K954" s="16"/>
      <c r="L954" s="16"/>
      <c r="M954" s="16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24"/>
      <c r="AC954" s="16"/>
      <c r="AD954" s="16"/>
      <c r="AE954" s="16"/>
      <c r="AF954" s="16"/>
      <c r="AG954" s="14"/>
      <c r="AH954" s="14"/>
      <c r="AI954" s="24"/>
      <c r="AJ954" s="24"/>
      <c r="AK954" s="24"/>
      <c r="AL954" s="16"/>
      <c r="AM954" s="16"/>
      <c r="AN954" s="16"/>
      <c r="AO954" s="16"/>
      <c r="AP954" s="16"/>
      <c r="AQ954" s="16"/>
      <c r="AR954" s="16"/>
      <c r="AS954" s="14"/>
      <c r="AT954" s="14"/>
      <c r="AU954" s="14"/>
      <c r="AV954" s="14"/>
      <c r="AW954" s="14"/>
      <c r="AX954" s="14"/>
      <c r="AY954" s="14"/>
      <c r="AZ954" s="14"/>
      <c r="BA954" s="14"/>
      <c r="BB954" s="7"/>
    </row>
    <row r="955" spans="7:54" x14ac:dyDescent="0.15">
      <c r="G955" s="7"/>
      <c r="H955" s="16"/>
      <c r="I955" s="16"/>
      <c r="J955" s="16"/>
      <c r="K955" s="16"/>
      <c r="L955" s="16"/>
      <c r="M955" s="16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24"/>
      <c r="AC955" s="16"/>
      <c r="AD955" s="16"/>
      <c r="AE955" s="16"/>
      <c r="AF955" s="16"/>
      <c r="AG955" s="14"/>
      <c r="AH955" s="14"/>
      <c r="AI955" s="24"/>
      <c r="AJ955" s="24"/>
      <c r="AK955" s="24"/>
      <c r="AL955" s="16"/>
      <c r="AM955" s="16"/>
      <c r="AN955" s="16"/>
      <c r="AO955" s="16"/>
      <c r="AP955" s="16"/>
      <c r="AQ955" s="16"/>
      <c r="AR955" s="16"/>
      <c r="AS955" s="14"/>
      <c r="AT955" s="14"/>
      <c r="AU955" s="14"/>
      <c r="AV955" s="14"/>
      <c r="AW955" s="14"/>
      <c r="AX955" s="14"/>
      <c r="AY955" s="14"/>
      <c r="AZ955" s="14"/>
      <c r="BA955" s="14"/>
      <c r="BB955" s="7"/>
    </row>
    <row r="956" spans="7:54" x14ac:dyDescent="0.15">
      <c r="G956" s="7"/>
      <c r="H956" s="16"/>
      <c r="I956" s="16"/>
      <c r="J956" s="16"/>
      <c r="K956" s="16"/>
      <c r="L956" s="16"/>
      <c r="M956" s="16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24"/>
      <c r="AC956" s="16"/>
      <c r="AD956" s="16"/>
      <c r="AE956" s="16"/>
      <c r="AF956" s="16"/>
      <c r="AG956" s="14"/>
      <c r="AH956" s="14"/>
      <c r="AI956" s="24"/>
      <c r="AJ956" s="24"/>
      <c r="AK956" s="24"/>
      <c r="AL956" s="16"/>
      <c r="AM956" s="16"/>
      <c r="AN956" s="16"/>
      <c r="AO956" s="16"/>
      <c r="AP956" s="16"/>
      <c r="AQ956" s="16"/>
      <c r="AR956" s="16"/>
      <c r="AS956" s="14"/>
      <c r="AT956" s="14"/>
      <c r="AU956" s="14"/>
      <c r="AV956" s="14"/>
      <c r="AW956" s="14"/>
      <c r="AX956" s="14"/>
      <c r="AY956" s="14"/>
      <c r="AZ956" s="14"/>
      <c r="BA956" s="14"/>
      <c r="BB956" s="7"/>
    </row>
    <row r="957" spans="7:54" x14ac:dyDescent="0.15">
      <c r="G957" s="7"/>
      <c r="H957" s="16"/>
      <c r="I957" s="16"/>
      <c r="J957" s="16"/>
      <c r="K957" s="16"/>
      <c r="L957" s="16"/>
      <c r="M957" s="16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24"/>
      <c r="AC957" s="16"/>
      <c r="AD957" s="16"/>
      <c r="AE957" s="16"/>
      <c r="AF957" s="16"/>
      <c r="AG957" s="14"/>
      <c r="AH957" s="14"/>
      <c r="AI957" s="24"/>
      <c r="AJ957" s="24"/>
      <c r="AK957" s="24"/>
      <c r="AL957" s="16"/>
      <c r="AM957" s="16"/>
      <c r="AN957" s="16"/>
      <c r="AO957" s="16"/>
      <c r="AP957" s="16"/>
      <c r="AQ957" s="16"/>
      <c r="AR957" s="16"/>
      <c r="AS957" s="14"/>
      <c r="AT957" s="14"/>
      <c r="AU957" s="14"/>
      <c r="AV957" s="14"/>
      <c r="AW957" s="14"/>
      <c r="AX957" s="14"/>
      <c r="AY957" s="14"/>
      <c r="AZ957" s="14"/>
      <c r="BA957" s="14"/>
      <c r="BB957" s="7"/>
    </row>
    <row r="958" spans="7:54" x14ac:dyDescent="0.15">
      <c r="G958" s="7"/>
      <c r="H958" s="16"/>
      <c r="I958" s="16"/>
      <c r="J958" s="16"/>
      <c r="K958" s="16"/>
      <c r="L958" s="16"/>
      <c r="M958" s="16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24"/>
      <c r="AC958" s="16"/>
      <c r="AD958" s="16"/>
      <c r="AE958" s="16"/>
      <c r="AF958" s="16"/>
      <c r="AG958" s="14"/>
      <c r="AH958" s="14"/>
      <c r="AI958" s="24"/>
      <c r="AJ958" s="24"/>
      <c r="AK958" s="24"/>
      <c r="AL958" s="16"/>
      <c r="AM958" s="16"/>
      <c r="AN958" s="16"/>
      <c r="AO958" s="16"/>
      <c r="AP958" s="16"/>
      <c r="AQ958" s="16"/>
      <c r="AR958" s="16"/>
      <c r="AS958" s="14"/>
      <c r="AT958" s="14"/>
      <c r="AU958" s="14"/>
      <c r="AV958" s="14"/>
      <c r="AW958" s="14"/>
      <c r="AX958" s="14"/>
      <c r="AY958" s="14"/>
      <c r="AZ958" s="14"/>
      <c r="BA958" s="14"/>
      <c r="BB958" s="7"/>
    </row>
    <row r="959" spans="7:54" x14ac:dyDescent="0.15">
      <c r="G959" s="7"/>
      <c r="H959" s="16"/>
      <c r="I959" s="16"/>
      <c r="J959" s="16"/>
      <c r="K959" s="16"/>
      <c r="L959" s="16"/>
      <c r="M959" s="16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24"/>
      <c r="AC959" s="16"/>
      <c r="AD959" s="16"/>
      <c r="AE959" s="16"/>
      <c r="AF959" s="16"/>
      <c r="AG959" s="14"/>
      <c r="AH959" s="14"/>
      <c r="AI959" s="24"/>
      <c r="AJ959" s="24"/>
      <c r="AK959" s="24"/>
      <c r="AL959" s="16"/>
      <c r="AM959" s="16"/>
      <c r="AN959" s="16"/>
      <c r="AO959" s="16"/>
      <c r="AP959" s="16"/>
      <c r="AQ959" s="16"/>
      <c r="AR959" s="16"/>
      <c r="AS959" s="14"/>
      <c r="AT959" s="14"/>
      <c r="AU959" s="14"/>
      <c r="AV959" s="14"/>
      <c r="AW959" s="14"/>
      <c r="AX959" s="14"/>
      <c r="AY959" s="14"/>
      <c r="AZ959" s="14"/>
      <c r="BA959" s="14"/>
      <c r="BB959" s="7"/>
    </row>
    <row r="960" spans="7:54" x14ac:dyDescent="0.15">
      <c r="G960" s="7"/>
      <c r="H960" s="16"/>
      <c r="I960" s="16"/>
      <c r="J960" s="16"/>
      <c r="K960" s="16"/>
      <c r="L960" s="16"/>
      <c r="M960" s="16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24"/>
      <c r="AC960" s="16"/>
      <c r="AD960" s="16"/>
      <c r="AE960" s="16"/>
      <c r="AF960" s="16"/>
      <c r="AG960" s="14"/>
      <c r="AH960" s="14"/>
      <c r="AI960" s="24"/>
      <c r="AJ960" s="24"/>
      <c r="AK960" s="24"/>
      <c r="AL960" s="16"/>
      <c r="AM960" s="16"/>
      <c r="AN960" s="16"/>
      <c r="AO960" s="16"/>
      <c r="AP960" s="16"/>
      <c r="AQ960" s="16"/>
      <c r="AR960" s="16"/>
      <c r="AS960" s="14"/>
      <c r="AT960" s="14"/>
      <c r="AU960" s="14"/>
      <c r="AV960" s="14"/>
      <c r="AW960" s="14"/>
      <c r="AX960" s="14"/>
      <c r="AY960" s="14"/>
      <c r="AZ960" s="14"/>
      <c r="BA960" s="14"/>
      <c r="BB960" s="7"/>
    </row>
    <row r="961" spans="7:54" x14ac:dyDescent="0.15">
      <c r="G961" s="7"/>
      <c r="H961" s="16"/>
      <c r="I961" s="16"/>
      <c r="J961" s="16"/>
      <c r="K961" s="16"/>
      <c r="L961" s="16"/>
      <c r="M961" s="16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24"/>
      <c r="AC961" s="16"/>
      <c r="AD961" s="16"/>
      <c r="AE961" s="16"/>
      <c r="AF961" s="16"/>
      <c r="AG961" s="14"/>
      <c r="AH961" s="14"/>
      <c r="AI961" s="24"/>
      <c r="AJ961" s="24"/>
      <c r="AK961" s="24"/>
      <c r="AL961" s="16"/>
      <c r="AM961" s="16"/>
      <c r="AN961" s="16"/>
      <c r="AO961" s="16"/>
      <c r="AP961" s="16"/>
      <c r="AQ961" s="16"/>
      <c r="AR961" s="16"/>
      <c r="AS961" s="14"/>
      <c r="AT961" s="14"/>
      <c r="AU961" s="14"/>
      <c r="AV961" s="14"/>
      <c r="AW961" s="14"/>
      <c r="AX961" s="14"/>
      <c r="AY961" s="14"/>
      <c r="AZ961" s="14"/>
      <c r="BA961" s="14"/>
      <c r="BB961" s="7"/>
    </row>
    <row r="962" spans="7:54" x14ac:dyDescent="0.15">
      <c r="G962" s="7"/>
      <c r="H962" s="16"/>
      <c r="I962" s="16"/>
      <c r="J962" s="16"/>
      <c r="K962" s="16"/>
      <c r="L962" s="16"/>
      <c r="M962" s="16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24"/>
      <c r="AC962" s="16"/>
      <c r="AD962" s="16"/>
      <c r="AE962" s="16"/>
      <c r="AF962" s="16"/>
      <c r="AG962" s="14"/>
      <c r="AH962" s="14"/>
      <c r="AI962" s="24"/>
      <c r="AJ962" s="24"/>
      <c r="AK962" s="24"/>
      <c r="AL962" s="16"/>
      <c r="AM962" s="16"/>
      <c r="AN962" s="16"/>
      <c r="AO962" s="16"/>
      <c r="AP962" s="16"/>
      <c r="AQ962" s="16"/>
      <c r="AR962" s="16"/>
      <c r="AS962" s="14"/>
      <c r="AT962" s="14"/>
      <c r="AU962" s="14"/>
      <c r="AV962" s="14"/>
      <c r="AW962" s="14"/>
      <c r="AX962" s="14"/>
      <c r="AY962" s="14"/>
      <c r="AZ962" s="14"/>
      <c r="BA962" s="14"/>
      <c r="BB962" s="7"/>
    </row>
    <row r="963" spans="7:54" x14ac:dyDescent="0.15">
      <c r="G963" s="7"/>
      <c r="H963" s="16"/>
      <c r="I963" s="16"/>
      <c r="J963" s="16"/>
      <c r="K963" s="16"/>
      <c r="L963" s="16"/>
      <c r="M963" s="16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24"/>
      <c r="AC963" s="16"/>
      <c r="AD963" s="16"/>
      <c r="AE963" s="16"/>
      <c r="AF963" s="16"/>
      <c r="AG963" s="14"/>
      <c r="AH963" s="14"/>
      <c r="AI963" s="24"/>
      <c r="AJ963" s="24"/>
      <c r="AK963" s="24"/>
      <c r="AL963" s="16"/>
      <c r="AM963" s="16"/>
      <c r="AN963" s="16"/>
      <c r="AO963" s="16"/>
      <c r="AP963" s="16"/>
      <c r="AQ963" s="16"/>
      <c r="AR963" s="16"/>
      <c r="AS963" s="14"/>
      <c r="AT963" s="14"/>
      <c r="AU963" s="14"/>
      <c r="AV963" s="14"/>
      <c r="AW963" s="14"/>
      <c r="AX963" s="14"/>
      <c r="AY963" s="14"/>
      <c r="AZ963" s="14"/>
      <c r="BA963" s="14"/>
      <c r="BB963" s="7"/>
    </row>
    <row r="964" spans="7:54" x14ac:dyDescent="0.15">
      <c r="G964" s="7"/>
      <c r="H964" s="16"/>
      <c r="I964" s="16"/>
      <c r="J964" s="16"/>
      <c r="K964" s="16"/>
      <c r="L964" s="16"/>
      <c r="M964" s="16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24"/>
      <c r="AC964" s="16"/>
      <c r="AD964" s="16"/>
      <c r="AE964" s="16"/>
      <c r="AF964" s="16"/>
      <c r="AG964" s="14"/>
      <c r="AH964" s="14"/>
      <c r="AI964" s="24"/>
      <c r="AJ964" s="24"/>
      <c r="AK964" s="24"/>
      <c r="AL964" s="16"/>
      <c r="AM964" s="16"/>
      <c r="AN964" s="16"/>
      <c r="AO964" s="16"/>
      <c r="AP964" s="16"/>
      <c r="AQ964" s="16"/>
      <c r="AR964" s="16"/>
      <c r="AS964" s="14"/>
      <c r="AT964" s="14"/>
      <c r="AU964" s="14"/>
      <c r="AV964" s="14"/>
      <c r="AW964" s="14"/>
      <c r="AX964" s="14"/>
      <c r="AY964" s="14"/>
      <c r="AZ964" s="14"/>
      <c r="BA964" s="14"/>
      <c r="BB964" s="7"/>
    </row>
    <row r="965" spans="7:54" x14ac:dyDescent="0.15">
      <c r="G965" s="7"/>
      <c r="H965" s="16"/>
      <c r="I965" s="16"/>
      <c r="J965" s="16"/>
      <c r="K965" s="16"/>
      <c r="L965" s="16"/>
      <c r="M965" s="16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24"/>
      <c r="AC965" s="16"/>
      <c r="AD965" s="16"/>
      <c r="AE965" s="16"/>
      <c r="AF965" s="16"/>
      <c r="AG965" s="14"/>
      <c r="AH965" s="14"/>
      <c r="AI965" s="24"/>
      <c r="AJ965" s="24"/>
      <c r="AK965" s="24"/>
      <c r="AL965" s="16"/>
      <c r="AM965" s="16"/>
      <c r="AN965" s="16"/>
      <c r="AO965" s="16"/>
      <c r="AP965" s="16"/>
      <c r="AQ965" s="16"/>
      <c r="AR965" s="16"/>
      <c r="AS965" s="14"/>
      <c r="AT965" s="14"/>
      <c r="AU965" s="14"/>
      <c r="AV965" s="14"/>
      <c r="AW965" s="14"/>
      <c r="AX965" s="14"/>
      <c r="AY965" s="14"/>
      <c r="AZ965" s="14"/>
      <c r="BA965" s="14"/>
      <c r="BB965" s="7"/>
    </row>
    <row r="966" spans="7:54" x14ac:dyDescent="0.15">
      <c r="G966" s="7"/>
      <c r="H966" s="16"/>
      <c r="I966" s="16"/>
      <c r="J966" s="16"/>
      <c r="K966" s="16"/>
      <c r="L966" s="16"/>
      <c r="M966" s="16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24"/>
      <c r="AC966" s="16"/>
      <c r="AD966" s="16"/>
      <c r="AE966" s="16"/>
      <c r="AF966" s="16"/>
      <c r="AG966" s="14"/>
      <c r="AH966" s="14"/>
      <c r="AI966" s="24"/>
      <c r="AJ966" s="24"/>
      <c r="AK966" s="24"/>
      <c r="AL966" s="16"/>
      <c r="AM966" s="16"/>
      <c r="AN966" s="16"/>
      <c r="AO966" s="16"/>
      <c r="AP966" s="16"/>
      <c r="AQ966" s="16"/>
      <c r="AR966" s="16"/>
      <c r="AS966" s="14"/>
      <c r="AT966" s="14"/>
      <c r="AU966" s="14"/>
      <c r="AV966" s="14"/>
      <c r="AW966" s="14"/>
      <c r="AX966" s="14"/>
      <c r="AY966" s="14"/>
      <c r="AZ966" s="14"/>
      <c r="BA966" s="14"/>
      <c r="BB966" s="7"/>
    </row>
    <row r="967" spans="7:54" x14ac:dyDescent="0.15">
      <c r="G967" s="7"/>
      <c r="H967" s="16"/>
      <c r="I967" s="16"/>
      <c r="J967" s="16"/>
      <c r="K967" s="16"/>
      <c r="L967" s="16"/>
      <c r="M967" s="16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24"/>
      <c r="AC967" s="16"/>
      <c r="AD967" s="16"/>
      <c r="AE967" s="16"/>
      <c r="AF967" s="16"/>
      <c r="AG967" s="14"/>
      <c r="AH967" s="14"/>
      <c r="AI967" s="24"/>
      <c r="AJ967" s="24"/>
      <c r="AK967" s="24"/>
      <c r="AL967" s="16"/>
      <c r="AM967" s="16"/>
      <c r="AN967" s="16"/>
      <c r="AO967" s="16"/>
      <c r="AP967" s="16"/>
      <c r="AQ967" s="16"/>
      <c r="AR967" s="16"/>
      <c r="AS967" s="14"/>
      <c r="AT967" s="14"/>
      <c r="AU967" s="14"/>
      <c r="AV967" s="14"/>
      <c r="AW967" s="14"/>
      <c r="AX967" s="14"/>
      <c r="AY967" s="14"/>
      <c r="AZ967" s="14"/>
      <c r="BA967" s="14"/>
      <c r="BB967" s="7"/>
    </row>
    <row r="968" spans="7:54" x14ac:dyDescent="0.15">
      <c r="G968" s="7"/>
      <c r="H968" s="16"/>
      <c r="I968" s="16"/>
      <c r="J968" s="16"/>
      <c r="K968" s="16"/>
      <c r="L968" s="16"/>
      <c r="M968" s="16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24"/>
      <c r="AC968" s="16"/>
      <c r="AD968" s="16"/>
      <c r="AE968" s="16"/>
      <c r="AF968" s="16"/>
      <c r="AG968" s="14"/>
      <c r="AH968" s="14"/>
      <c r="AI968" s="24"/>
      <c r="AJ968" s="24"/>
      <c r="AK968" s="24"/>
      <c r="AL968" s="16"/>
      <c r="AM968" s="16"/>
      <c r="AN968" s="16"/>
      <c r="AO968" s="16"/>
      <c r="AP968" s="16"/>
      <c r="AQ968" s="16"/>
      <c r="AR968" s="16"/>
      <c r="AS968" s="14"/>
      <c r="AT968" s="14"/>
      <c r="AU968" s="14"/>
      <c r="AV968" s="14"/>
      <c r="AW968" s="14"/>
      <c r="AX968" s="14"/>
      <c r="AY968" s="14"/>
      <c r="AZ968" s="14"/>
      <c r="BA968" s="14"/>
      <c r="BB968" s="7"/>
    </row>
    <row r="969" spans="7:54" x14ac:dyDescent="0.15">
      <c r="G969" s="7"/>
      <c r="H969" s="16"/>
      <c r="I969" s="16"/>
      <c r="J969" s="16"/>
      <c r="K969" s="16"/>
      <c r="L969" s="16"/>
      <c r="M969" s="16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24"/>
      <c r="AC969" s="16"/>
      <c r="AD969" s="16"/>
      <c r="AE969" s="16"/>
      <c r="AF969" s="16"/>
      <c r="AG969" s="14"/>
      <c r="AH969" s="14"/>
      <c r="AI969" s="24"/>
      <c r="AJ969" s="24"/>
      <c r="AK969" s="24"/>
      <c r="AL969" s="16"/>
      <c r="AM969" s="16"/>
      <c r="AN969" s="16"/>
      <c r="AO969" s="16"/>
      <c r="AP969" s="16"/>
      <c r="AQ969" s="16"/>
      <c r="AR969" s="16"/>
      <c r="AS969" s="14"/>
      <c r="AT969" s="14"/>
      <c r="AU969" s="14"/>
      <c r="AV969" s="14"/>
      <c r="AW969" s="14"/>
      <c r="AX969" s="14"/>
      <c r="AY969" s="14"/>
      <c r="AZ969" s="14"/>
      <c r="BA969" s="14"/>
      <c r="BB969" s="7"/>
    </row>
    <row r="970" spans="7:54" x14ac:dyDescent="0.15">
      <c r="G970" s="7"/>
      <c r="H970" s="16"/>
      <c r="I970" s="16"/>
      <c r="J970" s="16"/>
      <c r="K970" s="16"/>
      <c r="L970" s="16"/>
      <c r="M970" s="16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24"/>
      <c r="AC970" s="16"/>
      <c r="AD970" s="16"/>
      <c r="AE970" s="16"/>
      <c r="AF970" s="16"/>
      <c r="AG970" s="14"/>
      <c r="AH970" s="14"/>
      <c r="AI970" s="24"/>
      <c r="AJ970" s="24"/>
      <c r="AK970" s="24"/>
      <c r="AL970" s="16"/>
      <c r="AM970" s="16"/>
      <c r="AN970" s="16"/>
      <c r="AO970" s="16"/>
      <c r="AP970" s="16"/>
      <c r="AQ970" s="16"/>
      <c r="AR970" s="16"/>
      <c r="AS970" s="14"/>
      <c r="AT970" s="14"/>
      <c r="AU970" s="14"/>
      <c r="AV970" s="14"/>
      <c r="AW970" s="14"/>
      <c r="AX970" s="14"/>
      <c r="AY970" s="14"/>
      <c r="AZ970" s="14"/>
      <c r="BA970" s="14"/>
      <c r="BB970" s="7"/>
    </row>
    <row r="971" spans="7:54" x14ac:dyDescent="0.15">
      <c r="G971" s="7"/>
      <c r="H971" s="16"/>
      <c r="I971" s="16"/>
      <c r="J971" s="16"/>
      <c r="K971" s="16"/>
      <c r="L971" s="16"/>
      <c r="M971" s="16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24"/>
      <c r="AC971" s="16"/>
      <c r="AD971" s="16"/>
      <c r="AE971" s="16"/>
      <c r="AF971" s="16"/>
      <c r="AG971" s="14"/>
      <c r="AH971" s="14"/>
      <c r="AI971" s="24"/>
      <c r="AJ971" s="24"/>
      <c r="AK971" s="24"/>
      <c r="AL971" s="16"/>
      <c r="AM971" s="16"/>
      <c r="AN971" s="16"/>
      <c r="AO971" s="16"/>
      <c r="AP971" s="16"/>
      <c r="AQ971" s="16"/>
      <c r="AR971" s="16"/>
      <c r="AS971" s="14"/>
      <c r="AT971" s="14"/>
      <c r="AU971" s="14"/>
      <c r="AV971" s="14"/>
      <c r="AW971" s="14"/>
      <c r="AX971" s="14"/>
      <c r="AY971" s="14"/>
      <c r="AZ971" s="14"/>
      <c r="BA971" s="14"/>
      <c r="BB971" s="7"/>
    </row>
    <row r="972" spans="7:54" x14ac:dyDescent="0.15">
      <c r="G972" s="7"/>
      <c r="H972" s="16"/>
      <c r="I972" s="16"/>
      <c r="J972" s="16"/>
      <c r="K972" s="16"/>
      <c r="L972" s="16"/>
      <c r="M972" s="16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24"/>
      <c r="AC972" s="16"/>
      <c r="AD972" s="16"/>
      <c r="AE972" s="16"/>
      <c r="AF972" s="16"/>
      <c r="AG972" s="14"/>
      <c r="AH972" s="14"/>
      <c r="AI972" s="24"/>
      <c r="AJ972" s="24"/>
      <c r="AK972" s="24"/>
      <c r="AL972" s="16"/>
      <c r="AM972" s="16"/>
      <c r="AN972" s="16"/>
      <c r="AO972" s="16"/>
      <c r="AP972" s="16"/>
      <c r="AQ972" s="16"/>
      <c r="AR972" s="16"/>
      <c r="AS972" s="14"/>
      <c r="AT972" s="14"/>
      <c r="AU972" s="14"/>
      <c r="AV972" s="14"/>
      <c r="AW972" s="14"/>
      <c r="AX972" s="14"/>
      <c r="AY972" s="14"/>
      <c r="AZ972" s="14"/>
      <c r="BA972" s="14"/>
      <c r="BB972" s="7"/>
    </row>
    <row r="973" spans="7:54" x14ac:dyDescent="0.15">
      <c r="G973" s="7"/>
      <c r="H973" s="16"/>
      <c r="I973" s="16"/>
      <c r="J973" s="16"/>
      <c r="K973" s="16"/>
      <c r="L973" s="16"/>
      <c r="M973" s="16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24"/>
      <c r="AC973" s="16"/>
      <c r="AD973" s="16"/>
      <c r="AE973" s="16"/>
      <c r="AF973" s="16"/>
      <c r="AG973" s="14"/>
      <c r="AH973" s="14"/>
      <c r="AI973" s="24"/>
      <c r="AJ973" s="24"/>
      <c r="AK973" s="24"/>
      <c r="AL973" s="16"/>
      <c r="AM973" s="16"/>
      <c r="AN973" s="16"/>
      <c r="AO973" s="16"/>
      <c r="AP973" s="16"/>
      <c r="AQ973" s="16"/>
      <c r="AR973" s="16"/>
      <c r="AS973" s="14"/>
      <c r="AT973" s="14"/>
      <c r="AU973" s="14"/>
      <c r="AV973" s="14"/>
      <c r="AW973" s="14"/>
      <c r="AX973" s="14"/>
      <c r="AY973" s="14"/>
      <c r="AZ973" s="14"/>
      <c r="BA973" s="14"/>
      <c r="BB973" s="7"/>
    </row>
    <row r="974" spans="7:54" x14ac:dyDescent="0.15">
      <c r="G974" s="7"/>
      <c r="H974" s="16"/>
      <c r="I974" s="16"/>
      <c r="J974" s="16"/>
      <c r="K974" s="16"/>
      <c r="L974" s="16"/>
      <c r="M974" s="16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24"/>
      <c r="AC974" s="16"/>
      <c r="AD974" s="16"/>
      <c r="AE974" s="16"/>
      <c r="AF974" s="16"/>
      <c r="AG974" s="14"/>
      <c r="AH974" s="14"/>
      <c r="AI974" s="24"/>
      <c r="AJ974" s="24"/>
      <c r="AK974" s="24"/>
      <c r="AL974" s="16"/>
      <c r="AM974" s="16"/>
      <c r="AN974" s="16"/>
      <c r="AO974" s="16"/>
      <c r="AP974" s="16"/>
      <c r="AQ974" s="16"/>
      <c r="AR974" s="16"/>
      <c r="AS974" s="14"/>
      <c r="AT974" s="14"/>
      <c r="AU974" s="14"/>
      <c r="AV974" s="14"/>
      <c r="AW974" s="14"/>
      <c r="AX974" s="14"/>
      <c r="AY974" s="14"/>
      <c r="AZ974" s="14"/>
      <c r="BA974" s="14"/>
      <c r="BB974" s="7"/>
    </row>
    <row r="975" spans="7:54" x14ac:dyDescent="0.15">
      <c r="G975" s="7"/>
      <c r="H975" s="16"/>
      <c r="I975" s="16"/>
      <c r="J975" s="16"/>
      <c r="K975" s="16"/>
      <c r="L975" s="16"/>
      <c r="M975" s="16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24"/>
      <c r="AC975" s="16"/>
      <c r="AD975" s="16"/>
      <c r="AE975" s="16"/>
      <c r="AF975" s="16"/>
      <c r="AG975" s="14"/>
      <c r="AH975" s="14"/>
      <c r="AI975" s="24"/>
      <c r="AJ975" s="24"/>
      <c r="AK975" s="24"/>
      <c r="AL975" s="16"/>
      <c r="AM975" s="16"/>
      <c r="AN975" s="16"/>
      <c r="AO975" s="16"/>
      <c r="AP975" s="16"/>
      <c r="AQ975" s="16"/>
      <c r="AR975" s="16"/>
      <c r="AS975" s="14"/>
      <c r="AT975" s="14"/>
      <c r="AU975" s="14"/>
      <c r="AV975" s="14"/>
      <c r="AW975" s="14"/>
      <c r="AX975" s="14"/>
      <c r="AY975" s="14"/>
      <c r="AZ975" s="14"/>
      <c r="BA975" s="14"/>
      <c r="BB975" s="7"/>
    </row>
    <row r="976" spans="7:54" x14ac:dyDescent="0.15">
      <c r="G976" s="7"/>
      <c r="H976" s="16"/>
      <c r="I976" s="16"/>
      <c r="J976" s="16"/>
      <c r="K976" s="16"/>
      <c r="L976" s="16"/>
      <c r="M976" s="16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24"/>
      <c r="AC976" s="16"/>
      <c r="AD976" s="16"/>
      <c r="AE976" s="16"/>
      <c r="AF976" s="16"/>
      <c r="AG976" s="14"/>
      <c r="AH976" s="14"/>
      <c r="AI976" s="24"/>
      <c r="AJ976" s="24"/>
      <c r="AK976" s="24"/>
      <c r="AL976" s="16"/>
      <c r="AM976" s="16"/>
      <c r="AN976" s="16"/>
      <c r="AO976" s="16"/>
      <c r="AP976" s="16"/>
      <c r="AQ976" s="16"/>
      <c r="AR976" s="16"/>
      <c r="AS976" s="14"/>
      <c r="AT976" s="14"/>
      <c r="AU976" s="14"/>
      <c r="AV976" s="14"/>
      <c r="AW976" s="14"/>
      <c r="AX976" s="14"/>
      <c r="AY976" s="14"/>
      <c r="AZ976" s="14"/>
      <c r="BA976" s="14"/>
      <c r="BB976" s="7"/>
    </row>
    <row r="977" spans="7:54" x14ac:dyDescent="0.15">
      <c r="G977" s="7"/>
      <c r="H977" s="16"/>
      <c r="I977" s="16"/>
      <c r="J977" s="16"/>
      <c r="K977" s="16"/>
      <c r="L977" s="16"/>
      <c r="M977" s="16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24"/>
      <c r="AC977" s="16"/>
      <c r="AD977" s="16"/>
      <c r="AE977" s="16"/>
      <c r="AF977" s="16"/>
      <c r="AG977" s="14"/>
      <c r="AH977" s="14"/>
      <c r="AI977" s="24"/>
      <c r="AJ977" s="24"/>
      <c r="AK977" s="24"/>
      <c r="AL977" s="16"/>
      <c r="AM977" s="16"/>
      <c r="AN977" s="16"/>
      <c r="AO977" s="16"/>
      <c r="AP977" s="16"/>
      <c r="AQ977" s="16"/>
      <c r="AR977" s="16"/>
      <c r="AS977" s="14"/>
      <c r="AT977" s="14"/>
      <c r="AU977" s="14"/>
      <c r="AV977" s="14"/>
      <c r="AW977" s="14"/>
      <c r="AX977" s="14"/>
      <c r="AY977" s="14"/>
      <c r="AZ977" s="14"/>
      <c r="BA977" s="14"/>
      <c r="BB977" s="7"/>
    </row>
    <row r="978" spans="7:54" x14ac:dyDescent="0.15">
      <c r="G978" s="7"/>
      <c r="H978" s="16"/>
      <c r="I978" s="16"/>
      <c r="J978" s="16"/>
      <c r="K978" s="16"/>
      <c r="L978" s="16"/>
      <c r="M978" s="16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24"/>
      <c r="AC978" s="16"/>
      <c r="AD978" s="16"/>
      <c r="AE978" s="16"/>
      <c r="AF978" s="16"/>
      <c r="AG978" s="14"/>
      <c r="AH978" s="14"/>
      <c r="AI978" s="24"/>
      <c r="AJ978" s="24"/>
      <c r="AK978" s="24"/>
      <c r="AL978" s="16"/>
      <c r="AM978" s="16"/>
      <c r="AN978" s="16"/>
      <c r="AO978" s="16"/>
      <c r="AP978" s="16"/>
      <c r="AQ978" s="16"/>
      <c r="AR978" s="16"/>
      <c r="AS978" s="14"/>
      <c r="AT978" s="14"/>
      <c r="AU978" s="14"/>
      <c r="AV978" s="14"/>
      <c r="AW978" s="14"/>
      <c r="AX978" s="14"/>
      <c r="AY978" s="14"/>
      <c r="AZ978" s="14"/>
      <c r="BA978" s="14"/>
      <c r="BB978" s="7"/>
    </row>
    <row r="979" spans="7:54" x14ac:dyDescent="0.15">
      <c r="G979" s="7"/>
      <c r="H979" s="16"/>
      <c r="I979" s="16"/>
      <c r="J979" s="16"/>
      <c r="K979" s="16"/>
      <c r="L979" s="16"/>
      <c r="M979" s="16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24"/>
      <c r="AC979" s="16"/>
      <c r="AD979" s="16"/>
      <c r="AE979" s="16"/>
      <c r="AF979" s="16"/>
      <c r="AG979" s="14"/>
      <c r="AH979" s="14"/>
      <c r="AI979" s="24"/>
      <c r="AJ979" s="24"/>
      <c r="AK979" s="24"/>
      <c r="AL979" s="16"/>
      <c r="AM979" s="16"/>
      <c r="AN979" s="16"/>
      <c r="AO979" s="16"/>
      <c r="AP979" s="16"/>
      <c r="AQ979" s="16"/>
      <c r="AR979" s="16"/>
      <c r="AS979" s="14"/>
      <c r="AT979" s="14"/>
      <c r="AU979" s="14"/>
      <c r="AV979" s="14"/>
      <c r="AW979" s="14"/>
      <c r="AX979" s="14"/>
      <c r="AY979" s="14"/>
      <c r="AZ979" s="14"/>
      <c r="BA979" s="14"/>
      <c r="BB979" s="7"/>
    </row>
    <row r="980" spans="7:54" x14ac:dyDescent="0.15">
      <c r="G980" s="7"/>
      <c r="H980" s="16"/>
      <c r="I980" s="16"/>
      <c r="J980" s="16"/>
      <c r="K980" s="16"/>
      <c r="L980" s="16"/>
      <c r="M980" s="16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24"/>
      <c r="AC980" s="16"/>
      <c r="AD980" s="16"/>
      <c r="AE980" s="16"/>
      <c r="AF980" s="16"/>
      <c r="AG980" s="14"/>
      <c r="AH980" s="14"/>
      <c r="AI980" s="24"/>
      <c r="AJ980" s="24"/>
      <c r="AK980" s="24"/>
      <c r="AL980" s="16"/>
      <c r="AM980" s="16"/>
      <c r="AN980" s="16"/>
      <c r="AO980" s="16"/>
      <c r="AP980" s="16"/>
      <c r="AQ980" s="16"/>
      <c r="AR980" s="16"/>
      <c r="AS980" s="14"/>
      <c r="AT980" s="14"/>
      <c r="AU980" s="14"/>
      <c r="AV980" s="14"/>
      <c r="AW980" s="14"/>
      <c r="AX980" s="14"/>
      <c r="AY980" s="14"/>
      <c r="AZ980" s="14"/>
      <c r="BA980" s="14"/>
      <c r="BB980" s="7"/>
    </row>
    <row r="981" spans="7:54" x14ac:dyDescent="0.15">
      <c r="G981" s="7"/>
      <c r="H981" s="16"/>
      <c r="I981" s="16"/>
      <c r="J981" s="16"/>
      <c r="K981" s="16"/>
      <c r="L981" s="16"/>
      <c r="M981" s="16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24"/>
      <c r="AC981" s="16"/>
      <c r="AD981" s="16"/>
      <c r="AE981" s="16"/>
      <c r="AF981" s="16"/>
      <c r="AG981" s="14"/>
      <c r="AH981" s="14"/>
      <c r="AI981" s="24"/>
      <c r="AJ981" s="24"/>
      <c r="AK981" s="24"/>
      <c r="AL981" s="16"/>
      <c r="AM981" s="16"/>
      <c r="AN981" s="16"/>
      <c r="AO981" s="16"/>
      <c r="AP981" s="16"/>
      <c r="AQ981" s="16"/>
      <c r="AR981" s="16"/>
      <c r="AS981" s="14"/>
      <c r="AT981" s="14"/>
      <c r="AU981" s="14"/>
      <c r="AV981" s="14"/>
      <c r="AW981" s="14"/>
      <c r="AX981" s="14"/>
      <c r="AY981" s="14"/>
      <c r="AZ981" s="14"/>
      <c r="BA981" s="14"/>
      <c r="BB981" s="7"/>
    </row>
    <row r="982" spans="7:54" x14ac:dyDescent="0.15">
      <c r="G982" s="7"/>
      <c r="H982" s="16"/>
      <c r="I982" s="16"/>
      <c r="J982" s="16"/>
      <c r="K982" s="16"/>
      <c r="L982" s="16"/>
      <c r="M982" s="16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24"/>
      <c r="AC982" s="16"/>
      <c r="AD982" s="16"/>
      <c r="AE982" s="16"/>
      <c r="AF982" s="16"/>
      <c r="AG982" s="14"/>
      <c r="AH982" s="14"/>
      <c r="AI982" s="24"/>
      <c r="AJ982" s="24"/>
      <c r="AK982" s="24"/>
      <c r="AL982" s="16"/>
      <c r="AM982" s="16"/>
      <c r="AN982" s="16"/>
      <c r="AO982" s="16"/>
      <c r="AP982" s="16"/>
      <c r="AQ982" s="16"/>
      <c r="AR982" s="16"/>
      <c r="AS982" s="14"/>
      <c r="AT982" s="14"/>
      <c r="AU982" s="14"/>
      <c r="AV982" s="14"/>
      <c r="AW982" s="14"/>
      <c r="AX982" s="14"/>
      <c r="AY982" s="14"/>
      <c r="AZ982" s="14"/>
      <c r="BA982" s="14"/>
      <c r="BB982" s="7"/>
    </row>
    <row r="983" spans="7:54" x14ac:dyDescent="0.15">
      <c r="G983" s="7"/>
      <c r="H983" s="16"/>
      <c r="I983" s="16"/>
      <c r="J983" s="16"/>
      <c r="K983" s="16"/>
      <c r="L983" s="16"/>
      <c r="M983" s="16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24"/>
      <c r="AC983" s="16"/>
      <c r="AD983" s="16"/>
      <c r="AE983" s="16"/>
      <c r="AF983" s="16"/>
      <c r="AG983" s="14"/>
      <c r="AH983" s="14"/>
      <c r="AI983" s="24"/>
      <c r="AJ983" s="24"/>
      <c r="AK983" s="24"/>
      <c r="AL983" s="16"/>
      <c r="AM983" s="16"/>
      <c r="AN983" s="16"/>
      <c r="AO983" s="16"/>
      <c r="AP983" s="16"/>
      <c r="AQ983" s="16"/>
      <c r="AR983" s="16"/>
      <c r="AS983" s="14"/>
      <c r="AT983" s="14"/>
      <c r="AU983" s="14"/>
      <c r="AV983" s="14"/>
      <c r="AW983" s="14"/>
      <c r="AX983" s="14"/>
      <c r="AY983" s="14"/>
      <c r="AZ983" s="14"/>
      <c r="BA983" s="14"/>
      <c r="BB983" s="7"/>
    </row>
    <row r="984" spans="7:54" x14ac:dyDescent="0.15">
      <c r="G984" s="7"/>
      <c r="H984" s="16"/>
      <c r="I984" s="16"/>
      <c r="J984" s="16"/>
      <c r="K984" s="16"/>
      <c r="L984" s="16"/>
      <c r="M984" s="16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24"/>
      <c r="AC984" s="16"/>
      <c r="AD984" s="16"/>
      <c r="AE984" s="16"/>
      <c r="AF984" s="16"/>
      <c r="AG984" s="14"/>
      <c r="AH984" s="14"/>
      <c r="AI984" s="24"/>
      <c r="AJ984" s="24"/>
      <c r="AK984" s="24"/>
      <c r="AL984" s="16"/>
      <c r="AM984" s="16"/>
      <c r="AN984" s="16"/>
      <c r="AO984" s="16"/>
      <c r="AP984" s="16"/>
      <c r="AQ984" s="16"/>
      <c r="AR984" s="16"/>
      <c r="AS984" s="14"/>
      <c r="AT984" s="14"/>
      <c r="AU984" s="14"/>
      <c r="AV984" s="14"/>
      <c r="AW984" s="14"/>
      <c r="AX984" s="14"/>
      <c r="AY984" s="14"/>
      <c r="AZ984" s="14"/>
      <c r="BA984" s="14"/>
      <c r="BB984" s="7"/>
    </row>
    <row r="985" spans="7:54" x14ac:dyDescent="0.15">
      <c r="G985" s="7"/>
      <c r="H985" s="16"/>
      <c r="I985" s="16"/>
      <c r="J985" s="16"/>
      <c r="K985" s="16"/>
      <c r="L985" s="16"/>
      <c r="M985" s="16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24"/>
      <c r="AC985" s="16"/>
      <c r="AD985" s="16"/>
      <c r="AE985" s="16"/>
      <c r="AF985" s="16"/>
      <c r="AG985" s="14"/>
      <c r="AH985" s="14"/>
      <c r="AI985" s="24"/>
      <c r="AJ985" s="24"/>
      <c r="AK985" s="24"/>
      <c r="AL985" s="16"/>
      <c r="AM985" s="16"/>
      <c r="AN985" s="16"/>
      <c r="AO985" s="16"/>
      <c r="AP985" s="16"/>
      <c r="AQ985" s="16"/>
      <c r="AR985" s="16"/>
      <c r="AS985" s="14"/>
      <c r="AT985" s="14"/>
      <c r="AU985" s="14"/>
      <c r="AV985" s="14"/>
      <c r="AW985" s="14"/>
      <c r="AX985" s="14"/>
      <c r="AY985" s="14"/>
      <c r="AZ985" s="14"/>
      <c r="BA985" s="14"/>
      <c r="BB985" s="7"/>
    </row>
    <row r="986" spans="7:54" x14ac:dyDescent="0.15">
      <c r="G986" s="7"/>
      <c r="H986" s="16"/>
      <c r="I986" s="16"/>
      <c r="J986" s="16"/>
      <c r="K986" s="16"/>
      <c r="L986" s="16"/>
      <c r="M986" s="16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24"/>
      <c r="AC986" s="16"/>
      <c r="AD986" s="16"/>
      <c r="AE986" s="16"/>
      <c r="AF986" s="16"/>
      <c r="AG986" s="14"/>
      <c r="AH986" s="14"/>
      <c r="AI986" s="24"/>
      <c r="AJ986" s="24"/>
      <c r="AK986" s="24"/>
      <c r="AL986" s="16"/>
      <c r="AM986" s="16"/>
      <c r="AN986" s="16"/>
      <c r="AO986" s="16"/>
      <c r="AP986" s="16"/>
      <c r="AQ986" s="16"/>
      <c r="AR986" s="16"/>
      <c r="AS986" s="14"/>
      <c r="AT986" s="14"/>
      <c r="AU986" s="14"/>
      <c r="AV986" s="14"/>
      <c r="AW986" s="14"/>
      <c r="AX986" s="14"/>
      <c r="AY986" s="14"/>
      <c r="AZ986" s="14"/>
      <c r="BA986" s="14"/>
      <c r="BB986" s="7"/>
    </row>
    <row r="987" spans="7:54" x14ac:dyDescent="0.15">
      <c r="G987" s="7"/>
      <c r="H987" s="16"/>
      <c r="I987" s="16"/>
      <c r="J987" s="16"/>
      <c r="K987" s="16"/>
      <c r="L987" s="16"/>
      <c r="M987" s="16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24"/>
      <c r="AC987" s="16"/>
      <c r="AD987" s="16"/>
      <c r="AE987" s="16"/>
      <c r="AF987" s="16"/>
      <c r="AG987" s="14"/>
      <c r="AH987" s="14"/>
      <c r="AI987" s="24"/>
      <c r="AJ987" s="24"/>
      <c r="AK987" s="24"/>
      <c r="AL987" s="16"/>
      <c r="AM987" s="16"/>
      <c r="AN987" s="16"/>
      <c r="AO987" s="16"/>
      <c r="AP987" s="16"/>
      <c r="AQ987" s="16"/>
      <c r="AR987" s="16"/>
      <c r="AS987" s="14"/>
      <c r="AT987" s="14"/>
      <c r="AU987" s="14"/>
      <c r="AV987" s="14"/>
      <c r="AW987" s="14"/>
      <c r="AX987" s="14"/>
      <c r="AY987" s="14"/>
      <c r="AZ987" s="14"/>
      <c r="BA987" s="14"/>
      <c r="BB987" s="7"/>
    </row>
    <row r="988" spans="7:54" x14ac:dyDescent="0.15">
      <c r="G988" s="7"/>
      <c r="H988" s="16"/>
      <c r="I988" s="16"/>
      <c r="J988" s="16"/>
      <c r="K988" s="16"/>
      <c r="L988" s="16"/>
      <c r="M988" s="16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24"/>
      <c r="AC988" s="16"/>
      <c r="AD988" s="16"/>
      <c r="AE988" s="16"/>
      <c r="AF988" s="16"/>
      <c r="AG988" s="14"/>
      <c r="AH988" s="14"/>
      <c r="AI988" s="24"/>
      <c r="AJ988" s="24"/>
      <c r="AK988" s="24"/>
      <c r="AL988" s="16"/>
      <c r="AM988" s="16"/>
      <c r="AN988" s="16"/>
      <c r="AO988" s="16"/>
      <c r="AP988" s="16"/>
      <c r="AQ988" s="16"/>
      <c r="AR988" s="16"/>
      <c r="AS988" s="14"/>
      <c r="AT988" s="14"/>
      <c r="AU988" s="14"/>
      <c r="AV988" s="14"/>
      <c r="AW988" s="14"/>
      <c r="AX988" s="14"/>
      <c r="AY988" s="14"/>
      <c r="AZ988" s="14"/>
      <c r="BA988" s="14"/>
      <c r="BB988" s="7"/>
    </row>
    <row r="989" spans="7:54" x14ac:dyDescent="0.15">
      <c r="G989" s="7"/>
      <c r="H989" s="16"/>
      <c r="I989" s="16"/>
      <c r="J989" s="16"/>
      <c r="K989" s="16"/>
      <c r="L989" s="16"/>
      <c r="M989" s="16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24"/>
      <c r="AC989" s="16"/>
      <c r="AD989" s="16"/>
      <c r="AE989" s="16"/>
      <c r="AF989" s="16"/>
      <c r="AG989" s="14"/>
      <c r="AH989" s="14"/>
      <c r="AI989" s="24"/>
      <c r="AJ989" s="24"/>
      <c r="AK989" s="24"/>
      <c r="AL989" s="16"/>
      <c r="AM989" s="16"/>
      <c r="AN989" s="16"/>
      <c r="AO989" s="16"/>
      <c r="AP989" s="16"/>
      <c r="AQ989" s="16"/>
      <c r="AR989" s="16"/>
      <c r="AS989" s="14"/>
      <c r="AT989" s="14"/>
      <c r="AU989" s="14"/>
      <c r="AV989" s="14"/>
      <c r="AW989" s="14"/>
      <c r="AX989" s="14"/>
      <c r="AY989" s="14"/>
      <c r="AZ989" s="14"/>
      <c r="BA989" s="14"/>
      <c r="BB989" s="7"/>
    </row>
    <row r="990" spans="7:54" x14ac:dyDescent="0.15">
      <c r="G990" s="7"/>
      <c r="H990" s="16"/>
      <c r="I990" s="16"/>
      <c r="J990" s="16"/>
      <c r="K990" s="16"/>
      <c r="L990" s="16"/>
      <c r="M990" s="16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24"/>
      <c r="AC990" s="16"/>
      <c r="AD990" s="16"/>
      <c r="AE990" s="16"/>
      <c r="AF990" s="16"/>
      <c r="AG990" s="14"/>
      <c r="AH990" s="14"/>
      <c r="AI990" s="24"/>
      <c r="AJ990" s="24"/>
      <c r="AK990" s="24"/>
      <c r="AL990" s="16"/>
      <c r="AM990" s="16"/>
      <c r="AN990" s="16"/>
      <c r="AO990" s="16"/>
      <c r="AP990" s="16"/>
      <c r="AQ990" s="16"/>
      <c r="AR990" s="16"/>
      <c r="AS990" s="14"/>
      <c r="AT990" s="14"/>
      <c r="AU990" s="14"/>
      <c r="AV990" s="14"/>
      <c r="AW990" s="14"/>
      <c r="AX990" s="14"/>
      <c r="AY990" s="14"/>
      <c r="AZ990" s="14"/>
      <c r="BA990" s="14"/>
      <c r="BB990" s="7"/>
    </row>
    <row r="991" spans="7:54" x14ac:dyDescent="0.15">
      <c r="G991" s="7"/>
      <c r="H991" s="16"/>
      <c r="I991" s="16"/>
      <c r="J991" s="16"/>
      <c r="K991" s="16"/>
      <c r="L991" s="16"/>
      <c r="M991" s="16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24"/>
      <c r="AC991" s="16"/>
      <c r="AD991" s="16"/>
      <c r="AE991" s="16"/>
      <c r="AF991" s="16"/>
      <c r="AG991" s="14"/>
      <c r="AH991" s="14"/>
      <c r="AI991" s="24"/>
      <c r="AJ991" s="24"/>
      <c r="AK991" s="24"/>
      <c r="AL991" s="16"/>
      <c r="AM991" s="16"/>
      <c r="AN991" s="16"/>
      <c r="AO991" s="16"/>
      <c r="AP991" s="16"/>
      <c r="AQ991" s="16"/>
      <c r="AR991" s="16"/>
      <c r="AS991" s="14"/>
      <c r="AT991" s="14"/>
      <c r="AU991" s="14"/>
      <c r="AV991" s="14"/>
      <c r="AW991" s="14"/>
      <c r="AX991" s="14"/>
      <c r="AY991" s="14"/>
      <c r="AZ991" s="14"/>
      <c r="BA991" s="14"/>
      <c r="BB991" s="7"/>
    </row>
    <row r="992" spans="7:54" x14ac:dyDescent="0.15">
      <c r="G992" s="7"/>
      <c r="H992" s="16"/>
      <c r="I992" s="16"/>
      <c r="J992" s="16"/>
      <c r="K992" s="16"/>
      <c r="L992" s="16"/>
      <c r="M992" s="16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24"/>
      <c r="AC992" s="16"/>
      <c r="AD992" s="16"/>
      <c r="AE992" s="16"/>
      <c r="AF992" s="16"/>
      <c r="AG992" s="14"/>
      <c r="AH992" s="14"/>
      <c r="AI992" s="24"/>
      <c r="AJ992" s="24"/>
      <c r="AK992" s="24"/>
      <c r="AL992" s="16"/>
      <c r="AM992" s="16"/>
      <c r="AN992" s="16"/>
      <c r="AO992" s="16"/>
      <c r="AP992" s="16"/>
      <c r="AQ992" s="16"/>
      <c r="AR992" s="16"/>
      <c r="AS992" s="14"/>
      <c r="AT992" s="14"/>
      <c r="AU992" s="14"/>
      <c r="AV992" s="14"/>
      <c r="AW992" s="14"/>
      <c r="AX992" s="14"/>
      <c r="AY992" s="14"/>
      <c r="AZ992" s="14"/>
      <c r="BA992" s="14"/>
      <c r="BB992" s="7"/>
    </row>
    <row r="993" spans="7:54" x14ac:dyDescent="0.15">
      <c r="G993" s="7"/>
      <c r="H993" s="16"/>
      <c r="I993" s="16"/>
      <c r="J993" s="16"/>
      <c r="K993" s="16"/>
      <c r="L993" s="16"/>
      <c r="M993" s="16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24"/>
      <c r="AC993" s="16"/>
      <c r="AD993" s="16"/>
      <c r="AE993" s="16"/>
      <c r="AF993" s="16"/>
      <c r="AG993" s="14"/>
      <c r="AH993" s="14"/>
      <c r="AI993" s="24"/>
      <c r="AJ993" s="24"/>
      <c r="AK993" s="24"/>
      <c r="AL993" s="16"/>
      <c r="AM993" s="16"/>
      <c r="AN993" s="16"/>
      <c r="AO993" s="16"/>
      <c r="AP993" s="16"/>
      <c r="AQ993" s="16"/>
      <c r="AR993" s="16"/>
      <c r="AS993" s="14"/>
      <c r="AT993" s="14"/>
      <c r="AU993" s="14"/>
      <c r="AV993" s="14"/>
      <c r="AW993" s="14"/>
      <c r="AX993" s="14"/>
      <c r="AY993" s="14"/>
      <c r="AZ993" s="14"/>
      <c r="BA993" s="14"/>
      <c r="BB993" s="7"/>
    </row>
    <row r="994" spans="7:54" x14ac:dyDescent="0.15">
      <c r="G994" s="7"/>
      <c r="H994" s="16"/>
      <c r="I994" s="16"/>
      <c r="J994" s="16"/>
      <c r="K994" s="16"/>
      <c r="L994" s="16"/>
      <c r="M994" s="16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24"/>
      <c r="AC994" s="16"/>
      <c r="AD994" s="16"/>
      <c r="AE994" s="16"/>
      <c r="AF994" s="16"/>
      <c r="AG994" s="14"/>
      <c r="AH994" s="14"/>
      <c r="AI994" s="24"/>
      <c r="AJ994" s="24"/>
      <c r="AK994" s="24"/>
      <c r="AL994" s="16"/>
      <c r="AM994" s="16"/>
      <c r="AN994" s="16"/>
      <c r="AO994" s="16"/>
      <c r="AP994" s="16"/>
      <c r="AQ994" s="16"/>
      <c r="AR994" s="16"/>
      <c r="AS994" s="14"/>
      <c r="AT994" s="14"/>
      <c r="AU994" s="14"/>
      <c r="AV994" s="14"/>
      <c r="AW994" s="14"/>
      <c r="AX994" s="14"/>
      <c r="AY994" s="14"/>
      <c r="AZ994" s="14"/>
      <c r="BA994" s="14"/>
      <c r="BB994" s="7"/>
    </row>
    <row r="995" spans="7:54" x14ac:dyDescent="0.15">
      <c r="G995" s="7"/>
      <c r="H995" s="16"/>
      <c r="I995" s="16"/>
      <c r="J995" s="16"/>
      <c r="K995" s="16"/>
      <c r="L995" s="16"/>
      <c r="M995" s="16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24"/>
      <c r="AC995" s="16"/>
      <c r="AD995" s="16"/>
      <c r="AE995" s="16"/>
      <c r="AF995" s="16"/>
      <c r="AG995" s="14"/>
      <c r="AH995" s="14"/>
      <c r="AI995" s="24"/>
      <c r="AJ995" s="24"/>
      <c r="AK995" s="24"/>
      <c r="AL995" s="16"/>
      <c r="AM995" s="16"/>
      <c r="AN995" s="16"/>
      <c r="AO995" s="16"/>
      <c r="AP995" s="16"/>
      <c r="AQ995" s="16"/>
      <c r="AR995" s="16"/>
      <c r="AS995" s="14"/>
      <c r="AT995" s="14"/>
      <c r="AU995" s="14"/>
      <c r="AV995" s="14"/>
      <c r="AW995" s="14"/>
      <c r="AX995" s="14"/>
      <c r="AY995" s="14"/>
      <c r="AZ995" s="14"/>
      <c r="BA995" s="14"/>
      <c r="BB995" s="7"/>
    </row>
    <row r="996" spans="7:54" x14ac:dyDescent="0.15">
      <c r="G996" s="7"/>
      <c r="H996" s="16"/>
      <c r="I996" s="16"/>
      <c r="J996" s="16"/>
      <c r="K996" s="16"/>
      <c r="L996" s="16"/>
      <c r="M996" s="16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24"/>
      <c r="AC996" s="16"/>
      <c r="AD996" s="16"/>
      <c r="AE996" s="16"/>
      <c r="AF996" s="16"/>
      <c r="AG996" s="14"/>
      <c r="AH996" s="14"/>
      <c r="AI996" s="24"/>
      <c r="AJ996" s="24"/>
      <c r="AK996" s="24"/>
      <c r="AL996" s="16"/>
      <c r="AM996" s="16"/>
      <c r="AN996" s="16"/>
      <c r="AO996" s="16"/>
      <c r="AP996" s="16"/>
      <c r="AQ996" s="16"/>
      <c r="AR996" s="16"/>
      <c r="AS996" s="14"/>
      <c r="AT996" s="14"/>
      <c r="AU996" s="14"/>
      <c r="AV996" s="14"/>
      <c r="AW996" s="14"/>
      <c r="AX996" s="14"/>
      <c r="AY996" s="14"/>
      <c r="AZ996" s="14"/>
      <c r="BA996" s="14"/>
      <c r="BB996" s="7"/>
    </row>
    <row r="997" spans="7:54" x14ac:dyDescent="0.15">
      <c r="G997" s="7"/>
      <c r="H997" s="16"/>
      <c r="I997" s="16"/>
      <c r="J997" s="16"/>
      <c r="K997" s="16"/>
      <c r="L997" s="16"/>
      <c r="M997" s="16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24"/>
      <c r="AC997" s="16"/>
      <c r="AD997" s="16"/>
      <c r="AE997" s="16"/>
      <c r="AF997" s="16"/>
      <c r="AG997" s="14"/>
      <c r="AH997" s="14"/>
      <c r="AI997" s="24"/>
      <c r="AJ997" s="24"/>
      <c r="AK997" s="24"/>
      <c r="AL997" s="16"/>
      <c r="AM997" s="16"/>
      <c r="AN997" s="16"/>
      <c r="AO997" s="16"/>
      <c r="AP997" s="16"/>
      <c r="AQ997" s="16"/>
      <c r="AR997" s="16"/>
      <c r="AS997" s="14"/>
      <c r="AT997" s="14"/>
      <c r="AU997" s="14"/>
      <c r="AV997" s="14"/>
      <c r="AW997" s="14"/>
      <c r="AX997" s="14"/>
      <c r="AY997" s="14"/>
      <c r="AZ997" s="14"/>
      <c r="BA997" s="14"/>
      <c r="BB997" s="7"/>
    </row>
    <row r="998" spans="7:54" x14ac:dyDescent="0.15">
      <c r="G998" s="7"/>
      <c r="H998" s="16"/>
      <c r="I998" s="16"/>
      <c r="J998" s="16"/>
      <c r="K998" s="16"/>
      <c r="L998" s="16"/>
      <c r="M998" s="16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24"/>
      <c r="AC998" s="16"/>
      <c r="AD998" s="16"/>
      <c r="AE998" s="16"/>
      <c r="AF998" s="16"/>
      <c r="AG998" s="14"/>
      <c r="AH998" s="14"/>
      <c r="AI998" s="24"/>
      <c r="AJ998" s="24"/>
      <c r="AK998" s="24"/>
      <c r="AL998" s="16"/>
      <c r="AM998" s="16"/>
      <c r="AN998" s="16"/>
      <c r="AO998" s="16"/>
      <c r="AP998" s="16"/>
      <c r="AQ998" s="16"/>
      <c r="AR998" s="16"/>
      <c r="AS998" s="14"/>
      <c r="AT998" s="14"/>
      <c r="AU998" s="14"/>
      <c r="AV998" s="14"/>
      <c r="AW998" s="14"/>
      <c r="AX998" s="14"/>
      <c r="AY998" s="14"/>
      <c r="AZ998" s="14"/>
      <c r="BA998" s="14"/>
      <c r="BB998" s="7"/>
    </row>
    <row r="999" spans="7:54" x14ac:dyDescent="0.15">
      <c r="G999" s="7"/>
      <c r="H999" s="16"/>
      <c r="I999" s="16"/>
      <c r="J999" s="16"/>
      <c r="K999" s="16"/>
      <c r="L999" s="16"/>
      <c r="M999" s="16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24"/>
      <c r="AC999" s="16"/>
      <c r="AD999" s="16"/>
      <c r="AE999" s="16"/>
      <c r="AF999" s="16"/>
      <c r="AG999" s="14"/>
      <c r="AH999" s="14"/>
      <c r="AI999" s="24"/>
      <c r="AJ999" s="24"/>
      <c r="AK999" s="24"/>
      <c r="AL999" s="16"/>
      <c r="AM999" s="16"/>
      <c r="AN999" s="16"/>
      <c r="AO999" s="16"/>
      <c r="AP999" s="16"/>
      <c r="AQ999" s="16"/>
      <c r="AR999" s="16"/>
      <c r="AS999" s="14"/>
      <c r="AT999" s="14"/>
      <c r="AU999" s="14"/>
      <c r="AV999" s="14"/>
      <c r="AW999" s="14"/>
      <c r="AX999" s="14"/>
      <c r="AY999" s="14"/>
      <c r="AZ999" s="14"/>
      <c r="BA999" s="14"/>
      <c r="BB999" s="7"/>
    </row>
    <row r="1000" spans="7:54" x14ac:dyDescent="0.15">
      <c r="G1000" s="7"/>
      <c r="H1000" s="16"/>
      <c r="I1000" s="16"/>
      <c r="J1000" s="16"/>
      <c r="K1000" s="16"/>
      <c r="L1000" s="16"/>
      <c r="M1000" s="16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24"/>
      <c r="AC1000" s="16"/>
      <c r="AD1000" s="16"/>
      <c r="AE1000" s="16"/>
      <c r="AF1000" s="16"/>
      <c r="AG1000" s="14"/>
      <c r="AH1000" s="14"/>
      <c r="AI1000" s="24"/>
      <c r="AJ1000" s="24"/>
      <c r="AK1000" s="24"/>
      <c r="AL1000" s="16"/>
      <c r="AM1000" s="16"/>
      <c r="AN1000" s="16"/>
      <c r="AO1000" s="16"/>
      <c r="AP1000" s="16"/>
      <c r="AQ1000" s="16"/>
      <c r="AR1000" s="16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7"/>
    </row>
    <row r="1001" spans="7:54" x14ac:dyDescent="0.15">
      <c r="G1001" s="7"/>
      <c r="H1001" s="16"/>
      <c r="I1001" s="16"/>
      <c r="J1001" s="16"/>
      <c r="K1001" s="16"/>
      <c r="L1001" s="16"/>
      <c r="M1001" s="16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24"/>
      <c r="AC1001" s="16"/>
      <c r="AD1001" s="16"/>
      <c r="AE1001" s="16"/>
      <c r="AF1001" s="16"/>
      <c r="AG1001" s="14"/>
      <c r="AH1001" s="14"/>
      <c r="AI1001" s="24"/>
      <c r="AJ1001" s="24"/>
      <c r="AK1001" s="24"/>
      <c r="AL1001" s="16"/>
      <c r="AM1001" s="16"/>
      <c r="AN1001" s="16"/>
      <c r="AO1001" s="16"/>
      <c r="AP1001" s="16"/>
      <c r="AQ1001" s="16"/>
      <c r="AR1001" s="16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7"/>
    </row>
    <row r="1002" spans="7:54" x14ac:dyDescent="0.15">
      <c r="G1002" s="7"/>
      <c r="H1002" s="16"/>
      <c r="I1002" s="16"/>
      <c r="J1002" s="16"/>
      <c r="K1002" s="16"/>
      <c r="L1002" s="16"/>
      <c r="M1002" s="16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24"/>
      <c r="AC1002" s="16"/>
      <c r="AD1002" s="16"/>
      <c r="AE1002" s="16"/>
      <c r="AF1002" s="16"/>
      <c r="AG1002" s="14"/>
      <c r="AH1002" s="14"/>
      <c r="AI1002" s="24"/>
      <c r="AJ1002" s="24"/>
      <c r="AK1002" s="24"/>
      <c r="AL1002" s="16"/>
      <c r="AM1002" s="16"/>
      <c r="AN1002" s="16"/>
      <c r="AO1002" s="16"/>
      <c r="AP1002" s="16"/>
      <c r="AQ1002" s="16"/>
      <c r="AR1002" s="16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7"/>
    </row>
    <row r="1003" spans="7:54" x14ac:dyDescent="0.15">
      <c r="G1003" s="7"/>
      <c r="H1003" s="16"/>
      <c r="I1003" s="16"/>
      <c r="J1003" s="16"/>
      <c r="K1003" s="16"/>
      <c r="L1003" s="16"/>
      <c r="M1003" s="16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24"/>
      <c r="AC1003" s="16"/>
      <c r="AD1003" s="16"/>
      <c r="AE1003" s="16"/>
      <c r="AF1003" s="16"/>
      <c r="AG1003" s="14"/>
      <c r="AH1003" s="14"/>
      <c r="AI1003" s="24"/>
      <c r="AJ1003" s="24"/>
      <c r="AK1003" s="24"/>
      <c r="AL1003" s="16"/>
      <c r="AM1003" s="16"/>
      <c r="AN1003" s="16"/>
      <c r="AO1003" s="16"/>
      <c r="AP1003" s="16"/>
      <c r="AQ1003" s="16"/>
      <c r="AR1003" s="16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7"/>
    </row>
    <row r="1004" spans="7:54" x14ac:dyDescent="0.15">
      <c r="G1004" s="7"/>
      <c r="H1004" s="16"/>
      <c r="I1004" s="16"/>
      <c r="J1004" s="16"/>
      <c r="K1004" s="16"/>
      <c r="L1004" s="16"/>
      <c r="M1004" s="16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24"/>
      <c r="AC1004" s="16"/>
      <c r="AD1004" s="16"/>
      <c r="AE1004" s="16"/>
      <c r="AF1004" s="16"/>
      <c r="AG1004" s="14"/>
      <c r="AH1004" s="14"/>
      <c r="AI1004" s="24"/>
      <c r="AJ1004" s="24"/>
      <c r="AK1004" s="24"/>
      <c r="AL1004" s="16"/>
      <c r="AM1004" s="16"/>
      <c r="AN1004" s="16"/>
      <c r="AO1004" s="16"/>
      <c r="AP1004" s="16"/>
      <c r="AQ1004" s="16"/>
      <c r="AR1004" s="16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7"/>
    </row>
    <row r="1005" spans="7:54" x14ac:dyDescent="0.15">
      <c r="G1005" s="7"/>
      <c r="H1005" s="16"/>
      <c r="I1005" s="16"/>
      <c r="J1005" s="16"/>
      <c r="K1005" s="16"/>
      <c r="L1005" s="16"/>
      <c r="M1005" s="16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24"/>
      <c r="AC1005" s="16"/>
      <c r="AD1005" s="16"/>
      <c r="AE1005" s="16"/>
      <c r="AF1005" s="16"/>
      <c r="AG1005" s="14"/>
      <c r="AH1005" s="14"/>
      <c r="AI1005" s="24"/>
      <c r="AJ1005" s="24"/>
      <c r="AK1005" s="24"/>
      <c r="AL1005" s="16"/>
      <c r="AM1005" s="16"/>
      <c r="AN1005" s="16"/>
      <c r="AO1005" s="16"/>
      <c r="AP1005" s="16"/>
      <c r="AQ1005" s="16"/>
      <c r="AR1005" s="16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7"/>
    </row>
    <row r="1006" spans="7:54" x14ac:dyDescent="0.15">
      <c r="G1006" s="7"/>
      <c r="H1006" s="16"/>
      <c r="I1006" s="16"/>
      <c r="J1006" s="16"/>
      <c r="K1006" s="16"/>
      <c r="L1006" s="16"/>
      <c r="M1006" s="16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24"/>
      <c r="AC1006" s="16"/>
      <c r="AD1006" s="16"/>
      <c r="AE1006" s="16"/>
      <c r="AF1006" s="16"/>
      <c r="AG1006" s="14"/>
      <c r="AH1006" s="14"/>
      <c r="AI1006" s="24"/>
      <c r="AJ1006" s="24"/>
      <c r="AK1006" s="24"/>
      <c r="AL1006" s="16"/>
      <c r="AM1006" s="16"/>
      <c r="AN1006" s="16"/>
      <c r="AO1006" s="16"/>
      <c r="AP1006" s="16"/>
      <c r="AQ1006" s="16"/>
      <c r="AR1006" s="16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7"/>
    </row>
    <row r="1007" spans="7:54" x14ac:dyDescent="0.15">
      <c r="G1007" s="7"/>
      <c r="H1007" s="16"/>
      <c r="I1007" s="16"/>
      <c r="J1007" s="16"/>
      <c r="K1007" s="16"/>
      <c r="L1007" s="16"/>
      <c r="M1007" s="16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24"/>
      <c r="AC1007" s="16"/>
      <c r="AD1007" s="16"/>
      <c r="AE1007" s="16"/>
      <c r="AF1007" s="16"/>
      <c r="AG1007" s="14"/>
      <c r="AH1007" s="14"/>
      <c r="AI1007" s="24"/>
      <c r="AJ1007" s="24"/>
      <c r="AK1007" s="24"/>
      <c r="AL1007" s="16"/>
      <c r="AM1007" s="16"/>
      <c r="AN1007" s="16"/>
      <c r="AO1007" s="16"/>
      <c r="AP1007" s="16"/>
      <c r="AQ1007" s="16"/>
      <c r="AR1007" s="16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7"/>
    </row>
    <row r="1008" spans="7:54" x14ac:dyDescent="0.15">
      <c r="G1008" s="7"/>
      <c r="H1008" s="16"/>
      <c r="I1008" s="16"/>
      <c r="J1008" s="16"/>
      <c r="K1008" s="16"/>
      <c r="L1008" s="16"/>
      <c r="M1008" s="16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24"/>
      <c r="AC1008" s="16"/>
      <c r="AD1008" s="16"/>
      <c r="AE1008" s="16"/>
      <c r="AF1008" s="16"/>
      <c r="AG1008" s="14"/>
      <c r="AH1008" s="14"/>
      <c r="AI1008" s="24"/>
      <c r="AJ1008" s="24"/>
      <c r="AK1008" s="24"/>
      <c r="AL1008" s="16"/>
      <c r="AM1008" s="16"/>
      <c r="AN1008" s="16"/>
      <c r="AO1008" s="16"/>
      <c r="AP1008" s="16"/>
      <c r="AQ1008" s="16"/>
      <c r="AR1008" s="16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7"/>
    </row>
    <row r="1009" spans="7:54" x14ac:dyDescent="0.15">
      <c r="G1009" s="7"/>
      <c r="H1009" s="16"/>
      <c r="I1009" s="16"/>
      <c r="J1009" s="16"/>
      <c r="K1009" s="16"/>
      <c r="L1009" s="16"/>
      <c r="M1009" s="16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24"/>
      <c r="AC1009" s="16"/>
      <c r="AD1009" s="16"/>
      <c r="AE1009" s="16"/>
      <c r="AF1009" s="16"/>
      <c r="AG1009" s="14"/>
      <c r="AH1009" s="14"/>
      <c r="AI1009" s="24"/>
      <c r="AJ1009" s="24"/>
      <c r="AK1009" s="24"/>
      <c r="AL1009" s="16"/>
      <c r="AM1009" s="16"/>
      <c r="AN1009" s="16"/>
      <c r="AO1009" s="16"/>
      <c r="AP1009" s="16"/>
      <c r="AQ1009" s="16"/>
      <c r="AR1009" s="16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7"/>
    </row>
    <row r="1010" spans="7:54" x14ac:dyDescent="0.15">
      <c r="G1010" s="7"/>
      <c r="H1010" s="16"/>
      <c r="I1010" s="16"/>
      <c r="J1010" s="16"/>
      <c r="K1010" s="16"/>
      <c r="L1010" s="16"/>
      <c r="M1010" s="16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24"/>
      <c r="AC1010" s="16"/>
      <c r="AD1010" s="16"/>
      <c r="AE1010" s="16"/>
      <c r="AF1010" s="16"/>
      <c r="AG1010" s="14"/>
      <c r="AH1010" s="14"/>
      <c r="AI1010" s="24"/>
      <c r="AJ1010" s="24"/>
      <c r="AK1010" s="24"/>
      <c r="AL1010" s="16"/>
      <c r="AM1010" s="16"/>
      <c r="AN1010" s="16"/>
      <c r="AO1010" s="16"/>
      <c r="AP1010" s="16"/>
      <c r="AQ1010" s="16"/>
      <c r="AR1010" s="16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7"/>
    </row>
    <row r="1011" spans="7:54" x14ac:dyDescent="0.15">
      <c r="G1011" s="7"/>
      <c r="H1011" s="16"/>
      <c r="I1011" s="16"/>
      <c r="J1011" s="16"/>
      <c r="K1011" s="16"/>
      <c r="L1011" s="16"/>
      <c r="M1011" s="16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24"/>
      <c r="AC1011" s="16"/>
      <c r="AD1011" s="16"/>
      <c r="AE1011" s="16"/>
      <c r="AF1011" s="16"/>
      <c r="AG1011" s="14"/>
      <c r="AH1011" s="14"/>
      <c r="AI1011" s="24"/>
      <c r="AJ1011" s="24"/>
      <c r="AK1011" s="24"/>
      <c r="AL1011" s="16"/>
      <c r="AM1011" s="16"/>
      <c r="AN1011" s="16"/>
      <c r="AO1011" s="16"/>
      <c r="AP1011" s="16"/>
      <c r="AQ1011" s="16"/>
      <c r="AR1011" s="16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7"/>
    </row>
    <row r="1012" spans="7:54" x14ac:dyDescent="0.15">
      <c r="G1012" s="7"/>
      <c r="H1012" s="16"/>
      <c r="I1012" s="16"/>
      <c r="J1012" s="16"/>
      <c r="K1012" s="16"/>
      <c r="L1012" s="16"/>
      <c r="M1012" s="16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24"/>
      <c r="AC1012" s="16"/>
      <c r="AD1012" s="16"/>
      <c r="AE1012" s="16"/>
      <c r="AF1012" s="16"/>
      <c r="AG1012" s="14"/>
      <c r="AH1012" s="14"/>
      <c r="AI1012" s="24"/>
      <c r="AJ1012" s="24"/>
      <c r="AK1012" s="24"/>
      <c r="AL1012" s="16"/>
      <c r="AM1012" s="16"/>
      <c r="AN1012" s="16"/>
      <c r="AO1012" s="16"/>
      <c r="AP1012" s="16"/>
      <c r="AQ1012" s="16"/>
      <c r="AR1012" s="16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7"/>
    </row>
    <row r="1013" spans="7:54" x14ac:dyDescent="0.15">
      <c r="G1013" s="7"/>
      <c r="H1013" s="16"/>
      <c r="I1013" s="16"/>
      <c r="J1013" s="16"/>
      <c r="K1013" s="16"/>
      <c r="L1013" s="16"/>
      <c r="M1013" s="16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24"/>
      <c r="AC1013" s="16"/>
      <c r="AD1013" s="16"/>
      <c r="AE1013" s="16"/>
      <c r="AF1013" s="16"/>
      <c r="AG1013" s="14"/>
      <c r="AH1013" s="14"/>
      <c r="AI1013" s="24"/>
      <c r="AJ1013" s="24"/>
      <c r="AK1013" s="24"/>
      <c r="AL1013" s="16"/>
      <c r="AM1013" s="16"/>
      <c r="AN1013" s="16"/>
      <c r="AO1013" s="16"/>
      <c r="AP1013" s="16"/>
      <c r="AQ1013" s="16"/>
      <c r="AR1013" s="16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7"/>
    </row>
    <row r="1014" spans="7:54" x14ac:dyDescent="0.15">
      <c r="G1014" s="7"/>
      <c r="H1014" s="16"/>
      <c r="I1014" s="16"/>
      <c r="J1014" s="16"/>
      <c r="K1014" s="16"/>
      <c r="L1014" s="16"/>
      <c r="M1014" s="16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24"/>
      <c r="AC1014" s="16"/>
      <c r="AD1014" s="16"/>
      <c r="AE1014" s="16"/>
      <c r="AF1014" s="16"/>
      <c r="AG1014" s="14"/>
      <c r="AH1014" s="14"/>
      <c r="AI1014" s="24"/>
      <c r="AJ1014" s="24"/>
      <c r="AK1014" s="24"/>
      <c r="AL1014" s="16"/>
      <c r="AM1014" s="16"/>
      <c r="AN1014" s="16"/>
      <c r="AO1014" s="16"/>
      <c r="AP1014" s="16"/>
      <c r="AQ1014" s="16"/>
      <c r="AR1014" s="16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7"/>
    </row>
    <row r="1015" spans="7:54" x14ac:dyDescent="0.15">
      <c r="G1015" s="7"/>
      <c r="H1015" s="16"/>
      <c r="I1015" s="16"/>
      <c r="J1015" s="16"/>
      <c r="K1015" s="16"/>
      <c r="L1015" s="16"/>
      <c r="M1015" s="16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24"/>
      <c r="AC1015" s="16"/>
      <c r="AD1015" s="16"/>
      <c r="AE1015" s="16"/>
      <c r="AF1015" s="16"/>
      <c r="AG1015" s="14"/>
      <c r="AH1015" s="14"/>
      <c r="AI1015" s="24"/>
      <c r="AJ1015" s="24"/>
      <c r="AK1015" s="24"/>
      <c r="AL1015" s="16"/>
      <c r="AM1015" s="16"/>
      <c r="AN1015" s="16"/>
      <c r="AO1015" s="16"/>
      <c r="AP1015" s="16"/>
      <c r="AQ1015" s="16"/>
      <c r="AR1015" s="16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7"/>
    </row>
    <row r="1016" spans="7:54" x14ac:dyDescent="0.15">
      <c r="G1016" s="7"/>
      <c r="H1016" s="16"/>
      <c r="I1016" s="16"/>
      <c r="J1016" s="16"/>
      <c r="K1016" s="16"/>
      <c r="L1016" s="16"/>
      <c r="M1016" s="16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24"/>
      <c r="AC1016" s="16"/>
      <c r="AD1016" s="16"/>
      <c r="AE1016" s="16"/>
      <c r="AF1016" s="16"/>
      <c r="AG1016" s="14"/>
      <c r="AH1016" s="14"/>
      <c r="AI1016" s="24"/>
      <c r="AJ1016" s="24"/>
      <c r="AK1016" s="24"/>
      <c r="AL1016" s="16"/>
      <c r="AM1016" s="16"/>
      <c r="AN1016" s="16"/>
      <c r="AO1016" s="16"/>
      <c r="AP1016" s="16"/>
      <c r="AQ1016" s="16"/>
      <c r="AR1016" s="16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7"/>
    </row>
    <row r="1017" spans="7:54" x14ac:dyDescent="0.15">
      <c r="G1017" s="7"/>
      <c r="H1017" s="16"/>
      <c r="I1017" s="16"/>
      <c r="J1017" s="16"/>
      <c r="K1017" s="16"/>
      <c r="L1017" s="16"/>
      <c r="M1017" s="16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24"/>
      <c r="AC1017" s="16"/>
      <c r="AD1017" s="16"/>
      <c r="AE1017" s="16"/>
      <c r="AF1017" s="16"/>
      <c r="AG1017" s="14"/>
      <c r="AH1017" s="14"/>
      <c r="AI1017" s="24"/>
      <c r="AJ1017" s="24"/>
      <c r="AK1017" s="24"/>
      <c r="AL1017" s="16"/>
      <c r="AM1017" s="16"/>
      <c r="AN1017" s="16"/>
      <c r="AO1017" s="16"/>
      <c r="AP1017" s="16"/>
      <c r="AQ1017" s="16"/>
      <c r="AR1017" s="16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7"/>
    </row>
    <row r="1018" spans="7:54" x14ac:dyDescent="0.15">
      <c r="G1018" s="7"/>
      <c r="H1018" s="16"/>
      <c r="I1018" s="16"/>
      <c r="J1018" s="16"/>
      <c r="K1018" s="16"/>
      <c r="L1018" s="16"/>
      <c r="M1018" s="16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24"/>
      <c r="AC1018" s="16"/>
      <c r="AD1018" s="16"/>
      <c r="AE1018" s="16"/>
      <c r="AF1018" s="16"/>
      <c r="AG1018" s="14"/>
      <c r="AH1018" s="14"/>
      <c r="AI1018" s="24"/>
      <c r="AJ1018" s="24"/>
      <c r="AK1018" s="24"/>
      <c r="AL1018" s="16"/>
      <c r="AM1018" s="16"/>
      <c r="AN1018" s="16"/>
      <c r="AO1018" s="16"/>
      <c r="AP1018" s="16"/>
      <c r="AQ1018" s="16"/>
      <c r="AR1018" s="16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7"/>
    </row>
    <row r="1019" spans="7:54" x14ac:dyDescent="0.15">
      <c r="G1019" s="7"/>
      <c r="H1019" s="16"/>
      <c r="I1019" s="16"/>
      <c r="J1019" s="16"/>
      <c r="K1019" s="16"/>
      <c r="L1019" s="16"/>
      <c r="M1019" s="16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24"/>
      <c r="AC1019" s="16"/>
      <c r="AD1019" s="16"/>
      <c r="AE1019" s="16"/>
      <c r="AF1019" s="16"/>
      <c r="AG1019" s="14"/>
      <c r="AH1019" s="14"/>
      <c r="AI1019" s="24"/>
      <c r="AJ1019" s="24"/>
      <c r="AK1019" s="24"/>
      <c r="AL1019" s="16"/>
      <c r="AM1019" s="16"/>
      <c r="AN1019" s="16"/>
      <c r="AO1019" s="16"/>
      <c r="AP1019" s="16"/>
      <c r="AQ1019" s="16"/>
      <c r="AR1019" s="16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7"/>
    </row>
    <row r="1020" spans="7:54" x14ac:dyDescent="0.15">
      <c r="G1020" s="7"/>
      <c r="H1020" s="16"/>
      <c r="I1020" s="16"/>
      <c r="J1020" s="16"/>
      <c r="K1020" s="16"/>
      <c r="L1020" s="16"/>
      <c r="M1020" s="16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24"/>
      <c r="AC1020" s="16"/>
      <c r="AD1020" s="16"/>
      <c r="AE1020" s="16"/>
      <c r="AF1020" s="16"/>
      <c r="AG1020" s="14"/>
      <c r="AH1020" s="14"/>
      <c r="AI1020" s="24"/>
      <c r="AJ1020" s="24"/>
      <c r="AK1020" s="24"/>
      <c r="AL1020" s="16"/>
      <c r="AM1020" s="16"/>
      <c r="AN1020" s="16"/>
      <c r="AO1020" s="16"/>
      <c r="AP1020" s="16"/>
      <c r="AQ1020" s="16"/>
      <c r="AR1020" s="16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7"/>
    </row>
    <row r="1021" spans="7:54" x14ac:dyDescent="0.15">
      <c r="G1021" s="7"/>
      <c r="H1021" s="16"/>
      <c r="I1021" s="16"/>
      <c r="J1021" s="16"/>
      <c r="K1021" s="16"/>
      <c r="L1021" s="16"/>
      <c r="M1021" s="16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24"/>
      <c r="AC1021" s="16"/>
      <c r="AD1021" s="16"/>
      <c r="AE1021" s="16"/>
      <c r="AF1021" s="16"/>
      <c r="AG1021" s="14"/>
      <c r="AH1021" s="14"/>
      <c r="AI1021" s="24"/>
      <c r="AJ1021" s="24"/>
      <c r="AK1021" s="24"/>
      <c r="AL1021" s="16"/>
      <c r="AM1021" s="16"/>
      <c r="AN1021" s="16"/>
      <c r="AO1021" s="16"/>
      <c r="AP1021" s="16"/>
      <c r="AQ1021" s="16"/>
      <c r="AR1021" s="16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7"/>
    </row>
    <row r="1022" spans="7:54" x14ac:dyDescent="0.15">
      <c r="G1022" s="7"/>
      <c r="H1022" s="16"/>
      <c r="I1022" s="16"/>
      <c r="J1022" s="16"/>
      <c r="K1022" s="16"/>
      <c r="L1022" s="16"/>
      <c r="M1022" s="16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24"/>
      <c r="AC1022" s="16"/>
      <c r="AD1022" s="16"/>
      <c r="AE1022" s="16"/>
      <c r="AF1022" s="16"/>
      <c r="AG1022" s="14"/>
      <c r="AH1022" s="14"/>
      <c r="AI1022" s="24"/>
      <c r="AJ1022" s="24"/>
      <c r="AK1022" s="24"/>
      <c r="AL1022" s="16"/>
      <c r="AM1022" s="16"/>
      <c r="AN1022" s="16"/>
      <c r="AO1022" s="16"/>
      <c r="AP1022" s="16"/>
      <c r="AQ1022" s="16"/>
      <c r="AR1022" s="16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7"/>
    </row>
    <row r="1023" spans="7:54" x14ac:dyDescent="0.15">
      <c r="G1023" s="7"/>
      <c r="H1023" s="16"/>
      <c r="I1023" s="16"/>
      <c r="J1023" s="16"/>
      <c r="K1023" s="16"/>
      <c r="L1023" s="16"/>
      <c r="M1023" s="16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24"/>
      <c r="AC1023" s="16"/>
      <c r="AD1023" s="16"/>
      <c r="AE1023" s="16"/>
      <c r="AF1023" s="16"/>
      <c r="AG1023" s="14"/>
      <c r="AH1023" s="14"/>
      <c r="AI1023" s="24"/>
      <c r="AJ1023" s="24"/>
      <c r="AK1023" s="24"/>
      <c r="AL1023" s="16"/>
      <c r="AM1023" s="16"/>
      <c r="AN1023" s="16"/>
      <c r="AO1023" s="16"/>
      <c r="AP1023" s="16"/>
      <c r="AQ1023" s="16"/>
      <c r="AR1023" s="16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7"/>
    </row>
    <row r="1024" spans="7:54" x14ac:dyDescent="0.15">
      <c r="G1024" s="7"/>
      <c r="H1024" s="16"/>
      <c r="I1024" s="16"/>
      <c r="J1024" s="16"/>
      <c r="K1024" s="16"/>
      <c r="L1024" s="16"/>
      <c r="M1024" s="16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24"/>
      <c r="AC1024" s="16"/>
      <c r="AD1024" s="16"/>
      <c r="AE1024" s="16"/>
      <c r="AF1024" s="16"/>
      <c r="AG1024" s="14"/>
      <c r="AH1024" s="14"/>
      <c r="AI1024" s="24"/>
      <c r="AJ1024" s="24"/>
      <c r="AK1024" s="24"/>
      <c r="AL1024" s="16"/>
      <c r="AM1024" s="16"/>
      <c r="AN1024" s="16"/>
      <c r="AO1024" s="16"/>
      <c r="AP1024" s="16"/>
      <c r="AQ1024" s="16"/>
      <c r="AR1024" s="16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7"/>
    </row>
    <row r="1025" spans="7:54" x14ac:dyDescent="0.15">
      <c r="G1025" s="7"/>
      <c r="H1025" s="16"/>
      <c r="I1025" s="16"/>
      <c r="J1025" s="16"/>
      <c r="K1025" s="16"/>
      <c r="L1025" s="16"/>
      <c r="M1025" s="16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24"/>
      <c r="AC1025" s="16"/>
      <c r="AD1025" s="16"/>
      <c r="AE1025" s="16"/>
      <c r="AF1025" s="16"/>
      <c r="AG1025" s="14"/>
      <c r="AH1025" s="14"/>
      <c r="AI1025" s="24"/>
      <c r="AJ1025" s="24"/>
      <c r="AK1025" s="24"/>
      <c r="AL1025" s="16"/>
      <c r="AM1025" s="16"/>
      <c r="AN1025" s="16"/>
      <c r="AO1025" s="16"/>
      <c r="AP1025" s="16"/>
      <c r="AQ1025" s="16"/>
      <c r="AR1025" s="16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7"/>
    </row>
    <row r="1026" spans="7:54" x14ac:dyDescent="0.15">
      <c r="G1026" s="7"/>
      <c r="H1026" s="16"/>
      <c r="I1026" s="16"/>
      <c r="J1026" s="16"/>
      <c r="K1026" s="16"/>
      <c r="L1026" s="16"/>
      <c r="M1026" s="16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24"/>
      <c r="AC1026" s="16"/>
      <c r="AD1026" s="16"/>
      <c r="AE1026" s="16"/>
      <c r="AF1026" s="16"/>
      <c r="AG1026" s="14"/>
      <c r="AH1026" s="14"/>
      <c r="AI1026" s="24"/>
      <c r="AJ1026" s="24"/>
      <c r="AK1026" s="24"/>
      <c r="AL1026" s="16"/>
      <c r="AM1026" s="16"/>
      <c r="AN1026" s="16"/>
      <c r="AO1026" s="16"/>
      <c r="AP1026" s="16"/>
      <c r="AQ1026" s="16"/>
      <c r="AR1026" s="16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7"/>
    </row>
    <row r="1027" spans="7:54" x14ac:dyDescent="0.15">
      <c r="G1027" s="7"/>
      <c r="H1027" s="16"/>
      <c r="I1027" s="16"/>
      <c r="J1027" s="16"/>
      <c r="K1027" s="16"/>
      <c r="L1027" s="16"/>
      <c r="M1027" s="16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24"/>
      <c r="AC1027" s="16"/>
      <c r="AD1027" s="16"/>
      <c r="AE1027" s="16"/>
      <c r="AF1027" s="16"/>
      <c r="AG1027" s="14"/>
      <c r="AH1027" s="14"/>
      <c r="AI1027" s="24"/>
      <c r="AJ1027" s="24"/>
      <c r="AK1027" s="24"/>
      <c r="AL1027" s="16"/>
      <c r="AM1027" s="16"/>
      <c r="AN1027" s="16"/>
      <c r="AO1027" s="16"/>
      <c r="AP1027" s="16"/>
      <c r="AQ1027" s="16"/>
      <c r="AR1027" s="16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7"/>
    </row>
    <row r="1028" spans="7:54" x14ac:dyDescent="0.15">
      <c r="G1028" s="7"/>
      <c r="H1028" s="16"/>
      <c r="I1028" s="16"/>
      <c r="J1028" s="16"/>
      <c r="K1028" s="16"/>
      <c r="L1028" s="16"/>
      <c r="M1028" s="16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24"/>
      <c r="AC1028" s="16"/>
      <c r="AD1028" s="16"/>
      <c r="AE1028" s="16"/>
      <c r="AF1028" s="16"/>
      <c r="AG1028" s="14"/>
      <c r="AH1028" s="14"/>
      <c r="AI1028" s="24"/>
      <c r="AJ1028" s="24"/>
      <c r="AK1028" s="24"/>
      <c r="AL1028" s="16"/>
      <c r="AM1028" s="16"/>
      <c r="AN1028" s="16"/>
      <c r="AO1028" s="16"/>
      <c r="AP1028" s="16"/>
      <c r="AQ1028" s="16"/>
      <c r="AR1028" s="16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7"/>
    </row>
    <row r="1029" spans="7:54" x14ac:dyDescent="0.15">
      <c r="G1029" s="7"/>
      <c r="H1029" s="16"/>
      <c r="I1029" s="16"/>
      <c r="J1029" s="16"/>
      <c r="K1029" s="16"/>
      <c r="L1029" s="16"/>
      <c r="M1029" s="16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24"/>
      <c r="AC1029" s="16"/>
      <c r="AD1029" s="16"/>
      <c r="AE1029" s="16"/>
      <c r="AF1029" s="16"/>
      <c r="AG1029" s="14"/>
      <c r="AH1029" s="14"/>
      <c r="AI1029" s="24"/>
      <c r="AJ1029" s="24"/>
      <c r="AK1029" s="24"/>
      <c r="AL1029" s="16"/>
      <c r="AM1029" s="16"/>
      <c r="AN1029" s="16"/>
      <c r="AO1029" s="16"/>
      <c r="AP1029" s="16"/>
      <c r="AQ1029" s="16"/>
      <c r="AR1029" s="16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7"/>
    </row>
    <row r="1030" spans="7:54" x14ac:dyDescent="0.15">
      <c r="G1030" s="7"/>
      <c r="H1030" s="16"/>
      <c r="I1030" s="16"/>
      <c r="J1030" s="16"/>
      <c r="K1030" s="16"/>
      <c r="L1030" s="16"/>
      <c r="M1030" s="16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24"/>
      <c r="AC1030" s="16"/>
      <c r="AD1030" s="16"/>
      <c r="AE1030" s="16"/>
      <c r="AF1030" s="16"/>
      <c r="AG1030" s="14"/>
      <c r="AH1030" s="14"/>
      <c r="AI1030" s="24"/>
      <c r="AJ1030" s="24"/>
      <c r="AK1030" s="24"/>
      <c r="AL1030" s="16"/>
      <c r="AM1030" s="16"/>
      <c r="AN1030" s="16"/>
      <c r="AO1030" s="16"/>
      <c r="AP1030" s="16"/>
      <c r="AQ1030" s="16"/>
      <c r="AR1030" s="16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7"/>
    </row>
    <row r="1031" spans="7:54" x14ac:dyDescent="0.15">
      <c r="G1031" s="7"/>
      <c r="H1031" s="16"/>
      <c r="I1031" s="16"/>
      <c r="J1031" s="16"/>
      <c r="K1031" s="16"/>
      <c r="L1031" s="16"/>
      <c r="M1031" s="16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24"/>
      <c r="AC1031" s="16"/>
      <c r="AD1031" s="16"/>
      <c r="AE1031" s="16"/>
      <c r="AF1031" s="16"/>
      <c r="AG1031" s="14"/>
      <c r="AH1031" s="14"/>
      <c r="AI1031" s="24"/>
      <c r="AJ1031" s="24"/>
      <c r="AK1031" s="24"/>
      <c r="AL1031" s="16"/>
      <c r="AM1031" s="16"/>
      <c r="AN1031" s="16"/>
      <c r="AO1031" s="16"/>
      <c r="AP1031" s="16"/>
      <c r="AQ1031" s="16"/>
      <c r="AR1031" s="16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7"/>
    </row>
    <row r="1032" spans="7:54" x14ac:dyDescent="0.15">
      <c r="G1032" s="7"/>
      <c r="H1032" s="16"/>
      <c r="I1032" s="16"/>
      <c r="J1032" s="16"/>
      <c r="K1032" s="16"/>
      <c r="L1032" s="16"/>
      <c r="M1032" s="16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24"/>
      <c r="AC1032" s="16"/>
      <c r="AD1032" s="16"/>
      <c r="AE1032" s="16"/>
      <c r="AF1032" s="16"/>
      <c r="AG1032" s="14"/>
      <c r="AH1032" s="14"/>
      <c r="AI1032" s="24"/>
      <c r="AJ1032" s="24"/>
      <c r="AK1032" s="24"/>
      <c r="AL1032" s="16"/>
      <c r="AM1032" s="16"/>
      <c r="AN1032" s="16"/>
      <c r="AO1032" s="16"/>
      <c r="AP1032" s="16"/>
      <c r="AQ1032" s="16"/>
      <c r="AR1032" s="16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7"/>
    </row>
    <row r="1033" spans="7:54" x14ac:dyDescent="0.15">
      <c r="G1033" s="7"/>
      <c r="H1033" s="16"/>
      <c r="I1033" s="16"/>
      <c r="J1033" s="16"/>
      <c r="K1033" s="16"/>
      <c r="L1033" s="16"/>
      <c r="M1033" s="16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24"/>
      <c r="AC1033" s="16"/>
      <c r="AD1033" s="16"/>
      <c r="AE1033" s="16"/>
      <c r="AF1033" s="16"/>
      <c r="AG1033" s="14"/>
      <c r="AH1033" s="14"/>
      <c r="AI1033" s="24"/>
      <c r="AJ1033" s="24"/>
      <c r="AK1033" s="24"/>
      <c r="AL1033" s="16"/>
      <c r="AM1033" s="16"/>
      <c r="AN1033" s="16"/>
      <c r="AO1033" s="16"/>
      <c r="AP1033" s="16"/>
      <c r="AQ1033" s="16"/>
      <c r="AR1033" s="16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7"/>
    </row>
    <row r="1034" spans="7:54" x14ac:dyDescent="0.15">
      <c r="G1034" s="7"/>
      <c r="H1034" s="16"/>
      <c r="I1034" s="16"/>
      <c r="J1034" s="16"/>
      <c r="K1034" s="16"/>
      <c r="L1034" s="16"/>
      <c r="M1034" s="16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24"/>
      <c r="AC1034" s="16"/>
      <c r="AD1034" s="16"/>
      <c r="AE1034" s="16"/>
      <c r="AF1034" s="16"/>
      <c r="AG1034" s="14"/>
      <c r="AH1034" s="14"/>
      <c r="AI1034" s="24"/>
      <c r="AJ1034" s="24"/>
      <c r="AK1034" s="24"/>
      <c r="AL1034" s="16"/>
      <c r="AM1034" s="16"/>
      <c r="AN1034" s="16"/>
      <c r="AO1034" s="16"/>
      <c r="AP1034" s="16"/>
      <c r="AQ1034" s="16"/>
      <c r="AR1034" s="16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7"/>
    </row>
    <row r="1035" spans="7:54" x14ac:dyDescent="0.15">
      <c r="G1035" s="7"/>
      <c r="H1035" s="16"/>
      <c r="I1035" s="16"/>
      <c r="J1035" s="16"/>
      <c r="K1035" s="16"/>
      <c r="L1035" s="16"/>
      <c r="M1035" s="16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24"/>
      <c r="AC1035" s="16"/>
      <c r="AD1035" s="16"/>
      <c r="AE1035" s="16"/>
      <c r="AF1035" s="16"/>
      <c r="AG1035" s="14"/>
      <c r="AH1035" s="14"/>
      <c r="AI1035" s="24"/>
      <c r="AJ1035" s="24"/>
      <c r="AK1035" s="24"/>
      <c r="AL1035" s="16"/>
      <c r="AM1035" s="16"/>
      <c r="AN1035" s="16"/>
      <c r="AO1035" s="16"/>
      <c r="AP1035" s="16"/>
      <c r="AQ1035" s="16"/>
      <c r="AR1035" s="16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7"/>
    </row>
    <row r="1036" spans="7:54" x14ac:dyDescent="0.15">
      <c r="G1036" s="7"/>
      <c r="H1036" s="16"/>
      <c r="I1036" s="16"/>
      <c r="J1036" s="16"/>
      <c r="K1036" s="16"/>
      <c r="L1036" s="16"/>
      <c r="M1036" s="16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24"/>
      <c r="AC1036" s="16"/>
      <c r="AD1036" s="16"/>
      <c r="AE1036" s="16"/>
      <c r="AF1036" s="16"/>
      <c r="AG1036" s="14"/>
      <c r="AH1036" s="14"/>
      <c r="AI1036" s="24"/>
      <c r="AJ1036" s="24"/>
      <c r="AK1036" s="24"/>
      <c r="AL1036" s="16"/>
      <c r="AM1036" s="16"/>
      <c r="AN1036" s="16"/>
      <c r="AO1036" s="16"/>
      <c r="AP1036" s="16"/>
      <c r="AQ1036" s="16"/>
      <c r="AR1036" s="16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7"/>
    </row>
    <row r="1037" spans="7:54" x14ac:dyDescent="0.15">
      <c r="G1037" s="7"/>
      <c r="H1037" s="16"/>
      <c r="I1037" s="16"/>
      <c r="J1037" s="16"/>
      <c r="K1037" s="16"/>
      <c r="L1037" s="16"/>
      <c r="M1037" s="16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24"/>
      <c r="AC1037" s="16"/>
      <c r="AD1037" s="16"/>
      <c r="AE1037" s="16"/>
      <c r="AF1037" s="16"/>
      <c r="AG1037" s="14"/>
      <c r="AH1037" s="14"/>
      <c r="AI1037" s="24"/>
      <c r="AJ1037" s="24"/>
      <c r="AK1037" s="24"/>
      <c r="AL1037" s="16"/>
      <c r="AM1037" s="16"/>
      <c r="AN1037" s="16"/>
      <c r="AO1037" s="16"/>
      <c r="AP1037" s="16"/>
      <c r="AQ1037" s="16"/>
      <c r="AR1037" s="16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7"/>
    </row>
    <row r="1038" spans="7:54" x14ac:dyDescent="0.15">
      <c r="G1038" s="7"/>
      <c r="H1038" s="16"/>
      <c r="I1038" s="16"/>
      <c r="J1038" s="16"/>
      <c r="K1038" s="16"/>
      <c r="L1038" s="16"/>
      <c r="M1038" s="16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24"/>
      <c r="AC1038" s="16"/>
      <c r="AD1038" s="16"/>
      <c r="AE1038" s="16"/>
      <c r="AF1038" s="16"/>
      <c r="AG1038" s="14"/>
      <c r="AH1038" s="14"/>
      <c r="AI1038" s="24"/>
      <c r="AJ1038" s="24"/>
      <c r="AK1038" s="24"/>
      <c r="AL1038" s="16"/>
      <c r="AM1038" s="16"/>
      <c r="AN1038" s="16"/>
      <c r="AO1038" s="16"/>
      <c r="AP1038" s="16"/>
      <c r="AQ1038" s="16"/>
      <c r="AR1038" s="16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7"/>
    </row>
    <row r="1039" spans="7:54" x14ac:dyDescent="0.15">
      <c r="G1039" s="7"/>
      <c r="H1039" s="16"/>
      <c r="I1039" s="16"/>
      <c r="J1039" s="16"/>
      <c r="K1039" s="16"/>
      <c r="L1039" s="16"/>
      <c r="M1039" s="16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24"/>
      <c r="AC1039" s="16"/>
      <c r="AD1039" s="16"/>
      <c r="AE1039" s="16"/>
      <c r="AF1039" s="16"/>
      <c r="AG1039" s="14"/>
      <c r="AH1039" s="14"/>
      <c r="AI1039" s="24"/>
      <c r="AJ1039" s="24"/>
      <c r="AK1039" s="24"/>
      <c r="AL1039" s="16"/>
      <c r="AM1039" s="16"/>
      <c r="AN1039" s="16"/>
      <c r="AO1039" s="16"/>
      <c r="AP1039" s="16"/>
      <c r="AQ1039" s="16"/>
      <c r="AR1039" s="16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7"/>
    </row>
    <row r="1040" spans="7:54" x14ac:dyDescent="0.15">
      <c r="G1040" s="7"/>
      <c r="H1040" s="16"/>
      <c r="I1040" s="16"/>
      <c r="J1040" s="16"/>
      <c r="K1040" s="16"/>
      <c r="L1040" s="16"/>
      <c r="M1040" s="16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24"/>
      <c r="AC1040" s="16"/>
      <c r="AD1040" s="16"/>
      <c r="AE1040" s="16"/>
      <c r="AF1040" s="16"/>
      <c r="AG1040" s="14"/>
      <c r="AH1040" s="14"/>
      <c r="AI1040" s="24"/>
      <c r="AJ1040" s="24"/>
      <c r="AK1040" s="24"/>
      <c r="AL1040" s="16"/>
      <c r="AM1040" s="16"/>
      <c r="AN1040" s="16"/>
      <c r="AO1040" s="16"/>
      <c r="AP1040" s="16"/>
      <c r="AQ1040" s="16"/>
      <c r="AR1040" s="16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7"/>
    </row>
    <row r="1041" spans="7:54" x14ac:dyDescent="0.15">
      <c r="G1041" s="7"/>
      <c r="H1041" s="16"/>
      <c r="I1041" s="16"/>
      <c r="J1041" s="16"/>
      <c r="K1041" s="16"/>
      <c r="L1041" s="16"/>
      <c r="M1041" s="16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24"/>
      <c r="AC1041" s="16"/>
      <c r="AD1041" s="16"/>
      <c r="AE1041" s="16"/>
      <c r="AF1041" s="16"/>
      <c r="AG1041" s="14"/>
      <c r="AH1041" s="14"/>
      <c r="AI1041" s="24"/>
      <c r="AJ1041" s="24"/>
      <c r="AK1041" s="24"/>
      <c r="AL1041" s="16"/>
      <c r="AM1041" s="16"/>
      <c r="AN1041" s="16"/>
      <c r="AO1041" s="16"/>
      <c r="AP1041" s="16"/>
      <c r="AQ1041" s="16"/>
      <c r="AR1041" s="16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7"/>
    </row>
    <row r="1042" spans="7:54" x14ac:dyDescent="0.15">
      <c r="G1042" s="7"/>
      <c r="H1042" s="16"/>
      <c r="I1042" s="16"/>
      <c r="J1042" s="16"/>
      <c r="K1042" s="16"/>
      <c r="L1042" s="16"/>
      <c r="M1042" s="16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24"/>
      <c r="AC1042" s="16"/>
      <c r="AD1042" s="16"/>
      <c r="AE1042" s="16"/>
      <c r="AF1042" s="16"/>
      <c r="AG1042" s="14"/>
      <c r="AH1042" s="14"/>
      <c r="AI1042" s="24"/>
      <c r="AJ1042" s="24"/>
      <c r="AK1042" s="24"/>
      <c r="AL1042" s="16"/>
      <c r="AM1042" s="16"/>
      <c r="AN1042" s="16"/>
      <c r="AO1042" s="16"/>
      <c r="AP1042" s="16"/>
      <c r="AQ1042" s="16"/>
      <c r="AR1042" s="16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7"/>
    </row>
    <row r="1043" spans="7:54" x14ac:dyDescent="0.15">
      <c r="G1043" s="7"/>
      <c r="H1043" s="16"/>
      <c r="I1043" s="16"/>
      <c r="J1043" s="16"/>
      <c r="K1043" s="16"/>
      <c r="L1043" s="16"/>
      <c r="M1043" s="16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24"/>
      <c r="AC1043" s="16"/>
      <c r="AD1043" s="16"/>
      <c r="AE1043" s="16"/>
      <c r="AF1043" s="16"/>
      <c r="AG1043" s="14"/>
      <c r="AH1043" s="14"/>
      <c r="AI1043" s="24"/>
      <c r="AJ1043" s="24"/>
      <c r="AK1043" s="24"/>
      <c r="AL1043" s="16"/>
      <c r="AM1043" s="16"/>
      <c r="AN1043" s="16"/>
      <c r="AO1043" s="16"/>
      <c r="AP1043" s="16"/>
      <c r="AQ1043" s="16"/>
      <c r="AR1043" s="16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7"/>
    </row>
    <row r="1044" spans="7:54" x14ac:dyDescent="0.15">
      <c r="G1044" s="7"/>
      <c r="H1044" s="16"/>
      <c r="I1044" s="16"/>
      <c r="J1044" s="16"/>
      <c r="K1044" s="16"/>
      <c r="L1044" s="16"/>
      <c r="M1044" s="16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24"/>
      <c r="AC1044" s="16"/>
      <c r="AD1044" s="16"/>
      <c r="AE1044" s="16"/>
      <c r="AF1044" s="16"/>
      <c r="AG1044" s="14"/>
      <c r="AH1044" s="14"/>
      <c r="AI1044" s="24"/>
      <c r="AJ1044" s="24"/>
      <c r="AK1044" s="24"/>
      <c r="AL1044" s="16"/>
      <c r="AM1044" s="16"/>
      <c r="AN1044" s="16"/>
      <c r="AO1044" s="16"/>
      <c r="AP1044" s="16"/>
      <c r="AQ1044" s="16"/>
      <c r="AR1044" s="16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7"/>
    </row>
    <row r="1045" spans="7:54" x14ac:dyDescent="0.15">
      <c r="G1045" s="7"/>
      <c r="H1045" s="16"/>
      <c r="I1045" s="16"/>
      <c r="J1045" s="16"/>
      <c r="K1045" s="16"/>
      <c r="L1045" s="16"/>
      <c r="M1045" s="16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24"/>
      <c r="AC1045" s="16"/>
      <c r="AD1045" s="16"/>
      <c r="AE1045" s="16"/>
      <c r="AF1045" s="16"/>
      <c r="AG1045" s="14"/>
      <c r="AH1045" s="14"/>
      <c r="AI1045" s="24"/>
      <c r="AJ1045" s="24"/>
      <c r="AK1045" s="24"/>
      <c r="AL1045" s="16"/>
      <c r="AM1045" s="16"/>
      <c r="AN1045" s="16"/>
      <c r="AO1045" s="16"/>
      <c r="AP1045" s="16"/>
      <c r="AQ1045" s="16"/>
      <c r="AR1045" s="16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7"/>
    </row>
    <row r="1046" spans="7:54" x14ac:dyDescent="0.15">
      <c r="G1046" s="7"/>
      <c r="H1046" s="16"/>
      <c r="I1046" s="16"/>
      <c r="J1046" s="16"/>
      <c r="K1046" s="16"/>
      <c r="L1046" s="16"/>
      <c r="M1046" s="16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24"/>
      <c r="AC1046" s="16"/>
      <c r="AD1046" s="16"/>
      <c r="AE1046" s="16"/>
      <c r="AF1046" s="16"/>
      <c r="AG1046" s="14"/>
      <c r="AH1046" s="14"/>
      <c r="AI1046" s="24"/>
      <c r="AJ1046" s="24"/>
      <c r="AK1046" s="24"/>
      <c r="AL1046" s="16"/>
      <c r="AM1046" s="16"/>
      <c r="AN1046" s="16"/>
      <c r="AO1046" s="16"/>
      <c r="AP1046" s="16"/>
      <c r="AQ1046" s="16"/>
      <c r="AR1046" s="16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7"/>
    </row>
    <row r="1047" spans="7:54" x14ac:dyDescent="0.15">
      <c r="G1047" s="7"/>
      <c r="H1047" s="16"/>
      <c r="I1047" s="16"/>
      <c r="J1047" s="16"/>
      <c r="K1047" s="16"/>
      <c r="L1047" s="16"/>
      <c r="M1047" s="16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24"/>
      <c r="AC1047" s="16"/>
      <c r="AD1047" s="16"/>
      <c r="AE1047" s="16"/>
      <c r="AF1047" s="16"/>
      <c r="AG1047" s="14"/>
      <c r="AH1047" s="14"/>
      <c r="AI1047" s="24"/>
      <c r="AJ1047" s="24"/>
      <c r="AK1047" s="24"/>
      <c r="AL1047" s="16"/>
      <c r="AM1047" s="16"/>
      <c r="AN1047" s="16"/>
      <c r="AO1047" s="16"/>
      <c r="AP1047" s="16"/>
      <c r="AQ1047" s="16"/>
      <c r="AR1047" s="16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7"/>
    </row>
    <row r="1048" spans="7:54" x14ac:dyDescent="0.15">
      <c r="G1048" s="7"/>
      <c r="H1048" s="16"/>
      <c r="I1048" s="16"/>
      <c r="J1048" s="16"/>
      <c r="K1048" s="16"/>
      <c r="L1048" s="16"/>
      <c r="M1048" s="16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24"/>
      <c r="AC1048" s="16"/>
      <c r="AD1048" s="16"/>
      <c r="AE1048" s="16"/>
      <c r="AF1048" s="16"/>
      <c r="AG1048" s="14"/>
      <c r="AH1048" s="14"/>
      <c r="AI1048" s="24"/>
      <c r="AJ1048" s="24"/>
      <c r="AK1048" s="24"/>
      <c r="AL1048" s="16"/>
      <c r="AM1048" s="16"/>
      <c r="AN1048" s="16"/>
      <c r="AO1048" s="16"/>
      <c r="AP1048" s="16"/>
      <c r="AQ1048" s="16"/>
      <c r="AR1048" s="16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7"/>
    </row>
    <row r="1049" spans="7:54" x14ac:dyDescent="0.15">
      <c r="G1049" s="7"/>
      <c r="H1049" s="16"/>
      <c r="I1049" s="16"/>
      <c r="J1049" s="16"/>
      <c r="K1049" s="16"/>
      <c r="L1049" s="16"/>
      <c r="M1049" s="16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24"/>
      <c r="AC1049" s="16"/>
      <c r="AD1049" s="16"/>
      <c r="AE1049" s="16"/>
      <c r="AF1049" s="16"/>
      <c r="AG1049" s="14"/>
      <c r="AH1049" s="14"/>
      <c r="AI1049" s="24"/>
      <c r="AJ1049" s="24"/>
      <c r="AK1049" s="24"/>
      <c r="AL1049" s="16"/>
      <c r="AM1049" s="16"/>
      <c r="AN1049" s="16"/>
      <c r="AO1049" s="16"/>
      <c r="AP1049" s="16"/>
      <c r="AQ1049" s="16"/>
      <c r="AR1049" s="16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7"/>
    </row>
    <row r="1050" spans="7:54" x14ac:dyDescent="0.15">
      <c r="G1050" s="7"/>
      <c r="H1050" s="16"/>
      <c r="I1050" s="16"/>
      <c r="J1050" s="16"/>
      <c r="K1050" s="16"/>
      <c r="L1050" s="16"/>
      <c r="M1050" s="16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24"/>
      <c r="AC1050" s="16"/>
      <c r="AD1050" s="16"/>
      <c r="AE1050" s="16"/>
      <c r="AF1050" s="16"/>
      <c r="AG1050" s="14"/>
      <c r="AH1050" s="14"/>
      <c r="AI1050" s="24"/>
      <c r="AJ1050" s="24"/>
      <c r="AK1050" s="24"/>
      <c r="AL1050" s="16"/>
      <c r="AM1050" s="16"/>
      <c r="AN1050" s="16"/>
      <c r="AO1050" s="16"/>
      <c r="AP1050" s="16"/>
      <c r="AQ1050" s="16"/>
      <c r="AR1050" s="16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7"/>
    </row>
    <row r="1051" spans="7:54" x14ac:dyDescent="0.15">
      <c r="G1051" s="7"/>
      <c r="H1051" s="16"/>
      <c r="I1051" s="16"/>
      <c r="J1051" s="16"/>
      <c r="K1051" s="16"/>
      <c r="L1051" s="16"/>
      <c r="M1051" s="16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24"/>
      <c r="AC1051" s="16"/>
      <c r="AD1051" s="16"/>
      <c r="AE1051" s="16"/>
      <c r="AF1051" s="16"/>
      <c r="AG1051" s="14"/>
      <c r="AH1051" s="14"/>
      <c r="AI1051" s="24"/>
      <c r="AJ1051" s="24"/>
      <c r="AK1051" s="24"/>
      <c r="AL1051" s="16"/>
      <c r="AM1051" s="16"/>
      <c r="AN1051" s="16"/>
      <c r="AO1051" s="16"/>
      <c r="AP1051" s="16"/>
      <c r="AQ1051" s="16"/>
      <c r="AR1051" s="16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7"/>
    </row>
    <row r="1052" spans="7:54" x14ac:dyDescent="0.15">
      <c r="G1052" s="7"/>
      <c r="H1052" s="16"/>
      <c r="I1052" s="16"/>
      <c r="J1052" s="16"/>
      <c r="K1052" s="16"/>
      <c r="L1052" s="16"/>
      <c r="M1052" s="16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24"/>
      <c r="AC1052" s="16"/>
      <c r="AD1052" s="16"/>
      <c r="AE1052" s="16"/>
      <c r="AF1052" s="16"/>
      <c r="AG1052" s="14"/>
      <c r="AH1052" s="14"/>
      <c r="AI1052" s="24"/>
      <c r="AJ1052" s="24"/>
      <c r="AK1052" s="24"/>
      <c r="AL1052" s="16"/>
      <c r="AM1052" s="16"/>
      <c r="AN1052" s="16"/>
      <c r="AO1052" s="16"/>
      <c r="AP1052" s="16"/>
      <c r="AQ1052" s="16"/>
      <c r="AR1052" s="16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7"/>
    </row>
    <row r="1053" spans="7:54" x14ac:dyDescent="0.15">
      <c r="G1053" s="7"/>
      <c r="H1053" s="16"/>
      <c r="I1053" s="16"/>
      <c r="J1053" s="16"/>
      <c r="K1053" s="16"/>
      <c r="L1053" s="16"/>
      <c r="M1053" s="16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24"/>
      <c r="AC1053" s="16"/>
      <c r="AD1053" s="16"/>
      <c r="AE1053" s="16"/>
      <c r="AF1053" s="16"/>
      <c r="AG1053" s="14"/>
      <c r="AH1053" s="14"/>
      <c r="AI1053" s="24"/>
      <c r="AJ1053" s="24"/>
      <c r="AK1053" s="24"/>
      <c r="AL1053" s="16"/>
      <c r="AM1053" s="16"/>
      <c r="AN1053" s="16"/>
      <c r="AO1053" s="16"/>
      <c r="AP1053" s="16"/>
      <c r="AQ1053" s="16"/>
      <c r="AR1053" s="16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7"/>
    </row>
    <row r="1054" spans="7:54" x14ac:dyDescent="0.15">
      <c r="G1054" s="7"/>
      <c r="H1054" s="16"/>
      <c r="I1054" s="16"/>
      <c r="J1054" s="16"/>
      <c r="K1054" s="16"/>
      <c r="L1054" s="16"/>
      <c r="M1054" s="16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24"/>
      <c r="AC1054" s="16"/>
      <c r="AD1054" s="16"/>
      <c r="AE1054" s="16"/>
      <c r="AF1054" s="16"/>
      <c r="AG1054" s="14"/>
      <c r="AH1054" s="14"/>
      <c r="AI1054" s="24"/>
      <c r="AJ1054" s="24"/>
      <c r="AK1054" s="24"/>
      <c r="AL1054" s="16"/>
      <c r="AM1054" s="16"/>
      <c r="AN1054" s="16"/>
      <c r="AO1054" s="16"/>
      <c r="AP1054" s="16"/>
      <c r="AQ1054" s="16"/>
      <c r="AR1054" s="16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7"/>
    </row>
    <row r="1055" spans="7:54" x14ac:dyDescent="0.15">
      <c r="G1055" s="7"/>
      <c r="H1055" s="16"/>
      <c r="I1055" s="16"/>
      <c r="J1055" s="16"/>
      <c r="K1055" s="16"/>
      <c r="L1055" s="16"/>
      <c r="M1055" s="16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24"/>
      <c r="AC1055" s="16"/>
      <c r="AD1055" s="16"/>
      <c r="AE1055" s="16"/>
      <c r="AF1055" s="16"/>
      <c r="AG1055" s="14"/>
      <c r="AH1055" s="14"/>
      <c r="AI1055" s="24"/>
      <c r="AJ1055" s="24"/>
      <c r="AK1055" s="24"/>
      <c r="AL1055" s="16"/>
      <c r="AM1055" s="16"/>
      <c r="AN1055" s="16"/>
      <c r="AO1055" s="16"/>
      <c r="AP1055" s="16"/>
      <c r="AQ1055" s="16"/>
      <c r="AR1055" s="16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7"/>
    </row>
    <row r="1056" spans="7:54" x14ac:dyDescent="0.15">
      <c r="G1056" s="7"/>
      <c r="H1056" s="16"/>
      <c r="I1056" s="16"/>
      <c r="J1056" s="16"/>
      <c r="K1056" s="16"/>
      <c r="L1056" s="16"/>
      <c r="M1056" s="16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24"/>
      <c r="AC1056" s="16"/>
      <c r="AD1056" s="16"/>
      <c r="AE1056" s="16"/>
      <c r="AF1056" s="16"/>
      <c r="AG1056" s="14"/>
      <c r="AH1056" s="14"/>
      <c r="AI1056" s="24"/>
      <c r="AJ1056" s="24"/>
      <c r="AK1056" s="24"/>
      <c r="AL1056" s="16"/>
      <c r="AM1056" s="16"/>
      <c r="AN1056" s="16"/>
      <c r="AO1056" s="16"/>
      <c r="AP1056" s="16"/>
      <c r="AQ1056" s="16"/>
      <c r="AR1056" s="16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7"/>
    </row>
    <row r="1057" spans="7:54" x14ac:dyDescent="0.15">
      <c r="G1057" s="7"/>
      <c r="H1057" s="16"/>
      <c r="I1057" s="16"/>
      <c r="J1057" s="16"/>
      <c r="K1057" s="16"/>
      <c r="L1057" s="16"/>
      <c r="M1057" s="16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24"/>
      <c r="AC1057" s="16"/>
      <c r="AD1057" s="16"/>
      <c r="AE1057" s="16"/>
      <c r="AF1057" s="16"/>
      <c r="AG1057" s="14"/>
      <c r="AH1057" s="14"/>
      <c r="AI1057" s="24"/>
      <c r="AJ1057" s="24"/>
      <c r="AK1057" s="24"/>
      <c r="AL1057" s="16"/>
      <c r="AM1057" s="16"/>
      <c r="AN1057" s="16"/>
      <c r="AO1057" s="16"/>
      <c r="AP1057" s="16"/>
      <c r="AQ1057" s="16"/>
      <c r="AR1057" s="16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7"/>
    </row>
    <row r="1058" spans="7:54" x14ac:dyDescent="0.15">
      <c r="G1058" s="7"/>
      <c r="H1058" s="16"/>
      <c r="I1058" s="16"/>
      <c r="J1058" s="16"/>
      <c r="K1058" s="16"/>
      <c r="L1058" s="16"/>
      <c r="M1058" s="16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24"/>
      <c r="AC1058" s="16"/>
      <c r="AD1058" s="16"/>
      <c r="AE1058" s="16"/>
      <c r="AF1058" s="16"/>
      <c r="AG1058" s="14"/>
      <c r="AH1058" s="14"/>
      <c r="AI1058" s="24"/>
      <c r="AJ1058" s="24"/>
      <c r="AK1058" s="24"/>
      <c r="AL1058" s="16"/>
      <c r="AM1058" s="16"/>
      <c r="AN1058" s="16"/>
      <c r="AO1058" s="16"/>
      <c r="AP1058" s="16"/>
      <c r="AQ1058" s="16"/>
      <c r="AR1058" s="16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7"/>
    </row>
    <row r="1059" spans="7:54" x14ac:dyDescent="0.15">
      <c r="G1059" s="7"/>
      <c r="H1059" s="16"/>
      <c r="I1059" s="16"/>
      <c r="J1059" s="16"/>
      <c r="K1059" s="16"/>
      <c r="L1059" s="16"/>
      <c r="M1059" s="16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24"/>
      <c r="AC1059" s="16"/>
      <c r="AD1059" s="16"/>
      <c r="AE1059" s="16"/>
      <c r="AF1059" s="16"/>
      <c r="AG1059" s="14"/>
      <c r="AH1059" s="14"/>
      <c r="AI1059" s="24"/>
      <c r="AJ1059" s="24"/>
      <c r="AK1059" s="24"/>
      <c r="AL1059" s="16"/>
      <c r="AM1059" s="16"/>
      <c r="AN1059" s="16"/>
      <c r="AO1059" s="16"/>
      <c r="AP1059" s="16"/>
      <c r="AQ1059" s="16"/>
      <c r="AR1059" s="16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7"/>
    </row>
    <row r="1060" spans="7:54" x14ac:dyDescent="0.15">
      <c r="G1060" s="7"/>
      <c r="H1060" s="16"/>
      <c r="I1060" s="16"/>
      <c r="J1060" s="16"/>
      <c r="K1060" s="16"/>
      <c r="L1060" s="16"/>
      <c r="M1060" s="16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24"/>
      <c r="AC1060" s="16"/>
      <c r="AD1060" s="16"/>
      <c r="AE1060" s="16"/>
      <c r="AF1060" s="16"/>
      <c r="AG1060" s="14"/>
      <c r="AH1060" s="14"/>
      <c r="AI1060" s="24"/>
      <c r="AJ1060" s="24"/>
      <c r="AK1060" s="24"/>
      <c r="AL1060" s="16"/>
      <c r="AM1060" s="16"/>
      <c r="AN1060" s="16"/>
      <c r="AO1060" s="16"/>
      <c r="AP1060" s="16"/>
      <c r="AQ1060" s="16"/>
      <c r="AR1060" s="16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7"/>
    </row>
    <row r="1061" spans="7:54" x14ac:dyDescent="0.15">
      <c r="G1061" s="7"/>
      <c r="H1061" s="16"/>
      <c r="I1061" s="16"/>
      <c r="J1061" s="16"/>
      <c r="K1061" s="16"/>
      <c r="L1061" s="16"/>
      <c r="M1061" s="16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24"/>
      <c r="AC1061" s="16"/>
      <c r="AD1061" s="16"/>
      <c r="AE1061" s="16"/>
      <c r="AF1061" s="16"/>
      <c r="AG1061" s="14"/>
      <c r="AH1061" s="14"/>
      <c r="AI1061" s="24"/>
      <c r="AJ1061" s="24"/>
      <c r="AK1061" s="24"/>
      <c r="AL1061" s="16"/>
      <c r="AM1061" s="16"/>
      <c r="AN1061" s="16"/>
      <c r="AO1061" s="16"/>
      <c r="AP1061" s="16"/>
      <c r="AQ1061" s="16"/>
      <c r="AR1061" s="16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7"/>
    </row>
    <row r="1062" spans="7:54" x14ac:dyDescent="0.15">
      <c r="G1062" s="7"/>
      <c r="H1062" s="16"/>
      <c r="I1062" s="16"/>
      <c r="J1062" s="16"/>
      <c r="K1062" s="16"/>
      <c r="L1062" s="16"/>
      <c r="M1062" s="16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24"/>
      <c r="AC1062" s="16"/>
      <c r="AD1062" s="16"/>
      <c r="AE1062" s="16"/>
      <c r="AF1062" s="16"/>
      <c r="AG1062" s="14"/>
      <c r="AH1062" s="14"/>
      <c r="AI1062" s="24"/>
      <c r="AJ1062" s="24"/>
      <c r="AK1062" s="24"/>
      <c r="AL1062" s="16"/>
      <c r="AM1062" s="16"/>
      <c r="AN1062" s="16"/>
      <c r="AO1062" s="16"/>
      <c r="AP1062" s="16"/>
      <c r="AQ1062" s="16"/>
      <c r="AR1062" s="16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7"/>
    </row>
    <row r="1063" spans="7:54" x14ac:dyDescent="0.15">
      <c r="G1063" s="7"/>
      <c r="H1063" s="16"/>
      <c r="I1063" s="16"/>
      <c r="J1063" s="16"/>
      <c r="K1063" s="16"/>
      <c r="L1063" s="16"/>
      <c r="M1063" s="16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24"/>
      <c r="AC1063" s="16"/>
      <c r="AD1063" s="16"/>
      <c r="AE1063" s="16"/>
      <c r="AF1063" s="16"/>
      <c r="AG1063" s="14"/>
      <c r="AH1063" s="14"/>
      <c r="AI1063" s="24"/>
      <c r="AJ1063" s="24"/>
      <c r="AK1063" s="24"/>
      <c r="AL1063" s="16"/>
      <c r="AM1063" s="16"/>
      <c r="AN1063" s="16"/>
      <c r="AO1063" s="16"/>
      <c r="AP1063" s="16"/>
      <c r="AQ1063" s="16"/>
      <c r="AR1063" s="16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7"/>
    </row>
    <row r="1064" spans="7:54" x14ac:dyDescent="0.15">
      <c r="G1064" s="7"/>
      <c r="H1064" s="16"/>
      <c r="I1064" s="16"/>
      <c r="J1064" s="16"/>
      <c r="K1064" s="16"/>
      <c r="L1064" s="16"/>
      <c r="M1064" s="16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24"/>
      <c r="AC1064" s="16"/>
      <c r="AD1064" s="16"/>
      <c r="AE1064" s="16"/>
      <c r="AF1064" s="16"/>
      <c r="AG1064" s="14"/>
      <c r="AH1064" s="14"/>
      <c r="AI1064" s="24"/>
      <c r="AJ1064" s="24"/>
      <c r="AK1064" s="24"/>
      <c r="AL1064" s="16"/>
      <c r="AM1064" s="16"/>
      <c r="AN1064" s="16"/>
      <c r="AO1064" s="16"/>
      <c r="AP1064" s="16"/>
      <c r="AQ1064" s="16"/>
      <c r="AR1064" s="16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7"/>
    </row>
    <row r="1065" spans="7:54" x14ac:dyDescent="0.15">
      <c r="G1065" s="7"/>
      <c r="H1065" s="16"/>
      <c r="I1065" s="16"/>
      <c r="J1065" s="16"/>
      <c r="K1065" s="16"/>
      <c r="L1065" s="16"/>
      <c r="M1065" s="16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24"/>
      <c r="AC1065" s="16"/>
      <c r="AD1065" s="16"/>
      <c r="AE1065" s="16"/>
      <c r="AF1065" s="16"/>
      <c r="AG1065" s="14"/>
      <c r="AH1065" s="14"/>
      <c r="AI1065" s="24"/>
      <c r="AJ1065" s="24"/>
      <c r="AK1065" s="24"/>
      <c r="AL1065" s="16"/>
      <c r="AM1065" s="16"/>
      <c r="AN1065" s="16"/>
      <c r="AO1065" s="16"/>
      <c r="AP1065" s="16"/>
      <c r="AQ1065" s="16"/>
      <c r="AR1065" s="16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7"/>
    </row>
    <row r="1066" spans="7:54" x14ac:dyDescent="0.15">
      <c r="G1066" s="7"/>
      <c r="H1066" s="16"/>
      <c r="I1066" s="16"/>
      <c r="J1066" s="16"/>
      <c r="K1066" s="16"/>
      <c r="L1066" s="16"/>
      <c r="M1066" s="16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24"/>
      <c r="AC1066" s="16"/>
      <c r="AD1066" s="16"/>
      <c r="AE1066" s="16"/>
      <c r="AF1066" s="16"/>
      <c r="AG1066" s="14"/>
      <c r="AH1066" s="14"/>
      <c r="AI1066" s="24"/>
      <c r="AJ1066" s="24"/>
      <c r="AK1066" s="24"/>
      <c r="AL1066" s="16"/>
      <c r="AM1066" s="16"/>
      <c r="AN1066" s="16"/>
      <c r="AO1066" s="16"/>
      <c r="AP1066" s="16"/>
      <c r="AQ1066" s="16"/>
      <c r="AR1066" s="16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7"/>
    </row>
    <row r="1067" spans="7:54" x14ac:dyDescent="0.15">
      <c r="G1067" s="7"/>
      <c r="H1067" s="16"/>
      <c r="I1067" s="16"/>
      <c r="J1067" s="16"/>
      <c r="K1067" s="16"/>
      <c r="L1067" s="16"/>
      <c r="M1067" s="16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24"/>
      <c r="AC1067" s="16"/>
      <c r="AD1067" s="16"/>
      <c r="AE1067" s="16"/>
      <c r="AF1067" s="16"/>
      <c r="AG1067" s="14"/>
      <c r="AH1067" s="14"/>
      <c r="AI1067" s="24"/>
      <c r="AJ1067" s="24"/>
      <c r="AK1067" s="24"/>
      <c r="AL1067" s="16"/>
      <c r="AM1067" s="16"/>
      <c r="AN1067" s="16"/>
      <c r="AO1067" s="16"/>
      <c r="AP1067" s="16"/>
      <c r="AQ1067" s="16"/>
      <c r="AR1067" s="16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7"/>
    </row>
    <row r="1068" spans="7:54" x14ac:dyDescent="0.15">
      <c r="G1068" s="7"/>
      <c r="H1068" s="16"/>
      <c r="I1068" s="16"/>
      <c r="J1068" s="16"/>
      <c r="K1068" s="16"/>
      <c r="L1068" s="16"/>
      <c r="M1068" s="16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24"/>
      <c r="AC1068" s="16"/>
      <c r="AD1068" s="16"/>
      <c r="AE1068" s="16"/>
      <c r="AF1068" s="16"/>
      <c r="AG1068" s="14"/>
      <c r="AH1068" s="14"/>
      <c r="AI1068" s="24"/>
      <c r="AJ1068" s="24"/>
      <c r="AK1068" s="24"/>
      <c r="AL1068" s="16"/>
      <c r="AM1068" s="16"/>
      <c r="AN1068" s="16"/>
      <c r="AO1068" s="16"/>
      <c r="AP1068" s="16"/>
      <c r="AQ1068" s="16"/>
      <c r="AR1068" s="16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7"/>
    </row>
    <row r="1069" spans="7:54" x14ac:dyDescent="0.15">
      <c r="G1069" s="7"/>
      <c r="H1069" s="16"/>
      <c r="I1069" s="16"/>
      <c r="J1069" s="16"/>
      <c r="K1069" s="16"/>
      <c r="L1069" s="16"/>
      <c r="M1069" s="16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24"/>
      <c r="AC1069" s="16"/>
      <c r="AD1069" s="16"/>
      <c r="AE1069" s="16"/>
      <c r="AF1069" s="16"/>
      <c r="AG1069" s="14"/>
      <c r="AH1069" s="14"/>
      <c r="AI1069" s="24"/>
      <c r="AJ1069" s="24"/>
      <c r="AK1069" s="24"/>
      <c r="AL1069" s="16"/>
      <c r="AM1069" s="16"/>
      <c r="AN1069" s="16"/>
      <c r="AO1069" s="16"/>
      <c r="AP1069" s="16"/>
      <c r="AQ1069" s="16"/>
      <c r="AR1069" s="16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7"/>
    </row>
    <row r="1070" spans="7:54" x14ac:dyDescent="0.15">
      <c r="G1070" s="7"/>
      <c r="H1070" s="16"/>
      <c r="I1070" s="16"/>
      <c r="J1070" s="16"/>
      <c r="K1070" s="16"/>
      <c r="L1070" s="16"/>
      <c r="M1070" s="16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24"/>
      <c r="AC1070" s="16"/>
      <c r="AD1070" s="16"/>
      <c r="AE1070" s="16"/>
      <c r="AF1070" s="16"/>
      <c r="AG1070" s="14"/>
      <c r="AH1070" s="14"/>
      <c r="AI1070" s="24"/>
      <c r="AJ1070" s="24"/>
      <c r="AK1070" s="24"/>
      <c r="AL1070" s="16"/>
      <c r="AM1070" s="16"/>
      <c r="AN1070" s="16"/>
      <c r="AO1070" s="16"/>
      <c r="AP1070" s="16"/>
      <c r="AQ1070" s="16"/>
      <c r="AR1070" s="16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7"/>
    </row>
    <row r="1071" spans="7:54" x14ac:dyDescent="0.15">
      <c r="G1071" s="7"/>
      <c r="H1071" s="16"/>
      <c r="I1071" s="16"/>
      <c r="J1071" s="16"/>
      <c r="K1071" s="16"/>
      <c r="L1071" s="16"/>
      <c r="M1071" s="16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24"/>
      <c r="AC1071" s="16"/>
      <c r="AD1071" s="16"/>
      <c r="AE1071" s="16"/>
      <c r="AF1071" s="16"/>
      <c r="AG1071" s="14"/>
      <c r="AH1071" s="14"/>
      <c r="AI1071" s="24"/>
      <c r="AJ1071" s="24"/>
      <c r="AK1071" s="24"/>
      <c r="AL1071" s="16"/>
      <c r="AM1071" s="16"/>
      <c r="AN1071" s="16"/>
      <c r="AO1071" s="16"/>
      <c r="AP1071" s="16"/>
      <c r="AQ1071" s="16"/>
      <c r="AR1071" s="16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7"/>
    </row>
    <row r="1072" spans="7:54" x14ac:dyDescent="0.15">
      <c r="G1072" s="7"/>
      <c r="H1072" s="16"/>
      <c r="I1072" s="16"/>
      <c r="J1072" s="16"/>
      <c r="K1072" s="16"/>
      <c r="L1072" s="16"/>
      <c r="M1072" s="16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24"/>
      <c r="AC1072" s="16"/>
      <c r="AD1072" s="16"/>
      <c r="AE1072" s="16"/>
      <c r="AF1072" s="16"/>
      <c r="AG1072" s="14"/>
      <c r="AH1072" s="14"/>
      <c r="AI1072" s="24"/>
      <c r="AJ1072" s="24"/>
      <c r="AK1072" s="24"/>
      <c r="AL1072" s="16"/>
      <c r="AM1072" s="16"/>
      <c r="AN1072" s="16"/>
      <c r="AO1072" s="16"/>
      <c r="AP1072" s="16"/>
      <c r="AQ1072" s="16"/>
      <c r="AR1072" s="16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7"/>
    </row>
    <row r="1073" spans="7:54" x14ac:dyDescent="0.15">
      <c r="G1073" s="7"/>
      <c r="H1073" s="16"/>
      <c r="I1073" s="16"/>
      <c r="J1073" s="16"/>
      <c r="K1073" s="16"/>
      <c r="L1073" s="16"/>
      <c r="M1073" s="16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24"/>
      <c r="AC1073" s="16"/>
      <c r="AD1073" s="16"/>
      <c r="AE1073" s="16"/>
      <c r="AF1073" s="16"/>
      <c r="AG1073" s="14"/>
      <c r="AH1073" s="14"/>
      <c r="AI1073" s="24"/>
      <c r="AJ1073" s="24"/>
      <c r="AK1073" s="24"/>
      <c r="AL1073" s="16"/>
      <c r="AM1073" s="16"/>
      <c r="AN1073" s="16"/>
      <c r="AO1073" s="16"/>
      <c r="AP1073" s="16"/>
      <c r="AQ1073" s="16"/>
      <c r="AR1073" s="16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7"/>
    </row>
    <row r="1074" spans="7:54" x14ac:dyDescent="0.15">
      <c r="G1074" s="7"/>
      <c r="H1074" s="16"/>
      <c r="I1074" s="16"/>
      <c r="J1074" s="16"/>
      <c r="K1074" s="16"/>
      <c r="L1074" s="16"/>
      <c r="M1074" s="16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24"/>
      <c r="AC1074" s="16"/>
      <c r="AD1074" s="16"/>
      <c r="AE1074" s="16"/>
      <c r="AF1074" s="16"/>
      <c r="AG1074" s="14"/>
      <c r="AH1074" s="14"/>
      <c r="AI1074" s="24"/>
      <c r="AJ1074" s="24"/>
      <c r="AK1074" s="24"/>
      <c r="AL1074" s="16"/>
      <c r="AM1074" s="16"/>
      <c r="AN1074" s="16"/>
      <c r="AO1074" s="16"/>
      <c r="AP1074" s="16"/>
      <c r="AQ1074" s="16"/>
      <c r="AR1074" s="16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7"/>
    </row>
    <row r="1075" spans="7:54" x14ac:dyDescent="0.15">
      <c r="G1075" s="7"/>
      <c r="H1075" s="16"/>
      <c r="I1075" s="16"/>
      <c r="J1075" s="16"/>
      <c r="K1075" s="16"/>
      <c r="L1075" s="16"/>
      <c r="M1075" s="16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24"/>
      <c r="AC1075" s="16"/>
      <c r="AD1075" s="16"/>
      <c r="AE1075" s="16"/>
      <c r="AF1075" s="16"/>
      <c r="AG1075" s="14"/>
      <c r="AH1075" s="14"/>
      <c r="AI1075" s="24"/>
      <c r="AJ1075" s="24"/>
      <c r="AK1075" s="24"/>
      <c r="AL1075" s="16"/>
      <c r="AM1075" s="16"/>
      <c r="AN1075" s="16"/>
      <c r="AO1075" s="16"/>
      <c r="AP1075" s="16"/>
      <c r="AQ1075" s="16"/>
      <c r="AR1075" s="16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7"/>
    </row>
    <row r="1076" spans="7:54" x14ac:dyDescent="0.15">
      <c r="G1076" s="7"/>
      <c r="H1076" s="16"/>
      <c r="I1076" s="16"/>
      <c r="J1076" s="16"/>
      <c r="K1076" s="16"/>
      <c r="L1076" s="16"/>
      <c r="M1076" s="16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24"/>
      <c r="AC1076" s="16"/>
      <c r="AD1076" s="16"/>
      <c r="AE1076" s="16"/>
      <c r="AF1076" s="16"/>
      <c r="AG1076" s="14"/>
      <c r="AH1076" s="14"/>
      <c r="AI1076" s="24"/>
      <c r="AJ1076" s="24"/>
      <c r="AK1076" s="24"/>
      <c r="AL1076" s="16"/>
      <c r="AM1076" s="16"/>
      <c r="AN1076" s="16"/>
      <c r="AO1076" s="16"/>
      <c r="AP1076" s="16"/>
      <c r="AQ1076" s="16"/>
      <c r="AR1076" s="16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7"/>
    </row>
    <row r="1077" spans="7:54" x14ac:dyDescent="0.15">
      <c r="G1077" s="7"/>
      <c r="H1077" s="16"/>
      <c r="I1077" s="16"/>
      <c r="J1077" s="16"/>
      <c r="K1077" s="16"/>
      <c r="L1077" s="16"/>
      <c r="M1077" s="16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24"/>
      <c r="AC1077" s="16"/>
      <c r="AD1077" s="16"/>
      <c r="AE1077" s="16"/>
      <c r="AF1077" s="16"/>
      <c r="AG1077" s="14"/>
      <c r="AH1077" s="14"/>
      <c r="AI1077" s="24"/>
      <c r="AJ1077" s="24"/>
      <c r="AK1077" s="24"/>
      <c r="AL1077" s="16"/>
      <c r="AM1077" s="16"/>
      <c r="AN1077" s="16"/>
      <c r="AO1077" s="16"/>
      <c r="AP1077" s="16"/>
      <c r="AQ1077" s="16"/>
      <c r="AR1077" s="16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7"/>
    </row>
    <row r="1078" spans="7:54" x14ac:dyDescent="0.15">
      <c r="G1078" s="7"/>
      <c r="H1078" s="16"/>
      <c r="I1078" s="16"/>
      <c r="J1078" s="16"/>
      <c r="K1078" s="16"/>
      <c r="L1078" s="16"/>
      <c r="M1078" s="16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24"/>
      <c r="AC1078" s="16"/>
      <c r="AD1078" s="16"/>
      <c r="AE1078" s="16"/>
      <c r="AF1078" s="16"/>
      <c r="AG1078" s="14"/>
      <c r="AH1078" s="14"/>
      <c r="AI1078" s="24"/>
      <c r="AJ1078" s="24"/>
      <c r="AK1078" s="24"/>
      <c r="AL1078" s="16"/>
      <c r="AM1078" s="16"/>
      <c r="AN1078" s="16"/>
      <c r="AO1078" s="16"/>
      <c r="AP1078" s="16"/>
      <c r="AQ1078" s="16"/>
      <c r="AR1078" s="16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7"/>
    </row>
    <row r="1079" spans="7:54" x14ac:dyDescent="0.15">
      <c r="G1079" s="7"/>
      <c r="H1079" s="16"/>
      <c r="I1079" s="16"/>
      <c r="J1079" s="16"/>
      <c r="K1079" s="16"/>
      <c r="L1079" s="16"/>
      <c r="M1079" s="16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24"/>
      <c r="AC1079" s="16"/>
      <c r="AD1079" s="16"/>
      <c r="AE1079" s="16"/>
      <c r="AF1079" s="16"/>
      <c r="AG1079" s="14"/>
      <c r="AH1079" s="14"/>
      <c r="AI1079" s="24"/>
      <c r="AJ1079" s="24"/>
      <c r="AK1079" s="24"/>
      <c r="AL1079" s="16"/>
      <c r="AM1079" s="16"/>
      <c r="AN1079" s="16"/>
      <c r="AO1079" s="16"/>
      <c r="AP1079" s="16"/>
      <c r="AQ1079" s="16"/>
      <c r="AR1079" s="16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7"/>
    </row>
    <row r="1080" spans="7:54" x14ac:dyDescent="0.15">
      <c r="G1080" s="7"/>
      <c r="H1080" s="16"/>
      <c r="I1080" s="16"/>
      <c r="J1080" s="16"/>
      <c r="K1080" s="16"/>
      <c r="L1080" s="16"/>
      <c r="M1080" s="16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24"/>
      <c r="AC1080" s="16"/>
      <c r="AD1080" s="16"/>
      <c r="AE1080" s="16"/>
      <c r="AF1080" s="16"/>
      <c r="AG1080" s="14"/>
      <c r="AH1080" s="14"/>
      <c r="AI1080" s="24"/>
      <c r="AJ1080" s="24"/>
      <c r="AK1080" s="24"/>
      <c r="AL1080" s="16"/>
      <c r="AM1080" s="16"/>
      <c r="AN1080" s="16"/>
      <c r="AO1080" s="16"/>
      <c r="AP1080" s="16"/>
      <c r="AQ1080" s="16"/>
      <c r="AR1080" s="16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7"/>
    </row>
    <row r="1081" spans="7:54" x14ac:dyDescent="0.15">
      <c r="G1081" s="7"/>
      <c r="H1081" s="16"/>
      <c r="I1081" s="16"/>
      <c r="J1081" s="16"/>
      <c r="K1081" s="16"/>
      <c r="L1081" s="16"/>
      <c r="M1081" s="16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24"/>
      <c r="AC1081" s="16"/>
      <c r="AD1081" s="16"/>
      <c r="AE1081" s="16"/>
      <c r="AF1081" s="16"/>
      <c r="AG1081" s="14"/>
      <c r="AH1081" s="14"/>
      <c r="AI1081" s="24"/>
      <c r="AJ1081" s="24"/>
      <c r="AK1081" s="24"/>
      <c r="AL1081" s="16"/>
      <c r="AM1081" s="16"/>
      <c r="AN1081" s="16"/>
      <c r="AO1081" s="16"/>
      <c r="AP1081" s="16"/>
      <c r="AQ1081" s="16"/>
      <c r="AR1081" s="16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7"/>
    </row>
    <row r="1082" spans="7:54" x14ac:dyDescent="0.15">
      <c r="G1082" s="7"/>
      <c r="H1082" s="16"/>
      <c r="I1082" s="16"/>
      <c r="J1082" s="16"/>
      <c r="K1082" s="16"/>
      <c r="L1082" s="16"/>
      <c r="M1082" s="16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24"/>
      <c r="AC1082" s="16"/>
      <c r="AD1082" s="16"/>
      <c r="AE1082" s="16"/>
      <c r="AF1082" s="16"/>
      <c r="AG1082" s="14"/>
      <c r="AH1082" s="14"/>
      <c r="AI1082" s="24"/>
      <c r="AJ1082" s="24"/>
      <c r="AK1082" s="24"/>
      <c r="AL1082" s="16"/>
      <c r="AM1082" s="16"/>
      <c r="AN1082" s="16"/>
      <c r="AO1082" s="16"/>
      <c r="AP1082" s="16"/>
      <c r="AQ1082" s="16"/>
      <c r="AR1082" s="16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7"/>
    </row>
    <row r="1083" spans="7:54" x14ac:dyDescent="0.15">
      <c r="G1083" s="7"/>
      <c r="H1083" s="16"/>
      <c r="I1083" s="16"/>
      <c r="J1083" s="16"/>
      <c r="K1083" s="16"/>
      <c r="L1083" s="16"/>
      <c r="M1083" s="16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24"/>
      <c r="AC1083" s="16"/>
      <c r="AD1083" s="16"/>
      <c r="AE1083" s="16"/>
      <c r="AF1083" s="16"/>
      <c r="AG1083" s="14"/>
      <c r="AH1083" s="14"/>
      <c r="AI1083" s="24"/>
      <c r="AJ1083" s="24"/>
      <c r="AK1083" s="24"/>
      <c r="AL1083" s="16"/>
      <c r="AM1083" s="16"/>
      <c r="AN1083" s="16"/>
      <c r="AO1083" s="16"/>
      <c r="AP1083" s="16"/>
      <c r="AQ1083" s="16"/>
      <c r="AR1083" s="16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7"/>
    </row>
    <row r="1084" spans="7:54" x14ac:dyDescent="0.15">
      <c r="G1084" s="7"/>
      <c r="H1084" s="16"/>
      <c r="I1084" s="16"/>
      <c r="J1084" s="16"/>
      <c r="K1084" s="16"/>
      <c r="L1084" s="16"/>
      <c r="M1084" s="16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24"/>
      <c r="AC1084" s="16"/>
      <c r="AD1084" s="16"/>
      <c r="AE1084" s="16"/>
      <c r="AF1084" s="16"/>
      <c r="AG1084" s="14"/>
      <c r="AH1084" s="14"/>
      <c r="AI1084" s="24"/>
      <c r="AJ1084" s="24"/>
      <c r="AK1084" s="24"/>
      <c r="AL1084" s="16"/>
      <c r="AM1084" s="16"/>
      <c r="AN1084" s="16"/>
      <c r="AO1084" s="16"/>
      <c r="AP1084" s="16"/>
      <c r="AQ1084" s="16"/>
      <c r="AR1084" s="16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7"/>
    </row>
    <row r="1085" spans="7:54" x14ac:dyDescent="0.15">
      <c r="G1085" s="7"/>
      <c r="H1085" s="16"/>
      <c r="I1085" s="16"/>
      <c r="J1085" s="16"/>
      <c r="K1085" s="16"/>
      <c r="L1085" s="16"/>
      <c r="M1085" s="16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24"/>
      <c r="AC1085" s="16"/>
      <c r="AD1085" s="16"/>
      <c r="AE1085" s="16"/>
      <c r="AF1085" s="16"/>
      <c r="AG1085" s="14"/>
      <c r="AH1085" s="14"/>
      <c r="AI1085" s="24"/>
      <c r="AJ1085" s="24"/>
      <c r="AK1085" s="24"/>
      <c r="AL1085" s="16"/>
      <c r="AM1085" s="16"/>
      <c r="AN1085" s="16"/>
      <c r="AO1085" s="16"/>
      <c r="AP1085" s="16"/>
      <c r="AQ1085" s="16"/>
      <c r="AR1085" s="16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7"/>
    </row>
    <row r="1086" spans="7:54" x14ac:dyDescent="0.15">
      <c r="G1086" s="7"/>
      <c r="H1086" s="16"/>
      <c r="I1086" s="16"/>
      <c r="J1086" s="16"/>
      <c r="K1086" s="16"/>
      <c r="L1086" s="16"/>
      <c r="M1086" s="16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24"/>
      <c r="AC1086" s="16"/>
      <c r="AD1086" s="16"/>
      <c r="AE1086" s="16"/>
      <c r="AF1086" s="16"/>
      <c r="AG1086" s="14"/>
      <c r="AH1086" s="14"/>
      <c r="AI1086" s="24"/>
      <c r="AJ1086" s="24"/>
      <c r="AK1086" s="24"/>
      <c r="AL1086" s="16"/>
      <c r="AM1086" s="16"/>
      <c r="AN1086" s="16"/>
      <c r="AO1086" s="16"/>
      <c r="AP1086" s="16"/>
      <c r="AQ1086" s="16"/>
      <c r="AR1086" s="16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7"/>
    </row>
    <row r="1087" spans="7:54" x14ac:dyDescent="0.15">
      <c r="G1087" s="7"/>
      <c r="H1087" s="16"/>
      <c r="I1087" s="16"/>
      <c r="J1087" s="16"/>
      <c r="K1087" s="16"/>
      <c r="L1087" s="16"/>
      <c r="M1087" s="16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24"/>
      <c r="AC1087" s="16"/>
      <c r="AD1087" s="16"/>
      <c r="AE1087" s="16"/>
      <c r="AF1087" s="16"/>
      <c r="AG1087" s="14"/>
      <c r="AH1087" s="14"/>
      <c r="AI1087" s="24"/>
      <c r="AJ1087" s="24"/>
      <c r="AK1087" s="24"/>
      <c r="AL1087" s="16"/>
      <c r="AM1087" s="16"/>
      <c r="AN1087" s="16"/>
      <c r="AO1087" s="16"/>
      <c r="AP1087" s="16"/>
      <c r="AQ1087" s="16"/>
      <c r="AR1087" s="16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7"/>
    </row>
    <row r="1088" spans="7:54" x14ac:dyDescent="0.15">
      <c r="G1088" s="7"/>
      <c r="H1088" s="16"/>
      <c r="I1088" s="16"/>
      <c r="J1088" s="16"/>
      <c r="K1088" s="16"/>
      <c r="L1088" s="16"/>
      <c r="M1088" s="16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24"/>
      <c r="AC1088" s="16"/>
      <c r="AD1088" s="16"/>
      <c r="AE1088" s="16"/>
      <c r="AF1088" s="16"/>
      <c r="AG1088" s="14"/>
      <c r="AH1088" s="14"/>
      <c r="AI1088" s="24"/>
      <c r="AJ1088" s="24"/>
      <c r="AK1088" s="24"/>
      <c r="AL1088" s="16"/>
      <c r="AM1088" s="16"/>
      <c r="AN1088" s="16"/>
      <c r="AO1088" s="16"/>
      <c r="AP1088" s="16"/>
      <c r="AQ1088" s="16"/>
      <c r="AR1088" s="16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7"/>
    </row>
    <row r="1089" spans="7:54" x14ac:dyDescent="0.15">
      <c r="G1089" s="7"/>
      <c r="H1089" s="16"/>
      <c r="I1089" s="16"/>
      <c r="J1089" s="16"/>
      <c r="K1089" s="16"/>
      <c r="L1089" s="16"/>
      <c r="M1089" s="16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24"/>
      <c r="AC1089" s="16"/>
      <c r="AD1089" s="16"/>
      <c r="AE1089" s="16"/>
      <c r="AF1089" s="16"/>
      <c r="AG1089" s="14"/>
      <c r="AH1089" s="14"/>
      <c r="AI1089" s="24"/>
      <c r="AJ1089" s="24"/>
      <c r="AK1089" s="24"/>
      <c r="AL1089" s="16"/>
      <c r="AM1089" s="16"/>
      <c r="AN1089" s="16"/>
      <c r="AO1089" s="16"/>
      <c r="AP1089" s="16"/>
      <c r="AQ1089" s="16"/>
      <c r="AR1089" s="16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7"/>
    </row>
    <row r="1090" spans="7:54" x14ac:dyDescent="0.15">
      <c r="G1090" s="7"/>
      <c r="H1090" s="16"/>
      <c r="I1090" s="16"/>
      <c r="J1090" s="16"/>
      <c r="K1090" s="16"/>
      <c r="L1090" s="16"/>
      <c r="M1090" s="16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24"/>
      <c r="AC1090" s="16"/>
      <c r="AD1090" s="16"/>
      <c r="AE1090" s="16"/>
      <c r="AF1090" s="16"/>
      <c r="AG1090" s="14"/>
      <c r="AH1090" s="14"/>
      <c r="AI1090" s="24"/>
      <c r="AJ1090" s="24"/>
      <c r="AK1090" s="24"/>
      <c r="AL1090" s="16"/>
      <c r="AM1090" s="16"/>
      <c r="AN1090" s="16"/>
      <c r="AO1090" s="16"/>
      <c r="AP1090" s="16"/>
      <c r="AQ1090" s="16"/>
      <c r="AR1090" s="16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7"/>
    </row>
    <row r="1091" spans="7:54" x14ac:dyDescent="0.15">
      <c r="G1091" s="7"/>
      <c r="H1091" s="16"/>
      <c r="I1091" s="16"/>
      <c r="J1091" s="16"/>
      <c r="K1091" s="16"/>
      <c r="L1091" s="16"/>
      <c r="M1091" s="16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24"/>
      <c r="AC1091" s="16"/>
      <c r="AD1091" s="16"/>
      <c r="AE1091" s="16"/>
      <c r="AF1091" s="16"/>
      <c r="AG1091" s="14"/>
      <c r="AH1091" s="14"/>
      <c r="AI1091" s="24"/>
      <c r="AJ1091" s="24"/>
      <c r="AK1091" s="24"/>
      <c r="AL1091" s="16"/>
      <c r="AM1091" s="16"/>
      <c r="AN1091" s="16"/>
      <c r="AO1091" s="16"/>
      <c r="AP1091" s="16"/>
      <c r="AQ1091" s="16"/>
      <c r="AR1091" s="16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7"/>
    </row>
    <row r="1092" spans="7:54" x14ac:dyDescent="0.15">
      <c r="G1092" s="7"/>
      <c r="H1092" s="16"/>
      <c r="I1092" s="16"/>
      <c r="J1092" s="16"/>
      <c r="K1092" s="16"/>
      <c r="L1092" s="16"/>
      <c r="M1092" s="16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24"/>
      <c r="AC1092" s="16"/>
      <c r="AD1092" s="16"/>
      <c r="AE1092" s="16"/>
      <c r="AF1092" s="16"/>
      <c r="AG1092" s="14"/>
      <c r="AH1092" s="14"/>
      <c r="AI1092" s="24"/>
      <c r="AJ1092" s="24"/>
      <c r="AK1092" s="24"/>
      <c r="AL1092" s="16"/>
      <c r="AM1092" s="16"/>
      <c r="AN1092" s="16"/>
      <c r="AO1092" s="16"/>
      <c r="AP1092" s="16"/>
      <c r="AQ1092" s="16"/>
      <c r="AR1092" s="16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7"/>
    </row>
    <row r="1093" spans="7:54" x14ac:dyDescent="0.15">
      <c r="G1093" s="7"/>
      <c r="H1093" s="16"/>
      <c r="I1093" s="16"/>
      <c r="J1093" s="16"/>
      <c r="K1093" s="16"/>
      <c r="L1093" s="16"/>
      <c r="M1093" s="16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24"/>
      <c r="AC1093" s="16"/>
      <c r="AD1093" s="16"/>
      <c r="AE1093" s="16"/>
      <c r="AF1093" s="16"/>
      <c r="AG1093" s="14"/>
      <c r="AH1093" s="14"/>
      <c r="AI1093" s="24"/>
      <c r="AJ1093" s="24"/>
      <c r="AK1093" s="24"/>
      <c r="AL1093" s="16"/>
      <c r="AM1093" s="16"/>
      <c r="AN1093" s="16"/>
      <c r="AO1093" s="16"/>
      <c r="AP1093" s="16"/>
      <c r="AQ1093" s="16"/>
      <c r="AR1093" s="16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7"/>
    </row>
    <row r="1094" spans="7:54" x14ac:dyDescent="0.15">
      <c r="G1094" s="7"/>
      <c r="H1094" s="16"/>
      <c r="I1094" s="16"/>
      <c r="J1094" s="16"/>
      <c r="K1094" s="16"/>
      <c r="L1094" s="16"/>
      <c r="M1094" s="16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24"/>
      <c r="AC1094" s="16"/>
      <c r="AD1094" s="16"/>
      <c r="AE1094" s="16"/>
      <c r="AF1094" s="16"/>
      <c r="AG1094" s="14"/>
      <c r="AH1094" s="14"/>
      <c r="AI1094" s="24"/>
      <c r="AJ1094" s="24"/>
      <c r="AK1094" s="24"/>
      <c r="AL1094" s="16"/>
      <c r="AM1094" s="16"/>
      <c r="AN1094" s="16"/>
      <c r="AO1094" s="16"/>
      <c r="AP1094" s="16"/>
      <c r="AQ1094" s="16"/>
      <c r="AR1094" s="16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7"/>
    </row>
    <row r="1095" spans="7:54" x14ac:dyDescent="0.15">
      <c r="G1095" s="7"/>
      <c r="H1095" s="16"/>
      <c r="I1095" s="16"/>
      <c r="J1095" s="16"/>
      <c r="K1095" s="16"/>
      <c r="L1095" s="16"/>
      <c r="M1095" s="16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24"/>
      <c r="AC1095" s="16"/>
      <c r="AD1095" s="16"/>
      <c r="AE1095" s="16"/>
      <c r="AF1095" s="16"/>
      <c r="AG1095" s="14"/>
      <c r="AH1095" s="14"/>
      <c r="AI1095" s="24"/>
      <c r="AJ1095" s="24"/>
      <c r="AK1095" s="24"/>
      <c r="AL1095" s="16"/>
      <c r="AM1095" s="16"/>
      <c r="AN1095" s="16"/>
      <c r="AO1095" s="16"/>
      <c r="AP1095" s="16"/>
      <c r="AQ1095" s="16"/>
      <c r="AR1095" s="16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7"/>
    </row>
    <row r="1096" spans="7:54" x14ac:dyDescent="0.15">
      <c r="G1096" s="7"/>
      <c r="H1096" s="16"/>
      <c r="I1096" s="16"/>
      <c r="J1096" s="16"/>
      <c r="K1096" s="16"/>
      <c r="L1096" s="16"/>
      <c r="M1096" s="16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24"/>
      <c r="AC1096" s="16"/>
      <c r="AD1096" s="16"/>
      <c r="AE1096" s="16"/>
      <c r="AF1096" s="16"/>
      <c r="AG1096" s="14"/>
      <c r="AH1096" s="14"/>
      <c r="AI1096" s="24"/>
      <c r="AJ1096" s="24"/>
      <c r="AK1096" s="24"/>
      <c r="AL1096" s="16"/>
      <c r="AM1096" s="16"/>
      <c r="AN1096" s="16"/>
      <c r="AO1096" s="16"/>
      <c r="AP1096" s="16"/>
      <c r="AQ1096" s="16"/>
      <c r="AR1096" s="16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7"/>
    </row>
    <row r="1097" spans="7:54" x14ac:dyDescent="0.15">
      <c r="G1097" s="7"/>
      <c r="H1097" s="16"/>
      <c r="I1097" s="16"/>
      <c r="J1097" s="16"/>
      <c r="K1097" s="16"/>
      <c r="L1097" s="16"/>
      <c r="M1097" s="16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24"/>
      <c r="AC1097" s="16"/>
      <c r="AD1097" s="16"/>
      <c r="AE1097" s="16"/>
      <c r="AF1097" s="16"/>
      <c r="AG1097" s="14"/>
      <c r="AH1097" s="14"/>
      <c r="AI1097" s="24"/>
      <c r="AJ1097" s="24"/>
      <c r="AK1097" s="24"/>
      <c r="AL1097" s="16"/>
      <c r="AM1097" s="16"/>
      <c r="AN1097" s="16"/>
      <c r="AO1097" s="16"/>
      <c r="AP1097" s="16"/>
      <c r="AQ1097" s="16"/>
      <c r="AR1097" s="16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7"/>
    </row>
    <row r="1098" spans="7:54" x14ac:dyDescent="0.15">
      <c r="G1098" s="7"/>
      <c r="H1098" s="16"/>
      <c r="I1098" s="16"/>
      <c r="J1098" s="16"/>
      <c r="K1098" s="16"/>
      <c r="L1098" s="16"/>
      <c r="M1098" s="16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24"/>
      <c r="AC1098" s="16"/>
      <c r="AD1098" s="16"/>
      <c r="AE1098" s="16"/>
      <c r="AF1098" s="16"/>
      <c r="AG1098" s="14"/>
      <c r="AH1098" s="14"/>
      <c r="AI1098" s="24"/>
      <c r="AJ1098" s="24"/>
      <c r="AK1098" s="24"/>
      <c r="AL1098" s="16"/>
      <c r="AM1098" s="16"/>
      <c r="AN1098" s="16"/>
      <c r="AO1098" s="16"/>
      <c r="AP1098" s="16"/>
      <c r="AQ1098" s="16"/>
      <c r="AR1098" s="16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7"/>
    </row>
    <row r="1099" spans="7:54" x14ac:dyDescent="0.15">
      <c r="G1099" s="7"/>
      <c r="H1099" s="16"/>
      <c r="I1099" s="16"/>
      <c r="J1099" s="16"/>
      <c r="K1099" s="16"/>
      <c r="L1099" s="16"/>
      <c r="M1099" s="16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24"/>
      <c r="AC1099" s="16"/>
      <c r="AD1099" s="16"/>
      <c r="AE1099" s="16"/>
      <c r="AF1099" s="16"/>
      <c r="AG1099" s="14"/>
      <c r="AH1099" s="14"/>
      <c r="AI1099" s="24"/>
      <c r="AJ1099" s="24"/>
      <c r="AK1099" s="24"/>
      <c r="AL1099" s="16"/>
      <c r="AM1099" s="16"/>
      <c r="AN1099" s="16"/>
      <c r="AO1099" s="16"/>
      <c r="AP1099" s="16"/>
      <c r="AQ1099" s="16"/>
      <c r="AR1099" s="16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7"/>
    </row>
    <row r="1100" spans="7:54" x14ac:dyDescent="0.15">
      <c r="G1100" s="7"/>
      <c r="H1100" s="16"/>
      <c r="I1100" s="16"/>
      <c r="J1100" s="16"/>
      <c r="K1100" s="16"/>
      <c r="L1100" s="16"/>
      <c r="M1100" s="16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24"/>
      <c r="AC1100" s="16"/>
      <c r="AD1100" s="16"/>
      <c r="AE1100" s="16"/>
      <c r="AF1100" s="16"/>
      <c r="AG1100" s="14"/>
      <c r="AH1100" s="14"/>
      <c r="AI1100" s="24"/>
      <c r="AJ1100" s="24"/>
      <c r="AK1100" s="24"/>
      <c r="AL1100" s="16"/>
      <c r="AM1100" s="16"/>
      <c r="AN1100" s="16"/>
      <c r="AO1100" s="16"/>
      <c r="AP1100" s="16"/>
      <c r="AQ1100" s="16"/>
      <c r="AR1100" s="16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7"/>
    </row>
    <row r="1101" spans="7:54" x14ac:dyDescent="0.15">
      <c r="G1101" s="7"/>
      <c r="H1101" s="16"/>
      <c r="I1101" s="16"/>
      <c r="J1101" s="16"/>
      <c r="K1101" s="16"/>
      <c r="L1101" s="16"/>
      <c r="M1101" s="16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24"/>
      <c r="AC1101" s="16"/>
      <c r="AD1101" s="16"/>
      <c r="AE1101" s="16"/>
      <c r="AF1101" s="16"/>
      <c r="AG1101" s="14"/>
      <c r="AH1101" s="14"/>
      <c r="AI1101" s="24"/>
      <c r="AJ1101" s="24"/>
      <c r="AK1101" s="24"/>
      <c r="AL1101" s="16"/>
      <c r="AM1101" s="16"/>
      <c r="AN1101" s="16"/>
      <c r="AO1101" s="16"/>
      <c r="AP1101" s="16"/>
      <c r="AQ1101" s="16"/>
      <c r="AR1101" s="16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7"/>
    </row>
    <row r="1102" spans="7:54" x14ac:dyDescent="0.15">
      <c r="G1102" s="7"/>
      <c r="H1102" s="16"/>
      <c r="I1102" s="16"/>
      <c r="J1102" s="16"/>
      <c r="K1102" s="16"/>
      <c r="L1102" s="16"/>
      <c r="M1102" s="16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24"/>
      <c r="AC1102" s="16"/>
      <c r="AD1102" s="16"/>
      <c r="AE1102" s="16"/>
      <c r="AF1102" s="16"/>
      <c r="AG1102" s="14"/>
      <c r="AH1102" s="14"/>
      <c r="AI1102" s="24"/>
      <c r="AJ1102" s="24"/>
      <c r="AK1102" s="24"/>
      <c r="AL1102" s="16"/>
      <c r="AM1102" s="16"/>
      <c r="AN1102" s="16"/>
      <c r="AO1102" s="16"/>
      <c r="AP1102" s="16"/>
      <c r="AQ1102" s="16"/>
      <c r="AR1102" s="16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7"/>
    </row>
    <row r="1103" spans="7:54" x14ac:dyDescent="0.15">
      <c r="G1103" s="7"/>
      <c r="H1103" s="16"/>
      <c r="I1103" s="16"/>
      <c r="J1103" s="16"/>
      <c r="K1103" s="16"/>
      <c r="L1103" s="16"/>
      <c r="M1103" s="16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24"/>
      <c r="AC1103" s="16"/>
      <c r="AD1103" s="16"/>
      <c r="AE1103" s="16"/>
      <c r="AF1103" s="16"/>
      <c r="AG1103" s="14"/>
      <c r="AH1103" s="14"/>
      <c r="AI1103" s="24"/>
      <c r="AJ1103" s="24"/>
      <c r="AK1103" s="24"/>
      <c r="AL1103" s="16"/>
      <c r="AM1103" s="16"/>
      <c r="AN1103" s="16"/>
      <c r="AO1103" s="16"/>
      <c r="AP1103" s="16"/>
      <c r="AQ1103" s="16"/>
      <c r="AR1103" s="16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7"/>
    </row>
    <row r="1104" spans="7:54" x14ac:dyDescent="0.15">
      <c r="G1104" s="7"/>
      <c r="H1104" s="16"/>
      <c r="I1104" s="16"/>
      <c r="J1104" s="16"/>
      <c r="K1104" s="16"/>
      <c r="L1104" s="16"/>
      <c r="M1104" s="16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24"/>
      <c r="AC1104" s="16"/>
      <c r="AD1104" s="16"/>
      <c r="AE1104" s="16"/>
      <c r="AF1104" s="16"/>
      <c r="AG1104" s="14"/>
      <c r="AH1104" s="14"/>
      <c r="AI1104" s="24"/>
      <c r="AJ1104" s="24"/>
      <c r="AK1104" s="24"/>
      <c r="AL1104" s="16"/>
      <c r="AM1104" s="16"/>
      <c r="AN1104" s="16"/>
      <c r="AO1104" s="16"/>
      <c r="AP1104" s="16"/>
      <c r="AQ1104" s="16"/>
      <c r="AR1104" s="16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7"/>
    </row>
    <row r="1105" spans="7:54" x14ac:dyDescent="0.15">
      <c r="G1105" s="7"/>
      <c r="H1105" s="16"/>
      <c r="I1105" s="16"/>
      <c r="J1105" s="16"/>
      <c r="K1105" s="16"/>
      <c r="L1105" s="16"/>
      <c r="M1105" s="16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24"/>
      <c r="AC1105" s="16"/>
      <c r="AD1105" s="16"/>
      <c r="AE1105" s="16"/>
      <c r="AF1105" s="16"/>
      <c r="AG1105" s="14"/>
      <c r="AH1105" s="14"/>
      <c r="AI1105" s="24"/>
      <c r="AJ1105" s="24"/>
      <c r="AK1105" s="24"/>
      <c r="AL1105" s="16"/>
      <c r="AM1105" s="16"/>
      <c r="AN1105" s="16"/>
      <c r="AO1105" s="16"/>
      <c r="AP1105" s="16"/>
      <c r="AQ1105" s="16"/>
      <c r="AR1105" s="16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7"/>
    </row>
    <row r="1106" spans="7:54" x14ac:dyDescent="0.15">
      <c r="G1106" s="7"/>
      <c r="H1106" s="16"/>
      <c r="I1106" s="16"/>
      <c r="J1106" s="16"/>
      <c r="K1106" s="16"/>
      <c r="L1106" s="16"/>
      <c r="M1106" s="16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24"/>
      <c r="AC1106" s="16"/>
      <c r="AD1106" s="16"/>
      <c r="AE1106" s="16"/>
      <c r="AF1106" s="16"/>
      <c r="AG1106" s="14"/>
      <c r="AH1106" s="14"/>
      <c r="AI1106" s="24"/>
      <c r="AJ1106" s="24"/>
      <c r="AK1106" s="24"/>
      <c r="AL1106" s="16"/>
      <c r="AM1106" s="16"/>
      <c r="AN1106" s="16"/>
      <c r="AO1106" s="16"/>
      <c r="AP1106" s="16"/>
      <c r="AQ1106" s="16"/>
      <c r="AR1106" s="16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7"/>
    </row>
    <row r="1107" spans="7:54" x14ac:dyDescent="0.15">
      <c r="G1107" s="7"/>
      <c r="H1107" s="16"/>
      <c r="I1107" s="16"/>
      <c r="J1107" s="16"/>
      <c r="K1107" s="16"/>
      <c r="L1107" s="16"/>
      <c r="M1107" s="16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24"/>
      <c r="AC1107" s="16"/>
      <c r="AD1107" s="16"/>
      <c r="AE1107" s="16"/>
      <c r="AF1107" s="16"/>
      <c r="AG1107" s="14"/>
      <c r="AH1107" s="14"/>
      <c r="AI1107" s="24"/>
      <c r="AJ1107" s="24"/>
      <c r="AK1107" s="24"/>
      <c r="AL1107" s="16"/>
      <c r="AM1107" s="16"/>
      <c r="AN1107" s="16"/>
      <c r="AO1107" s="16"/>
      <c r="AP1107" s="16"/>
      <c r="AQ1107" s="16"/>
      <c r="AR1107" s="16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7"/>
    </row>
    <row r="1108" spans="7:54" x14ac:dyDescent="0.15">
      <c r="G1108" s="7"/>
      <c r="H1108" s="16"/>
      <c r="I1108" s="16"/>
      <c r="J1108" s="16"/>
      <c r="K1108" s="16"/>
      <c r="L1108" s="16"/>
      <c r="M1108" s="16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24"/>
      <c r="AC1108" s="16"/>
      <c r="AD1108" s="16"/>
      <c r="AE1108" s="16"/>
      <c r="AF1108" s="16"/>
      <c r="AG1108" s="14"/>
      <c r="AH1108" s="14"/>
      <c r="AI1108" s="24"/>
      <c r="AJ1108" s="24"/>
      <c r="AK1108" s="24"/>
      <c r="AL1108" s="16"/>
      <c r="AM1108" s="16"/>
      <c r="AN1108" s="16"/>
      <c r="AO1108" s="16"/>
      <c r="AP1108" s="16"/>
      <c r="AQ1108" s="16"/>
      <c r="AR1108" s="16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7"/>
    </row>
    <row r="1109" spans="7:54" x14ac:dyDescent="0.15">
      <c r="G1109" s="7"/>
      <c r="H1109" s="16"/>
      <c r="I1109" s="16"/>
      <c r="J1109" s="16"/>
      <c r="K1109" s="16"/>
      <c r="L1109" s="16"/>
      <c r="M1109" s="16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24"/>
      <c r="AC1109" s="16"/>
      <c r="AD1109" s="16"/>
      <c r="AE1109" s="16"/>
      <c r="AF1109" s="16"/>
      <c r="AG1109" s="14"/>
      <c r="AH1109" s="14"/>
      <c r="AI1109" s="24"/>
      <c r="AJ1109" s="24"/>
      <c r="AK1109" s="24"/>
      <c r="AL1109" s="16"/>
      <c r="AM1109" s="16"/>
      <c r="AN1109" s="16"/>
      <c r="AO1109" s="16"/>
      <c r="AP1109" s="16"/>
      <c r="AQ1109" s="16"/>
      <c r="AR1109" s="16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7"/>
    </row>
    <row r="1110" spans="7:54" x14ac:dyDescent="0.15">
      <c r="G1110" s="7"/>
      <c r="H1110" s="16"/>
      <c r="I1110" s="16"/>
      <c r="J1110" s="16"/>
      <c r="K1110" s="16"/>
      <c r="L1110" s="16"/>
      <c r="M1110" s="16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24"/>
      <c r="AC1110" s="16"/>
      <c r="AD1110" s="16"/>
      <c r="AE1110" s="16"/>
      <c r="AF1110" s="16"/>
      <c r="AG1110" s="14"/>
      <c r="AH1110" s="14"/>
      <c r="AI1110" s="24"/>
      <c r="AJ1110" s="24"/>
      <c r="AK1110" s="24"/>
      <c r="AL1110" s="16"/>
      <c r="AM1110" s="16"/>
      <c r="AN1110" s="16"/>
      <c r="AO1110" s="16"/>
      <c r="AP1110" s="16"/>
      <c r="AQ1110" s="16"/>
      <c r="AR1110" s="16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7"/>
    </row>
    <row r="1111" spans="7:54" x14ac:dyDescent="0.15">
      <c r="G1111" s="7"/>
      <c r="H1111" s="16"/>
      <c r="I1111" s="16"/>
      <c r="J1111" s="16"/>
      <c r="K1111" s="16"/>
      <c r="L1111" s="16"/>
      <c r="M1111" s="16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24"/>
      <c r="AC1111" s="16"/>
      <c r="AD1111" s="16"/>
      <c r="AE1111" s="16"/>
      <c r="AF1111" s="16"/>
      <c r="AG1111" s="14"/>
      <c r="AH1111" s="14"/>
      <c r="AI1111" s="24"/>
      <c r="AJ1111" s="24"/>
      <c r="AK1111" s="24"/>
      <c r="AL1111" s="16"/>
      <c r="AM1111" s="16"/>
      <c r="AN1111" s="16"/>
      <c r="AO1111" s="16"/>
      <c r="AP1111" s="16"/>
      <c r="AQ1111" s="16"/>
      <c r="AR1111" s="16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7"/>
    </row>
    <row r="1112" spans="7:54" x14ac:dyDescent="0.15">
      <c r="G1112" s="7"/>
      <c r="H1112" s="16"/>
      <c r="I1112" s="16"/>
      <c r="J1112" s="16"/>
      <c r="K1112" s="16"/>
      <c r="L1112" s="16"/>
      <c r="M1112" s="16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24"/>
      <c r="AC1112" s="16"/>
      <c r="AD1112" s="16"/>
      <c r="AE1112" s="16"/>
      <c r="AF1112" s="16"/>
      <c r="AG1112" s="14"/>
      <c r="AH1112" s="14"/>
      <c r="AI1112" s="24"/>
      <c r="AJ1112" s="24"/>
      <c r="AK1112" s="24"/>
      <c r="AL1112" s="16"/>
      <c r="AM1112" s="16"/>
      <c r="AN1112" s="16"/>
      <c r="AO1112" s="16"/>
      <c r="AP1112" s="16"/>
      <c r="AQ1112" s="16"/>
      <c r="AR1112" s="16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7"/>
    </row>
    <row r="1113" spans="7:54" x14ac:dyDescent="0.15">
      <c r="G1113" s="7"/>
      <c r="H1113" s="16"/>
      <c r="I1113" s="16"/>
      <c r="J1113" s="16"/>
      <c r="K1113" s="16"/>
      <c r="L1113" s="16"/>
      <c r="M1113" s="16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24"/>
      <c r="AC1113" s="16"/>
      <c r="AD1113" s="16"/>
      <c r="AE1113" s="16"/>
      <c r="AF1113" s="16"/>
      <c r="AG1113" s="14"/>
      <c r="AH1113" s="14"/>
      <c r="AI1113" s="24"/>
      <c r="AJ1113" s="24"/>
      <c r="AK1113" s="24"/>
      <c r="AL1113" s="16"/>
      <c r="AM1113" s="16"/>
      <c r="AN1113" s="16"/>
      <c r="AO1113" s="16"/>
      <c r="AP1113" s="16"/>
      <c r="AQ1113" s="16"/>
      <c r="AR1113" s="16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7"/>
    </row>
    <row r="1114" spans="7:54" x14ac:dyDescent="0.15">
      <c r="G1114" s="7"/>
      <c r="H1114" s="16"/>
      <c r="I1114" s="16"/>
      <c r="J1114" s="16"/>
      <c r="K1114" s="16"/>
      <c r="L1114" s="16"/>
      <c r="M1114" s="16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24"/>
      <c r="AC1114" s="16"/>
      <c r="AD1114" s="16"/>
      <c r="AE1114" s="16"/>
      <c r="AF1114" s="16"/>
      <c r="AG1114" s="14"/>
      <c r="AH1114" s="14"/>
      <c r="AI1114" s="24"/>
      <c r="AJ1114" s="24"/>
      <c r="AK1114" s="24"/>
      <c r="AL1114" s="16"/>
      <c r="AM1114" s="16"/>
      <c r="AN1114" s="16"/>
      <c r="AO1114" s="16"/>
      <c r="AP1114" s="16"/>
      <c r="AQ1114" s="16"/>
      <c r="AR1114" s="16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7"/>
    </row>
    <row r="1115" spans="7:54" x14ac:dyDescent="0.15">
      <c r="G1115" s="7"/>
      <c r="H1115" s="16"/>
      <c r="I1115" s="16"/>
      <c r="J1115" s="16"/>
      <c r="K1115" s="16"/>
      <c r="L1115" s="16"/>
      <c r="M1115" s="16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24"/>
      <c r="AC1115" s="16"/>
      <c r="AD1115" s="16"/>
      <c r="AE1115" s="16"/>
      <c r="AF1115" s="16"/>
      <c r="AG1115" s="14"/>
      <c r="AH1115" s="14"/>
      <c r="AI1115" s="24"/>
      <c r="AJ1115" s="24"/>
      <c r="AK1115" s="24"/>
      <c r="AL1115" s="16"/>
      <c r="AM1115" s="16"/>
      <c r="AN1115" s="16"/>
      <c r="AO1115" s="16"/>
      <c r="AP1115" s="16"/>
      <c r="AQ1115" s="16"/>
      <c r="AR1115" s="16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7"/>
    </row>
    <row r="1116" spans="7:54" x14ac:dyDescent="0.15">
      <c r="G1116" s="7"/>
      <c r="H1116" s="16"/>
      <c r="I1116" s="16"/>
      <c r="J1116" s="16"/>
      <c r="K1116" s="16"/>
      <c r="L1116" s="16"/>
      <c r="M1116" s="16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24"/>
      <c r="AC1116" s="16"/>
      <c r="AD1116" s="16"/>
      <c r="AE1116" s="16"/>
      <c r="AF1116" s="16"/>
      <c r="AG1116" s="14"/>
      <c r="AH1116" s="14"/>
      <c r="AI1116" s="24"/>
      <c r="AJ1116" s="24"/>
      <c r="AK1116" s="24"/>
      <c r="AL1116" s="16"/>
      <c r="AM1116" s="16"/>
      <c r="AN1116" s="16"/>
      <c r="AO1116" s="16"/>
      <c r="AP1116" s="16"/>
      <c r="AQ1116" s="16"/>
      <c r="AR1116" s="16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7"/>
    </row>
    <row r="1117" spans="7:54" x14ac:dyDescent="0.15">
      <c r="G1117" s="7"/>
      <c r="H1117" s="16"/>
      <c r="I1117" s="16"/>
      <c r="J1117" s="16"/>
      <c r="K1117" s="16"/>
      <c r="L1117" s="16"/>
      <c r="M1117" s="16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24"/>
      <c r="AC1117" s="16"/>
      <c r="AD1117" s="16"/>
      <c r="AE1117" s="16"/>
      <c r="AF1117" s="16"/>
      <c r="AG1117" s="14"/>
      <c r="AH1117" s="14"/>
      <c r="AI1117" s="24"/>
      <c r="AJ1117" s="24"/>
      <c r="AK1117" s="24"/>
      <c r="AL1117" s="16"/>
      <c r="AM1117" s="16"/>
      <c r="AN1117" s="16"/>
      <c r="AO1117" s="16"/>
      <c r="AP1117" s="16"/>
      <c r="AQ1117" s="16"/>
      <c r="AR1117" s="16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7"/>
    </row>
    <row r="1118" spans="7:54" x14ac:dyDescent="0.15">
      <c r="G1118" s="7"/>
      <c r="H1118" s="16"/>
      <c r="I1118" s="16"/>
      <c r="J1118" s="16"/>
      <c r="K1118" s="16"/>
      <c r="L1118" s="16"/>
      <c r="M1118" s="16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24"/>
      <c r="AC1118" s="16"/>
      <c r="AD1118" s="16"/>
      <c r="AE1118" s="16"/>
      <c r="AF1118" s="16"/>
      <c r="AG1118" s="14"/>
      <c r="AH1118" s="14"/>
      <c r="AI1118" s="24"/>
      <c r="AJ1118" s="24"/>
      <c r="AK1118" s="24"/>
      <c r="AL1118" s="16"/>
      <c r="AM1118" s="16"/>
      <c r="AN1118" s="16"/>
      <c r="AO1118" s="16"/>
      <c r="AP1118" s="16"/>
      <c r="AQ1118" s="16"/>
      <c r="AR1118" s="16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7"/>
    </row>
    <row r="1119" spans="7:54" x14ac:dyDescent="0.15">
      <c r="G1119" s="7"/>
      <c r="H1119" s="16"/>
      <c r="I1119" s="16"/>
      <c r="J1119" s="16"/>
      <c r="K1119" s="16"/>
      <c r="L1119" s="16"/>
      <c r="M1119" s="16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24"/>
      <c r="AC1119" s="16"/>
      <c r="AD1119" s="16"/>
      <c r="AE1119" s="16"/>
      <c r="AF1119" s="16"/>
      <c r="AG1119" s="14"/>
      <c r="AH1119" s="14"/>
      <c r="AI1119" s="24"/>
      <c r="AJ1119" s="24"/>
      <c r="AK1119" s="24"/>
      <c r="AL1119" s="16"/>
      <c r="AM1119" s="16"/>
      <c r="AN1119" s="16"/>
      <c r="AO1119" s="16"/>
      <c r="AP1119" s="16"/>
      <c r="AQ1119" s="16"/>
      <c r="AR1119" s="16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7"/>
    </row>
    <row r="1120" spans="7:54" x14ac:dyDescent="0.15">
      <c r="G1120" s="7"/>
      <c r="H1120" s="16"/>
      <c r="I1120" s="16"/>
      <c r="J1120" s="16"/>
      <c r="K1120" s="16"/>
      <c r="L1120" s="16"/>
      <c r="M1120" s="16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24"/>
      <c r="AC1120" s="16"/>
      <c r="AD1120" s="16"/>
      <c r="AE1120" s="16"/>
      <c r="AF1120" s="16"/>
      <c r="AG1120" s="14"/>
      <c r="AH1120" s="14"/>
      <c r="AI1120" s="24"/>
      <c r="AJ1120" s="24"/>
      <c r="AK1120" s="24"/>
      <c r="AL1120" s="16"/>
      <c r="AM1120" s="16"/>
      <c r="AN1120" s="16"/>
      <c r="AO1120" s="16"/>
      <c r="AP1120" s="16"/>
      <c r="AQ1120" s="16"/>
      <c r="AR1120" s="16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7"/>
    </row>
    <row r="1121" spans="7:54" x14ac:dyDescent="0.15">
      <c r="G1121" s="7"/>
      <c r="H1121" s="16"/>
      <c r="I1121" s="16"/>
      <c r="J1121" s="16"/>
      <c r="K1121" s="16"/>
      <c r="L1121" s="16"/>
      <c r="M1121" s="16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24"/>
      <c r="AC1121" s="16"/>
      <c r="AD1121" s="16"/>
      <c r="AE1121" s="16"/>
      <c r="AF1121" s="16"/>
      <c r="AG1121" s="14"/>
      <c r="AH1121" s="14"/>
      <c r="AI1121" s="24"/>
      <c r="AJ1121" s="24"/>
      <c r="AK1121" s="24"/>
      <c r="AL1121" s="16"/>
      <c r="AM1121" s="16"/>
      <c r="AN1121" s="16"/>
      <c r="AO1121" s="16"/>
      <c r="AP1121" s="16"/>
      <c r="AQ1121" s="16"/>
      <c r="AR1121" s="16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7"/>
    </row>
    <row r="1122" spans="7:54" x14ac:dyDescent="0.15">
      <c r="G1122" s="7"/>
      <c r="H1122" s="16"/>
      <c r="I1122" s="16"/>
      <c r="J1122" s="16"/>
      <c r="K1122" s="16"/>
      <c r="L1122" s="16"/>
      <c r="M1122" s="16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24"/>
      <c r="AC1122" s="16"/>
      <c r="AD1122" s="16"/>
      <c r="AE1122" s="16"/>
      <c r="AF1122" s="16"/>
      <c r="AG1122" s="14"/>
      <c r="AH1122" s="14"/>
      <c r="AI1122" s="24"/>
      <c r="AJ1122" s="24"/>
      <c r="AK1122" s="24"/>
      <c r="AL1122" s="16"/>
      <c r="AM1122" s="16"/>
      <c r="AN1122" s="16"/>
      <c r="AO1122" s="16"/>
      <c r="AP1122" s="16"/>
      <c r="AQ1122" s="16"/>
      <c r="AR1122" s="16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7"/>
    </row>
    <row r="1123" spans="7:54" x14ac:dyDescent="0.15">
      <c r="G1123" s="7"/>
      <c r="H1123" s="16"/>
      <c r="I1123" s="16"/>
      <c r="J1123" s="16"/>
      <c r="K1123" s="16"/>
      <c r="L1123" s="16"/>
      <c r="M1123" s="16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24"/>
      <c r="AC1123" s="16"/>
      <c r="AD1123" s="16"/>
      <c r="AE1123" s="16"/>
      <c r="AF1123" s="16"/>
      <c r="AG1123" s="14"/>
      <c r="AH1123" s="14"/>
      <c r="AI1123" s="24"/>
      <c r="AJ1123" s="24"/>
      <c r="AK1123" s="24"/>
      <c r="AL1123" s="16"/>
      <c r="AM1123" s="16"/>
      <c r="AN1123" s="16"/>
      <c r="AO1123" s="16"/>
      <c r="AP1123" s="16"/>
      <c r="AQ1123" s="16"/>
      <c r="AR1123" s="16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7"/>
    </row>
    <row r="1124" spans="7:54" x14ac:dyDescent="0.15">
      <c r="G1124" s="7"/>
      <c r="H1124" s="16"/>
      <c r="I1124" s="16"/>
      <c r="J1124" s="16"/>
      <c r="K1124" s="16"/>
      <c r="L1124" s="16"/>
      <c r="M1124" s="16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24"/>
      <c r="AC1124" s="16"/>
      <c r="AD1124" s="16"/>
      <c r="AE1124" s="16"/>
      <c r="AF1124" s="16"/>
      <c r="AG1124" s="14"/>
      <c r="AH1124" s="14"/>
      <c r="AI1124" s="24"/>
      <c r="AJ1124" s="24"/>
      <c r="AK1124" s="24"/>
      <c r="AL1124" s="16"/>
      <c r="AM1124" s="16"/>
      <c r="AN1124" s="16"/>
      <c r="AO1124" s="16"/>
      <c r="AP1124" s="16"/>
      <c r="AQ1124" s="16"/>
      <c r="AR1124" s="16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7"/>
    </row>
    <row r="1125" spans="7:54" x14ac:dyDescent="0.15">
      <c r="G1125" s="7"/>
      <c r="H1125" s="16"/>
      <c r="I1125" s="16"/>
      <c r="J1125" s="16"/>
      <c r="K1125" s="16"/>
      <c r="L1125" s="16"/>
      <c r="M1125" s="16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24"/>
      <c r="AC1125" s="16"/>
      <c r="AD1125" s="16"/>
      <c r="AE1125" s="16"/>
      <c r="AF1125" s="16"/>
      <c r="AG1125" s="14"/>
      <c r="AH1125" s="14"/>
      <c r="AI1125" s="24"/>
      <c r="AJ1125" s="24"/>
      <c r="AK1125" s="24"/>
      <c r="AL1125" s="16"/>
      <c r="AM1125" s="16"/>
      <c r="AN1125" s="16"/>
      <c r="AO1125" s="16"/>
      <c r="AP1125" s="16"/>
      <c r="AQ1125" s="16"/>
      <c r="AR1125" s="16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7"/>
    </row>
    <row r="1126" spans="7:54" x14ac:dyDescent="0.15">
      <c r="G1126" s="7"/>
      <c r="H1126" s="16"/>
      <c r="I1126" s="16"/>
      <c r="J1126" s="16"/>
      <c r="K1126" s="16"/>
      <c r="L1126" s="16"/>
      <c r="M1126" s="16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24"/>
      <c r="AC1126" s="16"/>
      <c r="AD1126" s="16"/>
      <c r="AE1126" s="16"/>
      <c r="AF1126" s="16"/>
      <c r="AG1126" s="14"/>
      <c r="AH1126" s="14"/>
      <c r="AI1126" s="24"/>
      <c r="AJ1126" s="24"/>
      <c r="AK1126" s="24"/>
      <c r="AL1126" s="16"/>
      <c r="AM1126" s="16"/>
      <c r="AN1126" s="16"/>
      <c r="AO1126" s="16"/>
      <c r="AP1126" s="16"/>
      <c r="AQ1126" s="16"/>
      <c r="AR1126" s="16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7"/>
    </row>
    <row r="1127" spans="7:54" x14ac:dyDescent="0.15">
      <c r="G1127" s="7"/>
      <c r="H1127" s="16"/>
      <c r="I1127" s="16"/>
      <c r="J1127" s="16"/>
      <c r="K1127" s="16"/>
      <c r="L1127" s="16"/>
      <c r="M1127" s="16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24"/>
      <c r="AC1127" s="16"/>
      <c r="AD1127" s="16"/>
      <c r="AE1127" s="16"/>
      <c r="AF1127" s="16"/>
      <c r="AG1127" s="14"/>
      <c r="AH1127" s="14"/>
      <c r="AI1127" s="24"/>
      <c r="AJ1127" s="24"/>
      <c r="AK1127" s="24"/>
      <c r="AL1127" s="16"/>
      <c r="AM1127" s="16"/>
      <c r="AN1127" s="16"/>
      <c r="AO1127" s="16"/>
      <c r="AP1127" s="16"/>
      <c r="AQ1127" s="16"/>
      <c r="AR1127" s="16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7"/>
    </row>
    <row r="1128" spans="7:54" x14ac:dyDescent="0.15">
      <c r="G1128" s="7"/>
      <c r="H1128" s="16"/>
      <c r="I1128" s="16"/>
      <c r="J1128" s="16"/>
      <c r="K1128" s="16"/>
      <c r="L1128" s="16"/>
      <c r="M1128" s="16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24"/>
      <c r="AC1128" s="16"/>
      <c r="AD1128" s="16"/>
      <c r="AE1128" s="16"/>
      <c r="AF1128" s="16"/>
      <c r="AG1128" s="14"/>
      <c r="AH1128" s="14"/>
      <c r="AI1128" s="24"/>
      <c r="AJ1128" s="24"/>
      <c r="AK1128" s="24"/>
      <c r="AL1128" s="16"/>
      <c r="AM1128" s="16"/>
      <c r="AN1128" s="16"/>
      <c r="AO1128" s="16"/>
      <c r="AP1128" s="16"/>
      <c r="AQ1128" s="16"/>
      <c r="AR1128" s="16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7"/>
    </row>
    <row r="1129" spans="7:54" x14ac:dyDescent="0.15">
      <c r="G1129" s="7"/>
      <c r="H1129" s="16"/>
      <c r="I1129" s="16"/>
      <c r="J1129" s="16"/>
      <c r="K1129" s="16"/>
      <c r="L1129" s="16"/>
      <c r="M1129" s="16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24"/>
      <c r="AC1129" s="16"/>
      <c r="AD1129" s="16"/>
      <c r="AE1129" s="16"/>
      <c r="AF1129" s="16"/>
      <c r="AG1129" s="14"/>
      <c r="AH1129" s="14"/>
      <c r="AI1129" s="24"/>
      <c r="AJ1129" s="24"/>
      <c r="AK1129" s="24"/>
      <c r="AL1129" s="16"/>
      <c r="AM1129" s="16"/>
      <c r="AN1129" s="16"/>
      <c r="AO1129" s="16"/>
      <c r="AP1129" s="16"/>
      <c r="AQ1129" s="16"/>
      <c r="AR1129" s="16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7"/>
    </row>
    <row r="1130" spans="7:54" x14ac:dyDescent="0.15">
      <c r="G1130" s="7"/>
      <c r="H1130" s="16"/>
      <c r="I1130" s="16"/>
      <c r="J1130" s="16"/>
      <c r="K1130" s="16"/>
      <c r="L1130" s="16"/>
      <c r="M1130" s="16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24"/>
      <c r="AC1130" s="16"/>
      <c r="AD1130" s="16"/>
      <c r="AE1130" s="16"/>
      <c r="AF1130" s="16"/>
      <c r="AG1130" s="14"/>
      <c r="AH1130" s="14"/>
      <c r="AI1130" s="24"/>
      <c r="AJ1130" s="24"/>
      <c r="AK1130" s="24"/>
      <c r="AL1130" s="16"/>
      <c r="AM1130" s="16"/>
      <c r="AN1130" s="16"/>
      <c r="AO1130" s="16"/>
      <c r="AP1130" s="16"/>
      <c r="AQ1130" s="16"/>
      <c r="AR1130" s="16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7"/>
    </row>
    <row r="1131" spans="7:54" x14ac:dyDescent="0.15">
      <c r="G1131" s="7"/>
      <c r="H1131" s="16"/>
      <c r="I1131" s="16"/>
      <c r="J1131" s="16"/>
      <c r="K1131" s="16"/>
      <c r="L1131" s="16"/>
      <c r="M1131" s="16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24"/>
      <c r="AC1131" s="16"/>
      <c r="AD1131" s="16"/>
      <c r="AE1131" s="16"/>
      <c r="AF1131" s="16"/>
      <c r="AG1131" s="14"/>
      <c r="AH1131" s="14"/>
      <c r="AI1131" s="24"/>
      <c r="AJ1131" s="24"/>
      <c r="AK1131" s="24"/>
      <c r="AL1131" s="16"/>
      <c r="AM1131" s="16"/>
      <c r="AN1131" s="16"/>
      <c r="AO1131" s="16"/>
      <c r="AP1131" s="16"/>
      <c r="AQ1131" s="16"/>
      <c r="AR1131" s="16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7"/>
    </row>
    <row r="1132" spans="7:54" x14ac:dyDescent="0.15">
      <c r="G1132" s="7"/>
      <c r="H1132" s="16"/>
      <c r="I1132" s="16"/>
      <c r="J1132" s="16"/>
      <c r="K1132" s="16"/>
      <c r="L1132" s="16"/>
      <c r="M1132" s="16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24"/>
      <c r="AC1132" s="16"/>
      <c r="AD1132" s="16"/>
      <c r="AE1132" s="16"/>
      <c r="AF1132" s="16"/>
      <c r="AG1132" s="14"/>
      <c r="AH1132" s="14"/>
      <c r="AI1132" s="24"/>
      <c r="AJ1132" s="24"/>
      <c r="AK1132" s="24"/>
      <c r="AL1132" s="16"/>
      <c r="AM1132" s="16"/>
      <c r="AN1132" s="16"/>
      <c r="AO1132" s="16"/>
      <c r="AP1132" s="16"/>
      <c r="AQ1132" s="16"/>
      <c r="AR1132" s="16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7"/>
    </row>
    <row r="1133" spans="7:54" x14ac:dyDescent="0.15">
      <c r="G1133" s="7"/>
      <c r="H1133" s="16"/>
      <c r="I1133" s="16"/>
      <c r="J1133" s="16"/>
      <c r="K1133" s="16"/>
      <c r="L1133" s="16"/>
      <c r="M1133" s="16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24"/>
      <c r="AC1133" s="16"/>
      <c r="AD1133" s="16"/>
      <c r="AE1133" s="16"/>
      <c r="AF1133" s="16"/>
      <c r="AG1133" s="14"/>
      <c r="AH1133" s="14"/>
      <c r="AI1133" s="24"/>
      <c r="AJ1133" s="24"/>
      <c r="AK1133" s="24"/>
      <c r="AL1133" s="16"/>
      <c r="AM1133" s="16"/>
      <c r="AN1133" s="16"/>
      <c r="AO1133" s="16"/>
      <c r="AP1133" s="16"/>
      <c r="AQ1133" s="16"/>
      <c r="AR1133" s="16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7"/>
    </row>
    <row r="1134" spans="7:54" x14ac:dyDescent="0.15">
      <c r="G1134" s="7"/>
      <c r="H1134" s="16"/>
      <c r="I1134" s="16"/>
      <c r="J1134" s="16"/>
      <c r="K1134" s="16"/>
      <c r="L1134" s="16"/>
      <c r="M1134" s="16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24"/>
      <c r="AC1134" s="16"/>
      <c r="AD1134" s="16"/>
      <c r="AE1134" s="16"/>
      <c r="AF1134" s="16"/>
      <c r="AG1134" s="14"/>
      <c r="AH1134" s="14"/>
      <c r="AI1134" s="24"/>
      <c r="AJ1134" s="24"/>
      <c r="AK1134" s="24"/>
      <c r="AL1134" s="16"/>
      <c r="AM1134" s="16"/>
      <c r="AN1134" s="16"/>
      <c r="AO1134" s="16"/>
      <c r="AP1134" s="16"/>
      <c r="AQ1134" s="16"/>
      <c r="AR1134" s="16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7"/>
    </row>
    <row r="1135" spans="7:54" x14ac:dyDescent="0.15">
      <c r="G1135" s="7"/>
      <c r="H1135" s="16"/>
      <c r="I1135" s="16"/>
      <c r="J1135" s="16"/>
      <c r="K1135" s="16"/>
      <c r="L1135" s="16"/>
      <c r="M1135" s="16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24"/>
      <c r="AC1135" s="16"/>
      <c r="AD1135" s="16"/>
      <c r="AE1135" s="16"/>
      <c r="AF1135" s="16"/>
      <c r="AG1135" s="14"/>
      <c r="AH1135" s="14"/>
      <c r="AI1135" s="24"/>
      <c r="AJ1135" s="24"/>
      <c r="AK1135" s="24"/>
      <c r="AL1135" s="16"/>
      <c r="AM1135" s="16"/>
      <c r="AN1135" s="16"/>
      <c r="AO1135" s="16"/>
      <c r="AP1135" s="16"/>
      <c r="AQ1135" s="16"/>
      <c r="AR1135" s="16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7"/>
    </row>
    <row r="1136" spans="7:54" x14ac:dyDescent="0.15">
      <c r="G1136" s="7"/>
      <c r="H1136" s="16"/>
      <c r="I1136" s="16"/>
      <c r="J1136" s="16"/>
      <c r="K1136" s="16"/>
      <c r="L1136" s="16"/>
      <c r="M1136" s="16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24"/>
      <c r="AC1136" s="16"/>
      <c r="AD1136" s="16"/>
      <c r="AE1136" s="16"/>
      <c r="AF1136" s="16"/>
      <c r="AG1136" s="14"/>
      <c r="AH1136" s="14"/>
      <c r="AI1136" s="24"/>
      <c r="AJ1136" s="24"/>
      <c r="AK1136" s="24"/>
      <c r="AL1136" s="16"/>
      <c r="AM1136" s="16"/>
      <c r="AN1136" s="16"/>
      <c r="AO1136" s="16"/>
      <c r="AP1136" s="16"/>
      <c r="AQ1136" s="16"/>
      <c r="AR1136" s="16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7"/>
    </row>
    <row r="1137" spans="7:54" x14ac:dyDescent="0.15">
      <c r="G1137" s="7"/>
      <c r="H1137" s="16"/>
      <c r="I1137" s="16"/>
      <c r="J1137" s="16"/>
      <c r="K1137" s="16"/>
      <c r="L1137" s="16"/>
      <c r="M1137" s="16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24"/>
      <c r="AC1137" s="16"/>
      <c r="AD1137" s="16"/>
      <c r="AE1137" s="16"/>
      <c r="AF1137" s="16"/>
      <c r="AG1137" s="14"/>
      <c r="AH1137" s="14"/>
      <c r="AI1137" s="24"/>
      <c r="AJ1137" s="24"/>
      <c r="AK1137" s="24"/>
      <c r="AL1137" s="16"/>
      <c r="AM1137" s="16"/>
      <c r="AN1137" s="16"/>
      <c r="AO1137" s="16"/>
      <c r="AP1137" s="16"/>
      <c r="AQ1137" s="16"/>
      <c r="AR1137" s="16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7"/>
    </row>
    <row r="1138" spans="7:54" x14ac:dyDescent="0.15">
      <c r="G1138" s="7"/>
      <c r="H1138" s="16"/>
      <c r="I1138" s="16"/>
      <c r="J1138" s="16"/>
      <c r="K1138" s="16"/>
      <c r="L1138" s="16"/>
      <c r="M1138" s="16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24"/>
      <c r="AC1138" s="16"/>
      <c r="AD1138" s="16"/>
      <c r="AE1138" s="16"/>
      <c r="AF1138" s="16"/>
      <c r="AG1138" s="14"/>
      <c r="AH1138" s="14"/>
      <c r="AI1138" s="24"/>
      <c r="AJ1138" s="24"/>
      <c r="AK1138" s="24"/>
      <c r="AL1138" s="16"/>
      <c r="AM1138" s="16"/>
      <c r="AN1138" s="16"/>
      <c r="AO1138" s="16"/>
      <c r="AP1138" s="16"/>
      <c r="AQ1138" s="16"/>
      <c r="AR1138" s="16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7"/>
    </row>
    <row r="1139" spans="7:54" x14ac:dyDescent="0.15">
      <c r="G1139" s="7"/>
      <c r="H1139" s="16"/>
      <c r="I1139" s="16"/>
      <c r="J1139" s="16"/>
      <c r="K1139" s="16"/>
      <c r="L1139" s="16"/>
      <c r="M1139" s="16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24"/>
      <c r="AC1139" s="16"/>
      <c r="AD1139" s="16"/>
      <c r="AE1139" s="16"/>
      <c r="AF1139" s="16"/>
      <c r="AG1139" s="14"/>
      <c r="AH1139" s="14"/>
      <c r="AI1139" s="24"/>
      <c r="AJ1139" s="24"/>
      <c r="AK1139" s="24"/>
      <c r="AL1139" s="16"/>
      <c r="AM1139" s="16"/>
      <c r="AN1139" s="16"/>
      <c r="AO1139" s="16"/>
      <c r="AP1139" s="16"/>
      <c r="AQ1139" s="16"/>
      <c r="AR1139" s="16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7"/>
    </row>
    <row r="1140" spans="7:54" x14ac:dyDescent="0.15">
      <c r="G1140" s="7"/>
      <c r="H1140" s="16"/>
      <c r="I1140" s="16"/>
      <c r="J1140" s="16"/>
      <c r="K1140" s="16"/>
      <c r="L1140" s="16"/>
      <c r="M1140" s="16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24"/>
      <c r="AC1140" s="16"/>
      <c r="AD1140" s="16"/>
      <c r="AE1140" s="16"/>
      <c r="AF1140" s="16"/>
      <c r="AG1140" s="14"/>
      <c r="AH1140" s="14"/>
      <c r="AI1140" s="24"/>
      <c r="AJ1140" s="24"/>
      <c r="AK1140" s="24"/>
      <c r="AL1140" s="16"/>
      <c r="AM1140" s="16"/>
      <c r="AN1140" s="16"/>
      <c r="AO1140" s="16"/>
      <c r="AP1140" s="16"/>
      <c r="AQ1140" s="16"/>
      <c r="AR1140" s="16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7"/>
    </row>
    <row r="1141" spans="7:54" x14ac:dyDescent="0.15">
      <c r="G1141" s="7"/>
      <c r="H1141" s="16"/>
      <c r="I1141" s="16"/>
      <c r="J1141" s="16"/>
      <c r="K1141" s="16"/>
      <c r="L1141" s="16"/>
      <c r="M1141" s="16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24"/>
      <c r="AC1141" s="16"/>
      <c r="AD1141" s="16"/>
      <c r="AE1141" s="16"/>
      <c r="AF1141" s="16"/>
      <c r="AG1141" s="14"/>
      <c r="AH1141" s="14"/>
      <c r="AI1141" s="24"/>
      <c r="AJ1141" s="24"/>
      <c r="AK1141" s="24"/>
      <c r="AL1141" s="16"/>
      <c r="AM1141" s="16"/>
      <c r="AN1141" s="16"/>
      <c r="AO1141" s="16"/>
      <c r="AP1141" s="16"/>
      <c r="AQ1141" s="16"/>
      <c r="AR1141" s="16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7"/>
    </row>
    <row r="1142" spans="7:54" x14ac:dyDescent="0.15">
      <c r="G1142" s="7"/>
      <c r="H1142" s="16"/>
      <c r="I1142" s="16"/>
      <c r="J1142" s="16"/>
      <c r="K1142" s="16"/>
      <c r="L1142" s="16"/>
      <c r="M1142" s="16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24"/>
      <c r="AC1142" s="16"/>
      <c r="AD1142" s="16"/>
      <c r="AE1142" s="16"/>
      <c r="AF1142" s="16"/>
      <c r="AG1142" s="14"/>
      <c r="AH1142" s="14"/>
      <c r="AI1142" s="24"/>
      <c r="AJ1142" s="24"/>
      <c r="AK1142" s="24"/>
      <c r="AL1142" s="16"/>
      <c r="AM1142" s="16"/>
      <c r="AN1142" s="16"/>
      <c r="AO1142" s="16"/>
      <c r="AP1142" s="16"/>
      <c r="AQ1142" s="16"/>
      <c r="AR1142" s="16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7"/>
    </row>
    <row r="1143" spans="7:54" x14ac:dyDescent="0.15">
      <c r="G1143" s="7"/>
      <c r="H1143" s="16"/>
      <c r="I1143" s="16"/>
      <c r="J1143" s="16"/>
      <c r="K1143" s="16"/>
      <c r="L1143" s="16"/>
      <c r="M1143" s="16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24"/>
      <c r="AC1143" s="16"/>
      <c r="AD1143" s="16"/>
      <c r="AE1143" s="16"/>
      <c r="AF1143" s="16"/>
      <c r="AG1143" s="14"/>
      <c r="AH1143" s="14"/>
      <c r="AI1143" s="24"/>
      <c r="AJ1143" s="24"/>
      <c r="AK1143" s="24"/>
      <c r="AL1143" s="16"/>
      <c r="AM1143" s="16"/>
      <c r="AN1143" s="16"/>
      <c r="AO1143" s="16"/>
      <c r="AP1143" s="16"/>
      <c r="AQ1143" s="16"/>
      <c r="AR1143" s="16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7"/>
    </row>
    <row r="1144" spans="7:54" x14ac:dyDescent="0.15">
      <c r="G1144" s="7"/>
      <c r="H1144" s="16"/>
      <c r="I1144" s="16"/>
      <c r="J1144" s="16"/>
      <c r="K1144" s="16"/>
      <c r="L1144" s="16"/>
      <c r="M1144" s="16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24"/>
      <c r="AC1144" s="16"/>
      <c r="AD1144" s="16"/>
      <c r="AE1144" s="16"/>
      <c r="AF1144" s="16"/>
      <c r="AG1144" s="14"/>
      <c r="AH1144" s="14"/>
      <c r="AI1144" s="24"/>
      <c r="AJ1144" s="24"/>
      <c r="AK1144" s="24"/>
      <c r="AL1144" s="16"/>
      <c r="AM1144" s="16"/>
      <c r="AN1144" s="16"/>
      <c r="AO1144" s="16"/>
      <c r="AP1144" s="16"/>
      <c r="AQ1144" s="16"/>
      <c r="AR1144" s="16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7"/>
    </row>
    <row r="1145" spans="7:54" x14ac:dyDescent="0.15">
      <c r="G1145" s="7"/>
      <c r="H1145" s="16"/>
      <c r="I1145" s="16"/>
      <c r="J1145" s="16"/>
      <c r="K1145" s="16"/>
      <c r="L1145" s="16"/>
      <c r="M1145" s="16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24"/>
      <c r="AC1145" s="16"/>
      <c r="AD1145" s="16"/>
      <c r="AE1145" s="16"/>
      <c r="AF1145" s="16"/>
      <c r="AG1145" s="14"/>
      <c r="AH1145" s="14"/>
      <c r="AI1145" s="24"/>
      <c r="AJ1145" s="24"/>
      <c r="AK1145" s="24"/>
      <c r="AL1145" s="16"/>
      <c r="AM1145" s="16"/>
      <c r="AN1145" s="16"/>
      <c r="AO1145" s="16"/>
      <c r="AP1145" s="16"/>
      <c r="AQ1145" s="16"/>
      <c r="AR1145" s="16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7"/>
    </row>
    <row r="1146" spans="7:54" x14ac:dyDescent="0.15">
      <c r="G1146" s="7"/>
      <c r="H1146" s="16"/>
      <c r="I1146" s="16"/>
      <c r="J1146" s="16"/>
      <c r="K1146" s="16"/>
      <c r="L1146" s="16"/>
      <c r="M1146" s="16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24"/>
      <c r="AC1146" s="16"/>
      <c r="AD1146" s="16"/>
      <c r="AE1146" s="16"/>
      <c r="AF1146" s="16"/>
      <c r="AG1146" s="14"/>
      <c r="AH1146" s="14"/>
      <c r="AI1146" s="24"/>
      <c r="AJ1146" s="24"/>
      <c r="AK1146" s="24"/>
      <c r="AL1146" s="16"/>
      <c r="AM1146" s="16"/>
      <c r="AN1146" s="16"/>
      <c r="AO1146" s="16"/>
      <c r="AP1146" s="16"/>
      <c r="AQ1146" s="16"/>
      <c r="AR1146" s="16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7"/>
    </row>
    <row r="1147" spans="7:54" x14ac:dyDescent="0.15">
      <c r="G1147" s="7"/>
      <c r="H1147" s="16"/>
      <c r="I1147" s="16"/>
      <c r="J1147" s="16"/>
      <c r="K1147" s="16"/>
      <c r="L1147" s="16"/>
      <c r="M1147" s="16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24"/>
      <c r="AC1147" s="16"/>
      <c r="AD1147" s="16"/>
      <c r="AE1147" s="16"/>
      <c r="AF1147" s="16"/>
      <c r="AG1147" s="14"/>
      <c r="AH1147" s="14"/>
      <c r="AI1147" s="24"/>
      <c r="AJ1147" s="24"/>
      <c r="AK1147" s="24"/>
      <c r="AL1147" s="16"/>
      <c r="AM1147" s="16"/>
      <c r="AN1147" s="16"/>
      <c r="AO1147" s="16"/>
      <c r="AP1147" s="16"/>
      <c r="AQ1147" s="16"/>
      <c r="AR1147" s="16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7"/>
    </row>
    <row r="1148" spans="7:54" x14ac:dyDescent="0.15">
      <c r="G1148" s="7"/>
      <c r="H1148" s="16"/>
      <c r="I1148" s="16"/>
      <c r="J1148" s="16"/>
      <c r="K1148" s="16"/>
      <c r="L1148" s="16"/>
      <c r="M1148" s="16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24"/>
      <c r="AC1148" s="16"/>
      <c r="AD1148" s="16"/>
      <c r="AE1148" s="16"/>
      <c r="AF1148" s="16"/>
      <c r="AG1148" s="14"/>
      <c r="AH1148" s="14"/>
      <c r="AI1148" s="24"/>
      <c r="AJ1148" s="24"/>
      <c r="AK1148" s="24"/>
      <c r="AL1148" s="16"/>
      <c r="AM1148" s="16"/>
      <c r="AN1148" s="16"/>
      <c r="AO1148" s="16"/>
      <c r="AP1148" s="16"/>
      <c r="AQ1148" s="16"/>
      <c r="AR1148" s="16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7"/>
    </row>
    <row r="1149" spans="7:54" x14ac:dyDescent="0.15">
      <c r="G1149" s="7"/>
      <c r="H1149" s="16"/>
      <c r="I1149" s="16"/>
      <c r="J1149" s="16"/>
      <c r="K1149" s="16"/>
      <c r="L1149" s="16"/>
      <c r="M1149" s="16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24"/>
      <c r="AC1149" s="16"/>
      <c r="AD1149" s="16"/>
      <c r="AE1149" s="16"/>
      <c r="AF1149" s="16"/>
      <c r="AG1149" s="14"/>
      <c r="AH1149" s="14"/>
      <c r="AI1149" s="24"/>
      <c r="AJ1149" s="24"/>
      <c r="AK1149" s="24"/>
      <c r="AL1149" s="16"/>
      <c r="AM1149" s="16"/>
      <c r="AN1149" s="16"/>
      <c r="AO1149" s="16"/>
      <c r="AP1149" s="16"/>
      <c r="AQ1149" s="16"/>
      <c r="AR1149" s="16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7"/>
    </row>
    <row r="1150" spans="7:54" x14ac:dyDescent="0.15">
      <c r="G1150" s="7"/>
      <c r="H1150" s="16"/>
      <c r="I1150" s="16"/>
      <c r="J1150" s="16"/>
      <c r="K1150" s="16"/>
      <c r="L1150" s="16"/>
      <c r="M1150" s="16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24"/>
      <c r="AC1150" s="16"/>
      <c r="AD1150" s="16"/>
      <c r="AE1150" s="16"/>
      <c r="AF1150" s="16"/>
      <c r="AG1150" s="14"/>
      <c r="AH1150" s="14"/>
      <c r="AI1150" s="24"/>
      <c r="AJ1150" s="24"/>
      <c r="AK1150" s="24"/>
      <c r="AL1150" s="16"/>
      <c r="AM1150" s="16"/>
      <c r="AN1150" s="16"/>
      <c r="AO1150" s="16"/>
      <c r="AP1150" s="16"/>
      <c r="AQ1150" s="16"/>
      <c r="AR1150" s="16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7"/>
    </row>
    <row r="1151" spans="7:54" x14ac:dyDescent="0.15">
      <c r="G1151" s="7"/>
      <c r="H1151" s="16"/>
      <c r="I1151" s="16"/>
      <c r="J1151" s="16"/>
      <c r="K1151" s="16"/>
      <c r="L1151" s="16"/>
      <c r="M1151" s="16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24"/>
      <c r="AC1151" s="16"/>
      <c r="AD1151" s="16"/>
      <c r="AE1151" s="16"/>
      <c r="AF1151" s="16"/>
      <c r="AG1151" s="14"/>
      <c r="AH1151" s="14"/>
      <c r="AI1151" s="24"/>
      <c r="AJ1151" s="24"/>
      <c r="AK1151" s="24"/>
      <c r="AL1151" s="16"/>
      <c r="AM1151" s="16"/>
      <c r="AN1151" s="16"/>
      <c r="AO1151" s="16"/>
      <c r="AP1151" s="16"/>
      <c r="AQ1151" s="16"/>
      <c r="AR1151" s="16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7"/>
    </row>
    <row r="1152" spans="7:54" x14ac:dyDescent="0.15">
      <c r="G1152" s="7"/>
      <c r="H1152" s="16"/>
      <c r="I1152" s="16"/>
      <c r="J1152" s="16"/>
      <c r="K1152" s="16"/>
      <c r="L1152" s="16"/>
      <c r="M1152" s="16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24"/>
      <c r="AC1152" s="16"/>
      <c r="AD1152" s="16"/>
      <c r="AE1152" s="16"/>
      <c r="AF1152" s="16"/>
      <c r="AG1152" s="14"/>
      <c r="AH1152" s="14"/>
      <c r="AI1152" s="24"/>
      <c r="AJ1152" s="24"/>
      <c r="AK1152" s="24"/>
      <c r="AL1152" s="16"/>
      <c r="AM1152" s="16"/>
      <c r="AN1152" s="16"/>
      <c r="AO1152" s="16"/>
      <c r="AP1152" s="16"/>
      <c r="AQ1152" s="16"/>
      <c r="AR1152" s="16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7"/>
    </row>
    <row r="1153" spans="7:54" x14ac:dyDescent="0.15">
      <c r="G1153" s="7"/>
      <c r="H1153" s="16"/>
      <c r="I1153" s="16"/>
      <c r="J1153" s="16"/>
      <c r="K1153" s="16"/>
      <c r="L1153" s="16"/>
      <c r="M1153" s="16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24"/>
      <c r="AC1153" s="16"/>
      <c r="AD1153" s="16"/>
      <c r="AE1153" s="16"/>
      <c r="AF1153" s="16"/>
      <c r="AG1153" s="14"/>
      <c r="AH1153" s="14"/>
      <c r="AI1153" s="24"/>
      <c r="AJ1153" s="24"/>
      <c r="AK1153" s="24"/>
      <c r="AL1153" s="16"/>
      <c r="AM1153" s="16"/>
      <c r="AN1153" s="16"/>
      <c r="AO1153" s="16"/>
      <c r="AP1153" s="16"/>
      <c r="AQ1153" s="16"/>
      <c r="AR1153" s="16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7"/>
    </row>
    <row r="1154" spans="7:54" x14ac:dyDescent="0.15">
      <c r="G1154" s="7"/>
      <c r="H1154" s="16"/>
      <c r="I1154" s="16"/>
      <c r="J1154" s="16"/>
      <c r="K1154" s="16"/>
      <c r="L1154" s="16"/>
      <c r="M1154" s="16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24"/>
      <c r="AC1154" s="16"/>
      <c r="AD1154" s="16"/>
      <c r="AE1154" s="16"/>
      <c r="AF1154" s="16"/>
      <c r="AG1154" s="14"/>
      <c r="AH1154" s="14"/>
      <c r="AI1154" s="24"/>
      <c r="AJ1154" s="24"/>
      <c r="AK1154" s="24"/>
      <c r="AL1154" s="16"/>
      <c r="AM1154" s="16"/>
      <c r="AN1154" s="16"/>
      <c r="AO1154" s="16"/>
      <c r="AP1154" s="16"/>
      <c r="AQ1154" s="16"/>
      <c r="AR1154" s="16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7"/>
    </row>
    <row r="1155" spans="7:54" x14ac:dyDescent="0.15">
      <c r="G1155" s="7"/>
      <c r="H1155" s="16"/>
      <c r="I1155" s="16"/>
      <c r="J1155" s="16"/>
      <c r="K1155" s="16"/>
      <c r="L1155" s="16"/>
      <c r="M1155" s="16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24"/>
      <c r="AC1155" s="16"/>
      <c r="AD1155" s="16"/>
      <c r="AE1155" s="16"/>
      <c r="AF1155" s="16"/>
      <c r="AG1155" s="14"/>
      <c r="AH1155" s="14"/>
      <c r="AI1155" s="24"/>
      <c r="AJ1155" s="24"/>
      <c r="AK1155" s="24"/>
      <c r="AL1155" s="16"/>
      <c r="AM1155" s="16"/>
      <c r="AN1155" s="16"/>
      <c r="AO1155" s="16"/>
      <c r="AP1155" s="16"/>
      <c r="AQ1155" s="16"/>
      <c r="AR1155" s="16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7"/>
    </row>
    <row r="1156" spans="7:54" x14ac:dyDescent="0.15">
      <c r="G1156" s="7"/>
      <c r="H1156" s="16"/>
      <c r="I1156" s="16"/>
      <c r="J1156" s="16"/>
      <c r="K1156" s="16"/>
      <c r="L1156" s="16"/>
      <c r="M1156" s="16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24"/>
      <c r="AC1156" s="16"/>
      <c r="AD1156" s="16"/>
      <c r="AE1156" s="16"/>
      <c r="AF1156" s="16"/>
      <c r="AG1156" s="14"/>
      <c r="AH1156" s="14"/>
      <c r="AI1156" s="24"/>
      <c r="AJ1156" s="24"/>
      <c r="AK1156" s="24"/>
      <c r="AL1156" s="16"/>
      <c r="AM1156" s="16"/>
      <c r="AN1156" s="16"/>
      <c r="AO1156" s="16"/>
      <c r="AP1156" s="16"/>
      <c r="AQ1156" s="16"/>
      <c r="AR1156" s="16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7"/>
    </row>
    <row r="1157" spans="7:54" x14ac:dyDescent="0.15">
      <c r="G1157" s="7"/>
      <c r="H1157" s="16"/>
      <c r="I1157" s="16"/>
      <c r="J1157" s="16"/>
      <c r="K1157" s="16"/>
      <c r="L1157" s="16"/>
      <c r="M1157" s="16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24"/>
      <c r="AC1157" s="16"/>
      <c r="AD1157" s="16"/>
      <c r="AE1157" s="16"/>
      <c r="AF1157" s="16"/>
      <c r="AG1157" s="14"/>
      <c r="AH1157" s="14"/>
      <c r="AI1157" s="24"/>
      <c r="AJ1157" s="24"/>
      <c r="AK1157" s="24"/>
      <c r="AL1157" s="16"/>
      <c r="AM1157" s="16"/>
      <c r="AN1157" s="16"/>
      <c r="AO1157" s="16"/>
      <c r="AP1157" s="16"/>
      <c r="AQ1157" s="16"/>
      <c r="AR1157" s="16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7"/>
    </row>
    <row r="1158" spans="7:54" x14ac:dyDescent="0.15">
      <c r="G1158" s="7"/>
      <c r="H1158" s="16"/>
      <c r="I1158" s="16"/>
      <c r="J1158" s="16"/>
      <c r="K1158" s="16"/>
      <c r="L1158" s="16"/>
      <c r="M1158" s="16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24"/>
      <c r="AC1158" s="16"/>
      <c r="AD1158" s="16"/>
      <c r="AE1158" s="16"/>
      <c r="AF1158" s="16"/>
      <c r="AG1158" s="14"/>
      <c r="AH1158" s="14"/>
      <c r="AI1158" s="24"/>
      <c r="AJ1158" s="24"/>
      <c r="AK1158" s="24"/>
      <c r="AL1158" s="16"/>
      <c r="AM1158" s="16"/>
      <c r="AN1158" s="16"/>
      <c r="AO1158" s="16"/>
      <c r="AP1158" s="16"/>
      <c r="AQ1158" s="16"/>
      <c r="AR1158" s="16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7"/>
    </row>
    <row r="1159" spans="7:54" x14ac:dyDescent="0.15">
      <c r="G1159" s="7"/>
      <c r="H1159" s="16"/>
      <c r="I1159" s="16"/>
      <c r="J1159" s="16"/>
      <c r="K1159" s="16"/>
      <c r="L1159" s="16"/>
      <c r="M1159" s="16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24"/>
      <c r="AC1159" s="16"/>
      <c r="AD1159" s="16"/>
      <c r="AE1159" s="16"/>
      <c r="AF1159" s="16"/>
      <c r="AG1159" s="14"/>
      <c r="AH1159" s="14"/>
      <c r="AI1159" s="24"/>
      <c r="AJ1159" s="24"/>
      <c r="AK1159" s="24"/>
      <c r="AL1159" s="16"/>
      <c r="AM1159" s="16"/>
      <c r="AN1159" s="16"/>
      <c r="AO1159" s="16"/>
      <c r="AP1159" s="16"/>
      <c r="AQ1159" s="16"/>
      <c r="AR1159" s="16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7"/>
    </row>
    <row r="1160" spans="7:54" x14ac:dyDescent="0.15">
      <c r="G1160" s="7"/>
      <c r="H1160" s="16"/>
      <c r="I1160" s="16"/>
      <c r="J1160" s="16"/>
      <c r="K1160" s="16"/>
      <c r="L1160" s="16"/>
      <c r="M1160" s="16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24"/>
      <c r="AC1160" s="16"/>
      <c r="AD1160" s="16"/>
      <c r="AE1160" s="16"/>
      <c r="AF1160" s="16"/>
      <c r="AG1160" s="14"/>
      <c r="AH1160" s="14"/>
      <c r="AI1160" s="24"/>
      <c r="AJ1160" s="24"/>
      <c r="AK1160" s="24"/>
      <c r="AL1160" s="16"/>
      <c r="AM1160" s="16"/>
      <c r="AN1160" s="16"/>
      <c r="AO1160" s="16"/>
      <c r="AP1160" s="16"/>
      <c r="AQ1160" s="16"/>
      <c r="AR1160" s="16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7"/>
    </row>
    <row r="1161" spans="7:54" x14ac:dyDescent="0.15">
      <c r="G1161" s="7"/>
      <c r="H1161" s="16"/>
      <c r="I1161" s="16"/>
      <c r="J1161" s="16"/>
      <c r="K1161" s="16"/>
      <c r="L1161" s="16"/>
      <c r="M1161" s="16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24"/>
      <c r="AC1161" s="16"/>
      <c r="AD1161" s="16"/>
      <c r="AE1161" s="16"/>
      <c r="AF1161" s="16"/>
      <c r="AG1161" s="14"/>
      <c r="AH1161" s="14"/>
      <c r="AI1161" s="24"/>
      <c r="AJ1161" s="24"/>
      <c r="AK1161" s="24"/>
      <c r="AL1161" s="16"/>
      <c r="AM1161" s="16"/>
      <c r="AN1161" s="16"/>
      <c r="AO1161" s="16"/>
      <c r="AP1161" s="16"/>
      <c r="AQ1161" s="16"/>
      <c r="AR1161" s="16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7"/>
    </row>
    <row r="1162" spans="7:54" x14ac:dyDescent="0.15">
      <c r="G1162" s="7"/>
      <c r="H1162" s="16"/>
      <c r="I1162" s="16"/>
      <c r="J1162" s="16"/>
      <c r="K1162" s="16"/>
      <c r="L1162" s="16"/>
      <c r="M1162" s="16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24"/>
      <c r="AC1162" s="16"/>
      <c r="AD1162" s="16"/>
      <c r="AE1162" s="16"/>
      <c r="AF1162" s="16"/>
      <c r="AG1162" s="14"/>
      <c r="AH1162" s="14"/>
      <c r="AI1162" s="24"/>
      <c r="AJ1162" s="24"/>
      <c r="AK1162" s="24"/>
      <c r="AL1162" s="16"/>
      <c r="AM1162" s="16"/>
      <c r="AN1162" s="16"/>
      <c r="AO1162" s="16"/>
      <c r="AP1162" s="16"/>
      <c r="AQ1162" s="16"/>
      <c r="AR1162" s="16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7"/>
    </row>
    <row r="1163" spans="7:54" x14ac:dyDescent="0.15">
      <c r="G1163" s="7"/>
      <c r="H1163" s="16"/>
      <c r="I1163" s="16"/>
      <c r="J1163" s="16"/>
      <c r="K1163" s="16"/>
      <c r="L1163" s="16"/>
      <c r="M1163" s="16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24"/>
      <c r="AC1163" s="16"/>
      <c r="AD1163" s="16"/>
      <c r="AE1163" s="16"/>
      <c r="AF1163" s="16"/>
      <c r="AG1163" s="14"/>
      <c r="AH1163" s="14"/>
      <c r="AI1163" s="24"/>
      <c r="AJ1163" s="24"/>
      <c r="AK1163" s="24"/>
      <c r="AL1163" s="16"/>
      <c r="AM1163" s="16"/>
      <c r="AN1163" s="16"/>
      <c r="AO1163" s="16"/>
      <c r="AP1163" s="16"/>
      <c r="AQ1163" s="16"/>
      <c r="AR1163" s="16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7"/>
    </row>
    <row r="1164" spans="7:54" x14ac:dyDescent="0.15">
      <c r="G1164" s="7"/>
      <c r="H1164" s="16"/>
      <c r="I1164" s="16"/>
      <c r="J1164" s="16"/>
      <c r="K1164" s="16"/>
      <c r="L1164" s="16"/>
      <c r="M1164" s="16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24"/>
      <c r="AC1164" s="16"/>
      <c r="AD1164" s="16"/>
      <c r="AE1164" s="16"/>
      <c r="AF1164" s="16"/>
      <c r="AG1164" s="14"/>
      <c r="AH1164" s="14"/>
      <c r="AI1164" s="24"/>
      <c r="AJ1164" s="24"/>
      <c r="AK1164" s="24"/>
      <c r="AL1164" s="16"/>
      <c r="AM1164" s="16"/>
      <c r="AN1164" s="16"/>
      <c r="AO1164" s="16"/>
      <c r="AP1164" s="16"/>
      <c r="AQ1164" s="16"/>
      <c r="AR1164" s="16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7"/>
    </row>
    <row r="1165" spans="7:54" x14ac:dyDescent="0.15">
      <c r="G1165" s="7"/>
      <c r="H1165" s="16"/>
      <c r="I1165" s="16"/>
      <c r="J1165" s="16"/>
      <c r="K1165" s="16"/>
      <c r="L1165" s="16"/>
      <c r="M1165" s="16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24"/>
      <c r="AC1165" s="16"/>
      <c r="AD1165" s="16"/>
      <c r="AE1165" s="16"/>
      <c r="AF1165" s="16"/>
      <c r="AG1165" s="14"/>
      <c r="AH1165" s="14"/>
      <c r="AI1165" s="24"/>
      <c r="AJ1165" s="24"/>
      <c r="AK1165" s="24"/>
      <c r="AL1165" s="16"/>
      <c r="AM1165" s="16"/>
      <c r="AN1165" s="16"/>
      <c r="AO1165" s="16"/>
      <c r="AP1165" s="16"/>
      <c r="AQ1165" s="16"/>
      <c r="AR1165" s="16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7"/>
    </row>
    <row r="1166" spans="7:54" x14ac:dyDescent="0.15">
      <c r="G1166" s="7"/>
      <c r="H1166" s="16"/>
      <c r="I1166" s="16"/>
      <c r="J1166" s="16"/>
      <c r="K1166" s="16"/>
      <c r="L1166" s="16"/>
      <c r="M1166" s="16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24"/>
      <c r="AC1166" s="16"/>
      <c r="AD1166" s="16"/>
      <c r="AE1166" s="16"/>
      <c r="AF1166" s="16"/>
      <c r="AG1166" s="14"/>
      <c r="AH1166" s="14"/>
      <c r="AI1166" s="24"/>
      <c r="AJ1166" s="24"/>
      <c r="AK1166" s="24"/>
      <c r="AL1166" s="16"/>
      <c r="AM1166" s="16"/>
      <c r="AN1166" s="16"/>
      <c r="AO1166" s="16"/>
      <c r="AP1166" s="16"/>
      <c r="AQ1166" s="16"/>
      <c r="AR1166" s="16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7"/>
    </row>
    <row r="1167" spans="7:54" x14ac:dyDescent="0.15">
      <c r="G1167" s="7"/>
      <c r="H1167" s="16"/>
      <c r="I1167" s="16"/>
      <c r="J1167" s="16"/>
      <c r="K1167" s="16"/>
      <c r="L1167" s="16"/>
      <c r="M1167" s="16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24"/>
      <c r="AC1167" s="16"/>
      <c r="AD1167" s="16"/>
      <c r="AE1167" s="16"/>
      <c r="AF1167" s="16"/>
      <c r="AG1167" s="14"/>
      <c r="AH1167" s="14"/>
      <c r="AI1167" s="24"/>
      <c r="AJ1167" s="24"/>
      <c r="AK1167" s="24"/>
      <c r="AL1167" s="16"/>
      <c r="AM1167" s="16"/>
      <c r="AN1167" s="16"/>
      <c r="AO1167" s="16"/>
      <c r="AP1167" s="16"/>
      <c r="AQ1167" s="16"/>
      <c r="AR1167" s="16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7"/>
    </row>
    <row r="1168" spans="7:54" x14ac:dyDescent="0.15">
      <c r="G1168" s="7"/>
      <c r="H1168" s="16"/>
      <c r="I1168" s="16"/>
      <c r="J1168" s="16"/>
      <c r="K1168" s="16"/>
      <c r="L1168" s="16"/>
      <c r="M1168" s="16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24"/>
      <c r="AC1168" s="16"/>
      <c r="AD1168" s="16"/>
      <c r="AE1168" s="16"/>
      <c r="AF1168" s="16"/>
      <c r="AG1168" s="14"/>
      <c r="AH1168" s="14"/>
      <c r="AI1168" s="24"/>
      <c r="AJ1168" s="24"/>
      <c r="AK1168" s="24"/>
      <c r="AL1168" s="16"/>
      <c r="AM1168" s="16"/>
      <c r="AN1168" s="16"/>
      <c r="AO1168" s="16"/>
      <c r="AP1168" s="16"/>
      <c r="AQ1168" s="16"/>
      <c r="AR1168" s="16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7"/>
    </row>
    <row r="1169" spans="7:54" x14ac:dyDescent="0.15">
      <c r="G1169" s="7"/>
      <c r="H1169" s="16"/>
      <c r="I1169" s="16"/>
      <c r="J1169" s="16"/>
      <c r="K1169" s="16"/>
      <c r="L1169" s="16"/>
      <c r="M1169" s="16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24"/>
      <c r="AC1169" s="16"/>
      <c r="AD1169" s="16"/>
      <c r="AE1169" s="16"/>
      <c r="AF1169" s="16"/>
      <c r="AG1169" s="14"/>
      <c r="AH1169" s="14"/>
      <c r="AI1169" s="24"/>
      <c r="AJ1169" s="24"/>
      <c r="AK1169" s="24"/>
      <c r="AL1169" s="16"/>
      <c r="AM1169" s="16"/>
      <c r="AN1169" s="16"/>
      <c r="AO1169" s="16"/>
      <c r="AP1169" s="16"/>
      <c r="AQ1169" s="16"/>
      <c r="AR1169" s="16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7"/>
    </row>
    <row r="1170" spans="7:54" x14ac:dyDescent="0.15">
      <c r="G1170" s="7"/>
      <c r="H1170" s="16"/>
      <c r="I1170" s="16"/>
      <c r="J1170" s="16"/>
      <c r="K1170" s="16"/>
      <c r="L1170" s="16"/>
      <c r="M1170" s="16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24"/>
      <c r="AC1170" s="16"/>
      <c r="AD1170" s="16"/>
      <c r="AE1170" s="16"/>
      <c r="AF1170" s="16"/>
      <c r="AG1170" s="14"/>
      <c r="AH1170" s="14"/>
      <c r="AI1170" s="24"/>
      <c r="AJ1170" s="24"/>
      <c r="AK1170" s="24"/>
      <c r="AL1170" s="16"/>
      <c r="AM1170" s="16"/>
      <c r="AN1170" s="16"/>
      <c r="AO1170" s="16"/>
      <c r="AP1170" s="16"/>
      <c r="AQ1170" s="16"/>
      <c r="AR1170" s="16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7"/>
    </row>
    <row r="1171" spans="7:54" x14ac:dyDescent="0.15">
      <c r="G1171" s="7"/>
      <c r="H1171" s="16"/>
      <c r="I1171" s="16"/>
      <c r="J1171" s="16"/>
      <c r="K1171" s="16"/>
      <c r="L1171" s="16"/>
      <c r="M1171" s="16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24"/>
      <c r="AC1171" s="16"/>
      <c r="AD1171" s="16"/>
      <c r="AE1171" s="16"/>
      <c r="AF1171" s="16"/>
      <c r="AG1171" s="14"/>
      <c r="AH1171" s="14"/>
      <c r="AI1171" s="24"/>
      <c r="AJ1171" s="24"/>
      <c r="AK1171" s="24"/>
      <c r="AL1171" s="16"/>
      <c r="AM1171" s="16"/>
      <c r="AN1171" s="16"/>
      <c r="AO1171" s="16"/>
      <c r="AP1171" s="16"/>
      <c r="AQ1171" s="16"/>
      <c r="AR1171" s="16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7"/>
    </row>
    <row r="1172" spans="7:54" x14ac:dyDescent="0.15">
      <c r="G1172" s="7"/>
      <c r="H1172" s="16"/>
      <c r="I1172" s="16"/>
      <c r="J1172" s="16"/>
      <c r="K1172" s="16"/>
      <c r="L1172" s="16"/>
      <c r="M1172" s="16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24"/>
      <c r="AC1172" s="16"/>
      <c r="AD1172" s="16"/>
      <c r="AE1172" s="16"/>
      <c r="AF1172" s="16"/>
      <c r="AG1172" s="14"/>
      <c r="AH1172" s="14"/>
      <c r="AI1172" s="24"/>
      <c r="AJ1172" s="24"/>
      <c r="AK1172" s="24"/>
      <c r="AL1172" s="16"/>
      <c r="AM1172" s="16"/>
      <c r="AN1172" s="16"/>
      <c r="AO1172" s="16"/>
      <c r="AP1172" s="16"/>
      <c r="AQ1172" s="16"/>
      <c r="AR1172" s="16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7"/>
    </row>
    <row r="1173" spans="7:54" x14ac:dyDescent="0.15">
      <c r="G1173" s="7"/>
      <c r="H1173" s="16"/>
      <c r="I1173" s="16"/>
      <c r="J1173" s="16"/>
      <c r="K1173" s="16"/>
      <c r="L1173" s="16"/>
      <c r="M1173" s="16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24"/>
      <c r="AC1173" s="16"/>
      <c r="AD1173" s="16"/>
      <c r="AE1173" s="16"/>
      <c r="AF1173" s="16"/>
      <c r="AG1173" s="14"/>
      <c r="AH1173" s="14"/>
      <c r="AI1173" s="24"/>
      <c r="AJ1173" s="24"/>
      <c r="AK1173" s="24"/>
      <c r="AL1173" s="16"/>
      <c r="AM1173" s="16"/>
      <c r="AN1173" s="16"/>
      <c r="AO1173" s="16"/>
      <c r="AP1173" s="16"/>
      <c r="AQ1173" s="16"/>
      <c r="AR1173" s="16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7"/>
    </row>
    <row r="1174" spans="7:54" x14ac:dyDescent="0.15">
      <c r="G1174" s="7"/>
      <c r="H1174" s="16"/>
      <c r="I1174" s="16"/>
      <c r="J1174" s="16"/>
      <c r="K1174" s="16"/>
      <c r="L1174" s="16"/>
      <c r="M1174" s="16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24"/>
      <c r="AC1174" s="16"/>
      <c r="AD1174" s="16"/>
      <c r="AE1174" s="16"/>
      <c r="AF1174" s="16"/>
      <c r="AG1174" s="14"/>
      <c r="AH1174" s="14"/>
      <c r="AI1174" s="24"/>
      <c r="AJ1174" s="24"/>
      <c r="AK1174" s="24"/>
      <c r="AL1174" s="16"/>
      <c r="AM1174" s="16"/>
      <c r="AN1174" s="16"/>
      <c r="AO1174" s="16"/>
      <c r="AP1174" s="16"/>
      <c r="AQ1174" s="16"/>
      <c r="AR1174" s="16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7"/>
    </row>
    <row r="1175" spans="7:54" x14ac:dyDescent="0.15">
      <c r="G1175" s="7"/>
      <c r="H1175" s="16"/>
      <c r="I1175" s="16"/>
      <c r="J1175" s="16"/>
      <c r="K1175" s="16"/>
      <c r="L1175" s="16"/>
      <c r="M1175" s="16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24"/>
      <c r="AC1175" s="16"/>
      <c r="AD1175" s="16"/>
      <c r="AE1175" s="16"/>
      <c r="AF1175" s="16"/>
      <c r="AG1175" s="14"/>
      <c r="AH1175" s="14"/>
      <c r="AI1175" s="24"/>
      <c r="AJ1175" s="24"/>
      <c r="AK1175" s="24"/>
      <c r="AL1175" s="16"/>
      <c r="AM1175" s="16"/>
      <c r="AN1175" s="16"/>
      <c r="AO1175" s="16"/>
      <c r="AP1175" s="16"/>
      <c r="AQ1175" s="16"/>
      <c r="AR1175" s="16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7"/>
    </row>
    <row r="1176" spans="7:54" x14ac:dyDescent="0.15">
      <c r="G1176" s="7"/>
      <c r="H1176" s="16"/>
      <c r="I1176" s="16"/>
      <c r="J1176" s="16"/>
      <c r="K1176" s="16"/>
      <c r="L1176" s="16"/>
      <c r="M1176" s="16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24"/>
      <c r="AC1176" s="16"/>
      <c r="AD1176" s="16"/>
      <c r="AE1176" s="16"/>
      <c r="AF1176" s="16"/>
      <c r="AG1176" s="14"/>
      <c r="AH1176" s="14"/>
      <c r="AI1176" s="24"/>
      <c r="AJ1176" s="24"/>
      <c r="AK1176" s="24"/>
      <c r="AL1176" s="16"/>
      <c r="AM1176" s="16"/>
      <c r="AN1176" s="16"/>
      <c r="AO1176" s="16"/>
      <c r="AP1176" s="16"/>
      <c r="AQ1176" s="16"/>
      <c r="AR1176" s="16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7"/>
    </row>
    <row r="1177" spans="7:54" x14ac:dyDescent="0.15">
      <c r="G1177" s="7"/>
      <c r="H1177" s="16"/>
      <c r="I1177" s="16"/>
      <c r="J1177" s="16"/>
      <c r="K1177" s="16"/>
      <c r="L1177" s="16"/>
      <c r="M1177" s="16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24"/>
      <c r="AC1177" s="16"/>
      <c r="AD1177" s="16"/>
      <c r="AE1177" s="16"/>
      <c r="AF1177" s="16"/>
      <c r="AG1177" s="14"/>
      <c r="AH1177" s="14"/>
      <c r="AI1177" s="24"/>
      <c r="AJ1177" s="24"/>
      <c r="AK1177" s="24"/>
      <c r="AL1177" s="16"/>
      <c r="AM1177" s="16"/>
      <c r="AN1177" s="16"/>
      <c r="AO1177" s="16"/>
      <c r="AP1177" s="16"/>
      <c r="AQ1177" s="16"/>
      <c r="AR1177" s="16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7"/>
    </row>
    <row r="1178" spans="7:54" x14ac:dyDescent="0.15">
      <c r="G1178" s="7"/>
      <c r="H1178" s="16"/>
      <c r="I1178" s="16"/>
      <c r="J1178" s="16"/>
      <c r="K1178" s="16"/>
      <c r="L1178" s="16"/>
      <c r="M1178" s="16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24"/>
      <c r="AC1178" s="16"/>
      <c r="AD1178" s="16"/>
      <c r="AE1178" s="16"/>
      <c r="AF1178" s="16"/>
      <c r="AG1178" s="14"/>
      <c r="AH1178" s="14"/>
      <c r="AI1178" s="24"/>
      <c r="AJ1178" s="24"/>
      <c r="AK1178" s="24"/>
      <c r="AL1178" s="16"/>
      <c r="AM1178" s="16"/>
      <c r="AN1178" s="16"/>
      <c r="AO1178" s="16"/>
      <c r="AP1178" s="16"/>
      <c r="AQ1178" s="16"/>
      <c r="AR1178" s="16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7"/>
    </row>
    <row r="1179" spans="7:54" x14ac:dyDescent="0.15">
      <c r="G1179" s="7"/>
      <c r="H1179" s="16"/>
      <c r="I1179" s="16"/>
      <c r="J1179" s="16"/>
      <c r="K1179" s="16"/>
      <c r="L1179" s="16"/>
      <c r="M1179" s="16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24"/>
      <c r="AC1179" s="16"/>
      <c r="AD1179" s="16"/>
      <c r="AE1179" s="16"/>
      <c r="AF1179" s="16"/>
      <c r="AG1179" s="14"/>
      <c r="AH1179" s="14"/>
      <c r="AI1179" s="24"/>
      <c r="AJ1179" s="24"/>
      <c r="AK1179" s="24"/>
      <c r="AL1179" s="16"/>
      <c r="AM1179" s="16"/>
      <c r="AN1179" s="16"/>
      <c r="AO1179" s="16"/>
      <c r="AP1179" s="16"/>
      <c r="AQ1179" s="16"/>
      <c r="AR1179" s="16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7"/>
    </row>
    <row r="1180" spans="7:54" x14ac:dyDescent="0.15">
      <c r="G1180" s="7"/>
      <c r="H1180" s="16"/>
      <c r="I1180" s="16"/>
      <c r="J1180" s="16"/>
      <c r="K1180" s="16"/>
      <c r="L1180" s="16"/>
      <c r="M1180" s="16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24"/>
      <c r="AC1180" s="16"/>
      <c r="AD1180" s="16"/>
      <c r="AE1180" s="16"/>
      <c r="AF1180" s="16"/>
      <c r="AG1180" s="14"/>
      <c r="AH1180" s="14"/>
      <c r="AI1180" s="24"/>
      <c r="AJ1180" s="24"/>
      <c r="AK1180" s="24"/>
      <c r="AL1180" s="16"/>
      <c r="AM1180" s="16"/>
      <c r="AN1180" s="16"/>
      <c r="AO1180" s="16"/>
      <c r="AP1180" s="16"/>
      <c r="AQ1180" s="16"/>
      <c r="AR1180" s="16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7"/>
    </row>
    <row r="1181" spans="7:54" x14ac:dyDescent="0.15">
      <c r="G1181" s="7"/>
      <c r="H1181" s="16"/>
      <c r="I1181" s="16"/>
      <c r="J1181" s="16"/>
      <c r="K1181" s="16"/>
      <c r="L1181" s="16"/>
      <c r="M1181" s="16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24"/>
      <c r="AC1181" s="16"/>
      <c r="AD1181" s="16"/>
      <c r="AE1181" s="16"/>
      <c r="AF1181" s="16"/>
      <c r="AG1181" s="14"/>
      <c r="AH1181" s="14"/>
      <c r="AI1181" s="24"/>
      <c r="AJ1181" s="24"/>
      <c r="AK1181" s="24"/>
      <c r="AL1181" s="16"/>
      <c r="AM1181" s="16"/>
      <c r="AN1181" s="16"/>
      <c r="AO1181" s="16"/>
      <c r="AP1181" s="16"/>
      <c r="AQ1181" s="16"/>
      <c r="AR1181" s="16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7"/>
    </row>
    <row r="1182" spans="7:54" x14ac:dyDescent="0.15">
      <c r="G1182" s="7"/>
      <c r="H1182" s="16"/>
      <c r="I1182" s="16"/>
      <c r="J1182" s="16"/>
      <c r="K1182" s="16"/>
      <c r="L1182" s="16"/>
      <c r="M1182" s="16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24"/>
      <c r="AC1182" s="16"/>
      <c r="AD1182" s="16"/>
      <c r="AE1182" s="16"/>
      <c r="AF1182" s="16"/>
      <c r="AG1182" s="14"/>
      <c r="AH1182" s="14"/>
      <c r="AI1182" s="24"/>
      <c r="AJ1182" s="24"/>
      <c r="AK1182" s="24"/>
      <c r="AL1182" s="16"/>
      <c r="AM1182" s="16"/>
      <c r="AN1182" s="16"/>
      <c r="AO1182" s="16"/>
      <c r="AP1182" s="16"/>
      <c r="AQ1182" s="16"/>
      <c r="AR1182" s="16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7"/>
    </row>
    <row r="1183" spans="7:54" x14ac:dyDescent="0.15">
      <c r="G1183" s="7"/>
      <c r="H1183" s="16"/>
      <c r="I1183" s="16"/>
      <c r="J1183" s="16"/>
      <c r="K1183" s="16"/>
      <c r="L1183" s="16"/>
      <c r="M1183" s="16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24"/>
      <c r="AC1183" s="16"/>
      <c r="AD1183" s="16"/>
      <c r="AE1183" s="16"/>
      <c r="AF1183" s="16"/>
      <c r="AG1183" s="14"/>
      <c r="AH1183" s="14"/>
      <c r="AI1183" s="24"/>
      <c r="AJ1183" s="24"/>
      <c r="AK1183" s="24"/>
      <c r="AL1183" s="16"/>
      <c r="AM1183" s="16"/>
      <c r="AN1183" s="16"/>
      <c r="AO1183" s="16"/>
      <c r="AP1183" s="16"/>
      <c r="AQ1183" s="16"/>
      <c r="AR1183" s="16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7"/>
    </row>
    <row r="1184" spans="7:54" x14ac:dyDescent="0.15">
      <c r="G1184" s="7"/>
      <c r="H1184" s="16"/>
      <c r="I1184" s="16"/>
      <c r="J1184" s="16"/>
      <c r="K1184" s="16"/>
      <c r="L1184" s="16"/>
      <c r="M1184" s="16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24"/>
      <c r="AC1184" s="16"/>
      <c r="AD1184" s="16"/>
      <c r="AE1184" s="16"/>
      <c r="AF1184" s="16"/>
      <c r="AG1184" s="14"/>
      <c r="AH1184" s="14"/>
      <c r="AI1184" s="24"/>
      <c r="AJ1184" s="24"/>
      <c r="AK1184" s="24"/>
      <c r="AL1184" s="16"/>
      <c r="AM1184" s="16"/>
      <c r="AN1184" s="16"/>
      <c r="AO1184" s="16"/>
      <c r="AP1184" s="16"/>
      <c r="AQ1184" s="16"/>
      <c r="AR1184" s="16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7"/>
    </row>
    <row r="1185" spans="7:54" x14ac:dyDescent="0.15">
      <c r="G1185" s="7"/>
      <c r="H1185" s="16"/>
      <c r="I1185" s="16"/>
      <c r="J1185" s="16"/>
      <c r="K1185" s="16"/>
      <c r="L1185" s="16"/>
      <c r="M1185" s="16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24"/>
      <c r="AC1185" s="16"/>
      <c r="AD1185" s="16"/>
      <c r="AE1185" s="16"/>
      <c r="AF1185" s="16"/>
      <c r="AG1185" s="14"/>
      <c r="AH1185" s="14"/>
      <c r="AI1185" s="24"/>
      <c r="AJ1185" s="24"/>
      <c r="AK1185" s="24"/>
      <c r="AL1185" s="16"/>
      <c r="AM1185" s="16"/>
      <c r="AN1185" s="16"/>
      <c r="AO1185" s="16"/>
      <c r="AP1185" s="16"/>
      <c r="AQ1185" s="16"/>
      <c r="AR1185" s="16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7"/>
    </row>
    <row r="1186" spans="7:54" x14ac:dyDescent="0.15">
      <c r="G1186" s="7"/>
      <c r="H1186" s="16"/>
      <c r="I1186" s="16"/>
      <c r="J1186" s="16"/>
      <c r="K1186" s="16"/>
      <c r="L1186" s="16"/>
      <c r="M1186" s="16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24"/>
      <c r="AC1186" s="16"/>
      <c r="AD1186" s="16"/>
      <c r="AE1186" s="16"/>
      <c r="AF1186" s="16"/>
      <c r="AG1186" s="14"/>
      <c r="AH1186" s="14"/>
      <c r="AI1186" s="24"/>
      <c r="AJ1186" s="24"/>
      <c r="AK1186" s="24"/>
      <c r="AL1186" s="16"/>
      <c r="AM1186" s="16"/>
      <c r="AN1186" s="16"/>
      <c r="AO1186" s="16"/>
      <c r="AP1186" s="16"/>
      <c r="AQ1186" s="16"/>
      <c r="AR1186" s="16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7"/>
    </row>
    <row r="1187" spans="7:54" x14ac:dyDescent="0.15">
      <c r="G1187" s="7"/>
      <c r="H1187" s="16"/>
      <c r="I1187" s="16"/>
      <c r="J1187" s="16"/>
      <c r="K1187" s="16"/>
      <c r="L1187" s="16"/>
      <c r="M1187" s="16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24"/>
      <c r="AC1187" s="16"/>
      <c r="AD1187" s="16"/>
      <c r="AE1187" s="16"/>
      <c r="AF1187" s="16"/>
      <c r="AG1187" s="14"/>
      <c r="AH1187" s="14"/>
      <c r="AI1187" s="24"/>
      <c r="AJ1187" s="24"/>
      <c r="AK1187" s="24"/>
      <c r="AL1187" s="16"/>
      <c r="AM1187" s="16"/>
      <c r="AN1187" s="16"/>
      <c r="AO1187" s="16"/>
      <c r="AP1187" s="16"/>
      <c r="AQ1187" s="16"/>
      <c r="AR1187" s="16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7"/>
    </row>
    <row r="1188" spans="7:54" x14ac:dyDescent="0.15">
      <c r="G1188" s="7"/>
      <c r="H1188" s="16"/>
      <c r="I1188" s="16"/>
      <c r="J1188" s="16"/>
      <c r="K1188" s="16"/>
      <c r="L1188" s="16"/>
      <c r="M1188" s="16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24"/>
      <c r="AC1188" s="16"/>
      <c r="AD1188" s="16"/>
      <c r="AE1188" s="16"/>
      <c r="AF1188" s="16"/>
      <c r="AG1188" s="14"/>
      <c r="AH1188" s="14"/>
      <c r="AI1188" s="24"/>
      <c r="AJ1188" s="24"/>
      <c r="AK1188" s="24"/>
      <c r="AL1188" s="16"/>
      <c r="AM1188" s="16"/>
      <c r="AN1188" s="16"/>
      <c r="AO1188" s="16"/>
      <c r="AP1188" s="16"/>
      <c r="AQ1188" s="16"/>
      <c r="AR1188" s="16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7"/>
    </row>
    <row r="1189" spans="7:54" x14ac:dyDescent="0.15">
      <c r="G1189" s="7"/>
      <c r="H1189" s="16"/>
      <c r="I1189" s="16"/>
      <c r="J1189" s="16"/>
      <c r="K1189" s="16"/>
      <c r="L1189" s="16"/>
      <c r="M1189" s="16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24"/>
      <c r="AC1189" s="16"/>
      <c r="AD1189" s="16"/>
      <c r="AE1189" s="16"/>
      <c r="AF1189" s="16"/>
      <c r="AG1189" s="14"/>
      <c r="AH1189" s="14"/>
      <c r="AI1189" s="24"/>
      <c r="AJ1189" s="24"/>
      <c r="AK1189" s="24"/>
      <c r="AL1189" s="16"/>
      <c r="AM1189" s="16"/>
      <c r="AN1189" s="16"/>
      <c r="AO1189" s="16"/>
      <c r="AP1189" s="16"/>
      <c r="AQ1189" s="16"/>
      <c r="AR1189" s="16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7"/>
    </row>
    <row r="1190" spans="7:54" x14ac:dyDescent="0.15">
      <c r="G1190" s="7"/>
      <c r="H1190" s="16"/>
      <c r="I1190" s="16"/>
      <c r="J1190" s="16"/>
      <c r="K1190" s="16"/>
      <c r="L1190" s="16"/>
      <c r="M1190" s="16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24"/>
      <c r="AC1190" s="16"/>
      <c r="AD1190" s="16"/>
      <c r="AE1190" s="16"/>
      <c r="AF1190" s="16"/>
      <c r="AG1190" s="14"/>
      <c r="AH1190" s="14"/>
      <c r="AI1190" s="24"/>
      <c r="AJ1190" s="24"/>
      <c r="AK1190" s="24"/>
      <c r="AL1190" s="16"/>
      <c r="AM1190" s="16"/>
      <c r="AN1190" s="16"/>
      <c r="AO1190" s="16"/>
      <c r="AP1190" s="16"/>
      <c r="AQ1190" s="16"/>
      <c r="AR1190" s="16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7"/>
    </row>
    <row r="1191" spans="7:54" x14ac:dyDescent="0.15">
      <c r="G1191" s="7"/>
      <c r="H1191" s="16"/>
      <c r="I1191" s="16"/>
      <c r="J1191" s="16"/>
      <c r="K1191" s="16"/>
      <c r="L1191" s="16"/>
      <c r="M1191" s="16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24"/>
      <c r="AC1191" s="16"/>
      <c r="AD1191" s="16"/>
      <c r="AE1191" s="16"/>
      <c r="AF1191" s="16"/>
      <c r="AG1191" s="14"/>
      <c r="AH1191" s="14"/>
      <c r="AI1191" s="24"/>
      <c r="AJ1191" s="24"/>
      <c r="AK1191" s="24"/>
      <c r="AL1191" s="16"/>
      <c r="AM1191" s="16"/>
      <c r="AN1191" s="16"/>
      <c r="AO1191" s="16"/>
      <c r="AP1191" s="16"/>
      <c r="AQ1191" s="16"/>
      <c r="AR1191" s="16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7"/>
    </row>
    <row r="1192" spans="7:54" x14ac:dyDescent="0.15">
      <c r="G1192" s="7"/>
      <c r="H1192" s="16"/>
      <c r="I1192" s="16"/>
      <c r="J1192" s="16"/>
      <c r="K1192" s="16"/>
      <c r="L1192" s="16"/>
      <c r="M1192" s="16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24"/>
      <c r="AC1192" s="16"/>
      <c r="AD1192" s="16"/>
      <c r="AE1192" s="16"/>
      <c r="AF1192" s="16"/>
      <c r="AG1192" s="14"/>
      <c r="AH1192" s="14"/>
      <c r="AI1192" s="24"/>
      <c r="AJ1192" s="24"/>
      <c r="AK1192" s="24"/>
      <c r="AL1192" s="16"/>
      <c r="AM1192" s="16"/>
      <c r="AN1192" s="16"/>
      <c r="AO1192" s="16"/>
      <c r="AP1192" s="16"/>
      <c r="AQ1192" s="16"/>
      <c r="AR1192" s="16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7"/>
    </row>
    <row r="1193" spans="7:54" x14ac:dyDescent="0.15">
      <c r="G1193" s="7"/>
      <c r="H1193" s="16"/>
      <c r="I1193" s="16"/>
      <c r="J1193" s="16"/>
      <c r="K1193" s="16"/>
      <c r="L1193" s="16"/>
      <c r="M1193" s="16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24"/>
      <c r="AC1193" s="16"/>
      <c r="AD1193" s="16"/>
      <c r="AE1193" s="16"/>
      <c r="AF1193" s="16"/>
      <c r="AG1193" s="14"/>
      <c r="AH1193" s="14"/>
      <c r="AI1193" s="24"/>
      <c r="AJ1193" s="24"/>
      <c r="AK1193" s="24"/>
      <c r="AL1193" s="16"/>
      <c r="AM1193" s="16"/>
      <c r="AN1193" s="16"/>
      <c r="AO1193" s="16"/>
      <c r="AP1193" s="16"/>
      <c r="AQ1193" s="16"/>
      <c r="AR1193" s="16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7"/>
    </row>
    <row r="1194" spans="7:54" x14ac:dyDescent="0.15">
      <c r="G1194" s="7"/>
      <c r="H1194" s="16"/>
      <c r="I1194" s="16"/>
      <c r="J1194" s="16"/>
      <c r="K1194" s="16"/>
      <c r="L1194" s="16"/>
      <c r="M1194" s="16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24"/>
      <c r="AC1194" s="16"/>
      <c r="AD1194" s="16"/>
      <c r="AE1194" s="16"/>
      <c r="AF1194" s="16"/>
      <c r="AG1194" s="14"/>
      <c r="AH1194" s="14"/>
      <c r="AI1194" s="24"/>
      <c r="AJ1194" s="24"/>
      <c r="AK1194" s="24"/>
      <c r="AL1194" s="16"/>
      <c r="AM1194" s="16"/>
      <c r="AN1194" s="16"/>
      <c r="AO1194" s="16"/>
      <c r="AP1194" s="16"/>
      <c r="AQ1194" s="16"/>
      <c r="AR1194" s="16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7"/>
    </row>
    <row r="1195" spans="7:54" x14ac:dyDescent="0.15">
      <c r="G1195" s="7"/>
      <c r="H1195" s="16"/>
      <c r="I1195" s="16"/>
      <c r="J1195" s="16"/>
      <c r="K1195" s="16"/>
      <c r="L1195" s="16"/>
      <c r="M1195" s="16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24"/>
      <c r="AC1195" s="16"/>
      <c r="AD1195" s="16"/>
      <c r="AE1195" s="16"/>
      <c r="AF1195" s="16"/>
      <c r="AG1195" s="14"/>
      <c r="AH1195" s="14"/>
      <c r="AI1195" s="24"/>
      <c r="AJ1195" s="24"/>
      <c r="AK1195" s="24"/>
      <c r="AL1195" s="16"/>
      <c r="AM1195" s="16"/>
      <c r="AN1195" s="16"/>
      <c r="AO1195" s="16"/>
      <c r="AP1195" s="16"/>
      <c r="AQ1195" s="16"/>
      <c r="AR1195" s="16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7"/>
    </row>
    <row r="1196" spans="7:54" x14ac:dyDescent="0.15">
      <c r="G1196" s="7"/>
      <c r="H1196" s="16"/>
      <c r="I1196" s="16"/>
      <c r="J1196" s="16"/>
      <c r="K1196" s="16"/>
      <c r="L1196" s="16"/>
      <c r="M1196" s="16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24"/>
      <c r="AC1196" s="16"/>
      <c r="AD1196" s="16"/>
      <c r="AE1196" s="16"/>
      <c r="AF1196" s="16"/>
      <c r="AG1196" s="14"/>
      <c r="AH1196" s="14"/>
      <c r="AI1196" s="24"/>
      <c r="AJ1196" s="24"/>
      <c r="AK1196" s="24"/>
      <c r="AL1196" s="16"/>
      <c r="AM1196" s="16"/>
      <c r="AN1196" s="16"/>
      <c r="AO1196" s="16"/>
      <c r="AP1196" s="16"/>
      <c r="AQ1196" s="16"/>
      <c r="AR1196" s="16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7"/>
    </row>
    <row r="1197" spans="7:54" x14ac:dyDescent="0.15">
      <c r="G1197" s="7"/>
      <c r="H1197" s="16"/>
      <c r="I1197" s="16"/>
      <c r="J1197" s="16"/>
      <c r="K1197" s="16"/>
      <c r="L1197" s="16"/>
      <c r="M1197" s="16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24"/>
      <c r="AC1197" s="16"/>
      <c r="AD1197" s="16"/>
      <c r="AE1197" s="16"/>
      <c r="AF1197" s="16"/>
      <c r="AG1197" s="14"/>
      <c r="AH1197" s="14"/>
      <c r="AI1197" s="24"/>
      <c r="AJ1197" s="24"/>
      <c r="AK1197" s="24"/>
      <c r="AL1197" s="16"/>
      <c r="AM1197" s="16"/>
      <c r="AN1197" s="16"/>
      <c r="AO1197" s="16"/>
      <c r="AP1197" s="16"/>
      <c r="AQ1197" s="16"/>
      <c r="AR1197" s="16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7"/>
    </row>
    <row r="1198" spans="7:54" x14ac:dyDescent="0.15">
      <c r="G1198" s="7"/>
      <c r="H1198" s="16"/>
      <c r="I1198" s="16"/>
      <c r="J1198" s="16"/>
      <c r="K1198" s="16"/>
      <c r="L1198" s="16"/>
      <c r="M1198" s="16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24"/>
      <c r="AC1198" s="16"/>
      <c r="AD1198" s="16"/>
      <c r="AE1198" s="16"/>
      <c r="AF1198" s="16"/>
      <c r="AG1198" s="14"/>
      <c r="AH1198" s="14"/>
      <c r="AI1198" s="24"/>
      <c r="AJ1198" s="24"/>
      <c r="AK1198" s="24"/>
      <c r="AL1198" s="16"/>
      <c r="AM1198" s="16"/>
      <c r="AN1198" s="16"/>
      <c r="AO1198" s="16"/>
      <c r="AP1198" s="16"/>
      <c r="AQ1198" s="16"/>
      <c r="AR1198" s="16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7"/>
    </row>
    <row r="1199" spans="7:54" x14ac:dyDescent="0.15">
      <c r="G1199" s="7"/>
      <c r="H1199" s="16"/>
      <c r="I1199" s="16"/>
      <c r="J1199" s="16"/>
      <c r="K1199" s="16"/>
      <c r="L1199" s="16"/>
      <c r="M1199" s="16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24"/>
      <c r="AC1199" s="16"/>
      <c r="AD1199" s="16"/>
      <c r="AE1199" s="16"/>
      <c r="AF1199" s="16"/>
      <c r="AG1199" s="14"/>
      <c r="AH1199" s="14"/>
      <c r="AI1199" s="24"/>
      <c r="AJ1199" s="24"/>
      <c r="AK1199" s="24"/>
      <c r="AL1199" s="16"/>
      <c r="AM1199" s="16"/>
      <c r="AN1199" s="16"/>
      <c r="AO1199" s="16"/>
      <c r="AP1199" s="16"/>
      <c r="AQ1199" s="16"/>
      <c r="AR1199" s="16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7"/>
    </row>
    <row r="1200" spans="7:54" x14ac:dyDescent="0.15">
      <c r="G1200" s="7"/>
      <c r="H1200" s="16"/>
      <c r="I1200" s="16"/>
      <c r="J1200" s="16"/>
      <c r="K1200" s="16"/>
      <c r="L1200" s="16"/>
      <c r="M1200" s="16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24"/>
      <c r="AC1200" s="16"/>
      <c r="AD1200" s="16"/>
      <c r="AE1200" s="16"/>
      <c r="AF1200" s="16"/>
      <c r="AG1200" s="14"/>
      <c r="AH1200" s="14"/>
      <c r="AI1200" s="24"/>
      <c r="AJ1200" s="24"/>
      <c r="AK1200" s="24"/>
      <c r="AL1200" s="16"/>
      <c r="AM1200" s="16"/>
      <c r="AN1200" s="16"/>
      <c r="AO1200" s="16"/>
      <c r="AP1200" s="16"/>
      <c r="AQ1200" s="16"/>
      <c r="AR1200" s="16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7"/>
    </row>
    <row r="1201" spans="7:54" x14ac:dyDescent="0.15">
      <c r="G1201" s="7"/>
      <c r="H1201" s="16"/>
      <c r="I1201" s="16"/>
      <c r="J1201" s="16"/>
      <c r="K1201" s="16"/>
      <c r="L1201" s="16"/>
      <c r="M1201" s="16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24"/>
      <c r="AC1201" s="16"/>
      <c r="AD1201" s="16"/>
      <c r="AE1201" s="16"/>
      <c r="AF1201" s="16"/>
      <c r="AG1201" s="14"/>
      <c r="AH1201" s="14"/>
      <c r="AI1201" s="24"/>
      <c r="AJ1201" s="24"/>
      <c r="AK1201" s="24"/>
      <c r="AL1201" s="16"/>
      <c r="AM1201" s="16"/>
      <c r="AN1201" s="16"/>
      <c r="AO1201" s="16"/>
      <c r="AP1201" s="16"/>
      <c r="AQ1201" s="16"/>
      <c r="AR1201" s="16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7"/>
    </row>
    <row r="1202" spans="7:54" x14ac:dyDescent="0.15">
      <c r="G1202" s="7"/>
      <c r="H1202" s="16"/>
      <c r="I1202" s="16"/>
      <c r="J1202" s="16"/>
      <c r="K1202" s="16"/>
      <c r="L1202" s="16"/>
      <c r="M1202" s="16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24"/>
      <c r="AC1202" s="16"/>
      <c r="AD1202" s="16"/>
      <c r="AE1202" s="16"/>
      <c r="AF1202" s="16"/>
      <c r="AG1202" s="14"/>
      <c r="AH1202" s="14"/>
      <c r="AI1202" s="24"/>
      <c r="AJ1202" s="24"/>
      <c r="AK1202" s="24"/>
      <c r="AL1202" s="16"/>
      <c r="AM1202" s="16"/>
      <c r="AN1202" s="16"/>
      <c r="AO1202" s="16"/>
      <c r="AP1202" s="16"/>
      <c r="AQ1202" s="16"/>
      <c r="AR1202" s="16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7"/>
    </row>
    <row r="1203" spans="7:54" x14ac:dyDescent="0.15">
      <c r="G1203" s="7"/>
      <c r="H1203" s="16"/>
      <c r="I1203" s="16"/>
      <c r="J1203" s="16"/>
      <c r="K1203" s="16"/>
      <c r="L1203" s="16"/>
      <c r="M1203" s="16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24"/>
      <c r="AC1203" s="16"/>
      <c r="AD1203" s="16"/>
      <c r="AE1203" s="16"/>
      <c r="AF1203" s="16"/>
      <c r="AG1203" s="14"/>
      <c r="AH1203" s="14"/>
      <c r="AI1203" s="24"/>
      <c r="AJ1203" s="24"/>
      <c r="AK1203" s="24"/>
      <c r="AL1203" s="16"/>
      <c r="AM1203" s="16"/>
      <c r="AN1203" s="16"/>
      <c r="AO1203" s="16"/>
      <c r="AP1203" s="16"/>
      <c r="AQ1203" s="16"/>
      <c r="AR1203" s="16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7"/>
    </row>
    <row r="1204" spans="7:54" x14ac:dyDescent="0.15">
      <c r="G1204" s="7"/>
      <c r="H1204" s="16"/>
      <c r="I1204" s="16"/>
      <c r="J1204" s="16"/>
      <c r="K1204" s="16"/>
      <c r="L1204" s="16"/>
      <c r="M1204" s="16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24"/>
      <c r="AC1204" s="16"/>
      <c r="AD1204" s="16"/>
      <c r="AE1204" s="16"/>
      <c r="AF1204" s="16"/>
      <c r="AG1204" s="14"/>
      <c r="AH1204" s="14"/>
      <c r="AI1204" s="24"/>
      <c r="AJ1204" s="24"/>
      <c r="AK1204" s="24"/>
      <c r="AL1204" s="16"/>
      <c r="AM1204" s="16"/>
      <c r="AN1204" s="16"/>
      <c r="AO1204" s="16"/>
      <c r="AP1204" s="16"/>
      <c r="AQ1204" s="16"/>
      <c r="AR1204" s="16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7"/>
    </row>
    <row r="1205" spans="7:54" x14ac:dyDescent="0.15">
      <c r="G1205" s="7"/>
      <c r="H1205" s="16"/>
      <c r="I1205" s="16"/>
      <c r="J1205" s="16"/>
      <c r="K1205" s="16"/>
      <c r="L1205" s="16"/>
      <c r="M1205" s="16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24"/>
      <c r="AC1205" s="16"/>
      <c r="AD1205" s="16"/>
      <c r="AE1205" s="16"/>
      <c r="AF1205" s="16"/>
      <c r="AG1205" s="14"/>
      <c r="AH1205" s="14"/>
      <c r="AI1205" s="24"/>
      <c r="AJ1205" s="24"/>
      <c r="AK1205" s="24"/>
      <c r="AL1205" s="16"/>
      <c r="AM1205" s="16"/>
      <c r="AN1205" s="16"/>
      <c r="AO1205" s="16"/>
      <c r="AP1205" s="16"/>
      <c r="AQ1205" s="16"/>
      <c r="AR1205" s="16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7"/>
    </row>
    <row r="1206" spans="7:54" x14ac:dyDescent="0.15">
      <c r="G1206" s="7"/>
      <c r="H1206" s="16"/>
      <c r="I1206" s="16"/>
      <c r="J1206" s="16"/>
      <c r="K1206" s="16"/>
      <c r="L1206" s="16"/>
      <c r="M1206" s="16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24"/>
      <c r="AC1206" s="16"/>
      <c r="AD1206" s="16"/>
      <c r="AE1206" s="16"/>
      <c r="AF1206" s="16"/>
      <c r="AG1206" s="14"/>
      <c r="AH1206" s="14"/>
      <c r="AI1206" s="24"/>
      <c r="AJ1206" s="24"/>
      <c r="AK1206" s="24"/>
      <c r="AL1206" s="16"/>
      <c r="AM1206" s="16"/>
      <c r="AN1206" s="16"/>
      <c r="AO1206" s="16"/>
      <c r="AP1206" s="16"/>
      <c r="AQ1206" s="16"/>
      <c r="AR1206" s="16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7"/>
    </row>
    <row r="1207" spans="7:54" x14ac:dyDescent="0.15">
      <c r="G1207" s="7"/>
      <c r="H1207" s="16"/>
      <c r="I1207" s="16"/>
      <c r="J1207" s="16"/>
      <c r="K1207" s="16"/>
      <c r="L1207" s="16"/>
      <c r="M1207" s="16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24"/>
      <c r="AC1207" s="16"/>
      <c r="AD1207" s="16"/>
      <c r="AE1207" s="16"/>
      <c r="AF1207" s="16"/>
      <c r="AG1207" s="14"/>
      <c r="AH1207" s="14"/>
      <c r="AI1207" s="24"/>
      <c r="AJ1207" s="24"/>
      <c r="AK1207" s="24"/>
      <c r="AL1207" s="16"/>
      <c r="AM1207" s="16"/>
      <c r="AN1207" s="16"/>
      <c r="AO1207" s="16"/>
      <c r="AP1207" s="16"/>
      <c r="AQ1207" s="16"/>
      <c r="AR1207" s="16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7"/>
    </row>
    <row r="1208" spans="7:54" x14ac:dyDescent="0.15">
      <c r="G1208" s="7"/>
      <c r="H1208" s="16"/>
      <c r="I1208" s="16"/>
      <c r="J1208" s="16"/>
      <c r="K1208" s="16"/>
      <c r="L1208" s="16"/>
      <c r="M1208" s="16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24"/>
      <c r="AC1208" s="16"/>
      <c r="AD1208" s="16"/>
      <c r="AE1208" s="16"/>
      <c r="AF1208" s="16"/>
      <c r="AG1208" s="14"/>
      <c r="AH1208" s="14"/>
      <c r="AI1208" s="24"/>
      <c r="AJ1208" s="24"/>
      <c r="AK1208" s="24"/>
      <c r="AL1208" s="16"/>
      <c r="AM1208" s="16"/>
      <c r="AN1208" s="16"/>
      <c r="AO1208" s="16"/>
      <c r="AP1208" s="16"/>
      <c r="AQ1208" s="16"/>
      <c r="AR1208" s="16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7"/>
    </row>
    <row r="1209" spans="7:54" x14ac:dyDescent="0.15">
      <c r="G1209" s="7"/>
      <c r="H1209" s="16"/>
      <c r="I1209" s="16"/>
      <c r="J1209" s="16"/>
      <c r="K1209" s="16"/>
      <c r="L1209" s="16"/>
      <c r="M1209" s="16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24"/>
      <c r="AC1209" s="16"/>
      <c r="AD1209" s="16"/>
      <c r="AE1209" s="16"/>
      <c r="AF1209" s="16"/>
      <c r="AG1209" s="14"/>
      <c r="AH1209" s="14"/>
      <c r="AI1209" s="24"/>
      <c r="AJ1209" s="24"/>
      <c r="AK1209" s="24"/>
      <c r="AL1209" s="16"/>
      <c r="AM1209" s="16"/>
      <c r="AN1209" s="16"/>
      <c r="AO1209" s="16"/>
      <c r="AP1209" s="16"/>
      <c r="AQ1209" s="16"/>
      <c r="AR1209" s="16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7"/>
    </row>
    <row r="1210" spans="7:54" x14ac:dyDescent="0.15">
      <c r="G1210" s="7"/>
      <c r="H1210" s="16"/>
      <c r="I1210" s="16"/>
      <c r="J1210" s="16"/>
      <c r="K1210" s="16"/>
      <c r="L1210" s="16"/>
      <c r="M1210" s="16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24"/>
      <c r="AC1210" s="16"/>
      <c r="AD1210" s="16"/>
      <c r="AE1210" s="16"/>
      <c r="AF1210" s="16"/>
      <c r="AG1210" s="14"/>
      <c r="AH1210" s="14"/>
      <c r="AI1210" s="24"/>
      <c r="AJ1210" s="24"/>
      <c r="AK1210" s="24"/>
      <c r="AL1210" s="16"/>
      <c r="AM1210" s="16"/>
      <c r="AN1210" s="16"/>
      <c r="AO1210" s="16"/>
      <c r="AP1210" s="16"/>
      <c r="AQ1210" s="16"/>
      <c r="AR1210" s="16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7"/>
    </row>
    <row r="1211" spans="7:54" x14ac:dyDescent="0.15">
      <c r="G1211" s="7"/>
      <c r="H1211" s="16"/>
      <c r="I1211" s="16"/>
      <c r="J1211" s="16"/>
      <c r="K1211" s="16"/>
      <c r="L1211" s="16"/>
      <c r="M1211" s="16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24"/>
      <c r="AC1211" s="16"/>
      <c r="AD1211" s="16"/>
      <c r="AE1211" s="16"/>
      <c r="AF1211" s="16"/>
      <c r="AG1211" s="14"/>
      <c r="AH1211" s="14"/>
      <c r="AI1211" s="24"/>
      <c r="AJ1211" s="24"/>
      <c r="AK1211" s="24"/>
      <c r="AL1211" s="16"/>
      <c r="AM1211" s="16"/>
      <c r="AN1211" s="16"/>
      <c r="AO1211" s="16"/>
      <c r="AP1211" s="16"/>
      <c r="AQ1211" s="16"/>
      <c r="AR1211" s="16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7"/>
    </row>
    <row r="1212" spans="7:54" x14ac:dyDescent="0.15">
      <c r="G1212" s="7"/>
      <c r="H1212" s="16"/>
      <c r="I1212" s="16"/>
      <c r="J1212" s="16"/>
      <c r="K1212" s="16"/>
      <c r="L1212" s="16"/>
      <c r="M1212" s="16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24"/>
      <c r="AC1212" s="16"/>
      <c r="AD1212" s="16"/>
      <c r="AE1212" s="16"/>
      <c r="AF1212" s="16"/>
      <c r="AG1212" s="14"/>
      <c r="AH1212" s="14"/>
      <c r="AI1212" s="24"/>
      <c r="AJ1212" s="24"/>
      <c r="AK1212" s="24"/>
      <c r="AL1212" s="16"/>
      <c r="AM1212" s="16"/>
      <c r="AN1212" s="16"/>
      <c r="AO1212" s="16"/>
      <c r="AP1212" s="16"/>
      <c r="AQ1212" s="16"/>
      <c r="AR1212" s="16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7"/>
    </row>
    <row r="1213" spans="7:54" x14ac:dyDescent="0.15">
      <c r="G1213" s="7"/>
      <c r="H1213" s="16"/>
      <c r="I1213" s="16"/>
      <c r="J1213" s="16"/>
      <c r="K1213" s="16"/>
      <c r="L1213" s="16"/>
      <c r="M1213" s="16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24"/>
      <c r="AC1213" s="16"/>
      <c r="AD1213" s="16"/>
      <c r="AE1213" s="16"/>
      <c r="AF1213" s="16"/>
      <c r="AG1213" s="14"/>
      <c r="AH1213" s="14"/>
      <c r="AI1213" s="24"/>
      <c r="AJ1213" s="24"/>
      <c r="AK1213" s="24"/>
      <c r="AL1213" s="16"/>
      <c r="AM1213" s="16"/>
      <c r="AN1213" s="16"/>
      <c r="AO1213" s="16"/>
      <c r="AP1213" s="16"/>
      <c r="AQ1213" s="16"/>
      <c r="AR1213" s="16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7"/>
    </row>
    <row r="1214" spans="7:54" x14ac:dyDescent="0.15">
      <c r="G1214" s="7"/>
      <c r="H1214" s="16"/>
      <c r="I1214" s="16"/>
      <c r="J1214" s="16"/>
      <c r="K1214" s="16"/>
      <c r="L1214" s="16"/>
      <c r="M1214" s="16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24"/>
      <c r="AC1214" s="16"/>
      <c r="AD1214" s="16"/>
      <c r="AE1214" s="16"/>
      <c r="AF1214" s="16"/>
      <c r="AG1214" s="14"/>
      <c r="AH1214" s="14"/>
      <c r="AI1214" s="24"/>
      <c r="AJ1214" s="24"/>
      <c r="AK1214" s="24"/>
      <c r="AL1214" s="16"/>
      <c r="AM1214" s="16"/>
      <c r="AN1214" s="16"/>
      <c r="AO1214" s="16"/>
      <c r="AP1214" s="16"/>
      <c r="AQ1214" s="16"/>
      <c r="AR1214" s="16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7"/>
    </row>
    <row r="1215" spans="7:54" x14ac:dyDescent="0.15">
      <c r="G1215" s="7"/>
      <c r="H1215" s="16"/>
      <c r="I1215" s="16"/>
      <c r="J1215" s="16"/>
      <c r="K1215" s="16"/>
      <c r="L1215" s="16"/>
      <c r="M1215" s="16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24"/>
      <c r="AC1215" s="16"/>
      <c r="AD1215" s="16"/>
      <c r="AE1215" s="16"/>
      <c r="AF1215" s="16"/>
      <c r="AG1215" s="14"/>
      <c r="AH1215" s="14"/>
      <c r="AI1215" s="24"/>
      <c r="AJ1215" s="24"/>
      <c r="AK1215" s="24"/>
      <c r="AL1215" s="16"/>
      <c r="AM1215" s="16"/>
      <c r="AN1215" s="16"/>
      <c r="AO1215" s="16"/>
      <c r="AP1215" s="16"/>
      <c r="AQ1215" s="16"/>
      <c r="AR1215" s="16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7"/>
    </row>
    <row r="1216" spans="7:54" x14ac:dyDescent="0.15">
      <c r="G1216" s="7"/>
      <c r="H1216" s="16"/>
      <c r="I1216" s="16"/>
      <c r="J1216" s="16"/>
      <c r="K1216" s="16"/>
      <c r="L1216" s="16"/>
      <c r="M1216" s="16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24"/>
      <c r="AC1216" s="16"/>
      <c r="AD1216" s="16"/>
      <c r="AE1216" s="16"/>
      <c r="AF1216" s="16"/>
      <c r="AG1216" s="14"/>
      <c r="AH1216" s="14"/>
      <c r="AI1216" s="24"/>
      <c r="AJ1216" s="24"/>
      <c r="AK1216" s="24"/>
      <c r="AL1216" s="16"/>
      <c r="AM1216" s="16"/>
      <c r="AN1216" s="16"/>
      <c r="AO1216" s="16"/>
      <c r="AP1216" s="16"/>
      <c r="AQ1216" s="16"/>
      <c r="AR1216" s="16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7"/>
    </row>
    <row r="1217" spans="7:54" x14ac:dyDescent="0.15">
      <c r="G1217" s="7"/>
      <c r="H1217" s="16"/>
      <c r="I1217" s="16"/>
      <c r="J1217" s="16"/>
      <c r="K1217" s="16"/>
      <c r="L1217" s="16"/>
      <c r="M1217" s="16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24"/>
      <c r="AC1217" s="16"/>
      <c r="AD1217" s="16"/>
      <c r="AE1217" s="16"/>
      <c r="AF1217" s="16"/>
      <c r="AG1217" s="14"/>
      <c r="AH1217" s="14"/>
      <c r="AI1217" s="24"/>
      <c r="AJ1217" s="24"/>
      <c r="AK1217" s="24"/>
      <c r="AL1217" s="16"/>
      <c r="AM1217" s="16"/>
      <c r="AN1217" s="16"/>
      <c r="AO1217" s="16"/>
      <c r="AP1217" s="16"/>
      <c r="AQ1217" s="16"/>
      <c r="AR1217" s="16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7"/>
    </row>
    <row r="1218" spans="7:54" x14ac:dyDescent="0.15">
      <c r="G1218" s="7"/>
      <c r="H1218" s="16"/>
      <c r="I1218" s="16"/>
      <c r="J1218" s="16"/>
      <c r="K1218" s="16"/>
      <c r="L1218" s="16"/>
      <c r="M1218" s="16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24"/>
      <c r="AC1218" s="16"/>
      <c r="AD1218" s="16"/>
      <c r="AE1218" s="16"/>
      <c r="AF1218" s="16"/>
      <c r="AG1218" s="14"/>
      <c r="AH1218" s="14"/>
      <c r="AI1218" s="24"/>
      <c r="AJ1218" s="24"/>
      <c r="AK1218" s="24"/>
      <c r="AL1218" s="16"/>
      <c r="AM1218" s="16"/>
      <c r="AN1218" s="16"/>
      <c r="AO1218" s="16"/>
      <c r="AP1218" s="16"/>
      <c r="AQ1218" s="16"/>
      <c r="AR1218" s="16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7"/>
    </row>
    <row r="1219" spans="7:54" x14ac:dyDescent="0.15">
      <c r="G1219" s="7"/>
      <c r="H1219" s="16"/>
      <c r="I1219" s="16"/>
      <c r="J1219" s="16"/>
      <c r="K1219" s="16"/>
      <c r="L1219" s="16"/>
      <c r="M1219" s="16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24"/>
      <c r="AC1219" s="16"/>
      <c r="AD1219" s="16"/>
      <c r="AE1219" s="16"/>
      <c r="AF1219" s="16"/>
      <c r="AG1219" s="14"/>
      <c r="AH1219" s="14"/>
      <c r="AI1219" s="24"/>
      <c r="AJ1219" s="24"/>
      <c r="AK1219" s="24"/>
      <c r="AL1219" s="16"/>
      <c r="AM1219" s="16"/>
      <c r="AN1219" s="16"/>
      <c r="AO1219" s="16"/>
      <c r="AP1219" s="16"/>
      <c r="AQ1219" s="16"/>
      <c r="AR1219" s="16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7"/>
    </row>
    <row r="1220" spans="7:54" x14ac:dyDescent="0.15">
      <c r="G1220" s="7"/>
      <c r="H1220" s="16"/>
      <c r="I1220" s="16"/>
      <c r="J1220" s="16"/>
      <c r="K1220" s="16"/>
      <c r="L1220" s="16"/>
      <c r="M1220" s="16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24"/>
      <c r="AC1220" s="16"/>
      <c r="AD1220" s="16"/>
      <c r="AE1220" s="16"/>
      <c r="AF1220" s="16"/>
      <c r="AG1220" s="14"/>
      <c r="AH1220" s="14"/>
      <c r="AI1220" s="24"/>
      <c r="AJ1220" s="24"/>
      <c r="AK1220" s="24"/>
      <c r="AL1220" s="16"/>
      <c r="AM1220" s="16"/>
      <c r="AN1220" s="16"/>
      <c r="AO1220" s="16"/>
      <c r="AP1220" s="16"/>
      <c r="AQ1220" s="16"/>
      <c r="AR1220" s="16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7"/>
    </row>
    <row r="1221" spans="7:54" x14ac:dyDescent="0.15">
      <c r="G1221" s="7"/>
      <c r="H1221" s="16"/>
      <c r="I1221" s="16"/>
      <c r="J1221" s="16"/>
      <c r="K1221" s="16"/>
      <c r="L1221" s="16"/>
      <c r="M1221" s="16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24"/>
      <c r="AC1221" s="16"/>
      <c r="AD1221" s="16"/>
      <c r="AE1221" s="16"/>
      <c r="AF1221" s="16"/>
      <c r="AG1221" s="14"/>
      <c r="AH1221" s="14"/>
      <c r="AI1221" s="24"/>
      <c r="AJ1221" s="24"/>
      <c r="AK1221" s="24"/>
      <c r="AL1221" s="16"/>
      <c r="AM1221" s="16"/>
      <c r="AN1221" s="16"/>
      <c r="AO1221" s="16"/>
      <c r="AP1221" s="16"/>
      <c r="AQ1221" s="16"/>
      <c r="AR1221" s="16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7"/>
    </row>
    <row r="1222" spans="7:54" x14ac:dyDescent="0.15">
      <c r="G1222" s="7"/>
      <c r="H1222" s="16"/>
      <c r="I1222" s="16"/>
      <c r="J1222" s="16"/>
      <c r="K1222" s="16"/>
      <c r="L1222" s="16"/>
      <c r="M1222" s="16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24"/>
      <c r="AC1222" s="16"/>
      <c r="AD1222" s="16"/>
      <c r="AE1222" s="16"/>
      <c r="AF1222" s="16"/>
      <c r="AG1222" s="14"/>
      <c r="AH1222" s="14"/>
      <c r="AI1222" s="24"/>
      <c r="AJ1222" s="24"/>
      <c r="AK1222" s="24"/>
      <c r="AL1222" s="16"/>
      <c r="AM1222" s="16"/>
      <c r="AN1222" s="16"/>
      <c r="AO1222" s="16"/>
      <c r="AP1222" s="16"/>
      <c r="AQ1222" s="16"/>
      <c r="AR1222" s="16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7"/>
    </row>
    <row r="1223" spans="7:54" x14ac:dyDescent="0.15">
      <c r="G1223" s="7"/>
      <c r="H1223" s="16"/>
      <c r="I1223" s="16"/>
      <c r="J1223" s="16"/>
      <c r="K1223" s="16"/>
      <c r="L1223" s="16"/>
      <c r="M1223" s="16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24"/>
      <c r="AC1223" s="16"/>
      <c r="AD1223" s="16"/>
      <c r="AE1223" s="16"/>
      <c r="AF1223" s="16"/>
      <c r="AG1223" s="14"/>
      <c r="AH1223" s="14"/>
      <c r="AI1223" s="24"/>
      <c r="AJ1223" s="24"/>
      <c r="AK1223" s="24"/>
      <c r="AL1223" s="16"/>
      <c r="AM1223" s="16"/>
      <c r="AN1223" s="16"/>
      <c r="AO1223" s="16"/>
      <c r="AP1223" s="16"/>
      <c r="AQ1223" s="16"/>
      <c r="AR1223" s="16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7"/>
    </row>
    <row r="1224" spans="7:54" x14ac:dyDescent="0.15">
      <c r="G1224" s="7"/>
      <c r="H1224" s="16"/>
      <c r="I1224" s="16"/>
      <c r="J1224" s="16"/>
      <c r="K1224" s="16"/>
      <c r="L1224" s="16"/>
      <c r="M1224" s="16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24"/>
      <c r="AC1224" s="16"/>
      <c r="AD1224" s="16"/>
      <c r="AE1224" s="16"/>
      <c r="AF1224" s="16"/>
      <c r="AG1224" s="14"/>
      <c r="AH1224" s="14"/>
      <c r="AI1224" s="24"/>
      <c r="AJ1224" s="24"/>
      <c r="AK1224" s="24"/>
      <c r="AL1224" s="16"/>
      <c r="AM1224" s="16"/>
      <c r="AN1224" s="16"/>
      <c r="AO1224" s="16"/>
      <c r="AP1224" s="16"/>
      <c r="AQ1224" s="16"/>
      <c r="AR1224" s="16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7"/>
    </row>
    <row r="1225" spans="7:54" x14ac:dyDescent="0.15">
      <c r="G1225" s="7"/>
      <c r="H1225" s="16"/>
      <c r="I1225" s="16"/>
      <c r="J1225" s="16"/>
      <c r="K1225" s="16"/>
      <c r="L1225" s="16"/>
      <c r="M1225" s="16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24"/>
      <c r="AC1225" s="16"/>
      <c r="AD1225" s="16"/>
      <c r="AE1225" s="16"/>
      <c r="AF1225" s="16"/>
      <c r="AG1225" s="14"/>
      <c r="AH1225" s="14"/>
      <c r="AI1225" s="24"/>
      <c r="AJ1225" s="24"/>
      <c r="AK1225" s="24"/>
      <c r="AL1225" s="16"/>
      <c r="AM1225" s="16"/>
      <c r="AN1225" s="16"/>
      <c r="AO1225" s="16"/>
      <c r="AP1225" s="16"/>
      <c r="AQ1225" s="16"/>
      <c r="AR1225" s="16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7"/>
    </row>
    <row r="1226" spans="7:54" x14ac:dyDescent="0.15">
      <c r="G1226" s="7"/>
      <c r="H1226" s="16"/>
      <c r="I1226" s="16"/>
      <c r="J1226" s="16"/>
      <c r="K1226" s="16"/>
      <c r="L1226" s="16"/>
      <c r="M1226" s="16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24"/>
      <c r="AC1226" s="16"/>
      <c r="AD1226" s="16"/>
      <c r="AE1226" s="16"/>
      <c r="AF1226" s="16"/>
      <c r="AG1226" s="14"/>
      <c r="AH1226" s="14"/>
      <c r="AI1226" s="24"/>
      <c r="AJ1226" s="24"/>
      <c r="AK1226" s="24"/>
      <c r="AL1226" s="16"/>
      <c r="AM1226" s="16"/>
      <c r="AN1226" s="16"/>
      <c r="AO1226" s="16"/>
      <c r="AP1226" s="16"/>
      <c r="AQ1226" s="16"/>
      <c r="AR1226" s="16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7"/>
    </row>
    <row r="1227" spans="7:54" x14ac:dyDescent="0.15">
      <c r="G1227" s="7"/>
      <c r="H1227" s="16"/>
      <c r="I1227" s="16"/>
      <c r="J1227" s="16"/>
      <c r="K1227" s="16"/>
      <c r="L1227" s="16"/>
      <c r="M1227" s="16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24"/>
      <c r="AC1227" s="16"/>
      <c r="AD1227" s="16"/>
      <c r="AE1227" s="16"/>
      <c r="AF1227" s="16"/>
      <c r="AG1227" s="14"/>
      <c r="AH1227" s="14"/>
      <c r="AI1227" s="24"/>
      <c r="AJ1227" s="24"/>
      <c r="AK1227" s="24"/>
      <c r="AL1227" s="16"/>
      <c r="AM1227" s="16"/>
      <c r="AN1227" s="16"/>
      <c r="AO1227" s="16"/>
      <c r="AP1227" s="16"/>
      <c r="AQ1227" s="16"/>
      <c r="AR1227" s="16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7"/>
    </row>
    <row r="1228" spans="7:54" x14ac:dyDescent="0.15">
      <c r="G1228" s="7"/>
      <c r="H1228" s="16"/>
      <c r="I1228" s="16"/>
      <c r="J1228" s="16"/>
      <c r="K1228" s="16"/>
      <c r="L1228" s="16"/>
      <c r="M1228" s="16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24"/>
      <c r="AC1228" s="16"/>
      <c r="AD1228" s="16"/>
      <c r="AE1228" s="16"/>
      <c r="AF1228" s="16"/>
      <c r="AG1228" s="14"/>
      <c r="AH1228" s="14"/>
      <c r="AI1228" s="24"/>
      <c r="AJ1228" s="24"/>
      <c r="AK1228" s="24"/>
      <c r="AL1228" s="16"/>
      <c r="AM1228" s="16"/>
      <c r="AN1228" s="16"/>
      <c r="AO1228" s="16"/>
      <c r="AP1228" s="16"/>
      <c r="AQ1228" s="16"/>
      <c r="AR1228" s="16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7"/>
    </row>
    <row r="1229" spans="7:54" x14ac:dyDescent="0.15">
      <c r="G1229" s="7"/>
      <c r="H1229" s="16"/>
      <c r="I1229" s="16"/>
      <c r="J1229" s="16"/>
      <c r="K1229" s="16"/>
      <c r="L1229" s="16"/>
      <c r="M1229" s="16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24"/>
      <c r="AC1229" s="16"/>
      <c r="AD1229" s="16"/>
      <c r="AE1229" s="16"/>
      <c r="AF1229" s="16"/>
      <c r="AG1229" s="14"/>
      <c r="AH1229" s="14"/>
      <c r="AI1229" s="24"/>
      <c r="AJ1229" s="24"/>
      <c r="AK1229" s="24"/>
      <c r="AL1229" s="16"/>
      <c r="AM1229" s="16"/>
      <c r="AN1229" s="16"/>
      <c r="AO1229" s="16"/>
      <c r="AP1229" s="16"/>
      <c r="AQ1229" s="16"/>
      <c r="AR1229" s="16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7"/>
    </row>
    <row r="1230" spans="7:54" x14ac:dyDescent="0.15">
      <c r="G1230" s="7"/>
      <c r="H1230" s="16"/>
      <c r="I1230" s="16"/>
      <c r="J1230" s="16"/>
      <c r="K1230" s="16"/>
      <c r="L1230" s="16"/>
      <c r="M1230" s="16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24"/>
      <c r="AC1230" s="16"/>
      <c r="AD1230" s="16"/>
      <c r="AE1230" s="16"/>
      <c r="AF1230" s="16"/>
      <c r="AG1230" s="14"/>
      <c r="AH1230" s="14"/>
      <c r="AI1230" s="24"/>
      <c r="AJ1230" s="24"/>
      <c r="AK1230" s="24"/>
      <c r="AL1230" s="16"/>
      <c r="AM1230" s="16"/>
      <c r="AN1230" s="16"/>
      <c r="AO1230" s="16"/>
      <c r="AP1230" s="16"/>
      <c r="AQ1230" s="16"/>
      <c r="AR1230" s="16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7"/>
    </row>
    <row r="1231" spans="7:54" x14ac:dyDescent="0.15">
      <c r="G1231" s="7"/>
      <c r="H1231" s="16"/>
      <c r="I1231" s="16"/>
      <c r="J1231" s="16"/>
      <c r="K1231" s="16"/>
      <c r="L1231" s="16"/>
      <c r="M1231" s="16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24"/>
      <c r="AC1231" s="16"/>
      <c r="AD1231" s="16"/>
      <c r="AE1231" s="16"/>
      <c r="AF1231" s="16"/>
      <c r="AG1231" s="14"/>
      <c r="AH1231" s="14"/>
      <c r="AI1231" s="24"/>
      <c r="AJ1231" s="24"/>
      <c r="AK1231" s="24"/>
      <c r="AL1231" s="16"/>
      <c r="AM1231" s="16"/>
      <c r="AN1231" s="16"/>
      <c r="AO1231" s="16"/>
      <c r="AP1231" s="16"/>
      <c r="AQ1231" s="16"/>
      <c r="AR1231" s="16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7"/>
    </row>
    <row r="1232" spans="7:54" x14ac:dyDescent="0.15">
      <c r="G1232" s="7"/>
      <c r="H1232" s="16"/>
      <c r="I1232" s="16"/>
      <c r="J1232" s="16"/>
      <c r="K1232" s="16"/>
      <c r="L1232" s="16"/>
      <c r="M1232" s="16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24"/>
      <c r="AC1232" s="16"/>
      <c r="AD1232" s="16"/>
      <c r="AE1232" s="16"/>
      <c r="AF1232" s="16"/>
      <c r="AG1232" s="14"/>
      <c r="AH1232" s="14"/>
      <c r="AI1232" s="24"/>
      <c r="AJ1232" s="24"/>
      <c r="AK1232" s="24"/>
      <c r="AL1232" s="16"/>
      <c r="AM1232" s="16"/>
      <c r="AN1232" s="16"/>
      <c r="AO1232" s="16"/>
      <c r="AP1232" s="16"/>
      <c r="AQ1232" s="16"/>
      <c r="AR1232" s="16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7"/>
    </row>
    <row r="1233" spans="7:54" x14ac:dyDescent="0.15">
      <c r="G1233" s="7"/>
      <c r="H1233" s="16"/>
      <c r="I1233" s="16"/>
      <c r="J1233" s="16"/>
      <c r="K1233" s="16"/>
      <c r="L1233" s="16"/>
      <c r="M1233" s="16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24"/>
      <c r="AC1233" s="16"/>
      <c r="AD1233" s="16"/>
      <c r="AE1233" s="16"/>
      <c r="AF1233" s="16"/>
      <c r="AG1233" s="14"/>
      <c r="AH1233" s="14"/>
      <c r="AI1233" s="24"/>
      <c r="AJ1233" s="24"/>
      <c r="AK1233" s="24"/>
      <c r="AL1233" s="16"/>
      <c r="AM1233" s="16"/>
      <c r="AN1233" s="16"/>
      <c r="AO1233" s="16"/>
      <c r="AP1233" s="16"/>
      <c r="AQ1233" s="16"/>
      <c r="AR1233" s="16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7"/>
    </row>
    <row r="1234" spans="7:54" x14ac:dyDescent="0.15">
      <c r="G1234" s="7"/>
      <c r="H1234" s="16"/>
      <c r="I1234" s="16"/>
      <c r="J1234" s="16"/>
      <c r="K1234" s="16"/>
      <c r="L1234" s="16"/>
      <c r="M1234" s="16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24"/>
      <c r="AC1234" s="16"/>
      <c r="AD1234" s="16"/>
      <c r="AE1234" s="16"/>
      <c r="AF1234" s="16"/>
      <c r="AG1234" s="14"/>
      <c r="AH1234" s="14"/>
      <c r="AI1234" s="24"/>
      <c r="AJ1234" s="24"/>
      <c r="AK1234" s="24"/>
      <c r="AL1234" s="16"/>
      <c r="AM1234" s="16"/>
      <c r="AN1234" s="16"/>
      <c r="AO1234" s="16"/>
      <c r="AP1234" s="16"/>
      <c r="AQ1234" s="16"/>
      <c r="AR1234" s="16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7"/>
    </row>
    <row r="1235" spans="7:54" x14ac:dyDescent="0.15">
      <c r="G1235" s="7"/>
      <c r="H1235" s="16"/>
      <c r="I1235" s="16"/>
      <c r="J1235" s="16"/>
      <c r="K1235" s="16"/>
      <c r="L1235" s="16"/>
      <c r="M1235" s="16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24"/>
      <c r="AC1235" s="16"/>
      <c r="AD1235" s="16"/>
      <c r="AE1235" s="16"/>
      <c r="AF1235" s="16"/>
      <c r="AG1235" s="14"/>
      <c r="AH1235" s="14"/>
      <c r="AI1235" s="24"/>
      <c r="AJ1235" s="24"/>
      <c r="AK1235" s="24"/>
      <c r="AL1235" s="16"/>
      <c r="AM1235" s="16"/>
      <c r="AN1235" s="16"/>
      <c r="AO1235" s="16"/>
      <c r="AP1235" s="16"/>
      <c r="AQ1235" s="16"/>
      <c r="AR1235" s="16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7"/>
    </row>
    <row r="1236" spans="7:54" x14ac:dyDescent="0.15">
      <c r="G1236" s="7"/>
      <c r="H1236" s="16"/>
      <c r="I1236" s="16"/>
      <c r="J1236" s="16"/>
      <c r="K1236" s="16"/>
      <c r="L1236" s="16"/>
      <c r="M1236" s="16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24"/>
      <c r="AC1236" s="16"/>
      <c r="AD1236" s="16"/>
      <c r="AE1236" s="16"/>
      <c r="AF1236" s="16"/>
      <c r="AG1236" s="14"/>
      <c r="AH1236" s="14"/>
      <c r="AI1236" s="24"/>
      <c r="AJ1236" s="24"/>
      <c r="AK1236" s="24"/>
      <c r="AL1236" s="16"/>
      <c r="AM1236" s="16"/>
      <c r="AN1236" s="16"/>
      <c r="AO1236" s="16"/>
      <c r="AP1236" s="16"/>
      <c r="AQ1236" s="16"/>
      <c r="AR1236" s="16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7"/>
    </row>
    <row r="1237" spans="7:54" x14ac:dyDescent="0.15">
      <c r="G1237" s="7"/>
      <c r="H1237" s="16"/>
      <c r="I1237" s="16"/>
      <c r="J1237" s="16"/>
      <c r="K1237" s="16"/>
      <c r="L1237" s="16"/>
      <c r="M1237" s="16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24"/>
      <c r="AC1237" s="16"/>
      <c r="AD1237" s="16"/>
      <c r="AE1237" s="16"/>
      <c r="AF1237" s="16"/>
      <c r="AG1237" s="14"/>
      <c r="AH1237" s="14"/>
      <c r="AI1237" s="24"/>
      <c r="AJ1237" s="24"/>
      <c r="AK1237" s="24"/>
      <c r="AL1237" s="16"/>
      <c r="AM1237" s="16"/>
      <c r="AN1237" s="16"/>
      <c r="AO1237" s="16"/>
      <c r="AP1237" s="16"/>
      <c r="AQ1237" s="16"/>
      <c r="AR1237" s="16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7"/>
    </row>
    <row r="1238" spans="7:54" x14ac:dyDescent="0.15">
      <c r="G1238" s="7"/>
      <c r="H1238" s="16"/>
      <c r="I1238" s="16"/>
      <c r="J1238" s="16"/>
      <c r="K1238" s="16"/>
      <c r="L1238" s="16"/>
      <c r="M1238" s="16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24"/>
      <c r="AC1238" s="16"/>
      <c r="AD1238" s="16"/>
      <c r="AE1238" s="16"/>
      <c r="AF1238" s="16"/>
      <c r="AG1238" s="14"/>
      <c r="AH1238" s="14"/>
      <c r="AI1238" s="24"/>
      <c r="AJ1238" s="24"/>
      <c r="AK1238" s="24"/>
      <c r="AL1238" s="16"/>
      <c r="AM1238" s="16"/>
      <c r="AN1238" s="16"/>
      <c r="AO1238" s="16"/>
      <c r="AP1238" s="16"/>
      <c r="AQ1238" s="16"/>
      <c r="AR1238" s="16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7"/>
    </row>
    <row r="1239" spans="7:54" x14ac:dyDescent="0.15">
      <c r="G1239" s="7"/>
      <c r="H1239" s="16"/>
      <c r="I1239" s="16"/>
      <c r="J1239" s="16"/>
      <c r="K1239" s="16"/>
      <c r="L1239" s="16"/>
      <c r="M1239" s="16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24"/>
      <c r="AC1239" s="16"/>
      <c r="AD1239" s="16"/>
      <c r="AE1239" s="16"/>
      <c r="AF1239" s="16"/>
      <c r="AG1239" s="14"/>
      <c r="AH1239" s="14"/>
      <c r="AI1239" s="24"/>
      <c r="AJ1239" s="24"/>
      <c r="AK1239" s="24"/>
      <c r="AL1239" s="16"/>
      <c r="AM1239" s="16"/>
      <c r="AN1239" s="16"/>
      <c r="AO1239" s="16"/>
      <c r="AP1239" s="16"/>
      <c r="AQ1239" s="16"/>
      <c r="AR1239" s="16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7"/>
    </row>
    <row r="1240" spans="7:54" x14ac:dyDescent="0.15">
      <c r="G1240" s="7"/>
      <c r="H1240" s="16"/>
      <c r="I1240" s="16"/>
      <c r="J1240" s="16"/>
      <c r="K1240" s="16"/>
      <c r="L1240" s="16"/>
      <c r="M1240" s="16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24"/>
      <c r="AC1240" s="16"/>
      <c r="AD1240" s="16"/>
      <c r="AE1240" s="16"/>
      <c r="AF1240" s="16"/>
      <c r="AG1240" s="14"/>
      <c r="AH1240" s="14"/>
      <c r="AI1240" s="24"/>
      <c r="AJ1240" s="24"/>
      <c r="AK1240" s="24"/>
      <c r="AL1240" s="16"/>
      <c r="AM1240" s="16"/>
      <c r="AN1240" s="16"/>
      <c r="AO1240" s="16"/>
      <c r="AP1240" s="16"/>
      <c r="AQ1240" s="16"/>
      <c r="AR1240" s="16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7"/>
    </row>
    <row r="1241" spans="7:54" x14ac:dyDescent="0.15">
      <c r="G1241" s="7"/>
      <c r="H1241" s="16"/>
      <c r="I1241" s="16"/>
      <c r="J1241" s="16"/>
      <c r="K1241" s="16"/>
      <c r="L1241" s="16"/>
      <c r="M1241" s="16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24"/>
      <c r="AC1241" s="16"/>
      <c r="AD1241" s="16"/>
      <c r="AE1241" s="16"/>
      <c r="AF1241" s="16"/>
      <c r="AG1241" s="14"/>
      <c r="AH1241" s="14"/>
      <c r="AI1241" s="24"/>
      <c r="AJ1241" s="24"/>
      <c r="AK1241" s="24"/>
      <c r="AL1241" s="16"/>
      <c r="AM1241" s="16"/>
      <c r="AN1241" s="16"/>
      <c r="AO1241" s="16"/>
      <c r="AP1241" s="16"/>
      <c r="AQ1241" s="16"/>
      <c r="AR1241" s="16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7"/>
    </row>
    <row r="1242" spans="7:54" x14ac:dyDescent="0.15">
      <c r="G1242" s="7"/>
      <c r="H1242" s="16"/>
      <c r="I1242" s="16"/>
      <c r="J1242" s="16"/>
      <c r="K1242" s="16"/>
      <c r="L1242" s="16"/>
      <c r="M1242" s="16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24"/>
      <c r="AC1242" s="16"/>
      <c r="AD1242" s="16"/>
      <c r="AE1242" s="16"/>
      <c r="AF1242" s="16"/>
      <c r="AG1242" s="14"/>
      <c r="AH1242" s="14"/>
      <c r="AI1242" s="24"/>
      <c r="AJ1242" s="24"/>
      <c r="AK1242" s="24"/>
      <c r="AL1242" s="16"/>
      <c r="AM1242" s="16"/>
      <c r="AN1242" s="16"/>
      <c r="AO1242" s="16"/>
      <c r="AP1242" s="16"/>
      <c r="AQ1242" s="16"/>
      <c r="AR1242" s="16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7"/>
    </row>
    <row r="1243" spans="7:54" x14ac:dyDescent="0.15">
      <c r="G1243" s="7"/>
      <c r="H1243" s="16"/>
      <c r="I1243" s="16"/>
      <c r="J1243" s="16"/>
      <c r="K1243" s="16"/>
      <c r="L1243" s="16"/>
      <c r="M1243" s="16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24"/>
      <c r="AC1243" s="16"/>
      <c r="AD1243" s="16"/>
      <c r="AE1243" s="16"/>
      <c r="AF1243" s="16"/>
      <c r="AG1243" s="14"/>
      <c r="AH1243" s="14"/>
      <c r="AI1243" s="24"/>
      <c r="AJ1243" s="24"/>
      <c r="AK1243" s="24"/>
      <c r="AL1243" s="16"/>
      <c r="AM1243" s="16"/>
      <c r="AN1243" s="16"/>
      <c r="AO1243" s="16"/>
      <c r="AP1243" s="16"/>
      <c r="AQ1243" s="16"/>
      <c r="AR1243" s="16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7"/>
    </row>
    <row r="1244" spans="7:54" x14ac:dyDescent="0.15">
      <c r="G1244" s="7"/>
      <c r="H1244" s="16"/>
      <c r="I1244" s="16"/>
      <c r="J1244" s="16"/>
      <c r="K1244" s="16"/>
      <c r="L1244" s="16"/>
      <c r="M1244" s="16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24"/>
      <c r="AC1244" s="16"/>
      <c r="AD1244" s="16"/>
      <c r="AE1244" s="16"/>
      <c r="AF1244" s="16"/>
      <c r="AG1244" s="14"/>
      <c r="AH1244" s="14"/>
      <c r="AI1244" s="24"/>
      <c r="AJ1244" s="24"/>
      <c r="AK1244" s="24"/>
      <c r="AL1244" s="16"/>
      <c r="AM1244" s="16"/>
      <c r="AN1244" s="16"/>
      <c r="AO1244" s="16"/>
      <c r="AP1244" s="16"/>
      <c r="AQ1244" s="16"/>
      <c r="AR1244" s="16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7"/>
    </row>
    <row r="1245" spans="7:54" x14ac:dyDescent="0.15">
      <c r="G1245" s="7"/>
      <c r="H1245" s="16"/>
      <c r="I1245" s="16"/>
      <c r="J1245" s="16"/>
      <c r="K1245" s="16"/>
      <c r="L1245" s="16"/>
      <c r="M1245" s="16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24"/>
      <c r="AC1245" s="16"/>
      <c r="AD1245" s="16"/>
      <c r="AE1245" s="16"/>
      <c r="AF1245" s="16"/>
      <c r="AG1245" s="14"/>
      <c r="AH1245" s="14"/>
      <c r="AI1245" s="24"/>
      <c r="AJ1245" s="24"/>
      <c r="AK1245" s="24"/>
      <c r="AL1245" s="16"/>
      <c r="AM1245" s="16"/>
      <c r="AN1245" s="16"/>
      <c r="AO1245" s="16"/>
      <c r="AP1245" s="16"/>
      <c r="AQ1245" s="16"/>
      <c r="AR1245" s="16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7"/>
    </row>
    <row r="1246" spans="7:54" x14ac:dyDescent="0.15">
      <c r="G1246" s="7"/>
      <c r="H1246" s="16"/>
      <c r="I1246" s="16"/>
      <c r="J1246" s="16"/>
      <c r="K1246" s="16"/>
      <c r="L1246" s="16"/>
      <c r="M1246" s="16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24"/>
      <c r="AC1246" s="16"/>
      <c r="AD1246" s="16"/>
      <c r="AE1246" s="16"/>
      <c r="AF1246" s="16"/>
      <c r="AG1246" s="14"/>
      <c r="AH1246" s="14"/>
      <c r="AI1246" s="24"/>
      <c r="AJ1246" s="24"/>
      <c r="AK1246" s="24"/>
      <c r="AL1246" s="16"/>
      <c r="AM1246" s="16"/>
      <c r="AN1246" s="16"/>
      <c r="AO1246" s="16"/>
      <c r="AP1246" s="16"/>
      <c r="AQ1246" s="16"/>
      <c r="AR1246" s="16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7"/>
    </row>
    <row r="1247" spans="7:54" x14ac:dyDescent="0.15">
      <c r="G1247" s="7"/>
      <c r="H1247" s="16"/>
      <c r="I1247" s="16"/>
      <c r="J1247" s="16"/>
      <c r="K1247" s="16"/>
      <c r="L1247" s="16"/>
      <c r="M1247" s="16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24"/>
      <c r="AC1247" s="16"/>
      <c r="AD1247" s="16"/>
      <c r="AE1247" s="16"/>
      <c r="AF1247" s="16"/>
      <c r="AG1247" s="14"/>
      <c r="AH1247" s="14"/>
      <c r="AI1247" s="24"/>
      <c r="AJ1247" s="24"/>
      <c r="AK1247" s="24"/>
      <c r="AL1247" s="16"/>
      <c r="AM1247" s="16"/>
      <c r="AN1247" s="16"/>
      <c r="AO1247" s="16"/>
      <c r="AP1247" s="16"/>
      <c r="AQ1247" s="16"/>
      <c r="AR1247" s="16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7"/>
    </row>
    <row r="1248" spans="7:54" x14ac:dyDescent="0.15">
      <c r="G1248" s="7"/>
      <c r="H1248" s="16"/>
      <c r="I1248" s="16"/>
      <c r="J1248" s="16"/>
      <c r="K1248" s="16"/>
      <c r="L1248" s="16"/>
      <c r="M1248" s="16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24"/>
      <c r="AC1248" s="16"/>
      <c r="AD1248" s="16"/>
      <c r="AE1248" s="16"/>
      <c r="AF1248" s="16"/>
      <c r="AG1248" s="14"/>
      <c r="AH1248" s="14"/>
      <c r="AI1248" s="24"/>
      <c r="AJ1248" s="24"/>
      <c r="AK1248" s="24"/>
      <c r="AL1248" s="16"/>
      <c r="AM1248" s="16"/>
      <c r="AN1248" s="16"/>
      <c r="AO1248" s="16"/>
      <c r="AP1248" s="16"/>
      <c r="AQ1248" s="16"/>
      <c r="AR1248" s="16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7"/>
    </row>
    <row r="1249" spans="7:54" x14ac:dyDescent="0.15">
      <c r="G1249" s="7"/>
      <c r="H1249" s="16"/>
      <c r="I1249" s="16"/>
      <c r="J1249" s="16"/>
      <c r="K1249" s="16"/>
      <c r="L1249" s="16"/>
      <c r="M1249" s="16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24"/>
      <c r="AC1249" s="16"/>
      <c r="AD1249" s="16"/>
      <c r="AE1249" s="16"/>
      <c r="AF1249" s="16"/>
      <c r="AG1249" s="14"/>
      <c r="AH1249" s="14"/>
      <c r="AI1249" s="24"/>
      <c r="AJ1249" s="24"/>
      <c r="AK1249" s="24"/>
      <c r="AL1249" s="16"/>
      <c r="AM1249" s="16"/>
      <c r="AN1249" s="16"/>
      <c r="AO1249" s="16"/>
      <c r="AP1249" s="16"/>
      <c r="AQ1249" s="16"/>
      <c r="AR1249" s="16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7"/>
    </row>
    <row r="1250" spans="7:54" x14ac:dyDescent="0.15">
      <c r="G1250" s="7"/>
      <c r="H1250" s="16"/>
      <c r="I1250" s="16"/>
      <c r="J1250" s="16"/>
      <c r="K1250" s="16"/>
      <c r="L1250" s="16"/>
      <c r="M1250" s="16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24"/>
      <c r="AC1250" s="16"/>
      <c r="AD1250" s="16"/>
      <c r="AE1250" s="16"/>
      <c r="AF1250" s="16"/>
      <c r="AG1250" s="14"/>
      <c r="AH1250" s="14"/>
      <c r="AI1250" s="24"/>
      <c r="AJ1250" s="24"/>
      <c r="AK1250" s="24"/>
      <c r="AL1250" s="16"/>
      <c r="AM1250" s="16"/>
      <c r="AN1250" s="16"/>
      <c r="AO1250" s="16"/>
      <c r="AP1250" s="16"/>
      <c r="AQ1250" s="16"/>
      <c r="AR1250" s="16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7"/>
    </row>
    <row r="1251" spans="7:54" x14ac:dyDescent="0.15">
      <c r="G1251" s="7"/>
      <c r="H1251" s="16"/>
      <c r="I1251" s="16"/>
      <c r="J1251" s="16"/>
      <c r="K1251" s="16"/>
      <c r="L1251" s="16"/>
      <c r="M1251" s="16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24"/>
      <c r="AC1251" s="16"/>
      <c r="AD1251" s="16"/>
      <c r="AE1251" s="16"/>
      <c r="AF1251" s="16"/>
      <c r="AG1251" s="14"/>
      <c r="AH1251" s="14"/>
      <c r="AI1251" s="24"/>
      <c r="AJ1251" s="24"/>
      <c r="AK1251" s="24"/>
      <c r="AL1251" s="16"/>
      <c r="AM1251" s="16"/>
      <c r="AN1251" s="16"/>
      <c r="AO1251" s="16"/>
      <c r="AP1251" s="16"/>
      <c r="AQ1251" s="16"/>
      <c r="AR1251" s="16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7"/>
    </row>
    <row r="1252" spans="7:54" x14ac:dyDescent="0.15">
      <c r="G1252" s="7"/>
      <c r="H1252" s="16"/>
      <c r="I1252" s="16"/>
      <c r="J1252" s="16"/>
      <c r="K1252" s="16"/>
      <c r="L1252" s="16"/>
      <c r="M1252" s="16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24"/>
      <c r="AC1252" s="16"/>
      <c r="AD1252" s="16"/>
      <c r="AE1252" s="16"/>
      <c r="AF1252" s="16"/>
      <c r="AG1252" s="14"/>
      <c r="AH1252" s="14"/>
      <c r="AI1252" s="24"/>
      <c r="AJ1252" s="24"/>
      <c r="AK1252" s="24"/>
      <c r="AL1252" s="16"/>
      <c r="AM1252" s="16"/>
      <c r="AN1252" s="16"/>
      <c r="AO1252" s="16"/>
      <c r="AP1252" s="16"/>
      <c r="AQ1252" s="16"/>
      <c r="AR1252" s="16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7"/>
    </row>
    <row r="1253" spans="7:54" x14ac:dyDescent="0.15">
      <c r="G1253" s="7"/>
      <c r="H1253" s="16"/>
      <c r="I1253" s="16"/>
      <c r="J1253" s="16"/>
      <c r="K1253" s="16"/>
      <c r="L1253" s="16"/>
      <c r="M1253" s="16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24"/>
      <c r="AC1253" s="16"/>
      <c r="AD1253" s="16"/>
      <c r="AE1253" s="16"/>
      <c r="AF1253" s="16"/>
      <c r="AG1253" s="14"/>
      <c r="AH1253" s="14"/>
      <c r="AI1253" s="24"/>
      <c r="AJ1253" s="24"/>
      <c r="AK1253" s="24"/>
      <c r="AL1253" s="16"/>
      <c r="AM1253" s="16"/>
      <c r="AN1253" s="16"/>
      <c r="AO1253" s="16"/>
      <c r="AP1253" s="16"/>
      <c r="AQ1253" s="16"/>
      <c r="AR1253" s="16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7"/>
    </row>
    <row r="1254" spans="7:54" x14ac:dyDescent="0.15">
      <c r="G1254" s="7"/>
      <c r="H1254" s="16"/>
      <c r="I1254" s="16"/>
      <c r="J1254" s="16"/>
      <c r="K1254" s="16"/>
      <c r="L1254" s="16"/>
      <c r="M1254" s="16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24"/>
      <c r="AC1254" s="16"/>
      <c r="AD1254" s="16"/>
      <c r="AE1254" s="16"/>
      <c r="AF1254" s="16"/>
      <c r="AG1254" s="14"/>
      <c r="AH1254" s="14"/>
      <c r="AI1254" s="24"/>
      <c r="AJ1254" s="24"/>
      <c r="AK1254" s="24"/>
      <c r="AL1254" s="16"/>
      <c r="AM1254" s="16"/>
      <c r="AN1254" s="16"/>
      <c r="AO1254" s="16"/>
      <c r="AP1254" s="16"/>
      <c r="AQ1254" s="16"/>
      <c r="AR1254" s="16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7"/>
    </row>
    <row r="1255" spans="7:54" x14ac:dyDescent="0.15">
      <c r="G1255" s="7"/>
      <c r="H1255" s="16"/>
      <c r="I1255" s="16"/>
      <c r="J1255" s="16"/>
      <c r="K1255" s="16"/>
      <c r="L1255" s="16"/>
      <c r="M1255" s="16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24"/>
      <c r="AC1255" s="16"/>
      <c r="AD1255" s="16"/>
      <c r="AE1255" s="16"/>
      <c r="AF1255" s="16"/>
      <c r="AG1255" s="14"/>
      <c r="AH1255" s="14"/>
      <c r="AI1255" s="24"/>
      <c r="AJ1255" s="24"/>
      <c r="AK1255" s="24"/>
      <c r="AL1255" s="16"/>
      <c r="AM1255" s="16"/>
      <c r="AN1255" s="16"/>
      <c r="AO1255" s="16"/>
      <c r="AP1255" s="16"/>
      <c r="AQ1255" s="16"/>
      <c r="AR1255" s="16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7"/>
    </row>
    <row r="1256" spans="7:54" x14ac:dyDescent="0.15">
      <c r="G1256" s="7"/>
      <c r="H1256" s="16"/>
      <c r="I1256" s="16"/>
      <c r="J1256" s="16"/>
      <c r="K1256" s="16"/>
      <c r="L1256" s="16"/>
      <c r="M1256" s="16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24"/>
      <c r="AC1256" s="16"/>
      <c r="AD1256" s="16"/>
      <c r="AE1256" s="16"/>
      <c r="AF1256" s="16"/>
      <c r="AG1256" s="14"/>
      <c r="AH1256" s="14"/>
      <c r="AI1256" s="24"/>
      <c r="AJ1256" s="24"/>
      <c r="AK1256" s="24"/>
      <c r="AL1256" s="16"/>
      <c r="AM1256" s="16"/>
      <c r="AN1256" s="16"/>
      <c r="AO1256" s="16"/>
      <c r="AP1256" s="16"/>
      <c r="AQ1256" s="16"/>
      <c r="AR1256" s="16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7"/>
    </row>
    <row r="1257" spans="7:54" x14ac:dyDescent="0.15">
      <c r="G1257" s="7"/>
      <c r="H1257" s="16"/>
      <c r="I1257" s="16"/>
      <c r="J1257" s="16"/>
      <c r="K1257" s="16"/>
      <c r="L1257" s="16"/>
      <c r="M1257" s="16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24"/>
      <c r="AC1257" s="16"/>
      <c r="AD1257" s="16"/>
      <c r="AE1257" s="16"/>
      <c r="AF1257" s="16"/>
      <c r="AG1257" s="14"/>
      <c r="AH1257" s="14"/>
      <c r="AI1257" s="24"/>
      <c r="AJ1257" s="24"/>
      <c r="AK1257" s="24"/>
      <c r="AL1257" s="16"/>
      <c r="AM1257" s="16"/>
      <c r="AN1257" s="16"/>
      <c r="AO1257" s="16"/>
      <c r="AP1257" s="16"/>
      <c r="AQ1257" s="16"/>
      <c r="AR1257" s="16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7"/>
    </row>
    <row r="1258" spans="7:54" x14ac:dyDescent="0.15">
      <c r="G1258" s="7"/>
      <c r="H1258" s="16"/>
      <c r="I1258" s="16"/>
      <c r="J1258" s="16"/>
      <c r="K1258" s="16"/>
      <c r="L1258" s="16"/>
      <c r="M1258" s="16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24"/>
      <c r="AC1258" s="16"/>
      <c r="AD1258" s="16"/>
      <c r="AE1258" s="16"/>
      <c r="AF1258" s="16"/>
      <c r="AG1258" s="14"/>
      <c r="AH1258" s="14"/>
      <c r="AI1258" s="24"/>
      <c r="AJ1258" s="24"/>
      <c r="AK1258" s="24"/>
      <c r="AL1258" s="16"/>
      <c r="AM1258" s="16"/>
      <c r="AN1258" s="16"/>
      <c r="AO1258" s="16"/>
      <c r="AP1258" s="16"/>
      <c r="AQ1258" s="16"/>
      <c r="AR1258" s="16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7"/>
    </row>
    <row r="1259" spans="7:54" x14ac:dyDescent="0.15">
      <c r="G1259" s="7"/>
      <c r="H1259" s="16"/>
      <c r="I1259" s="16"/>
      <c r="J1259" s="16"/>
      <c r="K1259" s="16"/>
      <c r="L1259" s="16"/>
      <c r="M1259" s="16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24"/>
      <c r="AC1259" s="16"/>
      <c r="AD1259" s="16"/>
      <c r="AE1259" s="16"/>
      <c r="AF1259" s="16"/>
      <c r="AG1259" s="14"/>
      <c r="AH1259" s="14"/>
      <c r="AI1259" s="24"/>
      <c r="AJ1259" s="24"/>
      <c r="AK1259" s="24"/>
      <c r="AL1259" s="16"/>
      <c r="AM1259" s="16"/>
      <c r="AN1259" s="16"/>
      <c r="AO1259" s="16"/>
      <c r="AP1259" s="16"/>
      <c r="AQ1259" s="16"/>
      <c r="AR1259" s="16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7"/>
    </row>
    <row r="1260" spans="7:54" x14ac:dyDescent="0.15">
      <c r="G1260" s="7"/>
      <c r="H1260" s="16"/>
      <c r="I1260" s="16"/>
      <c r="J1260" s="16"/>
      <c r="K1260" s="16"/>
      <c r="L1260" s="16"/>
      <c r="M1260" s="16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24"/>
      <c r="AC1260" s="16"/>
      <c r="AD1260" s="16"/>
      <c r="AE1260" s="16"/>
      <c r="AF1260" s="16"/>
      <c r="AG1260" s="14"/>
      <c r="AH1260" s="14"/>
      <c r="AI1260" s="24"/>
      <c r="AJ1260" s="24"/>
      <c r="AK1260" s="24"/>
      <c r="AL1260" s="16"/>
      <c r="AM1260" s="16"/>
      <c r="AN1260" s="16"/>
      <c r="AO1260" s="16"/>
      <c r="AP1260" s="16"/>
      <c r="AQ1260" s="16"/>
      <c r="AR1260" s="16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7"/>
    </row>
    <row r="1261" spans="7:54" x14ac:dyDescent="0.15">
      <c r="G1261" s="7"/>
      <c r="H1261" s="16"/>
      <c r="I1261" s="16"/>
      <c r="J1261" s="16"/>
      <c r="K1261" s="16"/>
      <c r="L1261" s="16"/>
      <c r="M1261" s="16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24"/>
      <c r="AC1261" s="16"/>
      <c r="AD1261" s="16"/>
      <c r="AE1261" s="16"/>
      <c r="AF1261" s="16"/>
      <c r="AG1261" s="14"/>
      <c r="AH1261" s="14"/>
      <c r="AI1261" s="24"/>
      <c r="AJ1261" s="24"/>
      <c r="AK1261" s="24"/>
      <c r="AL1261" s="16"/>
      <c r="AM1261" s="16"/>
      <c r="AN1261" s="16"/>
      <c r="AO1261" s="16"/>
      <c r="AP1261" s="16"/>
      <c r="AQ1261" s="16"/>
      <c r="AR1261" s="16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7"/>
    </row>
    <row r="1262" spans="7:54" x14ac:dyDescent="0.15">
      <c r="G1262" s="7"/>
      <c r="H1262" s="16"/>
      <c r="I1262" s="16"/>
      <c r="J1262" s="16"/>
      <c r="K1262" s="16"/>
      <c r="L1262" s="16"/>
      <c r="M1262" s="16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24"/>
      <c r="AC1262" s="16"/>
      <c r="AD1262" s="16"/>
      <c r="AE1262" s="16"/>
      <c r="AF1262" s="16"/>
      <c r="AG1262" s="14"/>
      <c r="AH1262" s="14"/>
      <c r="AI1262" s="24"/>
      <c r="AJ1262" s="24"/>
      <c r="AK1262" s="24"/>
      <c r="AL1262" s="16"/>
      <c r="AM1262" s="16"/>
      <c r="AN1262" s="16"/>
      <c r="AO1262" s="16"/>
      <c r="AP1262" s="16"/>
      <c r="AQ1262" s="16"/>
      <c r="AR1262" s="16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7"/>
    </row>
    <row r="1263" spans="7:54" x14ac:dyDescent="0.15">
      <c r="G1263" s="7"/>
      <c r="H1263" s="16"/>
      <c r="I1263" s="16"/>
      <c r="J1263" s="16"/>
      <c r="K1263" s="16"/>
      <c r="L1263" s="16"/>
      <c r="M1263" s="16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24"/>
      <c r="AC1263" s="16"/>
      <c r="AD1263" s="16"/>
      <c r="AE1263" s="16"/>
      <c r="AF1263" s="16"/>
      <c r="AG1263" s="14"/>
      <c r="AH1263" s="14"/>
      <c r="AI1263" s="24"/>
      <c r="AJ1263" s="24"/>
      <c r="AK1263" s="24"/>
      <c r="AL1263" s="16"/>
      <c r="AM1263" s="16"/>
      <c r="AN1263" s="16"/>
      <c r="AO1263" s="16"/>
      <c r="AP1263" s="16"/>
      <c r="AQ1263" s="16"/>
      <c r="AR1263" s="16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7"/>
    </row>
    <row r="1264" spans="7:54" x14ac:dyDescent="0.15">
      <c r="G1264" s="7"/>
      <c r="H1264" s="16"/>
      <c r="I1264" s="16"/>
      <c r="J1264" s="16"/>
      <c r="K1264" s="16"/>
      <c r="L1264" s="16"/>
      <c r="M1264" s="16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24"/>
      <c r="AC1264" s="16"/>
      <c r="AD1264" s="16"/>
      <c r="AE1264" s="16"/>
      <c r="AF1264" s="16"/>
      <c r="AG1264" s="14"/>
      <c r="AH1264" s="14"/>
      <c r="AI1264" s="24"/>
      <c r="AJ1264" s="24"/>
      <c r="AK1264" s="24"/>
      <c r="AL1264" s="16"/>
      <c r="AM1264" s="16"/>
      <c r="AN1264" s="16"/>
      <c r="AO1264" s="16"/>
      <c r="AP1264" s="16"/>
      <c r="AQ1264" s="16"/>
      <c r="AR1264" s="16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7"/>
    </row>
    <row r="1265" spans="7:54" x14ac:dyDescent="0.15">
      <c r="G1265" s="7"/>
      <c r="H1265" s="16"/>
      <c r="I1265" s="16"/>
      <c r="J1265" s="16"/>
      <c r="K1265" s="16"/>
      <c r="L1265" s="16"/>
      <c r="M1265" s="16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24"/>
      <c r="AC1265" s="16"/>
      <c r="AD1265" s="16"/>
      <c r="AE1265" s="16"/>
      <c r="AF1265" s="16"/>
      <c r="AG1265" s="14"/>
      <c r="AH1265" s="14"/>
      <c r="AI1265" s="24"/>
      <c r="AJ1265" s="24"/>
      <c r="AK1265" s="24"/>
      <c r="AL1265" s="16"/>
      <c r="AM1265" s="16"/>
      <c r="AN1265" s="16"/>
      <c r="AO1265" s="16"/>
      <c r="AP1265" s="16"/>
      <c r="AQ1265" s="16"/>
      <c r="AR1265" s="16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7"/>
    </row>
    <row r="1266" spans="7:54" x14ac:dyDescent="0.15">
      <c r="G1266" s="7"/>
      <c r="H1266" s="16"/>
      <c r="I1266" s="16"/>
      <c r="J1266" s="16"/>
      <c r="K1266" s="16"/>
      <c r="L1266" s="16"/>
      <c r="M1266" s="16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24"/>
      <c r="AC1266" s="16"/>
      <c r="AD1266" s="16"/>
      <c r="AE1266" s="16"/>
      <c r="AF1266" s="16"/>
      <c r="AG1266" s="14"/>
      <c r="AH1266" s="14"/>
      <c r="AI1266" s="24"/>
      <c r="AJ1266" s="24"/>
      <c r="AK1266" s="24"/>
      <c r="AL1266" s="16"/>
      <c r="AM1266" s="16"/>
      <c r="AN1266" s="16"/>
      <c r="AO1266" s="16"/>
      <c r="AP1266" s="16"/>
      <c r="AQ1266" s="16"/>
      <c r="AR1266" s="16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7"/>
    </row>
    <row r="1267" spans="7:54" x14ac:dyDescent="0.15">
      <c r="G1267" s="7"/>
      <c r="H1267" s="16"/>
      <c r="I1267" s="16"/>
      <c r="J1267" s="16"/>
      <c r="K1267" s="16"/>
      <c r="L1267" s="16"/>
      <c r="M1267" s="16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24"/>
      <c r="AC1267" s="16"/>
      <c r="AD1267" s="16"/>
      <c r="AE1267" s="16"/>
      <c r="AF1267" s="16"/>
      <c r="AG1267" s="14"/>
      <c r="AH1267" s="14"/>
      <c r="AI1267" s="24"/>
      <c r="AJ1267" s="24"/>
      <c r="AK1267" s="24"/>
      <c r="AL1267" s="16"/>
      <c r="AM1267" s="16"/>
      <c r="AN1267" s="16"/>
      <c r="AO1267" s="16"/>
      <c r="AP1267" s="16"/>
      <c r="AQ1267" s="16"/>
      <c r="AR1267" s="16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7"/>
    </row>
    <row r="1268" spans="7:54" x14ac:dyDescent="0.15">
      <c r="G1268" s="7"/>
      <c r="H1268" s="16"/>
      <c r="I1268" s="16"/>
      <c r="J1268" s="16"/>
      <c r="K1268" s="16"/>
      <c r="L1268" s="16"/>
      <c r="M1268" s="16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24"/>
      <c r="AC1268" s="16"/>
      <c r="AD1268" s="16"/>
      <c r="AE1268" s="16"/>
      <c r="AF1268" s="16"/>
      <c r="AG1268" s="14"/>
      <c r="AH1268" s="14"/>
      <c r="AI1268" s="24"/>
      <c r="AJ1268" s="24"/>
      <c r="AK1268" s="24"/>
      <c r="AL1268" s="16"/>
      <c r="AM1268" s="16"/>
      <c r="AN1268" s="16"/>
      <c r="AO1268" s="16"/>
      <c r="AP1268" s="16"/>
      <c r="AQ1268" s="16"/>
      <c r="AR1268" s="16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7"/>
    </row>
    <row r="1269" spans="7:54" x14ac:dyDescent="0.15">
      <c r="G1269" s="7"/>
      <c r="H1269" s="16"/>
      <c r="I1269" s="16"/>
      <c r="J1269" s="16"/>
      <c r="K1269" s="16"/>
      <c r="L1269" s="16"/>
      <c r="M1269" s="16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24"/>
      <c r="AC1269" s="16"/>
      <c r="AD1269" s="16"/>
      <c r="AE1269" s="16"/>
      <c r="AF1269" s="16"/>
      <c r="AG1269" s="14"/>
      <c r="AH1269" s="14"/>
      <c r="AI1269" s="24"/>
      <c r="AJ1269" s="24"/>
      <c r="AK1269" s="24"/>
      <c r="AL1269" s="16"/>
      <c r="AM1269" s="16"/>
      <c r="AN1269" s="16"/>
      <c r="AO1269" s="16"/>
      <c r="AP1269" s="16"/>
      <c r="AQ1269" s="16"/>
      <c r="AR1269" s="16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7"/>
    </row>
    <row r="1270" spans="7:54" x14ac:dyDescent="0.15">
      <c r="G1270" s="7"/>
      <c r="H1270" s="16"/>
      <c r="I1270" s="16"/>
      <c r="J1270" s="16"/>
      <c r="K1270" s="16"/>
      <c r="L1270" s="16"/>
      <c r="M1270" s="16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24"/>
      <c r="AC1270" s="16"/>
      <c r="AD1270" s="16"/>
      <c r="AE1270" s="16"/>
      <c r="AF1270" s="16"/>
      <c r="AG1270" s="14"/>
      <c r="AH1270" s="14"/>
      <c r="AI1270" s="24"/>
      <c r="AJ1270" s="24"/>
      <c r="AK1270" s="24"/>
      <c r="AL1270" s="16"/>
      <c r="AM1270" s="16"/>
      <c r="AN1270" s="16"/>
      <c r="AO1270" s="16"/>
      <c r="AP1270" s="16"/>
      <c r="AQ1270" s="16"/>
      <c r="AR1270" s="16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7"/>
    </row>
    <row r="1271" spans="7:54" x14ac:dyDescent="0.15">
      <c r="G1271" s="7"/>
      <c r="H1271" s="16"/>
      <c r="I1271" s="16"/>
      <c r="J1271" s="16"/>
      <c r="K1271" s="16"/>
      <c r="L1271" s="16"/>
      <c r="M1271" s="16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24"/>
      <c r="AC1271" s="16"/>
      <c r="AD1271" s="16"/>
      <c r="AE1271" s="16"/>
      <c r="AF1271" s="16"/>
      <c r="AG1271" s="14"/>
      <c r="AH1271" s="14"/>
      <c r="AI1271" s="24"/>
      <c r="AJ1271" s="24"/>
      <c r="AK1271" s="24"/>
      <c r="AL1271" s="16"/>
      <c r="AM1271" s="16"/>
      <c r="AN1271" s="16"/>
      <c r="AO1271" s="16"/>
      <c r="AP1271" s="16"/>
      <c r="AQ1271" s="16"/>
      <c r="AR1271" s="16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7"/>
    </row>
    <row r="1272" spans="7:54" x14ac:dyDescent="0.15">
      <c r="G1272" s="7"/>
      <c r="H1272" s="16"/>
      <c r="I1272" s="16"/>
      <c r="J1272" s="16"/>
      <c r="K1272" s="16"/>
      <c r="L1272" s="16"/>
      <c r="M1272" s="16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24"/>
      <c r="AC1272" s="16"/>
      <c r="AD1272" s="16"/>
      <c r="AE1272" s="16"/>
      <c r="AF1272" s="16"/>
      <c r="AG1272" s="14"/>
      <c r="AH1272" s="14"/>
      <c r="AI1272" s="24"/>
      <c r="AJ1272" s="24"/>
      <c r="AK1272" s="24"/>
      <c r="AL1272" s="16"/>
      <c r="AM1272" s="16"/>
      <c r="AN1272" s="16"/>
      <c r="AO1272" s="16"/>
      <c r="AP1272" s="16"/>
      <c r="AQ1272" s="16"/>
      <c r="AR1272" s="16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7"/>
    </row>
    <row r="1273" spans="7:54" x14ac:dyDescent="0.15">
      <c r="G1273" s="7"/>
      <c r="H1273" s="16"/>
      <c r="I1273" s="16"/>
      <c r="J1273" s="16"/>
      <c r="K1273" s="16"/>
      <c r="L1273" s="16"/>
      <c r="M1273" s="16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24"/>
      <c r="AC1273" s="16"/>
      <c r="AD1273" s="16"/>
      <c r="AE1273" s="16"/>
      <c r="AF1273" s="16"/>
      <c r="AG1273" s="14"/>
      <c r="AH1273" s="14"/>
      <c r="AI1273" s="24"/>
      <c r="AJ1273" s="24"/>
      <c r="AK1273" s="24"/>
      <c r="AL1273" s="16"/>
      <c r="AM1273" s="16"/>
      <c r="AN1273" s="16"/>
      <c r="AO1273" s="16"/>
      <c r="AP1273" s="16"/>
      <c r="AQ1273" s="16"/>
      <c r="AR1273" s="16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7"/>
    </row>
    <row r="1274" spans="7:54" x14ac:dyDescent="0.15">
      <c r="G1274" s="7"/>
      <c r="H1274" s="16"/>
      <c r="I1274" s="16"/>
      <c r="J1274" s="16"/>
      <c r="K1274" s="16"/>
      <c r="L1274" s="16"/>
      <c r="M1274" s="16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24"/>
      <c r="AC1274" s="16"/>
      <c r="AD1274" s="16"/>
      <c r="AE1274" s="16"/>
      <c r="AF1274" s="16"/>
      <c r="AG1274" s="14"/>
      <c r="AH1274" s="14"/>
      <c r="AI1274" s="24"/>
      <c r="AJ1274" s="24"/>
      <c r="AK1274" s="24"/>
      <c r="AL1274" s="16"/>
      <c r="AM1274" s="16"/>
      <c r="AN1274" s="16"/>
      <c r="AO1274" s="16"/>
      <c r="AP1274" s="16"/>
      <c r="AQ1274" s="16"/>
      <c r="AR1274" s="16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7"/>
    </row>
    <row r="1275" spans="7:54" x14ac:dyDescent="0.15">
      <c r="G1275" s="7"/>
      <c r="H1275" s="16"/>
      <c r="I1275" s="16"/>
      <c r="J1275" s="16"/>
      <c r="K1275" s="16"/>
      <c r="L1275" s="16"/>
      <c r="M1275" s="16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24"/>
      <c r="AC1275" s="16"/>
      <c r="AD1275" s="16"/>
      <c r="AE1275" s="16"/>
      <c r="AF1275" s="16"/>
      <c r="AG1275" s="14"/>
      <c r="AH1275" s="14"/>
      <c r="AI1275" s="24"/>
      <c r="AJ1275" s="24"/>
      <c r="AK1275" s="24"/>
      <c r="AL1275" s="16"/>
      <c r="AM1275" s="16"/>
      <c r="AN1275" s="16"/>
      <c r="AO1275" s="16"/>
      <c r="AP1275" s="16"/>
      <c r="AQ1275" s="16"/>
      <c r="AR1275" s="16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7"/>
    </row>
    <row r="1276" spans="7:54" x14ac:dyDescent="0.15">
      <c r="G1276" s="7"/>
      <c r="H1276" s="16"/>
      <c r="I1276" s="16"/>
      <c r="J1276" s="16"/>
      <c r="K1276" s="16"/>
      <c r="L1276" s="16"/>
      <c r="M1276" s="16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24"/>
      <c r="AC1276" s="16"/>
      <c r="AD1276" s="16"/>
      <c r="AE1276" s="16"/>
      <c r="AF1276" s="16"/>
      <c r="AG1276" s="14"/>
      <c r="AH1276" s="14"/>
      <c r="AI1276" s="24"/>
      <c r="AJ1276" s="24"/>
      <c r="AK1276" s="24"/>
      <c r="AL1276" s="16"/>
      <c r="AM1276" s="16"/>
      <c r="AN1276" s="16"/>
      <c r="AO1276" s="16"/>
      <c r="AP1276" s="16"/>
      <c r="AQ1276" s="16"/>
      <c r="AR1276" s="16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7"/>
    </row>
    <row r="1277" spans="7:54" x14ac:dyDescent="0.15">
      <c r="G1277" s="7"/>
      <c r="H1277" s="16"/>
      <c r="I1277" s="16"/>
      <c r="J1277" s="16"/>
      <c r="K1277" s="16"/>
      <c r="L1277" s="16"/>
      <c r="M1277" s="16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24"/>
      <c r="AC1277" s="16"/>
      <c r="AD1277" s="16"/>
      <c r="AE1277" s="16"/>
      <c r="AF1277" s="16"/>
      <c r="AG1277" s="14"/>
      <c r="AH1277" s="14"/>
      <c r="AI1277" s="24"/>
      <c r="AJ1277" s="24"/>
      <c r="AK1277" s="24"/>
      <c r="AL1277" s="16"/>
      <c r="AM1277" s="16"/>
      <c r="AN1277" s="16"/>
      <c r="AO1277" s="16"/>
      <c r="AP1277" s="16"/>
      <c r="AQ1277" s="16"/>
      <c r="AR1277" s="16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7"/>
    </row>
    <row r="1278" spans="7:54" x14ac:dyDescent="0.15">
      <c r="G1278" s="7"/>
      <c r="H1278" s="16"/>
      <c r="I1278" s="16"/>
      <c r="J1278" s="16"/>
      <c r="K1278" s="16"/>
      <c r="L1278" s="16"/>
      <c r="M1278" s="16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24"/>
      <c r="AC1278" s="16"/>
      <c r="AD1278" s="16"/>
      <c r="AE1278" s="16"/>
      <c r="AF1278" s="16"/>
      <c r="AG1278" s="14"/>
      <c r="AH1278" s="14"/>
      <c r="AI1278" s="24"/>
      <c r="AJ1278" s="24"/>
      <c r="AK1278" s="24"/>
      <c r="AL1278" s="16"/>
      <c r="AM1278" s="16"/>
      <c r="AN1278" s="16"/>
      <c r="AO1278" s="16"/>
      <c r="AP1278" s="16"/>
      <c r="AQ1278" s="16"/>
      <c r="AR1278" s="16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7"/>
    </row>
    <row r="1279" spans="7:54" x14ac:dyDescent="0.15">
      <c r="G1279" s="7"/>
      <c r="H1279" s="16"/>
      <c r="I1279" s="16"/>
      <c r="J1279" s="16"/>
      <c r="K1279" s="16"/>
      <c r="L1279" s="16"/>
      <c r="M1279" s="16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24"/>
      <c r="AC1279" s="16"/>
      <c r="AD1279" s="16"/>
      <c r="AE1279" s="16"/>
      <c r="AF1279" s="16"/>
      <c r="AG1279" s="14"/>
      <c r="AH1279" s="14"/>
      <c r="AI1279" s="24"/>
      <c r="AJ1279" s="24"/>
      <c r="AK1279" s="24"/>
      <c r="AL1279" s="16"/>
      <c r="AM1279" s="16"/>
      <c r="AN1279" s="16"/>
      <c r="AO1279" s="16"/>
      <c r="AP1279" s="16"/>
      <c r="AQ1279" s="16"/>
      <c r="AR1279" s="16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7"/>
    </row>
    <row r="1280" spans="7:54" x14ac:dyDescent="0.15">
      <c r="G1280" s="7"/>
      <c r="H1280" s="16"/>
      <c r="I1280" s="16"/>
      <c r="J1280" s="16"/>
      <c r="K1280" s="16"/>
      <c r="L1280" s="16"/>
      <c r="M1280" s="16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24"/>
      <c r="AC1280" s="16"/>
      <c r="AD1280" s="16"/>
      <c r="AE1280" s="16"/>
      <c r="AF1280" s="16"/>
      <c r="AG1280" s="14"/>
      <c r="AH1280" s="14"/>
      <c r="AI1280" s="24"/>
      <c r="AJ1280" s="24"/>
      <c r="AK1280" s="24"/>
      <c r="AL1280" s="16"/>
      <c r="AM1280" s="16"/>
      <c r="AN1280" s="16"/>
      <c r="AO1280" s="16"/>
      <c r="AP1280" s="16"/>
      <c r="AQ1280" s="16"/>
      <c r="AR1280" s="16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7"/>
    </row>
    <row r="1281" spans="7:54" x14ac:dyDescent="0.15">
      <c r="G1281" s="7"/>
      <c r="H1281" s="16"/>
      <c r="I1281" s="16"/>
      <c r="J1281" s="16"/>
      <c r="K1281" s="16"/>
      <c r="L1281" s="16"/>
      <c r="M1281" s="16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24"/>
      <c r="AC1281" s="16"/>
      <c r="AD1281" s="16"/>
      <c r="AE1281" s="16"/>
      <c r="AF1281" s="16"/>
      <c r="AG1281" s="14"/>
      <c r="AH1281" s="14"/>
      <c r="AI1281" s="24"/>
      <c r="AJ1281" s="24"/>
      <c r="AK1281" s="24"/>
      <c r="AL1281" s="16"/>
      <c r="AM1281" s="16"/>
      <c r="AN1281" s="16"/>
      <c r="AO1281" s="16"/>
      <c r="AP1281" s="16"/>
      <c r="AQ1281" s="16"/>
      <c r="AR1281" s="16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7"/>
    </row>
    <row r="1282" spans="7:54" x14ac:dyDescent="0.15">
      <c r="G1282" s="7"/>
      <c r="H1282" s="16"/>
      <c r="I1282" s="16"/>
      <c r="J1282" s="16"/>
      <c r="K1282" s="16"/>
      <c r="L1282" s="16"/>
      <c r="M1282" s="16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24"/>
      <c r="AC1282" s="16"/>
      <c r="AD1282" s="16"/>
      <c r="AE1282" s="16"/>
      <c r="AF1282" s="16"/>
      <c r="AG1282" s="14"/>
      <c r="AH1282" s="14"/>
      <c r="AI1282" s="24"/>
      <c r="AJ1282" s="24"/>
      <c r="AK1282" s="24"/>
      <c r="AL1282" s="16"/>
      <c r="AM1282" s="16"/>
      <c r="AN1282" s="16"/>
      <c r="AO1282" s="16"/>
      <c r="AP1282" s="16"/>
      <c r="AQ1282" s="16"/>
      <c r="AR1282" s="16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7"/>
    </row>
    <row r="1283" spans="7:54" x14ac:dyDescent="0.15">
      <c r="G1283" s="7"/>
      <c r="H1283" s="16"/>
      <c r="I1283" s="16"/>
      <c r="J1283" s="16"/>
      <c r="K1283" s="16"/>
      <c r="L1283" s="16"/>
      <c r="M1283" s="16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24"/>
      <c r="AC1283" s="16"/>
      <c r="AD1283" s="16"/>
      <c r="AE1283" s="16"/>
      <c r="AF1283" s="16"/>
      <c r="AG1283" s="14"/>
      <c r="AH1283" s="14"/>
      <c r="AI1283" s="24"/>
      <c r="AJ1283" s="24"/>
      <c r="AK1283" s="24"/>
      <c r="AL1283" s="16"/>
      <c r="AM1283" s="16"/>
      <c r="AN1283" s="16"/>
      <c r="AO1283" s="16"/>
      <c r="AP1283" s="16"/>
      <c r="AQ1283" s="16"/>
      <c r="AR1283" s="16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7"/>
    </row>
    <row r="1284" spans="7:54" x14ac:dyDescent="0.15">
      <c r="G1284" s="7"/>
      <c r="H1284" s="16"/>
      <c r="I1284" s="16"/>
      <c r="J1284" s="16"/>
      <c r="K1284" s="16"/>
      <c r="L1284" s="16"/>
      <c r="M1284" s="16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24"/>
      <c r="AC1284" s="16"/>
      <c r="AD1284" s="16"/>
      <c r="AE1284" s="16"/>
      <c r="AF1284" s="16"/>
      <c r="AG1284" s="14"/>
      <c r="AH1284" s="14"/>
      <c r="AI1284" s="24"/>
      <c r="AJ1284" s="24"/>
      <c r="AK1284" s="24"/>
      <c r="AL1284" s="16"/>
      <c r="AM1284" s="16"/>
      <c r="AN1284" s="16"/>
      <c r="AO1284" s="16"/>
      <c r="AP1284" s="16"/>
      <c r="AQ1284" s="16"/>
      <c r="AR1284" s="16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7"/>
    </row>
    <row r="1285" spans="7:54" x14ac:dyDescent="0.15">
      <c r="G1285" s="7"/>
      <c r="H1285" s="16"/>
      <c r="I1285" s="16"/>
      <c r="J1285" s="16"/>
      <c r="K1285" s="16"/>
      <c r="L1285" s="16"/>
      <c r="M1285" s="16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24"/>
      <c r="AC1285" s="16"/>
      <c r="AD1285" s="16"/>
      <c r="AE1285" s="16"/>
      <c r="AF1285" s="16"/>
      <c r="AG1285" s="14"/>
      <c r="AH1285" s="14"/>
      <c r="AI1285" s="24"/>
      <c r="AJ1285" s="24"/>
      <c r="AK1285" s="24"/>
      <c r="AL1285" s="16"/>
      <c r="AM1285" s="16"/>
      <c r="AN1285" s="16"/>
      <c r="AO1285" s="16"/>
      <c r="AP1285" s="16"/>
      <c r="AQ1285" s="16"/>
      <c r="AR1285" s="16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7"/>
    </row>
    <row r="1286" spans="7:54" x14ac:dyDescent="0.15">
      <c r="G1286" s="7"/>
      <c r="H1286" s="16"/>
      <c r="I1286" s="16"/>
      <c r="J1286" s="16"/>
      <c r="K1286" s="16"/>
      <c r="L1286" s="16"/>
      <c r="M1286" s="16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24"/>
      <c r="AC1286" s="16"/>
      <c r="AD1286" s="16"/>
      <c r="AE1286" s="16"/>
      <c r="AF1286" s="16"/>
      <c r="AG1286" s="14"/>
      <c r="AH1286" s="14"/>
      <c r="AI1286" s="24"/>
      <c r="AJ1286" s="24"/>
      <c r="AK1286" s="24"/>
      <c r="AL1286" s="16"/>
      <c r="AM1286" s="16"/>
      <c r="AN1286" s="16"/>
      <c r="AO1286" s="16"/>
      <c r="AP1286" s="16"/>
      <c r="AQ1286" s="16"/>
      <c r="AR1286" s="16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7"/>
    </row>
    <row r="1287" spans="7:54" x14ac:dyDescent="0.15">
      <c r="G1287" s="7"/>
      <c r="H1287" s="16"/>
      <c r="I1287" s="16"/>
      <c r="J1287" s="16"/>
      <c r="K1287" s="16"/>
      <c r="L1287" s="16"/>
      <c r="M1287" s="16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24"/>
      <c r="AC1287" s="16"/>
      <c r="AD1287" s="16"/>
      <c r="AE1287" s="16"/>
      <c r="AF1287" s="16"/>
      <c r="AG1287" s="14"/>
      <c r="AH1287" s="14"/>
      <c r="AI1287" s="24"/>
      <c r="AJ1287" s="24"/>
      <c r="AK1287" s="24"/>
      <c r="AL1287" s="16"/>
      <c r="AM1287" s="16"/>
      <c r="AN1287" s="16"/>
      <c r="AO1287" s="16"/>
      <c r="AP1287" s="16"/>
      <c r="AQ1287" s="16"/>
      <c r="AR1287" s="16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7"/>
    </row>
    <row r="1288" spans="7:54" x14ac:dyDescent="0.15">
      <c r="G1288" s="7"/>
      <c r="H1288" s="16"/>
      <c r="I1288" s="16"/>
      <c r="J1288" s="16"/>
      <c r="K1288" s="16"/>
      <c r="L1288" s="16"/>
      <c r="M1288" s="16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24"/>
      <c r="AC1288" s="16"/>
      <c r="AD1288" s="16"/>
      <c r="AE1288" s="16"/>
      <c r="AF1288" s="16"/>
      <c r="AG1288" s="14"/>
      <c r="AH1288" s="14"/>
      <c r="AI1288" s="24"/>
      <c r="AJ1288" s="24"/>
      <c r="AK1288" s="24"/>
      <c r="AL1288" s="16"/>
      <c r="AM1288" s="16"/>
      <c r="AN1288" s="16"/>
      <c r="AO1288" s="16"/>
      <c r="AP1288" s="16"/>
      <c r="AQ1288" s="16"/>
      <c r="AR1288" s="16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7"/>
    </row>
    <row r="1289" spans="7:54" x14ac:dyDescent="0.15">
      <c r="G1289" s="7"/>
      <c r="H1289" s="16"/>
      <c r="I1289" s="16"/>
      <c r="J1289" s="16"/>
      <c r="K1289" s="16"/>
      <c r="L1289" s="16"/>
      <c r="M1289" s="16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24"/>
      <c r="AC1289" s="16"/>
      <c r="AD1289" s="16"/>
      <c r="AE1289" s="16"/>
      <c r="AF1289" s="16"/>
      <c r="AG1289" s="14"/>
      <c r="AH1289" s="14"/>
      <c r="AI1289" s="24"/>
      <c r="AJ1289" s="24"/>
      <c r="AK1289" s="24"/>
      <c r="AL1289" s="16"/>
      <c r="AM1289" s="16"/>
      <c r="AN1289" s="16"/>
      <c r="AO1289" s="16"/>
      <c r="AP1289" s="16"/>
      <c r="AQ1289" s="16"/>
      <c r="AR1289" s="16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7"/>
    </row>
    <row r="1290" spans="7:54" x14ac:dyDescent="0.15">
      <c r="G1290" s="7"/>
      <c r="H1290" s="16"/>
      <c r="I1290" s="16"/>
      <c r="J1290" s="16"/>
      <c r="K1290" s="16"/>
      <c r="L1290" s="16"/>
      <c r="M1290" s="16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24"/>
      <c r="AC1290" s="16"/>
      <c r="AD1290" s="16"/>
      <c r="AE1290" s="16"/>
      <c r="AF1290" s="16"/>
      <c r="AG1290" s="14"/>
      <c r="AH1290" s="14"/>
      <c r="AI1290" s="24"/>
      <c r="AJ1290" s="24"/>
      <c r="AK1290" s="24"/>
      <c r="AL1290" s="16"/>
      <c r="AM1290" s="16"/>
      <c r="AN1290" s="16"/>
      <c r="AO1290" s="16"/>
      <c r="AP1290" s="16"/>
      <c r="AQ1290" s="16"/>
      <c r="AR1290" s="16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7"/>
    </row>
    <row r="1291" spans="7:54" x14ac:dyDescent="0.15">
      <c r="G1291" s="7"/>
      <c r="H1291" s="16"/>
      <c r="I1291" s="16"/>
      <c r="J1291" s="16"/>
      <c r="K1291" s="16"/>
      <c r="L1291" s="16"/>
      <c r="M1291" s="16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24"/>
      <c r="AC1291" s="16"/>
      <c r="AD1291" s="16"/>
      <c r="AE1291" s="16"/>
      <c r="AF1291" s="16"/>
      <c r="AG1291" s="14"/>
      <c r="AH1291" s="14"/>
      <c r="AI1291" s="24"/>
      <c r="AJ1291" s="24"/>
      <c r="AK1291" s="24"/>
      <c r="AL1291" s="16"/>
      <c r="AM1291" s="16"/>
      <c r="AN1291" s="16"/>
      <c r="AO1291" s="16"/>
      <c r="AP1291" s="16"/>
      <c r="AQ1291" s="16"/>
      <c r="AR1291" s="16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7"/>
    </row>
    <row r="1292" spans="7:54" x14ac:dyDescent="0.15">
      <c r="G1292" s="7"/>
      <c r="H1292" s="16"/>
      <c r="I1292" s="16"/>
      <c r="J1292" s="16"/>
      <c r="K1292" s="16"/>
      <c r="L1292" s="16"/>
      <c r="M1292" s="16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24"/>
      <c r="AC1292" s="16"/>
      <c r="AD1292" s="16"/>
      <c r="AE1292" s="16"/>
      <c r="AF1292" s="16"/>
      <c r="AG1292" s="14"/>
      <c r="AH1292" s="14"/>
      <c r="AI1292" s="24"/>
      <c r="AJ1292" s="24"/>
      <c r="AK1292" s="24"/>
      <c r="AL1292" s="16"/>
      <c r="AM1292" s="16"/>
      <c r="AN1292" s="16"/>
      <c r="AO1292" s="16"/>
      <c r="AP1292" s="16"/>
      <c r="AQ1292" s="16"/>
      <c r="AR1292" s="16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7"/>
    </row>
    <row r="1293" spans="7:54" x14ac:dyDescent="0.15">
      <c r="G1293" s="7"/>
      <c r="H1293" s="16"/>
      <c r="I1293" s="16"/>
      <c r="J1293" s="16"/>
      <c r="K1293" s="16"/>
      <c r="L1293" s="16"/>
      <c r="M1293" s="16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24"/>
      <c r="AC1293" s="16"/>
      <c r="AD1293" s="16"/>
      <c r="AE1293" s="16"/>
      <c r="AF1293" s="16"/>
      <c r="AG1293" s="14"/>
      <c r="AH1293" s="14"/>
      <c r="AI1293" s="24"/>
      <c r="AJ1293" s="24"/>
      <c r="AK1293" s="24"/>
      <c r="AL1293" s="16"/>
      <c r="AM1293" s="16"/>
      <c r="AN1293" s="16"/>
      <c r="AO1293" s="16"/>
      <c r="AP1293" s="16"/>
      <c r="AQ1293" s="16"/>
      <c r="AR1293" s="16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7"/>
    </row>
    <row r="1294" spans="7:54" x14ac:dyDescent="0.15">
      <c r="G1294" s="7"/>
      <c r="H1294" s="16"/>
      <c r="I1294" s="16"/>
      <c r="J1294" s="16"/>
      <c r="K1294" s="16"/>
      <c r="L1294" s="16"/>
      <c r="M1294" s="16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24"/>
      <c r="AC1294" s="16"/>
      <c r="AD1294" s="16"/>
      <c r="AE1294" s="16"/>
      <c r="AF1294" s="16"/>
      <c r="AG1294" s="14"/>
      <c r="AH1294" s="14"/>
      <c r="AI1294" s="24"/>
      <c r="AJ1294" s="24"/>
      <c r="AK1294" s="24"/>
      <c r="AL1294" s="16"/>
      <c r="AM1294" s="16"/>
      <c r="AN1294" s="16"/>
      <c r="AO1294" s="16"/>
      <c r="AP1294" s="16"/>
      <c r="AQ1294" s="16"/>
      <c r="AR1294" s="16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7"/>
    </row>
    <row r="1295" spans="7:54" x14ac:dyDescent="0.15">
      <c r="G1295" s="7"/>
      <c r="H1295" s="16"/>
      <c r="I1295" s="16"/>
      <c r="J1295" s="16"/>
      <c r="K1295" s="16"/>
      <c r="L1295" s="16"/>
      <c r="M1295" s="16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24"/>
      <c r="AC1295" s="16"/>
      <c r="AD1295" s="16"/>
      <c r="AE1295" s="16"/>
      <c r="AF1295" s="16"/>
      <c r="AG1295" s="14"/>
      <c r="AH1295" s="14"/>
      <c r="AI1295" s="24"/>
      <c r="AJ1295" s="24"/>
      <c r="AK1295" s="24"/>
      <c r="AL1295" s="16"/>
      <c r="AM1295" s="16"/>
      <c r="AN1295" s="16"/>
      <c r="AO1295" s="16"/>
      <c r="AP1295" s="16"/>
      <c r="AQ1295" s="16"/>
      <c r="AR1295" s="16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7"/>
    </row>
    <row r="1296" spans="7:54" x14ac:dyDescent="0.15">
      <c r="G1296" s="7"/>
      <c r="H1296" s="16"/>
      <c r="I1296" s="16"/>
      <c r="J1296" s="16"/>
      <c r="K1296" s="16"/>
      <c r="L1296" s="16"/>
      <c r="M1296" s="16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24"/>
      <c r="AC1296" s="16"/>
      <c r="AD1296" s="16"/>
      <c r="AE1296" s="16"/>
      <c r="AF1296" s="16"/>
      <c r="AG1296" s="14"/>
      <c r="AH1296" s="14"/>
      <c r="AI1296" s="24"/>
      <c r="AJ1296" s="24"/>
      <c r="AK1296" s="24"/>
      <c r="AL1296" s="16"/>
      <c r="AM1296" s="16"/>
      <c r="AN1296" s="16"/>
      <c r="AO1296" s="16"/>
      <c r="AP1296" s="16"/>
      <c r="AQ1296" s="16"/>
      <c r="AR1296" s="16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7"/>
    </row>
    <row r="1297" spans="7:54" x14ac:dyDescent="0.15">
      <c r="G1297" s="7"/>
      <c r="H1297" s="16"/>
      <c r="I1297" s="16"/>
      <c r="J1297" s="16"/>
      <c r="K1297" s="16"/>
      <c r="L1297" s="16"/>
      <c r="M1297" s="16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24"/>
      <c r="AC1297" s="16"/>
      <c r="AD1297" s="16"/>
      <c r="AE1297" s="16"/>
      <c r="AF1297" s="16"/>
      <c r="AG1297" s="14"/>
      <c r="AH1297" s="14"/>
      <c r="AI1297" s="24"/>
      <c r="AJ1297" s="24"/>
      <c r="AK1297" s="24"/>
      <c r="AL1297" s="16"/>
      <c r="AM1297" s="16"/>
      <c r="AN1297" s="16"/>
      <c r="AO1297" s="16"/>
      <c r="AP1297" s="16"/>
      <c r="AQ1297" s="16"/>
      <c r="AR1297" s="16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7"/>
    </row>
    <row r="1298" spans="7:54" x14ac:dyDescent="0.15">
      <c r="G1298" s="7"/>
      <c r="H1298" s="16"/>
      <c r="I1298" s="16"/>
      <c r="J1298" s="16"/>
      <c r="K1298" s="16"/>
      <c r="L1298" s="16"/>
      <c r="M1298" s="16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24"/>
      <c r="AC1298" s="16"/>
      <c r="AD1298" s="16"/>
      <c r="AE1298" s="16"/>
      <c r="AF1298" s="16"/>
      <c r="AG1298" s="14"/>
      <c r="AH1298" s="14"/>
      <c r="AI1298" s="24"/>
      <c r="AJ1298" s="24"/>
      <c r="AK1298" s="24"/>
      <c r="AL1298" s="16"/>
      <c r="AM1298" s="16"/>
      <c r="AN1298" s="16"/>
      <c r="AO1298" s="16"/>
      <c r="AP1298" s="16"/>
      <c r="AQ1298" s="16"/>
      <c r="AR1298" s="16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7"/>
    </row>
    <row r="1299" spans="7:54" x14ac:dyDescent="0.15">
      <c r="G1299" s="7"/>
      <c r="H1299" s="16"/>
      <c r="I1299" s="16"/>
      <c r="J1299" s="16"/>
      <c r="K1299" s="16"/>
      <c r="L1299" s="16"/>
      <c r="M1299" s="16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24"/>
      <c r="AC1299" s="16"/>
      <c r="AD1299" s="16"/>
      <c r="AE1299" s="16"/>
      <c r="AF1299" s="16"/>
      <c r="AG1299" s="14"/>
      <c r="AH1299" s="14"/>
      <c r="AI1299" s="24"/>
      <c r="AJ1299" s="24"/>
      <c r="AK1299" s="24"/>
      <c r="AL1299" s="16"/>
      <c r="AM1299" s="16"/>
      <c r="AN1299" s="16"/>
      <c r="AO1299" s="16"/>
      <c r="AP1299" s="16"/>
      <c r="AQ1299" s="16"/>
      <c r="AR1299" s="16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7"/>
    </row>
    <row r="1300" spans="7:54" x14ac:dyDescent="0.15">
      <c r="G1300" s="7"/>
      <c r="H1300" s="16"/>
      <c r="I1300" s="16"/>
      <c r="J1300" s="16"/>
      <c r="K1300" s="16"/>
      <c r="L1300" s="16"/>
      <c r="M1300" s="16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24"/>
      <c r="AC1300" s="16"/>
      <c r="AD1300" s="16"/>
      <c r="AE1300" s="16"/>
      <c r="AF1300" s="16"/>
      <c r="AG1300" s="14"/>
      <c r="AH1300" s="14"/>
      <c r="AI1300" s="24"/>
      <c r="AJ1300" s="24"/>
      <c r="AK1300" s="24"/>
      <c r="AL1300" s="16"/>
      <c r="AM1300" s="16"/>
      <c r="AN1300" s="16"/>
      <c r="AO1300" s="16"/>
      <c r="AP1300" s="16"/>
      <c r="AQ1300" s="16"/>
      <c r="AR1300" s="16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7"/>
    </row>
    <row r="1301" spans="7:54" x14ac:dyDescent="0.15">
      <c r="G1301" s="7"/>
      <c r="H1301" s="16"/>
      <c r="I1301" s="16"/>
      <c r="J1301" s="16"/>
      <c r="K1301" s="16"/>
      <c r="L1301" s="16"/>
      <c r="M1301" s="16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24"/>
      <c r="AC1301" s="16"/>
      <c r="AD1301" s="16"/>
      <c r="AE1301" s="16"/>
      <c r="AF1301" s="16"/>
      <c r="AG1301" s="14"/>
      <c r="AH1301" s="14"/>
      <c r="AI1301" s="24"/>
      <c r="AJ1301" s="24"/>
      <c r="AK1301" s="24"/>
      <c r="AL1301" s="16"/>
      <c r="AM1301" s="16"/>
      <c r="AN1301" s="16"/>
      <c r="AO1301" s="16"/>
      <c r="AP1301" s="16"/>
      <c r="AQ1301" s="16"/>
      <c r="AR1301" s="16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7"/>
    </row>
    <row r="1302" spans="7:54" x14ac:dyDescent="0.15">
      <c r="G1302" s="7"/>
      <c r="H1302" s="16"/>
      <c r="I1302" s="16"/>
      <c r="J1302" s="16"/>
      <c r="K1302" s="16"/>
      <c r="L1302" s="16"/>
      <c r="M1302" s="16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24"/>
      <c r="AC1302" s="16"/>
      <c r="AD1302" s="16"/>
      <c r="AE1302" s="16"/>
      <c r="AF1302" s="16"/>
      <c r="AG1302" s="14"/>
      <c r="AH1302" s="14"/>
      <c r="AI1302" s="24"/>
      <c r="AJ1302" s="24"/>
      <c r="AK1302" s="24"/>
      <c r="AL1302" s="16"/>
      <c r="AM1302" s="16"/>
      <c r="AN1302" s="16"/>
      <c r="AO1302" s="16"/>
      <c r="AP1302" s="16"/>
      <c r="AQ1302" s="16"/>
      <c r="AR1302" s="16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7"/>
    </row>
    <row r="1303" spans="7:54" x14ac:dyDescent="0.15">
      <c r="G1303" s="7"/>
      <c r="H1303" s="16"/>
      <c r="I1303" s="16"/>
      <c r="J1303" s="16"/>
      <c r="K1303" s="16"/>
      <c r="L1303" s="16"/>
      <c r="M1303" s="16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24"/>
      <c r="AC1303" s="16"/>
      <c r="AD1303" s="16"/>
      <c r="AE1303" s="16"/>
      <c r="AF1303" s="16"/>
      <c r="AG1303" s="14"/>
      <c r="AH1303" s="14"/>
      <c r="AI1303" s="24"/>
      <c r="AJ1303" s="24"/>
      <c r="AK1303" s="24"/>
      <c r="AL1303" s="16"/>
      <c r="AM1303" s="16"/>
      <c r="AN1303" s="16"/>
      <c r="AO1303" s="16"/>
      <c r="AP1303" s="16"/>
      <c r="AQ1303" s="16"/>
      <c r="AR1303" s="16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7"/>
    </row>
    <row r="1304" spans="7:54" x14ac:dyDescent="0.15">
      <c r="G1304" s="7"/>
      <c r="H1304" s="16"/>
      <c r="I1304" s="16"/>
      <c r="J1304" s="16"/>
      <c r="K1304" s="16"/>
      <c r="L1304" s="16"/>
      <c r="M1304" s="16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24"/>
      <c r="AC1304" s="16"/>
      <c r="AD1304" s="16"/>
      <c r="AE1304" s="16"/>
      <c r="AF1304" s="16"/>
      <c r="AG1304" s="14"/>
      <c r="AH1304" s="14"/>
      <c r="AI1304" s="24"/>
      <c r="AJ1304" s="24"/>
      <c r="AK1304" s="24"/>
      <c r="AL1304" s="16"/>
      <c r="AM1304" s="16"/>
      <c r="AN1304" s="16"/>
      <c r="AO1304" s="16"/>
      <c r="AP1304" s="16"/>
      <c r="AQ1304" s="16"/>
      <c r="AR1304" s="16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7"/>
    </row>
    <row r="1305" spans="7:54" x14ac:dyDescent="0.15">
      <c r="G1305" s="7"/>
      <c r="H1305" s="16"/>
      <c r="I1305" s="16"/>
      <c r="J1305" s="16"/>
      <c r="K1305" s="16"/>
      <c r="L1305" s="16"/>
      <c r="M1305" s="16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24"/>
      <c r="AC1305" s="16"/>
      <c r="AD1305" s="16"/>
      <c r="AE1305" s="16"/>
      <c r="AF1305" s="16"/>
      <c r="AG1305" s="14"/>
      <c r="AH1305" s="14"/>
      <c r="AI1305" s="24"/>
      <c r="AJ1305" s="24"/>
      <c r="AK1305" s="24"/>
      <c r="AL1305" s="16"/>
      <c r="AM1305" s="16"/>
      <c r="AN1305" s="16"/>
      <c r="AO1305" s="16"/>
      <c r="AP1305" s="16"/>
      <c r="AQ1305" s="16"/>
      <c r="AR1305" s="16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7"/>
    </row>
    <row r="1306" spans="7:54" x14ac:dyDescent="0.15">
      <c r="G1306" s="7"/>
      <c r="H1306" s="16"/>
      <c r="I1306" s="16"/>
      <c r="J1306" s="16"/>
      <c r="K1306" s="16"/>
      <c r="L1306" s="16"/>
      <c r="M1306" s="16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24"/>
      <c r="AC1306" s="16"/>
      <c r="AD1306" s="16"/>
      <c r="AE1306" s="16"/>
      <c r="AF1306" s="16"/>
      <c r="AG1306" s="14"/>
      <c r="AH1306" s="14"/>
      <c r="AI1306" s="24"/>
      <c r="AJ1306" s="24"/>
      <c r="AK1306" s="24"/>
      <c r="AL1306" s="16"/>
      <c r="AM1306" s="16"/>
      <c r="AN1306" s="16"/>
      <c r="AO1306" s="16"/>
      <c r="AP1306" s="16"/>
      <c r="AQ1306" s="16"/>
      <c r="AR1306" s="16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7"/>
    </row>
    <row r="1307" spans="7:54" x14ac:dyDescent="0.15">
      <c r="G1307" s="7"/>
      <c r="H1307" s="16"/>
      <c r="I1307" s="16"/>
      <c r="J1307" s="16"/>
      <c r="K1307" s="16"/>
      <c r="L1307" s="16"/>
      <c r="M1307" s="16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24"/>
      <c r="AC1307" s="16"/>
      <c r="AD1307" s="16"/>
      <c r="AE1307" s="16"/>
      <c r="AF1307" s="16"/>
      <c r="AG1307" s="14"/>
      <c r="AH1307" s="14"/>
      <c r="AI1307" s="24"/>
      <c r="AJ1307" s="24"/>
      <c r="AK1307" s="24"/>
      <c r="AL1307" s="16"/>
      <c r="AM1307" s="16"/>
      <c r="AN1307" s="16"/>
      <c r="AO1307" s="16"/>
      <c r="AP1307" s="16"/>
      <c r="AQ1307" s="16"/>
      <c r="AR1307" s="16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7"/>
    </row>
    <row r="1308" spans="7:54" x14ac:dyDescent="0.15">
      <c r="G1308" s="7"/>
      <c r="H1308" s="16"/>
      <c r="I1308" s="16"/>
      <c r="J1308" s="16"/>
      <c r="K1308" s="16"/>
      <c r="L1308" s="16"/>
      <c r="M1308" s="16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24"/>
      <c r="AC1308" s="16"/>
      <c r="AD1308" s="16"/>
      <c r="AE1308" s="16"/>
      <c r="AF1308" s="16"/>
      <c r="AG1308" s="14"/>
      <c r="AH1308" s="14"/>
      <c r="AI1308" s="24"/>
      <c r="AJ1308" s="24"/>
      <c r="AK1308" s="24"/>
      <c r="AL1308" s="16"/>
      <c r="AM1308" s="16"/>
      <c r="AN1308" s="16"/>
      <c r="AO1308" s="16"/>
      <c r="AP1308" s="16"/>
      <c r="AQ1308" s="16"/>
      <c r="AR1308" s="16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7"/>
    </row>
    <row r="1309" spans="7:54" x14ac:dyDescent="0.15">
      <c r="G1309" s="7"/>
      <c r="H1309" s="16"/>
      <c r="I1309" s="16"/>
      <c r="J1309" s="16"/>
      <c r="K1309" s="16"/>
      <c r="L1309" s="16"/>
      <c r="M1309" s="16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24"/>
      <c r="AC1309" s="16"/>
      <c r="AD1309" s="16"/>
      <c r="AE1309" s="16"/>
      <c r="AF1309" s="16"/>
      <c r="AG1309" s="14"/>
      <c r="AH1309" s="14"/>
      <c r="AI1309" s="24"/>
      <c r="AJ1309" s="24"/>
      <c r="AK1309" s="24"/>
      <c r="AL1309" s="16"/>
      <c r="AM1309" s="16"/>
      <c r="AN1309" s="16"/>
      <c r="AO1309" s="16"/>
      <c r="AP1309" s="16"/>
      <c r="AQ1309" s="16"/>
      <c r="AR1309" s="16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7"/>
    </row>
    <row r="1310" spans="7:54" x14ac:dyDescent="0.15">
      <c r="G1310" s="7"/>
      <c r="H1310" s="16"/>
      <c r="I1310" s="16"/>
      <c r="J1310" s="16"/>
      <c r="K1310" s="16"/>
      <c r="L1310" s="16"/>
      <c r="M1310" s="16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24"/>
      <c r="AC1310" s="16"/>
      <c r="AD1310" s="16"/>
      <c r="AE1310" s="16"/>
      <c r="AF1310" s="16"/>
      <c r="AG1310" s="14"/>
      <c r="AH1310" s="14"/>
      <c r="AI1310" s="24"/>
      <c r="AJ1310" s="24"/>
      <c r="AK1310" s="24"/>
      <c r="AL1310" s="16"/>
      <c r="AM1310" s="16"/>
      <c r="AN1310" s="16"/>
      <c r="AO1310" s="16"/>
      <c r="AP1310" s="16"/>
      <c r="AQ1310" s="16"/>
      <c r="AR1310" s="16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7"/>
    </row>
    <row r="1311" spans="7:54" x14ac:dyDescent="0.15">
      <c r="G1311" s="7"/>
      <c r="H1311" s="16"/>
      <c r="I1311" s="16"/>
      <c r="J1311" s="16"/>
      <c r="K1311" s="16"/>
      <c r="L1311" s="16"/>
      <c r="M1311" s="16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24"/>
      <c r="AC1311" s="16"/>
      <c r="AD1311" s="16"/>
      <c r="AE1311" s="16"/>
      <c r="AF1311" s="16"/>
      <c r="AG1311" s="14"/>
      <c r="AH1311" s="14"/>
      <c r="AI1311" s="24"/>
      <c r="AJ1311" s="24"/>
      <c r="AK1311" s="24"/>
      <c r="AL1311" s="16"/>
      <c r="AM1311" s="16"/>
      <c r="AN1311" s="16"/>
      <c r="AO1311" s="16"/>
      <c r="AP1311" s="16"/>
      <c r="AQ1311" s="16"/>
      <c r="AR1311" s="16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7"/>
    </row>
    <row r="1312" spans="7:54" x14ac:dyDescent="0.15">
      <c r="G1312" s="7"/>
      <c r="H1312" s="16"/>
      <c r="I1312" s="16"/>
      <c r="J1312" s="16"/>
      <c r="K1312" s="16"/>
      <c r="L1312" s="16"/>
      <c r="M1312" s="16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24"/>
      <c r="AC1312" s="16"/>
      <c r="AD1312" s="16"/>
      <c r="AE1312" s="16"/>
      <c r="AF1312" s="16"/>
      <c r="AG1312" s="14"/>
      <c r="AH1312" s="14"/>
      <c r="AI1312" s="24"/>
      <c r="AJ1312" s="24"/>
      <c r="AK1312" s="24"/>
      <c r="AL1312" s="16"/>
      <c r="AM1312" s="16"/>
      <c r="AN1312" s="16"/>
      <c r="AO1312" s="16"/>
      <c r="AP1312" s="16"/>
      <c r="AQ1312" s="16"/>
      <c r="AR1312" s="16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7"/>
    </row>
    <row r="1313" spans="7:54" x14ac:dyDescent="0.15">
      <c r="G1313" s="7"/>
      <c r="H1313" s="16"/>
      <c r="I1313" s="16"/>
      <c r="J1313" s="16"/>
      <c r="K1313" s="16"/>
      <c r="L1313" s="16"/>
      <c r="M1313" s="16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24"/>
      <c r="AC1313" s="16"/>
      <c r="AD1313" s="16"/>
      <c r="AE1313" s="16"/>
      <c r="AF1313" s="16"/>
      <c r="AG1313" s="14"/>
      <c r="AH1313" s="14"/>
      <c r="AI1313" s="24"/>
      <c r="AJ1313" s="24"/>
      <c r="AK1313" s="24"/>
      <c r="AL1313" s="16"/>
      <c r="AM1313" s="16"/>
      <c r="AN1313" s="16"/>
      <c r="AO1313" s="16"/>
      <c r="AP1313" s="16"/>
      <c r="AQ1313" s="16"/>
      <c r="AR1313" s="16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7"/>
    </row>
    <row r="1314" spans="7:54" x14ac:dyDescent="0.15">
      <c r="G1314" s="7"/>
      <c r="H1314" s="16"/>
      <c r="I1314" s="16"/>
      <c r="J1314" s="16"/>
      <c r="K1314" s="16"/>
      <c r="L1314" s="16"/>
      <c r="M1314" s="16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24"/>
      <c r="AC1314" s="16"/>
      <c r="AD1314" s="16"/>
      <c r="AE1314" s="16"/>
      <c r="AF1314" s="16"/>
      <c r="AG1314" s="14"/>
      <c r="AH1314" s="14"/>
      <c r="AI1314" s="24"/>
      <c r="AJ1314" s="24"/>
      <c r="AK1314" s="24"/>
      <c r="AL1314" s="16"/>
      <c r="AM1314" s="16"/>
      <c r="AN1314" s="16"/>
      <c r="AO1314" s="16"/>
      <c r="AP1314" s="16"/>
      <c r="AQ1314" s="16"/>
      <c r="AR1314" s="16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7"/>
    </row>
    <row r="1315" spans="7:54" x14ac:dyDescent="0.15">
      <c r="G1315" s="7"/>
      <c r="H1315" s="16"/>
      <c r="I1315" s="16"/>
      <c r="J1315" s="16"/>
      <c r="K1315" s="16"/>
      <c r="L1315" s="16"/>
      <c r="M1315" s="16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24"/>
      <c r="AC1315" s="16"/>
      <c r="AD1315" s="16"/>
      <c r="AE1315" s="16"/>
      <c r="AF1315" s="16"/>
      <c r="AG1315" s="14"/>
      <c r="AH1315" s="14"/>
      <c r="AI1315" s="24"/>
      <c r="AJ1315" s="24"/>
      <c r="AK1315" s="24"/>
      <c r="AL1315" s="16"/>
      <c r="AM1315" s="16"/>
      <c r="AN1315" s="16"/>
      <c r="AO1315" s="16"/>
      <c r="AP1315" s="16"/>
      <c r="AQ1315" s="16"/>
      <c r="AR1315" s="16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7"/>
    </row>
    <row r="1316" spans="7:54" x14ac:dyDescent="0.15">
      <c r="G1316" s="7"/>
      <c r="H1316" s="16"/>
      <c r="I1316" s="16"/>
      <c r="J1316" s="16"/>
      <c r="K1316" s="16"/>
      <c r="L1316" s="16"/>
      <c r="M1316" s="16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24"/>
      <c r="AC1316" s="16"/>
      <c r="AD1316" s="16"/>
      <c r="AE1316" s="16"/>
      <c r="AF1316" s="16"/>
      <c r="AG1316" s="14"/>
      <c r="AH1316" s="14"/>
      <c r="AI1316" s="24"/>
      <c r="AJ1316" s="24"/>
      <c r="AK1316" s="24"/>
      <c r="AL1316" s="16"/>
      <c r="AM1316" s="16"/>
      <c r="AN1316" s="16"/>
      <c r="AO1316" s="16"/>
      <c r="AP1316" s="16"/>
      <c r="AQ1316" s="16"/>
      <c r="AR1316" s="16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7"/>
    </row>
    <row r="1317" spans="7:54" x14ac:dyDescent="0.15">
      <c r="G1317" s="7"/>
      <c r="H1317" s="16"/>
      <c r="I1317" s="16"/>
      <c r="J1317" s="16"/>
      <c r="K1317" s="16"/>
      <c r="L1317" s="16"/>
      <c r="M1317" s="16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24"/>
      <c r="AC1317" s="16"/>
      <c r="AD1317" s="16"/>
      <c r="AE1317" s="16"/>
      <c r="AF1317" s="16"/>
      <c r="AG1317" s="14"/>
      <c r="AH1317" s="14"/>
      <c r="AI1317" s="24"/>
      <c r="AJ1317" s="24"/>
      <c r="AK1317" s="24"/>
      <c r="AL1317" s="16"/>
      <c r="AM1317" s="16"/>
      <c r="AN1317" s="16"/>
      <c r="AO1317" s="16"/>
      <c r="AP1317" s="16"/>
      <c r="AQ1317" s="16"/>
      <c r="AR1317" s="16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7"/>
    </row>
    <row r="1318" spans="7:54" x14ac:dyDescent="0.15">
      <c r="G1318" s="7"/>
      <c r="H1318" s="16"/>
      <c r="I1318" s="16"/>
      <c r="J1318" s="16"/>
      <c r="K1318" s="16"/>
      <c r="L1318" s="16"/>
      <c r="M1318" s="16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24"/>
      <c r="AC1318" s="16"/>
      <c r="AD1318" s="16"/>
      <c r="AE1318" s="16"/>
      <c r="AF1318" s="16"/>
      <c r="AG1318" s="14"/>
      <c r="AH1318" s="14"/>
      <c r="AI1318" s="24"/>
      <c r="AJ1318" s="24"/>
      <c r="AK1318" s="24"/>
      <c r="AL1318" s="16"/>
      <c r="AM1318" s="16"/>
      <c r="AN1318" s="16"/>
      <c r="AO1318" s="16"/>
      <c r="AP1318" s="16"/>
      <c r="AQ1318" s="16"/>
      <c r="AR1318" s="16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7"/>
    </row>
    <row r="1319" spans="7:54" x14ac:dyDescent="0.15">
      <c r="G1319" s="7"/>
      <c r="H1319" s="16"/>
      <c r="I1319" s="16"/>
      <c r="J1319" s="16"/>
      <c r="K1319" s="16"/>
      <c r="L1319" s="16"/>
      <c r="M1319" s="16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24"/>
      <c r="AC1319" s="16"/>
      <c r="AD1319" s="16"/>
      <c r="AE1319" s="16"/>
      <c r="AF1319" s="16"/>
      <c r="AG1319" s="14"/>
      <c r="AH1319" s="14"/>
      <c r="AI1319" s="24"/>
      <c r="AJ1319" s="24"/>
      <c r="AK1319" s="24"/>
      <c r="AL1319" s="16"/>
      <c r="AM1319" s="16"/>
      <c r="AN1319" s="16"/>
      <c r="AO1319" s="16"/>
      <c r="AP1319" s="16"/>
      <c r="AQ1319" s="16"/>
      <c r="AR1319" s="16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7"/>
    </row>
    <row r="1320" spans="7:54" x14ac:dyDescent="0.15">
      <c r="G1320" s="7"/>
      <c r="H1320" s="16"/>
      <c r="I1320" s="16"/>
      <c r="J1320" s="16"/>
      <c r="K1320" s="16"/>
      <c r="L1320" s="16"/>
      <c r="M1320" s="16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24"/>
      <c r="AC1320" s="16"/>
      <c r="AD1320" s="16"/>
      <c r="AE1320" s="16"/>
      <c r="AF1320" s="16"/>
      <c r="AG1320" s="14"/>
      <c r="AH1320" s="14"/>
      <c r="AI1320" s="24"/>
      <c r="AJ1320" s="24"/>
      <c r="AK1320" s="24"/>
      <c r="AL1320" s="16"/>
      <c r="AM1320" s="16"/>
      <c r="AN1320" s="16"/>
      <c r="AO1320" s="16"/>
      <c r="AP1320" s="16"/>
      <c r="AQ1320" s="16"/>
      <c r="AR1320" s="16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7"/>
    </row>
    <row r="1321" spans="7:54" x14ac:dyDescent="0.15">
      <c r="G1321" s="7"/>
      <c r="H1321" s="16"/>
      <c r="I1321" s="16"/>
      <c r="J1321" s="16"/>
      <c r="K1321" s="16"/>
      <c r="L1321" s="16"/>
      <c r="M1321" s="16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24"/>
      <c r="AC1321" s="16"/>
      <c r="AD1321" s="16"/>
      <c r="AE1321" s="16"/>
      <c r="AF1321" s="16"/>
      <c r="AG1321" s="14"/>
      <c r="AH1321" s="14"/>
      <c r="AI1321" s="24"/>
      <c r="AJ1321" s="24"/>
      <c r="AK1321" s="24"/>
      <c r="AL1321" s="16"/>
      <c r="AM1321" s="16"/>
      <c r="AN1321" s="16"/>
      <c r="AO1321" s="16"/>
      <c r="AP1321" s="16"/>
      <c r="AQ1321" s="16"/>
      <c r="AR1321" s="16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7"/>
    </row>
    <row r="1322" spans="7:54" x14ac:dyDescent="0.15">
      <c r="G1322" s="7"/>
      <c r="H1322" s="16"/>
      <c r="I1322" s="16"/>
      <c r="J1322" s="16"/>
      <c r="K1322" s="16"/>
      <c r="L1322" s="16"/>
      <c r="M1322" s="16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24"/>
      <c r="AC1322" s="16"/>
      <c r="AD1322" s="16"/>
      <c r="AE1322" s="16"/>
      <c r="AF1322" s="16"/>
      <c r="AG1322" s="14"/>
      <c r="AH1322" s="14"/>
      <c r="AI1322" s="24"/>
      <c r="AJ1322" s="24"/>
      <c r="AK1322" s="24"/>
      <c r="AL1322" s="16"/>
      <c r="AM1322" s="16"/>
      <c r="AN1322" s="16"/>
      <c r="AO1322" s="16"/>
      <c r="AP1322" s="16"/>
      <c r="AQ1322" s="16"/>
      <c r="AR1322" s="16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7"/>
    </row>
    <row r="1323" spans="7:54" x14ac:dyDescent="0.15">
      <c r="G1323" s="7"/>
      <c r="H1323" s="16"/>
      <c r="I1323" s="16"/>
      <c r="J1323" s="16"/>
      <c r="K1323" s="16"/>
      <c r="L1323" s="16"/>
      <c r="M1323" s="16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24"/>
      <c r="AC1323" s="16"/>
      <c r="AD1323" s="16"/>
      <c r="AE1323" s="16"/>
      <c r="AF1323" s="16"/>
      <c r="AG1323" s="14"/>
      <c r="AH1323" s="14"/>
      <c r="AI1323" s="24"/>
      <c r="AJ1323" s="24"/>
      <c r="AK1323" s="24"/>
      <c r="AL1323" s="16"/>
      <c r="AM1323" s="16"/>
      <c r="AN1323" s="16"/>
      <c r="AO1323" s="16"/>
      <c r="AP1323" s="16"/>
      <c r="AQ1323" s="16"/>
      <c r="AR1323" s="16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7"/>
    </row>
    <row r="1324" spans="7:54" x14ac:dyDescent="0.15">
      <c r="G1324" s="7"/>
      <c r="H1324" s="16"/>
      <c r="I1324" s="16"/>
      <c r="J1324" s="16"/>
      <c r="K1324" s="16"/>
      <c r="L1324" s="16"/>
      <c r="M1324" s="16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24"/>
      <c r="AC1324" s="16"/>
      <c r="AD1324" s="16"/>
      <c r="AE1324" s="16"/>
      <c r="AF1324" s="16"/>
      <c r="AG1324" s="14"/>
      <c r="AH1324" s="14"/>
      <c r="AI1324" s="24"/>
      <c r="AJ1324" s="24"/>
      <c r="AK1324" s="24"/>
      <c r="AL1324" s="16"/>
      <c r="AM1324" s="16"/>
      <c r="AN1324" s="16"/>
      <c r="AO1324" s="16"/>
      <c r="AP1324" s="16"/>
      <c r="AQ1324" s="16"/>
      <c r="AR1324" s="16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7"/>
    </row>
    <row r="1325" spans="7:54" x14ac:dyDescent="0.15">
      <c r="G1325" s="7"/>
      <c r="H1325" s="16"/>
      <c r="I1325" s="16"/>
      <c r="J1325" s="16"/>
      <c r="K1325" s="16"/>
      <c r="L1325" s="16"/>
      <c r="M1325" s="16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24"/>
      <c r="AC1325" s="16"/>
      <c r="AD1325" s="16"/>
      <c r="AE1325" s="16"/>
      <c r="AF1325" s="16"/>
      <c r="AG1325" s="14"/>
      <c r="AH1325" s="14"/>
      <c r="AI1325" s="24"/>
      <c r="AJ1325" s="24"/>
      <c r="AK1325" s="24"/>
      <c r="AL1325" s="16"/>
      <c r="AM1325" s="16"/>
      <c r="AN1325" s="16"/>
      <c r="AO1325" s="16"/>
      <c r="AP1325" s="16"/>
      <c r="AQ1325" s="16"/>
      <c r="AR1325" s="16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7"/>
    </row>
    <row r="1326" spans="7:54" x14ac:dyDescent="0.15">
      <c r="G1326" s="7"/>
      <c r="H1326" s="16"/>
      <c r="I1326" s="16"/>
      <c r="J1326" s="16"/>
      <c r="K1326" s="16"/>
      <c r="L1326" s="16"/>
      <c r="M1326" s="16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24"/>
      <c r="AC1326" s="16"/>
      <c r="AD1326" s="16"/>
      <c r="AE1326" s="16"/>
      <c r="AF1326" s="16"/>
      <c r="AG1326" s="14"/>
      <c r="AH1326" s="14"/>
      <c r="AI1326" s="24"/>
      <c r="AJ1326" s="24"/>
      <c r="AK1326" s="24"/>
      <c r="AL1326" s="16"/>
      <c r="AM1326" s="16"/>
      <c r="AN1326" s="16"/>
      <c r="AO1326" s="16"/>
      <c r="AP1326" s="16"/>
      <c r="AQ1326" s="16"/>
      <c r="AR1326" s="16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7"/>
    </row>
    <row r="1327" spans="7:54" x14ac:dyDescent="0.15">
      <c r="G1327" s="7"/>
      <c r="H1327" s="16"/>
      <c r="I1327" s="16"/>
      <c r="J1327" s="16"/>
      <c r="K1327" s="16"/>
      <c r="L1327" s="16"/>
      <c r="M1327" s="16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24"/>
      <c r="AC1327" s="16"/>
      <c r="AD1327" s="16"/>
      <c r="AE1327" s="16"/>
      <c r="AF1327" s="16"/>
      <c r="AG1327" s="14"/>
      <c r="AH1327" s="14"/>
      <c r="AI1327" s="24"/>
      <c r="AJ1327" s="24"/>
      <c r="AK1327" s="24"/>
      <c r="AL1327" s="16"/>
      <c r="AM1327" s="16"/>
      <c r="AN1327" s="16"/>
      <c r="AO1327" s="16"/>
      <c r="AP1327" s="16"/>
      <c r="AQ1327" s="16"/>
      <c r="AR1327" s="16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7"/>
    </row>
    <row r="1328" spans="7:54" x14ac:dyDescent="0.15">
      <c r="G1328" s="7"/>
      <c r="H1328" s="16"/>
      <c r="I1328" s="16"/>
      <c r="J1328" s="16"/>
      <c r="K1328" s="16"/>
      <c r="L1328" s="16"/>
      <c r="M1328" s="16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24"/>
      <c r="AC1328" s="16"/>
      <c r="AD1328" s="16"/>
      <c r="AE1328" s="16"/>
      <c r="AF1328" s="16"/>
      <c r="AG1328" s="14"/>
      <c r="AH1328" s="14"/>
      <c r="AI1328" s="24"/>
      <c r="AJ1328" s="24"/>
      <c r="AK1328" s="24"/>
      <c r="AL1328" s="16"/>
      <c r="AM1328" s="16"/>
      <c r="AN1328" s="16"/>
      <c r="AO1328" s="16"/>
      <c r="AP1328" s="16"/>
      <c r="AQ1328" s="16"/>
      <c r="AR1328" s="16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7"/>
    </row>
    <row r="1329" spans="7:54" x14ac:dyDescent="0.15">
      <c r="G1329" s="7"/>
      <c r="H1329" s="16"/>
      <c r="I1329" s="16"/>
      <c r="J1329" s="16"/>
      <c r="K1329" s="16"/>
      <c r="L1329" s="16"/>
      <c r="M1329" s="16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24"/>
      <c r="AC1329" s="16"/>
      <c r="AD1329" s="16"/>
      <c r="AE1329" s="16"/>
      <c r="AF1329" s="16"/>
      <c r="AG1329" s="14"/>
      <c r="AH1329" s="14"/>
      <c r="AI1329" s="24"/>
      <c r="AJ1329" s="24"/>
      <c r="AK1329" s="24"/>
      <c r="AL1329" s="16"/>
      <c r="AM1329" s="16"/>
      <c r="AN1329" s="16"/>
      <c r="AO1329" s="16"/>
      <c r="AP1329" s="16"/>
      <c r="AQ1329" s="16"/>
      <c r="AR1329" s="16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7"/>
    </row>
    <row r="1330" spans="7:54" x14ac:dyDescent="0.15">
      <c r="G1330" s="7"/>
      <c r="H1330" s="16"/>
      <c r="I1330" s="16"/>
      <c r="J1330" s="16"/>
      <c r="K1330" s="16"/>
      <c r="L1330" s="16"/>
      <c r="M1330" s="16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24"/>
      <c r="AC1330" s="16"/>
      <c r="AD1330" s="16"/>
      <c r="AE1330" s="16"/>
      <c r="AF1330" s="16"/>
      <c r="AG1330" s="14"/>
      <c r="AH1330" s="14"/>
      <c r="AI1330" s="24"/>
      <c r="AJ1330" s="24"/>
      <c r="AK1330" s="24"/>
      <c r="AL1330" s="16"/>
      <c r="AM1330" s="16"/>
      <c r="AN1330" s="16"/>
      <c r="AO1330" s="16"/>
      <c r="AP1330" s="16"/>
      <c r="AQ1330" s="16"/>
      <c r="AR1330" s="16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7"/>
    </row>
    <row r="1331" spans="7:54" x14ac:dyDescent="0.15">
      <c r="G1331" s="7"/>
      <c r="H1331" s="16"/>
      <c r="I1331" s="16"/>
      <c r="J1331" s="16"/>
      <c r="K1331" s="16"/>
      <c r="L1331" s="16"/>
      <c r="M1331" s="16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24"/>
      <c r="AC1331" s="16"/>
      <c r="AD1331" s="16"/>
      <c r="AE1331" s="16"/>
      <c r="AF1331" s="16"/>
      <c r="AG1331" s="14"/>
      <c r="AH1331" s="14"/>
      <c r="AI1331" s="24"/>
      <c r="AJ1331" s="24"/>
      <c r="AK1331" s="24"/>
      <c r="AL1331" s="16"/>
      <c r="AM1331" s="16"/>
      <c r="AN1331" s="16"/>
      <c r="AO1331" s="16"/>
      <c r="AP1331" s="16"/>
      <c r="AQ1331" s="16"/>
      <c r="AR1331" s="16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7"/>
    </row>
    <row r="1332" spans="7:54" x14ac:dyDescent="0.15">
      <c r="G1332" s="7"/>
      <c r="H1332" s="16"/>
      <c r="I1332" s="16"/>
      <c r="J1332" s="16"/>
      <c r="K1332" s="16"/>
      <c r="L1332" s="16"/>
      <c r="M1332" s="16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24"/>
      <c r="AC1332" s="16"/>
      <c r="AD1332" s="16"/>
      <c r="AE1332" s="16"/>
      <c r="AF1332" s="16"/>
      <c r="AG1332" s="14"/>
      <c r="AH1332" s="14"/>
      <c r="AI1332" s="24"/>
      <c r="AJ1332" s="24"/>
      <c r="AK1332" s="24"/>
      <c r="AL1332" s="16"/>
      <c r="AM1332" s="16"/>
      <c r="AN1332" s="16"/>
      <c r="AO1332" s="16"/>
      <c r="AP1332" s="16"/>
      <c r="AQ1332" s="16"/>
      <c r="AR1332" s="16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7"/>
    </row>
    <row r="1333" spans="7:54" x14ac:dyDescent="0.15">
      <c r="G1333" s="7"/>
      <c r="H1333" s="16"/>
      <c r="I1333" s="16"/>
      <c r="J1333" s="16"/>
      <c r="K1333" s="16"/>
      <c r="L1333" s="16"/>
      <c r="M1333" s="16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24"/>
      <c r="AC1333" s="16"/>
      <c r="AD1333" s="16"/>
      <c r="AE1333" s="16"/>
      <c r="AF1333" s="16"/>
      <c r="AG1333" s="14"/>
      <c r="AH1333" s="14"/>
      <c r="AI1333" s="24"/>
      <c r="AJ1333" s="24"/>
      <c r="AK1333" s="24"/>
      <c r="AL1333" s="16"/>
      <c r="AM1333" s="16"/>
      <c r="AN1333" s="16"/>
      <c r="AO1333" s="16"/>
      <c r="AP1333" s="16"/>
      <c r="AQ1333" s="16"/>
      <c r="AR1333" s="16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7"/>
    </row>
    <row r="1334" spans="7:54" x14ac:dyDescent="0.15">
      <c r="G1334" s="7"/>
      <c r="H1334" s="16"/>
      <c r="I1334" s="16"/>
      <c r="J1334" s="16"/>
      <c r="K1334" s="16"/>
      <c r="L1334" s="16"/>
      <c r="M1334" s="16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24"/>
      <c r="AC1334" s="16"/>
      <c r="AD1334" s="16"/>
      <c r="AE1334" s="16"/>
      <c r="AF1334" s="16"/>
      <c r="AG1334" s="14"/>
      <c r="AH1334" s="14"/>
      <c r="AI1334" s="24"/>
      <c r="AJ1334" s="24"/>
      <c r="AK1334" s="24"/>
      <c r="AL1334" s="16"/>
      <c r="AM1334" s="16"/>
      <c r="AN1334" s="16"/>
      <c r="AO1334" s="16"/>
      <c r="AP1334" s="16"/>
      <c r="AQ1334" s="16"/>
      <c r="AR1334" s="16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7"/>
    </row>
    <row r="1335" spans="7:54" x14ac:dyDescent="0.15">
      <c r="G1335" s="7"/>
      <c r="H1335" s="16"/>
      <c r="I1335" s="16"/>
      <c r="J1335" s="16"/>
      <c r="K1335" s="16"/>
      <c r="L1335" s="16"/>
      <c r="M1335" s="16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24"/>
      <c r="AC1335" s="16"/>
      <c r="AD1335" s="16"/>
      <c r="AE1335" s="16"/>
      <c r="AF1335" s="16"/>
      <c r="AG1335" s="14"/>
      <c r="AH1335" s="14"/>
      <c r="AI1335" s="24"/>
      <c r="AJ1335" s="24"/>
      <c r="AK1335" s="24"/>
      <c r="AL1335" s="16"/>
      <c r="AM1335" s="16"/>
      <c r="AN1335" s="16"/>
      <c r="AO1335" s="16"/>
      <c r="AP1335" s="16"/>
      <c r="AQ1335" s="16"/>
      <c r="AR1335" s="16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7"/>
    </row>
    <row r="1336" spans="7:54" x14ac:dyDescent="0.15">
      <c r="G1336" s="7"/>
      <c r="H1336" s="16"/>
      <c r="I1336" s="16"/>
      <c r="J1336" s="16"/>
      <c r="K1336" s="16"/>
      <c r="L1336" s="16"/>
      <c r="M1336" s="16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24"/>
      <c r="AC1336" s="16"/>
      <c r="AD1336" s="16"/>
      <c r="AE1336" s="16"/>
      <c r="AF1336" s="16"/>
      <c r="AG1336" s="14"/>
      <c r="AH1336" s="14"/>
      <c r="AI1336" s="24"/>
      <c r="AJ1336" s="24"/>
      <c r="AK1336" s="24"/>
      <c r="AL1336" s="16"/>
      <c r="AM1336" s="16"/>
      <c r="AN1336" s="16"/>
      <c r="AO1336" s="16"/>
      <c r="AP1336" s="16"/>
      <c r="AQ1336" s="16"/>
      <c r="AR1336" s="16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7"/>
    </row>
    <row r="1337" spans="7:54" x14ac:dyDescent="0.15">
      <c r="G1337" s="7"/>
      <c r="H1337" s="16"/>
      <c r="I1337" s="16"/>
      <c r="J1337" s="16"/>
      <c r="K1337" s="16"/>
      <c r="L1337" s="16"/>
      <c r="M1337" s="16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24"/>
      <c r="AC1337" s="16"/>
      <c r="AD1337" s="16"/>
      <c r="AE1337" s="16"/>
      <c r="AF1337" s="16"/>
      <c r="AG1337" s="14"/>
      <c r="AH1337" s="14"/>
      <c r="AI1337" s="24"/>
      <c r="AJ1337" s="24"/>
      <c r="AK1337" s="24"/>
      <c r="AL1337" s="16"/>
      <c r="AM1337" s="16"/>
      <c r="AN1337" s="16"/>
      <c r="AO1337" s="16"/>
      <c r="AP1337" s="16"/>
      <c r="AQ1337" s="16"/>
      <c r="AR1337" s="16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7"/>
    </row>
    <row r="1338" spans="7:54" x14ac:dyDescent="0.15">
      <c r="G1338" s="7"/>
      <c r="H1338" s="16"/>
      <c r="I1338" s="16"/>
      <c r="J1338" s="16"/>
      <c r="K1338" s="16"/>
      <c r="L1338" s="16"/>
      <c r="M1338" s="16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24"/>
      <c r="AC1338" s="16"/>
      <c r="AD1338" s="16"/>
      <c r="AE1338" s="16"/>
      <c r="AF1338" s="16"/>
      <c r="AG1338" s="14"/>
      <c r="AH1338" s="14"/>
      <c r="AI1338" s="24"/>
      <c r="AJ1338" s="24"/>
      <c r="AK1338" s="24"/>
      <c r="AL1338" s="16"/>
      <c r="AM1338" s="16"/>
      <c r="AN1338" s="16"/>
      <c r="AO1338" s="16"/>
      <c r="AP1338" s="16"/>
      <c r="AQ1338" s="16"/>
      <c r="AR1338" s="16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7"/>
    </row>
    <row r="1339" spans="7:54" x14ac:dyDescent="0.15">
      <c r="G1339" s="7"/>
      <c r="H1339" s="16"/>
      <c r="I1339" s="16"/>
      <c r="J1339" s="16"/>
      <c r="K1339" s="16"/>
      <c r="L1339" s="16"/>
      <c r="M1339" s="16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24"/>
      <c r="AC1339" s="16"/>
      <c r="AD1339" s="16"/>
      <c r="AE1339" s="16"/>
      <c r="AF1339" s="16"/>
      <c r="AG1339" s="14"/>
      <c r="AH1339" s="14"/>
      <c r="AI1339" s="24"/>
      <c r="AJ1339" s="24"/>
      <c r="AK1339" s="24"/>
      <c r="AL1339" s="16"/>
      <c r="AM1339" s="16"/>
      <c r="AN1339" s="16"/>
      <c r="AO1339" s="16"/>
      <c r="AP1339" s="16"/>
      <c r="AQ1339" s="16"/>
      <c r="AR1339" s="16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7"/>
    </row>
    <row r="1340" spans="7:54" x14ac:dyDescent="0.15">
      <c r="G1340" s="7"/>
      <c r="H1340" s="16"/>
      <c r="I1340" s="16"/>
      <c r="J1340" s="16"/>
      <c r="K1340" s="16"/>
      <c r="L1340" s="16"/>
      <c r="M1340" s="16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24"/>
      <c r="AC1340" s="16"/>
      <c r="AD1340" s="16"/>
      <c r="AE1340" s="16"/>
      <c r="AF1340" s="16"/>
      <c r="AG1340" s="14"/>
      <c r="AH1340" s="14"/>
      <c r="AI1340" s="24"/>
      <c r="AJ1340" s="24"/>
      <c r="AK1340" s="24"/>
      <c r="AL1340" s="16"/>
      <c r="AM1340" s="16"/>
      <c r="AN1340" s="16"/>
      <c r="AO1340" s="16"/>
      <c r="AP1340" s="16"/>
      <c r="AQ1340" s="16"/>
      <c r="AR1340" s="16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7"/>
    </row>
    <row r="1341" spans="7:54" x14ac:dyDescent="0.15">
      <c r="G1341" s="7"/>
      <c r="H1341" s="16"/>
      <c r="I1341" s="16"/>
      <c r="J1341" s="16"/>
      <c r="K1341" s="16"/>
      <c r="L1341" s="16"/>
      <c r="M1341" s="16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24"/>
      <c r="AC1341" s="16"/>
      <c r="AD1341" s="16"/>
      <c r="AE1341" s="16"/>
      <c r="AF1341" s="16"/>
      <c r="AG1341" s="14"/>
      <c r="AH1341" s="14"/>
      <c r="AI1341" s="24"/>
      <c r="AJ1341" s="24"/>
      <c r="AK1341" s="24"/>
      <c r="AL1341" s="16"/>
      <c r="AM1341" s="16"/>
      <c r="AN1341" s="16"/>
      <c r="AO1341" s="16"/>
      <c r="AP1341" s="16"/>
      <c r="AQ1341" s="16"/>
      <c r="AR1341" s="16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7"/>
    </row>
    <row r="1342" spans="7:54" x14ac:dyDescent="0.15">
      <c r="G1342" s="7"/>
      <c r="H1342" s="16"/>
      <c r="I1342" s="16"/>
      <c r="J1342" s="16"/>
      <c r="K1342" s="16"/>
      <c r="L1342" s="16"/>
      <c r="M1342" s="16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24"/>
      <c r="AC1342" s="16"/>
      <c r="AD1342" s="16"/>
      <c r="AE1342" s="16"/>
      <c r="AF1342" s="16"/>
      <c r="AG1342" s="14"/>
      <c r="AH1342" s="14"/>
      <c r="AI1342" s="24"/>
      <c r="AJ1342" s="24"/>
      <c r="AK1342" s="24"/>
      <c r="AL1342" s="16"/>
      <c r="AM1342" s="16"/>
      <c r="AN1342" s="16"/>
      <c r="AO1342" s="16"/>
      <c r="AP1342" s="16"/>
      <c r="AQ1342" s="16"/>
      <c r="AR1342" s="16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7"/>
    </row>
    <row r="1343" spans="7:54" x14ac:dyDescent="0.15">
      <c r="G1343" s="7"/>
      <c r="H1343" s="16"/>
      <c r="I1343" s="16"/>
      <c r="J1343" s="16"/>
      <c r="K1343" s="16"/>
      <c r="L1343" s="16"/>
      <c r="M1343" s="16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24"/>
      <c r="AC1343" s="16"/>
      <c r="AD1343" s="16"/>
      <c r="AE1343" s="16"/>
      <c r="AF1343" s="16"/>
      <c r="AG1343" s="14"/>
      <c r="AH1343" s="14"/>
      <c r="AI1343" s="24"/>
      <c r="AJ1343" s="24"/>
      <c r="AK1343" s="24"/>
      <c r="AL1343" s="16"/>
      <c r="AM1343" s="16"/>
      <c r="AN1343" s="16"/>
      <c r="AO1343" s="16"/>
      <c r="AP1343" s="16"/>
      <c r="AQ1343" s="16"/>
      <c r="AR1343" s="16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7"/>
    </row>
    <row r="1344" spans="7:54" x14ac:dyDescent="0.15">
      <c r="G1344" s="7"/>
      <c r="H1344" s="16"/>
      <c r="I1344" s="16"/>
      <c r="J1344" s="16"/>
      <c r="K1344" s="16"/>
      <c r="L1344" s="16"/>
      <c r="M1344" s="16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24"/>
      <c r="AC1344" s="16"/>
      <c r="AD1344" s="16"/>
      <c r="AE1344" s="16"/>
      <c r="AF1344" s="16"/>
      <c r="AG1344" s="14"/>
      <c r="AH1344" s="14"/>
      <c r="AI1344" s="24"/>
      <c r="AJ1344" s="24"/>
      <c r="AK1344" s="24"/>
      <c r="AL1344" s="16"/>
      <c r="AM1344" s="16"/>
      <c r="AN1344" s="16"/>
      <c r="AO1344" s="16"/>
      <c r="AP1344" s="16"/>
      <c r="AQ1344" s="16"/>
      <c r="AR1344" s="16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7"/>
    </row>
    <row r="1345" spans="7:54" x14ac:dyDescent="0.15">
      <c r="G1345" s="7"/>
      <c r="H1345" s="16"/>
      <c r="I1345" s="16"/>
      <c r="J1345" s="16"/>
      <c r="K1345" s="16"/>
      <c r="L1345" s="16"/>
      <c r="M1345" s="16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24"/>
      <c r="AC1345" s="16"/>
      <c r="AD1345" s="16"/>
      <c r="AE1345" s="16"/>
      <c r="AF1345" s="16"/>
      <c r="AG1345" s="14"/>
      <c r="AH1345" s="14"/>
      <c r="AI1345" s="24"/>
      <c r="AJ1345" s="24"/>
      <c r="AK1345" s="24"/>
      <c r="AL1345" s="16"/>
      <c r="AM1345" s="16"/>
      <c r="AN1345" s="16"/>
      <c r="AO1345" s="16"/>
      <c r="AP1345" s="16"/>
      <c r="AQ1345" s="16"/>
      <c r="AR1345" s="16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7"/>
    </row>
    <row r="1346" spans="7:54" x14ac:dyDescent="0.15">
      <c r="G1346" s="7"/>
      <c r="H1346" s="16"/>
      <c r="I1346" s="16"/>
      <c r="J1346" s="16"/>
      <c r="K1346" s="16"/>
      <c r="L1346" s="16"/>
      <c r="M1346" s="16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24"/>
      <c r="AC1346" s="16"/>
      <c r="AD1346" s="16"/>
      <c r="AE1346" s="16"/>
      <c r="AF1346" s="16"/>
      <c r="AG1346" s="14"/>
      <c r="AH1346" s="14"/>
      <c r="AI1346" s="24"/>
      <c r="AJ1346" s="24"/>
      <c r="AK1346" s="24"/>
      <c r="AL1346" s="16"/>
      <c r="AM1346" s="16"/>
      <c r="AN1346" s="16"/>
      <c r="AO1346" s="16"/>
      <c r="AP1346" s="16"/>
      <c r="AQ1346" s="16"/>
      <c r="AR1346" s="16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7"/>
    </row>
    <row r="1347" spans="7:54" x14ac:dyDescent="0.15">
      <c r="G1347" s="7"/>
      <c r="H1347" s="16"/>
      <c r="I1347" s="16"/>
      <c r="J1347" s="16"/>
      <c r="K1347" s="16"/>
      <c r="L1347" s="16"/>
      <c r="M1347" s="16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24"/>
      <c r="AC1347" s="16"/>
      <c r="AD1347" s="16"/>
      <c r="AE1347" s="16"/>
      <c r="AF1347" s="16"/>
      <c r="AG1347" s="14"/>
      <c r="AH1347" s="14"/>
      <c r="AI1347" s="24"/>
      <c r="AJ1347" s="24"/>
      <c r="AK1347" s="24"/>
      <c r="AL1347" s="16"/>
      <c r="AM1347" s="16"/>
      <c r="AN1347" s="16"/>
      <c r="AO1347" s="16"/>
      <c r="AP1347" s="16"/>
      <c r="AQ1347" s="16"/>
      <c r="AR1347" s="16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7"/>
    </row>
    <row r="1348" spans="7:54" x14ac:dyDescent="0.15">
      <c r="G1348" s="7"/>
      <c r="H1348" s="16"/>
      <c r="I1348" s="16"/>
      <c r="J1348" s="16"/>
      <c r="K1348" s="16"/>
      <c r="L1348" s="16"/>
      <c r="M1348" s="16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24"/>
      <c r="AC1348" s="16"/>
      <c r="AD1348" s="16"/>
      <c r="AE1348" s="16"/>
      <c r="AF1348" s="16"/>
      <c r="AG1348" s="14"/>
      <c r="AH1348" s="14"/>
      <c r="AI1348" s="24"/>
      <c r="AJ1348" s="24"/>
      <c r="AK1348" s="24"/>
      <c r="AL1348" s="16"/>
      <c r="AM1348" s="16"/>
      <c r="AN1348" s="16"/>
      <c r="AO1348" s="16"/>
      <c r="AP1348" s="16"/>
      <c r="AQ1348" s="16"/>
      <c r="AR1348" s="16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7"/>
    </row>
    <row r="1349" spans="7:54" x14ac:dyDescent="0.15">
      <c r="G1349" s="7"/>
      <c r="H1349" s="16"/>
      <c r="I1349" s="16"/>
      <c r="J1349" s="16"/>
      <c r="K1349" s="16"/>
      <c r="L1349" s="16"/>
      <c r="M1349" s="16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24"/>
      <c r="AC1349" s="16"/>
      <c r="AD1349" s="16"/>
      <c r="AE1349" s="16"/>
      <c r="AF1349" s="16"/>
      <c r="AG1349" s="14"/>
      <c r="AH1349" s="14"/>
      <c r="AI1349" s="24"/>
      <c r="AJ1349" s="24"/>
      <c r="AK1349" s="24"/>
      <c r="AL1349" s="16"/>
      <c r="AM1349" s="16"/>
      <c r="AN1349" s="16"/>
      <c r="AO1349" s="16"/>
      <c r="AP1349" s="16"/>
      <c r="AQ1349" s="16"/>
      <c r="AR1349" s="16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7"/>
    </row>
    <row r="1350" spans="7:54" x14ac:dyDescent="0.15">
      <c r="G1350" s="7"/>
      <c r="H1350" s="16"/>
      <c r="I1350" s="16"/>
      <c r="J1350" s="16"/>
      <c r="K1350" s="16"/>
      <c r="L1350" s="16"/>
      <c r="M1350" s="16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24"/>
      <c r="AC1350" s="16"/>
      <c r="AD1350" s="16"/>
      <c r="AE1350" s="16"/>
      <c r="AF1350" s="16"/>
      <c r="AG1350" s="14"/>
      <c r="AH1350" s="14"/>
      <c r="AI1350" s="24"/>
      <c r="AJ1350" s="24"/>
      <c r="AK1350" s="24"/>
      <c r="AL1350" s="16"/>
      <c r="AM1350" s="16"/>
      <c r="AN1350" s="16"/>
      <c r="AO1350" s="16"/>
      <c r="AP1350" s="16"/>
      <c r="AQ1350" s="16"/>
      <c r="AR1350" s="16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7"/>
    </row>
    <row r="1351" spans="7:54" x14ac:dyDescent="0.15">
      <c r="G1351" s="7"/>
      <c r="H1351" s="16"/>
      <c r="I1351" s="16"/>
      <c r="J1351" s="16"/>
      <c r="K1351" s="16"/>
      <c r="L1351" s="16"/>
      <c r="M1351" s="16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24"/>
      <c r="AC1351" s="16"/>
      <c r="AD1351" s="16"/>
      <c r="AE1351" s="16"/>
      <c r="AF1351" s="16"/>
      <c r="AG1351" s="14"/>
      <c r="AH1351" s="14"/>
      <c r="AI1351" s="24"/>
      <c r="AJ1351" s="24"/>
      <c r="AK1351" s="24"/>
      <c r="AL1351" s="16"/>
      <c r="AM1351" s="16"/>
      <c r="AN1351" s="16"/>
      <c r="AO1351" s="16"/>
      <c r="AP1351" s="16"/>
      <c r="AQ1351" s="16"/>
      <c r="AR1351" s="16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7"/>
    </row>
    <row r="1352" spans="7:54" x14ac:dyDescent="0.15">
      <c r="G1352" s="7"/>
      <c r="H1352" s="16"/>
      <c r="I1352" s="16"/>
      <c r="J1352" s="16"/>
      <c r="K1352" s="16"/>
      <c r="L1352" s="16"/>
      <c r="M1352" s="16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24"/>
      <c r="AC1352" s="16"/>
      <c r="AD1352" s="16"/>
      <c r="AE1352" s="16"/>
      <c r="AF1352" s="16"/>
      <c r="AG1352" s="14"/>
      <c r="AH1352" s="14"/>
      <c r="AI1352" s="24"/>
      <c r="AJ1352" s="24"/>
      <c r="AK1352" s="24"/>
      <c r="AL1352" s="16"/>
      <c r="AM1352" s="16"/>
      <c r="AN1352" s="16"/>
      <c r="AO1352" s="16"/>
      <c r="AP1352" s="16"/>
      <c r="AQ1352" s="16"/>
      <c r="AR1352" s="16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7"/>
    </row>
    <row r="1353" spans="7:54" x14ac:dyDescent="0.15">
      <c r="G1353" s="7"/>
      <c r="H1353" s="16"/>
      <c r="I1353" s="16"/>
      <c r="J1353" s="16"/>
      <c r="K1353" s="16"/>
      <c r="L1353" s="16"/>
      <c r="M1353" s="16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24"/>
      <c r="AC1353" s="16"/>
      <c r="AD1353" s="16"/>
      <c r="AE1353" s="16"/>
      <c r="AF1353" s="16"/>
      <c r="AG1353" s="14"/>
      <c r="AH1353" s="14"/>
      <c r="AI1353" s="24"/>
      <c r="AJ1353" s="24"/>
      <c r="AK1353" s="24"/>
      <c r="AL1353" s="16"/>
      <c r="AM1353" s="16"/>
      <c r="AN1353" s="16"/>
      <c r="AO1353" s="16"/>
      <c r="AP1353" s="16"/>
      <c r="AQ1353" s="16"/>
      <c r="AR1353" s="16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7"/>
    </row>
    <row r="1354" spans="7:54" x14ac:dyDescent="0.15">
      <c r="G1354" s="7"/>
      <c r="H1354" s="16"/>
      <c r="I1354" s="16"/>
      <c r="J1354" s="16"/>
      <c r="K1354" s="16"/>
      <c r="L1354" s="16"/>
      <c r="M1354" s="16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24"/>
      <c r="AC1354" s="16"/>
      <c r="AD1354" s="16"/>
      <c r="AE1354" s="16"/>
      <c r="AF1354" s="16"/>
      <c r="AG1354" s="14"/>
      <c r="AH1354" s="14"/>
      <c r="AI1354" s="24"/>
      <c r="AJ1354" s="24"/>
      <c r="AK1354" s="24"/>
      <c r="AL1354" s="16"/>
      <c r="AM1354" s="16"/>
      <c r="AN1354" s="16"/>
      <c r="AO1354" s="16"/>
      <c r="AP1354" s="16"/>
      <c r="AQ1354" s="16"/>
      <c r="AR1354" s="16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7"/>
    </row>
    <row r="1355" spans="7:54" x14ac:dyDescent="0.15">
      <c r="G1355" s="7"/>
      <c r="H1355" s="16"/>
      <c r="I1355" s="16"/>
      <c r="J1355" s="16"/>
      <c r="K1355" s="16"/>
      <c r="L1355" s="16"/>
      <c r="M1355" s="16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24"/>
      <c r="AC1355" s="16"/>
      <c r="AD1355" s="16"/>
      <c r="AE1355" s="16"/>
      <c r="AF1355" s="16"/>
      <c r="AG1355" s="14"/>
      <c r="AH1355" s="14"/>
      <c r="AI1355" s="24"/>
      <c r="AJ1355" s="24"/>
      <c r="AK1355" s="24"/>
      <c r="AL1355" s="16"/>
      <c r="AM1355" s="16"/>
      <c r="AN1355" s="16"/>
      <c r="AO1355" s="16"/>
      <c r="AP1355" s="16"/>
      <c r="AQ1355" s="16"/>
      <c r="AR1355" s="16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7"/>
    </row>
    <row r="1356" spans="7:54" x14ac:dyDescent="0.15">
      <c r="G1356" s="7"/>
      <c r="H1356" s="16"/>
      <c r="I1356" s="16"/>
      <c r="J1356" s="16"/>
      <c r="K1356" s="16"/>
      <c r="L1356" s="16"/>
      <c r="M1356" s="16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24"/>
      <c r="AC1356" s="16"/>
      <c r="AD1356" s="16"/>
      <c r="AE1356" s="16"/>
      <c r="AF1356" s="16"/>
      <c r="AG1356" s="14"/>
      <c r="AH1356" s="14"/>
      <c r="AI1356" s="24"/>
      <c r="AJ1356" s="24"/>
      <c r="AK1356" s="24"/>
      <c r="AL1356" s="16"/>
      <c r="AM1356" s="16"/>
      <c r="AN1356" s="16"/>
      <c r="AO1356" s="16"/>
      <c r="AP1356" s="16"/>
      <c r="AQ1356" s="16"/>
      <c r="AR1356" s="16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7"/>
    </row>
    <row r="1357" spans="7:54" x14ac:dyDescent="0.15">
      <c r="G1357" s="7"/>
      <c r="H1357" s="16"/>
      <c r="I1357" s="16"/>
      <c r="J1357" s="16"/>
      <c r="K1357" s="16"/>
      <c r="L1357" s="16"/>
      <c r="M1357" s="16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24"/>
      <c r="AC1357" s="16"/>
      <c r="AD1357" s="16"/>
      <c r="AE1357" s="16"/>
      <c r="AF1357" s="16"/>
      <c r="AG1357" s="14"/>
      <c r="AH1357" s="14"/>
      <c r="AI1357" s="24"/>
      <c r="AJ1357" s="24"/>
      <c r="AK1357" s="24"/>
      <c r="AL1357" s="16"/>
      <c r="AM1357" s="16"/>
      <c r="AN1357" s="16"/>
      <c r="AO1357" s="16"/>
      <c r="AP1357" s="16"/>
      <c r="AQ1357" s="16"/>
      <c r="AR1357" s="16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7"/>
    </row>
    <row r="1358" spans="7:54" x14ac:dyDescent="0.15">
      <c r="G1358" s="7"/>
      <c r="H1358" s="16"/>
      <c r="I1358" s="16"/>
      <c r="J1358" s="16"/>
      <c r="K1358" s="16"/>
      <c r="L1358" s="16"/>
      <c r="M1358" s="16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24"/>
      <c r="AC1358" s="16"/>
      <c r="AD1358" s="16"/>
      <c r="AE1358" s="16"/>
      <c r="AF1358" s="16"/>
      <c r="AG1358" s="14"/>
      <c r="AH1358" s="14"/>
      <c r="AI1358" s="24"/>
      <c r="AJ1358" s="24"/>
      <c r="AK1358" s="24"/>
      <c r="AL1358" s="16"/>
      <c r="AM1358" s="16"/>
      <c r="AN1358" s="16"/>
      <c r="AO1358" s="16"/>
      <c r="AP1358" s="16"/>
      <c r="AQ1358" s="16"/>
      <c r="AR1358" s="16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7"/>
    </row>
    <row r="1359" spans="7:54" x14ac:dyDescent="0.15">
      <c r="G1359" s="7"/>
      <c r="H1359" s="16"/>
      <c r="I1359" s="16"/>
      <c r="J1359" s="16"/>
      <c r="K1359" s="16"/>
      <c r="L1359" s="16"/>
      <c r="M1359" s="16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24"/>
      <c r="AC1359" s="16"/>
      <c r="AD1359" s="16"/>
      <c r="AE1359" s="16"/>
      <c r="AF1359" s="16"/>
      <c r="AG1359" s="14"/>
      <c r="AH1359" s="14"/>
      <c r="AI1359" s="24"/>
      <c r="AJ1359" s="24"/>
      <c r="AK1359" s="24"/>
      <c r="AL1359" s="16"/>
      <c r="AM1359" s="16"/>
      <c r="AN1359" s="16"/>
      <c r="AO1359" s="16"/>
      <c r="AP1359" s="16"/>
      <c r="AQ1359" s="16"/>
      <c r="AR1359" s="16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7"/>
    </row>
    <row r="1360" spans="7:54" x14ac:dyDescent="0.15">
      <c r="G1360" s="7"/>
      <c r="H1360" s="16"/>
      <c r="I1360" s="16"/>
      <c r="J1360" s="16"/>
      <c r="K1360" s="16"/>
      <c r="L1360" s="16"/>
      <c r="M1360" s="16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24"/>
      <c r="AC1360" s="16"/>
      <c r="AD1360" s="16"/>
      <c r="AE1360" s="16"/>
      <c r="AF1360" s="16"/>
      <c r="AG1360" s="14"/>
      <c r="AH1360" s="14"/>
      <c r="AI1360" s="24"/>
      <c r="AJ1360" s="24"/>
      <c r="AK1360" s="24"/>
      <c r="AL1360" s="16"/>
      <c r="AM1360" s="16"/>
      <c r="AN1360" s="16"/>
      <c r="AO1360" s="16"/>
      <c r="AP1360" s="16"/>
      <c r="AQ1360" s="16"/>
      <c r="AR1360" s="16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7"/>
    </row>
    <row r="1361" spans="7:54" x14ac:dyDescent="0.15">
      <c r="G1361" s="7"/>
      <c r="H1361" s="16"/>
      <c r="I1361" s="16"/>
      <c r="J1361" s="16"/>
      <c r="K1361" s="16"/>
      <c r="L1361" s="16"/>
      <c r="M1361" s="16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24"/>
      <c r="AC1361" s="16"/>
      <c r="AD1361" s="16"/>
      <c r="AE1361" s="16"/>
      <c r="AF1361" s="16"/>
      <c r="AG1361" s="14"/>
      <c r="AH1361" s="14"/>
      <c r="AI1361" s="24"/>
      <c r="AJ1361" s="24"/>
      <c r="AK1361" s="24"/>
      <c r="AL1361" s="16"/>
      <c r="AM1361" s="16"/>
      <c r="AN1361" s="16"/>
      <c r="AO1361" s="16"/>
      <c r="AP1361" s="16"/>
      <c r="AQ1361" s="16"/>
      <c r="AR1361" s="16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7"/>
    </row>
    <row r="1362" spans="7:54" x14ac:dyDescent="0.15">
      <c r="G1362" s="7"/>
      <c r="H1362" s="16"/>
      <c r="I1362" s="16"/>
      <c r="J1362" s="16"/>
      <c r="K1362" s="16"/>
      <c r="L1362" s="16"/>
      <c r="M1362" s="16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24"/>
      <c r="AC1362" s="16"/>
      <c r="AD1362" s="16"/>
      <c r="AE1362" s="16"/>
      <c r="AF1362" s="16"/>
      <c r="AG1362" s="14"/>
      <c r="AH1362" s="14"/>
      <c r="AI1362" s="24"/>
      <c r="AJ1362" s="24"/>
      <c r="AK1362" s="24"/>
      <c r="AL1362" s="16"/>
      <c r="AM1362" s="16"/>
      <c r="AN1362" s="16"/>
      <c r="AO1362" s="16"/>
      <c r="AP1362" s="16"/>
      <c r="AQ1362" s="16"/>
      <c r="AR1362" s="16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7"/>
    </row>
    <row r="1363" spans="7:54" x14ac:dyDescent="0.15">
      <c r="G1363" s="7"/>
      <c r="H1363" s="16"/>
      <c r="I1363" s="16"/>
      <c r="J1363" s="16"/>
      <c r="K1363" s="16"/>
      <c r="L1363" s="16"/>
      <c r="M1363" s="16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24"/>
      <c r="AC1363" s="16"/>
      <c r="AD1363" s="16"/>
      <c r="AE1363" s="16"/>
      <c r="AF1363" s="16"/>
      <c r="AG1363" s="14"/>
      <c r="AH1363" s="14"/>
      <c r="AI1363" s="24"/>
      <c r="AJ1363" s="24"/>
      <c r="AK1363" s="24"/>
      <c r="AL1363" s="16"/>
      <c r="AM1363" s="16"/>
      <c r="AN1363" s="16"/>
      <c r="AO1363" s="16"/>
      <c r="AP1363" s="16"/>
      <c r="AQ1363" s="16"/>
      <c r="AR1363" s="16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7"/>
    </row>
    <row r="1364" spans="7:54" x14ac:dyDescent="0.15">
      <c r="G1364" s="7"/>
      <c r="H1364" s="16"/>
      <c r="I1364" s="16"/>
      <c r="J1364" s="16"/>
      <c r="K1364" s="16"/>
      <c r="L1364" s="16"/>
      <c r="M1364" s="16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24"/>
      <c r="AC1364" s="16"/>
      <c r="AD1364" s="16"/>
      <c r="AE1364" s="16"/>
      <c r="AF1364" s="16"/>
      <c r="AG1364" s="14"/>
      <c r="AH1364" s="14"/>
      <c r="AI1364" s="24"/>
      <c r="AJ1364" s="24"/>
      <c r="AK1364" s="24"/>
      <c r="AL1364" s="16"/>
      <c r="AM1364" s="16"/>
      <c r="AN1364" s="16"/>
      <c r="AO1364" s="16"/>
      <c r="AP1364" s="16"/>
      <c r="AQ1364" s="16"/>
      <c r="AR1364" s="16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7"/>
    </row>
    <row r="1365" spans="7:54" x14ac:dyDescent="0.15">
      <c r="G1365" s="7"/>
      <c r="H1365" s="16"/>
      <c r="I1365" s="16"/>
      <c r="J1365" s="16"/>
      <c r="K1365" s="16"/>
      <c r="L1365" s="16"/>
      <c r="M1365" s="16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24"/>
      <c r="AC1365" s="16"/>
      <c r="AD1365" s="16"/>
      <c r="AE1365" s="16"/>
      <c r="AF1365" s="16"/>
      <c r="AG1365" s="14"/>
      <c r="AH1365" s="14"/>
      <c r="AI1365" s="24"/>
      <c r="AJ1365" s="24"/>
      <c r="AK1365" s="24"/>
      <c r="AL1365" s="16"/>
      <c r="AM1365" s="16"/>
      <c r="AN1365" s="16"/>
      <c r="AO1365" s="16"/>
      <c r="AP1365" s="16"/>
      <c r="AQ1365" s="16"/>
      <c r="AR1365" s="16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7"/>
    </row>
    <row r="1366" spans="7:54" x14ac:dyDescent="0.15">
      <c r="G1366" s="7"/>
      <c r="H1366" s="16"/>
      <c r="I1366" s="16"/>
      <c r="J1366" s="16"/>
      <c r="K1366" s="16"/>
      <c r="L1366" s="16"/>
      <c r="M1366" s="16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24"/>
      <c r="AC1366" s="16"/>
      <c r="AD1366" s="16"/>
      <c r="AE1366" s="16"/>
      <c r="AF1366" s="16"/>
      <c r="AG1366" s="14"/>
      <c r="AH1366" s="14"/>
      <c r="AI1366" s="24"/>
      <c r="AJ1366" s="24"/>
      <c r="AK1366" s="24"/>
      <c r="AL1366" s="16"/>
      <c r="AM1366" s="16"/>
      <c r="AN1366" s="16"/>
      <c r="AO1366" s="16"/>
      <c r="AP1366" s="16"/>
      <c r="AQ1366" s="16"/>
      <c r="AR1366" s="16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7"/>
    </row>
    <row r="1367" spans="7:54" x14ac:dyDescent="0.15">
      <c r="G1367" s="7"/>
      <c r="H1367" s="16"/>
      <c r="I1367" s="16"/>
      <c r="J1367" s="16"/>
      <c r="K1367" s="16"/>
      <c r="L1367" s="16"/>
      <c r="M1367" s="16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24"/>
      <c r="AC1367" s="16"/>
      <c r="AD1367" s="16"/>
      <c r="AE1367" s="16"/>
      <c r="AF1367" s="16"/>
      <c r="AG1367" s="14"/>
      <c r="AH1367" s="14"/>
      <c r="AI1367" s="24"/>
      <c r="AJ1367" s="24"/>
      <c r="AK1367" s="24"/>
      <c r="AL1367" s="16"/>
      <c r="AM1367" s="16"/>
      <c r="AN1367" s="16"/>
      <c r="AO1367" s="16"/>
      <c r="AP1367" s="16"/>
      <c r="AQ1367" s="16"/>
      <c r="AR1367" s="16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7"/>
    </row>
    <row r="1368" spans="7:54" x14ac:dyDescent="0.15">
      <c r="G1368" s="7"/>
      <c r="H1368" s="16"/>
      <c r="I1368" s="16"/>
      <c r="J1368" s="16"/>
      <c r="K1368" s="16"/>
      <c r="L1368" s="16"/>
      <c r="M1368" s="16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24"/>
      <c r="AC1368" s="16"/>
      <c r="AD1368" s="16"/>
      <c r="AE1368" s="16"/>
      <c r="AF1368" s="16"/>
      <c r="AG1368" s="14"/>
      <c r="AH1368" s="14"/>
      <c r="AI1368" s="24"/>
      <c r="AJ1368" s="24"/>
      <c r="AK1368" s="24"/>
      <c r="AL1368" s="16"/>
      <c r="AM1368" s="16"/>
      <c r="AN1368" s="16"/>
      <c r="AO1368" s="16"/>
      <c r="AP1368" s="16"/>
      <c r="AQ1368" s="16"/>
      <c r="AR1368" s="16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7"/>
    </row>
    <row r="1369" spans="7:54" x14ac:dyDescent="0.15">
      <c r="G1369" s="7"/>
      <c r="H1369" s="16"/>
      <c r="I1369" s="16"/>
      <c r="J1369" s="16"/>
      <c r="K1369" s="16"/>
      <c r="L1369" s="16"/>
      <c r="M1369" s="16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24"/>
      <c r="AC1369" s="16"/>
      <c r="AD1369" s="16"/>
      <c r="AE1369" s="16"/>
      <c r="AF1369" s="16"/>
      <c r="AG1369" s="14"/>
      <c r="AH1369" s="14"/>
      <c r="AI1369" s="24"/>
      <c r="AJ1369" s="24"/>
      <c r="AK1369" s="24"/>
      <c r="AL1369" s="16"/>
      <c r="AM1369" s="16"/>
      <c r="AN1369" s="16"/>
      <c r="AO1369" s="16"/>
      <c r="AP1369" s="16"/>
      <c r="AQ1369" s="16"/>
      <c r="AR1369" s="16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7"/>
    </row>
    <row r="1370" spans="7:54" x14ac:dyDescent="0.15">
      <c r="G1370" s="7"/>
      <c r="H1370" s="16"/>
      <c r="I1370" s="16"/>
      <c r="J1370" s="16"/>
      <c r="K1370" s="16"/>
      <c r="L1370" s="16"/>
      <c r="M1370" s="16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24"/>
      <c r="AC1370" s="16"/>
      <c r="AD1370" s="16"/>
      <c r="AE1370" s="16"/>
      <c r="AF1370" s="16"/>
      <c r="AG1370" s="14"/>
      <c r="AH1370" s="14"/>
      <c r="AI1370" s="24"/>
      <c r="AJ1370" s="24"/>
      <c r="AK1370" s="24"/>
      <c r="AL1370" s="16"/>
      <c r="AM1370" s="16"/>
      <c r="AN1370" s="16"/>
      <c r="AO1370" s="16"/>
      <c r="AP1370" s="16"/>
      <c r="AQ1370" s="16"/>
      <c r="AR1370" s="16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7"/>
    </row>
    <row r="1371" spans="7:54" x14ac:dyDescent="0.15">
      <c r="G1371" s="7"/>
      <c r="H1371" s="16"/>
      <c r="I1371" s="16"/>
      <c r="J1371" s="16"/>
      <c r="K1371" s="16"/>
      <c r="L1371" s="16"/>
      <c r="M1371" s="16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24"/>
      <c r="AC1371" s="16"/>
      <c r="AD1371" s="16"/>
      <c r="AE1371" s="16"/>
      <c r="AF1371" s="16"/>
      <c r="AG1371" s="14"/>
      <c r="AH1371" s="14"/>
      <c r="AI1371" s="24"/>
      <c r="AJ1371" s="24"/>
      <c r="AK1371" s="24"/>
      <c r="AL1371" s="16"/>
      <c r="AM1371" s="16"/>
      <c r="AN1371" s="16"/>
      <c r="AO1371" s="16"/>
      <c r="AP1371" s="16"/>
      <c r="AQ1371" s="16"/>
      <c r="AR1371" s="16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7"/>
    </row>
    <row r="1372" spans="7:54" x14ac:dyDescent="0.15">
      <c r="G1372" s="7"/>
      <c r="H1372" s="16"/>
      <c r="I1372" s="16"/>
      <c r="J1372" s="16"/>
      <c r="K1372" s="16"/>
      <c r="L1372" s="16"/>
      <c r="M1372" s="16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24"/>
      <c r="AC1372" s="16"/>
      <c r="AD1372" s="16"/>
      <c r="AE1372" s="16"/>
      <c r="AF1372" s="16"/>
      <c r="AG1372" s="14"/>
      <c r="AH1372" s="14"/>
      <c r="AI1372" s="24"/>
      <c r="AJ1372" s="24"/>
      <c r="AK1372" s="24"/>
      <c r="AL1372" s="16"/>
      <c r="AM1372" s="16"/>
      <c r="AN1372" s="16"/>
      <c r="AO1372" s="16"/>
      <c r="AP1372" s="16"/>
      <c r="AQ1372" s="16"/>
      <c r="AR1372" s="16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7"/>
    </row>
    <row r="1373" spans="7:54" x14ac:dyDescent="0.15">
      <c r="G1373" s="7"/>
      <c r="H1373" s="16"/>
      <c r="I1373" s="16"/>
      <c r="J1373" s="16"/>
      <c r="K1373" s="16"/>
      <c r="L1373" s="16"/>
      <c r="M1373" s="16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24"/>
      <c r="AC1373" s="16"/>
      <c r="AD1373" s="16"/>
      <c r="AE1373" s="16"/>
      <c r="AF1373" s="16"/>
      <c r="AG1373" s="14"/>
      <c r="AH1373" s="14"/>
      <c r="AI1373" s="24"/>
      <c r="AJ1373" s="24"/>
      <c r="AK1373" s="24"/>
      <c r="AL1373" s="16"/>
      <c r="AM1373" s="16"/>
      <c r="AN1373" s="16"/>
      <c r="AO1373" s="16"/>
      <c r="AP1373" s="16"/>
      <c r="AQ1373" s="16"/>
      <c r="AR1373" s="16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7"/>
    </row>
    <row r="1374" spans="7:54" x14ac:dyDescent="0.15">
      <c r="G1374" s="7"/>
      <c r="H1374" s="16"/>
      <c r="I1374" s="16"/>
      <c r="J1374" s="16"/>
      <c r="K1374" s="16"/>
      <c r="L1374" s="16"/>
      <c r="M1374" s="16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24"/>
      <c r="AC1374" s="16"/>
      <c r="AD1374" s="16"/>
      <c r="AE1374" s="16"/>
      <c r="AF1374" s="16"/>
      <c r="AG1374" s="14"/>
      <c r="AH1374" s="14"/>
      <c r="AI1374" s="24"/>
      <c r="AJ1374" s="24"/>
      <c r="AK1374" s="24"/>
      <c r="AL1374" s="16"/>
      <c r="AM1374" s="16"/>
      <c r="AN1374" s="16"/>
      <c r="AO1374" s="16"/>
      <c r="AP1374" s="16"/>
      <c r="AQ1374" s="16"/>
      <c r="AR1374" s="16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7"/>
    </row>
    <row r="1375" spans="7:54" x14ac:dyDescent="0.15">
      <c r="G1375" s="7"/>
      <c r="H1375" s="16"/>
      <c r="I1375" s="16"/>
      <c r="J1375" s="16"/>
      <c r="K1375" s="16"/>
      <c r="L1375" s="16"/>
      <c r="M1375" s="16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24"/>
      <c r="AC1375" s="16"/>
      <c r="AD1375" s="16"/>
      <c r="AE1375" s="16"/>
      <c r="AF1375" s="16"/>
      <c r="AG1375" s="14"/>
      <c r="AH1375" s="14"/>
      <c r="AI1375" s="24"/>
      <c r="AJ1375" s="24"/>
      <c r="AK1375" s="24"/>
      <c r="AL1375" s="16"/>
      <c r="AM1375" s="16"/>
      <c r="AN1375" s="16"/>
      <c r="AO1375" s="16"/>
      <c r="AP1375" s="16"/>
      <c r="AQ1375" s="16"/>
      <c r="AR1375" s="16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7"/>
    </row>
    <row r="1376" spans="7:54" x14ac:dyDescent="0.15">
      <c r="G1376" s="7"/>
      <c r="H1376" s="16"/>
      <c r="I1376" s="16"/>
      <c r="J1376" s="16"/>
      <c r="K1376" s="16"/>
      <c r="L1376" s="16"/>
      <c r="M1376" s="16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24"/>
      <c r="AC1376" s="16"/>
      <c r="AD1376" s="16"/>
      <c r="AE1376" s="16"/>
      <c r="AF1376" s="16"/>
      <c r="AG1376" s="14"/>
      <c r="AH1376" s="14"/>
      <c r="AI1376" s="24"/>
      <c r="AJ1376" s="24"/>
      <c r="AK1376" s="24"/>
      <c r="AL1376" s="16"/>
      <c r="AM1376" s="16"/>
      <c r="AN1376" s="16"/>
      <c r="AO1376" s="16"/>
      <c r="AP1376" s="16"/>
      <c r="AQ1376" s="16"/>
      <c r="AR1376" s="16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7"/>
    </row>
    <row r="1377" spans="7:54" x14ac:dyDescent="0.15">
      <c r="G1377" s="7"/>
      <c r="H1377" s="16"/>
      <c r="I1377" s="16"/>
      <c r="J1377" s="16"/>
      <c r="K1377" s="16"/>
      <c r="L1377" s="16"/>
      <c r="M1377" s="16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24"/>
      <c r="AC1377" s="16"/>
      <c r="AD1377" s="16"/>
      <c r="AE1377" s="16"/>
      <c r="AF1377" s="16"/>
      <c r="AG1377" s="14"/>
      <c r="AH1377" s="14"/>
      <c r="AI1377" s="24"/>
      <c r="AJ1377" s="24"/>
      <c r="AK1377" s="24"/>
      <c r="AL1377" s="16"/>
      <c r="AM1377" s="16"/>
      <c r="AN1377" s="16"/>
      <c r="AO1377" s="16"/>
      <c r="AP1377" s="16"/>
      <c r="AQ1377" s="16"/>
      <c r="AR1377" s="16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7"/>
    </row>
    <row r="1378" spans="7:54" x14ac:dyDescent="0.15">
      <c r="G1378" s="7"/>
      <c r="H1378" s="16"/>
      <c r="I1378" s="16"/>
      <c r="J1378" s="16"/>
      <c r="K1378" s="16"/>
      <c r="L1378" s="16"/>
      <c r="M1378" s="16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24"/>
      <c r="AC1378" s="16"/>
      <c r="AD1378" s="16"/>
      <c r="AE1378" s="16"/>
      <c r="AF1378" s="16"/>
      <c r="AG1378" s="14"/>
      <c r="AH1378" s="14"/>
      <c r="AI1378" s="24"/>
      <c r="AJ1378" s="24"/>
      <c r="AK1378" s="24"/>
      <c r="AL1378" s="16"/>
      <c r="AM1378" s="16"/>
      <c r="AN1378" s="16"/>
      <c r="AO1378" s="16"/>
      <c r="AP1378" s="16"/>
      <c r="AQ1378" s="16"/>
      <c r="AR1378" s="16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7"/>
    </row>
    <row r="1379" spans="7:54" x14ac:dyDescent="0.15">
      <c r="G1379" s="7"/>
      <c r="H1379" s="16"/>
      <c r="I1379" s="16"/>
      <c r="J1379" s="16"/>
      <c r="K1379" s="16"/>
      <c r="L1379" s="16"/>
      <c r="M1379" s="16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24"/>
      <c r="AC1379" s="16"/>
      <c r="AD1379" s="16"/>
      <c r="AE1379" s="16"/>
      <c r="AF1379" s="16"/>
      <c r="AG1379" s="14"/>
      <c r="AH1379" s="14"/>
      <c r="AI1379" s="24"/>
      <c r="AJ1379" s="24"/>
      <c r="AK1379" s="24"/>
      <c r="AL1379" s="16"/>
      <c r="AM1379" s="16"/>
      <c r="AN1379" s="16"/>
      <c r="AO1379" s="16"/>
      <c r="AP1379" s="16"/>
      <c r="AQ1379" s="16"/>
      <c r="AR1379" s="16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7"/>
    </row>
    <row r="1380" spans="7:54" x14ac:dyDescent="0.15">
      <c r="G1380" s="7"/>
      <c r="H1380" s="16"/>
      <c r="I1380" s="16"/>
      <c r="J1380" s="16"/>
      <c r="K1380" s="16"/>
      <c r="L1380" s="16"/>
      <c r="M1380" s="16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24"/>
      <c r="AC1380" s="16"/>
      <c r="AD1380" s="16"/>
      <c r="AE1380" s="16"/>
      <c r="AF1380" s="16"/>
      <c r="AG1380" s="14"/>
      <c r="AH1380" s="14"/>
      <c r="AI1380" s="24"/>
      <c r="AJ1380" s="24"/>
      <c r="AK1380" s="24"/>
      <c r="AL1380" s="16"/>
      <c r="AM1380" s="16"/>
      <c r="AN1380" s="16"/>
      <c r="AO1380" s="16"/>
      <c r="AP1380" s="16"/>
      <c r="AQ1380" s="16"/>
      <c r="AR1380" s="16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7"/>
    </row>
    <row r="1381" spans="7:54" x14ac:dyDescent="0.15">
      <c r="G1381" s="7"/>
      <c r="H1381" s="16"/>
      <c r="I1381" s="16"/>
      <c r="J1381" s="16"/>
      <c r="K1381" s="16"/>
      <c r="L1381" s="16"/>
      <c r="M1381" s="16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24"/>
      <c r="AC1381" s="16"/>
      <c r="AD1381" s="16"/>
      <c r="AE1381" s="16"/>
      <c r="AF1381" s="16"/>
      <c r="AG1381" s="14"/>
      <c r="AH1381" s="14"/>
      <c r="AI1381" s="24"/>
      <c r="AJ1381" s="24"/>
      <c r="AK1381" s="24"/>
      <c r="AL1381" s="16"/>
      <c r="AM1381" s="16"/>
      <c r="AN1381" s="16"/>
      <c r="AO1381" s="16"/>
      <c r="AP1381" s="16"/>
      <c r="AQ1381" s="16"/>
      <c r="AR1381" s="16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7"/>
    </row>
    <row r="1382" spans="7:54" x14ac:dyDescent="0.15">
      <c r="G1382" s="7"/>
      <c r="H1382" s="16"/>
      <c r="I1382" s="16"/>
      <c r="J1382" s="16"/>
      <c r="K1382" s="16"/>
      <c r="L1382" s="16"/>
      <c r="M1382" s="16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24"/>
      <c r="AC1382" s="16"/>
      <c r="AD1382" s="16"/>
      <c r="AE1382" s="16"/>
      <c r="AF1382" s="16"/>
      <c r="AG1382" s="14"/>
      <c r="AH1382" s="14"/>
      <c r="AI1382" s="24"/>
      <c r="AJ1382" s="24"/>
      <c r="AK1382" s="24"/>
      <c r="AL1382" s="16"/>
      <c r="AM1382" s="16"/>
      <c r="AN1382" s="16"/>
      <c r="AO1382" s="16"/>
      <c r="AP1382" s="16"/>
      <c r="AQ1382" s="16"/>
      <c r="AR1382" s="16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7"/>
    </row>
    <row r="1383" spans="7:54" x14ac:dyDescent="0.15">
      <c r="G1383" s="7"/>
      <c r="H1383" s="16"/>
      <c r="I1383" s="16"/>
      <c r="J1383" s="16"/>
      <c r="K1383" s="16"/>
      <c r="L1383" s="16"/>
      <c r="M1383" s="16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24"/>
      <c r="AC1383" s="16"/>
      <c r="AD1383" s="16"/>
      <c r="AE1383" s="16"/>
      <c r="AF1383" s="16"/>
      <c r="AG1383" s="14"/>
      <c r="AH1383" s="14"/>
      <c r="AI1383" s="24"/>
      <c r="AJ1383" s="24"/>
      <c r="AK1383" s="24"/>
      <c r="AL1383" s="16"/>
      <c r="AM1383" s="16"/>
      <c r="AN1383" s="16"/>
      <c r="AO1383" s="16"/>
      <c r="AP1383" s="16"/>
      <c r="AQ1383" s="16"/>
      <c r="AR1383" s="16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7"/>
    </row>
    <row r="1384" spans="7:54" x14ac:dyDescent="0.15">
      <c r="G1384" s="7"/>
      <c r="H1384" s="16"/>
      <c r="I1384" s="16"/>
      <c r="J1384" s="16"/>
      <c r="K1384" s="16"/>
      <c r="L1384" s="16"/>
      <c r="M1384" s="16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24"/>
      <c r="AC1384" s="16"/>
      <c r="AD1384" s="16"/>
      <c r="AE1384" s="16"/>
      <c r="AF1384" s="16"/>
      <c r="AG1384" s="14"/>
      <c r="AH1384" s="14"/>
      <c r="AI1384" s="24"/>
      <c r="AJ1384" s="24"/>
      <c r="AK1384" s="24"/>
      <c r="AL1384" s="16"/>
      <c r="AM1384" s="16"/>
      <c r="AN1384" s="16"/>
      <c r="AO1384" s="16"/>
      <c r="AP1384" s="16"/>
      <c r="AQ1384" s="16"/>
      <c r="AR1384" s="16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7"/>
    </row>
    <row r="1385" spans="7:54" x14ac:dyDescent="0.15">
      <c r="G1385" s="7"/>
      <c r="H1385" s="16"/>
      <c r="I1385" s="16"/>
      <c r="J1385" s="16"/>
      <c r="K1385" s="16"/>
      <c r="L1385" s="16"/>
      <c r="M1385" s="16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24"/>
      <c r="AC1385" s="16"/>
      <c r="AD1385" s="16"/>
      <c r="AE1385" s="16"/>
      <c r="AF1385" s="16"/>
      <c r="AG1385" s="14"/>
      <c r="AH1385" s="14"/>
      <c r="AI1385" s="24"/>
      <c r="AJ1385" s="24"/>
      <c r="AK1385" s="24"/>
      <c r="AL1385" s="16"/>
      <c r="AM1385" s="16"/>
      <c r="AN1385" s="16"/>
      <c r="AO1385" s="16"/>
      <c r="AP1385" s="16"/>
      <c r="AQ1385" s="16"/>
      <c r="AR1385" s="16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7"/>
    </row>
    <row r="1386" spans="7:54" x14ac:dyDescent="0.15">
      <c r="G1386" s="7"/>
      <c r="H1386" s="16"/>
      <c r="I1386" s="16"/>
      <c r="J1386" s="16"/>
      <c r="K1386" s="16"/>
      <c r="L1386" s="16"/>
      <c r="M1386" s="16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24"/>
      <c r="AC1386" s="16"/>
      <c r="AD1386" s="16"/>
      <c r="AE1386" s="16"/>
      <c r="AF1386" s="16"/>
      <c r="AG1386" s="14"/>
      <c r="AH1386" s="14"/>
      <c r="AI1386" s="24"/>
      <c r="AJ1386" s="24"/>
      <c r="AK1386" s="24"/>
      <c r="AL1386" s="16"/>
      <c r="AM1386" s="16"/>
      <c r="AN1386" s="16"/>
      <c r="AO1386" s="16"/>
      <c r="AP1386" s="16"/>
      <c r="AQ1386" s="16"/>
      <c r="AR1386" s="16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7"/>
    </row>
    <row r="1387" spans="7:54" x14ac:dyDescent="0.15">
      <c r="G1387" s="7"/>
      <c r="H1387" s="16"/>
      <c r="I1387" s="16"/>
      <c r="J1387" s="16"/>
      <c r="K1387" s="16"/>
      <c r="L1387" s="16"/>
      <c r="M1387" s="16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24"/>
      <c r="AC1387" s="16"/>
      <c r="AD1387" s="16"/>
      <c r="AE1387" s="16"/>
      <c r="AF1387" s="16"/>
      <c r="AG1387" s="14"/>
      <c r="AH1387" s="14"/>
      <c r="AI1387" s="24"/>
      <c r="AJ1387" s="24"/>
      <c r="AK1387" s="24"/>
      <c r="AL1387" s="16"/>
      <c r="AM1387" s="16"/>
      <c r="AN1387" s="16"/>
      <c r="AO1387" s="16"/>
      <c r="AP1387" s="16"/>
      <c r="AQ1387" s="16"/>
      <c r="AR1387" s="16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7"/>
    </row>
    <row r="1388" spans="7:54" x14ac:dyDescent="0.15">
      <c r="G1388" s="7"/>
      <c r="H1388" s="16"/>
      <c r="I1388" s="16"/>
      <c r="J1388" s="16"/>
      <c r="K1388" s="16"/>
      <c r="L1388" s="16"/>
      <c r="M1388" s="16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24"/>
      <c r="AC1388" s="16"/>
      <c r="AD1388" s="16"/>
      <c r="AE1388" s="16"/>
      <c r="AF1388" s="16"/>
      <c r="AG1388" s="14"/>
      <c r="AH1388" s="14"/>
      <c r="AI1388" s="24"/>
      <c r="AJ1388" s="24"/>
      <c r="AK1388" s="24"/>
      <c r="AL1388" s="16"/>
      <c r="AM1388" s="16"/>
      <c r="AN1388" s="16"/>
      <c r="AO1388" s="16"/>
      <c r="AP1388" s="16"/>
      <c r="AQ1388" s="16"/>
      <c r="AR1388" s="16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7"/>
    </row>
    <row r="1389" spans="7:54" x14ac:dyDescent="0.15">
      <c r="G1389" s="7"/>
      <c r="H1389" s="16"/>
      <c r="I1389" s="16"/>
      <c r="J1389" s="16"/>
      <c r="K1389" s="16"/>
      <c r="L1389" s="16"/>
      <c r="M1389" s="16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24"/>
      <c r="AC1389" s="16"/>
      <c r="AD1389" s="16"/>
      <c r="AE1389" s="16"/>
      <c r="AF1389" s="16"/>
      <c r="AG1389" s="14"/>
      <c r="AH1389" s="14"/>
      <c r="AI1389" s="24"/>
      <c r="AJ1389" s="24"/>
      <c r="AK1389" s="24"/>
      <c r="AL1389" s="16"/>
      <c r="AM1389" s="16"/>
      <c r="AN1389" s="16"/>
      <c r="AO1389" s="16"/>
      <c r="AP1389" s="16"/>
      <c r="AQ1389" s="16"/>
      <c r="AR1389" s="16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7"/>
    </row>
    <row r="1390" spans="7:54" x14ac:dyDescent="0.15">
      <c r="G1390" s="7"/>
      <c r="H1390" s="16"/>
      <c r="I1390" s="16"/>
      <c r="J1390" s="16"/>
      <c r="K1390" s="16"/>
      <c r="L1390" s="16"/>
      <c r="M1390" s="16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24"/>
      <c r="AC1390" s="16"/>
      <c r="AD1390" s="16"/>
      <c r="AE1390" s="16"/>
      <c r="AF1390" s="16"/>
      <c r="AG1390" s="14"/>
      <c r="AH1390" s="14"/>
      <c r="AI1390" s="24"/>
      <c r="AJ1390" s="24"/>
      <c r="AK1390" s="24"/>
      <c r="AL1390" s="16"/>
      <c r="AM1390" s="16"/>
      <c r="AN1390" s="16"/>
      <c r="AO1390" s="16"/>
      <c r="AP1390" s="16"/>
      <c r="AQ1390" s="16"/>
      <c r="AR1390" s="16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7"/>
    </row>
    <row r="1391" spans="7:54" x14ac:dyDescent="0.15">
      <c r="G1391" s="7"/>
      <c r="H1391" s="16"/>
      <c r="I1391" s="16"/>
      <c r="J1391" s="16"/>
      <c r="K1391" s="16"/>
      <c r="L1391" s="16"/>
      <c r="M1391" s="16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24"/>
      <c r="AC1391" s="16"/>
      <c r="AD1391" s="16"/>
      <c r="AE1391" s="16"/>
      <c r="AF1391" s="16"/>
      <c r="AG1391" s="14"/>
      <c r="AH1391" s="14"/>
      <c r="AI1391" s="24"/>
      <c r="AJ1391" s="24"/>
      <c r="AK1391" s="24"/>
      <c r="AL1391" s="16"/>
      <c r="AM1391" s="16"/>
      <c r="AN1391" s="16"/>
      <c r="AO1391" s="16"/>
      <c r="AP1391" s="16"/>
      <c r="AQ1391" s="16"/>
      <c r="AR1391" s="16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7"/>
    </row>
    <row r="1392" spans="7:54" x14ac:dyDescent="0.15">
      <c r="G1392" s="7"/>
      <c r="H1392" s="16"/>
      <c r="I1392" s="16"/>
      <c r="J1392" s="16"/>
      <c r="K1392" s="16"/>
      <c r="L1392" s="16"/>
      <c r="M1392" s="16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24"/>
      <c r="AC1392" s="16"/>
      <c r="AD1392" s="16"/>
      <c r="AE1392" s="16"/>
      <c r="AF1392" s="16"/>
      <c r="AG1392" s="14"/>
      <c r="AH1392" s="14"/>
      <c r="AI1392" s="24"/>
      <c r="AJ1392" s="24"/>
      <c r="AK1392" s="24"/>
      <c r="AL1392" s="16"/>
      <c r="AM1392" s="16"/>
      <c r="AN1392" s="16"/>
      <c r="AO1392" s="16"/>
      <c r="AP1392" s="16"/>
      <c r="AQ1392" s="16"/>
      <c r="AR1392" s="16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7"/>
    </row>
    <row r="1393" spans="7:54" x14ac:dyDescent="0.15">
      <c r="G1393" s="7"/>
      <c r="H1393" s="16"/>
      <c r="I1393" s="16"/>
      <c r="J1393" s="16"/>
      <c r="K1393" s="16"/>
      <c r="L1393" s="16"/>
      <c r="M1393" s="16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24"/>
      <c r="AC1393" s="16"/>
      <c r="AD1393" s="16"/>
      <c r="AE1393" s="16"/>
      <c r="AF1393" s="16"/>
      <c r="AG1393" s="14"/>
      <c r="AH1393" s="14"/>
      <c r="AI1393" s="24"/>
      <c r="AJ1393" s="24"/>
      <c r="AK1393" s="24"/>
      <c r="AL1393" s="16"/>
      <c r="AM1393" s="16"/>
      <c r="AN1393" s="16"/>
      <c r="AO1393" s="16"/>
      <c r="AP1393" s="16"/>
      <c r="AQ1393" s="16"/>
      <c r="AR1393" s="16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7"/>
    </row>
    <row r="1394" spans="7:54" x14ac:dyDescent="0.15">
      <c r="G1394" s="7"/>
      <c r="H1394" s="16"/>
      <c r="I1394" s="16"/>
      <c r="J1394" s="16"/>
      <c r="K1394" s="16"/>
      <c r="L1394" s="16"/>
      <c r="M1394" s="16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24"/>
      <c r="AC1394" s="16"/>
      <c r="AD1394" s="16"/>
      <c r="AE1394" s="16"/>
      <c r="AF1394" s="16"/>
      <c r="AG1394" s="14"/>
      <c r="AH1394" s="14"/>
      <c r="AI1394" s="24"/>
      <c r="AJ1394" s="24"/>
      <c r="AK1394" s="24"/>
      <c r="AL1394" s="16"/>
      <c r="AM1394" s="16"/>
      <c r="AN1394" s="16"/>
      <c r="AO1394" s="16"/>
      <c r="AP1394" s="16"/>
      <c r="AQ1394" s="16"/>
      <c r="AR1394" s="16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7"/>
    </row>
    <row r="1395" spans="7:54" x14ac:dyDescent="0.15">
      <c r="G1395" s="7"/>
      <c r="H1395" s="16"/>
      <c r="I1395" s="16"/>
      <c r="J1395" s="16"/>
      <c r="K1395" s="16"/>
      <c r="L1395" s="16"/>
      <c r="M1395" s="16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24"/>
      <c r="AC1395" s="16"/>
      <c r="AD1395" s="16"/>
      <c r="AE1395" s="16"/>
      <c r="AF1395" s="16"/>
      <c r="AG1395" s="14"/>
      <c r="AH1395" s="14"/>
      <c r="AI1395" s="24"/>
      <c r="AJ1395" s="24"/>
      <c r="AK1395" s="24"/>
      <c r="AL1395" s="16"/>
      <c r="AM1395" s="16"/>
      <c r="AN1395" s="16"/>
      <c r="AO1395" s="16"/>
      <c r="AP1395" s="16"/>
      <c r="AQ1395" s="16"/>
      <c r="AR1395" s="16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7"/>
    </row>
    <row r="1396" spans="7:54" x14ac:dyDescent="0.15">
      <c r="G1396" s="7"/>
      <c r="H1396" s="16"/>
      <c r="I1396" s="16"/>
      <c r="J1396" s="16"/>
      <c r="K1396" s="16"/>
      <c r="L1396" s="16"/>
      <c r="M1396" s="16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24"/>
      <c r="AC1396" s="16"/>
      <c r="AD1396" s="16"/>
      <c r="AE1396" s="16"/>
      <c r="AF1396" s="16"/>
      <c r="AG1396" s="14"/>
      <c r="AH1396" s="14"/>
      <c r="AI1396" s="24"/>
      <c r="AJ1396" s="24"/>
      <c r="AK1396" s="24"/>
      <c r="AL1396" s="16"/>
      <c r="AM1396" s="16"/>
      <c r="AN1396" s="16"/>
      <c r="AO1396" s="16"/>
      <c r="AP1396" s="16"/>
      <c r="AQ1396" s="16"/>
      <c r="AR1396" s="16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7"/>
    </row>
    <row r="1397" spans="7:54" x14ac:dyDescent="0.15">
      <c r="G1397" s="7"/>
      <c r="H1397" s="16"/>
      <c r="I1397" s="16"/>
      <c r="J1397" s="16"/>
      <c r="K1397" s="16"/>
      <c r="L1397" s="16"/>
      <c r="M1397" s="16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24"/>
      <c r="AC1397" s="16"/>
      <c r="AD1397" s="16"/>
      <c r="AE1397" s="16"/>
      <c r="AF1397" s="16"/>
      <c r="AG1397" s="14"/>
      <c r="AH1397" s="14"/>
      <c r="AI1397" s="24"/>
      <c r="AJ1397" s="24"/>
      <c r="AK1397" s="24"/>
      <c r="AL1397" s="16"/>
      <c r="AM1397" s="16"/>
      <c r="AN1397" s="16"/>
      <c r="AO1397" s="16"/>
      <c r="AP1397" s="16"/>
      <c r="AQ1397" s="16"/>
      <c r="AR1397" s="16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7"/>
    </row>
    <row r="1398" spans="7:54" x14ac:dyDescent="0.15">
      <c r="G1398" s="7"/>
      <c r="H1398" s="16"/>
      <c r="I1398" s="16"/>
      <c r="J1398" s="16"/>
      <c r="K1398" s="16"/>
      <c r="L1398" s="16"/>
      <c r="M1398" s="16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24"/>
      <c r="AC1398" s="16"/>
      <c r="AD1398" s="16"/>
      <c r="AE1398" s="16"/>
      <c r="AF1398" s="16"/>
      <c r="AG1398" s="14"/>
      <c r="AH1398" s="14"/>
      <c r="AI1398" s="24"/>
      <c r="AJ1398" s="24"/>
      <c r="AK1398" s="24"/>
      <c r="AL1398" s="16"/>
      <c r="AM1398" s="16"/>
      <c r="AN1398" s="16"/>
      <c r="AO1398" s="16"/>
      <c r="AP1398" s="16"/>
      <c r="AQ1398" s="16"/>
      <c r="AR1398" s="16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7"/>
    </row>
    <row r="1399" spans="7:54" x14ac:dyDescent="0.15">
      <c r="G1399" s="7"/>
      <c r="H1399" s="16"/>
      <c r="I1399" s="16"/>
      <c r="J1399" s="16"/>
      <c r="K1399" s="16"/>
      <c r="L1399" s="16"/>
      <c r="M1399" s="16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24"/>
      <c r="AC1399" s="16"/>
      <c r="AD1399" s="16"/>
      <c r="AE1399" s="16"/>
      <c r="AF1399" s="16"/>
      <c r="AG1399" s="14"/>
      <c r="AH1399" s="14"/>
      <c r="AI1399" s="24"/>
      <c r="AJ1399" s="24"/>
      <c r="AK1399" s="24"/>
      <c r="AL1399" s="16"/>
      <c r="AM1399" s="16"/>
      <c r="AN1399" s="16"/>
      <c r="AO1399" s="16"/>
      <c r="AP1399" s="16"/>
      <c r="AQ1399" s="16"/>
      <c r="AR1399" s="16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7"/>
    </row>
    <row r="1400" spans="7:54" x14ac:dyDescent="0.15">
      <c r="G1400" s="7"/>
      <c r="H1400" s="16"/>
      <c r="I1400" s="16"/>
      <c r="J1400" s="16"/>
      <c r="K1400" s="16"/>
      <c r="L1400" s="16"/>
      <c r="M1400" s="16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24"/>
      <c r="AC1400" s="16"/>
      <c r="AD1400" s="16"/>
      <c r="AE1400" s="16"/>
      <c r="AF1400" s="16"/>
      <c r="AG1400" s="14"/>
      <c r="AH1400" s="14"/>
      <c r="AI1400" s="24"/>
      <c r="AJ1400" s="24"/>
      <c r="AK1400" s="24"/>
      <c r="AL1400" s="16"/>
      <c r="AM1400" s="16"/>
      <c r="AN1400" s="16"/>
      <c r="AO1400" s="16"/>
      <c r="AP1400" s="16"/>
      <c r="AQ1400" s="16"/>
      <c r="AR1400" s="16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7"/>
    </row>
    <row r="1401" spans="7:54" x14ac:dyDescent="0.15">
      <c r="G1401" s="7"/>
      <c r="H1401" s="16"/>
      <c r="I1401" s="16"/>
      <c r="J1401" s="16"/>
      <c r="K1401" s="16"/>
      <c r="L1401" s="16"/>
      <c r="M1401" s="16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24"/>
      <c r="AC1401" s="16"/>
      <c r="AD1401" s="16"/>
      <c r="AE1401" s="16"/>
      <c r="AF1401" s="16"/>
      <c r="AG1401" s="14"/>
      <c r="AH1401" s="14"/>
      <c r="AI1401" s="24"/>
      <c r="AJ1401" s="24"/>
      <c r="AK1401" s="24"/>
      <c r="AL1401" s="16"/>
      <c r="AM1401" s="16"/>
      <c r="AN1401" s="16"/>
      <c r="AO1401" s="16"/>
      <c r="AP1401" s="16"/>
      <c r="AQ1401" s="16"/>
      <c r="AR1401" s="16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7"/>
    </row>
    <row r="1402" spans="7:54" x14ac:dyDescent="0.15">
      <c r="G1402" s="7"/>
      <c r="H1402" s="16"/>
      <c r="I1402" s="16"/>
      <c r="J1402" s="16"/>
      <c r="K1402" s="16"/>
      <c r="L1402" s="16"/>
      <c r="M1402" s="16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24"/>
      <c r="AC1402" s="16"/>
      <c r="AD1402" s="16"/>
      <c r="AE1402" s="16"/>
      <c r="AF1402" s="16"/>
      <c r="AG1402" s="14"/>
      <c r="AH1402" s="14"/>
      <c r="AI1402" s="24"/>
      <c r="AJ1402" s="24"/>
      <c r="AK1402" s="24"/>
      <c r="AL1402" s="16"/>
      <c r="AM1402" s="16"/>
      <c r="AN1402" s="16"/>
      <c r="AO1402" s="16"/>
      <c r="AP1402" s="16"/>
      <c r="AQ1402" s="16"/>
      <c r="AR1402" s="16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7"/>
    </row>
    <row r="1403" spans="7:54" x14ac:dyDescent="0.15">
      <c r="G1403" s="7"/>
      <c r="H1403" s="16"/>
      <c r="I1403" s="16"/>
      <c r="J1403" s="16"/>
      <c r="K1403" s="16"/>
      <c r="L1403" s="16"/>
      <c r="M1403" s="16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24"/>
      <c r="AC1403" s="16"/>
      <c r="AD1403" s="16"/>
      <c r="AE1403" s="16"/>
      <c r="AF1403" s="16"/>
      <c r="AG1403" s="14"/>
      <c r="AH1403" s="14"/>
      <c r="AI1403" s="24"/>
      <c r="AJ1403" s="24"/>
      <c r="AK1403" s="24"/>
      <c r="AL1403" s="16"/>
      <c r="AM1403" s="16"/>
      <c r="AN1403" s="16"/>
      <c r="AO1403" s="16"/>
      <c r="AP1403" s="16"/>
      <c r="AQ1403" s="16"/>
      <c r="AR1403" s="16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7"/>
    </row>
    <row r="1404" spans="7:54" x14ac:dyDescent="0.15">
      <c r="G1404" s="7"/>
      <c r="H1404" s="16"/>
      <c r="I1404" s="16"/>
      <c r="J1404" s="16"/>
      <c r="K1404" s="16"/>
      <c r="L1404" s="16"/>
      <c r="M1404" s="16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24"/>
      <c r="AC1404" s="16"/>
      <c r="AD1404" s="16"/>
      <c r="AE1404" s="16"/>
      <c r="AF1404" s="16"/>
      <c r="AG1404" s="14"/>
      <c r="AH1404" s="14"/>
      <c r="AI1404" s="24"/>
      <c r="AJ1404" s="24"/>
      <c r="AK1404" s="24"/>
      <c r="AL1404" s="16"/>
      <c r="AM1404" s="16"/>
      <c r="AN1404" s="16"/>
      <c r="AO1404" s="16"/>
      <c r="AP1404" s="16"/>
      <c r="AQ1404" s="16"/>
      <c r="AR1404" s="16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7"/>
    </row>
    <row r="1405" spans="7:54" x14ac:dyDescent="0.15">
      <c r="G1405" s="7"/>
      <c r="H1405" s="16"/>
      <c r="I1405" s="16"/>
      <c r="J1405" s="16"/>
      <c r="K1405" s="16"/>
      <c r="L1405" s="16"/>
      <c r="M1405" s="16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24"/>
      <c r="AC1405" s="16"/>
      <c r="AD1405" s="16"/>
      <c r="AE1405" s="16"/>
      <c r="AF1405" s="16"/>
      <c r="AG1405" s="14"/>
      <c r="AH1405" s="14"/>
      <c r="AI1405" s="24"/>
      <c r="AJ1405" s="24"/>
      <c r="AK1405" s="24"/>
      <c r="AL1405" s="16"/>
      <c r="AM1405" s="16"/>
      <c r="AN1405" s="16"/>
      <c r="AO1405" s="16"/>
      <c r="AP1405" s="16"/>
      <c r="AQ1405" s="16"/>
      <c r="AR1405" s="16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7"/>
    </row>
    <row r="1406" spans="7:54" x14ac:dyDescent="0.15">
      <c r="G1406" s="7"/>
      <c r="H1406" s="16"/>
      <c r="I1406" s="16"/>
      <c r="J1406" s="16"/>
      <c r="K1406" s="16"/>
      <c r="L1406" s="16"/>
      <c r="M1406" s="16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24"/>
      <c r="AC1406" s="16"/>
      <c r="AD1406" s="16"/>
      <c r="AE1406" s="16"/>
      <c r="AF1406" s="16"/>
      <c r="AG1406" s="14"/>
      <c r="AH1406" s="14"/>
      <c r="AI1406" s="24"/>
      <c r="AJ1406" s="24"/>
      <c r="AK1406" s="24"/>
      <c r="AL1406" s="16"/>
      <c r="AM1406" s="16"/>
      <c r="AN1406" s="16"/>
      <c r="AO1406" s="16"/>
      <c r="AP1406" s="16"/>
      <c r="AQ1406" s="16"/>
      <c r="AR1406" s="16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7"/>
    </row>
    <row r="1407" spans="7:54" x14ac:dyDescent="0.15">
      <c r="G1407" s="7"/>
      <c r="H1407" s="16"/>
      <c r="I1407" s="16"/>
      <c r="J1407" s="16"/>
      <c r="K1407" s="16"/>
      <c r="L1407" s="16"/>
      <c r="M1407" s="16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24"/>
      <c r="AC1407" s="16"/>
      <c r="AD1407" s="16"/>
      <c r="AE1407" s="16"/>
      <c r="AF1407" s="16"/>
      <c r="AG1407" s="14"/>
      <c r="AH1407" s="14"/>
      <c r="AI1407" s="24"/>
      <c r="AJ1407" s="24"/>
      <c r="AK1407" s="24"/>
      <c r="AL1407" s="16"/>
      <c r="AM1407" s="16"/>
      <c r="AN1407" s="16"/>
      <c r="AO1407" s="16"/>
      <c r="AP1407" s="16"/>
      <c r="AQ1407" s="16"/>
      <c r="AR1407" s="16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7"/>
    </row>
    <row r="1408" spans="7:54" x14ac:dyDescent="0.15">
      <c r="G1408" s="7"/>
      <c r="H1408" s="16"/>
      <c r="I1408" s="16"/>
      <c r="J1408" s="16"/>
      <c r="K1408" s="16"/>
      <c r="L1408" s="16"/>
      <c r="M1408" s="16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24"/>
      <c r="AC1408" s="16"/>
      <c r="AD1408" s="16"/>
      <c r="AE1408" s="16"/>
      <c r="AF1408" s="16"/>
      <c r="AG1408" s="14"/>
      <c r="AH1408" s="14"/>
      <c r="AI1408" s="24"/>
      <c r="AJ1408" s="24"/>
      <c r="AK1408" s="24"/>
      <c r="AL1408" s="16"/>
      <c r="AM1408" s="16"/>
      <c r="AN1408" s="16"/>
      <c r="AO1408" s="16"/>
      <c r="AP1408" s="16"/>
      <c r="AQ1408" s="16"/>
      <c r="AR1408" s="16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7"/>
    </row>
    <row r="1409" spans="7:54" x14ac:dyDescent="0.15">
      <c r="G1409" s="7"/>
      <c r="H1409" s="16"/>
      <c r="I1409" s="16"/>
      <c r="J1409" s="16"/>
      <c r="K1409" s="16"/>
      <c r="L1409" s="16"/>
      <c r="M1409" s="16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24"/>
      <c r="AC1409" s="16"/>
      <c r="AD1409" s="16"/>
      <c r="AE1409" s="16"/>
      <c r="AF1409" s="16"/>
      <c r="AG1409" s="14"/>
      <c r="AH1409" s="14"/>
      <c r="AI1409" s="24"/>
      <c r="AJ1409" s="24"/>
      <c r="AK1409" s="24"/>
      <c r="AL1409" s="16"/>
      <c r="AM1409" s="16"/>
      <c r="AN1409" s="16"/>
      <c r="AO1409" s="16"/>
      <c r="AP1409" s="16"/>
      <c r="AQ1409" s="16"/>
      <c r="AR1409" s="16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7"/>
    </row>
    <row r="1410" spans="7:54" x14ac:dyDescent="0.15">
      <c r="G1410" s="7"/>
      <c r="H1410" s="16"/>
      <c r="I1410" s="16"/>
      <c r="J1410" s="16"/>
      <c r="K1410" s="16"/>
      <c r="L1410" s="16"/>
      <c r="M1410" s="16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24"/>
      <c r="AC1410" s="16"/>
      <c r="AD1410" s="16"/>
      <c r="AE1410" s="16"/>
      <c r="AF1410" s="16"/>
      <c r="AG1410" s="14"/>
      <c r="AH1410" s="14"/>
      <c r="AI1410" s="24"/>
      <c r="AJ1410" s="24"/>
      <c r="AK1410" s="24"/>
      <c r="AL1410" s="16"/>
      <c r="AM1410" s="16"/>
      <c r="AN1410" s="16"/>
      <c r="AO1410" s="16"/>
      <c r="AP1410" s="16"/>
      <c r="AQ1410" s="16"/>
      <c r="AR1410" s="16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7"/>
    </row>
    <row r="1411" spans="7:54" x14ac:dyDescent="0.15">
      <c r="G1411" s="7"/>
      <c r="H1411" s="16"/>
      <c r="I1411" s="16"/>
      <c r="J1411" s="16"/>
      <c r="K1411" s="16"/>
      <c r="L1411" s="16"/>
      <c r="M1411" s="16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24"/>
      <c r="AC1411" s="16"/>
      <c r="AD1411" s="16"/>
      <c r="AE1411" s="16"/>
      <c r="AF1411" s="16"/>
      <c r="AG1411" s="14"/>
      <c r="AH1411" s="14"/>
      <c r="AI1411" s="24"/>
      <c r="AJ1411" s="24"/>
      <c r="AK1411" s="24"/>
      <c r="AL1411" s="16"/>
      <c r="AM1411" s="16"/>
      <c r="AN1411" s="16"/>
      <c r="AO1411" s="16"/>
      <c r="AP1411" s="16"/>
      <c r="AQ1411" s="16"/>
      <c r="AR1411" s="16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7"/>
    </row>
    <row r="1412" spans="7:54" x14ac:dyDescent="0.15">
      <c r="G1412" s="7"/>
      <c r="H1412" s="16"/>
      <c r="I1412" s="16"/>
      <c r="J1412" s="16"/>
      <c r="K1412" s="16"/>
      <c r="L1412" s="16"/>
      <c r="M1412" s="16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24"/>
      <c r="AC1412" s="16"/>
      <c r="AD1412" s="16"/>
      <c r="AE1412" s="16"/>
      <c r="AF1412" s="16"/>
      <c r="AG1412" s="14"/>
      <c r="AH1412" s="14"/>
      <c r="AI1412" s="24"/>
      <c r="AJ1412" s="24"/>
      <c r="AK1412" s="24"/>
      <c r="AL1412" s="16"/>
      <c r="AM1412" s="16"/>
      <c r="AN1412" s="16"/>
      <c r="AO1412" s="16"/>
      <c r="AP1412" s="16"/>
      <c r="AQ1412" s="16"/>
      <c r="AR1412" s="16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7"/>
    </row>
    <row r="1413" spans="7:54" x14ac:dyDescent="0.15">
      <c r="G1413" s="7"/>
      <c r="H1413" s="16"/>
      <c r="I1413" s="16"/>
      <c r="J1413" s="16"/>
      <c r="K1413" s="16"/>
      <c r="L1413" s="16"/>
      <c r="M1413" s="16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24"/>
      <c r="AC1413" s="16"/>
      <c r="AD1413" s="16"/>
      <c r="AE1413" s="16"/>
      <c r="AF1413" s="16"/>
      <c r="AG1413" s="14"/>
      <c r="AH1413" s="14"/>
      <c r="AI1413" s="24"/>
      <c r="AJ1413" s="24"/>
      <c r="AK1413" s="24"/>
      <c r="AL1413" s="16"/>
      <c r="AM1413" s="16"/>
      <c r="AN1413" s="16"/>
      <c r="AO1413" s="16"/>
      <c r="AP1413" s="16"/>
      <c r="AQ1413" s="16"/>
      <c r="AR1413" s="16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7"/>
    </row>
    <row r="1414" spans="7:54" x14ac:dyDescent="0.15">
      <c r="G1414" s="7"/>
      <c r="H1414" s="16"/>
      <c r="I1414" s="16"/>
      <c r="J1414" s="16"/>
      <c r="K1414" s="16"/>
      <c r="L1414" s="16"/>
      <c r="M1414" s="16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24"/>
      <c r="AC1414" s="16"/>
      <c r="AD1414" s="16"/>
      <c r="AE1414" s="16"/>
      <c r="AF1414" s="16"/>
      <c r="AG1414" s="14"/>
      <c r="AH1414" s="14"/>
      <c r="AI1414" s="24"/>
      <c r="AJ1414" s="24"/>
      <c r="AK1414" s="24"/>
      <c r="AL1414" s="16"/>
      <c r="AM1414" s="16"/>
      <c r="AN1414" s="16"/>
      <c r="AO1414" s="16"/>
      <c r="AP1414" s="16"/>
      <c r="AQ1414" s="16"/>
      <c r="AR1414" s="16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7"/>
    </row>
    <row r="1415" spans="7:54" x14ac:dyDescent="0.15">
      <c r="G1415" s="7"/>
      <c r="H1415" s="16"/>
      <c r="I1415" s="16"/>
      <c r="J1415" s="16"/>
      <c r="K1415" s="16"/>
      <c r="L1415" s="16"/>
      <c r="M1415" s="16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24"/>
      <c r="AC1415" s="16"/>
      <c r="AD1415" s="16"/>
      <c r="AE1415" s="16"/>
      <c r="AF1415" s="16"/>
      <c r="AG1415" s="14"/>
      <c r="AH1415" s="14"/>
      <c r="AI1415" s="24"/>
      <c r="AJ1415" s="24"/>
      <c r="AK1415" s="24"/>
      <c r="AL1415" s="16"/>
      <c r="AM1415" s="16"/>
      <c r="AN1415" s="16"/>
      <c r="AO1415" s="16"/>
      <c r="AP1415" s="16"/>
      <c r="AQ1415" s="16"/>
      <c r="AR1415" s="16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7"/>
    </row>
    <row r="1416" spans="7:54" x14ac:dyDescent="0.15">
      <c r="G1416" s="7"/>
      <c r="H1416" s="16"/>
      <c r="I1416" s="16"/>
      <c r="J1416" s="16"/>
      <c r="K1416" s="16"/>
      <c r="L1416" s="16"/>
      <c r="M1416" s="16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24"/>
      <c r="AC1416" s="16"/>
      <c r="AD1416" s="16"/>
      <c r="AE1416" s="16"/>
      <c r="AF1416" s="16"/>
      <c r="AG1416" s="14"/>
      <c r="AH1416" s="14"/>
      <c r="AI1416" s="24"/>
      <c r="AJ1416" s="24"/>
      <c r="AK1416" s="24"/>
      <c r="AL1416" s="16"/>
      <c r="AM1416" s="16"/>
      <c r="AN1416" s="16"/>
      <c r="AO1416" s="16"/>
      <c r="AP1416" s="16"/>
      <c r="AQ1416" s="16"/>
      <c r="AR1416" s="16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7"/>
    </row>
    <row r="1417" spans="7:54" x14ac:dyDescent="0.15">
      <c r="G1417" s="7"/>
      <c r="H1417" s="16"/>
      <c r="I1417" s="16"/>
      <c r="J1417" s="16"/>
      <c r="K1417" s="16"/>
      <c r="L1417" s="16"/>
      <c r="M1417" s="16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24"/>
      <c r="AC1417" s="16"/>
      <c r="AD1417" s="16"/>
      <c r="AE1417" s="16"/>
      <c r="AF1417" s="16"/>
      <c r="AG1417" s="14"/>
      <c r="AH1417" s="14"/>
      <c r="AI1417" s="24"/>
      <c r="AJ1417" s="24"/>
      <c r="AK1417" s="24"/>
      <c r="AL1417" s="16"/>
      <c r="AM1417" s="16"/>
      <c r="AN1417" s="16"/>
      <c r="AO1417" s="16"/>
      <c r="AP1417" s="16"/>
      <c r="AQ1417" s="16"/>
      <c r="AR1417" s="16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7"/>
    </row>
    <row r="1418" spans="7:54" x14ac:dyDescent="0.15">
      <c r="G1418" s="7"/>
      <c r="H1418" s="16"/>
      <c r="I1418" s="16"/>
      <c r="J1418" s="16"/>
      <c r="K1418" s="16"/>
      <c r="L1418" s="16"/>
      <c r="M1418" s="16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24"/>
      <c r="AC1418" s="16"/>
      <c r="AD1418" s="16"/>
      <c r="AE1418" s="16"/>
      <c r="AF1418" s="16"/>
      <c r="AG1418" s="14"/>
      <c r="AH1418" s="14"/>
      <c r="AI1418" s="24"/>
      <c r="AJ1418" s="24"/>
      <c r="AK1418" s="24"/>
      <c r="AL1418" s="16"/>
      <c r="AM1418" s="16"/>
      <c r="AN1418" s="16"/>
      <c r="AO1418" s="16"/>
      <c r="AP1418" s="16"/>
      <c r="AQ1418" s="16"/>
      <c r="AR1418" s="16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7"/>
    </row>
    <row r="1419" spans="7:54" x14ac:dyDescent="0.15">
      <c r="G1419" s="7"/>
      <c r="H1419" s="16"/>
      <c r="I1419" s="16"/>
      <c r="J1419" s="16"/>
      <c r="K1419" s="16"/>
      <c r="L1419" s="16"/>
      <c r="M1419" s="16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24"/>
      <c r="AC1419" s="16"/>
      <c r="AD1419" s="16"/>
      <c r="AE1419" s="16"/>
      <c r="AF1419" s="16"/>
      <c r="AG1419" s="14"/>
      <c r="AH1419" s="14"/>
      <c r="AI1419" s="24"/>
      <c r="AJ1419" s="24"/>
      <c r="AK1419" s="24"/>
      <c r="AL1419" s="16"/>
      <c r="AM1419" s="16"/>
      <c r="AN1419" s="16"/>
      <c r="AO1419" s="16"/>
      <c r="AP1419" s="16"/>
      <c r="AQ1419" s="16"/>
      <c r="AR1419" s="16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7"/>
    </row>
    <row r="1420" spans="7:54" x14ac:dyDescent="0.15">
      <c r="G1420" s="7"/>
      <c r="H1420" s="16"/>
      <c r="I1420" s="16"/>
      <c r="J1420" s="16"/>
      <c r="K1420" s="16"/>
      <c r="L1420" s="16"/>
      <c r="M1420" s="16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24"/>
      <c r="AC1420" s="16"/>
      <c r="AD1420" s="16"/>
      <c r="AE1420" s="16"/>
      <c r="AF1420" s="16"/>
      <c r="AG1420" s="14"/>
      <c r="AH1420" s="14"/>
      <c r="AI1420" s="24"/>
      <c r="AJ1420" s="24"/>
      <c r="AK1420" s="24"/>
      <c r="AL1420" s="16"/>
      <c r="AM1420" s="16"/>
      <c r="AN1420" s="16"/>
      <c r="AO1420" s="16"/>
      <c r="AP1420" s="16"/>
      <c r="AQ1420" s="16"/>
      <c r="AR1420" s="16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7"/>
    </row>
    <row r="1421" spans="7:54" x14ac:dyDescent="0.15">
      <c r="G1421" s="7"/>
      <c r="H1421" s="16"/>
      <c r="I1421" s="16"/>
      <c r="J1421" s="16"/>
      <c r="K1421" s="16"/>
      <c r="L1421" s="16"/>
      <c r="M1421" s="16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24"/>
      <c r="AC1421" s="16"/>
      <c r="AD1421" s="16"/>
      <c r="AE1421" s="16"/>
      <c r="AF1421" s="16"/>
      <c r="AG1421" s="14"/>
      <c r="AH1421" s="14"/>
      <c r="AI1421" s="24"/>
      <c r="AJ1421" s="24"/>
      <c r="AK1421" s="24"/>
      <c r="AL1421" s="16"/>
      <c r="AM1421" s="16"/>
      <c r="AN1421" s="16"/>
      <c r="AO1421" s="16"/>
      <c r="AP1421" s="16"/>
      <c r="AQ1421" s="16"/>
      <c r="AR1421" s="16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7"/>
    </row>
    <row r="1422" spans="7:54" x14ac:dyDescent="0.15">
      <c r="G1422" s="7"/>
      <c r="H1422" s="16"/>
      <c r="I1422" s="16"/>
      <c r="J1422" s="16"/>
      <c r="K1422" s="16"/>
      <c r="L1422" s="16"/>
      <c r="M1422" s="16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24"/>
      <c r="AC1422" s="16"/>
      <c r="AD1422" s="16"/>
      <c r="AE1422" s="16"/>
      <c r="AF1422" s="16"/>
      <c r="AG1422" s="14"/>
      <c r="AH1422" s="14"/>
      <c r="AI1422" s="24"/>
      <c r="AJ1422" s="24"/>
      <c r="AK1422" s="24"/>
      <c r="AL1422" s="16"/>
      <c r="AM1422" s="16"/>
      <c r="AN1422" s="16"/>
      <c r="AO1422" s="16"/>
      <c r="AP1422" s="16"/>
      <c r="AQ1422" s="16"/>
      <c r="AR1422" s="16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7"/>
    </row>
    <row r="1423" spans="7:54" x14ac:dyDescent="0.15">
      <c r="G1423" s="7"/>
      <c r="H1423" s="16"/>
      <c r="I1423" s="16"/>
      <c r="J1423" s="16"/>
      <c r="K1423" s="16"/>
      <c r="L1423" s="16"/>
      <c r="M1423" s="16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24"/>
      <c r="AC1423" s="16"/>
      <c r="AD1423" s="16"/>
      <c r="AE1423" s="16"/>
      <c r="AF1423" s="16"/>
      <c r="AG1423" s="14"/>
      <c r="AH1423" s="14"/>
      <c r="AI1423" s="24"/>
      <c r="AJ1423" s="24"/>
      <c r="AK1423" s="24"/>
      <c r="AL1423" s="16"/>
      <c r="AM1423" s="16"/>
      <c r="AN1423" s="16"/>
      <c r="AO1423" s="16"/>
      <c r="AP1423" s="16"/>
      <c r="AQ1423" s="16"/>
      <c r="AR1423" s="16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7"/>
    </row>
    <row r="1424" spans="7:54" x14ac:dyDescent="0.15">
      <c r="G1424" s="7"/>
      <c r="H1424" s="16"/>
      <c r="I1424" s="16"/>
      <c r="J1424" s="16"/>
      <c r="K1424" s="16"/>
      <c r="L1424" s="16"/>
      <c r="M1424" s="16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24"/>
      <c r="AC1424" s="16"/>
      <c r="AD1424" s="16"/>
      <c r="AE1424" s="16"/>
      <c r="AF1424" s="16"/>
      <c r="AG1424" s="14"/>
      <c r="AH1424" s="14"/>
      <c r="AI1424" s="24"/>
      <c r="AJ1424" s="24"/>
      <c r="AK1424" s="24"/>
      <c r="AL1424" s="16"/>
      <c r="AM1424" s="16"/>
      <c r="AN1424" s="16"/>
      <c r="AO1424" s="16"/>
      <c r="AP1424" s="16"/>
      <c r="AQ1424" s="16"/>
      <c r="AR1424" s="16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7"/>
    </row>
    <row r="1425" spans="7:54" x14ac:dyDescent="0.15">
      <c r="G1425" s="7"/>
      <c r="H1425" s="16"/>
      <c r="I1425" s="16"/>
      <c r="J1425" s="16"/>
      <c r="K1425" s="16"/>
      <c r="L1425" s="16"/>
      <c r="M1425" s="16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24"/>
      <c r="AC1425" s="16"/>
      <c r="AD1425" s="16"/>
      <c r="AE1425" s="16"/>
      <c r="AF1425" s="16"/>
      <c r="AG1425" s="14"/>
      <c r="AH1425" s="14"/>
      <c r="AI1425" s="24"/>
      <c r="AJ1425" s="24"/>
      <c r="AK1425" s="24"/>
      <c r="AL1425" s="16"/>
      <c r="AM1425" s="16"/>
      <c r="AN1425" s="16"/>
      <c r="AO1425" s="16"/>
      <c r="AP1425" s="16"/>
      <c r="AQ1425" s="16"/>
      <c r="AR1425" s="16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7"/>
    </row>
    <row r="1426" spans="7:54" x14ac:dyDescent="0.15">
      <c r="G1426" s="7"/>
      <c r="H1426" s="16"/>
      <c r="I1426" s="16"/>
      <c r="J1426" s="16"/>
      <c r="K1426" s="16"/>
      <c r="L1426" s="16"/>
      <c r="M1426" s="16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24"/>
      <c r="AC1426" s="16"/>
      <c r="AD1426" s="16"/>
      <c r="AE1426" s="16"/>
      <c r="AF1426" s="16"/>
      <c r="AG1426" s="14"/>
      <c r="AH1426" s="14"/>
      <c r="AI1426" s="24"/>
      <c r="AJ1426" s="24"/>
      <c r="AK1426" s="24"/>
      <c r="AL1426" s="16"/>
      <c r="AM1426" s="16"/>
      <c r="AN1426" s="16"/>
      <c r="AO1426" s="16"/>
      <c r="AP1426" s="16"/>
      <c r="AQ1426" s="16"/>
      <c r="AR1426" s="16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7"/>
    </row>
    <row r="1427" spans="7:54" x14ac:dyDescent="0.15">
      <c r="G1427" s="7"/>
      <c r="H1427" s="16"/>
      <c r="I1427" s="16"/>
      <c r="J1427" s="16"/>
      <c r="K1427" s="16"/>
      <c r="L1427" s="16"/>
      <c r="M1427" s="16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24"/>
      <c r="AC1427" s="16"/>
      <c r="AD1427" s="16"/>
      <c r="AE1427" s="16"/>
      <c r="AF1427" s="16"/>
      <c r="AG1427" s="14"/>
      <c r="AH1427" s="14"/>
      <c r="AI1427" s="24"/>
      <c r="AJ1427" s="24"/>
      <c r="AK1427" s="24"/>
      <c r="AL1427" s="16"/>
      <c r="AM1427" s="16"/>
      <c r="AN1427" s="16"/>
      <c r="AO1427" s="16"/>
      <c r="AP1427" s="16"/>
      <c r="AQ1427" s="16"/>
      <c r="AR1427" s="16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7"/>
    </row>
    <row r="1428" spans="7:54" x14ac:dyDescent="0.15">
      <c r="G1428" s="7"/>
      <c r="H1428" s="16"/>
      <c r="I1428" s="16"/>
      <c r="J1428" s="16"/>
      <c r="K1428" s="16"/>
      <c r="L1428" s="16"/>
      <c r="M1428" s="16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24"/>
      <c r="AC1428" s="16"/>
      <c r="AD1428" s="16"/>
      <c r="AE1428" s="16"/>
      <c r="AF1428" s="16"/>
      <c r="AG1428" s="14"/>
      <c r="AH1428" s="14"/>
      <c r="AI1428" s="24"/>
      <c r="AJ1428" s="24"/>
      <c r="AK1428" s="24"/>
      <c r="AL1428" s="16"/>
      <c r="AM1428" s="16"/>
      <c r="AN1428" s="16"/>
      <c r="AO1428" s="16"/>
      <c r="AP1428" s="16"/>
      <c r="AQ1428" s="16"/>
      <c r="AR1428" s="16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7"/>
    </row>
    <row r="1429" spans="7:54" x14ac:dyDescent="0.15">
      <c r="G1429" s="7"/>
      <c r="H1429" s="16"/>
      <c r="I1429" s="16"/>
      <c r="J1429" s="16"/>
      <c r="K1429" s="16"/>
      <c r="L1429" s="16"/>
      <c r="M1429" s="16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24"/>
      <c r="AC1429" s="16"/>
      <c r="AD1429" s="16"/>
      <c r="AE1429" s="16"/>
      <c r="AF1429" s="16"/>
      <c r="AG1429" s="14"/>
      <c r="AH1429" s="14"/>
      <c r="AI1429" s="24"/>
      <c r="AJ1429" s="24"/>
      <c r="AK1429" s="24"/>
      <c r="AL1429" s="16"/>
      <c r="AM1429" s="16"/>
      <c r="AN1429" s="16"/>
      <c r="AO1429" s="16"/>
      <c r="AP1429" s="16"/>
      <c r="AQ1429" s="16"/>
      <c r="AR1429" s="16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7"/>
    </row>
    <row r="1430" spans="7:54" x14ac:dyDescent="0.15">
      <c r="G1430" s="7"/>
      <c r="H1430" s="16"/>
      <c r="I1430" s="16"/>
      <c r="J1430" s="16"/>
      <c r="K1430" s="16"/>
      <c r="L1430" s="16"/>
      <c r="M1430" s="16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24"/>
      <c r="AC1430" s="16"/>
      <c r="AD1430" s="16"/>
      <c r="AE1430" s="16"/>
      <c r="AF1430" s="16"/>
      <c r="AG1430" s="14"/>
      <c r="AH1430" s="14"/>
      <c r="AI1430" s="24"/>
      <c r="AJ1430" s="24"/>
      <c r="AK1430" s="24"/>
      <c r="AL1430" s="16"/>
      <c r="AM1430" s="16"/>
      <c r="AN1430" s="16"/>
      <c r="AO1430" s="16"/>
      <c r="AP1430" s="16"/>
      <c r="AQ1430" s="16"/>
      <c r="AR1430" s="16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7"/>
    </row>
    <row r="1431" spans="7:54" x14ac:dyDescent="0.15">
      <c r="G1431" s="7"/>
      <c r="H1431" s="16"/>
      <c r="I1431" s="16"/>
      <c r="J1431" s="16"/>
      <c r="K1431" s="16"/>
      <c r="L1431" s="16"/>
      <c r="M1431" s="16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24"/>
      <c r="AC1431" s="16"/>
      <c r="AD1431" s="16"/>
      <c r="AE1431" s="16"/>
      <c r="AF1431" s="16"/>
      <c r="AG1431" s="14"/>
      <c r="AH1431" s="14"/>
      <c r="AI1431" s="24"/>
      <c r="AJ1431" s="24"/>
      <c r="AK1431" s="24"/>
      <c r="AL1431" s="16"/>
      <c r="AM1431" s="16"/>
      <c r="AN1431" s="16"/>
      <c r="AO1431" s="16"/>
      <c r="AP1431" s="16"/>
      <c r="AQ1431" s="16"/>
      <c r="AR1431" s="16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7"/>
    </row>
    <row r="1432" spans="7:54" x14ac:dyDescent="0.15">
      <c r="G1432" s="7"/>
      <c r="H1432" s="16"/>
      <c r="I1432" s="16"/>
      <c r="J1432" s="16"/>
      <c r="K1432" s="16"/>
      <c r="L1432" s="16"/>
      <c r="M1432" s="16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24"/>
      <c r="AC1432" s="16"/>
      <c r="AD1432" s="16"/>
      <c r="AE1432" s="16"/>
      <c r="AF1432" s="16"/>
      <c r="AG1432" s="14"/>
      <c r="AH1432" s="14"/>
      <c r="AI1432" s="24"/>
      <c r="AJ1432" s="24"/>
      <c r="AK1432" s="24"/>
      <c r="AL1432" s="16"/>
      <c r="AM1432" s="16"/>
      <c r="AN1432" s="16"/>
      <c r="AO1432" s="16"/>
      <c r="AP1432" s="16"/>
      <c r="AQ1432" s="16"/>
      <c r="AR1432" s="16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7"/>
    </row>
    <row r="1433" spans="7:54" x14ac:dyDescent="0.15">
      <c r="G1433" s="7"/>
      <c r="H1433" s="16"/>
      <c r="I1433" s="16"/>
      <c r="J1433" s="16"/>
      <c r="K1433" s="16"/>
      <c r="L1433" s="16"/>
      <c r="M1433" s="16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24"/>
      <c r="AC1433" s="16"/>
      <c r="AD1433" s="16"/>
      <c r="AE1433" s="16"/>
      <c r="AF1433" s="16"/>
      <c r="AG1433" s="14"/>
      <c r="AH1433" s="14"/>
      <c r="AI1433" s="24"/>
      <c r="AJ1433" s="24"/>
      <c r="AK1433" s="24"/>
      <c r="AL1433" s="16"/>
      <c r="AM1433" s="16"/>
      <c r="AN1433" s="16"/>
      <c r="AO1433" s="16"/>
      <c r="AP1433" s="16"/>
      <c r="AQ1433" s="16"/>
      <c r="AR1433" s="16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7"/>
    </row>
    <row r="1434" spans="7:54" x14ac:dyDescent="0.15">
      <c r="G1434" s="7"/>
      <c r="H1434" s="16"/>
      <c r="I1434" s="16"/>
      <c r="J1434" s="16"/>
      <c r="K1434" s="16"/>
      <c r="L1434" s="16"/>
      <c r="M1434" s="16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24"/>
      <c r="AC1434" s="16"/>
      <c r="AD1434" s="16"/>
      <c r="AE1434" s="16"/>
      <c r="AF1434" s="16"/>
      <c r="AG1434" s="14"/>
      <c r="AH1434" s="14"/>
      <c r="AI1434" s="24"/>
      <c r="AJ1434" s="24"/>
      <c r="AK1434" s="24"/>
      <c r="AL1434" s="16"/>
      <c r="AM1434" s="16"/>
      <c r="AN1434" s="16"/>
      <c r="AO1434" s="16"/>
      <c r="AP1434" s="16"/>
      <c r="AQ1434" s="16"/>
      <c r="AR1434" s="16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7"/>
    </row>
    <row r="1435" spans="7:54" x14ac:dyDescent="0.15">
      <c r="G1435" s="7"/>
      <c r="H1435" s="16"/>
      <c r="I1435" s="16"/>
      <c r="J1435" s="16"/>
      <c r="K1435" s="16"/>
      <c r="L1435" s="16"/>
      <c r="M1435" s="16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24"/>
      <c r="AC1435" s="16"/>
      <c r="AD1435" s="16"/>
      <c r="AE1435" s="16"/>
      <c r="AF1435" s="16"/>
      <c r="AG1435" s="14"/>
      <c r="AH1435" s="14"/>
      <c r="AI1435" s="24"/>
      <c r="AJ1435" s="24"/>
      <c r="AK1435" s="24"/>
      <c r="AL1435" s="16"/>
      <c r="AM1435" s="16"/>
      <c r="AN1435" s="16"/>
      <c r="AO1435" s="16"/>
      <c r="AP1435" s="16"/>
      <c r="AQ1435" s="16"/>
      <c r="AR1435" s="16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7"/>
    </row>
    <row r="1436" spans="7:54" x14ac:dyDescent="0.15">
      <c r="G1436" s="7"/>
      <c r="H1436" s="16"/>
      <c r="I1436" s="16"/>
      <c r="J1436" s="16"/>
      <c r="K1436" s="16"/>
      <c r="L1436" s="16"/>
      <c r="M1436" s="16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24"/>
      <c r="AC1436" s="16"/>
      <c r="AD1436" s="16"/>
      <c r="AE1436" s="16"/>
      <c r="AF1436" s="16"/>
      <c r="AG1436" s="14"/>
      <c r="AH1436" s="14"/>
      <c r="AI1436" s="24"/>
      <c r="AJ1436" s="24"/>
      <c r="AK1436" s="24"/>
      <c r="AL1436" s="16"/>
      <c r="AM1436" s="16"/>
      <c r="AN1436" s="16"/>
      <c r="AO1436" s="16"/>
      <c r="AP1436" s="16"/>
      <c r="AQ1436" s="16"/>
      <c r="AR1436" s="16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7"/>
    </row>
    <row r="1437" spans="7:54" x14ac:dyDescent="0.15">
      <c r="G1437" s="7"/>
      <c r="H1437" s="16"/>
      <c r="I1437" s="16"/>
      <c r="J1437" s="16"/>
      <c r="K1437" s="16"/>
      <c r="L1437" s="16"/>
      <c r="M1437" s="16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24"/>
      <c r="AC1437" s="16"/>
      <c r="AD1437" s="16"/>
      <c r="AE1437" s="16"/>
      <c r="AF1437" s="16"/>
      <c r="AG1437" s="14"/>
      <c r="AH1437" s="14"/>
      <c r="AI1437" s="24"/>
      <c r="AJ1437" s="24"/>
      <c r="AK1437" s="24"/>
      <c r="AL1437" s="16"/>
      <c r="AM1437" s="16"/>
      <c r="AN1437" s="16"/>
      <c r="AO1437" s="16"/>
      <c r="AP1437" s="16"/>
      <c r="AQ1437" s="16"/>
      <c r="AR1437" s="16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7"/>
    </row>
    <row r="1438" spans="7:54" x14ac:dyDescent="0.15">
      <c r="G1438" s="7"/>
      <c r="H1438" s="16"/>
      <c r="I1438" s="16"/>
      <c r="J1438" s="16"/>
      <c r="K1438" s="16"/>
      <c r="L1438" s="16"/>
      <c r="M1438" s="16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24"/>
      <c r="AC1438" s="16"/>
      <c r="AD1438" s="16"/>
      <c r="AE1438" s="16"/>
      <c r="AF1438" s="16"/>
      <c r="AG1438" s="14"/>
      <c r="AH1438" s="14"/>
      <c r="AI1438" s="24"/>
      <c r="AJ1438" s="24"/>
      <c r="AK1438" s="24"/>
      <c r="AL1438" s="16"/>
      <c r="AM1438" s="16"/>
      <c r="AN1438" s="16"/>
      <c r="AO1438" s="16"/>
      <c r="AP1438" s="16"/>
      <c r="AQ1438" s="16"/>
      <c r="AR1438" s="16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7"/>
    </row>
    <row r="1439" spans="7:54" x14ac:dyDescent="0.15">
      <c r="G1439" s="7"/>
      <c r="H1439" s="16"/>
      <c r="I1439" s="16"/>
      <c r="J1439" s="16"/>
      <c r="K1439" s="16"/>
      <c r="L1439" s="16"/>
      <c r="M1439" s="16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24"/>
      <c r="AC1439" s="16"/>
      <c r="AD1439" s="16"/>
      <c r="AE1439" s="16"/>
      <c r="AF1439" s="16"/>
      <c r="AG1439" s="14"/>
      <c r="AH1439" s="14"/>
      <c r="AI1439" s="24"/>
      <c r="AJ1439" s="24"/>
      <c r="AK1439" s="24"/>
      <c r="AL1439" s="16"/>
      <c r="AM1439" s="16"/>
      <c r="AN1439" s="16"/>
      <c r="AO1439" s="16"/>
      <c r="AP1439" s="16"/>
      <c r="AQ1439" s="16"/>
      <c r="AR1439" s="16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7"/>
    </row>
    <row r="1440" spans="7:54" x14ac:dyDescent="0.15">
      <c r="G1440" s="7"/>
      <c r="H1440" s="16"/>
      <c r="I1440" s="16"/>
      <c r="J1440" s="16"/>
      <c r="K1440" s="16"/>
      <c r="L1440" s="16"/>
      <c r="M1440" s="16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24"/>
      <c r="AC1440" s="16"/>
      <c r="AD1440" s="16"/>
      <c r="AE1440" s="16"/>
      <c r="AF1440" s="16"/>
      <c r="AG1440" s="14"/>
      <c r="AH1440" s="14"/>
      <c r="AI1440" s="24"/>
      <c r="AJ1440" s="24"/>
      <c r="AK1440" s="24"/>
      <c r="AL1440" s="16"/>
      <c r="AM1440" s="16"/>
      <c r="AN1440" s="16"/>
      <c r="AO1440" s="16"/>
      <c r="AP1440" s="16"/>
      <c r="AQ1440" s="16"/>
      <c r="AR1440" s="16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7"/>
    </row>
    <row r="1441" spans="7:54" x14ac:dyDescent="0.15">
      <c r="G1441" s="7"/>
      <c r="H1441" s="16"/>
      <c r="I1441" s="16"/>
      <c r="J1441" s="16"/>
      <c r="K1441" s="16"/>
      <c r="L1441" s="16"/>
      <c r="M1441" s="16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24"/>
      <c r="AC1441" s="16"/>
      <c r="AD1441" s="16"/>
      <c r="AE1441" s="16"/>
      <c r="AF1441" s="16"/>
      <c r="AG1441" s="14"/>
      <c r="AH1441" s="14"/>
      <c r="AI1441" s="24"/>
      <c r="AJ1441" s="24"/>
      <c r="AK1441" s="24"/>
      <c r="AL1441" s="16"/>
      <c r="AM1441" s="16"/>
      <c r="AN1441" s="16"/>
      <c r="AO1441" s="16"/>
      <c r="AP1441" s="16"/>
      <c r="AQ1441" s="16"/>
      <c r="AR1441" s="16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7"/>
    </row>
    <row r="1442" spans="7:54" x14ac:dyDescent="0.15">
      <c r="G1442" s="7"/>
      <c r="H1442" s="16"/>
      <c r="I1442" s="16"/>
      <c r="J1442" s="16"/>
      <c r="K1442" s="16"/>
      <c r="L1442" s="16"/>
      <c r="M1442" s="16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24"/>
      <c r="AC1442" s="16"/>
      <c r="AD1442" s="16"/>
      <c r="AE1442" s="16"/>
      <c r="AF1442" s="16"/>
      <c r="AG1442" s="14"/>
      <c r="AH1442" s="14"/>
      <c r="AI1442" s="24"/>
      <c r="AJ1442" s="24"/>
      <c r="AK1442" s="24"/>
      <c r="AL1442" s="16"/>
      <c r="AM1442" s="16"/>
      <c r="AN1442" s="16"/>
      <c r="AO1442" s="16"/>
      <c r="AP1442" s="16"/>
      <c r="AQ1442" s="16"/>
      <c r="AR1442" s="16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7"/>
    </row>
    <row r="1443" spans="7:54" x14ac:dyDescent="0.15">
      <c r="G1443" s="7"/>
      <c r="H1443" s="16"/>
      <c r="I1443" s="16"/>
      <c r="J1443" s="16"/>
      <c r="K1443" s="16"/>
      <c r="L1443" s="16"/>
      <c r="M1443" s="16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24"/>
      <c r="AC1443" s="16"/>
      <c r="AD1443" s="16"/>
      <c r="AE1443" s="16"/>
      <c r="AF1443" s="16"/>
      <c r="AG1443" s="14"/>
      <c r="AH1443" s="14"/>
      <c r="AI1443" s="24"/>
      <c r="AJ1443" s="24"/>
      <c r="AK1443" s="24"/>
      <c r="AL1443" s="16"/>
      <c r="AM1443" s="16"/>
      <c r="AN1443" s="16"/>
      <c r="AO1443" s="16"/>
      <c r="AP1443" s="16"/>
      <c r="AQ1443" s="16"/>
      <c r="AR1443" s="16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7"/>
    </row>
    <row r="1444" spans="7:54" x14ac:dyDescent="0.15">
      <c r="G1444" s="7"/>
      <c r="H1444" s="16"/>
      <c r="I1444" s="16"/>
      <c r="J1444" s="16"/>
      <c r="K1444" s="16"/>
      <c r="L1444" s="16"/>
      <c r="M1444" s="16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24"/>
      <c r="AC1444" s="16"/>
      <c r="AD1444" s="16"/>
      <c r="AE1444" s="16"/>
      <c r="AF1444" s="16"/>
      <c r="AG1444" s="14"/>
      <c r="AH1444" s="14"/>
      <c r="AI1444" s="24"/>
      <c r="AJ1444" s="24"/>
      <c r="AK1444" s="24"/>
      <c r="AL1444" s="16"/>
      <c r="AM1444" s="16"/>
      <c r="AN1444" s="16"/>
      <c r="AO1444" s="16"/>
      <c r="AP1444" s="16"/>
      <c r="AQ1444" s="16"/>
      <c r="AR1444" s="16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7"/>
    </row>
    <row r="1445" spans="7:54" x14ac:dyDescent="0.15">
      <c r="G1445" s="7"/>
      <c r="H1445" s="16"/>
      <c r="I1445" s="16"/>
      <c r="J1445" s="16"/>
      <c r="K1445" s="16"/>
      <c r="L1445" s="16"/>
      <c r="M1445" s="16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24"/>
      <c r="AC1445" s="16"/>
      <c r="AD1445" s="16"/>
      <c r="AE1445" s="16"/>
      <c r="AF1445" s="16"/>
      <c r="AG1445" s="14"/>
      <c r="AH1445" s="14"/>
      <c r="AI1445" s="24"/>
      <c r="AJ1445" s="24"/>
      <c r="AK1445" s="24"/>
      <c r="AL1445" s="16"/>
      <c r="AM1445" s="16"/>
      <c r="AN1445" s="16"/>
      <c r="AO1445" s="16"/>
      <c r="AP1445" s="16"/>
      <c r="AQ1445" s="16"/>
      <c r="AR1445" s="16"/>
      <c r="AS1445" s="14"/>
      <c r="AT1445" s="14"/>
      <c r="AU1445" s="14"/>
      <c r="AV1445" s="14"/>
      <c r="AW1445" s="14"/>
      <c r="AX1445" s="14"/>
      <c r="AY1445" s="14"/>
      <c r="AZ1445" s="14"/>
      <c r="BA1445" s="14"/>
      <c r="BB1445" s="7"/>
    </row>
    <row r="1446" spans="7:54" x14ac:dyDescent="0.15">
      <c r="G1446" s="7"/>
      <c r="H1446" s="16"/>
      <c r="I1446" s="16"/>
      <c r="J1446" s="16"/>
      <c r="K1446" s="16"/>
      <c r="L1446" s="16"/>
      <c r="M1446" s="16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24"/>
      <c r="AC1446" s="16"/>
      <c r="AD1446" s="16"/>
      <c r="AE1446" s="16"/>
      <c r="AF1446" s="16"/>
      <c r="AG1446" s="14"/>
      <c r="AH1446" s="14"/>
      <c r="AI1446" s="24"/>
      <c r="AJ1446" s="24"/>
      <c r="AK1446" s="24"/>
      <c r="AL1446" s="16"/>
      <c r="AM1446" s="16"/>
      <c r="AN1446" s="16"/>
      <c r="AO1446" s="16"/>
      <c r="AP1446" s="16"/>
      <c r="AQ1446" s="16"/>
      <c r="AR1446" s="16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7"/>
    </row>
    <row r="1447" spans="7:54" x14ac:dyDescent="0.15">
      <c r="G1447" s="7"/>
      <c r="H1447" s="16"/>
      <c r="I1447" s="16"/>
      <c r="J1447" s="16"/>
      <c r="K1447" s="16"/>
      <c r="L1447" s="16"/>
      <c r="M1447" s="16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24"/>
      <c r="AC1447" s="16"/>
      <c r="AD1447" s="16"/>
      <c r="AE1447" s="16"/>
      <c r="AF1447" s="16"/>
      <c r="AG1447" s="14"/>
      <c r="AH1447" s="14"/>
      <c r="AI1447" s="24"/>
      <c r="AJ1447" s="24"/>
      <c r="AK1447" s="24"/>
      <c r="AL1447" s="16"/>
      <c r="AM1447" s="16"/>
      <c r="AN1447" s="16"/>
      <c r="AO1447" s="16"/>
      <c r="AP1447" s="16"/>
      <c r="AQ1447" s="16"/>
      <c r="AR1447" s="16"/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7"/>
    </row>
    <row r="1448" spans="7:54" x14ac:dyDescent="0.15">
      <c r="G1448" s="7"/>
      <c r="H1448" s="16"/>
      <c r="I1448" s="16"/>
      <c r="J1448" s="16"/>
      <c r="K1448" s="16"/>
      <c r="L1448" s="16"/>
      <c r="M1448" s="16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24"/>
      <c r="AC1448" s="16"/>
      <c r="AD1448" s="16"/>
      <c r="AE1448" s="16"/>
      <c r="AF1448" s="16"/>
      <c r="AG1448" s="14"/>
      <c r="AH1448" s="14"/>
      <c r="AI1448" s="24"/>
      <c r="AJ1448" s="24"/>
      <c r="AK1448" s="24"/>
      <c r="AL1448" s="16"/>
      <c r="AM1448" s="16"/>
      <c r="AN1448" s="16"/>
      <c r="AO1448" s="16"/>
      <c r="AP1448" s="16"/>
      <c r="AQ1448" s="16"/>
      <c r="AR1448" s="16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7"/>
    </row>
    <row r="1449" spans="7:54" x14ac:dyDescent="0.15">
      <c r="G1449" s="7"/>
      <c r="H1449" s="16"/>
      <c r="I1449" s="16"/>
      <c r="J1449" s="16"/>
      <c r="K1449" s="16"/>
      <c r="L1449" s="16"/>
      <c r="M1449" s="16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24"/>
      <c r="AC1449" s="16"/>
      <c r="AD1449" s="16"/>
      <c r="AE1449" s="16"/>
      <c r="AF1449" s="16"/>
      <c r="AG1449" s="14"/>
      <c r="AH1449" s="14"/>
      <c r="AI1449" s="24"/>
      <c r="AJ1449" s="24"/>
      <c r="AK1449" s="24"/>
      <c r="AL1449" s="16"/>
      <c r="AM1449" s="16"/>
      <c r="AN1449" s="16"/>
      <c r="AO1449" s="16"/>
      <c r="AP1449" s="16"/>
      <c r="AQ1449" s="16"/>
      <c r="AR1449" s="16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7"/>
    </row>
    <row r="1450" spans="7:54" x14ac:dyDescent="0.15">
      <c r="G1450" s="7"/>
      <c r="H1450" s="16"/>
      <c r="I1450" s="16"/>
      <c r="J1450" s="16"/>
      <c r="K1450" s="16"/>
      <c r="L1450" s="16"/>
      <c r="M1450" s="16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24"/>
      <c r="AC1450" s="16"/>
      <c r="AD1450" s="16"/>
      <c r="AE1450" s="16"/>
      <c r="AF1450" s="16"/>
      <c r="AG1450" s="14"/>
      <c r="AH1450" s="14"/>
      <c r="AI1450" s="24"/>
      <c r="AJ1450" s="24"/>
      <c r="AK1450" s="24"/>
      <c r="AL1450" s="16"/>
      <c r="AM1450" s="16"/>
      <c r="AN1450" s="16"/>
      <c r="AO1450" s="16"/>
      <c r="AP1450" s="16"/>
      <c r="AQ1450" s="16"/>
      <c r="AR1450" s="16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7"/>
    </row>
    <row r="1451" spans="7:54" x14ac:dyDescent="0.15">
      <c r="G1451" s="7"/>
      <c r="H1451" s="16"/>
      <c r="I1451" s="16"/>
      <c r="J1451" s="16"/>
      <c r="K1451" s="16"/>
      <c r="L1451" s="16"/>
      <c r="M1451" s="16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24"/>
      <c r="AC1451" s="16"/>
      <c r="AD1451" s="16"/>
      <c r="AE1451" s="16"/>
      <c r="AF1451" s="16"/>
      <c r="AG1451" s="14"/>
      <c r="AH1451" s="14"/>
      <c r="AI1451" s="24"/>
      <c r="AJ1451" s="24"/>
      <c r="AK1451" s="24"/>
      <c r="AL1451" s="16"/>
      <c r="AM1451" s="16"/>
      <c r="AN1451" s="16"/>
      <c r="AO1451" s="16"/>
      <c r="AP1451" s="16"/>
      <c r="AQ1451" s="16"/>
      <c r="AR1451" s="16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7"/>
    </row>
    <row r="1452" spans="7:54" x14ac:dyDescent="0.15">
      <c r="G1452" s="7"/>
      <c r="H1452" s="16"/>
      <c r="I1452" s="16"/>
      <c r="J1452" s="16"/>
      <c r="K1452" s="16"/>
      <c r="L1452" s="16"/>
      <c r="M1452" s="16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24"/>
      <c r="AC1452" s="16"/>
      <c r="AD1452" s="16"/>
      <c r="AE1452" s="16"/>
      <c r="AF1452" s="16"/>
      <c r="AG1452" s="14"/>
      <c r="AH1452" s="14"/>
      <c r="AI1452" s="24"/>
      <c r="AJ1452" s="24"/>
      <c r="AK1452" s="24"/>
      <c r="AL1452" s="16"/>
      <c r="AM1452" s="16"/>
      <c r="AN1452" s="16"/>
      <c r="AO1452" s="16"/>
      <c r="AP1452" s="16"/>
      <c r="AQ1452" s="16"/>
      <c r="AR1452" s="16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7"/>
    </row>
    <row r="1453" spans="7:54" x14ac:dyDescent="0.15">
      <c r="G1453" s="7"/>
      <c r="H1453" s="16"/>
      <c r="I1453" s="16"/>
      <c r="J1453" s="16"/>
      <c r="K1453" s="16"/>
      <c r="L1453" s="16"/>
      <c r="M1453" s="16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24"/>
      <c r="AC1453" s="16"/>
      <c r="AD1453" s="16"/>
      <c r="AE1453" s="16"/>
      <c r="AF1453" s="16"/>
      <c r="AG1453" s="14"/>
      <c r="AH1453" s="14"/>
      <c r="AI1453" s="24"/>
      <c r="AJ1453" s="24"/>
      <c r="AK1453" s="24"/>
      <c r="AL1453" s="16"/>
      <c r="AM1453" s="16"/>
      <c r="AN1453" s="16"/>
      <c r="AO1453" s="16"/>
      <c r="AP1453" s="16"/>
      <c r="AQ1453" s="16"/>
      <c r="AR1453" s="16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7"/>
    </row>
    <row r="1454" spans="7:54" x14ac:dyDescent="0.15">
      <c r="G1454" s="7"/>
      <c r="H1454" s="16"/>
      <c r="I1454" s="16"/>
      <c r="J1454" s="16"/>
      <c r="K1454" s="16"/>
      <c r="L1454" s="16"/>
      <c r="M1454" s="16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24"/>
      <c r="AC1454" s="16"/>
      <c r="AD1454" s="16"/>
      <c r="AE1454" s="16"/>
      <c r="AF1454" s="16"/>
      <c r="AG1454" s="14"/>
      <c r="AH1454" s="14"/>
      <c r="AI1454" s="24"/>
      <c r="AJ1454" s="24"/>
      <c r="AK1454" s="24"/>
      <c r="AL1454" s="16"/>
      <c r="AM1454" s="16"/>
      <c r="AN1454" s="16"/>
      <c r="AO1454" s="16"/>
      <c r="AP1454" s="16"/>
      <c r="AQ1454" s="16"/>
      <c r="AR1454" s="16"/>
      <c r="AS1454" s="14"/>
      <c r="AT1454" s="14"/>
      <c r="AU1454" s="14"/>
      <c r="AV1454" s="14"/>
      <c r="AW1454" s="14"/>
      <c r="AX1454" s="14"/>
      <c r="AY1454" s="14"/>
      <c r="AZ1454" s="14"/>
      <c r="BA1454" s="14"/>
      <c r="BB1454" s="7"/>
    </row>
    <row r="1455" spans="7:54" x14ac:dyDescent="0.15">
      <c r="G1455" s="7"/>
      <c r="H1455" s="16"/>
      <c r="I1455" s="16"/>
      <c r="J1455" s="16"/>
      <c r="K1455" s="16"/>
      <c r="L1455" s="16"/>
      <c r="M1455" s="16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24"/>
      <c r="AC1455" s="16"/>
      <c r="AD1455" s="16"/>
      <c r="AE1455" s="16"/>
      <c r="AF1455" s="16"/>
      <c r="AG1455" s="14"/>
      <c r="AH1455" s="14"/>
      <c r="AI1455" s="24"/>
      <c r="AJ1455" s="24"/>
      <c r="AK1455" s="24"/>
      <c r="AL1455" s="16"/>
      <c r="AM1455" s="16"/>
      <c r="AN1455" s="16"/>
      <c r="AO1455" s="16"/>
      <c r="AP1455" s="16"/>
      <c r="AQ1455" s="16"/>
      <c r="AR1455" s="16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7"/>
    </row>
    <row r="1456" spans="7:54" x14ac:dyDescent="0.15">
      <c r="G1456" s="7"/>
      <c r="H1456" s="16"/>
      <c r="I1456" s="16"/>
      <c r="J1456" s="16"/>
      <c r="K1456" s="16"/>
      <c r="L1456" s="16"/>
      <c r="M1456" s="16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24"/>
      <c r="AC1456" s="16"/>
      <c r="AD1456" s="16"/>
      <c r="AE1456" s="16"/>
      <c r="AF1456" s="16"/>
      <c r="AG1456" s="14"/>
      <c r="AH1456" s="14"/>
      <c r="AI1456" s="24"/>
      <c r="AJ1456" s="24"/>
      <c r="AK1456" s="24"/>
      <c r="AL1456" s="16"/>
      <c r="AM1456" s="16"/>
      <c r="AN1456" s="16"/>
      <c r="AO1456" s="16"/>
      <c r="AP1456" s="16"/>
      <c r="AQ1456" s="16"/>
      <c r="AR1456" s="16"/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7"/>
    </row>
    <row r="1457" spans="7:54" x14ac:dyDescent="0.15">
      <c r="G1457" s="7"/>
      <c r="H1457" s="16"/>
      <c r="I1457" s="16"/>
      <c r="J1457" s="16"/>
      <c r="K1457" s="16"/>
      <c r="L1457" s="16"/>
      <c r="M1457" s="16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24"/>
      <c r="AC1457" s="16"/>
      <c r="AD1457" s="16"/>
      <c r="AE1457" s="16"/>
      <c r="AF1457" s="16"/>
      <c r="AG1457" s="14"/>
      <c r="AH1457" s="14"/>
      <c r="AI1457" s="24"/>
      <c r="AJ1457" s="24"/>
      <c r="AK1457" s="24"/>
      <c r="AL1457" s="16"/>
      <c r="AM1457" s="16"/>
      <c r="AN1457" s="16"/>
      <c r="AO1457" s="16"/>
      <c r="AP1457" s="16"/>
      <c r="AQ1457" s="16"/>
      <c r="AR1457" s="16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7"/>
    </row>
    <row r="1458" spans="7:54" x14ac:dyDescent="0.15">
      <c r="G1458" s="7"/>
      <c r="H1458" s="16"/>
      <c r="I1458" s="16"/>
      <c r="J1458" s="16"/>
      <c r="K1458" s="16"/>
      <c r="L1458" s="16"/>
      <c r="M1458" s="16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24"/>
      <c r="AC1458" s="16"/>
      <c r="AD1458" s="16"/>
      <c r="AE1458" s="16"/>
      <c r="AF1458" s="16"/>
      <c r="AG1458" s="14"/>
      <c r="AH1458" s="14"/>
      <c r="AI1458" s="24"/>
      <c r="AJ1458" s="24"/>
      <c r="AK1458" s="24"/>
      <c r="AL1458" s="16"/>
      <c r="AM1458" s="16"/>
      <c r="AN1458" s="16"/>
      <c r="AO1458" s="16"/>
      <c r="AP1458" s="16"/>
      <c r="AQ1458" s="16"/>
      <c r="AR1458" s="16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7"/>
    </row>
    <row r="1459" spans="7:54" x14ac:dyDescent="0.15">
      <c r="G1459" s="7"/>
      <c r="H1459" s="16"/>
      <c r="I1459" s="16"/>
      <c r="J1459" s="16"/>
      <c r="K1459" s="16"/>
      <c r="L1459" s="16"/>
      <c r="M1459" s="16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24"/>
      <c r="AC1459" s="16"/>
      <c r="AD1459" s="16"/>
      <c r="AE1459" s="16"/>
      <c r="AF1459" s="16"/>
      <c r="AG1459" s="14"/>
      <c r="AH1459" s="14"/>
      <c r="AI1459" s="24"/>
      <c r="AJ1459" s="24"/>
      <c r="AK1459" s="24"/>
      <c r="AL1459" s="16"/>
      <c r="AM1459" s="16"/>
      <c r="AN1459" s="16"/>
      <c r="AO1459" s="16"/>
      <c r="AP1459" s="16"/>
      <c r="AQ1459" s="16"/>
      <c r="AR1459" s="16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7"/>
    </row>
    <row r="1460" spans="7:54" x14ac:dyDescent="0.15">
      <c r="G1460" s="7"/>
      <c r="H1460" s="16"/>
      <c r="I1460" s="16"/>
      <c r="J1460" s="16"/>
      <c r="K1460" s="16"/>
      <c r="L1460" s="16"/>
      <c r="M1460" s="16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24"/>
      <c r="AC1460" s="16"/>
      <c r="AD1460" s="16"/>
      <c r="AE1460" s="16"/>
      <c r="AF1460" s="16"/>
      <c r="AG1460" s="14"/>
      <c r="AH1460" s="14"/>
      <c r="AI1460" s="24"/>
      <c r="AJ1460" s="24"/>
      <c r="AK1460" s="24"/>
      <c r="AL1460" s="16"/>
      <c r="AM1460" s="16"/>
      <c r="AN1460" s="16"/>
      <c r="AO1460" s="16"/>
      <c r="AP1460" s="16"/>
      <c r="AQ1460" s="16"/>
      <c r="AR1460" s="16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7"/>
    </row>
    <row r="1461" spans="7:54" x14ac:dyDescent="0.15">
      <c r="G1461" s="7"/>
      <c r="H1461" s="16"/>
      <c r="I1461" s="16"/>
      <c r="J1461" s="16"/>
      <c r="K1461" s="16"/>
      <c r="L1461" s="16"/>
      <c r="M1461" s="16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24"/>
      <c r="AC1461" s="16"/>
      <c r="AD1461" s="16"/>
      <c r="AE1461" s="16"/>
      <c r="AF1461" s="16"/>
      <c r="AG1461" s="14"/>
      <c r="AH1461" s="14"/>
      <c r="AI1461" s="24"/>
      <c r="AJ1461" s="24"/>
      <c r="AK1461" s="24"/>
      <c r="AL1461" s="16"/>
      <c r="AM1461" s="16"/>
      <c r="AN1461" s="16"/>
      <c r="AO1461" s="16"/>
      <c r="AP1461" s="16"/>
      <c r="AQ1461" s="16"/>
      <c r="AR1461" s="16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7"/>
    </row>
    <row r="1462" spans="7:54" x14ac:dyDescent="0.15">
      <c r="G1462" s="7"/>
      <c r="H1462" s="16"/>
      <c r="I1462" s="16"/>
      <c r="J1462" s="16"/>
      <c r="K1462" s="16"/>
      <c r="L1462" s="16"/>
      <c r="M1462" s="16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24"/>
      <c r="AC1462" s="16"/>
      <c r="AD1462" s="16"/>
      <c r="AE1462" s="16"/>
      <c r="AF1462" s="16"/>
      <c r="AG1462" s="14"/>
      <c r="AH1462" s="14"/>
      <c r="AI1462" s="24"/>
      <c r="AJ1462" s="24"/>
      <c r="AK1462" s="24"/>
      <c r="AL1462" s="16"/>
      <c r="AM1462" s="16"/>
      <c r="AN1462" s="16"/>
      <c r="AO1462" s="16"/>
      <c r="AP1462" s="16"/>
      <c r="AQ1462" s="16"/>
      <c r="AR1462" s="16"/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7"/>
    </row>
    <row r="1463" spans="7:54" x14ac:dyDescent="0.15">
      <c r="G1463" s="7"/>
      <c r="H1463" s="16"/>
      <c r="I1463" s="16"/>
      <c r="J1463" s="16"/>
      <c r="K1463" s="16"/>
      <c r="L1463" s="16"/>
      <c r="M1463" s="16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24"/>
      <c r="AC1463" s="16"/>
      <c r="AD1463" s="16"/>
      <c r="AE1463" s="16"/>
      <c r="AF1463" s="16"/>
      <c r="AG1463" s="14"/>
      <c r="AH1463" s="14"/>
      <c r="AI1463" s="24"/>
      <c r="AJ1463" s="24"/>
      <c r="AK1463" s="24"/>
      <c r="AL1463" s="16"/>
      <c r="AM1463" s="16"/>
      <c r="AN1463" s="16"/>
      <c r="AO1463" s="16"/>
      <c r="AP1463" s="16"/>
      <c r="AQ1463" s="16"/>
      <c r="AR1463" s="16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7"/>
    </row>
    <row r="1464" spans="7:54" x14ac:dyDescent="0.15">
      <c r="G1464" s="7"/>
      <c r="H1464" s="16"/>
      <c r="I1464" s="16"/>
      <c r="J1464" s="16"/>
      <c r="K1464" s="16"/>
      <c r="L1464" s="16"/>
      <c r="M1464" s="16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24"/>
      <c r="AC1464" s="16"/>
      <c r="AD1464" s="16"/>
      <c r="AE1464" s="16"/>
      <c r="AF1464" s="16"/>
      <c r="AG1464" s="14"/>
      <c r="AH1464" s="14"/>
      <c r="AI1464" s="24"/>
      <c r="AJ1464" s="24"/>
      <c r="AK1464" s="24"/>
      <c r="AL1464" s="16"/>
      <c r="AM1464" s="16"/>
      <c r="AN1464" s="16"/>
      <c r="AO1464" s="16"/>
      <c r="AP1464" s="16"/>
      <c r="AQ1464" s="16"/>
      <c r="AR1464" s="16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7"/>
    </row>
    <row r="1465" spans="7:54" x14ac:dyDescent="0.15">
      <c r="G1465" s="7"/>
      <c r="H1465" s="16"/>
      <c r="I1465" s="16"/>
      <c r="J1465" s="16"/>
      <c r="K1465" s="16"/>
      <c r="L1465" s="16"/>
      <c r="M1465" s="16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24"/>
      <c r="AC1465" s="16"/>
      <c r="AD1465" s="16"/>
      <c r="AE1465" s="16"/>
      <c r="AF1465" s="16"/>
      <c r="AG1465" s="14"/>
      <c r="AH1465" s="14"/>
      <c r="AI1465" s="24"/>
      <c r="AJ1465" s="24"/>
      <c r="AK1465" s="24"/>
      <c r="AL1465" s="16"/>
      <c r="AM1465" s="16"/>
      <c r="AN1465" s="16"/>
      <c r="AO1465" s="16"/>
      <c r="AP1465" s="16"/>
      <c r="AQ1465" s="16"/>
      <c r="AR1465" s="16"/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7"/>
    </row>
    <row r="1466" spans="7:54" x14ac:dyDescent="0.15">
      <c r="G1466" s="7"/>
      <c r="H1466" s="16"/>
      <c r="I1466" s="16"/>
      <c r="J1466" s="16"/>
      <c r="K1466" s="16"/>
      <c r="L1466" s="16"/>
      <c r="M1466" s="16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24"/>
      <c r="AC1466" s="16"/>
      <c r="AD1466" s="16"/>
      <c r="AE1466" s="16"/>
      <c r="AF1466" s="16"/>
      <c r="AG1466" s="14"/>
      <c r="AH1466" s="14"/>
      <c r="AI1466" s="24"/>
      <c r="AJ1466" s="24"/>
      <c r="AK1466" s="24"/>
      <c r="AL1466" s="16"/>
      <c r="AM1466" s="16"/>
      <c r="AN1466" s="16"/>
      <c r="AO1466" s="16"/>
      <c r="AP1466" s="16"/>
      <c r="AQ1466" s="16"/>
      <c r="AR1466" s="16"/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7"/>
    </row>
    <row r="1467" spans="7:54" x14ac:dyDescent="0.15">
      <c r="G1467" s="7"/>
      <c r="H1467" s="16"/>
      <c r="I1467" s="16"/>
      <c r="J1467" s="16"/>
      <c r="K1467" s="16"/>
      <c r="L1467" s="16"/>
      <c r="M1467" s="16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24"/>
      <c r="AC1467" s="16"/>
      <c r="AD1467" s="16"/>
      <c r="AE1467" s="16"/>
      <c r="AF1467" s="16"/>
      <c r="AG1467" s="14"/>
      <c r="AH1467" s="14"/>
      <c r="AI1467" s="24"/>
      <c r="AJ1467" s="24"/>
      <c r="AK1467" s="24"/>
      <c r="AL1467" s="16"/>
      <c r="AM1467" s="16"/>
      <c r="AN1467" s="16"/>
      <c r="AO1467" s="16"/>
      <c r="AP1467" s="16"/>
      <c r="AQ1467" s="16"/>
      <c r="AR1467" s="16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7"/>
    </row>
    <row r="1468" spans="7:54" x14ac:dyDescent="0.15">
      <c r="G1468" s="7"/>
      <c r="H1468" s="16"/>
      <c r="I1468" s="16"/>
      <c r="J1468" s="16"/>
      <c r="K1468" s="16"/>
      <c r="L1468" s="16"/>
      <c r="M1468" s="16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24"/>
      <c r="AC1468" s="16"/>
      <c r="AD1468" s="16"/>
      <c r="AE1468" s="16"/>
      <c r="AF1468" s="16"/>
      <c r="AG1468" s="14"/>
      <c r="AH1468" s="14"/>
      <c r="AI1468" s="24"/>
      <c r="AJ1468" s="24"/>
      <c r="AK1468" s="24"/>
      <c r="AL1468" s="16"/>
      <c r="AM1468" s="16"/>
      <c r="AN1468" s="16"/>
      <c r="AO1468" s="16"/>
      <c r="AP1468" s="16"/>
      <c r="AQ1468" s="16"/>
      <c r="AR1468" s="16"/>
      <c r="AS1468" s="14"/>
      <c r="AT1468" s="14"/>
      <c r="AU1468" s="14"/>
      <c r="AV1468" s="14"/>
      <c r="AW1468" s="14"/>
      <c r="AX1468" s="14"/>
      <c r="AY1468" s="14"/>
      <c r="AZ1468" s="14"/>
      <c r="BA1468" s="14"/>
      <c r="BB1468" s="7"/>
    </row>
    <row r="1469" spans="7:54" x14ac:dyDescent="0.15">
      <c r="G1469" s="7"/>
      <c r="H1469" s="16"/>
      <c r="I1469" s="16"/>
      <c r="J1469" s="16"/>
      <c r="K1469" s="16"/>
      <c r="L1469" s="16"/>
      <c r="M1469" s="16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24"/>
      <c r="AC1469" s="16"/>
      <c r="AD1469" s="16"/>
      <c r="AE1469" s="16"/>
      <c r="AF1469" s="16"/>
      <c r="AG1469" s="14"/>
      <c r="AH1469" s="14"/>
      <c r="AI1469" s="24"/>
      <c r="AJ1469" s="24"/>
      <c r="AK1469" s="24"/>
      <c r="AL1469" s="16"/>
      <c r="AM1469" s="16"/>
      <c r="AN1469" s="16"/>
      <c r="AO1469" s="16"/>
      <c r="AP1469" s="16"/>
      <c r="AQ1469" s="16"/>
      <c r="AR1469" s="16"/>
      <c r="AS1469" s="14"/>
      <c r="AT1469" s="14"/>
      <c r="AU1469" s="14"/>
      <c r="AV1469" s="14"/>
      <c r="AW1469" s="14"/>
      <c r="AX1469" s="14"/>
      <c r="AY1469" s="14"/>
      <c r="AZ1469" s="14"/>
      <c r="BA1469" s="14"/>
      <c r="BB1469" s="7"/>
    </row>
    <row r="1470" spans="7:54" x14ac:dyDescent="0.15">
      <c r="G1470" s="7"/>
      <c r="H1470" s="16"/>
      <c r="I1470" s="16"/>
      <c r="J1470" s="16"/>
      <c r="K1470" s="16"/>
      <c r="L1470" s="16"/>
      <c r="M1470" s="16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24"/>
      <c r="AC1470" s="16"/>
      <c r="AD1470" s="16"/>
      <c r="AE1470" s="16"/>
      <c r="AF1470" s="16"/>
      <c r="AG1470" s="14"/>
      <c r="AH1470" s="14"/>
      <c r="AI1470" s="24"/>
      <c r="AJ1470" s="24"/>
      <c r="AK1470" s="24"/>
      <c r="AL1470" s="16"/>
      <c r="AM1470" s="16"/>
      <c r="AN1470" s="16"/>
      <c r="AO1470" s="16"/>
      <c r="AP1470" s="16"/>
      <c r="AQ1470" s="16"/>
      <c r="AR1470" s="16"/>
      <c r="AS1470" s="14"/>
      <c r="AT1470" s="14"/>
      <c r="AU1470" s="14"/>
      <c r="AV1470" s="14"/>
      <c r="AW1470" s="14"/>
      <c r="AX1470" s="14"/>
      <c r="AY1470" s="14"/>
      <c r="AZ1470" s="14"/>
      <c r="BA1470" s="14"/>
      <c r="BB1470" s="7"/>
    </row>
    <row r="1471" spans="7:54" x14ac:dyDescent="0.15">
      <c r="G1471" s="7"/>
      <c r="H1471" s="16"/>
      <c r="I1471" s="16"/>
      <c r="J1471" s="16"/>
      <c r="K1471" s="16"/>
      <c r="L1471" s="16"/>
      <c r="M1471" s="16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24"/>
      <c r="AC1471" s="16"/>
      <c r="AD1471" s="16"/>
      <c r="AE1471" s="16"/>
      <c r="AF1471" s="16"/>
      <c r="AG1471" s="14"/>
      <c r="AH1471" s="14"/>
      <c r="AI1471" s="24"/>
      <c r="AJ1471" s="24"/>
      <c r="AK1471" s="24"/>
      <c r="AL1471" s="16"/>
      <c r="AM1471" s="16"/>
      <c r="AN1471" s="16"/>
      <c r="AO1471" s="16"/>
      <c r="AP1471" s="16"/>
      <c r="AQ1471" s="16"/>
      <c r="AR1471" s="16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7"/>
    </row>
    <row r="1472" spans="7:54" x14ac:dyDescent="0.15">
      <c r="G1472" s="7"/>
      <c r="H1472" s="16"/>
      <c r="I1472" s="16"/>
      <c r="J1472" s="16"/>
      <c r="K1472" s="16"/>
      <c r="L1472" s="16"/>
      <c r="M1472" s="16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24"/>
      <c r="AC1472" s="16"/>
      <c r="AD1472" s="16"/>
      <c r="AE1472" s="16"/>
      <c r="AF1472" s="16"/>
      <c r="AG1472" s="14"/>
      <c r="AH1472" s="14"/>
      <c r="AI1472" s="24"/>
      <c r="AJ1472" s="24"/>
      <c r="AK1472" s="24"/>
      <c r="AL1472" s="16"/>
      <c r="AM1472" s="16"/>
      <c r="AN1472" s="16"/>
      <c r="AO1472" s="16"/>
      <c r="AP1472" s="16"/>
      <c r="AQ1472" s="16"/>
      <c r="AR1472" s="16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7"/>
    </row>
    <row r="1473" spans="7:54" x14ac:dyDescent="0.15">
      <c r="G1473" s="7"/>
      <c r="H1473" s="16"/>
      <c r="I1473" s="16"/>
      <c r="J1473" s="16"/>
      <c r="K1473" s="16"/>
      <c r="L1473" s="16"/>
      <c r="M1473" s="16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24"/>
      <c r="AC1473" s="16"/>
      <c r="AD1473" s="16"/>
      <c r="AE1473" s="16"/>
      <c r="AF1473" s="16"/>
      <c r="AG1473" s="14"/>
      <c r="AH1473" s="14"/>
      <c r="AI1473" s="24"/>
      <c r="AJ1473" s="24"/>
      <c r="AK1473" s="24"/>
      <c r="AL1473" s="16"/>
      <c r="AM1473" s="16"/>
      <c r="AN1473" s="16"/>
      <c r="AO1473" s="16"/>
      <c r="AP1473" s="16"/>
      <c r="AQ1473" s="16"/>
      <c r="AR1473" s="16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7"/>
    </row>
    <row r="1474" spans="7:54" x14ac:dyDescent="0.15">
      <c r="G1474" s="7"/>
      <c r="H1474" s="16"/>
      <c r="I1474" s="16"/>
      <c r="J1474" s="16"/>
      <c r="K1474" s="16"/>
      <c r="L1474" s="16"/>
      <c r="M1474" s="16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24"/>
      <c r="AC1474" s="16"/>
      <c r="AD1474" s="16"/>
      <c r="AE1474" s="16"/>
      <c r="AF1474" s="16"/>
      <c r="AG1474" s="14"/>
      <c r="AH1474" s="14"/>
      <c r="AI1474" s="24"/>
      <c r="AJ1474" s="24"/>
      <c r="AK1474" s="24"/>
      <c r="AL1474" s="16"/>
      <c r="AM1474" s="16"/>
      <c r="AN1474" s="16"/>
      <c r="AO1474" s="16"/>
      <c r="AP1474" s="16"/>
      <c r="AQ1474" s="16"/>
      <c r="AR1474" s="16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7"/>
    </row>
    <row r="1475" spans="7:54" x14ac:dyDescent="0.15">
      <c r="G1475" s="7"/>
      <c r="H1475" s="16"/>
      <c r="I1475" s="16"/>
      <c r="J1475" s="16"/>
      <c r="K1475" s="16"/>
      <c r="L1475" s="16"/>
      <c r="M1475" s="16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24"/>
      <c r="AC1475" s="16"/>
      <c r="AD1475" s="16"/>
      <c r="AE1475" s="16"/>
      <c r="AF1475" s="16"/>
      <c r="AG1475" s="14"/>
      <c r="AH1475" s="14"/>
      <c r="AI1475" s="24"/>
      <c r="AJ1475" s="24"/>
      <c r="AK1475" s="24"/>
      <c r="AL1475" s="16"/>
      <c r="AM1475" s="16"/>
      <c r="AN1475" s="16"/>
      <c r="AO1475" s="16"/>
      <c r="AP1475" s="16"/>
      <c r="AQ1475" s="16"/>
      <c r="AR1475" s="16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7"/>
    </row>
    <row r="1476" spans="7:54" x14ac:dyDescent="0.15">
      <c r="G1476" s="7"/>
      <c r="H1476" s="16"/>
      <c r="I1476" s="16"/>
      <c r="J1476" s="16"/>
      <c r="K1476" s="16"/>
      <c r="L1476" s="16"/>
      <c r="M1476" s="16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24"/>
      <c r="AC1476" s="16"/>
      <c r="AD1476" s="16"/>
      <c r="AE1476" s="16"/>
      <c r="AF1476" s="16"/>
      <c r="AG1476" s="14"/>
      <c r="AH1476" s="14"/>
      <c r="AI1476" s="24"/>
      <c r="AJ1476" s="24"/>
      <c r="AK1476" s="24"/>
      <c r="AL1476" s="16"/>
      <c r="AM1476" s="16"/>
      <c r="AN1476" s="16"/>
      <c r="AO1476" s="16"/>
      <c r="AP1476" s="16"/>
      <c r="AQ1476" s="16"/>
      <c r="AR1476" s="16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7"/>
    </row>
    <row r="1477" spans="7:54" x14ac:dyDescent="0.15">
      <c r="G1477" s="7"/>
      <c r="H1477" s="16"/>
      <c r="I1477" s="16"/>
      <c r="J1477" s="16"/>
      <c r="K1477" s="16"/>
      <c r="L1477" s="16"/>
      <c r="M1477" s="16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24"/>
      <c r="AC1477" s="16"/>
      <c r="AD1477" s="16"/>
      <c r="AE1477" s="16"/>
      <c r="AF1477" s="16"/>
      <c r="AG1477" s="14"/>
      <c r="AH1477" s="14"/>
      <c r="AI1477" s="24"/>
      <c r="AJ1477" s="24"/>
      <c r="AK1477" s="24"/>
      <c r="AL1477" s="16"/>
      <c r="AM1477" s="16"/>
      <c r="AN1477" s="16"/>
      <c r="AO1477" s="16"/>
      <c r="AP1477" s="16"/>
      <c r="AQ1477" s="16"/>
      <c r="AR1477" s="16"/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7"/>
    </row>
    <row r="1478" spans="7:54" x14ac:dyDescent="0.15">
      <c r="G1478" s="7"/>
      <c r="H1478" s="16"/>
      <c r="I1478" s="16"/>
      <c r="J1478" s="16"/>
      <c r="K1478" s="16"/>
      <c r="L1478" s="16"/>
      <c r="M1478" s="16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24"/>
      <c r="AC1478" s="16"/>
      <c r="AD1478" s="16"/>
      <c r="AE1478" s="16"/>
      <c r="AF1478" s="16"/>
      <c r="AG1478" s="14"/>
      <c r="AH1478" s="14"/>
      <c r="AI1478" s="24"/>
      <c r="AJ1478" s="24"/>
      <c r="AK1478" s="24"/>
      <c r="AL1478" s="16"/>
      <c r="AM1478" s="16"/>
      <c r="AN1478" s="16"/>
      <c r="AO1478" s="16"/>
      <c r="AP1478" s="16"/>
      <c r="AQ1478" s="16"/>
      <c r="AR1478" s="16"/>
      <c r="AS1478" s="14"/>
      <c r="AT1478" s="14"/>
      <c r="AU1478" s="14"/>
      <c r="AV1478" s="14"/>
      <c r="AW1478" s="14"/>
      <c r="AX1478" s="14"/>
      <c r="AY1478" s="14"/>
      <c r="AZ1478" s="14"/>
      <c r="BA1478" s="14"/>
      <c r="BB1478" s="7"/>
    </row>
    <row r="1479" spans="7:54" x14ac:dyDescent="0.15">
      <c r="G1479" s="7"/>
      <c r="H1479" s="16"/>
      <c r="I1479" s="16"/>
      <c r="J1479" s="16"/>
      <c r="K1479" s="16"/>
      <c r="L1479" s="16"/>
      <c r="M1479" s="16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24"/>
      <c r="AC1479" s="16"/>
      <c r="AD1479" s="16"/>
      <c r="AE1479" s="16"/>
      <c r="AF1479" s="16"/>
      <c r="AG1479" s="14"/>
      <c r="AH1479" s="14"/>
      <c r="AI1479" s="24"/>
      <c r="AJ1479" s="24"/>
      <c r="AK1479" s="24"/>
      <c r="AL1479" s="16"/>
      <c r="AM1479" s="16"/>
      <c r="AN1479" s="16"/>
      <c r="AO1479" s="16"/>
      <c r="AP1479" s="16"/>
      <c r="AQ1479" s="16"/>
      <c r="AR1479" s="16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7"/>
    </row>
    <row r="1480" spans="7:54" x14ac:dyDescent="0.15">
      <c r="G1480" s="7"/>
      <c r="H1480" s="16"/>
      <c r="I1480" s="16"/>
      <c r="J1480" s="16"/>
      <c r="K1480" s="16"/>
      <c r="L1480" s="16"/>
      <c r="M1480" s="16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24"/>
      <c r="AC1480" s="16"/>
      <c r="AD1480" s="16"/>
      <c r="AE1480" s="16"/>
      <c r="AF1480" s="16"/>
      <c r="AG1480" s="14"/>
      <c r="AH1480" s="14"/>
      <c r="AI1480" s="24"/>
      <c r="AJ1480" s="24"/>
      <c r="AK1480" s="24"/>
      <c r="AL1480" s="16"/>
      <c r="AM1480" s="16"/>
      <c r="AN1480" s="16"/>
      <c r="AO1480" s="16"/>
      <c r="AP1480" s="16"/>
      <c r="AQ1480" s="16"/>
      <c r="AR1480" s="16"/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7"/>
    </row>
    <row r="1481" spans="7:54" x14ac:dyDescent="0.15">
      <c r="G1481" s="7"/>
      <c r="H1481" s="16"/>
      <c r="I1481" s="16"/>
      <c r="J1481" s="16"/>
      <c r="K1481" s="16"/>
      <c r="L1481" s="16"/>
      <c r="M1481" s="16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24"/>
      <c r="AC1481" s="16"/>
      <c r="AD1481" s="16"/>
      <c r="AE1481" s="16"/>
      <c r="AF1481" s="16"/>
      <c r="AG1481" s="14"/>
      <c r="AH1481" s="14"/>
      <c r="AI1481" s="24"/>
      <c r="AJ1481" s="24"/>
      <c r="AK1481" s="24"/>
      <c r="AL1481" s="16"/>
      <c r="AM1481" s="16"/>
      <c r="AN1481" s="16"/>
      <c r="AO1481" s="16"/>
      <c r="AP1481" s="16"/>
      <c r="AQ1481" s="16"/>
      <c r="AR1481" s="16"/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7"/>
    </row>
    <row r="1482" spans="7:54" x14ac:dyDescent="0.15">
      <c r="G1482" s="7"/>
      <c r="H1482" s="16"/>
      <c r="I1482" s="16"/>
      <c r="J1482" s="16"/>
      <c r="K1482" s="16"/>
      <c r="L1482" s="16"/>
      <c r="M1482" s="16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24"/>
      <c r="AC1482" s="16"/>
      <c r="AD1482" s="16"/>
      <c r="AE1482" s="16"/>
      <c r="AF1482" s="16"/>
      <c r="AG1482" s="14"/>
      <c r="AH1482" s="14"/>
      <c r="AI1482" s="24"/>
      <c r="AJ1482" s="24"/>
      <c r="AK1482" s="24"/>
      <c r="AL1482" s="16"/>
      <c r="AM1482" s="16"/>
      <c r="AN1482" s="16"/>
      <c r="AO1482" s="16"/>
      <c r="AP1482" s="16"/>
      <c r="AQ1482" s="16"/>
      <c r="AR1482" s="16"/>
      <c r="AS1482" s="14"/>
      <c r="AT1482" s="14"/>
      <c r="AU1482" s="14"/>
      <c r="AV1482" s="14"/>
      <c r="AW1482" s="14"/>
      <c r="AX1482" s="14"/>
      <c r="AY1482" s="14"/>
      <c r="AZ1482" s="14"/>
      <c r="BA1482" s="14"/>
      <c r="BB1482" s="7"/>
    </row>
    <row r="1483" spans="7:54" x14ac:dyDescent="0.15">
      <c r="G1483" s="7"/>
      <c r="H1483" s="16"/>
      <c r="I1483" s="16"/>
      <c r="J1483" s="16"/>
      <c r="K1483" s="16"/>
      <c r="L1483" s="16"/>
      <c r="M1483" s="16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24"/>
      <c r="AC1483" s="16"/>
      <c r="AD1483" s="16"/>
      <c r="AE1483" s="16"/>
      <c r="AF1483" s="16"/>
      <c r="AG1483" s="14"/>
      <c r="AH1483" s="14"/>
      <c r="AI1483" s="24"/>
      <c r="AJ1483" s="24"/>
      <c r="AK1483" s="24"/>
      <c r="AL1483" s="16"/>
      <c r="AM1483" s="16"/>
      <c r="AN1483" s="16"/>
      <c r="AO1483" s="16"/>
      <c r="AP1483" s="16"/>
      <c r="AQ1483" s="16"/>
      <c r="AR1483" s="16"/>
      <c r="AS1483" s="14"/>
      <c r="AT1483" s="14"/>
      <c r="AU1483" s="14"/>
      <c r="AV1483" s="14"/>
      <c r="AW1483" s="14"/>
      <c r="AX1483" s="14"/>
      <c r="AY1483" s="14"/>
      <c r="AZ1483" s="14"/>
      <c r="BA1483" s="14"/>
      <c r="BB1483" s="7"/>
    </row>
    <row r="1484" spans="7:54" x14ac:dyDescent="0.15">
      <c r="G1484" s="7"/>
      <c r="H1484" s="16"/>
      <c r="I1484" s="16"/>
      <c r="J1484" s="16"/>
      <c r="K1484" s="16"/>
      <c r="L1484" s="16"/>
      <c r="M1484" s="16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24"/>
      <c r="AC1484" s="16"/>
      <c r="AD1484" s="16"/>
      <c r="AE1484" s="16"/>
      <c r="AF1484" s="16"/>
      <c r="AG1484" s="14"/>
      <c r="AH1484" s="14"/>
      <c r="AI1484" s="24"/>
      <c r="AJ1484" s="24"/>
      <c r="AK1484" s="24"/>
      <c r="AL1484" s="16"/>
      <c r="AM1484" s="16"/>
      <c r="AN1484" s="16"/>
      <c r="AO1484" s="16"/>
      <c r="AP1484" s="16"/>
      <c r="AQ1484" s="16"/>
      <c r="AR1484" s="16"/>
      <c r="AS1484" s="14"/>
      <c r="AT1484" s="14"/>
      <c r="AU1484" s="14"/>
      <c r="AV1484" s="14"/>
      <c r="AW1484" s="14"/>
      <c r="AX1484" s="14"/>
      <c r="AY1484" s="14"/>
      <c r="AZ1484" s="14"/>
      <c r="BA1484" s="14"/>
      <c r="BB1484" s="7"/>
    </row>
    <row r="1485" spans="7:54" x14ac:dyDescent="0.15">
      <c r="G1485" s="7"/>
      <c r="H1485" s="16"/>
      <c r="I1485" s="16"/>
      <c r="J1485" s="16"/>
      <c r="K1485" s="16"/>
      <c r="L1485" s="16"/>
      <c r="M1485" s="16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24"/>
      <c r="AC1485" s="16"/>
      <c r="AD1485" s="16"/>
      <c r="AE1485" s="16"/>
      <c r="AF1485" s="16"/>
      <c r="AG1485" s="14"/>
      <c r="AH1485" s="14"/>
      <c r="AI1485" s="24"/>
      <c r="AJ1485" s="24"/>
      <c r="AK1485" s="24"/>
      <c r="AL1485" s="16"/>
      <c r="AM1485" s="16"/>
      <c r="AN1485" s="16"/>
      <c r="AO1485" s="16"/>
      <c r="AP1485" s="16"/>
      <c r="AQ1485" s="16"/>
      <c r="AR1485" s="16"/>
      <c r="AS1485" s="14"/>
      <c r="AT1485" s="14"/>
      <c r="AU1485" s="14"/>
      <c r="AV1485" s="14"/>
      <c r="AW1485" s="14"/>
      <c r="AX1485" s="14"/>
      <c r="AY1485" s="14"/>
      <c r="AZ1485" s="14"/>
      <c r="BA1485" s="14"/>
      <c r="BB1485" s="7"/>
    </row>
    <row r="1486" spans="7:54" x14ac:dyDescent="0.15">
      <c r="G1486" s="7"/>
      <c r="H1486" s="16"/>
      <c r="I1486" s="16"/>
      <c r="J1486" s="16"/>
      <c r="K1486" s="16"/>
      <c r="L1486" s="16"/>
      <c r="M1486" s="16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24"/>
      <c r="AC1486" s="16"/>
      <c r="AD1486" s="16"/>
      <c r="AE1486" s="16"/>
      <c r="AF1486" s="16"/>
      <c r="AG1486" s="14"/>
      <c r="AH1486" s="14"/>
      <c r="AI1486" s="24"/>
      <c r="AJ1486" s="24"/>
      <c r="AK1486" s="24"/>
      <c r="AL1486" s="16"/>
      <c r="AM1486" s="16"/>
      <c r="AN1486" s="16"/>
      <c r="AO1486" s="16"/>
      <c r="AP1486" s="16"/>
      <c r="AQ1486" s="16"/>
      <c r="AR1486" s="16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7"/>
    </row>
    <row r="1487" spans="7:54" x14ac:dyDescent="0.15">
      <c r="G1487" s="7"/>
      <c r="H1487" s="16"/>
      <c r="I1487" s="16"/>
      <c r="J1487" s="16"/>
      <c r="K1487" s="16"/>
      <c r="L1487" s="16"/>
      <c r="M1487" s="16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24"/>
      <c r="AC1487" s="16"/>
      <c r="AD1487" s="16"/>
      <c r="AE1487" s="16"/>
      <c r="AF1487" s="16"/>
      <c r="AG1487" s="14"/>
      <c r="AH1487" s="14"/>
      <c r="AI1487" s="24"/>
      <c r="AJ1487" s="24"/>
      <c r="AK1487" s="24"/>
      <c r="AL1487" s="16"/>
      <c r="AM1487" s="16"/>
      <c r="AN1487" s="16"/>
      <c r="AO1487" s="16"/>
      <c r="AP1487" s="16"/>
      <c r="AQ1487" s="16"/>
      <c r="AR1487" s="16"/>
      <c r="AS1487" s="14"/>
      <c r="AT1487" s="14"/>
      <c r="AU1487" s="14"/>
      <c r="AV1487" s="14"/>
      <c r="AW1487" s="14"/>
      <c r="AX1487" s="14"/>
      <c r="AY1487" s="14"/>
      <c r="AZ1487" s="14"/>
      <c r="BA1487" s="14"/>
      <c r="BB1487" s="7"/>
    </row>
    <row r="1488" spans="7:54" x14ac:dyDescent="0.15">
      <c r="G1488" s="7"/>
      <c r="H1488" s="16"/>
      <c r="I1488" s="16"/>
      <c r="J1488" s="16"/>
      <c r="K1488" s="16"/>
      <c r="L1488" s="16"/>
      <c r="M1488" s="16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24"/>
      <c r="AC1488" s="16"/>
      <c r="AD1488" s="16"/>
      <c r="AE1488" s="16"/>
      <c r="AF1488" s="16"/>
      <c r="AG1488" s="14"/>
      <c r="AH1488" s="14"/>
      <c r="AI1488" s="24"/>
      <c r="AJ1488" s="24"/>
      <c r="AK1488" s="24"/>
      <c r="AL1488" s="16"/>
      <c r="AM1488" s="16"/>
      <c r="AN1488" s="16"/>
      <c r="AO1488" s="16"/>
      <c r="AP1488" s="16"/>
      <c r="AQ1488" s="16"/>
      <c r="AR1488" s="16"/>
      <c r="AS1488" s="14"/>
      <c r="AT1488" s="14"/>
      <c r="AU1488" s="14"/>
      <c r="AV1488" s="14"/>
      <c r="AW1488" s="14"/>
      <c r="AX1488" s="14"/>
      <c r="AY1488" s="14"/>
      <c r="AZ1488" s="14"/>
      <c r="BA1488" s="14"/>
      <c r="BB1488" s="7"/>
    </row>
    <row r="1489" spans="7:54" x14ac:dyDescent="0.15">
      <c r="G1489" s="7"/>
      <c r="H1489" s="16"/>
      <c r="I1489" s="16"/>
      <c r="J1489" s="16"/>
      <c r="K1489" s="16"/>
      <c r="L1489" s="16"/>
      <c r="M1489" s="16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24"/>
      <c r="AC1489" s="16"/>
      <c r="AD1489" s="16"/>
      <c r="AE1489" s="16"/>
      <c r="AF1489" s="16"/>
      <c r="AG1489" s="14"/>
      <c r="AH1489" s="14"/>
      <c r="AI1489" s="24"/>
      <c r="AJ1489" s="24"/>
      <c r="AK1489" s="24"/>
      <c r="AL1489" s="16"/>
      <c r="AM1489" s="16"/>
      <c r="AN1489" s="16"/>
      <c r="AO1489" s="16"/>
      <c r="AP1489" s="16"/>
      <c r="AQ1489" s="16"/>
      <c r="AR1489" s="16"/>
      <c r="AS1489" s="14"/>
      <c r="AT1489" s="14"/>
      <c r="AU1489" s="14"/>
      <c r="AV1489" s="14"/>
      <c r="AW1489" s="14"/>
      <c r="AX1489" s="14"/>
      <c r="AY1489" s="14"/>
      <c r="AZ1489" s="14"/>
      <c r="BA1489" s="14"/>
      <c r="BB1489" s="7"/>
    </row>
    <row r="1490" spans="7:54" x14ac:dyDescent="0.15">
      <c r="G1490" s="7"/>
      <c r="H1490" s="16"/>
      <c r="I1490" s="16"/>
      <c r="J1490" s="16"/>
      <c r="K1490" s="16"/>
      <c r="L1490" s="16"/>
      <c r="M1490" s="16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24"/>
      <c r="AC1490" s="16"/>
      <c r="AD1490" s="16"/>
      <c r="AE1490" s="16"/>
      <c r="AF1490" s="16"/>
      <c r="AG1490" s="14"/>
      <c r="AH1490" s="14"/>
      <c r="AI1490" s="24"/>
      <c r="AJ1490" s="24"/>
      <c r="AK1490" s="24"/>
      <c r="AL1490" s="16"/>
      <c r="AM1490" s="16"/>
      <c r="AN1490" s="16"/>
      <c r="AO1490" s="16"/>
      <c r="AP1490" s="16"/>
      <c r="AQ1490" s="16"/>
      <c r="AR1490" s="16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7"/>
    </row>
    <row r="1491" spans="7:54" x14ac:dyDescent="0.15">
      <c r="G1491" s="7"/>
      <c r="H1491" s="16"/>
      <c r="I1491" s="16"/>
      <c r="J1491" s="16"/>
      <c r="K1491" s="16"/>
      <c r="L1491" s="16"/>
      <c r="M1491" s="16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24"/>
      <c r="AC1491" s="16"/>
      <c r="AD1491" s="16"/>
      <c r="AE1491" s="16"/>
      <c r="AF1491" s="16"/>
      <c r="AG1491" s="14"/>
      <c r="AH1491" s="14"/>
      <c r="AI1491" s="24"/>
      <c r="AJ1491" s="24"/>
      <c r="AK1491" s="24"/>
      <c r="AL1491" s="16"/>
      <c r="AM1491" s="16"/>
      <c r="AN1491" s="16"/>
      <c r="AO1491" s="16"/>
      <c r="AP1491" s="16"/>
      <c r="AQ1491" s="16"/>
      <c r="AR1491" s="16"/>
      <c r="AS1491" s="14"/>
      <c r="AT1491" s="14"/>
      <c r="AU1491" s="14"/>
      <c r="AV1491" s="14"/>
      <c r="AW1491" s="14"/>
      <c r="AX1491" s="14"/>
      <c r="AY1491" s="14"/>
      <c r="AZ1491" s="14"/>
      <c r="BA1491" s="14"/>
      <c r="BB1491" s="7"/>
    </row>
    <row r="1492" spans="7:54" x14ac:dyDescent="0.15">
      <c r="G1492" s="7"/>
      <c r="H1492" s="16"/>
      <c r="I1492" s="16"/>
      <c r="J1492" s="16"/>
      <c r="K1492" s="16"/>
      <c r="L1492" s="16"/>
      <c r="M1492" s="16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24"/>
      <c r="AC1492" s="16"/>
      <c r="AD1492" s="16"/>
      <c r="AE1492" s="16"/>
      <c r="AF1492" s="16"/>
      <c r="AG1492" s="14"/>
      <c r="AH1492" s="14"/>
      <c r="AI1492" s="24"/>
      <c r="AJ1492" s="24"/>
      <c r="AK1492" s="24"/>
      <c r="AL1492" s="16"/>
      <c r="AM1492" s="16"/>
      <c r="AN1492" s="16"/>
      <c r="AO1492" s="16"/>
      <c r="AP1492" s="16"/>
      <c r="AQ1492" s="16"/>
      <c r="AR1492" s="16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7"/>
    </row>
    <row r="1493" spans="7:54" x14ac:dyDescent="0.15">
      <c r="G1493" s="7"/>
      <c r="H1493" s="16"/>
      <c r="I1493" s="16"/>
      <c r="J1493" s="16"/>
      <c r="K1493" s="16"/>
      <c r="L1493" s="16"/>
      <c r="M1493" s="16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24"/>
      <c r="AC1493" s="16"/>
      <c r="AD1493" s="16"/>
      <c r="AE1493" s="16"/>
      <c r="AF1493" s="16"/>
      <c r="AG1493" s="14"/>
      <c r="AH1493" s="14"/>
      <c r="AI1493" s="24"/>
      <c r="AJ1493" s="24"/>
      <c r="AK1493" s="24"/>
      <c r="AL1493" s="16"/>
      <c r="AM1493" s="16"/>
      <c r="AN1493" s="16"/>
      <c r="AO1493" s="16"/>
      <c r="AP1493" s="16"/>
      <c r="AQ1493" s="16"/>
      <c r="AR1493" s="16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7"/>
    </row>
    <row r="1494" spans="7:54" x14ac:dyDescent="0.15">
      <c r="G1494" s="7"/>
      <c r="H1494" s="16"/>
      <c r="I1494" s="16"/>
      <c r="J1494" s="16"/>
      <c r="K1494" s="16"/>
      <c r="L1494" s="16"/>
      <c r="M1494" s="16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24"/>
      <c r="AC1494" s="16"/>
      <c r="AD1494" s="16"/>
      <c r="AE1494" s="16"/>
      <c r="AF1494" s="16"/>
      <c r="AG1494" s="14"/>
      <c r="AH1494" s="14"/>
      <c r="AI1494" s="24"/>
      <c r="AJ1494" s="24"/>
      <c r="AK1494" s="24"/>
      <c r="AL1494" s="16"/>
      <c r="AM1494" s="16"/>
      <c r="AN1494" s="16"/>
      <c r="AO1494" s="16"/>
      <c r="AP1494" s="16"/>
      <c r="AQ1494" s="16"/>
      <c r="AR1494" s="16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7"/>
    </row>
    <row r="1495" spans="7:54" x14ac:dyDescent="0.15">
      <c r="G1495" s="7"/>
      <c r="H1495" s="16"/>
      <c r="I1495" s="16"/>
      <c r="J1495" s="16"/>
      <c r="K1495" s="16"/>
      <c r="L1495" s="16"/>
      <c r="M1495" s="16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24"/>
      <c r="AC1495" s="16"/>
      <c r="AD1495" s="16"/>
      <c r="AE1495" s="16"/>
      <c r="AF1495" s="16"/>
      <c r="AG1495" s="14"/>
      <c r="AH1495" s="14"/>
      <c r="AI1495" s="24"/>
      <c r="AJ1495" s="24"/>
      <c r="AK1495" s="24"/>
      <c r="AL1495" s="16"/>
      <c r="AM1495" s="16"/>
      <c r="AN1495" s="16"/>
      <c r="AO1495" s="16"/>
      <c r="AP1495" s="16"/>
      <c r="AQ1495" s="16"/>
      <c r="AR1495" s="16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7"/>
    </row>
    <row r="1496" spans="7:54" x14ac:dyDescent="0.15">
      <c r="G1496" s="7"/>
      <c r="H1496" s="16"/>
      <c r="I1496" s="16"/>
      <c r="J1496" s="16"/>
      <c r="K1496" s="16"/>
      <c r="L1496" s="16"/>
      <c r="M1496" s="16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24"/>
      <c r="AC1496" s="16"/>
      <c r="AD1496" s="16"/>
      <c r="AE1496" s="16"/>
      <c r="AF1496" s="16"/>
      <c r="AG1496" s="14"/>
      <c r="AH1496" s="14"/>
      <c r="AI1496" s="24"/>
      <c r="AJ1496" s="24"/>
      <c r="AK1496" s="24"/>
      <c r="AL1496" s="16"/>
      <c r="AM1496" s="16"/>
      <c r="AN1496" s="16"/>
      <c r="AO1496" s="16"/>
      <c r="AP1496" s="16"/>
      <c r="AQ1496" s="16"/>
      <c r="AR1496" s="16"/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7"/>
    </row>
    <row r="1497" spans="7:54" x14ac:dyDescent="0.15">
      <c r="G1497" s="7"/>
      <c r="H1497" s="16"/>
      <c r="I1497" s="16"/>
      <c r="J1497" s="16"/>
      <c r="K1497" s="16"/>
      <c r="L1497" s="16"/>
      <c r="M1497" s="16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24"/>
      <c r="AC1497" s="16"/>
      <c r="AD1497" s="16"/>
      <c r="AE1497" s="16"/>
      <c r="AF1497" s="16"/>
      <c r="AG1497" s="14"/>
      <c r="AH1497" s="14"/>
      <c r="AI1497" s="24"/>
      <c r="AJ1497" s="24"/>
      <c r="AK1497" s="24"/>
      <c r="AL1497" s="16"/>
      <c r="AM1497" s="16"/>
      <c r="AN1497" s="16"/>
      <c r="AO1497" s="16"/>
      <c r="AP1497" s="16"/>
      <c r="AQ1497" s="16"/>
      <c r="AR1497" s="16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7"/>
    </row>
    <row r="1498" spans="7:54" x14ac:dyDescent="0.15">
      <c r="G1498" s="7"/>
      <c r="H1498" s="16"/>
      <c r="I1498" s="16"/>
      <c r="J1498" s="16"/>
      <c r="K1498" s="16"/>
      <c r="L1498" s="16"/>
      <c r="M1498" s="16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24"/>
      <c r="AC1498" s="16"/>
      <c r="AD1498" s="16"/>
      <c r="AE1498" s="16"/>
      <c r="AF1498" s="16"/>
      <c r="AG1498" s="14"/>
      <c r="AH1498" s="14"/>
      <c r="AI1498" s="24"/>
      <c r="AJ1498" s="24"/>
      <c r="AK1498" s="24"/>
      <c r="AL1498" s="16"/>
      <c r="AM1498" s="16"/>
      <c r="AN1498" s="16"/>
      <c r="AO1498" s="16"/>
      <c r="AP1498" s="16"/>
      <c r="AQ1498" s="16"/>
      <c r="AR1498" s="16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7"/>
    </row>
    <row r="1499" spans="7:54" x14ac:dyDescent="0.15">
      <c r="G1499" s="7"/>
      <c r="H1499" s="16"/>
      <c r="I1499" s="16"/>
      <c r="J1499" s="16"/>
      <c r="K1499" s="16"/>
      <c r="L1499" s="16"/>
      <c r="M1499" s="16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24"/>
      <c r="AC1499" s="16"/>
      <c r="AD1499" s="16"/>
      <c r="AE1499" s="16"/>
      <c r="AF1499" s="16"/>
      <c r="AG1499" s="14"/>
      <c r="AH1499" s="14"/>
      <c r="AI1499" s="24"/>
      <c r="AJ1499" s="24"/>
      <c r="AK1499" s="24"/>
      <c r="AL1499" s="16"/>
      <c r="AM1499" s="16"/>
      <c r="AN1499" s="16"/>
      <c r="AO1499" s="16"/>
      <c r="AP1499" s="16"/>
      <c r="AQ1499" s="16"/>
      <c r="AR1499" s="16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7"/>
    </row>
    <row r="1500" spans="7:54" x14ac:dyDescent="0.15">
      <c r="G1500" s="7"/>
      <c r="H1500" s="16"/>
      <c r="I1500" s="16"/>
      <c r="J1500" s="16"/>
      <c r="K1500" s="16"/>
      <c r="L1500" s="16"/>
      <c r="M1500" s="16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24"/>
      <c r="AC1500" s="16"/>
      <c r="AD1500" s="16"/>
      <c r="AE1500" s="16"/>
      <c r="AF1500" s="16"/>
      <c r="AG1500" s="14"/>
      <c r="AH1500" s="14"/>
      <c r="AI1500" s="24"/>
      <c r="AJ1500" s="24"/>
      <c r="AK1500" s="24"/>
      <c r="AL1500" s="16"/>
      <c r="AM1500" s="16"/>
      <c r="AN1500" s="16"/>
      <c r="AO1500" s="16"/>
      <c r="AP1500" s="16"/>
      <c r="AQ1500" s="16"/>
      <c r="AR1500" s="16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7"/>
    </row>
    <row r="1501" spans="7:54" x14ac:dyDescent="0.15">
      <c r="G1501" s="7"/>
      <c r="H1501" s="16"/>
      <c r="I1501" s="16"/>
      <c r="J1501" s="16"/>
      <c r="K1501" s="16"/>
      <c r="L1501" s="16"/>
      <c r="M1501" s="16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24"/>
      <c r="AC1501" s="16"/>
      <c r="AD1501" s="16"/>
      <c r="AE1501" s="16"/>
      <c r="AF1501" s="16"/>
      <c r="AG1501" s="14"/>
      <c r="AH1501" s="14"/>
      <c r="AI1501" s="24"/>
      <c r="AJ1501" s="24"/>
      <c r="AK1501" s="24"/>
      <c r="AL1501" s="16"/>
      <c r="AM1501" s="16"/>
      <c r="AN1501" s="16"/>
      <c r="AO1501" s="16"/>
      <c r="AP1501" s="16"/>
      <c r="AQ1501" s="16"/>
      <c r="AR1501" s="16"/>
      <c r="AS1501" s="14"/>
      <c r="AT1501" s="14"/>
      <c r="AU1501" s="14"/>
      <c r="AV1501" s="14"/>
      <c r="AW1501" s="14"/>
      <c r="AX1501" s="14"/>
      <c r="AY1501" s="14"/>
      <c r="AZ1501" s="14"/>
      <c r="BA1501" s="14"/>
      <c r="BB1501" s="7"/>
    </row>
    <row r="1502" spans="7:54" x14ac:dyDescent="0.15">
      <c r="G1502" s="7"/>
      <c r="H1502" s="16"/>
      <c r="I1502" s="16"/>
      <c r="J1502" s="16"/>
      <c r="K1502" s="16"/>
      <c r="L1502" s="16"/>
      <c r="M1502" s="16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24"/>
      <c r="AC1502" s="16"/>
      <c r="AD1502" s="16"/>
      <c r="AE1502" s="16"/>
      <c r="AF1502" s="16"/>
      <c r="AG1502" s="14"/>
      <c r="AH1502" s="14"/>
      <c r="AI1502" s="24"/>
      <c r="AJ1502" s="24"/>
      <c r="AK1502" s="24"/>
      <c r="AL1502" s="16"/>
      <c r="AM1502" s="16"/>
      <c r="AN1502" s="16"/>
      <c r="AO1502" s="16"/>
      <c r="AP1502" s="16"/>
      <c r="AQ1502" s="16"/>
      <c r="AR1502" s="16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7"/>
    </row>
    <row r="1503" spans="7:54" x14ac:dyDescent="0.15">
      <c r="G1503" s="7"/>
      <c r="H1503" s="16"/>
      <c r="I1503" s="16"/>
      <c r="J1503" s="16"/>
      <c r="K1503" s="16"/>
      <c r="L1503" s="16"/>
      <c r="M1503" s="16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24"/>
      <c r="AC1503" s="16"/>
      <c r="AD1503" s="16"/>
      <c r="AE1503" s="16"/>
      <c r="AF1503" s="16"/>
      <c r="AG1503" s="14"/>
      <c r="AH1503" s="14"/>
      <c r="AI1503" s="24"/>
      <c r="AJ1503" s="24"/>
      <c r="AK1503" s="24"/>
      <c r="AL1503" s="16"/>
      <c r="AM1503" s="16"/>
      <c r="AN1503" s="16"/>
      <c r="AO1503" s="16"/>
      <c r="AP1503" s="16"/>
      <c r="AQ1503" s="16"/>
      <c r="AR1503" s="16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7"/>
    </row>
    <row r="1504" spans="7:54" x14ac:dyDescent="0.15">
      <c r="G1504" s="7"/>
      <c r="H1504" s="16"/>
      <c r="I1504" s="16"/>
      <c r="J1504" s="16"/>
      <c r="K1504" s="16"/>
      <c r="L1504" s="16"/>
      <c r="M1504" s="16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24"/>
      <c r="AC1504" s="16"/>
      <c r="AD1504" s="16"/>
      <c r="AE1504" s="16"/>
      <c r="AF1504" s="16"/>
      <c r="AG1504" s="14"/>
      <c r="AH1504" s="14"/>
      <c r="AI1504" s="24"/>
      <c r="AJ1504" s="24"/>
      <c r="AK1504" s="24"/>
      <c r="AL1504" s="16"/>
      <c r="AM1504" s="16"/>
      <c r="AN1504" s="16"/>
      <c r="AO1504" s="16"/>
      <c r="AP1504" s="16"/>
      <c r="AQ1504" s="16"/>
      <c r="AR1504" s="16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7"/>
    </row>
    <row r="1505" spans="7:54" x14ac:dyDescent="0.15">
      <c r="G1505" s="7"/>
      <c r="H1505" s="16"/>
      <c r="I1505" s="16"/>
      <c r="J1505" s="16"/>
      <c r="K1505" s="16"/>
      <c r="L1505" s="16"/>
      <c r="M1505" s="16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24"/>
      <c r="AC1505" s="16"/>
      <c r="AD1505" s="16"/>
      <c r="AE1505" s="16"/>
      <c r="AF1505" s="16"/>
      <c r="AG1505" s="14"/>
      <c r="AH1505" s="14"/>
      <c r="AI1505" s="24"/>
      <c r="AJ1505" s="24"/>
      <c r="AK1505" s="24"/>
      <c r="AL1505" s="16"/>
      <c r="AM1505" s="16"/>
      <c r="AN1505" s="16"/>
      <c r="AO1505" s="16"/>
      <c r="AP1505" s="16"/>
      <c r="AQ1505" s="16"/>
      <c r="AR1505" s="16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7"/>
    </row>
    <row r="1506" spans="7:54" x14ac:dyDescent="0.15">
      <c r="G1506" s="7"/>
      <c r="H1506" s="16"/>
      <c r="I1506" s="16"/>
      <c r="J1506" s="16"/>
      <c r="K1506" s="16"/>
      <c r="L1506" s="16"/>
      <c r="M1506" s="16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24"/>
      <c r="AC1506" s="16"/>
      <c r="AD1506" s="16"/>
      <c r="AE1506" s="16"/>
      <c r="AF1506" s="16"/>
      <c r="AG1506" s="14"/>
      <c r="AH1506" s="14"/>
      <c r="AI1506" s="24"/>
      <c r="AJ1506" s="24"/>
      <c r="AK1506" s="24"/>
      <c r="AL1506" s="16"/>
      <c r="AM1506" s="16"/>
      <c r="AN1506" s="16"/>
      <c r="AO1506" s="16"/>
      <c r="AP1506" s="16"/>
      <c r="AQ1506" s="16"/>
      <c r="AR1506" s="16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7"/>
    </row>
    <row r="1507" spans="7:54" x14ac:dyDescent="0.15">
      <c r="G1507" s="7"/>
      <c r="H1507" s="16"/>
      <c r="I1507" s="16"/>
      <c r="J1507" s="16"/>
      <c r="K1507" s="16"/>
      <c r="L1507" s="16"/>
      <c r="M1507" s="16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24"/>
      <c r="AC1507" s="16"/>
      <c r="AD1507" s="16"/>
      <c r="AE1507" s="16"/>
      <c r="AF1507" s="16"/>
      <c r="AG1507" s="14"/>
      <c r="AH1507" s="14"/>
      <c r="AI1507" s="24"/>
      <c r="AJ1507" s="24"/>
      <c r="AK1507" s="24"/>
      <c r="AL1507" s="16"/>
      <c r="AM1507" s="16"/>
      <c r="AN1507" s="16"/>
      <c r="AO1507" s="16"/>
      <c r="AP1507" s="16"/>
      <c r="AQ1507" s="16"/>
      <c r="AR1507" s="16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7"/>
    </row>
    <row r="1508" spans="7:54" x14ac:dyDescent="0.15">
      <c r="G1508" s="7"/>
      <c r="H1508" s="16"/>
      <c r="I1508" s="16"/>
      <c r="J1508" s="16"/>
      <c r="K1508" s="16"/>
      <c r="L1508" s="16"/>
      <c r="M1508" s="16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24"/>
      <c r="AC1508" s="16"/>
      <c r="AD1508" s="16"/>
      <c r="AE1508" s="16"/>
      <c r="AF1508" s="16"/>
      <c r="AG1508" s="14"/>
      <c r="AH1508" s="14"/>
      <c r="AI1508" s="24"/>
      <c r="AJ1508" s="24"/>
      <c r="AK1508" s="24"/>
      <c r="AL1508" s="16"/>
      <c r="AM1508" s="16"/>
      <c r="AN1508" s="16"/>
      <c r="AO1508" s="16"/>
      <c r="AP1508" s="16"/>
      <c r="AQ1508" s="16"/>
      <c r="AR1508" s="16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7"/>
    </row>
    <row r="1509" spans="7:54" x14ac:dyDescent="0.15">
      <c r="G1509" s="7"/>
      <c r="H1509" s="16"/>
      <c r="I1509" s="16"/>
      <c r="J1509" s="16"/>
      <c r="K1509" s="16"/>
      <c r="L1509" s="16"/>
      <c r="M1509" s="16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24"/>
      <c r="AC1509" s="16"/>
      <c r="AD1509" s="16"/>
      <c r="AE1509" s="16"/>
      <c r="AF1509" s="16"/>
      <c r="AG1509" s="14"/>
      <c r="AH1509" s="14"/>
      <c r="AI1509" s="24"/>
      <c r="AJ1509" s="24"/>
      <c r="AK1509" s="24"/>
      <c r="AL1509" s="16"/>
      <c r="AM1509" s="16"/>
      <c r="AN1509" s="16"/>
      <c r="AO1509" s="16"/>
      <c r="AP1509" s="16"/>
      <c r="AQ1509" s="16"/>
      <c r="AR1509" s="16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7"/>
    </row>
    <row r="1510" spans="7:54" x14ac:dyDescent="0.15">
      <c r="G1510" s="7"/>
      <c r="H1510" s="16"/>
      <c r="I1510" s="16"/>
      <c r="J1510" s="16"/>
      <c r="K1510" s="16"/>
      <c r="L1510" s="16"/>
      <c r="M1510" s="16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24"/>
      <c r="AC1510" s="16"/>
      <c r="AD1510" s="16"/>
      <c r="AE1510" s="16"/>
      <c r="AF1510" s="16"/>
      <c r="AG1510" s="14"/>
      <c r="AH1510" s="14"/>
      <c r="AI1510" s="24"/>
      <c r="AJ1510" s="24"/>
      <c r="AK1510" s="24"/>
      <c r="AL1510" s="16"/>
      <c r="AM1510" s="16"/>
      <c r="AN1510" s="16"/>
      <c r="AO1510" s="16"/>
      <c r="AP1510" s="16"/>
      <c r="AQ1510" s="16"/>
      <c r="AR1510" s="16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7"/>
    </row>
    <row r="1511" spans="7:54" x14ac:dyDescent="0.15">
      <c r="G1511" s="7"/>
      <c r="H1511" s="16"/>
      <c r="I1511" s="16"/>
      <c r="J1511" s="16"/>
      <c r="K1511" s="16"/>
      <c r="L1511" s="16"/>
      <c r="M1511" s="16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24"/>
      <c r="AC1511" s="16"/>
      <c r="AD1511" s="16"/>
      <c r="AE1511" s="16"/>
      <c r="AF1511" s="16"/>
      <c r="AG1511" s="14"/>
      <c r="AH1511" s="14"/>
      <c r="AI1511" s="24"/>
      <c r="AJ1511" s="24"/>
      <c r="AK1511" s="24"/>
      <c r="AL1511" s="16"/>
      <c r="AM1511" s="16"/>
      <c r="AN1511" s="16"/>
      <c r="AO1511" s="16"/>
      <c r="AP1511" s="16"/>
      <c r="AQ1511" s="16"/>
      <c r="AR1511" s="16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7"/>
    </row>
    <row r="1512" spans="7:54" x14ac:dyDescent="0.15">
      <c r="G1512" s="7"/>
      <c r="H1512" s="16"/>
      <c r="I1512" s="16"/>
      <c r="J1512" s="16"/>
      <c r="K1512" s="16"/>
      <c r="L1512" s="16"/>
      <c r="M1512" s="16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24"/>
      <c r="AC1512" s="16"/>
      <c r="AD1512" s="16"/>
      <c r="AE1512" s="16"/>
      <c r="AF1512" s="16"/>
      <c r="AG1512" s="14"/>
      <c r="AH1512" s="14"/>
      <c r="AI1512" s="24"/>
      <c r="AJ1512" s="24"/>
      <c r="AK1512" s="24"/>
      <c r="AL1512" s="16"/>
      <c r="AM1512" s="16"/>
      <c r="AN1512" s="16"/>
      <c r="AO1512" s="16"/>
      <c r="AP1512" s="16"/>
      <c r="AQ1512" s="16"/>
      <c r="AR1512" s="16"/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7"/>
    </row>
    <row r="1513" spans="7:54" x14ac:dyDescent="0.15">
      <c r="G1513" s="7"/>
      <c r="H1513" s="16"/>
      <c r="I1513" s="16"/>
      <c r="J1513" s="16"/>
      <c r="K1513" s="16"/>
      <c r="L1513" s="16"/>
      <c r="M1513" s="16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24"/>
      <c r="AC1513" s="16"/>
      <c r="AD1513" s="16"/>
      <c r="AE1513" s="16"/>
      <c r="AF1513" s="16"/>
      <c r="AG1513" s="14"/>
      <c r="AH1513" s="14"/>
      <c r="AI1513" s="24"/>
      <c r="AJ1513" s="24"/>
      <c r="AK1513" s="24"/>
      <c r="AL1513" s="16"/>
      <c r="AM1513" s="16"/>
      <c r="AN1513" s="16"/>
      <c r="AO1513" s="16"/>
      <c r="AP1513" s="16"/>
      <c r="AQ1513" s="16"/>
      <c r="AR1513" s="16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7"/>
    </row>
    <row r="1514" spans="7:54" x14ac:dyDescent="0.15">
      <c r="G1514" s="7"/>
      <c r="H1514" s="16"/>
      <c r="I1514" s="16"/>
      <c r="J1514" s="16"/>
      <c r="K1514" s="16"/>
      <c r="L1514" s="16"/>
      <c r="M1514" s="16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24"/>
      <c r="AC1514" s="16"/>
      <c r="AD1514" s="16"/>
      <c r="AE1514" s="16"/>
      <c r="AF1514" s="16"/>
      <c r="AG1514" s="14"/>
      <c r="AH1514" s="14"/>
      <c r="AI1514" s="24"/>
      <c r="AJ1514" s="24"/>
      <c r="AK1514" s="24"/>
      <c r="AL1514" s="16"/>
      <c r="AM1514" s="16"/>
      <c r="AN1514" s="16"/>
      <c r="AO1514" s="16"/>
      <c r="AP1514" s="16"/>
      <c r="AQ1514" s="16"/>
      <c r="AR1514" s="16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7"/>
    </row>
    <row r="1515" spans="7:54" x14ac:dyDescent="0.15">
      <c r="G1515" s="7"/>
      <c r="H1515" s="16"/>
      <c r="I1515" s="16"/>
      <c r="J1515" s="16"/>
      <c r="K1515" s="16"/>
      <c r="L1515" s="16"/>
      <c r="M1515" s="16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24"/>
      <c r="AC1515" s="16"/>
      <c r="AD1515" s="16"/>
      <c r="AE1515" s="16"/>
      <c r="AF1515" s="16"/>
      <c r="AG1515" s="14"/>
      <c r="AH1515" s="14"/>
      <c r="AI1515" s="24"/>
      <c r="AJ1515" s="24"/>
      <c r="AK1515" s="24"/>
      <c r="AL1515" s="16"/>
      <c r="AM1515" s="16"/>
      <c r="AN1515" s="16"/>
      <c r="AO1515" s="16"/>
      <c r="AP1515" s="16"/>
      <c r="AQ1515" s="16"/>
      <c r="AR1515" s="16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7"/>
    </row>
    <row r="1516" spans="7:54" x14ac:dyDescent="0.15">
      <c r="G1516" s="7"/>
      <c r="H1516" s="16"/>
      <c r="I1516" s="16"/>
      <c r="J1516" s="16"/>
      <c r="K1516" s="16"/>
      <c r="L1516" s="16"/>
      <c r="M1516" s="16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24"/>
      <c r="AC1516" s="16"/>
      <c r="AD1516" s="16"/>
      <c r="AE1516" s="16"/>
      <c r="AF1516" s="16"/>
      <c r="AG1516" s="14"/>
      <c r="AH1516" s="14"/>
      <c r="AI1516" s="24"/>
      <c r="AJ1516" s="24"/>
      <c r="AK1516" s="24"/>
      <c r="AL1516" s="16"/>
      <c r="AM1516" s="16"/>
      <c r="AN1516" s="16"/>
      <c r="AO1516" s="16"/>
      <c r="AP1516" s="16"/>
      <c r="AQ1516" s="16"/>
      <c r="AR1516" s="16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7"/>
    </row>
    <row r="1517" spans="7:54" x14ac:dyDescent="0.15">
      <c r="G1517" s="7"/>
      <c r="H1517" s="16"/>
      <c r="I1517" s="16"/>
      <c r="J1517" s="16"/>
      <c r="K1517" s="16"/>
      <c r="L1517" s="16"/>
      <c r="M1517" s="16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24"/>
      <c r="AC1517" s="16"/>
      <c r="AD1517" s="16"/>
      <c r="AE1517" s="16"/>
      <c r="AF1517" s="16"/>
      <c r="AG1517" s="14"/>
      <c r="AH1517" s="14"/>
      <c r="AI1517" s="24"/>
      <c r="AJ1517" s="24"/>
      <c r="AK1517" s="24"/>
      <c r="AL1517" s="16"/>
      <c r="AM1517" s="16"/>
      <c r="AN1517" s="16"/>
      <c r="AO1517" s="16"/>
      <c r="AP1517" s="16"/>
      <c r="AQ1517" s="16"/>
      <c r="AR1517" s="16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7"/>
    </row>
    <row r="1518" spans="7:54" x14ac:dyDescent="0.15">
      <c r="G1518" s="7"/>
      <c r="H1518" s="16"/>
      <c r="I1518" s="16"/>
      <c r="J1518" s="16"/>
      <c r="K1518" s="16"/>
      <c r="L1518" s="16"/>
      <c r="M1518" s="16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24"/>
      <c r="AC1518" s="16"/>
      <c r="AD1518" s="16"/>
      <c r="AE1518" s="16"/>
      <c r="AF1518" s="16"/>
      <c r="AG1518" s="14"/>
      <c r="AH1518" s="14"/>
      <c r="AI1518" s="24"/>
      <c r="AJ1518" s="24"/>
      <c r="AK1518" s="24"/>
      <c r="AL1518" s="16"/>
      <c r="AM1518" s="16"/>
      <c r="AN1518" s="16"/>
      <c r="AO1518" s="16"/>
      <c r="AP1518" s="16"/>
      <c r="AQ1518" s="16"/>
      <c r="AR1518" s="16"/>
      <c r="AS1518" s="14"/>
      <c r="AT1518" s="14"/>
      <c r="AU1518" s="14"/>
      <c r="AV1518" s="14"/>
      <c r="AW1518" s="14"/>
      <c r="AX1518" s="14"/>
      <c r="AY1518" s="14"/>
      <c r="AZ1518" s="14"/>
      <c r="BA1518" s="14"/>
      <c r="BB1518" s="7"/>
    </row>
    <row r="1519" spans="7:54" x14ac:dyDescent="0.15">
      <c r="G1519" s="7"/>
      <c r="H1519" s="16"/>
      <c r="I1519" s="16"/>
      <c r="J1519" s="16"/>
      <c r="K1519" s="16"/>
      <c r="L1519" s="16"/>
      <c r="M1519" s="16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24"/>
      <c r="AC1519" s="16"/>
      <c r="AD1519" s="16"/>
      <c r="AE1519" s="16"/>
      <c r="AF1519" s="16"/>
      <c r="AG1519" s="14"/>
      <c r="AH1519" s="14"/>
      <c r="AI1519" s="24"/>
      <c r="AJ1519" s="24"/>
      <c r="AK1519" s="24"/>
      <c r="AL1519" s="16"/>
      <c r="AM1519" s="16"/>
      <c r="AN1519" s="16"/>
      <c r="AO1519" s="16"/>
      <c r="AP1519" s="16"/>
      <c r="AQ1519" s="16"/>
      <c r="AR1519" s="16"/>
      <c r="AS1519" s="14"/>
      <c r="AT1519" s="14"/>
      <c r="AU1519" s="14"/>
      <c r="AV1519" s="14"/>
      <c r="AW1519" s="14"/>
      <c r="AX1519" s="14"/>
      <c r="AY1519" s="14"/>
      <c r="AZ1519" s="14"/>
      <c r="BA1519" s="14"/>
      <c r="BB1519" s="7"/>
    </row>
    <row r="1520" spans="7:54" x14ac:dyDescent="0.15">
      <c r="G1520" s="7"/>
      <c r="H1520" s="16"/>
      <c r="I1520" s="16"/>
      <c r="J1520" s="16"/>
      <c r="K1520" s="16"/>
      <c r="L1520" s="16"/>
      <c r="M1520" s="16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24"/>
      <c r="AC1520" s="16"/>
      <c r="AD1520" s="16"/>
      <c r="AE1520" s="16"/>
      <c r="AF1520" s="16"/>
      <c r="AG1520" s="14"/>
      <c r="AH1520" s="14"/>
      <c r="AI1520" s="24"/>
      <c r="AJ1520" s="24"/>
      <c r="AK1520" s="24"/>
      <c r="AL1520" s="16"/>
      <c r="AM1520" s="16"/>
      <c r="AN1520" s="16"/>
      <c r="AO1520" s="16"/>
      <c r="AP1520" s="16"/>
      <c r="AQ1520" s="16"/>
      <c r="AR1520" s="16"/>
      <c r="AS1520" s="14"/>
      <c r="AT1520" s="14"/>
      <c r="AU1520" s="14"/>
      <c r="AV1520" s="14"/>
      <c r="AW1520" s="14"/>
      <c r="AX1520" s="14"/>
      <c r="AY1520" s="14"/>
      <c r="AZ1520" s="14"/>
      <c r="BA1520" s="14"/>
      <c r="BB1520" s="7"/>
    </row>
    <row r="1521" spans="7:54" x14ac:dyDescent="0.15">
      <c r="G1521" s="7"/>
      <c r="H1521" s="16"/>
      <c r="I1521" s="16"/>
      <c r="J1521" s="16"/>
      <c r="K1521" s="16"/>
      <c r="L1521" s="16"/>
      <c r="M1521" s="16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24"/>
      <c r="AC1521" s="16"/>
      <c r="AD1521" s="16"/>
      <c r="AE1521" s="16"/>
      <c r="AF1521" s="16"/>
      <c r="AG1521" s="14"/>
      <c r="AH1521" s="14"/>
      <c r="AI1521" s="24"/>
      <c r="AJ1521" s="24"/>
      <c r="AK1521" s="24"/>
      <c r="AL1521" s="16"/>
      <c r="AM1521" s="16"/>
      <c r="AN1521" s="16"/>
      <c r="AO1521" s="16"/>
      <c r="AP1521" s="16"/>
      <c r="AQ1521" s="16"/>
      <c r="AR1521" s="16"/>
      <c r="AS1521" s="14"/>
      <c r="AT1521" s="14"/>
      <c r="AU1521" s="14"/>
      <c r="AV1521" s="14"/>
      <c r="AW1521" s="14"/>
      <c r="AX1521" s="14"/>
      <c r="AY1521" s="14"/>
      <c r="AZ1521" s="14"/>
      <c r="BA1521" s="14"/>
      <c r="BB1521" s="7"/>
    </row>
    <row r="1522" spans="7:54" x14ac:dyDescent="0.15">
      <c r="G1522" s="7"/>
      <c r="H1522" s="16"/>
      <c r="I1522" s="16"/>
      <c r="J1522" s="16"/>
      <c r="K1522" s="16"/>
      <c r="L1522" s="16"/>
      <c r="M1522" s="16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24"/>
      <c r="AC1522" s="16"/>
      <c r="AD1522" s="16"/>
      <c r="AE1522" s="16"/>
      <c r="AF1522" s="16"/>
      <c r="AG1522" s="14"/>
      <c r="AH1522" s="14"/>
      <c r="AI1522" s="24"/>
      <c r="AJ1522" s="24"/>
      <c r="AK1522" s="24"/>
      <c r="AL1522" s="16"/>
      <c r="AM1522" s="16"/>
      <c r="AN1522" s="16"/>
      <c r="AO1522" s="16"/>
      <c r="AP1522" s="16"/>
      <c r="AQ1522" s="16"/>
      <c r="AR1522" s="16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7"/>
    </row>
    <row r="1523" spans="7:54" x14ac:dyDescent="0.15">
      <c r="G1523" s="7"/>
      <c r="H1523" s="16"/>
      <c r="I1523" s="16"/>
      <c r="J1523" s="16"/>
      <c r="K1523" s="16"/>
      <c r="L1523" s="16"/>
      <c r="M1523" s="16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24"/>
      <c r="AC1523" s="16"/>
      <c r="AD1523" s="16"/>
      <c r="AE1523" s="16"/>
      <c r="AF1523" s="16"/>
      <c r="AG1523" s="14"/>
      <c r="AH1523" s="14"/>
      <c r="AI1523" s="24"/>
      <c r="AJ1523" s="24"/>
      <c r="AK1523" s="24"/>
      <c r="AL1523" s="16"/>
      <c r="AM1523" s="16"/>
      <c r="AN1523" s="16"/>
      <c r="AO1523" s="16"/>
      <c r="AP1523" s="16"/>
      <c r="AQ1523" s="16"/>
      <c r="AR1523" s="16"/>
      <c r="AS1523" s="14"/>
      <c r="AT1523" s="14"/>
      <c r="AU1523" s="14"/>
      <c r="AV1523" s="14"/>
      <c r="AW1523" s="14"/>
      <c r="AX1523" s="14"/>
      <c r="AY1523" s="14"/>
      <c r="AZ1523" s="14"/>
      <c r="BA1523" s="14"/>
      <c r="BB1523" s="7"/>
    </row>
    <row r="1524" spans="7:54" x14ac:dyDescent="0.15">
      <c r="G1524" s="7"/>
      <c r="H1524" s="16"/>
      <c r="I1524" s="16"/>
      <c r="J1524" s="16"/>
      <c r="K1524" s="16"/>
      <c r="L1524" s="16"/>
      <c r="M1524" s="16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24"/>
      <c r="AC1524" s="16"/>
      <c r="AD1524" s="16"/>
      <c r="AE1524" s="16"/>
      <c r="AF1524" s="16"/>
      <c r="AG1524" s="14"/>
      <c r="AH1524" s="14"/>
      <c r="AI1524" s="24"/>
      <c r="AJ1524" s="24"/>
      <c r="AK1524" s="24"/>
      <c r="AL1524" s="16"/>
      <c r="AM1524" s="16"/>
      <c r="AN1524" s="16"/>
      <c r="AO1524" s="16"/>
      <c r="AP1524" s="16"/>
      <c r="AQ1524" s="16"/>
      <c r="AR1524" s="16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7"/>
    </row>
    <row r="1525" spans="7:54" x14ac:dyDescent="0.15">
      <c r="G1525" s="7"/>
      <c r="H1525" s="16"/>
      <c r="I1525" s="16"/>
      <c r="J1525" s="16"/>
      <c r="K1525" s="16"/>
      <c r="L1525" s="16"/>
      <c r="M1525" s="16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24"/>
      <c r="AC1525" s="16"/>
      <c r="AD1525" s="16"/>
      <c r="AE1525" s="16"/>
      <c r="AF1525" s="16"/>
      <c r="AG1525" s="14"/>
      <c r="AH1525" s="14"/>
      <c r="AI1525" s="24"/>
      <c r="AJ1525" s="24"/>
      <c r="AK1525" s="24"/>
      <c r="AL1525" s="16"/>
      <c r="AM1525" s="16"/>
      <c r="AN1525" s="16"/>
      <c r="AO1525" s="16"/>
      <c r="AP1525" s="16"/>
      <c r="AQ1525" s="16"/>
      <c r="AR1525" s="16"/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7"/>
    </row>
    <row r="1526" spans="7:54" x14ac:dyDescent="0.15">
      <c r="G1526" s="7"/>
      <c r="H1526" s="16"/>
      <c r="I1526" s="16"/>
      <c r="J1526" s="16"/>
      <c r="K1526" s="16"/>
      <c r="L1526" s="16"/>
      <c r="M1526" s="16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24"/>
      <c r="AC1526" s="16"/>
      <c r="AD1526" s="16"/>
      <c r="AE1526" s="16"/>
      <c r="AF1526" s="16"/>
      <c r="AG1526" s="14"/>
      <c r="AH1526" s="14"/>
      <c r="AI1526" s="24"/>
      <c r="AJ1526" s="24"/>
      <c r="AK1526" s="24"/>
      <c r="AL1526" s="16"/>
      <c r="AM1526" s="16"/>
      <c r="AN1526" s="16"/>
      <c r="AO1526" s="16"/>
      <c r="AP1526" s="16"/>
      <c r="AQ1526" s="16"/>
      <c r="AR1526" s="16"/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7"/>
    </row>
    <row r="1527" spans="7:54" x14ac:dyDescent="0.15">
      <c r="G1527" s="7"/>
      <c r="H1527" s="16"/>
      <c r="I1527" s="16"/>
      <c r="J1527" s="16"/>
      <c r="K1527" s="16"/>
      <c r="L1527" s="16"/>
      <c r="M1527" s="16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24"/>
      <c r="AC1527" s="16"/>
      <c r="AD1527" s="16"/>
      <c r="AE1527" s="16"/>
      <c r="AF1527" s="16"/>
      <c r="AG1527" s="14"/>
      <c r="AH1527" s="14"/>
      <c r="AI1527" s="24"/>
      <c r="AJ1527" s="24"/>
      <c r="AK1527" s="24"/>
      <c r="AL1527" s="16"/>
      <c r="AM1527" s="16"/>
      <c r="AN1527" s="16"/>
      <c r="AO1527" s="16"/>
      <c r="AP1527" s="16"/>
      <c r="AQ1527" s="16"/>
      <c r="AR1527" s="16"/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7"/>
    </row>
    <row r="1528" spans="7:54" x14ac:dyDescent="0.15">
      <c r="G1528" s="7"/>
      <c r="H1528" s="16"/>
      <c r="I1528" s="16"/>
      <c r="J1528" s="16"/>
      <c r="K1528" s="16"/>
      <c r="L1528" s="16"/>
      <c r="M1528" s="16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24"/>
      <c r="AC1528" s="16"/>
      <c r="AD1528" s="16"/>
      <c r="AE1528" s="16"/>
      <c r="AF1528" s="16"/>
      <c r="AG1528" s="14"/>
      <c r="AH1528" s="14"/>
      <c r="AI1528" s="24"/>
      <c r="AJ1528" s="24"/>
      <c r="AK1528" s="24"/>
      <c r="AL1528" s="16"/>
      <c r="AM1528" s="16"/>
      <c r="AN1528" s="16"/>
      <c r="AO1528" s="16"/>
      <c r="AP1528" s="16"/>
      <c r="AQ1528" s="16"/>
      <c r="AR1528" s="16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7"/>
    </row>
    <row r="1529" spans="7:54" x14ac:dyDescent="0.15">
      <c r="G1529" s="7"/>
      <c r="H1529" s="16"/>
      <c r="I1529" s="16"/>
      <c r="J1529" s="16"/>
      <c r="K1529" s="16"/>
      <c r="L1529" s="16"/>
      <c r="M1529" s="16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24"/>
      <c r="AC1529" s="16"/>
      <c r="AD1529" s="16"/>
      <c r="AE1529" s="16"/>
      <c r="AF1529" s="16"/>
      <c r="AG1529" s="14"/>
      <c r="AH1529" s="14"/>
      <c r="AI1529" s="24"/>
      <c r="AJ1529" s="24"/>
      <c r="AK1529" s="24"/>
      <c r="AL1529" s="16"/>
      <c r="AM1529" s="16"/>
      <c r="AN1529" s="16"/>
      <c r="AO1529" s="16"/>
      <c r="AP1529" s="16"/>
      <c r="AQ1529" s="16"/>
      <c r="AR1529" s="16"/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7"/>
    </row>
    <row r="1530" spans="7:54" x14ac:dyDescent="0.15">
      <c r="G1530" s="7"/>
      <c r="H1530" s="16"/>
      <c r="I1530" s="16"/>
      <c r="J1530" s="16"/>
      <c r="K1530" s="16"/>
      <c r="L1530" s="16"/>
      <c r="M1530" s="16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24"/>
      <c r="AC1530" s="16"/>
      <c r="AD1530" s="16"/>
      <c r="AE1530" s="16"/>
      <c r="AF1530" s="16"/>
      <c r="AG1530" s="14"/>
      <c r="AH1530" s="14"/>
      <c r="AI1530" s="24"/>
      <c r="AJ1530" s="24"/>
      <c r="AK1530" s="24"/>
      <c r="AL1530" s="16"/>
      <c r="AM1530" s="16"/>
      <c r="AN1530" s="16"/>
      <c r="AO1530" s="16"/>
      <c r="AP1530" s="16"/>
      <c r="AQ1530" s="16"/>
      <c r="AR1530" s="16"/>
      <c r="AS1530" s="14"/>
      <c r="AT1530" s="14"/>
      <c r="AU1530" s="14"/>
      <c r="AV1530" s="14"/>
      <c r="AW1530" s="14"/>
      <c r="AX1530" s="14"/>
      <c r="AY1530" s="14"/>
      <c r="AZ1530" s="14"/>
      <c r="BA1530" s="14"/>
      <c r="BB1530" s="7"/>
    </row>
    <row r="1531" spans="7:54" x14ac:dyDescent="0.15">
      <c r="G1531" s="7"/>
      <c r="H1531" s="16"/>
      <c r="I1531" s="16"/>
      <c r="J1531" s="16"/>
      <c r="K1531" s="16"/>
      <c r="L1531" s="16"/>
      <c r="M1531" s="16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24"/>
      <c r="AC1531" s="16"/>
      <c r="AD1531" s="16"/>
      <c r="AE1531" s="16"/>
      <c r="AF1531" s="16"/>
      <c r="AG1531" s="14"/>
      <c r="AH1531" s="14"/>
      <c r="AI1531" s="24"/>
      <c r="AJ1531" s="24"/>
      <c r="AK1531" s="24"/>
      <c r="AL1531" s="16"/>
      <c r="AM1531" s="16"/>
      <c r="AN1531" s="16"/>
      <c r="AO1531" s="16"/>
      <c r="AP1531" s="16"/>
      <c r="AQ1531" s="16"/>
      <c r="AR1531" s="16"/>
      <c r="AS1531" s="14"/>
      <c r="AT1531" s="14"/>
      <c r="AU1531" s="14"/>
      <c r="AV1531" s="14"/>
      <c r="AW1531" s="14"/>
      <c r="AX1531" s="14"/>
      <c r="AY1531" s="14"/>
      <c r="AZ1531" s="14"/>
      <c r="BA1531" s="14"/>
      <c r="BB1531" s="7"/>
    </row>
    <row r="1532" spans="7:54" x14ac:dyDescent="0.15">
      <c r="G1532" s="7"/>
      <c r="H1532" s="16"/>
      <c r="I1532" s="16"/>
      <c r="J1532" s="16"/>
      <c r="K1532" s="16"/>
      <c r="L1532" s="16"/>
      <c r="M1532" s="16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24"/>
      <c r="AC1532" s="16"/>
      <c r="AD1532" s="16"/>
      <c r="AE1532" s="16"/>
      <c r="AF1532" s="16"/>
      <c r="AG1532" s="14"/>
      <c r="AH1532" s="14"/>
      <c r="AI1532" s="24"/>
      <c r="AJ1532" s="24"/>
      <c r="AK1532" s="24"/>
      <c r="AL1532" s="16"/>
      <c r="AM1532" s="16"/>
      <c r="AN1532" s="16"/>
      <c r="AO1532" s="16"/>
      <c r="AP1532" s="16"/>
      <c r="AQ1532" s="16"/>
      <c r="AR1532" s="16"/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7"/>
    </row>
    <row r="1533" spans="7:54" x14ac:dyDescent="0.15">
      <c r="G1533" s="7"/>
      <c r="H1533" s="16"/>
      <c r="I1533" s="16"/>
      <c r="J1533" s="16"/>
      <c r="K1533" s="16"/>
      <c r="L1533" s="16"/>
      <c r="M1533" s="16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24"/>
      <c r="AC1533" s="16"/>
      <c r="AD1533" s="16"/>
      <c r="AE1533" s="16"/>
      <c r="AF1533" s="16"/>
      <c r="AG1533" s="14"/>
      <c r="AH1533" s="14"/>
      <c r="AI1533" s="24"/>
      <c r="AJ1533" s="24"/>
      <c r="AK1533" s="24"/>
      <c r="AL1533" s="16"/>
      <c r="AM1533" s="16"/>
      <c r="AN1533" s="16"/>
      <c r="AO1533" s="16"/>
      <c r="AP1533" s="16"/>
      <c r="AQ1533" s="16"/>
      <c r="AR1533" s="16"/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7"/>
    </row>
    <row r="1534" spans="7:54" x14ac:dyDescent="0.15">
      <c r="G1534" s="7"/>
      <c r="H1534" s="16"/>
      <c r="I1534" s="16"/>
      <c r="J1534" s="16"/>
      <c r="K1534" s="16"/>
      <c r="L1534" s="16"/>
      <c r="M1534" s="16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24"/>
      <c r="AC1534" s="16"/>
      <c r="AD1534" s="16"/>
      <c r="AE1534" s="16"/>
      <c r="AF1534" s="16"/>
      <c r="AG1534" s="14"/>
      <c r="AH1534" s="14"/>
      <c r="AI1534" s="24"/>
      <c r="AJ1534" s="24"/>
      <c r="AK1534" s="24"/>
      <c r="AL1534" s="16"/>
      <c r="AM1534" s="16"/>
      <c r="AN1534" s="16"/>
      <c r="AO1534" s="16"/>
      <c r="AP1534" s="16"/>
      <c r="AQ1534" s="16"/>
      <c r="AR1534" s="16"/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7"/>
    </row>
    <row r="1535" spans="7:54" x14ac:dyDescent="0.15">
      <c r="G1535" s="7"/>
      <c r="H1535" s="16"/>
      <c r="I1535" s="16"/>
      <c r="J1535" s="16"/>
      <c r="K1535" s="16"/>
      <c r="L1535" s="16"/>
      <c r="M1535" s="16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24"/>
      <c r="AC1535" s="16"/>
      <c r="AD1535" s="16"/>
      <c r="AE1535" s="16"/>
      <c r="AF1535" s="16"/>
      <c r="AG1535" s="14"/>
      <c r="AH1535" s="14"/>
      <c r="AI1535" s="24"/>
      <c r="AJ1535" s="24"/>
      <c r="AK1535" s="24"/>
      <c r="AL1535" s="16"/>
      <c r="AM1535" s="16"/>
      <c r="AN1535" s="16"/>
      <c r="AO1535" s="16"/>
      <c r="AP1535" s="16"/>
      <c r="AQ1535" s="16"/>
      <c r="AR1535" s="16"/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7"/>
    </row>
    <row r="1536" spans="7:54" x14ac:dyDescent="0.15">
      <c r="G1536" s="7"/>
      <c r="H1536" s="16"/>
      <c r="I1536" s="16"/>
      <c r="J1536" s="16"/>
      <c r="K1536" s="16"/>
      <c r="L1536" s="16"/>
      <c r="M1536" s="16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24"/>
      <c r="AC1536" s="16"/>
      <c r="AD1536" s="16"/>
      <c r="AE1536" s="16"/>
      <c r="AF1536" s="16"/>
      <c r="AG1536" s="14"/>
      <c r="AH1536" s="14"/>
      <c r="AI1536" s="24"/>
      <c r="AJ1536" s="24"/>
      <c r="AK1536" s="24"/>
      <c r="AL1536" s="16"/>
      <c r="AM1536" s="16"/>
      <c r="AN1536" s="16"/>
      <c r="AO1536" s="16"/>
      <c r="AP1536" s="16"/>
      <c r="AQ1536" s="16"/>
      <c r="AR1536" s="16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7"/>
    </row>
    <row r="1537" spans="7:54" x14ac:dyDescent="0.15">
      <c r="G1537" s="7"/>
      <c r="H1537" s="16"/>
      <c r="I1537" s="16"/>
      <c r="J1537" s="16"/>
      <c r="K1537" s="16"/>
      <c r="L1537" s="16"/>
      <c r="M1537" s="16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24"/>
      <c r="AC1537" s="16"/>
      <c r="AD1537" s="16"/>
      <c r="AE1537" s="16"/>
      <c r="AF1537" s="16"/>
      <c r="AG1537" s="14"/>
      <c r="AH1537" s="14"/>
      <c r="AI1537" s="24"/>
      <c r="AJ1537" s="24"/>
      <c r="AK1537" s="24"/>
      <c r="AL1537" s="16"/>
      <c r="AM1537" s="16"/>
      <c r="AN1537" s="16"/>
      <c r="AO1537" s="16"/>
      <c r="AP1537" s="16"/>
      <c r="AQ1537" s="16"/>
      <c r="AR1537" s="16"/>
      <c r="AS1537" s="14"/>
      <c r="AT1537" s="14"/>
      <c r="AU1537" s="14"/>
      <c r="AV1537" s="14"/>
      <c r="AW1537" s="14"/>
      <c r="AX1537" s="14"/>
      <c r="AY1537" s="14"/>
      <c r="AZ1537" s="14"/>
      <c r="BA1537" s="14"/>
      <c r="BB1537" s="7"/>
    </row>
    <row r="1538" spans="7:54" x14ac:dyDescent="0.15">
      <c r="G1538" s="7"/>
      <c r="H1538" s="16"/>
      <c r="I1538" s="16"/>
      <c r="J1538" s="16"/>
      <c r="K1538" s="16"/>
      <c r="L1538" s="16"/>
      <c r="M1538" s="16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24"/>
      <c r="AC1538" s="16"/>
      <c r="AD1538" s="16"/>
      <c r="AE1538" s="16"/>
      <c r="AF1538" s="16"/>
      <c r="AG1538" s="14"/>
      <c r="AH1538" s="14"/>
      <c r="AI1538" s="24"/>
      <c r="AJ1538" s="24"/>
      <c r="AK1538" s="24"/>
      <c r="AL1538" s="16"/>
      <c r="AM1538" s="16"/>
      <c r="AN1538" s="16"/>
      <c r="AO1538" s="16"/>
      <c r="AP1538" s="16"/>
      <c r="AQ1538" s="16"/>
      <c r="AR1538" s="16"/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7"/>
    </row>
    <row r="1539" spans="7:54" x14ac:dyDescent="0.15">
      <c r="G1539" s="7"/>
      <c r="H1539" s="16"/>
      <c r="I1539" s="16"/>
      <c r="J1539" s="16"/>
      <c r="K1539" s="16"/>
      <c r="L1539" s="16"/>
      <c r="M1539" s="16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24"/>
      <c r="AC1539" s="16"/>
      <c r="AD1539" s="16"/>
      <c r="AE1539" s="16"/>
      <c r="AF1539" s="16"/>
      <c r="AG1539" s="14"/>
      <c r="AH1539" s="14"/>
      <c r="AI1539" s="24"/>
      <c r="AJ1539" s="24"/>
      <c r="AK1539" s="24"/>
      <c r="AL1539" s="16"/>
      <c r="AM1539" s="16"/>
      <c r="AN1539" s="16"/>
      <c r="AO1539" s="16"/>
      <c r="AP1539" s="16"/>
      <c r="AQ1539" s="16"/>
      <c r="AR1539" s="16"/>
      <c r="AS1539" s="14"/>
      <c r="AT1539" s="14"/>
      <c r="AU1539" s="14"/>
      <c r="AV1539" s="14"/>
      <c r="AW1539" s="14"/>
      <c r="AX1539" s="14"/>
      <c r="AY1539" s="14"/>
      <c r="AZ1539" s="14"/>
      <c r="BA1539" s="14"/>
      <c r="BB1539" s="7"/>
    </row>
    <row r="1540" spans="7:54" x14ac:dyDescent="0.15">
      <c r="G1540" s="7"/>
      <c r="H1540" s="16"/>
      <c r="I1540" s="16"/>
      <c r="J1540" s="16"/>
      <c r="K1540" s="16"/>
      <c r="L1540" s="16"/>
      <c r="M1540" s="16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24"/>
      <c r="AC1540" s="16"/>
      <c r="AD1540" s="16"/>
      <c r="AE1540" s="16"/>
      <c r="AF1540" s="16"/>
      <c r="AG1540" s="14"/>
      <c r="AH1540" s="14"/>
      <c r="AI1540" s="24"/>
      <c r="AJ1540" s="24"/>
      <c r="AK1540" s="24"/>
      <c r="AL1540" s="16"/>
      <c r="AM1540" s="16"/>
      <c r="AN1540" s="16"/>
      <c r="AO1540" s="16"/>
      <c r="AP1540" s="16"/>
      <c r="AQ1540" s="16"/>
      <c r="AR1540" s="16"/>
      <c r="AS1540" s="14"/>
      <c r="AT1540" s="14"/>
      <c r="AU1540" s="14"/>
      <c r="AV1540" s="14"/>
      <c r="AW1540" s="14"/>
      <c r="AX1540" s="14"/>
      <c r="AY1540" s="14"/>
      <c r="AZ1540" s="14"/>
      <c r="BA1540" s="14"/>
      <c r="BB1540" s="7"/>
    </row>
    <row r="1541" spans="7:54" x14ac:dyDescent="0.15">
      <c r="G1541" s="7"/>
      <c r="H1541" s="16"/>
      <c r="I1541" s="16"/>
      <c r="J1541" s="16"/>
      <c r="K1541" s="16"/>
      <c r="L1541" s="16"/>
      <c r="M1541" s="16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24"/>
      <c r="AC1541" s="16"/>
      <c r="AD1541" s="16"/>
      <c r="AE1541" s="16"/>
      <c r="AF1541" s="16"/>
      <c r="AG1541" s="14"/>
      <c r="AH1541" s="14"/>
      <c r="AI1541" s="24"/>
      <c r="AJ1541" s="24"/>
      <c r="AK1541" s="24"/>
      <c r="AL1541" s="16"/>
      <c r="AM1541" s="16"/>
      <c r="AN1541" s="16"/>
      <c r="AO1541" s="16"/>
      <c r="AP1541" s="16"/>
      <c r="AQ1541" s="16"/>
      <c r="AR1541" s="16"/>
      <c r="AS1541" s="14"/>
      <c r="AT1541" s="14"/>
      <c r="AU1541" s="14"/>
      <c r="AV1541" s="14"/>
      <c r="AW1541" s="14"/>
      <c r="AX1541" s="14"/>
      <c r="AY1541" s="14"/>
      <c r="AZ1541" s="14"/>
      <c r="BA1541" s="14"/>
      <c r="BB1541" s="7"/>
    </row>
    <row r="1542" spans="7:54" x14ac:dyDescent="0.15">
      <c r="G1542" s="7"/>
      <c r="H1542" s="16"/>
      <c r="I1542" s="16"/>
      <c r="J1542" s="16"/>
      <c r="K1542" s="16"/>
      <c r="L1542" s="16"/>
      <c r="M1542" s="16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24"/>
      <c r="AC1542" s="16"/>
      <c r="AD1542" s="16"/>
      <c r="AE1542" s="16"/>
      <c r="AF1542" s="16"/>
      <c r="AG1542" s="14"/>
      <c r="AH1542" s="14"/>
      <c r="AI1542" s="24"/>
      <c r="AJ1542" s="24"/>
      <c r="AK1542" s="24"/>
      <c r="AL1542" s="16"/>
      <c r="AM1542" s="16"/>
      <c r="AN1542" s="16"/>
      <c r="AO1542" s="16"/>
      <c r="AP1542" s="16"/>
      <c r="AQ1542" s="16"/>
      <c r="AR1542" s="16"/>
      <c r="AS1542" s="14"/>
      <c r="AT1542" s="14"/>
      <c r="AU1542" s="14"/>
      <c r="AV1542" s="14"/>
      <c r="AW1542" s="14"/>
      <c r="AX1542" s="14"/>
      <c r="AY1542" s="14"/>
      <c r="AZ1542" s="14"/>
      <c r="BA1542" s="14"/>
      <c r="BB1542" s="7"/>
    </row>
    <row r="1543" spans="7:54" x14ac:dyDescent="0.15">
      <c r="G1543" s="7"/>
      <c r="H1543" s="16"/>
      <c r="I1543" s="16"/>
      <c r="J1543" s="16"/>
      <c r="K1543" s="16"/>
      <c r="L1543" s="16"/>
      <c r="M1543" s="16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24"/>
      <c r="AC1543" s="16"/>
      <c r="AD1543" s="16"/>
      <c r="AE1543" s="16"/>
      <c r="AF1543" s="16"/>
      <c r="AG1543" s="14"/>
      <c r="AH1543" s="14"/>
      <c r="AI1543" s="24"/>
      <c r="AJ1543" s="24"/>
      <c r="AK1543" s="24"/>
      <c r="AL1543" s="16"/>
      <c r="AM1543" s="16"/>
      <c r="AN1543" s="16"/>
      <c r="AO1543" s="16"/>
      <c r="AP1543" s="16"/>
      <c r="AQ1543" s="16"/>
      <c r="AR1543" s="16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7"/>
    </row>
    <row r="1544" spans="7:54" x14ac:dyDescent="0.15">
      <c r="G1544" s="7"/>
      <c r="H1544" s="16"/>
      <c r="I1544" s="16"/>
      <c r="J1544" s="16"/>
      <c r="K1544" s="16"/>
      <c r="L1544" s="16"/>
      <c r="M1544" s="16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24"/>
      <c r="AC1544" s="16"/>
      <c r="AD1544" s="16"/>
      <c r="AE1544" s="16"/>
      <c r="AF1544" s="16"/>
      <c r="AG1544" s="14"/>
      <c r="AH1544" s="14"/>
      <c r="AI1544" s="24"/>
      <c r="AJ1544" s="24"/>
      <c r="AK1544" s="24"/>
      <c r="AL1544" s="16"/>
      <c r="AM1544" s="16"/>
      <c r="AN1544" s="16"/>
      <c r="AO1544" s="16"/>
      <c r="AP1544" s="16"/>
      <c r="AQ1544" s="16"/>
      <c r="AR1544" s="16"/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7"/>
    </row>
    <row r="1545" spans="7:54" x14ac:dyDescent="0.15">
      <c r="G1545" s="7"/>
      <c r="H1545" s="16"/>
      <c r="I1545" s="16"/>
      <c r="J1545" s="16"/>
      <c r="K1545" s="16"/>
      <c r="L1545" s="16"/>
      <c r="M1545" s="16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24"/>
      <c r="AC1545" s="16"/>
      <c r="AD1545" s="16"/>
      <c r="AE1545" s="16"/>
      <c r="AF1545" s="16"/>
      <c r="AG1545" s="14"/>
      <c r="AH1545" s="14"/>
      <c r="AI1545" s="24"/>
      <c r="AJ1545" s="24"/>
      <c r="AK1545" s="24"/>
      <c r="AL1545" s="16"/>
      <c r="AM1545" s="16"/>
      <c r="AN1545" s="16"/>
      <c r="AO1545" s="16"/>
      <c r="AP1545" s="16"/>
      <c r="AQ1545" s="16"/>
      <c r="AR1545" s="16"/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7"/>
    </row>
    <row r="1546" spans="7:54" x14ac:dyDescent="0.15">
      <c r="G1546" s="7"/>
      <c r="H1546" s="16"/>
      <c r="I1546" s="16"/>
      <c r="J1546" s="16"/>
      <c r="K1546" s="16"/>
      <c r="L1546" s="16"/>
      <c r="M1546" s="16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24"/>
      <c r="AC1546" s="16"/>
      <c r="AD1546" s="16"/>
      <c r="AE1546" s="16"/>
      <c r="AF1546" s="16"/>
      <c r="AG1546" s="14"/>
      <c r="AH1546" s="14"/>
      <c r="AI1546" s="24"/>
      <c r="AJ1546" s="24"/>
      <c r="AK1546" s="24"/>
      <c r="AL1546" s="16"/>
      <c r="AM1546" s="16"/>
      <c r="AN1546" s="16"/>
      <c r="AO1546" s="16"/>
      <c r="AP1546" s="16"/>
      <c r="AQ1546" s="16"/>
      <c r="AR1546" s="16"/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7"/>
    </row>
    <row r="1547" spans="7:54" x14ac:dyDescent="0.15">
      <c r="G1547" s="7"/>
      <c r="H1547" s="16"/>
      <c r="I1547" s="16"/>
      <c r="J1547" s="16"/>
      <c r="K1547" s="16"/>
      <c r="L1547" s="16"/>
      <c r="M1547" s="16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24"/>
      <c r="AC1547" s="16"/>
      <c r="AD1547" s="16"/>
      <c r="AE1547" s="16"/>
      <c r="AF1547" s="16"/>
      <c r="AG1547" s="14"/>
      <c r="AH1547" s="14"/>
      <c r="AI1547" s="24"/>
      <c r="AJ1547" s="24"/>
      <c r="AK1547" s="24"/>
      <c r="AL1547" s="16"/>
      <c r="AM1547" s="16"/>
      <c r="AN1547" s="16"/>
      <c r="AO1547" s="16"/>
      <c r="AP1547" s="16"/>
      <c r="AQ1547" s="16"/>
      <c r="AR1547" s="16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7"/>
    </row>
    <row r="1548" spans="7:54" x14ac:dyDescent="0.15">
      <c r="G1548" s="7"/>
      <c r="H1548" s="16"/>
      <c r="I1548" s="16"/>
      <c r="J1548" s="16"/>
      <c r="K1548" s="16"/>
      <c r="L1548" s="16"/>
      <c r="M1548" s="16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24"/>
      <c r="AC1548" s="16"/>
      <c r="AD1548" s="16"/>
      <c r="AE1548" s="16"/>
      <c r="AF1548" s="16"/>
      <c r="AG1548" s="14"/>
      <c r="AH1548" s="14"/>
      <c r="AI1548" s="24"/>
      <c r="AJ1548" s="24"/>
      <c r="AK1548" s="24"/>
      <c r="AL1548" s="16"/>
      <c r="AM1548" s="16"/>
      <c r="AN1548" s="16"/>
      <c r="AO1548" s="16"/>
      <c r="AP1548" s="16"/>
      <c r="AQ1548" s="16"/>
      <c r="AR1548" s="16"/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7"/>
    </row>
    <row r="1549" spans="7:54" x14ac:dyDescent="0.15">
      <c r="G1549" s="7"/>
      <c r="H1549" s="16"/>
      <c r="I1549" s="16"/>
      <c r="J1549" s="16"/>
      <c r="K1549" s="16"/>
      <c r="L1549" s="16"/>
      <c r="M1549" s="16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24"/>
      <c r="AC1549" s="16"/>
      <c r="AD1549" s="16"/>
      <c r="AE1549" s="16"/>
      <c r="AF1549" s="16"/>
      <c r="AG1549" s="14"/>
      <c r="AH1549" s="14"/>
      <c r="AI1549" s="24"/>
      <c r="AJ1549" s="24"/>
      <c r="AK1549" s="24"/>
      <c r="AL1549" s="16"/>
      <c r="AM1549" s="16"/>
      <c r="AN1549" s="16"/>
      <c r="AO1549" s="16"/>
      <c r="AP1549" s="16"/>
      <c r="AQ1549" s="16"/>
      <c r="AR1549" s="16"/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7"/>
    </row>
    <row r="1550" spans="7:54" x14ac:dyDescent="0.15">
      <c r="G1550" s="7"/>
      <c r="H1550" s="16"/>
      <c r="I1550" s="16"/>
      <c r="J1550" s="16"/>
      <c r="K1550" s="16"/>
      <c r="L1550" s="16"/>
      <c r="M1550" s="16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24"/>
      <c r="AC1550" s="16"/>
      <c r="AD1550" s="16"/>
      <c r="AE1550" s="16"/>
      <c r="AF1550" s="16"/>
      <c r="AG1550" s="14"/>
      <c r="AH1550" s="14"/>
      <c r="AI1550" s="24"/>
      <c r="AJ1550" s="24"/>
      <c r="AK1550" s="24"/>
      <c r="AL1550" s="16"/>
      <c r="AM1550" s="16"/>
      <c r="AN1550" s="16"/>
      <c r="AO1550" s="16"/>
      <c r="AP1550" s="16"/>
      <c r="AQ1550" s="16"/>
      <c r="AR1550" s="16"/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7"/>
    </row>
    <row r="1551" spans="7:54" x14ac:dyDescent="0.15">
      <c r="G1551" s="7"/>
      <c r="H1551" s="16"/>
      <c r="I1551" s="16"/>
      <c r="J1551" s="16"/>
      <c r="K1551" s="16"/>
      <c r="L1551" s="16"/>
      <c r="M1551" s="16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24"/>
      <c r="AC1551" s="16"/>
      <c r="AD1551" s="16"/>
      <c r="AE1551" s="16"/>
      <c r="AF1551" s="16"/>
      <c r="AG1551" s="14"/>
      <c r="AH1551" s="14"/>
      <c r="AI1551" s="24"/>
      <c r="AJ1551" s="24"/>
      <c r="AK1551" s="24"/>
      <c r="AL1551" s="16"/>
      <c r="AM1551" s="16"/>
      <c r="AN1551" s="16"/>
      <c r="AO1551" s="16"/>
      <c r="AP1551" s="16"/>
      <c r="AQ1551" s="16"/>
      <c r="AR1551" s="16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7"/>
    </row>
    <row r="1552" spans="7:54" x14ac:dyDescent="0.15">
      <c r="G1552" s="7"/>
      <c r="H1552" s="16"/>
      <c r="I1552" s="16"/>
      <c r="J1552" s="16"/>
      <c r="K1552" s="16"/>
      <c r="L1552" s="16"/>
      <c r="M1552" s="16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24"/>
      <c r="AC1552" s="16"/>
      <c r="AD1552" s="16"/>
      <c r="AE1552" s="16"/>
      <c r="AF1552" s="16"/>
      <c r="AG1552" s="14"/>
      <c r="AH1552" s="14"/>
      <c r="AI1552" s="24"/>
      <c r="AJ1552" s="24"/>
      <c r="AK1552" s="24"/>
      <c r="AL1552" s="16"/>
      <c r="AM1552" s="16"/>
      <c r="AN1552" s="16"/>
      <c r="AO1552" s="16"/>
      <c r="AP1552" s="16"/>
      <c r="AQ1552" s="16"/>
      <c r="AR1552" s="16"/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7"/>
    </row>
    <row r="1553" spans="7:54" x14ac:dyDescent="0.15">
      <c r="G1553" s="7"/>
      <c r="H1553" s="16"/>
      <c r="I1553" s="16"/>
      <c r="J1553" s="16"/>
      <c r="K1553" s="16"/>
      <c r="L1553" s="16"/>
      <c r="M1553" s="16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24"/>
      <c r="AC1553" s="16"/>
      <c r="AD1553" s="16"/>
      <c r="AE1553" s="16"/>
      <c r="AF1553" s="16"/>
      <c r="AG1553" s="14"/>
      <c r="AH1553" s="14"/>
      <c r="AI1553" s="24"/>
      <c r="AJ1553" s="24"/>
      <c r="AK1553" s="24"/>
      <c r="AL1553" s="16"/>
      <c r="AM1553" s="16"/>
      <c r="AN1553" s="16"/>
      <c r="AO1553" s="16"/>
      <c r="AP1553" s="16"/>
      <c r="AQ1553" s="16"/>
      <c r="AR1553" s="16"/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7"/>
    </row>
    <row r="1554" spans="7:54" x14ac:dyDescent="0.15">
      <c r="G1554" s="7"/>
      <c r="H1554" s="16"/>
      <c r="I1554" s="16"/>
      <c r="J1554" s="16"/>
      <c r="K1554" s="16"/>
      <c r="L1554" s="16"/>
      <c r="M1554" s="16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24"/>
      <c r="AC1554" s="16"/>
      <c r="AD1554" s="16"/>
      <c r="AE1554" s="16"/>
      <c r="AF1554" s="16"/>
      <c r="AG1554" s="14"/>
      <c r="AH1554" s="14"/>
      <c r="AI1554" s="24"/>
      <c r="AJ1554" s="24"/>
      <c r="AK1554" s="24"/>
      <c r="AL1554" s="16"/>
      <c r="AM1554" s="16"/>
      <c r="AN1554" s="16"/>
      <c r="AO1554" s="16"/>
      <c r="AP1554" s="16"/>
      <c r="AQ1554" s="16"/>
      <c r="AR1554" s="16"/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7"/>
    </row>
    <row r="1555" spans="7:54" x14ac:dyDescent="0.15">
      <c r="G1555" s="7"/>
      <c r="H1555" s="16"/>
      <c r="I1555" s="16"/>
      <c r="J1555" s="16"/>
      <c r="K1555" s="16"/>
      <c r="L1555" s="16"/>
      <c r="M1555" s="16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24"/>
      <c r="AC1555" s="16"/>
      <c r="AD1555" s="16"/>
      <c r="AE1555" s="16"/>
      <c r="AF1555" s="16"/>
      <c r="AG1555" s="14"/>
      <c r="AH1555" s="14"/>
      <c r="AI1555" s="24"/>
      <c r="AJ1555" s="24"/>
      <c r="AK1555" s="24"/>
      <c r="AL1555" s="16"/>
      <c r="AM1555" s="16"/>
      <c r="AN1555" s="16"/>
      <c r="AO1555" s="16"/>
      <c r="AP1555" s="16"/>
      <c r="AQ1555" s="16"/>
      <c r="AR1555" s="16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7"/>
    </row>
    <row r="1556" spans="7:54" x14ac:dyDescent="0.15">
      <c r="G1556" s="7"/>
      <c r="H1556" s="16"/>
      <c r="I1556" s="16"/>
      <c r="J1556" s="16"/>
      <c r="K1556" s="16"/>
      <c r="L1556" s="16"/>
      <c r="M1556" s="16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24"/>
      <c r="AC1556" s="16"/>
      <c r="AD1556" s="16"/>
      <c r="AE1556" s="16"/>
      <c r="AF1556" s="16"/>
      <c r="AG1556" s="14"/>
      <c r="AH1556" s="14"/>
      <c r="AI1556" s="24"/>
      <c r="AJ1556" s="24"/>
      <c r="AK1556" s="24"/>
      <c r="AL1556" s="16"/>
      <c r="AM1556" s="16"/>
      <c r="AN1556" s="16"/>
      <c r="AO1556" s="16"/>
      <c r="AP1556" s="16"/>
      <c r="AQ1556" s="16"/>
      <c r="AR1556" s="16"/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7"/>
    </row>
    <row r="1557" spans="7:54" x14ac:dyDescent="0.15">
      <c r="G1557" s="7"/>
      <c r="H1557" s="16"/>
      <c r="I1557" s="16"/>
      <c r="J1557" s="16"/>
      <c r="K1557" s="16"/>
      <c r="L1557" s="16"/>
      <c r="M1557" s="16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24"/>
      <c r="AC1557" s="16"/>
      <c r="AD1557" s="16"/>
      <c r="AE1557" s="16"/>
      <c r="AF1557" s="16"/>
      <c r="AG1557" s="14"/>
      <c r="AH1557" s="14"/>
      <c r="AI1557" s="24"/>
      <c r="AJ1557" s="24"/>
      <c r="AK1557" s="24"/>
      <c r="AL1557" s="16"/>
      <c r="AM1557" s="16"/>
      <c r="AN1557" s="16"/>
      <c r="AO1557" s="16"/>
      <c r="AP1557" s="16"/>
      <c r="AQ1557" s="16"/>
      <c r="AR1557" s="16"/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7"/>
    </row>
    <row r="1558" spans="7:54" x14ac:dyDescent="0.15">
      <c r="G1558" s="7"/>
      <c r="H1558" s="16"/>
      <c r="I1558" s="16"/>
      <c r="J1558" s="16"/>
      <c r="K1558" s="16"/>
      <c r="L1558" s="16"/>
      <c r="M1558" s="16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24"/>
      <c r="AC1558" s="16"/>
      <c r="AD1558" s="16"/>
      <c r="AE1558" s="16"/>
      <c r="AF1558" s="16"/>
      <c r="AG1558" s="14"/>
      <c r="AH1558" s="14"/>
      <c r="AI1558" s="24"/>
      <c r="AJ1558" s="24"/>
      <c r="AK1558" s="24"/>
      <c r="AL1558" s="16"/>
      <c r="AM1558" s="16"/>
      <c r="AN1558" s="16"/>
      <c r="AO1558" s="16"/>
      <c r="AP1558" s="16"/>
      <c r="AQ1558" s="16"/>
      <c r="AR1558" s="16"/>
      <c r="AS1558" s="14"/>
      <c r="AT1558" s="14"/>
      <c r="AU1558" s="14"/>
      <c r="AV1558" s="14"/>
      <c r="AW1558" s="14"/>
      <c r="AX1558" s="14"/>
      <c r="AY1558" s="14"/>
      <c r="AZ1558" s="14"/>
      <c r="BA1558" s="14"/>
      <c r="BB1558" s="7"/>
    </row>
    <row r="1559" spans="7:54" x14ac:dyDescent="0.15">
      <c r="G1559" s="7"/>
      <c r="H1559" s="16"/>
      <c r="I1559" s="16"/>
      <c r="J1559" s="16"/>
      <c r="K1559" s="16"/>
      <c r="L1559" s="16"/>
      <c r="M1559" s="16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24"/>
      <c r="AC1559" s="16"/>
      <c r="AD1559" s="16"/>
      <c r="AE1559" s="16"/>
      <c r="AF1559" s="16"/>
      <c r="AG1559" s="14"/>
      <c r="AH1559" s="14"/>
      <c r="AI1559" s="24"/>
      <c r="AJ1559" s="24"/>
      <c r="AK1559" s="24"/>
      <c r="AL1559" s="16"/>
      <c r="AM1559" s="16"/>
      <c r="AN1559" s="16"/>
      <c r="AO1559" s="16"/>
      <c r="AP1559" s="16"/>
      <c r="AQ1559" s="16"/>
      <c r="AR1559" s="16"/>
      <c r="AS1559" s="14"/>
      <c r="AT1559" s="14"/>
      <c r="AU1559" s="14"/>
      <c r="AV1559" s="14"/>
      <c r="AW1559" s="14"/>
      <c r="AX1559" s="14"/>
      <c r="AY1559" s="14"/>
      <c r="AZ1559" s="14"/>
      <c r="BA1559" s="14"/>
      <c r="BB1559" s="7"/>
    </row>
    <row r="1560" spans="7:54" x14ac:dyDescent="0.15">
      <c r="G1560" s="7"/>
      <c r="H1560" s="16"/>
      <c r="I1560" s="16"/>
      <c r="J1560" s="16"/>
      <c r="K1560" s="16"/>
      <c r="L1560" s="16"/>
      <c r="M1560" s="16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24"/>
      <c r="AC1560" s="16"/>
      <c r="AD1560" s="16"/>
      <c r="AE1560" s="16"/>
      <c r="AF1560" s="16"/>
      <c r="AG1560" s="14"/>
      <c r="AH1560" s="14"/>
      <c r="AI1560" s="24"/>
      <c r="AJ1560" s="24"/>
      <c r="AK1560" s="24"/>
      <c r="AL1560" s="16"/>
      <c r="AM1560" s="16"/>
      <c r="AN1560" s="16"/>
      <c r="AO1560" s="16"/>
      <c r="AP1560" s="16"/>
      <c r="AQ1560" s="16"/>
      <c r="AR1560" s="16"/>
      <c r="AS1560" s="14"/>
      <c r="AT1560" s="14"/>
      <c r="AU1560" s="14"/>
      <c r="AV1560" s="14"/>
      <c r="AW1560" s="14"/>
      <c r="AX1560" s="14"/>
      <c r="AY1560" s="14"/>
      <c r="AZ1560" s="14"/>
      <c r="BA1560" s="14"/>
      <c r="BB1560" s="7"/>
    </row>
    <row r="1561" spans="7:54" x14ac:dyDescent="0.15">
      <c r="G1561" s="7"/>
      <c r="H1561" s="16"/>
      <c r="I1561" s="16"/>
      <c r="J1561" s="16"/>
      <c r="K1561" s="16"/>
      <c r="L1561" s="16"/>
      <c r="M1561" s="16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24"/>
      <c r="AC1561" s="16"/>
      <c r="AD1561" s="16"/>
      <c r="AE1561" s="16"/>
      <c r="AF1561" s="16"/>
      <c r="AG1561" s="14"/>
      <c r="AH1561" s="14"/>
      <c r="AI1561" s="24"/>
      <c r="AJ1561" s="24"/>
      <c r="AK1561" s="24"/>
      <c r="AL1561" s="16"/>
      <c r="AM1561" s="16"/>
      <c r="AN1561" s="16"/>
      <c r="AO1561" s="16"/>
      <c r="AP1561" s="16"/>
      <c r="AQ1561" s="16"/>
      <c r="AR1561" s="16"/>
      <c r="AS1561" s="14"/>
      <c r="AT1561" s="14"/>
      <c r="AU1561" s="14"/>
      <c r="AV1561" s="14"/>
      <c r="AW1561" s="14"/>
      <c r="AX1561" s="14"/>
      <c r="AY1561" s="14"/>
      <c r="AZ1561" s="14"/>
      <c r="BA1561" s="14"/>
      <c r="BB1561" s="7"/>
    </row>
    <row r="1562" spans="7:54" x14ac:dyDescent="0.15">
      <c r="G1562" s="7"/>
      <c r="H1562" s="16"/>
      <c r="I1562" s="16"/>
      <c r="J1562" s="16"/>
      <c r="K1562" s="16"/>
      <c r="L1562" s="16"/>
      <c r="M1562" s="16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24"/>
      <c r="AC1562" s="16"/>
      <c r="AD1562" s="16"/>
      <c r="AE1562" s="16"/>
      <c r="AF1562" s="16"/>
      <c r="AG1562" s="14"/>
      <c r="AH1562" s="14"/>
      <c r="AI1562" s="24"/>
      <c r="AJ1562" s="24"/>
      <c r="AK1562" s="24"/>
      <c r="AL1562" s="16"/>
      <c r="AM1562" s="16"/>
      <c r="AN1562" s="16"/>
      <c r="AO1562" s="16"/>
      <c r="AP1562" s="16"/>
      <c r="AQ1562" s="16"/>
      <c r="AR1562" s="16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7"/>
    </row>
    <row r="1563" spans="7:54" x14ac:dyDescent="0.15">
      <c r="G1563" s="7"/>
      <c r="H1563" s="16"/>
      <c r="I1563" s="16"/>
      <c r="J1563" s="16"/>
      <c r="K1563" s="16"/>
      <c r="L1563" s="16"/>
      <c r="M1563" s="16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24"/>
      <c r="AC1563" s="16"/>
      <c r="AD1563" s="16"/>
      <c r="AE1563" s="16"/>
      <c r="AF1563" s="16"/>
      <c r="AG1563" s="14"/>
      <c r="AH1563" s="14"/>
      <c r="AI1563" s="24"/>
      <c r="AJ1563" s="24"/>
      <c r="AK1563" s="24"/>
      <c r="AL1563" s="16"/>
      <c r="AM1563" s="16"/>
      <c r="AN1563" s="16"/>
      <c r="AO1563" s="16"/>
      <c r="AP1563" s="16"/>
      <c r="AQ1563" s="16"/>
      <c r="AR1563" s="16"/>
      <c r="AS1563" s="14"/>
      <c r="AT1563" s="14"/>
      <c r="AU1563" s="14"/>
      <c r="AV1563" s="14"/>
      <c r="AW1563" s="14"/>
      <c r="AX1563" s="14"/>
      <c r="AY1563" s="14"/>
      <c r="AZ1563" s="14"/>
      <c r="BA1563" s="14"/>
      <c r="BB1563" s="7"/>
    </row>
    <row r="1564" spans="7:54" x14ac:dyDescent="0.15">
      <c r="G1564" s="7"/>
      <c r="H1564" s="16"/>
      <c r="I1564" s="16"/>
      <c r="J1564" s="16"/>
      <c r="K1564" s="16"/>
      <c r="L1564" s="16"/>
      <c r="M1564" s="16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24"/>
      <c r="AC1564" s="16"/>
      <c r="AD1564" s="16"/>
      <c r="AE1564" s="16"/>
      <c r="AF1564" s="16"/>
      <c r="AG1564" s="14"/>
      <c r="AH1564" s="14"/>
      <c r="AI1564" s="24"/>
      <c r="AJ1564" s="24"/>
      <c r="AK1564" s="24"/>
      <c r="AL1564" s="16"/>
      <c r="AM1564" s="16"/>
      <c r="AN1564" s="16"/>
      <c r="AO1564" s="16"/>
      <c r="AP1564" s="16"/>
      <c r="AQ1564" s="16"/>
      <c r="AR1564" s="16"/>
      <c r="AS1564" s="14"/>
      <c r="AT1564" s="14"/>
      <c r="AU1564" s="14"/>
      <c r="AV1564" s="14"/>
      <c r="AW1564" s="14"/>
      <c r="AX1564" s="14"/>
      <c r="AY1564" s="14"/>
      <c r="AZ1564" s="14"/>
      <c r="BA1564" s="14"/>
      <c r="BB1564" s="7"/>
    </row>
    <row r="1565" spans="7:54" x14ac:dyDescent="0.15">
      <c r="G1565" s="7"/>
      <c r="H1565" s="16"/>
      <c r="I1565" s="16"/>
      <c r="J1565" s="16"/>
      <c r="K1565" s="16"/>
      <c r="L1565" s="16"/>
      <c r="M1565" s="16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24"/>
      <c r="AC1565" s="16"/>
      <c r="AD1565" s="16"/>
      <c r="AE1565" s="16"/>
      <c r="AF1565" s="16"/>
      <c r="AG1565" s="14"/>
      <c r="AH1565" s="14"/>
      <c r="AI1565" s="24"/>
      <c r="AJ1565" s="24"/>
      <c r="AK1565" s="24"/>
      <c r="AL1565" s="16"/>
      <c r="AM1565" s="16"/>
      <c r="AN1565" s="16"/>
      <c r="AO1565" s="16"/>
      <c r="AP1565" s="16"/>
      <c r="AQ1565" s="16"/>
      <c r="AR1565" s="16"/>
      <c r="AS1565" s="14"/>
      <c r="AT1565" s="14"/>
      <c r="AU1565" s="14"/>
      <c r="AV1565" s="14"/>
      <c r="AW1565" s="14"/>
      <c r="AX1565" s="14"/>
      <c r="AY1565" s="14"/>
      <c r="AZ1565" s="14"/>
      <c r="BA1565" s="14"/>
      <c r="BB1565" s="7"/>
    </row>
    <row r="1566" spans="7:54" x14ac:dyDescent="0.15">
      <c r="G1566" s="7"/>
      <c r="H1566" s="16"/>
      <c r="I1566" s="16"/>
      <c r="J1566" s="16"/>
      <c r="K1566" s="16"/>
      <c r="L1566" s="16"/>
      <c r="M1566" s="16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24"/>
      <c r="AC1566" s="16"/>
      <c r="AD1566" s="16"/>
      <c r="AE1566" s="16"/>
      <c r="AF1566" s="16"/>
      <c r="AG1566" s="14"/>
      <c r="AH1566" s="14"/>
      <c r="AI1566" s="24"/>
      <c r="AJ1566" s="24"/>
      <c r="AK1566" s="24"/>
      <c r="AL1566" s="16"/>
      <c r="AM1566" s="16"/>
      <c r="AN1566" s="16"/>
      <c r="AO1566" s="16"/>
      <c r="AP1566" s="16"/>
      <c r="AQ1566" s="16"/>
      <c r="AR1566" s="16"/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7"/>
    </row>
    <row r="1567" spans="7:54" x14ac:dyDescent="0.15">
      <c r="G1567" s="7"/>
      <c r="H1567" s="16"/>
      <c r="I1567" s="16"/>
      <c r="J1567" s="16"/>
      <c r="K1567" s="16"/>
      <c r="L1567" s="16"/>
      <c r="M1567" s="16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24"/>
      <c r="AC1567" s="16"/>
      <c r="AD1567" s="16"/>
      <c r="AE1567" s="16"/>
      <c r="AF1567" s="16"/>
      <c r="AG1567" s="14"/>
      <c r="AH1567" s="14"/>
      <c r="AI1567" s="24"/>
      <c r="AJ1567" s="24"/>
      <c r="AK1567" s="24"/>
      <c r="AL1567" s="16"/>
      <c r="AM1567" s="16"/>
      <c r="AN1567" s="16"/>
      <c r="AO1567" s="16"/>
      <c r="AP1567" s="16"/>
      <c r="AQ1567" s="16"/>
      <c r="AR1567" s="16"/>
      <c r="AS1567" s="14"/>
      <c r="AT1567" s="14"/>
      <c r="AU1567" s="14"/>
      <c r="AV1567" s="14"/>
      <c r="AW1567" s="14"/>
      <c r="AX1567" s="14"/>
      <c r="AY1567" s="14"/>
      <c r="AZ1567" s="14"/>
      <c r="BA1567" s="14"/>
      <c r="BB1567" s="7"/>
    </row>
    <row r="1568" spans="7:54" x14ac:dyDescent="0.15">
      <c r="G1568" s="7"/>
      <c r="H1568" s="16"/>
      <c r="I1568" s="16"/>
      <c r="J1568" s="16"/>
      <c r="K1568" s="16"/>
      <c r="L1568" s="16"/>
      <c r="M1568" s="16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24"/>
      <c r="AC1568" s="16"/>
      <c r="AD1568" s="16"/>
      <c r="AE1568" s="16"/>
      <c r="AF1568" s="16"/>
      <c r="AG1568" s="14"/>
      <c r="AH1568" s="14"/>
      <c r="AI1568" s="24"/>
      <c r="AJ1568" s="24"/>
      <c r="AK1568" s="24"/>
      <c r="AL1568" s="16"/>
      <c r="AM1568" s="16"/>
      <c r="AN1568" s="16"/>
      <c r="AO1568" s="16"/>
      <c r="AP1568" s="16"/>
      <c r="AQ1568" s="16"/>
      <c r="AR1568" s="16"/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7"/>
    </row>
    <row r="1569" spans="7:54" x14ac:dyDescent="0.15">
      <c r="G1569" s="7"/>
      <c r="H1569" s="16"/>
      <c r="I1569" s="16"/>
      <c r="J1569" s="16"/>
      <c r="K1569" s="16"/>
      <c r="L1569" s="16"/>
      <c r="M1569" s="16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24"/>
      <c r="AC1569" s="16"/>
      <c r="AD1569" s="16"/>
      <c r="AE1569" s="16"/>
      <c r="AF1569" s="16"/>
      <c r="AG1569" s="14"/>
      <c r="AH1569" s="14"/>
      <c r="AI1569" s="24"/>
      <c r="AJ1569" s="24"/>
      <c r="AK1569" s="24"/>
      <c r="AL1569" s="16"/>
      <c r="AM1569" s="16"/>
      <c r="AN1569" s="16"/>
      <c r="AO1569" s="16"/>
      <c r="AP1569" s="16"/>
      <c r="AQ1569" s="16"/>
      <c r="AR1569" s="16"/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7"/>
    </row>
    <row r="1570" spans="7:54" x14ac:dyDescent="0.15">
      <c r="G1570" s="7"/>
      <c r="H1570" s="16"/>
      <c r="I1570" s="16"/>
      <c r="J1570" s="16"/>
      <c r="K1570" s="16"/>
      <c r="L1570" s="16"/>
      <c r="M1570" s="16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24"/>
      <c r="AC1570" s="16"/>
      <c r="AD1570" s="16"/>
      <c r="AE1570" s="16"/>
      <c r="AF1570" s="16"/>
      <c r="AG1570" s="14"/>
      <c r="AH1570" s="14"/>
      <c r="AI1570" s="24"/>
      <c r="AJ1570" s="24"/>
      <c r="AK1570" s="24"/>
      <c r="AL1570" s="16"/>
      <c r="AM1570" s="16"/>
      <c r="AN1570" s="16"/>
      <c r="AO1570" s="16"/>
      <c r="AP1570" s="16"/>
      <c r="AQ1570" s="16"/>
      <c r="AR1570" s="16"/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7"/>
    </row>
    <row r="1571" spans="7:54" x14ac:dyDescent="0.15">
      <c r="G1571" s="7"/>
      <c r="H1571" s="16"/>
      <c r="I1571" s="16"/>
      <c r="J1571" s="16"/>
      <c r="K1571" s="16"/>
      <c r="L1571" s="16"/>
      <c r="M1571" s="16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24"/>
      <c r="AC1571" s="16"/>
      <c r="AD1571" s="16"/>
      <c r="AE1571" s="16"/>
      <c r="AF1571" s="16"/>
      <c r="AG1571" s="14"/>
      <c r="AH1571" s="14"/>
      <c r="AI1571" s="24"/>
      <c r="AJ1571" s="24"/>
      <c r="AK1571" s="24"/>
      <c r="AL1571" s="16"/>
      <c r="AM1571" s="16"/>
      <c r="AN1571" s="16"/>
      <c r="AO1571" s="16"/>
      <c r="AP1571" s="16"/>
      <c r="AQ1571" s="16"/>
      <c r="AR1571" s="16"/>
      <c r="AS1571" s="14"/>
      <c r="AT1571" s="14"/>
      <c r="AU1571" s="14"/>
      <c r="AV1571" s="14"/>
      <c r="AW1571" s="14"/>
      <c r="AX1571" s="14"/>
      <c r="AY1571" s="14"/>
      <c r="AZ1571" s="14"/>
      <c r="BA1571" s="14"/>
      <c r="BB1571" s="7"/>
    </row>
    <row r="1572" spans="7:54" x14ac:dyDescent="0.15">
      <c r="G1572" s="7"/>
      <c r="H1572" s="16"/>
      <c r="I1572" s="16"/>
      <c r="J1572" s="16"/>
      <c r="K1572" s="16"/>
      <c r="L1572" s="16"/>
      <c r="M1572" s="16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24"/>
      <c r="AC1572" s="16"/>
      <c r="AD1572" s="16"/>
      <c r="AE1572" s="16"/>
      <c r="AF1572" s="16"/>
      <c r="AG1572" s="14"/>
      <c r="AH1572" s="14"/>
      <c r="AI1572" s="24"/>
      <c r="AJ1572" s="24"/>
      <c r="AK1572" s="24"/>
      <c r="AL1572" s="16"/>
      <c r="AM1572" s="16"/>
      <c r="AN1572" s="16"/>
      <c r="AO1572" s="16"/>
      <c r="AP1572" s="16"/>
      <c r="AQ1572" s="16"/>
      <c r="AR1572" s="16"/>
      <c r="AS1572" s="14"/>
      <c r="AT1572" s="14"/>
      <c r="AU1572" s="14"/>
      <c r="AV1572" s="14"/>
      <c r="AW1572" s="14"/>
      <c r="AX1572" s="14"/>
      <c r="AY1572" s="14"/>
      <c r="AZ1572" s="14"/>
      <c r="BA1572" s="14"/>
      <c r="BB1572" s="7"/>
    </row>
    <row r="1573" spans="7:54" x14ac:dyDescent="0.15">
      <c r="G1573" s="7"/>
      <c r="H1573" s="16"/>
      <c r="I1573" s="16"/>
      <c r="J1573" s="16"/>
      <c r="K1573" s="16"/>
      <c r="L1573" s="16"/>
      <c r="M1573" s="16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24"/>
      <c r="AC1573" s="16"/>
      <c r="AD1573" s="16"/>
      <c r="AE1573" s="16"/>
      <c r="AF1573" s="16"/>
      <c r="AG1573" s="14"/>
      <c r="AH1573" s="14"/>
      <c r="AI1573" s="24"/>
      <c r="AJ1573" s="24"/>
      <c r="AK1573" s="24"/>
      <c r="AL1573" s="16"/>
      <c r="AM1573" s="16"/>
      <c r="AN1573" s="16"/>
      <c r="AO1573" s="16"/>
      <c r="AP1573" s="16"/>
      <c r="AQ1573" s="16"/>
      <c r="AR1573" s="16"/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7"/>
    </row>
    <row r="1574" spans="7:54" x14ac:dyDescent="0.15">
      <c r="G1574" s="7"/>
      <c r="H1574" s="16"/>
      <c r="I1574" s="16"/>
      <c r="J1574" s="16"/>
      <c r="K1574" s="16"/>
      <c r="L1574" s="16"/>
      <c r="M1574" s="16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24"/>
      <c r="AC1574" s="16"/>
      <c r="AD1574" s="16"/>
      <c r="AE1574" s="16"/>
      <c r="AF1574" s="16"/>
      <c r="AG1574" s="14"/>
      <c r="AH1574" s="14"/>
      <c r="AI1574" s="24"/>
      <c r="AJ1574" s="24"/>
      <c r="AK1574" s="24"/>
      <c r="AL1574" s="16"/>
      <c r="AM1574" s="16"/>
      <c r="AN1574" s="16"/>
      <c r="AO1574" s="16"/>
      <c r="AP1574" s="16"/>
      <c r="AQ1574" s="16"/>
      <c r="AR1574" s="16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7"/>
    </row>
    <row r="1575" spans="7:54" x14ac:dyDescent="0.15">
      <c r="G1575" s="7"/>
      <c r="H1575" s="16"/>
      <c r="I1575" s="16"/>
      <c r="J1575" s="16"/>
      <c r="K1575" s="16"/>
      <c r="L1575" s="16"/>
      <c r="M1575" s="16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24"/>
      <c r="AC1575" s="16"/>
      <c r="AD1575" s="16"/>
      <c r="AE1575" s="16"/>
      <c r="AF1575" s="16"/>
      <c r="AG1575" s="14"/>
      <c r="AH1575" s="14"/>
      <c r="AI1575" s="24"/>
      <c r="AJ1575" s="24"/>
      <c r="AK1575" s="24"/>
      <c r="AL1575" s="16"/>
      <c r="AM1575" s="16"/>
      <c r="AN1575" s="16"/>
      <c r="AO1575" s="16"/>
      <c r="AP1575" s="16"/>
      <c r="AQ1575" s="16"/>
      <c r="AR1575" s="16"/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7"/>
    </row>
    <row r="1576" spans="7:54" x14ac:dyDescent="0.15">
      <c r="G1576" s="7"/>
      <c r="H1576" s="16"/>
      <c r="I1576" s="16"/>
      <c r="J1576" s="16"/>
      <c r="K1576" s="16"/>
      <c r="L1576" s="16"/>
      <c r="M1576" s="16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24"/>
      <c r="AC1576" s="16"/>
      <c r="AD1576" s="16"/>
      <c r="AE1576" s="16"/>
      <c r="AF1576" s="16"/>
      <c r="AG1576" s="14"/>
      <c r="AH1576" s="14"/>
      <c r="AI1576" s="24"/>
      <c r="AJ1576" s="24"/>
      <c r="AK1576" s="24"/>
      <c r="AL1576" s="16"/>
      <c r="AM1576" s="16"/>
      <c r="AN1576" s="16"/>
      <c r="AO1576" s="16"/>
      <c r="AP1576" s="16"/>
      <c r="AQ1576" s="16"/>
      <c r="AR1576" s="16"/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7"/>
    </row>
    <row r="1577" spans="7:54" x14ac:dyDescent="0.15">
      <c r="G1577" s="7"/>
      <c r="H1577" s="16"/>
      <c r="I1577" s="16"/>
      <c r="J1577" s="16"/>
      <c r="K1577" s="16"/>
      <c r="L1577" s="16"/>
      <c r="M1577" s="16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24"/>
      <c r="AC1577" s="16"/>
      <c r="AD1577" s="16"/>
      <c r="AE1577" s="16"/>
      <c r="AF1577" s="16"/>
      <c r="AG1577" s="14"/>
      <c r="AH1577" s="14"/>
      <c r="AI1577" s="24"/>
      <c r="AJ1577" s="24"/>
      <c r="AK1577" s="24"/>
      <c r="AL1577" s="16"/>
      <c r="AM1577" s="16"/>
      <c r="AN1577" s="16"/>
      <c r="AO1577" s="16"/>
      <c r="AP1577" s="16"/>
      <c r="AQ1577" s="16"/>
      <c r="AR1577" s="16"/>
      <c r="AS1577" s="14"/>
      <c r="AT1577" s="14"/>
      <c r="AU1577" s="14"/>
      <c r="AV1577" s="14"/>
      <c r="AW1577" s="14"/>
      <c r="AX1577" s="14"/>
      <c r="AY1577" s="14"/>
      <c r="AZ1577" s="14"/>
      <c r="BA1577" s="14"/>
      <c r="BB1577" s="7"/>
    </row>
    <row r="1578" spans="7:54" x14ac:dyDescent="0.15">
      <c r="G1578" s="7"/>
      <c r="H1578" s="16"/>
      <c r="I1578" s="16"/>
      <c r="J1578" s="16"/>
      <c r="K1578" s="16"/>
      <c r="L1578" s="16"/>
      <c r="M1578" s="16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24"/>
      <c r="AC1578" s="16"/>
      <c r="AD1578" s="16"/>
      <c r="AE1578" s="16"/>
      <c r="AF1578" s="16"/>
      <c r="AG1578" s="14"/>
      <c r="AH1578" s="14"/>
      <c r="AI1578" s="24"/>
      <c r="AJ1578" s="24"/>
      <c r="AK1578" s="24"/>
      <c r="AL1578" s="16"/>
      <c r="AM1578" s="16"/>
      <c r="AN1578" s="16"/>
      <c r="AO1578" s="16"/>
      <c r="AP1578" s="16"/>
      <c r="AQ1578" s="16"/>
      <c r="AR1578" s="16"/>
      <c r="AS1578" s="14"/>
      <c r="AT1578" s="14"/>
      <c r="AU1578" s="14"/>
      <c r="AV1578" s="14"/>
      <c r="AW1578" s="14"/>
      <c r="AX1578" s="14"/>
      <c r="AY1578" s="14"/>
      <c r="AZ1578" s="14"/>
      <c r="BA1578" s="14"/>
      <c r="BB1578" s="7"/>
    </row>
    <row r="1579" spans="7:54" x14ac:dyDescent="0.15">
      <c r="G1579" s="7"/>
      <c r="H1579" s="16"/>
      <c r="I1579" s="16"/>
      <c r="J1579" s="16"/>
      <c r="K1579" s="16"/>
      <c r="L1579" s="16"/>
      <c r="M1579" s="16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24"/>
      <c r="AC1579" s="16"/>
      <c r="AD1579" s="16"/>
      <c r="AE1579" s="16"/>
      <c r="AF1579" s="16"/>
      <c r="AG1579" s="14"/>
      <c r="AH1579" s="14"/>
      <c r="AI1579" s="24"/>
      <c r="AJ1579" s="24"/>
      <c r="AK1579" s="24"/>
      <c r="AL1579" s="16"/>
      <c r="AM1579" s="16"/>
      <c r="AN1579" s="16"/>
      <c r="AO1579" s="16"/>
      <c r="AP1579" s="16"/>
      <c r="AQ1579" s="16"/>
      <c r="AR1579" s="16"/>
      <c r="AS1579" s="14"/>
      <c r="AT1579" s="14"/>
      <c r="AU1579" s="14"/>
      <c r="AV1579" s="14"/>
      <c r="AW1579" s="14"/>
      <c r="AX1579" s="14"/>
      <c r="AY1579" s="14"/>
      <c r="AZ1579" s="14"/>
      <c r="BA1579" s="14"/>
      <c r="BB1579" s="7"/>
    </row>
    <row r="1580" spans="7:54" x14ac:dyDescent="0.15">
      <c r="G1580" s="7"/>
      <c r="H1580" s="16"/>
      <c r="I1580" s="16"/>
      <c r="J1580" s="16"/>
      <c r="K1580" s="16"/>
      <c r="L1580" s="16"/>
      <c r="M1580" s="16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24"/>
      <c r="AC1580" s="16"/>
      <c r="AD1580" s="16"/>
      <c r="AE1580" s="16"/>
      <c r="AF1580" s="16"/>
      <c r="AG1580" s="14"/>
      <c r="AH1580" s="14"/>
      <c r="AI1580" s="24"/>
      <c r="AJ1580" s="24"/>
      <c r="AK1580" s="24"/>
      <c r="AL1580" s="16"/>
      <c r="AM1580" s="16"/>
      <c r="AN1580" s="16"/>
      <c r="AO1580" s="16"/>
      <c r="AP1580" s="16"/>
      <c r="AQ1580" s="16"/>
      <c r="AR1580" s="16"/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7"/>
    </row>
    <row r="1581" spans="7:54" x14ac:dyDescent="0.15">
      <c r="G1581" s="7"/>
      <c r="H1581" s="16"/>
      <c r="I1581" s="16"/>
      <c r="J1581" s="16"/>
      <c r="K1581" s="16"/>
      <c r="L1581" s="16"/>
      <c r="M1581" s="16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24"/>
      <c r="AC1581" s="16"/>
      <c r="AD1581" s="16"/>
      <c r="AE1581" s="16"/>
      <c r="AF1581" s="16"/>
      <c r="AG1581" s="14"/>
      <c r="AH1581" s="14"/>
      <c r="AI1581" s="24"/>
      <c r="AJ1581" s="24"/>
      <c r="AK1581" s="24"/>
      <c r="AL1581" s="16"/>
      <c r="AM1581" s="16"/>
      <c r="AN1581" s="16"/>
      <c r="AO1581" s="16"/>
      <c r="AP1581" s="16"/>
      <c r="AQ1581" s="16"/>
      <c r="AR1581" s="16"/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7"/>
    </row>
    <row r="1582" spans="7:54" x14ac:dyDescent="0.15">
      <c r="G1582" s="7"/>
      <c r="H1582" s="16"/>
      <c r="I1582" s="16"/>
      <c r="J1582" s="16"/>
      <c r="K1582" s="16"/>
      <c r="L1582" s="16"/>
      <c r="M1582" s="16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24"/>
      <c r="AC1582" s="16"/>
      <c r="AD1582" s="16"/>
      <c r="AE1582" s="16"/>
      <c r="AF1582" s="16"/>
      <c r="AG1582" s="14"/>
      <c r="AH1582" s="14"/>
      <c r="AI1582" s="24"/>
      <c r="AJ1582" s="24"/>
      <c r="AK1582" s="24"/>
      <c r="AL1582" s="16"/>
      <c r="AM1582" s="16"/>
      <c r="AN1582" s="16"/>
      <c r="AO1582" s="16"/>
      <c r="AP1582" s="16"/>
      <c r="AQ1582" s="16"/>
      <c r="AR1582" s="16"/>
      <c r="AS1582" s="14"/>
      <c r="AT1582" s="14"/>
      <c r="AU1582" s="14"/>
      <c r="AV1582" s="14"/>
      <c r="AW1582" s="14"/>
      <c r="AX1582" s="14"/>
      <c r="AY1582" s="14"/>
      <c r="AZ1582" s="14"/>
      <c r="BA1582" s="14"/>
      <c r="BB1582" s="7"/>
    </row>
    <row r="1583" spans="7:54" x14ac:dyDescent="0.15">
      <c r="G1583" s="7"/>
      <c r="H1583" s="16"/>
      <c r="I1583" s="16"/>
      <c r="J1583" s="16"/>
      <c r="K1583" s="16"/>
      <c r="L1583" s="16"/>
      <c r="M1583" s="16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24"/>
      <c r="AC1583" s="16"/>
      <c r="AD1583" s="16"/>
      <c r="AE1583" s="16"/>
      <c r="AF1583" s="16"/>
      <c r="AG1583" s="14"/>
      <c r="AH1583" s="14"/>
      <c r="AI1583" s="24"/>
      <c r="AJ1583" s="24"/>
      <c r="AK1583" s="24"/>
      <c r="AL1583" s="16"/>
      <c r="AM1583" s="16"/>
      <c r="AN1583" s="16"/>
      <c r="AO1583" s="16"/>
      <c r="AP1583" s="16"/>
      <c r="AQ1583" s="16"/>
      <c r="AR1583" s="16"/>
      <c r="AS1583" s="14"/>
      <c r="AT1583" s="14"/>
      <c r="AU1583" s="14"/>
      <c r="AV1583" s="14"/>
      <c r="AW1583" s="14"/>
      <c r="AX1583" s="14"/>
      <c r="AY1583" s="14"/>
      <c r="AZ1583" s="14"/>
      <c r="BA1583" s="14"/>
      <c r="BB1583" s="7"/>
    </row>
    <row r="1584" spans="7:54" x14ac:dyDescent="0.15">
      <c r="G1584" s="7"/>
      <c r="H1584" s="16"/>
      <c r="I1584" s="16"/>
      <c r="J1584" s="16"/>
      <c r="K1584" s="16"/>
      <c r="L1584" s="16"/>
      <c r="M1584" s="16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24"/>
      <c r="AC1584" s="16"/>
      <c r="AD1584" s="16"/>
      <c r="AE1584" s="16"/>
      <c r="AF1584" s="16"/>
      <c r="AG1584" s="14"/>
      <c r="AH1584" s="14"/>
      <c r="AI1584" s="24"/>
      <c r="AJ1584" s="24"/>
      <c r="AK1584" s="24"/>
      <c r="AL1584" s="16"/>
      <c r="AM1584" s="16"/>
      <c r="AN1584" s="16"/>
      <c r="AO1584" s="16"/>
      <c r="AP1584" s="16"/>
      <c r="AQ1584" s="16"/>
      <c r="AR1584" s="16"/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7"/>
    </row>
    <row r="1585" spans="7:54" x14ac:dyDescent="0.15">
      <c r="G1585" s="7"/>
      <c r="H1585" s="16"/>
      <c r="I1585" s="16"/>
      <c r="J1585" s="16"/>
      <c r="K1585" s="16"/>
      <c r="L1585" s="16"/>
      <c r="M1585" s="16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24"/>
      <c r="AC1585" s="16"/>
      <c r="AD1585" s="16"/>
      <c r="AE1585" s="16"/>
      <c r="AF1585" s="16"/>
      <c r="AG1585" s="14"/>
      <c r="AH1585" s="14"/>
      <c r="AI1585" s="24"/>
      <c r="AJ1585" s="24"/>
      <c r="AK1585" s="24"/>
      <c r="AL1585" s="16"/>
      <c r="AM1585" s="16"/>
      <c r="AN1585" s="16"/>
      <c r="AO1585" s="16"/>
      <c r="AP1585" s="16"/>
      <c r="AQ1585" s="16"/>
      <c r="AR1585" s="16"/>
      <c r="AS1585" s="14"/>
      <c r="AT1585" s="14"/>
      <c r="AU1585" s="14"/>
      <c r="AV1585" s="14"/>
      <c r="AW1585" s="14"/>
      <c r="AX1585" s="14"/>
      <c r="AY1585" s="14"/>
      <c r="AZ1585" s="14"/>
      <c r="BA1585" s="14"/>
      <c r="BB1585" s="7"/>
    </row>
    <row r="1586" spans="7:54" x14ac:dyDescent="0.15">
      <c r="G1586" s="7"/>
      <c r="H1586" s="16"/>
      <c r="I1586" s="16"/>
      <c r="J1586" s="16"/>
      <c r="K1586" s="16"/>
      <c r="L1586" s="16"/>
      <c r="M1586" s="16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24"/>
      <c r="AC1586" s="16"/>
      <c r="AD1586" s="16"/>
      <c r="AE1586" s="16"/>
      <c r="AF1586" s="16"/>
      <c r="AG1586" s="14"/>
      <c r="AH1586" s="14"/>
      <c r="AI1586" s="24"/>
      <c r="AJ1586" s="24"/>
      <c r="AK1586" s="24"/>
      <c r="AL1586" s="16"/>
      <c r="AM1586" s="16"/>
      <c r="AN1586" s="16"/>
      <c r="AO1586" s="16"/>
      <c r="AP1586" s="16"/>
      <c r="AQ1586" s="16"/>
      <c r="AR1586" s="16"/>
      <c r="AS1586" s="14"/>
      <c r="AT1586" s="14"/>
      <c r="AU1586" s="14"/>
      <c r="AV1586" s="14"/>
      <c r="AW1586" s="14"/>
      <c r="AX1586" s="14"/>
      <c r="AY1586" s="14"/>
      <c r="AZ1586" s="14"/>
      <c r="BA1586" s="14"/>
      <c r="BB1586" s="7"/>
    </row>
    <row r="1587" spans="7:54" x14ac:dyDescent="0.15">
      <c r="G1587" s="7"/>
      <c r="H1587" s="16"/>
      <c r="I1587" s="16"/>
      <c r="J1587" s="16"/>
      <c r="K1587" s="16"/>
      <c r="L1587" s="16"/>
      <c r="M1587" s="16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24"/>
      <c r="AC1587" s="16"/>
      <c r="AD1587" s="16"/>
      <c r="AE1587" s="16"/>
      <c r="AF1587" s="16"/>
      <c r="AG1587" s="14"/>
      <c r="AH1587" s="14"/>
      <c r="AI1587" s="24"/>
      <c r="AJ1587" s="24"/>
      <c r="AK1587" s="24"/>
      <c r="AL1587" s="16"/>
      <c r="AM1587" s="16"/>
      <c r="AN1587" s="16"/>
      <c r="AO1587" s="16"/>
      <c r="AP1587" s="16"/>
      <c r="AQ1587" s="16"/>
      <c r="AR1587" s="16"/>
      <c r="AS1587" s="14"/>
      <c r="AT1587" s="14"/>
      <c r="AU1587" s="14"/>
      <c r="AV1587" s="14"/>
      <c r="AW1587" s="14"/>
      <c r="AX1587" s="14"/>
      <c r="AY1587" s="14"/>
      <c r="AZ1587" s="14"/>
      <c r="BA1587" s="14"/>
      <c r="BB1587" s="7"/>
    </row>
    <row r="1588" spans="7:54" x14ac:dyDescent="0.15">
      <c r="G1588" s="7"/>
      <c r="H1588" s="16"/>
      <c r="I1588" s="16"/>
      <c r="J1588" s="16"/>
      <c r="K1588" s="16"/>
      <c r="L1588" s="16"/>
      <c r="M1588" s="16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24"/>
      <c r="AC1588" s="16"/>
      <c r="AD1588" s="16"/>
      <c r="AE1588" s="16"/>
      <c r="AF1588" s="16"/>
      <c r="AG1588" s="14"/>
      <c r="AH1588" s="14"/>
      <c r="AI1588" s="24"/>
      <c r="AJ1588" s="24"/>
      <c r="AK1588" s="24"/>
      <c r="AL1588" s="16"/>
      <c r="AM1588" s="16"/>
      <c r="AN1588" s="16"/>
      <c r="AO1588" s="16"/>
      <c r="AP1588" s="16"/>
      <c r="AQ1588" s="16"/>
      <c r="AR1588" s="16"/>
      <c r="AS1588" s="14"/>
      <c r="AT1588" s="14"/>
      <c r="AU1588" s="14"/>
      <c r="AV1588" s="14"/>
      <c r="AW1588" s="14"/>
      <c r="AX1588" s="14"/>
      <c r="AY1588" s="14"/>
      <c r="AZ1588" s="14"/>
      <c r="BA1588" s="14"/>
      <c r="BB1588" s="7"/>
    </row>
    <row r="1589" spans="7:54" x14ac:dyDescent="0.15">
      <c r="G1589" s="7"/>
      <c r="H1589" s="16"/>
      <c r="I1589" s="16"/>
      <c r="J1589" s="16"/>
      <c r="K1589" s="16"/>
      <c r="L1589" s="16"/>
      <c r="M1589" s="16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24"/>
      <c r="AC1589" s="16"/>
      <c r="AD1589" s="16"/>
      <c r="AE1589" s="16"/>
      <c r="AF1589" s="16"/>
      <c r="AG1589" s="14"/>
      <c r="AH1589" s="14"/>
      <c r="AI1589" s="24"/>
      <c r="AJ1589" s="24"/>
      <c r="AK1589" s="24"/>
      <c r="AL1589" s="16"/>
      <c r="AM1589" s="16"/>
      <c r="AN1589" s="16"/>
      <c r="AO1589" s="16"/>
      <c r="AP1589" s="16"/>
      <c r="AQ1589" s="16"/>
      <c r="AR1589" s="16"/>
      <c r="AS1589" s="14"/>
      <c r="AT1589" s="14"/>
      <c r="AU1589" s="14"/>
      <c r="AV1589" s="14"/>
      <c r="AW1589" s="14"/>
      <c r="AX1589" s="14"/>
      <c r="AY1589" s="14"/>
      <c r="AZ1589" s="14"/>
      <c r="BA1589" s="14"/>
      <c r="BB1589" s="7"/>
    </row>
    <row r="1590" spans="7:54" x14ac:dyDescent="0.15">
      <c r="G1590" s="7"/>
      <c r="H1590" s="16"/>
      <c r="I1590" s="16"/>
      <c r="J1590" s="16"/>
      <c r="K1590" s="16"/>
      <c r="L1590" s="16"/>
      <c r="M1590" s="16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24"/>
      <c r="AC1590" s="16"/>
      <c r="AD1590" s="16"/>
      <c r="AE1590" s="16"/>
      <c r="AF1590" s="16"/>
      <c r="AG1590" s="14"/>
      <c r="AH1590" s="14"/>
      <c r="AI1590" s="24"/>
      <c r="AJ1590" s="24"/>
      <c r="AK1590" s="24"/>
      <c r="AL1590" s="16"/>
      <c r="AM1590" s="16"/>
      <c r="AN1590" s="16"/>
      <c r="AO1590" s="16"/>
      <c r="AP1590" s="16"/>
      <c r="AQ1590" s="16"/>
      <c r="AR1590" s="16"/>
      <c r="AS1590" s="14"/>
      <c r="AT1590" s="14"/>
      <c r="AU1590" s="14"/>
      <c r="AV1590" s="14"/>
      <c r="AW1590" s="14"/>
      <c r="AX1590" s="14"/>
      <c r="AY1590" s="14"/>
      <c r="AZ1590" s="14"/>
      <c r="BA1590" s="14"/>
      <c r="BB1590" s="7"/>
    </row>
    <row r="1591" spans="7:54" x14ac:dyDescent="0.15">
      <c r="G1591" s="7"/>
      <c r="H1591" s="16"/>
      <c r="I1591" s="16"/>
      <c r="J1591" s="16"/>
      <c r="K1591" s="16"/>
      <c r="L1591" s="16"/>
      <c r="M1591" s="16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24"/>
      <c r="AC1591" s="16"/>
      <c r="AD1591" s="16"/>
      <c r="AE1591" s="16"/>
      <c r="AF1591" s="16"/>
      <c r="AG1591" s="14"/>
      <c r="AH1591" s="14"/>
      <c r="AI1591" s="24"/>
      <c r="AJ1591" s="24"/>
      <c r="AK1591" s="24"/>
      <c r="AL1591" s="16"/>
      <c r="AM1591" s="16"/>
      <c r="AN1591" s="16"/>
      <c r="AO1591" s="16"/>
      <c r="AP1591" s="16"/>
      <c r="AQ1591" s="16"/>
      <c r="AR1591" s="16"/>
      <c r="AS1591" s="14"/>
      <c r="AT1591" s="14"/>
      <c r="AU1591" s="14"/>
      <c r="AV1591" s="14"/>
      <c r="AW1591" s="14"/>
      <c r="AX1591" s="14"/>
      <c r="AY1591" s="14"/>
      <c r="AZ1591" s="14"/>
      <c r="BA1591" s="14"/>
      <c r="BB1591" s="7"/>
    </row>
    <row r="1592" spans="7:54" x14ac:dyDescent="0.15">
      <c r="G1592" s="7"/>
      <c r="H1592" s="16"/>
      <c r="I1592" s="16"/>
      <c r="J1592" s="16"/>
      <c r="K1592" s="16"/>
      <c r="L1592" s="16"/>
      <c r="M1592" s="16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24"/>
      <c r="AC1592" s="16"/>
      <c r="AD1592" s="16"/>
      <c r="AE1592" s="16"/>
      <c r="AF1592" s="16"/>
      <c r="AG1592" s="14"/>
      <c r="AH1592" s="14"/>
      <c r="AI1592" s="24"/>
      <c r="AJ1592" s="24"/>
      <c r="AK1592" s="24"/>
      <c r="AL1592" s="16"/>
      <c r="AM1592" s="16"/>
      <c r="AN1592" s="16"/>
      <c r="AO1592" s="16"/>
      <c r="AP1592" s="16"/>
      <c r="AQ1592" s="16"/>
      <c r="AR1592" s="16"/>
      <c r="AS1592" s="14"/>
      <c r="AT1592" s="14"/>
      <c r="AU1592" s="14"/>
      <c r="AV1592" s="14"/>
      <c r="AW1592" s="14"/>
      <c r="AX1592" s="14"/>
      <c r="AY1592" s="14"/>
      <c r="AZ1592" s="14"/>
      <c r="BA1592" s="14"/>
      <c r="BB1592" s="7"/>
    </row>
    <row r="1593" spans="7:54" x14ac:dyDescent="0.15">
      <c r="G1593" s="7"/>
      <c r="H1593" s="16"/>
      <c r="I1593" s="16"/>
      <c r="J1593" s="16"/>
      <c r="K1593" s="16"/>
      <c r="L1593" s="16"/>
      <c r="M1593" s="16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24"/>
      <c r="AC1593" s="16"/>
      <c r="AD1593" s="16"/>
      <c r="AE1593" s="16"/>
      <c r="AF1593" s="16"/>
      <c r="AG1593" s="14"/>
      <c r="AH1593" s="14"/>
      <c r="AI1593" s="24"/>
      <c r="AJ1593" s="24"/>
      <c r="AK1593" s="24"/>
      <c r="AL1593" s="16"/>
      <c r="AM1593" s="16"/>
      <c r="AN1593" s="16"/>
      <c r="AO1593" s="16"/>
      <c r="AP1593" s="16"/>
      <c r="AQ1593" s="16"/>
      <c r="AR1593" s="16"/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7"/>
    </row>
    <row r="1594" spans="7:54" x14ac:dyDescent="0.15">
      <c r="G1594" s="7"/>
      <c r="H1594" s="16"/>
      <c r="I1594" s="16"/>
      <c r="J1594" s="16"/>
      <c r="K1594" s="16"/>
      <c r="L1594" s="16"/>
      <c r="M1594" s="16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24"/>
      <c r="AC1594" s="16"/>
      <c r="AD1594" s="16"/>
      <c r="AE1594" s="16"/>
      <c r="AF1594" s="16"/>
      <c r="AG1594" s="14"/>
      <c r="AH1594" s="14"/>
      <c r="AI1594" s="24"/>
      <c r="AJ1594" s="24"/>
      <c r="AK1594" s="24"/>
      <c r="AL1594" s="16"/>
      <c r="AM1594" s="16"/>
      <c r="AN1594" s="16"/>
      <c r="AO1594" s="16"/>
      <c r="AP1594" s="16"/>
      <c r="AQ1594" s="16"/>
      <c r="AR1594" s="16"/>
      <c r="AS1594" s="14"/>
      <c r="AT1594" s="14"/>
      <c r="AU1594" s="14"/>
      <c r="AV1594" s="14"/>
      <c r="AW1594" s="14"/>
      <c r="AX1594" s="14"/>
      <c r="AY1594" s="14"/>
      <c r="AZ1594" s="14"/>
      <c r="BA1594" s="14"/>
      <c r="BB1594" s="7"/>
    </row>
    <row r="1595" spans="7:54" x14ac:dyDescent="0.15">
      <c r="G1595" s="7"/>
      <c r="H1595" s="16"/>
      <c r="I1595" s="16"/>
      <c r="J1595" s="16"/>
      <c r="K1595" s="16"/>
      <c r="L1595" s="16"/>
      <c r="M1595" s="16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24"/>
      <c r="AC1595" s="16"/>
      <c r="AD1595" s="16"/>
      <c r="AE1595" s="16"/>
      <c r="AF1595" s="16"/>
      <c r="AG1595" s="14"/>
      <c r="AH1595" s="14"/>
      <c r="AI1595" s="24"/>
      <c r="AJ1595" s="24"/>
      <c r="AK1595" s="24"/>
      <c r="AL1595" s="16"/>
      <c r="AM1595" s="16"/>
      <c r="AN1595" s="16"/>
      <c r="AO1595" s="16"/>
      <c r="AP1595" s="16"/>
      <c r="AQ1595" s="16"/>
      <c r="AR1595" s="16"/>
      <c r="AS1595" s="14"/>
      <c r="AT1595" s="14"/>
      <c r="AU1595" s="14"/>
      <c r="AV1595" s="14"/>
      <c r="AW1595" s="14"/>
      <c r="AX1595" s="14"/>
      <c r="AY1595" s="14"/>
      <c r="AZ1595" s="14"/>
      <c r="BA1595" s="14"/>
      <c r="BB1595" s="7"/>
    </row>
    <row r="1596" spans="7:54" x14ac:dyDescent="0.15">
      <c r="G1596" s="7"/>
      <c r="H1596" s="16"/>
      <c r="I1596" s="16"/>
      <c r="J1596" s="16"/>
      <c r="K1596" s="16"/>
      <c r="L1596" s="16"/>
      <c r="M1596" s="16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24"/>
      <c r="AC1596" s="16"/>
      <c r="AD1596" s="16"/>
      <c r="AE1596" s="16"/>
      <c r="AF1596" s="16"/>
      <c r="AG1596" s="14"/>
      <c r="AH1596" s="14"/>
      <c r="AI1596" s="24"/>
      <c r="AJ1596" s="24"/>
      <c r="AK1596" s="24"/>
      <c r="AL1596" s="16"/>
      <c r="AM1596" s="16"/>
      <c r="AN1596" s="16"/>
      <c r="AO1596" s="16"/>
      <c r="AP1596" s="16"/>
      <c r="AQ1596" s="16"/>
      <c r="AR1596" s="16"/>
      <c r="AS1596" s="14"/>
      <c r="AT1596" s="14"/>
      <c r="AU1596" s="14"/>
      <c r="AV1596" s="14"/>
      <c r="AW1596" s="14"/>
      <c r="AX1596" s="14"/>
      <c r="AY1596" s="14"/>
      <c r="AZ1596" s="14"/>
      <c r="BA1596" s="14"/>
      <c r="BB1596" s="7"/>
    </row>
    <row r="1597" spans="7:54" x14ac:dyDescent="0.15">
      <c r="G1597" s="7"/>
      <c r="H1597" s="16"/>
      <c r="I1597" s="16"/>
      <c r="J1597" s="16"/>
      <c r="K1597" s="16"/>
      <c r="L1597" s="16"/>
      <c r="M1597" s="16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24"/>
      <c r="AC1597" s="16"/>
      <c r="AD1597" s="16"/>
      <c r="AE1597" s="16"/>
      <c r="AF1597" s="16"/>
      <c r="AG1597" s="14"/>
      <c r="AH1597" s="14"/>
      <c r="AI1597" s="24"/>
      <c r="AJ1597" s="24"/>
      <c r="AK1597" s="24"/>
      <c r="AL1597" s="16"/>
      <c r="AM1597" s="16"/>
      <c r="AN1597" s="16"/>
      <c r="AO1597" s="16"/>
      <c r="AP1597" s="16"/>
      <c r="AQ1597" s="16"/>
      <c r="AR1597" s="16"/>
      <c r="AS1597" s="14"/>
      <c r="AT1597" s="14"/>
      <c r="AU1597" s="14"/>
      <c r="AV1597" s="14"/>
      <c r="AW1597" s="14"/>
      <c r="AX1597" s="14"/>
      <c r="AY1597" s="14"/>
      <c r="AZ1597" s="14"/>
      <c r="BA1597" s="14"/>
      <c r="BB1597" s="7"/>
    </row>
    <row r="1598" spans="7:54" x14ac:dyDescent="0.15">
      <c r="G1598" s="7"/>
      <c r="H1598" s="16"/>
      <c r="I1598" s="16"/>
      <c r="J1598" s="16"/>
      <c r="K1598" s="16"/>
      <c r="L1598" s="16"/>
      <c r="M1598" s="16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24"/>
      <c r="AC1598" s="16"/>
      <c r="AD1598" s="16"/>
      <c r="AE1598" s="16"/>
      <c r="AF1598" s="16"/>
      <c r="AG1598" s="14"/>
      <c r="AH1598" s="14"/>
      <c r="AI1598" s="24"/>
      <c r="AJ1598" s="24"/>
      <c r="AK1598" s="24"/>
      <c r="AL1598" s="16"/>
      <c r="AM1598" s="16"/>
      <c r="AN1598" s="16"/>
      <c r="AO1598" s="16"/>
      <c r="AP1598" s="16"/>
      <c r="AQ1598" s="16"/>
      <c r="AR1598" s="16"/>
      <c r="AS1598" s="14"/>
      <c r="AT1598" s="14"/>
      <c r="AU1598" s="14"/>
      <c r="AV1598" s="14"/>
      <c r="AW1598" s="14"/>
      <c r="AX1598" s="14"/>
      <c r="AY1598" s="14"/>
      <c r="AZ1598" s="14"/>
      <c r="BA1598" s="14"/>
      <c r="BB1598" s="7"/>
    </row>
    <row r="1599" spans="7:54" x14ac:dyDescent="0.15">
      <c r="G1599" s="7"/>
      <c r="H1599" s="16"/>
      <c r="I1599" s="16"/>
      <c r="J1599" s="16"/>
      <c r="K1599" s="16"/>
      <c r="L1599" s="16"/>
      <c r="M1599" s="16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24"/>
      <c r="AC1599" s="16"/>
      <c r="AD1599" s="16"/>
      <c r="AE1599" s="16"/>
      <c r="AF1599" s="16"/>
      <c r="AG1599" s="14"/>
      <c r="AH1599" s="14"/>
      <c r="AI1599" s="24"/>
      <c r="AJ1599" s="24"/>
      <c r="AK1599" s="24"/>
      <c r="AL1599" s="16"/>
      <c r="AM1599" s="16"/>
      <c r="AN1599" s="16"/>
      <c r="AO1599" s="16"/>
      <c r="AP1599" s="16"/>
      <c r="AQ1599" s="16"/>
      <c r="AR1599" s="16"/>
      <c r="AS1599" s="14"/>
      <c r="AT1599" s="14"/>
      <c r="AU1599" s="14"/>
      <c r="AV1599" s="14"/>
      <c r="AW1599" s="14"/>
      <c r="AX1599" s="14"/>
      <c r="AY1599" s="14"/>
      <c r="AZ1599" s="14"/>
      <c r="BA1599" s="14"/>
      <c r="BB1599" s="7"/>
    </row>
    <row r="1600" spans="7:54" x14ac:dyDescent="0.15">
      <c r="G1600" s="7"/>
      <c r="H1600" s="16"/>
      <c r="I1600" s="16"/>
      <c r="J1600" s="16"/>
      <c r="K1600" s="16"/>
      <c r="L1600" s="16"/>
      <c r="M1600" s="16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24"/>
      <c r="AC1600" s="16"/>
      <c r="AD1600" s="16"/>
      <c r="AE1600" s="16"/>
      <c r="AF1600" s="16"/>
      <c r="AG1600" s="14"/>
      <c r="AH1600" s="14"/>
      <c r="AI1600" s="24"/>
      <c r="AJ1600" s="24"/>
      <c r="AK1600" s="24"/>
      <c r="AL1600" s="16"/>
      <c r="AM1600" s="16"/>
      <c r="AN1600" s="16"/>
      <c r="AO1600" s="16"/>
      <c r="AP1600" s="16"/>
      <c r="AQ1600" s="16"/>
      <c r="AR1600" s="16"/>
      <c r="AS1600" s="14"/>
      <c r="AT1600" s="14"/>
      <c r="AU1600" s="14"/>
      <c r="AV1600" s="14"/>
      <c r="AW1600" s="14"/>
      <c r="AX1600" s="14"/>
      <c r="AY1600" s="14"/>
      <c r="AZ1600" s="14"/>
      <c r="BA1600" s="14"/>
      <c r="BB1600" s="7"/>
    </row>
    <row r="1601" spans="7:54" x14ac:dyDescent="0.15">
      <c r="G1601" s="7"/>
      <c r="H1601" s="16"/>
      <c r="I1601" s="16"/>
      <c r="J1601" s="16"/>
      <c r="K1601" s="16"/>
      <c r="L1601" s="16"/>
      <c r="M1601" s="16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24"/>
      <c r="AC1601" s="16"/>
      <c r="AD1601" s="16"/>
      <c r="AE1601" s="16"/>
      <c r="AF1601" s="16"/>
      <c r="AG1601" s="14"/>
      <c r="AH1601" s="14"/>
      <c r="AI1601" s="24"/>
      <c r="AJ1601" s="24"/>
      <c r="AK1601" s="24"/>
      <c r="AL1601" s="16"/>
      <c r="AM1601" s="16"/>
      <c r="AN1601" s="16"/>
      <c r="AO1601" s="16"/>
      <c r="AP1601" s="16"/>
      <c r="AQ1601" s="16"/>
      <c r="AR1601" s="16"/>
      <c r="AS1601" s="14"/>
      <c r="AT1601" s="14"/>
      <c r="AU1601" s="14"/>
      <c r="AV1601" s="14"/>
      <c r="AW1601" s="14"/>
      <c r="AX1601" s="14"/>
      <c r="AY1601" s="14"/>
      <c r="AZ1601" s="14"/>
      <c r="BA1601" s="14"/>
      <c r="BB1601" s="7"/>
    </row>
    <row r="1602" spans="7:54" x14ac:dyDescent="0.15">
      <c r="G1602" s="7"/>
      <c r="H1602" s="16"/>
      <c r="I1602" s="16"/>
      <c r="J1602" s="16"/>
      <c r="K1602" s="16"/>
      <c r="L1602" s="16"/>
      <c r="M1602" s="16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24"/>
      <c r="AC1602" s="16"/>
      <c r="AD1602" s="16"/>
      <c r="AE1602" s="16"/>
      <c r="AF1602" s="16"/>
      <c r="AG1602" s="14"/>
      <c r="AH1602" s="14"/>
      <c r="AI1602" s="24"/>
      <c r="AJ1602" s="24"/>
      <c r="AK1602" s="24"/>
      <c r="AL1602" s="16"/>
      <c r="AM1602" s="16"/>
      <c r="AN1602" s="16"/>
      <c r="AO1602" s="16"/>
      <c r="AP1602" s="16"/>
      <c r="AQ1602" s="16"/>
      <c r="AR1602" s="16"/>
      <c r="AS1602" s="14"/>
      <c r="AT1602" s="14"/>
      <c r="AU1602" s="14"/>
      <c r="AV1602" s="14"/>
      <c r="AW1602" s="14"/>
      <c r="AX1602" s="14"/>
      <c r="AY1602" s="14"/>
      <c r="AZ1602" s="14"/>
      <c r="BA1602" s="14"/>
      <c r="BB1602" s="7"/>
    </row>
    <row r="1603" spans="7:54" x14ac:dyDescent="0.15">
      <c r="G1603" s="7"/>
      <c r="H1603" s="16"/>
      <c r="I1603" s="16"/>
      <c r="J1603" s="16"/>
      <c r="K1603" s="16"/>
      <c r="L1603" s="16"/>
      <c r="M1603" s="16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24"/>
      <c r="AC1603" s="16"/>
      <c r="AD1603" s="16"/>
      <c r="AE1603" s="16"/>
      <c r="AF1603" s="16"/>
      <c r="AG1603" s="14"/>
      <c r="AH1603" s="14"/>
      <c r="AI1603" s="24"/>
      <c r="AJ1603" s="24"/>
      <c r="AK1603" s="24"/>
      <c r="AL1603" s="16"/>
      <c r="AM1603" s="16"/>
      <c r="AN1603" s="16"/>
      <c r="AO1603" s="16"/>
      <c r="AP1603" s="16"/>
      <c r="AQ1603" s="16"/>
      <c r="AR1603" s="16"/>
      <c r="AS1603" s="14"/>
      <c r="AT1603" s="14"/>
      <c r="AU1603" s="14"/>
      <c r="AV1603" s="14"/>
      <c r="AW1603" s="14"/>
      <c r="AX1603" s="14"/>
      <c r="AY1603" s="14"/>
      <c r="AZ1603" s="14"/>
      <c r="BA1603" s="14"/>
      <c r="BB1603" s="7"/>
    </row>
    <row r="1604" spans="7:54" x14ac:dyDescent="0.15">
      <c r="G1604" s="7"/>
      <c r="H1604" s="16"/>
      <c r="I1604" s="16"/>
      <c r="J1604" s="16"/>
      <c r="K1604" s="16"/>
      <c r="L1604" s="16"/>
      <c r="M1604" s="16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24"/>
      <c r="AC1604" s="16"/>
      <c r="AD1604" s="16"/>
      <c r="AE1604" s="16"/>
      <c r="AF1604" s="16"/>
      <c r="AG1604" s="14"/>
      <c r="AH1604" s="14"/>
      <c r="AI1604" s="24"/>
      <c r="AJ1604" s="24"/>
      <c r="AK1604" s="24"/>
      <c r="AL1604" s="16"/>
      <c r="AM1604" s="16"/>
      <c r="AN1604" s="16"/>
      <c r="AO1604" s="16"/>
      <c r="AP1604" s="16"/>
      <c r="AQ1604" s="16"/>
      <c r="AR1604" s="16"/>
      <c r="AS1604" s="14"/>
      <c r="AT1604" s="14"/>
      <c r="AU1604" s="14"/>
      <c r="AV1604" s="14"/>
      <c r="AW1604" s="14"/>
      <c r="AX1604" s="14"/>
      <c r="AY1604" s="14"/>
      <c r="AZ1604" s="14"/>
      <c r="BA1604" s="14"/>
      <c r="BB1604" s="7"/>
    </row>
    <row r="1605" spans="7:54" x14ac:dyDescent="0.15">
      <c r="G1605" s="7"/>
      <c r="H1605" s="16"/>
      <c r="I1605" s="16"/>
      <c r="J1605" s="16"/>
      <c r="K1605" s="16"/>
      <c r="L1605" s="16"/>
      <c r="M1605" s="16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24"/>
      <c r="AC1605" s="16"/>
      <c r="AD1605" s="16"/>
      <c r="AE1605" s="16"/>
      <c r="AF1605" s="16"/>
      <c r="AG1605" s="14"/>
      <c r="AH1605" s="14"/>
      <c r="AI1605" s="24"/>
      <c r="AJ1605" s="24"/>
      <c r="AK1605" s="24"/>
      <c r="AL1605" s="16"/>
      <c r="AM1605" s="16"/>
      <c r="AN1605" s="16"/>
      <c r="AO1605" s="16"/>
      <c r="AP1605" s="16"/>
      <c r="AQ1605" s="16"/>
      <c r="AR1605" s="16"/>
      <c r="AS1605" s="14"/>
      <c r="AT1605" s="14"/>
      <c r="AU1605" s="14"/>
      <c r="AV1605" s="14"/>
      <c r="AW1605" s="14"/>
      <c r="AX1605" s="14"/>
      <c r="AY1605" s="14"/>
      <c r="AZ1605" s="14"/>
      <c r="BA1605" s="14"/>
      <c r="BB1605" s="7"/>
    </row>
    <row r="1606" spans="7:54" x14ac:dyDescent="0.15">
      <c r="G1606" s="7"/>
      <c r="H1606" s="16"/>
      <c r="I1606" s="16"/>
      <c r="J1606" s="16"/>
      <c r="K1606" s="16"/>
      <c r="L1606" s="16"/>
      <c r="M1606" s="16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24"/>
      <c r="AC1606" s="16"/>
      <c r="AD1606" s="16"/>
      <c r="AE1606" s="16"/>
      <c r="AF1606" s="16"/>
      <c r="AG1606" s="14"/>
      <c r="AH1606" s="14"/>
      <c r="AI1606" s="24"/>
      <c r="AJ1606" s="24"/>
      <c r="AK1606" s="24"/>
      <c r="AL1606" s="16"/>
      <c r="AM1606" s="16"/>
      <c r="AN1606" s="16"/>
      <c r="AO1606" s="16"/>
      <c r="AP1606" s="16"/>
      <c r="AQ1606" s="16"/>
      <c r="AR1606" s="16"/>
      <c r="AS1606" s="14"/>
      <c r="AT1606" s="14"/>
      <c r="AU1606" s="14"/>
      <c r="AV1606" s="14"/>
      <c r="AW1606" s="14"/>
      <c r="AX1606" s="14"/>
      <c r="AY1606" s="14"/>
      <c r="AZ1606" s="14"/>
      <c r="BA1606" s="14"/>
      <c r="BB1606" s="7"/>
    </row>
    <row r="1607" spans="7:54" x14ac:dyDescent="0.15">
      <c r="G1607" s="7"/>
      <c r="H1607" s="16"/>
      <c r="I1607" s="16"/>
      <c r="J1607" s="16"/>
      <c r="K1607" s="16"/>
      <c r="L1607" s="16"/>
      <c r="M1607" s="16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24"/>
      <c r="AC1607" s="16"/>
      <c r="AD1607" s="16"/>
      <c r="AE1607" s="16"/>
      <c r="AF1607" s="16"/>
      <c r="AG1607" s="14"/>
      <c r="AH1607" s="14"/>
      <c r="AI1607" s="24"/>
      <c r="AJ1607" s="24"/>
      <c r="AK1607" s="24"/>
      <c r="AL1607" s="16"/>
      <c r="AM1607" s="16"/>
      <c r="AN1607" s="16"/>
      <c r="AO1607" s="16"/>
      <c r="AP1607" s="16"/>
      <c r="AQ1607" s="16"/>
      <c r="AR1607" s="16"/>
      <c r="AS1607" s="14"/>
      <c r="AT1607" s="14"/>
      <c r="AU1607" s="14"/>
      <c r="AV1607" s="14"/>
      <c r="AW1607" s="14"/>
      <c r="AX1607" s="14"/>
      <c r="AY1607" s="14"/>
      <c r="AZ1607" s="14"/>
      <c r="BA1607" s="14"/>
      <c r="BB1607" s="7"/>
    </row>
    <row r="1608" spans="7:54" x14ac:dyDescent="0.15">
      <c r="G1608" s="7"/>
      <c r="H1608" s="16"/>
      <c r="I1608" s="16"/>
      <c r="J1608" s="16"/>
      <c r="K1608" s="16"/>
      <c r="L1608" s="16"/>
      <c r="M1608" s="16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24"/>
      <c r="AC1608" s="16"/>
      <c r="AD1608" s="16"/>
      <c r="AE1608" s="16"/>
      <c r="AF1608" s="16"/>
      <c r="AG1608" s="14"/>
      <c r="AH1608" s="14"/>
      <c r="AI1608" s="24"/>
      <c r="AJ1608" s="24"/>
      <c r="AK1608" s="24"/>
      <c r="AL1608" s="16"/>
      <c r="AM1608" s="16"/>
      <c r="AN1608" s="16"/>
      <c r="AO1608" s="16"/>
      <c r="AP1608" s="16"/>
      <c r="AQ1608" s="16"/>
      <c r="AR1608" s="16"/>
      <c r="AS1608" s="14"/>
      <c r="AT1608" s="14"/>
      <c r="AU1608" s="14"/>
      <c r="AV1608" s="14"/>
      <c r="AW1608" s="14"/>
      <c r="AX1608" s="14"/>
      <c r="AY1608" s="14"/>
      <c r="AZ1608" s="14"/>
      <c r="BA1608" s="14"/>
      <c r="BB1608" s="7"/>
    </row>
    <row r="1609" spans="7:54" x14ac:dyDescent="0.15">
      <c r="G1609" s="7"/>
      <c r="H1609" s="16"/>
      <c r="I1609" s="16"/>
      <c r="J1609" s="16"/>
      <c r="K1609" s="16"/>
      <c r="L1609" s="16"/>
      <c r="M1609" s="16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24"/>
      <c r="AC1609" s="16"/>
      <c r="AD1609" s="16"/>
      <c r="AE1609" s="16"/>
      <c r="AF1609" s="16"/>
      <c r="AG1609" s="14"/>
      <c r="AH1609" s="14"/>
      <c r="AI1609" s="24"/>
      <c r="AJ1609" s="24"/>
      <c r="AK1609" s="24"/>
      <c r="AL1609" s="16"/>
      <c r="AM1609" s="16"/>
      <c r="AN1609" s="16"/>
      <c r="AO1609" s="16"/>
      <c r="AP1609" s="16"/>
      <c r="AQ1609" s="16"/>
      <c r="AR1609" s="16"/>
      <c r="AS1609" s="14"/>
      <c r="AT1609" s="14"/>
      <c r="AU1609" s="14"/>
      <c r="AV1609" s="14"/>
      <c r="AW1609" s="14"/>
      <c r="AX1609" s="14"/>
      <c r="AY1609" s="14"/>
      <c r="AZ1609" s="14"/>
      <c r="BA1609" s="14"/>
      <c r="BB1609" s="7"/>
    </row>
    <row r="1610" spans="7:54" x14ac:dyDescent="0.15">
      <c r="G1610" s="7"/>
      <c r="H1610" s="16"/>
      <c r="I1610" s="16"/>
      <c r="J1610" s="16"/>
      <c r="K1610" s="16"/>
      <c r="L1610" s="16"/>
      <c r="M1610" s="16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24"/>
      <c r="AC1610" s="16"/>
      <c r="AD1610" s="16"/>
      <c r="AE1610" s="16"/>
      <c r="AF1610" s="16"/>
      <c r="AG1610" s="14"/>
      <c r="AH1610" s="14"/>
      <c r="AI1610" s="24"/>
      <c r="AJ1610" s="24"/>
      <c r="AK1610" s="24"/>
      <c r="AL1610" s="16"/>
      <c r="AM1610" s="16"/>
      <c r="AN1610" s="16"/>
      <c r="AO1610" s="16"/>
      <c r="AP1610" s="16"/>
      <c r="AQ1610" s="16"/>
      <c r="AR1610" s="16"/>
      <c r="AS1610" s="14"/>
      <c r="AT1610" s="14"/>
      <c r="AU1610" s="14"/>
      <c r="AV1610" s="14"/>
      <c r="AW1610" s="14"/>
      <c r="AX1610" s="14"/>
      <c r="AY1610" s="14"/>
      <c r="AZ1610" s="14"/>
      <c r="BA1610" s="14"/>
      <c r="BB1610" s="7"/>
    </row>
    <row r="1611" spans="7:54" x14ac:dyDescent="0.15">
      <c r="G1611" s="7"/>
      <c r="H1611" s="16"/>
      <c r="I1611" s="16"/>
      <c r="J1611" s="16"/>
      <c r="K1611" s="16"/>
      <c r="L1611" s="16"/>
      <c r="M1611" s="16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24"/>
      <c r="AC1611" s="16"/>
      <c r="AD1611" s="16"/>
      <c r="AE1611" s="16"/>
      <c r="AF1611" s="16"/>
      <c r="AG1611" s="14"/>
      <c r="AH1611" s="14"/>
      <c r="AI1611" s="24"/>
      <c r="AJ1611" s="24"/>
      <c r="AK1611" s="24"/>
      <c r="AL1611" s="16"/>
      <c r="AM1611" s="16"/>
      <c r="AN1611" s="16"/>
      <c r="AO1611" s="16"/>
      <c r="AP1611" s="16"/>
      <c r="AQ1611" s="16"/>
      <c r="AR1611" s="16"/>
      <c r="AS1611" s="14"/>
      <c r="AT1611" s="14"/>
      <c r="AU1611" s="14"/>
      <c r="AV1611" s="14"/>
      <c r="AW1611" s="14"/>
      <c r="AX1611" s="14"/>
      <c r="AY1611" s="14"/>
      <c r="AZ1611" s="14"/>
      <c r="BA1611" s="14"/>
      <c r="BB1611" s="7"/>
    </row>
    <row r="1612" spans="7:54" x14ac:dyDescent="0.15">
      <c r="G1612" s="7"/>
      <c r="H1612" s="16"/>
      <c r="I1612" s="16"/>
      <c r="J1612" s="16"/>
      <c r="K1612" s="16"/>
      <c r="L1612" s="16"/>
      <c r="M1612" s="16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24"/>
      <c r="AC1612" s="16"/>
      <c r="AD1612" s="16"/>
      <c r="AE1612" s="16"/>
      <c r="AF1612" s="16"/>
      <c r="AG1612" s="14"/>
      <c r="AH1612" s="14"/>
      <c r="AI1612" s="24"/>
      <c r="AJ1612" s="24"/>
      <c r="AK1612" s="24"/>
      <c r="AL1612" s="16"/>
      <c r="AM1612" s="16"/>
      <c r="AN1612" s="16"/>
      <c r="AO1612" s="16"/>
      <c r="AP1612" s="16"/>
      <c r="AQ1612" s="16"/>
      <c r="AR1612" s="16"/>
      <c r="AS1612" s="14"/>
      <c r="AT1612" s="14"/>
      <c r="AU1612" s="14"/>
      <c r="AV1612" s="14"/>
      <c r="AW1612" s="14"/>
      <c r="AX1612" s="14"/>
      <c r="AY1612" s="14"/>
      <c r="AZ1612" s="14"/>
      <c r="BA1612" s="14"/>
      <c r="BB1612" s="7"/>
    </row>
    <row r="1613" spans="7:54" x14ac:dyDescent="0.15">
      <c r="G1613" s="7"/>
      <c r="H1613" s="16"/>
      <c r="I1613" s="16"/>
      <c r="J1613" s="16"/>
      <c r="K1613" s="16"/>
      <c r="L1613" s="16"/>
      <c r="M1613" s="16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24"/>
      <c r="AC1613" s="16"/>
      <c r="AD1613" s="16"/>
      <c r="AE1613" s="16"/>
      <c r="AF1613" s="16"/>
      <c r="AG1613" s="14"/>
      <c r="AH1613" s="14"/>
      <c r="AI1613" s="24"/>
      <c r="AJ1613" s="24"/>
      <c r="AK1613" s="24"/>
      <c r="AL1613" s="16"/>
      <c r="AM1613" s="16"/>
      <c r="AN1613" s="16"/>
      <c r="AO1613" s="16"/>
      <c r="AP1613" s="16"/>
      <c r="AQ1613" s="16"/>
      <c r="AR1613" s="16"/>
      <c r="AS1613" s="14"/>
      <c r="AT1613" s="14"/>
      <c r="AU1613" s="14"/>
      <c r="AV1613" s="14"/>
      <c r="AW1613" s="14"/>
      <c r="AX1613" s="14"/>
      <c r="AY1613" s="14"/>
      <c r="AZ1613" s="14"/>
      <c r="BA1613" s="14"/>
      <c r="BB1613" s="7"/>
    </row>
    <row r="1614" spans="7:54" x14ac:dyDescent="0.15">
      <c r="G1614" s="7"/>
      <c r="H1614" s="16"/>
      <c r="I1614" s="16"/>
      <c r="J1614" s="16"/>
      <c r="K1614" s="16"/>
      <c r="L1614" s="16"/>
      <c r="M1614" s="16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24"/>
      <c r="AC1614" s="16"/>
      <c r="AD1614" s="16"/>
      <c r="AE1614" s="16"/>
      <c r="AF1614" s="16"/>
      <c r="AG1614" s="14"/>
      <c r="AH1614" s="14"/>
      <c r="AI1614" s="24"/>
      <c r="AJ1614" s="24"/>
      <c r="AK1614" s="24"/>
      <c r="AL1614" s="16"/>
      <c r="AM1614" s="16"/>
      <c r="AN1614" s="16"/>
      <c r="AO1614" s="16"/>
      <c r="AP1614" s="16"/>
      <c r="AQ1614" s="16"/>
      <c r="AR1614" s="16"/>
      <c r="AS1614" s="14"/>
      <c r="AT1614" s="14"/>
      <c r="AU1614" s="14"/>
      <c r="AV1614" s="14"/>
      <c r="AW1614" s="14"/>
      <c r="AX1614" s="14"/>
      <c r="AY1614" s="14"/>
      <c r="AZ1614" s="14"/>
      <c r="BA1614" s="14"/>
      <c r="BB1614" s="7"/>
    </row>
    <row r="1615" spans="7:54" x14ac:dyDescent="0.15">
      <c r="G1615" s="7"/>
      <c r="H1615" s="16"/>
      <c r="I1615" s="16"/>
      <c r="J1615" s="16"/>
      <c r="K1615" s="16"/>
      <c r="L1615" s="16"/>
      <c r="M1615" s="16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24"/>
      <c r="AC1615" s="16"/>
      <c r="AD1615" s="16"/>
      <c r="AE1615" s="16"/>
      <c r="AF1615" s="16"/>
      <c r="AG1615" s="14"/>
      <c r="AH1615" s="14"/>
      <c r="AI1615" s="24"/>
      <c r="AJ1615" s="24"/>
      <c r="AK1615" s="24"/>
      <c r="AL1615" s="16"/>
      <c r="AM1615" s="16"/>
      <c r="AN1615" s="16"/>
      <c r="AO1615" s="16"/>
      <c r="AP1615" s="16"/>
      <c r="AQ1615" s="16"/>
      <c r="AR1615" s="16"/>
      <c r="AS1615" s="14"/>
      <c r="AT1615" s="14"/>
      <c r="AU1615" s="14"/>
      <c r="AV1615" s="14"/>
      <c r="AW1615" s="14"/>
      <c r="AX1615" s="14"/>
      <c r="AY1615" s="14"/>
      <c r="AZ1615" s="14"/>
      <c r="BA1615" s="14"/>
      <c r="BB1615" s="7"/>
    </row>
    <row r="1616" spans="7:54" x14ac:dyDescent="0.15">
      <c r="G1616" s="7"/>
      <c r="H1616" s="16"/>
      <c r="I1616" s="16"/>
      <c r="J1616" s="16"/>
      <c r="K1616" s="16"/>
      <c r="L1616" s="16"/>
      <c r="M1616" s="16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24"/>
      <c r="AC1616" s="16"/>
      <c r="AD1616" s="16"/>
      <c r="AE1616" s="16"/>
      <c r="AF1616" s="16"/>
      <c r="AG1616" s="14"/>
      <c r="AH1616" s="14"/>
      <c r="AI1616" s="24"/>
      <c r="AJ1616" s="24"/>
      <c r="AK1616" s="24"/>
      <c r="AL1616" s="16"/>
      <c r="AM1616" s="16"/>
      <c r="AN1616" s="16"/>
      <c r="AO1616" s="16"/>
      <c r="AP1616" s="16"/>
      <c r="AQ1616" s="16"/>
      <c r="AR1616" s="16"/>
      <c r="AS1616" s="14"/>
      <c r="AT1616" s="14"/>
      <c r="AU1616" s="14"/>
      <c r="AV1616" s="14"/>
      <c r="AW1616" s="14"/>
      <c r="AX1616" s="14"/>
      <c r="AY1616" s="14"/>
      <c r="AZ1616" s="14"/>
      <c r="BA1616" s="14"/>
      <c r="BB1616" s="7"/>
    </row>
    <row r="1617" spans="7:54" x14ac:dyDescent="0.15">
      <c r="G1617" s="7"/>
      <c r="H1617" s="16"/>
      <c r="I1617" s="16"/>
      <c r="J1617" s="16"/>
      <c r="K1617" s="16"/>
      <c r="L1617" s="16"/>
      <c r="M1617" s="16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24"/>
      <c r="AC1617" s="16"/>
      <c r="AD1617" s="16"/>
      <c r="AE1617" s="16"/>
      <c r="AF1617" s="16"/>
      <c r="AG1617" s="14"/>
      <c r="AH1617" s="14"/>
      <c r="AI1617" s="24"/>
      <c r="AJ1617" s="24"/>
      <c r="AK1617" s="24"/>
      <c r="AL1617" s="16"/>
      <c r="AM1617" s="16"/>
      <c r="AN1617" s="16"/>
      <c r="AO1617" s="16"/>
      <c r="AP1617" s="16"/>
      <c r="AQ1617" s="16"/>
      <c r="AR1617" s="16"/>
      <c r="AS1617" s="14"/>
      <c r="AT1617" s="14"/>
      <c r="AU1617" s="14"/>
      <c r="AV1617" s="14"/>
      <c r="AW1617" s="14"/>
      <c r="AX1617" s="14"/>
      <c r="AY1617" s="14"/>
      <c r="AZ1617" s="14"/>
      <c r="BA1617" s="14"/>
      <c r="BB1617" s="7"/>
    </row>
    <row r="1618" spans="7:54" x14ac:dyDescent="0.15">
      <c r="G1618" s="7"/>
      <c r="H1618" s="16"/>
      <c r="I1618" s="16"/>
      <c r="J1618" s="16"/>
      <c r="K1618" s="16"/>
      <c r="L1618" s="16"/>
      <c r="M1618" s="16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24"/>
      <c r="AC1618" s="16"/>
      <c r="AD1618" s="16"/>
      <c r="AE1618" s="16"/>
      <c r="AF1618" s="16"/>
      <c r="AG1618" s="14"/>
      <c r="AH1618" s="14"/>
      <c r="AI1618" s="24"/>
      <c r="AJ1618" s="24"/>
      <c r="AK1618" s="24"/>
      <c r="AL1618" s="16"/>
      <c r="AM1618" s="16"/>
      <c r="AN1618" s="16"/>
      <c r="AO1618" s="16"/>
      <c r="AP1618" s="16"/>
      <c r="AQ1618" s="16"/>
      <c r="AR1618" s="16"/>
      <c r="AS1618" s="14"/>
      <c r="AT1618" s="14"/>
      <c r="AU1618" s="14"/>
      <c r="AV1618" s="14"/>
      <c r="AW1618" s="14"/>
      <c r="AX1618" s="14"/>
      <c r="AY1618" s="14"/>
      <c r="AZ1618" s="14"/>
      <c r="BA1618" s="14"/>
      <c r="BB1618" s="7"/>
    </row>
    <row r="1619" spans="7:54" x14ac:dyDescent="0.15">
      <c r="G1619" s="7"/>
      <c r="H1619" s="16"/>
      <c r="I1619" s="16"/>
      <c r="J1619" s="16"/>
      <c r="K1619" s="16"/>
      <c r="L1619" s="16"/>
      <c r="M1619" s="16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24"/>
      <c r="AC1619" s="16"/>
      <c r="AD1619" s="16"/>
      <c r="AE1619" s="16"/>
      <c r="AF1619" s="16"/>
      <c r="AG1619" s="14"/>
      <c r="AH1619" s="14"/>
      <c r="AI1619" s="24"/>
      <c r="AJ1619" s="24"/>
      <c r="AK1619" s="24"/>
      <c r="AL1619" s="16"/>
      <c r="AM1619" s="16"/>
      <c r="AN1619" s="16"/>
      <c r="AO1619" s="16"/>
      <c r="AP1619" s="16"/>
      <c r="AQ1619" s="16"/>
      <c r="AR1619" s="16"/>
      <c r="AS1619" s="14"/>
      <c r="AT1619" s="14"/>
      <c r="AU1619" s="14"/>
      <c r="AV1619" s="14"/>
      <c r="AW1619" s="14"/>
      <c r="AX1619" s="14"/>
      <c r="AY1619" s="14"/>
      <c r="AZ1619" s="14"/>
      <c r="BA1619" s="14"/>
      <c r="BB1619" s="7"/>
    </row>
    <row r="1620" spans="7:54" x14ac:dyDescent="0.15">
      <c r="G1620" s="7"/>
      <c r="H1620" s="16"/>
      <c r="I1620" s="16"/>
      <c r="J1620" s="16"/>
      <c r="K1620" s="16"/>
      <c r="L1620" s="16"/>
      <c r="M1620" s="16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24"/>
      <c r="AC1620" s="16"/>
      <c r="AD1620" s="16"/>
      <c r="AE1620" s="16"/>
      <c r="AF1620" s="16"/>
      <c r="AG1620" s="14"/>
      <c r="AH1620" s="14"/>
      <c r="AI1620" s="24"/>
      <c r="AJ1620" s="24"/>
      <c r="AK1620" s="24"/>
      <c r="AL1620" s="16"/>
      <c r="AM1620" s="16"/>
      <c r="AN1620" s="16"/>
      <c r="AO1620" s="16"/>
      <c r="AP1620" s="16"/>
      <c r="AQ1620" s="16"/>
      <c r="AR1620" s="16"/>
      <c r="AS1620" s="14"/>
      <c r="AT1620" s="14"/>
      <c r="AU1620" s="14"/>
      <c r="AV1620" s="14"/>
      <c r="AW1620" s="14"/>
      <c r="AX1620" s="14"/>
      <c r="AY1620" s="14"/>
      <c r="AZ1620" s="14"/>
      <c r="BA1620" s="14"/>
      <c r="BB1620" s="7"/>
    </row>
    <row r="1621" spans="7:54" x14ac:dyDescent="0.15">
      <c r="G1621" s="7"/>
      <c r="H1621" s="16"/>
      <c r="I1621" s="16"/>
      <c r="J1621" s="16"/>
      <c r="K1621" s="16"/>
      <c r="L1621" s="16"/>
      <c r="M1621" s="16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24"/>
      <c r="AC1621" s="16"/>
      <c r="AD1621" s="16"/>
      <c r="AE1621" s="16"/>
      <c r="AF1621" s="16"/>
      <c r="AG1621" s="14"/>
      <c r="AH1621" s="14"/>
      <c r="AI1621" s="24"/>
      <c r="AJ1621" s="24"/>
      <c r="AK1621" s="24"/>
      <c r="AL1621" s="16"/>
      <c r="AM1621" s="16"/>
      <c r="AN1621" s="16"/>
      <c r="AO1621" s="16"/>
      <c r="AP1621" s="16"/>
      <c r="AQ1621" s="16"/>
      <c r="AR1621" s="16"/>
      <c r="AS1621" s="14"/>
      <c r="AT1621" s="14"/>
      <c r="AU1621" s="14"/>
      <c r="AV1621" s="14"/>
      <c r="AW1621" s="14"/>
      <c r="AX1621" s="14"/>
      <c r="AY1621" s="14"/>
      <c r="AZ1621" s="14"/>
      <c r="BA1621" s="14"/>
      <c r="BB1621" s="7"/>
    </row>
    <row r="1622" spans="7:54" x14ac:dyDescent="0.15">
      <c r="G1622" s="7"/>
      <c r="H1622" s="16"/>
      <c r="I1622" s="16"/>
      <c r="J1622" s="16"/>
      <c r="K1622" s="16"/>
      <c r="L1622" s="16"/>
      <c r="M1622" s="16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24"/>
      <c r="AC1622" s="16"/>
      <c r="AD1622" s="16"/>
      <c r="AE1622" s="16"/>
      <c r="AF1622" s="16"/>
      <c r="AG1622" s="14"/>
      <c r="AH1622" s="14"/>
      <c r="AI1622" s="24"/>
      <c r="AJ1622" s="24"/>
      <c r="AK1622" s="24"/>
      <c r="AL1622" s="16"/>
      <c r="AM1622" s="16"/>
      <c r="AN1622" s="16"/>
      <c r="AO1622" s="16"/>
      <c r="AP1622" s="16"/>
      <c r="AQ1622" s="16"/>
      <c r="AR1622" s="16"/>
      <c r="AS1622" s="14"/>
      <c r="AT1622" s="14"/>
      <c r="AU1622" s="14"/>
      <c r="AV1622" s="14"/>
      <c r="AW1622" s="14"/>
      <c r="AX1622" s="14"/>
      <c r="AY1622" s="14"/>
      <c r="AZ1622" s="14"/>
      <c r="BA1622" s="14"/>
      <c r="BB1622" s="7"/>
    </row>
    <row r="1623" spans="7:54" x14ac:dyDescent="0.15">
      <c r="G1623" s="7"/>
      <c r="H1623" s="16"/>
      <c r="I1623" s="16"/>
      <c r="J1623" s="16"/>
      <c r="K1623" s="16"/>
      <c r="L1623" s="16"/>
      <c r="M1623" s="16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24"/>
      <c r="AC1623" s="16"/>
      <c r="AD1623" s="16"/>
      <c r="AE1623" s="16"/>
      <c r="AF1623" s="16"/>
      <c r="AG1623" s="14"/>
      <c r="AH1623" s="14"/>
      <c r="AI1623" s="24"/>
      <c r="AJ1623" s="24"/>
      <c r="AK1623" s="24"/>
      <c r="AL1623" s="16"/>
      <c r="AM1623" s="16"/>
      <c r="AN1623" s="16"/>
      <c r="AO1623" s="16"/>
      <c r="AP1623" s="16"/>
      <c r="AQ1623" s="16"/>
      <c r="AR1623" s="16"/>
      <c r="AS1623" s="14"/>
      <c r="AT1623" s="14"/>
      <c r="AU1623" s="14"/>
      <c r="AV1623" s="14"/>
      <c r="AW1623" s="14"/>
      <c r="AX1623" s="14"/>
      <c r="AY1623" s="14"/>
      <c r="AZ1623" s="14"/>
      <c r="BA1623" s="14"/>
      <c r="BB1623" s="7"/>
    </row>
    <row r="1624" spans="7:54" x14ac:dyDescent="0.15">
      <c r="G1624" s="7"/>
      <c r="H1624" s="16"/>
      <c r="I1624" s="16"/>
      <c r="J1624" s="16"/>
      <c r="K1624" s="16"/>
      <c r="L1624" s="16"/>
      <c r="M1624" s="16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24"/>
      <c r="AC1624" s="16"/>
      <c r="AD1624" s="16"/>
      <c r="AE1624" s="16"/>
      <c r="AF1624" s="16"/>
      <c r="AG1624" s="14"/>
      <c r="AH1624" s="14"/>
      <c r="AI1624" s="24"/>
      <c r="AJ1624" s="24"/>
      <c r="AK1624" s="24"/>
      <c r="AL1624" s="16"/>
      <c r="AM1624" s="16"/>
      <c r="AN1624" s="16"/>
      <c r="AO1624" s="16"/>
      <c r="AP1624" s="16"/>
      <c r="AQ1624" s="16"/>
      <c r="AR1624" s="16"/>
      <c r="AS1624" s="14"/>
      <c r="AT1624" s="14"/>
      <c r="AU1624" s="14"/>
      <c r="AV1624" s="14"/>
      <c r="AW1624" s="14"/>
      <c r="AX1624" s="14"/>
      <c r="AY1624" s="14"/>
      <c r="AZ1624" s="14"/>
      <c r="BA1624" s="14"/>
      <c r="BB1624" s="7"/>
    </row>
    <row r="1625" spans="7:54" x14ac:dyDescent="0.15">
      <c r="G1625" s="7"/>
      <c r="H1625" s="16"/>
      <c r="I1625" s="16"/>
      <c r="J1625" s="16"/>
      <c r="K1625" s="16"/>
      <c r="L1625" s="16"/>
      <c r="M1625" s="16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24"/>
      <c r="AC1625" s="16"/>
      <c r="AD1625" s="16"/>
      <c r="AE1625" s="16"/>
      <c r="AF1625" s="16"/>
      <c r="AG1625" s="14"/>
      <c r="AH1625" s="14"/>
      <c r="AI1625" s="24"/>
      <c r="AJ1625" s="24"/>
      <c r="AK1625" s="24"/>
      <c r="AL1625" s="16"/>
      <c r="AM1625" s="16"/>
      <c r="AN1625" s="16"/>
      <c r="AO1625" s="16"/>
      <c r="AP1625" s="16"/>
      <c r="AQ1625" s="16"/>
      <c r="AR1625" s="16"/>
      <c r="AS1625" s="14"/>
      <c r="AT1625" s="14"/>
      <c r="AU1625" s="14"/>
      <c r="AV1625" s="14"/>
      <c r="AW1625" s="14"/>
      <c r="AX1625" s="14"/>
      <c r="AY1625" s="14"/>
      <c r="AZ1625" s="14"/>
      <c r="BA1625" s="14"/>
      <c r="BB1625" s="7"/>
    </row>
    <row r="1626" spans="7:54" x14ac:dyDescent="0.15">
      <c r="G1626" s="7"/>
      <c r="H1626" s="16"/>
      <c r="I1626" s="16"/>
      <c r="J1626" s="16"/>
      <c r="K1626" s="16"/>
      <c r="L1626" s="16"/>
      <c r="M1626" s="16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24"/>
      <c r="AC1626" s="16"/>
      <c r="AD1626" s="16"/>
      <c r="AE1626" s="16"/>
      <c r="AF1626" s="16"/>
      <c r="AG1626" s="14"/>
      <c r="AH1626" s="14"/>
      <c r="AI1626" s="24"/>
      <c r="AJ1626" s="24"/>
      <c r="AK1626" s="24"/>
      <c r="AL1626" s="16"/>
      <c r="AM1626" s="16"/>
      <c r="AN1626" s="16"/>
      <c r="AO1626" s="16"/>
      <c r="AP1626" s="16"/>
      <c r="AQ1626" s="16"/>
      <c r="AR1626" s="16"/>
      <c r="AS1626" s="14"/>
      <c r="AT1626" s="14"/>
      <c r="AU1626" s="14"/>
      <c r="AV1626" s="14"/>
      <c r="AW1626" s="14"/>
      <c r="AX1626" s="14"/>
      <c r="AY1626" s="14"/>
      <c r="AZ1626" s="14"/>
      <c r="BA1626" s="14"/>
      <c r="BB1626" s="7"/>
    </row>
    <row r="1627" spans="7:54" x14ac:dyDescent="0.15">
      <c r="G1627" s="7"/>
      <c r="H1627" s="16"/>
      <c r="I1627" s="16"/>
      <c r="J1627" s="16"/>
      <c r="K1627" s="16"/>
      <c r="L1627" s="16"/>
      <c r="M1627" s="16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24"/>
      <c r="AC1627" s="16"/>
      <c r="AD1627" s="16"/>
      <c r="AE1627" s="16"/>
      <c r="AF1627" s="16"/>
      <c r="AG1627" s="14"/>
      <c r="AH1627" s="14"/>
      <c r="AI1627" s="24"/>
      <c r="AJ1627" s="24"/>
      <c r="AK1627" s="24"/>
      <c r="AL1627" s="16"/>
      <c r="AM1627" s="16"/>
      <c r="AN1627" s="16"/>
      <c r="AO1627" s="16"/>
      <c r="AP1627" s="16"/>
      <c r="AQ1627" s="16"/>
      <c r="AR1627" s="16"/>
      <c r="AS1627" s="14"/>
      <c r="AT1627" s="14"/>
      <c r="AU1627" s="14"/>
      <c r="AV1627" s="14"/>
      <c r="AW1627" s="14"/>
      <c r="AX1627" s="14"/>
      <c r="AY1627" s="14"/>
      <c r="AZ1627" s="14"/>
      <c r="BA1627" s="14"/>
      <c r="BB1627" s="7"/>
    </row>
    <row r="1628" spans="7:54" x14ac:dyDescent="0.15">
      <c r="G1628" s="7"/>
      <c r="H1628" s="16"/>
      <c r="I1628" s="16"/>
      <c r="J1628" s="16"/>
      <c r="K1628" s="16"/>
      <c r="L1628" s="16"/>
      <c r="M1628" s="16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24"/>
      <c r="AC1628" s="16"/>
      <c r="AD1628" s="16"/>
      <c r="AE1628" s="16"/>
      <c r="AF1628" s="16"/>
      <c r="AG1628" s="14"/>
      <c r="AH1628" s="14"/>
      <c r="AI1628" s="24"/>
      <c r="AJ1628" s="24"/>
      <c r="AK1628" s="24"/>
      <c r="AL1628" s="16"/>
      <c r="AM1628" s="16"/>
      <c r="AN1628" s="16"/>
      <c r="AO1628" s="16"/>
      <c r="AP1628" s="16"/>
      <c r="AQ1628" s="16"/>
      <c r="AR1628" s="16"/>
      <c r="AS1628" s="14"/>
      <c r="AT1628" s="14"/>
      <c r="AU1628" s="14"/>
      <c r="AV1628" s="14"/>
      <c r="AW1628" s="14"/>
      <c r="AX1628" s="14"/>
      <c r="AY1628" s="14"/>
      <c r="AZ1628" s="14"/>
      <c r="BA1628" s="14"/>
      <c r="BB1628" s="7"/>
    </row>
    <row r="1629" spans="7:54" x14ac:dyDescent="0.15">
      <c r="G1629" s="7"/>
      <c r="H1629" s="16"/>
      <c r="I1629" s="16"/>
      <c r="J1629" s="16"/>
      <c r="K1629" s="16"/>
      <c r="L1629" s="16"/>
      <c r="M1629" s="16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24"/>
      <c r="AC1629" s="16"/>
      <c r="AD1629" s="16"/>
      <c r="AE1629" s="16"/>
      <c r="AF1629" s="16"/>
      <c r="AG1629" s="14"/>
      <c r="AH1629" s="14"/>
      <c r="AI1629" s="24"/>
      <c r="AJ1629" s="24"/>
      <c r="AK1629" s="24"/>
      <c r="AL1629" s="16"/>
      <c r="AM1629" s="16"/>
      <c r="AN1629" s="16"/>
      <c r="AO1629" s="16"/>
      <c r="AP1629" s="16"/>
      <c r="AQ1629" s="16"/>
      <c r="AR1629" s="16"/>
      <c r="AS1629" s="14"/>
      <c r="AT1629" s="14"/>
      <c r="AU1629" s="14"/>
      <c r="AV1629" s="14"/>
      <c r="AW1629" s="14"/>
      <c r="AX1629" s="14"/>
      <c r="AY1629" s="14"/>
      <c r="AZ1629" s="14"/>
      <c r="BA1629" s="14"/>
      <c r="BB1629" s="7"/>
    </row>
    <row r="1630" spans="7:54" x14ac:dyDescent="0.15">
      <c r="G1630" s="7"/>
      <c r="H1630" s="16"/>
      <c r="I1630" s="16"/>
      <c r="J1630" s="16"/>
      <c r="K1630" s="16"/>
      <c r="L1630" s="16"/>
      <c r="M1630" s="16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24"/>
      <c r="AC1630" s="16"/>
      <c r="AD1630" s="16"/>
      <c r="AE1630" s="16"/>
      <c r="AF1630" s="16"/>
      <c r="AG1630" s="14"/>
      <c r="AH1630" s="14"/>
      <c r="AI1630" s="24"/>
      <c r="AJ1630" s="24"/>
      <c r="AK1630" s="24"/>
      <c r="AL1630" s="16"/>
      <c r="AM1630" s="16"/>
      <c r="AN1630" s="16"/>
      <c r="AO1630" s="16"/>
      <c r="AP1630" s="16"/>
      <c r="AQ1630" s="16"/>
      <c r="AR1630" s="16"/>
      <c r="AS1630" s="14"/>
      <c r="AT1630" s="14"/>
      <c r="AU1630" s="14"/>
      <c r="AV1630" s="14"/>
      <c r="AW1630" s="14"/>
      <c r="AX1630" s="14"/>
      <c r="AY1630" s="14"/>
      <c r="AZ1630" s="14"/>
      <c r="BA1630" s="14"/>
      <c r="BB1630" s="7"/>
    </row>
    <row r="1631" spans="7:54" x14ac:dyDescent="0.15">
      <c r="G1631" s="7"/>
      <c r="H1631" s="16"/>
      <c r="I1631" s="16"/>
      <c r="J1631" s="16"/>
      <c r="K1631" s="16"/>
      <c r="L1631" s="16"/>
      <c r="M1631" s="16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24"/>
      <c r="AC1631" s="16"/>
      <c r="AD1631" s="16"/>
      <c r="AE1631" s="16"/>
      <c r="AF1631" s="16"/>
      <c r="AG1631" s="14"/>
      <c r="AH1631" s="14"/>
      <c r="AI1631" s="24"/>
      <c r="AJ1631" s="24"/>
      <c r="AK1631" s="24"/>
      <c r="AL1631" s="16"/>
      <c r="AM1631" s="16"/>
      <c r="AN1631" s="16"/>
      <c r="AO1631" s="16"/>
      <c r="AP1631" s="16"/>
      <c r="AQ1631" s="16"/>
      <c r="AR1631" s="16"/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7"/>
    </row>
    <row r="1632" spans="7:54" x14ac:dyDescent="0.15">
      <c r="G1632" s="7"/>
      <c r="H1632" s="16"/>
      <c r="I1632" s="16"/>
      <c r="J1632" s="16"/>
      <c r="K1632" s="16"/>
      <c r="L1632" s="16"/>
      <c r="M1632" s="16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24"/>
      <c r="AC1632" s="16"/>
      <c r="AD1632" s="16"/>
      <c r="AE1632" s="16"/>
      <c r="AF1632" s="16"/>
      <c r="AG1632" s="14"/>
      <c r="AH1632" s="14"/>
      <c r="AI1632" s="24"/>
      <c r="AJ1632" s="24"/>
      <c r="AK1632" s="24"/>
      <c r="AL1632" s="16"/>
      <c r="AM1632" s="16"/>
      <c r="AN1632" s="16"/>
      <c r="AO1632" s="16"/>
      <c r="AP1632" s="16"/>
      <c r="AQ1632" s="16"/>
      <c r="AR1632" s="16"/>
      <c r="AS1632" s="14"/>
      <c r="AT1632" s="14"/>
      <c r="AU1632" s="14"/>
      <c r="AV1632" s="14"/>
      <c r="AW1632" s="14"/>
      <c r="AX1632" s="14"/>
      <c r="AY1632" s="14"/>
      <c r="AZ1632" s="14"/>
      <c r="BA1632" s="14"/>
      <c r="BB1632" s="7"/>
    </row>
    <row r="1633" spans="7:54" x14ac:dyDescent="0.15">
      <c r="G1633" s="7"/>
      <c r="H1633" s="16"/>
      <c r="I1633" s="16"/>
      <c r="J1633" s="16"/>
      <c r="K1633" s="16"/>
      <c r="L1633" s="16"/>
      <c r="M1633" s="16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24"/>
      <c r="AC1633" s="16"/>
      <c r="AD1633" s="16"/>
      <c r="AE1633" s="16"/>
      <c r="AF1633" s="16"/>
      <c r="AG1633" s="14"/>
      <c r="AH1633" s="14"/>
      <c r="AI1633" s="24"/>
      <c r="AJ1633" s="24"/>
      <c r="AK1633" s="24"/>
      <c r="AL1633" s="16"/>
      <c r="AM1633" s="16"/>
      <c r="AN1633" s="16"/>
      <c r="AO1633" s="16"/>
      <c r="AP1633" s="16"/>
      <c r="AQ1633" s="16"/>
      <c r="AR1633" s="16"/>
      <c r="AS1633" s="14"/>
      <c r="AT1633" s="14"/>
      <c r="AU1633" s="14"/>
      <c r="AV1633" s="14"/>
      <c r="AW1633" s="14"/>
      <c r="AX1633" s="14"/>
      <c r="AY1633" s="14"/>
      <c r="AZ1633" s="14"/>
      <c r="BA1633" s="14"/>
      <c r="BB1633" s="7"/>
    </row>
    <row r="1634" spans="7:54" x14ac:dyDescent="0.15">
      <c r="G1634" s="7"/>
      <c r="H1634" s="16"/>
      <c r="I1634" s="16"/>
      <c r="J1634" s="16"/>
      <c r="K1634" s="16"/>
      <c r="L1634" s="16"/>
      <c r="M1634" s="16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24"/>
      <c r="AC1634" s="16"/>
      <c r="AD1634" s="16"/>
      <c r="AE1634" s="16"/>
      <c r="AF1634" s="16"/>
      <c r="AG1634" s="14"/>
      <c r="AH1634" s="14"/>
      <c r="AI1634" s="24"/>
      <c r="AJ1634" s="24"/>
      <c r="AK1634" s="24"/>
      <c r="AL1634" s="16"/>
      <c r="AM1634" s="16"/>
      <c r="AN1634" s="16"/>
      <c r="AO1634" s="16"/>
      <c r="AP1634" s="16"/>
      <c r="AQ1634" s="16"/>
      <c r="AR1634" s="16"/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7"/>
    </row>
    <row r="1635" spans="7:54" x14ac:dyDescent="0.15">
      <c r="G1635" s="7"/>
      <c r="H1635" s="16"/>
      <c r="I1635" s="16"/>
      <c r="J1635" s="16"/>
      <c r="K1635" s="16"/>
      <c r="L1635" s="16"/>
      <c r="M1635" s="16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24"/>
      <c r="AC1635" s="16"/>
      <c r="AD1635" s="16"/>
      <c r="AE1635" s="16"/>
      <c r="AF1635" s="16"/>
      <c r="AG1635" s="14"/>
      <c r="AH1635" s="14"/>
      <c r="AI1635" s="24"/>
      <c r="AJ1635" s="24"/>
      <c r="AK1635" s="24"/>
      <c r="AL1635" s="16"/>
      <c r="AM1635" s="16"/>
      <c r="AN1635" s="16"/>
      <c r="AO1635" s="16"/>
      <c r="AP1635" s="16"/>
      <c r="AQ1635" s="16"/>
      <c r="AR1635" s="16"/>
      <c r="AS1635" s="14"/>
      <c r="AT1635" s="14"/>
      <c r="AU1635" s="14"/>
      <c r="AV1635" s="14"/>
      <c r="AW1635" s="14"/>
      <c r="AX1635" s="14"/>
      <c r="AY1635" s="14"/>
      <c r="AZ1635" s="14"/>
      <c r="BA1635" s="14"/>
      <c r="BB1635" s="7"/>
    </row>
    <row r="1636" spans="7:54" x14ac:dyDescent="0.15">
      <c r="G1636" s="7"/>
      <c r="H1636" s="16"/>
      <c r="I1636" s="16"/>
      <c r="J1636" s="16"/>
      <c r="K1636" s="16"/>
      <c r="L1636" s="16"/>
      <c r="M1636" s="16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24"/>
      <c r="AC1636" s="16"/>
      <c r="AD1636" s="16"/>
      <c r="AE1636" s="16"/>
      <c r="AF1636" s="16"/>
      <c r="AG1636" s="14"/>
      <c r="AH1636" s="14"/>
      <c r="AI1636" s="24"/>
      <c r="AJ1636" s="24"/>
      <c r="AK1636" s="24"/>
      <c r="AL1636" s="16"/>
      <c r="AM1636" s="16"/>
      <c r="AN1636" s="16"/>
      <c r="AO1636" s="16"/>
      <c r="AP1636" s="16"/>
      <c r="AQ1636" s="16"/>
      <c r="AR1636" s="16"/>
      <c r="AS1636" s="14"/>
      <c r="AT1636" s="14"/>
      <c r="AU1636" s="14"/>
      <c r="AV1636" s="14"/>
      <c r="AW1636" s="14"/>
      <c r="AX1636" s="14"/>
      <c r="AY1636" s="14"/>
      <c r="AZ1636" s="14"/>
      <c r="BA1636" s="14"/>
      <c r="BB1636" s="7"/>
    </row>
    <row r="1637" spans="7:54" x14ac:dyDescent="0.15">
      <c r="G1637" s="7"/>
      <c r="H1637" s="16"/>
      <c r="I1637" s="16"/>
      <c r="J1637" s="16"/>
      <c r="K1637" s="16"/>
      <c r="L1637" s="16"/>
      <c r="M1637" s="16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24"/>
      <c r="AC1637" s="16"/>
      <c r="AD1637" s="16"/>
      <c r="AE1637" s="16"/>
      <c r="AF1637" s="16"/>
      <c r="AG1637" s="14"/>
      <c r="AH1637" s="14"/>
      <c r="AI1637" s="24"/>
      <c r="AJ1637" s="24"/>
      <c r="AK1637" s="24"/>
      <c r="AL1637" s="16"/>
      <c r="AM1637" s="16"/>
      <c r="AN1637" s="16"/>
      <c r="AO1637" s="16"/>
      <c r="AP1637" s="16"/>
      <c r="AQ1637" s="16"/>
      <c r="AR1637" s="16"/>
      <c r="AS1637" s="14"/>
      <c r="AT1637" s="14"/>
      <c r="AU1637" s="14"/>
      <c r="AV1637" s="14"/>
      <c r="AW1637" s="14"/>
      <c r="AX1637" s="14"/>
      <c r="AY1637" s="14"/>
      <c r="AZ1637" s="14"/>
      <c r="BA1637" s="14"/>
      <c r="BB1637" s="7"/>
    </row>
    <row r="1638" spans="7:54" x14ac:dyDescent="0.15">
      <c r="G1638" s="7"/>
      <c r="H1638" s="16"/>
      <c r="I1638" s="16"/>
      <c r="J1638" s="16"/>
      <c r="K1638" s="16"/>
      <c r="L1638" s="16"/>
      <c r="M1638" s="16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24"/>
      <c r="AC1638" s="16"/>
      <c r="AD1638" s="16"/>
      <c r="AE1638" s="16"/>
      <c r="AF1638" s="16"/>
      <c r="AG1638" s="14"/>
      <c r="AH1638" s="14"/>
      <c r="AI1638" s="24"/>
      <c r="AJ1638" s="24"/>
      <c r="AK1638" s="24"/>
      <c r="AL1638" s="16"/>
      <c r="AM1638" s="16"/>
      <c r="AN1638" s="16"/>
      <c r="AO1638" s="16"/>
      <c r="AP1638" s="16"/>
      <c r="AQ1638" s="16"/>
      <c r="AR1638" s="16"/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7"/>
    </row>
    <row r="1639" spans="7:54" x14ac:dyDescent="0.15">
      <c r="G1639" s="7"/>
      <c r="H1639" s="16"/>
      <c r="I1639" s="16"/>
      <c r="J1639" s="16"/>
      <c r="K1639" s="16"/>
      <c r="L1639" s="16"/>
      <c r="M1639" s="16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24"/>
      <c r="AC1639" s="16"/>
      <c r="AD1639" s="16"/>
      <c r="AE1639" s="16"/>
      <c r="AF1639" s="16"/>
      <c r="AG1639" s="14"/>
      <c r="AH1639" s="14"/>
      <c r="AI1639" s="24"/>
      <c r="AJ1639" s="24"/>
      <c r="AK1639" s="24"/>
      <c r="AL1639" s="16"/>
      <c r="AM1639" s="16"/>
      <c r="AN1639" s="16"/>
      <c r="AO1639" s="16"/>
      <c r="AP1639" s="16"/>
      <c r="AQ1639" s="16"/>
      <c r="AR1639" s="16"/>
      <c r="AS1639" s="14"/>
      <c r="AT1639" s="14"/>
      <c r="AU1639" s="14"/>
      <c r="AV1639" s="14"/>
      <c r="AW1639" s="14"/>
      <c r="AX1639" s="14"/>
      <c r="AY1639" s="14"/>
      <c r="AZ1639" s="14"/>
      <c r="BA1639" s="14"/>
      <c r="BB1639" s="7"/>
    </row>
    <row r="1640" spans="7:54" x14ac:dyDescent="0.15">
      <c r="G1640" s="7"/>
      <c r="H1640" s="16"/>
      <c r="I1640" s="16"/>
      <c r="J1640" s="16"/>
      <c r="K1640" s="16"/>
      <c r="L1640" s="16"/>
      <c r="M1640" s="16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24"/>
      <c r="AC1640" s="16"/>
      <c r="AD1640" s="16"/>
      <c r="AE1640" s="16"/>
      <c r="AF1640" s="16"/>
      <c r="AG1640" s="14"/>
      <c r="AH1640" s="14"/>
      <c r="AI1640" s="24"/>
      <c r="AJ1640" s="24"/>
      <c r="AK1640" s="24"/>
      <c r="AL1640" s="16"/>
      <c r="AM1640" s="16"/>
      <c r="AN1640" s="16"/>
      <c r="AO1640" s="16"/>
      <c r="AP1640" s="16"/>
      <c r="AQ1640" s="16"/>
      <c r="AR1640" s="16"/>
      <c r="AS1640" s="14"/>
      <c r="AT1640" s="14"/>
      <c r="AU1640" s="14"/>
      <c r="AV1640" s="14"/>
      <c r="AW1640" s="14"/>
      <c r="AX1640" s="14"/>
      <c r="AY1640" s="14"/>
      <c r="AZ1640" s="14"/>
      <c r="BA1640" s="14"/>
      <c r="BB1640" s="7"/>
    </row>
    <row r="1641" spans="7:54" x14ac:dyDescent="0.15">
      <c r="G1641" s="7"/>
      <c r="H1641" s="16"/>
      <c r="I1641" s="16"/>
      <c r="J1641" s="16"/>
      <c r="K1641" s="16"/>
      <c r="L1641" s="16"/>
      <c r="M1641" s="16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24"/>
      <c r="AC1641" s="16"/>
      <c r="AD1641" s="16"/>
      <c r="AE1641" s="16"/>
      <c r="AF1641" s="16"/>
      <c r="AG1641" s="14"/>
      <c r="AH1641" s="14"/>
      <c r="AI1641" s="24"/>
      <c r="AJ1641" s="24"/>
      <c r="AK1641" s="24"/>
      <c r="AL1641" s="16"/>
      <c r="AM1641" s="16"/>
      <c r="AN1641" s="16"/>
      <c r="AO1641" s="16"/>
      <c r="AP1641" s="16"/>
      <c r="AQ1641" s="16"/>
      <c r="AR1641" s="16"/>
      <c r="AS1641" s="14"/>
      <c r="AT1641" s="14"/>
      <c r="AU1641" s="14"/>
      <c r="AV1641" s="14"/>
      <c r="AW1641" s="14"/>
      <c r="AX1641" s="14"/>
      <c r="AY1641" s="14"/>
      <c r="AZ1641" s="14"/>
      <c r="BA1641" s="14"/>
      <c r="BB1641" s="7"/>
    </row>
    <row r="1642" spans="7:54" x14ac:dyDescent="0.15">
      <c r="G1642" s="7"/>
      <c r="H1642" s="16"/>
      <c r="I1642" s="16"/>
      <c r="J1642" s="16"/>
      <c r="K1642" s="16"/>
      <c r="L1642" s="16"/>
      <c r="M1642" s="16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24"/>
      <c r="AC1642" s="16"/>
      <c r="AD1642" s="16"/>
      <c r="AE1642" s="16"/>
      <c r="AF1642" s="16"/>
      <c r="AG1642" s="14"/>
      <c r="AH1642" s="14"/>
      <c r="AI1642" s="24"/>
      <c r="AJ1642" s="24"/>
      <c r="AK1642" s="24"/>
      <c r="AL1642" s="16"/>
      <c r="AM1642" s="16"/>
      <c r="AN1642" s="16"/>
      <c r="AO1642" s="16"/>
      <c r="AP1642" s="16"/>
      <c r="AQ1642" s="16"/>
      <c r="AR1642" s="16"/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7"/>
    </row>
    <row r="1643" spans="7:54" x14ac:dyDescent="0.15">
      <c r="G1643" s="7"/>
      <c r="H1643" s="16"/>
      <c r="I1643" s="16"/>
      <c r="J1643" s="16"/>
      <c r="K1643" s="16"/>
      <c r="L1643" s="16"/>
      <c r="M1643" s="16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24"/>
      <c r="AC1643" s="16"/>
      <c r="AD1643" s="16"/>
      <c r="AE1643" s="16"/>
      <c r="AF1643" s="16"/>
      <c r="AG1643" s="14"/>
      <c r="AH1643" s="14"/>
      <c r="AI1643" s="24"/>
      <c r="AJ1643" s="24"/>
      <c r="AK1643" s="24"/>
      <c r="AL1643" s="16"/>
      <c r="AM1643" s="16"/>
      <c r="AN1643" s="16"/>
      <c r="AO1643" s="16"/>
      <c r="AP1643" s="16"/>
      <c r="AQ1643" s="16"/>
      <c r="AR1643" s="16"/>
      <c r="AS1643" s="14"/>
      <c r="AT1643" s="14"/>
      <c r="AU1643" s="14"/>
      <c r="AV1643" s="14"/>
      <c r="AW1643" s="14"/>
      <c r="AX1643" s="14"/>
      <c r="AY1643" s="14"/>
      <c r="AZ1643" s="14"/>
      <c r="BA1643" s="14"/>
      <c r="BB1643" s="7"/>
    </row>
    <row r="1644" spans="7:54" x14ac:dyDescent="0.15">
      <c r="G1644" s="7"/>
      <c r="H1644" s="16"/>
      <c r="I1644" s="16"/>
      <c r="J1644" s="16"/>
      <c r="K1644" s="16"/>
      <c r="L1644" s="16"/>
      <c r="M1644" s="16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24"/>
      <c r="AC1644" s="16"/>
      <c r="AD1644" s="16"/>
      <c r="AE1644" s="16"/>
      <c r="AF1644" s="16"/>
      <c r="AG1644" s="14"/>
      <c r="AH1644" s="14"/>
      <c r="AI1644" s="24"/>
      <c r="AJ1644" s="24"/>
      <c r="AK1644" s="24"/>
      <c r="AL1644" s="16"/>
      <c r="AM1644" s="16"/>
      <c r="AN1644" s="16"/>
      <c r="AO1644" s="16"/>
      <c r="AP1644" s="16"/>
      <c r="AQ1644" s="16"/>
      <c r="AR1644" s="16"/>
      <c r="AS1644" s="14"/>
      <c r="AT1644" s="14"/>
      <c r="AU1644" s="14"/>
      <c r="AV1644" s="14"/>
      <c r="AW1644" s="14"/>
      <c r="AX1644" s="14"/>
      <c r="AY1644" s="14"/>
      <c r="AZ1644" s="14"/>
      <c r="BA1644" s="14"/>
      <c r="BB1644" s="7"/>
    </row>
    <row r="1645" spans="7:54" x14ac:dyDescent="0.15">
      <c r="G1645" s="7"/>
      <c r="H1645" s="16"/>
      <c r="I1645" s="16"/>
      <c r="J1645" s="16"/>
      <c r="K1645" s="16"/>
      <c r="L1645" s="16"/>
      <c r="M1645" s="16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24"/>
      <c r="AC1645" s="16"/>
      <c r="AD1645" s="16"/>
      <c r="AE1645" s="16"/>
      <c r="AF1645" s="16"/>
      <c r="AG1645" s="14"/>
      <c r="AH1645" s="14"/>
      <c r="AI1645" s="24"/>
      <c r="AJ1645" s="24"/>
      <c r="AK1645" s="24"/>
      <c r="AL1645" s="16"/>
      <c r="AM1645" s="16"/>
      <c r="AN1645" s="16"/>
      <c r="AO1645" s="16"/>
      <c r="AP1645" s="16"/>
      <c r="AQ1645" s="16"/>
      <c r="AR1645" s="16"/>
      <c r="AS1645" s="14"/>
      <c r="AT1645" s="14"/>
      <c r="AU1645" s="14"/>
      <c r="AV1645" s="14"/>
      <c r="AW1645" s="14"/>
      <c r="AX1645" s="14"/>
      <c r="AY1645" s="14"/>
      <c r="AZ1645" s="14"/>
      <c r="BA1645" s="14"/>
      <c r="BB1645" s="7"/>
    </row>
    <row r="1646" spans="7:54" x14ac:dyDescent="0.15">
      <c r="G1646" s="7"/>
      <c r="H1646" s="16"/>
      <c r="I1646" s="16"/>
      <c r="J1646" s="16"/>
      <c r="K1646" s="16"/>
      <c r="L1646" s="16"/>
      <c r="M1646" s="16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24"/>
      <c r="AC1646" s="16"/>
      <c r="AD1646" s="16"/>
      <c r="AE1646" s="16"/>
      <c r="AF1646" s="16"/>
      <c r="AG1646" s="14"/>
      <c r="AH1646" s="14"/>
      <c r="AI1646" s="24"/>
      <c r="AJ1646" s="24"/>
      <c r="AK1646" s="24"/>
      <c r="AL1646" s="16"/>
      <c r="AM1646" s="16"/>
      <c r="AN1646" s="16"/>
      <c r="AO1646" s="16"/>
      <c r="AP1646" s="16"/>
      <c r="AQ1646" s="16"/>
      <c r="AR1646" s="16"/>
      <c r="AS1646" s="14"/>
      <c r="AT1646" s="14"/>
      <c r="AU1646" s="14"/>
      <c r="AV1646" s="14"/>
      <c r="AW1646" s="14"/>
      <c r="AX1646" s="14"/>
      <c r="AY1646" s="14"/>
      <c r="AZ1646" s="14"/>
      <c r="BA1646" s="14"/>
      <c r="BB1646" s="7"/>
    </row>
    <row r="1647" spans="7:54" x14ac:dyDescent="0.15">
      <c r="G1647" s="7"/>
      <c r="H1647" s="16"/>
      <c r="I1647" s="16"/>
      <c r="J1647" s="16"/>
      <c r="K1647" s="16"/>
      <c r="L1647" s="16"/>
      <c r="M1647" s="16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24"/>
      <c r="AC1647" s="16"/>
      <c r="AD1647" s="16"/>
      <c r="AE1647" s="16"/>
      <c r="AF1647" s="16"/>
      <c r="AG1647" s="14"/>
      <c r="AH1647" s="14"/>
      <c r="AI1647" s="24"/>
      <c r="AJ1647" s="24"/>
      <c r="AK1647" s="24"/>
      <c r="AL1647" s="16"/>
      <c r="AM1647" s="16"/>
      <c r="AN1647" s="16"/>
      <c r="AO1647" s="16"/>
      <c r="AP1647" s="16"/>
      <c r="AQ1647" s="16"/>
      <c r="AR1647" s="16"/>
      <c r="AS1647" s="14"/>
      <c r="AT1647" s="14"/>
      <c r="AU1647" s="14"/>
      <c r="AV1647" s="14"/>
      <c r="AW1647" s="14"/>
      <c r="AX1647" s="14"/>
      <c r="AY1647" s="14"/>
      <c r="AZ1647" s="14"/>
      <c r="BA1647" s="14"/>
      <c r="BB1647" s="7"/>
    </row>
    <row r="1648" spans="7:54" x14ac:dyDescent="0.15">
      <c r="G1648" s="7"/>
      <c r="H1648" s="16"/>
      <c r="I1648" s="16"/>
      <c r="J1648" s="16"/>
      <c r="K1648" s="16"/>
      <c r="L1648" s="16"/>
      <c r="M1648" s="16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24"/>
      <c r="AC1648" s="16"/>
      <c r="AD1648" s="16"/>
      <c r="AE1648" s="16"/>
      <c r="AF1648" s="16"/>
      <c r="AG1648" s="14"/>
      <c r="AH1648" s="14"/>
      <c r="AI1648" s="24"/>
      <c r="AJ1648" s="24"/>
      <c r="AK1648" s="24"/>
      <c r="AL1648" s="16"/>
      <c r="AM1648" s="16"/>
      <c r="AN1648" s="16"/>
      <c r="AO1648" s="16"/>
      <c r="AP1648" s="16"/>
      <c r="AQ1648" s="16"/>
      <c r="AR1648" s="16"/>
      <c r="AS1648" s="14"/>
      <c r="AT1648" s="14"/>
      <c r="AU1648" s="14"/>
      <c r="AV1648" s="14"/>
      <c r="AW1648" s="14"/>
      <c r="AX1648" s="14"/>
      <c r="AY1648" s="14"/>
      <c r="AZ1648" s="14"/>
      <c r="BA1648" s="14"/>
      <c r="BB1648" s="7"/>
    </row>
    <row r="1649" spans="7:54" x14ac:dyDescent="0.15">
      <c r="G1649" s="7"/>
      <c r="H1649" s="16"/>
      <c r="I1649" s="16"/>
      <c r="J1649" s="16"/>
      <c r="K1649" s="16"/>
      <c r="L1649" s="16"/>
      <c r="M1649" s="16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24"/>
      <c r="AC1649" s="16"/>
      <c r="AD1649" s="16"/>
      <c r="AE1649" s="16"/>
      <c r="AF1649" s="16"/>
      <c r="AG1649" s="14"/>
      <c r="AH1649" s="14"/>
      <c r="AI1649" s="24"/>
      <c r="AJ1649" s="24"/>
      <c r="AK1649" s="24"/>
      <c r="AL1649" s="16"/>
      <c r="AM1649" s="16"/>
      <c r="AN1649" s="16"/>
      <c r="AO1649" s="16"/>
      <c r="AP1649" s="16"/>
      <c r="AQ1649" s="16"/>
      <c r="AR1649" s="16"/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7"/>
    </row>
    <row r="1650" spans="7:54" x14ac:dyDescent="0.15">
      <c r="G1650" s="7"/>
      <c r="H1650" s="16"/>
      <c r="I1650" s="16"/>
      <c r="J1650" s="16"/>
      <c r="K1650" s="16"/>
      <c r="L1650" s="16"/>
      <c r="M1650" s="16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24"/>
      <c r="AC1650" s="16"/>
      <c r="AD1650" s="16"/>
      <c r="AE1650" s="16"/>
      <c r="AF1650" s="16"/>
      <c r="AG1650" s="14"/>
      <c r="AH1650" s="14"/>
      <c r="AI1650" s="24"/>
      <c r="AJ1650" s="24"/>
      <c r="AK1650" s="24"/>
      <c r="AL1650" s="16"/>
      <c r="AM1650" s="16"/>
      <c r="AN1650" s="16"/>
      <c r="AO1650" s="16"/>
      <c r="AP1650" s="16"/>
      <c r="AQ1650" s="16"/>
      <c r="AR1650" s="16"/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7"/>
    </row>
    <row r="1651" spans="7:54" x14ac:dyDescent="0.15">
      <c r="G1651" s="7"/>
      <c r="H1651" s="16"/>
      <c r="I1651" s="16"/>
      <c r="J1651" s="16"/>
      <c r="K1651" s="16"/>
      <c r="L1651" s="16"/>
      <c r="M1651" s="16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24"/>
      <c r="AC1651" s="16"/>
      <c r="AD1651" s="16"/>
      <c r="AE1651" s="16"/>
      <c r="AF1651" s="16"/>
      <c r="AG1651" s="14"/>
      <c r="AH1651" s="14"/>
      <c r="AI1651" s="24"/>
      <c r="AJ1651" s="24"/>
      <c r="AK1651" s="24"/>
      <c r="AL1651" s="16"/>
      <c r="AM1651" s="16"/>
      <c r="AN1651" s="16"/>
      <c r="AO1651" s="16"/>
      <c r="AP1651" s="16"/>
      <c r="AQ1651" s="16"/>
      <c r="AR1651" s="16"/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7"/>
    </row>
    <row r="1652" spans="7:54" x14ac:dyDescent="0.15">
      <c r="G1652" s="7"/>
      <c r="H1652" s="16"/>
      <c r="I1652" s="16"/>
      <c r="J1652" s="16"/>
      <c r="K1652" s="16"/>
      <c r="L1652" s="16"/>
      <c r="M1652" s="16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24"/>
      <c r="AC1652" s="16"/>
      <c r="AD1652" s="16"/>
      <c r="AE1652" s="16"/>
      <c r="AF1652" s="16"/>
      <c r="AG1652" s="14"/>
      <c r="AH1652" s="14"/>
      <c r="AI1652" s="24"/>
      <c r="AJ1652" s="24"/>
      <c r="AK1652" s="24"/>
      <c r="AL1652" s="16"/>
      <c r="AM1652" s="16"/>
      <c r="AN1652" s="16"/>
      <c r="AO1652" s="16"/>
      <c r="AP1652" s="16"/>
      <c r="AQ1652" s="16"/>
      <c r="AR1652" s="16"/>
      <c r="AS1652" s="14"/>
      <c r="AT1652" s="14"/>
      <c r="AU1652" s="14"/>
      <c r="AV1652" s="14"/>
      <c r="AW1652" s="14"/>
      <c r="AX1652" s="14"/>
      <c r="AY1652" s="14"/>
      <c r="AZ1652" s="14"/>
      <c r="BA1652" s="14"/>
      <c r="BB1652" s="7"/>
    </row>
    <row r="1653" spans="7:54" x14ac:dyDescent="0.15">
      <c r="G1653" s="7"/>
      <c r="H1653" s="16"/>
      <c r="I1653" s="16"/>
      <c r="J1653" s="16"/>
      <c r="K1653" s="16"/>
      <c r="L1653" s="16"/>
      <c r="M1653" s="16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24"/>
      <c r="AC1653" s="16"/>
      <c r="AD1653" s="16"/>
      <c r="AE1653" s="16"/>
      <c r="AF1653" s="16"/>
      <c r="AG1653" s="14"/>
      <c r="AH1653" s="14"/>
      <c r="AI1653" s="24"/>
      <c r="AJ1653" s="24"/>
      <c r="AK1653" s="24"/>
      <c r="AL1653" s="16"/>
      <c r="AM1653" s="16"/>
      <c r="AN1653" s="16"/>
      <c r="AO1653" s="16"/>
      <c r="AP1653" s="16"/>
      <c r="AQ1653" s="16"/>
      <c r="AR1653" s="16"/>
      <c r="AS1653" s="14"/>
      <c r="AT1653" s="14"/>
      <c r="AU1653" s="14"/>
      <c r="AV1653" s="14"/>
      <c r="AW1653" s="14"/>
      <c r="AX1653" s="14"/>
      <c r="AY1653" s="14"/>
      <c r="AZ1653" s="14"/>
      <c r="BA1653" s="14"/>
      <c r="BB1653" s="7"/>
    </row>
    <row r="1654" spans="7:54" x14ac:dyDescent="0.15">
      <c r="G1654" s="7"/>
      <c r="H1654" s="16"/>
      <c r="I1654" s="16"/>
      <c r="J1654" s="16"/>
      <c r="K1654" s="16"/>
      <c r="L1654" s="16"/>
      <c r="M1654" s="16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24"/>
      <c r="AC1654" s="16"/>
      <c r="AD1654" s="16"/>
      <c r="AE1654" s="16"/>
      <c r="AF1654" s="16"/>
      <c r="AG1654" s="14"/>
      <c r="AH1654" s="14"/>
      <c r="AI1654" s="24"/>
      <c r="AJ1654" s="24"/>
      <c r="AK1654" s="24"/>
      <c r="AL1654" s="16"/>
      <c r="AM1654" s="16"/>
      <c r="AN1654" s="16"/>
      <c r="AO1654" s="16"/>
      <c r="AP1654" s="16"/>
      <c r="AQ1654" s="16"/>
      <c r="AR1654" s="16"/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7"/>
    </row>
    <row r="1655" spans="7:54" x14ac:dyDescent="0.15">
      <c r="G1655" s="7"/>
      <c r="H1655" s="16"/>
      <c r="I1655" s="16"/>
      <c r="J1655" s="16"/>
      <c r="K1655" s="16"/>
      <c r="L1655" s="16"/>
      <c r="M1655" s="16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24"/>
      <c r="AC1655" s="16"/>
      <c r="AD1655" s="16"/>
      <c r="AE1655" s="16"/>
      <c r="AF1655" s="16"/>
      <c r="AG1655" s="14"/>
      <c r="AH1655" s="14"/>
      <c r="AI1655" s="24"/>
      <c r="AJ1655" s="24"/>
      <c r="AK1655" s="24"/>
      <c r="AL1655" s="16"/>
      <c r="AM1655" s="16"/>
      <c r="AN1655" s="16"/>
      <c r="AO1655" s="16"/>
      <c r="AP1655" s="16"/>
      <c r="AQ1655" s="16"/>
      <c r="AR1655" s="16"/>
      <c r="AS1655" s="14"/>
      <c r="AT1655" s="14"/>
      <c r="AU1655" s="14"/>
      <c r="AV1655" s="14"/>
      <c r="AW1655" s="14"/>
      <c r="AX1655" s="14"/>
      <c r="AY1655" s="14"/>
      <c r="AZ1655" s="14"/>
      <c r="BA1655" s="14"/>
      <c r="BB1655" s="7"/>
    </row>
    <row r="1656" spans="7:54" x14ac:dyDescent="0.15">
      <c r="G1656" s="7"/>
      <c r="H1656" s="16"/>
      <c r="I1656" s="16"/>
      <c r="J1656" s="16"/>
      <c r="K1656" s="16"/>
      <c r="L1656" s="16"/>
      <c r="M1656" s="16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24"/>
      <c r="AC1656" s="16"/>
      <c r="AD1656" s="16"/>
      <c r="AE1656" s="16"/>
      <c r="AF1656" s="16"/>
      <c r="AG1656" s="14"/>
      <c r="AH1656" s="14"/>
      <c r="AI1656" s="24"/>
      <c r="AJ1656" s="24"/>
      <c r="AK1656" s="24"/>
      <c r="AL1656" s="16"/>
      <c r="AM1656" s="16"/>
      <c r="AN1656" s="16"/>
      <c r="AO1656" s="16"/>
      <c r="AP1656" s="16"/>
      <c r="AQ1656" s="16"/>
      <c r="AR1656" s="16"/>
      <c r="AS1656" s="14"/>
      <c r="AT1656" s="14"/>
      <c r="AU1656" s="14"/>
      <c r="AV1656" s="14"/>
      <c r="AW1656" s="14"/>
      <c r="AX1656" s="14"/>
      <c r="AY1656" s="14"/>
      <c r="AZ1656" s="14"/>
      <c r="BA1656" s="14"/>
      <c r="BB1656" s="7"/>
    </row>
    <row r="1657" spans="7:54" x14ac:dyDescent="0.15">
      <c r="G1657" s="7"/>
      <c r="H1657" s="16"/>
      <c r="I1657" s="16"/>
      <c r="J1657" s="16"/>
      <c r="K1657" s="16"/>
      <c r="L1657" s="16"/>
      <c r="M1657" s="16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24"/>
      <c r="AC1657" s="16"/>
      <c r="AD1657" s="16"/>
      <c r="AE1657" s="16"/>
      <c r="AF1657" s="16"/>
      <c r="AG1657" s="14"/>
      <c r="AH1657" s="14"/>
      <c r="AI1657" s="24"/>
      <c r="AJ1657" s="24"/>
      <c r="AK1657" s="24"/>
      <c r="AL1657" s="16"/>
      <c r="AM1657" s="16"/>
      <c r="AN1657" s="16"/>
      <c r="AO1657" s="16"/>
      <c r="AP1657" s="16"/>
      <c r="AQ1657" s="16"/>
      <c r="AR1657" s="16"/>
      <c r="AS1657" s="14"/>
      <c r="AT1657" s="14"/>
      <c r="AU1657" s="14"/>
      <c r="AV1657" s="14"/>
      <c r="AW1657" s="14"/>
      <c r="AX1657" s="14"/>
      <c r="AY1657" s="14"/>
      <c r="AZ1657" s="14"/>
      <c r="BA1657" s="14"/>
      <c r="BB1657" s="7"/>
    </row>
    <row r="1658" spans="7:54" x14ac:dyDescent="0.15">
      <c r="G1658" s="7"/>
      <c r="H1658" s="16"/>
      <c r="I1658" s="16"/>
      <c r="J1658" s="16"/>
      <c r="K1658" s="16"/>
      <c r="L1658" s="16"/>
      <c r="M1658" s="16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24"/>
      <c r="AC1658" s="16"/>
      <c r="AD1658" s="16"/>
      <c r="AE1658" s="16"/>
      <c r="AF1658" s="16"/>
      <c r="AG1658" s="14"/>
      <c r="AH1658" s="14"/>
      <c r="AI1658" s="24"/>
      <c r="AJ1658" s="24"/>
      <c r="AK1658" s="24"/>
      <c r="AL1658" s="16"/>
      <c r="AM1658" s="16"/>
      <c r="AN1658" s="16"/>
      <c r="AO1658" s="16"/>
      <c r="AP1658" s="16"/>
      <c r="AQ1658" s="16"/>
      <c r="AR1658" s="16"/>
      <c r="AS1658" s="14"/>
      <c r="AT1658" s="14"/>
      <c r="AU1658" s="14"/>
      <c r="AV1658" s="14"/>
      <c r="AW1658" s="14"/>
      <c r="AX1658" s="14"/>
      <c r="AY1658" s="14"/>
      <c r="AZ1658" s="14"/>
      <c r="BA1658" s="14"/>
      <c r="BB1658" s="7"/>
    </row>
    <row r="1659" spans="7:54" x14ac:dyDescent="0.15">
      <c r="G1659" s="7"/>
      <c r="H1659" s="16"/>
      <c r="I1659" s="16"/>
      <c r="J1659" s="16"/>
      <c r="K1659" s="16"/>
      <c r="L1659" s="16"/>
      <c r="M1659" s="16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24"/>
      <c r="AC1659" s="16"/>
      <c r="AD1659" s="16"/>
      <c r="AE1659" s="16"/>
      <c r="AF1659" s="16"/>
      <c r="AG1659" s="14"/>
      <c r="AH1659" s="14"/>
      <c r="AI1659" s="24"/>
      <c r="AJ1659" s="24"/>
      <c r="AK1659" s="24"/>
      <c r="AL1659" s="16"/>
      <c r="AM1659" s="16"/>
      <c r="AN1659" s="16"/>
      <c r="AO1659" s="16"/>
      <c r="AP1659" s="16"/>
      <c r="AQ1659" s="16"/>
      <c r="AR1659" s="16"/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7"/>
    </row>
    <row r="1660" spans="7:54" x14ac:dyDescent="0.15">
      <c r="G1660" s="7"/>
      <c r="H1660" s="16"/>
      <c r="I1660" s="16"/>
      <c r="J1660" s="16"/>
      <c r="K1660" s="16"/>
      <c r="L1660" s="16"/>
      <c r="M1660" s="16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24"/>
      <c r="AC1660" s="16"/>
      <c r="AD1660" s="16"/>
      <c r="AE1660" s="16"/>
      <c r="AF1660" s="16"/>
      <c r="AG1660" s="14"/>
      <c r="AH1660" s="14"/>
      <c r="AI1660" s="24"/>
      <c r="AJ1660" s="24"/>
      <c r="AK1660" s="24"/>
      <c r="AL1660" s="16"/>
      <c r="AM1660" s="16"/>
      <c r="AN1660" s="16"/>
      <c r="AO1660" s="16"/>
      <c r="AP1660" s="16"/>
      <c r="AQ1660" s="16"/>
      <c r="AR1660" s="16"/>
      <c r="AS1660" s="14"/>
      <c r="AT1660" s="14"/>
      <c r="AU1660" s="14"/>
      <c r="AV1660" s="14"/>
      <c r="AW1660" s="14"/>
      <c r="AX1660" s="14"/>
      <c r="AY1660" s="14"/>
      <c r="AZ1660" s="14"/>
      <c r="BA1660" s="14"/>
      <c r="BB1660" s="7"/>
    </row>
    <row r="1661" spans="7:54" x14ac:dyDescent="0.15">
      <c r="G1661" s="7"/>
      <c r="H1661" s="16"/>
      <c r="I1661" s="16"/>
      <c r="J1661" s="16"/>
      <c r="K1661" s="16"/>
      <c r="L1661" s="16"/>
      <c r="M1661" s="16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24"/>
      <c r="AC1661" s="16"/>
      <c r="AD1661" s="16"/>
      <c r="AE1661" s="16"/>
      <c r="AF1661" s="16"/>
      <c r="AG1661" s="14"/>
      <c r="AH1661" s="14"/>
      <c r="AI1661" s="24"/>
      <c r="AJ1661" s="24"/>
      <c r="AK1661" s="24"/>
      <c r="AL1661" s="16"/>
      <c r="AM1661" s="16"/>
      <c r="AN1661" s="16"/>
      <c r="AO1661" s="16"/>
      <c r="AP1661" s="16"/>
      <c r="AQ1661" s="16"/>
      <c r="AR1661" s="16"/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7"/>
    </row>
    <row r="1662" spans="7:54" x14ac:dyDescent="0.15">
      <c r="G1662" s="7"/>
      <c r="H1662" s="16"/>
      <c r="I1662" s="16"/>
      <c r="J1662" s="16"/>
      <c r="K1662" s="16"/>
      <c r="L1662" s="16"/>
      <c r="M1662" s="16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24"/>
      <c r="AC1662" s="16"/>
      <c r="AD1662" s="16"/>
      <c r="AE1662" s="16"/>
      <c r="AF1662" s="16"/>
      <c r="AG1662" s="14"/>
      <c r="AH1662" s="14"/>
      <c r="AI1662" s="24"/>
      <c r="AJ1662" s="24"/>
      <c r="AK1662" s="24"/>
      <c r="AL1662" s="16"/>
      <c r="AM1662" s="16"/>
      <c r="AN1662" s="16"/>
      <c r="AO1662" s="16"/>
      <c r="AP1662" s="16"/>
      <c r="AQ1662" s="16"/>
      <c r="AR1662" s="16"/>
      <c r="AS1662" s="14"/>
      <c r="AT1662" s="14"/>
      <c r="AU1662" s="14"/>
      <c r="AV1662" s="14"/>
      <c r="AW1662" s="14"/>
      <c r="AX1662" s="14"/>
      <c r="AY1662" s="14"/>
      <c r="AZ1662" s="14"/>
      <c r="BA1662" s="14"/>
      <c r="BB1662" s="7"/>
    </row>
    <row r="1663" spans="7:54" x14ac:dyDescent="0.15">
      <c r="G1663" s="7"/>
      <c r="H1663" s="16"/>
      <c r="I1663" s="16"/>
      <c r="J1663" s="16"/>
      <c r="K1663" s="16"/>
      <c r="L1663" s="16"/>
      <c r="M1663" s="16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24"/>
      <c r="AC1663" s="16"/>
      <c r="AD1663" s="16"/>
      <c r="AE1663" s="16"/>
      <c r="AF1663" s="16"/>
      <c r="AG1663" s="14"/>
      <c r="AH1663" s="14"/>
      <c r="AI1663" s="24"/>
      <c r="AJ1663" s="24"/>
      <c r="AK1663" s="24"/>
      <c r="AL1663" s="16"/>
      <c r="AM1663" s="16"/>
      <c r="AN1663" s="16"/>
      <c r="AO1663" s="16"/>
      <c r="AP1663" s="16"/>
      <c r="AQ1663" s="16"/>
      <c r="AR1663" s="16"/>
      <c r="AS1663" s="14"/>
      <c r="AT1663" s="14"/>
      <c r="AU1663" s="14"/>
      <c r="AV1663" s="14"/>
      <c r="AW1663" s="14"/>
      <c r="AX1663" s="14"/>
      <c r="AY1663" s="14"/>
      <c r="AZ1663" s="14"/>
      <c r="BA1663" s="14"/>
      <c r="BB1663" s="7"/>
    </row>
    <row r="1664" spans="7:54" x14ac:dyDescent="0.15">
      <c r="G1664" s="7"/>
      <c r="H1664" s="16"/>
      <c r="I1664" s="16"/>
      <c r="J1664" s="16"/>
      <c r="K1664" s="16"/>
      <c r="L1664" s="16"/>
      <c r="M1664" s="16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24"/>
      <c r="AC1664" s="16"/>
      <c r="AD1664" s="16"/>
      <c r="AE1664" s="16"/>
      <c r="AF1664" s="16"/>
      <c r="AG1664" s="14"/>
      <c r="AH1664" s="14"/>
      <c r="AI1664" s="24"/>
      <c r="AJ1664" s="24"/>
      <c r="AK1664" s="24"/>
      <c r="AL1664" s="16"/>
      <c r="AM1664" s="16"/>
      <c r="AN1664" s="16"/>
      <c r="AO1664" s="16"/>
      <c r="AP1664" s="16"/>
      <c r="AQ1664" s="16"/>
      <c r="AR1664" s="16"/>
      <c r="AS1664" s="14"/>
      <c r="AT1664" s="14"/>
      <c r="AU1664" s="14"/>
      <c r="AV1664" s="14"/>
      <c r="AW1664" s="14"/>
      <c r="AX1664" s="14"/>
      <c r="AY1664" s="14"/>
      <c r="AZ1664" s="14"/>
      <c r="BA1664" s="14"/>
      <c r="BB1664" s="7"/>
    </row>
    <row r="1665" spans="7:54" x14ac:dyDescent="0.15">
      <c r="G1665" s="7"/>
      <c r="H1665" s="16"/>
      <c r="I1665" s="16"/>
      <c r="J1665" s="16"/>
      <c r="K1665" s="16"/>
      <c r="L1665" s="16"/>
      <c r="M1665" s="16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24"/>
      <c r="AC1665" s="16"/>
      <c r="AD1665" s="16"/>
      <c r="AE1665" s="16"/>
      <c r="AF1665" s="16"/>
      <c r="AG1665" s="14"/>
      <c r="AH1665" s="14"/>
      <c r="AI1665" s="24"/>
      <c r="AJ1665" s="24"/>
      <c r="AK1665" s="24"/>
      <c r="AL1665" s="16"/>
      <c r="AM1665" s="16"/>
      <c r="AN1665" s="16"/>
      <c r="AO1665" s="16"/>
      <c r="AP1665" s="16"/>
      <c r="AQ1665" s="16"/>
      <c r="AR1665" s="16"/>
      <c r="AS1665" s="14"/>
      <c r="AT1665" s="14"/>
      <c r="AU1665" s="14"/>
      <c r="AV1665" s="14"/>
      <c r="AW1665" s="14"/>
      <c r="AX1665" s="14"/>
      <c r="AY1665" s="14"/>
      <c r="AZ1665" s="14"/>
      <c r="BA1665" s="14"/>
      <c r="BB1665" s="7"/>
    </row>
    <row r="1666" spans="7:54" x14ac:dyDescent="0.15">
      <c r="G1666" s="7"/>
      <c r="H1666" s="16"/>
      <c r="I1666" s="16"/>
      <c r="J1666" s="16"/>
      <c r="K1666" s="16"/>
      <c r="L1666" s="16"/>
      <c r="M1666" s="16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24"/>
      <c r="AC1666" s="16"/>
      <c r="AD1666" s="16"/>
      <c r="AE1666" s="16"/>
      <c r="AF1666" s="16"/>
      <c r="AG1666" s="14"/>
      <c r="AH1666" s="14"/>
      <c r="AI1666" s="24"/>
      <c r="AJ1666" s="24"/>
      <c r="AK1666" s="24"/>
      <c r="AL1666" s="16"/>
      <c r="AM1666" s="16"/>
      <c r="AN1666" s="16"/>
      <c r="AO1666" s="16"/>
      <c r="AP1666" s="16"/>
      <c r="AQ1666" s="16"/>
      <c r="AR1666" s="16"/>
      <c r="AS1666" s="14"/>
      <c r="AT1666" s="14"/>
      <c r="AU1666" s="14"/>
      <c r="AV1666" s="14"/>
      <c r="AW1666" s="14"/>
      <c r="AX1666" s="14"/>
      <c r="AY1666" s="14"/>
      <c r="AZ1666" s="14"/>
      <c r="BA1666" s="14"/>
      <c r="BB1666" s="7"/>
    </row>
    <row r="1667" spans="7:54" x14ac:dyDescent="0.15">
      <c r="G1667" s="7"/>
      <c r="H1667" s="16"/>
      <c r="I1667" s="16"/>
      <c r="J1667" s="16"/>
      <c r="K1667" s="16"/>
      <c r="L1667" s="16"/>
      <c r="M1667" s="16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24"/>
      <c r="AC1667" s="16"/>
      <c r="AD1667" s="16"/>
      <c r="AE1667" s="16"/>
      <c r="AF1667" s="16"/>
      <c r="AG1667" s="14"/>
      <c r="AH1667" s="14"/>
      <c r="AI1667" s="24"/>
      <c r="AJ1667" s="24"/>
      <c r="AK1667" s="24"/>
      <c r="AL1667" s="16"/>
      <c r="AM1667" s="16"/>
      <c r="AN1667" s="16"/>
      <c r="AO1667" s="16"/>
      <c r="AP1667" s="16"/>
      <c r="AQ1667" s="16"/>
      <c r="AR1667" s="16"/>
      <c r="AS1667" s="14"/>
      <c r="AT1667" s="14"/>
      <c r="AU1667" s="14"/>
      <c r="AV1667" s="14"/>
      <c r="AW1667" s="14"/>
      <c r="AX1667" s="14"/>
      <c r="AY1667" s="14"/>
      <c r="AZ1667" s="14"/>
      <c r="BA1667" s="14"/>
      <c r="BB1667" s="7"/>
    </row>
    <row r="1668" spans="7:54" x14ac:dyDescent="0.15">
      <c r="G1668" s="7"/>
      <c r="H1668" s="16"/>
      <c r="I1668" s="16"/>
      <c r="J1668" s="16"/>
      <c r="K1668" s="16"/>
      <c r="L1668" s="16"/>
      <c r="M1668" s="16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24"/>
      <c r="AC1668" s="16"/>
      <c r="AD1668" s="16"/>
      <c r="AE1668" s="16"/>
      <c r="AF1668" s="16"/>
      <c r="AG1668" s="14"/>
      <c r="AH1668" s="14"/>
      <c r="AI1668" s="24"/>
      <c r="AJ1668" s="24"/>
      <c r="AK1668" s="24"/>
      <c r="AL1668" s="16"/>
      <c r="AM1668" s="16"/>
      <c r="AN1668" s="16"/>
      <c r="AO1668" s="16"/>
      <c r="AP1668" s="16"/>
      <c r="AQ1668" s="16"/>
      <c r="AR1668" s="16"/>
      <c r="AS1668" s="14"/>
      <c r="AT1668" s="14"/>
      <c r="AU1668" s="14"/>
      <c r="AV1668" s="14"/>
      <c r="AW1668" s="14"/>
      <c r="AX1668" s="14"/>
      <c r="AY1668" s="14"/>
      <c r="AZ1668" s="14"/>
      <c r="BA1668" s="14"/>
      <c r="BB1668" s="7"/>
    </row>
    <row r="1669" spans="7:54" x14ac:dyDescent="0.15">
      <c r="G1669" s="7"/>
      <c r="H1669" s="16"/>
      <c r="I1669" s="16"/>
      <c r="J1669" s="16"/>
      <c r="K1669" s="16"/>
      <c r="L1669" s="16"/>
      <c r="M1669" s="16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24"/>
      <c r="AC1669" s="16"/>
      <c r="AD1669" s="16"/>
      <c r="AE1669" s="16"/>
      <c r="AF1669" s="16"/>
      <c r="AG1669" s="14"/>
      <c r="AH1669" s="14"/>
      <c r="AI1669" s="24"/>
      <c r="AJ1669" s="24"/>
      <c r="AK1669" s="24"/>
      <c r="AL1669" s="16"/>
      <c r="AM1669" s="16"/>
      <c r="AN1669" s="16"/>
      <c r="AO1669" s="16"/>
      <c r="AP1669" s="16"/>
      <c r="AQ1669" s="16"/>
      <c r="AR1669" s="16"/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7"/>
    </row>
    <row r="1670" spans="7:54" x14ac:dyDescent="0.15">
      <c r="G1670" s="7"/>
      <c r="H1670" s="16"/>
      <c r="I1670" s="16"/>
      <c r="J1670" s="16"/>
      <c r="K1670" s="16"/>
      <c r="L1670" s="16"/>
      <c r="M1670" s="16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24"/>
      <c r="AC1670" s="16"/>
      <c r="AD1670" s="16"/>
      <c r="AE1670" s="16"/>
      <c r="AF1670" s="16"/>
      <c r="AG1670" s="14"/>
      <c r="AH1670" s="14"/>
      <c r="AI1670" s="24"/>
      <c r="AJ1670" s="24"/>
      <c r="AK1670" s="24"/>
      <c r="AL1670" s="16"/>
      <c r="AM1670" s="16"/>
      <c r="AN1670" s="16"/>
      <c r="AO1670" s="16"/>
      <c r="AP1670" s="16"/>
      <c r="AQ1670" s="16"/>
      <c r="AR1670" s="16"/>
      <c r="AS1670" s="14"/>
      <c r="AT1670" s="14"/>
      <c r="AU1670" s="14"/>
      <c r="AV1670" s="14"/>
      <c r="AW1670" s="14"/>
      <c r="AX1670" s="14"/>
      <c r="AY1670" s="14"/>
      <c r="AZ1670" s="14"/>
      <c r="BA1670" s="14"/>
      <c r="BB1670" s="7"/>
    </row>
    <row r="1671" spans="7:54" x14ac:dyDescent="0.15">
      <c r="G1671" s="7"/>
      <c r="H1671" s="16"/>
      <c r="I1671" s="16"/>
      <c r="J1671" s="16"/>
      <c r="K1671" s="16"/>
      <c r="L1671" s="16"/>
      <c r="M1671" s="16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24"/>
      <c r="AC1671" s="16"/>
      <c r="AD1671" s="16"/>
      <c r="AE1671" s="16"/>
      <c r="AF1671" s="16"/>
      <c r="AG1671" s="14"/>
      <c r="AH1671" s="14"/>
      <c r="AI1671" s="24"/>
      <c r="AJ1671" s="24"/>
      <c r="AK1671" s="24"/>
      <c r="AL1671" s="16"/>
      <c r="AM1671" s="16"/>
      <c r="AN1671" s="16"/>
      <c r="AO1671" s="16"/>
      <c r="AP1671" s="16"/>
      <c r="AQ1671" s="16"/>
      <c r="AR1671" s="16"/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7"/>
    </row>
    <row r="1672" spans="7:54" x14ac:dyDescent="0.15">
      <c r="G1672" s="7"/>
      <c r="H1672" s="16"/>
      <c r="I1672" s="16"/>
      <c r="J1672" s="16"/>
      <c r="K1672" s="16"/>
      <c r="L1672" s="16"/>
      <c r="M1672" s="16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24"/>
      <c r="AC1672" s="16"/>
      <c r="AD1672" s="16"/>
      <c r="AE1672" s="16"/>
      <c r="AF1672" s="16"/>
      <c r="AG1672" s="14"/>
      <c r="AH1672" s="14"/>
      <c r="AI1672" s="24"/>
      <c r="AJ1672" s="24"/>
      <c r="AK1672" s="24"/>
      <c r="AL1672" s="16"/>
      <c r="AM1672" s="16"/>
      <c r="AN1672" s="16"/>
      <c r="AO1672" s="16"/>
      <c r="AP1672" s="16"/>
      <c r="AQ1672" s="16"/>
      <c r="AR1672" s="16"/>
      <c r="AS1672" s="14"/>
      <c r="AT1672" s="14"/>
      <c r="AU1672" s="14"/>
      <c r="AV1672" s="14"/>
      <c r="AW1672" s="14"/>
      <c r="AX1672" s="14"/>
      <c r="AY1672" s="14"/>
      <c r="AZ1672" s="14"/>
      <c r="BA1672" s="14"/>
      <c r="BB1672" s="7"/>
    </row>
    <row r="1673" spans="7:54" x14ac:dyDescent="0.15">
      <c r="G1673" s="7"/>
      <c r="H1673" s="16"/>
      <c r="I1673" s="16"/>
      <c r="J1673" s="16"/>
      <c r="K1673" s="16"/>
      <c r="L1673" s="16"/>
      <c r="M1673" s="16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24"/>
      <c r="AC1673" s="16"/>
      <c r="AD1673" s="16"/>
      <c r="AE1673" s="16"/>
      <c r="AF1673" s="16"/>
      <c r="AG1673" s="14"/>
      <c r="AH1673" s="14"/>
      <c r="AI1673" s="24"/>
      <c r="AJ1673" s="24"/>
      <c r="AK1673" s="24"/>
      <c r="AL1673" s="16"/>
      <c r="AM1673" s="16"/>
      <c r="AN1673" s="16"/>
      <c r="AO1673" s="16"/>
      <c r="AP1673" s="16"/>
      <c r="AQ1673" s="16"/>
      <c r="AR1673" s="16"/>
      <c r="AS1673" s="14"/>
      <c r="AT1673" s="14"/>
      <c r="AU1673" s="14"/>
      <c r="AV1673" s="14"/>
      <c r="AW1673" s="14"/>
      <c r="AX1673" s="14"/>
      <c r="AY1673" s="14"/>
      <c r="AZ1673" s="14"/>
      <c r="BA1673" s="14"/>
      <c r="BB1673" s="7"/>
    </row>
    <row r="1674" spans="7:54" x14ac:dyDescent="0.15">
      <c r="G1674" s="7"/>
      <c r="H1674" s="16"/>
      <c r="I1674" s="16"/>
      <c r="J1674" s="16"/>
      <c r="K1674" s="16"/>
      <c r="L1674" s="16"/>
      <c r="M1674" s="16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24"/>
      <c r="AC1674" s="16"/>
      <c r="AD1674" s="16"/>
      <c r="AE1674" s="16"/>
      <c r="AF1674" s="16"/>
      <c r="AG1674" s="14"/>
      <c r="AH1674" s="14"/>
      <c r="AI1674" s="24"/>
      <c r="AJ1674" s="24"/>
      <c r="AK1674" s="24"/>
      <c r="AL1674" s="16"/>
      <c r="AM1674" s="16"/>
      <c r="AN1674" s="16"/>
      <c r="AO1674" s="16"/>
      <c r="AP1674" s="16"/>
      <c r="AQ1674" s="16"/>
      <c r="AR1674" s="16"/>
      <c r="AS1674" s="14"/>
      <c r="AT1674" s="14"/>
      <c r="AU1674" s="14"/>
      <c r="AV1674" s="14"/>
      <c r="AW1674" s="14"/>
      <c r="AX1674" s="14"/>
      <c r="AY1674" s="14"/>
      <c r="AZ1674" s="14"/>
      <c r="BA1674" s="14"/>
      <c r="BB1674" s="7"/>
    </row>
    <row r="1675" spans="7:54" x14ac:dyDescent="0.15">
      <c r="G1675" s="7"/>
      <c r="H1675" s="16"/>
      <c r="I1675" s="16"/>
      <c r="J1675" s="16"/>
      <c r="K1675" s="16"/>
      <c r="L1675" s="16"/>
      <c r="M1675" s="16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24"/>
      <c r="AC1675" s="16"/>
      <c r="AD1675" s="16"/>
      <c r="AE1675" s="16"/>
      <c r="AF1675" s="16"/>
      <c r="AG1675" s="14"/>
      <c r="AH1675" s="14"/>
      <c r="AI1675" s="24"/>
      <c r="AJ1675" s="24"/>
      <c r="AK1675" s="24"/>
      <c r="AL1675" s="16"/>
      <c r="AM1675" s="16"/>
      <c r="AN1675" s="16"/>
      <c r="AO1675" s="16"/>
      <c r="AP1675" s="16"/>
      <c r="AQ1675" s="16"/>
      <c r="AR1675" s="16"/>
      <c r="AS1675" s="14"/>
      <c r="AT1675" s="14"/>
      <c r="AU1675" s="14"/>
      <c r="AV1675" s="14"/>
      <c r="AW1675" s="14"/>
      <c r="AX1675" s="14"/>
      <c r="AY1675" s="14"/>
      <c r="AZ1675" s="14"/>
      <c r="BA1675" s="14"/>
      <c r="BB1675" s="7"/>
    </row>
    <row r="1676" spans="7:54" x14ac:dyDescent="0.15">
      <c r="G1676" s="7"/>
      <c r="H1676" s="16"/>
      <c r="I1676" s="16"/>
      <c r="J1676" s="16"/>
      <c r="K1676" s="16"/>
      <c r="L1676" s="16"/>
      <c r="M1676" s="16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24"/>
      <c r="AC1676" s="16"/>
      <c r="AD1676" s="16"/>
      <c r="AE1676" s="16"/>
      <c r="AF1676" s="16"/>
      <c r="AG1676" s="14"/>
      <c r="AH1676" s="14"/>
      <c r="AI1676" s="24"/>
      <c r="AJ1676" s="24"/>
      <c r="AK1676" s="24"/>
      <c r="AL1676" s="16"/>
      <c r="AM1676" s="16"/>
      <c r="AN1676" s="16"/>
      <c r="AO1676" s="16"/>
      <c r="AP1676" s="16"/>
      <c r="AQ1676" s="16"/>
      <c r="AR1676" s="16"/>
      <c r="AS1676" s="14"/>
      <c r="AT1676" s="14"/>
      <c r="AU1676" s="14"/>
      <c r="AV1676" s="14"/>
      <c r="AW1676" s="14"/>
      <c r="AX1676" s="14"/>
      <c r="AY1676" s="14"/>
      <c r="AZ1676" s="14"/>
      <c r="BA1676" s="14"/>
      <c r="BB1676" s="7"/>
    </row>
    <row r="1677" spans="7:54" x14ac:dyDescent="0.15">
      <c r="G1677" s="7"/>
      <c r="H1677" s="16"/>
      <c r="I1677" s="16"/>
      <c r="J1677" s="16"/>
      <c r="K1677" s="16"/>
      <c r="L1677" s="16"/>
      <c r="M1677" s="16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24"/>
      <c r="AC1677" s="16"/>
      <c r="AD1677" s="16"/>
      <c r="AE1677" s="16"/>
      <c r="AF1677" s="16"/>
      <c r="AG1677" s="14"/>
      <c r="AH1677" s="14"/>
      <c r="AI1677" s="24"/>
      <c r="AJ1677" s="24"/>
      <c r="AK1677" s="24"/>
      <c r="AL1677" s="16"/>
      <c r="AM1677" s="16"/>
      <c r="AN1677" s="16"/>
      <c r="AO1677" s="16"/>
      <c r="AP1677" s="16"/>
      <c r="AQ1677" s="16"/>
      <c r="AR1677" s="16"/>
      <c r="AS1677" s="14"/>
      <c r="AT1677" s="14"/>
      <c r="AU1677" s="14"/>
      <c r="AV1677" s="14"/>
      <c r="AW1677" s="14"/>
      <c r="AX1677" s="14"/>
      <c r="AY1677" s="14"/>
      <c r="AZ1677" s="14"/>
      <c r="BA1677" s="14"/>
      <c r="BB1677" s="7"/>
    </row>
    <row r="1678" spans="7:54" x14ac:dyDescent="0.15">
      <c r="G1678" s="7"/>
      <c r="H1678" s="16"/>
      <c r="I1678" s="16"/>
      <c r="J1678" s="16"/>
      <c r="K1678" s="16"/>
      <c r="L1678" s="16"/>
      <c r="M1678" s="16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24"/>
      <c r="AC1678" s="16"/>
      <c r="AD1678" s="16"/>
      <c r="AE1678" s="16"/>
      <c r="AF1678" s="16"/>
      <c r="AG1678" s="14"/>
      <c r="AH1678" s="14"/>
      <c r="AI1678" s="24"/>
      <c r="AJ1678" s="24"/>
      <c r="AK1678" s="24"/>
      <c r="AL1678" s="16"/>
      <c r="AM1678" s="16"/>
      <c r="AN1678" s="16"/>
      <c r="AO1678" s="16"/>
      <c r="AP1678" s="16"/>
      <c r="AQ1678" s="16"/>
      <c r="AR1678" s="16"/>
      <c r="AS1678" s="14"/>
      <c r="AT1678" s="14"/>
      <c r="AU1678" s="14"/>
      <c r="AV1678" s="14"/>
      <c r="AW1678" s="14"/>
      <c r="AX1678" s="14"/>
      <c r="AY1678" s="14"/>
      <c r="AZ1678" s="14"/>
      <c r="BA1678" s="14"/>
      <c r="BB1678" s="7"/>
    </row>
    <row r="1679" spans="7:54" x14ac:dyDescent="0.15">
      <c r="G1679" s="7"/>
      <c r="H1679" s="16"/>
      <c r="I1679" s="16"/>
      <c r="J1679" s="16"/>
      <c r="K1679" s="16"/>
      <c r="L1679" s="16"/>
      <c r="M1679" s="16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24"/>
      <c r="AC1679" s="16"/>
      <c r="AD1679" s="16"/>
      <c r="AE1679" s="16"/>
      <c r="AF1679" s="16"/>
      <c r="AG1679" s="14"/>
      <c r="AH1679" s="14"/>
      <c r="AI1679" s="24"/>
      <c r="AJ1679" s="24"/>
      <c r="AK1679" s="24"/>
      <c r="AL1679" s="16"/>
      <c r="AM1679" s="16"/>
      <c r="AN1679" s="16"/>
      <c r="AO1679" s="16"/>
      <c r="AP1679" s="16"/>
      <c r="AQ1679" s="16"/>
      <c r="AR1679" s="16"/>
      <c r="AS1679" s="14"/>
      <c r="AT1679" s="14"/>
      <c r="AU1679" s="14"/>
      <c r="AV1679" s="14"/>
      <c r="AW1679" s="14"/>
      <c r="AX1679" s="14"/>
      <c r="AY1679" s="14"/>
      <c r="AZ1679" s="14"/>
      <c r="BA1679" s="14"/>
      <c r="BB1679" s="7"/>
    </row>
    <row r="1680" spans="7:54" x14ac:dyDescent="0.15">
      <c r="G1680" s="7"/>
      <c r="H1680" s="16"/>
      <c r="I1680" s="16"/>
      <c r="J1680" s="16"/>
      <c r="K1680" s="16"/>
      <c r="L1680" s="16"/>
      <c r="M1680" s="16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24"/>
      <c r="AC1680" s="16"/>
      <c r="AD1680" s="16"/>
      <c r="AE1680" s="16"/>
      <c r="AF1680" s="16"/>
      <c r="AG1680" s="14"/>
      <c r="AH1680" s="14"/>
      <c r="AI1680" s="24"/>
      <c r="AJ1680" s="24"/>
      <c r="AK1680" s="24"/>
      <c r="AL1680" s="16"/>
      <c r="AM1680" s="16"/>
      <c r="AN1680" s="16"/>
      <c r="AO1680" s="16"/>
      <c r="AP1680" s="16"/>
      <c r="AQ1680" s="16"/>
      <c r="AR1680" s="16"/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7"/>
    </row>
    <row r="1681" spans="7:54" x14ac:dyDescent="0.15">
      <c r="G1681" s="7"/>
      <c r="H1681" s="16"/>
      <c r="I1681" s="16"/>
      <c r="J1681" s="16"/>
      <c r="K1681" s="16"/>
      <c r="L1681" s="16"/>
      <c r="M1681" s="16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24"/>
      <c r="AC1681" s="16"/>
      <c r="AD1681" s="16"/>
      <c r="AE1681" s="16"/>
      <c r="AF1681" s="16"/>
      <c r="AG1681" s="14"/>
      <c r="AH1681" s="14"/>
      <c r="AI1681" s="24"/>
      <c r="AJ1681" s="24"/>
      <c r="AK1681" s="24"/>
      <c r="AL1681" s="16"/>
      <c r="AM1681" s="16"/>
      <c r="AN1681" s="16"/>
      <c r="AO1681" s="16"/>
      <c r="AP1681" s="16"/>
      <c r="AQ1681" s="16"/>
      <c r="AR1681" s="16"/>
      <c r="AS1681" s="14"/>
      <c r="AT1681" s="14"/>
      <c r="AU1681" s="14"/>
      <c r="AV1681" s="14"/>
      <c r="AW1681" s="14"/>
      <c r="AX1681" s="14"/>
      <c r="AY1681" s="14"/>
      <c r="AZ1681" s="14"/>
      <c r="BA1681" s="14"/>
      <c r="BB1681" s="7"/>
    </row>
    <row r="1682" spans="7:54" x14ac:dyDescent="0.15">
      <c r="G1682" s="7"/>
      <c r="H1682" s="16"/>
      <c r="I1682" s="16"/>
      <c r="J1682" s="16"/>
      <c r="K1682" s="16"/>
      <c r="L1682" s="16"/>
      <c r="M1682" s="16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24"/>
      <c r="AC1682" s="16"/>
      <c r="AD1682" s="16"/>
      <c r="AE1682" s="16"/>
      <c r="AF1682" s="16"/>
      <c r="AG1682" s="14"/>
      <c r="AH1682" s="14"/>
      <c r="AI1682" s="24"/>
      <c r="AJ1682" s="24"/>
      <c r="AK1682" s="24"/>
      <c r="AL1682" s="16"/>
      <c r="AM1682" s="16"/>
      <c r="AN1682" s="16"/>
      <c r="AO1682" s="16"/>
      <c r="AP1682" s="16"/>
      <c r="AQ1682" s="16"/>
      <c r="AR1682" s="16"/>
      <c r="AS1682" s="14"/>
      <c r="AT1682" s="14"/>
      <c r="AU1682" s="14"/>
      <c r="AV1682" s="14"/>
      <c r="AW1682" s="14"/>
      <c r="AX1682" s="14"/>
      <c r="AY1682" s="14"/>
      <c r="AZ1682" s="14"/>
      <c r="BA1682" s="14"/>
      <c r="BB1682" s="7"/>
    </row>
    <row r="1683" spans="7:54" x14ac:dyDescent="0.15">
      <c r="G1683" s="7"/>
      <c r="H1683" s="16"/>
      <c r="I1683" s="16"/>
      <c r="J1683" s="16"/>
      <c r="K1683" s="16"/>
      <c r="L1683" s="16"/>
      <c r="M1683" s="16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24"/>
      <c r="AC1683" s="16"/>
      <c r="AD1683" s="16"/>
      <c r="AE1683" s="16"/>
      <c r="AF1683" s="16"/>
      <c r="AG1683" s="14"/>
      <c r="AH1683" s="14"/>
      <c r="AI1683" s="24"/>
      <c r="AJ1683" s="24"/>
      <c r="AK1683" s="24"/>
      <c r="AL1683" s="16"/>
      <c r="AM1683" s="16"/>
      <c r="AN1683" s="16"/>
      <c r="AO1683" s="16"/>
      <c r="AP1683" s="16"/>
      <c r="AQ1683" s="16"/>
      <c r="AR1683" s="16"/>
      <c r="AS1683" s="14"/>
      <c r="AT1683" s="14"/>
      <c r="AU1683" s="14"/>
      <c r="AV1683" s="14"/>
      <c r="AW1683" s="14"/>
      <c r="AX1683" s="14"/>
      <c r="AY1683" s="14"/>
      <c r="AZ1683" s="14"/>
      <c r="BA1683" s="14"/>
      <c r="BB1683" s="7"/>
    </row>
    <row r="1684" spans="7:54" x14ac:dyDescent="0.15">
      <c r="G1684" s="7"/>
      <c r="H1684" s="16"/>
      <c r="I1684" s="16"/>
      <c r="J1684" s="16"/>
      <c r="K1684" s="16"/>
      <c r="L1684" s="16"/>
      <c r="M1684" s="16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  <c r="AB1684" s="24"/>
      <c r="AC1684" s="16"/>
      <c r="AD1684" s="16"/>
      <c r="AE1684" s="16"/>
      <c r="AF1684" s="16"/>
      <c r="AG1684" s="14"/>
      <c r="AH1684" s="14"/>
      <c r="AI1684" s="24"/>
      <c r="AJ1684" s="24"/>
      <c r="AK1684" s="24"/>
      <c r="AL1684" s="16"/>
      <c r="AM1684" s="16"/>
      <c r="AN1684" s="16"/>
      <c r="AO1684" s="16"/>
      <c r="AP1684" s="16"/>
      <c r="AQ1684" s="16"/>
      <c r="AR1684" s="16"/>
      <c r="AS1684" s="14"/>
      <c r="AT1684" s="14"/>
      <c r="AU1684" s="14"/>
      <c r="AV1684" s="14"/>
      <c r="AW1684" s="14"/>
      <c r="AX1684" s="14"/>
      <c r="AY1684" s="14"/>
      <c r="AZ1684" s="14"/>
      <c r="BA1684" s="14"/>
      <c r="BB1684" s="7"/>
    </row>
    <row r="1685" spans="7:54" x14ac:dyDescent="0.15">
      <c r="G1685" s="7"/>
      <c r="H1685" s="16"/>
      <c r="I1685" s="16"/>
      <c r="J1685" s="16"/>
      <c r="K1685" s="16"/>
      <c r="L1685" s="16"/>
      <c r="M1685" s="16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24"/>
      <c r="AC1685" s="16"/>
      <c r="AD1685" s="16"/>
      <c r="AE1685" s="16"/>
      <c r="AF1685" s="16"/>
      <c r="AG1685" s="14"/>
      <c r="AH1685" s="14"/>
      <c r="AI1685" s="24"/>
      <c r="AJ1685" s="24"/>
      <c r="AK1685" s="24"/>
      <c r="AL1685" s="16"/>
      <c r="AM1685" s="16"/>
      <c r="AN1685" s="16"/>
      <c r="AO1685" s="16"/>
      <c r="AP1685" s="16"/>
      <c r="AQ1685" s="16"/>
      <c r="AR1685" s="16"/>
      <c r="AS1685" s="14"/>
      <c r="AT1685" s="14"/>
      <c r="AU1685" s="14"/>
      <c r="AV1685" s="14"/>
      <c r="AW1685" s="14"/>
      <c r="AX1685" s="14"/>
      <c r="AY1685" s="14"/>
      <c r="AZ1685" s="14"/>
      <c r="BA1685" s="14"/>
      <c r="BB1685" s="7"/>
    </row>
    <row r="1686" spans="7:54" x14ac:dyDescent="0.15">
      <c r="G1686" s="7"/>
      <c r="H1686" s="16"/>
      <c r="I1686" s="16"/>
      <c r="J1686" s="16"/>
      <c r="K1686" s="16"/>
      <c r="L1686" s="16"/>
      <c r="M1686" s="16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24"/>
      <c r="AC1686" s="16"/>
      <c r="AD1686" s="16"/>
      <c r="AE1686" s="16"/>
      <c r="AF1686" s="16"/>
      <c r="AG1686" s="14"/>
      <c r="AH1686" s="14"/>
      <c r="AI1686" s="24"/>
      <c r="AJ1686" s="24"/>
      <c r="AK1686" s="24"/>
      <c r="AL1686" s="16"/>
      <c r="AM1686" s="16"/>
      <c r="AN1686" s="16"/>
      <c r="AO1686" s="16"/>
      <c r="AP1686" s="16"/>
      <c r="AQ1686" s="16"/>
      <c r="AR1686" s="16"/>
      <c r="AS1686" s="14"/>
      <c r="AT1686" s="14"/>
      <c r="AU1686" s="14"/>
      <c r="AV1686" s="14"/>
      <c r="AW1686" s="14"/>
      <c r="AX1686" s="14"/>
      <c r="AY1686" s="14"/>
      <c r="AZ1686" s="14"/>
      <c r="BA1686" s="14"/>
      <c r="BB1686" s="7"/>
    </row>
    <row r="1687" spans="7:54" x14ac:dyDescent="0.15">
      <c r="G1687" s="7"/>
      <c r="H1687" s="16"/>
      <c r="I1687" s="16"/>
      <c r="J1687" s="16"/>
      <c r="K1687" s="16"/>
      <c r="L1687" s="16"/>
      <c r="M1687" s="16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24"/>
      <c r="AC1687" s="16"/>
      <c r="AD1687" s="16"/>
      <c r="AE1687" s="16"/>
      <c r="AF1687" s="16"/>
      <c r="AG1687" s="14"/>
      <c r="AH1687" s="14"/>
      <c r="AI1687" s="24"/>
      <c r="AJ1687" s="24"/>
      <c r="AK1687" s="24"/>
      <c r="AL1687" s="16"/>
      <c r="AM1687" s="16"/>
      <c r="AN1687" s="16"/>
      <c r="AO1687" s="16"/>
      <c r="AP1687" s="16"/>
      <c r="AQ1687" s="16"/>
      <c r="AR1687" s="16"/>
      <c r="AS1687" s="14"/>
      <c r="AT1687" s="14"/>
      <c r="AU1687" s="14"/>
      <c r="AV1687" s="14"/>
      <c r="AW1687" s="14"/>
      <c r="AX1687" s="14"/>
      <c r="AY1687" s="14"/>
      <c r="AZ1687" s="14"/>
      <c r="BA1687" s="14"/>
      <c r="BB1687" s="7"/>
    </row>
    <row r="1688" spans="7:54" x14ac:dyDescent="0.15">
      <c r="G1688" s="7"/>
      <c r="H1688" s="16"/>
      <c r="I1688" s="16"/>
      <c r="J1688" s="16"/>
      <c r="K1688" s="16"/>
      <c r="L1688" s="16"/>
      <c r="M1688" s="16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24"/>
      <c r="AC1688" s="16"/>
      <c r="AD1688" s="16"/>
      <c r="AE1688" s="16"/>
      <c r="AF1688" s="16"/>
      <c r="AG1688" s="14"/>
      <c r="AH1688" s="14"/>
      <c r="AI1688" s="24"/>
      <c r="AJ1688" s="24"/>
      <c r="AK1688" s="24"/>
      <c r="AL1688" s="16"/>
      <c r="AM1688" s="16"/>
      <c r="AN1688" s="16"/>
      <c r="AO1688" s="16"/>
      <c r="AP1688" s="16"/>
      <c r="AQ1688" s="16"/>
      <c r="AR1688" s="16"/>
      <c r="AS1688" s="14"/>
      <c r="AT1688" s="14"/>
      <c r="AU1688" s="14"/>
      <c r="AV1688" s="14"/>
      <c r="AW1688" s="14"/>
      <c r="AX1688" s="14"/>
      <c r="AY1688" s="14"/>
      <c r="AZ1688" s="14"/>
      <c r="BA1688" s="14"/>
      <c r="BB1688" s="7"/>
    </row>
    <row r="1689" spans="7:54" x14ac:dyDescent="0.15">
      <c r="G1689" s="7"/>
      <c r="H1689" s="16"/>
      <c r="I1689" s="16"/>
      <c r="J1689" s="16"/>
      <c r="K1689" s="16"/>
      <c r="L1689" s="16"/>
      <c r="M1689" s="16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24"/>
      <c r="AC1689" s="16"/>
      <c r="AD1689" s="16"/>
      <c r="AE1689" s="16"/>
      <c r="AF1689" s="16"/>
      <c r="AG1689" s="14"/>
      <c r="AH1689" s="14"/>
      <c r="AI1689" s="24"/>
      <c r="AJ1689" s="24"/>
      <c r="AK1689" s="24"/>
      <c r="AL1689" s="16"/>
      <c r="AM1689" s="16"/>
      <c r="AN1689" s="16"/>
      <c r="AO1689" s="16"/>
      <c r="AP1689" s="16"/>
      <c r="AQ1689" s="16"/>
      <c r="AR1689" s="16"/>
      <c r="AS1689" s="14"/>
      <c r="AT1689" s="14"/>
      <c r="AU1689" s="14"/>
      <c r="AV1689" s="14"/>
      <c r="AW1689" s="14"/>
      <c r="AX1689" s="14"/>
      <c r="AY1689" s="14"/>
      <c r="AZ1689" s="14"/>
      <c r="BA1689" s="14"/>
      <c r="BB1689" s="7"/>
    </row>
    <row r="1690" spans="7:54" x14ac:dyDescent="0.15">
      <c r="G1690" s="7"/>
      <c r="H1690" s="16"/>
      <c r="I1690" s="16"/>
      <c r="J1690" s="16"/>
      <c r="K1690" s="16"/>
      <c r="L1690" s="16"/>
      <c r="M1690" s="16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24"/>
      <c r="AC1690" s="16"/>
      <c r="AD1690" s="16"/>
      <c r="AE1690" s="16"/>
      <c r="AF1690" s="16"/>
      <c r="AG1690" s="14"/>
      <c r="AH1690" s="14"/>
      <c r="AI1690" s="24"/>
      <c r="AJ1690" s="24"/>
      <c r="AK1690" s="24"/>
      <c r="AL1690" s="16"/>
      <c r="AM1690" s="16"/>
      <c r="AN1690" s="16"/>
      <c r="AO1690" s="16"/>
      <c r="AP1690" s="16"/>
      <c r="AQ1690" s="16"/>
      <c r="AR1690" s="16"/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7"/>
    </row>
    <row r="1691" spans="7:54" x14ac:dyDescent="0.15">
      <c r="G1691" s="7"/>
      <c r="H1691" s="16"/>
      <c r="I1691" s="16"/>
      <c r="J1691" s="16"/>
      <c r="K1691" s="16"/>
      <c r="L1691" s="16"/>
      <c r="M1691" s="16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24"/>
      <c r="AC1691" s="16"/>
      <c r="AD1691" s="16"/>
      <c r="AE1691" s="16"/>
      <c r="AF1691" s="16"/>
      <c r="AG1691" s="14"/>
      <c r="AH1691" s="14"/>
      <c r="AI1691" s="24"/>
      <c r="AJ1691" s="24"/>
      <c r="AK1691" s="24"/>
      <c r="AL1691" s="16"/>
      <c r="AM1691" s="16"/>
      <c r="AN1691" s="16"/>
      <c r="AO1691" s="16"/>
      <c r="AP1691" s="16"/>
      <c r="AQ1691" s="16"/>
      <c r="AR1691" s="16"/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7"/>
    </row>
    <row r="1692" spans="7:54" x14ac:dyDescent="0.15">
      <c r="G1692" s="7"/>
      <c r="H1692" s="16"/>
      <c r="I1692" s="16"/>
      <c r="J1692" s="16"/>
      <c r="K1692" s="16"/>
      <c r="L1692" s="16"/>
      <c r="M1692" s="16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24"/>
      <c r="AC1692" s="16"/>
      <c r="AD1692" s="16"/>
      <c r="AE1692" s="16"/>
      <c r="AF1692" s="16"/>
      <c r="AG1692" s="14"/>
      <c r="AH1692" s="14"/>
      <c r="AI1692" s="24"/>
      <c r="AJ1692" s="24"/>
      <c r="AK1692" s="24"/>
      <c r="AL1692" s="16"/>
      <c r="AM1692" s="16"/>
      <c r="AN1692" s="16"/>
      <c r="AO1692" s="16"/>
      <c r="AP1692" s="16"/>
      <c r="AQ1692" s="16"/>
      <c r="AR1692" s="16"/>
      <c r="AS1692" s="14"/>
      <c r="AT1692" s="14"/>
      <c r="AU1692" s="14"/>
      <c r="AV1692" s="14"/>
      <c r="AW1692" s="14"/>
      <c r="AX1692" s="14"/>
      <c r="AY1692" s="14"/>
      <c r="AZ1692" s="14"/>
      <c r="BA1692" s="14"/>
      <c r="BB1692" s="7"/>
    </row>
    <row r="1693" spans="7:54" x14ac:dyDescent="0.15">
      <c r="G1693" s="7"/>
      <c r="H1693" s="16"/>
      <c r="I1693" s="16"/>
      <c r="J1693" s="16"/>
      <c r="K1693" s="16"/>
      <c r="L1693" s="16"/>
      <c r="M1693" s="16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  <c r="AB1693" s="24"/>
      <c r="AC1693" s="16"/>
      <c r="AD1693" s="16"/>
      <c r="AE1693" s="16"/>
      <c r="AF1693" s="16"/>
      <c r="AG1693" s="14"/>
      <c r="AH1693" s="14"/>
      <c r="AI1693" s="24"/>
      <c r="AJ1693" s="24"/>
      <c r="AK1693" s="24"/>
      <c r="AL1693" s="16"/>
      <c r="AM1693" s="16"/>
      <c r="AN1693" s="16"/>
      <c r="AO1693" s="16"/>
      <c r="AP1693" s="16"/>
      <c r="AQ1693" s="16"/>
      <c r="AR1693" s="16"/>
      <c r="AS1693" s="14"/>
      <c r="AT1693" s="14"/>
      <c r="AU1693" s="14"/>
      <c r="AV1693" s="14"/>
      <c r="AW1693" s="14"/>
      <c r="AX1693" s="14"/>
      <c r="AY1693" s="14"/>
      <c r="AZ1693" s="14"/>
      <c r="BA1693" s="14"/>
      <c r="BB1693" s="7"/>
    </row>
    <row r="1694" spans="7:54" x14ac:dyDescent="0.15">
      <c r="G1694" s="7"/>
      <c r="H1694" s="16"/>
      <c r="I1694" s="16"/>
      <c r="J1694" s="16"/>
      <c r="K1694" s="16"/>
      <c r="L1694" s="16"/>
      <c r="M1694" s="16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24"/>
      <c r="AC1694" s="16"/>
      <c r="AD1694" s="16"/>
      <c r="AE1694" s="16"/>
      <c r="AF1694" s="16"/>
      <c r="AG1694" s="14"/>
      <c r="AH1694" s="14"/>
      <c r="AI1694" s="24"/>
      <c r="AJ1694" s="24"/>
      <c r="AK1694" s="24"/>
      <c r="AL1694" s="16"/>
      <c r="AM1694" s="16"/>
      <c r="AN1694" s="16"/>
      <c r="AO1694" s="16"/>
      <c r="AP1694" s="16"/>
      <c r="AQ1694" s="16"/>
      <c r="AR1694" s="16"/>
      <c r="AS1694" s="14"/>
      <c r="AT1694" s="14"/>
      <c r="AU1694" s="14"/>
      <c r="AV1694" s="14"/>
      <c r="AW1694" s="14"/>
      <c r="AX1694" s="14"/>
      <c r="AY1694" s="14"/>
      <c r="AZ1694" s="14"/>
      <c r="BA1694" s="14"/>
      <c r="BB1694" s="7"/>
    </row>
    <row r="1695" spans="7:54" x14ac:dyDescent="0.15">
      <c r="G1695" s="7"/>
      <c r="H1695" s="16"/>
      <c r="I1695" s="16"/>
      <c r="J1695" s="16"/>
      <c r="K1695" s="16"/>
      <c r="L1695" s="16"/>
      <c r="M1695" s="16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24"/>
      <c r="AC1695" s="16"/>
      <c r="AD1695" s="16"/>
      <c r="AE1695" s="16"/>
      <c r="AF1695" s="16"/>
      <c r="AG1695" s="14"/>
      <c r="AH1695" s="14"/>
      <c r="AI1695" s="24"/>
      <c r="AJ1695" s="24"/>
      <c r="AK1695" s="24"/>
      <c r="AL1695" s="16"/>
      <c r="AM1695" s="16"/>
      <c r="AN1695" s="16"/>
      <c r="AO1695" s="16"/>
      <c r="AP1695" s="16"/>
      <c r="AQ1695" s="16"/>
      <c r="AR1695" s="16"/>
      <c r="AS1695" s="14"/>
      <c r="AT1695" s="14"/>
      <c r="AU1695" s="14"/>
      <c r="AV1695" s="14"/>
      <c r="AW1695" s="14"/>
      <c r="AX1695" s="14"/>
      <c r="AY1695" s="14"/>
      <c r="AZ1695" s="14"/>
      <c r="BA1695" s="14"/>
      <c r="BB1695" s="7"/>
    </row>
    <row r="1696" spans="7:54" x14ac:dyDescent="0.15">
      <c r="G1696" s="7"/>
      <c r="H1696" s="16"/>
      <c r="I1696" s="16"/>
      <c r="J1696" s="16"/>
      <c r="K1696" s="16"/>
      <c r="L1696" s="16"/>
      <c r="M1696" s="16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24"/>
      <c r="AC1696" s="16"/>
      <c r="AD1696" s="16"/>
      <c r="AE1696" s="16"/>
      <c r="AF1696" s="16"/>
      <c r="AG1696" s="14"/>
      <c r="AH1696" s="14"/>
      <c r="AI1696" s="24"/>
      <c r="AJ1696" s="24"/>
      <c r="AK1696" s="24"/>
      <c r="AL1696" s="16"/>
      <c r="AM1696" s="16"/>
      <c r="AN1696" s="16"/>
      <c r="AO1696" s="16"/>
      <c r="AP1696" s="16"/>
      <c r="AQ1696" s="16"/>
      <c r="AR1696" s="16"/>
      <c r="AS1696" s="14"/>
      <c r="AT1696" s="14"/>
      <c r="AU1696" s="14"/>
      <c r="AV1696" s="14"/>
      <c r="AW1696" s="14"/>
      <c r="AX1696" s="14"/>
      <c r="AY1696" s="14"/>
      <c r="AZ1696" s="14"/>
      <c r="BA1696" s="14"/>
      <c r="BB1696" s="7"/>
    </row>
    <row r="1697" spans="7:54" x14ac:dyDescent="0.15">
      <c r="G1697" s="7"/>
      <c r="H1697" s="16"/>
      <c r="I1697" s="16"/>
      <c r="J1697" s="16"/>
      <c r="K1697" s="16"/>
      <c r="L1697" s="16"/>
      <c r="M1697" s="16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24"/>
      <c r="AC1697" s="16"/>
      <c r="AD1697" s="16"/>
      <c r="AE1697" s="16"/>
      <c r="AF1697" s="16"/>
      <c r="AG1697" s="14"/>
      <c r="AH1697" s="14"/>
      <c r="AI1697" s="24"/>
      <c r="AJ1697" s="24"/>
      <c r="AK1697" s="24"/>
      <c r="AL1697" s="16"/>
      <c r="AM1697" s="16"/>
      <c r="AN1697" s="16"/>
      <c r="AO1697" s="16"/>
      <c r="AP1697" s="16"/>
      <c r="AQ1697" s="16"/>
      <c r="AR1697" s="16"/>
      <c r="AS1697" s="14"/>
      <c r="AT1697" s="14"/>
      <c r="AU1697" s="14"/>
      <c r="AV1697" s="14"/>
      <c r="AW1697" s="14"/>
      <c r="AX1697" s="14"/>
      <c r="AY1697" s="14"/>
      <c r="AZ1697" s="14"/>
      <c r="BA1697" s="14"/>
      <c r="BB1697" s="7"/>
    </row>
    <row r="1698" spans="7:54" x14ac:dyDescent="0.15">
      <c r="G1698" s="7"/>
      <c r="H1698" s="16"/>
      <c r="I1698" s="16"/>
      <c r="J1698" s="16"/>
      <c r="K1698" s="16"/>
      <c r="L1698" s="16"/>
      <c r="M1698" s="16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  <c r="AB1698" s="24"/>
      <c r="AC1698" s="16"/>
      <c r="AD1698" s="16"/>
      <c r="AE1698" s="16"/>
      <c r="AF1698" s="16"/>
      <c r="AG1698" s="14"/>
      <c r="AH1698" s="14"/>
      <c r="AI1698" s="24"/>
      <c r="AJ1698" s="24"/>
      <c r="AK1698" s="24"/>
      <c r="AL1698" s="16"/>
      <c r="AM1698" s="16"/>
      <c r="AN1698" s="16"/>
      <c r="AO1698" s="16"/>
      <c r="AP1698" s="16"/>
      <c r="AQ1698" s="16"/>
      <c r="AR1698" s="16"/>
      <c r="AS1698" s="14"/>
      <c r="AT1698" s="14"/>
      <c r="AU1698" s="14"/>
      <c r="AV1698" s="14"/>
      <c r="AW1698" s="14"/>
      <c r="AX1698" s="14"/>
      <c r="AY1698" s="14"/>
      <c r="AZ1698" s="14"/>
      <c r="BA1698" s="14"/>
      <c r="BB1698" s="7"/>
    </row>
    <row r="1699" spans="7:54" x14ac:dyDescent="0.15">
      <c r="G1699" s="7"/>
      <c r="H1699" s="16"/>
      <c r="I1699" s="16"/>
      <c r="J1699" s="16"/>
      <c r="K1699" s="16"/>
      <c r="L1699" s="16"/>
      <c r="M1699" s="16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24"/>
      <c r="AC1699" s="16"/>
      <c r="AD1699" s="16"/>
      <c r="AE1699" s="16"/>
      <c r="AF1699" s="16"/>
      <c r="AG1699" s="14"/>
      <c r="AH1699" s="14"/>
      <c r="AI1699" s="24"/>
      <c r="AJ1699" s="24"/>
      <c r="AK1699" s="24"/>
      <c r="AL1699" s="16"/>
      <c r="AM1699" s="16"/>
      <c r="AN1699" s="16"/>
      <c r="AO1699" s="16"/>
      <c r="AP1699" s="16"/>
      <c r="AQ1699" s="16"/>
      <c r="AR1699" s="16"/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7"/>
    </row>
    <row r="1700" spans="7:54" x14ac:dyDescent="0.15">
      <c r="G1700" s="7"/>
      <c r="H1700" s="16"/>
      <c r="I1700" s="16"/>
      <c r="J1700" s="16"/>
      <c r="K1700" s="16"/>
      <c r="L1700" s="16"/>
      <c r="M1700" s="16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24"/>
      <c r="AC1700" s="16"/>
      <c r="AD1700" s="16"/>
      <c r="AE1700" s="16"/>
      <c r="AF1700" s="16"/>
      <c r="AG1700" s="14"/>
      <c r="AH1700" s="14"/>
      <c r="AI1700" s="24"/>
      <c r="AJ1700" s="24"/>
      <c r="AK1700" s="24"/>
      <c r="AL1700" s="16"/>
      <c r="AM1700" s="16"/>
      <c r="AN1700" s="16"/>
      <c r="AO1700" s="16"/>
      <c r="AP1700" s="16"/>
      <c r="AQ1700" s="16"/>
      <c r="AR1700" s="16"/>
      <c r="AS1700" s="14"/>
      <c r="AT1700" s="14"/>
      <c r="AU1700" s="14"/>
      <c r="AV1700" s="14"/>
      <c r="AW1700" s="14"/>
      <c r="AX1700" s="14"/>
      <c r="AY1700" s="14"/>
      <c r="AZ1700" s="14"/>
      <c r="BA1700" s="14"/>
      <c r="BB1700" s="7"/>
    </row>
    <row r="1701" spans="7:54" x14ac:dyDescent="0.15">
      <c r="G1701" s="7"/>
      <c r="H1701" s="16"/>
      <c r="I1701" s="16"/>
      <c r="J1701" s="16"/>
      <c r="K1701" s="16"/>
      <c r="L1701" s="16"/>
      <c r="M1701" s="16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24"/>
      <c r="AC1701" s="16"/>
      <c r="AD1701" s="16"/>
      <c r="AE1701" s="16"/>
      <c r="AF1701" s="16"/>
      <c r="AG1701" s="14"/>
      <c r="AH1701" s="14"/>
      <c r="AI1701" s="24"/>
      <c r="AJ1701" s="24"/>
      <c r="AK1701" s="24"/>
      <c r="AL1701" s="16"/>
      <c r="AM1701" s="16"/>
      <c r="AN1701" s="16"/>
      <c r="AO1701" s="16"/>
      <c r="AP1701" s="16"/>
      <c r="AQ1701" s="16"/>
      <c r="AR1701" s="16"/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7"/>
    </row>
    <row r="1702" spans="7:54" x14ac:dyDescent="0.15">
      <c r="G1702" s="7"/>
      <c r="H1702" s="16"/>
      <c r="I1702" s="16"/>
      <c r="J1702" s="16"/>
      <c r="K1702" s="16"/>
      <c r="L1702" s="16"/>
      <c r="M1702" s="16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24"/>
      <c r="AC1702" s="16"/>
      <c r="AD1702" s="16"/>
      <c r="AE1702" s="16"/>
      <c r="AF1702" s="16"/>
      <c r="AG1702" s="14"/>
      <c r="AH1702" s="14"/>
      <c r="AI1702" s="24"/>
      <c r="AJ1702" s="24"/>
      <c r="AK1702" s="24"/>
      <c r="AL1702" s="16"/>
      <c r="AM1702" s="16"/>
      <c r="AN1702" s="16"/>
      <c r="AO1702" s="16"/>
      <c r="AP1702" s="16"/>
      <c r="AQ1702" s="16"/>
      <c r="AR1702" s="16"/>
      <c r="AS1702" s="14"/>
      <c r="AT1702" s="14"/>
      <c r="AU1702" s="14"/>
      <c r="AV1702" s="14"/>
      <c r="AW1702" s="14"/>
      <c r="AX1702" s="14"/>
      <c r="AY1702" s="14"/>
      <c r="AZ1702" s="14"/>
      <c r="BA1702" s="14"/>
      <c r="BB1702" s="7"/>
    </row>
    <row r="1703" spans="7:54" x14ac:dyDescent="0.15">
      <c r="G1703" s="7"/>
      <c r="H1703" s="16"/>
      <c r="I1703" s="16"/>
      <c r="J1703" s="16"/>
      <c r="K1703" s="16"/>
      <c r="L1703" s="16"/>
      <c r="M1703" s="16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  <c r="AB1703" s="24"/>
      <c r="AC1703" s="16"/>
      <c r="AD1703" s="16"/>
      <c r="AE1703" s="16"/>
      <c r="AF1703" s="16"/>
      <c r="AG1703" s="14"/>
      <c r="AH1703" s="14"/>
      <c r="AI1703" s="24"/>
      <c r="AJ1703" s="24"/>
      <c r="AK1703" s="24"/>
      <c r="AL1703" s="16"/>
      <c r="AM1703" s="16"/>
      <c r="AN1703" s="16"/>
      <c r="AO1703" s="16"/>
      <c r="AP1703" s="16"/>
      <c r="AQ1703" s="16"/>
      <c r="AR1703" s="16"/>
      <c r="AS1703" s="14"/>
      <c r="AT1703" s="14"/>
      <c r="AU1703" s="14"/>
      <c r="AV1703" s="14"/>
      <c r="AW1703" s="14"/>
      <c r="AX1703" s="14"/>
      <c r="AY1703" s="14"/>
      <c r="AZ1703" s="14"/>
      <c r="BA1703" s="14"/>
      <c r="BB1703" s="7"/>
    </row>
    <row r="1704" spans="7:54" x14ac:dyDescent="0.15">
      <c r="G1704" s="7"/>
      <c r="H1704" s="16"/>
      <c r="I1704" s="16"/>
      <c r="J1704" s="16"/>
      <c r="K1704" s="16"/>
      <c r="L1704" s="16"/>
      <c r="M1704" s="16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  <c r="AB1704" s="24"/>
      <c r="AC1704" s="16"/>
      <c r="AD1704" s="16"/>
      <c r="AE1704" s="16"/>
      <c r="AF1704" s="16"/>
      <c r="AG1704" s="14"/>
      <c r="AH1704" s="14"/>
      <c r="AI1704" s="24"/>
      <c r="AJ1704" s="24"/>
      <c r="AK1704" s="24"/>
      <c r="AL1704" s="16"/>
      <c r="AM1704" s="16"/>
      <c r="AN1704" s="16"/>
      <c r="AO1704" s="16"/>
      <c r="AP1704" s="16"/>
      <c r="AQ1704" s="16"/>
      <c r="AR1704" s="16"/>
      <c r="AS1704" s="14"/>
      <c r="AT1704" s="14"/>
      <c r="AU1704" s="14"/>
      <c r="AV1704" s="14"/>
      <c r="AW1704" s="14"/>
      <c r="AX1704" s="14"/>
      <c r="AY1704" s="14"/>
      <c r="AZ1704" s="14"/>
      <c r="BA1704" s="14"/>
      <c r="BB1704" s="7"/>
    </row>
    <row r="1705" spans="7:54" x14ac:dyDescent="0.15">
      <c r="G1705" s="7"/>
      <c r="H1705" s="16"/>
      <c r="I1705" s="16"/>
      <c r="J1705" s="16"/>
      <c r="K1705" s="16"/>
      <c r="L1705" s="16"/>
      <c r="M1705" s="16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24"/>
      <c r="AC1705" s="16"/>
      <c r="AD1705" s="16"/>
      <c r="AE1705" s="16"/>
      <c r="AF1705" s="16"/>
      <c r="AG1705" s="14"/>
      <c r="AH1705" s="14"/>
      <c r="AI1705" s="24"/>
      <c r="AJ1705" s="24"/>
      <c r="AK1705" s="24"/>
      <c r="AL1705" s="16"/>
      <c r="AM1705" s="16"/>
      <c r="AN1705" s="16"/>
      <c r="AO1705" s="16"/>
      <c r="AP1705" s="16"/>
      <c r="AQ1705" s="16"/>
      <c r="AR1705" s="16"/>
      <c r="AS1705" s="14"/>
      <c r="AT1705" s="14"/>
      <c r="AU1705" s="14"/>
      <c r="AV1705" s="14"/>
      <c r="AW1705" s="14"/>
      <c r="AX1705" s="14"/>
      <c r="AY1705" s="14"/>
      <c r="AZ1705" s="14"/>
      <c r="BA1705" s="14"/>
      <c r="BB1705" s="7"/>
    </row>
    <row r="1706" spans="7:54" x14ac:dyDescent="0.15">
      <c r="G1706" s="7"/>
      <c r="H1706" s="16"/>
      <c r="I1706" s="16"/>
      <c r="J1706" s="16"/>
      <c r="K1706" s="16"/>
      <c r="L1706" s="16"/>
      <c r="M1706" s="16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24"/>
      <c r="AC1706" s="16"/>
      <c r="AD1706" s="16"/>
      <c r="AE1706" s="16"/>
      <c r="AF1706" s="16"/>
      <c r="AG1706" s="14"/>
      <c r="AH1706" s="14"/>
      <c r="AI1706" s="24"/>
      <c r="AJ1706" s="24"/>
      <c r="AK1706" s="24"/>
      <c r="AL1706" s="16"/>
      <c r="AM1706" s="16"/>
      <c r="AN1706" s="16"/>
      <c r="AO1706" s="16"/>
      <c r="AP1706" s="16"/>
      <c r="AQ1706" s="16"/>
      <c r="AR1706" s="16"/>
      <c r="AS1706" s="14"/>
      <c r="AT1706" s="14"/>
      <c r="AU1706" s="14"/>
      <c r="AV1706" s="14"/>
      <c r="AW1706" s="14"/>
      <c r="AX1706" s="14"/>
      <c r="AY1706" s="14"/>
      <c r="AZ1706" s="14"/>
      <c r="BA1706" s="14"/>
      <c r="BB1706" s="7"/>
    </row>
    <row r="1707" spans="7:54" x14ac:dyDescent="0.15">
      <c r="G1707" s="7"/>
      <c r="H1707" s="16"/>
      <c r="I1707" s="16"/>
      <c r="J1707" s="16"/>
      <c r="K1707" s="16"/>
      <c r="L1707" s="16"/>
      <c r="M1707" s="16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24"/>
      <c r="AC1707" s="16"/>
      <c r="AD1707" s="16"/>
      <c r="AE1707" s="16"/>
      <c r="AF1707" s="16"/>
      <c r="AG1707" s="14"/>
      <c r="AH1707" s="14"/>
      <c r="AI1707" s="24"/>
      <c r="AJ1707" s="24"/>
      <c r="AK1707" s="24"/>
      <c r="AL1707" s="16"/>
      <c r="AM1707" s="16"/>
      <c r="AN1707" s="16"/>
      <c r="AO1707" s="16"/>
      <c r="AP1707" s="16"/>
      <c r="AQ1707" s="16"/>
      <c r="AR1707" s="16"/>
      <c r="AS1707" s="14"/>
      <c r="AT1707" s="14"/>
      <c r="AU1707" s="14"/>
      <c r="AV1707" s="14"/>
      <c r="AW1707" s="14"/>
      <c r="AX1707" s="14"/>
      <c r="AY1707" s="14"/>
      <c r="AZ1707" s="14"/>
      <c r="BA1707" s="14"/>
      <c r="BB1707" s="7"/>
    </row>
    <row r="1708" spans="7:54" x14ac:dyDescent="0.15">
      <c r="G1708" s="7"/>
      <c r="H1708" s="16"/>
      <c r="I1708" s="16"/>
      <c r="J1708" s="16"/>
      <c r="K1708" s="16"/>
      <c r="L1708" s="16"/>
      <c r="M1708" s="16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24"/>
      <c r="AC1708" s="16"/>
      <c r="AD1708" s="16"/>
      <c r="AE1708" s="16"/>
      <c r="AF1708" s="16"/>
      <c r="AG1708" s="14"/>
      <c r="AH1708" s="14"/>
      <c r="AI1708" s="24"/>
      <c r="AJ1708" s="24"/>
      <c r="AK1708" s="24"/>
      <c r="AL1708" s="16"/>
      <c r="AM1708" s="16"/>
      <c r="AN1708" s="16"/>
      <c r="AO1708" s="16"/>
      <c r="AP1708" s="16"/>
      <c r="AQ1708" s="16"/>
      <c r="AR1708" s="16"/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7"/>
    </row>
    <row r="1709" spans="7:54" x14ac:dyDescent="0.15">
      <c r="G1709" s="7"/>
      <c r="H1709" s="16"/>
      <c r="I1709" s="16"/>
      <c r="J1709" s="16"/>
      <c r="K1709" s="16"/>
      <c r="L1709" s="16"/>
      <c r="M1709" s="16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24"/>
      <c r="AC1709" s="16"/>
      <c r="AD1709" s="16"/>
      <c r="AE1709" s="16"/>
      <c r="AF1709" s="16"/>
      <c r="AG1709" s="14"/>
      <c r="AH1709" s="14"/>
      <c r="AI1709" s="24"/>
      <c r="AJ1709" s="24"/>
      <c r="AK1709" s="24"/>
      <c r="AL1709" s="16"/>
      <c r="AM1709" s="16"/>
      <c r="AN1709" s="16"/>
      <c r="AO1709" s="16"/>
      <c r="AP1709" s="16"/>
      <c r="AQ1709" s="16"/>
      <c r="AR1709" s="16"/>
      <c r="AS1709" s="14"/>
      <c r="AT1709" s="14"/>
      <c r="AU1709" s="14"/>
      <c r="AV1709" s="14"/>
      <c r="AW1709" s="14"/>
      <c r="AX1709" s="14"/>
      <c r="AY1709" s="14"/>
      <c r="AZ1709" s="14"/>
      <c r="BA1709" s="14"/>
      <c r="BB1709" s="7"/>
    </row>
    <row r="1710" spans="7:54" x14ac:dyDescent="0.15">
      <c r="G1710" s="7"/>
      <c r="H1710" s="16"/>
      <c r="I1710" s="16"/>
      <c r="J1710" s="16"/>
      <c r="K1710" s="16"/>
      <c r="L1710" s="16"/>
      <c r="M1710" s="16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24"/>
      <c r="AC1710" s="16"/>
      <c r="AD1710" s="16"/>
      <c r="AE1710" s="16"/>
      <c r="AF1710" s="16"/>
      <c r="AG1710" s="14"/>
      <c r="AH1710" s="14"/>
      <c r="AI1710" s="24"/>
      <c r="AJ1710" s="24"/>
      <c r="AK1710" s="24"/>
      <c r="AL1710" s="16"/>
      <c r="AM1710" s="16"/>
      <c r="AN1710" s="16"/>
      <c r="AO1710" s="16"/>
      <c r="AP1710" s="16"/>
      <c r="AQ1710" s="16"/>
      <c r="AR1710" s="16"/>
      <c r="AS1710" s="14"/>
      <c r="AT1710" s="14"/>
      <c r="AU1710" s="14"/>
      <c r="AV1710" s="14"/>
      <c r="AW1710" s="14"/>
      <c r="AX1710" s="14"/>
      <c r="AY1710" s="14"/>
      <c r="AZ1710" s="14"/>
      <c r="BA1710" s="14"/>
      <c r="BB1710" s="7"/>
    </row>
    <row r="1711" spans="7:54" x14ac:dyDescent="0.15">
      <c r="G1711" s="7"/>
      <c r="H1711" s="16"/>
      <c r="I1711" s="16"/>
      <c r="J1711" s="16"/>
      <c r="K1711" s="16"/>
      <c r="L1711" s="16"/>
      <c r="M1711" s="16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24"/>
      <c r="AC1711" s="16"/>
      <c r="AD1711" s="16"/>
      <c r="AE1711" s="16"/>
      <c r="AF1711" s="16"/>
      <c r="AG1711" s="14"/>
      <c r="AH1711" s="14"/>
      <c r="AI1711" s="24"/>
      <c r="AJ1711" s="24"/>
      <c r="AK1711" s="24"/>
      <c r="AL1711" s="16"/>
      <c r="AM1711" s="16"/>
      <c r="AN1711" s="16"/>
      <c r="AO1711" s="16"/>
      <c r="AP1711" s="16"/>
      <c r="AQ1711" s="16"/>
      <c r="AR1711" s="16"/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7"/>
    </row>
    <row r="1712" spans="7:54" x14ac:dyDescent="0.15">
      <c r="G1712" s="7"/>
      <c r="H1712" s="16"/>
      <c r="I1712" s="16"/>
      <c r="J1712" s="16"/>
      <c r="K1712" s="16"/>
      <c r="L1712" s="16"/>
      <c r="M1712" s="16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24"/>
      <c r="AC1712" s="16"/>
      <c r="AD1712" s="16"/>
      <c r="AE1712" s="16"/>
      <c r="AF1712" s="16"/>
      <c r="AG1712" s="14"/>
      <c r="AH1712" s="14"/>
      <c r="AI1712" s="24"/>
      <c r="AJ1712" s="24"/>
      <c r="AK1712" s="24"/>
      <c r="AL1712" s="16"/>
      <c r="AM1712" s="16"/>
      <c r="AN1712" s="16"/>
      <c r="AO1712" s="16"/>
      <c r="AP1712" s="16"/>
      <c r="AQ1712" s="16"/>
      <c r="AR1712" s="16"/>
      <c r="AS1712" s="14"/>
      <c r="AT1712" s="14"/>
      <c r="AU1712" s="14"/>
      <c r="AV1712" s="14"/>
      <c r="AW1712" s="14"/>
      <c r="AX1712" s="14"/>
      <c r="AY1712" s="14"/>
      <c r="AZ1712" s="14"/>
      <c r="BA1712" s="14"/>
      <c r="BB1712" s="7"/>
    </row>
    <row r="1713" spans="7:54" x14ac:dyDescent="0.15">
      <c r="G1713" s="7"/>
      <c r="H1713" s="16"/>
      <c r="I1713" s="16"/>
      <c r="J1713" s="16"/>
      <c r="K1713" s="16"/>
      <c r="L1713" s="16"/>
      <c r="M1713" s="16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24"/>
      <c r="AC1713" s="16"/>
      <c r="AD1713" s="16"/>
      <c r="AE1713" s="16"/>
      <c r="AF1713" s="16"/>
      <c r="AG1713" s="14"/>
      <c r="AH1713" s="14"/>
      <c r="AI1713" s="24"/>
      <c r="AJ1713" s="24"/>
      <c r="AK1713" s="24"/>
      <c r="AL1713" s="16"/>
      <c r="AM1713" s="16"/>
      <c r="AN1713" s="16"/>
      <c r="AO1713" s="16"/>
      <c r="AP1713" s="16"/>
      <c r="AQ1713" s="16"/>
      <c r="AR1713" s="16"/>
      <c r="AS1713" s="14"/>
      <c r="AT1713" s="14"/>
      <c r="AU1713" s="14"/>
      <c r="AV1713" s="14"/>
      <c r="AW1713" s="14"/>
      <c r="AX1713" s="14"/>
      <c r="AY1713" s="14"/>
      <c r="AZ1713" s="14"/>
      <c r="BA1713" s="14"/>
      <c r="BB1713" s="7"/>
    </row>
    <row r="1714" spans="7:54" x14ac:dyDescent="0.15">
      <c r="G1714" s="7"/>
      <c r="H1714" s="16"/>
      <c r="I1714" s="16"/>
      <c r="J1714" s="16"/>
      <c r="K1714" s="16"/>
      <c r="L1714" s="16"/>
      <c r="M1714" s="16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  <c r="AB1714" s="24"/>
      <c r="AC1714" s="16"/>
      <c r="AD1714" s="16"/>
      <c r="AE1714" s="16"/>
      <c r="AF1714" s="16"/>
      <c r="AG1714" s="14"/>
      <c r="AH1714" s="14"/>
      <c r="AI1714" s="24"/>
      <c r="AJ1714" s="24"/>
      <c r="AK1714" s="24"/>
      <c r="AL1714" s="16"/>
      <c r="AM1714" s="16"/>
      <c r="AN1714" s="16"/>
      <c r="AO1714" s="16"/>
      <c r="AP1714" s="16"/>
      <c r="AQ1714" s="16"/>
      <c r="AR1714" s="16"/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7"/>
    </row>
    <row r="1715" spans="7:54" x14ac:dyDescent="0.15">
      <c r="G1715" s="7"/>
      <c r="H1715" s="16"/>
      <c r="I1715" s="16"/>
      <c r="J1715" s="16"/>
      <c r="K1715" s="16"/>
      <c r="L1715" s="16"/>
      <c r="M1715" s="16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  <c r="AB1715" s="24"/>
      <c r="AC1715" s="16"/>
      <c r="AD1715" s="16"/>
      <c r="AE1715" s="16"/>
      <c r="AF1715" s="16"/>
      <c r="AG1715" s="14"/>
      <c r="AH1715" s="14"/>
      <c r="AI1715" s="24"/>
      <c r="AJ1715" s="24"/>
      <c r="AK1715" s="24"/>
      <c r="AL1715" s="16"/>
      <c r="AM1715" s="16"/>
      <c r="AN1715" s="16"/>
      <c r="AO1715" s="16"/>
      <c r="AP1715" s="16"/>
      <c r="AQ1715" s="16"/>
      <c r="AR1715" s="16"/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7"/>
    </row>
    <row r="1716" spans="7:54" x14ac:dyDescent="0.15">
      <c r="G1716" s="7"/>
      <c r="H1716" s="16"/>
      <c r="I1716" s="16"/>
      <c r="J1716" s="16"/>
      <c r="K1716" s="16"/>
      <c r="L1716" s="16"/>
      <c r="M1716" s="16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24"/>
      <c r="AC1716" s="16"/>
      <c r="AD1716" s="16"/>
      <c r="AE1716" s="16"/>
      <c r="AF1716" s="16"/>
      <c r="AG1716" s="14"/>
      <c r="AH1716" s="14"/>
      <c r="AI1716" s="24"/>
      <c r="AJ1716" s="24"/>
      <c r="AK1716" s="24"/>
      <c r="AL1716" s="16"/>
      <c r="AM1716" s="16"/>
      <c r="AN1716" s="16"/>
      <c r="AO1716" s="16"/>
      <c r="AP1716" s="16"/>
      <c r="AQ1716" s="16"/>
      <c r="AR1716" s="16"/>
      <c r="AS1716" s="14"/>
      <c r="AT1716" s="14"/>
      <c r="AU1716" s="14"/>
      <c r="AV1716" s="14"/>
      <c r="AW1716" s="14"/>
      <c r="AX1716" s="14"/>
      <c r="AY1716" s="14"/>
      <c r="AZ1716" s="14"/>
      <c r="BA1716" s="14"/>
      <c r="BB1716" s="7"/>
    </row>
    <row r="1717" spans="7:54" x14ac:dyDescent="0.15">
      <c r="G1717" s="7"/>
      <c r="H1717" s="16"/>
      <c r="I1717" s="16"/>
      <c r="J1717" s="16"/>
      <c r="K1717" s="16"/>
      <c r="L1717" s="16"/>
      <c r="M1717" s="16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24"/>
      <c r="AC1717" s="16"/>
      <c r="AD1717" s="16"/>
      <c r="AE1717" s="16"/>
      <c r="AF1717" s="16"/>
      <c r="AG1717" s="14"/>
      <c r="AH1717" s="14"/>
      <c r="AI1717" s="24"/>
      <c r="AJ1717" s="24"/>
      <c r="AK1717" s="24"/>
      <c r="AL1717" s="16"/>
      <c r="AM1717" s="16"/>
      <c r="AN1717" s="16"/>
      <c r="AO1717" s="16"/>
      <c r="AP1717" s="16"/>
      <c r="AQ1717" s="16"/>
      <c r="AR1717" s="16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7"/>
    </row>
    <row r="1718" spans="7:54" x14ac:dyDescent="0.15">
      <c r="G1718" s="7"/>
      <c r="H1718" s="16"/>
      <c r="I1718" s="16"/>
      <c r="J1718" s="16"/>
      <c r="K1718" s="16"/>
      <c r="L1718" s="16"/>
      <c r="M1718" s="16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24"/>
      <c r="AC1718" s="16"/>
      <c r="AD1718" s="16"/>
      <c r="AE1718" s="16"/>
      <c r="AF1718" s="16"/>
      <c r="AG1718" s="14"/>
      <c r="AH1718" s="14"/>
      <c r="AI1718" s="24"/>
      <c r="AJ1718" s="24"/>
      <c r="AK1718" s="24"/>
      <c r="AL1718" s="16"/>
      <c r="AM1718" s="16"/>
      <c r="AN1718" s="16"/>
      <c r="AO1718" s="16"/>
      <c r="AP1718" s="16"/>
      <c r="AQ1718" s="16"/>
      <c r="AR1718" s="16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7"/>
    </row>
    <row r="1719" spans="7:54" x14ac:dyDescent="0.15">
      <c r="G1719" s="7"/>
      <c r="H1719" s="16"/>
      <c r="I1719" s="16"/>
      <c r="J1719" s="16"/>
      <c r="K1719" s="16"/>
      <c r="L1719" s="16"/>
      <c r="M1719" s="16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24"/>
      <c r="AC1719" s="16"/>
      <c r="AD1719" s="16"/>
      <c r="AE1719" s="16"/>
      <c r="AF1719" s="16"/>
      <c r="AG1719" s="14"/>
      <c r="AH1719" s="14"/>
      <c r="AI1719" s="24"/>
      <c r="AJ1719" s="24"/>
      <c r="AK1719" s="24"/>
      <c r="AL1719" s="16"/>
      <c r="AM1719" s="16"/>
      <c r="AN1719" s="16"/>
      <c r="AO1719" s="16"/>
      <c r="AP1719" s="16"/>
      <c r="AQ1719" s="16"/>
      <c r="AR1719" s="16"/>
      <c r="AS1719" s="14"/>
      <c r="AT1719" s="14"/>
      <c r="AU1719" s="14"/>
      <c r="AV1719" s="14"/>
      <c r="AW1719" s="14"/>
      <c r="AX1719" s="14"/>
      <c r="AY1719" s="14"/>
      <c r="AZ1719" s="14"/>
      <c r="BA1719" s="14"/>
      <c r="BB1719" s="7"/>
    </row>
    <row r="1720" spans="7:54" x14ac:dyDescent="0.15">
      <c r="G1720" s="7"/>
      <c r="H1720" s="16"/>
      <c r="I1720" s="16"/>
      <c r="J1720" s="16"/>
      <c r="K1720" s="16"/>
      <c r="L1720" s="16"/>
      <c r="M1720" s="16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24"/>
      <c r="AC1720" s="16"/>
      <c r="AD1720" s="16"/>
      <c r="AE1720" s="16"/>
      <c r="AF1720" s="16"/>
      <c r="AG1720" s="14"/>
      <c r="AH1720" s="14"/>
      <c r="AI1720" s="24"/>
      <c r="AJ1720" s="24"/>
      <c r="AK1720" s="24"/>
      <c r="AL1720" s="16"/>
      <c r="AM1720" s="16"/>
      <c r="AN1720" s="16"/>
      <c r="AO1720" s="16"/>
      <c r="AP1720" s="16"/>
      <c r="AQ1720" s="16"/>
      <c r="AR1720" s="16"/>
      <c r="AS1720" s="14"/>
      <c r="AT1720" s="14"/>
      <c r="AU1720" s="14"/>
      <c r="AV1720" s="14"/>
      <c r="AW1720" s="14"/>
      <c r="AX1720" s="14"/>
      <c r="AY1720" s="14"/>
      <c r="AZ1720" s="14"/>
      <c r="BA1720" s="14"/>
      <c r="BB1720" s="7"/>
    </row>
    <row r="1721" spans="7:54" x14ac:dyDescent="0.15">
      <c r="G1721" s="7"/>
      <c r="H1721" s="16"/>
      <c r="I1721" s="16"/>
      <c r="J1721" s="16"/>
      <c r="K1721" s="16"/>
      <c r="L1721" s="16"/>
      <c r="M1721" s="16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24"/>
      <c r="AC1721" s="16"/>
      <c r="AD1721" s="16"/>
      <c r="AE1721" s="16"/>
      <c r="AF1721" s="16"/>
      <c r="AG1721" s="14"/>
      <c r="AH1721" s="14"/>
      <c r="AI1721" s="24"/>
      <c r="AJ1721" s="24"/>
      <c r="AK1721" s="24"/>
      <c r="AL1721" s="16"/>
      <c r="AM1721" s="16"/>
      <c r="AN1721" s="16"/>
      <c r="AO1721" s="16"/>
      <c r="AP1721" s="16"/>
      <c r="AQ1721" s="16"/>
      <c r="AR1721" s="16"/>
      <c r="AS1721" s="14"/>
      <c r="AT1721" s="14"/>
      <c r="AU1721" s="14"/>
      <c r="AV1721" s="14"/>
      <c r="AW1721" s="14"/>
      <c r="AX1721" s="14"/>
      <c r="AY1721" s="14"/>
      <c r="AZ1721" s="14"/>
      <c r="BA1721" s="14"/>
      <c r="BB1721" s="7"/>
    </row>
    <row r="1722" spans="7:54" x14ac:dyDescent="0.15">
      <c r="G1722" s="7"/>
      <c r="H1722" s="16"/>
      <c r="I1722" s="16"/>
      <c r="J1722" s="16"/>
      <c r="K1722" s="16"/>
      <c r="L1722" s="16"/>
      <c r="M1722" s="16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24"/>
      <c r="AC1722" s="16"/>
      <c r="AD1722" s="16"/>
      <c r="AE1722" s="16"/>
      <c r="AF1722" s="16"/>
      <c r="AG1722" s="14"/>
      <c r="AH1722" s="14"/>
      <c r="AI1722" s="24"/>
      <c r="AJ1722" s="24"/>
      <c r="AK1722" s="24"/>
      <c r="AL1722" s="16"/>
      <c r="AM1722" s="16"/>
      <c r="AN1722" s="16"/>
      <c r="AO1722" s="16"/>
      <c r="AP1722" s="16"/>
      <c r="AQ1722" s="16"/>
      <c r="AR1722" s="16"/>
      <c r="AS1722" s="14"/>
      <c r="AT1722" s="14"/>
      <c r="AU1722" s="14"/>
      <c r="AV1722" s="14"/>
      <c r="AW1722" s="14"/>
      <c r="AX1722" s="14"/>
      <c r="AY1722" s="14"/>
      <c r="AZ1722" s="14"/>
      <c r="BA1722" s="14"/>
      <c r="BB1722" s="7"/>
    </row>
    <row r="1723" spans="7:54" x14ac:dyDescent="0.15">
      <c r="G1723" s="7"/>
      <c r="H1723" s="16"/>
      <c r="I1723" s="16"/>
      <c r="J1723" s="16"/>
      <c r="K1723" s="16"/>
      <c r="L1723" s="16"/>
      <c r="M1723" s="16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24"/>
      <c r="AC1723" s="16"/>
      <c r="AD1723" s="16"/>
      <c r="AE1723" s="16"/>
      <c r="AF1723" s="16"/>
      <c r="AG1723" s="14"/>
      <c r="AH1723" s="14"/>
      <c r="AI1723" s="24"/>
      <c r="AJ1723" s="24"/>
      <c r="AK1723" s="24"/>
      <c r="AL1723" s="16"/>
      <c r="AM1723" s="16"/>
      <c r="AN1723" s="16"/>
      <c r="AO1723" s="16"/>
      <c r="AP1723" s="16"/>
      <c r="AQ1723" s="16"/>
      <c r="AR1723" s="16"/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7"/>
    </row>
    <row r="1724" spans="7:54" x14ac:dyDescent="0.15">
      <c r="G1724" s="7"/>
      <c r="H1724" s="16"/>
      <c r="I1724" s="16"/>
      <c r="J1724" s="16"/>
      <c r="K1724" s="16"/>
      <c r="L1724" s="16"/>
      <c r="M1724" s="16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24"/>
      <c r="AC1724" s="16"/>
      <c r="AD1724" s="16"/>
      <c r="AE1724" s="16"/>
      <c r="AF1724" s="16"/>
      <c r="AG1724" s="14"/>
      <c r="AH1724" s="14"/>
      <c r="AI1724" s="24"/>
      <c r="AJ1724" s="24"/>
      <c r="AK1724" s="24"/>
      <c r="AL1724" s="16"/>
      <c r="AM1724" s="16"/>
      <c r="AN1724" s="16"/>
      <c r="AO1724" s="16"/>
      <c r="AP1724" s="16"/>
      <c r="AQ1724" s="16"/>
      <c r="AR1724" s="16"/>
      <c r="AS1724" s="14"/>
      <c r="AT1724" s="14"/>
      <c r="AU1724" s="14"/>
      <c r="AV1724" s="14"/>
      <c r="AW1724" s="14"/>
      <c r="AX1724" s="14"/>
      <c r="AY1724" s="14"/>
      <c r="AZ1724" s="14"/>
      <c r="BA1724" s="14"/>
      <c r="BB1724" s="7"/>
    </row>
    <row r="1725" spans="7:54" x14ac:dyDescent="0.15">
      <c r="G1725" s="7"/>
      <c r="H1725" s="16"/>
      <c r="I1725" s="16"/>
      <c r="J1725" s="16"/>
      <c r="K1725" s="16"/>
      <c r="L1725" s="16"/>
      <c r="M1725" s="16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24"/>
      <c r="AC1725" s="16"/>
      <c r="AD1725" s="16"/>
      <c r="AE1725" s="16"/>
      <c r="AF1725" s="16"/>
      <c r="AG1725" s="14"/>
      <c r="AH1725" s="14"/>
      <c r="AI1725" s="24"/>
      <c r="AJ1725" s="24"/>
      <c r="AK1725" s="24"/>
      <c r="AL1725" s="16"/>
      <c r="AM1725" s="16"/>
      <c r="AN1725" s="16"/>
      <c r="AO1725" s="16"/>
      <c r="AP1725" s="16"/>
      <c r="AQ1725" s="16"/>
      <c r="AR1725" s="16"/>
      <c r="AS1725" s="14"/>
      <c r="AT1725" s="14"/>
      <c r="AU1725" s="14"/>
      <c r="AV1725" s="14"/>
      <c r="AW1725" s="14"/>
      <c r="AX1725" s="14"/>
      <c r="AY1725" s="14"/>
      <c r="AZ1725" s="14"/>
      <c r="BA1725" s="14"/>
      <c r="BB1725" s="7"/>
    </row>
    <row r="1726" spans="7:54" x14ac:dyDescent="0.15">
      <c r="G1726" s="7"/>
      <c r="H1726" s="16"/>
      <c r="I1726" s="16"/>
      <c r="J1726" s="16"/>
      <c r="K1726" s="16"/>
      <c r="L1726" s="16"/>
      <c r="M1726" s="16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24"/>
      <c r="AC1726" s="16"/>
      <c r="AD1726" s="16"/>
      <c r="AE1726" s="16"/>
      <c r="AF1726" s="16"/>
      <c r="AG1726" s="14"/>
      <c r="AH1726" s="14"/>
      <c r="AI1726" s="24"/>
      <c r="AJ1726" s="24"/>
      <c r="AK1726" s="24"/>
      <c r="AL1726" s="16"/>
      <c r="AM1726" s="16"/>
      <c r="AN1726" s="16"/>
      <c r="AO1726" s="16"/>
      <c r="AP1726" s="16"/>
      <c r="AQ1726" s="16"/>
      <c r="AR1726" s="16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7"/>
    </row>
    <row r="1727" spans="7:54" x14ac:dyDescent="0.15">
      <c r="G1727" s="7"/>
      <c r="H1727" s="16"/>
      <c r="I1727" s="16"/>
      <c r="J1727" s="16"/>
      <c r="K1727" s="16"/>
      <c r="L1727" s="16"/>
      <c r="M1727" s="16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24"/>
      <c r="AC1727" s="16"/>
      <c r="AD1727" s="16"/>
      <c r="AE1727" s="16"/>
      <c r="AF1727" s="16"/>
      <c r="AG1727" s="14"/>
      <c r="AH1727" s="14"/>
      <c r="AI1727" s="24"/>
      <c r="AJ1727" s="24"/>
      <c r="AK1727" s="24"/>
      <c r="AL1727" s="16"/>
      <c r="AM1727" s="16"/>
      <c r="AN1727" s="16"/>
      <c r="AO1727" s="16"/>
      <c r="AP1727" s="16"/>
      <c r="AQ1727" s="16"/>
      <c r="AR1727" s="16"/>
      <c r="AS1727" s="14"/>
      <c r="AT1727" s="14"/>
      <c r="AU1727" s="14"/>
      <c r="AV1727" s="14"/>
      <c r="AW1727" s="14"/>
      <c r="AX1727" s="14"/>
      <c r="AY1727" s="14"/>
      <c r="AZ1727" s="14"/>
      <c r="BA1727" s="14"/>
      <c r="BB1727" s="7"/>
    </row>
    <row r="1728" spans="7:54" x14ac:dyDescent="0.15">
      <c r="G1728" s="7"/>
      <c r="H1728" s="16"/>
      <c r="I1728" s="16"/>
      <c r="J1728" s="16"/>
      <c r="K1728" s="16"/>
      <c r="L1728" s="16"/>
      <c r="M1728" s="16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  <c r="AB1728" s="24"/>
      <c r="AC1728" s="16"/>
      <c r="AD1728" s="16"/>
      <c r="AE1728" s="16"/>
      <c r="AF1728" s="16"/>
      <c r="AG1728" s="14"/>
      <c r="AH1728" s="14"/>
      <c r="AI1728" s="24"/>
      <c r="AJ1728" s="24"/>
      <c r="AK1728" s="24"/>
      <c r="AL1728" s="16"/>
      <c r="AM1728" s="16"/>
      <c r="AN1728" s="16"/>
      <c r="AO1728" s="16"/>
      <c r="AP1728" s="16"/>
      <c r="AQ1728" s="16"/>
      <c r="AR1728" s="16"/>
      <c r="AS1728" s="14"/>
      <c r="AT1728" s="14"/>
      <c r="AU1728" s="14"/>
      <c r="AV1728" s="14"/>
      <c r="AW1728" s="14"/>
      <c r="AX1728" s="14"/>
      <c r="AY1728" s="14"/>
      <c r="AZ1728" s="14"/>
      <c r="BA1728" s="14"/>
      <c r="BB1728" s="7"/>
    </row>
    <row r="1729" spans="7:54" x14ac:dyDescent="0.15">
      <c r="G1729" s="7"/>
      <c r="H1729" s="16"/>
      <c r="I1729" s="16"/>
      <c r="J1729" s="16"/>
      <c r="K1729" s="16"/>
      <c r="L1729" s="16"/>
      <c r="M1729" s="16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  <c r="AB1729" s="24"/>
      <c r="AC1729" s="16"/>
      <c r="AD1729" s="16"/>
      <c r="AE1729" s="16"/>
      <c r="AF1729" s="16"/>
      <c r="AG1729" s="14"/>
      <c r="AH1729" s="14"/>
      <c r="AI1729" s="24"/>
      <c r="AJ1729" s="24"/>
      <c r="AK1729" s="24"/>
      <c r="AL1729" s="16"/>
      <c r="AM1729" s="16"/>
      <c r="AN1729" s="16"/>
      <c r="AO1729" s="16"/>
      <c r="AP1729" s="16"/>
      <c r="AQ1729" s="16"/>
      <c r="AR1729" s="16"/>
      <c r="AS1729" s="14"/>
      <c r="AT1729" s="14"/>
      <c r="AU1729" s="14"/>
      <c r="AV1729" s="14"/>
      <c r="AW1729" s="14"/>
      <c r="AX1729" s="14"/>
      <c r="AY1729" s="14"/>
      <c r="AZ1729" s="14"/>
      <c r="BA1729" s="14"/>
      <c r="BB1729" s="7"/>
    </row>
    <row r="1730" spans="7:54" x14ac:dyDescent="0.15">
      <c r="G1730" s="7"/>
      <c r="H1730" s="16"/>
      <c r="I1730" s="16"/>
      <c r="J1730" s="16"/>
      <c r="K1730" s="16"/>
      <c r="L1730" s="16"/>
      <c r="M1730" s="16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24"/>
      <c r="AC1730" s="16"/>
      <c r="AD1730" s="16"/>
      <c r="AE1730" s="16"/>
      <c r="AF1730" s="16"/>
      <c r="AG1730" s="14"/>
      <c r="AH1730" s="14"/>
      <c r="AI1730" s="24"/>
      <c r="AJ1730" s="24"/>
      <c r="AK1730" s="24"/>
      <c r="AL1730" s="16"/>
      <c r="AM1730" s="16"/>
      <c r="AN1730" s="16"/>
      <c r="AO1730" s="16"/>
      <c r="AP1730" s="16"/>
      <c r="AQ1730" s="16"/>
      <c r="AR1730" s="16"/>
      <c r="AS1730" s="14"/>
      <c r="AT1730" s="14"/>
      <c r="AU1730" s="14"/>
      <c r="AV1730" s="14"/>
      <c r="AW1730" s="14"/>
      <c r="AX1730" s="14"/>
      <c r="AY1730" s="14"/>
      <c r="AZ1730" s="14"/>
      <c r="BA1730" s="14"/>
      <c r="BB1730" s="7"/>
    </row>
    <row r="1731" spans="7:54" x14ac:dyDescent="0.15">
      <c r="G1731" s="7"/>
      <c r="H1731" s="16"/>
      <c r="I1731" s="16"/>
      <c r="J1731" s="16"/>
      <c r="K1731" s="16"/>
      <c r="L1731" s="16"/>
      <c r="M1731" s="16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24"/>
      <c r="AC1731" s="16"/>
      <c r="AD1731" s="16"/>
      <c r="AE1731" s="16"/>
      <c r="AF1731" s="16"/>
      <c r="AG1731" s="14"/>
      <c r="AH1731" s="14"/>
      <c r="AI1731" s="24"/>
      <c r="AJ1731" s="24"/>
      <c r="AK1731" s="24"/>
      <c r="AL1731" s="16"/>
      <c r="AM1731" s="16"/>
      <c r="AN1731" s="16"/>
      <c r="AO1731" s="16"/>
      <c r="AP1731" s="16"/>
      <c r="AQ1731" s="16"/>
      <c r="AR1731" s="16"/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7"/>
    </row>
    <row r="1732" spans="7:54" x14ac:dyDescent="0.15">
      <c r="G1732" s="7"/>
      <c r="H1732" s="16"/>
      <c r="I1732" s="16"/>
      <c r="J1732" s="16"/>
      <c r="K1732" s="16"/>
      <c r="L1732" s="16"/>
      <c r="M1732" s="16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24"/>
      <c r="AC1732" s="16"/>
      <c r="AD1732" s="16"/>
      <c r="AE1732" s="16"/>
      <c r="AF1732" s="16"/>
      <c r="AG1732" s="14"/>
      <c r="AH1732" s="14"/>
      <c r="AI1732" s="24"/>
      <c r="AJ1732" s="24"/>
      <c r="AK1732" s="24"/>
      <c r="AL1732" s="16"/>
      <c r="AM1732" s="16"/>
      <c r="AN1732" s="16"/>
      <c r="AO1732" s="16"/>
      <c r="AP1732" s="16"/>
      <c r="AQ1732" s="16"/>
      <c r="AR1732" s="16"/>
      <c r="AS1732" s="14"/>
      <c r="AT1732" s="14"/>
      <c r="AU1732" s="14"/>
      <c r="AV1732" s="14"/>
      <c r="AW1732" s="14"/>
      <c r="AX1732" s="14"/>
      <c r="AY1732" s="14"/>
      <c r="AZ1732" s="14"/>
      <c r="BA1732" s="14"/>
      <c r="BB1732" s="7"/>
    </row>
    <row r="1733" spans="7:54" x14ac:dyDescent="0.15">
      <c r="G1733" s="7"/>
      <c r="H1733" s="16"/>
      <c r="I1733" s="16"/>
      <c r="J1733" s="16"/>
      <c r="K1733" s="16"/>
      <c r="L1733" s="16"/>
      <c r="M1733" s="16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24"/>
      <c r="AC1733" s="16"/>
      <c r="AD1733" s="16"/>
      <c r="AE1733" s="16"/>
      <c r="AF1733" s="16"/>
      <c r="AG1733" s="14"/>
      <c r="AH1733" s="14"/>
      <c r="AI1733" s="24"/>
      <c r="AJ1733" s="24"/>
      <c r="AK1733" s="24"/>
      <c r="AL1733" s="16"/>
      <c r="AM1733" s="16"/>
      <c r="AN1733" s="16"/>
      <c r="AO1733" s="16"/>
      <c r="AP1733" s="16"/>
      <c r="AQ1733" s="16"/>
      <c r="AR1733" s="16"/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7"/>
    </row>
    <row r="1734" spans="7:54" x14ac:dyDescent="0.15">
      <c r="G1734" s="7"/>
      <c r="H1734" s="16"/>
      <c r="I1734" s="16"/>
      <c r="J1734" s="16"/>
      <c r="K1734" s="16"/>
      <c r="L1734" s="16"/>
      <c r="M1734" s="16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24"/>
      <c r="AC1734" s="16"/>
      <c r="AD1734" s="16"/>
      <c r="AE1734" s="16"/>
      <c r="AF1734" s="16"/>
      <c r="AG1734" s="14"/>
      <c r="AH1734" s="14"/>
      <c r="AI1734" s="24"/>
      <c r="AJ1734" s="24"/>
      <c r="AK1734" s="24"/>
      <c r="AL1734" s="16"/>
      <c r="AM1734" s="16"/>
      <c r="AN1734" s="16"/>
      <c r="AO1734" s="16"/>
      <c r="AP1734" s="16"/>
      <c r="AQ1734" s="16"/>
      <c r="AR1734" s="16"/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7"/>
    </row>
    <row r="1735" spans="7:54" x14ac:dyDescent="0.15">
      <c r="G1735" s="7"/>
      <c r="H1735" s="16"/>
      <c r="I1735" s="16"/>
      <c r="J1735" s="16"/>
      <c r="K1735" s="16"/>
      <c r="L1735" s="16"/>
      <c r="M1735" s="16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24"/>
      <c r="AC1735" s="16"/>
      <c r="AD1735" s="16"/>
      <c r="AE1735" s="16"/>
      <c r="AF1735" s="16"/>
      <c r="AG1735" s="14"/>
      <c r="AH1735" s="14"/>
      <c r="AI1735" s="24"/>
      <c r="AJ1735" s="24"/>
      <c r="AK1735" s="24"/>
      <c r="AL1735" s="16"/>
      <c r="AM1735" s="16"/>
      <c r="AN1735" s="16"/>
      <c r="AO1735" s="16"/>
      <c r="AP1735" s="16"/>
      <c r="AQ1735" s="16"/>
      <c r="AR1735" s="16"/>
      <c r="AS1735" s="14"/>
      <c r="AT1735" s="14"/>
      <c r="AU1735" s="14"/>
      <c r="AV1735" s="14"/>
      <c r="AW1735" s="14"/>
      <c r="AX1735" s="14"/>
      <c r="AY1735" s="14"/>
      <c r="AZ1735" s="14"/>
      <c r="BA1735" s="14"/>
      <c r="BB1735" s="7"/>
    </row>
    <row r="1736" spans="7:54" x14ac:dyDescent="0.15">
      <c r="G1736" s="7"/>
      <c r="H1736" s="16"/>
      <c r="I1736" s="16"/>
      <c r="J1736" s="16"/>
      <c r="K1736" s="16"/>
      <c r="L1736" s="16"/>
      <c r="M1736" s="16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24"/>
      <c r="AC1736" s="16"/>
      <c r="AD1736" s="16"/>
      <c r="AE1736" s="16"/>
      <c r="AF1736" s="16"/>
      <c r="AG1736" s="14"/>
      <c r="AH1736" s="14"/>
      <c r="AI1736" s="24"/>
      <c r="AJ1736" s="24"/>
      <c r="AK1736" s="24"/>
      <c r="AL1736" s="16"/>
      <c r="AM1736" s="16"/>
      <c r="AN1736" s="16"/>
      <c r="AO1736" s="16"/>
      <c r="AP1736" s="16"/>
      <c r="AQ1736" s="16"/>
      <c r="AR1736" s="16"/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7"/>
    </row>
    <row r="1737" spans="7:54" x14ac:dyDescent="0.15">
      <c r="G1737" s="7"/>
      <c r="H1737" s="16"/>
      <c r="I1737" s="16"/>
      <c r="J1737" s="16"/>
      <c r="K1737" s="16"/>
      <c r="L1737" s="16"/>
      <c r="M1737" s="16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24"/>
      <c r="AC1737" s="16"/>
      <c r="AD1737" s="16"/>
      <c r="AE1737" s="16"/>
      <c r="AF1737" s="16"/>
      <c r="AG1737" s="14"/>
      <c r="AH1737" s="14"/>
      <c r="AI1737" s="24"/>
      <c r="AJ1737" s="24"/>
      <c r="AK1737" s="24"/>
      <c r="AL1737" s="16"/>
      <c r="AM1737" s="16"/>
      <c r="AN1737" s="16"/>
      <c r="AO1737" s="16"/>
      <c r="AP1737" s="16"/>
      <c r="AQ1737" s="16"/>
      <c r="AR1737" s="16"/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7"/>
    </row>
    <row r="1738" spans="7:54" x14ac:dyDescent="0.15">
      <c r="G1738" s="7"/>
      <c r="H1738" s="16"/>
      <c r="I1738" s="16"/>
      <c r="J1738" s="16"/>
      <c r="K1738" s="16"/>
      <c r="L1738" s="16"/>
      <c r="M1738" s="16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24"/>
      <c r="AC1738" s="16"/>
      <c r="AD1738" s="16"/>
      <c r="AE1738" s="16"/>
      <c r="AF1738" s="16"/>
      <c r="AG1738" s="14"/>
      <c r="AH1738" s="14"/>
      <c r="AI1738" s="24"/>
      <c r="AJ1738" s="24"/>
      <c r="AK1738" s="24"/>
      <c r="AL1738" s="16"/>
      <c r="AM1738" s="16"/>
      <c r="AN1738" s="16"/>
      <c r="AO1738" s="16"/>
      <c r="AP1738" s="16"/>
      <c r="AQ1738" s="16"/>
      <c r="AR1738" s="16"/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7"/>
    </row>
    <row r="1739" spans="7:54" x14ac:dyDescent="0.15">
      <c r="G1739" s="7"/>
      <c r="H1739" s="16"/>
      <c r="I1739" s="16"/>
      <c r="J1739" s="16"/>
      <c r="K1739" s="16"/>
      <c r="L1739" s="16"/>
      <c r="M1739" s="16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24"/>
      <c r="AC1739" s="16"/>
      <c r="AD1739" s="16"/>
      <c r="AE1739" s="16"/>
      <c r="AF1739" s="16"/>
      <c r="AG1739" s="14"/>
      <c r="AH1739" s="14"/>
      <c r="AI1739" s="24"/>
      <c r="AJ1739" s="24"/>
      <c r="AK1739" s="24"/>
      <c r="AL1739" s="16"/>
      <c r="AM1739" s="16"/>
      <c r="AN1739" s="16"/>
      <c r="AO1739" s="16"/>
      <c r="AP1739" s="16"/>
      <c r="AQ1739" s="16"/>
      <c r="AR1739" s="16"/>
      <c r="AS1739" s="14"/>
      <c r="AT1739" s="14"/>
      <c r="AU1739" s="14"/>
      <c r="AV1739" s="14"/>
      <c r="AW1739" s="14"/>
      <c r="AX1739" s="14"/>
      <c r="AY1739" s="14"/>
      <c r="AZ1739" s="14"/>
      <c r="BA1739" s="14"/>
      <c r="BB1739" s="7"/>
    </row>
    <row r="1740" spans="7:54" x14ac:dyDescent="0.15">
      <c r="G1740" s="7"/>
      <c r="H1740" s="16"/>
      <c r="I1740" s="16"/>
      <c r="J1740" s="16"/>
      <c r="K1740" s="16"/>
      <c r="L1740" s="16"/>
      <c r="M1740" s="16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24"/>
      <c r="AC1740" s="16"/>
      <c r="AD1740" s="16"/>
      <c r="AE1740" s="16"/>
      <c r="AF1740" s="16"/>
      <c r="AG1740" s="14"/>
      <c r="AH1740" s="14"/>
      <c r="AI1740" s="24"/>
      <c r="AJ1740" s="24"/>
      <c r="AK1740" s="24"/>
      <c r="AL1740" s="16"/>
      <c r="AM1740" s="16"/>
      <c r="AN1740" s="16"/>
      <c r="AO1740" s="16"/>
      <c r="AP1740" s="16"/>
      <c r="AQ1740" s="16"/>
      <c r="AR1740" s="16"/>
      <c r="AS1740" s="14"/>
      <c r="AT1740" s="14"/>
      <c r="AU1740" s="14"/>
      <c r="AV1740" s="14"/>
      <c r="AW1740" s="14"/>
      <c r="AX1740" s="14"/>
      <c r="AY1740" s="14"/>
      <c r="AZ1740" s="14"/>
      <c r="BA1740" s="14"/>
      <c r="BB1740" s="7"/>
    </row>
    <row r="1741" spans="7:54" x14ac:dyDescent="0.15">
      <c r="G1741" s="7"/>
      <c r="H1741" s="16"/>
      <c r="I1741" s="16"/>
      <c r="J1741" s="16"/>
      <c r="K1741" s="16"/>
      <c r="L1741" s="16"/>
      <c r="M1741" s="16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24"/>
      <c r="AC1741" s="16"/>
      <c r="AD1741" s="16"/>
      <c r="AE1741" s="16"/>
      <c r="AF1741" s="16"/>
      <c r="AG1741" s="14"/>
      <c r="AH1741" s="14"/>
      <c r="AI1741" s="24"/>
      <c r="AJ1741" s="24"/>
      <c r="AK1741" s="24"/>
      <c r="AL1741" s="16"/>
      <c r="AM1741" s="16"/>
      <c r="AN1741" s="16"/>
      <c r="AO1741" s="16"/>
      <c r="AP1741" s="16"/>
      <c r="AQ1741" s="16"/>
      <c r="AR1741" s="16"/>
      <c r="AS1741" s="14"/>
      <c r="AT1741" s="14"/>
      <c r="AU1741" s="14"/>
      <c r="AV1741" s="14"/>
      <c r="AW1741" s="14"/>
      <c r="AX1741" s="14"/>
      <c r="AY1741" s="14"/>
      <c r="AZ1741" s="14"/>
      <c r="BA1741" s="14"/>
      <c r="BB1741" s="7"/>
    </row>
    <row r="1742" spans="7:54" x14ac:dyDescent="0.15">
      <c r="G1742" s="7"/>
      <c r="H1742" s="16"/>
      <c r="I1742" s="16"/>
      <c r="J1742" s="16"/>
      <c r="K1742" s="16"/>
      <c r="L1742" s="16"/>
      <c r="M1742" s="16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24"/>
      <c r="AC1742" s="16"/>
      <c r="AD1742" s="16"/>
      <c r="AE1742" s="16"/>
      <c r="AF1742" s="16"/>
      <c r="AG1742" s="14"/>
      <c r="AH1742" s="14"/>
      <c r="AI1742" s="24"/>
      <c r="AJ1742" s="24"/>
      <c r="AK1742" s="24"/>
      <c r="AL1742" s="16"/>
      <c r="AM1742" s="16"/>
      <c r="AN1742" s="16"/>
      <c r="AO1742" s="16"/>
      <c r="AP1742" s="16"/>
      <c r="AQ1742" s="16"/>
      <c r="AR1742" s="16"/>
      <c r="AS1742" s="14"/>
      <c r="AT1742" s="14"/>
      <c r="AU1742" s="14"/>
      <c r="AV1742" s="14"/>
      <c r="AW1742" s="14"/>
      <c r="AX1742" s="14"/>
      <c r="AY1742" s="14"/>
      <c r="AZ1742" s="14"/>
      <c r="BA1742" s="14"/>
      <c r="BB1742" s="7"/>
    </row>
    <row r="1743" spans="7:54" x14ac:dyDescent="0.15">
      <c r="G1743" s="7"/>
      <c r="H1743" s="16"/>
      <c r="I1743" s="16"/>
      <c r="J1743" s="16"/>
      <c r="K1743" s="16"/>
      <c r="L1743" s="16"/>
      <c r="M1743" s="16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24"/>
      <c r="AC1743" s="16"/>
      <c r="AD1743" s="16"/>
      <c r="AE1743" s="16"/>
      <c r="AF1743" s="16"/>
      <c r="AG1743" s="14"/>
      <c r="AH1743" s="14"/>
      <c r="AI1743" s="24"/>
      <c r="AJ1743" s="24"/>
      <c r="AK1743" s="24"/>
      <c r="AL1743" s="16"/>
      <c r="AM1743" s="16"/>
      <c r="AN1743" s="16"/>
      <c r="AO1743" s="16"/>
      <c r="AP1743" s="16"/>
      <c r="AQ1743" s="16"/>
      <c r="AR1743" s="16"/>
      <c r="AS1743" s="14"/>
      <c r="AT1743" s="14"/>
      <c r="AU1743" s="14"/>
      <c r="AV1743" s="14"/>
      <c r="AW1743" s="14"/>
      <c r="AX1743" s="14"/>
      <c r="AY1743" s="14"/>
      <c r="AZ1743" s="14"/>
      <c r="BA1743" s="14"/>
      <c r="BB1743" s="7"/>
    </row>
    <row r="1744" spans="7:54" x14ac:dyDescent="0.15">
      <c r="G1744" s="7"/>
      <c r="H1744" s="16"/>
      <c r="I1744" s="16"/>
      <c r="J1744" s="16"/>
      <c r="K1744" s="16"/>
      <c r="L1744" s="16"/>
      <c r="M1744" s="16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24"/>
      <c r="AC1744" s="16"/>
      <c r="AD1744" s="16"/>
      <c r="AE1744" s="16"/>
      <c r="AF1744" s="16"/>
      <c r="AG1744" s="14"/>
      <c r="AH1744" s="14"/>
      <c r="AI1744" s="24"/>
      <c r="AJ1744" s="24"/>
      <c r="AK1744" s="24"/>
      <c r="AL1744" s="16"/>
      <c r="AM1744" s="16"/>
      <c r="AN1744" s="16"/>
      <c r="AO1744" s="16"/>
      <c r="AP1744" s="16"/>
      <c r="AQ1744" s="16"/>
      <c r="AR1744" s="16"/>
      <c r="AS1744" s="14"/>
      <c r="AT1744" s="14"/>
      <c r="AU1744" s="14"/>
      <c r="AV1744" s="14"/>
      <c r="AW1744" s="14"/>
      <c r="AX1744" s="14"/>
      <c r="AY1744" s="14"/>
      <c r="AZ1744" s="14"/>
      <c r="BA1744" s="14"/>
      <c r="BB1744" s="7"/>
    </row>
    <row r="1745" spans="7:54" x14ac:dyDescent="0.15">
      <c r="G1745" s="7"/>
      <c r="H1745" s="16"/>
      <c r="I1745" s="16"/>
      <c r="J1745" s="16"/>
      <c r="K1745" s="16"/>
      <c r="L1745" s="16"/>
      <c r="M1745" s="16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24"/>
      <c r="AC1745" s="16"/>
      <c r="AD1745" s="16"/>
      <c r="AE1745" s="16"/>
      <c r="AF1745" s="16"/>
      <c r="AG1745" s="14"/>
      <c r="AH1745" s="14"/>
      <c r="AI1745" s="24"/>
      <c r="AJ1745" s="24"/>
      <c r="AK1745" s="24"/>
      <c r="AL1745" s="16"/>
      <c r="AM1745" s="16"/>
      <c r="AN1745" s="16"/>
      <c r="AO1745" s="16"/>
      <c r="AP1745" s="16"/>
      <c r="AQ1745" s="16"/>
      <c r="AR1745" s="16"/>
      <c r="AS1745" s="14"/>
      <c r="AT1745" s="14"/>
      <c r="AU1745" s="14"/>
      <c r="AV1745" s="14"/>
      <c r="AW1745" s="14"/>
      <c r="AX1745" s="14"/>
      <c r="AY1745" s="14"/>
      <c r="AZ1745" s="14"/>
      <c r="BA1745" s="14"/>
      <c r="BB1745" s="7"/>
    </row>
    <row r="1746" spans="7:54" x14ac:dyDescent="0.15">
      <c r="G1746" s="7"/>
      <c r="H1746" s="16"/>
      <c r="I1746" s="16"/>
      <c r="J1746" s="16"/>
      <c r="K1746" s="16"/>
      <c r="L1746" s="16"/>
      <c r="M1746" s="16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24"/>
      <c r="AC1746" s="16"/>
      <c r="AD1746" s="16"/>
      <c r="AE1746" s="16"/>
      <c r="AF1746" s="16"/>
      <c r="AG1746" s="14"/>
      <c r="AH1746" s="14"/>
      <c r="AI1746" s="24"/>
      <c r="AJ1746" s="24"/>
      <c r="AK1746" s="24"/>
      <c r="AL1746" s="16"/>
      <c r="AM1746" s="16"/>
      <c r="AN1746" s="16"/>
      <c r="AO1746" s="16"/>
      <c r="AP1746" s="16"/>
      <c r="AQ1746" s="16"/>
      <c r="AR1746" s="16"/>
      <c r="AS1746" s="14"/>
      <c r="AT1746" s="14"/>
      <c r="AU1746" s="14"/>
      <c r="AV1746" s="14"/>
      <c r="AW1746" s="14"/>
      <c r="AX1746" s="14"/>
      <c r="AY1746" s="14"/>
      <c r="AZ1746" s="14"/>
      <c r="BA1746" s="14"/>
      <c r="BB1746" s="7"/>
    </row>
    <row r="1747" spans="7:54" x14ac:dyDescent="0.15">
      <c r="G1747" s="7"/>
      <c r="H1747" s="16"/>
      <c r="I1747" s="16"/>
      <c r="J1747" s="16"/>
      <c r="K1747" s="16"/>
      <c r="L1747" s="16"/>
      <c r="M1747" s="16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24"/>
      <c r="AC1747" s="16"/>
      <c r="AD1747" s="16"/>
      <c r="AE1747" s="16"/>
      <c r="AF1747" s="16"/>
      <c r="AG1747" s="14"/>
      <c r="AH1747" s="14"/>
      <c r="AI1747" s="24"/>
      <c r="AJ1747" s="24"/>
      <c r="AK1747" s="24"/>
      <c r="AL1747" s="16"/>
      <c r="AM1747" s="16"/>
      <c r="AN1747" s="16"/>
      <c r="AO1747" s="16"/>
      <c r="AP1747" s="16"/>
      <c r="AQ1747" s="16"/>
      <c r="AR1747" s="16"/>
      <c r="AS1747" s="14"/>
      <c r="AT1747" s="14"/>
      <c r="AU1747" s="14"/>
      <c r="AV1747" s="14"/>
      <c r="AW1747" s="14"/>
      <c r="AX1747" s="14"/>
      <c r="AY1747" s="14"/>
      <c r="AZ1747" s="14"/>
      <c r="BA1747" s="14"/>
      <c r="BB1747" s="7"/>
    </row>
    <row r="1748" spans="7:54" x14ac:dyDescent="0.15">
      <c r="G1748" s="7"/>
      <c r="H1748" s="16"/>
      <c r="I1748" s="16"/>
      <c r="J1748" s="16"/>
      <c r="K1748" s="16"/>
      <c r="L1748" s="16"/>
      <c r="M1748" s="16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  <c r="AB1748" s="24"/>
      <c r="AC1748" s="16"/>
      <c r="AD1748" s="16"/>
      <c r="AE1748" s="16"/>
      <c r="AF1748" s="16"/>
      <c r="AG1748" s="14"/>
      <c r="AH1748" s="14"/>
      <c r="AI1748" s="24"/>
      <c r="AJ1748" s="24"/>
      <c r="AK1748" s="24"/>
      <c r="AL1748" s="16"/>
      <c r="AM1748" s="16"/>
      <c r="AN1748" s="16"/>
      <c r="AO1748" s="16"/>
      <c r="AP1748" s="16"/>
      <c r="AQ1748" s="16"/>
      <c r="AR1748" s="16"/>
      <c r="AS1748" s="14"/>
      <c r="AT1748" s="14"/>
      <c r="AU1748" s="14"/>
      <c r="AV1748" s="14"/>
      <c r="AW1748" s="14"/>
      <c r="AX1748" s="14"/>
      <c r="AY1748" s="14"/>
      <c r="AZ1748" s="14"/>
      <c r="BA1748" s="14"/>
      <c r="BB1748" s="7"/>
    </row>
    <row r="1749" spans="7:54" x14ac:dyDescent="0.15">
      <c r="G1749" s="7"/>
      <c r="H1749" s="16"/>
      <c r="I1749" s="16"/>
      <c r="J1749" s="16"/>
      <c r="K1749" s="16"/>
      <c r="L1749" s="16"/>
      <c r="M1749" s="16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24"/>
      <c r="AC1749" s="16"/>
      <c r="AD1749" s="16"/>
      <c r="AE1749" s="16"/>
      <c r="AF1749" s="16"/>
      <c r="AG1749" s="14"/>
      <c r="AH1749" s="14"/>
      <c r="AI1749" s="24"/>
      <c r="AJ1749" s="24"/>
      <c r="AK1749" s="24"/>
      <c r="AL1749" s="16"/>
      <c r="AM1749" s="16"/>
      <c r="AN1749" s="16"/>
      <c r="AO1749" s="16"/>
      <c r="AP1749" s="16"/>
      <c r="AQ1749" s="16"/>
      <c r="AR1749" s="16"/>
      <c r="AS1749" s="14"/>
      <c r="AT1749" s="14"/>
      <c r="AU1749" s="14"/>
      <c r="AV1749" s="14"/>
      <c r="AW1749" s="14"/>
      <c r="AX1749" s="14"/>
      <c r="AY1749" s="14"/>
      <c r="AZ1749" s="14"/>
      <c r="BA1749" s="14"/>
      <c r="BB1749" s="7"/>
    </row>
    <row r="1750" spans="7:54" x14ac:dyDescent="0.15">
      <c r="G1750" s="7"/>
      <c r="H1750" s="16"/>
      <c r="I1750" s="16"/>
      <c r="J1750" s="16"/>
      <c r="K1750" s="16"/>
      <c r="L1750" s="16"/>
      <c r="M1750" s="16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24"/>
      <c r="AC1750" s="16"/>
      <c r="AD1750" s="16"/>
      <c r="AE1750" s="16"/>
      <c r="AF1750" s="16"/>
      <c r="AG1750" s="14"/>
      <c r="AH1750" s="14"/>
      <c r="AI1750" s="24"/>
      <c r="AJ1750" s="24"/>
      <c r="AK1750" s="24"/>
      <c r="AL1750" s="16"/>
      <c r="AM1750" s="16"/>
      <c r="AN1750" s="16"/>
      <c r="AO1750" s="16"/>
      <c r="AP1750" s="16"/>
      <c r="AQ1750" s="16"/>
      <c r="AR1750" s="16"/>
      <c r="AS1750" s="14"/>
      <c r="AT1750" s="14"/>
      <c r="AU1750" s="14"/>
      <c r="AV1750" s="14"/>
      <c r="AW1750" s="14"/>
      <c r="AX1750" s="14"/>
      <c r="AY1750" s="14"/>
      <c r="AZ1750" s="14"/>
      <c r="BA1750" s="14"/>
      <c r="BB1750" s="7"/>
    </row>
    <row r="1751" spans="7:54" x14ac:dyDescent="0.15">
      <c r="G1751" s="7"/>
      <c r="H1751" s="16"/>
      <c r="I1751" s="16"/>
      <c r="J1751" s="16"/>
      <c r="K1751" s="16"/>
      <c r="L1751" s="16"/>
      <c r="M1751" s="16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24"/>
      <c r="AC1751" s="16"/>
      <c r="AD1751" s="16"/>
      <c r="AE1751" s="16"/>
      <c r="AF1751" s="16"/>
      <c r="AG1751" s="14"/>
      <c r="AH1751" s="14"/>
      <c r="AI1751" s="24"/>
      <c r="AJ1751" s="24"/>
      <c r="AK1751" s="24"/>
      <c r="AL1751" s="16"/>
      <c r="AM1751" s="16"/>
      <c r="AN1751" s="16"/>
      <c r="AO1751" s="16"/>
      <c r="AP1751" s="16"/>
      <c r="AQ1751" s="16"/>
      <c r="AR1751" s="16"/>
      <c r="AS1751" s="14"/>
      <c r="AT1751" s="14"/>
      <c r="AU1751" s="14"/>
      <c r="AV1751" s="14"/>
      <c r="AW1751" s="14"/>
      <c r="AX1751" s="14"/>
      <c r="AY1751" s="14"/>
      <c r="AZ1751" s="14"/>
      <c r="BA1751" s="14"/>
      <c r="BB1751" s="7"/>
    </row>
    <row r="1752" spans="7:54" x14ac:dyDescent="0.15">
      <c r="G1752" s="7"/>
      <c r="H1752" s="16"/>
      <c r="I1752" s="16"/>
      <c r="J1752" s="16"/>
      <c r="K1752" s="16"/>
      <c r="L1752" s="16"/>
      <c r="M1752" s="16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24"/>
      <c r="AC1752" s="16"/>
      <c r="AD1752" s="16"/>
      <c r="AE1752" s="16"/>
      <c r="AF1752" s="16"/>
      <c r="AG1752" s="14"/>
      <c r="AH1752" s="14"/>
      <c r="AI1752" s="24"/>
      <c r="AJ1752" s="24"/>
      <c r="AK1752" s="24"/>
      <c r="AL1752" s="16"/>
      <c r="AM1752" s="16"/>
      <c r="AN1752" s="16"/>
      <c r="AO1752" s="16"/>
      <c r="AP1752" s="16"/>
      <c r="AQ1752" s="16"/>
      <c r="AR1752" s="16"/>
      <c r="AS1752" s="14"/>
      <c r="AT1752" s="14"/>
      <c r="AU1752" s="14"/>
      <c r="AV1752" s="14"/>
      <c r="AW1752" s="14"/>
      <c r="AX1752" s="14"/>
      <c r="AY1752" s="14"/>
      <c r="AZ1752" s="14"/>
      <c r="BA1752" s="14"/>
      <c r="BB1752" s="7"/>
    </row>
    <row r="1753" spans="7:54" x14ac:dyDescent="0.15">
      <c r="G1753" s="7"/>
      <c r="H1753" s="16"/>
      <c r="I1753" s="16"/>
      <c r="J1753" s="16"/>
      <c r="K1753" s="16"/>
      <c r="L1753" s="16"/>
      <c r="M1753" s="16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24"/>
      <c r="AC1753" s="16"/>
      <c r="AD1753" s="16"/>
      <c r="AE1753" s="16"/>
      <c r="AF1753" s="16"/>
      <c r="AG1753" s="14"/>
      <c r="AH1753" s="14"/>
      <c r="AI1753" s="24"/>
      <c r="AJ1753" s="24"/>
      <c r="AK1753" s="24"/>
      <c r="AL1753" s="16"/>
      <c r="AM1753" s="16"/>
      <c r="AN1753" s="16"/>
      <c r="AO1753" s="16"/>
      <c r="AP1753" s="16"/>
      <c r="AQ1753" s="16"/>
      <c r="AR1753" s="16"/>
      <c r="AS1753" s="14"/>
      <c r="AT1753" s="14"/>
      <c r="AU1753" s="14"/>
      <c r="AV1753" s="14"/>
      <c r="AW1753" s="14"/>
      <c r="AX1753" s="14"/>
      <c r="AY1753" s="14"/>
      <c r="AZ1753" s="14"/>
      <c r="BA1753" s="14"/>
      <c r="BB1753" s="7"/>
    </row>
    <row r="1754" spans="7:54" x14ac:dyDescent="0.15">
      <c r="G1754" s="7"/>
      <c r="H1754" s="16"/>
      <c r="I1754" s="16"/>
      <c r="J1754" s="16"/>
      <c r="K1754" s="16"/>
      <c r="L1754" s="16"/>
      <c r="M1754" s="16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24"/>
      <c r="AC1754" s="16"/>
      <c r="AD1754" s="16"/>
      <c r="AE1754" s="16"/>
      <c r="AF1754" s="16"/>
      <c r="AG1754" s="14"/>
      <c r="AH1754" s="14"/>
      <c r="AI1754" s="24"/>
      <c r="AJ1754" s="24"/>
      <c r="AK1754" s="24"/>
      <c r="AL1754" s="16"/>
      <c r="AM1754" s="16"/>
      <c r="AN1754" s="16"/>
      <c r="AO1754" s="16"/>
      <c r="AP1754" s="16"/>
      <c r="AQ1754" s="16"/>
      <c r="AR1754" s="16"/>
      <c r="AS1754" s="14"/>
      <c r="AT1754" s="14"/>
      <c r="AU1754" s="14"/>
      <c r="AV1754" s="14"/>
      <c r="AW1754" s="14"/>
      <c r="AX1754" s="14"/>
      <c r="AY1754" s="14"/>
      <c r="AZ1754" s="14"/>
      <c r="BA1754" s="14"/>
      <c r="BB1754" s="7"/>
    </row>
    <row r="1755" spans="7:54" x14ac:dyDescent="0.15">
      <c r="G1755" s="7"/>
      <c r="H1755" s="16"/>
      <c r="I1755" s="16"/>
      <c r="J1755" s="16"/>
      <c r="K1755" s="16"/>
      <c r="L1755" s="16"/>
      <c r="M1755" s="16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24"/>
      <c r="AC1755" s="16"/>
      <c r="AD1755" s="16"/>
      <c r="AE1755" s="16"/>
      <c r="AF1755" s="16"/>
      <c r="AG1755" s="14"/>
      <c r="AH1755" s="14"/>
      <c r="AI1755" s="24"/>
      <c r="AJ1755" s="24"/>
      <c r="AK1755" s="24"/>
      <c r="AL1755" s="16"/>
      <c r="AM1755" s="16"/>
      <c r="AN1755" s="16"/>
      <c r="AO1755" s="16"/>
      <c r="AP1755" s="16"/>
      <c r="AQ1755" s="16"/>
      <c r="AR1755" s="16"/>
      <c r="AS1755" s="14"/>
      <c r="AT1755" s="14"/>
      <c r="AU1755" s="14"/>
      <c r="AV1755" s="14"/>
      <c r="AW1755" s="14"/>
      <c r="AX1755" s="14"/>
      <c r="AY1755" s="14"/>
      <c r="AZ1755" s="14"/>
      <c r="BA1755" s="14"/>
      <c r="BB1755" s="7"/>
    </row>
    <row r="1756" spans="7:54" x14ac:dyDescent="0.15">
      <c r="G1756" s="7"/>
      <c r="H1756" s="16"/>
      <c r="I1756" s="16"/>
      <c r="J1756" s="16"/>
      <c r="K1756" s="16"/>
      <c r="L1756" s="16"/>
      <c r="M1756" s="16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24"/>
      <c r="AC1756" s="16"/>
      <c r="AD1756" s="16"/>
      <c r="AE1756" s="16"/>
      <c r="AF1756" s="16"/>
      <c r="AG1756" s="14"/>
      <c r="AH1756" s="14"/>
      <c r="AI1756" s="24"/>
      <c r="AJ1756" s="24"/>
      <c r="AK1756" s="24"/>
      <c r="AL1756" s="16"/>
      <c r="AM1756" s="16"/>
      <c r="AN1756" s="16"/>
      <c r="AO1756" s="16"/>
      <c r="AP1756" s="16"/>
      <c r="AQ1756" s="16"/>
      <c r="AR1756" s="16"/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7"/>
    </row>
    <row r="1757" spans="7:54" x14ac:dyDescent="0.15">
      <c r="G1757" s="7"/>
      <c r="H1757" s="16"/>
      <c r="I1757" s="16"/>
      <c r="J1757" s="16"/>
      <c r="K1757" s="16"/>
      <c r="L1757" s="16"/>
      <c r="M1757" s="16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24"/>
      <c r="AC1757" s="16"/>
      <c r="AD1757" s="16"/>
      <c r="AE1757" s="16"/>
      <c r="AF1757" s="16"/>
      <c r="AG1757" s="14"/>
      <c r="AH1757" s="14"/>
      <c r="AI1757" s="24"/>
      <c r="AJ1757" s="24"/>
      <c r="AK1757" s="24"/>
      <c r="AL1757" s="16"/>
      <c r="AM1757" s="16"/>
      <c r="AN1757" s="16"/>
      <c r="AO1757" s="16"/>
      <c r="AP1757" s="16"/>
      <c r="AQ1757" s="16"/>
      <c r="AR1757" s="16"/>
      <c r="AS1757" s="14"/>
      <c r="AT1757" s="14"/>
      <c r="AU1757" s="14"/>
      <c r="AV1757" s="14"/>
      <c r="AW1757" s="14"/>
      <c r="AX1757" s="14"/>
      <c r="AY1757" s="14"/>
      <c r="AZ1757" s="14"/>
      <c r="BA1757" s="14"/>
      <c r="BB1757" s="7"/>
    </row>
    <row r="1758" spans="7:54" x14ac:dyDescent="0.15">
      <c r="G1758" s="7"/>
      <c r="H1758" s="16"/>
      <c r="I1758" s="16"/>
      <c r="J1758" s="16"/>
      <c r="K1758" s="16"/>
      <c r="L1758" s="16"/>
      <c r="M1758" s="16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  <c r="AB1758" s="24"/>
      <c r="AC1758" s="16"/>
      <c r="AD1758" s="16"/>
      <c r="AE1758" s="16"/>
      <c r="AF1758" s="16"/>
      <c r="AG1758" s="14"/>
      <c r="AH1758" s="14"/>
      <c r="AI1758" s="24"/>
      <c r="AJ1758" s="24"/>
      <c r="AK1758" s="24"/>
      <c r="AL1758" s="16"/>
      <c r="AM1758" s="16"/>
      <c r="AN1758" s="16"/>
      <c r="AO1758" s="16"/>
      <c r="AP1758" s="16"/>
      <c r="AQ1758" s="16"/>
      <c r="AR1758" s="16"/>
      <c r="AS1758" s="14"/>
      <c r="AT1758" s="14"/>
      <c r="AU1758" s="14"/>
      <c r="AV1758" s="14"/>
      <c r="AW1758" s="14"/>
      <c r="AX1758" s="14"/>
      <c r="AY1758" s="14"/>
      <c r="AZ1758" s="14"/>
      <c r="BA1758" s="14"/>
      <c r="BB1758" s="7"/>
    </row>
    <row r="1759" spans="7:54" x14ac:dyDescent="0.15">
      <c r="G1759" s="7"/>
      <c r="H1759" s="16"/>
      <c r="I1759" s="16"/>
      <c r="J1759" s="16"/>
      <c r="K1759" s="16"/>
      <c r="L1759" s="16"/>
      <c r="M1759" s="16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24"/>
      <c r="AC1759" s="16"/>
      <c r="AD1759" s="16"/>
      <c r="AE1759" s="16"/>
      <c r="AF1759" s="16"/>
      <c r="AG1759" s="14"/>
      <c r="AH1759" s="14"/>
      <c r="AI1759" s="24"/>
      <c r="AJ1759" s="24"/>
      <c r="AK1759" s="24"/>
      <c r="AL1759" s="16"/>
      <c r="AM1759" s="16"/>
      <c r="AN1759" s="16"/>
      <c r="AO1759" s="16"/>
      <c r="AP1759" s="16"/>
      <c r="AQ1759" s="16"/>
      <c r="AR1759" s="16"/>
      <c r="AS1759" s="14"/>
      <c r="AT1759" s="14"/>
      <c r="AU1759" s="14"/>
      <c r="AV1759" s="14"/>
      <c r="AW1759" s="14"/>
      <c r="AX1759" s="14"/>
      <c r="AY1759" s="14"/>
      <c r="AZ1759" s="14"/>
      <c r="BA1759" s="14"/>
      <c r="BB1759" s="7"/>
    </row>
    <row r="1760" spans="7:54" x14ac:dyDescent="0.15">
      <c r="G1760" s="7"/>
      <c r="H1760" s="16"/>
      <c r="I1760" s="16"/>
      <c r="J1760" s="16"/>
      <c r="K1760" s="16"/>
      <c r="L1760" s="16"/>
      <c r="M1760" s="16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24"/>
      <c r="AC1760" s="16"/>
      <c r="AD1760" s="16"/>
      <c r="AE1760" s="16"/>
      <c r="AF1760" s="16"/>
      <c r="AG1760" s="14"/>
      <c r="AH1760" s="14"/>
      <c r="AI1760" s="24"/>
      <c r="AJ1760" s="24"/>
      <c r="AK1760" s="24"/>
      <c r="AL1760" s="16"/>
      <c r="AM1760" s="16"/>
      <c r="AN1760" s="16"/>
      <c r="AO1760" s="16"/>
      <c r="AP1760" s="16"/>
      <c r="AQ1760" s="16"/>
      <c r="AR1760" s="16"/>
      <c r="AS1760" s="14"/>
      <c r="AT1760" s="14"/>
      <c r="AU1760" s="14"/>
      <c r="AV1760" s="14"/>
      <c r="AW1760" s="14"/>
      <c r="AX1760" s="14"/>
      <c r="AY1760" s="14"/>
      <c r="AZ1760" s="14"/>
      <c r="BA1760" s="14"/>
      <c r="BB1760" s="7"/>
    </row>
    <row r="1761" spans="7:54" x14ac:dyDescent="0.15">
      <c r="G1761" s="7"/>
      <c r="H1761" s="16"/>
      <c r="I1761" s="16"/>
      <c r="J1761" s="16"/>
      <c r="K1761" s="16"/>
      <c r="L1761" s="16"/>
      <c r="M1761" s="16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24"/>
      <c r="AC1761" s="16"/>
      <c r="AD1761" s="16"/>
      <c r="AE1761" s="16"/>
      <c r="AF1761" s="16"/>
      <c r="AG1761" s="14"/>
      <c r="AH1761" s="14"/>
      <c r="AI1761" s="24"/>
      <c r="AJ1761" s="24"/>
      <c r="AK1761" s="24"/>
      <c r="AL1761" s="16"/>
      <c r="AM1761" s="16"/>
      <c r="AN1761" s="16"/>
      <c r="AO1761" s="16"/>
      <c r="AP1761" s="16"/>
      <c r="AQ1761" s="16"/>
      <c r="AR1761" s="16"/>
      <c r="AS1761" s="14"/>
      <c r="AT1761" s="14"/>
      <c r="AU1761" s="14"/>
      <c r="AV1761" s="14"/>
      <c r="AW1761" s="14"/>
      <c r="AX1761" s="14"/>
      <c r="AY1761" s="14"/>
      <c r="AZ1761" s="14"/>
      <c r="BA1761" s="14"/>
      <c r="BB1761" s="7"/>
    </row>
    <row r="1762" spans="7:54" x14ac:dyDescent="0.15">
      <c r="G1762" s="7"/>
      <c r="H1762" s="16"/>
      <c r="I1762" s="16"/>
      <c r="J1762" s="16"/>
      <c r="K1762" s="16"/>
      <c r="L1762" s="16"/>
      <c r="M1762" s="16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24"/>
      <c r="AC1762" s="16"/>
      <c r="AD1762" s="16"/>
      <c r="AE1762" s="16"/>
      <c r="AF1762" s="16"/>
      <c r="AG1762" s="14"/>
      <c r="AH1762" s="14"/>
      <c r="AI1762" s="24"/>
      <c r="AJ1762" s="24"/>
      <c r="AK1762" s="24"/>
      <c r="AL1762" s="16"/>
      <c r="AM1762" s="16"/>
      <c r="AN1762" s="16"/>
      <c r="AO1762" s="16"/>
      <c r="AP1762" s="16"/>
      <c r="AQ1762" s="16"/>
      <c r="AR1762" s="16"/>
      <c r="AS1762" s="14"/>
      <c r="AT1762" s="14"/>
      <c r="AU1762" s="14"/>
      <c r="AV1762" s="14"/>
      <c r="AW1762" s="14"/>
      <c r="AX1762" s="14"/>
      <c r="AY1762" s="14"/>
      <c r="AZ1762" s="14"/>
      <c r="BA1762" s="14"/>
      <c r="BB1762" s="7"/>
    </row>
    <row r="1763" spans="7:54" x14ac:dyDescent="0.15">
      <c r="G1763" s="7"/>
      <c r="H1763" s="16"/>
      <c r="I1763" s="16"/>
      <c r="J1763" s="16"/>
      <c r="K1763" s="16"/>
      <c r="L1763" s="16"/>
      <c r="M1763" s="16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24"/>
      <c r="AC1763" s="16"/>
      <c r="AD1763" s="16"/>
      <c r="AE1763" s="16"/>
      <c r="AF1763" s="16"/>
      <c r="AG1763" s="14"/>
      <c r="AH1763" s="14"/>
      <c r="AI1763" s="24"/>
      <c r="AJ1763" s="24"/>
      <c r="AK1763" s="24"/>
      <c r="AL1763" s="16"/>
      <c r="AM1763" s="16"/>
      <c r="AN1763" s="16"/>
      <c r="AO1763" s="16"/>
      <c r="AP1763" s="16"/>
      <c r="AQ1763" s="16"/>
      <c r="AR1763" s="16"/>
      <c r="AS1763" s="14"/>
      <c r="AT1763" s="14"/>
      <c r="AU1763" s="14"/>
      <c r="AV1763" s="14"/>
      <c r="AW1763" s="14"/>
      <c r="AX1763" s="14"/>
      <c r="AY1763" s="14"/>
      <c r="AZ1763" s="14"/>
      <c r="BA1763" s="14"/>
      <c r="BB1763" s="7"/>
    </row>
    <row r="1764" spans="7:54" x14ac:dyDescent="0.15">
      <c r="G1764" s="7"/>
      <c r="H1764" s="16"/>
      <c r="I1764" s="16"/>
      <c r="J1764" s="16"/>
      <c r="K1764" s="16"/>
      <c r="L1764" s="16"/>
      <c r="M1764" s="16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24"/>
      <c r="AC1764" s="16"/>
      <c r="AD1764" s="16"/>
      <c r="AE1764" s="16"/>
      <c r="AF1764" s="16"/>
      <c r="AG1764" s="14"/>
      <c r="AH1764" s="14"/>
      <c r="AI1764" s="24"/>
      <c r="AJ1764" s="24"/>
      <c r="AK1764" s="24"/>
      <c r="AL1764" s="16"/>
      <c r="AM1764" s="16"/>
      <c r="AN1764" s="16"/>
      <c r="AO1764" s="16"/>
      <c r="AP1764" s="16"/>
      <c r="AQ1764" s="16"/>
      <c r="AR1764" s="16"/>
      <c r="AS1764" s="14"/>
      <c r="AT1764" s="14"/>
      <c r="AU1764" s="14"/>
      <c r="AV1764" s="14"/>
      <c r="AW1764" s="14"/>
      <c r="AX1764" s="14"/>
      <c r="AY1764" s="14"/>
      <c r="AZ1764" s="14"/>
      <c r="BA1764" s="14"/>
      <c r="BB1764" s="7"/>
    </row>
    <row r="1765" spans="7:54" x14ac:dyDescent="0.15">
      <c r="G1765" s="7"/>
      <c r="H1765" s="16"/>
      <c r="I1765" s="16"/>
      <c r="J1765" s="16"/>
      <c r="K1765" s="16"/>
      <c r="L1765" s="16"/>
      <c r="M1765" s="16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24"/>
      <c r="AC1765" s="16"/>
      <c r="AD1765" s="16"/>
      <c r="AE1765" s="16"/>
      <c r="AF1765" s="16"/>
      <c r="AG1765" s="14"/>
      <c r="AH1765" s="14"/>
      <c r="AI1765" s="24"/>
      <c r="AJ1765" s="24"/>
      <c r="AK1765" s="24"/>
      <c r="AL1765" s="16"/>
      <c r="AM1765" s="16"/>
      <c r="AN1765" s="16"/>
      <c r="AO1765" s="16"/>
      <c r="AP1765" s="16"/>
      <c r="AQ1765" s="16"/>
      <c r="AR1765" s="16"/>
      <c r="AS1765" s="14"/>
      <c r="AT1765" s="14"/>
      <c r="AU1765" s="14"/>
      <c r="AV1765" s="14"/>
      <c r="AW1765" s="14"/>
      <c r="AX1765" s="14"/>
      <c r="AY1765" s="14"/>
      <c r="AZ1765" s="14"/>
      <c r="BA1765" s="14"/>
      <c r="BB1765" s="7"/>
    </row>
    <row r="1766" spans="7:54" x14ac:dyDescent="0.15">
      <c r="G1766" s="7"/>
      <c r="H1766" s="16"/>
      <c r="I1766" s="16"/>
      <c r="J1766" s="16"/>
      <c r="K1766" s="16"/>
      <c r="L1766" s="16"/>
      <c r="M1766" s="16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24"/>
      <c r="AC1766" s="16"/>
      <c r="AD1766" s="16"/>
      <c r="AE1766" s="16"/>
      <c r="AF1766" s="16"/>
      <c r="AG1766" s="14"/>
      <c r="AH1766" s="14"/>
      <c r="AI1766" s="24"/>
      <c r="AJ1766" s="24"/>
      <c r="AK1766" s="24"/>
      <c r="AL1766" s="16"/>
      <c r="AM1766" s="16"/>
      <c r="AN1766" s="16"/>
      <c r="AO1766" s="16"/>
      <c r="AP1766" s="16"/>
      <c r="AQ1766" s="16"/>
      <c r="AR1766" s="16"/>
      <c r="AS1766" s="14"/>
      <c r="AT1766" s="14"/>
      <c r="AU1766" s="14"/>
      <c r="AV1766" s="14"/>
      <c r="AW1766" s="14"/>
      <c r="AX1766" s="14"/>
      <c r="AY1766" s="14"/>
      <c r="AZ1766" s="14"/>
      <c r="BA1766" s="14"/>
      <c r="BB1766" s="7"/>
    </row>
    <row r="1767" spans="7:54" x14ac:dyDescent="0.15">
      <c r="G1767" s="7"/>
      <c r="H1767" s="16"/>
      <c r="I1767" s="16"/>
      <c r="J1767" s="16"/>
      <c r="K1767" s="16"/>
      <c r="L1767" s="16"/>
      <c r="M1767" s="16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24"/>
      <c r="AC1767" s="16"/>
      <c r="AD1767" s="16"/>
      <c r="AE1767" s="16"/>
      <c r="AF1767" s="16"/>
      <c r="AG1767" s="14"/>
      <c r="AH1767" s="14"/>
      <c r="AI1767" s="24"/>
      <c r="AJ1767" s="24"/>
      <c r="AK1767" s="24"/>
      <c r="AL1767" s="16"/>
      <c r="AM1767" s="16"/>
      <c r="AN1767" s="16"/>
      <c r="AO1767" s="16"/>
      <c r="AP1767" s="16"/>
      <c r="AQ1767" s="16"/>
      <c r="AR1767" s="16"/>
      <c r="AS1767" s="14"/>
      <c r="AT1767" s="14"/>
      <c r="AU1767" s="14"/>
      <c r="AV1767" s="14"/>
      <c r="AW1767" s="14"/>
      <c r="AX1767" s="14"/>
      <c r="AY1767" s="14"/>
      <c r="AZ1767" s="14"/>
      <c r="BA1767" s="14"/>
      <c r="BB1767" s="7"/>
    </row>
    <row r="1768" spans="7:54" x14ac:dyDescent="0.15">
      <c r="G1768" s="7"/>
      <c r="H1768" s="16"/>
      <c r="I1768" s="16"/>
      <c r="J1768" s="16"/>
      <c r="K1768" s="16"/>
      <c r="L1768" s="16"/>
      <c r="M1768" s="16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  <c r="AB1768" s="24"/>
      <c r="AC1768" s="16"/>
      <c r="AD1768" s="16"/>
      <c r="AE1768" s="16"/>
      <c r="AF1768" s="16"/>
      <c r="AG1768" s="14"/>
      <c r="AH1768" s="14"/>
      <c r="AI1768" s="24"/>
      <c r="AJ1768" s="24"/>
      <c r="AK1768" s="24"/>
      <c r="AL1768" s="16"/>
      <c r="AM1768" s="16"/>
      <c r="AN1768" s="16"/>
      <c r="AO1768" s="16"/>
      <c r="AP1768" s="16"/>
      <c r="AQ1768" s="16"/>
      <c r="AR1768" s="16"/>
      <c r="AS1768" s="14"/>
      <c r="AT1768" s="14"/>
      <c r="AU1768" s="14"/>
      <c r="AV1768" s="14"/>
      <c r="AW1768" s="14"/>
      <c r="AX1768" s="14"/>
      <c r="AY1768" s="14"/>
      <c r="AZ1768" s="14"/>
      <c r="BA1768" s="14"/>
      <c r="BB1768" s="7"/>
    </row>
    <row r="1769" spans="7:54" x14ac:dyDescent="0.15">
      <c r="G1769" s="7"/>
      <c r="H1769" s="16"/>
      <c r="I1769" s="16"/>
      <c r="J1769" s="16"/>
      <c r="K1769" s="16"/>
      <c r="L1769" s="16"/>
      <c r="M1769" s="16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  <c r="AB1769" s="24"/>
      <c r="AC1769" s="16"/>
      <c r="AD1769" s="16"/>
      <c r="AE1769" s="16"/>
      <c r="AF1769" s="16"/>
      <c r="AG1769" s="14"/>
      <c r="AH1769" s="14"/>
      <c r="AI1769" s="24"/>
      <c r="AJ1769" s="24"/>
      <c r="AK1769" s="24"/>
      <c r="AL1769" s="16"/>
      <c r="AM1769" s="16"/>
      <c r="AN1769" s="16"/>
      <c r="AO1769" s="16"/>
      <c r="AP1769" s="16"/>
      <c r="AQ1769" s="16"/>
      <c r="AR1769" s="16"/>
      <c r="AS1769" s="14"/>
      <c r="AT1769" s="14"/>
      <c r="AU1769" s="14"/>
      <c r="AV1769" s="14"/>
      <c r="AW1769" s="14"/>
      <c r="AX1769" s="14"/>
      <c r="AY1769" s="14"/>
      <c r="AZ1769" s="14"/>
      <c r="BA1769" s="14"/>
      <c r="BB1769" s="7"/>
    </row>
    <row r="1770" spans="7:54" x14ac:dyDescent="0.15">
      <c r="G1770" s="7"/>
      <c r="H1770" s="16"/>
      <c r="I1770" s="16"/>
      <c r="J1770" s="16"/>
      <c r="K1770" s="16"/>
      <c r="L1770" s="16"/>
      <c r="M1770" s="16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24"/>
      <c r="AC1770" s="16"/>
      <c r="AD1770" s="16"/>
      <c r="AE1770" s="16"/>
      <c r="AF1770" s="16"/>
      <c r="AG1770" s="14"/>
      <c r="AH1770" s="14"/>
      <c r="AI1770" s="24"/>
      <c r="AJ1770" s="24"/>
      <c r="AK1770" s="24"/>
      <c r="AL1770" s="16"/>
      <c r="AM1770" s="16"/>
      <c r="AN1770" s="16"/>
      <c r="AO1770" s="16"/>
      <c r="AP1770" s="16"/>
      <c r="AQ1770" s="16"/>
      <c r="AR1770" s="16"/>
      <c r="AS1770" s="14"/>
      <c r="AT1770" s="14"/>
      <c r="AU1770" s="14"/>
      <c r="AV1770" s="14"/>
      <c r="AW1770" s="14"/>
      <c r="AX1770" s="14"/>
      <c r="AY1770" s="14"/>
      <c r="AZ1770" s="14"/>
      <c r="BA1770" s="14"/>
      <c r="BB1770" s="7"/>
    </row>
    <row r="1771" spans="7:54" x14ac:dyDescent="0.15">
      <c r="G1771" s="7"/>
      <c r="H1771" s="16"/>
      <c r="I1771" s="16"/>
      <c r="J1771" s="16"/>
      <c r="K1771" s="16"/>
      <c r="L1771" s="16"/>
      <c r="M1771" s="16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24"/>
      <c r="AC1771" s="16"/>
      <c r="AD1771" s="16"/>
      <c r="AE1771" s="16"/>
      <c r="AF1771" s="16"/>
      <c r="AG1771" s="14"/>
      <c r="AH1771" s="14"/>
      <c r="AI1771" s="24"/>
      <c r="AJ1771" s="24"/>
      <c r="AK1771" s="24"/>
      <c r="AL1771" s="16"/>
      <c r="AM1771" s="16"/>
      <c r="AN1771" s="16"/>
      <c r="AO1771" s="16"/>
      <c r="AP1771" s="16"/>
      <c r="AQ1771" s="16"/>
      <c r="AR1771" s="16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7"/>
    </row>
    <row r="1772" spans="7:54" x14ac:dyDescent="0.15">
      <c r="G1772" s="7"/>
      <c r="H1772" s="16"/>
      <c r="I1772" s="16"/>
      <c r="J1772" s="16"/>
      <c r="K1772" s="16"/>
      <c r="L1772" s="16"/>
      <c r="M1772" s="16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24"/>
      <c r="AC1772" s="16"/>
      <c r="AD1772" s="16"/>
      <c r="AE1772" s="16"/>
      <c r="AF1772" s="16"/>
      <c r="AG1772" s="14"/>
      <c r="AH1772" s="14"/>
      <c r="AI1772" s="24"/>
      <c r="AJ1772" s="24"/>
      <c r="AK1772" s="24"/>
      <c r="AL1772" s="16"/>
      <c r="AM1772" s="16"/>
      <c r="AN1772" s="16"/>
      <c r="AO1772" s="16"/>
      <c r="AP1772" s="16"/>
      <c r="AQ1772" s="16"/>
      <c r="AR1772" s="16"/>
      <c r="AS1772" s="14"/>
      <c r="AT1772" s="14"/>
      <c r="AU1772" s="14"/>
      <c r="AV1772" s="14"/>
      <c r="AW1772" s="14"/>
      <c r="AX1772" s="14"/>
      <c r="AY1772" s="14"/>
      <c r="AZ1772" s="14"/>
      <c r="BA1772" s="14"/>
      <c r="BB1772" s="7"/>
    </row>
    <row r="1773" spans="7:54" x14ac:dyDescent="0.15">
      <c r="G1773" s="7"/>
      <c r="H1773" s="16"/>
      <c r="I1773" s="16"/>
      <c r="J1773" s="16"/>
      <c r="K1773" s="16"/>
      <c r="L1773" s="16"/>
      <c r="M1773" s="16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24"/>
      <c r="AC1773" s="16"/>
      <c r="AD1773" s="16"/>
      <c r="AE1773" s="16"/>
      <c r="AF1773" s="16"/>
      <c r="AG1773" s="14"/>
      <c r="AH1773" s="14"/>
      <c r="AI1773" s="24"/>
      <c r="AJ1773" s="24"/>
      <c r="AK1773" s="24"/>
      <c r="AL1773" s="16"/>
      <c r="AM1773" s="16"/>
      <c r="AN1773" s="16"/>
      <c r="AO1773" s="16"/>
      <c r="AP1773" s="16"/>
      <c r="AQ1773" s="16"/>
      <c r="AR1773" s="16"/>
      <c r="AS1773" s="14"/>
      <c r="AT1773" s="14"/>
      <c r="AU1773" s="14"/>
      <c r="AV1773" s="14"/>
      <c r="AW1773" s="14"/>
      <c r="AX1773" s="14"/>
      <c r="AY1773" s="14"/>
      <c r="AZ1773" s="14"/>
      <c r="BA1773" s="14"/>
      <c r="BB1773" s="7"/>
    </row>
    <row r="1774" spans="7:54" x14ac:dyDescent="0.15">
      <c r="G1774" s="7"/>
      <c r="H1774" s="16"/>
      <c r="I1774" s="16"/>
      <c r="J1774" s="16"/>
      <c r="K1774" s="16"/>
      <c r="L1774" s="16"/>
      <c r="M1774" s="16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24"/>
      <c r="AC1774" s="16"/>
      <c r="AD1774" s="16"/>
      <c r="AE1774" s="16"/>
      <c r="AF1774" s="16"/>
      <c r="AG1774" s="14"/>
      <c r="AH1774" s="14"/>
      <c r="AI1774" s="24"/>
      <c r="AJ1774" s="24"/>
      <c r="AK1774" s="24"/>
      <c r="AL1774" s="16"/>
      <c r="AM1774" s="16"/>
      <c r="AN1774" s="16"/>
      <c r="AO1774" s="16"/>
      <c r="AP1774" s="16"/>
      <c r="AQ1774" s="16"/>
      <c r="AR1774" s="16"/>
      <c r="AS1774" s="14"/>
      <c r="AT1774" s="14"/>
      <c r="AU1774" s="14"/>
      <c r="AV1774" s="14"/>
      <c r="AW1774" s="14"/>
      <c r="AX1774" s="14"/>
      <c r="AY1774" s="14"/>
      <c r="AZ1774" s="14"/>
      <c r="BA1774" s="14"/>
      <c r="BB1774" s="7"/>
    </row>
    <row r="1775" spans="7:54" x14ac:dyDescent="0.15">
      <c r="G1775" s="7"/>
      <c r="H1775" s="16"/>
      <c r="I1775" s="16"/>
      <c r="J1775" s="16"/>
      <c r="K1775" s="16"/>
      <c r="L1775" s="16"/>
      <c r="M1775" s="16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24"/>
      <c r="AC1775" s="16"/>
      <c r="AD1775" s="16"/>
      <c r="AE1775" s="16"/>
      <c r="AF1775" s="16"/>
      <c r="AG1775" s="14"/>
      <c r="AH1775" s="14"/>
      <c r="AI1775" s="24"/>
      <c r="AJ1775" s="24"/>
      <c r="AK1775" s="24"/>
      <c r="AL1775" s="16"/>
      <c r="AM1775" s="16"/>
      <c r="AN1775" s="16"/>
      <c r="AO1775" s="16"/>
      <c r="AP1775" s="16"/>
      <c r="AQ1775" s="16"/>
      <c r="AR1775" s="16"/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7"/>
    </row>
    <row r="1776" spans="7:54" x14ac:dyDescent="0.15">
      <c r="G1776" s="7"/>
      <c r="H1776" s="16"/>
      <c r="I1776" s="16"/>
      <c r="J1776" s="16"/>
      <c r="K1776" s="16"/>
      <c r="L1776" s="16"/>
      <c r="M1776" s="16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24"/>
      <c r="AC1776" s="16"/>
      <c r="AD1776" s="16"/>
      <c r="AE1776" s="16"/>
      <c r="AF1776" s="16"/>
      <c r="AG1776" s="14"/>
      <c r="AH1776" s="14"/>
      <c r="AI1776" s="24"/>
      <c r="AJ1776" s="24"/>
      <c r="AK1776" s="24"/>
      <c r="AL1776" s="16"/>
      <c r="AM1776" s="16"/>
      <c r="AN1776" s="16"/>
      <c r="AO1776" s="16"/>
      <c r="AP1776" s="16"/>
      <c r="AQ1776" s="16"/>
      <c r="AR1776" s="16"/>
      <c r="AS1776" s="14"/>
      <c r="AT1776" s="14"/>
      <c r="AU1776" s="14"/>
      <c r="AV1776" s="14"/>
      <c r="AW1776" s="14"/>
      <c r="AX1776" s="14"/>
      <c r="AY1776" s="14"/>
      <c r="AZ1776" s="14"/>
      <c r="BA1776" s="14"/>
      <c r="BB1776" s="7"/>
    </row>
    <row r="1777" spans="7:54" x14ac:dyDescent="0.15">
      <c r="G1777" s="7"/>
      <c r="H1777" s="16"/>
      <c r="I1777" s="16"/>
      <c r="J1777" s="16"/>
      <c r="K1777" s="16"/>
      <c r="L1777" s="16"/>
      <c r="M1777" s="16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24"/>
      <c r="AC1777" s="16"/>
      <c r="AD1777" s="16"/>
      <c r="AE1777" s="16"/>
      <c r="AF1777" s="16"/>
      <c r="AG1777" s="14"/>
      <c r="AH1777" s="14"/>
      <c r="AI1777" s="24"/>
      <c r="AJ1777" s="24"/>
      <c r="AK1777" s="24"/>
      <c r="AL1777" s="16"/>
      <c r="AM1777" s="16"/>
      <c r="AN1777" s="16"/>
      <c r="AO1777" s="16"/>
      <c r="AP1777" s="16"/>
      <c r="AQ1777" s="16"/>
      <c r="AR1777" s="16"/>
      <c r="AS1777" s="14"/>
      <c r="AT1777" s="14"/>
      <c r="AU1777" s="14"/>
      <c r="AV1777" s="14"/>
      <c r="AW1777" s="14"/>
      <c r="AX1777" s="14"/>
      <c r="AY1777" s="14"/>
      <c r="AZ1777" s="14"/>
      <c r="BA1777" s="14"/>
      <c r="BB1777" s="7"/>
    </row>
    <row r="1778" spans="7:54" x14ac:dyDescent="0.15">
      <c r="G1778" s="7"/>
      <c r="H1778" s="16"/>
      <c r="I1778" s="16"/>
      <c r="J1778" s="16"/>
      <c r="K1778" s="16"/>
      <c r="L1778" s="16"/>
      <c r="M1778" s="16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24"/>
      <c r="AC1778" s="16"/>
      <c r="AD1778" s="16"/>
      <c r="AE1778" s="16"/>
      <c r="AF1778" s="16"/>
      <c r="AG1778" s="14"/>
      <c r="AH1778" s="14"/>
      <c r="AI1778" s="24"/>
      <c r="AJ1778" s="24"/>
      <c r="AK1778" s="24"/>
      <c r="AL1778" s="16"/>
      <c r="AM1778" s="16"/>
      <c r="AN1778" s="16"/>
      <c r="AO1778" s="16"/>
      <c r="AP1778" s="16"/>
      <c r="AQ1778" s="16"/>
      <c r="AR1778" s="16"/>
      <c r="AS1778" s="14"/>
      <c r="AT1778" s="14"/>
      <c r="AU1778" s="14"/>
      <c r="AV1778" s="14"/>
      <c r="AW1778" s="14"/>
      <c r="AX1778" s="14"/>
      <c r="AY1778" s="14"/>
      <c r="AZ1778" s="14"/>
      <c r="BA1778" s="14"/>
      <c r="BB1778" s="7"/>
    </row>
    <row r="1779" spans="7:54" x14ac:dyDescent="0.15">
      <c r="G1779" s="7"/>
      <c r="H1779" s="16"/>
      <c r="I1779" s="16"/>
      <c r="J1779" s="16"/>
      <c r="K1779" s="16"/>
      <c r="L1779" s="16"/>
      <c r="M1779" s="16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24"/>
      <c r="AC1779" s="16"/>
      <c r="AD1779" s="16"/>
      <c r="AE1779" s="16"/>
      <c r="AF1779" s="16"/>
      <c r="AG1779" s="14"/>
      <c r="AH1779" s="14"/>
      <c r="AI1779" s="24"/>
      <c r="AJ1779" s="24"/>
      <c r="AK1779" s="24"/>
      <c r="AL1779" s="16"/>
      <c r="AM1779" s="16"/>
      <c r="AN1779" s="16"/>
      <c r="AO1779" s="16"/>
      <c r="AP1779" s="16"/>
      <c r="AQ1779" s="16"/>
      <c r="AR1779" s="16"/>
      <c r="AS1779" s="14"/>
      <c r="AT1779" s="14"/>
      <c r="AU1779" s="14"/>
      <c r="AV1779" s="14"/>
      <c r="AW1779" s="14"/>
      <c r="AX1779" s="14"/>
      <c r="AY1779" s="14"/>
      <c r="AZ1779" s="14"/>
      <c r="BA1779" s="14"/>
      <c r="BB1779" s="7"/>
    </row>
    <row r="1780" spans="7:54" x14ac:dyDescent="0.15">
      <c r="G1780" s="7"/>
      <c r="H1780" s="16"/>
      <c r="I1780" s="16"/>
      <c r="J1780" s="16"/>
      <c r="K1780" s="16"/>
      <c r="L1780" s="16"/>
      <c r="M1780" s="16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24"/>
      <c r="AC1780" s="16"/>
      <c r="AD1780" s="16"/>
      <c r="AE1780" s="16"/>
      <c r="AF1780" s="16"/>
      <c r="AG1780" s="14"/>
      <c r="AH1780" s="14"/>
      <c r="AI1780" s="24"/>
      <c r="AJ1780" s="24"/>
      <c r="AK1780" s="24"/>
      <c r="AL1780" s="16"/>
      <c r="AM1780" s="16"/>
      <c r="AN1780" s="16"/>
      <c r="AO1780" s="16"/>
      <c r="AP1780" s="16"/>
      <c r="AQ1780" s="16"/>
      <c r="AR1780" s="16"/>
      <c r="AS1780" s="14"/>
      <c r="AT1780" s="14"/>
      <c r="AU1780" s="14"/>
      <c r="AV1780" s="14"/>
      <c r="AW1780" s="14"/>
      <c r="AX1780" s="14"/>
      <c r="AY1780" s="14"/>
      <c r="AZ1780" s="14"/>
      <c r="BA1780" s="14"/>
      <c r="BB1780" s="7"/>
    </row>
    <row r="1781" spans="7:54" x14ac:dyDescent="0.15">
      <c r="G1781" s="7"/>
      <c r="H1781" s="16"/>
      <c r="I1781" s="16"/>
      <c r="J1781" s="16"/>
      <c r="K1781" s="16"/>
      <c r="L1781" s="16"/>
      <c r="M1781" s="16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24"/>
      <c r="AC1781" s="16"/>
      <c r="AD1781" s="16"/>
      <c r="AE1781" s="16"/>
      <c r="AF1781" s="16"/>
      <c r="AG1781" s="14"/>
      <c r="AH1781" s="14"/>
      <c r="AI1781" s="24"/>
      <c r="AJ1781" s="24"/>
      <c r="AK1781" s="24"/>
      <c r="AL1781" s="16"/>
      <c r="AM1781" s="16"/>
      <c r="AN1781" s="16"/>
      <c r="AO1781" s="16"/>
      <c r="AP1781" s="16"/>
      <c r="AQ1781" s="16"/>
      <c r="AR1781" s="16"/>
      <c r="AS1781" s="14"/>
      <c r="AT1781" s="14"/>
      <c r="AU1781" s="14"/>
      <c r="AV1781" s="14"/>
      <c r="AW1781" s="14"/>
      <c r="AX1781" s="14"/>
      <c r="AY1781" s="14"/>
      <c r="AZ1781" s="14"/>
      <c r="BA1781" s="14"/>
      <c r="BB1781" s="7"/>
    </row>
    <row r="1782" spans="7:54" x14ac:dyDescent="0.15">
      <c r="G1782" s="7"/>
      <c r="H1782" s="16"/>
      <c r="I1782" s="16"/>
      <c r="J1782" s="16"/>
      <c r="K1782" s="16"/>
      <c r="L1782" s="16"/>
      <c r="M1782" s="16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24"/>
      <c r="AC1782" s="16"/>
      <c r="AD1782" s="16"/>
      <c r="AE1782" s="16"/>
      <c r="AF1782" s="16"/>
      <c r="AG1782" s="14"/>
      <c r="AH1782" s="14"/>
      <c r="AI1782" s="24"/>
      <c r="AJ1782" s="24"/>
      <c r="AK1782" s="24"/>
      <c r="AL1782" s="16"/>
      <c r="AM1782" s="16"/>
      <c r="AN1782" s="16"/>
      <c r="AO1782" s="16"/>
      <c r="AP1782" s="16"/>
      <c r="AQ1782" s="16"/>
      <c r="AR1782" s="16"/>
      <c r="AS1782" s="14"/>
      <c r="AT1782" s="14"/>
      <c r="AU1782" s="14"/>
      <c r="AV1782" s="14"/>
      <c r="AW1782" s="14"/>
      <c r="AX1782" s="14"/>
      <c r="AY1782" s="14"/>
      <c r="AZ1782" s="14"/>
      <c r="BA1782" s="14"/>
      <c r="BB1782" s="7"/>
    </row>
    <row r="1783" spans="7:54" x14ac:dyDescent="0.15">
      <c r="G1783" s="7"/>
      <c r="H1783" s="16"/>
      <c r="I1783" s="16"/>
      <c r="J1783" s="16"/>
      <c r="K1783" s="16"/>
      <c r="L1783" s="16"/>
      <c r="M1783" s="16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24"/>
      <c r="AC1783" s="16"/>
      <c r="AD1783" s="16"/>
      <c r="AE1783" s="16"/>
      <c r="AF1783" s="16"/>
      <c r="AG1783" s="14"/>
      <c r="AH1783" s="14"/>
      <c r="AI1783" s="24"/>
      <c r="AJ1783" s="24"/>
      <c r="AK1783" s="24"/>
      <c r="AL1783" s="16"/>
      <c r="AM1783" s="16"/>
      <c r="AN1783" s="16"/>
      <c r="AO1783" s="16"/>
      <c r="AP1783" s="16"/>
      <c r="AQ1783" s="16"/>
      <c r="AR1783" s="16"/>
      <c r="AS1783" s="14"/>
      <c r="AT1783" s="14"/>
      <c r="AU1783" s="14"/>
      <c r="AV1783" s="14"/>
      <c r="AW1783" s="14"/>
      <c r="AX1783" s="14"/>
      <c r="AY1783" s="14"/>
      <c r="AZ1783" s="14"/>
      <c r="BA1783" s="14"/>
      <c r="BB1783" s="7"/>
    </row>
    <row r="1784" spans="7:54" x14ac:dyDescent="0.15">
      <c r="G1784" s="7"/>
      <c r="H1784" s="16"/>
      <c r="I1784" s="16"/>
      <c r="J1784" s="16"/>
      <c r="K1784" s="16"/>
      <c r="L1784" s="16"/>
      <c r="M1784" s="16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24"/>
      <c r="AC1784" s="16"/>
      <c r="AD1784" s="16"/>
      <c r="AE1784" s="16"/>
      <c r="AF1784" s="16"/>
      <c r="AG1784" s="14"/>
      <c r="AH1784" s="14"/>
      <c r="AI1784" s="24"/>
      <c r="AJ1784" s="24"/>
      <c r="AK1784" s="24"/>
      <c r="AL1784" s="16"/>
      <c r="AM1784" s="16"/>
      <c r="AN1784" s="16"/>
      <c r="AO1784" s="16"/>
      <c r="AP1784" s="16"/>
      <c r="AQ1784" s="16"/>
      <c r="AR1784" s="16"/>
      <c r="AS1784" s="14"/>
      <c r="AT1784" s="14"/>
      <c r="AU1784" s="14"/>
      <c r="AV1784" s="14"/>
      <c r="AW1784" s="14"/>
      <c r="AX1784" s="14"/>
      <c r="AY1784" s="14"/>
      <c r="AZ1784" s="14"/>
      <c r="BA1784" s="14"/>
      <c r="BB1784" s="7"/>
    </row>
    <row r="1785" spans="7:54" x14ac:dyDescent="0.15">
      <c r="G1785" s="7"/>
      <c r="H1785" s="16"/>
      <c r="I1785" s="16"/>
      <c r="J1785" s="16"/>
      <c r="K1785" s="16"/>
      <c r="L1785" s="16"/>
      <c r="M1785" s="16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24"/>
      <c r="AC1785" s="16"/>
      <c r="AD1785" s="16"/>
      <c r="AE1785" s="16"/>
      <c r="AF1785" s="16"/>
      <c r="AG1785" s="14"/>
      <c r="AH1785" s="14"/>
      <c r="AI1785" s="24"/>
      <c r="AJ1785" s="24"/>
      <c r="AK1785" s="24"/>
      <c r="AL1785" s="16"/>
      <c r="AM1785" s="16"/>
      <c r="AN1785" s="16"/>
      <c r="AO1785" s="16"/>
      <c r="AP1785" s="16"/>
      <c r="AQ1785" s="16"/>
      <c r="AR1785" s="16"/>
      <c r="AS1785" s="14"/>
      <c r="AT1785" s="14"/>
      <c r="AU1785" s="14"/>
      <c r="AV1785" s="14"/>
      <c r="AW1785" s="14"/>
      <c r="AX1785" s="14"/>
      <c r="AY1785" s="14"/>
      <c r="AZ1785" s="14"/>
      <c r="BA1785" s="14"/>
      <c r="BB1785" s="7"/>
    </row>
    <row r="1786" spans="7:54" x14ac:dyDescent="0.15">
      <c r="G1786" s="7"/>
      <c r="H1786" s="16"/>
      <c r="I1786" s="16"/>
      <c r="J1786" s="16"/>
      <c r="K1786" s="16"/>
      <c r="L1786" s="16"/>
      <c r="M1786" s="16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24"/>
      <c r="AC1786" s="16"/>
      <c r="AD1786" s="16"/>
      <c r="AE1786" s="16"/>
      <c r="AF1786" s="16"/>
      <c r="AG1786" s="14"/>
      <c r="AH1786" s="14"/>
      <c r="AI1786" s="24"/>
      <c r="AJ1786" s="24"/>
      <c r="AK1786" s="24"/>
      <c r="AL1786" s="16"/>
      <c r="AM1786" s="16"/>
      <c r="AN1786" s="16"/>
      <c r="AO1786" s="16"/>
      <c r="AP1786" s="16"/>
      <c r="AQ1786" s="16"/>
      <c r="AR1786" s="16"/>
      <c r="AS1786" s="14"/>
      <c r="AT1786" s="14"/>
      <c r="AU1786" s="14"/>
      <c r="AV1786" s="14"/>
      <c r="AW1786" s="14"/>
      <c r="AX1786" s="14"/>
      <c r="AY1786" s="14"/>
      <c r="AZ1786" s="14"/>
      <c r="BA1786" s="14"/>
      <c r="BB1786" s="7"/>
    </row>
    <row r="1787" spans="7:54" x14ac:dyDescent="0.15">
      <c r="G1787" s="7"/>
      <c r="H1787" s="16"/>
      <c r="I1787" s="16"/>
      <c r="J1787" s="16"/>
      <c r="K1787" s="16"/>
      <c r="L1787" s="16"/>
      <c r="M1787" s="16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24"/>
      <c r="AC1787" s="16"/>
      <c r="AD1787" s="16"/>
      <c r="AE1787" s="16"/>
      <c r="AF1787" s="16"/>
      <c r="AG1787" s="14"/>
      <c r="AH1787" s="14"/>
      <c r="AI1787" s="24"/>
      <c r="AJ1787" s="24"/>
      <c r="AK1787" s="24"/>
      <c r="AL1787" s="16"/>
      <c r="AM1787" s="16"/>
      <c r="AN1787" s="16"/>
      <c r="AO1787" s="16"/>
      <c r="AP1787" s="16"/>
      <c r="AQ1787" s="16"/>
      <c r="AR1787" s="16"/>
      <c r="AS1787" s="14"/>
      <c r="AT1787" s="14"/>
      <c r="AU1787" s="14"/>
      <c r="AV1787" s="14"/>
      <c r="AW1787" s="14"/>
      <c r="AX1787" s="14"/>
      <c r="AY1787" s="14"/>
      <c r="AZ1787" s="14"/>
      <c r="BA1787" s="14"/>
      <c r="BB1787" s="7"/>
    </row>
    <row r="1788" spans="7:54" x14ac:dyDescent="0.15">
      <c r="G1788" s="7"/>
      <c r="H1788" s="16"/>
      <c r="I1788" s="16"/>
      <c r="J1788" s="16"/>
      <c r="K1788" s="16"/>
      <c r="L1788" s="16"/>
      <c r="M1788" s="16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24"/>
      <c r="AC1788" s="16"/>
      <c r="AD1788" s="16"/>
      <c r="AE1788" s="16"/>
      <c r="AF1788" s="16"/>
      <c r="AG1788" s="14"/>
      <c r="AH1788" s="14"/>
      <c r="AI1788" s="24"/>
      <c r="AJ1788" s="24"/>
      <c r="AK1788" s="24"/>
      <c r="AL1788" s="16"/>
      <c r="AM1788" s="16"/>
      <c r="AN1788" s="16"/>
      <c r="AO1788" s="16"/>
      <c r="AP1788" s="16"/>
      <c r="AQ1788" s="16"/>
      <c r="AR1788" s="16"/>
      <c r="AS1788" s="14"/>
      <c r="AT1788" s="14"/>
      <c r="AU1788" s="14"/>
      <c r="AV1788" s="14"/>
      <c r="AW1788" s="14"/>
      <c r="AX1788" s="14"/>
      <c r="AY1788" s="14"/>
      <c r="AZ1788" s="14"/>
      <c r="BA1788" s="14"/>
      <c r="BB1788" s="7"/>
    </row>
    <row r="1789" spans="7:54" x14ac:dyDescent="0.15">
      <c r="G1789" s="7"/>
      <c r="H1789" s="16"/>
      <c r="I1789" s="16"/>
      <c r="J1789" s="16"/>
      <c r="K1789" s="16"/>
      <c r="L1789" s="16"/>
      <c r="M1789" s="16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24"/>
      <c r="AC1789" s="16"/>
      <c r="AD1789" s="16"/>
      <c r="AE1789" s="16"/>
      <c r="AF1789" s="16"/>
      <c r="AG1789" s="14"/>
      <c r="AH1789" s="14"/>
      <c r="AI1789" s="24"/>
      <c r="AJ1789" s="24"/>
      <c r="AK1789" s="24"/>
      <c r="AL1789" s="16"/>
      <c r="AM1789" s="16"/>
      <c r="AN1789" s="16"/>
      <c r="AO1789" s="16"/>
      <c r="AP1789" s="16"/>
      <c r="AQ1789" s="16"/>
      <c r="AR1789" s="16"/>
      <c r="AS1789" s="14"/>
      <c r="AT1789" s="14"/>
      <c r="AU1789" s="14"/>
      <c r="AV1789" s="14"/>
      <c r="AW1789" s="14"/>
      <c r="AX1789" s="14"/>
      <c r="AY1789" s="14"/>
      <c r="AZ1789" s="14"/>
      <c r="BA1789" s="14"/>
      <c r="BB1789" s="7"/>
    </row>
    <row r="1790" spans="7:54" x14ac:dyDescent="0.15">
      <c r="G1790" s="7"/>
      <c r="H1790" s="16"/>
      <c r="I1790" s="16"/>
      <c r="J1790" s="16"/>
      <c r="K1790" s="16"/>
      <c r="L1790" s="16"/>
      <c r="M1790" s="16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24"/>
      <c r="AC1790" s="16"/>
      <c r="AD1790" s="16"/>
      <c r="AE1790" s="16"/>
      <c r="AF1790" s="16"/>
      <c r="AG1790" s="14"/>
      <c r="AH1790" s="14"/>
      <c r="AI1790" s="24"/>
      <c r="AJ1790" s="24"/>
      <c r="AK1790" s="24"/>
      <c r="AL1790" s="16"/>
      <c r="AM1790" s="16"/>
      <c r="AN1790" s="16"/>
      <c r="AO1790" s="16"/>
      <c r="AP1790" s="16"/>
      <c r="AQ1790" s="16"/>
      <c r="AR1790" s="16"/>
      <c r="AS1790" s="14"/>
      <c r="AT1790" s="14"/>
      <c r="AU1790" s="14"/>
      <c r="AV1790" s="14"/>
      <c r="AW1790" s="14"/>
      <c r="AX1790" s="14"/>
      <c r="AY1790" s="14"/>
      <c r="AZ1790" s="14"/>
      <c r="BA1790" s="14"/>
      <c r="BB1790" s="7"/>
    </row>
    <row r="1791" spans="7:54" x14ac:dyDescent="0.15">
      <c r="G1791" s="7"/>
      <c r="H1791" s="16"/>
      <c r="I1791" s="16"/>
      <c r="J1791" s="16"/>
      <c r="K1791" s="16"/>
      <c r="L1791" s="16"/>
      <c r="M1791" s="16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24"/>
      <c r="AC1791" s="16"/>
      <c r="AD1791" s="16"/>
      <c r="AE1791" s="16"/>
      <c r="AF1791" s="16"/>
      <c r="AG1791" s="14"/>
      <c r="AH1791" s="14"/>
      <c r="AI1791" s="24"/>
      <c r="AJ1791" s="24"/>
      <c r="AK1791" s="24"/>
      <c r="AL1791" s="16"/>
      <c r="AM1791" s="16"/>
      <c r="AN1791" s="16"/>
      <c r="AO1791" s="16"/>
      <c r="AP1791" s="16"/>
      <c r="AQ1791" s="16"/>
      <c r="AR1791" s="16"/>
      <c r="AS1791" s="14"/>
      <c r="AT1791" s="14"/>
      <c r="AU1791" s="14"/>
      <c r="AV1791" s="14"/>
      <c r="AW1791" s="14"/>
      <c r="AX1791" s="14"/>
      <c r="AY1791" s="14"/>
      <c r="AZ1791" s="14"/>
      <c r="BA1791" s="14"/>
      <c r="BB1791" s="7"/>
    </row>
    <row r="1792" spans="7:54" x14ac:dyDescent="0.15">
      <c r="G1792" s="7"/>
      <c r="H1792" s="16"/>
      <c r="I1792" s="16"/>
      <c r="J1792" s="16"/>
      <c r="K1792" s="16"/>
      <c r="L1792" s="16"/>
      <c r="M1792" s="16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24"/>
      <c r="AC1792" s="16"/>
      <c r="AD1792" s="16"/>
      <c r="AE1792" s="16"/>
      <c r="AF1792" s="16"/>
      <c r="AG1792" s="14"/>
      <c r="AH1792" s="14"/>
      <c r="AI1792" s="24"/>
      <c r="AJ1792" s="24"/>
      <c r="AK1792" s="24"/>
      <c r="AL1792" s="16"/>
      <c r="AM1792" s="16"/>
      <c r="AN1792" s="16"/>
      <c r="AO1792" s="16"/>
      <c r="AP1792" s="16"/>
      <c r="AQ1792" s="16"/>
      <c r="AR1792" s="16"/>
      <c r="AS1792" s="14"/>
      <c r="AT1792" s="14"/>
      <c r="AU1792" s="14"/>
      <c r="AV1792" s="14"/>
      <c r="AW1792" s="14"/>
      <c r="AX1792" s="14"/>
      <c r="AY1792" s="14"/>
      <c r="AZ1792" s="14"/>
      <c r="BA1792" s="14"/>
      <c r="BB1792" s="7"/>
    </row>
    <row r="1793" spans="7:54" x14ac:dyDescent="0.15">
      <c r="G1793" s="7"/>
      <c r="H1793" s="16"/>
      <c r="I1793" s="16"/>
      <c r="J1793" s="16"/>
      <c r="K1793" s="16"/>
      <c r="L1793" s="16"/>
      <c r="M1793" s="16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24"/>
      <c r="AC1793" s="16"/>
      <c r="AD1793" s="16"/>
      <c r="AE1793" s="16"/>
      <c r="AF1793" s="16"/>
      <c r="AG1793" s="14"/>
      <c r="AH1793" s="14"/>
      <c r="AI1793" s="24"/>
      <c r="AJ1793" s="24"/>
      <c r="AK1793" s="24"/>
      <c r="AL1793" s="16"/>
      <c r="AM1793" s="16"/>
      <c r="AN1793" s="16"/>
      <c r="AO1793" s="16"/>
      <c r="AP1793" s="16"/>
      <c r="AQ1793" s="16"/>
      <c r="AR1793" s="16"/>
      <c r="AS1793" s="14"/>
      <c r="AT1793" s="14"/>
      <c r="AU1793" s="14"/>
      <c r="AV1793" s="14"/>
      <c r="AW1793" s="14"/>
      <c r="AX1793" s="14"/>
      <c r="AY1793" s="14"/>
      <c r="AZ1793" s="14"/>
      <c r="BA1793" s="14"/>
      <c r="BB1793" s="7"/>
    </row>
    <row r="1794" spans="7:54" x14ac:dyDescent="0.15">
      <c r="G1794" s="7"/>
      <c r="H1794" s="16"/>
      <c r="I1794" s="16"/>
      <c r="J1794" s="16"/>
      <c r="K1794" s="16"/>
      <c r="L1794" s="16"/>
      <c r="M1794" s="16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24"/>
      <c r="AC1794" s="16"/>
      <c r="AD1794" s="16"/>
      <c r="AE1794" s="16"/>
      <c r="AF1794" s="16"/>
      <c r="AG1794" s="14"/>
      <c r="AH1794" s="14"/>
      <c r="AI1794" s="24"/>
      <c r="AJ1794" s="24"/>
      <c r="AK1794" s="24"/>
      <c r="AL1794" s="16"/>
      <c r="AM1794" s="16"/>
      <c r="AN1794" s="16"/>
      <c r="AO1794" s="16"/>
      <c r="AP1794" s="16"/>
      <c r="AQ1794" s="16"/>
      <c r="AR1794" s="16"/>
      <c r="AS1794" s="14"/>
      <c r="AT1794" s="14"/>
      <c r="AU1794" s="14"/>
      <c r="AV1794" s="14"/>
      <c r="AW1794" s="14"/>
      <c r="AX1794" s="14"/>
      <c r="AY1794" s="14"/>
      <c r="AZ1794" s="14"/>
      <c r="BA1794" s="14"/>
      <c r="BB1794" s="7"/>
    </row>
    <row r="1795" spans="7:54" x14ac:dyDescent="0.15">
      <c r="G1795" s="7"/>
      <c r="H1795" s="16"/>
      <c r="I1795" s="16"/>
      <c r="J1795" s="16"/>
      <c r="K1795" s="16"/>
      <c r="L1795" s="16"/>
      <c r="M1795" s="16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24"/>
      <c r="AC1795" s="16"/>
      <c r="AD1795" s="16"/>
      <c r="AE1795" s="16"/>
      <c r="AF1795" s="16"/>
      <c r="AG1795" s="14"/>
      <c r="AH1795" s="14"/>
      <c r="AI1795" s="24"/>
      <c r="AJ1795" s="24"/>
      <c r="AK1795" s="24"/>
      <c r="AL1795" s="16"/>
      <c r="AM1795" s="16"/>
      <c r="AN1795" s="16"/>
      <c r="AO1795" s="16"/>
      <c r="AP1795" s="16"/>
      <c r="AQ1795" s="16"/>
      <c r="AR1795" s="16"/>
      <c r="AS1795" s="14"/>
      <c r="AT1795" s="14"/>
      <c r="AU1795" s="14"/>
      <c r="AV1795" s="14"/>
      <c r="AW1795" s="14"/>
      <c r="AX1795" s="14"/>
      <c r="AY1795" s="14"/>
      <c r="AZ1795" s="14"/>
      <c r="BA1795" s="14"/>
      <c r="BB1795" s="7"/>
    </row>
    <row r="1796" spans="7:54" x14ac:dyDescent="0.15">
      <c r="G1796" s="7"/>
      <c r="H1796" s="16"/>
      <c r="I1796" s="16"/>
      <c r="J1796" s="16"/>
      <c r="K1796" s="16"/>
      <c r="L1796" s="16"/>
      <c r="M1796" s="16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24"/>
      <c r="AC1796" s="16"/>
      <c r="AD1796" s="16"/>
      <c r="AE1796" s="16"/>
      <c r="AF1796" s="16"/>
      <c r="AG1796" s="14"/>
      <c r="AH1796" s="14"/>
      <c r="AI1796" s="24"/>
      <c r="AJ1796" s="24"/>
      <c r="AK1796" s="24"/>
      <c r="AL1796" s="16"/>
      <c r="AM1796" s="16"/>
      <c r="AN1796" s="16"/>
      <c r="AO1796" s="16"/>
      <c r="AP1796" s="16"/>
      <c r="AQ1796" s="16"/>
      <c r="AR1796" s="16"/>
      <c r="AS1796" s="14"/>
      <c r="AT1796" s="14"/>
      <c r="AU1796" s="14"/>
      <c r="AV1796" s="14"/>
      <c r="AW1796" s="14"/>
      <c r="AX1796" s="14"/>
      <c r="AY1796" s="14"/>
      <c r="AZ1796" s="14"/>
      <c r="BA1796" s="14"/>
      <c r="BB1796" s="7"/>
    </row>
    <row r="1797" spans="7:54" x14ac:dyDescent="0.15">
      <c r="G1797" s="7"/>
      <c r="H1797" s="16"/>
      <c r="I1797" s="16"/>
      <c r="J1797" s="16"/>
      <c r="K1797" s="16"/>
      <c r="L1797" s="16"/>
      <c r="M1797" s="16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24"/>
      <c r="AC1797" s="16"/>
      <c r="AD1797" s="16"/>
      <c r="AE1797" s="16"/>
      <c r="AF1797" s="16"/>
      <c r="AG1797" s="14"/>
      <c r="AH1797" s="14"/>
      <c r="AI1797" s="24"/>
      <c r="AJ1797" s="24"/>
      <c r="AK1797" s="24"/>
      <c r="AL1797" s="16"/>
      <c r="AM1797" s="16"/>
      <c r="AN1797" s="16"/>
      <c r="AO1797" s="16"/>
      <c r="AP1797" s="16"/>
      <c r="AQ1797" s="16"/>
      <c r="AR1797" s="16"/>
      <c r="AS1797" s="14"/>
      <c r="AT1797" s="14"/>
      <c r="AU1797" s="14"/>
      <c r="AV1797" s="14"/>
      <c r="AW1797" s="14"/>
      <c r="AX1797" s="14"/>
      <c r="AY1797" s="14"/>
      <c r="AZ1797" s="14"/>
      <c r="BA1797" s="14"/>
      <c r="BB1797" s="7"/>
    </row>
    <row r="1798" spans="7:54" x14ac:dyDescent="0.15">
      <c r="G1798" s="7"/>
      <c r="H1798" s="16"/>
      <c r="I1798" s="16"/>
      <c r="J1798" s="16"/>
      <c r="K1798" s="16"/>
      <c r="L1798" s="16"/>
      <c r="M1798" s="16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24"/>
      <c r="AC1798" s="16"/>
      <c r="AD1798" s="16"/>
      <c r="AE1798" s="16"/>
      <c r="AF1798" s="16"/>
      <c r="AG1798" s="14"/>
      <c r="AH1798" s="14"/>
      <c r="AI1798" s="24"/>
      <c r="AJ1798" s="24"/>
      <c r="AK1798" s="24"/>
      <c r="AL1798" s="16"/>
      <c r="AM1798" s="16"/>
      <c r="AN1798" s="16"/>
      <c r="AO1798" s="16"/>
      <c r="AP1798" s="16"/>
      <c r="AQ1798" s="16"/>
      <c r="AR1798" s="16"/>
      <c r="AS1798" s="14"/>
      <c r="AT1798" s="14"/>
      <c r="AU1798" s="14"/>
      <c r="AV1798" s="14"/>
      <c r="AW1798" s="14"/>
      <c r="AX1798" s="14"/>
      <c r="AY1798" s="14"/>
      <c r="AZ1798" s="14"/>
      <c r="BA1798" s="14"/>
      <c r="BB1798" s="7"/>
    </row>
    <row r="1799" spans="7:54" x14ac:dyDescent="0.15">
      <c r="G1799" s="7"/>
      <c r="H1799" s="16"/>
      <c r="I1799" s="16"/>
      <c r="J1799" s="16"/>
      <c r="K1799" s="16"/>
      <c r="L1799" s="16"/>
      <c r="M1799" s="16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24"/>
      <c r="AC1799" s="16"/>
      <c r="AD1799" s="16"/>
      <c r="AE1799" s="16"/>
      <c r="AF1799" s="16"/>
      <c r="AG1799" s="14"/>
      <c r="AH1799" s="14"/>
      <c r="AI1799" s="24"/>
      <c r="AJ1799" s="24"/>
      <c r="AK1799" s="24"/>
      <c r="AL1799" s="16"/>
      <c r="AM1799" s="16"/>
      <c r="AN1799" s="16"/>
      <c r="AO1799" s="16"/>
      <c r="AP1799" s="16"/>
      <c r="AQ1799" s="16"/>
      <c r="AR1799" s="16"/>
      <c r="AS1799" s="14"/>
      <c r="AT1799" s="14"/>
      <c r="AU1799" s="14"/>
      <c r="AV1799" s="14"/>
      <c r="AW1799" s="14"/>
      <c r="AX1799" s="14"/>
      <c r="AY1799" s="14"/>
      <c r="AZ1799" s="14"/>
      <c r="BA1799" s="14"/>
      <c r="BB1799" s="7"/>
    </row>
    <row r="1800" spans="7:54" x14ac:dyDescent="0.15">
      <c r="G1800" s="7"/>
      <c r="H1800" s="16"/>
      <c r="I1800" s="16"/>
      <c r="J1800" s="16"/>
      <c r="K1800" s="16"/>
      <c r="L1800" s="16"/>
      <c r="M1800" s="16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24"/>
      <c r="AC1800" s="16"/>
      <c r="AD1800" s="16"/>
      <c r="AE1800" s="16"/>
      <c r="AF1800" s="16"/>
      <c r="AG1800" s="14"/>
      <c r="AH1800" s="14"/>
      <c r="AI1800" s="24"/>
      <c r="AJ1800" s="24"/>
      <c r="AK1800" s="24"/>
      <c r="AL1800" s="16"/>
      <c r="AM1800" s="16"/>
      <c r="AN1800" s="16"/>
      <c r="AO1800" s="16"/>
      <c r="AP1800" s="16"/>
      <c r="AQ1800" s="16"/>
      <c r="AR1800" s="16"/>
      <c r="AS1800" s="14"/>
      <c r="AT1800" s="14"/>
      <c r="AU1800" s="14"/>
      <c r="AV1800" s="14"/>
      <c r="AW1800" s="14"/>
      <c r="AX1800" s="14"/>
      <c r="AY1800" s="14"/>
      <c r="AZ1800" s="14"/>
      <c r="BA1800" s="14"/>
      <c r="BB1800" s="7"/>
    </row>
    <row r="1801" spans="7:54" x14ac:dyDescent="0.15">
      <c r="G1801" s="7"/>
      <c r="H1801" s="16"/>
      <c r="I1801" s="16"/>
      <c r="J1801" s="16"/>
      <c r="K1801" s="16"/>
      <c r="L1801" s="16"/>
      <c r="M1801" s="16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24"/>
      <c r="AC1801" s="16"/>
      <c r="AD1801" s="16"/>
      <c r="AE1801" s="16"/>
      <c r="AF1801" s="16"/>
      <c r="AG1801" s="14"/>
      <c r="AH1801" s="14"/>
      <c r="AI1801" s="24"/>
      <c r="AJ1801" s="24"/>
      <c r="AK1801" s="24"/>
      <c r="AL1801" s="16"/>
      <c r="AM1801" s="16"/>
      <c r="AN1801" s="16"/>
      <c r="AO1801" s="16"/>
      <c r="AP1801" s="16"/>
      <c r="AQ1801" s="16"/>
      <c r="AR1801" s="16"/>
      <c r="AS1801" s="14"/>
      <c r="AT1801" s="14"/>
      <c r="AU1801" s="14"/>
      <c r="AV1801" s="14"/>
      <c r="AW1801" s="14"/>
      <c r="AX1801" s="14"/>
      <c r="AY1801" s="14"/>
      <c r="AZ1801" s="14"/>
      <c r="BA1801" s="14"/>
      <c r="BB1801" s="7"/>
    </row>
    <row r="1802" spans="7:54" x14ac:dyDescent="0.15">
      <c r="G1802" s="7"/>
      <c r="H1802" s="16"/>
      <c r="I1802" s="16"/>
      <c r="J1802" s="16"/>
      <c r="K1802" s="16"/>
      <c r="L1802" s="16"/>
      <c r="M1802" s="16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24"/>
      <c r="AC1802" s="16"/>
      <c r="AD1802" s="16"/>
      <c r="AE1802" s="16"/>
      <c r="AF1802" s="16"/>
      <c r="AG1802" s="14"/>
      <c r="AH1802" s="14"/>
      <c r="AI1802" s="24"/>
      <c r="AJ1802" s="24"/>
      <c r="AK1802" s="24"/>
      <c r="AL1802" s="16"/>
      <c r="AM1802" s="16"/>
      <c r="AN1802" s="16"/>
      <c r="AO1802" s="16"/>
      <c r="AP1802" s="16"/>
      <c r="AQ1802" s="16"/>
      <c r="AR1802" s="16"/>
      <c r="AS1802" s="14"/>
      <c r="AT1802" s="14"/>
      <c r="AU1802" s="14"/>
      <c r="AV1802" s="14"/>
      <c r="AW1802" s="14"/>
      <c r="AX1802" s="14"/>
      <c r="AY1802" s="14"/>
      <c r="AZ1802" s="14"/>
      <c r="BA1802" s="14"/>
      <c r="BB1802" s="7"/>
    </row>
    <row r="1803" spans="7:54" x14ac:dyDescent="0.15">
      <c r="G1803" s="7"/>
      <c r="H1803" s="16"/>
      <c r="I1803" s="16"/>
      <c r="J1803" s="16"/>
      <c r="K1803" s="16"/>
      <c r="L1803" s="16"/>
      <c r="M1803" s="16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  <c r="AB1803" s="24"/>
      <c r="AC1803" s="16"/>
      <c r="AD1803" s="16"/>
      <c r="AE1803" s="16"/>
      <c r="AF1803" s="16"/>
      <c r="AG1803" s="14"/>
      <c r="AH1803" s="14"/>
      <c r="AI1803" s="24"/>
      <c r="AJ1803" s="24"/>
      <c r="AK1803" s="24"/>
      <c r="AL1803" s="16"/>
      <c r="AM1803" s="16"/>
      <c r="AN1803" s="16"/>
      <c r="AO1803" s="16"/>
      <c r="AP1803" s="16"/>
      <c r="AQ1803" s="16"/>
      <c r="AR1803" s="16"/>
      <c r="AS1803" s="14"/>
      <c r="AT1803" s="14"/>
      <c r="AU1803" s="14"/>
      <c r="AV1803" s="14"/>
      <c r="AW1803" s="14"/>
      <c r="AX1803" s="14"/>
      <c r="AY1803" s="14"/>
      <c r="AZ1803" s="14"/>
      <c r="BA1803" s="14"/>
      <c r="BB1803" s="7"/>
    </row>
    <row r="1804" spans="7:54" x14ac:dyDescent="0.15">
      <c r="G1804" s="7"/>
      <c r="H1804" s="16"/>
      <c r="I1804" s="16"/>
      <c r="J1804" s="16"/>
      <c r="K1804" s="16"/>
      <c r="L1804" s="16"/>
      <c r="M1804" s="16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  <c r="AB1804" s="24"/>
      <c r="AC1804" s="16"/>
      <c r="AD1804" s="16"/>
      <c r="AE1804" s="16"/>
      <c r="AF1804" s="16"/>
      <c r="AG1804" s="14"/>
      <c r="AH1804" s="14"/>
      <c r="AI1804" s="24"/>
      <c r="AJ1804" s="24"/>
      <c r="AK1804" s="24"/>
      <c r="AL1804" s="16"/>
      <c r="AM1804" s="16"/>
      <c r="AN1804" s="16"/>
      <c r="AO1804" s="16"/>
      <c r="AP1804" s="16"/>
      <c r="AQ1804" s="16"/>
      <c r="AR1804" s="16"/>
      <c r="AS1804" s="14"/>
      <c r="AT1804" s="14"/>
      <c r="AU1804" s="14"/>
      <c r="AV1804" s="14"/>
      <c r="AW1804" s="14"/>
      <c r="AX1804" s="14"/>
      <c r="AY1804" s="14"/>
      <c r="AZ1804" s="14"/>
      <c r="BA1804" s="14"/>
      <c r="BB1804" s="7"/>
    </row>
    <row r="1805" spans="7:54" x14ac:dyDescent="0.15">
      <c r="G1805" s="7"/>
      <c r="H1805" s="16"/>
      <c r="I1805" s="16"/>
      <c r="J1805" s="16"/>
      <c r="K1805" s="16"/>
      <c r="L1805" s="16"/>
      <c r="M1805" s="16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24"/>
      <c r="AC1805" s="16"/>
      <c r="AD1805" s="16"/>
      <c r="AE1805" s="16"/>
      <c r="AF1805" s="16"/>
      <c r="AG1805" s="14"/>
      <c r="AH1805" s="14"/>
      <c r="AI1805" s="24"/>
      <c r="AJ1805" s="24"/>
      <c r="AK1805" s="24"/>
      <c r="AL1805" s="16"/>
      <c r="AM1805" s="16"/>
      <c r="AN1805" s="16"/>
      <c r="AO1805" s="16"/>
      <c r="AP1805" s="16"/>
      <c r="AQ1805" s="16"/>
      <c r="AR1805" s="16"/>
      <c r="AS1805" s="14"/>
      <c r="AT1805" s="14"/>
      <c r="AU1805" s="14"/>
      <c r="AV1805" s="14"/>
      <c r="AW1805" s="14"/>
      <c r="AX1805" s="14"/>
      <c r="AY1805" s="14"/>
      <c r="AZ1805" s="14"/>
      <c r="BA1805" s="14"/>
      <c r="BB1805" s="7"/>
    </row>
    <row r="1806" spans="7:54" x14ac:dyDescent="0.15">
      <c r="G1806" s="7"/>
      <c r="H1806" s="16"/>
      <c r="I1806" s="16"/>
      <c r="J1806" s="16"/>
      <c r="K1806" s="16"/>
      <c r="L1806" s="16"/>
      <c r="M1806" s="16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24"/>
      <c r="AC1806" s="16"/>
      <c r="AD1806" s="16"/>
      <c r="AE1806" s="16"/>
      <c r="AF1806" s="16"/>
      <c r="AG1806" s="14"/>
      <c r="AH1806" s="14"/>
      <c r="AI1806" s="24"/>
      <c r="AJ1806" s="24"/>
      <c r="AK1806" s="24"/>
      <c r="AL1806" s="16"/>
      <c r="AM1806" s="16"/>
      <c r="AN1806" s="16"/>
      <c r="AO1806" s="16"/>
      <c r="AP1806" s="16"/>
      <c r="AQ1806" s="16"/>
      <c r="AR1806" s="16"/>
      <c r="AS1806" s="14"/>
      <c r="AT1806" s="14"/>
      <c r="AU1806" s="14"/>
      <c r="AV1806" s="14"/>
      <c r="AW1806" s="14"/>
      <c r="AX1806" s="14"/>
      <c r="AY1806" s="14"/>
      <c r="AZ1806" s="14"/>
      <c r="BA1806" s="14"/>
      <c r="BB1806" s="7"/>
    </row>
    <row r="1807" spans="7:54" x14ac:dyDescent="0.15">
      <c r="G1807" s="7"/>
      <c r="H1807" s="16"/>
      <c r="I1807" s="16"/>
      <c r="J1807" s="16"/>
      <c r="K1807" s="16"/>
      <c r="L1807" s="16"/>
      <c r="M1807" s="16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24"/>
      <c r="AC1807" s="16"/>
      <c r="AD1807" s="16"/>
      <c r="AE1807" s="16"/>
      <c r="AF1807" s="16"/>
      <c r="AG1807" s="14"/>
      <c r="AH1807" s="14"/>
      <c r="AI1807" s="24"/>
      <c r="AJ1807" s="24"/>
      <c r="AK1807" s="24"/>
      <c r="AL1807" s="16"/>
      <c r="AM1807" s="16"/>
      <c r="AN1807" s="16"/>
      <c r="AO1807" s="16"/>
      <c r="AP1807" s="16"/>
      <c r="AQ1807" s="16"/>
      <c r="AR1807" s="16"/>
      <c r="AS1807" s="14"/>
      <c r="AT1807" s="14"/>
      <c r="AU1807" s="14"/>
      <c r="AV1807" s="14"/>
      <c r="AW1807" s="14"/>
      <c r="AX1807" s="14"/>
      <c r="AY1807" s="14"/>
      <c r="AZ1807" s="14"/>
      <c r="BA1807" s="14"/>
      <c r="BB1807" s="7"/>
    </row>
    <row r="1808" spans="7:54" x14ac:dyDescent="0.15">
      <c r="G1808" s="7"/>
      <c r="H1808" s="16"/>
      <c r="I1808" s="16"/>
      <c r="J1808" s="16"/>
      <c r="K1808" s="16"/>
      <c r="L1808" s="16"/>
      <c r="M1808" s="16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  <c r="AB1808" s="24"/>
      <c r="AC1808" s="16"/>
      <c r="AD1808" s="16"/>
      <c r="AE1808" s="16"/>
      <c r="AF1808" s="16"/>
      <c r="AG1808" s="14"/>
      <c r="AH1808" s="14"/>
      <c r="AI1808" s="24"/>
      <c r="AJ1808" s="24"/>
      <c r="AK1808" s="24"/>
      <c r="AL1808" s="16"/>
      <c r="AM1808" s="16"/>
      <c r="AN1808" s="16"/>
      <c r="AO1808" s="16"/>
      <c r="AP1808" s="16"/>
      <c r="AQ1808" s="16"/>
      <c r="AR1808" s="16"/>
      <c r="AS1808" s="14"/>
      <c r="AT1808" s="14"/>
      <c r="AU1808" s="14"/>
      <c r="AV1808" s="14"/>
      <c r="AW1808" s="14"/>
      <c r="AX1808" s="14"/>
      <c r="AY1808" s="14"/>
      <c r="AZ1808" s="14"/>
      <c r="BA1808" s="14"/>
      <c r="BB1808" s="7"/>
    </row>
    <row r="1809" spans="7:54" x14ac:dyDescent="0.15">
      <c r="G1809" s="7"/>
      <c r="H1809" s="16"/>
      <c r="I1809" s="16"/>
      <c r="J1809" s="16"/>
      <c r="K1809" s="16"/>
      <c r="L1809" s="16"/>
      <c r="M1809" s="16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24"/>
      <c r="AC1809" s="16"/>
      <c r="AD1809" s="16"/>
      <c r="AE1809" s="16"/>
      <c r="AF1809" s="16"/>
      <c r="AG1809" s="14"/>
      <c r="AH1809" s="14"/>
      <c r="AI1809" s="24"/>
      <c r="AJ1809" s="24"/>
      <c r="AK1809" s="24"/>
      <c r="AL1809" s="16"/>
      <c r="AM1809" s="16"/>
      <c r="AN1809" s="16"/>
      <c r="AO1809" s="16"/>
      <c r="AP1809" s="16"/>
      <c r="AQ1809" s="16"/>
      <c r="AR1809" s="16"/>
      <c r="AS1809" s="14"/>
      <c r="AT1809" s="14"/>
      <c r="AU1809" s="14"/>
      <c r="AV1809" s="14"/>
      <c r="AW1809" s="14"/>
      <c r="AX1809" s="14"/>
      <c r="AY1809" s="14"/>
      <c r="AZ1809" s="14"/>
      <c r="BA1809" s="14"/>
      <c r="BB1809" s="7"/>
    </row>
    <row r="1810" spans="7:54" x14ac:dyDescent="0.15">
      <c r="G1810" s="7"/>
      <c r="H1810" s="16"/>
      <c r="I1810" s="16"/>
      <c r="J1810" s="16"/>
      <c r="K1810" s="16"/>
      <c r="L1810" s="16"/>
      <c r="M1810" s="16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24"/>
      <c r="AC1810" s="16"/>
      <c r="AD1810" s="16"/>
      <c r="AE1810" s="16"/>
      <c r="AF1810" s="16"/>
      <c r="AG1810" s="14"/>
      <c r="AH1810" s="14"/>
      <c r="AI1810" s="24"/>
      <c r="AJ1810" s="24"/>
      <c r="AK1810" s="24"/>
      <c r="AL1810" s="16"/>
      <c r="AM1810" s="16"/>
      <c r="AN1810" s="16"/>
      <c r="AO1810" s="16"/>
      <c r="AP1810" s="16"/>
      <c r="AQ1810" s="16"/>
      <c r="AR1810" s="16"/>
      <c r="AS1810" s="14"/>
      <c r="AT1810" s="14"/>
      <c r="AU1810" s="14"/>
      <c r="AV1810" s="14"/>
      <c r="AW1810" s="14"/>
      <c r="AX1810" s="14"/>
      <c r="AY1810" s="14"/>
      <c r="AZ1810" s="14"/>
      <c r="BA1810" s="14"/>
      <c r="BB1810" s="7"/>
    </row>
    <row r="1811" spans="7:54" x14ac:dyDescent="0.15">
      <c r="G1811" s="7"/>
      <c r="H1811" s="16"/>
      <c r="I1811" s="16"/>
      <c r="J1811" s="16"/>
      <c r="K1811" s="16"/>
      <c r="L1811" s="16"/>
      <c r="M1811" s="16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24"/>
      <c r="AC1811" s="16"/>
      <c r="AD1811" s="16"/>
      <c r="AE1811" s="16"/>
      <c r="AF1811" s="16"/>
      <c r="AG1811" s="14"/>
      <c r="AH1811" s="14"/>
      <c r="AI1811" s="24"/>
      <c r="AJ1811" s="24"/>
      <c r="AK1811" s="24"/>
      <c r="AL1811" s="16"/>
      <c r="AM1811" s="16"/>
      <c r="AN1811" s="16"/>
      <c r="AO1811" s="16"/>
      <c r="AP1811" s="16"/>
      <c r="AQ1811" s="16"/>
      <c r="AR1811" s="16"/>
      <c r="AS1811" s="14"/>
      <c r="AT1811" s="14"/>
      <c r="AU1811" s="14"/>
      <c r="AV1811" s="14"/>
      <c r="AW1811" s="14"/>
      <c r="AX1811" s="14"/>
      <c r="AY1811" s="14"/>
      <c r="AZ1811" s="14"/>
      <c r="BA1811" s="14"/>
      <c r="BB1811" s="7"/>
    </row>
    <row r="1812" spans="7:54" x14ac:dyDescent="0.15">
      <c r="G1812" s="7"/>
      <c r="H1812" s="16"/>
      <c r="I1812" s="16"/>
      <c r="J1812" s="16"/>
      <c r="K1812" s="16"/>
      <c r="L1812" s="16"/>
      <c r="M1812" s="16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24"/>
      <c r="AC1812" s="16"/>
      <c r="AD1812" s="16"/>
      <c r="AE1812" s="16"/>
      <c r="AF1812" s="16"/>
      <c r="AG1812" s="14"/>
      <c r="AH1812" s="14"/>
      <c r="AI1812" s="24"/>
      <c r="AJ1812" s="24"/>
      <c r="AK1812" s="24"/>
      <c r="AL1812" s="16"/>
      <c r="AM1812" s="16"/>
      <c r="AN1812" s="16"/>
      <c r="AO1812" s="16"/>
      <c r="AP1812" s="16"/>
      <c r="AQ1812" s="16"/>
      <c r="AR1812" s="16"/>
      <c r="AS1812" s="14"/>
      <c r="AT1812" s="14"/>
      <c r="AU1812" s="14"/>
      <c r="AV1812" s="14"/>
      <c r="AW1812" s="14"/>
      <c r="AX1812" s="14"/>
      <c r="AY1812" s="14"/>
      <c r="AZ1812" s="14"/>
      <c r="BA1812" s="14"/>
      <c r="BB1812" s="7"/>
    </row>
    <row r="1813" spans="7:54" x14ac:dyDescent="0.15">
      <c r="G1813" s="7"/>
      <c r="H1813" s="16"/>
      <c r="I1813" s="16"/>
      <c r="J1813" s="16"/>
      <c r="K1813" s="16"/>
      <c r="L1813" s="16"/>
      <c r="M1813" s="16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24"/>
      <c r="AC1813" s="16"/>
      <c r="AD1813" s="16"/>
      <c r="AE1813" s="16"/>
      <c r="AF1813" s="16"/>
      <c r="AG1813" s="14"/>
      <c r="AH1813" s="14"/>
      <c r="AI1813" s="24"/>
      <c r="AJ1813" s="24"/>
      <c r="AK1813" s="24"/>
      <c r="AL1813" s="16"/>
      <c r="AM1813" s="16"/>
      <c r="AN1813" s="16"/>
      <c r="AO1813" s="16"/>
      <c r="AP1813" s="16"/>
      <c r="AQ1813" s="16"/>
      <c r="AR1813" s="16"/>
      <c r="AS1813" s="14"/>
      <c r="AT1813" s="14"/>
      <c r="AU1813" s="14"/>
      <c r="AV1813" s="14"/>
      <c r="AW1813" s="14"/>
      <c r="AX1813" s="14"/>
      <c r="AY1813" s="14"/>
      <c r="AZ1813" s="14"/>
      <c r="BA1813" s="14"/>
      <c r="BB1813" s="7"/>
    </row>
    <row r="1814" spans="7:54" x14ac:dyDescent="0.15">
      <c r="G1814" s="7"/>
      <c r="H1814" s="16"/>
      <c r="I1814" s="16"/>
      <c r="J1814" s="16"/>
      <c r="K1814" s="16"/>
      <c r="L1814" s="16"/>
      <c r="M1814" s="16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24"/>
      <c r="AC1814" s="16"/>
      <c r="AD1814" s="16"/>
      <c r="AE1814" s="16"/>
      <c r="AF1814" s="16"/>
      <c r="AG1814" s="14"/>
      <c r="AH1814" s="14"/>
      <c r="AI1814" s="24"/>
      <c r="AJ1814" s="24"/>
      <c r="AK1814" s="24"/>
      <c r="AL1814" s="16"/>
      <c r="AM1814" s="16"/>
      <c r="AN1814" s="16"/>
      <c r="AO1814" s="16"/>
      <c r="AP1814" s="16"/>
      <c r="AQ1814" s="16"/>
      <c r="AR1814" s="16"/>
      <c r="AS1814" s="14"/>
      <c r="AT1814" s="14"/>
      <c r="AU1814" s="14"/>
      <c r="AV1814" s="14"/>
      <c r="AW1814" s="14"/>
      <c r="AX1814" s="14"/>
      <c r="AY1814" s="14"/>
      <c r="AZ1814" s="14"/>
      <c r="BA1814" s="14"/>
      <c r="BB1814" s="7"/>
    </row>
    <row r="1815" spans="7:54" x14ac:dyDescent="0.15">
      <c r="G1815" s="7"/>
      <c r="H1815" s="16"/>
      <c r="I1815" s="16"/>
      <c r="J1815" s="16"/>
      <c r="K1815" s="16"/>
      <c r="L1815" s="16"/>
      <c r="M1815" s="16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24"/>
      <c r="AC1815" s="16"/>
      <c r="AD1815" s="16"/>
      <c r="AE1815" s="16"/>
      <c r="AF1815" s="16"/>
      <c r="AG1815" s="14"/>
      <c r="AH1815" s="14"/>
      <c r="AI1815" s="24"/>
      <c r="AJ1815" s="24"/>
      <c r="AK1815" s="24"/>
      <c r="AL1815" s="16"/>
      <c r="AM1815" s="16"/>
      <c r="AN1815" s="16"/>
      <c r="AO1815" s="16"/>
      <c r="AP1815" s="16"/>
      <c r="AQ1815" s="16"/>
      <c r="AR1815" s="16"/>
      <c r="AS1815" s="14"/>
      <c r="AT1815" s="14"/>
      <c r="AU1815" s="14"/>
      <c r="AV1815" s="14"/>
      <c r="AW1815" s="14"/>
      <c r="AX1815" s="14"/>
      <c r="AY1815" s="14"/>
      <c r="AZ1815" s="14"/>
      <c r="BA1815" s="14"/>
      <c r="BB1815" s="7"/>
    </row>
    <row r="1816" spans="7:54" x14ac:dyDescent="0.15">
      <c r="G1816" s="7"/>
      <c r="H1816" s="16"/>
      <c r="I1816" s="16"/>
      <c r="J1816" s="16"/>
      <c r="K1816" s="16"/>
      <c r="L1816" s="16"/>
      <c r="M1816" s="16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24"/>
      <c r="AC1816" s="16"/>
      <c r="AD1816" s="16"/>
      <c r="AE1816" s="16"/>
      <c r="AF1816" s="16"/>
      <c r="AG1816" s="14"/>
      <c r="AH1816" s="14"/>
      <c r="AI1816" s="24"/>
      <c r="AJ1816" s="24"/>
      <c r="AK1816" s="24"/>
      <c r="AL1816" s="16"/>
      <c r="AM1816" s="16"/>
      <c r="AN1816" s="16"/>
      <c r="AO1816" s="16"/>
      <c r="AP1816" s="16"/>
      <c r="AQ1816" s="16"/>
      <c r="AR1816" s="16"/>
      <c r="AS1816" s="14"/>
      <c r="AT1816" s="14"/>
      <c r="AU1816" s="14"/>
      <c r="AV1816" s="14"/>
      <c r="AW1816" s="14"/>
      <c r="AX1816" s="14"/>
      <c r="AY1816" s="14"/>
      <c r="AZ1816" s="14"/>
      <c r="BA1816" s="14"/>
      <c r="BB1816" s="7"/>
    </row>
    <row r="1817" spans="7:54" x14ac:dyDescent="0.15">
      <c r="G1817" s="7"/>
      <c r="H1817" s="16"/>
      <c r="I1817" s="16"/>
      <c r="J1817" s="16"/>
      <c r="K1817" s="16"/>
      <c r="L1817" s="16"/>
      <c r="M1817" s="16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24"/>
      <c r="AC1817" s="16"/>
      <c r="AD1817" s="16"/>
      <c r="AE1817" s="16"/>
      <c r="AF1817" s="16"/>
      <c r="AG1817" s="14"/>
      <c r="AH1817" s="14"/>
      <c r="AI1817" s="24"/>
      <c r="AJ1817" s="24"/>
      <c r="AK1817" s="24"/>
      <c r="AL1817" s="16"/>
      <c r="AM1817" s="16"/>
      <c r="AN1817" s="16"/>
      <c r="AO1817" s="16"/>
      <c r="AP1817" s="16"/>
      <c r="AQ1817" s="16"/>
      <c r="AR1817" s="16"/>
      <c r="AS1817" s="14"/>
      <c r="AT1817" s="14"/>
      <c r="AU1817" s="14"/>
      <c r="AV1817" s="14"/>
      <c r="AW1817" s="14"/>
      <c r="AX1817" s="14"/>
      <c r="AY1817" s="14"/>
      <c r="AZ1817" s="14"/>
      <c r="BA1817" s="14"/>
      <c r="BB1817" s="7"/>
    </row>
    <row r="1818" spans="7:54" x14ac:dyDescent="0.15">
      <c r="G1818" s="7"/>
      <c r="H1818" s="16"/>
      <c r="I1818" s="16"/>
      <c r="J1818" s="16"/>
      <c r="K1818" s="16"/>
      <c r="L1818" s="16"/>
      <c r="M1818" s="16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  <c r="AB1818" s="24"/>
      <c r="AC1818" s="16"/>
      <c r="AD1818" s="16"/>
      <c r="AE1818" s="16"/>
      <c r="AF1818" s="16"/>
      <c r="AG1818" s="14"/>
      <c r="AH1818" s="14"/>
      <c r="AI1818" s="24"/>
      <c r="AJ1818" s="24"/>
      <c r="AK1818" s="24"/>
      <c r="AL1818" s="16"/>
      <c r="AM1818" s="16"/>
      <c r="AN1818" s="16"/>
      <c r="AO1818" s="16"/>
      <c r="AP1818" s="16"/>
      <c r="AQ1818" s="16"/>
      <c r="AR1818" s="16"/>
      <c r="AS1818" s="14"/>
      <c r="AT1818" s="14"/>
      <c r="AU1818" s="14"/>
      <c r="AV1818" s="14"/>
      <c r="AW1818" s="14"/>
      <c r="AX1818" s="14"/>
      <c r="AY1818" s="14"/>
      <c r="AZ1818" s="14"/>
      <c r="BA1818" s="14"/>
      <c r="BB1818" s="7"/>
    </row>
    <row r="1819" spans="7:54" x14ac:dyDescent="0.15">
      <c r="G1819" s="7"/>
      <c r="H1819" s="16"/>
      <c r="I1819" s="16"/>
      <c r="J1819" s="16"/>
      <c r="K1819" s="16"/>
      <c r="L1819" s="16"/>
      <c r="M1819" s="16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24"/>
      <c r="AC1819" s="16"/>
      <c r="AD1819" s="16"/>
      <c r="AE1819" s="16"/>
      <c r="AF1819" s="16"/>
      <c r="AG1819" s="14"/>
      <c r="AH1819" s="14"/>
      <c r="AI1819" s="24"/>
      <c r="AJ1819" s="24"/>
      <c r="AK1819" s="24"/>
      <c r="AL1819" s="16"/>
      <c r="AM1819" s="16"/>
      <c r="AN1819" s="16"/>
      <c r="AO1819" s="16"/>
      <c r="AP1819" s="16"/>
      <c r="AQ1819" s="16"/>
      <c r="AR1819" s="16"/>
      <c r="AS1819" s="14"/>
      <c r="AT1819" s="14"/>
      <c r="AU1819" s="14"/>
      <c r="AV1819" s="14"/>
      <c r="AW1819" s="14"/>
      <c r="AX1819" s="14"/>
      <c r="AY1819" s="14"/>
      <c r="AZ1819" s="14"/>
      <c r="BA1819" s="14"/>
      <c r="BB1819" s="7"/>
    </row>
    <row r="1820" spans="7:54" x14ac:dyDescent="0.15">
      <c r="G1820" s="7"/>
      <c r="H1820" s="16"/>
      <c r="I1820" s="16"/>
      <c r="J1820" s="16"/>
      <c r="K1820" s="16"/>
      <c r="L1820" s="16"/>
      <c r="M1820" s="16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24"/>
      <c r="AC1820" s="16"/>
      <c r="AD1820" s="16"/>
      <c r="AE1820" s="16"/>
      <c r="AF1820" s="16"/>
      <c r="AG1820" s="14"/>
      <c r="AH1820" s="14"/>
      <c r="AI1820" s="24"/>
      <c r="AJ1820" s="24"/>
      <c r="AK1820" s="24"/>
      <c r="AL1820" s="16"/>
      <c r="AM1820" s="16"/>
      <c r="AN1820" s="16"/>
      <c r="AO1820" s="16"/>
      <c r="AP1820" s="16"/>
      <c r="AQ1820" s="16"/>
      <c r="AR1820" s="16"/>
      <c r="AS1820" s="14"/>
      <c r="AT1820" s="14"/>
      <c r="AU1820" s="14"/>
      <c r="AV1820" s="14"/>
      <c r="AW1820" s="14"/>
      <c r="AX1820" s="14"/>
      <c r="AY1820" s="14"/>
      <c r="AZ1820" s="14"/>
      <c r="BA1820" s="14"/>
      <c r="BB1820" s="7"/>
    </row>
    <row r="1821" spans="7:54" x14ac:dyDescent="0.15">
      <c r="G1821" s="7"/>
      <c r="H1821" s="16"/>
      <c r="I1821" s="16"/>
      <c r="J1821" s="16"/>
      <c r="K1821" s="16"/>
      <c r="L1821" s="16"/>
      <c r="M1821" s="16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24"/>
      <c r="AC1821" s="16"/>
      <c r="AD1821" s="16"/>
      <c r="AE1821" s="16"/>
      <c r="AF1821" s="16"/>
      <c r="AG1821" s="14"/>
      <c r="AH1821" s="14"/>
      <c r="AI1821" s="24"/>
      <c r="AJ1821" s="24"/>
      <c r="AK1821" s="24"/>
      <c r="AL1821" s="16"/>
      <c r="AM1821" s="16"/>
      <c r="AN1821" s="16"/>
      <c r="AO1821" s="16"/>
      <c r="AP1821" s="16"/>
      <c r="AQ1821" s="16"/>
      <c r="AR1821" s="16"/>
      <c r="AS1821" s="14"/>
      <c r="AT1821" s="14"/>
      <c r="AU1821" s="14"/>
      <c r="AV1821" s="14"/>
      <c r="AW1821" s="14"/>
      <c r="AX1821" s="14"/>
      <c r="AY1821" s="14"/>
      <c r="AZ1821" s="14"/>
      <c r="BA1821" s="14"/>
      <c r="BB1821" s="7"/>
    </row>
    <row r="1822" spans="7:54" x14ac:dyDescent="0.15">
      <c r="G1822" s="7"/>
      <c r="H1822" s="16"/>
      <c r="I1822" s="16"/>
      <c r="J1822" s="16"/>
      <c r="K1822" s="16"/>
      <c r="L1822" s="16"/>
      <c r="M1822" s="16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24"/>
      <c r="AC1822" s="16"/>
      <c r="AD1822" s="16"/>
      <c r="AE1822" s="16"/>
      <c r="AF1822" s="16"/>
      <c r="AG1822" s="14"/>
      <c r="AH1822" s="14"/>
      <c r="AI1822" s="24"/>
      <c r="AJ1822" s="24"/>
      <c r="AK1822" s="24"/>
      <c r="AL1822" s="16"/>
      <c r="AM1822" s="16"/>
      <c r="AN1822" s="16"/>
      <c r="AO1822" s="16"/>
      <c r="AP1822" s="16"/>
      <c r="AQ1822" s="16"/>
      <c r="AR1822" s="16"/>
      <c r="AS1822" s="14"/>
      <c r="AT1822" s="14"/>
      <c r="AU1822" s="14"/>
      <c r="AV1822" s="14"/>
      <c r="AW1822" s="14"/>
      <c r="AX1822" s="14"/>
      <c r="AY1822" s="14"/>
      <c r="AZ1822" s="14"/>
      <c r="BA1822" s="14"/>
      <c r="BB1822" s="7"/>
    </row>
    <row r="1823" spans="7:54" x14ac:dyDescent="0.15">
      <c r="G1823" s="7"/>
      <c r="H1823" s="16"/>
      <c r="I1823" s="16"/>
      <c r="J1823" s="16"/>
      <c r="K1823" s="16"/>
      <c r="L1823" s="16"/>
      <c r="M1823" s="16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24"/>
      <c r="AC1823" s="16"/>
      <c r="AD1823" s="16"/>
      <c r="AE1823" s="16"/>
      <c r="AF1823" s="16"/>
      <c r="AG1823" s="14"/>
      <c r="AH1823" s="14"/>
      <c r="AI1823" s="24"/>
      <c r="AJ1823" s="24"/>
      <c r="AK1823" s="24"/>
      <c r="AL1823" s="16"/>
      <c r="AM1823" s="16"/>
      <c r="AN1823" s="16"/>
      <c r="AO1823" s="16"/>
      <c r="AP1823" s="16"/>
      <c r="AQ1823" s="16"/>
      <c r="AR1823" s="16"/>
      <c r="AS1823" s="14"/>
      <c r="AT1823" s="14"/>
      <c r="AU1823" s="14"/>
      <c r="AV1823" s="14"/>
      <c r="AW1823" s="14"/>
      <c r="AX1823" s="14"/>
      <c r="AY1823" s="14"/>
      <c r="AZ1823" s="14"/>
      <c r="BA1823" s="14"/>
      <c r="BB1823" s="7"/>
    </row>
    <row r="1824" spans="7:54" x14ac:dyDescent="0.15">
      <c r="G1824" s="7"/>
      <c r="H1824" s="16"/>
      <c r="I1824" s="16"/>
      <c r="J1824" s="16"/>
      <c r="K1824" s="16"/>
      <c r="L1824" s="16"/>
      <c r="M1824" s="16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24"/>
      <c r="AC1824" s="16"/>
      <c r="AD1824" s="16"/>
      <c r="AE1824" s="16"/>
      <c r="AF1824" s="16"/>
      <c r="AG1824" s="14"/>
      <c r="AH1824" s="14"/>
      <c r="AI1824" s="24"/>
      <c r="AJ1824" s="24"/>
      <c r="AK1824" s="24"/>
      <c r="AL1824" s="16"/>
      <c r="AM1824" s="16"/>
      <c r="AN1824" s="16"/>
      <c r="AO1824" s="16"/>
      <c r="AP1824" s="16"/>
      <c r="AQ1824" s="16"/>
      <c r="AR1824" s="16"/>
      <c r="AS1824" s="14"/>
      <c r="AT1824" s="14"/>
      <c r="AU1824" s="14"/>
      <c r="AV1824" s="14"/>
      <c r="AW1824" s="14"/>
      <c r="AX1824" s="14"/>
      <c r="AY1824" s="14"/>
      <c r="AZ1824" s="14"/>
      <c r="BA1824" s="14"/>
      <c r="BB1824" s="7"/>
    </row>
    <row r="1825" spans="7:54" x14ac:dyDescent="0.15">
      <c r="G1825" s="7"/>
      <c r="H1825" s="16"/>
      <c r="I1825" s="16"/>
      <c r="J1825" s="16"/>
      <c r="K1825" s="16"/>
      <c r="L1825" s="16"/>
      <c r="M1825" s="16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24"/>
      <c r="AC1825" s="16"/>
      <c r="AD1825" s="16"/>
      <c r="AE1825" s="16"/>
      <c r="AF1825" s="16"/>
      <c r="AG1825" s="14"/>
      <c r="AH1825" s="14"/>
      <c r="AI1825" s="24"/>
      <c r="AJ1825" s="24"/>
      <c r="AK1825" s="24"/>
      <c r="AL1825" s="16"/>
      <c r="AM1825" s="16"/>
      <c r="AN1825" s="16"/>
      <c r="AO1825" s="16"/>
      <c r="AP1825" s="16"/>
      <c r="AQ1825" s="16"/>
      <c r="AR1825" s="16"/>
      <c r="AS1825" s="14"/>
      <c r="AT1825" s="14"/>
      <c r="AU1825" s="14"/>
      <c r="AV1825" s="14"/>
      <c r="AW1825" s="14"/>
      <c r="AX1825" s="14"/>
      <c r="AY1825" s="14"/>
      <c r="AZ1825" s="14"/>
      <c r="BA1825" s="14"/>
      <c r="BB1825" s="7"/>
    </row>
    <row r="1826" spans="7:54" x14ac:dyDescent="0.15">
      <c r="G1826" s="7"/>
      <c r="H1826" s="16"/>
      <c r="I1826" s="16"/>
      <c r="J1826" s="16"/>
      <c r="K1826" s="16"/>
      <c r="L1826" s="16"/>
      <c r="M1826" s="16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24"/>
      <c r="AC1826" s="16"/>
      <c r="AD1826" s="16"/>
      <c r="AE1826" s="16"/>
      <c r="AF1826" s="16"/>
      <c r="AG1826" s="14"/>
      <c r="AH1826" s="14"/>
      <c r="AI1826" s="24"/>
      <c r="AJ1826" s="24"/>
      <c r="AK1826" s="24"/>
      <c r="AL1826" s="16"/>
      <c r="AM1826" s="16"/>
      <c r="AN1826" s="16"/>
      <c r="AO1826" s="16"/>
      <c r="AP1826" s="16"/>
      <c r="AQ1826" s="16"/>
      <c r="AR1826" s="16"/>
      <c r="AS1826" s="14"/>
      <c r="AT1826" s="14"/>
      <c r="AU1826" s="14"/>
      <c r="AV1826" s="14"/>
      <c r="AW1826" s="14"/>
      <c r="AX1826" s="14"/>
      <c r="AY1826" s="14"/>
      <c r="AZ1826" s="14"/>
      <c r="BA1826" s="14"/>
      <c r="BB1826" s="7"/>
    </row>
    <row r="1827" spans="7:54" x14ac:dyDescent="0.15">
      <c r="G1827" s="7"/>
      <c r="H1827" s="16"/>
      <c r="I1827" s="16"/>
      <c r="J1827" s="16"/>
      <c r="K1827" s="16"/>
      <c r="L1827" s="16"/>
      <c r="M1827" s="16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24"/>
      <c r="AC1827" s="16"/>
      <c r="AD1827" s="16"/>
      <c r="AE1827" s="16"/>
      <c r="AF1827" s="16"/>
      <c r="AG1827" s="14"/>
      <c r="AH1827" s="14"/>
      <c r="AI1827" s="24"/>
      <c r="AJ1827" s="24"/>
      <c r="AK1827" s="24"/>
      <c r="AL1827" s="16"/>
      <c r="AM1827" s="16"/>
      <c r="AN1827" s="16"/>
      <c r="AO1827" s="16"/>
      <c r="AP1827" s="16"/>
      <c r="AQ1827" s="16"/>
      <c r="AR1827" s="16"/>
      <c r="AS1827" s="14"/>
      <c r="AT1827" s="14"/>
      <c r="AU1827" s="14"/>
      <c r="AV1827" s="14"/>
      <c r="AW1827" s="14"/>
      <c r="AX1827" s="14"/>
      <c r="AY1827" s="14"/>
      <c r="AZ1827" s="14"/>
      <c r="BA1827" s="14"/>
      <c r="BB1827" s="7"/>
    </row>
    <row r="1828" spans="7:54" x14ac:dyDescent="0.15">
      <c r="G1828" s="7"/>
      <c r="H1828" s="16"/>
      <c r="I1828" s="16"/>
      <c r="J1828" s="16"/>
      <c r="K1828" s="16"/>
      <c r="L1828" s="16"/>
      <c r="M1828" s="16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24"/>
      <c r="AC1828" s="16"/>
      <c r="AD1828" s="16"/>
      <c r="AE1828" s="16"/>
      <c r="AF1828" s="16"/>
      <c r="AG1828" s="14"/>
      <c r="AH1828" s="14"/>
      <c r="AI1828" s="24"/>
      <c r="AJ1828" s="24"/>
      <c r="AK1828" s="24"/>
      <c r="AL1828" s="16"/>
      <c r="AM1828" s="16"/>
      <c r="AN1828" s="16"/>
      <c r="AO1828" s="16"/>
      <c r="AP1828" s="16"/>
      <c r="AQ1828" s="16"/>
      <c r="AR1828" s="16"/>
      <c r="AS1828" s="14"/>
      <c r="AT1828" s="14"/>
      <c r="AU1828" s="14"/>
      <c r="AV1828" s="14"/>
      <c r="AW1828" s="14"/>
      <c r="AX1828" s="14"/>
      <c r="AY1828" s="14"/>
      <c r="AZ1828" s="14"/>
      <c r="BA1828" s="14"/>
      <c r="BB1828" s="7"/>
    </row>
    <row r="1829" spans="7:54" x14ac:dyDescent="0.15">
      <c r="G1829" s="7"/>
      <c r="H1829" s="16"/>
      <c r="I1829" s="16"/>
      <c r="J1829" s="16"/>
      <c r="K1829" s="16"/>
      <c r="L1829" s="16"/>
      <c r="M1829" s="16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24"/>
      <c r="AC1829" s="16"/>
      <c r="AD1829" s="16"/>
      <c r="AE1829" s="16"/>
      <c r="AF1829" s="16"/>
      <c r="AG1829" s="14"/>
      <c r="AH1829" s="14"/>
      <c r="AI1829" s="24"/>
      <c r="AJ1829" s="24"/>
      <c r="AK1829" s="24"/>
      <c r="AL1829" s="16"/>
      <c r="AM1829" s="16"/>
      <c r="AN1829" s="16"/>
      <c r="AO1829" s="16"/>
      <c r="AP1829" s="16"/>
      <c r="AQ1829" s="16"/>
      <c r="AR1829" s="16"/>
      <c r="AS1829" s="14"/>
      <c r="AT1829" s="14"/>
      <c r="AU1829" s="14"/>
      <c r="AV1829" s="14"/>
      <c r="AW1829" s="14"/>
      <c r="AX1829" s="14"/>
      <c r="AY1829" s="14"/>
      <c r="AZ1829" s="14"/>
      <c r="BA1829" s="14"/>
      <c r="BB1829" s="7"/>
    </row>
    <row r="1830" spans="7:54" x14ac:dyDescent="0.15">
      <c r="G1830" s="7"/>
      <c r="H1830" s="16"/>
      <c r="I1830" s="16"/>
      <c r="J1830" s="16"/>
      <c r="K1830" s="16"/>
      <c r="L1830" s="16"/>
      <c r="M1830" s="16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24"/>
      <c r="AC1830" s="16"/>
      <c r="AD1830" s="16"/>
      <c r="AE1830" s="16"/>
      <c r="AF1830" s="16"/>
      <c r="AG1830" s="14"/>
      <c r="AH1830" s="14"/>
      <c r="AI1830" s="24"/>
      <c r="AJ1830" s="24"/>
      <c r="AK1830" s="24"/>
      <c r="AL1830" s="16"/>
      <c r="AM1830" s="16"/>
      <c r="AN1830" s="16"/>
      <c r="AO1830" s="16"/>
      <c r="AP1830" s="16"/>
      <c r="AQ1830" s="16"/>
      <c r="AR1830" s="16"/>
      <c r="AS1830" s="14"/>
      <c r="AT1830" s="14"/>
      <c r="AU1830" s="14"/>
      <c r="AV1830" s="14"/>
      <c r="AW1830" s="14"/>
      <c r="AX1830" s="14"/>
      <c r="AY1830" s="14"/>
      <c r="AZ1830" s="14"/>
      <c r="BA1830" s="14"/>
      <c r="BB1830" s="7"/>
    </row>
    <row r="1831" spans="7:54" x14ac:dyDescent="0.15">
      <c r="G1831" s="7"/>
      <c r="H1831" s="16"/>
      <c r="I1831" s="16"/>
      <c r="J1831" s="16"/>
      <c r="K1831" s="16"/>
      <c r="L1831" s="16"/>
      <c r="M1831" s="16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24"/>
      <c r="AC1831" s="16"/>
      <c r="AD1831" s="16"/>
      <c r="AE1831" s="16"/>
      <c r="AF1831" s="16"/>
      <c r="AG1831" s="14"/>
      <c r="AH1831" s="14"/>
      <c r="AI1831" s="24"/>
      <c r="AJ1831" s="24"/>
      <c r="AK1831" s="24"/>
      <c r="AL1831" s="16"/>
      <c r="AM1831" s="16"/>
      <c r="AN1831" s="16"/>
      <c r="AO1831" s="16"/>
      <c r="AP1831" s="16"/>
      <c r="AQ1831" s="16"/>
      <c r="AR1831" s="16"/>
      <c r="AS1831" s="14"/>
      <c r="AT1831" s="14"/>
      <c r="AU1831" s="14"/>
      <c r="AV1831" s="14"/>
      <c r="AW1831" s="14"/>
      <c r="AX1831" s="14"/>
      <c r="AY1831" s="14"/>
      <c r="AZ1831" s="14"/>
      <c r="BA1831" s="14"/>
      <c r="BB1831" s="7"/>
    </row>
    <row r="1832" spans="7:54" x14ac:dyDescent="0.15">
      <c r="G1832" s="7"/>
      <c r="H1832" s="16"/>
      <c r="I1832" s="16"/>
      <c r="J1832" s="16"/>
      <c r="K1832" s="16"/>
      <c r="L1832" s="16"/>
      <c r="M1832" s="16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24"/>
      <c r="AC1832" s="16"/>
      <c r="AD1832" s="16"/>
      <c r="AE1832" s="16"/>
      <c r="AF1832" s="16"/>
      <c r="AG1832" s="14"/>
      <c r="AH1832" s="14"/>
      <c r="AI1832" s="24"/>
      <c r="AJ1832" s="24"/>
      <c r="AK1832" s="24"/>
      <c r="AL1832" s="16"/>
      <c r="AM1832" s="16"/>
      <c r="AN1832" s="16"/>
      <c r="AO1832" s="16"/>
      <c r="AP1832" s="16"/>
      <c r="AQ1832" s="16"/>
      <c r="AR1832" s="16"/>
      <c r="AS1832" s="14"/>
      <c r="AT1832" s="14"/>
      <c r="AU1832" s="14"/>
      <c r="AV1832" s="14"/>
      <c r="AW1832" s="14"/>
      <c r="AX1832" s="14"/>
      <c r="AY1832" s="14"/>
      <c r="AZ1832" s="14"/>
      <c r="BA1832" s="14"/>
      <c r="BB1832" s="7"/>
    </row>
    <row r="1833" spans="7:54" x14ac:dyDescent="0.15">
      <c r="G1833" s="7"/>
      <c r="H1833" s="16"/>
      <c r="I1833" s="16"/>
      <c r="J1833" s="16"/>
      <c r="K1833" s="16"/>
      <c r="L1833" s="16"/>
      <c r="M1833" s="16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24"/>
      <c r="AC1833" s="16"/>
      <c r="AD1833" s="16"/>
      <c r="AE1833" s="16"/>
      <c r="AF1833" s="16"/>
      <c r="AG1833" s="14"/>
      <c r="AH1833" s="14"/>
      <c r="AI1833" s="24"/>
      <c r="AJ1833" s="24"/>
      <c r="AK1833" s="24"/>
      <c r="AL1833" s="16"/>
      <c r="AM1833" s="16"/>
      <c r="AN1833" s="16"/>
      <c r="AO1833" s="16"/>
      <c r="AP1833" s="16"/>
      <c r="AQ1833" s="16"/>
      <c r="AR1833" s="16"/>
      <c r="AS1833" s="14"/>
      <c r="AT1833" s="14"/>
      <c r="AU1833" s="14"/>
      <c r="AV1833" s="14"/>
      <c r="AW1833" s="14"/>
      <c r="AX1833" s="14"/>
      <c r="AY1833" s="14"/>
      <c r="AZ1833" s="14"/>
      <c r="BA1833" s="14"/>
      <c r="BB1833" s="7"/>
    </row>
    <row r="1834" spans="7:54" x14ac:dyDescent="0.15">
      <c r="G1834" s="7"/>
      <c r="H1834" s="16"/>
      <c r="I1834" s="16"/>
      <c r="J1834" s="16"/>
      <c r="K1834" s="16"/>
      <c r="L1834" s="16"/>
      <c r="M1834" s="16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24"/>
      <c r="AC1834" s="16"/>
      <c r="AD1834" s="16"/>
      <c r="AE1834" s="16"/>
      <c r="AF1834" s="16"/>
      <c r="AG1834" s="14"/>
      <c r="AH1834" s="14"/>
      <c r="AI1834" s="24"/>
      <c r="AJ1834" s="24"/>
      <c r="AK1834" s="24"/>
      <c r="AL1834" s="16"/>
      <c r="AM1834" s="16"/>
      <c r="AN1834" s="16"/>
      <c r="AO1834" s="16"/>
      <c r="AP1834" s="16"/>
      <c r="AQ1834" s="16"/>
      <c r="AR1834" s="16"/>
      <c r="AS1834" s="14"/>
      <c r="AT1834" s="14"/>
      <c r="AU1834" s="14"/>
      <c r="AV1834" s="14"/>
      <c r="AW1834" s="14"/>
      <c r="AX1834" s="14"/>
      <c r="AY1834" s="14"/>
      <c r="AZ1834" s="14"/>
      <c r="BA1834" s="14"/>
      <c r="BB1834" s="7"/>
    </row>
    <row r="1835" spans="7:54" x14ac:dyDescent="0.15">
      <c r="G1835" s="7"/>
      <c r="H1835" s="16"/>
      <c r="I1835" s="16"/>
      <c r="J1835" s="16"/>
      <c r="K1835" s="16"/>
      <c r="L1835" s="16"/>
      <c r="M1835" s="16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24"/>
      <c r="AC1835" s="16"/>
      <c r="AD1835" s="16"/>
      <c r="AE1835" s="16"/>
      <c r="AF1835" s="16"/>
      <c r="AG1835" s="14"/>
      <c r="AH1835" s="14"/>
      <c r="AI1835" s="24"/>
      <c r="AJ1835" s="24"/>
      <c r="AK1835" s="24"/>
      <c r="AL1835" s="16"/>
      <c r="AM1835" s="16"/>
      <c r="AN1835" s="16"/>
      <c r="AO1835" s="16"/>
      <c r="AP1835" s="16"/>
      <c r="AQ1835" s="16"/>
      <c r="AR1835" s="16"/>
      <c r="AS1835" s="14"/>
      <c r="AT1835" s="14"/>
      <c r="AU1835" s="14"/>
      <c r="AV1835" s="14"/>
      <c r="AW1835" s="14"/>
      <c r="AX1835" s="14"/>
      <c r="AY1835" s="14"/>
      <c r="AZ1835" s="14"/>
      <c r="BA1835" s="14"/>
      <c r="BB1835" s="7"/>
    </row>
    <row r="1836" spans="7:54" x14ac:dyDescent="0.15">
      <c r="G1836" s="7"/>
      <c r="H1836" s="16"/>
      <c r="I1836" s="16"/>
      <c r="J1836" s="16"/>
      <c r="K1836" s="16"/>
      <c r="L1836" s="16"/>
      <c r="M1836" s="16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24"/>
      <c r="AC1836" s="16"/>
      <c r="AD1836" s="16"/>
      <c r="AE1836" s="16"/>
      <c r="AF1836" s="16"/>
      <c r="AG1836" s="14"/>
      <c r="AH1836" s="14"/>
      <c r="AI1836" s="24"/>
      <c r="AJ1836" s="24"/>
      <c r="AK1836" s="24"/>
      <c r="AL1836" s="16"/>
      <c r="AM1836" s="16"/>
      <c r="AN1836" s="16"/>
      <c r="AO1836" s="16"/>
      <c r="AP1836" s="16"/>
      <c r="AQ1836" s="16"/>
      <c r="AR1836" s="16"/>
      <c r="AS1836" s="14"/>
      <c r="AT1836" s="14"/>
      <c r="AU1836" s="14"/>
      <c r="AV1836" s="14"/>
      <c r="AW1836" s="14"/>
      <c r="AX1836" s="14"/>
      <c r="AY1836" s="14"/>
      <c r="AZ1836" s="14"/>
      <c r="BA1836" s="14"/>
      <c r="BB1836" s="7"/>
    </row>
    <row r="1837" spans="7:54" x14ac:dyDescent="0.15">
      <c r="G1837" s="7"/>
      <c r="H1837" s="16"/>
      <c r="I1837" s="16"/>
      <c r="J1837" s="16"/>
      <c r="K1837" s="16"/>
      <c r="L1837" s="16"/>
      <c r="M1837" s="16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24"/>
      <c r="AC1837" s="16"/>
      <c r="AD1837" s="16"/>
      <c r="AE1837" s="16"/>
      <c r="AF1837" s="16"/>
      <c r="AG1837" s="14"/>
      <c r="AH1837" s="14"/>
      <c r="AI1837" s="24"/>
      <c r="AJ1837" s="24"/>
      <c r="AK1837" s="24"/>
      <c r="AL1837" s="16"/>
      <c r="AM1837" s="16"/>
      <c r="AN1837" s="16"/>
      <c r="AO1837" s="16"/>
      <c r="AP1837" s="16"/>
      <c r="AQ1837" s="16"/>
      <c r="AR1837" s="16"/>
      <c r="AS1837" s="14"/>
      <c r="AT1837" s="14"/>
      <c r="AU1837" s="14"/>
      <c r="AV1837" s="14"/>
      <c r="AW1837" s="14"/>
      <c r="AX1837" s="14"/>
      <c r="AY1837" s="14"/>
      <c r="AZ1837" s="14"/>
      <c r="BA1837" s="14"/>
      <c r="BB1837" s="7"/>
    </row>
    <row r="1838" spans="7:54" x14ac:dyDescent="0.15">
      <c r="G1838" s="7"/>
      <c r="H1838" s="16"/>
      <c r="I1838" s="16"/>
      <c r="J1838" s="16"/>
      <c r="K1838" s="16"/>
      <c r="L1838" s="16"/>
      <c r="M1838" s="16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24"/>
      <c r="AC1838" s="16"/>
      <c r="AD1838" s="16"/>
      <c r="AE1838" s="16"/>
      <c r="AF1838" s="16"/>
      <c r="AG1838" s="14"/>
      <c r="AH1838" s="14"/>
      <c r="AI1838" s="24"/>
      <c r="AJ1838" s="24"/>
      <c r="AK1838" s="24"/>
      <c r="AL1838" s="16"/>
      <c r="AM1838" s="16"/>
      <c r="AN1838" s="16"/>
      <c r="AO1838" s="16"/>
      <c r="AP1838" s="16"/>
      <c r="AQ1838" s="16"/>
      <c r="AR1838" s="16"/>
      <c r="AS1838" s="14"/>
      <c r="AT1838" s="14"/>
      <c r="AU1838" s="14"/>
      <c r="AV1838" s="14"/>
      <c r="AW1838" s="14"/>
      <c r="AX1838" s="14"/>
      <c r="AY1838" s="14"/>
      <c r="AZ1838" s="14"/>
      <c r="BA1838" s="14"/>
      <c r="BB1838" s="7"/>
    </row>
    <row r="1839" spans="7:54" x14ac:dyDescent="0.15">
      <c r="G1839" s="7"/>
      <c r="H1839" s="16"/>
      <c r="I1839" s="16"/>
      <c r="J1839" s="16"/>
      <c r="K1839" s="16"/>
      <c r="L1839" s="16"/>
      <c r="M1839" s="16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24"/>
      <c r="AC1839" s="16"/>
      <c r="AD1839" s="16"/>
      <c r="AE1839" s="16"/>
      <c r="AF1839" s="16"/>
      <c r="AG1839" s="14"/>
      <c r="AH1839" s="14"/>
      <c r="AI1839" s="24"/>
      <c r="AJ1839" s="24"/>
      <c r="AK1839" s="24"/>
      <c r="AL1839" s="16"/>
      <c r="AM1839" s="16"/>
      <c r="AN1839" s="16"/>
      <c r="AO1839" s="16"/>
      <c r="AP1839" s="16"/>
      <c r="AQ1839" s="16"/>
      <c r="AR1839" s="16"/>
      <c r="AS1839" s="14"/>
      <c r="AT1839" s="14"/>
      <c r="AU1839" s="14"/>
      <c r="AV1839" s="14"/>
      <c r="AW1839" s="14"/>
      <c r="AX1839" s="14"/>
      <c r="AY1839" s="14"/>
      <c r="AZ1839" s="14"/>
      <c r="BA1839" s="14"/>
      <c r="BB1839" s="7"/>
    </row>
    <row r="1840" spans="7:54" x14ac:dyDescent="0.15">
      <c r="G1840" s="7"/>
      <c r="H1840" s="16"/>
      <c r="I1840" s="16"/>
      <c r="J1840" s="16"/>
      <c r="K1840" s="16"/>
      <c r="L1840" s="16"/>
      <c r="M1840" s="16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24"/>
      <c r="AC1840" s="16"/>
      <c r="AD1840" s="16"/>
      <c r="AE1840" s="16"/>
      <c r="AF1840" s="16"/>
      <c r="AG1840" s="14"/>
      <c r="AH1840" s="14"/>
      <c r="AI1840" s="24"/>
      <c r="AJ1840" s="24"/>
      <c r="AK1840" s="24"/>
      <c r="AL1840" s="16"/>
      <c r="AM1840" s="16"/>
      <c r="AN1840" s="16"/>
      <c r="AO1840" s="16"/>
      <c r="AP1840" s="16"/>
      <c r="AQ1840" s="16"/>
      <c r="AR1840" s="16"/>
      <c r="AS1840" s="14"/>
      <c r="AT1840" s="14"/>
      <c r="AU1840" s="14"/>
      <c r="AV1840" s="14"/>
      <c r="AW1840" s="14"/>
      <c r="AX1840" s="14"/>
      <c r="AY1840" s="14"/>
      <c r="AZ1840" s="14"/>
      <c r="BA1840" s="14"/>
      <c r="BB1840" s="7"/>
    </row>
    <row r="1841" spans="7:54" x14ac:dyDescent="0.15">
      <c r="G1841" s="7"/>
      <c r="H1841" s="16"/>
      <c r="I1841" s="16"/>
      <c r="J1841" s="16"/>
      <c r="K1841" s="16"/>
      <c r="L1841" s="16"/>
      <c r="M1841" s="16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24"/>
      <c r="AC1841" s="16"/>
      <c r="AD1841" s="16"/>
      <c r="AE1841" s="16"/>
      <c r="AF1841" s="16"/>
      <c r="AG1841" s="14"/>
      <c r="AH1841" s="14"/>
      <c r="AI1841" s="24"/>
      <c r="AJ1841" s="24"/>
      <c r="AK1841" s="24"/>
      <c r="AL1841" s="16"/>
      <c r="AM1841" s="16"/>
      <c r="AN1841" s="16"/>
      <c r="AO1841" s="16"/>
      <c r="AP1841" s="16"/>
      <c r="AQ1841" s="16"/>
      <c r="AR1841" s="16"/>
      <c r="AS1841" s="14"/>
      <c r="AT1841" s="14"/>
      <c r="AU1841" s="14"/>
      <c r="AV1841" s="14"/>
      <c r="AW1841" s="14"/>
      <c r="AX1841" s="14"/>
      <c r="AY1841" s="14"/>
      <c r="AZ1841" s="14"/>
      <c r="BA1841" s="14"/>
      <c r="BB1841" s="7"/>
    </row>
    <row r="1842" spans="7:54" x14ac:dyDescent="0.15">
      <c r="G1842" s="7"/>
      <c r="H1842" s="16"/>
      <c r="I1842" s="16"/>
      <c r="J1842" s="16"/>
      <c r="K1842" s="16"/>
      <c r="L1842" s="16"/>
      <c r="M1842" s="16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24"/>
      <c r="AC1842" s="16"/>
      <c r="AD1842" s="16"/>
      <c r="AE1842" s="16"/>
      <c r="AF1842" s="16"/>
      <c r="AG1842" s="14"/>
      <c r="AH1842" s="14"/>
      <c r="AI1842" s="24"/>
      <c r="AJ1842" s="24"/>
      <c r="AK1842" s="24"/>
      <c r="AL1842" s="16"/>
      <c r="AM1842" s="16"/>
      <c r="AN1842" s="16"/>
      <c r="AO1842" s="16"/>
      <c r="AP1842" s="16"/>
      <c r="AQ1842" s="16"/>
      <c r="AR1842" s="16"/>
      <c r="AS1842" s="14"/>
      <c r="AT1842" s="14"/>
      <c r="AU1842" s="14"/>
      <c r="AV1842" s="14"/>
      <c r="AW1842" s="14"/>
      <c r="AX1842" s="14"/>
      <c r="AY1842" s="14"/>
      <c r="AZ1842" s="14"/>
      <c r="BA1842" s="14"/>
      <c r="BB1842" s="7"/>
    </row>
    <row r="1843" spans="7:54" x14ac:dyDescent="0.15">
      <c r="G1843" s="7"/>
      <c r="H1843" s="16"/>
      <c r="I1843" s="16"/>
      <c r="J1843" s="16"/>
      <c r="K1843" s="16"/>
      <c r="L1843" s="16"/>
      <c r="M1843" s="16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24"/>
      <c r="AC1843" s="16"/>
      <c r="AD1843" s="16"/>
      <c r="AE1843" s="16"/>
      <c r="AF1843" s="16"/>
      <c r="AG1843" s="14"/>
      <c r="AH1843" s="14"/>
      <c r="AI1843" s="24"/>
      <c r="AJ1843" s="24"/>
      <c r="AK1843" s="24"/>
      <c r="AL1843" s="16"/>
      <c r="AM1843" s="16"/>
      <c r="AN1843" s="16"/>
      <c r="AO1843" s="16"/>
      <c r="AP1843" s="16"/>
      <c r="AQ1843" s="16"/>
      <c r="AR1843" s="16"/>
      <c r="AS1843" s="14"/>
      <c r="AT1843" s="14"/>
      <c r="AU1843" s="14"/>
      <c r="AV1843" s="14"/>
      <c r="AW1843" s="14"/>
      <c r="AX1843" s="14"/>
      <c r="AY1843" s="14"/>
      <c r="AZ1843" s="14"/>
      <c r="BA1843" s="14"/>
      <c r="BB1843" s="7"/>
    </row>
    <row r="1844" spans="7:54" x14ac:dyDescent="0.15">
      <c r="G1844" s="7"/>
      <c r="H1844" s="16"/>
      <c r="I1844" s="16"/>
      <c r="J1844" s="16"/>
      <c r="K1844" s="16"/>
      <c r="L1844" s="16"/>
      <c r="M1844" s="16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  <c r="AB1844" s="24"/>
      <c r="AC1844" s="16"/>
      <c r="AD1844" s="16"/>
      <c r="AE1844" s="16"/>
      <c r="AF1844" s="16"/>
      <c r="AG1844" s="14"/>
      <c r="AH1844" s="14"/>
      <c r="AI1844" s="24"/>
      <c r="AJ1844" s="24"/>
      <c r="AK1844" s="24"/>
      <c r="AL1844" s="16"/>
      <c r="AM1844" s="16"/>
      <c r="AN1844" s="16"/>
      <c r="AO1844" s="16"/>
      <c r="AP1844" s="16"/>
      <c r="AQ1844" s="16"/>
      <c r="AR1844" s="16"/>
      <c r="AS1844" s="14"/>
      <c r="AT1844" s="14"/>
      <c r="AU1844" s="14"/>
      <c r="AV1844" s="14"/>
      <c r="AW1844" s="14"/>
      <c r="AX1844" s="14"/>
      <c r="AY1844" s="14"/>
      <c r="AZ1844" s="14"/>
      <c r="BA1844" s="14"/>
      <c r="BB1844" s="7"/>
    </row>
    <row r="1845" spans="7:54" x14ac:dyDescent="0.15">
      <c r="G1845" s="7"/>
      <c r="H1845" s="16"/>
      <c r="I1845" s="16"/>
      <c r="J1845" s="16"/>
      <c r="K1845" s="16"/>
      <c r="L1845" s="16"/>
      <c r="M1845" s="16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24"/>
      <c r="AC1845" s="16"/>
      <c r="AD1845" s="16"/>
      <c r="AE1845" s="16"/>
      <c r="AF1845" s="16"/>
      <c r="AG1845" s="14"/>
      <c r="AH1845" s="14"/>
      <c r="AI1845" s="24"/>
      <c r="AJ1845" s="24"/>
      <c r="AK1845" s="24"/>
      <c r="AL1845" s="16"/>
      <c r="AM1845" s="16"/>
      <c r="AN1845" s="16"/>
      <c r="AO1845" s="16"/>
      <c r="AP1845" s="16"/>
      <c r="AQ1845" s="16"/>
      <c r="AR1845" s="16"/>
      <c r="AS1845" s="14"/>
      <c r="AT1845" s="14"/>
      <c r="AU1845" s="14"/>
      <c r="AV1845" s="14"/>
      <c r="AW1845" s="14"/>
      <c r="AX1845" s="14"/>
      <c r="AY1845" s="14"/>
      <c r="AZ1845" s="14"/>
      <c r="BA1845" s="14"/>
      <c r="BB1845" s="7"/>
    </row>
    <row r="1846" spans="7:54" x14ac:dyDescent="0.15">
      <c r="G1846" s="7"/>
      <c r="H1846" s="16"/>
      <c r="I1846" s="16"/>
      <c r="J1846" s="16"/>
      <c r="K1846" s="16"/>
      <c r="L1846" s="16"/>
      <c r="M1846" s="16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24"/>
      <c r="AC1846" s="16"/>
      <c r="AD1846" s="16"/>
      <c r="AE1846" s="16"/>
      <c r="AF1846" s="16"/>
      <c r="AG1846" s="14"/>
      <c r="AH1846" s="14"/>
      <c r="AI1846" s="24"/>
      <c r="AJ1846" s="24"/>
      <c r="AK1846" s="24"/>
      <c r="AL1846" s="16"/>
      <c r="AM1846" s="16"/>
      <c r="AN1846" s="16"/>
      <c r="AO1846" s="16"/>
      <c r="AP1846" s="16"/>
      <c r="AQ1846" s="16"/>
      <c r="AR1846" s="16"/>
      <c r="AS1846" s="14"/>
      <c r="AT1846" s="14"/>
      <c r="AU1846" s="14"/>
      <c r="AV1846" s="14"/>
      <c r="AW1846" s="14"/>
      <c r="AX1846" s="14"/>
      <c r="AY1846" s="14"/>
      <c r="AZ1846" s="14"/>
      <c r="BA1846" s="14"/>
      <c r="BB1846" s="7"/>
    </row>
    <row r="1847" spans="7:54" x14ac:dyDescent="0.15">
      <c r="G1847" s="7"/>
      <c r="H1847" s="16"/>
      <c r="I1847" s="16"/>
      <c r="J1847" s="16"/>
      <c r="K1847" s="16"/>
      <c r="L1847" s="16"/>
      <c r="M1847" s="16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24"/>
      <c r="AC1847" s="16"/>
      <c r="AD1847" s="16"/>
      <c r="AE1847" s="16"/>
      <c r="AF1847" s="16"/>
      <c r="AG1847" s="14"/>
      <c r="AH1847" s="14"/>
      <c r="AI1847" s="24"/>
      <c r="AJ1847" s="24"/>
      <c r="AK1847" s="24"/>
      <c r="AL1847" s="16"/>
      <c r="AM1847" s="16"/>
      <c r="AN1847" s="16"/>
      <c r="AO1847" s="16"/>
      <c r="AP1847" s="16"/>
      <c r="AQ1847" s="16"/>
      <c r="AR1847" s="16"/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7"/>
    </row>
    <row r="1848" spans="7:54" x14ac:dyDescent="0.15">
      <c r="G1848" s="7"/>
      <c r="H1848" s="16"/>
      <c r="I1848" s="16"/>
      <c r="J1848" s="16"/>
      <c r="K1848" s="16"/>
      <c r="L1848" s="16"/>
      <c r="M1848" s="16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24"/>
      <c r="AC1848" s="16"/>
      <c r="AD1848" s="16"/>
      <c r="AE1848" s="16"/>
      <c r="AF1848" s="16"/>
      <c r="AG1848" s="14"/>
      <c r="AH1848" s="14"/>
      <c r="AI1848" s="24"/>
      <c r="AJ1848" s="24"/>
      <c r="AK1848" s="24"/>
      <c r="AL1848" s="16"/>
      <c r="AM1848" s="16"/>
      <c r="AN1848" s="16"/>
      <c r="AO1848" s="16"/>
      <c r="AP1848" s="16"/>
      <c r="AQ1848" s="16"/>
      <c r="AR1848" s="16"/>
      <c r="AS1848" s="14"/>
      <c r="AT1848" s="14"/>
      <c r="AU1848" s="14"/>
      <c r="AV1848" s="14"/>
      <c r="AW1848" s="14"/>
      <c r="AX1848" s="14"/>
      <c r="AY1848" s="14"/>
      <c r="AZ1848" s="14"/>
      <c r="BA1848" s="14"/>
      <c r="BB1848" s="7"/>
    </row>
    <row r="1849" spans="7:54" x14ac:dyDescent="0.15">
      <c r="G1849" s="7"/>
      <c r="H1849" s="16"/>
      <c r="I1849" s="16"/>
      <c r="J1849" s="16"/>
      <c r="K1849" s="16"/>
      <c r="L1849" s="16"/>
      <c r="M1849" s="16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24"/>
      <c r="AC1849" s="16"/>
      <c r="AD1849" s="16"/>
      <c r="AE1849" s="16"/>
      <c r="AF1849" s="16"/>
      <c r="AG1849" s="14"/>
      <c r="AH1849" s="14"/>
      <c r="AI1849" s="24"/>
      <c r="AJ1849" s="24"/>
      <c r="AK1849" s="24"/>
      <c r="AL1849" s="16"/>
      <c r="AM1849" s="16"/>
      <c r="AN1849" s="16"/>
      <c r="AO1849" s="16"/>
      <c r="AP1849" s="16"/>
      <c r="AQ1849" s="16"/>
      <c r="AR1849" s="16"/>
      <c r="AS1849" s="14"/>
      <c r="AT1849" s="14"/>
      <c r="AU1849" s="14"/>
      <c r="AV1849" s="14"/>
      <c r="AW1849" s="14"/>
      <c r="AX1849" s="14"/>
      <c r="AY1849" s="14"/>
      <c r="AZ1849" s="14"/>
      <c r="BA1849" s="14"/>
      <c r="BB1849" s="7"/>
    </row>
    <row r="1850" spans="7:54" x14ac:dyDescent="0.15">
      <c r="G1850" s="7"/>
      <c r="H1850" s="16"/>
      <c r="I1850" s="16"/>
      <c r="J1850" s="16"/>
      <c r="K1850" s="16"/>
      <c r="L1850" s="16"/>
      <c r="M1850" s="16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24"/>
      <c r="AC1850" s="16"/>
      <c r="AD1850" s="16"/>
      <c r="AE1850" s="16"/>
      <c r="AF1850" s="16"/>
      <c r="AG1850" s="14"/>
      <c r="AH1850" s="14"/>
      <c r="AI1850" s="24"/>
      <c r="AJ1850" s="24"/>
      <c r="AK1850" s="24"/>
      <c r="AL1850" s="16"/>
      <c r="AM1850" s="16"/>
      <c r="AN1850" s="16"/>
      <c r="AO1850" s="16"/>
      <c r="AP1850" s="16"/>
      <c r="AQ1850" s="16"/>
      <c r="AR1850" s="16"/>
      <c r="AS1850" s="14"/>
      <c r="AT1850" s="14"/>
      <c r="AU1850" s="14"/>
      <c r="AV1850" s="14"/>
      <c r="AW1850" s="14"/>
      <c r="AX1850" s="14"/>
      <c r="AY1850" s="14"/>
      <c r="AZ1850" s="14"/>
      <c r="BA1850" s="14"/>
      <c r="BB1850" s="7"/>
    </row>
    <row r="1851" spans="7:54" x14ac:dyDescent="0.15">
      <c r="G1851" s="7"/>
      <c r="H1851" s="16"/>
      <c r="I1851" s="16"/>
      <c r="J1851" s="16"/>
      <c r="K1851" s="16"/>
      <c r="L1851" s="16"/>
      <c r="M1851" s="16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24"/>
      <c r="AC1851" s="16"/>
      <c r="AD1851" s="16"/>
      <c r="AE1851" s="16"/>
      <c r="AF1851" s="16"/>
      <c r="AG1851" s="14"/>
      <c r="AH1851" s="14"/>
      <c r="AI1851" s="24"/>
      <c r="AJ1851" s="24"/>
      <c r="AK1851" s="24"/>
      <c r="AL1851" s="16"/>
      <c r="AM1851" s="16"/>
      <c r="AN1851" s="16"/>
      <c r="AO1851" s="16"/>
      <c r="AP1851" s="16"/>
      <c r="AQ1851" s="16"/>
      <c r="AR1851" s="16"/>
      <c r="AS1851" s="14"/>
      <c r="AT1851" s="14"/>
      <c r="AU1851" s="14"/>
      <c r="AV1851" s="14"/>
      <c r="AW1851" s="14"/>
      <c r="AX1851" s="14"/>
      <c r="AY1851" s="14"/>
      <c r="AZ1851" s="14"/>
      <c r="BA1851" s="14"/>
      <c r="BB1851" s="7"/>
    </row>
    <row r="1852" spans="7:54" x14ac:dyDescent="0.15">
      <c r="G1852" s="7"/>
      <c r="H1852" s="16"/>
      <c r="I1852" s="16"/>
      <c r="J1852" s="16"/>
      <c r="K1852" s="16"/>
      <c r="L1852" s="16"/>
      <c r="M1852" s="16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24"/>
      <c r="AC1852" s="16"/>
      <c r="AD1852" s="16"/>
      <c r="AE1852" s="16"/>
      <c r="AF1852" s="16"/>
      <c r="AG1852" s="14"/>
      <c r="AH1852" s="14"/>
      <c r="AI1852" s="24"/>
      <c r="AJ1852" s="24"/>
      <c r="AK1852" s="24"/>
      <c r="AL1852" s="16"/>
      <c r="AM1852" s="16"/>
      <c r="AN1852" s="16"/>
      <c r="AO1852" s="16"/>
      <c r="AP1852" s="16"/>
      <c r="AQ1852" s="16"/>
      <c r="AR1852" s="16"/>
      <c r="AS1852" s="14"/>
      <c r="AT1852" s="14"/>
      <c r="AU1852" s="14"/>
      <c r="AV1852" s="14"/>
      <c r="AW1852" s="14"/>
      <c r="AX1852" s="14"/>
      <c r="AY1852" s="14"/>
      <c r="AZ1852" s="14"/>
      <c r="BA1852" s="14"/>
      <c r="BB1852" s="7"/>
    </row>
    <row r="1853" spans="7:54" x14ac:dyDescent="0.15">
      <c r="G1853" s="7"/>
      <c r="H1853" s="16"/>
      <c r="I1853" s="16"/>
      <c r="J1853" s="16"/>
      <c r="K1853" s="16"/>
      <c r="L1853" s="16"/>
      <c r="M1853" s="16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24"/>
      <c r="AC1853" s="16"/>
      <c r="AD1853" s="16"/>
      <c r="AE1853" s="16"/>
      <c r="AF1853" s="16"/>
      <c r="AG1853" s="14"/>
      <c r="AH1853" s="14"/>
      <c r="AI1853" s="24"/>
      <c r="AJ1853" s="24"/>
      <c r="AK1853" s="24"/>
      <c r="AL1853" s="16"/>
      <c r="AM1853" s="16"/>
      <c r="AN1853" s="16"/>
      <c r="AO1853" s="16"/>
      <c r="AP1853" s="16"/>
      <c r="AQ1853" s="16"/>
      <c r="AR1853" s="16"/>
      <c r="AS1853" s="14"/>
      <c r="AT1853" s="14"/>
      <c r="AU1853" s="14"/>
      <c r="AV1853" s="14"/>
      <c r="AW1853" s="14"/>
      <c r="AX1853" s="14"/>
      <c r="AY1853" s="14"/>
      <c r="AZ1853" s="14"/>
      <c r="BA1853" s="14"/>
      <c r="BB1853" s="7"/>
    </row>
    <row r="1854" spans="7:54" x14ac:dyDescent="0.15">
      <c r="G1854" s="7"/>
      <c r="H1854" s="16"/>
      <c r="I1854" s="16"/>
      <c r="J1854" s="16"/>
      <c r="K1854" s="16"/>
      <c r="L1854" s="16"/>
      <c r="M1854" s="16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24"/>
      <c r="AC1854" s="16"/>
      <c r="AD1854" s="16"/>
      <c r="AE1854" s="16"/>
      <c r="AF1854" s="16"/>
      <c r="AG1854" s="14"/>
      <c r="AH1854" s="14"/>
      <c r="AI1854" s="24"/>
      <c r="AJ1854" s="24"/>
      <c r="AK1854" s="24"/>
      <c r="AL1854" s="16"/>
      <c r="AM1854" s="16"/>
      <c r="AN1854" s="16"/>
      <c r="AO1854" s="16"/>
      <c r="AP1854" s="16"/>
      <c r="AQ1854" s="16"/>
      <c r="AR1854" s="16"/>
      <c r="AS1854" s="14"/>
      <c r="AT1854" s="14"/>
      <c r="AU1854" s="14"/>
      <c r="AV1854" s="14"/>
      <c r="AW1854" s="14"/>
      <c r="AX1854" s="14"/>
      <c r="AY1854" s="14"/>
      <c r="AZ1854" s="14"/>
      <c r="BA1854" s="14"/>
      <c r="BB1854" s="7"/>
    </row>
    <row r="1855" spans="7:54" x14ac:dyDescent="0.15">
      <c r="G1855" s="7"/>
      <c r="H1855" s="16"/>
      <c r="I1855" s="16"/>
      <c r="J1855" s="16"/>
      <c r="K1855" s="16"/>
      <c r="L1855" s="16"/>
      <c r="M1855" s="16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24"/>
      <c r="AC1855" s="16"/>
      <c r="AD1855" s="16"/>
      <c r="AE1855" s="16"/>
      <c r="AF1855" s="16"/>
      <c r="AG1855" s="14"/>
      <c r="AH1855" s="14"/>
      <c r="AI1855" s="24"/>
      <c r="AJ1855" s="24"/>
      <c r="AK1855" s="24"/>
      <c r="AL1855" s="16"/>
      <c r="AM1855" s="16"/>
      <c r="AN1855" s="16"/>
      <c r="AO1855" s="16"/>
      <c r="AP1855" s="16"/>
      <c r="AQ1855" s="16"/>
      <c r="AR1855" s="16"/>
      <c r="AS1855" s="14"/>
      <c r="AT1855" s="14"/>
      <c r="AU1855" s="14"/>
      <c r="AV1855" s="14"/>
      <c r="AW1855" s="14"/>
      <c r="AX1855" s="14"/>
      <c r="AY1855" s="14"/>
      <c r="AZ1855" s="14"/>
      <c r="BA1855" s="14"/>
      <c r="BB1855" s="7"/>
    </row>
    <row r="1856" spans="7:54" x14ac:dyDescent="0.15">
      <c r="G1856" s="7"/>
      <c r="H1856" s="16"/>
      <c r="I1856" s="16"/>
      <c r="J1856" s="16"/>
      <c r="K1856" s="16"/>
      <c r="L1856" s="16"/>
      <c r="M1856" s="16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24"/>
      <c r="AC1856" s="16"/>
      <c r="AD1856" s="16"/>
      <c r="AE1856" s="16"/>
      <c r="AF1856" s="16"/>
      <c r="AG1856" s="14"/>
      <c r="AH1856" s="14"/>
      <c r="AI1856" s="24"/>
      <c r="AJ1856" s="24"/>
      <c r="AK1856" s="24"/>
      <c r="AL1856" s="16"/>
      <c r="AM1856" s="16"/>
      <c r="AN1856" s="16"/>
      <c r="AO1856" s="16"/>
      <c r="AP1856" s="16"/>
      <c r="AQ1856" s="16"/>
      <c r="AR1856" s="16"/>
      <c r="AS1856" s="14"/>
      <c r="AT1856" s="14"/>
      <c r="AU1856" s="14"/>
      <c r="AV1856" s="14"/>
      <c r="AW1856" s="14"/>
      <c r="AX1856" s="14"/>
      <c r="AY1856" s="14"/>
      <c r="AZ1856" s="14"/>
      <c r="BA1856" s="14"/>
      <c r="BB1856" s="7"/>
    </row>
    <row r="1857" spans="7:54" x14ac:dyDescent="0.15">
      <c r="G1857" s="7"/>
      <c r="H1857" s="16"/>
      <c r="I1857" s="16"/>
      <c r="J1857" s="16"/>
      <c r="K1857" s="16"/>
      <c r="L1857" s="16"/>
      <c r="M1857" s="16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24"/>
      <c r="AC1857" s="16"/>
      <c r="AD1857" s="16"/>
      <c r="AE1857" s="16"/>
      <c r="AF1857" s="16"/>
      <c r="AG1857" s="14"/>
      <c r="AH1857" s="14"/>
      <c r="AI1857" s="24"/>
      <c r="AJ1857" s="24"/>
      <c r="AK1857" s="24"/>
      <c r="AL1857" s="16"/>
      <c r="AM1857" s="16"/>
      <c r="AN1857" s="16"/>
      <c r="AO1857" s="16"/>
      <c r="AP1857" s="16"/>
      <c r="AQ1857" s="16"/>
      <c r="AR1857" s="16"/>
      <c r="AS1857" s="14"/>
      <c r="AT1857" s="14"/>
      <c r="AU1857" s="14"/>
      <c r="AV1857" s="14"/>
      <c r="AW1857" s="14"/>
      <c r="AX1857" s="14"/>
      <c r="AY1857" s="14"/>
      <c r="AZ1857" s="14"/>
      <c r="BA1857" s="14"/>
      <c r="BB1857" s="7"/>
    </row>
    <row r="1858" spans="7:54" x14ac:dyDescent="0.15">
      <c r="G1858" s="7"/>
      <c r="H1858" s="16"/>
      <c r="I1858" s="16"/>
      <c r="J1858" s="16"/>
      <c r="K1858" s="16"/>
      <c r="L1858" s="16"/>
      <c r="M1858" s="16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24"/>
      <c r="AC1858" s="16"/>
      <c r="AD1858" s="16"/>
      <c r="AE1858" s="16"/>
      <c r="AF1858" s="16"/>
      <c r="AG1858" s="14"/>
      <c r="AH1858" s="14"/>
      <c r="AI1858" s="24"/>
      <c r="AJ1858" s="24"/>
      <c r="AK1858" s="24"/>
      <c r="AL1858" s="16"/>
      <c r="AM1858" s="16"/>
      <c r="AN1858" s="16"/>
      <c r="AO1858" s="16"/>
      <c r="AP1858" s="16"/>
      <c r="AQ1858" s="16"/>
      <c r="AR1858" s="16"/>
      <c r="AS1858" s="14"/>
      <c r="AT1858" s="14"/>
      <c r="AU1858" s="14"/>
      <c r="AV1858" s="14"/>
      <c r="AW1858" s="14"/>
      <c r="AX1858" s="14"/>
      <c r="AY1858" s="14"/>
      <c r="AZ1858" s="14"/>
      <c r="BA1858" s="14"/>
      <c r="BB1858" s="7"/>
    </row>
    <row r="1859" spans="7:54" x14ac:dyDescent="0.15">
      <c r="G1859" s="7"/>
      <c r="H1859" s="16"/>
      <c r="I1859" s="16"/>
      <c r="J1859" s="16"/>
      <c r="K1859" s="16"/>
      <c r="L1859" s="16"/>
      <c r="M1859" s="16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24"/>
      <c r="AC1859" s="16"/>
      <c r="AD1859" s="16"/>
      <c r="AE1859" s="16"/>
      <c r="AF1859" s="16"/>
      <c r="AG1859" s="14"/>
      <c r="AH1859" s="14"/>
      <c r="AI1859" s="24"/>
      <c r="AJ1859" s="24"/>
      <c r="AK1859" s="24"/>
      <c r="AL1859" s="16"/>
      <c r="AM1859" s="16"/>
      <c r="AN1859" s="16"/>
      <c r="AO1859" s="16"/>
      <c r="AP1859" s="16"/>
      <c r="AQ1859" s="16"/>
      <c r="AR1859" s="16"/>
      <c r="AS1859" s="14"/>
      <c r="AT1859" s="14"/>
      <c r="AU1859" s="14"/>
      <c r="AV1859" s="14"/>
      <c r="AW1859" s="14"/>
      <c r="AX1859" s="14"/>
      <c r="AY1859" s="14"/>
      <c r="AZ1859" s="14"/>
      <c r="BA1859" s="14"/>
      <c r="BB1859" s="7"/>
    </row>
    <row r="1860" spans="7:54" x14ac:dyDescent="0.15">
      <c r="G1860" s="7"/>
      <c r="H1860" s="16"/>
      <c r="I1860" s="16"/>
      <c r="J1860" s="16"/>
      <c r="K1860" s="16"/>
      <c r="L1860" s="16"/>
      <c r="M1860" s="16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24"/>
      <c r="AC1860" s="16"/>
      <c r="AD1860" s="16"/>
      <c r="AE1860" s="16"/>
      <c r="AF1860" s="16"/>
      <c r="AG1860" s="14"/>
      <c r="AH1860" s="14"/>
      <c r="AI1860" s="24"/>
      <c r="AJ1860" s="24"/>
      <c r="AK1860" s="24"/>
      <c r="AL1860" s="16"/>
      <c r="AM1860" s="16"/>
      <c r="AN1860" s="16"/>
      <c r="AO1860" s="16"/>
      <c r="AP1860" s="16"/>
      <c r="AQ1860" s="16"/>
      <c r="AR1860" s="16"/>
      <c r="AS1860" s="14"/>
      <c r="AT1860" s="14"/>
      <c r="AU1860" s="14"/>
      <c r="AV1860" s="14"/>
      <c r="AW1860" s="14"/>
      <c r="AX1860" s="14"/>
      <c r="AY1860" s="14"/>
      <c r="AZ1860" s="14"/>
      <c r="BA1860" s="14"/>
      <c r="BB1860" s="7"/>
    </row>
    <row r="1861" spans="7:54" x14ac:dyDescent="0.15">
      <c r="G1861" s="7"/>
      <c r="H1861" s="16"/>
      <c r="I1861" s="16"/>
      <c r="J1861" s="16"/>
      <c r="K1861" s="16"/>
      <c r="L1861" s="16"/>
      <c r="M1861" s="16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24"/>
      <c r="AC1861" s="16"/>
      <c r="AD1861" s="16"/>
      <c r="AE1861" s="16"/>
      <c r="AF1861" s="16"/>
      <c r="AG1861" s="14"/>
      <c r="AH1861" s="14"/>
      <c r="AI1861" s="24"/>
      <c r="AJ1861" s="24"/>
      <c r="AK1861" s="24"/>
      <c r="AL1861" s="16"/>
      <c r="AM1861" s="16"/>
      <c r="AN1861" s="16"/>
      <c r="AO1861" s="16"/>
      <c r="AP1861" s="16"/>
      <c r="AQ1861" s="16"/>
      <c r="AR1861" s="16"/>
      <c r="AS1861" s="14"/>
      <c r="AT1861" s="14"/>
      <c r="AU1861" s="14"/>
      <c r="AV1861" s="14"/>
      <c r="AW1861" s="14"/>
      <c r="AX1861" s="14"/>
      <c r="AY1861" s="14"/>
      <c r="AZ1861" s="14"/>
      <c r="BA1861" s="14"/>
      <c r="BB1861" s="7"/>
    </row>
    <row r="1862" spans="7:54" x14ac:dyDescent="0.15">
      <c r="G1862" s="7"/>
      <c r="H1862" s="16"/>
      <c r="I1862" s="16"/>
      <c r="J1862" s="16"/>
      <c r="K1862" s="16"/>
      <c r="L1862" s="16"/>
      <c r="M1862" s="16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24"/>
      <c r="AC1862" s="16"/>
      <c r="AD1862" s="16"/>
      <c r="AE1862" s="16"/>
      <c r="AF1862" s="16"/>
      <c r="AG1862" s="14"/>
      <c r="AH1862" s="14"/>
      <c r="AI1862" s="24"/>
      <c r="AJ1862" s="24"/>
      <c r="AK1862" s="24"/>
      <c r="AL1862" s="16"/>
      <c r="AM1862" s="16"/>
      <c r="AN1862" s="16"/>
      <c r="AO1862" s="16"/>
      <c r="AP1862" s="16"/>
      <c r="AQ1862" s="16"/>
      <c r="AR1862" s="16"/>
      <c r="AS1862" s="14"/>
      <c r="AT1862" s="14"/>
      <c r="AU1862" s="14"/>
      <c r="AV1862" s="14"/>
      <c r="AW1862" s="14"/>
      <c r="AX1862" s="14"/>
      <c r="AY1862" s="14"/>
      <c r="AZ1862" s="14"/>
      <c r="BA1862" s="14"/>
      <c r="BB1862" s="7"/>
    </row>
    <row r="1863" spans="7:54" x14ac:dyDescent="0.15">
      <c r="G1863" s="7"/>
      <c r="H1863" s="16"/>
      <c r="I1863" s="16"/>
      <c r="J1863" s="16"/>
      <c r="K1863" s="16"/>
      <c r="L1863" s="16"/>
      <c r="M1863" s="16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24"/>
      <c r="AC1863" s="16"/>
      <c r="AD1863" s="16"/>
      <c r="AE1863" s="16"/>
      <c r="AF1863" s="16"/>
      <c r="AG1863" s="14"/>
      <c r="AH1863" s="14"/>
      <c r="AI1863" s="24"/>
      <c r="AJ1863" s="24"/>
      <c r="AK1863" s="24"/>
      <c r="AL1863" s="16"/>
      <c r="AM1863" s="16"/>
      <c r="AN1863" s="16"/>
      <c r="AO1863" s="16"/>
      <c r="AP1863" s="16"/>
      <c r="AQ1863" s="16"/>
      <c r="AR1863" s="16"/>
      <c r="AS1863" s="14"/>
      <c r="AT1863" s="14"/>
      <c r="AU1863" s="14"/>
      <c r="AV1863" s="14"/>
      <c r="AW1863" s="14"/>
      <c r="AX1863" s="14"/>
      <c r="AY1863" s="14"/>
      <c r="AZ1863" s="14"/>
      <c r="BA1863" s="14"/>
      <c r="BB1863" s="7"/>
    </row>
    <row r="1864" spans="7:54" x14ac:dyDescent="0.15">
      <c r="G1864" s="7"/>
      <c r="H1864" s="16"/>
      <c r="I1864" s="16"/>
      <c r="J1864" s="16"/>
      <c r="K1864" s="16"/>
      <c r="L1864" s="16"/>
      <c r="M1864" s="16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  <c r="AB1864" s="24"/>
      <c r="AC1864" s="16"/>
      <c r="AD1864" s="16"/>
      <c r="AE1864" s="16"/>
      <c r="AF1864" s="16"/>
      <c r="AG1864" s="14"/>
      <c r="AH1864" s="14"/>
      <c r="AI1864" s="24"/>
      <c r="AJ1864" s="24"/>
      <c r="AK1864" s="24"/>
      <c r="AL1864" s="16"/>
      <c r="AM1864" s="16"/>
      <c r="AN1864" s="16"/>
      <c r="AO1864" s="16"/>
      <c r="AP1864" s="16"/>
      <c r="AQ1864" s="16"/>
      <c r="AR1864" s="16"/>
      <c r="AS1864" s="14"/>
      <c r="AT1864" s="14"/>
      <c r="AU1864" s="14"/>
      <c r="AV1864" s="14"/>
      <c r="AW1864" s="14"/>
      <c r="AX1864" s="14"/>
      <c r="AY1864" s="14"/>
      <c r="AZ1864" s="14"/>
      <c r="BA1864" s="14"/>
      <c r="BB1864" s="7"/>
    </row>
    <row r="1865" spans="7:54" x14ac:dyDescent="0.15">
      <c r="G1865" s="7"/>
      <c r="H1865" s="16"/>
      <c r="I1865" s="16"/>
      <c r="J1865" s="16"/>
      <c r="K1865" s="16"/>
      <c r="L1865" s="16"/>
      <c r="M1865" s="16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24"/>
      <c r="AC1865" s="16"/>
      <c r="AD1865" s="16"/>
      <c r="AE1865" s="16"/>
      <c r="AF1865" s="16"/>
      <c r="AG1865" s="14"/>
      <c r="AH1865" s="14"/>
      <c r="AI1865" s="24"/>
      <c r="AJ1865" s="24"/>
      <c r="AK1865" s="24"/>
      <c r="AL1865" s="16"/>
      <c r="AM1865" s="16"/>
      <c r="AN1865" s="16"/>
      <c r="AO1865" s="16"/>
      <c r="AP1865" s="16"/>
      <c r="AQ1865" s="16"/>
      <c r="AR1865" s="16"/>
      <c r="AS1865" s="14"/>
      <c r="AT1865" s="14"/>
      <c r="AU1865" s="14"/>
      <c r="AV1865" s="14"/>
      <c r="AW1865" s="14"/>
      <c r="AX1865" s="14"/>
      <c r="AY1865" s="14"/>
      <c r="AZ1865" s="14"/>
      <c r="BA1865" s="14"/>
      <c r="BB1865" s="7"/>
    </row>
    <row r="1866" spans="7:54" x14ac:dyDescent="0.15">
      <c r="G1866" s="7"/>
      <c r="H1866" s="16"/>
      <c r="I1866" s="16"/>
      <c r="J1866" s="16"/>
      <c r="K1866" s="16"/>
      <c r="L1866" s="16"/>
      <c r="M1866" s="16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24"/>
      <c r="AC1866" s="16"/>
      <c r="AD1866" s="16"/>
      <c r="AE1866" s="16"/>
      <c r="AF1866" s="16"/>
      <c r="AG1866" s="14"/>
      <c r="AH1866" s="14"/>
      <c r="AI1866" s="24"/>
      <c r="AJ1866" s="24"/>
      <c r="AK1866" s="24"/>
      <c r="AL1866" s="16"/>
      <c r="AM1866" s="16"/>
      <c r="AN1866" s="16"/>
      <c r="AO1866" s="16"/>
      <c r="AP1866" s="16"/>
      <c r="AQ1866" s="16"/>
      <c r="AR1866" s="16"/>
      <c r="AS1866" s="14"/>
      <c r="AT1866" s="14"/>
      <c r="AU1866" s="14"/>
      <c r="AV1866" s="14"/>
      <c r="AW1866" s="14"/>
      <c r="AX1866" s="14"/>
      <c r="AY1866" s="14"/>
      <c r="AZ1866" s="14"/>
      <c r="BA1866" s="14"/>
      <c r="BB1866" s="7"/>
    </row>
    <row r="1867" spans="7:54" x14ac:dyDescent="0.15">
      <c r="G1867" s="7"/>
      <c r="H1867" s="16"/>
      <c r="I1867" s="16"/>
      <c r="J1867" s="16"/>
      <c r="K1867" s="16"/>
      <c r="L1867" s="16"/>
      <c r="M1867" s="16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24"/>
      <c r="AC1867" s="16"/>
      <c r="AD1867" s="16"/>
      <c r="AE1867" s="16"/>
      <c r="AF1867" s="16"/>
      <c r="AG1867" s="14"/>
      <c r="AH1867" s="14"/>
      <c r="AI1867" s="24"/>
      <c r="AJ1867" s="24"/>
      <c r="AK1867" s="24"/>
      <c r="AL1867" s="16"/>
      <c r="AM1867" s="16"/>
      <c r="AN1867" s="16"/>
      <c r="AO1867" s="16"/>
      <c r="AP1867" s="16"/>
      <c r="AQ1867" s="16"/>
      <c r="AR1867" s="16"/>
      <c r="AS1867" s="14"/>
      <c r="AT1867" s="14"/>
      <c r="AU1867" s="14"/>
      <c r="AV1867" s="14"/>
      <c r="AW1867" s="14"/>
      <c r="AX1867" s="14"/>
      <c r="AY1867" s="14"/>
      <c r="AZ1867" s="14"/>
      <c r="BA1867" s="14"/>
      <c r="BB1867" s="7"/>
    </row>
    <row r="1868" spans="7:54" x14ac:dyDescent="0.15">
      <c r="G1868" s="7"/>
      <c r="H1868" s="16"/>
      <c r="I1868" s="16"/>
      <c r="J1868" s="16"/>
      <c r="K1868" s="16"/>
      <c r="L1868" s="16"/>
      <c r="M1868" s="16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24"/>
      <c r="AC1868" s="16"/>
      <c r="AD1868" s="16"/>
      <c r="AE1868" s="16"/>
      <c r="AF1868" s="16"/>
      <c r="AG1868" s="14"/>
      <c r="AH1868" s="14"/>
      <c r="AI1868" s="24"/>
      <c r="AJ1868" s="24"/>
      <c r="AK1868" s="24"/>
      <c r="AL1868" s="16"/>
      <c r="AM1868" s="16"/>
      <c r="AN1868" s="16"/>
      <c r="AO1868" s="16"/>
      <c r="AP1868" s="16"/>
      <c r="AQ1868" s="16"/>
      <c r="AR1868" s="16"/>
      <c r="AS1868" s="14"/>
      <c r="AT1868" s="14"/>
      <c r="AU1868" s="14"/>
      <c r="AV1868" s="14"/>
      <c r="AW1868" s="14"/>
      <c r="AX1868" s="14"/>
      <c r="AY1868" s="14"/>
      <c r="AZ1868" s="14"/>
      <c r="BA1868" s="14"/>
      <c r="BB1868" s="7"/>
    </row>
    <row r="1869" spans="7:54" x14ac:dyDescent="0.15">
      <c r="G1869" s="7"/>
      <c r="H1869" s="16"/>
      <c r="I1869" s="16"/>
      <c r="J1869" s="16"/>
      <c r="K1869" s="16"/>
      <c r="L1869" s="16"/>
      <c r="M1869" s="16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24"/>
      <c r="AC1869" s="16"/>
      <c r="AD1869" s="16"/>
      <c r="AE1869" s="16"/>
      <c r="AF1869" s="16"/>
      <c r="AG1869" s="14"/>
      <c r="AH1869" s="14"/>
      <c r="AI1869" s="24"/>
      <c r="AJ1869" s="24"/>
      <c r="AK1869" s="24"/>
      <c r="AL1869" s="16"/>
      <c r="AM1869" s="16"/>
      <c r="AN1869" s="16"/>
      <c r="AO1869" s="16"/>
      <c r="AP1869" s="16"/>
      <c r="AQ1869" s="16"/>
      <c r="AR1869" s="16"/>
      <c r="AS1869" s="14"/>
      <c r="AT1869" s="14"/>
      <c r="AU1869" s="14"/>
      <c r="AV1869" s="14"/>
      <c r="AW1869" s="14"/>
      <c r="AX1869" s="14"/>
      <c r="AY1869" s="14"/>
      <c r="AZ1869" s="14"/>
      <c r="BA1869" s="14"/>
      <c r="BB1869" s="7"/>
    </row>
    <row r="1870" spans="7:54" x14ac:dyDescent="0.15">
      <c r="G1870" s="7"/>
      <c r="H1870" s="16"/>
      <c r="I1870" s="16"/>
      <c r="J1870" s="16"/>
      <c r="K1870" s="16"/>
      <c r="L1870" s="16"/>
      <c r="M1870" s="16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24"/>
      <c r="AC1870" s="16"/>
      <c r="AD1870" s="16"/>
      <c r="AE1870" s="16"/>
      <c r="AF1870" s="16"/>
      <c r="AG1870" s="14"/>
      <c r="AH1870" s="14"/>
      <c r="AI1870" s="24"/>
      <c r="AJ1870" s="24"/>
      <c r="AK1870" s="24"/>
      <c r="AL1870" s="16"/>
      <c r="AM1870" s="16"/>
      <c r="AN1870" s="16"/>
      <c r="AO1870" s="16"/>
      <c r="AP1870" s="16"/>
      <c r="AQ1870" s="16"/>
      <c r="AR1870" s="16"/>
      <c r="AS1870" s="14"/>
      <c r="AT1870" s="14"/>
      <c r="AU1870" s="14"/>
      <c r="AV1870" s="14"/>
      <c r="AW1870" s="14"/>
      <c r="AX1870" s="14"/>
      <c r="AY1870" s="14"/>
      <c r="AZ1870" s="14"/>
      <c r="BA1870" s="14"/>
      <c r="BB1870" s="7"/>
    </row>
    <row r="1871" spans="7:54" x14ac:dyDescent="0.15">
      <c r="G1871" s="7"/>
      <c r="H1871" s="16"/>
      <c r="I1871" s="16"/>
      <c r="J1871" s="16"/>
      <c r="K1871" s="16"/>
      <c r="L1871" s="16"/>
      <c r="M1871" s="16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24"/>
      <c r="AC1871" s="16"/>
      <c r="AD1871" s="16"/>
      <c r="AE1871" s="16"/>
      <c r="AF1871" s="16"/>
      <c r="AG1871" s="14"/>
      <c r="AH1871" s="14"/>
      <c r="AI1871" s="24"/>
      <c r="AJ1871" s="24"/>
      <c r="AK1871" s="24"/>
      <c r="AL1871" s="16"/>
      <c r="AM1871" s="16"/>
      <c r="AN1871" s="16"/>
      <c r="AO1871" s="16"/>
      <c r="AP1871" s="16"/>
      <c r="AQ1871" s="16"/>
      <c r="AR1871" s="16"/>
      <c r="AS1871" s="14"/>
      <c r="AT1871" s="14"/>
      <c r="AU1871" s="14"/>
      <c r="AV1871" s="14"/>
      <c r="AW1871" s="14"/>
      <c r="AX1871" s="14"/>
      <c r="AY1871" s="14"/>
      <c r="AZ1871" s="14"/>
      <c r="BA1871" s="14"/>
      <c r="BB1871" s="7"/>
    </row>
    <row r="1872" spans="7:54" x14ac:dyDescent="0.15">
      <c r="G1872" s="7"/>
      <c r="H1872" s="16"/>
      <c r="I1872" s="16"/>
      <c r="J1872" s="16"/>
      <c r="K1872" s="16"/>
      <c r="L1872" s="16"/>
      <c r="M1872" s="16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24"/>
      <c r="AC1872" s="16"/>
      <c r="AD1872" s="16"/>
      <c r="AE1872" s="16"/>
      <c r="AF1872" s="16"/>
      <c r="AG1872" s="14"/>
      <c r="AH1872" s="14"/>
      <c r="AI1872" s="24"/>
      <c r="AJ1872" s="24"/>
      <c r="AK1872" s="24"/>
      <c r="AL1872" s="16"/>
      <c r="AM1872" s="16"/>
      <c r="AN1872" s="16"/>
      <c r="AO1872" s="16"/>
      <c r="AP1872" s="16"/>
      <c r="AQ1872" s="16"/>
      <c r="AR1872" s="16"/>
      <c r="AS1872" s="14"/>
      <c r="AT1872" s="14"/>
      <c r="AU1872" s="14"/>
      <c r="AV1872" s="14"/>
      <c r="AW1872" s="14"/>
      <c r="AX1872" s="14"/>
      <c r="AY1872" s="14"/>
      <c r="AZ1872" s="14"/>
      <c r="BA1872" s="14"/>
      <c r="BB1872" s="7"/>
    </row>
    <row r="1873" spans="7:54" x14ac:dyDescent="0.15">
      <c r="G1873" s="7"/>
      <c r="H1873" s="16"/>
      <c r="I1873" s="16"/>
      <c r="J1873" s="16"/>
      <c r="K1873" s="16"/>
      <c r="L1873" s="16"/>
      <c r="M1873" s="16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24"/>
      <c r="AC1873" s="16"/>
      <c r="AD1873" s="16"/>
      <c r="AE1873" s="16"/>
      <c r="AF1873" s="16"/>
      <c r="AG1873" s="14"/>
      <c r="AH1873" s="14"/>
      <c r="AI1873" s="24"/>
      <c r="AJ1873" s="24"/>
      <c r="AK1873" s="24"/>
      <c r="AL1873" s="16"/>
      <c r="AM1873" s="16"/>
      <c r="AN1873" s="16"/>
      <c r="AO1873" s="16"/>
      <c r="AP1873" s="16"/>
      <c r="AQ1873" s="16"/>
      <c r="AR1873" s="16"/>
      <c r="AS1873" s="14"/>
      <c r="AT1873" s="14"/>
      <c r="AU1873" s="14"/>
      <c r="AV1873" s="14"/>
      <c r="AW1873" s="14"/>
      <c r="AX1873" s="14"/>
      <c r="AY1873" s="14"/>
      <c r="AZ1873" s="14"/>
      <c r="BA1873" s="14"/>
      <c r="BB1873" s="7"/>
    </row>
    <row r="1874" spans="7:54" x14ac:dyDescent="0.15">
      <c r="G1874" s="7"/>
      <c r="H1874" s="16"/>
      <c r="I1874" s="16"/>
      <c r="J1874" s="16"/>
      <c r="K1874" s="16"/>
      <c r="L1874" s="16"/>
      <c r="M1874" s="16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24"/>
      <c r="AC1874" s="16"/>
      <c r="AD1874" s="16"/>
      <c r="AE1874" s="16"/>
      <c r="AF1874" s="16"/>
      <c r="AG1874" s="14"/>
      <c r="AH1874" s="14"/>
      <c r="AI1874" s="24"/>
      <c r="AJ1874" s="24"/>
      <c r="AK1874" s="24"/>
      <c r="AL1874" s="16"/>
      <c r="AM1874" s="16"/>
      <c r="AN1874" s="16"/>
      <c r="AO1874" s="16"/>
      <c r="AP1874" s="16"/>
      <c r="AQ1874" s="16"/>
      <c r="AR1874" s="16"/>
      <c r="AS1874" s="14"/>
      <c r="AT1874" s="14"/>
      <c r="AU1874" s="14"/>
      <c r="AV1874" s="14"/>
      <c r="AW1874" s="14"/>
      <c r="AX1874" s="14"/>
      <c r="AY1874" s="14"/>
      <c r="AZ1874" s="14"/>
      <c r="BA1874" s="14"/>
      <c r="BB1874" s="7"/>
    </row>
    <row r="1875" spans="7:54" x14ac:dyDescent="0.15">
      <c r="G1875" s="7"/>
      <c r="H1875" s="16"/>
      <c r="I1875" s="16"/>
      <c r="J1875" s="16"/>
      <c r="K1875" s="16"/>
      <c r="L1875" s="16"/>
      <c r="M1875" s="16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24"/>
      <c r="AC1875" s="16"/>
      <c r="AD1875" s="16"/>
      <c r="AE1875" s="16"/>
      <c r="AF1875" s="16"/>
      <c r="AG1875" s="14"/>
      <c r="AH1875" s="14"/>
      <c r="AI1875" s="24"/>
      <c r="AJ1875" s="24"/>
      <c r="AK1875" s="24"/>
      <c r="AL1875" s="16"/>
      <c r="AM1875" s="16"/>
      <c r="AN1875" s="16"/>
      <c r="AO1875" s="16"/>
      <c r="AP1875" s="16"/>
      <c r="AQ1875" s="16"/>
      <c r="AR1875" s="16"/>
      <c r="AS1875" s="14"/>
      <c r="AT1875" s="14"/>
      <c r="AU1875" s="14"/>
      <c r="AV1875" s="14"/>
      <c r="AW1875" s="14"/>
      <c r="AX1875" s="14"/>
      <c r="AY1875" s="14"/>
      <c r="AZ1875" s="14"/>
      <c r="BA1875" s="14"/>
      <c r="BB1875" s="7"/>
    </row>
    <row r="1876" spans="7:54" x14ac:dyDescent="0.15">
      <c r="G1876" s="7"/>
      <c r="H1876" s="16"/>
      <c r="I1876" s="16"/>
      <c r="J1876" s="16"/>
      <c r="K1876" s="16"/>
      <c r="L1876" s="16"/>
      <c r="M1876" s="16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24"/>
      <c r="AC1876" s="16"/>
      <c r="AD1876" s="16"/>
      <c r="AE1876" s="16"/>
      <c r="AF1876" s="16"/>
      <c r="AG1876" s="14"/>
      <c r="AH1876" s="14"/>
      <c r="AI1876" s="24"/>
      <c r="AJ1876" s="24"/>
      <c r="AK1876" s="24"/>
      <c r="AL1876" s="16"/>
      <c r="AM1876" s="16"/>
      <c r="AN1876" s="16"/>
      <c r="AO1876" s="16"/>
      <c r="AP1876" s="16"/>
      <c r="AQ1876" s="16"/>
      <c r="AR1876" s="16"/>
      <c r="AS1876" s="14"/>
      <c r="AT1876" s="14"/>
      <c r="AU1876" s="14"/>
      <c r="AV1876" s="14"/>
      <c r="AW1876" s="14"/>
      <c r="AX1876" s="14"/>
      <c r="AY1876" s="14"/>
      <c r="AZ1876" s="14"/>
      <c r="BA1876" s="14"/>
      <c r="BB1876" s="7"/>
    </row>
    <row r="1877" spans="7:54" x14ac:dyDescent="0.15">
      <c r="G1877" s="7"/>
      <c r="H1877" s="16"/>
      <c r="I1877" s="16"/>
      <c r="J1877" s="16"/>
      <c r="K1877" s="16"/>
      <c r="L1877" s="16"/>
      <c r="M1877" s="16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24"/>
      <c r="AC1877" s="16"/>
      <c r="AD1877" s="16"/>
      <c r="AE1877" s="16"/>
      <c r="AF1877" s="16"/>
      <c r="AG1877" s="14"/>
      <c r="AH1877" s="14"/>
      <c r="AI1877" s="24"/>
      <c r="AJ1877" s="24"/>
      <c r="AK1877" s="24"/>
      <c r="AL1877" s="16"/>
      <c r="AM1877" s="16"/>
      <c r="AN1877" s="16"/>
      <c r="AO1877" s="16"/>
      <c r="AP1877" s="16"/>
      <c r="AQ1877" s="16"/>
      <c r="AR1877" s="16"/>
      <c r="AS1877" s="14"/>
      <c r="AT1877" s="14"/>
      <c r="AU1877" s="14"/>
      <c r="AV1877" s="14"/>
      <c r="AW1877" s="14"/>
      <c r="AX1877" s="14"/>
      <c r="AY1877" s="14"/>
      <c r="AZ1877" s="14"/>
      <c r="BA1877" s="14"/>
      <c r="BB1877" s="7"/>
    </row>
    <row r="1878" spans="7:54" x14ac:dyDescent="0.15">
      <c r="G1878" s="7"/>
      <c r="H1878" s="16"/>
      <c r="I1878" s="16"/>
      <c r="J1878" s="16"/>
      <c r="K1878" s="16"/>
      <c r="L1878" s="16"/>
      <c r="M1878" s="16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24"/>
      <c r="AC1878" s="16"/>
      <c r="AD1878" s="16"/>
      <c r="AE1878" s="16"/>
      <c r="AF1878" s="16"/>
      <c r="AG1878" s="14"/>
      <c r="AH1878" s="14"/>
      <c r="AI1878" s="24"/>
      <c r="AJ1878" s="24"/>
      <c r="AK1878" s="24"/>
      <c r="AL1878" s="16"/>
      <c r="AM1878" s="16"/>
      <c r="AN1878" s="16"/>
      <c r="AO1878" s="16"/>
      <c r="AP1878" s="16"/>
      <c r="AQ1878" s="16"/>
      <c r="AR1878" s="16"/>
      <c r="AS1878" s="14"/>
      <c r="AT1878" s="14"/>
      <c r="AU1878" s="14"/>
      <c r="AV1878" s="14"/>
      <c r="AW1878" s="14"/>
      <c r="AX1878" s="14"/>
      <c r="AY1878" s="14"/>
      <c r="AZ1878" s="14"/>
      <c r="BA1878" s="14"/>
      <c r="BB1878" s="7"/>
    </row>
    <row r="1879" spans="7:54" x14ac:dyDescent="0.15">
      <c r="G1879" s="7"/>
      <c r="H1879" s="16"/>
      <c r="I1879" s="16"/>
      <c r="J1879" s="16"/>
      <c r="K1879" s="16"/>
      <c r="L1879" s="16"/>
      <c r="M1879" s="16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24"/>
      <c r="AC1879" s="16"/>
      <c r="AD1879" s="16"/>
      <c r="AE1879" s="16"/>
      <c r="AF1879" s="16"/>
      <c r="AG1879" s="14"/>
      <c r="AH1879" s="14"/>
      <c r="AI1879" s="24"/>
      <c r="AJ1879" s="24"/>
      <c r="AK1879" s="24"/>
      <c r="AL1879" s="16"/>
      <c r="AM1879" s="16"/>
      <c r="AN1879" s="16"/>
      <c r="AO1879" s="16"/>
      <c r="AP1879" s="16"/>
      <c r="AQ1879" s="16"/>
      <c r="AR1879" s="16"/>
      <c r="AS1879" s="14"/>
      <c r="AT1879" s="14"/>
      <c r="AU1879" s="14"/>
      <c r="AV1879" s="14"/>
      <c r="AW1879" s="14"/>
      <c r="AX1879" s="14"/>
      <c r="AY1879" s="14"/>
      <c r="AZ1879" s="14"/>
      <c r="BA1879" s="14"/>
      <c r="BB1879" s="7"/>
    </row>
    <row r="1880" spans="7:54" x14ac:dyDescent="0.15">
      <c r="G1880" s="7"/>
      <c r="H1880" s="16"/>
      <c r="I1880" s="16"/>
      <c r="J1880" s="16"/>
      <c r="K1880" s="16"/>
      <c r="L1880" s="16"/>
      <c r="M1880" s="16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24"/>
      <c r="AC1880" s="16"/>
      <c r="AD1880" s="16"/>
      <c r="AE1880" s="16"/>
      <c r="AF1880" s="16"/>
      <c r="AG1880" s="14"/>
      <c r="AH1880" s="14"/>
      <c r="AI1880" s="24"/>
      <c r="AJ1880" s="24"/>
      <c r="AK1880" s="24"/>
      <c r="AL1880" s="16"/>
      <c r="AM1880" s="16"/>
      <c r="AN1880" s="16"/>
      <c r="AO1880" s="16"/>
      <c r="AP1880" s="16"/>
      <c r="AQ1880" s="16"/>
      <c r="AR1880" s="16"/>
      <c r="AS1880" s="14"/>
      <c r="AT1880" s="14"/>
      <c r="AU1880" s="14"/>
      <c r="AV1880" s="14"/>
      <c r="AW1880" s="14"/>
      <c r="AX1880" s="14"/>
      <c r="AY1880" s="14"/>
      <c r="AZ1880" s="14"/>
      <c r="BA1880" s="14"/>
      <c r="BB1880" s="7"/>
    </row>
    <row r="1881" spans="7:54" x14ac:dyDescent="0.15">
      <c r="G1881" s="7"/>
      <c r="H1881" s="16"/>
      <c r="I1881" s="16"/>
      <c r="J1881" s="16"/>
      <c r="K1881" s="16"/>
      <c r="L1881" s="16"/>
      <c r="M1881" s="16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24"/>
      <c r="AC1881" s="16"/>
      <c r="AD1881" s="16"/>
      <c r="AE1881" s="16"/>
      <c r="AF1881" s="16"/>
      <c r="AG1881" s="14"/>
      <c r="AH1881" s="14"/>
      <c r="AI1881" s="24"/>
      <c r="AJ1881" s="24"/>
      <c r="AK1881" s="24"/>
      <c r="AL1881" s="16"/>
      <c r="AM1881" s="16"/>
      <c r="AN1881" s="16"/>
      <c r="AO1881" s="16"/>
      <c r="AP1881" s="16"/>
      <c r="AQ1881" s="16"/>
      <c r="AR1881" s="16"/>
      <c r="AS1881" s="14"/>
      <c r="AT1881" s="14"/>
      <c r="AU1881" s="14"/>
      <c r="AV1881" s="14"/>
      <c r="AW1881" s="14"/>
      <c r="AX1881" s="14"/>
      <c r="AY1881" s="14"/>
      <c r="AZ1881" s="14"/>
      <c r="BA1881" s="14"/>
      <c r="BB1881" s="7"/>
    </row>
    <row r="1882" spans="7:54" x14ac:dyDescent="0.15">
      <c r="G1882" s="7"/>
      <c r="H1882" s="16"/>
      <c r="I1882" s="16"/>
      <c r="J1882" s="16"/>
      <c r="K1882" s="16"/>
      <c r="L1882" s="16"/>
      <c r="M1882" s="16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24"/>
      <c r="AC1882" s="16"/>
      <c r="AD1882" s="16"/>
      <c r="AE1882" s="16"/>
      <c r="AF1882" s="16"/>
      <c r="AG1882" s="14"/>
      <c r="AH1882" s="14"/>
      <c r="AI1882" s="24"/>
      <c r="AJ1882" s="24"/>
      <c r="AK1882" s="24"/>
      <c r="AL1882" s="16"/>
      <c r="AM1882" s="16"/>
      <c r="AN1882" s="16"/>
      <c r="AO1882" s="16"/>
      <c r="AP1882" s="16"/>
      <c r="AQ1882" s="16"/>
      <c r="AR1882" s="16"/>
      <c r="AS1882" s="14"/>
      <c r="AT1882" s="14"/>
      <c r="AU1882" s="14"/>
      <c r="AV1882" s="14"/>
      <c r="AW1882" s="14"/>
      <c r="AX1882" s="14"/>
      <c r="AY1882" s="14"/>
      <c r="AZ1882" s="14"/>
      <c r="BA1882" s="14"/>
      <c r="BB1882" s="7"/>
    </row>
    <row r="1883" spans="7:54" x14ac:dyDescent="0.15">
      <c r="G1883" s="7"/>
      <c r="H1883" s="16"/>
      <c r="I1883" s="16"/>
      <c r="J1883" s="16"/>
      <c r="K1883" s="16"/>
      <c r="L1883" s="16"/>
      <c r="M1883" s="16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24"/>
      <c r="AC1883" s="16"/>
      <c r="AD1883" s="16"/>
      <c r="AE1883" s="16"/>
      <c r="AF1883" s="16"/>
      <c r="AG1883" s="14"/>
      <c r="AH1883" s="14"/>
      <c r="AI1883" s="24"/>
      <c r="AJ1883" s="24"/>
      <c r="AK1883" s="24"/>
      <c r="AL1883" s="16"/>
      <c r="AM1883" s="16"/>
      <c r="AN1883" s="16"/>
      <c r="AO1883" s="16"/>
      <c r="AP1883" s="16"/>
      <c r="AQ1883" s="16"/>
      <c r="AR1883" s="16"/>
      <c r="AS1883" s="14"/>
      <c r="AT1883" s="14"/>
      <c r="AU1883" s="14"/>
      <c r="AV1883" s="14"/>
      <c r="AW1883" s="14"/>
      <c r="AX1883" s="14"/>
      <c r="AY1883" s="14"/>
      <c r="AZ1883" s="14"/>
      <c r="BA1883" s="14"/>
      <c r="BB1883" s="7"/>
    </row>
    <row r="1884" spans="7:54" x14ac:dyDescent="0.15">
      <c r="G1884" s="7"/>
      <c r="H1884" s="16"/>
      <c r="I1884" s="16"/>
      <c r="J1884" s="16"/>
      <c r="K1884" s="16"/>
      <c r="L1884" s="16"/>
      <c r="M1884" s="16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24"/>
      <c r="AC1884" s="16"/>
      <c r="AD1884" s="16"/>
      <c r="AE1884" s="16"/>
      <c r="AF1884" s="16"/>
      <c r="AG1884" s="14"/>
      <c r="AH1884" s="14"/>
      <c r="AI1884" s="24"/>
      <c r="AJ1884" s="24"/>
      <c r="AK1884" s="24"/>
      <c r="AL1884" s="16"/>
      <c r="AM1884" s="16"/>
      <c r="AN1884" s="16"/>
      <c r="AO1884" s="16"/>
      <c r="AP1884" s="16"/>
      <c r="AQ1884" s="16"/>
      <c r="AR1884" s="16"/>
      <c r="AS1884" s="14"/>
      <c r="AT1884" s="14"/>
      <c r="AU1884" s="14"/>
      <c r="AV1884" s="14"/>
      <c r="AW1884" s="14"/>
      <c r="AX1884" s="14"/>
      <c r="AY1884" s="14"/>
      <c r="AZ1884" s="14"/>
      <c r="BA1884" s="14"/>
      <c r="BB1884" s="7"/>
    </row>
    <row r="1885" spans="7:54" x14ac:dyDescent="0.15">
      <c r="G1885" s="7"/>
      <c r="H1885" s="16"/>
      <c r="I1885" s="16"/>
      <c r="J1885" s="16"/>
      <c r="K1885" s="16"/>
      <c r="L1885" s="16"/>
      <c r="M1885" s="16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24"/>
      <c r="AC1885" s="16"/>
      <c r="AD1885" s="16"/>
      <c r="AE1885" s="16"/>
      <c r="AF1885" s="16"/>
      <c r="AG1885" s="14"/>
      <c r="AH1885" s="14"/>
      <c r="AI1885" s="24"/>
      <c r="AJ1885" s="24"/>
      <c r="AK1885" s="24"/>
      <c r="AL1885" s="16"/>
      <c r="AM1885" s="16"/>
      <c r="AN1885" s="16"/>
      <c r="AO1885" s="16"/>
      <c r="AP1885" s="16"/>
      <c r="AQ1885" s="16"/>
      <c r="AR1885" s="16"/>
      <c r="AS1885" s="14"/>
      <c r="AT1885" s="14"/>
      <c r="AU1885" s="14"/>
      <c r="AV1885" s="14"/>
      <c r="AW1885" s="14"/>
      <c r="AX1885" s="14"/>
      <c r="AY1885" s="14"/>
      <c r="AZ1885" s="14"/>
      <c r="BA1885" s="14"/>
      <c r="BB1885" s="7"/>
    </row>
    <row r="1886" spans="7:54" x14ac:dyDescent="0.15">
      <c r="G1886" s="7"/>
      <c r="H1886" s="16"/>
      <c r="I1886" s="16"/>
      <c r="J1886" s="16"/>
      <c r="K1886" s="16"/>
      <c r="L1886" s="16"/>
      <c r="M1886" s="16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24"/>
      <c r="AC1886" s="16"/>
      <c r="AD1886" s="16"/>
      <c r="AE1886" s="16"/>
      <c r="AF1886" s="16"/>
      <c r="AG1886" s="14"/>
      <c r="AH1886" s="14"/>
      <c r="AI1886" s="24"/>
      <c r="AJ1886" s="24"/>
      <c r="AK1886" s="24"/>
      <c r="AL1886" s="16"/>
      <c r="AM1886" s="16"/>
      <c r="AN1886" s="16"/>
      <c r="AO1886" s="16"/>
      <c r="AP1886" s="16"/>
      <c r="AQ1886" s="16"/>
      <c r="AR1886" s="16"/>
      <c r="AS1886" s="14"/>
      <c r="AT1886" s="14"/>
      <c r="AU1886" s="14"/>
      <c r="AV1886" s="14"/>
      <c r="AW1886" s="14"/>
      <c r="AX1886" s="14"/>
      <c r="AY1886" s="14"/>
      <c r="AZ1886" s="14"/>
      <c r="BA1886" s="14"/>
      <c r="BB1886" s="7"/>
    </row>
    <row r="1887" spans="7:54" x14ac:dyDescent="0.15">
      <c r="G1887" s="7"/>
      <c r="H1887" s="16"/>
      <c r="I1887" s="16"/>
      <c r="J1887" s="16"/>
      <c r="K1887" s="16"/>
      <c r="L1887" s="16"/>
      <c r="M1887" s="16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24"/>
      <c r="AC1887" s="16"/>
      <c r="AD1887" s="16"/>
      <c r="AE1887" s="16"/>
      <c r="AF1887" s="16"/>
      <c r="AG1887" s="14"/>
      <c r="AH1887" s="14"/>
      <c r="AI1887" s="24"/>
      <c r="AJ1887" s="24"/>
      <c r="AK1887" s="24"/>
      <c r="AL1887" s="16"/>
      <c r="AM1887" s="16"/>
      <c r="AN1887" s="16"/>
      <c r="AO1887" s="16"/>
      <c r="AP1887" s="16"/>
      <c r="AQ1887" s="16"/>
      <c r="AR1887" s="16"/>
      <c r="AS1887" s="14"/>
      <c r="AT1887" s="14"/>
      <c r="AU1887" s="14"/>
      <c r="AV1887" s="14"/>
      <c r="AW1887" s="14"/>
      <c r="AX1887" s="14"/>
      <c r="AY1887" s="14"/>
      <c r="AZ1887" s="14"/>
      <c r="BA1887" s="14"/>
      <c r="BB1887" s="7"/>
    </row>
    <row r="1888" spans="7:54" x14ac:dyDescent="0.15">
      <c r="G1888" s="7"/>
      <c r="H1888" s="16"/>
      <c r="I1888" s="16"/>
      <c r="J1888" s="16"/>
      <c r="K1888" s="16"/>
      <c r="L1888" s="16"/>
      <c r="M1888" s="16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4"/>
      <c r="AB1888" s="24"/>
      <c r="AC1888" s="16"/>
      <c r="AD1888" s="16"/>
      <c r="AE1888" s="16"/>
      <c r="AF1888" s="16"/>
      <c r="AG1888" s="14"/>
      <c r="AH1888" s="14"/>
      <c r="AI1888" s="24"/>
      <c r="AJ1888" s="24"/>
      <c r="AK1888" s="24"/>
      <c r="AL1888" s="16"/>
      <c r="AM1888" s="16"/>
      <c r="AN1888" s="16"/>
      <c r="AO1888" s="16"/>
      <c r="AP1888" s="16"/>
      <c r="AQ1888" s="16"/>
      <c r="AR1888" s="16"/>
      <c r="AS1888" s="14"/>
      <c r="AT1888" s="14"/>
      <c r="AU1888" s="14"/>
      <c r="AV1888" s="14"/>
      <c r="AW1888" s="14"/>
      <c r="AX1888" s="14"/>
      <c r="AY1888" s="14"/>
      <c r="AZ1888" s="14"/>
      <c r="BA1888" s="14"/>
      <c r="BB1888" s="7"/>
    </row>
    <row r="1889" spans="7:54" x14ac:dyDescent="0.15">
      <c r="G1889" s="7"/>
      <c r="H1889" s="16"/>
      <c r="I1889" s="16"/>
      <c r="J1889" s="16"/>
      <c r="K1889" s="16"/>
      <c r="L1889" s="16"/>
      <c r="M1889" s="16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  <c r="AB1889" s="24"/>
      <c r="AC1889" s="16"/>
      <c r="AD1889" s="16"/>
      <c r="AE1889" s="16"/>
      <c r="AF1889" s="16"/>
      <c r="AG1889" s="14"/>
      <c r="AH1889" s="14"/>
      <c r="AI1889" s="24"/>
      <c r="AJ1889" s="24"/>
      <c r="AK1889" s="24"/>
      <c r="AL1889" s="16"/>
      <c r="AM1889" s="16"/>
      <c r="AN1889" s="16"/>
      <c r="AO1889" s="16"/>
      <c r="AP1889" s="16"/>
      <c r="AQ1889" s="16"/>
      <c r="AR1889" s="16"/>
      <c r="AS1889" s="14"/>
      <c r="AT1889" s="14"/>
      <c r="AU1889" s="14"/>
      <c r="AV1889" s="14"/>
      <c r="AW1889" s="14"/>
      <c r="AX1889" s="14"/>
      <c r="AY1889" s="14"/>
      <c r="AZ1889" s="14"/>
      <c r="BA1889" s="14"/>
      <c r="BB1889" s="7"/>
    </row>
    <row r="1890" spans="7:54" x14ac:dyDescent="0.15">
      <c r="G1890" s="7"/>
      <c r="H1890" s="16"/>
      <c r="I1890" s="16"/>
      <c r="J1890" s="16"/>
      <c r="K1890" s="16"/>
      <c r="L1890" s="16"/>
      <c r="M1890" s="16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24"/>
      <c r="AC1890" s="16"/>
      <c r="AD1890" s="16"/>
      <c r="AE1890" s="16"/>
      <c r="AF1890" s="16"/>
      <c r="AG1890" s="14"/>
      <c r="AH1890" s="14"/>
      <c r="AI1890" s="24"/>
      <c r="AJ1890" s="24"/>
      <c r="AK1890" s="24"/>
      <c r="AL1890" s="16"/>
      <c r="AM1890" s="16"/>
      <c r="AN1890" s="16"/>
      <c r="AO1890" s="16"/>
      <c r="AP1890" s="16"/>
      <c r="AQ1890" s="16"/>
      <c r="AR1890" s="16"/>
      <c r="AS1890" s="14"/>
      <c r="AT1890" s="14"/>
      <c r="AU1890" s="14"/>
      <c r="AV1890" s="14"/>
      <c r="AW1890" s="14"/>
      <c r="AX1890" s="14"/>
      <c r="AY1890" s="14"/>
      <c r="AZ1890" s="14"/>
      <c r="BA1890" s="14"/>
      <c r="BB1890" s="7"/>
    </row>
    <row r="1891" spans="7:54" x14ac:dyDescent="0.15">
      <c r="G1891" s="7"/>
      <c r="H1891" s="16"/>
      <c r="I1891" s="16"/>
      <c r="J1891" s="16"/>
      <c r="K1891" s="16"/>
      <c r="L1891" s="16"/>
      <c r="M1891" s="16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24"/>
      <c r="AC1891" s="16"/>
      <c r="AD1891" s="16"/>
      <c r="AE1891" s="16"/>
      <c r="AF1891" s="16"/>
      <c r="AG1891" s="14"/>
      <c r="AH1891" s="14"/>
      <c r="AI1891" s="24"/>
      <c r="AJ1891" s="24"/>
      <c r="AK1891" s="24"/>
      <c r="AL1891" s="16"/>
      <c r="AM1891" s="16"/>
      <c r="AN1891" s="16"/>
      <c r="AO1891" s="16"/>
      <c r="AP1891" s="16"/>
      <c r="AQ1891" s="16"/>
      <c r="AR1891" s="16"/>
      <c r="AS1891" s="14"/>
      <c r="AT1891" s="14"/>
      <c r="AU1891" s="14"/>
      <c r="AV1891" s="14"/>
      <c r="AW1891" s="14"/>
      <c r="AX1891" s="14"/>
      <c r="AY1891" s="14"/>
      <c r="AZ1891" s="14"/>
      <c r="BA1891" s="14"/>
      <c r="BB1891" s="7"/>
    </row>
    <row r="1892" spans="7:54" x14ac:dyDescent="0.15">
      <c r="G1892" s="7"/>
      <c r="H1892" s="16"/>
      <c r="I1892" s="16"/>
      <c r="J1892" s="16"/>
      <c r="K1892" s="16"/>
      <c r="L1892" s="16"/>
      <c r="M1892" s="16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24"/>
      <c r="AC1892" s="16"/>
      <c r="AD1892" s="16"/>
      <c r="AE1892" s="16"/>
      <c r="AF1892" s="16"/>
      <c r="AG1892" s="14"/>
      <c r="AH1892" s="14"/>
      <c r="AI1892" s="24"/>
      <c r="AJ1892" s="24"/>
      <c r="AK1892" s="24"/>
      <c r="AL1892" s="16"/>
      <c r="AM1892" s="16"/>
      <c r="AN1892" s="16"/>
      <c r="AO1892" s="16"/>
      <c r="AP1892" s="16"/>
      <c r="AQ1892" s="16"/>
      <c r="AR1892" s="16"/>
      <c r="AS1892" s="14"/>
      <c r="AT1892" s="14"/>
      <c r="AU1892" s="14"/>
      <c r="AV1892" s="14"/>
      <c r="AW1892" s="14"/>
      <c r="AX1892" s="14"/>
      <c r="AY1892" s="14"/>
      <c r="AZ1892" s="14"/>
      <c r="BA1892" s="14"/>
      <c r="BB1892" s="7"/>
    </row>
    <row r="1893" spans="7:54" x14ac:dyDescent="0.15">
      <c r="G1893" s="7"/>
      <c r="H1893" s="16"/>
      <c r="I1893" s="16"/>
      <c r="J1893" s="16"/>
      <c r="K1893" s="16"/>
      <c r="L1893" s="16"/>
      <c r="M1893" s="16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24"/>
      <c r="AC1893" s="16"/>
      <c r="AD1893" s="16"/>
      <c r="AE1893" s="16"/>
      <c r="AF1893" s="16"/>
      <c r="AG1893" s="14"/>
      <c r="AH1893" s="14"/>
      <c r="AI1893" s="24"/>
      <c r="AJ1893" s="24"/>
      <c r="AK1893" s="24"/>
      <c r="AL1893" s="16"/>
      <c r="AM1893" s="16"/>
      <c r="AN1893" s="16"/>
      <c r="AO1893" s="16"/>
      <c r="AP1893" s="16"/>
      <c r="AQ1893" s="16"/>
      <c r="AR1893" s="16"/>
      <c r="AS1893" s="14"/>
      <c r="AT1893" s="14"/>
      <c r="AU1893" s="14"/>
      <c r="AV1893" s="14"/>
      <c r="AW1893" s="14"/>
      <c r="AX1893" s="14"/>
      <c r="AY1893" s="14"/>
      <c r="AZ1893" s="14"/>
      <c r="BA1893" s="14"/>
      <c r="BB1893" s="7"/>
    </row>
    <row r="1894" spans="7:54" x14ac:dyDescent="0.15">
      <c r="G1894" s="7"/>
      <c r="H1894" s="16"/>
      <c r="I1894" s="16"/>
      <c r="J1894" s="16"/>
      <c r="K1894" s="16"/>
      <c r="L1894" s="16"/>
      <c r="M1894" s="16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  <c r="AB1894" s="24"/>
      <c r="AC1894" s="16"/>
      <c r="AD1894" s="16"/>
      <c r="AE1894" s="16"/>
      <c r="AF1894" s="16"/>
      <c r="AG1894" s="14"/>
      <c r="AH1894" s="14"/>
      <c r="AI1894" s="24"/>
      <c r="AJ1894" s="24"/>
      <c r="AK1894" s="24"/>
      <c r="AL1894" s="16"/>
      <c r="AM1894" s="16"/>
      <c r="AN1894" s="16"/>
      <c r="AO1894" s="16"/>
      <c r="AP1894" s="16"/>
      <c r="AQ1894" s="16"/>
      <c r="AR1894" s="16"/>
      <c r="AS1894" s="14"/>
      <c r="AT1894" s="14"/>
      <c r="AU1894" s="14"/>
      <c r="AV1894" s="14"/>
      <c r="AW1894" s="14"/>
      <c r="AX1894" s="14"/>
      <c r="AY1894" s="14"/>
      <c r="AZ1894" s="14"/>
      <c r="BA1894" s="14"/>
      <c r="BB1894" s="7"/>
    </row>
    <row r="1895" spans="7:54" x14ac:dyDescent="0.15">
      <c r="G1895" s="7"/>
      <c r="H1895" s="16"/>
      <c r="I1895" s="16"/>
      <c r="J1895" s="16"/>
      <c r="K1895" s="16"/>
      <c r="L1895" s="16"/>
      <c r="M1895" s="16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24"/>
      <c r="AC1895" s="16"/>
      <c r="AD1895" s="16"/>
      <c r="AE1895" s="16"/>
      <c r="AF1895" s="16"/>
      <c r="AG1895" s="14"/>
      <c r="AH1895" s="14"/>
      <c r="AI1895" s="24"/>
      <c r="AJ1895" s="24"/>
      <c r="AK1895" s="24"/>
      <c r="AL1895" s="16"/>
      <c r="AM1895" s="16"/>
      <c r="AN1895" s="16"/>
      <c r="AO1895" s="16"/>
      <c r="AP1895" s="16"/>
      <c r="AQ1895" s="16"/>
      <c r="AR1895" s="16"/>
      <c r="AS1895" s="14"/>
      <c r="AT1895" s="14"/>
      <c r="AU1895" s="14"/>
      <c r="AV1895" s="14"/>
      <c r="AW1895" s="14"/>
      <c r="AX1895" s="14"/>
      <c r="AY1895" s="14"/>
      <c r="AZ1895" s="14"/>
      <c r="BA1895" s="14"/>
      <c r="BB1895" s="7"/>
    </row>
    <row r="1896" spans="7:54" x14ac:dyDescent="0.15">
      <c r="G1896" s="7"/>
      <c r="H1896" s="16"/>
      <c r="I1896" s="16"/>
      <c r="J1896" s="16"/>
      <c r="K1896" s="16"/>
      <c r="L1896" s="16"/>
      <c r="M1896" s="16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24"/>
      <c r="AC1896" s="16"/>
      <c r="AD1896" s="16"/>
      <c r="AE1896" s="16"/>
      <c r="AF1896" s="16"/>
      <c r="AG1896" s="14"/>
      <c r="AH1896" s="14"/>
      <c r="AI1896" s="24"/>
      <c r="AJ1896" s="24"/>
      <c r="AK1896" s="24"/>
      <c r="AL1896" s="16"/>
      <c r="AM1896" s="16"/>
      <c r="AN1896" s="16"/>
      <c r="AO1896" s="16"/>
      <c r="AP1896" s="16"/>
      <c r="AQ1896" s="16"/>
      <c r="AR1896" s="16"/>
      <c r="AS1896" s="14"/>
      <c r="AT1896" s="14"/>
      <c r="AU1896" s="14"/>
      <c r="AV1896" s="14"/>
      <c r="AW1896" s="14"/>
      <c r="AX1896" s="14"/>
      <c r="AY1896" s="14"/>
      <c r="AZ1896" s="14"/>
      <c r="BA1896" s="14"/>
      <c r="BB1896" s="7"/>
    </row>
    <row r="1897" spans="7:54" x14ac:dyDescent="0.15">
      <c r="G1897" s="7"/>
      <c r="H1897" s="16"/>
      <c r="I1897" s="16"/>
      <c r="J1897" s="16"/>
      <c r="K1897" s="16"/>
      <c r="L1897" s="16"/>
      <c r="M1897" s="16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24"/>
      <c r="AC1897" s="16"/>
      <c r="AD1897" s="16"/>
      <c r="AE1897" s="16"/>
      <c r="AF1897" s="16"/>
      <c r="AG1897" s="14"/>
      <c r="AH1897" s="14"/>
      <c r="AI1897" s="24"/>
      <c r="AJ1897" s="24"/>
      <c r="AK1897" s="24"/>
      <c r="AL1897" s="16"/>
      <c r="AM1897" s="16"/>
      <c r="AN1897" s="16"/>
      <c r="AO1897" s="16"/>
      <c r="AP1897" s="16"/>
      <c r="AQ1897" s="16"/>
      <c r="AR1897" s="16"/>
      <c r="AS1897" s="14"/>
      <c r="AT1897" s="14"/>
      <c r="AU1897" s="14"/>
      <c r="AV1897" s="14"/>
      <c r="AW1897" s="14"/>
      <c r="AX1897" s="14"/>
      <c r="AY1897" s="14"/>
      <c r="AZ1897" s="14"/>
      <c r="BA1897" s="14"/>
      <c r="BB1897" s="7"/>
    </row>
    <row r="1898" spans="7:54" x14ac:dyDescent="0.15">
      <c r="G1898" s="7"/>
      <c r="H1898" s="16"/>
      <c r="I1898" s="16"/>
      <c r="J1898" s="16"/>
      <c r="K1898" s="16"/>
      <c r="L1898" s="16"/>
      <c r="M1898" s="16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  <c r="AB1898" s="24"/>
      <c r="AC1898" s="16"/>
      <c r="AD1898" s="16"/>
      <c r="AE1898" s="16"/>
      <c r="AF1898" s="16"/>
      <c r="AG1898" s="14"/>
      <c r="AH1898" s="14"/>
      <c r="AI1898" s="24"/>
      <c r="AJ1898" s="24"/>
      <c r="AK1898" s="24"/>
      <c r="AL1898" s="16"/>
      <c r="AM1898" s="16"/>
      <c r="AN1898" s="16"/>
      <c r="AO1898" s="16"/>
      <c r="AP1898" s="16"/>
      <c r="AQ1898" s="16"/>
      <c r="AR1898" s="16"/>
      <c r="AS1898" s="14"/>
      <c r="AT1898" s="14"/>
      <c r="AU1898" s="14"/>
      <c r="AV1898" s="14"/>
      <c r="AW1898" s="14"/>
      <c r="AX1898" s="14"/>
      <c r="AY1898" s="14"/>
      <c r="AZ1898" s="14"/>
      <c r="BA1898" s="14"/>
      <c r="BB1898" s="7"/>
    </row>
    <row r="1899" spans="7:54" x14ac:dyDescent="0.15">
      <c r="G1899" s="7"/>
      <c r="H1899" s="16"/>
      <c r="I1899" s="16"/>
      <c r="J1899" s="16"/>
      <c r="K1899" s="16"/>
      <c r="L1899" s="16"/>
      <c r="M1899" s="16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  <c r="AB1899" s="24"/>
      <c r="AC1899" s="16"/>
      <c r="AD1899" s="16"/>
      <c r="AE1899" s="16"/>
      <c r="AF1899" s="16"/>
      <c r="AG1899" s="14"/>
      <c r="AH1899" s="14"/>
      <c r="AI1899" s="24"/>
      <c r="AJ1899" s="24"/>
      <c r="AK1899" s="24"/>
      <c r="AL1899" s="16"/>
      <c r="AM1899" s="16"/>
      <c r="AN1899" s="16"/>
      <c r="AO1899" s="16"/>
      <c r="AP1899" s="16"/>
      <c r="AQ1899" s="16"/>
      <c r="AR1899" s="16"/>
      <c r="AS1899" s="14"/>
      <c r="AT1899" s="14"/>
      <c r="AU1899" s="14"/>
      <c r="AV1899" s="14"/>
      <c r="AW1899" s="14"/>
      <c r="AX1899" s="14"/>
      <c r="AY1899" s="14"/>
      <c r="AZ1899" s="14"/>
      <c r="BA1899" s="14"/>
      <c r="BB1899" s="7"/>
    </row>
    <row r="1900" spans="7:54" x14ac:dyDescent="0.15">
      <c r="G1900" s="7"/>
      <c r="H1900" s="16"/>
      <c r="I1900" s="16"/>
      <c r="J1900" s="16"/>
      <c r="K1900" s="16"/>
      <c r="L1900" s="16"/>
      <c r="M1900" s="16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  <c r="AB1900" s="24"/>
      <c r="AC1900" s="16"/>
      <c r="AD1900" s="16"/>
      <c r="AE1900" s="16"/>
      <c r="AF1900" s="16"/>
      <c r="AG1900" s="14"/>
      <c r="AH1900" s="14"/>
      <c r="AI1900" s="24"/>
      <c r="AJ1900" s="24"/>
      <c r="AK1900" s="24"/>
      <c r="AL1900" s="16"/>
      <c r="AM1900" s="16"/>
      <c r="AN1900" s="16"/>
      <c r="AO1900" s="16"/>
      <c r="AP1900" s="16"/>
      <c r="AQ1900" s="16"/>
      <c r="AR1900" s="16"/>
      <c r="AS1900" s="14"/>
      <c r="AT1900" s="14"/>
      <c r="AU1900" s="14"/>
      <c r="AV1900" s="14"/>
      <c r="AW1900" s="14"/>
      <c r="AX1900" s="14"/>
      <c r="AY1900" s="14"/>
      <c r="AZ1900" s="14"/>
      <c r="BA1900" s="14"/>
      <c r="BB1900" s="7"/>
    </row>
    <row r="1901" spans="7:54" x14ac:dyDescent="0.15">
      <c r="G1901" s="7"/>
      <c r="H1901" s="16"/>
      <c r="I1901" s="16"/>
      <c r="J1901" s="16"/>
      <c r="K1901" s="16"/>
      <c r="L1901" s="16"/>
      <c r="M1901" s="16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24"/>
      <c r="AC1901" s="16"/>
      <c r="AD1901" s="16"/>
      <c r="AE1901" s="16"/>
      <c r="AF1901" s="16"/>
      <c r="AG1901" s="14"/>
      <c r="AH1901" s="14"/>
      <c r="AI1901" s="24"/>
      <c r="AJ1901" s="24"/>
      <c r="AK1901" s="24"/>
      <c r="AL1901" s="16"/>
      <c r="AM1901" s="16"/>
      <c r="AN1901" s="16"/>
      <c r="AO1901" s="16"/>
      <c r="AP1901" s="16"/>
      <c r="AQ1901" s="16"/>
      <c r="AR1901" s="16"/>
      <c r="AS1901" s="14"/>
      <c r="AT1901" s="14"/>
      <c r="AU1901" s="14"/>
      <c r="AV1901" s="14"/>
      <c r="AW1901" s="14"/>
      <c r="AX1901" s="14"/>
      <c r="AY1901" s="14"/>
      <c r="AZ1901" s="14"/>
      <c r="BA1901" s="14"/>
      <c r="BB1901" s="7"/>
    </row>
    <row r="1902" spans="7:54" x14ac:dyDescent="0.15">
      <c r="G1902" s="7"/>
      <c r="H1902" s="16"/>
      <c r="I1902" s="16"/>
      <c r="J1902" s="16"/>
      <c r="K1902" s="16"/>
      <c r="L1902" s="16"/>
      <c r="M1902" s="16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24"/>
      <c r="AC1902" s="16"/>
      <c r="AD1902" s="16"/>
      <c r="AE1902" s="16"/>
      <c r="AF1902" s="16"/>
      <c r="AG1902" s="14"/>
      <c r="AH1902" s="14"/>
      <c r="AI1902" s="24"/>
      <c r="AJ1902" s="24"/>
      <c r="AK1902" s="24"/>
      <c r="AL1902" s="16"/>
      <c r="AM1902" s="16"/>
      <c r="AN1902" s="16"/>
      <c r="AO1902" s="16"/>
      <c r="AP1902" s="16"/>
      <c r="AQ1902" s="16"/>
      <c r="AR1902" s="16"/>
      <c r="AS1902" s="14"/>
      <c r="AT1902" s="14"/>
      <c r="AU1902" s="14"/>
      <c r="AV1902" s="14"/>
      <c r="AW1902" s="14"/>
      <c r="AX1902" s="14"/>
      <c r="AY1902" s="14"/>
      <c r="AZ1902" s="14"/>
      <c r="BA1902" s="14"/>
      <c r="BB1902" s="7"/>
    </row>
    <row r="1903" spans="7:54" x14ac:dyDescent="0.15">
      <c r="G1903" s="7"/>
      <c r="H1903" s="16"/>
      <c r="I1903" s="16"/>
      <c r="J1903" s="16"/>
      <c r="K1903" s="16"/>
      <c r="L1903" s="16"/>
      <c r="M1903" s="16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24"/>
      <c r="AC1903" s="16"/>
      <c r="AD1903" s="16"/>
      <c r="AE1903" s="16"/>
      <c r="AF1903" s="16"/>
      <c r="AG1903" s="14"/>
      <c r="AH1903" s="14"/>
      <c r="AI1903" s="24"/>
      <c r="AJ1903" s="24"/>
      <c r="AK1903" s="24"/>
      <c r="AL1903" s="16"/>
      <c r="AM1903" s="16"/>
      <c r="AN1903" s="16"/>
      <c r="AO1903" s="16"/>
      <c r="AP1903" s="16"/>
      <c r="AQ1903" s="16"/>
      <c r="AR1903" s="16"/>
      <c r="AS1903" s="14"/>
      <c r="AT1903" s="14"/>
      <c r="AU1903" s="14"/>
      <c r="AV1903" s="14"/>
      <c r="AW1903" s="14"/>
      <c r="AX1903" s="14"/>
      <c r="AY1903" s="14"/>
      <c r="AZ1903" s="14"/>
      <c r="BA1903" s="14"/>
      <c r="BB1903" s="7"/>
    </row>
    <row r="1904" spans="7:54" x14ac:dyDescent="0.15">
      <c r="G1904" s="7"/>
      <c r="H1904" s="16"/>
      <c r="I1904" s="16"/>
      <c r="J1904" s="16"/>
      <c r="K1904" s="16"/>
      <c r="L1904" s="16"/>
      <c r="M1904" s="16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  <c r="AB1904" s="24"/>
      <c r="AC1904" s="16"/>
      <c r="AD1904" s="16"/>
      <c r="AE1904" s="16"/>
      <c r="AF1904" s="16"/>
      <c r="AG1904" s="14"/>
      <c r="AH1904" s="14"/>
      <c r="AI1904" s="24"/>
      <c r="AJ1904" s="24"/>
      <c r="AK1904" s="24"/>
      <c r="AL1904" s="16"/>
      <c r="AM1904" s="16"/>
      <c r="AN1904" s="16"/>
      <c r="AO1904" s="16"/>
      <c r="AP1904" s="16"/>
      <c r="AQ1904" s="16"/>
      <c r="AR1904" s="16"/>
      <c r="AS1904" s="14"/>
      <c r="AT1904" s="14"/>
      <c r="AU1904" s="14"/>
      <c r="AV1904" s="14"/>
      <c r="AW1904" s="14"/>
      <c r="AX1904" s="14"/>
      <c r="AY1904" s="14"/>
      <c r="AZ1904" s="14"/>
      <c r="BA1904" s="14"/>
      <c r="BB1904" s="7"/>
    </row>
    <row r="1905" spans="7:54" x14ac:dyDescent="0.15">
      <c r="G1905" s="7"/>
      <c r="H1905" s="16"/>
      <c r="I1905" s="16"/>
      <c r="J1905" s="16"/>
      <c r="K1905" s="16"/>
      <c r="L1905" s="16"/>
      <c r="M1905" s="16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24"/>
      <c r="AC1905" s="16"/>
      <c r="AD1905" s="16"/>
      <c r="AE1905" s="16"/>
      <c r="AF1905" s="16"/>
      <c r="AG1905" s="14"/>
      <c r="AH1905" s="14"/>
      <c r="AI1905" s="24"/>
      <c r="AJ1905" s="24"/>
      <c r="AK1905" s="24"/>
      <c r="AL1905" s="16"/>
      <c r="AM1905" s="16"/>
      <c r="AN1905" s="16"/>
      <c r="AO1905" s="16"/>
      <c r="AP1905" s="16"/>
      <c r="AQ1905" s="16"/>
      <c r="AR1905" s="16"/>
      <c r="AS1905" s="14"/>
      <c r="AT1905" s="14"/>
      <c r="AU1905" s="14"/>
      <c r="AV1905" s="14"/>
      <c r="AW1905" s="14"/>
      <c r="AX1905" s="14"/>
      <c r="AY1905" s="14"/>
      <c r="AZ1905" s="14"/>
      <c r="BA1905" s="14"/>
      <c r="BB1905" s="7"/>
    </row>
    <row r="1906" spans="7:54" x14ac:dyDescent="0.15">
      <c r="G1906" s="7"/>
      <c r="H1906" s="16"/>
      <c r="I1906" s="16"/>
      <c r="J1906" s="16"/>
      <c r="K1906" s="16"/>
      <c r="L1906" s="16"/>
      <c r="M1906" s="16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24"/>
      <c r="AC1906" s="16"/>
      <c r="AD1906" s="16"/>
      <c r="AE1906" s="16"/>
      <c r="AF1906" s="16"/>
      <c r="AG1906" s="14"/>
      <c r="AH1906" s="14"/>
      <c r="AI1906" s="24"/>
      <c r="AJ1906" s="24"/>
      <c r="AK1906" s="24"/>
      <c r="AL1906" s="16"/>
      <c r="AM1906" s="16"/>
      <c r="AN1906" s="16"/>
      <c r="AO1906" s="16"/>
      <c r="AP1906" s="16"/>
      <c r="AQ1906" s="16"/>
      <c r="AR1906" s="16"/>
      <c r="AS1906" s="14"/>
      <c r="AT1906" s="14"/>
      <c r="AU1906" s="14"/>
      <c r="AV1906" s="14"/>
      <c r="AW1906" s="14"/>
      <c r="AX1906" s="14"/>
      <c r="AY1906" s="14"/>
      <c r="AZ1906" s="14"/>
      <c r="BA1906" s="14"/>
      <c r="BB1906" s="7"/>
    </row>
    <row r="1907" spans="7:54" x14ac:dyDescent="0.15">
      <c r="G1907" s="7"/>
      <c r="H1907" s="16"/>
      <c r="I1907" s="16"/>
      <c r="J1907" s="16"/>
      <c r="K1907" s="16"/>
      <c r="L1907" s="16"/>
      <c r="M1907" s="16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24"/>
      <c r="AC1907" s="16"/>
      <c r="AD1907" s="16"/>
      <c r="AE1907" s="16"/>
      <c r="AF1907" s="16"/>
      <c r="AG1907" s="14"/>
      <c r="AH1907" s="14"/>
      <c r="AI1907" s="24"/>
      <c r="AJ1907" s="24"/>
      <c r="AK1907" s="24"/>
      <c r="AL1907" s="16"/>
      <c r="AM1907" s="16"/>
      <c r="AN1907" s="16"/>
      <c r="AO1907" s="16"/>
      <c r="AP1907" s="16"/>
      <c r="AQ1907" s="16"/>
      <c r="AR1907" s="16"/>
      <c r="AS1907" s="14"/>
      <c r="AT1907" s="14"/>
      <c r="AU1907" s="14"/>
      <c r="AV1907" s="14"/>
      <c r="AW1907" s="14"/>
      <c r="AX1907" s="14"/>
      <c r="AY1907" s="14"/>
      <c r="AZ1907" s="14"/>
      <c r="BA1907" s="14"/>
      <c r="BB1907" s="7"/>
    </row>
    <row r="1908" spans="7:54" x14ac:dyDescent="0.15">
      <c r="G1908" s="7"/>
      <c r="H1908" s="16"/>
      <c r="I1908" s="16"/>
      <c r="J1908" s="16"/>
      <c r="K1908" s="16"/>
      <c r="L1908" s="16"/>
      <c r="M1908" s="16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  <c r="AB1908" s="24"/>
      <c r="AC1908" s="16"/>
      <c r="AD1908" s="16"/>
      <c r="AE1908" s="16"/>
      <c r="AF1908" s="16"/>
      <c r="AG1908" s="14"/>
      <c r="AH1908" s="14"/>
      <c r="AI1908" s="24"/>
      <c r="AJ1908" s="24"/>
      <c r="AK1908" s="24"/>
      <c r="AL1908" s="16"/>
      <c r="AM1908" s="16"/>
      <c r="AN1908" s="16"/>
      <c r="AO1908" s="16"/>
      <c r="AP1908" s="16"/>
      <c r="AQ1908" s="16"/>
      <c r="AR1908" s="16"/>
      <c r="AS1908" s="14"/>
      <c r="AT1908" s="14"/>
      <c r="AU1908" s="14"/>
      <c r="AV1908" s="14"/>
      <c r="AW1908" s="14"/>
      <c r="AX1908" s="14"/>
      <c r="AY1908" s="14"/>
      <c r="AZ1908" s="14"/>
      <c r="BA1908" s="14"/>
      <c r="BB1908" s="7"/>
    </row>
    <row r="1909" spans="7:54" x14ac:dyDescent="0.15">
      <c r="G1909" s="7"/>
      <c r="H1909" s="16"/>
      <c r="I1909" s="16"/>
      <c r="J1909" s="16"/>
      <c r="K1909" s="16"/>
      <c r="L1909" s="16"/>
      <c r="M1909" s="16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  <c r="AB1909" s="24"/>
      <c r="AC1909" s="16"/>
      <c r="AD1909" s="16"/>
      <c r="AE1909" s="16"/>
      <c r="AF1909" s="16"/>
      <c r="AG1909" s="14"/>
      <c r="AH1909" s="14"/>
      <c r="AI1909" s="24"/>
      <c r="AJ1909" s="24"/>
      <c r="AK1909" s="24"/>
      <c r="AL1909" s="16"/>
      <c r="AM1909" s="16"/>
      <c r="AN1909" s="16"/>
      <c r="AO1909" s="16"/>
      <c r="AP1909" s="16"/>
      <c r="AQ1909" s="16"/>
      <c r="AR1909" s="16"/>
      <c r="AS1909" s="14"/>
      <c r="AT1909" s="14"/>
      <c r="AU1909" s="14"/>
      <c r="AV1909" s="14"/>
      <c r="AW1909" s="14"/>
      <c r="AX1909" s="14"/>
      <c r="AY1909" s="14"/>
      <c r="AZ1909" s="14"/>
      <c r="BA1909" s="14"/>
      <c r="BB1909" s="7"/>
    </row>
    <row r="1910" spans="7:54" x14ac:dyDescent="0.15">
      <c r="G1910" s="7"/>
      <c r="H1910" s="16"/>
      <c r="I1910" s="16"/>
      <c r="J1910" s="16"/>
      <c r="K1910" s="16"/>
      <c r="L1910" s="16"/>
      <c r="M1910" s="16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24"/>
      <c r="AC1910" s="16"/>
      <c r="AD1910" s="16"/>
      <c r="AE1910" s="16"/>
      <c r="AF1910" s="16"/>
      <c r="AG1910" s="14"/>
      <c r="AH1910" s="14"/>
      <c r="AI1910" s="24"/>
      <c r="AJ1910" s="24"/>
      <c r="AK1910" s="24"/>
      <c r="AL1910" s="16"/>
      <c r="AM1910" s="16"/>
      <c r="AN1910" s="16"/>
      <c r="AO1910" s="16"/>
      <c r="AP1910" s="16"/>
      <c r="AQ1910" s="16"/>
      <c r="AR1910" s="16"/>
      <c r="AS1910" s="14"/>
      <c r="AT1910" s="14"/>
      <c r="AU1910" s="14"/>
      <c r="AV1910" s="14"/>
      <c r="AW1910" s="14"/>
      <c r="AX1910" s="14"/>
      <c r="AY1910" s="14"/>
      <c r="AZ1910" s="14"/>
      <c r="BA1910" s="14"/>
      <c r="BB1910" s="7"/>
    </row>
    <row r="1911" spans="7:54" x14ac:dyDescent="0.15">
      <c r="G1911" s="7"/>
      <c r="H1911" s="16"/>
      <c r="I1911" s="16"/>
      <c r="J1911" s="16"/>
      <c r="K1911" s="16"/>
      <c r="L1911" s="16"/>
      <c r="M1911" s="16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24"/>
      <c r="AC1911" s="16"/>
      <c r="AD1911" s="16"/>
      <c r="AE1911" s="16"/>
      <c r="AF1911" s="16"/>
      <c r="AG1911" s="14"/>
      <c r="AH1911" s="14"/>
      <c r="AI1911" s="24"/>
      <c r="AJ1911" s="24"/>
      <c r="AK1911" s="24"/>
      <c r="AL1911" s="16"/>
      <c r="AM1911" s="16"/>
      <c r="AN1911" s="16"/>
      <c r="AO1911" s="16"/>
      <c r="AP1911" s="16"/>
      <c r="AQ1911" s="16"/>
      <c r="AR1911" s="16"/>
      <c r="AS1911" s="14"/>
      <c r="AT1911" s="14"/>
      <c r="AU1911" s="14"/>
      <c r="AV1911" s="14"/>
      <c r="AW1911" s="14"/>
      <c r="AX1911" s="14"/>
      <c r="AY1911" s="14"/>
      <c r="AZ1911" s="14"/>
      <c r="BA1911" s="14"/>
      <c r="BB1911" s="7"/>
    </row>
    <row r="1912" spans="7:54" x14ac:dyDescent="0.15">
      <c r="G1912" s="7"/>
      <c r="H1912" s="16"/>
      <c r="I1912" s="16"/>
      <c r="J1912" s="16"/>
      <c r="K1912" s="16"/>
      <c r="L1912" s="16"/>
      <c r="M1912" s="16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24"/>
      <c r="AC1912" s="16"/>
      <c r="AD1912" s="16"/>
      <c r="AE1912" s="16"/>
      <c r="AF1912" s="16"/>
      <c r="AG1912" s="14"/>
      <c r="AH1912" s="14"/>
      <c r="AI1912" s="24"/>
      <c r="AJ1912" s="24"/>
      <c r="AK1912" s="24"/>
      <c r="AL1912" s="16"/>
      <c r="AM1912" s="16"/>
      <c r="AN1912" s="16"/>
      <c r="AO1912" s="16"/>
      <c r="AP1912" s="16"/>
      <c r="AQ1912" s="16"/>
      <c r="AR1912" s="16"/>
      <c r="AS1912" s="14"/>
      <c r="AT1912" s="14"/>
      <c r="AU1912" s="14"/>
      <c r="AV1912" s="14"/>
      <c r="AW1912" s="14"/>
      <c r="AX1912" s="14"/>
      <c r="AY1912" s="14"/>
      <c r="AZ1912" s="14"/>
      <c r="BA1912" s="14"/>
      <c r="BB1912" s="7"/>
    </row>
    <row r="1913" spans="7:54" x14ac:dyDescent="0.15">
      <c r="G1913" s="7"/>
      <c r="H1913" s="16"/>
      <c r="I1913" s="16"/>
      <c r="J1913" s="16"/>
      <c r="K1913" s="16"/>
      <c r="L1913" s="16"/>
      <c r="M1913" s="16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24"/>
      <c r="AC1913" s="16"/>
      <c r="AD1913" s="16"/>
      <c r="AE1913" s="16"/>
      <c r="AF1913" s="16"/>
      <c r="AG1913" s="14"/>
      <c r="AH1913" s="14"/>
      <c r="AI1913" s="24"/>
      <c r="AJ1913" s="24"/>
      <c r="AK1913" s="24"/>
      <c r="AL1913" s="16"/>
      <c r="AM1913" s="16"/>
      <c r="AN1913" s="16"/>
      <c r="AO1913" s="16"/>
      <c r="AP1913" s="16"/>
      <c r="AQ1913" s="16"/>
      <c r="AR1913" s="16"/>
      <c r="AS1913" s="14"/>
      <c r="AT1913" s="14"/>
      <c r="AU1913" s="14"/>
      <c r="AV1913" s="14"/>
      <c r="AW1913" s="14"/>
      <c r="AX1913" s="14"/>
      <c r="AY1913" s="14"/>
      <c r="AZ1913" s="14"/>
      <c r="BA1913" s="14"/>
      <c r="BB1913" s="7"/>
    </row>
    <row r="1914" spans="7:54" x14ac:dyDescent="0.15">
      <c r="G1914" s="7"/>
      <c r="H1914" s="16"/>
      <c r="I1914" s="16"/>
      <c r="J1914" s="16"/>
      <c r="K1914" s="16"/>
      <c r="L1914" s="16"/>
      <c r="M1914" s="16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  <c r="AB1914" s="24"/>
      <c r="AC1914" s="16"/>
      <c r="AD1914" s="16"/>
      <c r="AE1914" s="16"/>
      <c r="AF1914" s="16"/>
      <c r="AG1914" s="14"/>
      <c r="AH1914" s="14"/>
      <c r="AI1914" s="24"/>
      <c r="AJ1914" s="24"/>
      <c r="AK1914" s="24"/>
      <c r="AL1914" s="16"/>
      <c r="AM1914" s="16"/>
      <c r="AN1914" s="16"/>
      <c r="AO1914" s="16"/>
      <c r="AP1914" s="16"/>
      <c r="AQ1914" s="16"/>
      <c r="AR1914" s="16"/>
      <c r="AS1914" s="14"/>
      <c r="AT1914" s="14"/>
      <c r="AU1914" s="14"/>
      <c r="AV1914" s="14"/>
      <c r="AW1914" s="14"/>
      <c r="AX1914" s="14"/>
      <c r="AY1914" s="14"/>
      <c r="AZ1914" s="14"/>
      <c r="BA1914" s="14"/>
      <c r="BB1914" s="7"/>
    </row>
    <row r="1915" spans="7:54" x14ac:dyDescent="0.15">
      <c r="G1915" s="7"/>
      <c r="H1915" s="16"/>
      <c r="I1915" s="16"/>
      <c r="J1915" s="16"/>
      <c r="K1915" s="16"/>
      <c r="L1915" s="16"/>
      <c r="M1915" s="16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24"/>
      <c r="AC1915" s="16"/>
      <c r="AD1915" s="16"/>
      <c r="AE1915" s="16"/>
      <c r="AF1915" s="16"/>
      <c r="AG1915" s="14"/>
      <c r="AH1915" s="14"/>
      <c r="AI1915" s="24"/>
      <c r="AJ1915" s="24"/>
      <c r="AK1915" s="24"/>
      <c r="AL1915" s="16"/>
      <c r="AM1915" s="16"/>
      <c r="AN1915" s="16"/>
      <c r="AO1915" s="16"/>
      <c r="AP1915" s="16"/>
      <c r="AQ1915" s="16"/>
      <c r="AR1915" s="16"/>
      <c r="AS1915" s="14"/>
      <c r="AT1915" s="14"/>
      <c r="AU1915" s="14"/>
      <c r="AV1915" s="14"/>
      <c r="AW1915" s="14"/>
      <c r="AX1915" s="14"/>
      <c r="AY1915" s="14"/>
      <c r="AZ1915" s="14"/>
      <c r="BA1915" s="14"/>
      <c r="BB1915" s="7"/>
    </row>
    <row r="1916" spans="7:54" x14ac:dyDescent="0.15">
      <c r="G1916" s="7"/>
      <c r="H1916" s="16"/>
      <c r="I1916" s="16"/>
      <c r="J1916" s="16"/>
      <c r="K1916" s="16"/>
      <c r="L1916" s="16"/>
      <c r="M1916" s="16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24"/>
      <c r="AC1916" s="16"/>
      <c r="AD1916" s="16"/>
      <c r="AE1916" s="16"/>
      <c r="AF1916" s="16"/>
      <c r="AG1916" s="14"/>
      <c r="AH1916" s="14"/>
      <c r="AI1916" s="24"/>
      <c r="AJ1916" s="24"/>
      <c r="AK1916" s="24"/>
      <c r="AL1916" s="16"/>
      <c r="AM1916" s="16"/>
      <c r="AN1916" s="16"/>
      <c r="AO1916" s="16"/>
      <c r="AP1916" s="16"/>
      <c r="AQ1916" s="16"/>
      <c r="AR1916" s="16"/>
      <c r="AS1916" s="14"/>
      <c r="AT1916" s="14"/>
      <c r="AU1916" s="14"/>
      <c r="AV1916" s="14"/>
      <c r="AW1916" s="14"/>
      <c r="AX1916" s="14"/>
      <c r="AY1916" s="14"/>
      <c r="AZ1916" s="14"/>
      <c r="BA1916" s="14"/>
      <c r="BB1916" s="7"/>
    </row>
    <row r="1917" spans="7:54" x14ac:dyDescent="0.15">
      <c r="G1917" s="7"/>
      <c r="H1917" s="16"/>
      <c r="I1917" s="16"/>
      <c r="J1917" s="16"/>
      <c r="K1917" s="16"/>
      <c r="L1917" s="16"/>
      <c r="M1917" s="16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24"/>
      <c r="AC1917" s="16"/>
      <c r="AD1917" s="16"/>
      <c r="AE1917" s="16"/>
      <c r="AF1917" s="16"/>
      <c r="AG1917" s="14"/>
      <c r="AH1917" s="14"/>
      <c r="AI1917" s="24"/>
      <c r="AJ1917" s="24"/>
      <c r="AK1917" s="24"/>
      <c r="AL1917" s="16"/>
      <c r="AM1917" s="16"/>
      <c r="AN1917" s="16"/>
      <c r="AO1917" s="16"/>
      <c r="AP1917" s="16"/>
      <c r="AQ1917" s="16"/>
      <c r="AR1917" s="16"/>
      <c r="AS1917" s="14"/>
      <c r="AT1917" s="14"/>
      <c r="AU1917" s="14"/>
      <c r="AV1917" s="14"/>
      <c r="AW1917" s="14"/>
      <c r="AX1917" s="14"/>
      <c r="AY1917" s="14"/>
      <c r="AZ1917" s="14"/>
      <c r="BA1917" s="14"/>
      <c r="BB1917" s="7"/>
    </row>
    <row r="1918" spans="7:54" x14ac:dyDescent="0.15">
      <c r="G1918" s="7"/>
      <c r="H1918" s="16"/>
      <c r="I1918" s="16"/>
      <c r="J1918" s="16"/>
      <c r="K1918" s="16"/>
      <c r="L1918" s="16"/>
      <c r="M1918" s="16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  <c r="AB1918" s="24"/>
      <c r="AC1918" s="16"/>
      <c r="AD1918" s="16"/>
      <c r="AE1918" s="16"/>
      <c r="AF1918" s="16"/>
      <c r="AG1918" s="14"/>
      <c r="AH1918" s="14"/>
      <c r="AI1918" s="24"/>
      <c r="AJ1918" s="24"/>
      <c r="AK1918" s="24"/>
      <c r="AL1918" s="16"/>
      <c r="AM1918" s="16"/>
      <c r="AN1918" s="16"/>
      <c r="AO1918" s="16"/>
      <c r="AP1918" s="16"/>
      <c r="AQ1918" s="16"/>
      <c r="AR1918" s="16"/>
      <c r="AS1918" s="14"/>
      <c r="AT1918" s="14"/>
      <c r="AU1918" s="14"/>
      <c r="AV1918" s="14"/>
      <c r="AW1918" s="14"/>
      <c r="AX1918" s="14"/>
      <c r="AY1918" s="14"/>
      <c r="AZ1918" s="14"/>
      <c r="BA1918" s="14"/>
      <c r="BB1918" s="7"/>
    </row>
    <row r="1919" spans="7:54" x14ac:dyDescent="0.15">
      <c r="G1919" s="7"/>
      <c r="H1919" s="16"/>
      <c r="I1919" s="16"/>
      <c r="J1919" s="16"/>
      <c r="K1919" s="16"/>
      <c r="L1919" s="16"/>
      <c r="M1919" s="16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24"/>
      <c r="AC1919" s="16"/>
      <c r="AD1919" s="16"/>
      <c r="AE1919" s="16"/>
      <c r="AF1919" s="16"/>
      <c r="AG1919" s="14"/>
      <c r="AH1919" s="14"/>
      <c r="AI1919" s="24"/>
      <c r="AJ1919" s="24"/>
      <c r="AK1919" s="24"/>
      <c r="AL1919" s="16"/>
      <c r="AM1919" s="16"/>
      <c r="AN1919" s="16"/>
      <c r="AO1919" s="16"/>
      <c r="AP1919" s="16"/>
      <c r="AQ1919" s="16"/>
      <c r="AR1919" s="16"/>
      <c r="AS1919" s="14"/>
      <c r="AT1919" s="14"/>
      <c r="AU1919" s="14"/>
      <c r="AV1919" s="14"/>
      <c r="AW1919" s="14"/>
      <c r="AX1919" s="14"/>
      <c r="AY1919" s="14"/>
      <c r="AZ1919" s="14"/>
      <c r="BA1919" s="14"/>
      <c r="BB1919" s="7"/>
    </row>
    <row r="1920" spans="7:54" x14ac:dyDescent="0.15">
      <c r="G1920" s="7"/>
      <c r="H1920" s="16"/>
      <c r="I1920" s="16"/>
      <c r="J1920" s="16"/>
      <c r="K1920" s="16"/>
      <c r="L1920" s="16"/>
      <c r="M1920" s="16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24"/>
      <c r="AC1920" s="16"/>
      <c r="AD1920" s="16"/>
      <c r="AE1920" s="16"/>
      <c r="AF1920" s="16"/>
      <c r="AG1920" s="14"/>
      <c r="AH1920" s="14"/>
      <c r="AI1920" s="24"/>
      <c r="AJ1920" s="24"/>
      <c r="AK1920" s="24"/>
      <c r="AL1920" s="16"/>
      <c r="AM1920" s="16"/>
      <c r="AN1920" s="16"/>
      <c r="AO1920" s="16"/>
      <c r="AP1920" s="16"/>
      <c r="AQ1920" s="16"/>
      <c r="AR1920" s="16"/>
      <c r="AS1920" s="14"/>
      <c r="AT1920" s="14"/>
      <c r="AU1920" s="14"/>
      <c r="AV1920" s="14"/>
      <c r="AW1920" s="14"/>
      <c r="AX1920" s="14"/>
      <c r="AY1920" s="14"/>
      <c r="AZ1920" s="14"/>
      <c r="BA1920" s="14"/>
      <c r="BB1920" s="7"/>
    </row>
    <row r="1921" spans="7:54" x14ac:dyDescent="0.15">
      <c r="G1921" s="7"/>
      <c r="H1921" s="16"/>
      <c r="I1921" s="16"/>
      <c r="J1921" s="16"/>
      <c r="K1921" s="16"/>
      <c r="L1921" s="16"/>
      <c r="M1921" s="16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24"/>
      <c r="AC1921" s="16"/>
      <c r="AD1921" s="16"/>
      <c r="AE1921" s="16"/>
      <c r="AF1921" s="16"/>
      <c r="AG1921" s="14"/>
      <c r="AH1921" s="14"/>
      <c r="AI1921" s="24"/>
      <c r="AJ1921" s="24"/>
      <c r="AK1921" s="24"/>
      <c r="AL1921" s="16"/>
      <c r="AM1921" s="16"/>
      <c r="AN1921" s="16"/>
      <c r="AO1921" s="16"/>
      <c r="AP1921" s="16"/>
      <c r="AQ1921" s="16"/>
      <c r="AR1921" s="16"/>
      <c r="AS1921" s="14"/>
      <c r="AT1921" s="14"/>
      <c r="AU1921" s="14"/>
      <c r="AV1921" s="14"/>
      <c r="AW1921" s="14"/>
      <c r="AX1921" s="14"/>
      <c r="AY1921" s="14"/>
      <c r="AZ1921" s="14"/>
      <c r="BA1921" s="14"/>
      <c r="BB1921" s="7"/>
    </row>
    <row r="1922" spans="7:54" x14ac:dyDescent="0.15">
      <c r="G1922" s="7"/>
      <c r="H1922" s="16"/>
      <c r="I1922" s="16"/>
      <c r="J1922" s="16"/>
      <c r="K1922" s="16"/>
      <c r="L1922" s="16"/>
      <c r="M1922" s="16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24"/>
      <c r="AC1922" s="16"/>
      <c r="AD1922" s="16"/>
      <c r="AE1922" s="16"/>
      <c r="AF1922" s="16"/>
      <c r="AG1922" s="14"/>
      <c r="AH1922" s="14"/>
      <c r="AI1922" s="24"/>
      <c r="AJ1922" s="24"/>
      <c r="AK1922" s="24"/>
      <c r="AL1922" s="16"/>
      <c r="AM1922" s="16"/>
      <c r="AN1922" s="16"/>
      <c r="AO1922" s="16"/>
      <c r="AP1922" s="16"/>
      <c r="AQ1922" s="16"/>
      <c r="AR1922" s="16"/>
      <c r="AS1922" s="14"/>
      <c r="AT1922" s="14"/>
      <c r="AU1922" s="14"/>
      <c r="AV1922" s="14"/>
      <c r="AW1922" s="14"/>
      <c r="AX1922" s="14"/>
      <c r="AY1922" s="14"/>
      <c r="AZ1922" s="14"/>
      <c r="BA1922" s="14"/>
      <c r="BB1922" s="7"/>
    </row>
    <row r="1923" spans="7:54" x14ac:dyDescent="0.15">
      <c r="G1923" s="7"/>
      <c r="H1923" s="16"/>
      <c r="I1923" s="16"/>
      <c r="J1923" s="16"/>
      <c r="K1923" s="16"/>
      <c r="L1923" s="16"/>
      <c r="M1923" s="16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24"/>
      <c r="AC1923" s="16"/>
      <c r="AD1923" s="16"/>
      <c r="AE1923" s="16"/>
      <c r="AF1923" s="16"/>
      <c r="AG1923" s="14"/>
      <c r="AH1923" s="14"/>
      <c r="AI1923" s="24"/>
      <c r="AJ1923" s="24"/>
      <c r="AK1923" s="24"/>
      <c r="AL1923" s="16"/>
      <c r="AM1923" s="16"/>
      <c r="AN1923" s="16"/>
      <c r="AO1923" s="16"/>
      <c r="AP1923" s="16"/>
      <c r="AQ1923" s="16"/>
      <c r="AR1923" s="16"/>
      <c r="AS1923" s="14"/>
      <c r="AT1923" s="14"/>
      <c r="AU1923" s="14"/>
      <c r="AV1923" s="14"/>
      <c r="AW1923" s="14"/>
      <c r="AX1923" s="14"/>
      <c r="AY1923" s="14"/>
      <c r="AZ1923" s="14"/>
      <c r="BA1923" s="14"/>
      <c r="BB1923" s="7"/>
    </row>
    <row r="1924" spans="7:54" x14ac:dyDescent="0.15">
      <c r="G1924" s="7"/>
      <c r="H1924" s="16"/>
      <c r="I1924" s="16"/>
      <c r="J1924" s="16"/>
      <c r="K1924" s="16"/>
      <c r="L1924" s="16"/>
      <c r="M1924" s="16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  <c r="AB1924" s="24"/>
      <c r="AC1924" s="16"/>
      <c r="AD1924" s="16"/>
      <c r="AE1924" s="16"/>
      <c r="AF1924" s="16"/>
      <c r="AG1924" s="14"/>
      <c r="AH1924" s="14"/>
      <c r="AI1924" s="24"/>
      <c r="AJ1924" s="24"/>
      <c r="AK1924" s="24"/>
      <c r="AL1924" s="16"/>
      <c r="AM1924" s="16"/>
      <c r="AN1924" s="16"/>
      <c r="AO1924" s="16"/>
      <c r="AP1924" s="16"/>
      <c r="AQ1924" s="16"/>
      <c r="AR1924" s="16"/>
      <c r="AS1924" s="14"/>
      <c r="AT1924" s="14"/>
      <c r="AU1924" s="14"/>
      <c r="AV1924" s="14"/>
      <c r="AW1924" s="14"/>
      <c r="AX1924" s="14"/>
      <c r="AY1924" s="14"/>
      <c r="AZ1924" s="14"/>
      <c r="BA1924" s="14"/>
      <c r="BB1924" s="7"/>
    </row>
    <row r="1925" spans="7:54" x14ac:dyDescent="0.15">
      <c r="G1925" s="7"/>
      <c r="H1925" s="16"/>
      <c r="I1925" s="16"/>
      <c r="J1925" s="16"/>
      <c r="K1925" s="16"/>
      <c r="L1925" s="16"/>
      <c r="M1925" s="16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24"/>
      <c r="AC1925" s="16"/>
      <c r="AD1925" s="16"/>
      <c r="AE1925" s="16"/>
      <c r="AF1925" s="16"/>
      <c r="AG1925" s="14"/>
      <c r="AH1925" s="14"/>
      <c r="AI1925" s="24"/>
      <c r="AJ1925" s="24"/>
      <c r="AK1925" s="24"/>
      <c r="AL1925" s="16"/>
      <c r="AM1925" s="16"/>
      <c r="AN1925" s="16"/>
      <c r="AO1925" s="16"/>
      <c r="AP1925" s="16"/>
      <c r="AQ1925" s="16"/>
      <c r="AR1925" s="16"/>
      <c r="AS1925" s="14"/>
      <c r="AT1925" s="14"/>
      <c r="AU1925" s="14"/>
      <c r="AV1925" s="14"/>
      <c r="AW1925" s="14"/>
      <c r="AX1925" s="14"/>
      <c r="AY1925" s="14"/>
      <c r="AZ1925" s="14"/>
      <c r="BA1925" s="14"/>
      <c r="BB1925" s="7"/>
    </row>
    <row r="1926" spans="7:54" x14ac:dyDescent="0.15">
      <c r="G1926" s="7"/>
      <c r="H1926" s="16"/>
      <c r="I1926" s="16"/>
      <c r="J1926" s="16"/>
      <c r="K1926" s="16"/>
      <c r="L1926" s="16"/>
      <c r="M1926" s="16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24"/>
      <c r="AC1926" s="16"/>
      <c r="AD1926" s="16"/>
      <c r="AE1926" s="16"/>
      <c r="AF1926" s="16"/>
      <c r="AG1926" s="14"/>
      <c r="AH1926" s="14"/>
      <c r="AI1926" s="24"/>
      <c r="AJ1926" s="24"/>
      <c r="AK1926" s="24"/>
      <c r="AL1926" s="16"/>
      <c r="AM1926" s="16"/>
      <c r="AN1926" s="16"/>
      <c r="AO1926" s="16"/>
      <c r="AP1926" s="16"/>
      <c r="AQ1926" s="16"/>
      <c r="AR1926" s="16"/>
      <c r="AS1926" s="14"/>
      <c r="AT1926" s="14"/>
      <c r="AU1926" s="14"/>
      <c r="AV1926" s="14"/>
      <c r="AW1926" s="14"/>
      <c r="AX1926" s="14"/>
      <c r="AY1926" s="14"/>
      <c r="AZ1926" s="14"/>
      <c r="BA1926" s="14"/>
      <c r="BB1926" s="7"/>
    </row>
    <row r="1927" spans="7:54" x14ac:dyDescent="0.15">
      <c r="G1927" s="7"/>
      <c r="H1927" s="16"/>
      <c r="I1927" s="16"/>
      <c r="J1927" s="16"/>
      <c r="K1927" s="16"/>
      <c r="L1927" s="16"/>
      <c r="M1927" s="16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24"/>
      <c r="AC1927" s="16"/>
      <c r="AD1927" s="16"/>
      <c r="AE1927" s="16"/>
      <c r="AF1927" s="16"/>
      <c r="AG1927" s="14"/>
      <c r="AH1927" s="14"/>
      <c r="AI1927" s="24"/>
      <c r="AJ1927" s="24"/>
      <c r="AK1927" s="24"/>
      <c r="AL1927" s="16"/>
      <c r="AM1927" s="16"/>
      <c r="AN1927" s="16"/>
      <c r="AO1927" s="16"/>
      <c r="AP1927" s="16"/>
      <c r="AQ1927" s="16"/>
      <c r="AR1927" s="16"/>
      <c r="AS1927" s="14"/>
      <c r="AT1927" s="14"/>
      <c r="AU1927" s="14"/>
      <c r="AV1927" s="14"/>
      <c r="AW1927" s="14"/>
      <c r="AX1927" s="14"/>
      <c r="AY1927" s="14"/>
      <c r="AZ1927" s="14"/>
      <c r="BA1927" s="14"/>
      <c r="BB1927" s="7"/>
    </row>
    <row r="1928" spans="7:54" x14ac:dyDescent="0.15">
      <c r="G1928" s="7"/>
      <c r="H1928" s="16"/>
      <c r="I1928" s="16"/>
      <c r="J1928" s="16"/>
      <c r="K1928" s="16"/>
      <c r="L1928" s="16"/>
      <c r="M1928" s="16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  <c r="AB1928" s="24"/>
      <c r="AC1928" s="16"/>
      <c r="AD1928" s="16"/>
      <c r="AE1928" s="16"/>
      <c r="AF1928" s="16"/>
      <c r="AG1928" s="14"/>
      <c r="AH1928" s="14"/>
      <c r="AI1928" s="24"/>
      <c r="AJ1928" s="24"/>
      <c r="AK1928" s="24"/>
      <c r="AL1928" s="16"/>
      <c r="AM1928" s="16"/>
      <c r="AN1928" s="16"/>
      <c r="AO1928" s="16"/>
      <c r="AP1928" s="16"/>
      <c r="AQ1928" s="16"/>
      <c r="AR1928" s="16"/>
      <c r="AS1928" s="14"/>
      <c r="AT1928" s="14"/>
      <c r="AU1928" s="14"/>
      <c r="AV1928" s="14"/>
      <c r="AW1928" s="14"/>
      <c r="AX1928" s="14"/>
      <c r="AY1928" s="14"/>
      <c r="AZ1928" s="14"/>
      <c r="BA1928" s="14"/>
      <c r="BB1928" s="7"/>
    </row>
    <row r="1929" spans="7:54" x14ac:dyDescent="0.15">
      <c r="G1929" s="7"/>
      <c r="H1929" s="16"/>
      <c r="I1929" s="16"/>
      <c r="J1929" s="16"/>
      <c r="K1929" s="16"/>
      <c r="L1929" s="16"/>
      <c r="M1929" s="16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  <c r="AB1929" s="24"/>
      <c r="AC1929" s="16"/>
      <c r="AD1929" s="16"/>
      <c r="AE1929" s="16"/>
      <c r="AF1929" s="16"/>
      <c r="AG1929" s="14"/>
      <c r="AH1929" s="14"/>
      <c r="AI1929" s="24"/>
      <c r="AJ1929" s="24"/>
      <c r="AK1929" s="24"/>
      <c r="AL1929" s="16"/>
      <c r="AM1929" s="16"/>
      <c r="AN1929" s="16"/>
      <c r="AO1929" s="16"/>
      <c r="AP1929" s="16"/>
      <c r="AQ1929" s="16"/>
      <c r="AR1929" s="16"/>
      <c r="AS1929" s="14"/>
      <c r="AT1929" s="14"/>
      <c r="AU1929" s="14"/>
      <c r="AV1929" s="14"/>
      <c r="AW1929" s="14"/>
      <c r="AX1929" s="14"/>
      <c r="AY1929" s="14"/>
      <c r="AZ1929" s="14"/>
      <c r="BA1929" s="14"/>
      <c r="BB1929" s="7"/>
    </row>
    <row r="1930" spans="7:54" x14ac:dyDescent="0.15">
      <c r="G1930" s="7"/>
      <c r="H1930" s="16"/>
      <c r="I1930" s="16"/>
      <c r="J1930" s="16"/>
      <c r="K1930" s="16"/>
      <c r="L1930" s="16"/>
      <c r="M1930" s="16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  <c r="AB1930" s="24"/>
      <c r="AC1930" s="16"/>
      <c r="AD1930" s="16"/>
      <c r="AE1930" s="16"/>
      <c r="AF1930" s="16"/>
      <c r="AG1930" s="14"/>
      <c r="AH1930" s="14"/>
      <c r="AI1930" s="24"/>
      <c r="AJ1930" s="24"/>
      <c r="AK1930" s="24"/>
      <c r="AL1930" s="16"/>
      <c r="AM1930" s="16"/>
      <c r="AN1930" s="16"/>
      <c r="AO1930" s="16"/>
      <c r="AP1930" s="16"/>
      <c r="AQ1930" s="16"/>
      <c r="AR1930" s="16"/>
      <c r="AS1930" s="14"/>
      <c r="AT1930" s="14"/>
      <c r="AU1930" s="14"/>
      <c r="AV1930" s="14"/>
      <c r="AW1930" s="14"/>
      <c r="AX1930" s="14"/>
      <c r="AY1930" s="14"/>
      <c r="AZ1930" s="14"/>
      <c r="BA1930" s="14"/>
      <c r="BB1930" s="7"/>
    </row>
    <row r="1931" spans="7:54" x14ac:dyDescent="0.15">
      <c r="G1931" s="7"/>
      <c r="H1931" s="16"/>
      <c r="I1931" s="16"/>
      <c r="J1931" s="16"/>
      <c r="K1931" s="16"/>
      <c r="L1931" s="16"/>
      <c r="M1931" s="16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24"/>
      <c r="AC1931" s="16"/>
      <c r="AD1931" s="16"/>
      <c r="AE1931" s="16"/>
      <c r="AF1931" s="16"/>
      <c r="AG1931" s="14"/>
      <c r="AH1931" s="14"/>
      <c r="AI1931" s="24"/>
      <c r="AJ1931" s="24"/>
      <c r="AK1931" s="24"/>
      <c r="AL1931" s="16"/>
      <c r="AM1931" s="16"/>
      <c r="AN1931" s="16"/>
      <c r="AO1931" s="16"/>
      <c r="AP1931" s="16"/>
      <c r="AQ1931" s="16"/>
      <c r="AR1931" s="16"/>
      <c r="AS1931" s="14"/>
      <c r="AT1931" s="14"/>
      <c r="AU1931" s="14"/>
      <c r="AV1931" s="14"/>
      <c r="AW1931" s="14"/>
      <c r="AX1931" s="14"/>
      <c r="AY1931" s="14"/>
      <c r="AZ1931" s="14"/>
      <c r="BA1931" s="14"/>
      <c r="BB1931" s="7"/>
    </row>
    <row r="1932" spans="7:54" x14ac:dyDescent="0.15">
      <c r="G1932" s="7"/>
      <c r="H1932" s="16"/>
      <c r="I1932" s="16"/>
      <c r="J1932" s="16"/>
      <c r="K1932" s="16"/>
      <c r="L1932" s="16"/>
      <c r="M1932" s="16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24"/>
      <c r="AC1932" s="16"/>
      <c r="AD1932" s="16"/>
      <c r="AE1932" s="16"/>
      <c r="AF1932" s="16"/>
      <c r="AG1932" s="14"/>
      <c r="AH1932" s="14"/>
      <c r="AI1932" s="24"/>
      <c r="AJ1932" s="24"/>
      <c r="AK1932" s="24"/>
      <c r="AL1932" s="16"/>
      <c r="AM1932" s="16"/>
      <c r="AN1932" s="16"/>
      <c r="AO1932" s="16"/>
      <c r="AP1932" s="16"/>
      <c r="AQ1932" s="16"/>
      <c r="AR1932" s="16"/>
      <c r="AS1932" s="14"/>
      <c r="AT1932" s="14"/>
      <c r="AU1932" s="14"/>
      <c r="AV1932" s="14"/>
      <c r="AW1932" s="14"/>
      <c r="AX1932" s="14"/>
      <c r="AY1932" s="14"/>
      <c r="AZ1932" s="14"/>
      <c r="BA1932" s="14"/>
      <c r="BB1932" s="7"/>
    </row>
    <row r="1933" spans="7:54" x14ac:dyDescent="0.15">
      <c r="G1933" s="7"/>
      <c r="H1933" s="16"/>
      <c r="I1933" s="16"/>
      <c r="J1933" s="16"/>
      <c r="K1933" s="16"/>
      <c r="L1933" s="16"/>
      <c r="M1933" s="16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  <c r="AB1933" s="24"/>
      <c r="AC1933" s="16"/>
      <c r="AD1933" s="16"/>
      <c r="AE1933" s="16"/>
      <c r="AF1933" s="16"/>
      <c r="AG1933" s="14"/>
      <c r="AH1933" s="14"/>
      <c r="AI1933" s="24"/>
      <c r="AJ1933" s="24"/>
      <c r="AK1933" s="24"/>
      <c r="AL1933" s="16"/>
      <c r="AM1933" s="16"/>
      <c r="AN1933" s="16"/>
      <c r="AO1933" s="16"/>
      <c r="AP1933" s="16"/>
      <c r="AQ1933" s="16"/>
      <c r="AR1933" s="16"/>
      <c r="AS1933" s="14"/>
      <c r="AT1933" s="14"/>
      <c r="AU1933" s="14"/>
      <c r="AV1933" s="14"/>
      <c r="AW1933" s="14"/>
      <c r="AX1933" s="14"/>
      <c r="AY1933" s="14"/>
      <c r="AZ1933" s="14"/>
      <c r="BA1933" s="14"/>
      <c r="BB1933" s="7"/>
    </row>
    <row r="1934" spans="7:54" x14ac:dyDescent="0.15">
      <c r="G1934" s="7"/>
      <c r="H1934" s="16"/>
      <c r="I1934" s="16"/>
      <c r="J1934" s="16"/>
      <c r="K1934" s="16"/>
      <c r="L1934" s="16"/>
      <c r="M1934" s="16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  <c r="AB1934" s="24"/>
      <c r="AC1934" s="16"/>
      <c r="AD1934" s="16"/>
      <c r="AE1934" s="16"/>
      <c r="AF1934" s="16"/>
      <c r="AG1934" s="14"/>
      <c r="AH1934" s="14"/>
      <c r="AI1934" s="24"/>
      <c r="AJ1934" s="24"/>
      <c r="AK1934" s="24"/>
      <c r="AL1934" s="16"/>
      <c r="AM1934" s="16"/>
      <c r="AN1934" s="16"/>
      <c r="AO1934" s="16"/>
      <c r="AP1934" s="16"/>
      <c r="AQ1934" s="16"/>
      <c r="AR1934" s="16"/>
      <c r="AS1934" s="14"/>
      <c r="AT1934" s="14"/>
      <c r="AU1934" s="14"/>
      <c r="AV1934" s="14"/>
      <c r="AW1934" s="14"/>
      <c r="AX1934" s="14"/>
      <c r="AY1934" s="14"/>
      <c r="AZ1934" s="14"/>
      <c r="BA1934" s="14"/>
      <c r="BB1934" s="7"/>
    </row>
    <row r="1935" spans="7:54" x14ac:dyDescent="0.15">
      <c r="G1935" s="7"/>
      <c r="H1935" s="16"/>
      <c r="I1935" s="16"/>
      <c r="J1935" s="16"/>
      <c r="K1935" s="16"/>
      <c r="L1935" s="16"/>
      <c r="M1935" s="16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  <c r="AB1935" s="24"/>
      <c r="AC1935" s="16"/>
      <c r="AD1935" s="16"/>
      <c r="AE1935" s="16"/>
      <c r="AF1935" s="16"/>
      <c r="AG1935" s="14"/>
      <c r="AH1935" s="14"/>
      <c r="AI1935" s="24"/>
      <c r="AJ1935" s="24"/>
      <c r="AK1935" s="24"/>
      <c r="AL1935" s="16"/>
      <c r="AM1935" s="16"/>
      <c r="AN1935" s="16"/>
      <c r="AO1935" s="16"/>
      <c r="AP1935" s="16"/>
      <c r="AQ1935" s="16"/>
      <c r="AR1935" s="16"/>
      <c r="AS1935" s="14"/>
      <c r="AT1935" s="14"/>
      <c r="AU1935" s="14"/>
      <c r="AV1935" s="14"/>
      <c r="AW1935" s="14"/>
      <c r="AX1935" s="14"/>
      <c r="AY1935" s="14"/>
      <c r="AZ1935" s="14"/>
      <c r="BA1935" s="14"/>
      <c r="BB1935" s="7"/>
    </row>
    <row r="1936" spans="7:54" x14ac:dyDescent="0.15">
      <c r="G1936" s="7"/>
      <c r="H1936" s="16"/>
      <c r="I1936" s="16"/>
      <c r="J1936" s="16"/>
      <c r="K1936" s="16"/>
      <c r="L1936" s="16"/>
      <c r="M1936" s="16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24"/>
      <c r="AC1936" s="16"/>
      <c r="AD1936" s="16"/>
      <c r="AE1936" s="16"/>
      <c r="AF1936" s="16"/>
      <c r="AG1936" s="14"/>
      <c r="AH1936" s="14"/>
      <c r="AI1936" s="24"/>
      <c r="AJ1936" s="24"/>
      <c r="AK1936" s="24"/>
      <c r="AL1936" s="16"/>
      <c r="AM1936" s="16"/>
      <c r="AN1936" s="16"/>
      <c r="AO1936" s="16"/>
      <c r="AP1936" s="16"/>
      <c r="AQ1936" s="16"/>
      <c r="AR1936" s="16"/>
      <c r="AS1936" s="14"/>
      <c r="AT1936" s="14"/>
      <c r="AU1936" s="14"/>
      <c r="AV1936" s="14"/>
      <c r="AW1936" s="14"/>
      <c r="AX1936" s="14"/>
      <c r="AY1936" s="14"/>
      <c r="AZ1936" s="14"/>
      <c r="BA1936" s="14"/>
      <c r="BB1936" s="7"/>
    </row>
    <row r="1937" spans="7:54" x14ac:dyDescent="0.15">
      <c r="G1937" s="7"/>
      <c r="H1937" s="16"/>
      <c r="I1937" s="16"/>
      <c r="J1937" s="16"/>
      <c r="K1937" s="16"/>
      <c r="L1937" s="16"/>
      <c r="M1937" s="16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24"/>
      <c r="AC1937" s="16"/>
      <c r="AD1937" s="16"/>
      <c r="AE1937" s="16"/>
      <c r="AF1937" s="16"/>
      <c r="AG1937" s="14"/>
      <c r="AH1937" s="14"/>
      <c r="AI1937" s="24"/>
      <c r="AJ1937" s="24"/>
      <c r="AK1937" s="24"/>
      <c r="AL1937" s="16"/>
      <c r="AM1937" s="16"/>
      <c r="AN1937" s="16"/>
      <c r="AO1937" s="16"/>
      <c r="AP1937" s="16"/>
      <c r="AQ1937" s="16"/>
      <c r="AR1937" s="16"/>
      <c r="AS1937" s="14"/>
      <c r="AT1937" s="14"/>
      <c r="AU1937" s="14"/>
      <c r="AV1937" s="14"/>
      <c r="AW1937" s="14"/>
      <c r="AX1937" s="14"/>
      <c r="AY1937" s="14"/>
      <c r="AZ1937" s="14"/>
      <c r="BA1937" s="14"/>
      <c r="BB1937" s="7"/>
    </row>
    <row r="1938" spans="7:54" x14ac:dyDescent="0.15">
      <c r="G1938" s="7"/>
      <c r="H1938" s="16"/>
      <c r="I1938" s="16"/>
      <c r="J1938" s="16"/>
      <c r="K1938" s="16"/>
      <c r="L1938" s="16"/>
      <c r="M1938" s="16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  <c r="AB1938" s="24"/>
      <c r="AC1938" s="16"/>
      <c r="AD1938" s="16"/>
      <c r="AE1938" s="16"/>
      <c r="AF1938" s="16"/>
      <c r="AG1938" s="14"/>
      <c r="AH1938" s="14"/>
      <c r="AI1938" s="24"/>
      <c r="AJ1938" s="24"/>
      <c r="AK1938" s="24"/>
      <c r="AL1938" s="16"/>
      <c r="AM1938" s="16"/>
      <c r="AN1938" s="16"/>
      <c r="AO1938" s="16"/>
      <c r="AP1938" s="16"/>
      <c r="AQ1938" s="16"/>
      <c r="AR1938" s="16"/>
      <c r="AS1938" s="14"/>
      <c r="AT1938" s="14"/>
      <c r="AU1938" s="14"/>
      <c r="AV1938" s="14"/>
      <c r="AW1938" s="14"/>
      <c r="AX1938" s="14"/>
      <c r="AY1938" s="14"/>
      <c r="AZ1938" s="14"/>
      <c r="BA1938" s="14"/>
      <c r="BB1938" s="7"/>
    </row>
    <row r="1939" spans="7:54" x14ac:dyDescent="0.15">
      <c r="G1939" s="7"/>
      <c r="H1939" s="16"/>
      <c r="I1939" s="16"/>
      <c r="J1939" s="16"/>
      <c r="K1939" s="16"/>
      <c r="L1939" s="16"/>
      <c r="M1939" s="16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  <c r="AB1939" s="24"/>
      <c r="AC1939" s="16"/>
      <c r="AD1939" s="16"/>
      <c r="AE1939" s="16"/>
      <c r="AF1939" s="16"/>
      <c r="AG1939" s="14"/>
      <c r="AH1939" s="14"/>
      <c r="AI1939" s="24"/>
      <c r="AJ1939" s="24"/>
      <c r="AK1939" s="24"/>
      <c r="AL1939" s="16"/>
      <c r="AM1939" s="16"/>
      <c r="AN1939" s="16"/>
      <c r="AO1939" s="16"/>
      <c r="AP1939" s="16"/>
      <c r="AQ1939" s="16"/>
      <c r="AR1939" s="16"/>
      <c r="AS1939" s="14"/>
      <c r="AT1939" s="14"/>
      <c r="AU1939" s="14"/>
      <c r="AV1939" s="14"/>
      <c r="AW1939" s="14"/>
      <c r="AX1939" s="14"/>
      <c r="AY1939" s="14"/>
      <c r="AZ1939" s="14"/>
      <c r="BA1939" s="14"/>
      <c r="BB1939" s="7"/>
    </row>
    <row r="1940" spans="7:54" x14ac:dyDescent="0.15">
      <c r="G1940" s="7"/>
      <c r="H1940" s="16"/>
      <c r="I1940" s="16"/>
      <c r="J1940" s="16"/>
      <c r="K1940" s="16"/>
      <c r="L1940" s="16"/>
      <c r="M1940" s="16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24"/>
      <c r="AC1940" s="16"/>
      <c r="AD1940" s="16"/>
      <c r="AE1940" s="16"/>
      <c r="AF1940" s="16"/>
      <c r="AG1940" s="14"/>
      <c r="AH1940" s="14"/>
      <c r="AI1940" s="24"/>
      <c r="AJ1940" s="24"/>
      <c r="AK1940" s="24"/>
      <c r="AL1940" s="16"/>
      <c r="AM1940" s="16"/>
      <c r="AN1940" s="16"/>
      <c r="AO1940" s="16"/>
      <c r="AP1940" s="16"/>
      <c r="AQ1940" s="16"/>
      <c r="AR1940" s="16"/>
      <c r="AS1940" s="14"/>
      <c r="AT1940" s="14"/>
      <c r="AU1940" s="14"/>
      <c r="AV1940" s="14"/>
      <c r="AW1940" s="14"/>
      <c r="AX1940" s="14"/>
      <c r="AY1940" s="14"/>
      <c r="AZ1940" s="14"/>
      <c r="BA1940" s="14"/>
      <c r="BB1940" s="7"/>
    </row>
    <row r="1941" spans="7:54" x14ac:dyDescent="0.15">
      <c r="G1941" s="7"/>
      <c r="H1941" s="16"/>
      <c r="I1941" s="16"/>
      <c r="J1941" s="16"/>
      <c r="K1941" s="16"/>
      <c r="L1941" s="16"/>
      <c r="M1941" s="16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24"/>
      <c r="AC1941" s="16"/>
      <c r="AD1941" s="16"/>
      <c r="AE1941" s="16"/>
      <c r="AF1941" s="16"/>
      <c r="AG1941" s="14"/>
      <c r="AH1941" s="14"/>
      <c r="AI1941" s="24"/>
      <c r="AJ1941" s="24"/>
      <c r="AK1941" s="24"/>
      <c r="AL1941" s="16"/>
      <c r="AM1941" s="16"/>
      <c r="AN1941" s="16"/>
      <c r="AO1941" s="16"/>
      <c r="AP1941" s="16"/>
      <c r="AQ1941" s="16"/>
      <c r="AR1941" s="16"/>
      <c r="AS1941" s="14"/>
      <c r="AT1941" s="14"/>
      <c r="AU1941" s="14"/>
      <c r="AV1941" s="14"/>
      <c r="AW1941" s="14"/>
      <c r="AX1941" s="14"/>
      <c r="AY1941" s="14"/>
      <c r="AZ1941" s="14"/>
      <c r="BA1941" s="14"/>
      <c r="BB1941" s="7"/>
    </row>
    <row r="1942" spans="7:54" x14ac:dyDescent="0.15">
      <c r="G1942" s="7"/>
      <c r="H1942" s="16"/>
      <c r="I1942" s="16"/>
      <c r="J1942" s="16"/>
      <c r="K1942" s="16"/>
      <c r="L1942" s="16"/>
      <c r="M1942" s="16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24"/>
      <c r="AC1942" s="16"/>
      <c r="AD1942" s="16"/>
      <c r="AE1942" s="16"/>
      <c r="AF1942" s="16"/>
      <c r="AG1942" s="14"/>
      <c r="AH1942" s="14"/>
      <c r="AI1942" s="24"/>
      <c r="AJ1942" s="24"/>
      <c r="AK1942" s="24"/>
      <c r="AL1942" s="16"/>
      <c r="AM1942" s="16"/>
      <c r="AN1942" s="16"/>
      <c r="AO1942" s="16"/>
      <c r="AP1942" s="16"/>
      <c r="AQ1942" s="16"/>
      <c r="AR1942" s="16"/>
      <c r="AS1942" s="14"/>
      <c r="AT1942" s="14"/>
      <c r="AU1942" s="14"/>
      <c r="AV1942" s="14"/>
      <c r="AW1942" s="14"/>
      <c r="AX1942" s="14"/>
      <c r="AY1942" s="14"/>
      <c r="AZ1942" s="14"/>
      <c r="BA1942" s="14"/>
      <c r="BB1942" s="7"/>
    </row>
    <row r="1943" spans="7:54" x14ac:dyDescent="0.15">
      <c r="G1943" s="7"/>
      <c r="H1943" s="16"/>
      <c r="I1943" s="16"/>
      <c r="J1943" s="16"/>
      <c r="K1943" s="16"/>
      <c r="L1943" s="16"/>
      <c r="M1943" s="16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  <c r="AB1943" s="24"/>
      <c r="AC1943" s="16"/>
      <c r="AD1943" s="16"/>
      <c r="AE1943" s="16"/>
      <c r="AF1943" s="16"/>
      <c r="AG1943" s="14"/>
      <c r="AH1943" s="14"/>
      <c r="AI1943" s="24"/>
      <c r="AJ1943" s="24"/>
      <c r="AK1943" s="24"/>
      <c r="AL1943" s="16"/>
      <c r="AM1943" s="16"/>
      <c r="AN1943" s="16"/>
      <c r="AO1943" s="16"/>
      <c r="AP1943" s="16"/>
      <c r="AQ1943" s="16"/>
      <c r="AR1943" s="16"/>
      <c r="AS1943" s="14"/>
      <c r="AT1943" s="14"/>
      <c r="AU1943" s="14"/>
      <c r="AV1943" s="14"/>
      <c r="AW1943" s="14"/>
      <c r="AX1943" s="14"/>
      <c r="AY1943" s="14"/>
      <c r="AZ1943" s="14"/>
      <c r="BA1943" s="14"/>
      <c r="BB1943" s="7"/>
    </row>
    <row r="1944" spans="7:54" x14ac:dyDescent="0.15">
      <c r="G1944" s="7"/>
      <c r="H1944" s="16"/>
      <c r="I1944" s="16"/>
      <c r="J1944" s="16"/>
      <c r="K1944" s="16"/>
      <c r="L1944" s="16"/>
      <c r="M1944" s="16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24"/>
      <c r="AC1944" s="16"/>
      <c r="AD1944" s="16"/>
      <c r="AE1944" s="16"/>
      <c r="AF1944" s="16"/>
      <c r="AG1944" s="14"/>
      <c r="AH1944" s="14"/>
      <c r="AI1944" s="24"/>
      <c r="AJ1944" s="24"/>
      <c r="AK1944" s="24"/>
      <c r="AL1944" s="16"/>
      <c r="AM1944" s="16"/>
      <c r="AN1944" s="16"/>
      <c r="AO1944" s="16"/>
      <c r="AP1944" s="16"/>
      <c r="AQ1944" s="16"/>
      <c r="AR1944" s="16"/>
      <c r="AS1944" s="14"/>
      <c r="AT1944" s="14"/>
      <c r="AU1944" s="14"/>
      <c r="AV1944" s="14"/>
      <c r="AW1944" s="14"/>
      <c r="AX1944" s="14"/>
      <c r="AY1944" s="14"/>
      <c r="AZ1944" s="14"/>
      <c r="BA1944" s="14"/>
      <c r="BB1944" s="7"/>
    </row>
    <row r="1945" spans="7:54" x14ac:dyDescent="0.15">
      <c r="G1945" s="7"/>
      <c r="H1945" s="16"/>
      <c r="I1945" s="16"/>
      <c r="J1945" s="16"/>
      <c r="K1945" s="16"/>
      <c r="L1945" s="16"/>
      <c r="M1945" s="16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24"/>
      <c r="AC1945" s="16"/>
      <c r="AD1945" s="16"/>
      <c r="AE1945" s="16"/>
      <c r="AF1945" s="16"/>
      <c r="AG1945" s="14"/>
      <c r="AH1945" s="14"/>
      <c r="AI1945" s="24"/>
      <c r="AJ1945" s="24"/>
      <c r="AK1945" s="24"/>
      <c r="AL1945" s="16"/>
      <c r="AM1945" s="16"/>
      <c r="AN1945" s="16"/>
      <c r="AO1945" s="16"/>
      <c r="AP1945" s="16"/>
      <c r="AQ1945" s="16"/>
      <c r="AR1945" s="16"/>
      <c r="AS1945" s="14"/>
      <c r="AT1945" s="14"/>
      <c r="AU1945" s="14"/>
      <c r="AV1945" s="14"/>
      <c r="AW1945" s="14"/>
      <c r="AX1945" s="14"/>
      <c r="AY1945" s="14"/>
      <c r="AZ1945" s="14"/>
      <c r="BA1945" s="14"/>
      <c r="BB1945" s="7"/>
    </row>
    <row r="1946" spans="7:54" x14ac:dyDescent="0.15">
      <c r="G1946" s="7"/>
      <c r="H1946" s="16"/>
      <c r="I1946" s="16"/>
      <c r="J1946" s="16"/>
      <c r="K1946" s="16"/>
      <c r="L1946" s="16"/>
      <c r="M1946" s="16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24"/>
      <c r="AC1946" s="16"/>
      <c r="AD1946" s="16"/>
      <c r="AE1946" s="16"/>
      <c r="AF1946" s="16"/>
      <c r="AG1946" s="14"/>
      <c r="AH1946" s="14"/>
      <c r="AI1946" s="24"/>
      <c r="AJ1946" s="24"/>
      <c r="AK1946" s="24"/>
      <c r="AL1946" s="16"/>
      <c r="AM1946" s="16"/>
      <c r="AN1946" s="16"/>
      <c r="AO1946" s="16"/>
      <c r="AP1946" s="16"/>
      <c r="AQ1946" s="16"/>
      <c r="AR1946" s="16"/>
      <c r="AS1946" s="14"/>
      <c r="AT1946" s="14"/>
      <c r="AU1946" s="14"/>
      <c r="AV1946" s="14"/>
      <c r="AW1946" s="14"/>
      <c r="AX1946" s="14"/>
      <c r="AY1946" s="14"/>
      <c r="AZ1946" s="14"/>
      <c r="BA1946" s="14"/>
      <c r="BB1946" s="7"/>
    </row>
    <row r="1947" spans="7:54" x14ac:dyDescent="0.15">
      <c r="G1947" s="7"/>
      <c r="H1947" s="16"/>
      <c r="I1947" s="16"/>
      <c r="J1947" s="16"/>
      <c r="K1947" s="16"/>
      <c r="L1947" s="16"/>
      <c r="M1947" s="16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24"/>
      <c r="AC1947" s="16"/>
      <c r="AD1947" s="16"/>
      <c r="AE1947" s="16"/>
      <c r="AF1947" s="16"/>
      <c r="AG1947" s="14"/>
      <c r="AH1947" s="14"/>
      <c r="AI1947" s="24"/>
      <c r="AJ1947" s="24"/>
      <c r="AK1947" s="24"/>
      <c r="AL1947" s="16"/>
      <c r="AM1947" s="16"/>
      <c r="AN1947" s="16"/>
      <c r="AO1947" s="16"/>
      <c r="AP1947" s="16"/>
      <c r="AQ1947" s="16"/>
      <c r="AR1947" s="16"/>
      <c r="AS1947" s="14"/>
      <c r="AT1947" s="14"/>
      <c r="AU1947" s="14"/>
      <c r="AV1947" s="14"/>
      <c r="AW1947" s="14"/>
      <c r="AX1947" s="14"/>
      <c r="AY1947" s="14"/>
      <c r="AZ1947" s="14"/>
      <c r="BA1947" s="14"/>
      <c r="BB1947" s="7"/>
    </row>
    <row r="1948" spans="7:54" x14ac:dyDescent="0.15">
      <c r="G1948" s="7"/>
      <c r="H1948" s="16"/>
      <c r="I1948" s="16"/>
      <c r="J1948" s="16"/>
      <c r="K1948" s="16"/>
      <c r="L1948" s="16"/>
      <c r="M1948" s="16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  <c r="AB1948" s="24"/>
      <c r="AC1948" s="16"/>
      <c r="AD1948" s="16"/>
      <c r="AE1948" s="16"/>
      <c r="AF1948" s="16"/>
      <c r="AG1948" s="14"/>
      <c r="AH1948" s="14"/>
      <c r="AI1948" s="24"/>
      <c r="AJ1948" s="24"/>
      <c r="AK1948" s="24"/>
      <c r="AL1948" s="16"/>
      <c r="AM1948" s="16"/>
      <c r="AN1948" s="16"/>
      <c r="AO1948" s="16"/>
      <c r="AP1948" s="16"/>
      <c r="AQ1948" s="16"/>
      <c r="AR1948" s="16"/>
      <c r="AS1948" s="14"/>
      <c r="AT1948" s="14"/>
      <c r="AU1948" s="14"/>
      <c r="AV1948" s="14"/>
      <c r="AW1948" s="14"/>
      <c r="AX1948" s="14"/>
      <c r="AY1948" s="14"/>
      <c r="AZ1948" s="14"/>
      <c r="BA1948" s="14"/>
      <c r="BB1948" s="7"/>
    </row>
    <row r="1949" spans="7:54" x14ac:dyDescent="0.15">
      <c r="G1949" s="7"/>
      <c r="H1949" s="16"/>
      <c r="I1949" s="16"/>
      <c r="J1949" s="16"/>
      <c r="K1949" s="16"/>
      <c r="L1949" s="16"/>
      <c r="M1949" s="16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  <c r="AB1949" s="24"/>
      <c r="AC1949" s="16"/>
      <c r="AD1949" s="16"/>
      <c r="AE1949" s="16"/>
      <c r="AF1949" s="16"/>
      <c r="AG1949" s="14"/>
      <c r="AH1949" s="14"/>
      <c r="AI1949" s="24"/>
      <c r="AJ1949" s="24"/>
      <c r="AK1949" s="24"/>
      <c r="AL1949" s="16"/>
      <c r="AM1949" s="16"/>
      <c r="AN1949" s="16"/>
      <c r="AO1949" s="16"/>
      <c r="AP1949" s="16"/>
      <c r="AQ1949" s="16"/>
      <c r="AR1949" s="16"/>
      <c r="AS1949" s="14"/>
      <c r="AT1949" s="14"/>
      <c r="AU1949" s="14"/>
      <c r="AV1949" s="14"/>
      <c r="AW1949" s="14"/>
      <c r="AX1949" s="14"/>
      <c r="AY1949" s="14"/>
      <c r="AZ1949" s="14"/>
      <c r="BA1949" s="14"/>
      <c r="BB1949" s="7"/>
    </row>
    <row r="1950" spans="7:54" x14ac:dyDescent="0.15">
      <c r="G1950" s="7"/>
      <c r="H1950" s="16"/>
      <c r="I1950" s="16"/>
      <c r="J1950" s="16"/>
      <c r="K1950" s="16"/>
      <c r="L1950" s="16"/>
      <c r="M1950" s="16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24"/>
      <c r="AC1950" s="16"/>
      <c r="AD1950" s="16"/>
      <c r="AE1950" s="16"/>
      <c r="AF1950" s="16"/>
      <c r="AG1950" s="14"/>
      <c r="AH1950" s="14"/>
      <c r="AI1950" s="24"/>
      <c r="AJ1950" s="24"/>
      <c r="AK1950" s="24"/>
      <c r="AL1950" s="16"/>
      <c r="AM1950" s="16"/>
      <c r="AN1950" s="16"/>
      <c r="AO1950" s="16"/>
      <c r="AP1950" s="16"/>
      <c r="AQ1950" s="16"/>
      <c r="AR1950" s="16"/>
      <c r="AS1950" s="14"/>
      <c r="AT1950" s="14"/>
      <c r="AU1950" s="14"/>
      <c r="AV1950" s="14"/>
      <c r="AW1950" s="14"/>
      <c r="AX1950" s="14"/>
      <c r="AY1950" s="14"/>
      <c r="AZ1950" s="14"/>
      <c r="BA1950" s="14"/>
      <c r="BB1950" s="7"/>
    </row>
    <row r="1951" spans="7:54" x14ac:dyDescent="0.15">
      <c r="G1951" s="7"/>
      <c r="H1951" s="16"/>
      <c r="I1951" s="16"/>
      <c r="J1951" s="16"/>
      <c r="K1951" s="16"/>
      <c r="L1951" s="16"/>
      <c r="M1951" s="16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24"/>
      <c r="AC1951" s="16"/>
      <c r="AD1951" s="16"/>
      <c r="AE1951" s="16"/>
      <c r="AF1951" s="16"/>
      <c r="AG1951" s="14"/>
      <c r="AH1951" s="14"/>
      <c r="AI1951" s="24"/>
      <c r="AJ1951" s="24"/>
      <c r="AK1951" s="24"/>
      <c r="AL1951" s="16"/>
      <c r="AM1951" s="16"/>
      <c r="AN1951" s="16"/>
      <c r="AO1951" s="16"/>
      <c r="AP1951" s="16"/>
      <c r="AQ1951" s="16"/>
      <c r="AR1951" s="16"/>
      <c r="AS1951" s="14"/>
      <c r="AT1951" s="14"/>
      <c r="AU1951" s="14"/>
      <c r="AV1951" s="14"/>
      <c r="AW1951" s="14"/>
      <c r="AX1951" s="14"/>
      <c r="AY1951" s="14"/>
      <c r="AZ1951" s="14"/>
      <c r="BA1951" s="14"/>
      <c r="BB1951" s="7"/>
    </row>
    <row r="1952" spans="7:54" x14ac:dyDescent="0.15">
      <c r="G1952" s="7"/>
      <c r="H1952" s="16"/>
      <c r="I1952" s="16"/>
      <c r="J1952" s="16"/>
      <c r="K1952" s="16"/>
      <c r="L1952" s="16"/>
      <c r="M1952" s="16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24"/>
      <c r="AC1952" s="16"/>
      <c r="AD1952" s="16"/>
      <c r="AE1952" s="16"/>
      <c r="AF1952" s="16"/>
      <c r="AG1952" s="14"/>
      <c r="AH1952" s="14"/>
      <c r="AI1952" s="24"/>
      <c r="AJ1952" s="24"/>
      <c r="AK1952" s="24"/>
      <c r="AL1952" s="16"/>
      <c r="AM1952" s="16"/>
      <c r="AN1952" s="16"/>
      <c r="AO1952" s="16"/>
      <c r="AP1952" s="16"/>
      <c r="AQ1952" s="16"/>
      <c r="AR1952" s="16"/>
      <c r="AS1952" s="14"/>
      <c r="AT1952" s="14"/>
      <c r="AU1952" s="14"/>
      <c r="AV1952" s="14"/>
      <c r="AW1952" s="14"/>
      <c r="AX1952" s="14"/>
      <c r="AY1952" s="14"/>
      <c r="AZ1952" s="14"/>
      <c r="BA1952" s="14"/>
      <c r="BB1952" s="7"/>
    </row>
    <row r="1953" spans="7:54" x14ac:dyDescent="0.15">
      <c r="G1953" s="7"/>
      <c r="H1953" s="16"/>
      <c r="I1953" s="16"/>
      <c r="J1953" s="16"/>
      <c r="K1953" s="16"/>
      <c r="L1953" s="16"/>
      <c r="M1953" s="16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  <c r="AB1953" s="24"/>
      <c r="AC1953" s="16"/>
      <c r="AD1953" s="16"/>
      <c r="AE1953" s="16"/>
      <c r="AF1953" s="16"/>
      <c r="AG1953" s="14"/>
      <c r="AH1953" s="14"/>
      <c r="AI1953" s="24"/>
      <c r="AJ1953" s="24"/>
      <c r="AK1953" s="24"/>
      <c r="AL1953" s="16"/>
      <c r="AM1953" s="16"/>
      <c r="AN1953" s="16"/>
      <c r="AO1953" s="16"/>
      <c r="AP1953" s="16"/>
      <c r="AQ1953" s="16"/>
      <c r="AR1953" s="16"/>
      <c r="AS1953" s="14"/>
      <c r="AT1953" s="14"/>
      <c r="AU1953" s="14"/>
      <c r="AV1953" s="14"/>
      <c r="AW1953" s="14"/>
      <c r="AX1953" s="14"/>
      <c r="AY1953" s="14"/>
      <c r="AZ1953" s="14"/>
      <c r="BA1953" s="14"/>
      <c r="BB1953" s="7"/>
    </row>
    <row r="1954" spans="7:54" x14ac:dyDescent="0.15">
      <c r="G1954" s="7"/>
      <c r="H1954" s="16"/>
      <c r="I1954" s="16"/>
      <c r="J1954" s="16"/>
      <c r="K1954" s="16"/>
      <c r="L1954" s="16"/>
      <c r="M1954" s="16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24"/>
      <c r="AC1954" s="16"/>
      <c r="AD1954" s="16"/>
      <c r="AE1954" s="16"/>
      <c r="AF1954" s="16"/>
      <c r="AG1954" s="14"/>
      <c r="AH1954" s="14"/>
      <c r="AI1954" s="24"/>
      <c r="AJ1954" s="24"/>
      <c r="AK1954" s="24"/>
      <c r="AL1954" s="16"/>
      <c r="AM1954" s="16"/>
      <c r="AN1954" s="16"/>
      <c r="AO1954" s="16"/>
      <c r="AP1954" s="16"/>
      <c r="AQ1954" s="16"/>
      <c r="AR1954" s="16"/>
      <c r="AS1954" s="14"/>
      <c r="AT1954" s="14"/>
      <c r="AU1954" s="14"/>
      <c r="AV1954" s="14"/>
      <c r="AW1954" s="14"/>
      <c r="AX1954" s="14"/>
      <c r="AY1954" s="14"/>
      <c r="AZ1954" s="14"/>
      <c r="BA1954" s="14"/>
      <c r="BB1954" s="7"/>
    </row>
    <row r="1955" spans="7:54" x14ac:dyDescent="0.15">
      <c r="G1955" s="7"/>
      <c r="H1955" s="16"/>
      <c r="I1955" s="16"/>
      <c r="J1955" s="16"/>
      <c r="K1955" s="16"/>
      <c r="L1955" s="16"/>
      <c r="M1955" s="16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24"/>
      <c r="AC1955" s="16"/>
      <c r="AD1955" s="16"/>
      <c r="AE1955" s="16"/>
      <c r="AF1955" s="16"/>
      <c r="AG1955" s="14"/>
      <c r="AH1955" s="14"/>
      <c r="AI1955" s="24"/>
      <c r="AJ1955" s="24"/>
      <c r="AK1955" s="24"/>
      <c r="AL1955" s="16"/>
      <c r="AM1955" s="16"/>
      <c r="AN1955" s="16"/>
      <c r="AO1955" s="16"/>
      <c r="AP1955" s="16"/>
      <c r="AQ1955" s="16"/>
      <c r="AR1955" s="16"/>
      <c r="AS1955" s="14"/>
      <c r="AT1955" s="14"/>
      <c r="AU1955" s="14"/>
      <c r="AV1955" s="14"/>
      <c r="AW1955" s="14"/>
      <c r="AX1955" s="14"/>
      <c r="AY1955" s="14"/>
      <c r="AZ1955" s="14"/>
      <c r="BA1955" s="14"/>
      <c r="BB1955" s="7"/>
    </row>
    <row r="1956" spans="7:54" x14ac:dyDescent="0.15">
      <c r="G1956" s="7"/>
      <c r="H1956" s="16"/>
      <c r="I1956" s="16"/>
      <c r="J1956" s="16"/>
      <c r="K1956" s="16"/>
      <c r="L1956" s="16"/>
      <c r="M1956" s="16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24"/>
      <c r="AC1956" s="16"/>
      <c r="AD1956" s="16"/>
      <c r="AE1956" s="16"/>
      <c r="AF1956" s="16"/>
      <c r="AG1956" s="14"/>
      <c r="AH1956" s="14"/>
      <c r="AI1956" s="24"/>
      <c r="AJ1956" s="24"/>
      <c r="AK1956" s="24"/>
      <c r="AL1956" s="16"/>
      <c r="AM1956" s="16"/>
      <c r="AN1956" s="16"/>
      <c r="AO1956" s="16"/>
      <c r="AP1956" s="16"/>
      <c r="AQ1956" s="16"/>
      <c r="AR1956" s="16"/>
      <c r="AS1956" s="14"/>
      <c r="AT1956" s="14"/>
      <c r="AU1956" s="14"/>
      <c r="AV1956" s="14"/>
      <c r="AW1956" s="14"/>
      <c r="AX1956" s="14"/>
      <c r="AY1956" s="14"/>
      <c r="AZ1956" s="14"/>
      <c r="BA1956" s="14"/>
      <c r="BB1956" s="7"/>
    </row>
    <row r="1957" spans="7:54" x14ac:dyDescent="0.15">
      <c r="G1957" s="7"/>
      <c r="H1957" s="16"/>
      <c r="I1957" s="16"/>
      <c r="J1957" s="16"/>
      <c r="K1957" s="16"/>
      <c r="L1957" s="16"/>
      <c r="M1957" s="16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24"/>
      <c r="AC1957" s="16"/>
      <c r="AD1957" s="16"/>
      <c r="AE1957" s="16"/>
      <c r="AF1957" s="16"/>
      <c r="AG1957" s="14"/>
      <c r="AH1957" s="14"/>
      <c r="AI1957" s="24"/>
      <c r="AJ1957" s="24"/>
      <c r="AK1957" s="24"/>
      <c r="AL1957" s="16"/>
      <c r="AM1957" s="16"/>
      <c r="AN1957" s="16"/>
      <c r="AO1957" s="16"/>
      <c r="AP1957" s="16"/>
      <c r="AQ1957" s="16"/>
      <c r="AR1957" s="16"/>
      <c r="AS1957" s="14"/>
      <c r="AT1957" s="14"/>
      <c r="AU1957" s="14"/>
      <c r="AV1957" s="14"/>
      <c r="AW1957" s="14"/>
      <c r="AX1957" s="14"/>
      <c r="AY1957" s="14"/>
      <c r="AZ1957" s="14"/>
      <c r="BA1957" s="14"/>
      <c r="BB1957" s="7"/>
    </row>
    <row r="1958" spans="7:54" x14ac:dyDescent="0.15">
      <c r="G1958" s="7"/>
      <c r="H1958" s="16"/>
      <c r="I1958" s="16"/>
      <c r="J1958" s="16"/>
      <c r="K1958" s="16"/>
      <c r="L1958" s="16"/>
      <c r="M1958" s="16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4"/>
      <c r="AB1958" s="24"/>
      <c r="AC1958" s="16"/>
      <c r="AD1958" s="16"/>
      <c r="AE1958" s="16"/>
      <c r="AF1958" s="16"/>
      <c r="AG1958" s="14"/>
      <c r="AH1958" s="14"/>
      <c r="AI1958" s="24"/>
      <c r="AJ1958" s="24"/>
      <c r="AK1958" s="24"/>
      <c r="AL1958" s="16"/>
      <c r="AM1958" s="16"/>
      <c r="AN1958" s="16"/>
      <c r="AO1958" s="16"/>
      <c r="AP1958" s="16"/>
      <c r="AQ1958" s="16"/>
      <c r="AR1958" s="16"/>
      <c r="AS1958" s="14"/>
      <c r="AT1958" s="14"/>
      <c r="AU1958" s="14"/>
      <c r="AV1958" s="14"/>
      <c r="AW1958" s="14"/>
      <c r="AX1958" s="14"/>
      <c r="AY1958" s="14"/>
      <c r="AZ1958" s="14"/>
      <c r="BA1958" s="14"/>
      <c r="BB1958" s="7"/>
    </row>
    <row r="1959" spans="7:54" x14ac:dyDescent="0.15">
      <c r="G1959" s="7"/>
      <c r="H1959" s="16"/>
      <c r="I1959" s="16"/>
      <c r="J1959" s="16"/>
      <c r="K1959" s="16"/>
      <c r="L1959" s="16"/>
      <c r="M1959" s="16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  <c r="AB1959" s="24"/>
      <c r="AC1959" s="16"/>
      <c r="AD1959" s="16"/>
      <c r="AE1959" s="16"/>
      <c r="AF1959" s="16"/>
      <c r="AG1959" s="14"/>
      <c r="AH1959" s="14"/>
      <c r="AI1959" s="24"/>
      <c r="AJ1959" s="24"/>
      <c r="AK1959" s="24"/>
      <c r="AL1959" s="16"/>
      <c r="AM1959" s="16"/>
      <c r="AN1959" s="16"/>
      <c r="AO1959" s="16"/>
      <c r="AP1959" s="16"/>
      <c r="AQ1959" s="16"/>
      <c r="AR1959" s="16"/>
      <c r="AS1959" s="14"/>
      <c r="AT1959" s="14"/>
      <c r="AU1959" s="14"/>
      <c r="AV1959" s="14"/>
      <c r="AW1959" s="14"/>
      <c r="AX1959" s="14"/>
      <c r="AY1959" s="14"/>
      <c r="AZ1959" s="14"/>
      <c r="BA1959" s="14"/>
      <c r="BB1959" s="7"/>
    </row>
    <row r="1960" spans="7:54" x14ac:dyDescent="0.15">
      <c r="G1960" s="7"/>
      <c r="H1960" s="16"/>
      <c r="I1960" s="16"/>
      <c r="J1960" s="16"/>
      <c r="K1960" s="16"/>
      <c r="L1960" s="16"/>
      <c r="M1960" s="16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  <c r="AB1960" s="24"/>
      <c r="AC1960" s="16"/>
      <c r="AD1960" s="16"/>
      <c r="AE1960" s="16"/>
      <c r="AF1960" s="16"/>
      <c r="AG1960" s="14"/>
      <c r="AH1960" s="14"/>
      <c r="AI1960" s="24"/>
      <c r="AJ1960" s="24"/>
      <c r="AK1960" s="24"/>
      <c r="AL1960" s="16"/>
      <c r="AM1960" s="16"/>
      <c r="AN1960" s="16"/>
      <c r="AO1960" s="16"/>
      <c r="AP1960" s="16"/>
      <c r="AQ1960" s="16"/>
      <c r="AR1960" s="16"/>
      <c r="AS1960" s="14"/>
      <c r="AT1960" s="14"/>
      <c r="AU1960" s="14"/>
      <c r="AV1960" s="14"/>
      <c r="AW1960" s="14"/>
      <c r="AX1960" s="14"/>
      <c r="AY1960" s="14"/>
      <c r="AZ1960" s="14"/>
      <c r="BA1960" s="14"/>
      <c r="BB1960" s="7"/>
    </row>
    <row r="1961" spans="7:54" x14ac:dyDescent="0.15">
      <c r="G1961" s="7"/>
      <c r="H1961" s="16"/>
      <c r="I1961" s="16"/>
      <c r="J1961" s="16"/>
      <c r="K1961" s="16"/>
      <c r="L1961" s="16"/>
      <c r="M1961" s="16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24"/>
      <c r="AC1961" s="16"/>
      <c r="AD1961" s="16"/>
      <c r="AE1961" s="16"/>
      <c r="AF1961" s="16"/>
      <c r="AG1961" s="14"/>
      <c r="AH1961" s="14"/>
      <c r="AI1961" s="24"/>
      <c r="AJ1961" s="24"/>
      <c r="AK1961" s="24"/>
      <c r="AL1961" s="16"/>
      <c r="AM1961" s="16"/>
      <c r="AN1961" s="16"/>
      <c r="AO1961" s="16"/>
      <c r="AP1961" s="16"/>
      <c r="AQ1961" s="16"/>
      <c r="AR1961" s="16"/>
      <c r="AS1961" s="14"/>
      <c r="AT1961" s="14"/>
      <c r="AU1961" s="14"/>
      <c r="AV1961" s="14"/>
      <c r="AW1961" s="14"/>
      <c r="AX1961" s="14"/>
      <c r="AY1961" s="14"/>
      <c r="AZ1961" s="14"/>
      <c r="BA1961" s="14"/>
      <c r="BB1961" s="7"/>
    </row>
    <row r="1962" spans="7:54" x14ac:dyDescent="0.15">
      <c r="G1962" s="7"/>
      <c r="H1962" s="16"/>
      <c r="I1962" s="16"/>
      <c r="J1962" s="16"/>
      <c r="K1962" s="16"/>
      <c r="L1962" s="16"/>
      <c r="M1962" s="16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24"/>
      <c r="AC1962" s="16"/>
      <c r="AD1962" s="16"/>
      <c r="AE1962" s="16"/>
      <c r="AF1962" s="16"/>
      <c r="AG1962" s="14"/>
      <c r="AH1962" s="14"/>
      <c r="AI1962" s="24"/>
      <c r="AJ1962" s="24"/>
      <c r="AK1962" s="24"/>
      <c r="AL1962" s="16"/>
      <c r="AM1962" s="16"/>
      <c r="AN1962" s="16"/>
      <c r="AO1962" s="16"/>
      <c r="AP1962" s="16"/>
      <c r="AQ1962" s="16"/>
      <c r="AR1962" s="16"/>
      <c r="AS1962" s="14"/>
      <c r="AT1962" s="14"/>
      <c r="AU1962" s="14"/>
      <c r="AV1962" s="14"/>
      <c r="AW1962" s="14"/>
      <c r="AX1962" s="14"/>
      <c r="AY1962" s="14"/>
      <c r="AZ1962" s="14"/>
      <c r="BA1962" s="14"/>
      <c r="BB1962" s="7"/>
    </row>
    <row r="1963" spans="7:54" x14ac:dyDescent="0.15">
      <c r="G1963" s="7"/>
      <c r="H1963" s="16"/>
      <c r="I1963" s="16"/>
      <c r="J1963" s="16"/>
      <c r="K1963" s="16"/>
      <c r="L1963" s="16"/>
      <c r="M1963" s="16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24"/>
      <c r="AC1963" s="16"/>
      <c r="AD1963" s="16"/>
      <c r="AE1963" s="16"/>
      <c r="AF1963" s="16"/>
      <c r="AG1963" s="14"/>
      <c r="AH1963" s="14"/>
      <c r="AI1963" s="24"/>
      <c r="AJ1963" s="24"/>
      <c r="AK1963" s="24"/>
      <c r="AL1963" s="16"/>
      <c r="AM1963" s="16"/>
      <c r="AN1963" s="16"/>
      <c r="AO1963" s="16"/>
      <c r="AP1963" s="16"/>
      <c r="AQ1963" s="16"/>
      <c r="AR1963" s="16"/>
      <c r="AS1963" s="14"/>
      <c r="AT1963" s="14"/>
      <c r="AU1963" s="14"/>
      <c r="AV1963" s="14"/>
      <c r="AW1963" s="14"/>
      <c r="AX1963" s="14"/>
      <c r="AY1963" s="14"/>
      <c r="AZ1963" s="14"/>
      <c r="BA1963" s="14"/>
      <c r="BB1963" s="7"/>
    </row>
    <row r="1964" spans="7:54" x14ac:dyDescent="0.15">
      <c r="G1964" s="7"/>
      <c r="H1964" s="16"/>
      <c r="I1964" s="16"/>
      <c r="J1964" s="16"/>
      <c r="K1964" s="16"/>
      <c r="L1964" s="16"/>
      <c r="M1964" s="16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24"/>
      <c r="AC1964" s="16"/>
      <c r="AD1964" s="16"/>
      <c r="AE1964" s="16"/>
      <c r="AF1964" s="16"/>
      <c r="AG1964" s="14"/>
      <c r="AH1964" s="14"/>
      <c r="AI1964" s="24"/>
      <c r="AJ1964" s="24"/>
      <c r="AK1964" s="24"/>
      <c r="AL1964" s="16"/>
      <c r="AM1964" s="16"/>
      <c r="AN1964" s="16"/>
      <c r="AO1964" s="16"/>
      <c r="AP1964" s="16"/>
      <c r="AQ1964" s="16"/>
      <c r="AR1964" s="16"/>
      <c r="AS1964" s="14"/>
      <c r="AT1964" s="14"/>
      <c r="AU1964" s="14"/>
      <c r="AV1964" s="14"/>
      <c r="AW1964" s="14"/>
      <c r="AX1964" s="14"/>
      <c r="AY1964" s="14"/>
      <c r="AZ1964" s="14"/>
      <c r="BA1964" s="14"/>
      <c r="BB1964" s="7"/>
    </row>
    <row r="1965" spans="7:54" x14ac:dyDescent="0.15">
      <c r="G1965" s="7"/>
      <c r="H1965" s="16"/>
      <c r="I1965" s="16"/>
      <c r="J1965" s="16"/>
      <c r="K1965" s="16"/>
      <c r="L1965" s="16"/>
      <c r="M1965" s="16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24"/>
      <c r="AC1965" s="16"/>
      <c r="AD1965" s="16"/>
      <c r="AE1965" s="16"/>
      <c r="AF1965" s="16"/>
      <c r="AG1965" s="14"/>
      <c r="AH1965" s="14"/>
      <c r="AI1965" s="24"/>
      <c r="AJ1965" s="24"/>
      <c r="AK1965" s="24"/>
      <c r="AL1965" s="16"/>
      <c r="AM1965" s="16"/>
      <c r="AN1965" s="16"/>
      <c r="AO1965" s="16"/>
      <c r="AP1965" s="16"/>
      <c r="AQ1965" s="16"/>
      <c r="AR1965" s="16"/>
      <c r="AS1965" s="14"/>
      <c r="AT1965" s="14"/>
      <c r="AU1965" s="14"/>
      <c r="AV1965" s="14"/>
      <c r="AW1965" s="14"/>
      <c r="AX1965" s="14"/>
      <c r="AY1965" s="14"/>
      <c r="AZ1965" s="14"/>
      <c r="BA1965" s="14"/>
      <c r="BB1965" s="7"/>
    </row>
    <row r="1966" spans="7:54" x14ac:dyDescent="0.15">
      <c r="G1966" s="7"/>
      <c r="H1966" s="16"/>
      <c r="I1966" s="16"/>
      <c r="J1966" s="16"/>
      <c r="K1966" s="16"/>
      <c r="L1966" s="16"/>
      <c r="M1966" s="16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24"/>
      <c r="AC1966" s="16"/>
      <c r="AD1966" s="16"/>
      <c r="AE1966" s="16"/>
      <c r="AF1966" s="16"/>
      <c r="AG1966" s="14"/>
      <c r="AH1966" s="14"/>
      <c r="AI1966" s="24"/>
      <c r="AJ1966" s="24"/>
      <c r="AK1966" s="24"/>
      <c r="AL1966" s="16"/>
      <c r="AM1966" s="16"/>
      <c r="AN1966" s="16"/>
      <c r="AO1966" s="16"/>
      <c r="AP1966" s="16"/>
      <c r="AQ1966" s="16"/>
      <c r="AR1966" s="16"/>
      <c r="AS1966" s="14"/>
      <c r="AT1966" s="14"/>
      <c r="AU1966" s="14"/>
      <c r="AV1966" s="14"/>
      <c r="AW1966" s="14"/>
      <c r="AX1966" s="14"/>
      <c r="AY1966" s="14"/>
      <c r="AZ1966" s="14"/>
      <c r="BA1966" s="14"/>
      <c r="BB1966" s="7"/>
    </row>
    <row r="1967" spans="7:54" x14ac:dyDescent="0.15">
      <c r="G1967" s="7"/>
      <c r="H1967" s="16"/>
      <c r="I1967" s="16"/>
      <c r="J1967" s="16"/>
      <c r="K1967" s="16"/>
      <c r="L1967" s="16"/>
      <c r="M1967" s="16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24"/>
      <c r="AC1967" s="16"/>
      <c r="AD1967" s="16"/>
      <c r="AE1967" s="16"/>
      <c r="AF1967" s="16"/>
      <c r="AG1967" s="14"/>
      <c r="AH1967" s="14"/>
      <c r="AI1967" s="24"/>
      <c r="AJ1967" s="24"/>
      <c r="AK1967" s="24"/>
      <c r="AL1967" s="16"/>
      <c r="AM1967" s="16"/>
      <c r="AN1967" s="16"/>
      <c r="AO1967" s="16"/>
      <c r="AP1967" s="16"/>
      <c r="AQ1967" s="16"/>
      <c r="AR1967" s="16"/>
      <c r="AS1967" s="14"/>
      <c r="AT1967" s="14"/>
      <c r="AU1967" s="14"/>
      <c r="AV1967" s="14"/>
      <c r="AW1967" s="14"/>
      <c r="AX1967" s="14"/>
      <c r="AY1967" s="14"/>
      <c r="AZ1967" s="14"/>
      <c r="BA1967" s="14"/>
      <c r="BB1967" s="7"/>
    </row>
    <row r="1968" spans="7:54" x14ac:dyDescent="0.15">
      <c r="G1968" s="7"/>
      <c r="H1968" s="16"/>
      <c r="I1968" s="16"/>
      <c r="J1968" s="16"/>
      <c r="K1968" s="16"/>
      <c r="L1968" s="16"/>
      <c r="M1968" s="16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  <c r="AB1968" s="24"/>
      <c r="AC1968" s="16"/>
      <c r="AD1968" s="16"/>
      <c r="AE1968" s="16"/>
      <c r="AF1968" s="16"/>
      <c r="AG1968" s="14"/>
      <c r="AH1968" s="14"/>
      <c r="AI1968" s="24"/>
      <c r="AJ1968" s="24"/>
      <c r="AK1968" s="24"/>
      <c r="AL1968" s="16"/>
      <c r="AM1968" s="16"/>
      <c r="AN1968" s="16"/>
      <c r="AO1968" s="16"/>
      <c r="AP1968" s="16"/>
      <c r="AQ1968" s="16"/>
      <c r="AR1968" s="16"/>
      <c r="AS1968" s="14"/>
      <c r="AT1968" s="14"/>
      <c r="AU1968" s="14"/>
      <c r="AV1968" s="14"/>
      <c r="AW1968" s="14"/>
      <c r="AX1968" s="14"/>
      <c r="AY1968" s="14"/>
      <c r="AZ1968" s="14"/>
      <c r="BA1968" s="14"/>
      <c r="BB1968" s="7"/>
    </row>
    <row r="1969" spans="7:54" x14ac:dyDescent="0.15">
      <c r="G1969" s="7"/>
      <c r="H1969" s="16"/>
      <c r="I1969" s="16"/>
      <c r="J1969" s="16"/>
      <c r="K1969" s="16"/>
      <c r="L1969" s="16"/>
      <c r="M1969" s="16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  <c r="AB1969" s="24"/>
      <c r="AC1969" s="16"/>
      <c r="AD1969" s="16"/>
      <c r="AE1969" s="16"/>
      <c r="AF1969" s="16"/>
      <c r="AG1969" s="14"/>
      <c r="AH1969" s="14"/>
      <c r="AI1969" s="24"/>
      <c r="AJ1969" s="24"/>
      <c r="AK1969" s="24"/>
      <c r="AL1969" s="16"/>
      <c r="AM1969" s="16"/>
      <c r="AN1969" s="16"/>
      <c r="AO1969" s="16"/>
      <c r="AP1969" s="16"/>
      <c r="AQ1969" s="16"/>
      <c r="AR1969" s="16"/>
      <c r="AS1969" s="14"/>
      <c r="AT1969" s="14"/>
      <c r="AU1969" s="14"/>
      <c r="AV1969" s="14"/>
      <c r="AW1969" s="14"/>
      <c r="AX1969" s="14"/>
      <c r="AY1969" s="14"/>
      <c r="AZ1969" s="14"/>
      <c r="BA1969" s="14"/>
      <c r="BB1969" s="7"/>
    </row>
    <row r="1970" spans="7:54" x14ac:dyDescent="0.15">
      <c r="G1970" s="7"/>
      <c r="H1970" s="16"/>
      <c r="I1970" s="16"/>
      <c r="J1970" s="16"/>
      <c r="K1970" s="16"/>
      <c r="L1970" s="16"/>
      <c r="M1970" s="16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24"/>
      <c r="AC1970" s="16"/>
      <c r="AD1970" s="16"/>
      <c r="AE1970" s="16"/>
      <c r="AF1970" s="16"/>
      <c r="AG1970" s="14"/>
      <c r="AH1970" s="14"/>
      <c r="AI1970" s="24"/>
      <c r="AJ1970" s="24"/>
      <c r="AK1970" s="24"/>
      <c r="AL1970" s="16"/>
      <c r="AM1970" s="16"/>
      <c r="AN1970" s="16"/>
      <c r="AO1970" s="16"/>
      <c r="AP1970" s="16"/>
      <c r="AQ1970" s="16"/>
      <c r="AR1970" s="16"/>
      <c r="AS1970" s="14"/>
      <c r="AT1970" s="14"/>
      <c r="AU1970" s="14"/>
      <c r="AV1970" s="14"/>
      <c r="AW1970" s="14"/>
      <c r="AX1970" s="14"/>
      <c r="AY1970" s="14"/>
      <c r="AZ1970" s="14"/>
      <c r="BA1970" s="14"/>
      <c r="BB1970" s="7"/>
    </row>
    <row r="1971" spans="7:54" x14ac:dyDescent="0.15">
      <c r="G1971" s="7"/>
      <c r="H1971" s="16"/>
      <c r="I1971" s="16"/>
      <c r="J1971" s="16"/>
      <c r="K1971" s="16"/>
      <c r="L1971" s="16"/>
      <c r="M1971" s="16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24"/>
      <c r="AC1971" s="16"/>
      <c r="AD1971" s="16"/>
      <c r="AE1971" s="16"/>
      <c r="AF1971" s="16"/>
      <c r="AG1971" s="14"/>
      <c r="AH1971" s="14"/>
      <c r="AI1971" s="24"/>
      <c r="AJ1971" s="24"/>
      <c r="AK1971" s="24"/>
      <c r="AL1971" s="16"/>
      <c r="AM1971" s="16"/>
      <c r="AN1971" s="16"/>
      <c r="AO1971" s="16"/>
      <c r="AP1971" s="16"/>
      <c r="AQ1971" s="16"/>
      <c r="AR1971" s="16"/>
      <c r="AS1971" s="14"/>
      <c r="AT1971" s="14"/>
      <c r="AU1971" s="14"/>
      <c r="AV1971" s="14"/>
      <c r="AW1971" s="14"/>
      <c r="AX1971" s="14"/>
      <c r="AY1971" s="14"/>
      <c r="AZ1971" s="14"/>
      <c r="BA1971" s="14"/>
      <c r="BB1971" s="7"/>
    </row>
    <row r="1972" spans="7:54" x14ac:dyDescent="0.15">
      <c r="G1972" s="7"/>
      <c r="H1972" s="16"/>
      <c r="I1972" s="16"/>
      <c r="J1972" s="16"/>
      <c r="K1972" s="16"/>
      <c r="L1972" s="16"/>
      <c r="M1972" s="16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24"/>
      <c r="AC1972" s="16"/>
      <c r="AD1972" s="16"/>
      <c r="AE1972" s="16"/>
      <c r="AF1972" s="16"/>
      <c r="AG1972" s="14"/>
      <c r="AH1972" s="14"/>
      <c r="AI1972" s="24"/>
      <c r="AJ1972" s="24"/>
      <c r="AK1972" s="24"/>
      <c r="AL1972" s="16"/>
      <c r="AM1972" s="16"/>
      <c r="AN1972" s="16"/>
      <c r="AO1972" s="16"/>
      <c r="AP1972" s="16"/>
      <c r="AQ1972" s="16"/>
      <c r="AR1972" s="16"/>
      <c r="AS1972" s="14"/>
      <c r="AT1972" s="14"/>
      <c r="AU1972" s="14"/>
      <c r="AV1972" s="14"/>
      <c r="AW1972" s="14"/>
      <c r="AX1972" s="14"/>
      <c r="AY1972" s="14"/>
      <c r="AZ1972" s="14"/>
      <c r="BA1972" s="14"/>
      <c r="BB1972" s="7"/>
    </row>
    <row r="1973" spans="7:54" x14ac:dyDescent="0.15">
      <c r="G1973" s="7"/>
      <c r="H1973" s="16"/>
      <c r="I1973" s="16"/>
      <c r="J1973" s="16"/>
      <c r="K1973" s="16"/>
      <c r="L1973" s="16"/>
      <c r="M1973" s="16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24"/>
      <c r="AC1973" s="16"/>
      <c r="AD1973" s="16"/>
      <c r="AE1973" s="16"/>
      <c r="AF1973" s="16"/>
      <c r="AG1973" s="14"/>
      <c r="AH1973" s="14"/>
      <c r="AI1973" s="24"/>
      <c r="AJ1973" s="24"/>
      <c r="AK1973" s="24"/>
      <c r="AL1973" s="16"/>
      <c r="AM1973" s="16"/>
      <c r="AN1973" s="16"/>
      <c r="AO1973" s="16"/>
      <c r="AP1973" s="16"/>
      <c r="AQ1973" s="16"/>
      <c r="AR1973" s="16"/>
      <c r="AS1973" s="14"/>
      <c r="AT1973" s="14"/>
      <c r="AU1973" s="14"/>
      <c r="AV1973" s="14"/>
      <c r="AW1973" s="14"/>
      <c r="AX1973" s="14"/>
      <c r="AY1973" s="14"/>
      <c r="AZ1973" s="14"/>
      <c r="BA1973" s="14"/>
      <c r="BB1973" s="7"/>
    </row>
    <row r="1974" spans="7:54" x14ac:dyDescent="0.15">
      <c r="G1974" s="7"/>
      <c r="H1974" s="16"/>
      <c r="I1974" s="16"/>
      <c r="J1974" s="16"/>
      <c r="K1974" s="16"/>
      <c r="L1974" s="16"/>
      <c r="M1974" s="16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24"/>
      <c r="AC1974" s="16"/>
      <c r="AD1974" s="16"/>
      <c r="AE1974" s="16"/>
      <c r="AF1974" s="16"/>
      <c r="AG1974" s="14"/>
      <c r="AH1974" s="14"/>
      <c r="AI1974" s="24"/>
      <c r="AJ1974" s="24"/>
      <c r="AK1974" s="24"/>
      <c r="AL1974" s="16"/>
      <c r="AM1974" s="16"/>
      <c r="AN1974" s="16"/>
      <c r="AO1974" s="16"/>
      <c r="AP1974" s="16"/>
      <c r="AQ1974" s="16"/>
      <c r="AR1974" s="16"/>
      <c r="AS1974" s="14"/>
      <c r="AT1974" s="14"/>
      <c r="AU1974" s="14"/>
      <c r="AV1974" s="14"/>
      <c r="AW1974" s="14"/>
      <c r="AX1974" s="14"/>
      <c r="AY1974" s="14"/>
      <c r="AZ1974" s="14"/>
      <c r="BA1974" s="14"/>
      <c r="BB1974" s="7"/>
    </row>
    <row r="1975" spans="7:54" x14ac:dyDescent="0.15">
      <c r="G1975" s="7"/>
      <c r="H1975" s="16"/>
      <c r="I1975" s="16"/>
      <c r="J1975" s="16"/>
      <c r="K1975" s="16"/>
      <c r="L1975" s="16"/>
      <c r="M1975" s="16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  <c r="AB1975" s="24"/>
      <c r="AC1975" s="16"/>
      <c r="AD1975" s="16"/>
      <c r="AE1975" s="16"/>
      <c r="AF1975" s="16"/>
      <c r="AG1975" s="14"/>
      <c r="AH1975" s="14"/>
      <c r="AI1975" s="24"/>
      <c r="AJ1975" s="24"/>
      <c r="AK1975" s="24"/>
      <c r="AL1975" s="16"/>
      <c r="AM1975" s="16"/>
      <c r="AN1975" s="16"/>
      <c r="AO1975" s="16"/>
      <c r="AP1975" s="16"/>
      <c r="AQ1975" s="16"/>
      <c r="AR1975" s="16"/>
      <c r="AS1975" s="14"/>
      <c r="AT1975" s="14"/>
      <c r="AU1975" s="14"/>
      <c r="AV1975" s="14"/>
      <c r="AW1975" s="14"/>
      <c r="AX1975" s="14"/>
      <c r="AY1975" s="14"/>
      <c r="AZ1975" s="14"/>
      <c r="BA1975" s="14"/>
      <c r="BB1975" s="7"/>
    </row>
    <row r="1976" spans="7:54" x14ac:dyDescent="0.15">
      <c r="G1976" s="7"/>
      <c r="H1976" s="16"/>
      <c r="I1976" s="16"/>
      <c r="J1976" s="16"/>
      <c r="K1976" s="16"/>
      <c r="L1976" s="16"/>
      <c r="M1976" s="16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24"/>
      <c r="AC1976" s="16"/>
      <c r="AD1976" s="16"/>
      <c r="AE1976" s="16"/>
      <c r="AF1976" s="16"/>
      <c r="AG1976" s="14"/>
      <c r="AH1976" s="14"/>
      <c r="AI1976" s="24"/>
      <c r="AJ1976" s="24"/>
      <c r="AK1976" s="24"/>
      <c r="AL1976" s="16"/>
      <c r="AM1976" s="16"/>
      <c r="AN1976" s="16"/>
      <c r="AO1976" s="16"/>
      <c r="AP1976" s="16"/>
      <c r="AQ1976" s="16"/>
      <c r="AR1976" s="16"/>
      <c r="AS1976" s="14"/>
      <c r="AT1976" s="14"/>
      <c r="AU1976" s="14"/>
      <c r="AV1976" s="14"/>
      <c r="AW1976" s="14"/>
      <c r="AX1976" s="14"/>
      <c r="AY1976" s="14"/>
      <c r="AZ1976" s="14"/>
      <c r="BA1976" s="14"/>
      <c r="BB1976" s="7"/>
    </row>
    <row r="1977" spans="7:54" x14ac:dyDescent="0.15">
      <c r="G1977" s="7"/>
      <c r="H1977" s="16"/>
      <c r="I1977" s="16"/>
      <c r="J1977" s="16"/>
      <c r="K1977" s="16"/>
      <c r="L1977" s="16"/>
      <c r="M1977" s="16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24"/>
      <c r="AC1977" s="16"/>
      <c r="AD1977" s="16"/>
      <c r="AE1977" s="16"/>
      <c r="AF1977" s="16"/>
      <c r="AG1977" s="14"/>
      <c r="AH1977" s="14"/>
      <c r="AI1977" s="24"/>
      <c r="AJ1977" s="24"/>
      <c r="AK1977" s="24"/>
      <c r="AL1977" s="16"/>
      <c r="AM1977" s="16"/>
      <c r="AN1977" s="16"/>
      <c r="AO1977" s="16"/>
      <c r="AP1977" s="16"/>
      <c r="AQ1977" s="16"/>
      <c r="AR1977" s="16"/>
      <c r="AS1977" s="14"/>
      <c r="AT1977" s="14"/>
      <c r="AU1977" s="14"/>
      <c r="AV1977" s="14"/>
      <c r="AW1977" s="14"/>
      <c r="AX1977" s="14"/>
      <c r="AY1977" s="14"/>
      <c r="AZ1977" s="14"/>
      <c r="BA1977" s="14"/>
      <c r="BB1977" s="7"/>
    </row>
    <row r="1978" spans="7:54" x14ac:dyDescent="0.15">
      <c r="G1978" s="7"/>
      <c r="H1978" s="16"/>
      <c r="I1978" s="16"/>
      <c r="J1978" s="16"/>
      <c r="K1978" s="16"/>
      <c r="L1978" s="16"/>
      <c r="M1978" s="16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  <c r="AB1978" s="24"/>
      <c r="AC1978" s="16"/>
      <c r="AD1978" s="16"/>
      <c r="AE1978" s="16"/>
      <c r="AF1978" s="16"/>
      <c r="AG1978" s="14"/>
      <c r="AH1978" s="14"/>
      <c r="AI1978" s="24"/>
      <c r="AJ1978" s="24"/>
      <c r="AK1978" s="24"/>
      <c r="AL1978" s="16"/>
      <c r="AM1978" s="16"/>
      <c r="AN1978" s="16"/>
      <c r="AO1978" s="16"/>
      <c r="AP1978" s="16"/>
      <c r="AQ1978" s="16"/>
      <c r="AR1978" s="16"/>
      <c r="AS1978" s="14"/>
      <c r="AT1978" s="14"/>
      <c r="AU1978" s="14"/>
      <c r="AV1978" s="14"/>
      <c r="AW1978" s="14"/>
      <c r="AX1978" s="14"/>
      <c r="AY1978" s="14"/>
      <c r="AZ1978" s="14"/>
      <c r="BA1978" s="14"/>
      <c r="BB1978" s="7"/>
    </row>
    <row r="1979" spans="7:54" x14ac:dyDescent="0.15">
      <c r="G1979" s="7"/>
      <c r="H1979" s="16"/>
      <c r="I1979" s="16"/>
      <c r="J1979" s="16"/>
      <c r="K1979" s="16"/>
      <c r="L1979" s="16"/>
      <c r="M1979" s="16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14"/>
      <c r="AB1979" s="24"/>
      <c r="AC1979" s="16"/>
      <c r="AD1979" s="16"/>
      <c r="AE1979" s="16"/>
      <c r="AF1979" s="16"/>
      <c r="AG1979" s="14"/>
      <c r="AH1979" s="14"/>
      <c r="AI1979" s="24"/>
      <c r="AJ1979" s="24"/>
      <c r="AK1979" s="24"/>
      <c r="AL1979" s="16"/>
      <c r="AM1979" s="16"/>
      <c r="AN1979" s="16"/>
      <c r="AO1979" s="16"/>
      <c r="AP1979" s="16"/>
      <c r="AQ1979" s="16"/>
      <c r="AR1979" s="16"/>
      <c r="AS1979" s="14"/>
      <c r="AT1979" s="14"/>
      <c r="AU1979" s="14"/>
      <c r="AV1979" s="14"/>
      <c r="AW1979" s="14"/>
      <c r="AX1979" s="14"/>
      <c r="AY1979" s="14"/>
      <c r="AZ1979" s="14"/>
      <c r="BA1979" s="14"/>
      <c r="BB1979" s="7"/>
    </row>
    <row r="1980" spans="7:54" x14ac:dyDescent="0.15">
      <c r="G1980" s="7"/>
      <c r="H1980" s="16"/>
      <c r="I1980" s="16"/>
      <c r="J1980" s="16"/>
      <c r="K1980" s="16"/>
      <c r="L1980" s="16"/>
      <c r="M1980" s="16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24"/>
      <c r="AC1980" s="16"/>
      <c r="AD1980" s="16"/>
      <c r="AE1980" s="16"/>
      <c r="AF1980" s="16"/>
      <c r="AG1980" s="14"/>
      <c r="AH1980" s="14"/>
      <c r="AI1980" s="24"/>
      <c r="AJ1980" s="24"/>
      <c r="AK1980" s="24"/>
      <c r="AL1980" s="16"/>
      <c r="AM1980" s="16"/>
      <c r="AN1980" s="16"/>
      <c r="AO1980" s="16"/>
      <c r="AP1980" s="16"/>
      <c r="AQ1980" s="16"/>
      <c r="AR1980" s="16"/>
      <c r="AS1980" s="14"/>
      <c r="AT1980" s="14"/>
      <c r="AU1980" s="14"/>
      <c r="AV1980" s="14"/>
      <c r="AW1980" s="14"/>
      <c r="AX1980" s="14"/>
      <c r="AY1980" s="14"/>
      <c r="AZ1980" s="14"/>
      <c r="BA1980" s="14"/>
      <c r="BB1980" s="7"/>
    </row>
    <row r="1981" spans="7:54" x14ac:dyDescent="0.15">
      <c r="G1981" s="7"/>
      <c r="H1981" s="16"/>
      <c r="I1981" s="16"/>
      <c r="J1981" s="16"/>
      <c r="K1981" s="16"/>
      <c r="L1981" s="16"/>
      <c r="M1981" s="16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24"/>
      <c r="AC1981" s="16"/>
      <c r="AD1981" s="16"/>
      <c r="AE1981" s="16"/>
      <c r="AF1981" s="16"/>
      <c r="AG1981" s="14"/>
      <c r="AH1981" s="14"/>
      <c r="AI1981" s="24"/>
      <c r="AJ1981" s="24"/>
      <c r="AK1981" s="24"/>
      <c r="AL1981" s="16"/>
      <c r="AM1981" s="16"/>
      <c r="AN1981" s="16"/>
      <c r="AO1981" s="16"/>
      <c r="AP1981" s="16"/>
      <c r="AQ1981" s="16"/>
      <c r="AR1981" s="16"/>
      <c r="AS1981" s="14"/>
      <c r="AT1981" s="14"/>
      <c r="AU1981" s="14"/>
      <c r="AV1981" s="14"/>
      <c r="AW1981" s="14"/>
      <c r="AX1981" s="14"/>
      <c r="AY1981" s="14"/>
      <c r="AZ1981" s="14"/>
      <c r="BA1981" s="14"/>
      <c r="BB1981" s="7"/>
    </row>
    <row r="1982" spans="7:54" x14ac:dyDescent="0.15">
      <c r="G1982" s="7"/>
      <c r="H1982" s="16"/>
      <c r="I1982" s="16"/>
      <c r="J1982" s="16"/>
      <c r="K1982" s="16"/>
      <c r="L1982" s="16"/>
      <c r="M1982" s="16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24"/>
      <c r="AC1982" s="16"/>
      <c r="AD1982" s="16"/>
      <c r="AE1982" s="16"/>
      <c r="AF1982" s="16"/>
      <c r="AG1982" s="14"/>
      <c r="AH1982" s="14"/>
      <c r="AI1982" s="24"/>
      <c r="AJ1982" s="24"/>
      <c r="AK1982" s="24"/>
      <c r="AL1982" s="16"/>
      <c r="AM1982" s="16"/>
      <c r="AN1982" s="16"/>
      <c r="AO1982" s="16"/>
      <c r="AP1982" s="16"/>
      <c r="AQ1982" s="16"/>
      <c r="AR1982" s="16"/>
      <c r="AS1982" s="14"/>
      <c r="AT1982" s="14"/>
      <c r="AU1982" s="14"/>
      <c r="AV1982" s="14"/>
      <c r="AW1982" s="14"/>
      <c r="AX1982" s="14"/>
      <c r="AY1982" s="14"/>
      <c r="AZ1982" s="14"/>
      <c r="BA1982" s="14"/>
      <c r="BB1982" s="7"/>
    </row>
    <row r="1983" spans="7:54" x14ac:dyDescent="0.15">
      <c r="G1983" s="7"/>
      <c r="H1983" s="16"/>
      <c r="I1983" s="16"/>
      <c r="J1983" s="16"/>
      <c r="K1983" s="16"/>
      <c r="L1983" s="16"/>
      <c r="M1983" s="16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24"/>
      <c r="AC1983" s="16"/>
      <c r="AD1983" s="16"/>
      <c r="AE1983" s="16"/>
      <c r="AF1983" s="16"/>
      <c r="AG1983" s="14"/>
      <c r="AH1983" s="14"/>
      <c r="AI1983" s="24"/>
      <c r="AJ1983" s="24"/>
      <c r="AK1983" s="24"/>
      <c r="AL1983" s="16"/>
      <c r="AM1983" s="16"/>
      <c r="AN1983" s="16"/>
      <c r="AO1983" s="16"/>
      <c r="AP1983" s="16"/>
      <c r="AQ1983" s="16"/>
      <c r="AR1983" s="16"/>
      <c r="AS1983" s="14"/>
      <c r="AT1983" s="14"/>
      <c r="AU1983" s="14"/>
      <c r="AV1983" s="14"/>
      <c r="AW1983" s="14"/>
      <c r="AX1983" s="14"/>
      <c r="AY1983" s="14"/>
      <c r="AZ1983" s="14"/>
      <c r="BA1983" s="14"/>
      <c r="BB1983" s="7"/>
    </row>
    <row r="1984" spans="7:54" x14ac:dyDescent="0.15">
      <c r="G1984" s="7"/>
      <c r="H1984" s="16"/>
      <c r="I1984" s="16"/>
      <c r="J1984" s="16"/>
      <c r="K1984" s="16"/>
      <c r="L1984" s="16"/>
      <c r="M1984" s="16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  <c r="AB1984" s="24"/>
      <c r="AC1984" s="16"/>
      <c r="AD1984" s="16"/>
      <c r="AE1984" s="16"/>
      <c r="AF1984" s="16"/>
      <c r="AG1984" s="14"/>
      <c r="AH1984" s="14"/>
      <c r="AI1984" s="24"/>
      <c r="AJ1984" s="24"/>
      <c r="AK1984" s="24"/>
      <c r="AL1984" s="16"/>
      <c r="AM1984" s="16"/>
      <c r="AN1984" s="16"/>
      <c r="AO1984" s="16"/>
      <c r="AP1984" s="16"/>
      <c r="AQ1984" s="16"/>
      <c r="AR1984" s="16"/>
      <c r="AS1984" s="14"/>
      <c r="AT1984" s="14"/>
      <c r="AU1984" s="14"/>
      <c r="AV1984" s="14"/>
      <c r="AW1984" s="14"/>
      <c r="AX1984" s="14"/>
      <c r="AY1984" s="14"/>
      <c r="AZ1984" s="14"/>
      <c r="BA1984" s="14"/>
      <c r="BB1984" s="7"/>
    </row>
    <row r="1985" spans="7:54" x14ac:dyDescent="0.15">
      <c r="G1985" s="7"/>
      <c r="H1985" s="16"/>
      <c r="I1985" s="16"/>
      <c r="J1985" s="16"/>
      <c r="K1985" s="16"/>
      <c r="L1985" s="16"/>
      <c r="M1985" s="16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24"/>
      <c r="AC1985" s="16"/>
      <c r="AD1985" s="16"/>
      <c r="AE1985" s="16"/>
      <c r="AF1985" s="16"/>
      <c r="AG1985" s="14"/>
      <c r="AH1985" s="14"/>
      <c r="AI1985" s="24"/>
      <c r="AJ1985" s="24"/>
      <c r="AK1985" s="24"/>
      <c r="AL1985" s="16"/>
      <c r="AM1985" s="16"/>
      <c r="AN1985" s="16"/>
      <c r="AO1985" s="16"/>
      <c r="AP1985" s="16"/>
      <c r="AQ1985" s="16"/>
      <c r="AR1985" s="16"/>
      <c r="AS1985" s="14"/>
      <c r="AT1985" s="14"/>
      <c r="AU1985" s="14"/>
      <c r="AV1985" s="14"/>
      <c r="AW1985" s="14"/>
      <c r="AX1985" s="14"/>
      <c r="AY1985" s="14"/>
      <c r="AZ1985" s="14"/>
      <c r="BA1985" s="14"/>
      <c r="BB1985" s="7"/>
    </row>
    <row r="1986" spans="7:54" x14ac:dyDescent="0.15">
      <c r="G1986" s="7"/>
      <c r="H1986" s="16"/>
      <c r="I1986" s="16"/>
      <c r="J1986" s="16"/>
      <c r="K1986" s="16"/>
      <c r="L1986" s="16"/>
      <c r="M1986" s="16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24"/>
      <c r="AC1986" s="16"/>
      <c r="AD1986" s="16"/>
      <c r="AE1986" s="16"/>
      <c r="AF1986" s="16"/>
      <c r="AG1986" s="14"/>
      <c r="AH1986" s="14"/>
      <c r="AI1986" s="24"/>
      <c r="AJ1986" s="24"/>
      <c r="AK1986" s="24"/>
      <c r="AL1986" s="16"/>
      <c r="AM1986" s="16"/>
      <c r="AN1986" s="16"/>
      <c r="AO1986" s="16"/>
      <c r="AP1986" s="16"/>
      <c r="AQ1986" s="16"/>
      <c r="AR1986" s="16"/>
      <c r="AS1986" s="14"/>
      <c r="AT1986" s="14"/>
      <c r="AU1986" s="14"/>
      <c r="AV1986" s="14"/>
      <c r="AW1986" s="14"/>
      <c r="AX1986" s="14"/>
      <c r="AY1986" s="14"/>
      <c r="AZ1986" s="14"/>
      <c r="BA1986" s="14"/>
      <c r="BB1986" s="7"/>
    </row>
    <row r="1987" spans="7:54" x14ac:dyDescent="0.15">
      <c r="G1987" s="7"/>
      <c r="H1987" s="16"/>
      <c r="I1987" s="16"/>
      <c r="J1987" s="16"/>
      <c r="K1987" s="16"/>
      <c r="L1987" s="16"/>
      <c r="M1987" s="16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24"/>
      <c r="AC1987" s="16"/>
      <c r="AD1987" s="16"/>
      <c r="AE1987" s="16"/>
      <c r="AF1987" s="16"/>
      <c r="AG1987" s="14"/>
      <c r="AH1987" s="14"/>
      <c r="AI1987" s="24"/>
      <c r="AJ1987" s="24"/>
      <c r="AK1987" s="24"/>
      <c r="AL1987" s="16"/>
      <c r="AM1987" s="16"/>
      <c r="AN1987" s="16"/>
      <c r="AO1987" s="16"/>
      <c r="AP1987" s="16"/>
      <c r="AQ1987" s="16"/>
      <c r="AR1987" s="16"/>
      <c r="AS1987" s="14"/>
      <c r="AT1987" s="14"/>
      <c r="AU1987" s="14"/>
      <c r="AV1987" s="14"/>
      <c r="AW1987" s="14"/>
      <c r="AX1987" s="14"/>
      <c r="AY1987" s="14"/>
      <c r="AZ1987" s="14"/>
      <c r="BA1987" s="14"/>
      <c r="BB1987" s="7"/>
    </row>
    <row r="1988" spans="7:54" x14ac:dyDescent="0.15">
      <c r="G1988" s="7"/>
      <c r="H1988" s="16"/>
      <c r="I1988" s="16"/>
      <c r="J1988" s="16"/>
      <c r="K1988" s="16"/>
      <c r="L1988" s="16"/>
      <c r="M1988" s="16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  <c r="AB1988" s="24"/>
      <c r="AC1988" s="16"/>
      <c r="AD1988" s="16"/>
      <c r="AE1988" s="16"/>
      <c r="AF1988" s="16"/>
      <c r="AG1988" s="14"/>
      <c r="AH1988" s="14"/>
      <c r="AI1988" s="24"/>
      <c r="AJ1988" s="24"/>
      <c r="AK1988" s="24"/>
      <c r="AL1988" s="16"/>
      <c r="AM1988" s="16"/>
      <c r="AN1988" s="16"/>
      <c r="AO1988" s="16"/>
      <c r="AP1988" s="16"/>
      <c r="AQ1988" s="16"/>
      <c r="AR1988" s="16"/>
      <c r="AS1988" s="14"/>
      <c r="AT1988" s="14"/>
      <c r="AU1988" s="14"/>
      <c r="AV1988" s="14"/>
      <c r="AW1988" s="14"/>
      <c r="AX1988" s="14"/>
      <c r="AY1988" s="14"/>
      <c r="AZ1988" s="14"/>
      <c r="BA1988" s="14"/>
      <c r="BB1988" s="7"/>
    </row>
    <row r="1989" spans="7:54" x14ac:dyDescent="0.15">
      <c r="G1989" s="7"/>
      <c r="H1989" s="16"/>
      <c r="I1989" s="16"/>
      <c r="J1989" s="16"/>
      <c r="K1989" s="16"/>
      <c r="L1989" s="16"/>
      <c r="M1989" s="16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14"/>
      <c r="AB1989" s="24"/>
      <c r="AC1989" s="16"/>
      <c r="AD1989" s="16"/>
      <c r="AE1989" s="16"/>
      <c r="AF1989" s="16"/>
      <c r="AG1989" s="14"/>
      <c r="AH1989" s="14"/>
      <c r="AI1989" s="24"/>
      <c r="AJ1989" s="24"/>
      <c r="AK1989" s="24"/>
      <c r="AL1989" s="16"/>
      <c r="AM1989" s="16"/>
      <c r="AN1989" s="16"/>
      <c r="AO1989" s="16"/>
      <c r="AP1989" s="16"/>
      <c r="AQ1989" s="16"/>
      <c r="AR1989" s="16"/>
      <c r="AS1989" s="14"/>
      <c r="AT1989" s="14"/>
      <c r="AU1989" s="14"/>
      <c r="AV1989" s="14"/>
      <c r="AW1989" s="14"/>
      <c r="AX1989" s="14"/>
      <c r="AY1989" s="14"/>
      <c r="AZ1989" s="14"/>
      <c r="BA1989" s="14"/>
      <c r="BB1989" s="7"/>
    </row>
    <row r="1990" spans="7:54" x14ac:dyDescent="0.15">
      <c r="G1990" s="7"/>
      <c r="H1990" s="16"/>
      <c r="I1990" s="16"/>
      <c r="J1990" s="16"/>
      <c r="K1990" s="16"/>
      <c r="L1990" s="16"/>
      <c r="M1990" s="16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24"/>
      <c r="AC1990" s="16"/>
      <c r="AD1990" s="16"/>
      <c r="AE1990" s="16"/>
      <c r="AF1990" s="16"/>
      <c r="AG1990" s="14"/>
      <c r="AH1990" s="14"/>
      <c r="AI1990" s="24"/>
      <c r="AJ1990" s="24"/>
      <c r="AK1990" s="24"/>
      <c r="AL1990" s="16"/>
      <c r="AM1990" s="16"/>
      <c r="AN1990" s="16"/>
      <c r="AO1990" s="16"/>
      <c r="AP1990" s="16"/>
      <c r="AQ1990" s="16"/>
      <c r="AR1990" s="16"/>
      <c r="AS1990" s="14"/>
      <c r="AT1990" s="14"/>
      <c r="AU1990" s="14"/>
      <c r="AV1990" s="14"/>
      <c r="AW1990" s="14"/>
      <c r="AX1990" s="14"/>
      <c r="AY1990" s="14"/>
      <c r="AZ1990" s="14"/>
      <c r="BA1990" s="14"/>
      <c r="BB1990" s="7"/>
    </row>
    <row r="1991" spans="7:54" x14ac:dyDescent="0.15">
      <c r="G1991" s="7"/>
      <c r="H1991" s="16"/>
      <c r="I1991" s="16"/>
      <c r="J1991" s="16"/>
      <c r="K1991" s="16"/>
      <c r="L1991" s="16"/>
      <c r="M1991" s="16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24"/>
      <c r="AC1991" s="16"/>
      <c r="AD1991" s="16"/>
      <c r="AE1991" s="16"/>
      <c r="AF1991" s="16"/>
      <c r="AG1991" s="14"/>
      <c r="AH1991" s="14"/>
      <c r="AI1991" s="24"/>
      <c r="AJ1991" s="24"/>
      <c r="AK1991" s="24"/>
      <c r="AL1991" s="16"/>
      <c r="AM1991" s="16"/>
      <c r="AN1991" s="16"/>
      <c r="AO1991" s="16"/>
      <c r="AP1991" s="16"/>
      <c r="AQ1991" s="16"/>
      <c r="AR1991" s="16"/>
      <c r="AS1991" s="14"/>
      <c r="AT1991" s="14"/>
      <c r="AU1991" s="14"/>
      <c r="AV1991" s="14"/>
      <c r="AW1991" s="14"/>
      <c r="AX1991" s="14"/>
      <c r="AY1991" s="14"/>
      <c r="AZ1991" s="14"/>
      <c r="BA1991" s="14"/>
      <c r="BB1991" s="7"/>
    </row>
    <row r="1992" spans="7:54" x14ac:dyDescent="0.15">
      <c r="G1992" s="7"/>
      <c r="H1992" s="16"/>
      <c r="I1992" s="16"/>
      <c r="J1992" s="16"/>
      <c r="K1992" s="16"/>
      <c r="L1992" s="16"/>
      <c r="M1992" s="16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24"/>
      <c r="AC1992" s="16"/>
      <c r="AD1992" s="16"/>
      <c r="AE1992" s="16"/>
      <c r="AF1992" s="16"/>
      <c r="AG1992" s="14"/>
      <c r="AH1992" s="14"/>
      <c r="AI1992" s="24"/>
      <c r="AJ1992" s="24"/>
      <c r="AK1992" s="24"/>
      <c r="AL1992" s="16"/>
      <c r="AM1992" s="16"/>
      <c r="AN1992" s="16"/>
      <c r="AO1992" s="16"/>
      <c r="AP1992" s="16"/>
      <c r="AQ1992" s="16"/>
      <c r="AR1992" s="16"/>
      <c r="AS1992" s="14"/>
      <c r="AT1992" s="14"/>
      <c r="AU1992" s="14"/>
      <c r="AV1992" s="14"/>
      <c r="AW1992" s="14"/>
      <c r="AX1992" s="14"/>
      <c r="AY1992" s="14"/>
      <c r="AZ1992" s="14"/>
      <c r="BA1992" s="14"/>
      <c r="BB1992" s="7"/>
    </row>
    <row r="1993" spans="7:54" x14ac:dyDescent="0.15">
      <c r="G1993" s="7"/>
      <c r="H1993" s="16"/>
      <c r="I1993" s="16"/>
      <c r="J1993" s="16"/>
      <c r="K1993" s="16"/>
      <c r="L1993" s="16"/>
      <c r="M1993" s="16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  <c r="AB1993" s="24"/>
      <c r="AC1993" s="16"/>
      <c r="AD1993" s="16"/>
      <c r="AE1993" s="16"/>
      <c r="AF1993" s="16"/>
      <c r="AG1993" s="14"/>
      <c r="AH1993" s="14"/>
      <c r="AI1993" s="24"/>
      <c r="AJ1993" s="24"/>
      <c r="AK1993" s="24"/>
      <c r="AL1993" s="16"/>
      <c r="AM1993" s="16"/>
      <c r="AN1993" s="16"/>
      <c r="AO1993" s="16"/>
      <c r="AP1993" s="16"/>
      <c r="AQ1993" s="16"/>
      <c r="AR1993" s="16"/>
      <c r="AS1993" s="14"/>
      <c r="AT1993" s="14"/>
      <c r="AU1993" s="14"/>
      <c r="AV1993" s="14"/>
      <c r="AW1993" s="14"/>
      <c r="AX1993" s="14"/>
      <c r="AY1993" s="14"/>
      <c r="AZ1993" s="14"/>
      <c r="BA1993" s="14"/>
      <c r="BB1993" s="7"/>
    </row>
    <row r="1994" spans="7:54" x14ac:dyDescent="0.15">
      <c r="G1994" s="7"/>
      <c r="H1994" s="16"/>
      <c r="I1994" s="16"/>
      <c r="J1994" s="16"/>
      <c r="K1994" s="16"/>
      <c r="L1994" s="16"/>
      <c r="M1994" s="16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  <c r="AB1994" s="24"/>
      <c r="AC1994" s="16"/>
      <c r="AD1994" s="16"/>
      <c r="AE1994" s="16"/>
      <c r="AF1994" s="16"/>
      <c r="AG1994" s="14"/>
      <c r="AH1994" s="14"/>
      <c r="AI1994" s="24"/>
      <c r="AJ1994" s="24"/>
      <c r="AK1994" s="24"/>
      <c r="AL1994" s="16"/>
      <c r="AM1994" s="16"/>
      <c r="AN1994" s="16"/>
      <c r="AO1994" s="16"/>
      <c r="AP1994" s="16"/>
      <c r="AQ1994" s="16"/>
      <c r="AR1994" s="16"/>
      <c r="AS1994" s="14"/>
      <c r="AT1994" s="14"/>
      <c r="AU1994" s="14"/>
      <c r="AV1994" s="14"/>
      <c r="AW1994" s="14"/>
      <c r="AX1994" s="14"/>
      <c r="AY1994" s="14"/>
      <c r="AZ1994" s="14"/>
      <c r="BA1994" s="14"/>
      <c r="BB1994" s="7"/>
    </row>
    <row r="1995" spans="7:54" x14ac:dyDescent="0.15">
      <c r="G1995" s="7"/>
      <c r="H1995" s="16"/>
      <c r="I1995" s="16"/>
      <c r="J1995" s="16"/>
      <c r="K1995" s="16"/>
      <c r="L1995" s="16"/>
      <c r="M1995" s="16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  <c r="AB1995" s="24"/>
      <c r="AC1995" s="16"/>
      <c r="AD1995" s="16"/>
      <c r="AE1995" s="16"/>
      <c r="AF1995" s="16"/>
      <c r="AG1995" s="14"/>
      <c r="AH1995" s="14"/>
      <c r="AI1995" s="24"/>
      <c r="AJ1995" s="24"/>
      <c r="AK1995" s="24"/>
      <c r="AL1995" s="16"/>
      <c r="AM1995" s="16"/>
      <c r="AN1995" s="16"/>
      <c r="AO1995" s="16"/>
      <c r="AP1995" s="16"/>
      <c r="AQ1995" s="16"/>
      <c r="AR1995" s="16"/>
      <c r="AS1995" s="14"/>
      <c r="AT1995" s="14"/>
      <c r="AU1995" s="14"/>
      <c r="AV1995" s="14"/>
      <c r="AW1995" s="14"/>
      <c r="AX1995" s="14"/>
      <c r="AY1995" s="14"/>
      <c r="AZ1995" s="14"/>
      <c r="BA1995" s="14"/>
      <c r="BB1995" s="7"/>
    </row>
    <row r="1996" spans="7:54" x14ac:dyDescent="0.15">
      <c r="G1996" s="7"/>
      <c r="H1996" s="16"/>
      <c r="I1996" s="16"/>
      <c r="J1996" s="16"/>
      <c r="K1996" s="16"/>
      <c r="L1996" s="16"/>
      <c r="M1996" s="16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24"/>
      <c r="AC1996" s="16"/>
      <c r="AD1996" s="16"/>
      <c r="AE1996" s="16"/>
      <c r="AF1996" s="16"/>
      <c r="AG1996" s="14"/>
      <c r="AH1996" s="14"/>
      <c r="AI1996" s="24"/>
      <c r="AJ1996" s="24"/>
      <c r="AK1996" s="24"/>
      <c r="AL1996" s="16"/>
      <c r="AM1996" s="16"/>
      <c r="AN1996" s="16"/>
      <c r="AO1996" s="16"/>
      <c r="AP1996" s="16"/>
      <c r="AQ1996" s="16"/>
      <c r="AR1996" s="16"/>
      <c r="AS1996" s="14"/>
      <c r="AT1996" s="14"/>
      <c r="AU1996" s="14"/>
      <c r="AV1996" s="14"/>
      <c r="AW1996" s="14"/>
      <c r="AX1996" s="14"/>
      <c r="AY1996" s="14"/>
      <c r="AZ1996" s="14"/>
      <c r="BA1996" s="14"/>
      <c r="BB1996" s="7"/>
    </row>
    <row r="1997" spans="7:54" x14ac:dyDescent="0.15">
      <c r="G1997" s="7"/>
      <c r="H1997" s="16"/>
      <c r="I1997" s="16"/>
      <c r="J1997" s="16"/>
      <c r="K1997" s="16"/>
      <c r="L1997" s="16"/>
      <c r="M1997" s="16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  <c r="AB1997" s="24"/>
      <c r="AC1997" s="16"/>
      <c r="AD1997" s="16"/>
      <c r="AE1997" s="16"/>
      <c r="AF1997" s="16"/>
      <c r="AG1997" s="14"/>
      <c r="AH1997" s="14"/>
      <c r="AI1997" s="24"/>
      <c r="AJ1997" s="24"/>
      <c r="AK1997" s="24"/>
      <c r="AL1997" s="16"/>
      <c r="AM1997" s="16"/>
      <c r="AN1997" s="16"/>
      <c r="AO1997" s="16"/>
      <c r="AP1997" s="16"/>
      <c r="AQ1997" s="16"/>
      <c r="AR1997" s="16"/>
      <c r="AS1997" s="14"/>
      <c r="AT1997" s="14"/>
      <c r="AU1997" s="14"/>
      <c r="AV1997" s="14"/>
      <c r="AW1997" s="14"/>
      <c r="AX1997" s="14"/>
      <c r="AY1997" s="14"/>
      <c r="AZ1997" s="14"/>
      <c r="BA1997" s="14"/>
      <c r="BB1997" s="7"/>
    </row>
    <row r="1998" spans="7:54" x14ac:dyDescent="0.15">
      <c r="G1998" s="7"/>
      <c r="H1998" s="16"/>
      <c r="I1998" s="16"/>
      <c r="J1998" s="16"/>
      <c r="K1998" s="16"/>
      <c r="L1998" s="16"/>
      <c r="M1998" s="16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4"/>
      <c r="AB1998" s="24"/>
      <c r="AC1998" s="16"/>
      <c r="AD1998" s="16"/>
      <c r="AE1998" s="16"/>
      <c r="AF1998" s="16"/>
      <c r="AG1998" s="14"/>
      <c r="AH1998" s="14"/>
      <c r="AI1998" s="24"/>
      <c r="AJ1998" s="24"/>
      <c r="AK1998" s="24"/>
      <c r="AL1998" s="16"/>
      <c r="AM1998" s="16"/>
      <c r="AN1998" s="16"/>
      <c r="AO1998" s="16"/>
      <c r="AP1998" s="16"/>
      <c r="AQ1998" s="16"/>
      <c r="AR1998" s="16"/>
      <c r="AS1998" s="14"/>
      <c r="AT1998" s="14"/>
      <c r="AU1998" s="14"/>
      <c r="AV1998" s="14"/>
      <c r="AW1998" s="14"/>
      <c r="AX1998" s="14"/>
      <c r="AY1998" s="14"/>
      <c r="AZ1998" s="14"/>
      <c r="BA1998" s="14"/>
      <c r="BB1998" s="7"/>
    </row>
    <row r="1999" spans="7:54" x14ac:dyDescent="0.15">
      <c r="G1999" s="7"/>
      <c r="H1999" s="16"/>
      <c r="I1999" s="16"/>
      <c r="J1999" s="16"/>
      <c r="K1999" s="16"/>
      <c r="L1999" s="16"/>
      <c r="M1999" s="16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  <c r="AB1999" s="24"/>
      <c r="AC1999" s="16"/>
      <c r="AD1999" s="16"/>
      <c r="AE1999" s="16"/>
      <c r="AF1999" s="16"/>
      <c r="AG1999" s="14"/>
      <c r="AH1999" s="14"/>
      <c r="AI1999" s="24"/>
      <c r="AJ1999" s="24"/>
      <c r="AK1999" s="24"/>
      <c r="AL1999" s="16"/>
      <c r="AM1999" s="16"/>
      <c r="AN1999" s="16"/>
      <c r="AO1999" s="16"/>
      <c r="AP1999" s="16"/>
      <c r="AQ1999" s="16"/>
      <c r="AR1999" s="16"/>
      <c r="AS1999" s="14"/>
      <c r="AT1999" s="14"/>
      <c r="AU1999" s="14"/>
      <c r="AV1999" s="14"/>
      <c r="AW1999" s="14"/>
      <c r="AX1999" s="14"/>
      <c r="AY1999" s="14"/>
      <c r="AZ1999" s="14"/>
      <c r="BA1999" s="14"/>
      <c r="BB1999" s="7"/>
    </row>
    <row r="2000" spans="7:54" x14ac:dyDescent="0.15">
      <c r="G2000" s="7"/>
      <c r="H2000" s="16"/>
      <c r="I2000" s="16"/>
      <c r="J2000" s="16"/>
      <c r="K2000" s="16"/>
      <c r="L2000" s="16"/>
      <c r="M2000" s="16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  <c r="AB2000" s="24"/>
      <c r="AC2000" s="16"/>
      <c r="AD2000" s="16"/>
      <c r="AE2000" s="16"/>
      <c r="AF2000" s="16"/>
      <c r="AG2000" s="14"/>
      <c r="AH2000" s="14"/>
      <c r="AI2000" s="24"/>
      <c r="AJ2000" s="24"/>
      <c r="AK2000" s="24"/>
      <c r="AL2000" s="16"/>
      <c r="AM2000" s="16"/>
      <c r="AN2000" s="16"/>
      <c r="AO2000" s="16"/>
      <c r="AP2000" s="16"/>
      <c r="AQ2000" s="16"/>
      <c r="AR2000" s="16"/>
      <c r="AS2000" s="14"/>
      <c r="AT2000" s="14"/>
      <c r="AU2000" s="14"/>
      <c r="AV2000" s="14"/>
      <c r="AW2000" s="14"/>
      <c r="AX2000" s="14"/>
      <c r="AY2000" s="14"/>
      <c r="AZ2000" s="14"/>
      <c r="BA2000" s="14"/>
      <c r="BB2000" s="7"/>
    </row>
    <row r="2001" spans="7:54" x14ac:dyDescent="0.15">
      <c r="G2001" s="7"/>
      <c r="H2001" s="16"/>
      <c r="I2001" s="16"/>
      <c r="J2001" s="16"/>
      <c r="K2001" s="16"/>
      <c r="L2001" s="16"/>
      <c r="M2001" s="16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24"/>
      <c r="AC2001" s="16"/>
      <c r="AD2001" s="16"/>
      <c r="AE2001" s="16"/>
      <c r="AF2001" s="16"/>
      <c r="AG2001" s="14"/>
      <c r="AH2001" s="14"/>
      <c r="AI2001" s="24"/>
      <c r="AJ2001" s="24"/>
      <c r="AK2001" s="24"/>
      <c r="AL2001" s="16"/>
      <c r="AM2001" s="16"/>
      <c r="AN2001" s="16"/>
      <c r="AO2001" s="16"/>
      <c r="AP2001" s="16"/>
      <c r="AQ2001" s="16"/>
      <c r="AR2001" s="16"/>
      <c r="AS2001" s="14"/>
      <c r="AT2001" s="14"/>
      <c r="AU2001" s="14"/>
      <c r="AV2001" s="14"/>
      <c r="AW2001" s="14"/>
      <c r="AX2001" s="14"/>
      <c r="AY2001" s="14"/>
      <c r="AZ2001" s="14"/>
      <c r="BA2001" s="14"/>
      <c r="BB2001" s="7"/>
    </row>
    <row r="2002" spans="7:54" x14ac:dyDescent="0.15">
      <c r="G2002" s="7"/>
      <c r="H2002" s="16"/>
      <c r="I2002" s="16"/>
      <c r="J2002" s="16"/>
      <c r="K2002" s="16"/>
      <c r="L2002" s="16"/>
      <c r="M2002" s="16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24"/>
      <c r="AC2002" s="16"/>
      <c r="AD2002" s="16"/>
      <c r="AE2002" s="16"/>
      <c r="AF2002" s="16"/>
      <c r="AG2002" s="14"/>
      <c r="AH2002" s="14"/>
      <c r="AI2002" s="24"/>
      <c r="AJ2002" s="24"/>
      <c r="AK2002" s="24"/>
      <c r="AL2002" s="16"/>
      <c r="AM2002" s="16"/>
      <c r="AN2002" s="16"/>
      <c r="AO2002" s="16"/>
      <c r="AP2002" s="16"/>
      <c r="AQ2002" s="16"/>
      <c r="AR2002" s="16"/>
      <c r="AS2002" s="14"/>
      <c r="AT2002" s="14"/>
      <c r="AU2002" s="14"/>
      <c r="AV2002" s="14"/>
      <c r="AW2002" s="14"/>
      <c r="AX2002" s="14"/>
      <c r="AY2002" s="14"/>
      <c r="AZ2002" s="14"/>
      <c r="BA2002" s="14"/>
      <c r="BB2002" s="7"/>
    </row>
    <row r="2003" spans="7:54" x14ac:dyDescent="0.15">
      <c r="G2003" s="7"/>
      <c r="H2003" s="16"/>
      <c r="I2003" s="16"/>
      <c r="J2003" s="16"/>
      <c r="K2003" s="16"/>
      <c r="L2003" s="16"/>
      <c r="M2003" s="16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  <c r="AB2003" s="24"/>
      <c r="AC2003" s="16"/>
      <c r="AD2003" s="16"/>
      <c r="AE2003" s="16"/>
      <c r="AF2003" s="16"/>
      <c r="AG2003" s="14"/>
      <c r="AH2003" s="14"/>
      <c r="AI2003" s="24"/>
      <c r="AJ2003" s="24"/>
      <c r="AK2003" s="24"/>
      <c r="AL2003" s="16"/>
      <c r="AM2003" s="16"/>
      <c r="AN2003" s="16"/>
      <c r="AO2003" s="16"/>
      <c r="AP2003" s="16"/>
      <c r="AQ2003" s="16"/>
      <c r="AR2003" s="16"/>
      <c r="AS2003" s="14"/>
      <c r="AT2003" s="14"/>
      <c r="AU2003" s="14"/>
      <c r="AV2003" s="14"/>
      <c r="AW2003" s="14"/>
      <c r="AX2003" s="14"/>
      <c r="AY2003" s="14"/>
      <c r="AZ2003" s="14"/>
      <c r="BA2003" s="14"/>
      <c r="BB2003" s="7"/>
    </row>
    <row r="2004" spans="7:54" x14ac:dyDescent="0.15">
      <c r="G2004" s="7"/>
      <c r="H2004" s="16"/>
      <c r="I2004" s="16"/>
      <c r="J2004" s="16"/>
      <c r="K2004" s="16"/>
      <c r="L2004" s="16"/>
      <c r="M2004" s="16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  <c r="AB2004" s="24"/>
      <c r="AC2004" s="16"/>
      <c r="AD2004" s="16"/>
      <c r="AE2004" s="16"/>
      <c r="AF2004" s="16"/>
      <c r="AG2004" s="14"/>
      <c r="AH2004" s="14"/>
      <c r="AI2004" s="24"/>
      <c r="AJ2004" s="24"/>
      <c r="AK2004" s="24"/>
      <c r="AL2004" s="16"/>
      <c r="AM2004" s="16"/>
      <c r="AN2004" s="16"/>
      <c r="AO2004" s="16"/>
      <c r="AP2004" s="16"/>
      <c r="AQ2004" s="16"/>
      <c r="AR2004" s="16"/>
      <c r="AS2004" s="14"/>
      <c r="AT2004" s="14"/>
      <c r="AU2004" s="14"/>
      <c r="AV2004" s="14"/>
      <c r="AW2004" s="14"/>
      <c r="AX2004" s="14"/>
      <c r="AY2004" s="14"/>
      <c r="AZ2004" s="14"/>
      <c r="BA2004" s="14"/>
      <c r="BB2004" s="7"/>
    </row>
    <row r="2005" spans="7:54" x14ac:dyDescent="0.15">
      <c r="G2005" s="7"/>
      <c r="H2005" s="16"/>
      <c r="I2005" s="16"/>
      <c r="J2005" s="16"/>
      <c r="K2005" s="16"/>
      <c r="L2005" s="16"/>
      <c r="M2005" s="16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24"/>
      <c r="AC2005" s="16"/>
      <c r="AD2005" s="16"/>
      <c r="AE2005" s="16"/>
      <c r="AF2005" s="16"/>
      <c r="AG2005" s="14"/>
      <c r="AH2005" s="14"/>
      <c r="AI2005" s="24"/>
      <c r="AJ2005" s="24"/>
      <c r="AK2005" s="24"/>
      <c r="AL2005" s="16"/>
      <c r="AM2005" s="16"/>
      <c r="AN2005" s="16"/>
      <c r="AO2005" s="16"/>
      <c r="AP2005" s="16"/>
      <c r="AQ2005" s="16"/>
      <c r="AR2005" s="16"/>
      <c r="AS2005" s="14"/>
      <c r="AT2005" s="14"/>
      <c r="AU2005" s="14"/>
      <c r="AV2005" s="14"/>
      <c r="AW2005" s="14"/>
      <c r="AX2005" s="14"/>
      <c r="AY2005" s="14"/>
      <c r="AZ2005" s="14"/>
      <c r="BA2005" s="14"/>
      <c r="BB2005" s="7"/>
    </row>
    <row r="2006" spans="7:54" x14ac:dyDescent="0.15">
      <c r="G2006" s="7"/>
      <c r="H2006" s="16"/>
      <c r="I2006" s="16"/>
      <c r="J2006" s="16"/>
      <c r="K2006" s="16"/>
      <c r="L2006" s="16"/>
      <c r="M2006" s="16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24"/>
      <c r="AC2006" s="16"/>
      <c r="AD2006" s="16"/>
      <c r="AE2006" s="16"/>
      <c r="AF2006" s="16"/>
      <c r="AG2006" s="14"/>
      <c r="AH2006" s="14"/>
      <c r="AI2006" s="24"/>
      <c r="AJ2006" s="24"/>
      <c r="AK2006" s="24"/>
      <c r="AL2006" s="16"/>
      <c r="AM2006" s="16"/>
      <c r="AN2006" s="16"/>
      <c r="AO2006" s="16"/>
      <c r="AP2006" s="16"/>
      <c r="AQ2006" s="16"/>
      <c r="AR2006" s="16"/>
      <c r="AS2006" s="14"/>
      <c r="AT2006" s="14"/>
      <c r="AU2006" s="14"/>
      <c r="AV2006" s="14"/>
      <c r="AW2006" s="14"/>
      <c r="AX2006" s="14"/>
      <c r="AY2006" s="14"/>
      <c r="AZ2006" s="14"/>
      <c r="BA2006" s="14"/>
      <c r="BB2006" s="7"/>
    </row>
    <row r="2007" spans="7:54" x14ac:dyDescent="0.15">
      <c r="G2007" s="7"/>
      <c r="H2007" s="16"/>
      <c r="I2007" s="16"/>
      <c r="J2007" s="16"/>
      <c r="K2007" s="16"/>
      <c r="L2007" s="16"/>
      <c r="M2007" s="16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24"/>
      <c r="AC2007" s="16"/>
      <c r="AD2007" s="16"/>
      <c r="AE2007" s="16"/>
      <c r="AF2007" s="16"/>
      <c r="AG2007" s="14"/>
      <c r="AH2007" s="14"/>
      <c r="AI2007" s="24"/>
      <c r="AJ2007" s="24"/>
      <c r="AK2007" s="24"/>
      <c r="AL2007" s="16"/>
      <c r="AM2007" s="16"/>
      <c r="AN2007" s="16"/>
      <c r="AO2007" s="16"/>
      <c r="AP2007" s="16"/>
      <c r="AQ2007" s="16"/>
      <c r="AR2007" s="16"/>
      <c r="AS2007" s="14"/>
      <c r="AT2007" s="14"/>
      <c r="AU2007" s="14"/>
      <c r="AV2007" s="14"/>
      <c r="AW2007" s="14"/>
      <c r="AX2007" s="14"/>
      <c r="AY2007" s="14"/>
      <c r="AZ2007" s="14"/>
      <c r="BA2007" s="14"/>
      <c r="BB2007" s="7"/>
    </row>
    <row r="2008" spans="7:54" x14ac:dyDescent="0.15">
      <c r="G2008" s="7"/>
      <c r="H2008" s="16"/>
      <c r="I2008" s="16"/>
      <c r="J2008" s="16"/>
      <c r="K2008" s="16"/>
      <c r="L2008" s="16"/>
      <c r="M2008" s="16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  <c r="AB2008" s="24"/>
      <c r="AC2008" s="16"/>
      <c r="AD2008" s="16"/>
      <c r="AE2008" s="16"/>
      <c r="AF2008" s="16"/>
      <c r="AG2008" s="14"/>
      <c r="AH2008" s="14"/>
      <c r="AI2008" s="24"/>
      <c r="AJ2008" s="24"/>
      <c r="AK2008" s="24"/>
      <c r="AL2008" s="16"/>
      <c r="AM2008" s="16"/>
      <c r="AN2008" s="16"/>
      <c r="AO2008" s="16"/>
      <c r="AP2008" s="16"/>
      <c r="AQ2008" s="16"/>
      <c r="AR2008" s="16"/>
      <c r="AS2008" s="14"/>
      <c r="AT2008" s="14"/>
      <c r="AU2008" s="14"/>
      <c r="AV2008" s="14"/>
      <c r="AW2008" s="14"/>
      <c r="AX2008" s="14"/>
      <c r="AY2008" s="14"/>
      <c r="AZ2008" s="14"/>
      <c r="BA2008" s="14"/>
      <c r="BB2008" s="7"/>
    </row>
    <row r="2009" spans="7:54" x14ac:dyDescent="0.15">
      <c r="G2009" s="7"/>
      <c r="H2009" s="16"/>
      <c r="I2009" s="16"/>
      <c r="J2009" s="16"/>
      <c r="K2009" s="16"/>
      <c r="L2009" s="16"/>
      <c r="M2009" s="16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  <c r="AB2009" s="24"/>
      <c r="AC2009" s="16"/>
      <c r="AD2009" s="16"/>
      <c r="AE2009" s="16"/>
      <c r="AF2009" s="16"/>
      <c r="AG2009" s="14"/>
      <c r="AH2009" s="14"/>
      <c r="AI2009" s="24"/>
      <c r="AJ2009" s="24"/>
      <c r="AK2009" s="24"/>
      <c r="AL2009" s="16"/>
      <c r="AM2009" s="16"/>
      <c r="AN2009" s="16"/>
      <c r="AO2009" s="16"/>
      <c r="AP2009" s="16"/>
      <c r="AQ2009" s="16"/>
      <c r="AR2009" s="16"/>
      <c r="AS2009" s="14"/>
      <c r="AT2009" s="14"/>
      <c r="AU2009" s="14"/>
      <c r="AV2009" s="14"/>
      <c r="AW2009" s="14"/>
      <c r="AX2009" s="14"/>
      <c r="AY2009" s="14"/>
      <c r="AZ2009" s="14"/>
      <c r="BA2009" s="14"/>
      <c r="BB2009" s="7"/>
    </row>
    <row r="2010" spans="7:54" x14ac:dyDescent="0.15">
      <c r="G2010" s="7"/>
      <c r="H2010" s="16"/>
      <c r="I2010" s="16"/>
      <c r="J2010" s="16"/>
      <c r="K2010" s="16"/>
      <c r="L2010" s="16"/>
      <c r="M2010" s="16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4"/>
      <c r="AB2010" s="24"/>
      <c r="AC2010" s="16"/>
      <c r="AD2010" s="16"/>
      <c r="AE2010" s="16"/>
      <c r="AF2010" s="16"/>
      <c r="AG2010" s="14"/>
      <c r="AH2010" s="14"/>
      <c r="AI2010" s="24"/>
      <c r="AJ2010" s="24"/>
      <c r="AK2010" s="24"/>
      <c r="AL2010" s="16"/>
      <c r="AM2010" s="16"/>
      <c r="AN2010" s="16"/>
      <c r="AO2010" s="16"/>
      <c r="AP2010" s="16"/>
      <c r="AQ2010" s="16"/>
      <c r="AR2010" s="16"/>
      <c r="AS2010" s="14"/>
      <c r="AT2010" s="14"/>
      <c r="AU2010" s="14"/>
      <c r="AV2010" s="14"/>
      <c r="AW2010" s="14"/>
      <c r="AX2010" s="14"/>
      <c r="AY2010" s="14"/>
      <c r="AZ2010" s="14"/>
      <c r="BA2010" s="14"/>
      <c r="BB2010" s="7"/>
    </row>
    <row r="2011" spans="7:54" x14ac:dyDescent="0.15">
      <c r="G2011" s="7"/>
      <c r="H2011" s="16"/>
      <c r="I2011" s="16"/>
      <c r="J2011" s="16"/>
      <c r="K2011" s="16"/>
      <c r="L2011" s="16"/>
      <c r="M2011" s="16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24"/>
      <c r="AC2011" s="16"/>
      <c r="AD2011" s="16"/>
      <c r="AE2011" s="16"/>
      <c r="AF2011" s="16"/>
      <c r="AG2011" s="14"/>
      <c r="AH2011" s="14"/>
      <c r="AI2011" s="24"/>
      <c r="AJ2011" s="24"/>
      <c r="AK2011" s="24"/>
      <c r="AL2011" s="16"/>
      <c r="AM2011" s="16"/>
      <c r="AN2011" s="16"/>
      <c r="AO2011" s="16"/>
      <c r="AP2011" s="16"/>
      <c r="AQ2011" s="16"/>
      <c r="AR2011" s="16"/>
      <c r="AS2011" s="14"/>
      <c r="AT2011" s="14"/>
      <c r="AU2011" s="14"/>
      <c r="AV2011" s="14"/>
      <c r="AW2011" s="14"/>
      <c r="AX2011" s="14"/>
      <c r="AY2011" s="14"/>
      <c r="AZ2011" s="14"/>
      <c r="BA2011" s="14"/>
      <c r="BB2011" s="7"/>
    </row>
    <row r="2012" spans="7:54" x14ac:dyDescent="0.15">
      <c r="G2012" s="7"/>
      <c r="H2012" s="16"/>
      <c r="I2012" s="16"/>
      <c r="J2012" s="16"/>
      <c r="K2012" s="16"/>
      <c r="L2012" s="16"/>
      <c r="M2012" s="16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24"/>
      <c r="AC2012" s="16"/>
      <c r="AD2012" s="16"/>
      <c r="AE2012" s="16"/>
      <c r="AF2012" s="16"/>
      <c r="AG2012" s="14"/>
      <c r="AH2012" s="14"/>
      <c r="AI2012" s="24"/>
      <c r="AJ2012" s="24"/>
      <c r="AK2012" s="24"/>
      <c r="AL2012" s="16"/>
      <c r="AM2012" s="16"/>
      <c r="AN2012" s="16"/>
      <c r="AO2012" s="16"/>
      <c r="AP2012" s="16"/>
      <c r="AQ2012" s="16"/>
      <c r="AR2012" s="16"/>
      <c r="AS2012" s="14"/>
      <c r="AT2012" s="14"/>
      <c r="AU2012" s="14"/>
      <c r="AV2012" s="14"/>
      <c r="AW2012" s="14"/>
      <c r="AX2012" s="14"/>
      <c r="AY2012" s="14"/>
      <c r="AZ2012" s="14"/>
      <c r="BA2012" s="14"/>
      <c r="BB2012" s="7"/>
    </row>
    <row r="2013" spans="7:54" x14ac:dyDescent="0.15">
      <c r="G2013" s="7"/>
      <c r="H2013" s="16"/>
      <c r="I2013" s="16"/>
      <c r="J2013" s="16"/>
      <c r="K2013" s="16"/>
      <c r="L2013" s="16"/>
      <c r="M2013" s="16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  <c r="AB2013" s="24"/>
      <c r="AC2013" s="16"/>
      <c r="AD2013" s="16"/>
      <c r="AE2013" s="16"/>
      <c r="AF2013" s="16"/>
      <c r="AG2013" s="14"/>
      <c r="AH2013" s="14"/>
      <c r="AI2013" s="24"/>
      <c r="AJ2013" s="24"/>
      <c r="AK2013" s="24"/>
      <c r="AL2013" s="16"/>
      <c r="AM2013" s="16"/>
      <c r="AN2013" s="16"/>
      <c r="AO2013" s="16"/>
      <c r="AP2013" s="16"/>
      <c r="AQ2013" s="16"/>
      <c r="AR2013" s="16"/>
      <c r="AS2013" s="14"/>
      <c r="AT2013" s="14"/>
      <c r="AU2013" s="14"/>
      <c r="AV2013" s="14"/>
      <c r="AW2013" s="14"/>
      <c r="AX2013" s="14"/>
      <c r="AY2013" s="14"/>
      <c r="AZ2013" s="14"/>
      <c r="BA2013" s="14"/>
      <c r="BB2013" s="7"/>
    </row>
    <row r="2014" spans="7:54" x14ac:dyDescent="0.15">
      <c r="G2014" s="7"/>
      <c r="H2014" s="16"/>
      <c r="I2014" s="16"/>
      <c r="J2014" s="16"/>
      <c r="K2014" s="16"/>
      <c r="L2014" s="16"/>
      <c r="M2014" s="16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  <c r="AB2014" s="24"/>
      <c r="AC2014" s="16"/>
      <c r="AD2014" s="16"/>
      <c r="AE2014" s="16"/>
      <c r="AF2014" s="16"/>
      <c r="AG2014" s="14"/>
      <c r="AH2014" s="14"/>
      <c r="AI2014" s="24"/>
      <c r="AJ2014" s="24"/>
      <c r="AK2014" s="24"/>
      <c r="AL2014" s="16"/>
      <c r="AM2014" s="16"/>
      <c r="AN2014" s="16"/>
      <c r="AO2014" s="16"/>
      <c r="AP2014" s="16"/>
      <c r="AQ2014" s="16"/>
      <c r="AR2014" s="16"/>
      <c r="AS2014" s="14"/>
      <c r="AT2014" s="14"/>
      <c r="AU2014" s="14"/>
      <c r="AV2014" s="14"/>
      <c r="AW2014" s="14"/>
      <c r="AX2014" s="14"/>
      <c r="AY2014" s="14"/>
      <c r="AZ2014" s="14"/>
      <c r="BA2014" s="14"/>
      <c r="BB2014" s="7"/>
    </row>
    <row r="2015" spans="7:54" x14ac:dyDescent="0.15">
      <c r="G2015" s="7"/>
      <c r="H2015" s="16"/>
      <c r="I2015" s="16"/>
      <c r="J2015" s="16"/>
      <c r="K2015" s="16"/>
      <c r="L2015" s="16"/>
      <c r="M2015" s="16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24"/>
      <c r="AC2015" s="16"/>
      <c r="AD2015" s="16"/>
      <c r="AE2015" s="16"/>
      <c r="AF2015" s="16"/>
      <c r="AG2015" s="14"/>
      <c r="AH2015" s="14"/>
      <c r="AI2015" s="24"/>
      <c r="AJ2015" s="24"/>
      <c r="AK2015" s="24"/>
      <c r="AL2015" s="16"/>
      <c r="AM2015" s="16"/>
      <c r="AN2015" s="16"/>
      <c r="AO2015" s="16"/>
      <c r="AP2015" s="16"/>
      <c r="AQ2015" s="16"/>
      <c r="AR2015" s="16"/>
      <c r="AS2015" s="14"/>
      <c r="AT2015" s="14"/>
      <c r="AU2015" s="14"/>
      <c r="AV2015" s="14"/>
      <c r="AW2015" s="14"/>
      <c r="AX2015" s="14"/>
      <c r="AY2015" s="14"/>
      <c r="AZ2015" s="14"/>
      <c r="BA2015" s="14"/>
      <c r="BB2015" s="7"/>
    </row>
    <row r="2016" spans="7:54" x14ac:dyDescent="0.15">
      <c r="G2016" s="7"/>
      <c r="H2016" s="16"/>
      <c r="I2016" s="16"/>
      <c r="J2016" s="16"/>
      <c r="K2016" s="16"/>
      <c r="L2016" s="16"/>
      <c r="M2016" s="16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24"/>
      <c r="AC2016" s="16"/>
      <c r="AD2016" s="16"/>
      <c r="AE2016" s="16"/>
      <c r="AF2016" s="16"/>
      <c r="AG2016" s="14"/>
      <c r="AH2016" s="14"/>
      <c r="AI2016" s="24"/>
      <c r="AJ2016" s="24"/>
      <c r="AK2016" s="24"/>
      <c r="AL2016" s="16"/>
      <c r="AM2016" s="16"/>
      <c r="AN2016" s="16"/>
      <c r="AO2016" s="16"/>
      <c r="AP2016" s="16"/>
      <c r="AQ2016" s="16"/>
      <c r="AR2016" s="16"/>
      <c r="AS2016" s="14"/>
      <c r="AT2016" s="14"/>
      <c r="AU2016" s="14"/>
      <c r="AV2016" s="14"/>
      <c r="AW2016" s="14"/>
      <c r="AX2016" s="14"/>
      <c r="AY2016" s="14"/>
      <c r="AZ2016" s="14"/>
      <c r="BA2016" s="14"/>
      <c r="BB2016" s="7"/>
    </row>
    <row r="2017" spans="7:54" x14ac:dyDescent="0.15">
      <c r="G2017" s="7"/>
      <c r="H2017" s="16"/>
      <c r="I2017" s="16"/>
      <c r="J2017" s="16"/>
      <c r="K2017" s="16"/>
      <c r="L2017" s="16"/>
      <c r="M2017" s="16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24"/>
      <c r="AC2017" s="16"/>
      <c r="AD2017" s="16"/>
      <c r="AE2017" s="16"/>
      <c r="AF2017" s="16"/>
      <c r="AG2017" s="14"/>
      <c r="AH2017" s="14"/>
      <c r="AI2017" s="24"/>
      <c r="AJ2017" s="24"/>
      <c r="AK2017" s="24"/>
      <c r="AL2017" s="16"/>
      <c r="AM2017" s="16"/>
      <c r="AN2017" s="16"/>
      <c r="AO2017" s="16"/>
      <c r="AP2017" s="16"/>
      <c r="AQ2017" s="16"/>
      <c r="AR2017" s="16"/>
      <c r="AS2017" s="14"/>
      <c r="AT2017" s="14"/>
      <c r="AU2017" s="14"/>
      <c r="AV2017" s="14"/>
      <c r="AW2017" s="14"/>
      <c r="AX2017" s="14"/>
      <c r="AY2017" s="14"/>
      <c r="AZ2017" s="14"/>
      <c r="BA2017" s="14"/>
      <c r="BB2017" s="7"/>
    </row>
    <row r="2018" spans="7:54" x14ac:dyDescent="0.15">
      <c r="G2018" s="7"/>
      <c r="H2018" s="16"/>
      <c r="I2018" s="16"/>
      <c r="J2018" s="16"/>
      <c r="K2018" s="16"/>
      <c r="L2018" s="16"/>
      <c r="M2018" s="16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  <c r="AB2018" s="24"/>
      <c r="AC2018" s="16"/>
      <c r="AD2018" s="16"/>
      <c r="AE2018" s="16"/>
      <c r="AF2018" s="16"/>
      <c r="AG2018" s="14"/>
      <c r="AH2018" s="14"/>
      <c r="AI2018" s="24"/>
      <c r="AJ2018" s="24"/>
      <c r="AK2018" s="24"/>
      <c r="AL2018" s="16"/>
      <c r="AM2018" s="16"/>
      <c r="AN2018" s="16"/>
      <c r="AO2018" s="16"/>
      <c r="AP2018" s="16"/>
      <c r="AQ2018" s="16"/>
      <c r="AR2018" s="16"/>
      <c r="AS2018" s="14"/>
      <c r="AT2018" s="14"/>
      <c r="AU2018" s="14"/>
      <c r="AV2018" s="14"/>
      <c r="AW2018" s="14"/>
      <c r="AX2018" s="14"/>
      <c r="AY2018" s="14"/>
      <c r="AZ2018" s="14"/>
      <c r="BA2018" s="14"/>
      <c r="BB2018" s="7"/>
    </row>
    <row r="2019" spans="7:54" x14ac:dyDescent="0.15">
      <c r="G2019" s="7"/>
      <c r="H2019" s="16"/>
      <c r="I2019" s="16"/>
      <c r="J2019" s="16"/>
      <c r="K2019" s="16"/>
      <c r="L2019" s="16"/>
      <c r="M2019" s="16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24"/>
      <c r="AC2019" s="16"/>
      <c r="AD2019" s="16"/>
      <c r="AE2019" s="16"/>
      <c r="AF2019" s="16"/>
      <c r="AG2019" s="14"/>
      <c r="AH2019" s="14"/>
      <c r="AI2019" s="24"/>
      <c r="AJ2019" s="24"/>
      <c r="AK2019" s="24"/>
      <c r="AL2019" s="16"/>
      <c r="AM2019" s="16"/>
      <c r="AN2019" s="16"/>
      <c r="AO2019" s="16"/>
      <c r="AP2019" s="16"/>
      <c r="AQ2019" s="16"/>
      <c r="AR2019" s="16"/>
      <c r="AS2019" s="14"/>
      <c r="AT2019" s="14"/>
      <c r="AU2019" s="14"/>
      <c r="AV2019" s="14"/>
      <c r="AW2019" s="14"/>
      <c r="AX2019" s="14"/>
      <c r="AY2019" s="14"/>
      <c r="AZ2019" s="14"/>
      <c r="BA2019" s="14"/>
      <c r="BB2019" s="7"/>
    </row>
    <row r="2020" spans="7:54" x14ac:dyDescent="0.15">
      <c r="G2020" s="7"/>
      <c r="H2020" s="16"/>
      <c r="I2020" s="16"/>
      <c r="J2020" s="16"/>
      <c r="K2020" s="16"/>
      <c r="L2020" s="16"/>
      <c r="M2020" s="16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24"/>
      <c r="AC2020" s="16"/>
      <c r="AD2020" s="16"/>
      <c r="AE2020" s="16"/>
      <c r="AF2020" s="16"/>
      <c r="AG2020" s="14"/>
      <c r="AH2020" s="14"/>
      <c r="AI2020" s="24"/>
      <c r="AJ2020" s="24"/>
      <c r="AK2020" s="24"/>
      <c r="AL2020" s="16"/>
      <c r="AM2020" s="16"/>
      <c r="AN2020" s="16"/>
      <c r="AO2020" s="16"/>
      <c r="AP2020" s="16"/>
      <c r="AQ2020" s="16"/>
      <c r="AR2020" s="16"/>
      <c r="AS2020" s="14"/>
      <c r="AT2020" s="14"/>
      <c r="AU2020" s="14"/>
      <c r="AV2020" s="14"/>
      <c r="AW2020" s="14"/>
      <c r="AX2020" s="14"/>
      <c r="AY2020" s="14"/>
      <c r="AZ2020" s="14"/>
      <c r="BA2020" s="14"/>
      <c r="BB2020" s="7"/>
    </row>
    <row r="2021" spans="7:54" x14ac:dyDescent="0.15">
      <c r="G2021" s="7"/>
      <c r="H2021" s="16"/>
      <c r="I2021" s="16"/>
      <c r="J2021" s="16"/>
      <c r="K2021" s="16"/>
      <c r="L2021" s="16"/>
      <c r="M2021" s="16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24"/>
      <c r="AC2021" s="16"/>
      <c r="AD2021" s="16"/>
      <c r="AE2021" s="16"/>
      <c r="AF2021" s="16"/>
      <c r="AG2021" s="14"/>
      <c r="AH2021" s="14"/>
      <c r="AI2021" s="24"/>
      <c r="AJ2021" s="24"/>
      <c r="AK2021" s="24"/>
      <c r="AL2021" s="16"/>
      <c r="AM2021" s="16"/>
      <c r="AN2021" s="16"/>
      <c r="AO2021" s="16"/>
      <c r="AP2021" s="16"/>
      <c r="AQ2021" s="16"/>
      <c r="AR2021" s="16"/>
      <c r="AS2021" s="14"/>
      <c r="AT2021" s="14"/>
      <c r="AU2021" s="14"/>
      <c r="AV2021" s="14"/>
      <c r="AW2021" s="14"/>
      <c r="AX2021" s="14"/>
      <c r="AY2021" s="14"/>
      <c r="AZ2021" s="14"/>
      <c r="BA2021" s="14"/>
      <c r="BB2021" s="7"/>
    </row>
    <row r="2022" spans="7:54" x14ac:dyDescent="0.15">
      <c r="G2022" s="7"/>
      <c r="H2022" s="16"/>
      <c r="I2022" s="16"/>
      <c r="J2022" s="16"/>
      <c r="K2022" s="16"/>
      <c r="L2022" s="16"/>
      <c r="M2022" s="16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24"/>
      <c r="AC2022" s="16"/>
      <c r="AD2022" s="16"/>
      <c r="AE2022" s="16"/>
      <c r="AF2022" s="16"/>
      <c r="AG2022" s="14"/>
      <c r="AH2022" s="14"/>
      <c r="AI2022" s="24"/>
      <c r="AJ2022" s="24"/>
      <c r="AK2022" s="24"/>
      <c r="AL2022" s="16"/>
      <c r="AM2022" s="16"/>
      <c r="AN2022" s="16"/>
      <c r="AO2022" s="16"/>
      <c r="AP2022" s="16"/>
      <c r="AQ2022" s="16"/>
      <c r="AR2022" s="16"/>
      <c r="AS2022" s="14"/>
      <c r="AT2022" s="14"/>
      <c r="AU2022" s="14"/>
      <c r="AV2022" s="14"/>
      <c r="AW2022" s="14"/>
      <c r="AX2022" s="14"/>
      <c r="AY2022" s="14"/>
      <c r="AZ2022" s="14"/>
      <c r="BA2022" s="14"/>
      <c r="BB2022" s="7"/>
    </row>
    <row r="2023" spans="7:54" x14ac:dyDescent="0.15">
      <c r="G2023" s="7"/>
      <c r="H2023" s="16"/>
      <c r="I2023" s="16"/>
      <c r="J2023" s="16"/>
      <c r="K2023" s="16"/>
      <c r="L2023" s="16"/>
      <c r="M2023" s="16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  <c r="AB2023" s="24"/>
      <c r="AC2023" s="16"/>
      <c r="AD2023" s="16"/>
      <c r="AE2023" s="16"/>
      <c r="AF2023" s="16"/>
      <c r="AG2023" s="14"/>
      <c r="AH2023" s="14"/>
      <c r="AI2023" s="24"/>
      <c r="AJ2023" s="24"/>
      <c r="AK2023" s="24"/>
      <c r="AL2023" s="16"/>
      <c r="AM2023" s="16"/>
      <c r="AN2023" s="16"/>
      <c r="AO2023" s="16"/>
      <c r="AP2023" s="16"/>
      <c r="AQ2023" s="16"/>
      <c r="AR2023" s="16"/>
      <c r="AS2023" s="14"/>
      <c r="AT2023" s="14"/>
      <c r="AU2023" s="14"/>
      <c r="AV2023" s="14"/>
      <c r="AW2023" s="14"/>
      <c r="AX2023" s="14"/>
      <c r="AY2023" s="14"/>
      <c r="AZ2023" s="14"/>
      <c r="BA2023" s="14"/>
      <c r="BB2023" s="7"/>
    </row>
    <row r="2024" spans="7:54" x14ac:dyDescent="0.15">
      <c r="G2024" s="7"/>
      <c r="H2024" s="16"/>
      <c r="I2024" s="16"/>
      <c r="J2024" s="16"/>
      <c r="K2024" s="16"/>
      <c r="L2024" s="16"/>
      <c r="M2024" s="16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24"/>
      <c r="AC2024" s="16"/>
      <c r="AD2024" s="16"/>
      <c r="AE2024" s="16"/>
      <c r="AF2024" s="16"/>
      <c r="AG2024" s="14"/>
      <c r="AH2024" s="14"/>
      <c r="AI2024" s="24"/>
      <c r="AJ2024" s="24"/>
      <c r="AK2024" s="24"/>
      <c r="AL2024" s="16"/>
      <c r="AM2024" s="16"/>
      <c r="AN2024" s="16"/>
      <c r="AO2024" s="16"/>
      <c r="AP2024" s="16"/>
      <c r="AQ2024" s="16"/>
      <c r="AR2024" s="16"/>
      <c r="AS2024" s="14"/>
      <c r="AT2024" s="14"/>
      <c r="AU2024" s="14"/>
      <c r="AV2024" s="14"/>
      <c r="AW2024" s="14"/>
      <c r="AX2024" s="14"/>
      <c r="AY2024" s="14"/>
      <c r="AZ2024" s="14"/>
      <c r="BA2024" s="14"/>
      <c r="BB2024" s="7"/>
    </row>
    <row r="2025" spans="7:54" x14ac:dyDescent="0.15">
      <c r="G2025" s="7"/>
      <c r="H2025" s="16"/>
      <c r="I2025" s="16"/>
      <c r="J2025" s="16"/>
      <c r="K2025" s="16"/>
      <c r="L2025" s="16"/>
      <c r="M2025" s="16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  <c r="AB2025" s="24"/>
      <c r="AC2025" s="16"/>
      <c r="AD2025" s="16"/>
      <c r="AE2025" s="16"/>
      <c r="AF2025" s="16"/>
      <c r="AG2025" s="14"/>
      <c r="AH2025" s="14"/>
      <c r="AI2025" s="24"/>
      <c r="AJ2025" s="24"/>
      <c r="AK2025" s="24"/>
      <c r="AL2025" s="16"/>
      <c r="AM2025" s="16"/>
      <c r="AN2025" s="16"/>
      <c r="AO2025" s="16"/>
      <c r="AP2025" s="16"/>
      <c r="AQ2025" s="16"/>
      <c r="AR2025" s="16"/>
      <c r="AS2025" s="14"/>
      <c r="AT2025" s="14"/>
      <c r="AU2025" s="14"/>
      <c r="AV2025" s="14"/>
      <c r="AW2025" s="14"/>
      <c r="AX2025" s="14"/>
      <c r="AY2025" s="14"/>
      <c r="AZ2025" s="14"/>
      <c r="BA2025" s="14"/>
      <c r="BB2025" s="7"/>
    </row>
    <row r="2026" spans="7:54" x14ac:dyDescent="0.15">
      <c r="G2026" s="7"/>
      <c r="H2026" s="16"/>
      <c r="I2026" s="16"/>
      <c r="J2026" s="16"/>
      <c r="K2026" s="16"/>
      <c r="L2026" s="16"/>
      <c r="M2026" s="16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24"/>
      <c r="AC2026" s="16"/>
      <c r="AD2026" s="16"/>
      <c r="AE2026" s="16"/>
      <c r="AF2026" s="16"/>
      <c r="AG2026" s="14"/>
      <c r="AH2026" s="14"/>
      <c r="AI2026" s="24"/>
      <c r="AJ2026" s="24"/>
      <c r="AK2026" s="24"/>
      <c r="AL2026" s="16"/>
      <c r="AM2026" s="16"/>
      <c r="AN2026" s="16"/>
      <c r="AO2026" s="16"/>
      <c r="AP2026" s="16"/>
      <c r="AQ2026" s="16"/>
      <c r="AR2026" s="16"/>
      <c r="AS2026" s="14"/>
      <c r="AT2026" s="14"/>
      <c r="AU2026" s="14"/>
      <c r="AV2026" s="14"/>
      <c r="AW2026" s="14"/>
      <c r="AX2026" s="14"/>
      <c r="AY2026" s="14"/>
      <c r="AZ2026" s="14"/>
      <c r="BA2026" s="14"/>
      <c r="BB2026" s="7"/>
    </row>
    <row r="2027" spans="7:54" x14ac:dyDescent="0.15">
      <c r="G2027" s="7"/>
      <c r="H2027" s="16"/>
      <c r="I2027" s="16"/>
      <c r="J2027" s="16"/>
      <c r="K2027" s="16"/>
      <c r="L2027" s="16"/>
      <c r="M2027" s="16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24"/>
      <c r="AC2027" s="16"/>
      <c r="AD2027" s="16"/>
      <c r="AE2027" s="16"/>
      <c r="AF2027" s="16"/>
      <c r="AG2027" s="14"/>
      <c r="AH2027" s="14"/>
      <c r="AI2027" s="24"/>
      <c r="AJ2027" s="24"/>
      <c r="AK2027" s="24"/>
      <c r="AL2027" s="16"/>
      <c r="AM2027" s="16"/>
      <c r="AN2027" s="16"/>
      <c r="AO2027" s="16"/>
      <c r="AP2027" s="16"/>
      <c r="AQ2027" s="16"/>
      <c r="AR2027" s="16"/>
      <c r="AS2027" s="14"/>
      <c r="AT2027" s="14"/>
      <c r="AU2027" s="14"/>
      <c r="AV2027" s="14"/>
      <c r="AW2027" s="14"/>
      <c r="AX2027" s="14"/>
      <c r="AY2027" s="14"/>
      <c r="AZ2027" s="14"/>
      <c r="BA2027" s="14"/>
      <c r="BB2027" s="7"/>
    </row>
    <row r="2028" spans="7:54" x14ac:dyDescent="0.15">
      <c r="G2028" s="7"/>
      <c r="H2028" s="16"/>
      <c r="I2028" s="16"/>
      <c r="J2028" s="16"/>
      <c r="K2028" s="16"/>
      <c r="L2028" s="16"/>
      <c r="M2028" s="16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  <c r="AB2028" s="24"/>
      <c r="AC2028" s="16"/>
      <c r="AD2028" s="16"/>
      <c r="AE2028" s="16"/>
      <c r="AF2028" s="16"/>
      <c r="AG2028" s="14"/>
      <c r="AH2028" s="14"/>
      <c r="AI2028" s="24"/>
      <c r="AJ2028" s="24"/>
      <c r="AK2028" s="24"/>
      <c r="AL2028" s="16"/>
      <c r="AM2028" s="16"/>
      <c r="AN2028" s="16"/>
      <c r="AO2028" s="16"/>
      <c r="AP2028" s="16"/>
      <c r="AQ2028" s="16"/>
      <c r="AR2028" s="16"/>
      <c r="AS2028" s="14"/>
      <c r="AT2028" s="14"/>
      <c r="AU2028" s="14"/>
      <c r="AV2028" s="14"/>
      <c r="AW2028" s="14"/>
      <c r="AX2028" s="14"/>
      <c r="AY2028" s="14"/>
      <c r="AZ2028" s="14"/>
      <c r="BA2028" s="14"/>
      <c r="BB2028" s="7"/>
    </row>
    <row r="2029" spans="7:54" x14ac:dyDescent="0.15">
      <c r="G2029" s="7"/>
      <c r="H2029" s="16"/>
      <c r="I2029" s="16"/>
      <c r="J2029" s="16"/>
      <c r="K2029" s="16"/>
      <c r="L2029" s="16"/>
      <c r="M2029" s="16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  <c r="AB2029" s="24"/>
      <c r="AC2029" s="16"/>
      <c r="AD2029" s="16"/>
      <c r="AE2029" s="16"/>
      <c r="AF2029" s="16"/>
      <c r="AG2029" s="14"/>
      <c r="AH2029" s="14"/>
      <c r="AI2029" s="24"/>
      <c r="AJ2029" s="24"/>
      <c r="AK2029" s="24"/>
      <c r="AL2029" s="16"/>
      <c r="AM2029" s="16"/>
      <c r="AN2029" s="16"/>
      <c r="AO2029" s="16"/>
      <c r="AP2029" s="16"/>
      <c r="AQ2029" s="16"/>
      <c r="AR2029" s="16"/>
      <c r="AS2029" s="14"/>
      <c r="AT2029" s="14"/>
      <c r="AU2029" s="14"/>
      <c r="AV2029" s="14"/>
      <c r="AW2029" s="14"/>
      <c r="AX2029" s="14"/>
      <c r="AY2029" s="14"/>
      <c r="AZ2029" s="14"/>
      <c r="BA2029" s="14"/>
      <c r="BB2029" s="7"/>
    </row>
    <row r="2030" spans="7:54" x14ac:dyDescent="0.15">
      <c r="G2030" s="7"/>
      <c r="H2030" s="16"/>
      <c r="I2030" s="16"/>
      <c r="J2030" s="16"/>
      <c r="K2030" s="16"/>
      <c r="L2030" s="16"/>
      <c r="M2030" s="16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24"/>
      <c r="AC2030" s="16"/>
      <c r="AD2030" s="16"/>
      <c r="AE2030" s="16"/>
      <c r="AF2030" s="16"/>
      <c r="AG2030" s="14"/>
      <c r="AH2030" s="14"/>
      <c r="AI2030" s="24"/>
      <c r="AJ2030" s="24"/>
      <c r="AK2030" s="24"/>
      <c r="AL2030" s="16"/>
      <c r="AM2030" s="16"/>
      <c r="AN2030" s="16"/>
      <c r="AO2030" s="16"/>
      <c r="AP2030" s="16"/>
      <c r="AQ2030" s="16"/>
      <c r="AR2030" s="16"/>
      <c r="AS2030" s="14"/>
      <c r="AT2030" s="14"/>
      <c r="AU2030" s="14"/>
      <c r="AV2030" s="14"/>
      <c r="AW2030" s="14"/>
      <c r="AX2030" s="14"/>
      <c r="AY2030" s="14"/>
      <c r="AZ2030" s="14"/>
      <c r="BA2030" s="14"/>
      <c r="BB2030" s="7"/>
    </row>
    <row r="2031" spans="7:54" x14ac:dyDescent="0.15">
      <c r="G2031" s="7"/>
      <c r="H2031" s="16"/>
      <c r="I2031" s="16"/>
      <c r="J2031" s="16"/>
      <c r="K2031" s="16"/>
      <c r="L2031" s="16"/>
      <c r="M2031" s="16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24"/>
      <c r="AC2031" s="16"/>
      <c r="AD2031" s="16"/>
      <c r="AE2031" s="16"/>
      <c r="AF2031" s="16"/>
      <c r="AG2031" s="14"/>
      <c r="AH2031" s="14"/>
      <c r="AI2031" s="24"/>
      <c r="AJ2031" s="24"/>
      <c r="AK2031" s="24"/>
      <c r="AL2031" s="16"/>
      <c r="AM2031" s="16"/>
      <c r="AN2031" s="16"/>
      <c r="AO2031" s="16"/>
      <c r="AP2031" s="16"/>
      <c r="AQ2031" s="16"/>
      <c r="AR2031" s="16"/>
      <c r="AS2031" s="14"/>
      <c r="AT2031" s="14"/>
      <c r="AU2031" s="14"/>
      <c r="AV2031" s="14"/>
      <c r="AW2031" s="14"/>
      <c r="AX2031" s="14"/>
      <c r="AY2031" s="14"/>
      <c r="AZ2031" s="14"/>
      <c r="BA2031" s="14"/>
      <c r="BB2031" s="7"/>
    </row>
    <row r="2032" spans="7:54" x14ac:dyDescent="0.15">
      <c r="G2032" s="7"/>
      <c r="H2032" s="16"/>
      <c r="I2032" s="16"/>
      <c r="J2032" s="16"/>
      <c r="K2032" s="16"/>
      <c r="L2032" s="16"/>
      <c r="M2032" s="16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24"/>
      <c r="AC2032" s="16"/>
      <c r="AD2032" s="16"/>
      <c r="AE2032" s="16"/>
      <c r="AF2032" s="16"/>
      <c r="AG2032" s="14"/>
      <c r="AH2032" s="14"/>
      <c r="AI2032" s="24"/>
      <c r="AJ2032" s="24"/>
      <c r="AK2032" s="24"/>
      <c r="AL2032" s="16"/>
      <c r="AM2032" s="16"/>
      <c r="AN2032" s="16"/>
      <c r="AO2032" s="16"/>
      <c r="AP2032" s="16"/>
      <c r="AQ2032" s="16"/>
      <c r="AR2032" s="16"/>
      <c r="AS2032" s="14"/>
      <c r="AT2032" s="14"/>
      <c r="AU2032" s="14"/>
      <c r="AV2032" s="14"/>
      <c r="AW2032" s="14"/>
      <c r="AX2032" s="14"/>
      <c r="AY2032" s="14"/>
      <c r="AZ2032" s="14"/>
      <c r="BA2032" s="14"/>
      <c r="BB2032" s="7"/>
    </row>
    <row r="2033" spans="7:54" x14ac:dyDescent="0.15">
      <c r="G2033" s="7"/>
      <c r="H2033" s="16"/>
      <c r="I2033" s="16"/>
      <c r="J2033" s="16"/>
      <c r="K2033" s="16"/>
      <c r="L2033" s="16"/>
      <c r="M2033" s="16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14"/>
      <c r="AB2033" s="24"/>
      <c r="AC2033" s="16"/>
      <c r="AD2033" s="16"/>
      <c r="AE2033" s="16"/>
      <c r="AF2033" s="16"/>
      <c r="AG2033" s="14"/>
      <c r="AH2033" s="14"/>
      <c r="AI2033" s="24"/>
      <c r="AJ2033" s="24"/>
      <c r="AK2033" s="24"/>
      <c r="AL2033" s="16"/>
      <c r="AM2033" s="16"/>
      <c r="AN2033" s="16"/>
      <c r="AO2033" s="16"/>
      <c r="AP2033" s="16"/>
      <c r="AQ2033" s="16"/>
      <c r="AR2033" s="16"/>
      <c r="AS2033" s="14"/>
      <c r="AT2033" s="14"/>
      <c r="AU2033" s="14"/>
      <c r="AV2033" s="14"/>
      <c r="AW2033" s="14"/>
      <c r="AX2033" s="14"/>
      <c r="AY2033" s="14"/>
      <c r="AZ2033" s="14"/>
      <c r="BA2033" s="14"/>
      <c r="BB2033" s="7"/>
    </row>
    <row r="2034" spans="7:54" x14ac:dyDescent="0.15">
      <c r="G2034" s="7"/>
      <c r="H2034" s="16"/>
      <c r="I2034" s="16"/>
      <c r="J2034" s="16"/>
      <c r="K2034" s="16"/>
      <c r="L2034" s="16"/>
      <c r="M2034" s="16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  <c r="AB2034" s="24"/>
      <c r="AC2034" s="16"/>
      <c r="AD2034" s="16"/>
      <c r="AE2034" s="16"/>
      <c r="AF2034" s="16"/>
      <c r="AG2034" s="14"/>
      <c r="AH2034" s="14"/>
      <c r="AI2034" s="24"/>
      <c r="AJ2034" s="24"/>
      <c r="AK2034" s="24"/>
      <c r="AL2034" s="16"/>
      <c r="AM2034" s="16"/>
      <c r="AN2034" s="16"/>
      <c r="AO2034" s="16"/>
      <c r="AP2034" s="16"/>
      <c r="AQ2034" s="16"/>
      <c r="AR2034" s="16"/>
      <c r="AS2034" s="14"/>
      <c r="AT2034" s="14"/>
      <c r="AU2034" s="14"/>
      <c r="AV2034" s="14"/>
      <c r="AW2034" s="14"/>
      <c r="AX2034" s="14"/>
      <c r="AY2034" s="14"/>
      <c r="AZ2034" s="14"/>
      <c r="BA2034" s="14"/>
      <c r="BB2034" s="7"/>
    </row>
    <row r="2035" spans="7:54" x14ac:dyDescent="0.15">
      <c r="G2035" s="7"/>
      <c r="H2035" s="16"/>
      <c r="I2035" s="16"/>
      <c r="J2035" s="16"/>
      <c r="K2035" s="16"/>
      <c r="L2035" s="16"/>
      <c r="M2035" s="16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24"/>
      <c r="AC2035" s="16"/>
      <c r="AD2035" s="16"/>
      <c r="AE2035" s="16"/>
      <c r="AF2035" s="16"/>
      <c r="AG2035" s="14"/>
      <c r="AH2035" s="14"/>
      <c r="AI2035" s="24"/>
      <c r="AJ2035" s="24"/>
      <c r="AK2035" s="24"/>
      <c r="AL2035" s="16"/>
      <c r="AM2035" s="16"/>
      <c r="AN2035" s="16"/>
      <c r="AO2035" s="16"/>
      <c r="AP2035" s="16"/>
      <c r="AQ2035" s="16"/>
      <c r="AR2035" s="16"/>
      <c r="AS2035" s="14"/>
      <c r="AT2035" s="14"/>
      <c r="AU2035" s="14"/>
      <c r="AV2035" s="14"/>
      <c r="AW2035" s="14"/>
      <c r="AX2035" s="14"/>
      <c r="AY2035" s="14"/>
      <c r="AZ2035" s="14"/>
      <c r="BA2035" s="14"/>
      <c r="BB2035" s="7"/>
    </row>
    <row r="2036" spans="7:54" x14ac:dyDescent="0.15">
      <c r="G2036" s="7"/>
      <c r="H2036" s="16"/>
      <c r="I2036" s="16"/>
      <c r="J2036" s="16"/>
      <c r="K2036" s="16"/>
      <c r="L2036" s="16"/>
      <c r="M2036" s="16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24"/>
      <c r="AC2036" s="16"/>
      <c r="AD2036" s="16"/>
      <c r="AE2036" s="16"/>
      <c r="AF2036" s="16"/>
      <c r="AG2036" s="14"/>
      <c r="AH2036" s="14"/>
      <c r="AI2036" s="24"/>
      <c r="AJ2036" s="24"/>
      <c r="AK2036" s="24"/>
      <c r="AL2036" s="16"/>
      <c r="AM2036" s="16"/>
      <c r="AN2036" s="16"/>
      <c r="AO2036" s="16"/>
      <c r="AP2036" s="16"/>
      <c r="AQ2036" s="16"/>
      <c r="AR2036" s="16"/>
      <c r="AS2036" s="14"/>
      <c r="AT2036" s="14"/>
      <c r="AU2036" s="14"/>
      <c r="AV2036" s="14"/>
      <c r="AW2036" s="14"/>
      <c r="AX2036" s="14"/>
      <c r="AY2036" s="14"/>
      <c r="AZ2036" s="14"/>
      <c r="BA2036" s="14"/>
      <c r="BB2036" s="7"/>
    </row>
    <row r="2037" spans="7:54" x14ac:dyDescent="0.15">
      <c r="G2037" s="7"/>
      <c r="H2037" s="16"/>
      <c r="I2037" s="16"/>
      <c r="J2037" s="16"/>
      <c r="K2037" s="16"/>
      <c r="L2037" s="16"/>
      <c r="M2037" s="16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24"/>
      <c r="AC2037" s="16"/>
      <c r="AD2037" s="16"/>
      <c r="AE2037" s="16"/>
      <c r="AF2037" s="16"/>
      <c r="AG2037" s="14"/>
      <c r="AH2037" s="14"/>
      <c r="AI2037" s="24"/>
      <c r="AJ2037" s="24"/>
      <c r="AK2037" s="24"/>
      <c r="AL2037" s="16"/>
      <c r="AM2037" s="16"/>
      <c r="AN2037" s="16"/>
      <c r="AO2037" s="16"/>
      <c r="AP2037" s="16"/>
      <c r="AQ2037" s="16"/>
      <c r="AR2037" s="16"/>
      <c r="AS2037" s="14"/>
      <c r="AT2037" s="14"/>
      <c r="AU2037" s="14"/>
      <c r="AV2037" s="14"/>
      <c r="AW2037" s="14"/>
      <c r="AX2037" s="14"/>
      <c r="AY2037" s="14"/>
      <c r="AZ2037" s="14"/>
      <c r="BA2037" s="14"/>
      <c r="BB2037" s="7"/>
    </row>
    <row r="2038" spans="7:54" x14ac:dyDescent="0.15">
      <c r="G2038" s="7"/>
      <c r="H2038" s="16"/>
      <c r="I2038" s="16"/>
      <c r="J2038" s="16"/>
      <c r="K2038" s="16"/>
      <c r="L2038" s="16"/>
      <c r="M2038" s="16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24"/>
      <c r="AC2038" s="16"/>
      <c r="AD2038" s="16"/>
      <c r="AE2038" s="16"/>
      <c r="AF2038" s="16"/>
      <c r="AG2038" s="14"/>
      <c r="AH2038" s="14"/>
      <c r="AI2038" s="24"/>
      <c r="AJ2038" s="24"/>
      <c r="AK2038" s="24"/>
      <c r="AL2038" s="16"/>
      <c r="AM2038" s="16"/>
      <c r="AN2038" s="16"/>
      <c r="AO2038" s="16"/>
      <c r="AP2038" s="16"/>
      <c r="AQ2038" s="16"/>
      <c r="AR2038" s="16"/>
      <c r="AS2038" s="14"/>
      <c r="AT2038" s="14"/>
      <c r="AU2038" s="14"/>
      <c r="AV2038" s="14"/>
      <c r="AW2038" s="14"/>
      <c r="AX2038" s="14"/>
      <c r="AY2038" s="14"/>
      <c r="AZ2038" s="14"/>
      <c r="BA2038" s="14"/>
      <c r="BB2038" s="7"/>
    </row>
    <row r="2039" spans="7:54" x14ac:dyDescent="0.15">
      <c r="G2039" s="7"/>
      <c r="H2039" s="16"/>
      <c r="I2039" s="16"/>
      <c r="J2039" s="16"/>
      <c r="K2039" s="16"/>
      <c r="L2039" s="16"/>
      <c r="M2039" s="16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  <c r="AB2039" s="24"/>
      <c r="AC2039" s="16"/>
      <c r="AD2039" s="16"/>
      <c r="AE2039" s="16"/>
      <c r="AF2039" s="16"/>
      <c r="AG2039" s="14"/>
      <c r="AH2039" s="14"/>
      <c r="AI2039" s="24"/>
      <c r="AJ2039" s="24"/>
      <c r="AK2039" s="24"/>
      <c r="AL2039" s="16"/>
      <c r="AM2039" s="16"/>
      <c r="AN2039" s="16"/>
      <c r="AO2039" s="16"/>
      <c r="AP2039" s="16"/>
      <c r="AQ2039" s="16"/>
      <c r="AR2039" s="16"/>
      <c r="AS2039" s="14"/>
      <c r="AT2039" s="14"/>
      <c r="AU2039" s="14"/>
      <c r="AV2039" s="14"/>
      <c r="AW2039" s="14"/>
      <c r="AX2039" s="14"/>
      <c r="AY2039" s="14"/>
      <c r="AZ2039" s="14"/>
      <c r="BA2039" s="14"/>
      <c r="BB2039" s="7"/>
    </row>
    <row r="2040" spans="7:54" x14ac:dyDescent="0.15">
      <c r="G2040" s="7"/>
      <c r="H2040" s="16"/>
      <c r="I2040" s="16"/>
      <c r="J2040" s="16"/>
      <c r="K2040" s="16"/>
      <c r="L2040" s="16"/>
      <c r="M2040" s="16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  <c r="AB2040" s="24"/>
      <c r="AC2040" s="16"/>
      <c r="AD2040" s="16"/>
      <c r="AE2040" s="16"/>
      <c r="AF2040" s="16"/>
      <c r="AG2040" s="14"/>
      <c r="AH2040" s="14"/>
      <c r="AI2040" s="24"/>
      <c r="AJ2040" s="24"/>
      <c r="AK2040" s="24"/>
      <c r="AL2040" s="16"/>
      <c r="AM2040" s="16"/>
      <c r="AN2040" s="16"/>
      <c r="AO2040" s="16"/>
      <c r="AP2040" s="16"/>
      <c r="AQ2040" s="16"/>
      <c r="AR2040" s="16"/>
      <c r="AS2040" s="14"/>
      <c r="AT2040" s="14"/>
      <c r="AU2040" s="14"/>
      <c r="AV2040" s="14"/>
      <c r="AW2040" s="14"/>
      <c r="AX2040" s="14"/>
      <c r="AY2040" s="14"/>
      <c r="AZ2040" s="14"/>
      <c r="BA2040" s="14"/>
      <c r="BB2040" s="7"/>
    </row>
    <row r="2041" spans="7:54" x14ac:dyDescent="0.15">
      <c r="G2041" s="7"/>
      <c r="H2041" s="16"/>
      <c r="I2041" s="16"/>
      <c r="J2041" s="16"/>
      <c r="K2041" s="16"/>
      <c r="L2041" s="16"/>
      <c r="M2041" s="16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24"/>
      <c r="AC2041" s="16"/>
      <c r="AD2041" s="16"/>
      <c r="AE2041" s="16"/>
      <c r="AF2041" s="16"/>
      <c r="AG2041" s="14"/>
      <c r="AH2041" s="14"/>
      <c r="AI2041" s="24"/>
      <c r="AJ2041" s="24"/>
      <c r="AK2041" s="24"/>
      <c r="AL2041" s="16"/>
      <c r="AM2041" s="16"/>
      <c r="AN2041" s="16"/>
      <c r="AO2041" s="16"/>
      <c r="AP2041" s="16"/>
      <c r="AQ2041" s="16"/>
      <c r="AR2041" s="16"/>
      <c r="AS2041" s="14"/>
      <c r="AT2041" s="14"/>
      <c r="AU2041" s="14"/>
      <c r="AV2041" s="14"/>
      <c r="AW2041" s="14"/>
      <c r="AX2041" s="14"/>
      <c r="AY2041" s="14"/>
      <c r="AZ2041" s="14"/>
      <c r="BA2041" s="14"/>
      <c r="BB2041" s="7"/>
    </row>
    <row r="2042" spans="7:54" x14ac:dyDescent="0.15">
      <c r="G2042" s="7"/>
      <c r="H2042" s="16"/>
      <c r="I2042" s="16"/>
      <c r="J2042" s="16"/>
      <c r="K2042" s="16"/>
      <c r="L2042" s="16"/>
      <c r="M2042" s="16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24"/>
      <c r="AC2042" s="16"/>
      <c r="AD2042" s="16"/>
      <c r="AE2042" s="16"/>
      <c r="AF2042" s="16"/>
      <c r="AG2042" s="14"/>
      <c r="AH2042" s="14"/>
      <c r="AI2042" s="24"/>
      <c r="AJ2042" s="24"/>
      <c r="AK2042" s="24"/>
      <c r="AL2042" s="16"/>
      <c r="AM2042" s="16"/>
      <c r="AN2042" s="16"/>
      <c r="AO2042" s="16"/>
      <c r="AP2042" s="16"/>
      <c r="AQ2042" s="16"/>
      <c r="AR2042" s="16"/>
      <c r="AS2042" s="14"/>
      <c r="AT2042" s="14"/>
      <c r="AU2042" s="14"/>
      <c r="AV2042" s="14"/>
      <c r="AW2042" s="14"/>
      <c r="AX2042" s="14"/>
      <c r="AY2042" s="14"/>
      <c r="AZ2042" s="14"/>
      <c r="BA2042" s="14"/>
      <c r="BB2042" s="7"/>
    </row>
    <row r="2043" spans="7:54" x14ac:dyDescent="0.15">
      <c r="G2043" s="7"/>
      <c r="H2043" s="16"/>
      <c r="I2043" s="16"/>
      <c r="J2043" s="16"/>
      <c r="K2043" s="16"/>
      <c r="L2043" s="16"/>
      <c r="M2043" s="16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  <c r="AB2043" s="24"/>
      <c r="AC2043" s="16"/>
      <c r="AD2043" s="16"/>
      <c r="AE2043" s="16"/>
      <c r="AF2043" s="16"/>
      <c r="AG2043" s="14"/>
      <c r="AH2043" s="14"/>
      <c r="AI2043" s="24"/>
      <c r="AJ2043" s="24"/>
      <c r="AK2043" s="24"/>
      <c r="AL2043" s="16"/>
      <c r="AM2043" s="16"/>
      <c r="AN2043" s="16"/>
      <c r="AO2043" s="16"/>
      <c r="AP2043" s="16"/>
      <c r="AQ2043" s="16"/>
      <c r="AR2043" s="16"/>
      <c r="AS2043" s="14"/>
      <c r="AT2043" s="14"/>
      <c r="AU2043" s="14"/>
      <c r="AV2043" s="14"/>
      <c r="AW2043" s="14"/>
      <c r="AX2043" s="14"/>
      <c r="AY2043" s="14"/>
      <c r="AZ2043" s="14"/>
      <c r="BA2043" s="14"/>
      <c r="BB2043" s="7"/>
    </row>
    <row r="2044" spans="7:54" x14ac:dyDescent="0.15">
      <c r="G2044" s="7"/>
      <c r="H2044" s="16"/>
      <c r="I2044" s="16"/>
      <c r="J2044" s="16"/>
      <c r="K2044" s="16"/>
      <c r="L2044" s="16"/>
      <c r="M2044" s="16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  <c r="AB2044" s="24"/>
      <c r="AC2044" s="16"/>
      <c r="AD2044" s="16"/>
      <c r="AE2044" s="16"/>
      <c r="AF2044" s="16"/>
      <c r="AG2044" s="14"/>
      <c r="AH2044" s="14"/>
      <c r="AI2044" s="24"/>
      <c r="AJ2044" s="24"/>
      <c r="AK2044" s="24"/>
      <c r="AL2044" s="16"/>
      <c r="AM2044" s="16"/>
      <c r="AN2044" s="16"/>
      <c r="AO2044" s="16"/>
      <c r="AP2044" s="16"/>
      <c r="AQ2044" s="16"/>
      <c r="AR2044" s="16"/>
      <c r="AS2044" s="14"/>
      <c r="AT2044" s="14"/>
      <c r="AU2044" s="14"/>
      <c r="AV2044" s="14"/>
      <c r="AW2044" s="14"/>
      <c r="AX2044" s="14"/>
      <c r="AY2044" s="14"/>
      <c r="AZ2044" s="14"/>
      <c r="BA2044" s="14"/>
      <c r="BB2044" s="7"/>
    </row>
    <row r="2045" spans="7:54" x14ac:dyDescent="0.15">
      <c r="G2045" s="7"/>
      <c r="H2045" s="16"/>
      <c r="I2045" s="16"/>
      <c r="J2045" s="16"/>
      <c r="K2045" s="16"/>
      <c r="L2045" s="16"/>
      <c r="M2045" s="16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24"/>
      <c r="AC2045" s="16"/>
      <c r="AD2045" s="16"/>
      <c r="AE2045" s="16"/>
      <c r="AF2045" s="16"/>
      <c r="AG2045" s="14"/>
      <c r="AH2045" s="14"/>
      <c r="AI2045" s="24"/>
      <c r="AJ2045" s="24"/>
      <c r="AK2045" s="24"/>
      <c r="AL2045" s="16"/>
      <c r="AM2045" s="16"/>
      <c r="AN2045" s="16"/>
      <c r="AO2045" s="16"/>
      <c r="AP2045" s="16"/>
      <c r="AQ2045" s="16"/>
      <c r="AR2045" s="16"/>
      <c r="AS2045" s="14"/>
      <c r="AT2045" s="14"/>
      <c r="AU2045" s="14"/>
      <c r="AV2045" s="14"/>
      <c r="AW2045" s="14"/>
      <c r="AX2045" s="14"/>
      <c r="AY2045" s="14"/>
      <c r="AZ2045" s="14"/>
      <c r="BA2045" s="14"/>
      <c r="BB2045" s="7"/>
    </row>
    <row r="2046" spans="7:54" x14ac:dyDescent="0.15">
      <c r="G2046" s="7"/>
      <c r="H2046" s="16"/>
      <c r="I2046" s="16"/>
      <c r="J2046" s="16"/>
      <c r="K2046" s="16"/>
      <c r="L2046" s="16"/>
      <c r="M2046" s="16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24"/>
      <c r="AC2046" s="16"/>
      <c r="AD2046" s="16"/>
      <c r="AE2046" s="16"/>
      <c r="AF2046" s="16"/>
      <c r="AG2046" s="14"/>
      <c r="AH2046" s="14"/>
      <c r="AI2046" s="24"/>
      <c r="AJ2046" s="24"/>
      <c r="AK2046" s="24"/>
      <c r="AL2046" s="16"/>
      <c r="AM2046" s="16"/>
      <c r="AN2046" s="16"/>
      <c r="AO2046" s="16"/>
      <c r="AP2046" s="16"/>
      <c r="AQ2046" s="16"/>
      <c r="AR2046" s="16"/>
      <c r="AS2046" s="14"/>
      <c r="AT2046" s="14"/>
      <c r="AU2046" s="14"/>
      <c r="AV2046" s="14"/>
      <c r="AW2046" s="14"/>
      <c r="AX2046" s="14"/>
      <c r="AY2046" s="14"/>
      <c r="AZ2046" s="14"/>
      <c r="BA2046" s="14"/>
      <c r="BB2046" s="7"/>
    </row>
    <row r="2047" spans="7:54" x14ac:dyDescent="0.15">
      <c r="G2047" s="7"/>
      <c r="H2047" s="16"/>
      <c r="I2047" s="16"/>
      <c r="J2047" s="16"/>
      <c r="K2047" s="16"/>
      <c r="L2047" s="16"/>
      <c r="M2047" s="16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24"/>
      <c r="AC2047" s="16"/>
      <c r="AD2047" s="16"/>
      <c r="AE2047" s="16"/>
      <c r="AF2047" s="16"/>
      <c r="AG2047" s="14"/>
      <c r="AH2047" s="14"/>
      <c r="AI2047" s="24"/>
      <c r="AJ2047" s="24"/>
      <c r="AK2047" s="24"/>
      <c r="AL2047" s="16"/>
      <c r="AM2047" s="16"/>
      <c r="AN2047" s="16"/>
      <c r="AO2047" s="16"/>
      <c r="AP2047" s="16"/>
      <c r="AQ2047" s="16"/>
      <c r="AR2047" s="16"/>
      <c r="AS2047" s="14"/>
      <c r="AT2047" s="14"/>
      <c r="AU2047" s="14"/>
      <c r="AV2047" s="14"/>
      <c r="AW2047" s="14"/>
      <c r="AX2047" s="14"/>
      <c r="AY2047" s="14"/>
      <c r="AZ2047" s="14"/>
      <c r="BA2047" s="14"/>
      <c r="BB2047" s="7"/>
    </row>
    <row r="2048" spans="7:54" x14ac:dyDescent="0.15">
      <c r="G2048" s="7"/>
      <c r="H2048" s="16"/>
      <c r="I2048" s="16"/>
      <c r="J2048" s="16"/>
      <c r="K2048" s="16"/>
      <c r="L2048" s="16"/>
      <c r="M2048" s="16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14"/>
      <c r="AB2048" s="24"/>
      <c r="AC2048" s="16"/>
      <c r="AD2048" s="16"/>
      <c r="AE2048" s="16"/>
      <c r="AF2048" s="16"/>
      <c r="AG2048" s="14"/>
      <c r="AH2048" s="14"/>
      <c r="AI2048" s="24"/>
      <c r="AJ2048" s="24"/>
      <c r="AK2048" s="24"/>
      <c r="AL2048" s="16"/>
      <c r="AM2048" s="16"/>
      <c r="AN2048" s="16"/>
      <c r="AO2048" s="16"/>
      <c r="AP2048" s="16"/>
      <c r="AQ2048" s="16"/>
      <c r="AR2048" s="16"/>
      <c r="AS2048" s="14"/>
      <c r="AT2048" s="14"/>
      <c r="AU2048" s="14"/>
      <c r="AV2048" s="14"/>
      <c r="AW2048" s="14"/>
      <c r="AX2048" s="14"/>
      <c r="AY2048" s="14"/>
      <c r="AZ2048" s="14"/>
      <c r="BA2048" s="14"/>
      <c r="BB2048" s="7"/>
    </row>
    <row r="2049" spans="7:54" x14ac:dyDescent="0.15">
      <c r="G2049" s="7"/>
      <c r="H2049" s="16"/>
      <c r="I2049" s="16"/>
      <c r="J2049" s="16"/>
      <c r="K2049" s="16"/>
      <c r="L2049" s="16"/>
      <c r="M2049" s="16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24"/>
      <c r="AC2049" s="16"/>
      <c r="AD2049" s="16"/>
      <c r="AE2049" s="16"/>
      <c r="AF2049" s="16"/>
      <c r="AG2049" s="14"/>
      <c r="AH2049" s="14"/>
      <c r="AI2049" s="24"/>
      <c r="AJ2049" s="24"/>
      <c r="AK2049" s="24"/>
      <c r="AL2049" s="16"/>
      <c r="AM2049" s="16"/>
      <c r="AN2049" s="16"/>
      <c r="AO2049" s="16"/>
      <c r="AP2049" s="16"/>
      <c r="AQ2049" s="16"/>
      <c r="AR2049" s="16"/>
      <c r="AS2049" s="14"/>
      <c r="AT2049" s="14"/>
      <c r="AU2049" s="14"/>
      <c r="AV2049" s="14"/>
      <c r="AW2049" s="14"/>
      <c r="AX2049" s="14"/>
      <c r="AY2049" s="14"/>
      <c r="AZ2049" s="14"/>
      <c r="BA2049" s="14"/>
      <c r="BB2049" s="7"/>
    </row>
    <row r="2050" spans="7:54" x14ac:dyDescent="0.15">
      <c r="G2050" s="7"/>
      <c r="H2050" s="16"/>
      <c r="I2050" s="16"/>
      <c r="J2050" s="16"/>
      <c r="K2050" s="16"/>
      <c r="L2050" s="16"/>
      <c r="M2050" s="16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4"/>
      <c r="AB2050" s="24"/>
      <c r="AC2050" s="16"/>
      <c r="AD2050" s="16"/>
      <c r="AE2050" s="16"/>
      <c r="AF2050" s="16"/>
      <c r="AG2050" s="14"/>
      <c r="AH2050" s="14"/>
      <c r="AI2050" s="24"/>
      <c r="AJ2050" s="24"/>
      <c r="AK2050" s="24"/>
      <c r="AL2050" s="16"/>
      <c r="AM2050" s="16"/>
      <c r="AN2050" s="16"/>
      <c r="AO2050" s="16"/>
      <c r="AP2050" s="16"/>
      <c r="AQ2050" s="16"/>
      <c r="AR2050" s="16"/>
      <c r="AS2050" s="14"/>
      <c r="AT2050" s="14"/>
      <c r="AU2050" s="14"/>
      <c r="AV2050" s="14"/>
      <c r="AW2050" s="14"/>
      <c r="AX2050" s="14"/>
      <c r="AY2050" s="14"/>
      <c r="AZ2050" s="14"/>
      <c r="BA2050" s="14"/>
      <c r="BB2050" s="7"/>
    </row>
    <row r="2051" spans="7:54" x14ac:dyDescent="0.15">
      <c r="G2051" s="7"/>
      <c r="H2051" s="16"/>
      <c r="I2051" s="16"/>
      <c r="J2051" s="16"/>
      <c r="K2051" s="16"/>
      <c r="L2051" s="16"/>
      <c r="M2051" s="16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24"/>
      <c r="AC2051" s="16"/>
      <c r="AD2051" s="16"/>
      <c r="AE2051" s="16"/>
      <c r="AF2051" s="16"/>
      <c r="AG2051" s="14"/>
      <c r="AH2051" s="14"/>
      <c r="AI2051" s="24"/>
      <c r="AJ2051" s="24"/>
      <c r="AK2051" s="24"/>
      <c r="AL2051" s="16"/>
      <c r="AM2051" s="16"/>
      <c r="AN2051" s="16"/>
      <c r="AO2051" s="16"/>
      <c r="AP2051" s="16"/>
      <c r="AQ2051" s="16"/>
      <c r="AR2051" s="16"/>
      <c r="AS2051" s="14"/>
      <c r="AT2051" s="14"/>
      <c r="AU2051" s="14"/>
      <c r="AV2051" s="14"/>
      <c r="AW2051" s="14"/>
      <c r="AX2051" s="14"/>
      <c r="AY2051" s="14"/>
      <c r="AZ2051" s="14"/>
      <c r="BA2051" s="14"/>
      <c r="BB2051" s="7"/>
    </row>
    <row r="2052" spans="7:54" x14ac:dyDescent="0.15">
      <c r="G2052" s="7"/>
      <c r="H2052" s="16"/>
      <c r="I2052" s="16"/>
      <c r="J2052" s="16"/>
      <c r="K2052" s="16"/>
      <c r="L2052" s="16"/>
      <c r="M2052" s="16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24"/>
      <c r="AC2052" s="16"/>
      <c r="AD2052" s="16"/>
      <c r="AE2052" s="16"/>
      <c r="AF2052" s="16"/>
      <c r="AG2052" s="14"/>
      <c r="AH2052" s="14"/>
      <c r="AI2052" s="24"/>
      <c r="AJ2052" s="24"/>
      <c r="AK2052" s="24"/>
      <c r="AL2052" s="16"/>
      <c r="AM2052" s="16"/>
      <c r="AN2052" s="16"/>
      <c r="AO2052" s="16"/>
      <c r="AP2052" s="16"/>
      <c r="AQ2052" s="16"/>
      <c r="AR2052" s="16"/>
      <c r="AS2052" s="14"/>
      <c r="AT2052" s="14"/>
      <c r="AU2052" s="14"/>
      <c r="AV2052" s="14"/>
      <c r="AW2052" s="14"/>
      <c r="AX2052" s="14"/>
      <c r="AY2052" s="14"/>
      <c r="AZ2052" s="14"/>
      <c r="BA2052" s="14"/>
      <c r="BB2052" s="7"/>
    </row>
    <row r="2053" spans="7:54" x14ac:dyDescent="0.15">
      <c r="G2053" s="7"/>
      <c r="H2053" s="16"/>
      <c r="I2053" s="16"/>
      <c r="J2053" s="16"/>
      <c r="K2053" s="16"/>
      <c r="L2053" s="16"/>
      <c r="M2053" s="16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14"/>
      <c r="AB2053" s="24"/>
      <c r="AC2053" s="16"/>
      <c r="AD2053" s="16"/>
      <c r="AE2053" s="16"/>
      <c r="AF2053" s="16"/>
      <c r="AG2053" s="14"/>
      <c r="AH2053" s="14"/>
      <c r="AI2053" s="24"/>
      <c r="AJ2053" s="24"/>
      <c r="AK2053" s="24"/>
      <c r="AL2053" s="16"/>
      <c r="AM2053" s="16"/>
      <c r="AN2053" s="16"/>
      <c r="AO2053" s="16"/>
      <c r="AP2053" s="16"/>
      <c r="AQ2053" s="16"/>
      <c r="AR2053" s="16"/>
      <c r="AS2053" s="14"/>
      <c r="AT2053" s="14"/>
      <c r="AU2053" s="14"/>
      <c r="AV2053" s="14"/>
      <c r="AW2053" s="14"/>
      <c r="AX2053" s="14"/>
      <c r="AY2053" s="14"/>
      <c r="AZ2053" s="14"/>
      <c r="BA2053" s="14"/>
      <c r="BB2053" s="7"/>
    </row>
    <row r="2054" spans="7:54" x14ac:dyDescent="0.15">
      <c r="G2054" s="7"/>
      <c r="H2054" s="16"/>
      <c r="I2054" s="16"/>
      <c r="J2054" s="16"/>
      <c r="K2054" s="16"/>
      <c r="L2054" s="16"/>
      <c r="M2054" s="16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  <c r="AB2054" s="24"/>
      <c r="AC2054" s="16"/>
      <c r="AD2054" s="16"/>
      <c r="AE2054" s="16"/>
      <c r="AF2054" s="16"/>
      <c r="AG2054" s="14"/>
      <c r="AH2054" s="14"/>
      <c r="AI2054" s="24"/>
      <c r="AJ2054" s="24"/>
      <c r="AK2054" s="24"/>
      <c r="AL2054" s="16"/>
      <c r="AM2054" s="16"/>
      <c r="AN2054" s="16"/>
      <c r="AO2054" s="16"/>
      <c r="AP2054" s="16"/>
      <c r="AQ2054" s="16"/>
      <c r="AR2054" s="16"/>
      <c r="AS2054" s="14"/>
      <c r="AT2054" s="14"/>
      <c r="AU2054" s="14"/>
      <c r="AV2054" s="14"/>
      <c r="AW2054" s="14"/>
      <c r="AX2054" s="14"/>
      <c r="AY2054" s="14"/>
      <c r="AZ2054" s="14"/>
      <c r="BA2054" s="14"/>
      <c r="BB2054" s="7"/>
    </row>
    <row r="2055" spans="7:54" x14ac:dyDescent="0.15">
      <c r="G2055" s="7"/>
      <c r="H2055" s="16"/>
      <c r="I2055" s="16"/>
      <c r="J2055" s="16"/>
      <c r="K2055" s="16"/>
      <c r="L2055" s="16"/>
      <c r="M2055" s="16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  <c r="AB2055" s="24"/>
      <c r="AC2055" s="16"/>
      <c r="AD2055" s="16"/>
      <c r="AE2055" s="16"/>
      <c r="AF2055" s="16"/>
      <c r="AG2055" s="14"/>
      <c r="AH2055" s="14"/>
      <c r="AI2055" s="24"/>
      <c r="AJ2055" s="24"/>
      <c r="AK2055" s="24"/>
      <c r="AL2055" s="16"/>
      <c r="AM2055" s="16"/>
      <c r="AN2055" s="16"/>
      <c r="AO2055" s="16"/>
      <c r="AP2055" s="16"/>
      <c r="AQ2055" s="16"/>
      <c r="AR2055" s="16"/>
      <c r="AS2055" s="14"/>
      <c r="AT2055" s="14"/>
      <c r="AU2055" s="14"/>
      <c r="AV2055" s="14"/>
      <c r="AW2055" s="14"/>
      <c r="AX2055" s="14"/>
      <c r="AY2055" s="14"/>
      <c r="AZ2055" s="14"/>
      <c r="BA2055" s="14"/>
      <c r="BB2055" s="7"/>
    </row>
    <row r="2056" spans="7:54" x14ac:dyDescent="0.15">
      <c r="G2056" s="7"/>
      <c r="H2056" s="16"/>
      <c r="I2056" s="16"/>
      <c r="J2056" s="16"/>
      <c r="K2056" s="16"/>
      <c r="L2056" s="16"/>
      <c r="M2056" s="16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24"/>
      <c r="AC2056" s="16"/>
      <c r="AD2056" s="16"/>
      <c r="AE2056" s="16"/>
      <c r="AF2056" s="16"/>
      <c r="AG2056" s="14"/>
      <c r="AH2056" s="14"/>
      <c r="AI2056" s="24"/>
      <c r="AJ2056" s="24"/>
      <c r="AK2056" s="24"/>
      <c r="AL2056" s="16"/>
      <c r="AM2056" s="16"/>
      <c r="AN2056" s="16"/>
      <c r="AO2056" s="16"/>
      <c r="AP2056" s="16"/>
      <c r="AQ2056" s="16"/>
      <c r="AR2056" s="16"/>
      <c r="AS2056" s="14"/>
      <c r="AT2056" s="14"/>
      <c r="AU2056" s="14"/>
      <c r="AV2056" s="14"/>
      <c r="AW2056" s="14"/>
      <c r="AX2056" s="14"/>
      <c r="AY2056" s="14"/>
      <c r="AZ2056" s="14"/>
      <c r="BA2056" s="14"/>
      <c r="BB2056" s="7"/>
    </row>
    <row r="2057" spans="7:54" x14ac:dyDescent="0.15">
      <c r="G2057" s="7"/>
      <c r="H2057" s="16"/>
      <c r="I2057" s="16"/>
      <c r="J2057" s="16"/>
      <c r="K2057" s="16"/>
      <c r="L2057" s="16"/>
      <c r="M2057" s="16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24"/>
      <c r="AC2057" s="16"/>
      <c r="AD2057" s="16"/>
      <c r="AE2057" s="16"/>
      <c r="AF2057" s="16"/>
      <c r="AG2057" s="14"/>
      <c r="AH2057" s="14"/>
      <c r="AI2057" s="24"/>
      <c r="AJ2057" s="24"/>
      <c r="AK2057" s="24"/>
      <c r="AL2057" s="16"/>
      <c r="AM2057" s="16"/>
      <c r="AN2057" s="16"/>
      <c r="AO2057" s="16"/>
      <c r="AP2057" s="16"/>
      <c r="AQ2057" s="16"/>
      <c r="AR2057" s="16"/>
      <c r="AS2057" s="14"/>
      <c r="AT2057" s="14"/>
      <c r="AU2057" s="14"/>
      <c r="AV2057" s="14"/>
      <c r="AW2057" s="14"/>
      <c r="AX2057" s="14"/>
      <c r="AY2057" s="14"/>
      <c r="AZ2057" s="14"/>
      <c r="BA2057" s="14"/>
      <c r="BB2057" s="7"/>
    </row>
    <row r="2058" spans="7:54" x14ac:dyDescent="0.15">
      <c r="G2058" s="7"/>
      <c r="H2058" s="16"/>
      <c r="I2058" s="16"/>
      <c r="J2058" s="16"/>
      <c r="K2058" s="16"/>
      <c r="L2058" s="16"/>
      <c r="M2058" s="16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  <c r="AB2058" s="24"/>
      <c r="AC2058" s="16"/>
      <c r="AD2058" s="16"/>
      <c r="AE2058" s="16"/>
      <c r="AF2058" s="16"/>
      <c r="AG2058" s="14"/>
      <c r="AH2058" s="14"/>
      <c r="AI2058" s="24"/>
      <c r="AJ2058" s="24"/>
      <c r="AK2058" s="24"/>
      <c r="AL2058" s="16"/>
      <c r="AM2058" s="16"/>
      <c r="AN2058" s="16"/>
      <c r="AO2058" s="16"/>
      <c r="AP2058" s="16"/>
      <c r="AQ2058" s="16"/>
      <c r="AR2058" s="16"/>
      <c r="AS2058" s="14"/>
      <c r="AT2058" s="14"/>
      <c r="AU2058" s="14"/>
      <c r="AV2058" s="14"/>
      <c r="AW2058" s="14"/>
      <c r="AX2058" s="14"/>
      <c r="AY2058" s="14"/>
      <c r="AZ2058" s="14"/>
      <c r="BA2058" s="14"/>
      <c r="BB2058" s="7"/>
    </row>
    <row r="2059" spans="7:54" x14ac:dyDescent="0.15">
      <c r="G2059" s="7"/>
      <c r="H2059" s="16"/>
      <c r="I2059" s="16"/>
      <c r="J2059" s="16"/>
      <c r="K2059" s="16"/>
      <c r="L2059" s="16"/>
      <c r="M2059" s="16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24"/>
      <c r="AC2059" s="16"/>
      <c r="AD2059" s="16"/>
      <c r="AE2059" s="16"/>
      <c r="AF2059" s="16"/>
      <c r="AG2059" s="14"/>
      <c r="AH2059" s="14"/>
      <c r="AI2059" s="24"/>
      <c r="AJ2059" s="24"/>
      <c r="AK2059" s="24"/>
      <c r="AL2059" s="16"/>
      <c r="AM2059" s="16"/>
      <c r="AN2059" s="16"/>
      <c r="AO2059" s="16"/>
      <c r="AP2059" s="16"/>
      <c r="AQ2059" s="16"/>
      <c r="AR2059" s="16"/>
      <c r="AS2059" s="14"/>
      <c r="AT2059" s="14"/>
      <c r="AU2059" s="14"/>
      <c r="AV2059" s="14"/>
      <c r="AW2059" s="14"/>
      <c r="AX2059" s="14"/>
      <c r="AY2059" s="14"/>
      <c r="AZ2059" s="14"/>
      <c r="BA2059" s="14"/>
      <c r="BB2059" s="7"/>
    </row>
    <row r="2060" spans="7:54" x14ac:dyDescent="0.15">
      <c r="G2060" s="7"/>
      <c r="H2060" s="16"/>
      <c r="I2060" s="16"/>
      <c r="J2060" s="16"/>
      <c r="K2060" s="16"/>
      <c r="L2060" s="16"/>
      <c r="M2060" s="16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24"/>
      <c r="AC2060" s="16"/>
      <c r="AD2060" s="16"/>
      <c r="AE2060" s="16"/>
      <c r="AF2060" s="16"/>
      <c r="AG2060" s="14"/>
      <c r="AH2060" s="14"/>
      <c r="AI2060" s="24"/>
      <c r="AJ2060" s="24"/>
      <c r="AK2060" s="24"/>
      <c r="AL2060" s="16"/>
      <c r="AM2060" s="16"/>
      <c r="AN2060" s="16"/>
      <c r="AO2060" s="16"/>
      <c r="AP2060" s="16"/>
      <c r="AQ2060" s="16"/>
      <c r="AR2060" s="16"/>
      <c r="AS2060" s="14"/>
      <c r="AT2060" s="14"/>
      <c r="AU2060" s="14"/>
      <c r="AV2060" s="14"/>
      <c r="AW2060" s="14"/>
      <c r="AX2060" s="14"/>
      <c r="AY2060" s="14"/>
      <c r="AZ2060" s="14"/>
      <c r="BA2060" s="14"/>
      <c r="BB2060" s="7"/>
    </row>
    <row r="2061" spans="7:54" x14ac:dyDescent="0.15">
      <c r="G2061" s="7"/>
      <c r="H2061" s="16"/>
      <c r="I2061" s="16"/>
      <c r="J2061" s="16"/>
      <c r="K2061" s="16"/>
      <c r="L2061" s="16"/>
      <c r="M2061" s="16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24"/>
      <c r="AC2061" s="16"/>
      <c r="AD2061" s="16"/>
      <c r="AE2061" s="16"/>
      <c r="AF2061" s="16"/>
      <c r="AG2061" s="14"/>
      <c r="AH2061" s="14"/>
      <c r="AI2061" s="24"/>
      <c r="AJ2061" s="24"/>
      <c r="AK2061" s="24"/>
      <c r="AL2061" s="16"/>
      <c r="AM2061" s="16"/>
      <c r="AN2061" s="16"/>
      <c r="AO2061" s="16"/>
      <c r="AP2061" s="16"/>
      <c r="AQ2061" s="16"/>
      <c r="AR2061" s="16"/>
      <c r="AS2061" s="14"/>
      <c r="AT2061" s="14"/>
      <c r="AU2061" s="14"/>
      <c r="AV2061" s="14"/>
      <c r="AW2061" s="14"/>
      <c r="AX2061" s="14"/>
      <c r="AY2061" s="14"/>
      <c r="AZ2061" s="14"/>
      <c r="BA2061" s="14"/>
      <c r="BB2061" s="7"/>
    </row>
    <row r="2062" spans="7:54" x14ac:dyDescent="0.15">
      <c r="G2062" s="7"/>
      <c r="H2062" s="16"/>
      <c r="I2062" s="16"/>
      <c r="J2062" s="16"/>
      <c r="K2062" s="16"/>
      <c r="L2062" s="16"/>
      <c r="M2062" s="16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24"/>
      <c r="AC2062" s="16"/>
      <c r="AD2062" s="16"/>
      <c r="AE2062" s="16"/>
      <c r="AF2062" s="16"/>
      <c r="AG2062" s="14"/>
      <c r="AH2062" s="14"/>
      <c r="AI2062" s="24"/>
      <c r="AJ2062" s="24"/>
      <c r="AK2062" s="24"/>
      <c r="AL2062" s="16"/>
      <c r="AM2062" s="16"/>
      <c r="AN2062" s="16"/>
      <c r="AO2062" s="16"/>
      <c r="AP2062" s="16"/>
      <c r="AQ2062" s="16"/>
      <c r="AR2062" s="16"/>
      <c r="AS2062" s="14"/>
      <c r="AT2062" s="14"/>
      <c r="AU2062" s="14"/>
      <c r="AV2062" s="14"/>
      <c r="AW2062" s="14"/>
      <c r="AX2062" s="14"/>
      <c r="AY2062" s="14"/>
      <c r="AZ2062" s="14"/>
      <c r="BA2062" s="14"/>
      <c r="BB2062" s="7"/>
    </row>
    <row r="2063" spans="7:54" x14ac:dyDescent="0.15">
      <c r="G2063" s="7"/>
      <c r="H2063" s="16"/>
      <c r="I2063" s="16"/>
      <c r="J2063" s="16"/>
      <c r="K2063" s="16"/>
      <c r="L2063" s="16"/>
      <c r="M2063" s="16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24"/>
      <c r="AC2063" s="16"/>
      <c r="AD2063" s="16"/>
      <c r="AE2063" s="16"/>
      <c r="AF2063" s="16"/>
      <c r="AG2063" s="14"/>
      <c r="AH2063" s="14"/>
      <c r="AI2063" s="24"/>
      <c r="AJ2063" s="24"/>
      <c r="AK2063" s="24"/>
      <c r="AL2063" s="16"/>
      <c r="AM2063" s="16"/>
      <c r="AN2063" s="16"/>
      <c r="AO2063" s="16"/>
      <c r="AP2063" s="16"/>
      <c r="AQ2063" s="16"/>
      <c r="AR2063" s="16"/>
      <c r="AS2063" s="14"/>
      <c r="AT2063" s="14"/>
      <c r="AU2063" s="14"/>
      <c r="AV2063" s="14"/>
      <c r="AW2063" s="14"/>
      <c r="AX2063" s="14"/>
      <c r="AY2063" s="14"/>
      <c r="AZ2063" s="14"/>
      <c r="BA2063" s="14"/>
      <c r="BB2063" s="7"/>
    </row>
    <row r="2064" spans="7:54" x14ac:dyDescent="0.15">
      <c r="G2064" s="7"/>
      <c r="H2064" s="16"/>
      <c r="I2064" s="16"/>
      <c r="J2064" s="16"/>
      <c r="K2064" s="16"/>
      <c r="L2064" s="16"/>
      <c r="M2064" s="16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  <c r="AB2064" s="24"/>
      <c r="AC2064" s="16"/>
      <c r="AD2064" s="16"/>
      <c r="AE2064" s="16"/>
      <c r="AF2064" s="16"/>
      <c r="AG2064" s="14"/>
      <c r="AH2064" s="14"/>
      <c r="AI2064" s="24"/>
      <c r="AJ2064" s="24"/>
      <c r="AK2064" s="24"/>
      <c r="AL2064" s="16"/>
      <c r="AM2064" s="16"/>
      <c r="AN2064" s="16"/>
      <c r="AO2064" s="16"/>
      <c r="AP2064" s="16"/>
      <c r="AQ2064" s="16"/>
      <c r="AR2064" s="16"/>
      <c r="AS2064" s="14"/>
      <c r="AT2064" s="14"/>
      <c r="AU2064" s="14"/>
      <c r="AV2064" s="14"/>
      <c r="AW2064" s="14"/>
      <c r="AX2064" s="14"/>
      <c r="AY2064" s="14"/>
      <c r="AZ2064" s="14"/>
      <c r="BA2064" s="14"/>
      <c r="BB2064" s="7"/>
    </row>
    <row r="2065" spans="7:54" x14ac:dyDescent="0.15">
      <c r="G2065" s="7"/>
      <c r="H2065" s="16"/>
      <c r="I2065" s="16"/>
      <c r="J2065" s="16"/>
      <c r="K2065" s="16"/>
      <c r="L2065" s="16"/>
      <c r="M2065" s="16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4"/>
      <c r="AB2065" s="24"/>
      <c r="AC2065" s="16"/>
      <c r="AD2065" s="16"/>
      <c r="AE2065" s="16"/>
      <c r="AF2065" s="16"/>
      <c r="AG2065" s="14"/>
      <c r="AH2065" s="14"/>
      <c r="AI2065" s="24"/>
      <c r="AJ2065" s="24"/>
      <c r="AK2065" s="24"/>
      <c r="AL2065" s="16"/>
      <c r="AM2065" s="16"/>
      <c r="AN2065" s="16"/>
      <c r="AO2065" s="16"/>
      <c r="AP2065" s="16"/>
      <c r="AQ2065" s="16"/>
      <c r="AR2065" s="16"/>
      <c r="AS2065" s="14"/>
      <c r="AT2065" s="14"/>
      <c r="AU2065" s="14"/>
      <c r="AV2065" s="14"/>
      <c r="AW2065" s="14"/>
      <c r="AX2065" s="14"/>
      <c r="AY2065" s="14"/>
      <c r="AZ2065" s="14"/>
      <c r="BA2065" s="14"/>
      <c r="BB2065" s="7"/>
    </row>
    <row r="2066" spans="7:54" x14ac:dyDescent="0.15">
      <c r="G2066" s="7"/>
      <c r="H2066" s="16"/>
      <c r="I2066" s="16"/>
      <c r="J2066" s="16"/>
      <c r="K2066" s="16"/>
      <c r="L2066" s="16"/>
      <c r="M2066" s="16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24"/>
      <c r="AC2066" s="16"/>
      <c r="AD2066" s="16"/>
      <c r="AE2066" s="16"/>
      <c r="AF2066" s="16"/>
      <c r="AG2066" s="14"/>
      <c r="AH2066" s="14"/>
      <c r="AI2066" s="24"/>
      <c r="AJ2066" s="24"/>
      <c r="AK2066" s="24"/>
      <c r="AL2066" s="16"/>
      <c r="AM2066" s="16"/>
      <c r="AN2066" s="16"/>
      <c r="AO2066" s="16"/>
      <c r="AP2066" s="16"/>
      <c r="AQ2066" s="16"/>
      <c r="AR2066" s="16"/>
      <c r="AS2066" s="14"/>
      <c r="AT2066" s="14"/>
      <c r="AU2066" s="14"/>
      <c r="AV2066" s="14"/>
      <c r="AW2066" s="14"/>
      <c r="AX2066" s="14"/>
      <c r="AY2066" s="14"/>
      <c r="AZ2066" s="14"/>
      <c r="BA2066" s="14"/>
      <c r="BB2066" s="7"/>
    </row>
    <row r="2067" spans="7:54" x14ac:dyDescent="0.15">
      <c r="G2067" s="7"/>
      <c r="H2067" s="16"/>
      <c r="I2067" s="16"/>
      <c r="J2067" s="16"/>
      <c r="K2067" s="16"/>
      <c r="L2067" s="16"/>
      <c r="M2067" s="16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24"/>
      <c r="AC2067" s="16"/>
      <c r="AD2067" s="16"/>
      <c r="AE2067" s="16"/>
      <c r="AF2067" s="16"/>
      <c r="AG2067" s="14"/>
      <c r="AH2067" s="14"/>
      <c r="AI2067" s="24"/>
      <c r="AJ2067" s="24"/>
      <c r="AK2067" s="24"/>
      <c r="AL2067" s="16"/>
      <c r="AM2067" s="16"/>
      <c r="AN2067" s="16"/>
      <c r="AO2067" s="16"/>
      <c r="AP2067" s="16"/>
      <c r="AQ2067" s="16"/>
      <c r="AR2067" s="16"/>
      <c r="AS2067" s="14"/>
      <c r="AT2067" s="14"/>
      <c r="AU2067" s="14"/>
      <c r="AV2067" s="14"/>
      <c r="AW2067" s="14"/>
      <c r="AX2067" s="14"/>
      <c r="AY2067" s="14"/>
      <c r="AZ2067" s="14"/>
      <c r="BA2067" s="14"/>
      <c r="BB2067" s="7"/>
    </row>
    <row r="2068" spans="7:54" x14ac:dyDescent="0.15">
      <c r="G2068" s="7"/>
      <c r="H2068" s="16"/>
      <c r="I2068" s="16"/>
      <c r="J2068" s="16"/>
      <c r="K2068" s="16"/>
      <c r="L2068" s="16"/>
      <c r="M2068" s="16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  <c r="AA2068" s="14"/>
      <c r="AB2068" s="24"/>
      <c r="AC2068" s="16"/>
      <c r="AD2068" s="16"/>
      <c r="AE2068" s="16"/>
      <c r="AF2068" s="16"/>
      <c r="AG2068" s="14"/>
      <c r="AH2068" s="14"/>
      <c r="AI2068" s="24"/>
      <c r="AJ2068" s="24"/>
      <c r="AK2068" s="24"/>
      <c r="AL2068" s="16"/>
      <c r="AM2068" s="16"/>
      <c r="AN2068" s="16"/>
      <c r="AO2068" s="16"/>
      <c r="AP2068" s="16"/>
      <c r="AQ2068" s="16"/>
      <c r="AR2068" s="16"/>
      <c r="AS2068" s="14"/>
      <c r="AT2068" s="14"/>
      <c r="AU2068" s="14"/>
      <c r="AV2068" s="14"/>
      <c r="AW2068" s="14"/>
      <c r="AX2068" s="14"/>
      <c r="AY2068" s="14"/>
      <c r="AZ2068" s="14"/>
      <c r="BA2068" s="14"/>
      <c r="BB2068" s="7"/>
    </row>
    <row r="2069" spans="7:54" x14ac:dyDescent="0.15">
      <c r="G2069" s="7"/>
      <c r="H2069" s="16"/>
      <c r="I2069" s="16"/>
      <c r="J2069" s="16"/>
      <c r="K2069" s="16"/>
      <c r="L2069" s="16"/>
      <c r="M2069" s="16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  <c r="AA2069" s="14"/>
      <c r="AB2069" s="24"/>
      <c r="AC2069" s="16"/>
      <c r="AD2069" s="16"/>
      <c r="AE2069" s="16"/>
      <c r="AF2069" s="16"/>
      <c r="AG2069" s="14"/>
      <c r="AH2069" s="14"/>
      <c r="AI2069" s="24"/>
      <c r="AJ2069" s="24"/>
      <c r="AK2069" s="24"/>
      <c r="AL2069" s="16"/>
      <c r="AM2069" s="16"/>
      <c r="AN2069" s="16"/>
      <c r="AO2069" s="16"/>
      <c r="AP2069" s="16"/>
      <c r="AQ2069" s="16"/>
      <c r="AR2069" s="16"/>
      <c r="AS2069" s="14"/>
      <c r="AT2069" s="14"/>
      <c r="AU2069" s="14"/>
      <c r="AV2069" s="14"/>
      <c r="AW2069" s="14"/>
      <c r="AX2069" s="14"/>
      <c r="AY2069" s="14"/>
      <c r="AZ2069" s="14"/>
      <c r="BA2069" s="14"/>
      <c r="BB2069" s="7"/>
    </row>
    <row r="2070" spans="7:54" x14ac:dyDescent="0.15">
      <c r="G2070" s="7"/>
      <c r="H2070" s="16"/>
      <c r="I2070" s="16"/>
      <c r="J2070" s="16"/>
      <c r="K2070" s="16"/>
      <c r="L2070" s="16"/>
      <c r="M2070" s="16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24"/>
      <c r="AC2070" s="16"/>
      <c r="AD2070" s="16"/>
      <c r="AE2070" s="16"/>
      <c r="AF2070" s="16"/>
      <c r="AG2070" s="14"/>
      <c r="AH2070" s="14"/>
      <c r="AI2070" s="24"/>
      <c r="AJ2070" s="24"/>
      <c r="AK2070" s="24"/>
      <c r="AL2070" s="16"/>
      <c r="AM2070" s="16"/>
      <c r="AN2070" s="16"/>
      <c r="AO2070" s="16"/>
      <c r="AP2070" s="16"/>
      <c r="AQ2070" s="16"/>
      <c r="AR2070" s="16"/>
      <c r="AS2070" s="14"/>
      <c r="AT2070" s="14"/>
      <c r="AU2070" s="14"/>
      <c r="AV2070" s="14"/>
      <c r="AW2070" s="14"/>
      <c r="AX2070" s="14"/>
      <c r="AY2070" s="14"/>
      <c r="AZ2070" s="14"/>
      <c r="BA2070" s="14"/>
      <c r="BB2070" s="7"/>
    </row>
    <row r="2071" spans="7:54" x14ac:dyDescent="0.15">
      <c r="G2071" s="7"/>
      <c r="H2071" s="16"/>
      <c r="I2071" s="16"/>
      <c r="J2071" s="16"/>
      <c r="K2071" s="16"/>
      <c r="L2071" s="16"/>
      <c r="M2071" s="16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24"/>
      <c r="AC2071" s="16"/>
      <c r="AD2071" s="16"/>
      <c r="AE2071" s="16"/>
      <c r="AF2071" s="16"/>
      <c r="AG2071" s="14"/>
      <c r="AH2071" s="14"/>
      <c r="AI2071" s="24"/>
      <c r="AJ2071" s="24"/>
      <c r="AK2071" s="24"/>
      <c r="AL2071" s="16"/>
      <c r="AM2071" s="16"/>
      <c r="AN2071" s="16"/>
      <c r="AO2071" s="16"/>
      <c r="AP2071" s="16"/>
      <c r="AQ2071" s="16"/>
      <c r="AR2071" s="16"/>
      <c r="AS2071" s="14"/>
      <c r="AT2071" s="14"/>
      <c r="AU2071" s="14"/>
      <c r="AV2071" s="14"/>
      <c r="AW2071" s="14"/>
      <c r="AX2071" s="14"/>
      <c r="AY2071" s="14"/>
      <c r="AZ2071" s="14"/>
      <c r="BA2071" s="14"/>
      <c r="BB2071" s="7"/>
    </row>
    <row r="2072" spans="7:54" x14ac:dyDescent="0.15">
      <c r="G2072" s="7"/>
      <c r="H2072" s="16"/>
      <c r="I2072" s="16"/>
      <c r="J2072" s="16"/>
      <c r="K2072" s="16"/>
      <c r="L2072" s="16"/>
      <c r="M2072" s="16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24"/>
      <c r="AC2072" s="16"/>
      <c r="AD2072" s="16"/>
      <c r="AE2072" s="16"/>
      <c r="AF2072" s="16"/>
      <c r="AG2072" s="14"/>
      <c r="AH2072" s="14"/>
      <c r="AI2072" s="24"/>
      <c r="AJ2072" s="24"/>
      <c r="AK2072" s="24"/>
      <c r="AL2072" s="16"/>
      <c r="AM2072" s="16"/>
      <c r="AN2072" s="16"/>
      <c r="AO2072" s="16"/>
      <c r="AP2072" s="16"/>
      <c r="AQ2072" s="16"/>
      <c r="AR2072" s="16"/>
      <c r="AS2072" s="14"/>
      <c r="AT2072" s="14"/>
      <c r="AU2072" s="14"/>
      <c r="AV2072" s="14"/>
      <c r="AW2072" s="14"/>
      <c r="AX2072" s="14"/>
      <c r="AY2072" s="14"/>
      <c r="AZ2072" s="14"/>
      <c r="BA2072" s="14"/>
      <c r="BB2072" s="7"/>
    </row>
    <row r="2073" spans="7:54" x14ac:dyDescent="0.15">
      <c r="G2073" s="7"/>
      <c r="H2073" s="16"/>
      <c r="I2073" s="16"/>
      <c r="J2073" s="16"/>
      <c r="K2073" s="16"/>
      <c r="L2073" s="16"/>
      <c r="M2073" s="16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  <c r="AA2073" s="14"/>
      <c r="AB2073" s="24"/>
      <c r="AC2073" s="16"/>
      <c r="AD2073" s="16"/>
      <c r="AE2073" s="16"/>
      <c r="AF2073" s="16"/>
      <c r="AG2073" s="14"/>
      <c r="AH2073" s="14"/>
      <c r="AI2073" s="24"/>
      <c r="AJ2073" s="24"/>
      <c r="AK2073" s="24"/>
      <c r="AL2073" s="16"/>
      <c r="AM2073" s="16"/>
      <c r="AN2073" s="16"/>
      <c r="AO2073" s="16"/>
      <c r="AP2073" s="16"/>
      <c r="AQ2073" s="16"/>
      <c r="AR2073" s="16"/>
      <c r="AS2073" s="14"/>
      <c r="AT2073" s="14"/>
      <c r="AU2073" s="14"/>
      <c r="AV2073" s="14"/>
      <c r="AW2073" s="14"/>
      <c r="AX2073" s="14"/>
      <c r="AY2073" s="14"/>
      <c r="AZ2073" s="14"/>
      <c r="BA2073" s="14"/>
      <c r="BB2073" s="7"/>
    </row>
    <row r="2074" spans="7:54" x14ac:dyDescent="0.15">
      <c r="G2074" s="7"/>
      <c r="H2074" s="16"/>
      <c r="I2074" s="16"/>
      <c r="J2074" s="16"/>
      <c r="K2074" s="16"/>
      <c r="L2074" s="16"/>
      <c r="M2074" s="16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24"/>
      <c r="AC2074" s="16"/>
      <c r="AD2074" s="16"/>
      <c r="AE2074" s="16"/>
      <c r="AF2074" s="16"/>
      <c r="AG2074" s="14"/>
      <c r="AH2074" s="14"/>
      <c r="AI2074" s="24"/>
      <c r="AJ2074" s="24"/>
      <c r="AK2074" s="24"/>
      <c r="AL2074" s="16"/>
      <c r="AM2074" s="16"/>
      <c r="AN2074" s="16"/>
      <c r="AO2074" s="16"/>
      <c r="AP2074" s="16"/>
      <c r="AQ2074" s="16"/>
      <c r="AR2074" s="16"/>
      <c r="AS2074" s="14"/>
      <c r="AT2074" s="14"/>
      <c r="AU2074" s="14"/>
      <c r="AV2074" s="14"/>
      <c r="AW2074" s="14"/>
      <c r="AX2074" s="14"/>
      <c r="AY2074" s="14"/>
      <c r="AZ2074" s="14"/>
      <c r="BA2074" s="14"/>
      <c r="BB2074" s="7"/>
    </row>
    <row r="2075" spans="7:54" x14ac:dyDescent="0.15">
      <c r="G2075" s="7"/>
      <c r="H2075" s="16"/>
      <c r="I2075" s="16"/>
      <c r="J2075" s="16"/>
      <c r="K2075" s="16"/>
      <c r="L2075" s="16"/>
      <c r="M2075" s="16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24"/>
      <c r="AC2075" s="16"/>
      <c r="AD2075" s="16"/>
      <c r="AE2075" s="16"/>
      <c r="AF2075" s="16"/>
      <c r="AG2075" s="14"/>
      <c r="AH2075" s="14"/>
      <c r="AI2075" s="24"/>
      <c r="AJ2075" s="24"/>
      <c r="AK2075" s="24"/>
      <c r="AL2075" s="16"/>
      <c r="AM2075" s="16"/>
      <c r="AN2075" s="16"/>
      <c r="AO2075" s="16"/>
      <c r="AP2075" s="16"/>
      <c r="AQ2075" s="16"/>
      <c r="AR2075" s="16"/>
      <c r="AS2075" s="14"/>
      <c r="AT2075" s="14"/>
      <c r="AU2075" s="14"/>
      <c r="AV2075" s="14"/>
      <c r="AW2075" s="14"/>
      <c r="AX2075" s="14"/>
      <c r="AY2075" s="14"/>
      <c r="AZ2075" s="14"/>
      <c r="BA2075" s="14"/>
      <c r="BB2075" s="7"/>
    </row>
    <row r="2076" spans="7:54" x14ac:dyDescent="0.15">
      <c r="G2076" s="7"/>
      <c r="H2076" s="16"/>
      <c r="I2076" s="16"/>
      <c r="J2076" s="16"/>
      <c r="K2076" s="16"/>
      <c r="L2076" s="16"/>
      <c r="M2076" s="16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24"/>
      <c r="AC2076" s="16"/>
      <c r="AD2076" s="16"/>
      <c r="AE2076" s="16"/>
      <c r="AF2076" s="16"/>
      <c r="AG2076" s="14"/>
      <c r="AH2076" s="14"/>
      <c r="AI2076" s="24"/>
      <c r="AJ2076" s="24"/>
      <c r="AK2076" s="24"/>
      <c r="AL2076" s="16"/>
      <c r="AM2076" s="16"/>
      <c r="AN2076" s="16"/>
      <c r="AO2076" s="16"/>
      <c r="AP2076" s="16"/>
      <c r="AQ2076" s="16"/>
      <c r="AR2076" s="16"/>
      <c r="AS2076" s="14"/>
      <c r="AT2076" s="14"/>
      <c r="AU2076" s="14"/>
      <c r="AV2076" s="14"/>
      <c r="AW2076" s="14"/>
      <c r="AX2076" s="14"/>
      <c r="AY2076" s="14"/>
      <c r="AZ2076" s="14"/>
      <c r="BA2076" s="14"/>
      <c r="BB2076" s="7"/>
    </row>
    <row r="2077" spans="7:54" x14ac:dyDescent="0.15">
      <c r="G2077" s="7"/>
      <c r="H2077" s="16"/>
      <c r="I2077" s="16"/>
      <c r="J2077" s="16"/>
      <c r="K2077" s="16"/>
      <c r="L2077" s="16"/>
      <c r="M2077" s="16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  <c r="AB2077" s="24"/>
      <c r="AC2077" s="16"/>
      <c r="AD2077" s="16"/>
      <c r="AE2077" s="16"/>
      <c r="AF2077" s="16"/>
      <c r="AG2077" s="14"/>
      <c r="AH2077" s="14"/>
      <c r="AI2077" s="24"/>
      <c r="AJ2077" s="24"/>
      <c r="AK2077" s="24"/>
      <c r="AL2077" s="16"/>
      <c r="AM2077" s="16"/>
      <c r="AN2077" s="16"/>
      <c r="AO2077" s="16"/>
      <c r="AP2077" s="16"/>
      <c r="AQ2077" s="16"/>
      <c r="AR2077" s="16"/>
      <c r="AS2077" s="14"/>
      <c r="AT2077" s="14"/>
      <c r="AU2077" s="14"/>
      <c r="AV2077" s="14"/>
      <c r="AW2077" s="14"/>
      <c r="AX2077" s="14"/>
      <c r="AY2077" s="14"/>
      <c r="AZ2077" s="14"/>
      <c r="BA2077" s="14"/>
      <c r="BB2077" s="7"/>
    </row>
    <row r="2078" spans="7:54" x14ac:dyDescent="0.15">
      <c r="G2078" s="7"/>
      <c r="H2078" s="16"/>
      <c r="I2078" s="16"/>
      <c r="J2078" s="16"/>
      <c r="K2078" s="16"/>
      <c r="L2078" s="16"/>
      <c r="M2078" s="16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  <c r="AA2078" s="14"/>
      <c r="AB2078" s="24"/>
      <c r="AC2078" s="16"/>
      <c r="AD2078" s="16"/>
      <c r="AE2078" s="16"/>
      <c r="AF2078" s="16"/>
      <c r="AG2078" s="14"/>
      <c r="AH2078" s="14"/>
      <c r="AI2078" s="24"/>
      <c r="AJ2078" s="24"/>
      <c r="AK2078" s="24"/>
      <c r="AL2078" s="16"/>
      <c r="AM2078" s="16"/>
      <c r="AN2078" s="16"/>
      <c r="AO2078" s="16"/>
      <c r="AP2078" s="16"/>
      <c r="AQ2078" s="16"/>
      <c r="AR2078" s="16"/>
      <c r="AS2078" s="14"/>
      <c r="AT2078" s="14"/>
      <c r="AU2078" s="14"/>
      <c r="AV2078" s="14"/>
      <c r="AW2078" s="14"/>
      <c r="AX2078" s="14"/>
      <c r="AY2078" s="14"/>
      <c r="AZ2078" s="14"/>
      <c r="BA2078" s="14"/>
      <c r="BB2078" s="7"/>
    </row>
    <row r="2079" spans="7:54" x14ac:dyDescent="0.15">
      <c r="G2079" s="7"/>
      <c r="H2079" s="16"/>
      <c r="I2079" s="16"/>
      <c r="J2079" s="16"/>
      <c r="K2079" s="16"/>
      <c r="L2079" s="16"/>
      <c r="M2079" s="16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  <c r="AB2079" s="24"/>
      <c r="AC2079" s="16"/>
      <c r="AD2079" s="16"/>
      <c r="AE2079" s="16"/>
      <c r="AF2079" s="16"/>
      <c r="AG2079" s="14"/>
      <c r="AH2079" s="14"/>
      <c r="AI2079" s="24"/>
      <c r="AJ2079" s="24"/>
      <c r="AK2079" s="24"/>
      <c r="AL2079" s="16"/>
      <c r="AM2079" s="16"/>
      <c r="AN2079" s="16"/>
      <c r="AO2079" s="16"/>
      <c r="AP2079" s="16"/>
      <c r="AQ2079" s="16"/>
      <c r="AR2079" s="16"/>
      <c r="AS2079" s="14"/>
      <c r="AT2079" s="14"/>
      <c r="AU2079" s="14"/>
      <c r="AV2079" s="14"/>
      <c r="AW2079" s="14"/>
      <c r="AX2079" s="14"/>
      <c r="AY2079" s="14"/>
      <c r="AZ2079" s="14"/>
      <c r="BA2079" s="14"/>
      <c r="BB2079" s="7"/>
    </row>
    <row r="2080" spans="7:54" x14ac:dyDescent="0.15">
      <c r="G2080" s="7"/>
      <c r="H2080" s="16"/>
      <c r="I2080" s="16"/>
      <c r="J2080" s="16"/>
      <c r="K2080" s="16"/>
      <c r="L2080" s="16"/>
      <c r="M2080" s="16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  <c r="AB2080" s="24"/>
      <c r="AC2080" s="16"/>
      <c r="AD2080" s="16"/>
      <c r="AE2080" s="16"/>
      <c r="AF2080" s="16"/>
      <c r="AG2080" s="14"/>
      <c r="AH2080" s="14"/>
      <c r="AI2080" s="24"/>
      <c r="AJ2080" s="24"/>
      <c r="AK2080" s="24"/>
      <c r="AL2080" s="16"/>
      <c r="AM2080" s="16"/>
      <c r="AN2080" s="16"/>
      <c r="AO2080" s="16"/>
      <c r="AP2080" s="16"/>
      <c r="AQ2080" s="16"/>
      <c r="AR2080" s="16"/>
      <c r="AS2080" s="14"/>
      <c r="AT2080" s="14"/>
      <c r="AU2080" s="14"/>
      <c r="AV2080" s="14"/>
      <c r="AW2080" s="14"/>
      <c r="AX2080" s="14"/>
      <c r="AY2080" s="14"/>
      <c r="AZ2080" s="14"/>
      <c r="BA2080" s="14"/>
      <c r="BB2080" s="7"/>
    </row>
    <row r="2081" spans="7:54" x14ac:dyDescent="0.15">
      <c r="G2081" s="7"/>
      <c r="H2081" s="16"/>
      <c r="I2081" s="16"/>
      <c r="J2081" s="16"/>
      <c r="K2081" s="16"/>
      <c r="L2081" s="16"/>
      <c r="M2081" s="16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24"/>
      <c r="AC2081" s="16"/>
      <c r="AD2081" s="16"/>
      <c r="AE2081" s="16"/>
      <c r="AF2081" s="16"/>
      <c r="AG2081" s="14"/>
      <c r="AH2081" s="14"/>
      <c r="AI2081" s="24"/>
      <c r="AJ2081" s="24"/>
      <c r="AK2081" s="24"/>
      <c r="AL2081" s="16"/>
      <c r="AM2081" s="16"/>
      <c r="AN2081" s="16"/>
      <c r="AO2081" s="16"/>
      <c r="AP2081" s="16"/>
      <c r="AQ2081" s="16"/>
      <c r="AR2081" s="16"/>
      <c r="AS2081" s="14"/>
      <c r="AT2081" s="14"/>
      <c r="AU2081" s="14"/>
      <c r="AV2081" s="14"/>
      <c r="AW2081" s="14"/>
      <c r="AX2081" s="14"/>
      <c r="AY2081" s="14"/>
      <c r="AZ2081" s="14"/>
      <c r="BA2081" s="14"/>
      <c r="BB2081" s="7"/>
    </row>
    <row r="2082" spans="7:54" x14ac:dyDescent="0.15">
      <c r="G2082" s="7"/>
      <c r="H2082" s="16"/>
      <c r="I2082" s="16"/>
      <c r="J2082" s="16"/>
      <c r="K2082" s="16"/>
      <c r="L2082" s="16"/>
      <c r="M2082" s="16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24"/>
      <c r="AC2082" s="16"/>
      <c r="AD2082" s="16"/>
      <c r="AE2082" s="16"/>
      <c r="AF2082" s="16"/>
      <c r="AG2082" s="14"/>
      <c r="AH2082" s="14"/>
      <c r="AI2082" s="24"/>
      <c r="AJ2082" s="24"/>
      <c r="AK2082" s="24"/>
      <c r="AL2082" s="16"/>
      <c r="AM2082" s="16"/>
      <c r="AN2082" s="16"/>
      <c r="AO2082" s="16"/>
      <c r="AP2082" s="16"/>
      <c r="AQ2082" s="16"/>
      <c r="AR2082" s="16"/>
      <c r="AS2082" s="14"/>
      <c r="AT2082" s="14"/>
      <c r="AU2082" s="14"/>
      <c r="AV2082" s="14"/>
      <c r="AW2082" s="14"/>
      <c r="AX2082" s="14"/>
      <c r="AY2082" s="14"/>
      <c r="AZ2082" s="14"/>
      <c r="BA2082" s="14"/>
      <c r="BB2082" s="7"/>
    </row>
    <row r="2083" spans="7:54" x14ac:dyDescent="0.15">
      <c r="G2083" s="7"/>
      <c r="H2083" s="16"/>
      <c r="I2083" s="16"/>
      <c r="J2083" s="16"/>
      <c r="K2083" s="16"/>
      <c r="L2083" s="16"/>
      <c r="M2083" s="16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  <c r="AA2083" s="14"/>
      <c r="AB2083" s="24"/>
      <c r="AC2083" s="16"/>
      <c r="AD2083" s="16"/>
      <c r="AE2083" s="16"/>
      <c r="AF2083" s="16"/>
      <c r="AG2083" s="14"/>
      <c r="AH2083" s="14"/>
      <c r="AI2083" s="24"/>
      <c r="AJ2083" s="24"/>
      <c r="AK2083" s="24"/>
      <c r="AL2083" s="16"/>
      <c r="AM2083" s="16"/>
      <c r="AN2083" s="16"/>
      <c r="AO2083" s="16"/>
      <c r="AP2083" s="16"/>
      <c r="AQ2083" s="16"/>
      <c r="AR2083" s="16"/>
      <c r="AS2083" s="14"/>
      <c r="AT2083" s="14"/>
      <c r="AU2083" s="14"/>
      <c r="AV2083" s="14"/>
      <c r="AW2083" s="14"/>
      <c r="AX2083" s="14"/>
      <c r="AY2083" s="14"/>
      <c r="AZ2083" s="14"/>
      <c r="BA2083" s="14"/>
      <c r="BB2083" s="7"/>
    </row>
    <row r="2084" spans="7:54" x14ac:dyDescent="0.15">
      <c r="G2084" s="7"/>
      <c r="H2084" s="16"/>
      <c r="I2084" s="16"/>
      <c r="J2084" s="16"/>
      <c r="K2084" s="16"/>
      <c r="L2084" s="16"/>
      <c r="M2084" s="16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  <c r="AB2084" s="24"/>
      <c r="AC2084" s="16"/>
      <c r="AD2084" s="16"/>
      <c r="AE2084" s="16"/>
      <c r="AF2084" s="16"/>
      <c r="AG2084" s="14"/>
      <c r="AH2084" s="14"/>
      <c r="AI2084" s="24"/>
      <c r="AJ2084" s="24"/>
      <c r="AK2084" s="24"/>
      <c r="AL2084" s="16"/>
      <c r="AM2084" s="16"/>
      <c r="AN2084" s="16"/>
      <c r="AO2084" s="16"/>
      <c r="AP2084" s="16"/>
      <c r="AQ2084" s="16"/>
      <c r="AR2084" s="16"/>
      <c r="AS2084" s="14"/>
      <c r="AT2084" s="14"/>
      <c r="AU2084" s="14"/>
      <c r="AV2084" s="14"/>
      <c r="AW2084" s="14"/>
      <c r="AX2084" s="14"/>
      <c r="AY2084" s="14"/>
      <c r="AZ2084" s="14"/>
      <c r="BA2084" s="14"/>
      <c r="BB2084" s="7"/>
    </row>
    <row r="2085" spans="7:54" x14ac:dyDescent="0.15">
      <c r="G2085" s="7"/>
      <c r="H2085" s="16"/>
      <c r="I2085" s="16"/>
      <c r="J2085" s="16"/>
      <c r="K2085" s="16"/>
      <c r="L2085" s="16"/>
      <c r="M2085" s="16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  <c r="AB2085" s="24"/>
      <c r="AC2085" s="16"/>
      <c r="AD2085" s="16"/>
      <c r="AE2085" s="16"/>
      <c r="AF2085" s="16"/>
      <c r="AG2085" s="14"/>
      <c r="AH2085" s="14"/>
      <c r="AI2085" s="24"/>
      <c r="AJ2085" s="24"/>
      <c r="AK2085" s="24"/>
      <c r="AL2085" s="16"/>
      <c r="AM2085" s="16"/>
      <c r="AN2085" s="16"/>
      <c r="AO2085" s="16"/>
      <c r="AP2085" s="16"/>
      <c r="AQ2085" s="16"/>
      <c r="AR2085" s="16"/>
      <c r="AS2085" s="14"/>
      <c r="AT2085" s="14"/>
      <c r="AU2085" s="14"/>
      <c r="AV2085" s="14"/>
      <c r="AW2085" s="14"/>
      <c r="AX2085" s="14"/>
      <c r="AY2085" s="14"/>
      <c r="AZ2085" s="14"/>
      <c r="BA2085" s="14"/>
      <c r="BB2085" s="7"/>
    </row>
    <row r="2086" spans="7:54" x14ac:dyDescent="0.15">
      <c r="G2086" s="7"/>
      <c r="H2086" s="16"/>
      <c r="I2086" s="16"/>
      <c r="J2086" s="16"/>
      <c r="K2086" s="16"/>
      <c r="L2086" s="16"/>
      <c r="M2086" s="16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24"/>
      <c r="AC2086" s="16"/>
      <c r="AD2086" s="16"/>
      <c r="AE2086" s="16"/>
      <c r="AF2086" s="16"/>
      <c r="AG2086" s="14"/>
      <c r="AH2086" s="14"/>
      <c r="AI2086" s="24"/>
      <c r="AJ2086" s="24"/>
      <c r="AK2086" s="24"/>
      <c r="AL2086" s="16"/>
      <c r="AM2086" s="16"/>
      <c r="AN2086" s="16"/>
      <c r="AO2086" s="16"/>
      <c r="AP2086" s="16"/>
      <c r="AQ2086" s="16"/>
      <c r="AR2086" s="16"/>
      <c r="AS2086" s="14"/>
      <c r="AT2086" s="14"/>
      <c r="AU2086" s="14"/>
      <c r="AV2086" s="14"/>
      <c r="AW2086" s="14"/>
      <c r="AX2086" s="14"/>
      <c r="AY2086" s="14"/>
      <c r="AZ2086" s="14"/>
      <c r="BA2086" s="14"/>
      <c r="BB2086" s="7"/>
    </row>
    <row r="2087" spans="7:54" x14ac:dyDescent="0.15">
      <c r="G2087" s="7"/>
      <c r="H2087" s="16"/>
      <c r="I2087" s="16"/>
      <c r="J2087" s="16"/>
      <c r="K2087" s="16"/>
      <c r="L2087" s="16"/>
      <c r="M2087" s="16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24"/>
      <c r="AC2087" s="16"/>
      <c r="AD2087" s="16"/>
      <c r="AE2087" s="16"/>
      <c r="AF2087" s="16"/>
      <c r="AG2087" s="14"/>
      <c r="AH2087" s="14"/>
      <c r="AI2087" s="24"/>
      <c r="AJ2087" s="24"/>
      <c r="AK2087" s="24"/>
      <c r="AL2087" s="16"/>
      <c r="AM2087" s="16"/>
      <c r="AN2087" s="16"/>
      <c r="AO2087" s="16"/>
      <c r="AP2087" s="16"/>
      <c r="AQ2087" s="16"/>
      <c r="AR2087" s="16"/>
      <c r="AS2087" s="14"/>
      <c r="AT2087" s="14"/>
      <c r="AU2087" s="14"/>
      <c r="AV2087" s="14"/>
      <c r="AW2087" s="14"/>
      <c r="AX2087" s="14"/>
      <c r="AY2087" s="14"/>
      <c r="AZ2087" s="14"/>
      <c r="BA2087" s="14"/>
      <c r="BB2087" s="7"/>
    </row>
    <row r="2088" spans="7:54" x14ac:dyDescent="0.15">
      <c r="G2088" s="7"/>
      <c r="H2088" s="16"/>
      <c r="I2088" s="16"/>
      <c r="J2088" s="16"/>
      <c r="K2088" s="16"/>
      <c r="L2088" s="16"/>
      <c r="M2088" s="16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  <c r="AB2088" s="24"/>
      <c r="AC2088" s="16"/>
      <c r="AD2088" s="16"/>
      <c r="AE2088" s="16"/>
      <c r="AF2088" s="16"/>
      <c r="AG2088" s="14"/>
      <c r="AH2088" s="14"/>
      <c r="AI2088" s="24"/>
      <c r="AJ2088" s="24"/>
      <c r="AK2088" s="24"/>
      <c r="AL2088" s="16"/>
      <c r="AM2088" s="16"/>
      <c r="AN2088" s="16"/>
      <c r="AO2088" s="16"/>
      <c r="AP2088" s="16"/>
      <c r="AQ2088" s="16"/>
      <c r="AR2088" s="16"/>
      <c r="AS2088" s="14"/>
      <c r="AT2088" s="14"/>
      <c r="AU2088" s="14"/>
      <c r="AV2088" s="14"/>
      <c r="AW2088" s="14"/>
      <c r="AX2088" s="14"/>
      <c r="AY2088" s="14"/>
      <c r="AZ2088" s="14"/>
      <c r="BA2088" s="14"/>
      <c r="BB2088" s="7"/>
    </row>
    <row r="2089" spans="7:54" x14ac:dyDescent="0.15">
      <c r="G2089" s="7"/>
      <c r="H2089" s="16"/>
      <c r="I2089" s="16"/>
      <c r="J2089" s="16"/>
      <c r="K2089" s="16"/>
      <c r="L2089" s="16"/>
      <c r="M2089" s="16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  <c r="AA2089" s="14"/>
      <c r="AB2089" s="24"/>
      <c r="AC2089" s="16"/>
      <c r="AD2089" s="16"/>
      <c r="AE2089" s="16"/>
      <c r="AF2089" s="16"/>
      <c r="AG2089" s="14"/>
      <c r="AH2089" s="14"/>
      <c r="AI2089" s="24"/>
      <c r="AJ2089" s="24"/>
      <c r="AK2089" s="24"/>
      <c r="AL2089" s="16"/>
      <c r="AM2089" s="16"/>
      <c r="AN2089" s="16"/>
      <c r="AO2089" s="16"/>
      <c r="AP2089" s="16"/>
      <c r="AQ2089" s="16"/>
      <c r="AR2089" s="16"/>
      <c r="AS2089" s="14"/>
      <c r="AT2089" s="14"/>
      <c r="AU2089" s="14"/>
      <c r="AV2089" s="14"/>
      <c r="AW2089" s="14"/>
      <c r="AX2089" s="14"/>
      <c r="AY2089" s="14"/>
      <c r="AZ2089" s="14"/>
      <c r="BA2089" s="14"/>
      <c r="BB2089" s="7"/>
    </row>
    <row r="2090" spans="7:54" x14ac:dyDescent="0.15">
      <c r="G2090" s="7"/>
      <c r="H2090" s="16"/>
      <c r="I2090" s="16"/>
      <c r="J2090" s="16"/>
      <c r="K2090" s="16"/>
      <c r="L2090" s="16"/>
      <c r="M2090" s="16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24"/>
      <c r="AC2090" s="16"/>
      <c r="AD2090" s="16"/>
      <c r="AE2090" s="16"/>
      <c r="AF2090" s="16"/>
      <c r="AG2090" s="14"/>
      <c r="AH2090" s="14"/>
      <c r="AI2090" s="24"/>
      <c r="AJ2090" s="24"/>
      <c r="AK2090" s="24"/>
      <c r="AL2090" s="16"/>
      <c r="AM2090" s="16"/>
      <c r="AN2090" s="16"/>
      <c r="AO2090" s="16"/>
      <c r="AP2090" s="16"/>
      <c r="AQ2090" s="16"/>
      <c r="AR2090" s="16"/>
      <c r="AS2090" s="14"/>
      <c r="AT2090" s="14"/>
      <c r="AU2090" s="14"/>
      <c r="AV2090" s="14"/>
      <c r="AW2090" s="14"/>
      <c r="AX2090" s="14"/>
      <c r="AY2090" s="14"/>
      <c r="AZ2090" s="14"/>
      <c r="BA2090" s="14"/>
      <c r="BB2090" s="7"/>
    </row>
    <row r="2091" spans="7:54" x14ac:dyDescent="0.15">
      <c r="G2091" s="7"/>
      <c r="H2091" s="16"/>
      <c r="I2091" s="16"/>
      <c r="J2091" s="16"/>
      <c r="K2091" s="16"/>
      <c r="L2091" s="16"/>
      <c r="M2091" s="16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24"/>
      <c r="AC2091" s="16"/>
      <c r="AD2091" s="16"/>
      <c r="AE2091" s="16"/>
      <c r="AF2091" s="16"/>
      <c r="AG2091" s="14"/>
      <c r="AH2091" s="14"/>
      <c r="AI2091" s="24"/>
      <c r="AJ2091" s="24"/>
      <c r="AK2091" s="24"/>
      <c r="AL2091" s="16"/>
      <c r="AM2091" s="16"/>
      <c r="AN2091" s="16"/>
      <c r="AO2091" s="16"/>
      <c r="AP2091" s="16"/>
      <c r="AQ2091" s="16"/>
      <c r="AR2091" s="16"/>
      <c r="AS2091" s="14"/>
      <c r="AT2091" s="14"/>
      <c r="AU2091" s="14"/>
      <c r="AV2091" s="14"/>
      <c r="AW2091" s="14"/>
      <c r="AX2091" s="14"/>
      <c r="AY2091" s="14"/>
      <c r="AZ2091" s="14"/>
      <c r="BA2091" s="14"/>
      <c r="BB2091" s="7"/>
    </row>
    <row r="2092" spans="7:54" x14ac:dyDescent="0.15">
      <c r="G2092" s="7"/>
      <c r="H2092" s="16"/>
      <c r="I2092" s="16"/>
      <c r="J2092" s="16"/>
      <c r="K2092" s="16"/>
      <c r="L2092" s="16"/>
      <c r="M2092" s="16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24"/>
      <c r="AC2092" s="16"/>
      <c r="AD2092" s="16"/>
      <c r="AE2092" s="16"/>
      <c r="AF2092" s="16"/>
      <c r="AG2092" s="14"/>
      <c r="AH2092" s="14"/>
      <c r="AI2092" s="24"/>
      <c r="AJ2092" s="24"/>
      <c r="AK2092" s="24"/>
      <c r="AL2092" s="16"/>
      <c r="AM2092" s="16"/>
      <c r="AN2092" s="16"/>
      <c r="AO2092" s="16"/>
      <c r="AP2092" s="16"/>
      <c r="AQ2092" s="16"/>
      <c r="AR2092" s="16"/>
      <c r="AS2092" s="14"/>
      <c r="AT2092" s="14"/>
      <c r="AU2092" s="14"/>
      <c r="AV2092" s="14"/>
      <c r="AW2092" s="14"/>
      <c r="AX2092" s="14"/>
      <c r="AY2092" s="14"/>
      <c r="AZ2092" s="14"/>
      <c r="BA2092" s="14"/>
      <c r="BB2092" s="7"/>
    </row>
    <row r="2093" spans="7:54" x14ac:dyDescent="0.15">
      <c r="G2093" s="7"/>
      <c r="H2093" s="16"/>
      <c r="I2093" s="16"/>
      <c r="J2093" s="16"/>
      <c r="K2093" s="16"/>
      <c r="L2093" s="16"/>
      <c r="M2093" s="16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24"/>
      <c r="AC2093" s="16"/>
      <c r="AD2093" s="16"/>
      <c r="AE2093" s="16"/>
      <c r="AF2093" s="16"/>
      <c r="AG2093" s="14"/>
      <c r="AH2093" s="14"/>
      <c r="AI2093" s="24"/>
      <c r="AJ2093" s="24"/>
      <c r="AK2093" s="24"/>
      <c r="AL2093" s="16"/>
      <c r="AM2093" s="16"/>
      <c r="AN2093" s="16"/>
      <c r="AO2093" s="16"/>
      <c r="AP2093" s="16"/>
      <c r="AQ2093" s="16"/>
      <c r="AR2093" s="16"/>
      <c r="AS2093" s="14"/>
      <c r="AT2093" s="14"/>
      <c r="AU2093" s="14"/>
      <c r="AV2093" s="14"/>
      <c r="AW2093" s="14"/>
      <c r="AX2093" s="14"/>
      <c r="AY2093" s="14"/>
      <c r="AZ2093" s="14"/>
      <c r="BA2093" s="14"/>
      <c r="BB2093" s="7"/>
    </row>
    <row r="2094" spans="7:54" x14ac:dyDescent="0.15">
      <c r="G2094" s="7"/>
      <c r="H2094" s="16"/>
      <c r="I2094" s="16"/>
      <c r="J2094" s="16"/>
      <c r="K2094" s="16"/>
      <c r="L2094" s="16"/>
      <c r="M2094" s="16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  <c r="AB2094" s="24"/>
      <c r="AC2094" s="16"/>
      <c r="AD2094" s="16"/>
      <c r="AE2094" s="16"/>
      <c r="AF2094" s="16"/>
      <c r="AG2094" s="14"/>
      <c r="AH2094" s="14"/>
      <c r="AI2094" s="24"/>
      <c r="AJ2094" s="24"/>
      <c r="AK2094" s="24"/>
      <c r="AL2094" s="16"/>
      <c r="AM2094" s="16"/>
      <c r="AN2094" s="16"/>
      <c r="AO2094" s="16"/>
      <c r="AP2094" s="16"/>
      <c r="AQ2094" s="16"/>
      <c r="AR2094" s="16"/>
      <c r="AS2094" s="14"/>
      <c r="AT2094" s="14"/>
      <c r="AU2094" s="14"/>
      <c r="AV2094" s="14"/>
      <c r="AW2094" s="14"/>
      <c r="AX2094" s="14"/>
      <c r="AY2094" s="14"/>
      <c r="AZ2094" s="14"/>
      <c r="BA2094" s="14"/>
      <c r="BB2094" s="7"/>
    </row>
    <row r="2095" spans="7:54" x14ac:dyDescent="0.15">
      <c r="G2095" s="7"/>
      <c r="H2095" s="16"/>
      <c r="I2095" s="16"/>
      <c r="J2095" s="16"/>
      <c r="K2095" s="16"/>
      <c r="L2095" s="16"/>
      <c r="M2095" s="16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24"/>
      <c r="AC2095" s="16"/>
      <c r="AD2095" s="16"/>
      <c r="AE2095" s="16"/>
      <c r="AF2095" s="16"/>
      <c r="AG2095" s="14"/>
      <c r="AH2095" s="14"/>
      <c r="AI2095" s="24"/>
      <c r="AJ2095" s="24"/>
      <c r="AK2095" s="24"/>
      <c r="AL2095" s="16"/>
      <c r="AM2095" s="16"/>
      <c r="AN2095" s="16"/>
      <c r="AO2095" s="16"/>
      <c r="AP2095" s="16"/>
      <c r="AQ2095" s="16"/>
      <c r="AR2095" s="16"/>
      <c r="AS2095" s="14"/>
      <c r="AT2095" s="14"/>
      <c r="AU2095" s="14"/>
      <c r="AV2095" s="14"/>
      <c r="AW2095" s="14"/>
      <c r="AX2095" s="14"/>
      <c r="AY2095" s="14"/>
      <c r="AZ2095" s="14"/>
      <c r="BA2095" s="14"/>
      <c r="BB2095" s="7"/>
    </row>
    <row r="2096" spans="7:54" x14ac:dyDescent="0.15">
      <c r="G2096" s="7"/>
      <c r="H2096" s="16"/>
      <c r="I2096" s="16"/>
      <c r="J2096" s="16"/>
      <c r="K2096" s="16"/>
      <c r="L2096" s="16"/>
      <c r="M2096" s="16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24"/>
      <c r="AC2096" s="16"/>
      <c r="AD2096" s="16"/>
      <c r="AE2096" s="16"/>
      <c r="AF2096" s="16"/>
      <c r="AG2096" s="14"/>
      <c r="AH2096" s="14"/>
      <c r="AI2096" s="24"/>
      <c r="AJ2096" s="24"/>
      <c r="AK2096" s="24"/>
      <c r="AL2096" s="16"/>
      <c r="AM2096" s="16"/>
      <c r="AN2096" s="16"/>
      <c r="AO2096" s="16"/>
      <c r="AP2096" s="16"/>
      <c r="AQ2096" s="16"/>
      <c r="AR2096" s="16"/>
      <c r="AS2096" s="14"/>
      <c r="AT2096" s="14"/>
      <c r="AU2096" s="14"/>
      <c r="AV2096" s="14"/>
      <c r="AW2096" s="14"/>
      <c r="AX2096" s="14"/>
      <c r="AY2096" s="14"/>
      <c r="AZ2096" s="14"/>
      <c r="BA2096" s="14"/>
      <c r="BB2096" s="7"/>
    </row>
    <row r="2097" spans="7:54" x14ac:dyDescent="0.15">
      <c r="G2097" s="7"/>
      <c r="H2097" s="16"/>
      <c r="I2097" s="16"/>
      <c r="J2097" s="16"/>
      <c r="K2097" s="16"/>
      <c r="L2097" s="16"/>
      <c r="M2097" s="16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24"/>
      <c r="AC2097" s="16"/>
      <c r="AD2097" s="16"/>
      <c r="AE2097" s="16"/>
      <c r="AF2097" s="16"/>
      <c r="AG2097" s="14"/>
      <c r="AH2097" s="14"/>
      <c r="AI2097" s="24"/>
      <c r="AJ2097" s="24"/>
      <c r="AK2097" s="24"/>
      <c r="AL2097" s="16"/>
      <c r="AM2097" s="16"/>
      <c r="AN2097" s="16"/>
      <c r="AO2097" s="16"/>
      <c r="AP2097" s="16"/>
      <c r="AQ2097" s="16"/>
      <c r="AR2097" s="16"/>
      <c r="AS2097" s="14"/>
      <c r="AT2097" s="14"/>
      <c r="AU2097" s="14"/>
      <c r="AV2097" s="14"/>
      <c r="AW2097" s="14"/>
      <c r="AX2097" s="14"/>
      <c r="AY2097" s="14"/>
      <c r="AZ2097" s="14"/>
      <c r="BA2097" s="14"/>
      <c r="BB2097" s="7"/>
    </row>
    <row r="2098" spans="7:54" x14ac:dyDescent="0.15">
      <c r="G2098" s="7"/>
      <c r="H2098" s="16"/>
      <c r="I2098" s="16"/>
      <c r="J2098" s="16"/>
      <c r="K2098" s="16"/>
      <c r="L2098" s="16"/>
      <c r="M2098" s="16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  <c r="AB2098" s="24"/>
      <c r="AC2098" s="16"/>
      <c r="AD2098" s="16"/>
      <c r="AE2098" s="16"/>
      <c r="AF2098" s="16"/>
      <c r="AG2098" s="14"/>
      <c r="AH2098" s="14"/>
      <c r="AI2098" s="24"/>
      <c r="AJ2098" s="24"/>
      <c r="AK2098" s="24"/>
      <c r="AL2098" s="16"/>
      <c r="AM2098" s="16"/>
      <c r="AN2098" s="16"/>
      <c r="AO2098" s="16"/>
      <c r="AP2098" s="16"/>
      <c r="AQ2098" s="16"/>
      <c r="AR2098" s="16"/>
      <c r="AS2098" s="14"/>
      <c r="AT2098" s="14"/>
      <c r="AU2098" s="14"/>
      <c r="AV2098" s="14"/>
      <c r="AW2098" s="14"/>
      <c r="AX2098" s="14"/>
      <c r="AY2098" s="14"/>
      <c r="AZ2098" s="14"/>
      <c r="BA2098" s="14"/>
      <c r="BB2098" s="7"/>
    </row>
    <row r="2099" spans="7:54" x14ac:dyDescent="0.15">
      <c r="G2099" s="7"/>
      <c r="H2099" s="16"/>
      <c r="I2099" s="16"/>
      <c r="J2099" s="16"/>
      <c r="K2099" s="16"/>
      <c r="L2099" s="16"/>
      <c r="M2099" s="16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  <c r="AA2099" s="14"/>
      <c r="AB2099" s="24"/>
      <c r="AC2099" s="16"/>
      <c r="AD2099" s="16"/>
      <c r="AE2099" s="16"/>
      <c r="AF2099" s="16"/>
      <c r="AG2099" s="14"/>
      <c r="AH2099" s="14"/>
      <c r="AI2099" s="24"/>
      <c r="AJ2099" s="24"/>
      <c r="AK2099" s="24"/>
      <c r="AL2099" s="16"/>
      <c r="AM2099" s="16"/>
      <c r="AN2099" s="16"/>
      <c r="AO2099" s="16"/>
      <c r="AP2099" s="16"/>
      <c r="AQ2099" s="16"/>
      <c r="AR2099" s="16"/>
      <c r="AS2099" s="14"/>
      <c r="AT2099" s="14"/>
      <c r="AU2099" s="14"/>
      <c r="AV2099" s="14"/>
      <c r="AW2099" s="14"/>
      <c r="AX2099" s="14"/>
      <c r="AY2099" s="14"/>
      <c r="AZ2099" s="14"/>
      <c r="BA2099" s="14"/>
      <c r="BB2099" s="7"/>
    </row>
    <row r="2100" spans="7:54" x14ac:dyDescent="0.15">
      <c r="G2100" s="7"/>
      <c r="H2100" s="16"/>
      <c r="I2100" s="16"/>
      <c r="J2100" s="16"/>
      <c r="K2100" s="16"/>
      <c r="L2100" s="16"/>
      <c r="M2100" s="16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4"/>
      <c r="AB2100" s="24"/>
      <c r="AC2100" s="16"/>
      <c r="AD2100" s="16"/>
      <c r="AE2100" s="16"/>
      <c r="AF2100" s="16"/>
      <c r="AG2100" s="14"/>
      <c r="AH2100" s="14"/>
      <c r="AI2100" s="24"/>
      <c r="AJ2100" s="24"/>
      <c r="AK2100" s="24"/>
      <c r="AL2100" s="16"/>
      <c r="AM2100" s="16"/>
      <c r="AN2100" s="16"/>
      <c r="AO2100" s="16"/>
      <c r="AP2100" s="16"/>
      <c r="AQ2100" s="16"/>
      <c r="AR2100" s="16"/>
      <c r="AS2100" s="14"/>
      <c r="AT2100" s="14"/>
      <c r="AU2100" s="14"/>
      <c r="AV2100" s="14"/>
      <c r="AW2100" s="14"/>
      <c r="AX2100" s="14"/>
      <c r="AY2100" s="14"/>
      <c r="AZ2100" s="14"/>
      <c r="BA2100" s="14"/>
      <c r="BB2100" s="7"/>
    </row>
    <row r="2101" spans="7:54" x14ac:dyDescent="0.15">
      <c r="G2101" s="7"/>
      <c r="H2101" s="16"/>
      <c r="I2101" s="16"/>
      <c r="J2101" s="16"/>
      <c r="K2101" s="16"/>
      <c r="L2101" s="16"/>
      <c r="M2101" s="16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24"/>
      <c r="AC2101" s="16"/>
      <c r="AD2101" s="16"/>
      <c r="AE2101" s="16"/>
      <c r="AF2101" s="16"/>
      <c r="AG2101" s="14"/>
      <c r="AH2101" s="14"/>
      <c r="AI2101" s="24"/>
      <c r="AJ2101" s="24"/>
      <c r="AK2101" s="24"/>
      <c r="AL2101" s="16"/>
      <c r="AM2101" s="16"/>
      <c r="AN2101" s="16"/>
      <c r="AO2101" s="16"/>
      <c r="AP2101" s="16"/>
      <c r="AQ2101" s="16"/>
      <c r="AR2101" s="16"/>
      <c r="AS2101" s="14"/>
      <c r="AT2101" s="14"/>
      <c r="AU2101" s="14"/>
      <c r="AV2101" s="14"/>
      <c r="AW2101" s="14"/>
      <c r="AX2101" s="14"/>
      <c r="AY2101" s="14"/>
      <c r="AZ2101" s="14"/>
      <c r="BA2101" s="14"/>
      <c r="BB2101" s="7"/>
    </row>
    <row r="2102" spans="7:54" x14ac:dyDescent="0.15">
      <c r="G2102" s="7"/>
      <c r="H2102" s="16"/>
      <c r="I2102" s="16"/>
      <c r="J2102" s="16"/>
      <c r="K2102" s="16"/>
      <c r="L2102" s="16"/>
      <c r="M2102" s="16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24"/>
      <c r="AC2102" s="16"/>
      <c r="AD2102" s="16"/>
      <c r="AE2102" s="16"/>
      <c r="AF2102" s="16"/>
      <c r="AG2102" s="14"/>
      <c r="AH2102" s="14"/>
      <c r="AI2102" s="24"/>
      <c r="AJ2102" s="24"/>
      <c r="AK2102" s="24"/>
      <c r="AL2102" s="16"/>
      <c r="AM2102" s="16"/>
      <c r="AN2102" s="16"/>
      <c r="AO2102" s="16"/>
      <c r="AP2102" s="16"/>
      <c r="AQ2102" s="16"/>
      <c r="AR2102" s="16"/>
      <c r="AS2102" s="14"/>
      <c r="AT2102" s="14"/>
      <c r="AU2102" s="14"/>
      <c r="AV2102" s="14"/>
      <c r="AW2102" s="14"/>
      <c r="AX2102" s="14"/>
      <c r="AY2102" s="14"/>
      <c r="AZ2102" s="14"/>
      <c r="BA2102" s="14"/>
      <c r="BB2102" s="7"/>
    </row>
    <row r="2103" spans="7:54" x14ac:dyDescent="0.15">
      <c r="G2103" s="7"/>
      <c r="H2103" s="16"/>
      <c r="I2103" s="16"/>
      <c r="J2103" s="16"/>
      <c r="K2103" s="16"/>
      <c r="L2103" s="16"/>
      <c r="M2103" s="16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  <c r="AA2103" s="14"/>
      <c r="AB2103" s="24"/>
      <c r="AC2103" s="16"/>
      <c r="AD2103" s="16"/>
      <c r="AE2103" s="16"/>
      <c r="AF2103" s="16"/>
      <c r="AG2103" s="14"/>
      <c r="AH2103" s="14"/>
      <c r="AI2103" s="24"/>
      <c r="AJ2103" s="24"/>
      <c r="AK2103" s="24"/>
      <c r="AL2103" s="16"/>
      <c r="AM2103" s="16"/>
      <c r="AN2103" s="16"/>
      <c r="AO2103" s="16"/>
      <c r="AP2103" s="16"/>
      <c r="AQ2103" s="16"/>
      <c r="AR2103" s="16"/>
      <c r="AS2103" s="14"/>
      <c r="AT2103" s="14"/>
      <c r="AU2103" s="14"/>
      <c r="AV2103" s="14"/>
      <c r="AW2103" s="14"/>
      <c r="AX2103" s="14"/>
      <c r="AY2103" s="14"/>
      <c r="AZ2103" s="14"/>
      <c r="BA2103" s="14"/>
      <c r="BB2103" s="7"/>
    </row>
    <row r="2104" spans="7:54" x14ac:dyDescent="0.15">
      <c r="G2104" s="7"/>
      <c r="H2104" s="16"/>
      <c r="I2104" s="16"/>
      <c r="J2104" s="16"/>
      <c r="K2104" s="16"/>
      <c r="L2104" s="16"/>
      <c r="M2104" s="16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  <c r="AB2104" s="24"/>
      <c r="AC2104" s="16"/>
      <c r="AD2104" s="16"/>
      <c r="AE2104" s="16"/>
      <c r="AF2104" s="16"/>
      <c r="AG2104" s="14"/>
      <c r="AH2104" s="14"/>
      <c r="AI2104" s="24"/>
      <c r="AJ2104" s="24"/>
      <c r="AK2104" s="24"/>
      <c r="AL2104" s="16"/>
      <c r="AM2104" s="16"/>
      <c r="AN2104" s="16"/>
      <c r="AO2104" s="16"/>
      <c r="AP2104" s="16"/>
      <c r="AQ2104" s="16"/>
      <c r="AR2104" s="16"/>
      <c r="AS2104" s="14"/>
      <c r="AT2104" s="14"/>
      <c r="AU2104" s="14"/>
      <c r="AV2104" s="14"/>
      <c r="AW2104" s="14"/>
      <c r="AX2104" s="14"/>
      <c r="AY2104" s="14"/>
      <c r="AZ2104" s="14"/>
      <c r="BA2104" s="14"/>
      <c r="BB2104" s="7"/>
    </row>
    <row r="2105" spans="7:54" x14ac:dyDescent="0.15">
      <c r="G2105" s="7"/>
      <c r="H2105" s="16"/>
      <c r="I2105" s="16"/>
      <c r="J2105" s="16"/>
      <c r="K2105" s="16"/>
      <c r="L2105" s="16"/>
      <c r="M2105" s="16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4"/>
      <c r="AB2105" s="24"/>
      <c r="AC2105" s="16"/>
      <c r="AD2105" s="16"/>
      <c r="AE2105" s="16"/>
      <c r="AF2105" s="16"/>
      <c r="AG2105" s="14"/>
      <c r="AH2105" s="14"/>
      <c r="AI2105" s="24"/>
      <c r="AJ2105" s="24"/>
      <c r="AK2105" s="24"/>
      <c r="AL2105" s="16"/>
      <c r="AM2105" s="16"/>
      <c r="AN2105" s="16"/>
      <c r="AO2105" s="16"/>
      <c r="AP2105" s="16"/>
      <c r="AQ2105" s="16"/>
      <c r="AR2105" s="16"/>
      <c r="AS2105" s="14"/>
      <c r="AT2105" s="14"/>
      <c r="AU2105" s="14"/>
      <c r="AV2105" s="14"/>
      <c r="AW2105" s="14"/>
      <c r="AX2105" s="14"/>
      <c r="AY2105" s="14"/>
      <c r="AZ2105" s="14"/>
      <c r="BA2105" s="14"/>
      <c r="BB2105" s="7"/>
    </row>
    <row r="2106" spans="7:54" x14ac:dyDescent="0.15">
      <c r="G2106" s="7"/>
      <c r="H2106" s="16"/>
      <c r="I2106" s="16"/>
      <c r="J2106" s="16"/>
      <c r="K2106" s="16"/>
      <c r="L2106" s="16"/>
      <c r="M2106" s="16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24"/>
      <c r="AC2106" s="16"/>
      <c r="AD2106" s="16"/>
      <c r="AE2106" s="16"/>
      <c r="AF2106" s="16"/>
      <c r="AG2106" s="14"/>
      <c r="AH2106" s="14"/>
      <c r="AI2106" s="24"/>
      <c r="AJ2106" s="24"/>
      <c r="AK2106" s="24"/>
      <c r="AL2106" s="16"/>
      <c r="AM2106" s="16"/>
      <c r="AN2106" s="16"/>
      <c r="AO2106" s="16"/>
      <c r="AP2106" s="16"/>
      <c r="AQ2106" s="16"/>
      <c r="AR2106" s="16"/>
      <c r="AS2106" s="14"/>
      <c r="AT2106" s="14"/>
      <c r="AU2106" s="14"/>
      <c r="AV2106" s="14"/>
      <c r="AW2106" s="14"/>
      <c r="AX2106" s="14"/>
      <c r="AY2106" s="14"/>
      <c r="AZ2106" s="14"/>
      <c r="BA2106" s="14"/>
      <c r="BB2106" s="7"/>
    </row>
    <row r="2107" spans="7:54" x14ac:dyDescent="0.15">
      <c r="G2107" s="7"/>
      <c r="H2107" s="16"/>
      <c r="I2107" s="16"/>
      <c r="J2107" s="16"/>
      <c r="K2107" s="16"/>
      <c r="L2107" s="16"/>
      <c r="M2107" s="16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24"/>
      <c r="AC2107" s="16"/>
      <c r="AD2107" s="16"/>
      <c r="AE2107" s="16"/>
      <c r="AF2107" s="16"/>
      <c r="AG2107" s="14"/>
      <c r="AH2107" s="14"/>
      <c r="AI2107" s="24"/>
      <c r="AJ2107" s="24"/>
      <c r="AK2107" s="24"/>
      <c r="AL2107" s="16"/>
      <c r="AM2107" s="16"/>
      <c r="AN2107" s="16"/>
      <c r="AO2107" s="16"/>
      <c r="AP2107" s="16"/>
      <c r="AQ2107" s="16"/>
      <c r="AR2107" s="16"/>
      <c r="AS2107" s="14"/>
      <c r="AT2107" s="14"/>
      <c r="AU2107" s="14"/>
      <c r="AV2107" s="14"/>
      <c r="AW2107" s="14"/>
      <c r="AX2107" s="14"/>
      <c r="AY2107" s="14"/>
      <c r="AZ2107" s="14"/>
      <c r="BA2107" s="14"/>
      <c r="BB2107" s="7"/>
    </row>
    <row r="2108" spans="7:54" x14ac:dyDescent="0.15">
      <c r="G2108" s="7"/>
      <c r="H2108" s="16"/>
      <c r="I2108" s="16"/>
      <c r="J2108" s="16"/>
      <c r="K2108" s="16"/>
      <c r="L2108" s="16"/>
      <c r="M2108" s="16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  <c r="AB2108" s="24"/>
      <c r="AC2108" s="16"/>
      <c r="AD2108" s="16"/>
      <c r="AE2108" s="16"/>
      <c r="AF2108" s="16"/>
      <c r="AG2108" s="14"/>
      <c r="AH2108" s="14"/>
      <c r="AI2108" s="24"/>
      <c r="AJ2108" s="24"/>
      <c r="AK2108" s="24"/>
      <c r="AL2108" s="16"/>
      <c r="AM2108" s="16"/>
      <c r="AN2108" s="16"/>
      <c r="AO2108" s="16"/>
      <c r="AP2108" s="16"/>
      <c r="AQ2108" s="16"/>
      <c r="AR2108" s="16"/>
      <c r="AS2108" s="14"/>
      <c r="AT2108" s="14"/>
      <c r="AU2108" s="14"/>
      <c r="AV2108" s="14"/>
      <c r="AW2108" s="14"/>
      <c r="AX2108" s="14"/>
      <c r="AY2108" s="14"/>
      <c r="AZ2108" s="14"/>
      <c r="BA2108" s="14"/>
      <c r="BB2108" s="7"/>
    </row>
    <row r="2109" spans="7:54" x14ac:dyDescent="0.15">
      <c r="G2109" s="7"/>
      <c r="H2109" s="16"/>
      <c r="I2109" s="16"/>
      <c r="J2109" s="16"/>
      <c r="K2109" s="16"/>
      <c r="L2109" s="16"/>
      <c r="M2109" s="16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  <c r="AB2109" s="24"/>
      <c r="AC2109" s="16"/>
      <c r="AD2109" s="16"/>
      <c r="AE2109" s="16"/>
      <c r="AF2109" s="16"/>
      <c r="AG2109" s="14"/>
      <c r="AH2109" s="14"/>
      <c r="AI2109" s="24"/>
      <c r="AJ2109" s="24"/>
      <c r="AK2109" s="24"/>
      <c r="AL2109" s="16"/>
      <c r="AM2109" s="16"/>
      <c r="AN2109" s="16"/>
      <c r="AO2109" s="16"/>
      <c r="AP2109" s="16"/>
      <c r="AQ2109" s="16"/>
      <c r="AR2109" s="16"/>
      <c r="AS2109" s="14"/>
      <c r="AT2109" s="14"/>
      <c r="AU2109" s="14"/>
      <c r="AV2109" s="14"/>
      <c r="AW2109" s="14"/>
      <c r="AX2109" s="14"/>
      <c r="AY2109" s="14"/>
      <c r="AZ2109" s="14"/>
      <c r="BA2109" s="14"/>
      <c r="BB2109" s="7"/>
    </row>
    <row r="2110" spans="7:54" x14ac:dyDescent="0.15">
      <c r="G2110" s="7"/>
      <c r="H2110" s="16"/>
      <c r="I2110" s="16"/>
      <c r="J2110" s="16"/>
      <c r="K2110" s="16"/>
      <c r="L2110" s="16"/>
      <c r="M2110" s="16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  <c r="AB2110" s="24"/>
      <c r="AC2110" s="16"/>
      <c r="AD2110" s="16"/>
      <c r="AE2110" s="16"/>
      <c r="AF2110" s="16"/>
      <c r="AG2110" s="14"/>
      <c r="AH2110" s="14"/>
      <c r="AI2110" s="24"/>
      <c r="AJ2110" s="24"/>
      <c r="AK2110" s="24"/>
      <c r="AL2110" s="16"/>
      <c r="AM2110" s="16"/>
      <c r="AN2110" s="16"/>
      <c r="AO2110" s="16"/>
      <c r="AP2110" s="16"/>
      <c r="AQ2110" s="16"/>
      <c r="AR2110" s="16"/>
      <c r="AS2110" s="14"/>
      <c r="AT2110" s="14"/>
      <c r="AU2110" s="14"/>
      <c r="AV2110" s="14"/>
      <c r="AW2110" s="14"/>
      <c r="AX2110" s="14"/>
      <c r="AY2110" s="14"/>
      <c r="AZ2110" s="14"/>
      <c r="BA2110" s="14"/>
      <c r="BB2110" s="7"/>
    </row>
    <row r="2111" spans="7:54" x14ac:dyDescent="0.15">
      <c r="G2111" s="7"/>
      <c r="H2111" s="16"/>
      <c r="I2111" s="16"/>
      <c r="J2111" s="16"/>
      <c r="K2111" s="16"/>
      <c r="L2111" s="16"/>
      <c r="M2111" s="16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24"/>
      <c r="AC2111" s="16"/>
      <c r="AD2111" s="16"/>
      <c r="AE2111" s="16"/>
      <c r="AF2111" s="16"/>
      <c r="AG2111" s="14"/>
      <c r="AH2111" s="14"/>
      <c r="AI2111" s="24"/>
      <c r="AJ2111" s="24"/>
      <c r="AK2111" s="24"/>
      <c r="AL2111" s="16"/>
      <c r="AM2111" s="16"/>
      <c r="AN2111" s="16"/>
      <c r="AO2111" s="16"/>
      <c r="AP2111" s="16"/>
      <c r="AQ2111" s="16"/>
      <c r="AR2111" s="16"/>
      <c r="AS2111" s="14"/>
      <c r="AT2111" s="14"/>
      <c r="AU2111" s="14"/>
      <c r="AV2111" s="14"/>
      <c r="AW2111" s="14"/>
      <c r="AX2111" s="14"/>
      <c r="AY2111" s="14"/>
      <c r="AZ2111" s="14"/>
      <c r="BA2111" s="14"/>
      <c r="BB2111" s="7"/>
    </row>
    <row r="2112" spans="7:54" x14ac:dyDescent="0.15">
      <c r="G2112" s="7"/>
      <c r="H2112" s="16"/>
      <c r="I2112" s="16"/>
      <c r="J2112" s="16"/>
      <c r="K2112" s="16"/>
      <c r="L2112" s="16"/>
      <c r="M2112" s="16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  <c r="AB2112" s="24"/>
      <c r="AC2112" s="16"/>
      <c r="AD2112" s="16"/>
      <c r="AE2112" s="16"/>
      <c r="AF2112" s="16"/>
      <c r="AG2112" s="14"/>
      <c r="AH2112" s="14"/>
      <c r="AI2112" s="24"/>
      <c r="AJ2112" s="24"/>
      <c r="AK2112" s="24"/>
      <c r="AL2112" s="16"/>
      <c r="AM2112" s="16"/>
      <c r="AN2112" s="16"/>
      <c r="AO2112" s="16"/>
      <c r="AP2112" s="16"/>
      <c r="AQ2112" s="16"/>
      <c r="AR2112" s="16"/>
      <c r="AS2112" s="14"/>
      <c r="AT2112" s="14"/>
      <c r="AU2112" s="14"/>
      <c r="AV2112" s="14"/>
      <c r="AW2112" s="14"/>
      <c r="AX2112" s="14"/>
      <c r="AY2112" s="14"/>
      <c r="AZ2112" s="14"/>
      <c r="BA2112" s="14"/>
      <c r="BB2112" s="7"/>
    </row>
    <row r="2113" spans="7:54" x14ac:dyDescent="0.15">
      <c r="G2113" s="7"/>
      <c r="H2113" s="16"/>
      <c r="I2113" s="16"/>
      <c r="J2113" s="16"/>
      <c r="K2113" s="16"/>
      <c r="L2113" s="16"/>
      <c r="M2113" s="16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  <c r="AB2113" s="24"/>
      <c r="AC2113" s="16"/>
      <c r="AD2113" s="16"/>
      <c r="AE2113" s="16"/>
      <c r="AF2113" s="16"/>
      <c r="AG2113" s="14"/>
      <c r="AH2113" s="14"/>
      <c r="AI2113" s="24"/>
      <c r="AJ2113" s="24"/>
      <c r="AK2113" s="24"/>
      <c r="AL2113" s="16"/>
      <c r="AM2113" s="16"/>
      <c r="AN2113" s="16"/>
      <c r="AO2113" s="16"/>
      <c r="AP2113" s="16"/>
      <c r="AQ2113" s="16"/>
      <c r="AR2113" s="16"/>
      <c r="AS2113" s="14"/>
      <c r="AT2113" s="14"/>
      <c r="AU2113" s="14"/>
      <c r="AV2113" s="14"/>
      <c r="AW2113" s="14"/>
      <c r="AX2113" s="14"/>
      <c r="AY2113" s="14"/>
      <c r="AZ2113" s="14"/>
      <c r="BA2113" s="14"/>
      <c r="BB2113" s="7"/>
    </row>
    <row r="2114" spans="7:54" x14ac:dyDescent="0.15">
      <c r="G2114" s="7"/>
      <c r="H2114" s="16"/>
      <c r="I2114" s="16"/>
      <c r="J2114" s="16"/>
      <c r="K2114" s="16"/>
      <c r="L2114" s="16"/>
      <c r="M2114" s="16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  <c r="AA2114" s="14"/>
      <c r="AB2114" s="24"/>
      <c r="AC2114" s="16"/>
      <c r="AD2114" s="16"/>
      <c r="AE2114" s="16"/>
      <c r="AF2114" s="16"/>
      <c r="AG2114" s="14"/>
      <c r="AH2114" s="14"/>
      <c r="AI2114" s="24"/>
      <c r="AJ2114" s="24"/>
      <c r="AK2114" s="24"/>
      <c r="AL2114" s="16"/>
      <c r="AM2114" s="16"/>
      <c r="AN2114" s="16"/>
      <c r="AO2114" s="16"/>
      <c r="AP2114" s="16"/>
      <c r="AQ2114" s="16"/>
      <c r="AR2114" s="16"/>
      <c r="AS2114" s="14"/>
      <c r="AT2114" s="14"/>
      <c r="AU2114" s="14"/>
      <c r="AV2114" s="14"/>
      <c r="AW2114" s="14"/>
      <c r="AX2114" s="14"/>
      <c r="AY2114" s="14"/>
      <c r="AZ2114" s="14"/>
      <c r="BA2114" s="14"/>
      <c r="BB2114" s="7"/>
    </row>
    <row r="2115" spans="7:54" x14ac:dyDescent="0.15">
      <c r="G2115" s="7"/>
      <c r="H2115" s="16"/>
      <c r="I2115" s="16"/>
      <c r="J2115" s="16"/>
      <c r="K2115" s="16"/>
      <c r="L2115" s="16"/>
      <c r="M2115" s="16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  <c r="AB2115" s="24"/>
      <c r="AC2115" s="16"/>
      <c r="AD2115" s="16"/>
      <c r="AE2115" s="16"/>
      <c r="AF2115" s="16"/>
      <c r="AG2115" s="14"/>
      <c r="AH2115" s="14"/>
      <c r="AI2115" s="24"/>
      <c r="AJ2115" s="24"/>
      <c r="AK2115" s="24"/>
      <c r="AL2115" s="16"/>
      <c r="AM2115" s="16"/>
      <c r="AN2115" s="16"/>
      <c r="AO2115" s="16"/>
      <c r="AP2115" s="16"/>
      <c r="AQ2115" s="16"/>
      <c r="AR2115" s="16"/>
      <c r="AS2115" s="14"/>
      <c r="AT2115" s="14"/>
      <c r="AU2115" s="14"/>
      <c r="AV2115" s="14"/>
      <c r="AW2115" s="14"/>
      <c r="AX2115" s="14"/>
      <c r="AY2115" s="14"/>
      <c r="AZ2115" s="14"/>
      <c r="BA2115" s="14"/>
      <c r="BB2115" s="7"/>
    </row>
    <row r="2116" spans="7:54" x14ac:dyDescent="0.15">
      <c r="G2116" s="7"/>
      <c r="H2116" s="16"/>
      <c r="I2116" s="16"/>
      <c r="J2116" s="16"/>
      <c r="K2116" s="16"/>
      <c r="L2116" s="16"/>
      <c r="M2116" s="16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24"/>
      <c r="AC2116" s="16"/>
      <c r="AD2116" s="16"/>
      <c r="AE2116" s="16"/>
      <c r="AF2116" s="16"/>
      <c r="AG2116" s="14"/>
      <c r="AH2116" s="14"/>
      <c r="AI2116" s="24"/>
      <c r="AJ2116" s="24"/>
      <c r="AK2116" s="24"/>
      <c r="AL2116" s="16"/>
      <c r="AM2116" s="16"/>
      <c r="AN2116" s="16"/>
      <c r="AO2116" s="16"/>
      <c r="AP2116" s="16"/>
      <c r="AQ2116" s="16"/>
      <c r="AR2116" s="16"/>
      <c r="AS2116" s="14"/>
      <c r="AT2116" s="14"/>
      <c r="AU2116" s="14"/>
      <c r="AV2116" s="14"/>
      <c r="AW2116" s="14"/>
      <c r="AX2116" s="14"/>
      <c r="AY2116" s="14"/>
      <c r="AZ2116" s="14"/>
      <c r="BA2116" s="14"/>
      <c r="BB2116" s="7"/>
    </row>
    <row r="2117" spans="7:54" x14ac:dyDescent="0.15">
      <c r="G2117" s="7"/>
      <c r="H2117" s="16"/>
      <c r="I2117" s="16"/>
      <c r="J2117" s="16"/>
      <c r="K2117" s="16"/>
      <c r="L2117" s="16"/>
      <c r="M2117" s="16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  <c r="AB2117" s="24"/>
      <c r="AC2117" s="16"/>
      <c r="AD2117" s="16"/>
      <c r="AE2117" s="16"/>
      <c r="AF2117" s="16"/>
      <c r="AG2117" s="14"/>
      <c r="AH2117" s="14"/>
      <c r="AI2117" s="24"/>
      <c r="AJ2117" s="24"/>
      <c r="AK2117" s="24"/>
      <c r="AL2117" s="16"/>
      <c r="AM2117" s="16"/>
      <c r="AN2117" s="16"/>
      <c r="AO2117" s="16"/>
      <c r="AP2117" s="16"/>
      <c r="AQ2117" s="16"/>
      <c r="AR2117" s="16"/>
      <c r="AS2117" s="14"/>
      <c r="AT2117" s="14"/>
      <c r="AU2117" s="14"/>
      <c r="AV2117" s="14"/>
      <c r="AW2117" s="14"/>
      <c r="AX2117" s="14"/>
      <c r="AY2117" s="14"/>
      <c r="AZ2117" s="14"/>
      <c r="BA2117" s="14"/>
      <c r="BB2117" s="7"/>
    </row>
    <row r="2118" spans="7:54" x14ac:dyDescent="0.15">
      <c r="G2118" s="7"/>
      <c r="H2118" s="16"/>
      <c r="I2118" s="16"/>
      <c r="J2118" s="16"/>
      <c r="K2118" s="16"/>
      <c r="L2118" s="16"/>
      <c r="M2118" s="16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  <c r="AA2118" s="14"/>
      <c r="AB2118" s="24"/>
      <c r="AC2118" s="16"/>
      <c r="AD2118" s="16"/>
      <c r="AE2118" s="16"/>
      <c r="AF2118" s="16"/>
      <c r="AG2118" s="14"/>
      <c r="AH2118" s="14"/>
      <c r="AI2118" s="24"/>
      <c r="AJ2118" s="24"/>
      <c r="AK2118" s="24"/>
      <c r="AL2118" s="16"/>
      <c r="AM2118" s="16"/>
      <c r="AN2118" s="16"/>
      <c r="AO2118" s="16"/>
      <c r="AP2118" s="16"/>
      <c r="AQ2118" s="16"/>
      <c r="AR2118" s="16"/>
      <c r="AS2118" s="14"/>
      <c r="AT2118" s="14"/>
      <c r="AU2118" s="14"/>
      <c r="AV2118" s="14"/>
      <c r="AW2118" s="14"/>
      <c r="AX2118" s="14"/>
      <c r="AY2118" s="14"/>
      <c r="AZ2118" s="14"/>
      <c r="BA2118" s="14"/>
      <c r="BB2118" s="7"/>
    </row>
    <row r="2119" spans="7:54" x14ac:dyDescent="0.15">
      <c r="G2119" s="7"/>
      <c r="H2119" s="16"/>
      <c r="I2119" s="16"/>
      <c r="J2119" s="16"/>
      <c r="K2119" s="16"/>
      <c r="L2119" s="16"/>
      <c r="M2119" s="16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  <c r="AB2119" s="24"/>
      <c r="AC2119" s="16"/>
      <c r="AD2119" s="16"/>
      <c r="AE2119" s="16"/>
      <c r="AF2119" s="16"/>
      <c r="AG2119" s="14"/>
      <c r="AH2119" s="14"/>
      <c r="AI2119" s="24"/>
      <c r="AJ2119" s="24"/>
      <c r="AK2119" s="24"/>
      <c r="AL2119" s="16"/>
      <c r="AM2119" s="16"/>
      <c r="AN2119" s="16"/>
      <c r="AO2119" s="16"/>
      <c r="AP2119" s="16"/>
      <c r="AQ2119" s="16"/>
      <c r="AR2119" s="16"/>
      <c r="AS2119" s="14"/>
      <c r="AT2119" s="14"/>
      <c r="AU2119" s="14"/>
      <c r="AV2119" s="14"/>
      <c r="AW2119" s="14"/>
      <c r="AX2119" s="14"/>
      <c r="AY2119" s="14"/>
      <c r="AZ2119" s="14"/>
      <c r="BA2119" s="14"/>
      <c r="BB2119" s="7"/>
    </row>
    <row r="2120" spans="7:54" x14ac:dyDescent="0.15">
      <c r="G2120" s="7"/>
      <c r="H2120" s="16"/>
      <c r="I2120" s="16"/>
      <c r="J2120" s="16"/>
      <c r="K2120" s="16"/>
      <c r="L2120" s="16"/>
      <c r="M2120" s="16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  <c r="AB2120" s="24"/>
      <c r="AC2120" s="16"/>
      <c r="AD2120" s="16"/>
      <c r="AE2120" s="16"/>
      <c r="AF2120" s="16"/>
      <c r="AG2120" s="14"/>
      <c r="AH2120" s="14"/>
      <c r="AI2120" s="24"/>
      <c r="AJ2120" s="24"/>
      <c r="AK2120" s="24"/>
      <c r="AL2120" s="16"/>
      <c r="AM2120" s="16"/>
      <c r="AN2120" s="16"/>
      <c r="AO2120" s="16"/>
      <c r="AP2120" s="16"/>
      <c r="AQ2120" s="16"/>
      <c r="AR2120" s="16"/>
      <c r="AS2120" s="14"/>
      <c r="AT2120" s="14"/>
      <c r="AU2120" s="14"/>
      <c r="AV2120" s="14"/>
      <c r="AW2120" s="14"/>
      <c r="AX2120" s="14"/>
      <c r="AY2120" s="14"/>
      <c r="AZ2120" s="14"/>
      <c r="BA2120" s="14"/>
      <c r="BB2120" s="7"/>
    </row>
    <row r="2121" spans="7:54" x14ac:dyDescent="0.15">
      <c r="G2121" s="7"/>
      <c r="H2121" s="16"/>
      <c r="I2121" s="16"/>
      <c r="J2121" s="16"/>
      <c r="K2121" s="16"/>
      <c r="L2121" s="16"/>
      <c r="M2121" s="16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24"/>
      <c r="AC2121" s="16"/>
      <c r="AD2121" s="16"/>
      <c r="AE2121" s="16"/>
      <c r="AF2121" s="16"/>
      <c r="AG2121" s="14"/>
      <c r="AH2121" s="14"/>
      <c r="AI2121" s="24"/>
      <c r="AJ2121" s="24"/>
      <c r="AK2121" s="24"/>
      <c r="AL2121" s="16"/>
      <c r="AM2121" s="16"/>
      <c r="AN2121" s="16"/>
      <c r="AO2121" s="16"/>
      <c r="AP2121" s="16"/>
      <c r="AQ2121" s="16"/>
      <c r="AR2121" s="16"/>
      <c r="AS2121" s="14"/>
      <c r="AT2121" s="14"/>
      <c r="AU2121" s="14"/>
      <c r="AV2121" s="14"/>
      <c r="AW2121" s="14"/>
      <c r="AX2121" s="14"/>
      <c r="AY2121" s="14"/>
      <c r="AZ2121" s="14"/>
      <c r="BA2121" s="14"/>
      <c r="BB2121" s="7"/>
    </row>
    <row r="2122" spans="7:54" x14ac:dyDescent="0.15">
      <c r="G2122" s="7"/>
      <c r="H2122" s="16"/>
      <c r="I2122" s="16"/>
      <c r="J2122" s="16"/>
      <c r="K2122" s="16"/>
      <c r="L2122" s="16"/>
      <c r="M2122" s="16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24"/>
      <c r="AC2122" s="16"/>
      <c r="AD2122" s="16"/>
      <c r="AE2122" s="16"/>
      <c r="AF2122" s="16"/>
      <c r="AG2122" s="14"/>
      <c r="AH2122" s="14"/>
      <c r="AI2122" s="24"/>
      <c r="AJ2122" s="24"/>
      <c r="AK2122" s="24"/>
      <c r="AL2122" s="16"/>
      <c r="AM2122" s="16"/>
      <c r="AN2122" s="16"/>
      <c r="AO2122" s="16"/>
      <c r="AP2122" s="16"/>
      <c r="AQ2122" s="16"/>
      <c r="AR2122" s="16"/>
      <c r="AS2122" s="14"/>
      <c r="AT2122" s="14"/>
      <c r="AU2122" s="14"/>
      <c r="AV2122" s="14"/>
      <c r="AW2122" s="14"/>
      <c r="AX2122" s="14"/>
      <c r="AY2122" s="14"/>
      <c r="AZ2122" s="14"/>
      <c r="BA2122" s="14"/>
      <c r="BB2122" s="7"/>
    </row>
    <row r="2123" spans="7:54" x14ac:dyDescent="0.15">
      <c r="G2123" s="7"/>
      <c r="H2123" s="16"/>
      <c r="I2123" s="16"/>
      <c r="J2123" s="16"/>
      <c r="K2123" s="16"/>
      <c r="L2123" s="16"/>
      <c r="M2123" s="16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  <c r="AB2123" s="24"/>
      <c r="AC2123" s="16"/>
      <c r="AD2123" s="16"/>
      <c r="AE2123" s="16"/>
      <c r="AF2123" s="16"/>
      <c r="AG2123" s="14"/>
      <c r="AH2123" s="14"/>
      <c r="AI2123" s="24"/>
      <c r="AJ2123" s="24"/>
      <c r="AK2123" s="24"/>
      <c r="AL2123" s="16"/>
      <c r="AM2123" s="16"/>
      <c r="AN2123" s="16"/>
      <c r="AO2123" s="16"/>
      <c r="AP2123" s="16"/>
      <c r="AQ2123" s="16"/>
      <c r="AR2123" s="16"/>
      <c r="AS2123" s="14"/>
      <c r="AT2123" s="14"/>
      <c r="AU2123" s="14"/>
      <c r="AV2123" s="14"/>
      <c r="AW2123" s="14"/>
      <c r="AX2123" s="14"/>
      <c r="AY2123" s="14"/>
      <c r="AZ2123" s="14"/>
      <c r="BA2123" s="14"/>
      <c r="BB2123" s="7"/>
    </row>
    <row r="2124" spans="7:54" x14ac:dyDescent="0.15">
      <c r="G2124" s="7"/>
      <c r="H2124" s="16"/>
      <c r="I2124" s="16"/>
      <c r="J2124" s="16"/>
      <c r="K2124" s="16"/>
      <c r="L2124" s="16"/>
      <c r="M2124" s="16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  <c r="AB2124" s="24"/>
      <c r="AC2124" s="16"/>
      <c r="AD2124" s="16"/>
      <c r="AE2124" s="16"/>
      <c r="AF2124" s="16"/>
      <c r="AG2124" s="14"/>
      <c r="AH2124" s="14"/>
      <c r="AI2124" s="24"/>
      <c r="AJ2124" s="24"/>
      <c r="AK2124" s="24"/>
      <c r="AL2124" s="16"/>
      <c r="AM2124" s="16"/>
      <c r="AN2124" s="16"/>
      <c r="AO2124" s="16"/>
      <c r="AP2124" s="16"/>
      <c r="AQ2124" s="16"/>
      <c r="AR2124" s="16"/>
      <c r="AS2124" s="14"/>
      <c r="AT2124" s="14"/>
      <c r="AU2124" s="14"/>
      <c r="AV2124" s="14"/>
      <c r="AW2124" s="14"/>
      <c r="AX2124" s="14"/>
      <c r="AY2124" s="14"/>
      <c r="AZ2124" s="14"/>
      <c r="BA2124" s="14"/>
      <c r="BB2124" s="7"/>
    </row>
    <row r="2125" spans="7:54" x14ac:dyDescent="0.15">
      <c r="G2125" s="7"/>
      <c r="H2125" s="16"/>
      <c r="I2125" s="16"/>
      <c r="J2125" s="16"/>
      <c r="K2125" s="16"/>
      <c r="L2125" s="16"/>
      <c r="M2125" s="16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24"/>
      <c r="AC2125" s="16"/>
      <c r="AD2125" s="16"/>
      <c r="AE2125" s="16"/>
      <c r="AF2125" s="16"/>
      <c r="AG2125" s="14"/>
      <c r="AH2125" s="14"/>
      <c r="AI2125" s="24"/>
      <c r="AJ2125" s="24"/>
      <c r="AK2125" s="24"/>
      <c r="AL2125" s="16"/>
      <c r="AM2125" s="16"/>
      <c r="AN2125" s="16"/>
      <c r="AO2125" s="16"/>
      <c r="AP2125" s="16"/>
      <c r="AQ2125" s="16"/>
      <c r="AR2125" s="16"/>
      <c r="AS2125" s="14"/>
      <c r="AT2125" s="14"/>
      <c r="AU2125" s="14"/>
      <c r="AV2125" s="14"/>
      <c r="AW2125" s="14"/>
      <c r="AX2125" s="14"/>
      <c r="AY2125" s="14"/>
      <c r="AZ2125" s="14"/>
      <c r="BA2125" s="14"/>
      <c r="BB2125" s="7"/>
    </row>
    <row r="2126" spans="7:54" x14ac:dyDescent="0.15">
      <c r="G2126" s="7"/>
      <c r="H2126" s="16"/>
      <c r="I2126" s="16"/>
      <c r="J2126" s="16"/>
      <c r="K2126" s="16"/>
      <c r="L2126" s="16"/>
      <c r="M2126" s="16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24"/>
      <c r="AC2126" s="16"/>
      <c r="AD2126" s="16"/>
      <c r="AE2126" s="16"/>
      <c r="AF2126" s="16"/>
      <c r="AG2126" s="14"/>
      <c r="AH2126" s="14"/>
      <c r="AI2126" s="24"/>
      <c r="AJ2126" s="24"/>
      <c r="AK2126" s="24"/>
      <c r="AL2126" s="16"/>
      <c r="AM2126" s="16"/>
      <c r="AN2126" s="16"/>
      <c r="AO2126" s="16"/>
      <c r="AP2126" s="16"/>
      <c r="AQ2126" s="16"/>
      <c r="AR2126" s="16"/>
      <c r="AS2126" s="14"/>
      <c r="AT2126" s="14"/>
      <c r="AU2126" s="14"/>
      <c r="AV2126" s="14"/>
      <c r="AW2126" s="14"/>
      <c r="AX2126" s="14"/>
      <c r="AY2126" s="14"/>
      <c r="AZ2126" s="14"/>
      <c r="BA2126" s="14"/>
      <c r="BB2126" s="7"/>
    </row>
    <row r="2127" spans="7:54" x14ac:dyDescent="0.15">
      <c r="G2127" s="7"/>
      <c r="H2127" s="16"/>
      <c r="I2127" s="16"/>
      <c r="J2127" s="16"/>
      <c r="K2127" s="16"/>
      <c r="L2127" s="16"/>
      <c r="M2127" s="16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24"/>
      <c r="AC2127" s="16"/>
      <c r="AD2127" s="16"/>
      <c r="AE2127" s="16"/>
      <c r="AF2127" s="16"/>
      <c r="AG2127" s="14"/>
      <c r="AH2127" s="14"/>
      <c r="AI2127" s="24"/>
      <c r="AJ2127" s="24"/>
      <c r="AK2127" s="24"/>
      <c r="AL2127" s="16"/>
      <c r="AM2127" s="16"/>
      <c r="AN2127" s="16"/>
      <c r="AO2127" s="16"/>
      <c r="AP2127" s="16"/>
      <c r="AQ2127" s="16"/>
      <c r="AR2127" s="16"/>
      <c r="AS2127" s="14"/>
      <c r="AT2127" s="14"/>
      <c r="AU2127" s="14"/>
      <c r="AV2127" s="14"/>
      <c r="AW2127" s="14"/>
      <c r="AX2127" s="14"/>
      <c r="AY2127" s="14"/>
      <c r="AZ2127" s="14"/>
      <c r="BA2127" s="14"/>
      <c r="BB2127" s="7"/>
    </row>
    <row r="2128" spans="7:54" x14ac:dyDescent="0.15">
      <c r="G2128" s="7"/>
      <c r="H2128" s="16"/>
      <c r="I2128" s="16"/>
      <c r="J2128" s="16"/>
      <c r="K2128" s="16"/>
      <c r="L2128" s="16"/>
      <c r="M2128" s="16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  <c r="AA2128" s="14"/>
      <c r="AB2128" s="24"/>
      <c r="AC2128" s="16"/>
      <c r="AD2128" s="16"/>
      <c r="AE2128" s="16"/>
      <c r="AF2128" s="16"/>
      <c r="AG2128" s="14"/>
      <c r="AH2128" s="14"/>
      <c r="AI2128" s="24"/>
      <c r="AJ2128" s="24"/>
      <c r="AK2128" s="24"/>
      <c r="AL2128" s="16"/>
      <c r="AM2128" s="16"/>
      <c r="AN2128" s="16"/>
      <c r="AO2128" s="16"/>
      <c r="AP2128" s="16"/>
      <c r="AQ2128" s="16"/>
      <c r="AR2128" s="16"/>
      <c r="AS2128" s="14"/>
      <c r="AT2128" s="14"/>
      <c r="AU2128" s="14"/>
      <c r="AV2128" s="14"/>
      <c r="AW2128" s="14"/>
      <c r="AX2128" s="14"/>
      <c r="AY2128" s="14"/>
      <c r="AZ2128" s="14"/>
      <c r="BA2128" s="14"/>
      <c r="BB2128" s="7"/>
    </row>
    <row r="2129" spans="7:54" x14ac:dyDescent="0.15">
      <c r="G2129" s="7"/>
      <c r="H2129" s="16"/>
      <c r="I2129" s="16"/>
      <c r="J2129" s="16"/>
      <c r="K2129" s="16"/>
      <c r="L2129" s="16"/>
      <c r="M2129" s="16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  <c r="AA2129" s="14"/>
      <c r="AB2129" s="24"/>
      <c r="AC2129" s="16"/>
      <c r="AD2129" s="16"/>
      <c r="AE2129" s="16"/>
      <c r="AF2129" s="16"/>
      <c r="AG2129" s="14"/>
      <c r="AH2129" s="14"/>
      <c r="AI2129" s="24"/>
      <c r="AJ2129" s="24"/>
      <c r="AK2129" s="24"/>
      <c r="AL2129" s="16"/>
      <c r="AM2129" s="16"/>
      <c r="AN2129" s="16"/>
      <c r="AO2129" s="16"/>
      <c r="AP2129" s="16"/>
      <c r="AQ2129" s="16"/>
      <c r="AR2129" s="16"/>
      <c r="AS2129" s="14"/>
      <c r="AT2129" s="14"/>
      <c r="AU2129" s="14"/>
      <c r="AV2129" s="14"/>
      <c r="AW2129" s="14"/>
      <c r="AX2129" s="14"/>
      <c r="AY2129" s="14"/>
      <c r="AZ2129" s="14"/>
      <c r="BA2129" s="14"/>
      <c r="BB2129" s="7"/>
    </row>
    <row r="2130" spans="7:54" x14ac:dyDescent="0.15">
      <c r="G2130" s="7"/>
      <c r="H2130" s="16"/>
      <c r="I2130" s="16"/>
      <c r="J2130" s="16"/>
      <c r="K2130" s="16"/>
      <c r="L2130" s="16"/>
      <c r="M2130" s="16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24"/>
      <c r="AC2130" s="16"/>
      <c r="AD2130" s="16"/>
      <c r="AE2130" s="16"/>
      <c r="AF2130" s="16"/>
      <c r="AG2130" s="14"/>
      <c r="AH2130" s="14"/>
      <c r="AI2130" s="24"/>
      <c r="AJ2130" s="24"/>
      <c r="AK2130" s="24"/>
      <c r="AL2130" s="16"/>
      <c r="AM2130" s="16"/>
      <c r="AN2130" s="16"/>
      <c r="AO2130" s="16"/>
      <c r="AP2130" s="16"/>
      <c r="AQ2130" s="16"/>
      <c r="AR2130" s="16"/>
      <c r="AS2130" s="14"/>
      <c r="AT2130" s="14"/>
      <c r="AU2130" s="14"/>
      <c r="AV2130" s="14"/>
      <c r="AW2130" s="14"/>
      <c r="AX2130" s="14"/>
      <c r="AY2130" s="14"/>
      <c r="AZ2130" s="14"/>
      <c r="BA2130" s="14"/>
      <c r="BB2130" s="7"/>
    </row>
    <row r="2131" spans="7:54" x14ac:dyDescent="0.15">
      <c r="G2131" s="7"/>
      <c r="H2131" s="16"/>
      <c r="I2131" s="16"/>
      <c r="J2131" s="16"/>
      <c r="K2131" s="16"/>
      <c r="L2131" s="16"/>
      <c r="M2131" s="16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24"/>
      <c r="AC2131" s="16"/>
      <c r="AD2131" s="16"/>
      <c r="AE2131" s="16"/>
      <c r="AF2131" s="16"/>
      <c r="AG2131" s="14"/>
      <c r="AH2131" s="14"/>
      <c r="AI2131" s="24"/>
      <c r="AJ2131" s="24"/>
      <c r="AK2131" s="24"/>
      <c r="AL2131" s="16"/>
      <c r="AM2131" s="16"/>
      <c r="AN2131" s="16"/>
      <c r="AO2131" s="16"/>
      <c r="AP2131" s="16"/>
      <c r="AQ2131" s="16"/>
      <c r="AR2131" s="16"/>
      <c r="AS2131" s="14"/>
      <c r="AT2131" s="14"/>
      <c r="AU2131" s="14"/>
      <c r="AV2131" s="14"/>
      <c r="AW2131" s="14"/>
      <c r="AX2131" s="14"/>
      <c r="AY2131" s="14"/>
      <c r="AZ2131" s="14"/>
      <c r="BA2131" s="14"/>
      <c r="BB2131" s="7"/>
    </row>
    <row r="2132" spans="7:54" x14ac:dyDescent="0.15">
      <c r="G2132" s="7"/>
      <c r="H2132" s="16"/>
      <c r="I2132" s="16"/>
      <c r="J2132" s="16"/>
      <c r="K2132" s="16"/>
      <c r="L2132" s="16"/>
      <c r="M2132" s="16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24"/>
      <c r="AC2132" s="16"/>
      <c r="AD2132" s="16"/>
      <c r="AE2132" s="16"/>
      <c r="AF2132" s="16"/>
      <c r="AG2132" s="14"/>
      <c r="AH2132" s="14"/>
      <c r="AI2132" s="24"/>
      <c r="AJ2132" s="24"/>
      <c r="AK2132" s="24"/>
      <c r="AL2132" s="16"/>
      <c r="AM2132" s="16"/>
      <c r="AN2132" s="16"/>
      <c r="AO2132" s="16"/>
      <c r="AP2132" s="16"/>
      <c r="AQ2132" s="16"/>
      <c r="AR2132" s="16"/>
      <c r="AS2132" s="14"/>
      <c r="AT2132" s="14"/>
      <c r="AU2132" s="14"/>
      <c r="AV2132" s="14"/>
      <c r="AW2132" s="14"/>
      <c r="AX2132" s="14"/>
      <c r="AY2132" s="14"/>
      <c r="AZ2132" s="14"/>
      <c r="BA2132" s="14"/>
      <c r="BB2132" s="7"/>
    </row>
    <row r="2133" spans="7:54" x14ac:dyDescent="0.15">
      <c r="G2133" s="7"/>
      <c r="H2133" s="16"/>
      <c r="I2133" s="16"/>
      <c r="J2133" s="16"/>
      <c r="K2133" s="16"/>
      <c r="L2133" s="16"/>
      <c r="M2133" s="16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  <c r="AA2133" s="14"/>
      <c r="AB2133" s="24"/>
      <c r="AC2133" s="16"/>
      <c r="AD2133" s="16"/>
      <c r="AE2133" s="16"/>
      <c r="AF2133" s="16"/>
      <c r="AG2133" s="14"/>
      <c r="AH2133" s="14"/>
      <c r="AI2133" s="24"/>
      <c r="AJ2133" s="24"/>
      <c r="AK2133" s="24"/>
      <c r="AL2133" s="16"/>
      <c r="AM2133" s="16"/>
      <c r="AN2133" s="16"/>
      <c r="AO2133" s="16"/>
      <c r="AP2133" s="16"/>
      <c r="AQ2133" s="16"/>
      <c r="AR2133" s="16"/>
      <c r="AS2133" s="14"/>
      <c r="AT2133" s="14"/>
      <c r="AU2133" s="14"/>
      <c r="AV2133" s="14"/>
      <c r="AW2133" s="14"/>
      <c r="AX2133" s="14"/>
      <c r="AY2133" s="14"/>
      <c r="AZ2133" s="14"/>
      <c r="BA2133" s="14"/>
      <c r="BB2133" s="7"/>
    </row>
    <row r="2134" spans="7:54" x14ac:dyDescent="0.15">
      <c r="G2134" s="7"/>
      <c r="H2134" s="16"/>
      <c r="I2134" s="16"/>
      <c r="J2134" s="16"/>
      <c r="K2134" s="16"/>
      <c r="L2134" s="16"/>
      <c r="M2134" s="16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  <c r="AA2134" s="14"/>
      <c r="AB2134" s="24"/>
      <c r="AC2134" s="16"/>
      <c r="AD2134" s="16"/>
      <c r="AE2134" s="16"/>
      <c r="AF2134" s="16"/>
      <c r="AG2134" s="14"/>
      <c r="AH2134" s="14"/>
      <c r="AI2134" s="24"/>
      <c r="AJ2134" s="24"/>
      <c r="AK2134" s="24"/>
      <c r="AL2134" s="16"/>
      <c r="AM2134" s="16"/>
      <c r="AN2134" s="16"/>
      <c r="AO2134" s="16"/>
      <c r="AP2134" s="16"/>
      <c r="AQ2134" s="16"/>
      <c r="AR2134" s="16"/>
      <c r="AS2134" s="14"/>
      <c r="AT2134" s="14"/>
      <c r="AU2134" s="14"/>
      <c r="AV2134" s="14"/>
      <c r="AW2134" s="14"/>
      <c r="AX2134" s="14"/>
      <c r="AY2134" s="14"/>
      <c r="AZ2134" s="14"/>
      <c r="BA2134" s="14"/>
      <c r="BB2134" s="7"/>
    </row>
    <row r="2135" spans="7:54" x14ac:dyDescent="0.15">
      <c r="G2135" s="7"/>
      <c r="H2135" s="16"/>
      <c r="I2135" s="16"/>
      <c r="J2135" s="16"/>
      <c r="K2135" s="16"/>
      <c r="L2135" s="16"/>
      <c r="M2135" s="16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4"/>
      <c r="AB2135" s="24"/>
      <c r="AC2135" s="16"/>
      <c r="AD2135" s="16"/>
      <c r="AE2135" s="16"/>
      <c r="AF2135" s="16"/>
      <c r="AG2135" s="14"/>
      <c r="AH2135" s="14"/>
      <c r="AI2135" s="24"/>
      <c r="AJ2135" s="24"/>
      <c r="AK2135" s="24"/>
      <c r="AL2135" s="16"/>
      <c r="AM2135" s="16"/>
      <c r="AN2135" s="16"/>
      <c r="AO2135" s="16"/>
      <c r="AP2135" s="16"/>
      <c r="AQ2135" s="16"/>
      <c r="AR2135" s="16"/>
      <c r="AS2135" s="14"/>
      <c r="AT2135" s="14"/>
      <c r="AU2135" s="14"/>
      <c r="AV2135" s="14"/>
      <c r="AW2135" s="14"/>
      <c r="AX2135" s="14"/>
      <c r="AY2135" s="14"/>
      <c r="AZ2135" s="14"/>
      <c r="BA2135" s="14"/>
      <c r="BB2135" s="7"/>
    </row>
    <row r="2136" spans="7:54" x14ac:dyDescent="0.15">
      <c r="G2136" s="7"/>
      <c r="H2136" s="16"/>
      <c r="I2136" s="16"/>
      <c r="J2136" s="16"/>
      <c r="K2136" s="16"/>
      <c r="L2136" s="16"/>
      <c r="M2136" s="16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24"/>
      <c r="AC2136" s="16"/>
      <c r="AD2136" s="16"/>
      <c r="AE2136" s="16"/>
      <c r="AF2136" s="16"/>
      <c r="AG2136" s="14"/>
      <c r="AH2136" s="14"/>
      <c r="AI2136" s="24"/>
      <c r="AJ2136" s="24"/>
      <c r="AK2136" s="24"/>
      <c r="AL2136" s="16"/>
      <c r="AM2136" s="16"/>
      <c r="AN2136" s="16"/>
      <c r="AO2136" s="16"/>
      <c r="AP2136" s="16"/>
      <c r="AQ2136" s="16"/>
      <c r="AR2136" s="16"/>
      <c r="AS2136" s="14"/>
      <c r="AT2136" s="14"/>
      <c r="AU2136" s="14"/>
      <c r="AV2136" s="14"/>
      <c r="AW2136" s="14"/>
      <c r="AX2136" s="14"/>
      <c r="AY2136" s="14"/>
      <c r="AZ2136" s="14"/>
      <c r="BA2136" s="14"/>
      <c r="BB2136" s="7"/>
    </row>
    <row r="2137" spans="7:54" x14ac:dyDescent="0.15">
      <c r="G2137" s="7"/>
      <c r="H2137" s="16"/>
      <c r="I2137" s="16"/>
      <c r="J2137" s="16"/>
      <c r="K2137" s="16"/>
      <c r="L2137" s="16"/>
      <c r="M2137" s="16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24"/>
      <c r="AC2137" s="16"/>
      <c r="AD2137" s="16"/>
      <c r="AE2137" s="16"/>
      <c r="AF2137" s="16"/>
      <c r="AG2137" s="14"/>
      <c r="AH2137" s="14"/>
      <c r="AI2137" s="24"/>
      <c r="AJ2137" s="24"/>
      <c r="AK2137" s="24"/>
      <c r="AL2137" s="16"/>
      <c r="AM2137" s="16"/>
      <c r="AN2137" s="16"/>
      <c r="AO2137" s="16"/>
      <c r="AP2137" s="16"/>
      <c r="AQ2137" s="16"/>
      <c r="AR2137" s="16"/>
      <c r="AS2137" s="14"/>
      <c r="AT2137" s="14"/>
      <c r="AU2137" s="14"/>
      <c r="AV2137" s="14"/>
      <c r="AW2137" s="14"/>
      <c r="AX2137" s="14"/>
      <c r="AY2137" s="14"/>
      <c r="AZ2137" s="14"/>
      <c r="BA2137" s="14"/>
      <c r="BB2137" s="7"/>
    </row>
    <row r="2138" spans="7:54" x14ac:dyDescent="0.15">
      <c r="G2138" s="7"/>
      <c r="H2138" s="16"/>
      <c r="I2138" s="16"/>
      <c r="J2138" s="16"/>
      <c r="K2138" s="16"/>
      <c r="L2138" s="16"/>
      <c r="M2138" s="16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  <c r="AA2138" s="14"/>
      <c r="AB2138" s="24"/>
      <c r="AC2138" s="16"/>
      <c r="AD2138" s="16"/>
      <c r="AE2138" s="16"/>
      <c r="AF2138" s="16"/>
      <c r="AG2138" s="14"/>
      <c r="AH2138" s="14"/>
      <c r="AI2138" s="24"/>
      <c r="AJ2138" s="24"/>
      <c r="AK2138" s="24"/>
      <c r="AL2138" s="16"/>
      <c r="AM2138" s="16"/>
      <c r="AN2138" s="16"/>
      <c r="AO2138" s="16"/>
      <c r="AP2138" s="16"/>
      <c r="AQ2138" s="16"/>
      <c r="AR2138" s="16"/>
      <c r="AS2138" s="14"/>
      <c r="AT2138" s="14"/>
      <c r="AU2138" s="14"/>
      <c r="AV2138" s="14"/>
      <c r="AW2138" s="14"/>
      <c r="AX2138" s="14"/>
      <c r="AY2138" s="14"/>
      <c r="AZ2138" s="14"/>
      <c r="BA2138" s="14"/>
      <c r="BB2138" s="7"/>
    </row>
    <row r="2139" spans="7:54" x14ac:dyDescent="0.15">
      <c r="G2139" s="7"/>
      <c r="H2139" s="16"/>
      <c r="I2139" s="16"/>
      <c r="J2139" s="16"/>
      <c r="K2139" s="16"/>
      <c r="L2139" s="16"/>
      <c r="M2139" s="16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  <c r="AA2139" s="14"/>
      <c r="AB2139" s="24"/>
      <c r="AC2139" s="16"/>
      <c r="AD2139" s="16"/>
      <c r="AE2139" s="16"/>
      <c r="AF2139" s="16"/>
      <c r="AG2139" s="14"/>
      <c r="AH2139" s="14"/>
      <c r="AI2139" s="24"/>
      <c r="AJ2139" s="24"/>
      <c r="AK2139" s="24"/>
      <c r="AL2139" s="16"/>
      <c r="AM2139" s="16"/>
      <c r="AN2139" s="16"/>
      <c r="AO2139" s="16"/>
      <c r="AP2139" s="16"/>
      <c r="AQ2139" s="16"/>
      <c r="AR2139" s="16"/>
      <c r="AS2139" s="14"/>
      <c r="AT2139" s="14"/>
      <c r="AU2139" s="14"/>
      <c r="AV2139" s="14"/>
      <c r="AW2139" s="14"/>
      <c r="AX2139" s="14"/>
      <c r="AY2139" s="14"/>
      <c r="AZ2139" s="14"/>
      <c r="BA2139" s="14"/>
      <c r="BB2139" s="7"/>
    </row>
    <row r="2140" spans="7:54" x14ac:dyDescent="0.15">
      <c r="G2140" s="7"/>
      <c r="H2140" s="16"/>
      <c r="I2140" s="16"/>
      <c r="J2140" s="16"/>
      <c r="K2140" s="16"/>
      <c r="L2140" s="16"/>
      <c r="M2140" s="16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4"/>
      <c r="AB2140" s="24"/>
      <c r="AC2140" s="16"/>
      <c r="AD2140" s="16"/>
      <c r="AE2140" s="16"/>
      <c r="AF2140" s="16"/>
      <c r="AG2140" s="14"/>
      <c r="AH2140" s="14"/>
      <c r="AI2140" s="24"/>
      <c r="AJ2140" s="24"/>
      <c r="AK2140" s="24"/>
      <c r="AL2140" s="16"/>
      <c r="AM2140" s="16"/>
      <c r="AN2140" s="16"/>
      <c r="AO2140" s="16"/>
      <c r="AP2140" s="16"/>
      <c r="AQ2140" s="16"/>
      <c r="AR2140" s="16"/>
      <c r="AS2140" s="14"/>
      <c r="AT2140" s="14"/>
      <c r="AU2140" s="14"/>
      <c r="AV2140" s="14"/>
      <c r="AW2140" s="14"/>
      <c r="AX2140" s="14"/>
      <c r="AY2140" s="14"/>
      <c r="AZ2140" s="14"/>
      <c r="BA2140" s="14"/>
      <c r="BB2140" s="7"/>
    </row>
    <row r="2141" spans="7:54" x14ac:dyDescent="0.15">
      <c r="G2141" s="7"/>
      <c r="H2141" s="16"/>
      <c r="I2141" s="16"/>
      <c r="J2141" s="16"/>
      <c r="K2141" s="16"/>
      <c r="L2141" s="16"/>
      <c r="M2141" s="16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24"/>
      <c r="AC2141" s="16"/>
      <c r="AD2141" s="16"/>
      <c r="AE2141" s="16"/>
      <c r="AF2141" s="16"/>
      <c r="AG2141" s="14"/>
      <c r="AH2141" s="14"/>
      <c r="AI2141" s="24"/>
      <c r="AJ2141" s="24"/>
      <c r="AK2141" s="24"/>
      <c r="AL2141" s="16"/>
      <c r="AM2141" s="16"/>
      <c r="AN2141" s="16"/>
      <c r="AO2141" s="16"/>
      <c r="AP2141" s="16"/>
      <c r="AQ2141" s="16"/>
      <c r="AR2141" s="16"/>
      <c r="AS2141" s="14"/>
      <c r="AT2141" s="14"/>
      <c r="AU2141" s="14"/>
      <c r="AV2141" s="14"/>
      <c r="AW2141" s="14"/>
      <c r="AX2141" s="14"/>
      <c r="AY2141" s="14"/>
      <c r="AZ2141" s="14"/>
      <c r="BA2141" s="14"/>
      <c r="BB2141" s="7"/>
    </row>
    <row r="2142" spans="7:54" x14ac:dyDescent="0.15">
      <c r="G2142" s="7"/>
      <c r="H2142" s="16"/>
      <c r="I2142" s="16"/>
      <c r="J2142" s="16"/>
      <c r="K2142" s="16"/>
      <c r="L2142" s="16"/>
      <c r="M2142" s="16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  <c r="AB2142" s="24"/>
      <c r="AC2142" s="16"/>
      <c r="AD2142" s="16"/>
      <c r="AE2142" s="16"/>
      <c r="AF2142" s="16"/>
      <c r="AG2142" s="14"/>
      <c r="AH2142" s="14"/>
      <c r="AI2142" s="24"/>
      <c r="AJ2142" s="24"/>
      <c r="AK2142" s="24"/>
      <c r="AL2142" s="16"/>
      <c r="AM2142" s="16"/>
      <c r="AN2142" s="16"/>
      <c r="AO2142" s="16"/>
      <c r="AP2142" s="16"/>
      <c r="AQ2142" s="16"/>
      <c r="AR2142" s="16"/>
      <c r="AS2142" s="14"/>
      <c r="AT2142" s="14"/>
      <c r="AU2142" s="14"/>
      <c r="AV2142" s="14"/>
      <c r="AW2142" s="14"/>
      <c r="AX2142" s="14"/>
      <c r="AY2142" s="14"/>
      <c r="AZ2142" s="14"/>
      <c r="BA2142" s="14"/>
      <c r="BB2142" s="7"/>
    </row>
    <row r="2143" spans="7:54" x14ac:dyDescent="0.15">
      <c r="G2143" s="7"/>
      <c r="H2143" s="16"/>
      <c r="I2143" s="16"/>
      <c r="J2143" s="16"/>
      <c r="K2143" s="16"/>
      <c r="L2143" s="16"/>
      <c r="M2143" s="16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  <c r="AA2143" s="14"/>
      <c r="AB2143" s="24"/>
      <c r="AC2143" s="16"/>
      <c r="AD2143" s="16"/>
      <c r="AE2143" s="16"/>
      <c r="AF2143" s="16"/>
      <c r="AG2143" s="14"/>
      <c r="AH2143" s="14"/>
      <c r="AI2143" s="24"/>
      <c r="AJ2143" s="24"/>
      <c r="AK2143" s="24"/>
      <c r="AL2143" s="16"/>
      <c r="AM2143" s="16"/>
      <c r="AN2143" s="16"/>
      <c r="AO2143" s="16"/>
      <c r="AP2143" s="16"/>
      <c r="AQ2143" s="16"/>
      <c r="AR2143" s="16"/>
      <c r="AS2143" s="14"/>
      <c r="AT2143" s="14"/>
      <c r="AU2143" s="14"/>
      <c r="AV2143" s="14"/>
      <c r="AW2143" s="14"/>
      <c r="AX2143" s="14"/>
      <c r="AY2143" s="14"/>
      <c r="AZ2143" s="14"/>
      <c r="BA2143" s="14"/>
      <c r="BB2143" s="7"/>
    </row>
    <row r="2144" spans="7:54" x14ac:dyDescent="0.15">
      <c r="G2144" s="7"/>
      <c r="H2144" s="16"/>
      <c r="I2144" s="16"/>
      <c r="J2144" s="16"/>
      <c r="K2144" s="16"/>
      <c r="L2144" s="16"/>
      <c r="M2144" s="16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  <c r="AA2144" s="14"/>
      <c r="AB2144" s="24"/>
      <c r="AC2144" s="16"/>
      <c r="AD2144" s="16"/>
      <c r="AE2144" s="16"/>
      <c r="AF2144" s="16"/>
      <c r="AG2144" s="14"/>
      <c r="AH2144" s="14"/>
      <c r="AI2144" s="24"/>
      <c r="AJ2144" s="24"/>
      <c r="AK2144" s="24"/>
      <c r="AL2144" s="16"/>
      <c r="AM2144" s="16"/>
      <c r="AN2144" s="16"/>
      <c r="AO2144" s="16"/>
      <c r="AP2144" s="16"/>
      <c r="AQ2144" s="16"/>
      <c r="AR2144" s="16"/>
      <c r="AS2144" s="14"/>
      <c r="AT2144" s="14"/>
      <c r="AU2144" s="14"/>
      <c r="AV2144" s="14"/>
      <c r="AW2144" s="14"/>
      <c r="AX2144" s="14"/>
      <c r="AY2144" s="14"/>
      <c r="AZ2144" s="14"/>
      <c r="BA2144" s="14"/>
      <c r="BB2144" s="7"/>
    </row>
    <row r="2145" spans="7:54" x14ac:dyDescent="0.15">
      <c r="G2145" s="7"/>
      <c r="H2145" s="16"/>
      <c r="I2145" s="16"/>
      <c r="J2145" s="16"/>
      <c r="K2145" s="16"/>
      <c r="L2145" s="16"/>
      <c r="M2145" s="16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4"/>
      <c r="AB2145" s="24"/>
      <c r="AC2145" s="16"/>
      <c r="AD2145" s="16"/>
      <c r="AE2145" s="16"/>
      <c r="AF2145" s="16"/>
      <c r="AG2145" s="14"/>
      <c r="AH2145" s="14"/>
      <c r="AI2145" s="24"/>
      <c r="AJ2145" s="24"/>
      <c r="AK2145" s="24"/>
      <c r="AL2145" s="16"/>
      <c r="AM2145" s="16"/>
      <c r="AN2145" s="16"/>
      <c r="AO2145" s="16"/>
      <c r="AP2145" s="16"/>
      <c r="AQ2145" s="16"/>
      <c r="AR2145" s="16"/>
      <c r="AS2145" s="14"/>
      <c r="AT2145" s="14"/>
      <c r="AU2145" s="14"/>
      <c r="AV2145" s="14"/>
      <c r="AW2145" s="14"/>
      <c r="AX2145" s="14"/>
      <c r="AY2145" s="14"/>
      <c r="AZ2145" s="14"/>
      <c r="BA2145" s="14"/>
      <c r="BB2145" s="7"/>
    </row>
    <row r="2146" spans="7:54" x14ac:dyDescent="0.15">
      <c r="G2146" s="7"/>
      <c r="H2146" s="16"/>
      <c r="I2146" s="16"/>
      <c r="J2146" s="16"/>
      <c r="K2146" s="16"/>
      <c r="L2146" s="16"/>
      <c r="M2146" s="16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24"/>
      <c r="AC2146" s="16"/>
      <c r="AD2146" s="16"/>
      <c r="AE2146" s="16"/>
      <c r="AF2146" s="16"/>
      <c r="AG2146" s="14"/>
      <c r="AH2146" s="14"/>
      <c r="AI2146" s="24"/>
      <c r="AJ2146" s="24"/>
      <c r="AK2146" s="24"/>
      <c r="AL2146" s="16"/>
      <c r="AM2146" s="16"/>
      <c r="AN2146" s="16"/>
      <c r="AO2146" s="16"/>
      <c r="AP2146" s="16"/>
      <c r="AQ2146" s="16"/>
      <c r="AR2146" s="16"/>
      <c r="AS2146" s="14"/>
      <c r="AT2146" s="14"/>
      <c r="AU2146" s="14"/>
      <c r="AV2146" s="14"/>
      <c r="AW2146" s="14"/>
      <c r="AX2146" s="14"/>
      <c r="AY2146" s="14"/>
      <c r="AZ2146" s="14"/>
      <c r="BA2146" s="14"/>
      <c r="BB2146" s="7"/>
    </row>
    <row r="2147" spans="7:54" x14ac:dyDescent="0.15">
      <c r="G2147" s="7"/>
      <c r="H2147" s="16"/>
      <c r="I2147" s="16"/>
      <c r="J2147" s="16"/>
      <c r="K2147" s="16"/>
      <c r="L2147" s="16"/>
      <c r="M2147" s="16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24"/>
      <c r="AC2147" s="16"/>
      <c r="AD2147" s="16"/>
      <c r="AE2147" s="16"/>
      <c r="AF2147" s="16"/>
      <c r="AG2147" s="14"/>
      <c r="AH2147" s="14"/>
      <c r="AI2147" s="24"/>
      <c r="AJ2147" s="24"/>
      <c r="AK2147" s="24"/>
      <c r="AL2147" s="16"/>
      <c r="AM2147" s="16"/>
      <c r="AN2147" s="16"/>
      <c r="AO2147" s="16"/>
      <c r="AP2147" s="16"/>
      <c r="AQ2147" s="16"/>
      <c r="AR2147" s="16"/>
      <c r="AS2147" s="14"/>
      <c r="AT2147" s="14"/>
      <c r="AU2147" s="14"/>
      <c r="AV2147" s="14"/>
      <c r="AW2147" s="14"/>
      <c r="AX2147" s="14"/>
      <c r="AY2147" s="14"/>
      <c r="AZ2147" s="14"/>
      <c r="BA2147" s="14"/>
      <c r="BB2147" s="7"/>
    </row>
    <row r="2148" spans="7:54" x14ac:dyDescent="0.15">
      <c r="G2148" s="7"/>
      <c r="H2148" s="16"/>
      <c r="I2148" s="16"/>
      <c r="J2148" s="16"/>
      <c r="K2148" s="16"/>
      <c r="L2148" s="16"/>
      <c r="M2148" s="16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  <c r="AA2148" s="14"/>
      <c r="AB2148" s="24"/>
      <c r="AC2148" s="16"/>
      <c r="AD2148" s="16"/>
      <c r="AE2148" s="16"/>
      <c r="AF2148" s="16"/>
      <c r="AG2148" s="14"/>
      <c r="AH2148" s="14"/>
      <c r="AI2148" s="24"/>
      <c r="AJ2148" s="24"/>
      <c r="AK2148" s="24"/>
      <c r="AL2148" s="16"/>
      <c r="AM2148" s="16"/>
      <c r="AN2148" s="16"/>
      <c r="AO2148" s="16"/>
      <c r="AP2148" s="16"/>
      <c r="AQ2148" s="16"/>
      <c r="AR2148" s="16"/>
      <c r="AS2148" s="14"/>
      <c r="AT2148" s="14"/>
      <c r="AU2148" s="14"/>
      <c r="AV2148" s="14"/>
      <c r="AW2148" s="14"/>
      <c r="AX2148" s="14"/>
      <c r="AY2148" s="14"/>
      <c r="AZ2148" s="14"/>
      <c r="BA2148" s="14"/>
      <c r="BB2148" s="7"/>
    </row>
    <row r="2149" spans="7:54" x14ac:dyDescent="0.15">
      <c r="G2149" s="7"/>
      <c r="H2149" s="16"/>
      <c r="I2149" s="16"/>
      <c r="J2149" s="16"/>
      <c r="K2149" s="16"/>
      <c r="L2149" s="16"/>
      <c r="M2149" s="16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24"/>
      <c r="AC2149" s="16"/>
      <c r="AD2149" s="16"/>
      <c r="AE2149" s="16"/>
      <c r="AF2149" s="16"/>
      <c r="AG2149" s="14"/>
      <c r="AH2149" s="14"/>
      <c r="AI2149" s="24"/>
      <c r="AJ2149" s="24"/>
      <c r="AK2149" s="24"/>
      <c r="AL2149" s="16"/>
      <c r="AM2149" s="16"/>
      <c r="AN2149" s="16"/>
      <c r="AO2149" s="16"/>
      <c r="AP2149" s="16"/>
      <c r="AQ2149" s="16"/>
      <c r="AR2149" s="16"/>
      <c r="AS2149" s="14"/>
      <c r="AT2149" s="14"/>
      <c r="AU2149" s="14"/>
      <c r="AV2149" s="14"/>
      <c r="AW2149" s="14"/>
      <c r="AX2149" s="14"/>
      <c r="AY2149" s="14"/>
      <c r="AZ2149" s="14"/>
      <c r="BA2149" s="14"/>
      <c r="BB2149" s="7"/>
    </row>
    <row r="2150" spans="7:54" x14ac:dyDescent="0.15">
      <c r="G2150" s="7"/>
      <c r="H2150" s="16"/>
      <c r="I2150" s="16"/>
      <c r="J2150" s="16"/>
      <c r="K2150" s="16"/>
      <c r="L2150" s="16"/>
      <c r="M2150" s="16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4"/>
      <c r="AB2150" s="24"/>
      <c r="AC2150" s="16"/>
      <c r="AD2150" s="16"/>
      <c r="AE2150" s="16"/>
      <c r="AF2150" s="16"/>
      <c r="AG2150" s="14"/>
      <c r="AH2150" s="14"/>
      <c r="AI2150" s="24"/>
      <c r="AJ2150" s="24"/>
      <c r="AK2150" s="24"/>
      <c r="AL2150" s="16"/>
      <c r="AM2150" s="16"/>
      <c r="AN2150" s="16"/>
      <c r="AO2150" s="16"/>
      <c r="AP2150" s="16"/>
      <c r="AQ2150" s="16"/>
      <c r="AR2150" s="16"/>
      <c r="AS2150" s="14"/>
      <c r="AT2150" s="14"/>
      <c r="AU2150" s="14"/>
      <c r="AV2150" s="14"/>
      <c r="AW2150" s="14"/>
      <c r="AX2150" s="14"/>
      <c r="AY2150" s="14"/>
      <c r="AZ2150" s="14"/>
      <c r="BA2150" s="14"/>
      <c r="BB2150" s="7"/>
    </row>
    <row r="2151" spans="7:54" x14ac:dyDescent="0.15">
      <c r="G2151" s="7"/>
      <c r="H2151" s="16"/>
      <c r="I2151" s="16"/>
      <c r="J2151" s="16"/>
      <c r="K2151" s="16"/>
      <c r="L2151" s="16"/>
      <c r="M2151" s="16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24"/>
      <c r="AC2151" s="16"/>
      <c r="AD2151" s="16"/>
      <c r="AE2151" s="16"/>
      <c r="AF2151" s="16"/>
      <c r="AG2151" s="14"/>
      <c r="AH2151" s="14"/>
      <c r="AI2151" s="24"/>
      <c r="AJ2151" s="24"/>
      <c r="AK2151" s="24"/>
      <c r="AL2151" s="16"/>
      <c r="AM2151" s="16"/>
      <c r="AN2151" s="16"/>
      <c r="AO2151" s="16"/>
      <c r="AP2151" s="16"/>
      <c r="AQ2151" s="16"/>
      <c r="AR2151" s="16"/>
      <c r="AS2151" s="14"/>
      <c r="AT2151" s="14"/>
      <c r="AU2151" s="14"/>
      <c r="AV2151" s="14"/>
      <c r="AW2151" s="14"/>
      <c r="AX2151" s="14"/>
      <c r="AY2151" s="14"/>
      <c r="AZ2151" s="14"/>
      <c r="BA2151" s="14"/>
      <c r="BB2151" s="7"/>
    </row>
    <row r="2152" spans="7:54" x14ac:dyDescent="0.15">
      <c r="G2152" s="7"/>
      <c r="H2152" s="16"/>
      <c r="I2152" s="16"/>
      <c r="J2152" s="16"/>
      <c r="K2152" s="16"/>
      <c r="L2152" s="16"/>
      <c r="M2152" s="16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24"/>
      <c r="AC2152" s="16"/>
      <c r="AD2152" s="16"/>
      <c r="AE2152" s="16"/>
      <c r="AF2152" s="16"/>
      <c r="AG2152" s="14"/>
      <c r="AH2152" s="14"/>
      <c r="AI2152" s="24"/>
      <c r="AJ2152" s="24"/>
      <c r="AK2152" s="24"/>
      <c r="AL2152" s="16"/>
      <c r="AM2152" s="16"/>
      <c r="AN2152" s="16"/>
      <c r="AO2152" s="16"/>
      <c r="AP2152" s="16"/>
      <c r="AQ2152" s="16"/>
      <c r="AR2152" s="16"/>
      <c r="AS2152" s="14"/>
      <c r="AT2152" s="14"/>
      <c r="AU2152" s="14"/>
      <c r="AV2152" s="14"/>
      <c r="AW2152" s="14"/>
      <c r="AX2152" s="14"/>
      <c r="AY2152" s="14"/>
      <c r="AZ2152" s="14"/>
      <c r="BA2152" s="14"/>
      <c r="BB2152" s="7"/>
    </row>
    <row r="2153" spans="7:54" x14ac:dyDescent="0.15">
      <c r="G2153" s="7"/>
      <c r="H2153" s="16"/>
      <c r="I2153" s="16"/>
      <c r="J2153" s="16"/>
      <c r="K2153" s="16"/>
      <c r="L2153" s="16"/>
      <c r="M2153" s="16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  <c r="AB2153" s="24"/>
      <c r="AC2153" s="16"/>
      <c r="AD2153" s="16"/>
      <c r="AE2153" s="16"/>
      <c r="AF2153" s="16"/>
      <c r="AG2153" s="14"/>
      <c r="AH2153" s="14"/>
      <c r="AI2153" s="24"/>
      <c r="AJ2153" s="24"/>
      <c r="AK2153" s="24"/>
      <c r="AL2153" s="16"/>
      <c r="AM2153" s="16"/>
      <c r="AN2153" s="16"/>
      <c r="AO2153" s="16"/>
      <c r="AP2153" s="16"/>
      <c r="AQ2153" s="16"/>
      <c r="AR2153" s="16"/>
      <c r="AS2153" s="14"/>
      <c r="AT2153" s="14"/>
      <c r="AU2153" s="14"/>
      <c r="AV2153" s="14"/>
      <c r="AW2153" s="14"/>
      <c r="AX2153" s="14"/>
      <c r="AY2153" s="14"/>
      <c r="AZ2153" s="14"/>
      <c r="BA2153" s="14"/>
      <c r="BB2153" s="7"/>
    </row>
    <row r="2154" spans="7:54" x14ac:dyDescent="0.15">
      <c r="G2154" s="7"/>
      <c r="H2154" s="16"/>
      <c r="I2154" s="16"/>
      <c r="J2154" s="16"/>
      <c r="K2154" s="16"/>
      <c r="L2154" s="16"/>
      <c r="M2154" s="16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  <c r="AA2154" s="14"/>
      <c r="AB2154" s="24"/>
      <c r="AC2154" s="16"/>
      <c r="AD2154" s="16"/>
      <c r="AE2154" s="16"/>
      <c r="AF2154" s="16"/>
      <c r="AG2154" s="14"/>
      <c r="AH2154" s="14"/>
      <c r="AI2154" s="24"/>
      <c r="AJ2154" s="24"/>
      <c r="AK2154" s="24"/>
      <c r="AL2154" s="16"/>
      <c r="AM2154" s="16"/>
      <c r="AN2154" s="16"/>
      <c r="AO2154" s="16"/>
      <c r="AP2154" s="16"/>
      <c r="AQ2154" s="16"/>
      <c r="AR2154" s="16"/>
      <c r="AS2154" s="14"/>
      <c r="AT2154" s="14"/>
      <c r="AU2154" s="14"/>
      <c r="AV2154" s="14"/>
      <c r="AW2154" s="14"/>
      <c r="AX2154" s="14"/>
      <c r="AY2154" s="14"/>
      <c r="AZ2154" s="14"/>
      <c r="BA2154" s="14"/>
      <c r="BB2154" s="7"/>
    </row>
    <row r="2155" spans="7:54" x14ac:dyDescent="0.15">
      <c r="G2155" s="7"/>
      <c r="H2155" s="16"/>
      <c r="I2155" s="16"/>
      <c r="J2155" s="16"/>
      <c r="K2155" s="16"/>
      <c r="L2155" s="16"/>
      <c r="M2155" s="16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24"/>
      <c r="AC2155" s="16"/>
      <c r="AD2155" s="16"/>
      <c r="AE2155" s="16"/>
      <c r="AF2155" s="16"/>
      <c r="AG2155" s="14"/>
      <c r="AH2155" s="14"/>
      <c r="AI2155" s="24"/>
      <c r="AJ2155" s="24"/>
      <c r="AK2155" s="24"/>
      <c r="AL2155" s="16"/>
      <c r="AM2155" s="16"/>
      <c r="AN2155" s="16"/>
      <c r="AO2155" s="16"/>
      <c r="AP2155" s="16"/>
      <c r="AQ2155" s="16"/>
      <c r="AR2155" s="16"/>
      <c r="AS2155" s="14"/>
      <c r="AT2155" s="14"/>
      <c r="AU2155" s="14"/>
      <c r="AV2155" s="14"/>
      <c r="AW2155" s="14"/>
      <c r="AX2155" s="14"/>
      <c r="AY2155" s="14"/>
      <c r="AZ2155" s="14"/>
      <c r="BA2155" s="14"/>
      <c r="BB2155" s="7"/>
    </row>
    <row r="2156" spans="7:54" x14ac:dyDescent="0.15">
      <c r="G2156" s="7"/>
      <c r="H2156" s="16"/>
      <c r="I2156" s="16"/>
      <c r="J2156" s="16"/>
      <c r="K2156" s="16"/>
      <c r="L2156" s="16"/>
      <c r="M2156" s="16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24"/>
      <c r="AC2156" s="16"/>
      <c r="AD2156" s="16"/>
      <c r="AE2156" s="16"/>
      <c r="AF2156" s="16"/>
      <c r="AG2156" s="14"/>
      <c r="AH2156" s="14"/>
      <c r="AI2156" s="24"/>
      <c r="AJ2156" s="24"/>
      <c r="AK2156" s="24"/>
      <c r="AL2156" s="16"/>
      <c r="AM2156" s="16"/>
      <c r="AN2156" s="16"/>
      <c r="AO2156" s="16"/>
      <c r="AP2156" s="16"/>
      <c r="AQ2156" s="16"/>
      <c r="AR2156" s="16"/>
      <c r="AS2156" s="14"/>
      <c r="AT2156" s="14"/>
      <c r="AU2156" s="14"/>
      <c r="AV2156" s="14"/>
      <c r="AW2156" s="14"/>
      <c r="AX2156" s="14"/>
      <c r="AY2156" s="14"/>
      <c r="AZ2156" s="14"/>
      <c r="BA2156" s="14"/>
      <c r="BB2156" s="7"/>
    </row>
    <row r="2157" spans="7:54" x14ac:dyDescent="0.15">
      <c r="G2157" s="7"/>
      <c r="H2157" s="16"/>
      <c r="I2157" s="16"/>
      <c r="J2157" s="16"/>
      <c r="K2157" s="16"/>
      <c r="L2157" s="16"/>
      <c r="M2157" s="16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24"/>
      <c r="AC2157" s="16"/>
      <c r="AD2157" s="16"/>
      <c r="AE2157" s="16"/>
      <c r="AF2157" s="16"/>
      <c r="AG2157" s="14"/>
      <c r="AH2157" s="14"/>
      <c r="AI2157" s="24"/>
      <c r="AJ2157" s="24"/>
      <c r="AK2157" s="24"/>
      <c r="AL2157" s="16"/>
      <c r="AM2157" s="16"/>
      <c r="AN2157" s="16"/>
      <c r="AO2157" s="16"/>
      <c r="AP2157" s="16"/>
      <c r="AQ2157" s="16"/>
      <c r="AR2157" s="16"/>
      <c r="AS2157" s="14"/>
      <c r="AT2157" s="14"/>
      <c r="AU2157" s="14"/>
      <c r="AV2157" s="14"/>
      <c r="AW2157" s="14"/>
      <c r="AX2157" s="14"/>
      <c r="AY2157" s="14"/>
      <c r="AZ2157" s="14"/>
      <c r="BA2157" s="14"/>
      <c r="BB2157" s="7"/>
    </row>
  </sheetData>
  <mergeCells count="4">
    <mergeCell ref="AL6:AR6"/>
    <mergeCell ref="AS6:AX6"/>
    <mergeCell ref="AY6:BA6"/>
    <mergeCell ref="J1:P1"/>
  </mergeCells>
  <phoneticPr fontId="9" type="noConversion"/>
  <pageMargins left="0.7" right="0.7" top="0.75" bottom="0.75" header="0.3" footer="0.3"/>
  <drawing r:id="rId1"/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>
    <row r="1" spans="1:1" ht="17.25" x14ac:dyDescent="0.3">
      <c r="A1" s="78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IPO发行报价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吴晖</dc:creator>
  <cp:lastModifiedBy>Cui YongQiang</cp:lastModifiedBy>
  <dcterms:created xsi:type="dcterms:W3CDTF">2019-06-27T02:54:09Z</dcterms:created>
  <dcterms:modified xsi:type="dcterms:W3CDTF">2023-11-24T03:06:58Z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858696954</vt:i4>
  </property>
  <property fmtid="{D5CDD505-2E9C-101B-9397-08002B2CF9AE}" pid="3" name="_NewReviewCycle">
    <vt:lpwstr/>
  </property>
  <property fmtid="{D5CDD505-2E9C-101B-9397-08002B2CF9AE}" pid="4" name="_EmailSubject">
    <vt:lpwstr>可比公司和报价excel模板</vt:lpwstr>
  </property>
  <property fmtid="{D5CDD505-2E9C-101B-9397-08002B2CF9AE}" pid="5" name="_AuthorEmail">
    <vt:lpwstr>jywang.jesslyn@wind.com.cn</vt:lpwstr>
  </property>
  <property fmtid="{D5CDD505-2E9C-101B-9397-08002B2CF9AE}" pid="6" name="_AuthorEmailDisplayName">
    <vt:lpwstr>Wang JiaYi</vt:lpwstr>
  </property>
  <property fmtid="{D5CDD505-2E9C-101B-9397-08002B2CF9AE}" pid="7" name="_ReviewingToolsShownOnce">
    <vt:lpwstr/>
  </property>
</Properties>
</file>