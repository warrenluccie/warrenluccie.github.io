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详情\20241112 Excel看盘\"/>
    </mc:Choice>
  </mc:AlternateContent>
  <xr:revisionPtr revIDLastSave="0" documentId="13_ncr:1_{FC646D6D-650D-412C-A551-B09B292202C7}" xr6:coauthVersionLast="36" xr6:coauthVersionMax="36" xr10:uidLastSave="{00000000-0000-0000-0000-000000000000}"/>
  <bookViews>
    <workbookView xWindow="0" yWindow="0" windowWidth="17490" windowHeight="7815" xr2:uid="{09408AE9-6946-494E-89EF-AD24DE77A6A3}"/>
  </bookViews>
  <sheets>
    <sheet name="行情实时报价" sheetId="1" r:id="rId1"/>
    <sheet name="Wind模板" sheetId="2" state="veryHidden" r:id="rId2"/>
  </sheets>
  <externalReferences>
    <externalReference r:id="rId3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  <c r="J20" i="1"/>
  <c r="K20" i="1"/>
  <c r="L20" i="1"/>
  <c r="M20" i="1"/>
  <c r="D21" i="1"/>
  <c r="E21" i="1"/>
  <c r="F21" i="1"/>
  <c r="G21" i="1"/>
  <c r="H21" i="1"/>
  <c r="I21" i="1"/>
  <c r="J21" i="1"/>
  <c r="K21" i="1"/>
  <c r="L21" i="1"/>
  <c r="M21" i="1"/>
  <c r="D22" i="1"/>
  <c r="E22" i="1"/>
  <c r="F22" i="1"/>
  <c r="G22" i="1"/>
  <c r="H22" i="1"/>
  <c r="I22" i="1"/>
  <c r="J22" i="1"/>
  <c r="K22" i="1"/>
  <c r="L22" i="1"/>
  <c r="M22" i="1"/>
  <c r="D23" i="1"/>
  <c r="E23" i="1"/>
  <c r="F23" i="1"/>
  <c r="G23" i="1"/>
  <c r="H23" i="1"/>
  <c r="I23" i="1"/>
  <c r="J23" i="1"/>
  <c r="K23" i="1"/>
  <c r="L23" i="1"/>
  <c r="M23" i="1"/>
  <c r="D24" i="1"/>
  <c r="E24" i="1"/>
  <c r="F24" i="1"/>
  <c r="G24" i="1"/>
  <c r="H24" i="1"/>
  <c r="I24" i="1"/>
  <c r="J24" i="1"/>
  <c r="K24" i="1"/>
  <c r="L24" i="1"/>
  <c r="M24" i="1"/>
  <c r="D25" i="1"/>
  <c r="E25" i="1"/>
  <c r="F25" i="1"/>
  <c r="G25" i="1"/>
  <c r="H25" i="1"/>
  <c r="I25" i="1"/>
  <c r="J25" i="1"/>
  <c r="K25" i="1"/>
  <c r="L25" i="1"/>
  <c r="M25" i="1"/>
  <c r="D26" i="1"/>
  <c r="E26" i="1"/>
  <c r="F26" i="1"/>
  <c r="G26" i="1"/>
  <c r="H26" i="1"/>
  <c r="I26" i="1"/>
  <c r="J26" i="1"/>
  <c r="K26" i="1"/>
  <c r="L26" i="1"/>
  <c r="M26" i="1"/>
  <c r="D27" i="1"/>
  <c r="E27" i="1"/>
  <c r="F27" i="1"/>
  <c r="G27" i="1"/>
  <c r="H27" i="1"/>
  <c r="I27" i="1"/>
  <c r="J27" i="1"/>
  <c r="K27" i="1"/>
  <c r="L27" i="1"/>
  <c r="M27" i="1"/>
  <c r="D28" i="1"/>
  <c r="E28" i="1"/>
  <c r="F28" i="1"/>
  <c r="G28" i="1"/>
  <c r="H28" i="1"/>
  <c r="I28" i="1"/>
  <c r="J28" i="1"/>
  <c r="K28" i="1"/>
  <c r="L28" i="1"/>
  <c r="M28" i="1"/>
  <c r="D29" i="1"/>
  <c r="E29" i="1"/>
  <c r="F29" i="1"/>
  <c r="G29" i="1"/>
  <c r="H29" i="1"/>
  <c r="I29" i="1"/>
  <c r="J29" i="1"/>
  <c r="K29" i="1"/>
  <c r="L29" i="1"/>
  <c r="M29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D33" i="1"/>
  <c r="E33" i="1"/>
  <c r="F33" i="1"/>
  <c r="G33" i="1"/>
  <c r="H33" i="1"/>
  <c r="I33" i="1"/>
  <c r="J33" i="1"/>
  <c r="K33" i="1"/>
  <c r="L33" i="1"/>
  <c r="M33" i="1"/>
  <c r="D34" i="1"/>
  <c r="E34" i="1"/>
  <c r="F34" i="1"/>
  <c r="G34" i="1"/>
  <c r="H34" i="1"/>
  <c r="I34" i="1"/>
  <c r="J34" i="1"/>
  <c r="K34" i="1"/>
  <c r="L34" i="1"/>
  <c r="M34" i="1"/>
  <c r="D35" i="1"/>
  <c r="E35" i="1"/>
  <c r="F35" i="1"/>
  <c r="G35" i="1"/>
  <c r="H35" i="1"/>
  <c r="I35" i="1"/>
  <c r="J35" i="1"/>
  <c r="K35" i="1"/>
  <c r="L35" i="1"/>
  <c r="M35" i="1"/>
  <c r="D36" i="1"/>
  <c r="E36" i="1"/>
  <c r="F36" i="1"/>
  <c r="G36" i="1"/>
  <c r="H36" i="1"/>
  <c r="I36" i="1"/>
  <c r="J36" i="1"/>
  <c r="K36" i="1"/>
  <c r="L36" i="1"/>
  <c r="M36" i="1"/>
  <c r="D37" i="1"/>
  <c r="E37" i="1"/>
  <c r="F37" i="1"/>
  <c r="G37" i="1"/>
  <c r="H37" i="1"/>
  <c r="I37" i="1"/>
  <c r="J37" i="1"/>
  <c r="K37" i="1"/>
  <c r="L37" i="1"/>
  <c r="M37" i="1"/>
  <c r="D38" i="1"/>
  <c r="E38" i="1"/>
  <c r="F38" i="1"/>
  <c r="G38" i="1"/>
  <c r="H38" i="1"/>
  <c r="I38" i="1"/>
  <c r="J38" i="1"/>
  <c r="K38" i="1"/>
  <c r="L38" i="1"/>
  <c r="M38" i="1"/>
  <c r="D39" i="1"/>
  <c r="E39" i="1"/>
  <c r="F39" i="1"/>
  <c r="G39" i="1"/>
  <c r="H39" i="1"/>
  <c r="I39" i="1"/>
  <c r="J39" i="1"/>
  <c r="K39" i="1"/>
  <c r="L39" i="1"/>
  <c r="M39" i="1"/>
  <c r="D40" i="1"/>
  <c r="E40" i="1"/>
  <c r="F40" i="1"/>
  <c r="G40" i="1"/>
  <c r="H40" i="1"/>
  <c r="I40" i="1"/>
  <c r="J40" i="1"/>
  <c r="K40" i="1"/>
  <c r="L40" i="1"/>
  <c r="M40" i="1"/>
  <c r="D41" i="1"/>
  <c r="E41" i="1"/>
  <c r="F41" i="1"/>
  <c r="G41" i="1"/>
  <c r="H41" i="1"/>
  <c r="I41" i="1"/>
  <c r="J41" i="1"/>
  <c r="K41" i="1"/>
  <c r="L41" i="1"/>
  <c r="M41" i="1"/>
  <c r="D42" i="1"/>
  <c r="E42" i="1"/>
  <c r="F42" i="1"/>
  <c r="G42" i="1"/>
  <c r="H42" i="1"/>
  <c r="I42" i="1"/>
  <c r="J42" i="1"/>
  <c r="K42" i="1"/>
  <c r="L42" i="1"/>
  <c r="M42" i="1"/>
  <c r="D43" i="1"/>
  <c r="E43" i="1"/>
  <c r="F43" i="1"/>
  <c r="G43" i="1"/>
  <c r="H43" i="1"/>
  <c r="I43" i="1"/>
  <c r="J43" i="1"/>
  <c r="K43" i="1"/>
  <c r="L43" i="1"/>
  <c r="M43" i="1"/>
  <c r="D44" i="1"/>
  <c r="E44" i="1"/>
  <c r="F44" i="1"/>
  <c r="G44" i="1"/>
  <c r="H44" i="1"/>
  <c r="I44" i="1"/>
  <c r="J44" i="1"/>
  <c r="K44" i="1"/>
  <c r="L44" i="1"/>
  <c r="M44" i="1"/>
  <c r="D45" i="1"/>
  <c r="E45" i="1"/>
  <c r="F45" i="1"/>
  <c r="G45" i="1"/>
  <c r="H45" i="1"/>
  <c r="I45" i="1"/>
  <c r="J45" i="1"/>
  <c r="K45" i="1"/>
  <c r="L45" i="1"/>
  <c r="M45" i="1"/>
  <c r="D46" i="1"/>
  <c r="E46" i="1"/>
  <c r="F46" i="1"/>
  <c r="G46" i="1"/>
  <c r="H46" i="1"/>
  <c r="I46" i="1"/>
  <c r="J46" i="1"/>
  <c r="K46" i="1"/>
  <c r="L46" i="1"/>
  <c r="M46" i="1"/>
  <c r="D47" i="1"/>
  <c r="E47" i="1"/>
  <c r="F47" i="1"/>
  <c r="G47" i="1"/>
  <c r="H47" i="1"/>
  <c r="I47" i="1"/>
  <c r="J47" i="1"/>
  <c r="K47" i="1"/>
  <c r="L47" i="1"/>
  <c r="M47" i="1"/>
  <c r="D48" i="1"/>
  <c r="E48" i="1"/>
  <c r="F48" i="1"/>
  <c r="G48" i="1"/>
  <c r="H48" i="1"/>
  <c r="I48" i="1"/>
  <c r="J48" i="1"/>
  <c r="K48" i="1"/>
  <c r="L48" i="1"/>
  <c r="M48" i="1"/>
  <c r="D49" i="1"/>
  <c r="E49" i="1"/>
  <c r="F49" i="1"/>
  <c r="G49" i="1"/>
  <c r="H49" i="1"/>
  <c r="I49" i="1"/>
  <c r="J49" i="1"/>
  <c r="K49" i="1"/>
  <c r="L49" i="1"/>
  <c r="M49" i="1"/>
  <c r="D50" i="1"/>
  <c r="E50" i="1"/>
  <c r="F50" i="1"/>
  <c r="G50" i="1"/>
  <c r="H50" i="1"/>
  <c r="I50" i="1"/>
  <c r="J50" i="1"/>
  <c r="K50" i="1"/>
  <c r="L50" i="1"/>
  <c r="M50" i="1"/>
  <c r="D51" i="1"/>
  <c r="E51" i="1"/>
  <c r="F51" i="1"/>
  <c r="G51" i="1"/>
  <c r="H51" i="1"/>
  <c r="I51" i="1"/>
  <c r="J51" i="1"/>
  <c r="K51" i="1"/>
  <c r="L51" i="1"/>
  <c r="M51" i="1"/>
  <c r="D52" i="1"/>
  <c r="E52" i="1"/>
  <c r="F52" i="1"/>
  <c r="G52" i="1"/>
  <c r="H52" i="1"/>
  <c r="I52" i="1"/>
  <c r="J52" i="1"/>
  <c r="K52" i="1"/>
  <c r="L52" i="1"/>
  <c r="M52" i="1"/>
  <c r="D53" i="1"/>
  <c r="E53" i="1"/>
  <c r="F53" i="1"/>
  <c r="G53" i="1"/>
  <c r="H53" i="1"/>
  <c r="I53" i="1"/>
  <c r="J53" i="1"/>
  <c r="K53" i="1"/>
  <c r="L53" i="1"/>
  <c r="M53" i="1"/>
  <c r="D54" i="1"/>
  <c r="E54" i="1"/>
  <c r="F54" i="1"/>
  <c r="G54" i="1"/>
  <c r="H54" i="1"/>
  <c r="I54" i="1"/>
  <c r="J54" i="1"/>
  <c r="K54" i="1"/>
  <c r="L54" i="1"/>
  <c r="M54" i="1"/>
  <c r="D55" i="1"/>
  <c r="E55" i="1"/>
  <c r="F55" i="1"/>
  <c r="G55" i="1"/>
  <c r="H55" i="1"/>
  <c r="I55" i="1"/>
  <c r="J55" i="1"/>
  <c r="K55" i="1"/>
  <c r="L55" i="1"/>
  <c r="M55" i="1"/>
  <c r="D56" i="1"/>
  <c r="E56" i="1"/>
  <c r="F56" i="1"/>
  <c r="G56" i="1"/>
  <c r="H56" i="1"/>
  <c r="I56" i="1"/>
  <c r="J56" i="1"/>
  <c r="K56" i="1"/>
  <c r="L56" i="1"/>
  <c r="M56" i="1"/>
  <c r="D57" i="1"/>
  <c r="E57" i="1"/>
  <c r="F57" i="1"/>
  <c r="G57" i="1"/>
  <c r="H57" i="1"/>
  <c r="I57" i="1"/>
  <c r="J57" i="1"/>
  <c r="K57" i="1"/>
  <c r="L57" i="1"/>
  <c r="M57" i="1"/>
  <c r="D58" i="1"/>
  <c r="E58" i="1"/>
  <c r="F58" i="1"/>
  <c r="G58" i="1"/>
  <c r="H58" i="1"/>
  <c r="I58" i="1"/>
  <c r="J58" i="1"/>
  <c r="K58" i="1"/>
  <c r="L58" i="1"/>
  <c r="M58" i="1"/>
  <c r="D59" i="1"/>
  <c r="E59" i="1"/>
  <c r="F59" i="1"/>
  <c r="G59" i="1"/>
  <c r="H59" i="1"/>
  <c r="I59" i="1"/>
  <c r="J59" i="1"/>
  <c r="K59" i="1"/>
  <c r="L59" i="1"/>
  <c r="M59" i="1"/>
  <c r="D60" i="1"/>
  <c r="E60" i="1"/>
  <c r="F60" i="1"/>
  <c r="G60" i="1"/>
  <c r="H60" i="1"/>
  <c r="I60" i="1"/>
  <c r="J60" i="1"/>
  <c r="K60" i="1"/>
  <c r="L60" i="1"/>
  <c r="M60" i="1"/>
  <c r="D61" i="1"/>
  <c r="E61" i="1"/>
  <c r="F61" i="1"/>
  <c r="G61" i="1"/>
  <c r="H61" i="1"/>
  <c r="I61" i="1"/>
  <c r="J61" i="1"/>
  <c r="K61" i="1"/>
  <c r="L61" i="1"/>
  <c r="M61" i="1"/>
  <c r="D62" i="1"/>
  <c r="E62" i="1"/>
  <c r="F62" i="1"/>
  <c r="G62" i="1"/>
  <c r="H62" i="1"/>
  <c r="I62" i="1"/>
  <c r="J62" i="1"/>
  <c r="K62" i="1"/>
  <c r="L62" i="1"/>
  <c r="M62" i="1"/>
  <c r="D63" i="1"/>
  <c r="E63" i="1"/>
  <c r="F63" i="1"/>
  <c r="G63" i="1"/>
  <c r="H63" i="1"/>
  <c r="I63" i="1"/>
  <c r="J63" i="1"/>
  <c r="K63" i="1"/>
  <c r="L63" i="1"/>
  <c r="M63" i="1"/>
  <c r="D64" i="1"/>
  <c r="E64" i="1"/>
  <c r="F64" i="1"/>
  <c r="G64" i="1"/>
  <c r="H64" i="1"/>
  <c r="I64" i="1"/>
  <c r="J64" i="1"/>
  <c r="K64" i="1"/>
  <c r="L64" i="1"/>
  <c r="M64" i="1"/>
  <c r="D65" i="1"/>
  <c r="E65" i="1"/>
  <c r="F65" i="1"/>
  <c r="G65" i="1"/>
  <c r="H65" i="1"/>
  <c r="I65" i="1"/>
  <c r="J65" i="1"/>
  <c r="K65" i="1"/>
  <c r="L65" i="1"/>
  <c r="M65" i="1"/>
  <c r="D66" i="1"/>
  <c r="E66" i="1"/>
  <c r="F66" i="1"/>
  <c r="G66" i="1"/>
  <c r="H66" i="1"/>
  <c r="I66" i="1"/>
  <c r="J66" i="1"/>
  <c r="K66" i="1"/>
  <c r="L66" i="1"/>
  <c r="M66" i="1"/>
  <c r="D67" i="1"/>
  <c r="E67" i="1"/>
  <c r="F67" i="1"/>
  <c r="G67" i="1"/>
  <c r="H67" i="1"/>
  <c r="I67" i="1"/>
  <c r="J67" i="1"/>
  <c r="K67" i="1"/>
  <c r="L67" i="1"/>
  <c r="M67" i="1"/>
  <c r="D68" i="1"/>
  <c r="E68" i="1"/>
  <c r="F68" i="1"/>
  <c r="G68" i="1"/>
  <c r="H68" i="1"/>
  <c r="I68" i="1"/>
  <c r="J68" i="1"/>
  <c r="K68" i="1"/>
  <c r="L68" i="1"/>
  <c r="M68" i="1"/>
  <c r="D69" i="1"/>
  <c r="E69" i="1"/>
  <c r="F69" i="1"/>
  <c r="G69" i="1"/>
  <c r="H69" i="1"/>
  <c r="I69" i="1"/>
  <c r="J69" i="1"/>
  <c r="K69" i="1"/>
  <c r="L69" i="1"/>
  <c r="M69" i="1"/>
  <c r="D70" i="1"/>
  <c r="E70" i="1"/>
  <c r="F70" i="1"/>
  <c r="G70" i="1"/>
  <c r="H70" i="1"/>
  <c r="I70" i="1"/>
  <c r="J70" i="1"/>
  <c r="K70" i="1"/>
  <c r="L70" i="1"/>
  <c r="M70" i="1"/>
  <c r="D71" i="1"/>
  <c r="E71" i="1"/>
  <c r="F71" i="1"/>
  <c r="G71" i="1"/>
  <c r="H71" i="1"/>
  <c r="I71" i="1"/>
  <c r="J71" i="1"/>
  <c r="K71" i="1"/>
  <c r="L71" i="1"/>
  <c r="M71" i="1"/>
  <c r="D72" i="1"/>
  <c r="E72" i="1"/>
  <c r="F72" i="1"/>
  <c r="G72" i="1"/>
  <c r="H72" i="1"/>
  <c r="I72" i="1"/>
  <c r="J72" i="1"/>
  <c r="K72" i="1"/>
  <c r="L72" i="1"/>
  <c r="M72" i="1"/>
  <c r="D73" i="1"/>
  <c r="E73" i="1"/>
  <c r="F73" i="1"/>
  <c r="G73" i="1"/>
  <c r="H73" i="1"/>
  <c r="I73" i="1"/>
  <c r="J73" i="1"/>
  <c r="K73" i="1"/>
  <c r="L73" i="1"/>
  <c r="M73" i="1"/>
  <c r="D74" i="1"/>
  <c r="E74" i="1"/>
  <c r="F74" i="1"/>
  <c r="G74" i="1"/>
  <c r="H74" i="1"/>
  <c r="I74" i="1"/>
  <c r="J74" i="1"/>
  <c r="K74" i="1"/>
  <c r="L74" i="1"/>
  <c r="M74" i="1"/>
  <c r="D75" i="1"/>
  <c r="E75" i="1"/>
  <c r="F75" i="1"/>
  <c r="G75" i="1"/>
  <c r="H75" i="1"/>
  <c r="I75" i="1"/>
  <c r="J75" i="1"/>
  <c r="K75" i="1"/>
  <c r="L75" i="1"/>
  <c r="M75" i="1"/>
  <c r="D76" i="1"/>
  <c r="E76" i="1"/>
  <c r="F76" i="1"/>
  <c r="G76" i="1"/>
  <c r="H76" i="1"/>
  <c r="I76" i="1"/>
  <c r="J76" i="1"/>
  <c r="K76" i="1"/>
  <c r="L76" i="1"/>
  <c r="M76" i="1"/>
  <c r="D77" i="1"/>
  <c r="E77" i="1"/>
  <c r="F77" i="1"/>
  <c r="G77" i="1"/>
  <c r="H77" i="1"/>
  <c r="I77" i="1"/>
  <c r="J77" i="1"/>
  <c r="K77" i="1"/>
  <c r="L77" i="1"/>
  <c r="M77" i="1"/>
  <c r="D78" i="1"/>
  <c r="E78" i="1"/>
  <c r="F78" i="1"/>
  <c r="G78" i="1"/>
  <c r="H78" i="1"/>
  <c r="I78" i="1"/>
  <c r="J78" i="1"/>
  <c r="K78" i="1"/>
  <c r="L78" i="1"/>
  <c r="M78" i="1"/>
  <c r="D79" i="1"/>
  <c r="E79" i="1"/>
  <c r="F79" i="1"/>
  <c r="G79" i="1"/>
  <c r="H79" i="1"/>
  <c r="I79" i="1"/>
  <c r="J79" i="1"/>
  <c r="K79" i="1"/>
  <c r="L79" i="1"/>
  <c r="M79" i="1"/>
  <c r="D80" i="1"/>
  <c r="E80" i="1"/>
  <c r="F80" i="1"/>
  <c r="G80" i="1"/>
  <c r="H80" i="1"/>
  <c r="I80" i="1"/>
  <c r="J80" i="1"/>
  <c r="K80" i="1"/>
  <c r="L80" i="1"/>
  <c r="M80" i="1"/>
  <c r="D81" i="1"/>
  <c r="E81" i="1"/>
  <c r="F81" i="1"/>
  <c r="G81" i="1"/>
  <c r="H81" i="1"/>
  <c r="I81" i="1"/>
  <c r="J81" i="1"/>
  <c r="K81" i="1"/>
  <c r="L81" i="1"/>
  <c r="M81" i="1"/>
  <c r="D82" i="1"/>
  <c r="E82" i="1"/>
  <c r="F82" i="1"/>
  <c r="G82" i="1"/>
  <c r="H82" i="1"/>
  <c r="I82" i="1"/>
  <c r="J82" i="1"/>
  <c r="K82" i="1"/>
  <c r="L82" i="1"/>
  <c r="M82" i="1"/>
  <c r="D83" i="1"/>
  <c r="E83" i="1"/>
  <c r="F83" i="1"/>
  <c r="G83" i="1"/>
  <c r="H83" i="1"/>
  <c r="I83" i="1"/>
  <c r="J83" i="1"/>
  <c r="K83" i="1"/>
  <c r="L83" i="1"/>
  <c r="M83" i="1"/>
  <c r="D84" i="1"/>
  <c r="E84" i="1"/>
  <c r="F84" i="1"/>
  <c r="G84" i="1"/>
  <c r="H84" i="1"/>
  <c r="I84" i="1"/>
  <c r="J84" i="1"/>
  <c r="K84" i="1"/>
  <c r="L84" i="1"/>
  <c r="M84" i="1"/>
  <c r="D85" i="1"/>
  <c r="E85" i="1"/>
  <c r="F85" i="1"/>
  <c r="G85" i="1"/>
  <c r="H85" i="1"/>
  <c r="I85" i="1"/>
  <c r="J85" i="1"/>
  <c r="K85" i="1"/>
  <c r="L85" i="1"/>
  <c r="M85" i="1"/>
  <c r="D86" i="1"/>
  <c r="E86" i="1"/>
  <c r="F86" i="1"/>
  <c r="G86" i="1"/>
  <c r="H86" i="1"/>
  <c r="I86" i="1"/>
  <c r="J86" i="1"/>
  <c r="K86" i="1"/>
  <c r="L86" i="1"/>
  <c r="M86" i="1"/>
  <c r="D87" i="1"/>
  <c r="E87" i="1"/>
  <c r="F87" i="1"/>
  <c r="G87" i="1"/>
  <c r="H87" i="1"/>
  <c r="I87" i="1"/>
  <c r="J87" i="1"/>
  <c r="K87" i="1"/>
  <c r="L87" i="1"/>
  <c r="M87" i="1"/>
  <c r="D88" i="1"/>
  <c r="E88" i="1"/>
  <c r="F88" i="1"/>
  <c r="G88" i="1"/>
  <c r="H88" i="1"/>
  <c r="I88" i="1"/>
  <c r="J88" i="1"/>
  <c r="K88" i="1"/>
  <c r="L88" i="1"/>
  <c r="M88" i="1"/>
  <c r="D89" i="1"/>
  <c r="E89" i="1"/>
  <c r="F89" i="1"/>
  <c r="G89" i="1"/>
  <c r="H89" i="1"/>
  <c r="I89" i="1"/>
  <c r="J89" i="1"/>
  <c r="K89" i="1"/>
  <c r="L89" i="1"/>
  <c r="M89" i="1"/>
  <c r="D90" i="1"/>
  <c r="E90" i="1"/>
  <c r="F90" i="1"/>
  <c r="G90" i="1"/>
  <c r="H90" i="1"/>
  <c r="I90" i="1"/>
  <c r="J90" i="1"/>
  <c r="K90" i="1"/>
  <c r="L90" i="1"/>
  <c r="M90" i="1"/>
  <c r="D91" i="1"/>
  <c r="E91" i="1"/>
  <c r="F91" i="1"/>
  <c r="G91" i="1"/>
  <c r="H91" i="1"/>
  <c r="I91" i="1"/>
  <c r="J91" i="1"/>
  <c r="K91" i="1"/>
  <c r="L91" i="1"/>
  <c r="M91" i="1"/>
  <c r="D92" i="1"/>
  <c r="E92" i="1"/>
  <c r="F92" i="1"/>
  <c r="G92" i="1"/>
  <c r="H92" i="1"/>
  <c r="I92" i="1"/>
  <c r="J92" i="1"/>
  <c r="K92" i="1"/>
  <c r="L92" i="1"/>
  <c r="M92" i="1"/>
  <c r="D93" i="1"/>
  <c r="E93" i="1"/>
  <c r="F93" i="1"/>
  <c r="G93" i="1"/>
  <c r="H93" i="1"/>
  <c r="I93" i="1"/>
  <c r="J93" i="1"/>
  <c r="K93" i="1"/>
  <c r="L93" i="1"/>
  <c r="M93" i="1"/>
  <c r="D94" i="1"/>
  <c r="E94" i="1"/>
  <c r="F94" i="1"/>
  <c r="G94" i="1"/>
  <c r="H94" i="1"/>
  <c r="I94" i="1"/>
  <c r="J94" i="1"/>
  <c r="K94" i="1"/>
  <c r="L94" i="1"/>
  <c r="M94" i="1"/>
  <c r="D95" i="1"/>
  <c r="E95" i="1"/>
  <c r="F95" i="1"/>
  <c r="G95" i="1"/>
  <c r="H95" i="1"/>
  <c r="I95" i="1"/>
  <c r="J95" i="1"/>
  <c r="K95" i="1"/>
  <c r="L95" i="1"/>
  <c r="M95" i="1"/>
  <c r="D96" i="1"/>
  <c r="E96" i="1"/>
  <c r="F96" i="1"/>
  <c r="G96" i="1"/>
  <c r="H96" i="1"/>
  <c r="I96" i="1"/>
  <c r="J96" i="1"/>
  <c r="K96" i="1"/>
  <c r="L96" i="1"/>
  <c r="M96" i="1"/>
  <c r="D97" i="1"/>
  <c r="E97" i="1"/>
  <c r="F97" i="1"/>
  <c r="G97" i="1"/>
  <c r="H97" i="1"/>
  <c r="I97" i="1"/>
  <c r="J97" i="1"/>
  <c r="K97" i="1"/>
  <c r="L97" i="1"/>
  <c r="M97" i="1"/>
  <c r="D98" i="1"/>
  <c r="E98" i="1"/>
  <c r="F98" i="1"/>
  <c r="G98" i="1"/>
  <c r="H98" i="1"/>
  <c r="I98" i="1"/>
  <c r="J98" i="1"/>
  <c r="K98" i="1"/>
  <c r="L98" i="1"/>
  <c r="M98" i="1"/>
  <c r="D17" i="1"/>
  <c r="F18" i="1"/>
  <c r="H19" i="1"/>
  <c r="E17" i="1"/>
  <c r="G18" i="1"/>
  <c r="I19" i="1"/>
  <c r="F17" i="1"/>
  <c r="H18" i="1"/>
  <c r="J19" i="1"/>
  <c r="G17" i="1"/>
  <c r="I18" i="1"/>
  <c r="K19" i="1"/>
  <c r="H17" i="1"/>
  <c r="J18" i="1"/>
  <c r="L19" i="1"/>
  <c r="G19" i="1"/>
  <c r="I17" i="1"/>
  <c r="K18" i="1"/>
  <c r="M19" i="1"/>
  <c r="J17" i="1"/>
  <c r="L18" i="1"/>
  <c r="K17" i="1"/>
  <c r="M18" i="1"/>
  <c r="L17" i="1"/>
  <c r="D19" i="1"/>
  <c r="M17" i="1"/>
  <c r="E19" i="1"/>
  <c r="D18" i="1"/>
  <c r="F19" i="1"/>
  <c r="E18" i="1"/>
  <c r="L6" i="1"/>
  <c r="L7" i="1"/>
  <c r="L8" i="1"/>
  <c r="L9" i="1"/>
  <c r="L10" i="1"/>
  <c r="L11" i="1"/>
  <c r="L12" i="1"/>
  <c r="L15" i="1"/>
  <c r="L13" i="1"/>
  <c r="L14" i="1"/>
  <c r="L16" i="1"/>
  <c r="K6" i="1"/>
  <c r="K7" i="1"/>
  <c r="K8" i="1"/>
  <c r="K9" i="1"/>
  <c r="K10" i="1"/>
  <c r="K11" i="1"/>
  <c r="K12" i="1"/>
  <c r="K13" i="1"/>
  <c r="K14" i="1"/>
  <c r="K15" i="1"/>
  <c r="K16" i="1"/>
  <c r="I7" i="1"/>
  <c r="I8" i="1"/>
  <c r="I9" i="1"/>
  <c r="I10" i="1"/>
  <c r="I11" i="1"/>
  <c r="I12" i="1"/>
  <c r="I13" i="1"/>
  <c r="I14" i="1"/>
  <c r="I15" i="1"/>
  <c r="I16" i="1"/>
  <c r="I6" i="1"/>
  <c r="J6" i="1"/>
  <c r="J7" i="1"/>
  <c r="J8" i="1"/>
  <c r="J9" i="1"/>
  <c r="J10" i="1"/>
  <c r="J11" i="1"/>
  <c r="J12" i="1"/>
  <c r="J13" i="1"/>
  <c r="J14" i="1"/>
  <c r="J15" i="1"/>
  <c r="J16" i="1"/>
  <c r="H6" i="1"/>
  <c r="H7" i="1"/>
  <c r="H8" i="1"/>
  <c r="H9" i="1"/>
  <c r="H10" i="1"/>
  <c r="H11" i="1"/>
  <c r="H12" i="1"/>
  <c r="H13" i="1"/>
  <c r="H14" i="1"/>
  <c r="H15" i="1"/>
  <c r="H16" i="1"/>
  <c r="D7" i="1" l="1"/>
  <c r="D8" i="1"/>
  <c r="D9" i="1"/>
  <c r="D10" i="1"/>
  <c r="D11" i="1"/>
  <c r="D12" i="1"/>
  <c r="D13" i="1"/>
  <c r="D14" i="1"/>
  <c r="D15" i="1"/>
  <c r="D16" i="1"/>
  <c r="D6" i="1"/>
  <c r="E7" i="1"/>
  <c r="E13" i="1"/>
  <c r="E8" i="1"/>
  <c r="E14" i="1"/>
  <c r="E9" i="1"/>
  <c r="E15" i="1"/>
  <c r="E10" i="1"/>
  <c r="E16" i="1"/>
  <c r="E11" i="1"/>
  <c r="E12" i="1"/>
  <c r="M6" i="1"/>
  <c r="M7" i="1"/>
  <c r="M8" i="1"/>
  <c r="M9" i="1"/>
  <c r="M10" i="1"/>
  <c r="M11" i="1"/>
  <c r="M12" i="1"/>
  <c r="M13" i="1"/>
  <c r="M14" i="1"/>
  <c r="M15" i="1"/>
  <c r="M16" i="1"/>
  <c r="F6" i="1"/>
  <c r="F7" i="1"/>
  <c r="G13" i="1"/>
  <c r="G7" i="1"/>
  <c r="F11" i="1"/>
  <c r="G11" i="1"/>
  <c r="F16" i="1"/>
  <c r="F9" i="1"/>
  <c r="G16" i="1"/>
  <c r="G9" i="1"/>
  <c r="F14" i="1"/>
  <c r="F8" i="1"/>
  <c r="G14" i="1"/>
  <c r="G8" i="1"/>
  <c r="F12" i="1"/>
  <c r="G12" i="1"/>
  <c r="F10" i="1"/>
  <c r="G10" i="1"/>
  <c r="F15" i="1"/>
  <c r="G15" i="1"/>
  <c r="F13" i="1"/>
  <c r="G6" i="1"/>
  <c r="E6" i="1"/>
</calcChain>
</file>

<file path=xl/sharedStrings.xml><?xml version="1.0" encoding="utf-8"?>
<sst xmlns="http://schemas.openxmlformats.org/spreadsheetml/2006/main" count="27" uniqueCount="27">
  <si>
    <t>Wind代码</t>
    <phoneticPr fontId="5" type="noConversion"/>
  </si>
  <si>
    <t>证券简称</t>
    <phoneticPr fontId="5" type="noConversion"/>
  </si>
  <si>
    <t>最新收盘日</t>
    <phoneticPr fontId="5" type="noConversion"/>
  </si>
  <si>
    <t>002123.SZ</t>
    <phoneticPr fontId="5" type="noConversion"/>
  </si>
  <si>
    <t>600000.SH</t>
    <phoneticPr fontId="5" type="noConversion"/>
  </si>
  <si>
    <t>600004.SH</t>
    <phoneticPr fontId="5" type="noConversion"/>
  </si>
  <si>
    <t>600006.SH</t>
    <phoneticPr fontId="5" type="noConversion"/>
  </si>
  <si>
    <t>600941.SH</t>
    <phoneticPr fontId="5" type="noConversion"/>
  </si>
  <si>
    <t>0700.HK</t>
    <phoneticPr fontId="8" type="noConversion"/>
  </si>
  <si>
    <t>现价</t>
    <phoneticPr fontId="5" type="noConversion"/>
  </si>
  <si>
    <t>涨跌</t>
    <phoneticPr fontId="5" type="noConversion"/>
  </si>
  <si>
    <t>涨跌幅</t>
    <phoneticPr fontId="5" type="noConversion"/>
  </si>
  <si>
    <t>年初至今涨跌幅</t>
    <phoneticPr fontId="5" type="noConversion"/>
  </si>
  <si>
    <t>成交额</t>
    <phoneticPr fontId="5" type="noConversion"/>
  </si>
  <si>
    <t>成交量</t>
    <phoneticPr fontId="5" type="noConversion"/>
  </si>
  <si>
    <t>000001.SH</t>
    <phoneticPr fontId="5" type="noConversion"/>
  </si>
  <si>
    <t>20日涨跌幅</t>
    <phoneticPr fontId="5" type="noConversion"/>
  </si>
  <si>
    <t>60日涨跌幅</t>
    <phoneticPr fontId="5" type="noConversion"/>
  </si>
  <si>
    <t>行情实时报价</t>
  </si>
  <si>
    <t>行情实时报价</t>
    <phoneticPr fontId="5" type="noConversion"/>
  </si>
  <si>
    <t>000858.SZ</t>
    <phoneticPr fontId="5" type="noConversion"/>
  </si>
  <si>
    <t>603160.SH</t>
    <phoneticPr fontId="5" type="noConversion"/>
  </si>
  <si>
    <t>001979.SZ</t>
    <phoneticPr fontId="5" type="noConversion"/>
  </si>
  <si>
    <t>600079.SH</t>
    <phoneticPr fontId="5" type="noConversion"/>
  </si>
  <si>
    <t>3690.HK</t>
    <phoneticPr fontId="5" type="noConversion"/>
  </si>
  <si>
    <t>0981.HK</t>
    <phoneticPr fontId="5" type="noConversion"/>
  </si>
  <si>
    <t>1810.HK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</si>
</sst>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3" formatCode="0.00_ "/>
  </numFmts>
  <fonts count="12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2F3F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2" borderId="0" xfId="0" applyFont="1" applyFill="1" applyAlignment="1"/>
    <xf numFmtId="0" fontId="2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horizontal="left" vertical="top"/>
    </xf>
    <xf numFmtId="0" fontId="0" fillId="4" borderId="0" xfId="0" applyFill="1" applyBorder="1">
      <alignment vertical="center"/>
    </xf>
    <xf numFmtId="0" fontId="0" fillId="3" borderId="0" xfId="0" applyFill="1" applyBorder="1">
      <alignment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>
      <alignment vertical="center"/>
    </xf>
    <xf numFmtId="0" fontId="9" fillId="0" borderId="3" xfId="0" applyFont="1" applyFill="1" applyBorder="1" applyAlignment="1">
      <alignment horizontal="left" vertical="center"/>
    </xf>
    <xf numFmtId="0" fontId="9" fillId="0" borderId="2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 wrapText="1"/>
    </xf>
    <xf numFmtId="10" fontId="0" fillId="3" borderId="0" xfId="1" applyNumberFormat="1" applyFont="1" applyFill="1">
      <alignment vertical="center"/>
    </xf>
    <xf numFmtId="10" fontId="0" fillId="4" borderId="0" xfId="1" applyNumberFormat="1" applyFont="1" applyFill="1">
      <alignment vertical="center"/>
    </xf>
    <xf numFmtId="10" fontId="6" fillId="4" borderId="1" xfId="1" applyNumberFormat="1" applyFont="1" applyFill="1" applyBorder="1" applyAlignment="1">
      <alignment vertical="top"/>
    </xf>
    <xf numFmtId="10" fontId="7" fillId="5" borderId="3" xfId="1" applyNumberFormat="1" applyFont="1" applyFill="1" applyBorder="1" applyAlignment="1">
      <alignment vertical="center"/>
    </xf>
    <xf numFmtId="10" fontId="0" fillId="3" borderId="0" xfId="1" applyNumberFormat="1" applyFont="1" applyFill="1" applyBorder="1">
      <alignment vertical="center"/>
    </xf>
    <xf numFmtId="10" fontId="0" fillId="0" borderId="0" xfId="1" applyNumberFormat="1" applyFont="1" applyFill="1" applyBorder="1">
      <alignment vertical="center"/>
    </xf>
    <xf numFmtId="0" fontId="9" fillId="3" borderId="0" xfId="0" applyFont="1" applyFill="1">
      <alignment vertical="center"/>
    </xf>
    <xf numFmtId="0" fontId="9" fillId="4" borderId="0" xfId="0" applyFont="1" applyFill="1">
      <alignment vertical="center"/>
    </xf>
    <xf numFmtId="0" fontId="10" fillId="4" borderId="1" xfId="0" applyFont="1" applyFill="1" applyBorder="1" applyAlignment="1">
      <alignment vertical="top"/>
    </xf>
    <xf numFmtId="0" fontId="9" fillId="4" borderId="0" xfId="0" applyFont="1" applyFill="1" applyBorder="1">
      <alignment vertical="center"/>
    </xf>
    <xf numFmtId="0" fontId="9" fillId="3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2" fillId="4" borderId="0" xfId="0" applyFont="1" applyFill="1">
      <alignment vertical="center"/>
    </xf>
    <xf numFmtId="4" fontId="9" fillId="0" borderId="3" xfId="0" applyNumberFormat="1" applyFont="1" applyFill="1" applyBorder="1" applyAlignment="1">
      <alignment horizontal="right" vertical="center"/>
    </xf>
    <xf numFmtId="4" fontId="9" fillId="4" borderId="3" xfId="0" applyNumberFormat="1" applyFont="1" applyFill="1" applyBorder="1" applyAlignment="1">
      <alignment horizontal="right" vertical="center"/>
    </xf>
    <xf numFmtId="4" fontId="9" fillId="0" borderId="5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0" fillId="3" borderId="0" xfId="0" applyNumberFormat="1" applyFill="1">
      <alignment vertical="center"/>
    </xf>
    <xf numFmtId="0" fontId="6" fillId="4" borderId="1" xfId="0" applyNumberFormat="1" applyFont="1" applyFill="1" applyBorder="1" applyAlignment="1">
      <alignment vertical="top"/>
    </xf>
    <xf numFmtId="0" fontId="0" fillId="4" borderId="0" xfId="0" applyNumberFormat="1" applyFill="1">
      <alignment vertical="center"/>
    </xf>
    <xf numFmtId="0" fontId="7" fillId="5" borderId="3" xfId="0" applyNumberFormat="1" applyFont="1" applyFill="1" applyBorder="1" applyAlignment="1">
      <alignment vertical="center"/>
    </xf>
    <xf numFmtId="0" fontId="0" fillId="4" borderId="0" xfId="0" applyNumberFormat="1" applyFill="1" applyBorder="1">
      <alignment vertical="center"/>
    </xf>
    <xf numFmtId="0" fontId="0" fillId="3" borderId="0" xfId="0" applyNumberFormat="1" applyFill="1" applyBorder="1">
      <alignment vertical="center"/>
    </xf>
    <xf numFmtId="0" fontId="0" fillId="0" borderId="0" xfId="0" applyNumberFormat="1" applyFill="1" applyBorder="1">
      <alignment vertical="center"/>
    </xf>
    <xf numFmtId="4" fontId="9" fillId="7" borderId="3" xfId="0" applyNumberFormat="1" applyFont="1" applyFill="1" applyBorder="1" applyAlignment="1">
      <alignment horizontal="right" vertical="center"/>
    </xf>
    <xf numFmtId="4" fontId="9" fillId="8" borderId="5" xfId="0" applyNumberFormat="1" applyFont="1" applyFill="1" applyBorder="1" applyAlignment="1">
      <alignment horizontal="right" vertical="center"/>
    </xf>
    <xf numFmtId="4" fontId="9" fillId="8" borderId="3" xfId="0" applyNumberFormat="1" applyFont="1" applyFill="1" applyBorder="1" applyAlignment="1">
      <alignment horizontal="right" vertical="center"/>
    </xf>
    <xf numFmtId="10" fontId="11" fillId="0" borderId="0" xfId="1" applyNumberFormat="1" applyFont="1" applyAlignment="1"/>
    <xf numFmtId="10" fontId="11" fillId="6" borderId="0" xfId="1" applyNumberFormat="1" applyFont="1" applyFill="1" applyAlignment="1"/>
    <xf numFmtId="183" fontId="11" fillId="0" borderId="7" xfId="1" applyNumberFormat="1" applyFont="1" applyBorder="1" applyAlignment="1"/>
    <xf numFmtId="183" fontId="11" fillId="6" borderId="7" xfId="1" applyNumberFormat="1" applyFont="1" applyFill="1" applyBorder="1" applyAlignment="1"/>
    <xf numFmtId="10" fontId="11" fillId="0" borderId="2" xfId="1" applyNumberFormat="1" applyFont="1" applyBorder="1" applyAlignment="1"/>
    <xf numFmtId="10" fontId="11" fillId="0" borderId="7" xfId="1" applyNumberFormat="1" applyFont="1" applyBorder="1" applyAlignment="1"/>
    <xf numFmtId="10" fontId="11" fillId="6" borderId="7" xfId="1" applyNumberFormat="1" applyFont="1" applyFill="1" applyBorder="1" applyAlignment="1"/>
    <xf numFmtId="4" fontId="9" fillId="0" borderId="4" xfId="0" applyNumberFormat="1" applyFont="1" applyFill="1" applyBorder="1" applyAlignment="1">
      <alignment horizontal="right" vertical="center"/>
    </xf>
    <xf numFmtId="10" fontId="11" fillId="0" borderId="6" xfId="1" applyNumberFormat="1" applyFont="1" applyBorder="1" applyAlignment="1"/>
    <xf numFmtId="10" fontId="11" fillId="6" borderId="6" xfId="1" applyNumberFormat="1" applyFont="1" applyFill="1" applyBorder="1" applyAlignment="1"/>
  </cellXfs>
  <cellStyles count="2">
    <cellStyle name="百分比" xfId="1" builtinId="5"/>
    <cellStyle name="常规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F4F4F4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F4F4F4"/>
        </patternFill>
      </fill>
      <alignment horizontal="general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83" formatCode="0.00_ "/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F4F4F4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F4F4F4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91818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91818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ill>
        <patternFill>
          <bgColor rgb="FFF4F4F4"/>
        </patternFill>
      </fill>
    </dxf>
    <dxf>
      <fill>
        <patternFill>
          <bgColor theme="0"/>
        </patternFill>
      </fill>
    </dxf>
  </dxfs>
  <tableStyles count="1" defaultTableStyle="TableStyleMedium2" defaultPivotStyle="PivotStyleLight16">
    <tableStyle name="表样式 1" pivot="0" count="2" xr9:uid="{00000000-0011-0000-FFFF-FFFF00000000}"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0.36549999999999999</v>
        <stp/>
        <stp>603160.SH</stp>
        <stp>rt_pct_chg_ytd</stp>
        <stp>RT_Price</stp>
        <tr r="M15" s="1"/>
      </tp>
      <tp>
        <v>3.5000000000000003E-2</v>
        <stp/>
        <stp>002123.SZ</stp>
        <stp>rt_pct_chg_ytd</stp>
        <stp>RT_Price</stp>
        <tr r="M9" s="1"/>
      </tp>
      <tp>
        <v>0.27560000000000001</v>
        <stp/>
        <stp>001979.SZ</stp>
        <stp>rt_pct_chg_ytd</stp>
        <stp>RT_Price</stp>
        <tr r="M8" s="1"/>
      </tp>
      <tp>
        <v>0.15030000000000002</v>
        <stp/>
        <stp>000001.SH</stp>
        <stp>rt_pct_chg_ytd</stp>
        <stp>RT_Price</stp>
        <tr r="M6" s="1"/>
      </tp>
      <tp>
        <v>-7.3400000000000007E-2</v>
        <stp/>
        <stp>600079.SH</stp>
        <stp>rt_pct_chg_ytd</stp>
        <stp>RT_Price</stp>
        <tr r="M13" s="1"/>
      </tp>
      <tp>
        <v>0.51280000000000003</v>
        <stp/>
        <stp>600000.SH</stp>
        <stp>rt_pct_chg_ytd</stp>
        <stp>RT_Price</stp>
        <tr r="M10" s="1"/>
      </tp>
      <tp>
        <v>0.45170000000000005</v>
        <stp/>
        <stp>600006.SH</stp>
        <stp>rt_pct_chg_ytd</stp>
        <stp>RT_Price</stp>
        <tr r="M12" s="1"/>
      </tp>
      <tp>
        <v>2.9000000000000001E-2</v>
        <stp/>
        <stp>600004.SH</stp>
        <stp>rt_pct_chg_ytd</stp>
        <stp>RT_Price</stp>
        <tr r="M11" s="1"/>
      </tp>
      <tp>
        <v>0.14050000000000001</v>
        <stp/>
        <stp>000858.SZ</stp>
        <stp>rt_pct_chg_ytd</stp>
        <stp>RT_Price</stp>
        <tr r="M7" s="1"/>
      </tp>
      <tp>
        <v>6.0000000000000005E-2</v>
        <stp/>
        <stp>600941.SH</stp>
        <stp>rt_pct_chg_ytd</stp>
        <stp>RT_Price</stp>
        <tr r="M14" s="1"/>
      </tp>
      <tp>
        <v>-48.1</v>
        <stp/>
        <stp>000001.SH</stp>
        <stp>rt_chg</stp>
        <stp>RT_Price</stp>
        <tr r="G6" s="1"/>
      </tp>
      <tp>
        <v>0.43</v>
        <stp/>
        <stp>600079.SH</stp>
        <stp>rt_chg</stp>
        <stp>RT_Price</stp>
        <tr r="G13" s="1"/>
      </tp>
      <tp>
        <v>-0.06</v>
        <stp/>
        <stp>600000.SH</stp>
        <stp>rt_chg</stp>
        <stp>RT_Price</stp>
        <tr r="G10" s="1"/>
      </tp>
      <tp>
        <v>0.76</v>
        <stp/>
        <stp>600006.SH</stp>
        <stp>rt_chg</stp>
        <stp>RT_Price</stp>
        <tr r="G12" s="1"/>
      </tp>
      <tp>
        <v>-0.02</v>
        <stp/>
        <stp>600004.SH</stp>
        <stp>rt_chg</stp>
        <stp>RT_Price</stp>
        <tr r="G11" s="1"/>
      </tp>
      <tp>
        <v>-0.52</v>
        <stp/>
        <stp>000858.SZ</stp>
        <stp>rt_chg</stp>
        <stp>RT_Price</stp>
        <tr r="G7" s="1"/>
      </tp>
      <tp>
        <v>-1.19</v>
        <stp/>
        <stp>600941.SH</stp>
        <stp>rt_chg</stp>
        <stp>RT_Price</stp>
        <tr r="G14" s="1"/>
      </tp>
      <tp>
        <v>-7.0000000000000007E-2</v>
        <stp/>
        <stp>001979.SZ</stp>
        <stp>rt_chg</stp>
        <stp>RT_Price</stp>
        <tr r="G8" s="1"/>
      </tp>
      <tp>
        <v>-0.36</v>
        <stp/>
        <stp>002123.SZ</stp>
        <stp>rt_chg</stp>
        <stp>RT_Price</stp>
        <tr r="G9" s="1"/>
      </tp>
      <tp>
        <v>-1.6400000000000001</v>
        <stp/>
        <stp>603160.SH</stp>
        <stp>rt_chg</stp>
        <stp>RT_Price</stp>
        <tr r="G15" s="1"/>
      </tp>
      <tp>
        <v>14347095</v>
        <stp/>
        <stp>603160.SH</stp>
        <stp>rt_vol</stp>
        <stp>RT_Price</stp>
        <tr r="J15" s="1"/>
      </tp>
      <tp>
        <v>1412218597</v>
        <stp/>
        <stp>001979.SZ</stp>
        <stp>rt_amt</stp>
        <stp>RT_Price</stp>
        <tr r="I8" s="1"/>
      </tp>
      <tp>
        <v>55645084</v>
        <stp/>
        <stp>002123.SZ</stp>
        <stp>rt_vol</stp>
        <stp>RT_Price</stp>
        <tr r="J9" s="1"/>
      </tp>
      <tp>
        <v>1039600859200</v>
        <stp/>
        <stp>000001.SH</stp>
        <stp>rt_amt</stp>
        <stp>RT_Price</stp>
        <tr r="I6" s="1"/>
      </tp>
      <tp>
        <v>865235727</v>
        <stp/>
        <stp>600079.SH</stp>
        <stp>rt_amt</stp>
        <stp>RT_Price</stp>
        <tr r="I13" s="1"/>
      </tp>
      <tp>
        <v>483318065</v>
        <stp/>
        <stp>600000.SH</stp>
        <stp>rt_amt</stp>
        <stp>RT_Price</stp>
        <tr r="I10" s="1"/>
      </tp>
      <tp>
        <v>285154472</v>
        <stp/>
        <stp>600004.SH</stp>
        <stp>rt_amt</stp>
        <stp>RT_Price</stp>
        <tr r="I11" s="1"/>
      </tp>
      <tp>
        <v>164169030</v>
        <stp/>
        <stp>600006.SH</stp>
        <stp>rt_amt</stp>
        <stp>RT_Price</stp>
        <tr r="I12" s="1"/>
      </tp>
      <tp>
        <v>1543913133</v>
        <stp/>
        <stp>600941.SH</stp>
        <stp>rt_amt</stp>
        <stp>RT_Price</stp>
        <tr r="I14" s="1"/>
      </tp>
      <tp>
        <v>5496005682</v>
        <stp/>
        <stp>000858.SZ</stp>
        <stp>rt_amt</stp>
        <stp>RT_Price</stp>
        <tr r="I7" s="1"/>
      </tp>
      <tp>
        <v>119532734</v>
        <stp/>
        <stp>001979.SZ</stp>
        <stp>rt_vol</stp>
        <stp>RT_Price</stp>
        <tr r="J8" s="1"/>
      </tp>
      <tp>
        <v>1355999788</v>
        <stp/>
        <stp>603160.SH</stp>
        <stp>rt_amt</stp>
        <stp>RT_Price</stp>
        <tr r="I15" s="1"/>
      </tp>
      <tp>
        <v>15235405</v>
        <stp/>
        <stp>600941.SH</stp>
        <stp>rt_vol</stp>
        <stp>RT_Price</stp>
        <tr r="J14" s="1"/>
      </tp>
      <tp>
        <v>35134682</v>
        <stp/>
        <stp>000858.SZ</stp>
        <stp>rt_vol</stp>
        <stp>RT_Price</stp>
        <tr r="J7" s="1"/>
      </tp>
      <tp>
        <v>81792652400</v>
        <stp/>
        <stp>000001.SH</stp>
        <stp>rt_vol</stp>
        <stp>RT_Price</stp>
        <tr r="J6" s="1"/>
      </tp>
      <tp>
        <v>38738774</v>
        <stp/>
        <stp>600079.SH</stp>
        <stp>rt_vol</stp>
        <stp>RT_Price</stp>
        <tr r="J13" s="1"/>
      </tp>
      <tp>
        <v>19684536</v>
        <stp/>
        <stp>600006.SH</stp>
        <stp>rt_vol</stp>
        <stp>RT_Price</stp>
        <tr r="J12" s="1"/>
      </tp>
      <tp>
        <v>28360701</v>
        <stp/>
        <stp>600004.SH</stp>
        <stp>rt_vol</stp>
        <stp>RT_Price</stp>
        <tr r="J11" s="1"/>
      </tp>
      <tp>
        <v>49682703</v>
        <stp/>
        <stp>600000.SH</stp>
        <stp>rt_vol</stp>
        <stp>RT_Price</stp>
        <tr r="J10" s="1"/>
      </tp>
      <tp>
        <v>645352264</v>
        <stp/>
        <stp>002123.SZ</stp>
        <stp>rt_amt</stp>
        <stp>RT_Price</stp>
        <tr r="I9" s="1"/>
      </tp>
      <tp>
        <v>-0.85</v>
        <stp/>
        <stp>1810.HK</stp>
        <stp>rt_chg</stp>
        <stp>RT_Price</stp>
        <tr r="G18" s="1"/>
      </tp>
      <tp>
        <v>-9.4</v>
        <stp/>
        <stp>0700.HK</stp>
        <stp>rt_chg</stp>
        <stp>RT_Price</stp>
        <tr r="G16" s="1"/>
      </tp>
      <tp>
        <v>-2.35</v>
        <stp/>
        <stp>0981.HK</stp>
        <stp>rt_chg</stp>
        <stp>RT_Price</stp>
        <tr r="G17" s="1"/>
      </tp>
      <tp>
        <v>-9.9</v>
        <stp/>
        <stp>3690.HK</stp>
        <stp>rt_chg</stp>
        <stp>RT_Price</stp>
        <tr r="G19" s="1"/>
      </tp>
      <tp>
        <v>11097703325</v>
        <stp/>
        <stp>0700.HK</stp>
        <stp>rt_amt</stp>
        <stp>RT_Price</stp>
        <tr r="I16" s="1"/>
      </tp>
      <tp>
        <v>5755289865</v>
        <stp/>
        <stp>0981.HK</stp>
        <stp>rt_amt</stp>
        <stp>RT_Price</stp>
        <tr r="I17" s="1"/>
      </tp>
      <tp>
        <v>60520914</v>
        <stp/>
        <stp>3690.HK</stp>
        <stp>rt_vol</stp>
        <stp>RT_Price</stp>
        <tr r="J19" s="1"/>
      </tp>
      <tp>
        <v>5320285201</v>
        <stp/>
        <stp>1810.HK</stp>
        <stp>rt_amt</stp>
        <stp>RT_Price</stp>
        <tr r="I18" s="1"/>
      </tp>
      <tp>
        <v>202948900</v>
        <stp/>
        <stp>0981.HK</stp>
        <stp>rt_vol</stp>
        <stp>RT_Price</stp>
        <tr r="J17" s="1"/>
      </tp>
      <tp>
        <v>27303282</v>
        <stp/>
        <stp>0700.HK</stp>
        <stp>rt_vol</stp>
        <stp>RT_Price</stp>
        <tr r="J16" s="1"/>
      </tp>
      <tp>
        <v>185336411</v>
        <stp/>
        <stp>1810.HK</stp>
        <stp>rt_vol</stp>
        <stp>RT_Price</stp>
        <tr r="J18" s="1"/>
      </tp>
      <tp>
        <v>10711866301</v>
        <stp/>
        <stp>3690.HK</stp>
        <stp>rt_amt</stp>
        <stp>RT_Price</stp>
        <tr r="I19" s="1"/>
      </tp>
      <tp>
        <v>1.1453</v>
        <stp/>
        <stp>3690.HK</stp>
        <stp>rt_pct_chg_ytd</stp>
        <stp>RT_Price</stp>
        <tr r="M19" s="1"/>
      </tp>
      <tp>
        <v>0.38720000000000004</v>
        <stp/>
        <stp>0700.HK</stp>
        <stp>rt_pct_chg_ytd</stp>
        <stp>RT_Price</stp>
        <tr r="M16" s="1"/>
      </tp>
      <tp>
        <v>0.36710000000000004</v>
        <stp/>
        <stp>0981.HK</stp>
        <stp>rt_pct_chg_ytd</stp>
        <stp>RT_Price</stp>
        <tr r="M17" s="1"/>
      </tp>
      <tp>
        <v>0.82369999999999999</v>
        <stp/>
        <stp>1810.HK</stp>
        <stp>rt_pct_chg_ytd</stp>
        <stp>RT_Price</stp>
        <tr r="M18" s="1"/>
      </tp>
      <tp>
        <v>0.1179</v>
        <stp/>
        <stp>603160.SH</stp>
        <stp>rt_pct_chg_20d</stp>
        <stp>RT_Price</stp>
        <tr r="K15" s="1"/>
      </tp>
      <tp>
        <v>0.60250000000000004</v>
        <stp/>
        <stp>603160.SH</stp>
        <stp>rt_pct_chg_60d</stp>
        <stp>RT_Price</stp>
        <tr r="L15" s="1"/>
      </tp>
      <tp>
        <v>0.15460000000000002</v>
        <stp/>
        <stp>002123.SZ</stp>
        <stp>rt_pct_chg_20d</stp>
        <stp>RT_Price</stp>
        <tr r="K9" s="1"/>
      </tp>
      <tp>
        <v>0.90710000000000002</v>
        <stp/>
        <stp>002123.SZ</stp>
        <stp>rt_pct_chg_60d</stp>
        <stp>RT_Price</stp>
        <tr r="L9" s="1"/>
      </tp>
      <tp>
        <v>6.4399999999999999E-2</v>
        <stp/>
        <stp>001979.SZ</stp>
        <stp>rt_pct_chg_20d</stp>
        <stp>RT_Price</stp>
        <tr r="K8" s="1"/>
      </tp>
      <tp>
        <v>0.2944</v>
        <stp/>
        <stp>001979.SZ</stp>
        <stp>rt_pct_chg_60d</stp>
        <stp>RT_Price</stp>
        <tr r="L8" s="1"/>
      </tp>
      <tp>
        <v>6.8900000000000003E-2</v>
        <stp/>
        <stp>000001.SH</stp>
        <stp>rt_pct_chg_20d</stp>
        <stp>RT_Price</stp>
        <tr r="K6" s="1"/>
      </tp>
      <tp>
        <v>0.1956</v>
        <stp/>
        <stp>000001.SH</stp>
        <stp>rt_pct_chg_60d</stp>
        <stp>RT_Price</stp>
        <tr r="L6" s="1"/>
      </tp>
      <tp>
        <v>5.1400000000000001E-2</v>
        <stp/>
        <stp>600079.SH</stp>
        <stp>rt_pct_chg_20d</stp>
        <stp>RT_Price</stp>
        <tr r="K13" s="1"/>
      </tp>
      <tp>
        <v>0.11940000000000001</v>
        <stp/>
        <stp>600079.SH</stp>
        <stp>rt_pct_chg_60d</stp>
        <stp>RT_Price</stp>
        <tr r="L13" s="1"/>
      </tp>
      <tp>
        <v>-5.7600000000000005E-2</v>
        <stp/>
        <stp>600000.SH</stp>
        <stp>rt_pct_chg_20d</stp>
        <stp>RT_Price</stp>
        <tr r="K10" s="1"/>
      </tp>
      <tp>
        <v>6.5000000000000002E-2</v>
        <stp/>
        <stp>600004.SH</stp>
        <stp>rt_pct_chg_60d</stp>
        <stp>RT_Price</stp>
        <tr r="L11" s="1"/>
      </tp>
      <tp>
        <v>0.2301</v>
        <stp/>
        <stp>600006.SH</stp>
        <stp>rt_pct_chg_60d</stp>
        <stp>RT_Price</stp>
        <tr r="L12" s="1"/>
      </tp>
      <tp>
        <v>0.13250000000000001</v>
        <stp/>
        <stp>600000.SH</stp>
        <stp>rt_pct_chg_60d</stp>
        <stp>RT_Price</stp>
        <tr r="L10" s="1"/>
      </tp>
      <tp>
        <v>5.3800000000000001E-2</v>
        <stp/>
        <stp>600004.SH</stp>
        <stp>rt_pct_chg_20d</stp>
        <stp>RT_Price</stp>
        <tr r="K11" s="1"/>
      </tp>
      <tp>
        <v>0.33230000000000004</v>
        <stp/>
        <stp>600006.SH</stp>
        <stp>rt_pct_chg_20d</stp>
        <stp>RT_Price</stp>
        <tr r="K12" s="1"/>
      </tp>
      <tp>
        <v>7.1500000000000008E-2</v>
        <stp/>
        <stp>000858.SZ</stp>
        <stp>rt_pct_chg_20d</stp>
        <stp>RT_Price</stp>
        <tr r="K7" s="1"/>
      </tp>
      <tp>
        <v>0.20470000000000002</v>
        <stp/>
        <stp>000858.SZ</stp>
        <stp>rt_pct_chg_60d</stp>
        <stp>RT_Price</stp>
        <tr r="L7" s="1"/>
      </tp>
      <tp>
        <v>-6.3100000000000003E-2</v>
        <stp/>
        <stp>600941.SH</stp>
        <stp>rt_pct_chg_20d</stp>
        <stp>RT_Price</stp>
        <tr r="K14" s="1"/>
      </tp>
      <tp>
        <v>1.17E-2</v>
        <stp/>
        <stp>600941.SH</stp>
        <stp>rt_pct_chg_60d</stp>
        <stp>RT_Price</stp>
        <tr r="L14" s="1"/>
      </tp>
      <tp>
        <v>-5.33</v>
        <stp/>
        <stp>3690.HK</stp>
        <stp>rt_pct_chg</stp>
        <stp>RT_Price</stp>
        <tr r="H19" s="1"/>
      </tp>
      <tp>
        <v>-2.27</v>
        <stp/>
        <stp>0700.HK</stp>
        <stp>rt_pct_chg</stp>
        <stp>RT_Price</stp>
        <tr r="H16" s="1"/>
      </tp>
      <tp>
        <v>-7.9700000000000006</v>
        <stp/>
        <stp>0981.HK</stp>
        <stp>rt_pct_chg</stp>
        <stp>RT_Price</stp>
        <tr r="H17" s="1"/>
      </tp>
      <tp>
        <v>-2.9000000000000004</v>
        <stp/>
        <stp>1810.HK</stp>
        <stp>rt_pct_chg</stp>
        <stp>RT_Price</stp>
        <tr r="H18" s="1"/>
      </tp>
      <tp>
        <v>403.8</v>
        <stp/>
        <stp>0700.HK</stp>
        <stp>rt_last</stp>
        <stp>RT_Price</stp>
        <tr r="F16" s="1"/>
      </tp>
      <tp>
        <v>175.70000000000002</v>
        <stp/>
        <stp>3690.HK</stp>
        <stp>rt_last</stp>
        <stp>RT_Price</stp>
        <tr r="F19" s="1"/>
      </tp>
      <tp>
        <v>94.08</v>
        <stp/>
        <stp>603160.SH</stp>
        <stp>rt_last</stp>
        <stp>RT_Price</stp>
        <tr r="F15" s="1"/>
      </tp>
      <tp>
        <v>11.5</v>
        <stp/>
        <stp>002123.SZ</stp>
        <stp>rt_last</stp>
        <stp>RT_Price</stp>
        <tr r="F9" s="1"/>
      </tp>
      <tp>
        <v>9.66</v>
        <stp/>
        <stp>600000.SH</stp>
        <stp>rt_last</stp>
        <stp>RT_Price</stp>
        <tr r="F10" s="1"/>
      </tp>
      <tp>
        <v>9.99</v>
        <stp/>
        <stp>600004.SH</stp>
        <stp>rt_last</stp>
        <stp>RT_Price</stp>
        <tr r="F11" s="1"/>
      </tp>
      <tp>
        <v>8.34</v>
        <stp/>
        <stp>600006.SH</stp>
        <stp>rt_last</stp>
        <stp>RT_Price</stp>
        <tr r="F12" s="1"/>
      </tp>
      <tp>
        <v>22.28</v>
        <stp/>
        <stp>600079.SH</stp>
        <stp>rt_last</stp>
        <stp>RT_Price</stp>
        <tr r="F13" s="1"/>
      </tp>
      <tp>
        <v>3421.9700000000003</v>
        <stp/>
        <stp>000001.SH</stp>
        <stp>rt_last</stp>
        <stp>RT_Price</stp>
        <tr r="F6" s="1"/>
      </tp>
      <tp>
        <v>100.85000000000001</v>
        <stp/>
        <stp>600941.SH</stp>
        <stp>rt_last</stp>
        <stp>RT_Price</stp>
        <tr r="F14" s="1"/>
      </tp>
      <tp>
        <v>27.150000000000002</v>
        <stp/>
        <stp>0981.HK</stp>
        <stp>rt_last</stp>
        <stp>RT_Price</stp>
        <tr r="F17" s="1"/>
      </tp>
      <tp>
        <v>11.74</v>
        <stp/>
        <stp>001979.SZ</stp>
        <stp>rt_last</stp>
        <stp>RT_Price</stp>
        <tr r="F8" s="1"/>
      </tp>
      <tp>
        <v>28.45</v>
        <stp/>
        <stp>1810.HK</stp>
        <stp>rt_last</stp>
        <stp>RT_Price</stp>
        <tr r="F18" s="1"/>
      </tp>
      <tp>
        <v>154.30000000000001</v>
        <stp/>
        <stp>000858.SZ</stp>
        <stp>rt_last</stp>
        <stp>RT_Price</stp>
        <tr r="F7" s="1"/>
      </tp>
      <tp>
        <v>-1.71</v>
        <stp/>
        <stp>603160.SH</stp>
        <stp>rt_pct_chg</stp>
        <stp>RT_Price</stp>
        <tr r="H15" s="1"/>
      </tp>
      <tp>
        <v>-3.04</v>
        <stp/>
        <stp>002123.SZ</stp>
        <stp>rt_pct_chg</stp>
        <stp>RT_Price</stp>
        <tr r="H9" s="1"/>
      </tp>
      <tp>
        <v>-0.59</v>
        <stp/>
        <stp>001979.SZ</stp>
        <stp>rt_pct_chg</stp>
        <stp>RT_Price</stp>
        <tr r="H8" s="1"/>
      </tp>
      <tp>
        <v>10.029999999999999</v>
        <stp/>
        <stp>600006.SH</stp>
        <stp>rt_pct_chg</stp>
        <stp>RT_Price</stp>
        <tr r="H12" s="1"/>
      </tp>
      <tp>
        <v>-0.2</v>
        <stp/>
        <stp>600004.SH</stp>
        <stp>rt_pct_chg</stp>
        <stp>RT_Price</stp>
        <tr r="H11" s="1"/>
      </tp>
      <tp>
        <v>-0.62000000000000011</v>
        <stp/>
        <stp>600000.SH</stp>
        <stp>rt_pct_chg</stp>
        <stp>RT_Price</stp>
        <tr r="H10" s="1"/>
      </tp>
      <tp>
        <v>1.9700000000000002</v>
        <stp/>
        <stp>600079.SH</stp>
        <stp>rt_pct_chg</stp>
        <stp>RT_Price</stp>
        <tr r="H13" s="1"/>
      </tp>
      <tp>
        <v>-1.3900000000000001</v>
        <stp/>
        <stp>000001.SH</stp>
        <stp>rt_pct_chg</stp>
        <stp>RT_Price</stp>
        <tr r="H6" s="1"/>
      </tp>
      <tp>
        <v>-0.34</v>
        <stp/>
        <stp>000858.SZ</stp>
        <stp>rt_pct_chg</stp>
        <stp>RT_Price</stp>
        <tr r="H7" s="1"/>
      </tp>
      <tp>
        <v>-1.17</v>
        <stp/>
        <stp>600941.SH</stp>
        <stp>rt_pct_chg</stp>
        <stp>RT_Price</stp>
        <tr r="H14" s="1"/>
      </tp>
      <tp>
        <v>0.72089999999999999</v>
        <stp/>
        <stp>3690.HK</stp>
        <stp>rt_pct_chg_60d</stp>
        <stp>RT_Price</stp>
        <tr r="L19" s="1"/>
      </tp>
      <tp>
        <v>2.87E-2</v>
        <stp/>
        <stp>3690.HK</stp>
        <stp>rt_pct_chg_20d</stp>
        <stp>RT_Price</stp>
        <tr r="K19" s="1"/>
      </tp>
      <tp>
        <v>8.030000000000001E-2</v>
        <stp/>
        <stp>0700.HK</stp>
        <stp>rt_pct_chg_60d</stp>
        <stp>RT_Price</stp>
        <tr r="L16" s="1"/>
      </tp>
      <tp>
        <v>-3.1699999999999999E-2</v>
        <stp/>
        <stp>0700.HK</stp>
        <stp>rt_pct_chg_20d</stp>
        <stp>RT_Price</stp>
        <tr r="K16" s="1"/>
      </tp>
      <tp>
        <v>0.61030000000000006</v>
        <stp/>
        <stp>0981.HK</stp>
        <stp>rt_pct_chg_60d</stp>
        <stp>RT_Price</stp>
        <tr r="L17" s="1"/>
      </tp>
      <tp>
        <v>3.8200000000000005E-2</v>
        <stp/>
        <stp>0981.HK</stp>
        <stp>rt_pct_chg_20d</stp>
        <stp>RT_Price</stp>
        <tr r="K17" s="1"/>
      </tp>
      <tp>
        <v>0.68740000000000001</v>
        <stp/>
        <stp>1810.HK</stp>
        <stp>rt_pct_chg_60d</stp>
        <stp>RT_Price</stp>
        <tr r="L18" s="1"/>
      </tp>
      <tp>
        <v>0.23700000000000002</v>
        <stp/>
        <stp>1810.HK</stp>
        <stp>rt_pct_chg_20d</stp>
        <stp>RT_Price</stp>
        <tr r="K18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2</xdr:col>
      <xdr:colOff>446475</xdr:colOff>
      <xdr:row>0</xdr:row>
      <xdr:rowOff>295800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C76B0D7-53B1-4284-A9EF-3F6967104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6200"/>
          <a:ext cx="608400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ks_info_name"/>
      <definedName name="lastradeday_s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1147E-8140-49D7-8C79-C965189AD9A7}" name="表1_3" displayName="表1_3" ref="C6:M98" headerRowCount="0" totalsRowShown="0" headerRowDxfId="23" dataDxfId="22">
  <tableColumns count="11">
    <tableColumn id="1" xr3:uid="{9ED9EDE7-A418-4C41-8FF1-1B32553E5163}" name="列1" headerRowDxfId="21" dataDxfId="20"/>
    <tableColumn id="2" xr3:uid="{757A06C9-1969-489D-847C-0C72E90A3CAF}" name="列2" headerRowDxfId="19" dataDxfId="18">
      <calculatedColumnFormula>IF(C6="","",[1]!hks_info_name(C6))</calculatedColumnFormula>
    </tableColumn>
    <tableColumn id="3" xr3:uid="{34C19527-D633-4C37-9B97-D2258032CBD8}" name="列3" headerRowDxfId="17" dataDxfId="9">
      <calculatedColumnFormula>IF(C6="","",[1]!lastradeday_s(C6,TODAY()))</calculatedColumnFormula>
    </tableColumn>
    <tableColumn id="8" xr3:uid="{601A7014-C44D-43D7-9077-A47DE70CB68D}" name="列8" headerRowDxfId="16" dataDxfId="8">
      <calculatedColumnFormula>IF(表1_3[[#This Row],[列1]]="","",RTD("wdf.rtq", ,表1_3[[#This Row],[列1]], "rt_last","RT_Price"))</calculatedColumnFormula>
    </tableColumn>
    <tableColumn id="9" xr3:uid="{421DB9C8-1859-463C-AFC8-4250D6D8876B}" name="列9" headerRowDxfId="15" dataDxfId="2" dataCellStyle="百分比">
      <calculatedColumnFormula>IF(表1_3[[#This Row],[列1]]="","",RTD("wdf.rtq", ,表1_3[[#This Row],[列1]], "rt_chg","RT_Price"))</calculatedColumnFormula>
    </tableColumn>
    <tableColumn id="6" xr3:uid="{8DE32884-A7A1-4A68-8B03-373061FA22EB}" name="列6" headerRowDxfId="14" dataDxfId="3" dataCellStyle="百分比">
      <calculatedColumnFormula>IF(表1_3[[#This Row],[列1]]="","",RTD("wdf.rtq", ,表1_3[[#This Row],[列1]], "rt_pct_chg","RT_Price")/100)</calculatedColumnFormula>
    </tableColumn>
    <tableColumn id="10" xr3:uid="{9D014C32-5DDA-4425-B3E4-F496F67973A2}" name="列10" headerRowDxfId="13" dataDxfId="10" dataCellStyle="千位分隔">
      <calculatedColumnFormula>IF(表1_3[[#This Row],[列1]]="","",RTD("wdf.rtq", ,表1_3[[#This Row],[列1]], "rt_amt","RT_Price"))</calculatedColumnFormula>
    </tableColumn>
    <tableColumn id="4" xr3:uid="{6EF3BECA-E1F5-4E4F-B26C-39C1C192CB9D}" name="列4" headerRowDxfId="11" dataDxfId="7" dataCellStyle="千位分隔">
      <calculatedColumnFormula>IF(表1_3[[#This Row],[列1]]="","",RTD("wdf.rtq", ,表1_3[[#This Row],[列1]], "rt_vol","RT_Price"))</calculatedColumnFormula>
    </tableColumn>
    <tableColumn id="7" xr3:uid="{BE872D62-B1FB-4C97-86F4-B734174A5401}" name="列7" headerRowDxfId="5" dataDxfId="0" dataCellStyle="百分比">
      <calculatedColumnFormula>IF(表1_3[[#This Row],[列1]]="","",RTD("wdf.rtq", ,表1_3[[#This Row],[列1]], "rt_pct_chg_20d","RT_Price"))</calculatedColumnFormula>
    </tableColumn>
    <tableColumn id="5" xr3:uid="{DDB9568B-C17B-47BD-83AA-5A2205C8A350}" name="列5" headerRowDxfId="6" dataDxfId="1" dataCellStyle="百分比">
      <calculatedColumnFormula>IF(表1_3[[#This Row],[列1]]="","",RTD("wdf.rtq", ,表1_3[[#This Row],[列1]], "rt_pct_chg_60d","RT_Price"))</calculatedColumnFormula>
    </tableColumn>
    <tableColumn id="180" xr3:uid="{B65C7B13-AD70-402C-93B7-A4CED0FC2E6D}" name="列97" headerRowDxfId="12" dataDxfId="4" dataCellStyle="百分比">
      <calculatedColumnFormula>IF(表1_3[[#This Row],[列1]]="","",RTD("wdf.rtq", ,表1_3[[#This Row],[列1]], "rt_pct_chg_ytd","RT_Price"))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A18-3CEA-41FE-A863-3F416E89A66C}">
  <sheetPr codeName="Sheet1"/>
  <dimension ref="A1:O100"/>
  <sheetViews>
    <sheetView showGridLines="0" tabSelected="1" workbookViewId="0">
      <selection activeCell="A41" sqref="A41"/>
    </sheetView>
  </sheetViews>
  <sheetFormatPr defaultRowHeight="20.25" x14ac:dyDescent="0.35"/>
  <cols>
    <col min="1" max="1" width="1.54296875" style="15" customWidth="1"/>
    <col min="2" max="2" width="1.08984375" style="15" customWidth="1"/>
    <col min="3" max="3" width="9" style="16" customWidth="1"/>
    <col min="4" max="4" width="7.54296875" style="16" bestFit="1" customWidth="1"/>
    <col min="5" max="6" width="8.6328125" style="16" customWidth="1"/>
    <col min="7" max="7" width="8.6328125" style="43" customWidth="1"/>
    <col min="8" max="8" width="8.6328125" style="16" customWidth="1"/>
    <col min="9" max="9" width="13.6328125" style="31" bestFit="1" customWidth="1"/>
    <col min="10" max="10" width="11.81640625" style="31" bestFit="1" customWidth="1"/>
    <col min="11" max="12" width="10.6328125" style="31" customWidth="1"/>
    <col min="13" max="13" width="10.6328125" style="25" customWidth="1"/>
    <col min="14" max="14" width="1.08984375" style="15" customWidth="1"/>
    <col min="15" max="15" width="1.54296875" style="15" customWidth="1"/>
    <col min="16" max="16384" width="8.7265625" style="9"/>
  </cols>
  <sheetData>
    <row r="1" spans="1:15" s="32" customFormat="1" ht="27.75" x14ac:dyDescent="0.3">
      <c r="A1" s="1"/>
      <c r="B1" s="1"/>
      <c r="C1" s="2"/>
      <c r="D1" s="3" t="s">
        <v>19</v>
      </c>
      <c r="E1" s="3"/>
      <c r="F1" s="3"/>
      <c r="G1" s="3"/>
      <c r="H1" s="3"/>
      <c r="I1" s="3"/>
      <c r="J1" s="3"/>
      <c r="K1" s="3"/>
      <c r="L1" s="3"/>
      <c r="M1" s="36"/>
      <c r="N1" s="1"/>
      <c r="O1" s="1"/>
    </row>
    <row r="2" spans="1:15" s="5" customFormat="1" ht="9" customHeight="1" x14ac:dyDescent="0.35">
      <c r="A2" s="4"/>
      <c r="B2" s="4"/>
      <c r="C2" s="4"/>
      <c r="D2" s="4"/>
      <c r="E2" s="4"/>
      <c r="F2" s="4"/>
      <c r="G2" s="37"/>
      <c r="H2" s="4"/>
      <c r="I2" s="26"/>
      <c r="J2" s="26"/>
      <c r="K2" s="26"/>
      <c r="L2" s="26"/>
      <c r="M2" s="20"/>
      <c r="N2" s="4"/>
      <c r="O2" s="4"/>
    </row>
    <row r="3" spans="1:15" s="5" customFormat="1" ht="17.25" customHeight="1" x14ac:dyDescent="0.35">
      <c r="A3" s="4"/>
      <c r="C3" s="7"/>
      <c r="D3" s="7"/>
      <c r="E3" s="8"/>
      <c r="F3" s="7"/>
      <c r="G3" s="38"/>
      <c r="H3" s="7"/>
      <c r="I3" s="28"/>
      <c r="J3" s="28"/>
      <c r="K3" s="28"/>
      <c r="L3" s="28"/>
      <c r="M3" s="22"/>
      <c r="O3" s="4"/>
    </row>
    <row r="4" spans="1:15" s="5" customFormat="1" ht="9" customHeight="1" x14ac:dyDescent="0.35">
      <c r="A4" s="4"/>
      <c r="E4" s="6"/>
      <c r="G4" s="39"/>
      <c r="I4" s="27"/>
      <c r="J4" s="27"/>
      <c r="K4" s="27"/>
      <c r="L4" s="27"/>
      <c r="M4" s="21"/>
      <c r="O4" s="4"/>
    </row>
    <row r="5" spans="1:15" ht="16.5" customHeight="1" x14ac:dyDescent="0.35">
      <c r="A5" s="4"/>
      <c r="B5" s="5"/>
      <c r="C5" s="17" t="s">
        <v>0</v>
      </c>
      <c r="D5" s="18" t="s">
        <v>1</v>
      </c>
      <c r="E5" s="19" t="s">
        <v>2</v>
      </c>
      <c r="F5" s="17" t="s">
        <v>9</v>
      </c>
      <c r="G5" s="40" t="s">
        <v>10</v>
      </c>
      <c r="H5" s="19" t="s">
        <v>11</v>
      </c>
      <c r="I5" s="19" t="s">
        <v>13</v>
      </c>
      <c r="J5" s="17" t="s">
        <v>14</v>
      </c>
      <c r="K5" s="17" t="s">
        <v>16</v>
      </c>
      <c r="L5" s="17" t="s">
        <v>17</v>
      </c>
      <c r="M5" s="23" t="s">
        <v>12</v>
      </c>
      <c r="N5" s="5"/>
      <c r="O5" s="4"/>
    </row>
    <row r="6" spans="1:15" ht="16.5" customHeight="1" x14ac:dyDescent="0.2">
      <c r="A6" s="4"/>
      <c r="B6" s="5"/>
      <c r="C6" s="11" t="s">
        <v>15</v>
      </c>
      <c r="D6" s="12" t="str">
        <f>IF(C6="","",[1]!hks_info_name(C6))</f>
        <v>上证指数</v>
      </c>
      <c r="E6" s="13" t="str">
        <f ca="1">IF(C6="","",[1]!lastradeday_s(C6,TODAY()))</f>
        <v>2024-11-12</v>
      </c>
      <c r="F6" s="34">
        <f>IF(表1_3[[#This Row],[列1]]="","",RTD("wdf.rtq", ,表1_3[[#This Row],[列1]], "rt_last","RT_Price"))</f>
        <v>3421.9700000000003</v>
      </c>
      <c r="G6" s="49">
        <f>IF(表1_3[[#This Row],[列1]]="","",RTD("wdf.rtq", ,表1_3[[#This Row],[列1]], "rt_chg","RT_Price"))</f>
        <v>-48.1</v>
      </c>
      <c r="H6" s="47">
        <f>IF(表1_3[[#This Row],[列1]]="","",RTD("wdf.rtq", ,表1_3[[#This Row],[列1]], "rt_pct_chg","RT_Price")/100)</f>
        <v>-1.3900000000000001E-2</v>
      </c>
      <c r="I6" s="34">
        <f>IF(表1_3[[#This Row],[列1]]="","",RTD("wdf.rtq", ,表1_3[[#This Row],[列1]], "rt_amt","RT_Price"))</f>
        <v>1039600859200</v>
      </c>
      <c r="J6" s="54">
        <f>IF(表1_3[[#This Row],[列1]]="","",RTD("wdf.rtq", ,表1_3[[#This Row],[列1]], "rt_vol","RT_Price"))</f>
        <v>81792652400</v>
      </c>
      <c r="K6" s="55">
        <f>IF(表1_3[[#This Row],[列1]]="","",RTD("wdf.rtq", ,表1_3[[#This Row],[列1]], "rt_pct_chg_20d","RT_Price"))</f>
        <v>6.8900000000000003E-2</v>
      </c>
      <c r="L6" s="52">
        <f>IF(表1_3[[#This Row],[列1]]="","",RTD("wdf.rtq", ,表1_3[[#This Row],[列1]], "rt_pct_chg_60d","RT_Price"))</f>
        <v>0.1956</v>
      </c>
      <c r="M6" s="47">
        <f>IF(表1_3[[#This Row],[列1]]="","",RTD("wdf.rtq", ,表1_3[[#This Row],[列1]], "rt_pct_chg_ytd","RT_Price"))</f>
        <v>0.15030000000000002</v>
      </c>
      <c r="N6" s="5"/>
      <c r="O6" s="4"/>
    </row>
    <row r="7" spans="1:15" ht="16.5" customHeight="1" x14ac:dyDescent="0.2">
      <c r="A7" s="4"/>
      <c r="B7" s="5"/>
      <c r="C7" s="11" t="s">
        <v>20</v>
      </c>
      <c r="D7" s="12" t="str">
        <f>IF(C7="","",[1]!hks_info_name(C7))</f>
        <v>五粮液</v>
      </c>
      <c r="E7" s="13" t="str">
        <f ca="1">IF(C7="","",[1]!lastradeday_s(C7,TODAY()))</f>
        <v>2024-11-12</v>
      </c>
      <c r="F7" s="33">
        <f>IF(表1_3[[#This Row],[列1]]="","",RTD("wdf.rtq", ,表1_3[[#This Row],[列1]], "rt_last","RT_Price"))</f>
        <v>154.30000000000001</v>
      </c>
      <c r="G7" s="50">
        <f>IF(表1_3[[#This Row],[列1]]="","",RTD("wdf.rtq", ,表1_3[[#This Row],[列1]], "rt_chg","RT_Price"))</f>
        <v>-0.52</v>
      </c>
      <c r="H7" s="48">
        <f>IF(表1_3[[#This Row],[列1]]="","",RTD("wdf.rtq", ,表1_3[[#This Row],[列1]], "rt_pct_chg","RT_Price")/100)</f>
        <v>-3.4000000000000002E-3</v>
      </c>
      <c r="I7" s="33">
        <f>IF(表1_3[[#This Row],[列1]]="","",RTD("wdf.rtq", ,表1_3[[#This Row],[列1]], "rt_amt","RT_Price"))</f>
        <v>5496005682</v>
      </c>
      <c r="J7" s="54">
        <f>IF(表1_3[[#This Row],[列1]]="","",RTD("wdf.rtq", ,表1_3[[#This Row],[列1]], "rt_vol","RT_Price"))</f>
        <v>35134682</v>
      </c>
      <c r="K7" s="56">
        <f>IF(表1_3[[#This Row],[列1]]="","",RTD("wdf.rtq", ,表1_3[[#This Row],[列1]], "rt_pct_chg_20d","RT_Price"))</f>
        <v>7.1500000000000008E-2</v>
      </c>
      <c r="L7" s="53">
        <f>IF(表1_3[[#This Row],[列1]]="","",RTD("wdf.rtq", ,表1_3[[#This Row],[列1]], "rt_pct_chg_60d","RT_Price"))</f>
        <v>0.20470000000000002</v>
      </c>
      <c r="M7" s="48">
        <f>IF(表1_3[[#This Row],[列1]]="","",RTD("wdf.rtq", ,表1_3[[#This Row],[列1]], "rt_pct_chg_ytd","RT_Price"))</f>
        <v>0.14050000000000001</v>
      </c>
      <c r="N7" s="5"/>
      <c r="O7" s="4"/>
    </row>
    <row r="8" spans="1:15" ht="16.5" customHeight="1" x14ac:dyDescent="0.2">
      <c r="A8" s="4"/>
      <c r="B8" s="5"/>
      <c r="C8" s="11" t="s">
        <v>22</v>
      </c>
      <c r="D8" s="12" t="str">
        <f>IF(C8="","",[1]!hks_info_name(C8))</f>
        <v>招商蛇口</v>
      </c>
      <c r="E8" s="13" t="str">
        <f ca="1">IF(C8="","",[1]!lastradeday_s(C8,TODAY()))</f>
        <v>2024-11-12</v>
      </c>
      <c r="F8" s="34">
        <f>IF(表1_3[[#This Row],[列1]]="","",RTD("wdf.rtq", ,表1_3[[#This Row],[列1]], "rt_last","RT_Price"))</f>
        <v>11.74</v>
      </c>
      <c r="G8" s="49">
        <f>IF(表1_3[[#This Row],[列1]]="","",RTD("wdf.rtq", ,表1_3[[#This Row],[列1]], "rt_chg","RT_Price"))</f>
        <v>-7.0000000000000007E-2</v>
      </c>
      <c r="H8" s="47">
        <f>IF(表1_3[[#This Row],[列1]]="","",RTD("wdf.rtq", ,表1_3[[#This Row],[列1]], "rt_pct_chg","RT_Price")/100)</f>
        <v>-5.8999999999999999E-3</v>
      </c>
      <c r="I8" s="34">
        <f>IF(表1_3[[#This Row],[列1]]="","",RTD("wdf.rtq", ,表1_3[[#This Row],[列1]], "rt_amt","RT_Price"))</f>
        <v>1412218597</v>
      </c>
      <c r="J8" s="54">
        <f>IF(表1_3[[#This Row],[列1]]="","",RTD("wdf.rtq", ,表1_3[[#This Row],[列1]], "rt_vol","RT_Price"))</f>
        <v>119532734</v>
      </c>
      <c r="K8" s="55">
        <f>IF(表1_3[[#This Row],[列1]]="","",RTD("wdf.rtq", ,表1_3[[#This Row],[列1]], "rt_pct_chg_20d","RT_Price"))</f>
        <v>6.4399999999999999E-2</v>
      </c>
      <c r="L8" s="52">
        <f>IF(表1_3[[#This Row],[列1]]="","",RTD("wdf.rtq", ,表1_3[[#This Row],[列1]], "rt_pct_chg_60d","RT_Price"))</f>
        <v>0.2944</v>
      </c>
      <c r="M8" s="47">
        <f>IF(表1_3[[#This Row],[列1]]="","",RTD("wdf.rtq", ,表1_3[[#This Row],[列1]], "rt_pct_chg_ytd","RT_Price"))</f>
        <v>0.27560000000000001</v>
      </c>
      <c r="N8" s="5"/>
      <c r="O8" s="4"/>
    </row>
    <row r="9" spans="1:15" ht="16.5" customHeight="1" x14ac:dyDescent="0.2">
      <c r="A9" s="4"/>
      <c r="B9" s="5"/>
      <c r="C9" s="11" t="s">
        <v>3</v>
      </c>
      <c r="D9" s="12" t="str">
        <f>IF(C9="","",[1]!hks_info_name(C9))</f>
        <v>梦网科技</v>
      </c>
      <c r="E9" s="13" t="str">
        <f ca="1">IF(C9="","",[1]!lastradeday_s(C9,TODAY()))</f>
        <v>2024-11-12</v>
      </c>
      <c r="F9" s="44">
        <f>IF(表1_3[[#This Row],[列1]]="","",RTD("wdf.rtq", ,表1_3[[#This Row],[列1]], "rt_last","RT_Price"))</f>
        <v>11.5</v>
      </c>
      <c r="G9" s="50">
        <f>IF(表1_3[[#This Row],[列1]]="","",RTD("wdf.rtq", ,表1_3[[#This Row],[列1]], "rt_chg","RT_Price"))</f>
        <v>-0.36</v>
      </c>
      <c r="H9" s="48">
        <f>IF(表1_3[[#This Row],[列1]]="","",RTD("wdf.rtq", ,表1_3[[#This Row],[列1]], "rt_pct_chg","RT_Price")/100)</f>
        <v>-3.04E-2</v>
      </c>
      <c r="I9" s="44">
        <f>IF(表1_3[[#This Row],[列1]]="","",RTD("wdf.rtq", ,表1_3[[#This Row],[列1]], "rt_amt","RT_Price"))</f>
        <v>645352264</v>
      </c>
      <c r="J9" s="54">
        <f>IF(表1_3[[#This Row],[列1]]="","",RTD("wdf.rtq", ,表1_3[[#This Row],[列1]], "rt_vol","RT_Price"))</f>
        <v>55645084</v>
      </c>
      <c r="K9" s="56">
        <f>IF(表1_3[[#This Row],[列1]]="","",RTD("wdf.rtq", ,表1_3[[#This Row],[列1]], "rt_pct_chg_20d","RT_Price"))</f>
        <v>0.15460000000000002</v>
      </c>
      <c r="L9" s="53">
        <f>IF(表1_3[[#This Row],[列1]]="","",RTD("wdf.rtq", ,表1_3[[#This Row],[列1]], "rt_pct_chg_60d","RT_Price"))</f>
        <v>0.90710000000000002</v>
      </c>
      <c r="M9" s="48">
        <f>IF(表1_3[[#This Row],[列1]]="","",RTD("wdf.rtq", ,表1_3[[#This Row],[列1]], "rt_pct_chg_ytd","RT_Price"))</f>
        <v>3.5000000000000003E-2</v>
      </c>
      <c r="N9" s="5"/>
      <c r="O9" s="4"/>
    </row>
    <row r="10" spans="1:15" ht="16.5" customHeight="1" x14ac:dyDescent="0.2">
      <c r="A10" s="4"/>
      <c r="B10" s="5"/>
      <c r="C10" s="11" t="s">
        <v>4</v>
      </c>
      <c r="D10" s="12" t="str">
        <f>IF(C10="","",[1]!hks_info_name(C10))</f>
        <v>浦发银行</v>
      </c>
      <c r="E10" s="13" t="str">
        <f ca="1">IF(C10="","",[1]!lastradeday_s(C10,TODAY()))</f>
        <v>2024-11-12</v>
      </c>
      <c r="F10" s="45">
        <f>IF(表1_3[[#This Row],[列1]]="","",RTD("wdf.rtq", ,表1_3[[#This Row],[列1]], "rt_last","RT_Price"))</f>
        <v>9.66</v>
      </c>
      <c r="G10" s="49">
        <f>IF(表1_3[[#This Row],[列1]]="","",RTD("wdf.rtq", ,表1_3[[#This Row],[列1]], "rt_chg","RT_Price"))</f>
        <v>-0.06</v>
      </c>
      <c r="H10" s="47">
        <f>IF(表1_3[[#This Row],[列1]]="","",RTD("wdf.rtq", ,表1_3[[#This Row],[列1]], "rt_pct_chg","RT_Price")/100)</f>
        <v>-6.2000000000000006E-3</v>
      </c>
      <c r="I10" s="46">
        <f>IF(表1_3[[#This Row],[列1]]="","",RTD("wdf.rtq", ,表1_3[[#This Row],[列1]], "rt_amt","RT_Price"))</f>
        <v>483318065</v>
      </c>
      <c r="J10" s="54">
        <f>IF(表1_3[[#This Row],[列1]]="","",RTD("wdf.rtq", ,表1_3[[#This Row],[列1]], "rt_vol","RT_Price"))</f>
        <v>49682703</v>
      </c>
      <c r="K10" s="55">
        <f>IF(表1_3[[#This Row],[列1]]="","",RTD("wdf.rtq", ,表1_3[[#This Row],[列1]], "rt_pct_chg_20d","RT_Price"))</f>
        <v>-5.7600000000000005E-2</v>
      </c>
      <c r="L10" s="52">
        <f>IF(表1_3[[#This Row],[列1]]="","",RTD("wdf.rtq", ,表1_3[[#This Row],[列1]], "rt_pct_chg_60d","RT_Price"))</f>
        <v>0.13250000000000001</v>
      </c>
      <c r="M10" s="47">
        <f>IF(表1_3[[#This Row],[列1]]="","",RTD("wdf.rtq", ,表1_3[[#This Row],[列1]], "rt_pct_chg_ytd","RT_Price"))</f>
        <v>0.51280000000000003</v>
      </c>
      <c r="N10" s="5"/>
      <c r="O10" s="4"/>
    </row>
    <row r="11" spans="1:15" ht="16.5" customHeight="1" x14ac:dyDescent="0.2">
      <c r="A11" s="4"/>
      <c r="B11" s="5"/>
      <c r="C11" s="11" t="s">
        <v>5</v>
      </c>
      <c r="D11" s="12" t="str">
        <f>IF(C11="","",[1]!hks_info_name(C11))</f>
        <v>白云机场</v>
      </c>
      <c r="E11" s="13" t="str">
        <f ca="1">IF(C11="","",[1]!lastradeday_s(C11,TODAY()))</f>
        <v>2024-11-12</v>
      </c>
      <c r="F11" s="35">
        <f>IF(表1_3[[#This Row],[列1]]="","",RTD("wdf.rtq", ,表1_3[[#This Row],[列1]], "rt_last","RT_Price"))</f>
        <v>9.99</v>
      </c>
      <c r="G11" s="50">
        <f>IF(表1_3[[#This Row],[列1]]="","",RTD("wdf.rtq", ,表1_3[[#This Row],[列1]], "rt_chg","RT_Price"))</f>
        <v>-0.02</v>
      </c>
      <c r="H11" s="48">
        <f>IF(表1_3[[#This Row],[列1]]="","",RTD("wdf.rtq", ,表1_3[[#This Row],[列1]], "rt_pct_chg","RT_Price")/100)</f>
        <v>-2E-3</v>
      </c>
      <c r="I11" s="33">
        <f>IF(表1_3[[#This Row],[列1]]="","",RTD("wdf.rtq", ,表1_3[[#This Row],[列1]], "rt_amt","RT_Price"))</f>
        <v>285154472</v>
      </c>
      <c r="J11" s="54">
        <f>IF(表1_3[[#This Row],[列1]]="","",RTD("wdf.rtq", ,表1_3[[#This Row],[列1]], "rt_vol","RT_Price"))</f>
        <v>28360701</v>
      </c>
      <c r="K11" s="56">
        <f>IF(表1_3[[#This Row],[列1]]="","",RTD("wdf.rtq", ,表1_3[[#This Row],[列1]], "rt_pct_chg_20d","RT_Price"))</f>
        <v>5.3800000000000001E-2</v>
      </c>
      <c r="L11" s="53">
        <f>IF(表1_3[[#This Row],[列1]]="","",RTD("wdf.rtq", ,表1_3[[#This Row],[列1]], "rt_pct_chg_60d","RT_Price"))</f>
        <v>6.5000000000000002E-2</v>
      </c>
      <c r="M11" s="48">
        <f>IF(表1_3[[#This Row],[列1]]="","",RTD("wdf.rtq", ,表1_3[[#This Row],[列1]], "rt_pct_chg_ytd","RT_Price"))</f>
        <v>2.9000000000000001E-2</v>
      </c>
      <c r="N11" s="5"/>
      <c r="O11" s="4"/>
    </row>
    <row r="12" spans="1:15" ht="16.5" customHeight="1" x14ac:dyDescent="0.2">
      <c r="A12" s="4"/>
      <c r="B12" s="5"/>
      <c r="C12" s="11" t="s">
        <v>6</v>
      </c>
      <c r="D12" s="12" t="str">
        <f>IF(C12="","",[1]!hks_info_name(C12))</f>
        <v>东风股份</v>
      </c>
      <c r="E12" s="13" t="str">
        <f ca="1">IF(C12="","",[1]!lastradeday_s(C12,TODAY()))</f>
        <v>2024-11-12</v>
      </c>
      <c r="F12" s="35">
        <f>IF(表1_3[[#This Row],[列1]]="","",RTD("wdf.rtq", ,表1_3[[#This Row],[列1]], "rt_last","RT_Price"))</f>
        <v>8.34</v>
      </c>
      <c r="G12" s="49">
        <f>IF(表1_3[[#This Row],[列1]]="","",RTD("wdf.rtq", ,表1_3[[#This Row],[列1]], "rt_chg","RT_Price"))</f>
        <v>0.76</v>
      </c>
      <c r="H12" s="47">
        <f>IF(表1_3[[#This Row],[列1]]="","",RTD("wdf.rtq", ,表1_3[[#This Row],[列1]], "rt_pct_chg","RT_Price")/100)</f>
        <v>0.1003</v>
      </c>
      <c r="I12" s="33">
        <f>IF(表1_3[[#This Row],[列1]]="","",RTD("wdf.rtq", ,表1_3[[#This Row],[列1]], "rt_amt","RT_Price"))</f>
        <v>164169030</v>
      </c>
      <c r="J12" s="54">
        <f>IF(表1_3[[#This Row],[列1]]="","",RTD("wdf.rtq", ,表1_3[[#This Row],[列1]], "rt_vol","RT_Price"))</f>
        <v>19684536</v>
      </c>
      <c r="K12" s="55">
        <f>IF(表1_3[[#This Row],[列1]]="","",RTD("wdf.rtq", ,表1_3[[#This Row],[列1]], "rt_pct_chg_20d","RT_Price"))</f>
        <v>0.33230000000000004</v>
      </c>
      <c r="L12" s="52">
        <f>IF(表1_3[[#This Row],[列1]]="","",RTD("wdf.rtq", ,表1_3[[#This Row],[列1]], "rt_pct_chg_60d","RT_Price"))</f>
        <v>0.2301</v>
      </c>
      <c r="M12" s="47">
        <f>IF(表1_3[[#This Row],[列1]]="","",RTD("wdf.rtq", ,表1_3[[#This Row],[列1]], "rt_pct_chg_ytd","RT_Price"))</f>
        <v>0.45170000000000005</v>
      </c>
      <c r="N12" s="5"/>
      <c r="O12" s="4"/>
    </row>
    <row r="13" spans="1:15" ht="16.5" customHeight="1" x14ac:dyDescent="0.2">
      <c r="A13" s="4"/>
      <c r="B13" s="5"/>
      <c r="C13" s="11" t="s">
        <v>23</v>
      </c>
      <c r="D13" s="12" t="str">
        <f>IF(C13="","",[1]!hks_info_name(C13))</f>
        <v>人福医药</v>
      </c>
      <c r="E13" s="13" t="str">
        <f ca="1">IF(C13="","",[1]!lastradeday_s(C13,TODAY()))</f>
        <v>2024-11-12</v>
      </c>
      <c r="F13" s="35">
        <f>IF(表1_3[[#This Row],[列1]]="","",RTD("wdf.rtq", ,表1_3[[#This Row],[列1]], "rt_last","RT_Price"))</f>
        <v>22.28</v>
      </c>
      <c r="G13" s="50">
        <f>IF(表1_3[[#This Row],[列1]]="","",RTD("wdf.rtq", ,表1_3[[#This Row],[列1]], "rt_chg","RT_Price"))</f>
        <v>0.43</v>
      </c>
      <c r="H13" s="48">
        <f>IF(表1_3[[#This Row],[列1]]="","",RTD("wdf.rtq", ,表1_3[[#This Row],[列1]], "rt_pct_chg","RT_Price")/100)</f>
        <v>1.9700000000000002E-2</v>
      </c>
      <c r="I13" s="33">
        <f>IF(表1_3[[#This Row],[列1]]="","",RTD("wdf.rtq", ,表1_3[[#This Row],[列1]], "rt_amt","RT_Price"))</f>
        <v>865235727</v>
      </c>
      <c r="J13" s="54">
        <f>IF(表1_3[[#This Row],[列1]]="","",RTD("wdf.rtq", ,表1_3[[#This Row],[列1]], "rt_vol","RT_Price"))</f>
        <v>38738774</v>
      </c>
      <c r="K13" s="56">
        <f>IF(表1_3[[#This Row],[列1]]="","",RTD("wdf.rtq", ,表1_3[[#This Row],[列1]], "rt_pct_chg_20d","RT_Price"))</f>
        <v>5.1400000000000001E-2</v>
      </c>
      <c r="L13" s="53">
        <f>IF(表1_3[[#This Row],[列1]]="","",RTD("wdf.rtq", ,表1_3[[#This Row],[列1]], "rt_pct_chg_60d","RT_Price"))</f>
        <v>0.11940000000000001</v>
      </c>
      <c r="M13" s="48">
        <f>IF(表1_3[[#This Row],[列1]]="","",RTD("wdf.rtq", ,表1_3[[#This Row],[列1]], "rt_pct_chg_ytd","RT_Price"))</f>
        <v>-7.3400000000000007E-2</v>
      </c>
      <c r="N13" s="5"/>
      <c r="O13" s="4"/>
    </row>
    <row r="14" spans="1:15" ht="16.5" customHeight="1" x14ac:dyDescent="0.2">
      <c r="A14" s="4"/>
      <c r="B14" s="5"/>
      <c r="C14" s="11" t="s">
        <v>7</v>
      </c>
      <c r="D14" s="12" t="str">
        <f>IF(C14="","",[1]!hks_info_name(C14))</f>
        <v>中国移动</v>
      </c>
      <c r="E14" s="13" t="str">
        <f ca="1">IF(C14="","",[1]!lastradeday_s(C14,TODAY()))</f>
        <v>2024-11-12</v>
      </c>
      <c r="F14" s="35">
        <f>IF(表1_3[[#This Row],[列1]]="","",RTD("wdf.rtq", ,表1_3[[#This Row],[列1]], "rt_last","RT_Price"))</f>
        <v>100.85000000000001</v>
      </c>
      <c r="G14" s="49">
        <f>IF(表1_3[[#This Row],[列1]]="","",RTD("wdf.rtq", ,表1_3[[#This Row],[列1]], "rt_chg","RT_Price"))</f>
        <v>-1.19</v>
      </c>
      <c r="H14" s="47">
        <f>IF(表1_3[[#This Row],[列1]]="","",RTD("wdf.rtq", ,表1_3[[#This Row],[列1]], "rt_pct_chg","RT_Price")/100)</f>
        <v>-1.1699999999999999E-2</v>
      </c>
      <c r="I14" s="33">
        <f>IF(表1_3[[#This Row],[列1]]="","",RTD("wdf.rtq", ,表1_3[[#This Row],[列1]], "rt_amt","RT_Price"))</f>
        <v>1543913133</v>
      </c>
      <c r="J14" s="54">
        <f>IF(表1_3[[#This Row],[列1]]="","",RTD("wdf.rtq", ,表1_3[[#This Row],[列1]], "rt_vol","RT_Price"))</f>
        <v>15235405</v>
      </c>
      <c r="K14" s="55">
        <f>IF(表1_3[[#This Row],[列1]]="","",RTD("wdf.rtq", ,表1_3[[#This Row],[列1]], "rt_pct_chg_20d","RT_Price"))</f>
        <v>-6.3100000000000003E-2</v>
      </c>
      <c r="L14" s="52">
        <f>IF(表1_3[[#This Row],[列1]]="","",RTD("wdf.rtq", ,表1_3[[#This Row],[列1]], "rt_pct_chg_60d","RT_Price"))</f>
        <v>1.17E-2</v>
      </c>
      <c r="M14" s="47">
        <f>IF(表1_3[[#This Row],[列1]]="","",RTD("wdf.rtq", ,表1_3[[#This Row],[列1]], "rt_pct_chg_ytd","RT_Price"))</f>
        <v>6.0000000000000005E-2</v>
      </c>
      <c r="N14" s="5"/>
      <c r="O14" s="4"/>
    </row>
    <row r="15" spans="1:15" ht="16.5" customHeight="1" x14ac:dyDescent="0.2">
      <c r="A15" s="4"/>
      <c r="B15" s="5"/>
      <c r="C15" s="11" t="s">
        <v>21</v>
      </c>
      <c r="D15" s="12" t="str">
        <f>IF(C15="","",[1]!hks_info_name(C15))</f>
        <v>汇顶科技</v>
      </c>
      <c r="E15" s="13" t="str">
        <f ca="1">IF(C15="","",[1]!lastradeday_s(C15,TODAY()))</f>
        <v>2024-11-12</v>
      </c>
      <c r="F15" s="35">
        <f>IF(表1_3[[#This Row],[列1]]="","",RTD("wdf.rtq", ,表1_3[[#This Row],[列1]], "rt_last","RT_Price"))</f>
        <v>94.08</v>
      </c>
      <c r="G15" s="50">
        <f>IF(表1_3[[#This Row],[列1]]="","",RTD("wdf.rtq", ,表1_3[[#This Row],[列1]], "rt_chg","RT_Price"))</f>
        <v>-1.6400000000000001</v>
      </c>
      <c r="H15" s="48">
        <f>IF(表1_3[[#This Row],[列1]]="","",RTD("wdf.rtq", ,表1_3[[#This Row],[列1]], "rt_pct_chg","RT_Price")/100)</f>
        <v>-1.7100000000000001E-2</v>
      </c>
      <c r="I15" s="33">
        <f>IF(表1_3[[#This Row],[列1]]="","",RTD("wdf.rtq", ,表1_3[[#This Row],[列1]], "rt_amt","RT_Price"))</f>
        <v>1355999788</v>
      </c>
      <c r="J15" s="54">
        <f>IF(表1_3[[#This Row],[列1]]="","",RTD("wdf.rtq", ,表1_3[[#This Row],[列1]], "rt_vol","RT_Price"))</f>
        <v>14347095</v>
      </c>
      <c r="K15" s="56">
        <f>IF(表1_3[[#This Row],[列1]]="","",RTD("wdf.rtq", ,表1_3[[#This Row],[列1]], "rt_pct_chg_20d","RT_Price"))</f>
        <v>0.1179</v>
      </c>
      <c r="L15" s="53">
        <f>IF(表1_3[[#This Row],[列1]]="","",RTD("wdf.rtq", ,表1_3[[#This Row],[列1]], "rt_pct_chg_60d","RT_Price"))</f>
        <v>0.60250000000000004</v>
      </c>
      <c r="M15" s="48">
        <f>IF(表1_3[[#This Row],[列1]]="","",RTD("wdf.rtq", ,表1_3[[#This Row],[列1]], "rt_pct_chg_ytd","RT_Price"))</f>
        <v>0.36549999999999999</v>
      </c>
      <c r="N15" s="5"/>
      <c r="O15" s="4"/>
    </row>
    <row r="16" spans="1:15" ht="16.5" customHeight="1" x14ac:dyDescent="0.2">
      <c r="A16" s="4"/>
      <c r="B16" s="5"/>
      <c r="C16" s="14" t="s">
        <v>8</v>
      </c>
      <c r="D16" s="12" t="str">
        <f>IF(C16="","",[1]!hks_info_name(C16))</f>
        <v>腾讯控股</v>
      </c>
      <c r="E16" s="13" t="str">
        <f ca="1">IF(C16="","",[1]!lastradeday_s(C16,TODAY()))</f>
        <v>2024-11-11</v>
      </c>
      <c r="F16" s="35">
        <f>IF(表1_3[[#This Row],[列1]]="","",RTD("wdf.rtq", ,表1_3[[#This Row],[列1]], "rt_last","RT_Price"))</f>
        <v>403.8</v>
      </c>
      <c r="G16" s="49">
        <f>IF(表1_3[[#This Row],[列1]]="","",RTD("wdf.rtq", ,表1_3[[#This Row],[列1]], "rt_chg","RT_Price"))</f>
        <v>-9.4</v>
      </c>
      <c r="H16" s="47">
        <f>IF(表1_3[[#This Row],[列1]]="","",RTD("wdf.rtq", ,表1_3[[#This Row],[列1]], "rt_pct_chg","RT_Price")/100)</f>
        <v>-2.2700000000000001E-2</v>
      </c>
      <c r="I16" s="33">
        <f>IF(表1_3[[#This Row],[列1]]="","",RTD("wdf.rtq", ,表1_3[[#This Row],[列1]], "rt_amt","RT_Price"))</f>
        <v>11097703325</v>
      </c>
      <c r="J16" s="54">
        <f>IF(表1_3[[#This Row],[列1]]="","",RTD("wdf.rtq", ,表1_3[[#This Row],[列1]], "rt_vol","RT_Price"))</f>
        <v>27303282</v>
      </c>
      <c r="K16" s="55">
        <f>IF(表1_3[[#This Row],[列1]]="","",RTD("wdf.rtq", ,表1_3[[#This Row],[列1]], "rt_pct_chg_20d","RT_Price"))</f>
        <v>-3.1699999999999999E-2</v>
      </c>
      <c r="L16" s="52">
        <f>IF(表1_3[[#This Row],[列1]]="","",RTD("wdf.rtq", ,表1_3[[#This Row],[列1]], "rt_pct_chg_60d","RT_Price"))</f>
        <v>8.030000000000001E-2</v>
      </c>
      <c r="M16" s="47">
        <f>IF(表1_3[[#This Row],[列1]]="","",RTD("wdf.rtq", ,表1_3[[#This Row],[列1]], "rt_pct_chg_ytd","RT_Price"))</f>
        <v>0.38720000000000004</v>
      </c>
      <c r="N16" s="5"/>
      <c r="O16" s="4"/>
    </row>
    <row r="17" spans="1:15" ht="16.5" customHeight="1" x14ac:dyDescent="0.2">
      <c r="A17" s="4"/>
      <c r="B17" s="5"/>
      <c r="C17" s="14" t="s">
        <v>25</v>
      </c>
      <c r="D17" s="12" t="str">
        <f>IF(C17="","",[1]!hks_info_name(C17))</f>
        <v>中芯国际</v>
      </c>
      <c r="E17" s="13" t="str">
        <f ca="1">IF(C17="","",[1]!lastradeday_s(C17,TODAY()))</f>
        <v>2024-11-11</v>
      </c>
      <c r="F17" s="35">
        <f>IF(表1_3[[#This Row],[列1]]="","",RTD("wdf.rtq", ,表1_3[[#This Row],[列1]], "rt_last","RT_Price"))</f>
        <v>27.150000000000002</v>
      </c>
      <c r="G17" s="50">
        <f>IF(表1_3[[#This Row],[列1]]="","",RTD("wdf.rtq", ,表1_3[[#This Row],[列1]], "rt_chg","RT_Price"))</f>
        <v>-2.35</v>
      </c>
      <c r="H17" s="48">
        <f>IF(表1_3[[#This Row],[列1]]="","",RTD("wdf.rtq", ,表1_3[[#This Row],[列1]], "rt_pct_chg","RT_Price")/100)</f>
        <v>-7.9700000000000007E-2</v>
      </c>
      <c r="I17" s="33">
        <f>IF(表1_3[[#This Row],[列1]]="","",RTD("wdf.rtq", ,表1_3[[#This Row],[列1]], "rt_amt","RT_Price"))</f>
        <v>5755289865</v>
      </c>
      <c r="J17" s="54">
        <f>IF(表1_3[[#This Row],[列1]]="","",RTD("wdf.rtq", ,表1_3[[#This Row],[列1]], "rt_vol","RT_Price"))</f>
        <v>202948900</v>
      </c>
      <c r="K17" s="56">
        <f>IF(表1_3[[#This Row],[列1]]="","",RTD("wdf.rtq", ,表1_3[[#This Row],[列1]], "rt_pct_chg_20d","RT_Price"))</f>
        <v>3.8200000000000005E-2</v>
      </c>
      <c r="L17" s="53">
        <f>IF(表1_3[[#This Row],[列1]]="","",RTD("wdf.rtq", ,表1_3[[#This Row],[列1]], "rt_pct_chg_60d","RT_Price"))</f>
        <v>0.61030000000000006</v>
      </c>
      <c r="M17" s="48">
        <f>IF(表1_3[[#This Row],[列1]]="","",RTD("wdf.rtq", ,表1_3[[#This Row],[列1]], "rt_pct_chg_ytd","RT_Price"))</f>
        <v>0.36710000000000004</v>
      </c>
      <c r="N17" s="5"/>
      <c r="O17" s="4"/>
    </row>
    <row r="18" spans="1:15" ht="16.5" customHeight="1" x14ac:dyDescent="0.2">
      <c r="A18" s="4"/>
      <c r="B18" s="5"/>
      <c r="C18" s="14" t="s">
        <v>26</v>
      </c>
      <c r="D18" s="12" t="str">
        <f>IF(C18="","",[1]!hks_info_name(C18))</f>
        <v>小米集团-W</v>
      </c>
      <c r="E18" s="13" t="str">
        <f ca="1">IF(C18="","",[1]!lastradeday_s(C18,TODAY()))</f>
        <v>2024-11-11</v>
      </c>
      <c r="F18" s="35">
        <f>IF(表1_3[[#This Row],[列1]]="","",RTD("wdf.rtq", ,表1_3[[#This Row],[列1]], "rt_last","RT_Price"))</f>
        <v>28.45</v>
      </c>
      <c r="G18" s="49">
        <f>IF(表1_3[[#This Row],[列1]]="","",RTD("wdf.rtq", ,表1_3[[#This Row],[列1]], "rt_chg","RT_Price"))</f>
        <v>-0.85</v>
      </c>
      <c r="H18" s="47">
        <f>IF(表1_3[[#This Row],[列1]]="","",RTD("wdf.rtq", ,表1_3[[#This Row],[列1]], "rt_pct_chg","RT_Price")/100)</f>
        <v>-2.9000000000000005E-2</v>
      </c>
      <c r="I18" s="33">
        <f>IF(表1_3[[#This Row],[列1]]="","",RTD("wdf.rtq", ,表1_3[[#This Row],[列1]], "rt_amt","RT_Price"))</f>
        <v>5320285201</v>
      </c>
      <c r="J18" s="54">
        <f>IF(表1_3[[#This Row],[列1]]="","",RTD("wdf.rtq", ,表1_3[[#This Row],[列1]], "rt_vol","RT_Price"))</f>
        <v>185336411</v>
      </c>
      <c r="K18" s="55">
        <f>IF(表1_3[[#This Row],[列1]]="","",RTD("wdf.rtq", ,表1_3[[#This Row],[列1]], "rt_pct_chg_20d","RT_Price"))</f>
        <v>0.23700000000000002</v>
      </c>
      <c r="L18" s="52">
        <f>IF(表1_3[[#This Row],[列1]]="","",RTD("wdf.rtq", ,表1_3[[#This Row],[列1]], "rt_pct_chg_60d","RT_Price"))</f>
        <v>0.68740000000000001</v>
      </c>
      <c r="M18" s="47">
        <f>IF(表1_3[[#This Row],[列1]]="","",RTD("wdf.rtq", ,表1_3[[#This Row],[列1]], "rt_pct_chg_ytd","RT_Price"))</f>
        <v>0.82369999999999999</v>
      </c>
      <c r="N18" s="5"/>
      <c r="O18" s="4"/>
    </row>
    <row r="19" spans="1:15" ht="16.5" customHeight="1" x14ac:dyDescent="0.2">
      <c r="A19" s="4"/>
      <c r="B19" s="5"/>
      <c r="C19" s="14" t="s">
        <v>24</v>
      </c>
      <c r="D19" s="12" t="str">
        <f>IF(C19="","",[1]!hks_info_name(C19))</f>
        <v>美团-W</v>
      </c>
      <c r="E19" s="13" t="str">
        <f ca="1">IF(C19="","",[1]!lastradeday_s(C19,TODAY()))</f>
        <v>2024-11-11</v>
      </c>
      <c r="F19" s="35">
        <f>IF(表1_3[[#This Row],[列1]]="","",RTD("wdf.rtq", ,表1_3[[#This Row],[列1]], "rt_last","RT_Price"))</f>
        <v>175.70000000000002</v>
      </c>
      <c r="G19" s="50">
        <f>IF(表1_3[[#This Row],[列1]]="","",RTD("wdf.rtq", ,表1_3[[#This Row],[列1]], "rt_chg","RT_Price"))</f>
        <v>-9.9</v>
      </c>
      <c r="H19" s="48">
        <f>IF(表1_3[[#This Row],[列1]]="","",RTD("wdf.rtq", ,表1_3[[#This Row],[列1]], "rt_pct_chg","RT_Price")/100)</f>
        <v>-5.33E-2</v>
      </c>
      <c r="I19" s="33">
        <f>IF(表1_3[[#This Row],[列1]]="","",RTD("wdf.rtq", ,表1_3[[#This Row],[列1]], "rt_amt","RT_Price"))</f>
        <v>10711866301</v>
      </c>
      <c r="J19" s="54">
        <f>IF(表1_3[[#This Row],[列1]]="","",RTD("wdf.rtq", ,表1_3[[#This Row],[列1]], "rt_vol","RT_Price"))</f>
        <v>60520914</v>
      </c>
      <c r="K19" s="56">
        <f>IF(表1_3[[#This Row],[列1]]="","",RTD("wdf.rtq", ,表1_3[[#This Row],[列1]], "rt_pct_chg_20d","RT_Price"))</f>
        <v>2.87E-2</v>
      </c>
      <c r="L19" s="53">
        <f>IF(表1_3[[#This Row],[列1]]="","",RTD("wdf.rtq", ,表1_3[[#This Row],[列1]], "rt_pct_chg_60d","RT_Price"))</f>
        <v>0.72089999999999999</v>
      </c>
      <c r="M19" s="48">
        <f>IF(表1_3[[#This Row],[列1]]="","",RTD("wdf.rtq", ,表1_3[[#This Row],[列1]], "rt_pct_chg_ytd","RT_Price"))</f>
        <v>1.1453</v>
      </c>
      <c r="N19" s="5"/>
      <c r="O19" s="4"/>
    </row>
    <row r="20" spans="1:15" ht="16.5" customHeight="1" x14ac:dyDescent="0.2">
      <c r="A20" s="4"/>
      <c r="B20" s="5"/>
      <c r="C20" s="14"/>
      <c r="D20" s="12" t="str">
        <f>IF(C20="","",[1]!hks_info_name(C20))</f>
        <v/>
      </c>
      <c r="E20" s="13" t="str">
        <f ca="1">IF(C20="","",[1]!lastradeday_s(C20,TODAY()))</f>
        <v/>
      </c>
      <c r="F20" s="35" t="str">
        <f>IF(表1_3[[#This Row],[列1]]="","",RTD("wdf.rtq", ,表1_3[[#This Row],[列1]], "rt_last","RT_Price"))</f>
        <v/>
      </c>
      <c r="G20" s="49" t="str">
        <f>IF(表1_3[[#This Row],[列1]]="","",RTD("wdf.rtq", ,表1_3[[#This Row],[列1]], "rt_chg","RT_Price"))</f>
        <v/>
      </c>
      <c r="H20" s="47" t="str">
        <f>IF(表1_3[[#This Row],[列1]]="","",RTD("wdf.rtq", ,表1_3[[#This Row],[列1]], "rt_pct_chg","RT_Price")/100)</f>
        <v/>
      </c>
      <c r="I20" s="33" t="str">
        <f>IF(表1_3[[#This Row],[列1]]="","",RTD("wdf.rtq", ,表1_3[[#This Row],[列1]], "rt_amt","RT_Price"))</f>
        <v/>
      </c>
      <c r="J20" s="54" t="str">
        <f>IF(表1_3[[#This Row],[列1]]="","",RTD("wdf.rtq", ,表1_3[[#This Row],[列1]], "rt_vol","RT_Price"))</f>
        <v/>
      </c>
      <c r="K20" s="55" t="str">
        <f>IF(表1_3[[#This Row],[列1]]="","",RTD("wdf.rtq", ,表1_3[[#This Row],[列1]], "rt_pct_chg_20d","RT_Price"))</f>
        <v/>
      </c>
      <c r="L20" s="52" t="str">
        <f>IF(表1_3[[#This Row],[列1]]="","",RTD("wdf.rtq", ,表1_3[[#This Row],[列1]], "rt_pct_chg_60d","RT_Price"))</f>
        <v/>
      </c>
      <c r="M20" s="47" t="str">
        <f>IF(表1_3[[#This Row],[列1]]="","",RTD("wdf.rtq", ,表1_3[[#This Row],[列1]], "rt_pct_chg_ytd","RT_Price"))</f>
        <v/>
      </c>
      <c r="N20" s="5"/>
      <c r="O20" s="4"/>
    </row>
    <row r="21" spans="1:15" ht="16.5" customHeight="1" x14ac:dyDescent="0.2">
      <c r="A21" s="4"/>
      <c r="B21" s="5"/>
      <c r="C21" s="14"/>
      <c r="D21" s="12" t="str">
        <f>IF(C21="","",[1]!hks_info_name(C21))</f>
        <v/>
      </c>
      <c r="E21" s="13" t="str">
        <f ca="1">IF(C21="","",[1]!lastradeday_s(C21,TODAY()))</f>
        <v/>
      </c>
      <c r="F21" s="35" t="str">
        <f>IF(表1_3[[#This Row],[列1]]="","",RTD("wdf.rtq", ,表1_3[[#This Row],[列1]], "rt_last","RT_Price"))</f>
        <v/>
      </c>
      <c r="G21" s="50" t="str">
        <f>IF(表1_3[[#This Row],[列1]]="","",RTD("wdf.rtq", ,表1_3[[#This Row],[列1]], "rt_chg","RT_Price"))</f>
        <v/>
      </c>
      <c r="H21" s="48" t="str">
        <f>IF(表1_3[[#This Row],[列1]]="","",RTD("wdf.rtq", ,表1_3[[#This Row],[列1]], "rt_pct_chg","RT_Price")/100)</f>
        <v/>
      </c>
      <c r="I21" s="33" t="str">
        <f>IF(表1_3[[#This Row],[列1]]="","",RTD("wdf.rtq", ,表1_3[[#This Row],[列1]], "rt_amt","RT_Price"))</f>
        <v/>
      </c>
      <c r="J21" s="54" t="str">
        <f>IF(表1_3[[#This Row],[列1]]="","",RTD("wdf.rtq", ,表1_3[[#This Row],[列1]], "rt_vol","RT_Price"))</f>
        <v/>
      </c>
      <c r="K21" s="56" t="str">
        <f>IF(表1_3[[#This Row],[列1]]="","",RTD("wdf.rtq", ,表1_3[[#This Row],[列1]], "rt_pct_chg_20d","RT_Price"))</f>
        <v/>
      </c>
      <c r="L21" s="53" t="str">
        <f>IF(表1_3[[#This Row],[列1]]="","",RTD("wdf.rtq", ,表1_3[[#This Row],[列1]], "rt_pct_chg_60d","RT_Price"))</f>
        <v/>
      </c>
      <c r="M21" s="48" t="str">
        <f>IF(表1_3[[#This Row],[列1]]="","",RTD("wdf.rtq", ,表1_3[[#This Row],[列1]], "rt_pct_chg_ytd","RT_Price"))</f>
        <v/>
      </c>
      <c r="N21" s="5"/>
      <c r="O21" s="4"/>
    </row>
    <row r="22" spans="1:15" ht="16.5" customHeight="1" x14ac:dyDescent="0.2">
      <c r="A22" s="4"/>
      <c r="B22" s="5"/>
      <c r="C22" s="14"/>
      <c r="D22" s="12" t="str">
        <f>IF(C22="","",[1]!hks_info_name(C22))</f>
        <v/>
      </c>
      <c r="E22" s="13" t="str">
        <f ca="1">IF(C22="","",[1]!lastradeday_s(C22,TODAY()))</f>
        <v/>
      </c>
      <c r="F22" s="35" t="str">
        <f>IF(表1_3[[#This Row],[列1]]="","",RTD("wdf.rtq", ,表1_3[[#This Row],[列1]], "rt_last","RT_Price"))</f>
        <v/>
      </c>
      <c r="G22" s="49" t="str">
        <f>IF(表1_3[[#This Row],[列1]]="","",RTD("wdf.rtq", ,表1_3[[#This Row],[列1]], "rt_chg","RT_Price"))</f>
        <v/>
      </c>
      <c r="H22" s="47" t="str">
        <f>IF(表1_3[[#This Row],[列1]]="","",RTD("wdf.rtq", ,表1_3[[#This Row],[列1]], "rt_pct_chg","RT_Price")/100)</f>
        <v/>
      </c>
      <c r="I22" s="33" t="str">
        <f>IF(表1_3[[#This Row],[列1]]="","",RTD("wdf.rtq", ,表1_3[[#This Row],[列1]], "rt_amt","RT_Price"))</f>
        <v/>
      </c>
      <c r="J22" s="54" t="str">
        <f>IF(表1_3[[#This Row],[列1]]="","",RTD("wdf.rtq", ,表1_3[[#This Row],[列1]], "rt_vol","RT_Price"))</f>
        <v/>
      </c>
      <c r="K22" s="55" t="str">
        <f>IF(表1_3[[#This Row],[列1]]="","",RTD("wdf.rtq", ,表1_3[[#This Row],[列1]], "rt_pct_chg_20d","RT_Price"))</f>
        <v/>
      </c>
      <c r="L22" s="52" t="str">
        <f>IF(表1_3[[#This Row],[列1]]="","",RTD("wdf.rtq", ,表1_3[[#This Row],[列1]], "rt_pct_chg_60d","RT_Price"))</f>
        <v/>
      </c>
      <c r="M22" s="47" t="str">
        <f>IF(表1_3[[#This Row],[列1]]="","",RTD("wdf.rtq", ,表1_3[[#This Row],[列1]], "rt_pct_chg_ytd","RT_Price"))</f>
        <v/>
      </c>
      <c r="N22" s="5"/>
      <c r="O22" s="4"/>
    </row>
    <row r="23" spans="1:15" ht="16.5" customHeight="1" x14ac:dyDescent="0.2">
      <c r="A23" s="4"/>
      <c r="B23" s="5"/>
      <c r="C23" s="14"/>
      <c r="D23" s="12" t="str">
        <f>IF(C23="","",[1]!hks_info_name(C23))</f>
        <v/>
      </c>
      <c r="E23" s="13" t="str">
        <f ca="1">IF(C23="","",[1]!lastradeday_s(C23,TODAY()))</f>
        <v/>
      </c>
      <c r="F23" s="35" t="str">
        <f>IF(表1_3[[#This Row],[列1]]="","",RTD("wdf.rtq", ,表1_3[[#This Row],[列1]], "rt_last","RT_Price"))</f>
        <v/>
      </c>
      <c r="G23" s="50" t="str">
        <f>IF(表1_3[[#This Row],[列1]]="","",RTD("wdf.rtq", ,表1_3[[#This Row],[列1]], "rt_chg","RT_Price"))</f>
        <v/>
      </c>
      <c r="H23" s="48" t="str">
        <f>IF(表1_3[[#This Row],[列1]]="","",RTD("wdf.rtq", ,表1_3[[#This Row],[列1]], "rt_pct_chg","RT_Price")/100)</f>
        <v/>
      </c>
      <c r="I23" s="33" t="str">
        <f>IF(表1_3[[#This Row],[列1]]="","",RTD("wdf.rtq", ,表1_3[[#This Row],[列1]], "rt_amt","RT_Price"))</f>
        <v/>
      </c>
      <c r="J23" s="54" t="str">
        <f>IF(表1_3[[#This Row],[列1]]="","",RTD("wdf.rtq", ,表1_3[[#This Row],[列1]], "rt_vol","RT_Price"))</f>
        <v/>
      </c>
      <c r="K23" s="56" t="str">
        <f>IF(表1_3[[#This Row],[列1]]="","",RTD("wdf.rtq", ,表1_3[[#This Row],[列1]], "rt_pct_chg_20d","RT_Price"))</f>
        <v/>
      </c>
      <c r="L23" s="53" t="str">
        <f>IF(表1_3[[#This Row],[列1]]="","",RTD("wdf.rtq", ,表1_3[[#This Row],[列1]], "rt_pct_chg_60d","RT_Price"))</f>
        <v/>
      </c>
      <c r="M23" s="48" t="str">
        <f>IF(表1_3[[#This Row],[列1]]="","",RTD("wdf.rtq", ,表1_3[[#This Row],[列1]], "rt_pct_chg_ytd","RT_Price"))</f>
        <v/>
      </c>
      <c r="N23" s="5"/>
      <c r="O23" s="4"/>
    </row>
    <row r="24" spans="1:15" ht="16.5" customHeight="1" x14ac:dyDescent="0.2">
      <c r="A24" s="4"/>
      <c r="B24" s="5"/>
      <c r="C24" s="14"/>
      <c r="D24" s="12" t="str">
        <f>IF(C24="","",[1]!hks_info_name(C24))</f>
        <v/>
      </c>
      <c r="E24" s="13" t="str">
        <f ca="1">IF(C24="","",[1]!lastradeday_s(C24,TODAY()))</f>
        <v/>
      </c>
      <c r="F24" s="35" t="str">
        <f>IF(表1_3[[#This Row],[列1]]="","",RTD("wdf.rtq", ,表1_3[[#This Row],[列1]], "rt_last","RT_Price"))</f>
        <v/>
      </c>
      <c r="G24" s="49" t="str">
        <f>IF(表1_3[[#This Row],[列1]]="","",RTD("wdf.rtq", ,表1_3[[#This Row],[列1]], "rt_chg","RT_Price"))</f>
        <v/>
      </c>
      <c r="H24" s="47" t="str">
        <f>IF(表1_3[[#This Row],[列1]]="","",RTD("wdf.rtq", ,表1_3[[#This Row],[列1]], "rt_pct_chg","RT_Price")/100)</f>
        <v/>
      </c>
      <c r="I24" s="33" t="str">
        <f>IF(表1_3[[#This Row],[列1]]="","",RTD("wdf.rtq", ,表1_3[[#This Row],[列1]], "rt_amt","RT_Price"))</f>
        <v/>
      </c>
      <c r="J24" s="54" t="str">
        <f>IF(表1_3[[#This Row],[列1]]="","",RTD("wdf.rtq", ,表1_3[[#This Row],[列1]], "rt_vol","RT_Price"))</f>
        <v/>
      </c>
      <c r="K24" s="55" t="str">
        <f>IF(表1_3[[#This Row],[列1]]="","",RTD("wdf.rtq", ,表1_3[[#This Row],[列1]], "rt_pct_chg_20d","RT_Price"))</f>
        <v/>
      </c>
      <c r="L24" s="52" t="str">
        <f>IF(表1_3[[#This Row],[列1]]="","",RTD("wdf.rtq", ,表1_3[[#This Row],[列1]], "rt_pct_chg_60d","RT_Price"))</f>
        <v/>
      </c>
      <c r="M24" s="47" t="str">
        <f>IF(表1_3[[#This Row],[列1]]="","",RTD("wdf.rtq", ,表1_3[[#This Row],[列1]], "rt_pct_chg_ytd","RT_Price"))</f>
        <v/>
      </c>
      <c r="N24" s="5"/>
      <c r="O24" s="4"/>
    </row>
    <row r="25" spans="1:15" ht="16.5" customHeight="1" x14ac:dyDescent="0.2">
      <c r="A25" s="4"/>
      <c r="B25" s="5"/>
      <c r="C25" s="14"/>
      <c r="D25" s="12" t="str">
        <f>IF(C25="","",[1]!hks_info_name(C25))</f>
        <v/>
      </c>
      <c r="E25" s="13" t="str">
        <f ca="1">IF(C25="","",[1]!lastradeday_s(C25,TODAY()))</f>
        <v/>
      </c>
      <c r="F25" s="35" t="str">
        <f>IF(表1_3[[#This Row],[列1]]="","",RTD("wdf.rtq", ,表1_3[[#This Row],[列1]], "rt_last","RT_Price"))</f>
        <v/>
      </c>
      <c r="G25" s="50" t="str">
        <f>IF(表1_3[[#This Row],[列1]]="","",RTD("wdf.rtq", ,表1_3[[#This Row],[列1]], "rt_chg","RT_Price"))</f>
        <v/>
      </c>
      <c r="H25" s="48" t="str">
        <f>IF(表1_3[[#This Row],[列1]]="","",RTD("wdf.rtq", ,表1_3[[#This Row],[列1]], "rt_pct_chg","RT_Price")/100)</f>
        <v/>
      </c>
      <c r="I25" s="33" t="str">
        <f>IF(表1_3[[#This Row],[列1]]="","",RTD("wdf.rtq", ,表1_3[[#This Row],[列1]], "rt_amt","RT_Price"))</f>
        <v/>
      </c>
      <c r="J25" s="54" t="str">
        <f>IF(表1_3[[#This Row],[列1]]="","",RTD("wdf.rtq", ,表1_3[[#This Row],[列1]], "rt_vol","RT_Price"))</f>
        <v/>
      </c>
      <c r="K25" s="56" t="str">
        <f>IF(表1_3[[#This Row],[列1]]="","",RTD("wdf.rtq", ,表1_3[[#This Row],[列1]], "rt_pct_chg_20d","RT_Price"))</f>
        <v/>
      </c>
      <c r="L25" s="53" t="str">
        <f>IF(表1_3[[#This Row],[列1]]="","",RTD("wdf.rtq", ,表1_3[[#This Row],[列1]], "rt_pct_chg_60d","RT_Price"))</f>
        <v/>
      </c>
      <c r="M25" s="48" t="str">
        <f>IF(表1_3[[#This Row],[列1]]="","",RTD("wdf.rtq", ,表1_3[[#This Row],[列1]], "rt_pct_chg_ytd","RT_Price"))</f>
        <v/>
      </c>
      <c r="N25" s="5"/>
      <c r="O25" s="4"/>
    </row>
    <row r="26" spans="1:15" ht="16.5" customHeight="1" x14ac:dyDescent="0.2">
      <c r="A26" s="4"/>
      <c r="B26" s="5"/>
      <c r="C26" s="14"/>
      <c r="D26" s="12" t="str">
        <f>IF(C26="","",[1]!hks_info_name(C26))</f>
        <v/>
      </c>
      <c r="E26" s="13" t="str">
        <f ca="1">IF(C26="","",[1]!lastradeday_s(C26,TODAY()))</f>
        <v/>
      </c>
      <c r="F26" s="35" t="str">
        <f>IF(表1_3[[#This Row],[列1]]="","",RTD("wdf.rtq", ,表1_3[[#This Row],[列1]], "rt_last","RT_Price"))</f>
        <v/>
      </c>
      <c r="G26" s="49" t="str">
        <f>IF(表1_3[[#This Row],[列1]]="","",RTD("wdf.rtq", ,表1_3[[#This Row],[列1]], "rt_chg","RT_Price"))</f>
        <v/>
      </c>
      <c r="H26" s="47" t="str">
        <f>IF(表1_3[[#This Row],[列1]]="","",RTD("wdf.rtq", ,表1_3[[#This Row],[列1]], "rt_pct_chg","RT_Price")/100)</f>
        <v/>
      </c>
      <c r="I26" s="33" t="str">
        <f>IF(表1_3[[#This Row],[列1]]="","",RTD("wdf.rtq", ,表1_3[[#This Row],[列1]], "rt_amt","RT_Price"))</f>
        <v/>
      </c>
      <c r="J26" s="54" t="str">
        <f>IF(表1_3[[#This Row],[列1]]="","",RTD("wdf.rtq", ,表1_3[[#This Row],[列1]], "rt_vol","RT_Price"))</f>
        <v/>
      </c>
      <c r="K26" s="55" t="str">
        <f>IF(表1_3[[#This Row],[列1]]="","",RTD("wdf.rtq", ,表1_3[[#This Row],[列1]], "rt_pct_chg_20d","RT_Price"))</f>
        <v/>
      </c>
      <c r="L26" s="52" t="str">
        <f>IF(表1_3[[#This Row],[列1]]="","",RTD("wdf.rtq", ,表1_3[[#This Row],[列1]], "rt_pct_chg_60d","RT_Price"))</f>
        <v/>
      </c>
      <c r="M26" s="47" t="str">
        <f>IF(表1_3[[#This Row],[列1]]="","",RTD("wdf.rtq", ,表1_3[[#This Row],[列1]], "rt_pct_chg_ytd","RT_Price"))</f>
        <v/>
      </c>
      <c r="N26" s="5"/>
      <c r="O26" s="4"/>
    </row>
    <row r="27" spans="1:15" ht="16.5" customHeight="1" x14ac:dyDescent="0.2">
      <c r="A27" s="4"/>
      <c r="B27" s="5"/>
      <c r="C27" s="14"/>
      <c r="D27" s="12" t="str">
        <f>IF(C27="","",[1]!hks_info_name(C27))</f>
        <v/>
      </c>
      <c r="E27" s="13" t="str">
        <f ca="1">IF(C27="","",[1]!lastradeday_s(C27,TODAY()))</f>
        <v/>
      </c>
      <c r="F27" s="35" t="str">
        <f>IF(表1_3[[#This Row],[列1]]="","",RTD("wdf.rtq", ,表1_3[[#This Row],[列1]], "rt_last","RT_Price"))</f>
        <v/>
      </c>
      <c r="G27" s="50" t="str">
        <f>IF(表1_3[[#This Row],[列1]]="","",RTD("wdf.rtq", ,表1_3[[#This Row],[列1]], "rt_chg","RT_Price"))</f>
        <v/>
      </c>
      <c r="H27" s="48" t="str">
        <f>IF(表1_3[[#This Row],[列1]]="","",RTD("wdf.rtq", ,表1_3[[#This Row],[列1]], "rt_pct_chg","RT_Price")/100)</f>
        <v/>
      </c>
      <c r="I27" s="33" t="str">
        <f>IF(表1_3[[#This Row],[列1]]="","",RTD("wdf.rtq", ,表1_3[[#This Row],[列1]], "rt_amt","RT_Price"))</f>
        <v/>
      </c>
      <c r="J27" s="54" t="str">
        <f>IF(表1_3[[#This Row],[列1]]="","",RTD("wdf.rtq", ,表1_3[[#This Row],[列1]], "rt_vol","RT_Price"))</f>
        <v/>
      </c>
      <c r="K27" s="56" t="str">
        <f>IF(表1_3[[#This Row],[列1]]="","",RTD("wdf.rtq", ,表1_3[[#This Row],[列1]], "rt_pct_chg_20d","RT_Price"))</f>
        <v/>
      </c>
      <c r="L27" s="53" t="str">
        <f>IF(表1_3[[#This Row],[列1]]="","",RTD("wdf.rtq", ,表1_3[[#This Row],[列1]], "rt_pct_chg_60d","RT_Price"))</f>
        <v/>
      </c>
      <c r="M27" s="48" t="str">
        <f>IF(表1_3[[#This Row],[列1]]="","",RTD("wdf.rtq", ,表1_3[[#This Row],[列1]], "rt_pct_chg_ytd","RT_Price"))</f>
        <v/>
      </c>
      <c r="N27" s="5"/>
      <c r="O27" s="4"/>
    </row>
    <row r="28" spans="1:15" ht="16.5" customHeight="1" x14ac:dyDescent="0.2">
      <c r="A28" s="4"/>
      <c r="B28" s="5"/>
      <c r="C28" s="14"/>
      <c r="D28" s="12" t="str">
        <f>IF(C28="","",[1]!hks_info_name(C28))</f>
        <v/>
      </c>
      <c r="E28" s="13" t="str">
        <f ca="1">IF(C28="","",[1]!lastradeday_s(C28,TODAY()))</f>
        <v/>
      </c>
      <c r="F28" s="35" t="str">
        <f>IF(表1_3[[#This Row],[列1]]="","",RTD("wdf.rtq", ,表1_3[[#This Row],[列1]], "rt_last","RT_Price"))</f>
        <v/>
      </c>
      <c r="G28" s="49" t="str">
        <f>IF(表1_3[[#This Row],[列1]]="","",RTD("wdf.rtq", ,表1_3[[#This Row],[列1]], "rt_chg","RT_Price"))</f>
        <v/>
      </c>
      <c r="H28" s="47" t="str">
        <f>IF(表1_3[[#This Row],[列1]]="","",RTD("wdf.rtq", ,表1_3[[#This Row],[列1]], "rt_pct_chg","RT_Price")/100)</f>
        <v/>
      </c>
      <c r="I28" s="33" t="str">
        <f>IF(表1_3[[#This Row],[列1]]="","",RTD("wdf.rtq", ,表1_3[[#This Row],[列1]], "rt_amt","RT_Price"))</f>
        <v/>
      </c>
      <c r="J28" s="54" t="str">
        <f>IF(表1_3[[#This Row],[列1]]="","",RTD("wdf.rtq", ,表1_3[[#This Row],[列1]], "rt_vol","RT_Price"))</f>
        <v/>
      </c>
      <c r="K28" s="55" t="str">
        <f>IF(表1_3[[#This Row],[列1]]="","",RTD("wdf.rtq", ,表1_3[[#This Row],[列1]], "rt_pct_chg_20d","RT_Price"))</f>
        <v/>
      </c>
      <c r="L28" s="52" t="str">
        <f>IF(表1_3[[#This Row],[列1]]="","",RTD("wdf.rtq", ,表1_3[[#This Row],[列1]], "rt_pct_chg_60d","RT_Price"))</f>
        <v/>
      </c>
      <c r="M28" s="47" t="str">
        <f>IF(表1_3[[#This Row],[列1]]="","",RTD("wdf.rtq", ,表1_3[[#This Row],[列1]], "rt_pct_chg_ytd","RT_Price"))</f>
        <v/>
      </c>
      <c r="N28" s="5"/>
      <c r="O28" s="4"/>
    </row>
    <row r="29" spans="1:15" ht="16.5" customHeight="1" x14ac:dyDescent="0.2">
      <c r="A29" s="4"/>
      <c r="B29" s="5"/>
      <c r="C29" s="14"/>
      <c r="D29" s="12" t="str">
        <f>IF(C29="","",[1]!hks_info_name(C29))</f>
        <v/>
      </c>
      <c r="E29" s="13" t="str">
        <f ca="1">IF(C29="","",[1]!lastradeday_s(C29,TODAY()))</f>
        <v/>
      </c>
      <c r="F29" s="35" t="str">
        <f>IF(表1_3[[#This Row],[列1]]="","",RTD("wdf.rtq", ,表1_3[[#This Row],[列1]], "rt_last","RT_Price"))</f>
        <v/>
      </c>
      <c r="G29" s="50" t="str">
        <f>IF(表1_3[[#This Row],[列1]]="","",RTD("wdf.rtq", ,表1_3[[#This Row],[列1]], "rt_chg","RT_Price"))</f>
        <v/>
      </c>
      <c r="H29" s="48" t="str">
        <f>IF(表1_3[[#This Row],[列1]]="","",RTD("wdf.rtq", ,表1_3[[#This Row],[列1]], "rt_pct_chg","RT_Price")/100)</f>
        <v/>
      </c>
      <c r="I29" s="33" t="str">
        <f>IF(表1_3[[#This Row],[列1]]="","",RTD("wdf.rtq", ,表1_3[[#This Row],[列1]], "rt_amt","RT_Price"))</f>
        <v/>
      </c>
      <c r="J29" s="54" t="str">
        <f>IF(表1_3[[#This Row],[列1]]="","",RTD("wdf.rtq", ,表1_3[[#This Row],[列1]], "rt_vol","RT_Price"))</f>
        <v/>
      </c>
      <c r="K29" s="56" t="str">
        <f>IF(表1_3[[#This Row],[列1]]="","",RTD("wdf.rtq", ,表1_3[[#This Row],[列1]], "rt_pct_chg_20d","RT_Price"))</f>
        <v/>
      </c>
      <c r="L29" s="53" t="str">
        <f>IF(表1_3[[#This Row],[列1]]="","",RTD("wdf.rtq", ,表1_3[[#This Row],[列1]], "rt_pct_chg_60d","RT_Price"))</f>
        <v/>
      </c>
      <c r="M29" s="48" t="str">
        <f>IF(表1_3[[#This Row],[列1]]="","",RTD("wdf.rtq", ,表1_3[[#This Row],[列1]], "rt_pct_chg_ytd","RT_Price"))</f>
        <v/>
      </c>
      <c r="N29" s="5"/>
      <c r="O29" s="4"/>
    </row>
    <row r="30" spans="1:15" ht="16.5" customHeight="1" x14ac:dyDescent="0.2">
      <c r="A30" s="4"/>
      <c r="B30" s="5"/>
      <c r="C30" s="14"/>
      <c r="D30" s="12" t="str">
        <f>IF(C30="","",[1]!hks_info_name(C30))</f>
        <v/>
      </c>
      <c r="E30" s="13" t="str">
        <f ca="1">IF(C30="","",[1]!lastradeday_s(C30,TODAY()))</f>
        <v/>
      </c>
      <c r="F30" s="35" t="str">
        <f>IF(表1_3[[#This Row],[列1]]="","",RTD("wdf.rtq", ,表1_3[[#This Row],[列1]], "rt_last","RT_Price"))</f>
        <v/>
      </c>
      <c r="G30" s="49" t="str">
        <f>IF(表1_3[[#This Row],[列1]]="","",RTD("wdf.rtq", ,表1_3[[#This Row],[列1]], "rt_chg","RT_Price"))</f>
        <v/>
      </c>
      <c r="H30" s="47" t="str">
        <f>IF(表1_3[[#This Row],[列1]]="","",RTD("wdf.rtq", ,表1_3[[#This Row],[列1]], "rt_pct_chg","RT_Price")/100)</f>
        <v/>
      </c>
      <c r="I30" s="33" t="str">
        <f>IF(表1_3[[#This Row],[列1]]="","",RTD("wdf.rtq", ,表1_3[[#This Row],[列1]], "rt_amt","RT_Price"))</f>
        <v/>
      </c>
      <c r="J30" s="54" t="str">
        <f>IF(表1_3[[#This Row],[列1]]="","",RTD("wdf.rtq", ,表1_3[[#This Row],[列1]], "rt_vol","RT_Price"))</f>
        <v/>
      </c>
      <c r="K30" s="55" t="str">
        <f>IF(表1_3[[#This Row],[列1]]="","",RTD("wdf.rtq", ,表1_3[[#This Row],[列1]], "rt_pct_chg_20d","RT_Price"))</f>
        <v/>
      </c>
      <c r="L30" s="52" t="str">
        <f>IF(表1_3[[#This Row],[列1]]="","",RTD("wdf.rtq", ,表1_3[[#This Row],[列1]], "rt_pct_chg_60d","RT_Price"))</f>
        <v/>
      </c>
      <c r="M30" s="47" t="str">
        <f>IF(表1_3[[#This Row],[列1]]="","",RTD("wdf.rtq", ,表1_3[[#This Row],[列1]], "rt_pct_chg_ytd","RT_Price"))</f>
        <v/>
      </c>
      <c r="N30" s="5"/>
      <c r="O30" s="4"/>
    </row>
    <row r="31" spans="1:15" ht="16.5" customHeight="1" x14ac:dyDescent="0.2">
      <c r="A31" s="4"/>
      <c r="B31" s="5"/>
      <c r="C31" s="14"/>
      <c r="D31" s="12" t="str">
        <f>IF(C31="","",[1]!hks_info_name(C31))</f>
        <v/>
      </c>
      <c r="E31" s="13" t="str">
        <f ca="1">IF(C31="","",[1]!lastradeday_s(C31,TODAY()))</f>
        <v/>
      </c>
      <c r="F31" s="35" t="str">
        <f>IF(表1_3[[#This Row],[列1]]="","",RTD("wdf.rtq", ,表1_3[[#This Row],[列1]], "rt_last","RT_Price"))</f>
        <v/>
      </c>
      <c r="G31" s="50" t="str">
        <f>IF(表1_3[[#This Row],[列1]]="","",RTD("wdf.rtq", ,表1_3[[#This Row],[列1]], "rt_chg","RT_Price"))</f>
        <v/>
      </c>
      <c r="H31" s="48" t="str">
        <f>IF(表1_3[[#This Row],[列1]]="","",RTD("wdf.rtq", ,表1_3[[#This Row],[列1]], "rt_pct_chg","RT_Price")/100)</f>
        <v/>
      </c>
      <c r="I31" s="33" t="str">
        <f>IF(表1_3[[#This Row],[列1]]="","",RTD("wdf.rtq", ,表1_3[[#This Row],[列1]], "rt_amt","RT_Price"))</f>
        <v/>
      </c>
      <c r="J31" s="54" t="str">
        <f>IF(表1_3[[#This Row],[列1]]="","",RTD("wdf.rtq", ,表1_3[[#This Row],[列1]], "rt_vol","RT_Price"))</f>
        <v/>
      </c>
      <c r="K31" s="56" t="str">
        <f>IF(表1_3[[#This Row],[列1]]="","",RTD("wdf.rtq", ,表1_3[[#This Row],[列1]], "rt_pct_chg_20d","RT_Price"))</f>
        <v/>
      </c>
      <c r="L31" s="53" t="str">
        <f>IF(表1_3[[#This Row],[列1]]="","",RTD("wdf.rtq", ,表1_3[[#This Row],[列1]], "rt_pct_chg_60d","RT_Price"))</f>
        <v/>
      </c>
      <c r="M31" s="48" t="str">
        <f>IF(表1_3[[#This Row],[列1]]="","",RTD("wdf.rtq", ,表1_3[[#This Row],[列1]], "rt_pct_chg_ytd","RT_Price"))</f>
        <v/>
      </c>
      <c r="N31" s="5"/>
      <c r="O31" s="4"/>
    </row>
    <row r="32" spans="1:15" ht="16.5" customHeight="1" x14ac:dyDescent="0.2">
      <c r="A32" s="4"/>
      <c r="B32" s="5"/>
      <c r="C32" s="14"/>
      <c r="D32" s="12" t="str">
        <f>IF(C32="","",[1]!hks_info_name(C32))</f>
        <v/>
      </c>
      <c r="E32" s="13" t="str">
        <f ca="1">IF(C32="","",[1]!lastradeday_s(C32,TODAY()))</f>
        <v/>
      </c>
      <c r="F32" s="35" t="str">
        <f>IF(表1_3[[#This Row],[列1]]="","",RTD("wdf.rtq", ,表1_3[[#This Row],[列1]], "rt_last","RT_Price"))</f>
        <v/>
      </c>
      <c r="G32" s="49" t="str">
        <f>IF(表1_3[[#This Row],[列1]]="","",RTD("wdf.rtq", ,表1_3[[#This Row],[列1]], "rt_chg","RT_Price"))</f>
        <v/>
      </c>
      <c r="H32" s="47" t="str">
        <f>IF(表1_3[[#This Row],[列1]]="","",RTD("wdf.rtq", ,表1_3[[#This Row],[列1]], "rt_pct_chg","RT_Price")/100)</f>
        <v/>
      </c>
      <c r="I32" s="33" t="str">
        <f>IF(表1_3[[#This Row],[列1]]="","",RTD("wdf.rtq", ,表1_3[[#This Row],[列1]], "rt_amt","RT_Price"))</f>
        <v/>
      </c>
      <c r="J32" s="54" t="str">
        <f>IF(表1_3[[#This Row],[列1]]="","",RTD("wdf.rtq", ,表1_3[[#This Row],[列1]], "rt_vol","RT_Price"))</f>
        <v/>
      </c>
      <c r="K32" s="55" t="str">
        <f>IF(表1_3[[#This Row],[列1]]="","",RTD("wdf.rtq", ,表1_3[[#This Row],[列1]], "rt_pct_chg_20d","RT_Price"))</f>
        <v/>
      </c>
      <c r="L32" s="52" t="str">
        <f>IF(表1_3[[#This Row],[列1]]="","",RTD("wdf.rtq", ,表1_3[[#This Row],[列1]], "rt_pct_chg_60d","RT_Price"))</f>
        <v/>
      </c>
      <c r="M32" s="47" t="str">
        <f>IF(表1_3[[#This Row],[列1]]="","",RTD("wdf.rtq", ,表1_3[[#This Row],[列1]], "rt_pct_chg_ytd","RT_Price"))</f>
        <v/>
      </c>
      <c r="N32" s="5"/>
      <c r="O32" s="4"/>
    </row>
    <row r="33" spans="1:15" ht="16.5" customHeight="1" x14ac:dyDescent="0.2">
      <c r="A33" s="4"/>
      <c r="B33" s="5"/>
      <c r="C33" s="14"/>
      <c r="D33" s="12" t="str">
        <f>IF(C33="","",[1]!hks_info_name(C33))</f>
        <v/>
      </c>
      <c r="E33" s="13" t="str">
        <f ca="1">IF(C33="","",[1]!lastradeday_s(C33,TODAY()))</f>
        <v/>
      </c>
      <c r="F33" s="35" t="str">
        <f>IF(表1_3[[#This Row],[列1]]="","",RTD("wdf.rtq", ,表1_3[[#This Row],[列1]], "rt_last","RT_Price"))</f>
        <v/>
      </c>
      <c r="G33" s="50" t="str">
        <f>IF(表1_3[[#This Row],[列1]]="","",RTD("wdf.rtq", ,表1_3[[#This Row],[列1]], "rt_chg","RT_Price"))</f>
        <v/>
      </c>
      <c r="H33" s="48" t="str">
        <f>IF(表1_3[[#This Row],[列1]]="","",RTD("wdf.rtq", ,表1_3[[#This Row],[列1]], "rt_pct_chg","RT_Price")/100)</f>
        <v/>
      </c>
      <c r="I33" s="33" t="str">
        <f>IF(表1_3[[#This Row],[列1]]="","",RTD("wdf.rtq", ,表1_3[[#This Row],[列1]], "rt_amt","RT_Price"))</f>
        <v/>
      </c>
      <c r="J33" s="54" t="str">
        <f>IF(表1_3[[#This Row],[列1]]="","",RTD("wdf.rtq", ,表1_3[[#This Row],[列1]], "rt_vol","RT_Price"))</f>
        <v/>
      </c>
      <c r="K33" s="56" t="str">
        <f>IF(表1_3[[#This Row],[列1]]="","",RTD("wdf.rtq", ,表1_3[[#This Row],[列1]], "rt_pct_chg_20d","RT_Price"))</f>
        <v/>
      </c>
      <c r="L33" s="53" t="str">
        <f>IF(表1_3[[#This Row],[列1]]="","",RTD("wdf.rtq", ,表1_3[[#This Row],[列1]], "rt_pct_chg_60d","RT_Price"))</f>
        <v/>
      </c>
      <c r="M33" s="48" t="str">
        <f>IF(表1_3[[#This Row],[列1]]="","",RTD("wdf.rtq", ,表1_3[[#This Row],[列1]], "rt_pct_chg_ytd","RT_Price"))</f>
        <v/>
      </c>
      <c r="N33" s="5"/>
      <c r="O33" s="4"/>
    </row>
    <row r="34" spans="1:15" ht="16.5" customHeight="1" x14ac:dyDescent="0.2">
      <c r="A34" s="4"/>
      <c r="B34" s="5"/>
      <c r="C34" s="14"/>
      <c r="D34" s="12" t="str">
        <f>IF(C34="","",[1]!hks_info_name(C34))</f>
        <v/>
      </c>
      <c r="E34" s="13" t="str">
        <f ca="1">IF(C34="","",[1]!lastradeday_s(C34,TODAY()))</f>
        <v/>
      </c>
      <c r="F34" s="35" t="str">
        <f>IF(表1_3[[#This Row],[列1]]="","",RTD("wdf.rtq", ,表1_3[[#This Row],[列1]], "rt_last","RT_Price"))</f>
        <v/>
      </c>
      <c r="G34" s="49" t="str">
        <f>IF(表1_3[[#This Row],[列1]]="","",RTD("wdf.rtq", ,表1_3[[#This Row],[列1]], "rt_chg","RT_Price"))</f>
        <v/>
      </c>
      <c r="H34" s="47" t="str">
        <f>IF(表1_3[[#This Row],[列1]]="","",RTD("wdf.rtq", ,表1_3[[#This Row],[列1]], "rt_pct_chg","RT_Price")/100)</f>
        <v/>
      </c>
      <c r="I34" s="33" t="str">
        <f>IF(表1_3[[#This Row],[列1]]="","",RTD("wdf.rtq", ,表1_3[[#This Row],[列1]], "rt_amt","RT_Price"))</f>
        <v/>
      </c>
      <c r="J34" s="54" t="str">
        <f>IF(表1_3[[#This Row],[列1]]="","",RTD("wdf.rtq", ,表1_3[[#This Row],[列1]], "rt_vol","RT_Price"))</f>
        <v/>
      </c>
      <c r="K34" s="55" t="str">
        <f>IF(表1_3[[#This Row],[列1]]="","",RTD("wdf.rtq", ,表1_3[[#This Row],[列1]], "rt_pct_chg_20d","RT_Price"))</f>
        <v/>
      </c>
      <c r="L34" s="52" t="str">
        <f>IF(表1_3[[#This Row],[列1]]="","",RTD("wdf.rtq", ,表1_3[[#This Row],[列1]], "rt_pct_chg_60d","RT_Price"))</f>
        <v/>
      </c>
      <c r="M34" s="47" t="str">
        <f>IF(表1_3[[#This Row],[列1]]="","",RTD("wdf.rtq", ,表1_3[[#This Row],[列1]], "rt_pct_chg_ytd","RT_Price"))</f>
        <v/>
      </c>
      <c r="N34" s="5"/>
      <c r="O34" s="4"/>
    </row>
    <row r="35" spans="1:15" ht="16.5" customHeight="1" x14ac:dyDescent="0.2">
      <c r="A35" s="4"/>
      <c r="B35" s="5"/>
      <c r="C35" s="14"/>
      <c r="D35" s="12" t="str">
        <f>IF(C35="","",[1]!hks_info_name(C35))</f>
        <v/>
      </c>
      <c r="E35" s="13" t="str">
        <f ca="1">IF(C35="","",[1]!lastradeday_s(C35,TODAY()))</f>
        <v/>
      </c>
      <c r="F35" s="35" t="str">
        <f>IF(表1_3[[#This Row],[列1]]="","",RTD("wdf.rtq", ,表1_3[[#This Row],[列1]], "rt_last","RT_Price"))</f>
        <v/>
      </c>
      <c r="G35" s="50" t="str">
        <f>IF(表1_3[[#This Row],[列1]]="","",RTD("wdf.rtq", ,表1_3[[#This Row],[列1]], "rt_chg","RT_Price"))</f>
        <v/>
      </c>
      <c r="H35" s="48" t="str">
        <f>IF(表1_3[[#This Row],[列1]]="","",RTD("wdf.rtq", ,表1_3[[#This Row],[列1]], "rt_pct_chg","RT_Price")/100)</f>
        <v/>
      </c>
      <c r="I35" s="33" t="str">
        <f>IF(表1_3[[#This Row],[列1]]="","",RTD("wdf.rtq", ,表1_3[[#This Row],[列1]], "rt_amt","RT_Price"))</f>
        <v/>
      </c>
      <c r="J35" s="54" t="str">
        <f>IF(表1_3[[#This Row],[列1]]="","",RTD("wdf.rtq", ,表1_3[[#This Row],[列1]], "rt_vol","RT_Price"))</f>
        <v/>
      </c>
      <c r="K35" s="56" t="str">
        <f>IF(表1_3[[#This Row],[列1]]="","",RTD("wdf.rtq", ,表1_3[[#This Row],[列1]], "rt_pct_chg_20d","RT_Price"))</f>
        <v/>
      </c>
      <c r="L35" s="53" t="str">
        <f>IF(表1_3[[#This Row],[列1]]="","",RTD("wdf.rtq", ,表1_3[[#This Row],[列1]], "rt_pct_chg_60d","RT_Price"))</f>
        <v/>
      </c>
      <c r="M35" s="48" t="str">
        <f>IF(表1_3[[#This Row],[列1]]="","",RTD("wdf.rtq", ,表1_3[[#This Row],[列1]], "rt_pct_chg_ytd","RT_Price"))</f>
        <v/>
      </c>
      <c r="N35" s="5"/>
      <c r="O35" s="4"/>
    </row>
    <row r="36" spans="1:15" ht="16.5" customHeight="1" x14ac:dyDescent="0.2">
      <c r="A36" s="4"/>
      <c r="B36" s="5"/>
      <c r="C36" s="14"/>
      <c r="D36" s="12" t="str">
        <f>IF(C36="","",[1]!hks_info_name(C36))</f>
        <v/>
      </c>
      <c r="E36" s="13" t="str">
        <f ca="1">IF(C36="","",[1]!lastradeday_s(C36,TODAY()))</f>
        <v/>
      </c>
      <c r="F36" s="35" t="str">
        <f>IF(表1_3[[#This Row],[列1]]="","",RTD("wdf.rtq", ,表1_3[[#This Row],[列1]], "rt_last","RT_Price"))</f>
        <v/>
      </c>
      <c r="G36" s="49" t="str">
        <f>IF(表1_3[[#This Row],[列1]]="","",RTD("wdf.rtq", ,表1_3[[#This Row],[列1]], "rt_chg","RT_Price"))</f>
        <v/>
      </c>
      <c r="H36" s="47" t="str">
        <f>IF(表1_3[[#This Row],[列1]]="","",RTD("wdf.rtq", ,表1_3[[#This Row],[列1]], "rt_pct_chg","RT_Price")/100)</f>
        <v/>
      </c>
      <c r="I36" s="33" t="str">
        <f>IF(表1_3[[#This Row],[列1]]="","",RTD("wdf.rtq", ,表1_3[[#This Row],[列1]], "rt_amt","RT_Price"))</f>
        <v/>
      </c>
      <c r="J36" s="54" t="str">
        <f>IF(表1_3[[#This Row],[列1]]="","",RTD("wdf.rtq", ,表1_3[[#This Row],[列1]], "rt_vol","RT_Price"))</f>
        <v/>
      </c>
      <c r="K36" s="55" t="str">
        <f>IF(表1_3[[#This Row],[列1]]="","",RTD("wdf.rtq", ,表1_3[[#This Row],[列1]], "rt_pct_chg_20d","RT_Price"))</f>
        <v/>
      </c>
      <c r="L36" s="52" t="str">
        <f>IF(表1_3[[#This Row],[列1]]="","",RTD("wdf.rtq", ,表1_3[[#This Row],[列1]], "rt_pct_chg_60d","RT_Price"))</f>
        <v/>
      </c>
      <c r="M36" s="47" t="str">
        <f>IF(表1_3[[#This Row],[列1]]="","",RTD("wdf.rtq", ,表1_3[[#This Row],[列1]], "rt_pct_chg_ytd","RT_Price"))</f>
        <v/>
      </c>
      <c r="N36" s="5"/>
      <c r="O36" s="4"/>
    </row>
    <row r="37" spans="1:15" ht="16.5" customHeight="1" x14ac:dyDescent="0.2">
      <c r="A37" s="4"/>
      <c r="B37" s="5"/>
      <c r="C37" s="14"/>
      <c r="D37" s="12" t="str">
        <f>IF(C37="","",[1]!hks_info_name(C37))</f>
        <v/>
      </c>
      <c r="E37" s="13" t="str">
        <f ca="1">IF(C37="","",[1]!lastradeday_s(C37,TODAY()))</f>
        <v/>
      </c>
      <c r="F37" s="35" t="str">
        <f>IF(表1_3[[#This Row],[列1]]="","",RTD("wdf.rtq", ,表1_3[[#This Row],[列1]], "rt_last","RT_Price"))</f>
        <v/>
      </c>
      <c r="G37" s="50" t="str">
        <f>IF(表1_3[[#This Row],[列1]]="","",RTD("wdf.rtq", ,表1_3[[#This Row],[列1]], "rt_chg","RT_Price"))</f>
        <v/>
      </c>
      <c r="H37" s="48" t="str">
        <f>IF(表1_3[[#This Row],[列1]]="","",RTD("wdf.rtq", ,表1_3[[#This Row],[列1]], "rt_pct_chg","RT_Price")/100)</f>
        <v/>
      </c>
      <c r="I37" s="33" t="str">
        <f>IF(表1_3[[#This Row],[列1]]="","",RTD("wdf.rtq", ,表1_3[[#This Row],[列1]], "rt_amt","RT_Price"))</f>
        <v/>
      </c>
      <c r="J37" s="54" t="str">
        <f>IF(表1_3[[#This Row],[列1]]="","",RTD("wdf.rtq", ,表1_3[[#This Row],[列1]], "rt_vol","RT_Price"))</f>
        <v/>
      </c>
      <c r="K37" s="56" t="str">
        <f>IF(表1_3[[#This Row],[列1]]="","",RTD("wdf.rtq", ,表1_3[[#This Row],[列1]], "rt_pct_chg_20d","RT_Price"))</f>
        <v/>
      </c>
      <c r="L37" s="53" t="str">
        <f>IF(表1_3[[#This Row],[列1]]="","",RTD("wdf.rtq", ,表1_3[[#This Row],[列1]], "rt_pct_chg_60d","RT_Price"))</f>
        <v/>
      </c>
      <c r="M37" s="48" t="str">
        <f>IF(表1_3[[#This Row],[列1]]="","",RTD("wdf.rtq", ,表1_3[[#This Row],[列1]], "rt_pct_chg_ytd","RT_Price"))</f>
        <v/>
      </c>
      <c r="N37" s="5"/>
      <c r="O37" s="4"/>
    </row>
    <row r="38" spans="1:15" ht="16.5" customHeight="1" x14ac:dyDescent="0.2">
      <c r="A38" s="4"/>
      <c r="B38" s="5"/>
      <c r="C38" s="14"/>
      <c r="D38" s="12" t="str">
        <f>IF(C38="","",[1]!hks_info_name(C38))</f>
        <v/>
      </c>
      <c r="E38" s="13" t="str">
        <f ca="1">IF(C38="","",[1]!lastradeday_s(C38,TODAY()))</f>
        <v/>
      </c>
      <c r="F38" s="35" t="str">
        <f>IF(表1_3[[#This Row],[列1]]="","",RTD("wdf.rtq", ,表1_3[[#This Row],[列1]], "rt_last","RT_Price"))</f>
        <v/>
      </c>
      <c r="G38" s="49" t="str">
        <f>IF(表1_3[[#This Row],[列1]]="","",RTD("wdf.rtq", ,表1_3[[#This Row],[列1]], "rt_chg","RT_Price"))</f>
        <v/>
      </c>
      <c r="H38" s="47" t="str">
        <f>IF(表1_3[[#This Row],[列1]]="","",RTD("wdf.rtq", ,表1_3[[#This Row],[列1]], "rt_pct_chg","RT_Price")/100)</f>
        <v/>
      </c>
      <c r="I38" s="33" t="str">
        <f>IF(表1_3[[#This Row],[列1]]="","",RTD("wdf.rtq", ,表1_3[[#This Row],[列1]], "rt_amt","RT_Price"))</f>
        <v/>
      </c>
      <c r="J38" s="54" t="str">
        <f>IF(表1_3[[#This Row],[列1]]="","",RTD("wdf.rtq", ,表1_3[[#This Row],[列1]], "rt_vol","RT_Price"))</f>
        <v/>
      </c>
      <c r="K38" s="55" t="str">
        <f>IF(表1_3[[#This Row],[列1]]="","",RTD("wdf.rtq", ,表1_3[[#This Row],[列1]], "rt_pct_chg_20d","RT_Price"))</f>
        <v/>
      </c>
      <c r="L38" s="52" t="str">
        <f>IF(表1_3[[#This Row],[列1]]="","",RTD("wdf.rtq", ,表1_3[[#This Row],[列1]], "rt_pct_chg_60d","RT_Price"))</f>
        <v/>
      </c>
      <c r="M38" s="47" t="str">
        <f>IF(表1_3[[#This Row],[列1]]="","",RTD("wdf.rtq", ,表1_3[[#This Row],[列1]], "rt_pct_chg_ytd","RT_Price"))</f>
        <v/>
      </c>
      <c r="N38" s="5"/>
      <c r="O38" s="4"/>
    </row>
    <row r="39" spans="1:15" ht="16.5" customHeight="1" x14ac:dyDescent="0.2">
      <c r="A39" s="4"/>
      <c r="B39" s="5"/>
      <c r="C39" s="14"/>
      <c r="D39" s="12" t="str">
        <f>IF(C39="","",[1]!hks_info_name(C39))</f>
        <v/>
      </c>
      <c r="E39" s="13" t="str">
        <f ca="1">IF(C39="","",[1]!lastradeday_s(C39,TODAY()))</f>
        <v/>
      </c>
      <c r="F39" s="35" t="str">
        <f>IF(表1_3[[#This Row],[列1]]="","",RTD("wdf.rtq", ,表1_3[[#This Row],[列1]], "rt_last","RT_Price"))</f>
        <v/>
      </c>
      <c r="G39" s="50" t="str">
        <f>IF(表1_3[[#This Row],[列1]]="","",RTD("wdf.rtq", ,表1_3[[#This Row],[列1]], "rt_chg","RT_Price"))</f>
        <v/>
      </c>
      <c r="H39" s="48" t="str">
        <f>IF(表1_3[[#This Row],[列1]]="","",RTD("wdf.rtq", ,表1_3[[#This Row],[列1]], "rt_pct_chg","RT_Price")/100)</f>
        <v/>
      </c>
      <c r="I39" s="33" t="str">
        <f>IF(表1_3[[#This Row],[列1]]="","",RTD("wdf.rtq", ,表1_3[[#This Row],[列1]], "rt_amt","RT_Price"))</f>
        <v/>
      </c>
      <c r="J39" s="54" t="str">
        <f>IF(表1_3[[#This Row],[列1]]="","",RTD("wdf.rtq", ,表1_3[[#This Row],[列1]], "rt_vol","RT_Price"))</f>
        <v/>
      </c>
      <c r="K39" s="56" t="str">
        <f>IF(表1_3[[#This Row],[列1]]="","",RTD("wdf.rtq", ,表1_3[[#This Row],[列1]], "rt_pct_chg_20d","RT_Price"))</f>
        <v/>
      </c>
      <c r="L39" s="53" t="str">
        <f>IF(表1_3[[#This Row],[列1]]="","",RTD("wdf.rtq", ,表1_3[[#This Row],[列1]], "rt_pct_chg_60d","RT_Price"))</f>
        <v/>
      </c>
      <c r="M39" s="48" t="str">
        <f>IF(表1_3[[#This Row],[列1]]="","",RTD("wdf.rtq", ,表1_3[[#This Row],[列1]], "rt_pct_chg_ytd","RT_Price"))</f>
        <v/>
      </c>
      <c r="N39" s="5"/>
      <c r="O39" s="4"/>
    </row>
    <row r="40" spans="1:15" ht="16.5" customHeight="1" x14ac:dyDescent="0.2">
      <c r="A40" s="4"/>
      <c r="B40" s="5"/>
      <c r="C40" s="14"/>
      <c r="D40" s="12" t="str">
        <f>IF(C40="","",[1]!hks_info_name(C40))</f>
        <v/>
      </c>
      <c r="E40" s="13" t="str">
        <f ca="1">IF(C40="","",[1]!lastradeday_s(C40,TODAY()))</f>
        <v/>
      </c>
      <c r="F40" s="35" t="str">
        <f>IF(表1_3[[#This Row],[列1]]="","",RTD("wdf.rtq", ,表1_3[[#This Row],[列1]], "rt_last","RT_Price"))</f>
        <v/>
      </c>
      <c r="G40" s="49" t="str">
        <f>IF(表1_3[[#This Row],[列1]]="","",RTD("wdf.rtq", ,表1_3[[#This Row],[列1]], "rt_chg","RT_Price"))</f>
        <v/>
      </c>
      <c r="H40" s="47" t="str">
        <f>IF(表1_3[[#This Row],[列1]]="","",RTD("wdf.rtq", ,表1_3[[#This Row],[列1]], "rt_pct_chg","RT_Price")/100)</f>
        <v/>
      </c>
      <c r="I40" s="33" t="str">
        <f>IF(表1_3[[#This Row],[列1]]="","",RTD("wdf.rtq", ,表1_3[[#This Row],[列1]], "rt_amt","RT_Price"))</f>
        <v/>
      </c>
      <c r="J40" s="54" t="str">
        <f>IF(表1_3[[#This Row],[列1]]="","",RTD("wdf.rtq", ,表1_3[[#This Row],[列1]], "rt_vol","RT_Price"))</f>
        <v/>
      </c>
      <c r="K40" s="55" t="str">
        <f>IF(表1_3[[#This Row],[列1]]="","",RTD("wdf.rtq", ,表1_3[[#This Row],[列1]], "rt_pct_chg_20d","RT_Price"))</f>
        <v/>
      </c>
      <c r="L40" s="52" t="str">
        <f>IF(表1_3[[#This Row],[列1]]="","",RTD("wdf.rtq", ,表1_3[[#This Row],[列1]], "rt_pct_chg_60d","RT_Price"))</f>
        <v/>
      </c>
      <c r="M40" s="47" t="str">
        <f>IF(表1_3[[#This Row],[列1]]="","",RTD("wdf.rtq", ,表1_3[[#This Row],[列1]], "rt_pct_chg_ytd","RT_Price"))</f>
        <v/>
      </c>
      <c r="N40" s="5"/>
      <c r="O40" s="4"/>
    </row>
    <row r="41" spans="1:15" ht="16.5" customHeight="1" x14ac:dyDescent="0.2">
      <c r="A41" s="4"/>
      <c r="B41" s="5"/>
      <c r="C41" s="14"/>
      <c r="D41" s="12" t="str">
        <f>IF(C41="","",[1]!hks_info_name(C41))</f>
        <v/>
      </c>
      <c r="E41" s="13" t="str">
        <f ca="1">IF(C41="","",[1]!lastradeday_s(C41,TODAY()))</f>
        <v/>
      </c>
      <c r="F41" s="35" t="str">
        <f>IF(表1_3[[#This Row],[列1]]="","",RTD("wdf.rtq", ,表1_3[[#This Row],[列1]], "rt_last","RT_Price"))</f>
        <v/>
      </c>
      <c r="G41" s="50" t="str">
        <f>IF(表1_3[[#This Row],[列1]]="","",RTD("wdf.rtq", ,表1_3[[#This Row],[列1]], "rt_chg","RT_Price"))</f>
        <v/>
      </c>
      <c r="H41" s="48" t="str">
        <f>IF(表1_3[[#This Row],[列1]]="","",RTD("wdf.rtq", ,表1_3[[#This Row],[列1]], "rt_pct_chg","RT_Price")/100)</f>
        <v/>
      </c>
      <c r="I41" s="33" t="str">
        <f>IF(表1_3[[#This Row],[列1]]="","",RTD("wdf.rtq", ,表1_3[[#This Row],[列1]], "rt_amt","RT_Price"))</f>
        <v/>
      </c>
      <c r="J41" s="54" t="str">
        <f>IF(表1_3[[#This Row],[列1]]="","",RTD("wdf.rtq", ,表1_3[[#This Row],[列1]], "rt_vol","RT_Price"))</f>
        <v/>
      </c>
      <c r="K41" s="56" t="str">
        <f>IF(表1_3[[#This Row],[列1]]="","",RTD("wdf.rtq", ,表1_3[[#This Row],[列1]], "rt_pct_chg_20d","RT_Price"))</f>
        <v/>
      </c>
      <c r="L41" s="53" t="str">
        <f>IF(表1_3[[#This Row],[列1]]="","",RTD("wdf.rtq", ,表1_3[[#This Row],[列1]], "rt_pct_chg_60d","RT_Price"))</f>
        <v/>
      </c>
      <c r="M41" s="48" t="str">
        <f>IF(表1_3[[#This Row],[列1]]="","",RTD("wdf.rtq", ,表1_3[[#This Row],[列1]], "rt_pct_chg_ytd","RT_Price"))</f>
        <v/>
      </c>
      <c r="N41" s="5"/>
      <c r="O41" s="4"/>
    </row>
    <row r="42" spans="1:15" ht="16.5" customHeight="1" x14ac:dyDescent="0.2">
      <c r="A42" s="4"/>
      <c r="B42" s="5"/>
      <c r="C42" s="14"/>
      <c r="D42" s="12" t="str">
        <f>IF(C42="","",[1]!hks_info_name(C42))</f>
        <v/>
      </c>
      <c r="E42" s="13" t="str">
        <f ca="1">IF(C42="","",[1]!lastradeday_s(C42,TODAY()))</f>
        <v/>
      </c>
      <c r="F42" s="35" t="str">
        <f>IF(表1_3[[#This Row],[列1]]="","",RTD("wdf.rtq", ,表1_3[[#This Row],[列1]], "rt_last","RT_Price"))</f>
        <v/>
      </c>
      <c r="G42" s="49" t="str">
        <f>IF(表1_3[[#This Row],[列1]]="","",RTD("wdf.rtq", ,表1_3[[#This Row],[列1]], "rt_chg","RT_Price"))</f>
        <v/>
      </c>
      <c r="H42" s="47" t="str">
        <f>IF(表1_3[[#This Row],[列1]]="","",RTD("wdf.rtq", ,表1_3[[#This Row],[列1]], "rt_pct_chg","RT_Price")/100)</f>
        <v/>
      </c>
      <c r="I42" s="33" t="str">
        <f>IF(表1_3[[#This Row],[列1]]="","",RTD("wdf.rtq", ,表1_3[[#This Row],[列1]], "rt_amt","RT_Price"))</f>
        <v/>
      </c>
      <c r="J42" s="54" t="str">
        <f>IF(表1_3[[#This Row],[列1]]="","",RTD("wdf.rtq", ,表1_3[[#This Row],[列1]], "rt_vol","RT_Price"))</f>
        <v/>
      </c>
      <c r="K42" s="55" t="str">
        <f>IF(表1_3[[#This Row],[列1]]="","",RTD("wdf.rtq", ,表1_3[[#This Row],[列1]], "rt_pct_chg_20d","RT_Price"))</f>
        <v/>
      </c>
      <c r="L42" s="52" t="str">
        <f>IF(表1_3[[#This Row],[列1]]="","",RTD("wdf.rtq", ,表1_3[[#This Row],[列1]], "rt_pct_chg_60d","RT_Price"))</f>
        <v/>
      </c>
      <c r="M42" s="47" t="str">
        <f>IF(表1_3[[#This Row],[列1]]="","",RTD("wdf.rtq", ,表1_3[[#This Row],[列1]], "rt_pct_chg_ytd","RT_Price"))</f>
        <v/>
      </c>
      <c r="N42" s="5"/>
      <c r="O42" s="4"/>
    </row>
    <row r="43" spans="1:15" ht="16.5" customHeight="1" x14ac:dyDescent="0.2">
      <c r="A43" s="4"/>
      <c r="B43" s="5"/>
      <c r="C43" s="14"/>
      <c r="D43" s="12" t="str">
        <f>IF(C43="","",[1]!hks_info_name(C43))</f>
        <v/>
      </c>
      <c r="E43" s="13" t="str">
        <f ca="1">IF(C43="","",[1]!lastradeday_s(C43,TODAY()))</f>
        <v/>
      </c>
      <c r="F43" s="35" t="str">
        <f>IF(表1_3[[#This Row],[列1]]="","",RTD("wdf.rtq", ,表1_3[[#This Row],[列1]], "rt_last","RT_Price"))</f>
        <v/>
      </c>
      <c r="G43" s="50" t="str">
        <f>IF(表1_3[[#This Row],[列1]]="","",RTD("wdf.rtq", ,表1_3[[#This Row],[列1]], "rt_chg","RT_Price"))</f>
        <v/>
      </c>
      <c r="H43" s="48" t="str">
        <f>IF(表1_3[[#This Row],[列1]]="","",RTD("wdf.rtq", ,表1_3[[#This Row],[列1]], "rt_pct_chg","RT_Price")/100)</f>
        <v/>
      </c>
      <c r="I43" s="33" t="str">
        <f>IF(表1_3[[#This Row],[列1]]="","",RTD("wdf.rtq", ,表1_3[[#This Row],[列1]], "rt_amt","RT_Price"))</f>
        <v/>
      </c>
      <c r="J43" s="54" t="str">
        <f>IF(表1_3[[#This Row],[列1]]="","",RTD("wdf.rtq", ,表1_3[[#This Row],[列1]], "rt_vol","RT_Price"))</f>
        <v/>
      </c>
      <c r="K43" s="56" t="str">
        <f>IF(表1_3[[#This Row],[列1]]="","",RTD("wdf.rtq", ,表1_3[[#This Row],[列1]], "rt_pct_chg_20d","RT_Price"))</f>
        <v/>
      </c>
      <c r="L43" s="53" t="str">
        <f>IF(表1_3[[#This Row],[列1]]="","",RTD("wdf.rtq", ,表1_3[[#This Row],[列1]], "rt_pct_chg_60d","RT_Price"))</f>
        <v/>
      </c>
      <c r="M43" s="48" t="str">
        <f>IF(表1_3[[#This Row],[列1]]="","",RTD("wdf.rtq", ,表1_3[[#This Row],[列1]], "rt_pct_chg_ytd","RT_Price"))</f>
        <v/>
      </c>
      <c r="N43" s="5"/>
      <c r="O43" s="4"/>
    </row>
    <row r="44" spans="1:15" ht="16.5" customHeight="1" x14ac:dyDescent="0.2">
      <c r="A44" s="4"/>
      <c r="B44" s="5"/>
      <c r="C44" s="14"/>
      <c r="D44" s="12" t="str">
        <f>IF(C44="","",[1]!hks_info_name(C44))</f>
        <v/>
      </c>
      <c r="E44" s="13" t="str">
        <f ca="1">IF(C44="","",[1]!lastradeday_s(C44,TODAY()))</f>
        <v/>
      </c>
      <c r="F44" s="35" t="str">
        <f>IF(表1_3[[#This Row],[列1]]="","",RTD("wdf.rtq", ,表1_3[[#This Row],[列1]], "rt_last","RT_Price"))</f>
        <v/>
      </c>
      <c r="G44" s="49" t="str">
        <f>IF(表1_3[[#This Row],[列1]]="","",RTD("wdf.rtq", ,表1_3[[#This Row],[列1]], "rt_chg","RT_Price"))</f>
        <v/>
      </c>
      <c r="H44" s="47" t="str">
        <f>IF(表1_3[[#This Row],[列1]]="","",RTD("wdf.rtq", ,表1_3[[#This Row],[列1]], "rt_pct_chg","RT_Price")/100)</f>
        <v/>
      </c>
      <c r="I44" s="33" t="str">
        <f>IF(表1_3[[#This Row],[列1]]="","",RTD("wdf.rtq", ,表1_3[[#This Row],[列1]], "rt_amt","RT_Price"))</f>
        <v/>
      </c>
      <c r="J44" s="54" t="str">
        <f>IF(表1_3[[#This Row],[列1]]="","",RTD("wdf.rtq", ,表1_3[[#This Row],[列1]], "rt_vol","RT_Price"))</f>
        <v/>
      </c>
      <c r="K44" s="55" t="str">
        <f>IF(表1_3[[#This Row],[列1]]="","",RTD("wdf.rtq", ,表1_3[[#This Row],[列1]], "rt_pct_chg_20d","RT_Price"))</f>
        <v/>
      </c>
      <c r="L44" s="52" t="str">
        <f>IF(表1_3[[#This Row],[列1]]="","",RTD("wdf.rtq", ,表1_3[[#This Row],[列1]], "rt_pct_chg_60d","RT_Price"))</f>
        <v/>
      </c>
      <c r="M44" s="47" t="str">
        <f>IF(表1_3[[#This Row],[列1]]="","",RTD("wdf.rtq", ,表1_3[[#This Row],[列1]], "rt_pct_chg_ytd","RT_Price"))</f>
        <v/>
      </c>
      <c r="N44" s="5"/>
      <c r="O44" s="4"/>
    </row>
    <row r="45" spans="1:15" ht="16.5" customHeight="1" x14ac:dyDescent="0.2">
      <c r="A45" s="4"/>
      <c r="B45" s="5"/>
      <c r="C45" s="14"/>
      <c r="D45" s="12" t="str">
        <f>IF(C45="","",[1]!hks_info_name(C45))</f>
        <v/>
      </c>
      <c r="E45" s="13" t="str">
        <f ca="1">IF(C45="","",[1]!lastradeday_s(C45,TODAY()))</f>
        <v/>
      </c>
      <c r="F45" s="35" t="str">
        <f>IF(表1_3[[#This Row],[列1]]="","",RTD("wdf.rtq", ,表1_3[[#This Row],[列1]], "rt_last","RT_Price"))</f>
        <v/>
      </c>
      <c r="G45" s="50" t="str">
        <f>IF(表1_3[[#This Row],[列1]]="","",RTD("wdf.rtq", ,表1_3[[#This Row],[列1]], "rt_chg","RT_Price"))</f>
        <v/>
      </c>
      <c r="H45" s="48" t="str">
        <f>IF(表1_3[[#This Row],[列1]]="","",RTD("wdf.rtq", ,表1_3[[#This Row],[列1]], "rt_pct_chg","RT_Price")/100)</f>
        <v/>
      </c>
      <c r="I45" s="33" t="str">
        <f>IF(表1_3[[#This Row],[列1]]="","",RTD("wdf.rtq", ,表1_3[[#This Row],[列1]], "rt_amt","RT_Price"))</f>
        <v/>
      </c>
      <c r="J45" s="54" t="str">
        <f>IF(表1_3[[#This Row],[列1]]="","",RTD("wdf.rtq", ,表1_3[[#This Row],[列1]], "rt_vol","RT_Price"))</f>
        <v/>
      </c>
      <c r="K45" s="56" t="str">
        <f>IF(表1_3[[#This Row],[列1]]="","",RTD("wdf.rtq", ,表1_3[[#This Row],[列1]], "rt_pct_chg_20d","RT_Price"))</f>
        <v/>
      </c>
      <c r="L45" s="53" t="str">
        <f>IF(表1_3[[#This Row],[列1]]="","",RTD("wdf.rtq", ,表1_3[[#This Row],[列1]], "rt_pct_chg_60d","RT_Price"))</f>
        <v/>
      </c>
      <c r="M45" s="48" t="str">
        <f>IF(表1_3[[#This Row],[列1]]="","",RTD("wdf.rtq", ,表1_3[[#This Row],[列1]], "rt_pct_chg_ytd","RT_Price"))</f>
        <v/>
      </c>
      <c r="N45" s="5"/>
      <c r="O45" s="4"/>
    </row>
    <row r="46" spans="1:15" ht="16.5" customHeight="1" x14ac:dyDescent="0.2">
      <c r="A46" s="4"/>
      <c r="B46" s="5"/>
      <c r="C46" s="14"/>
      <c r="D46" s="12" t="str">
        <f>IF(C46="","",[1]!hks_info_name(C46))</f>
        <v/>
      </c>
      <c r="E46" s="13" t="str">
        <f ca="1">IF(C46="","",[1]!lastradeday_s(C46,TODAY()))</f>
        <v/>
      </c>
      <c r="F46" s="35" t="str">
        <f>IF(表1_3[[#This Row],[列1]]="","",RTD("wdf.rtq", ,表1_3[[#This Row],[列1]], "rt_last","RT_Price"))</f>
        <v/>
      </c>
      <c r="G46" s="49" t="str">
        <f>IF(表1_3[[#This Row],[列1]]="","",RTD("wdf.rtq", ,表1_3[[#This Row],[列1]], "rt_chg","RT_Price"))</f>
        <v/>
      </c>
      <c r="H46" s="47" t="str">
        <f>IF(表1_3[[#This Row],[列1]]="","",RTD("wdf.rtq", ,表1_3[[#This Row],[列1]], "rt_pct_chg","RT_Price")/100)</f>
        <v/>
      </c>
      <c r="I46" s="33" t="str">
        <f>IF(表1_3[[#This Row],[列1]]="","",RTD("wdf.rtq", ,表1_3[[#This Row],[列1]], "rt_amt","RT_Price"))</f>
        <v/>
      </c>
      <c r="J46" s="54" t="str">
        <f>IF(表1_3[[#This Row],[列1]]="","",RTD("wdf.rtq", ,表1_3[[#This Row],[列1]], "rt_vol","RT_Price"))</f>
        <v/>
      </c>
      <c r="K46" s="55" t="str">
        <f>IF(表1_3[[#This Row],[列1]]="","",RTD("wdf.rtq", ,表1_3[[#This Row],[列1]], "rt_pct_chg_20d","RT_Price"))</f>
        <v/>
      </c>
      <c r="L46" s="52" t="str">
        <f>IF(表1_3[[#This Row],[列1]]="","",RTD("wdf.rtq", ,表1_3[[#This Row],[列1]], "rt_pct_chg_60d","RT_Price"))</f>
        <v/>
      </c>
      <c r="M46" s="47" t="str">
        <f>IF(表1_3[[#This Row],[列1]]="","",RTD("wdf.rtq", ,表1_3[[#This Row],[列1]], "rt_pct_chg_ytd","RT_Price"))</f>
        <v/>
      </c>
      <c r="N46" s="5"/>
      <c r="O46" s="4"/>
    </row>
    <row r="47" spans="1:15" ht="16.5" customHeight="1" x14ac:dyDescent="0.2">
      <c r="A47" s="4"/>
      <c r="B47" s="5"/>
      <c r="C47" s="14"/>
      <c r="D47" s="12" t="str">
        <f>IF(C47="","",[1]!hks_info_name(C47))</f>
        <v/>
      </c>
      <c r="E47" s="13" t="str">
        <f ca="1">IF(C47="","",[1]!lastradeday_s(C47,TODAY()))</f>
        <v/>
      </c>
      <c r="F47" s="35" t="str">
        <f>IF(表1_3[[#This Row],[列1]]="","",RTD("wdf.rtq", ,表1_3[[#This Row],[列1]], "rt_last","RT_Price"))</f>
        <v/>
      </c>
      <c r="G47" s="50" t="str">
        <f>IF(表1_3[[#This Row],[列1]]="","",RTD("wdf.rtq", ,表1_3[[#This Row],[列1]], "rt_chg","RT_Price"))</f>
        <v/>
      </c>
      <c r="H47" s="48" t="str">
        <f>IF(表1_3[[#This Row],[列1]]="","",RTD("wdf.rtq", ,表1_3[[#This Row],[列1]], "rt_pct_chg","RT_Price")/100)</f>
        <v/>
      </c>
      <c r="I47" s="33" t="str">
        <f>IF(表1_3[[#This Row],[列1]]="","",RTD("wdf.rtq", ,表1_3[[#This Row],[列1]], "rt_amt","RT_Price"))</f>
        <v/>
      </c>
      <c r="J47" s="54" t="str">
        <f>IF(表1_3[[#This Row],[列1]]="","",RTD("wdf.rtq", ,表1_3[[#This Row],[列1]], "rt_vol","RT_Price"))</f>
        <v/>
      </c>
      <c r="K47" s="56" t="str">
        <f>IF(表1_3[[#This Row],[列1]]="","",RTD("wdf.rtq", ,表1_3[[#This Row],[列1]], "rt_pct_chg_20d","RT_Price"))</f>
        <v/>
      </c>
      <c r="L47" s="53" t="str">
        <f>IF(表1_3[[#This Row],[列1]]="","",RTD("wdf.rtq", ,表1_3[[#This Row],[列1]], "rt_pct_chg_60d","RT_Price"))</f>
        <v/>
      </c>
      <c r="M47" s="48" t="str">
        <f>IF(表1_3[[#This Row],[列1]]="","",RTD("wdf.rtq", ,表1_3[[#This Row],[列1]], "rt_pct_chg_ytd","RT_Price"))</f>
        <v/>
      </c>
      <c r="N47" s="5"/>
      <c r="O47" s="4"/>
    </row>
    <row r="48" spans="1:15" ht="16.5" customHeight="1" x14ac:dyDescent="0.2">
      <c r="A48" s="4"/>
      <c r="B48" s="5"/>
      <c r="C48" s="14"/>
      <c r="D48" s="12" t="str">
        <f>IF(C48="","",[1]!hks_info_name(C48))</f>
        <v/>
      </c>
      <c r="E48" s="13" t="str">
        <f ca="1">IF(C48="","",[1]!lastradeday_s(C48,TODAY()))</f>
        <v/>
      </c>
      <c r="F48" s="35" t="str">
        <f>IF(表1_3[[#This Row],[列1]]="","",RTD("wdf.rtq", ,表1_3[[#This Row],[列1]], "rt_last","RT_Price"))</f>
        <v/>
      </c>
      <c r="G48" s="49" t="str">
        <f>IF(表1_3[[#This Row],[列1]]="","",RTD("wdf.rtq", ,表1_3[[#This Row],[列1]], "rt_chg","RT_Price"))</f>
        <v/>
      </c>
      <c r="H48" s="47" t="str">
        <f>IF(表1_3[[#This Row],[列1]]="","",RTD("wdf.rtq", ,表1_3[[#This Row],[列1]], "rt_pct_chg","RT_Price")/100)</f>
        <v/>
      </c>
      <c r="I48" s="33" t="str">
        <f>IF(表1_3[[#This Row],[列1]]="","",RTD("wdf.rtq", ,表1_3[[#This Row],[列1]], "rt_amt","RT_Price"))</f>
        <v/>
      </c>
      <c r="J48" s="54" t="str">
        <f>IF(表1_3[[#This Row],[列1]]="","",RTD("wdf.rtq", ,表1_3[[#This Row],[列1]], "rt_vol","RT_Price"))</f>
        <v/>
      </c>
      <c r="K48" s="55" t="str">
        <f>IF(表1_3[[#This Row],[列1]]="","",RTD("wdf.rtq", ,表1_3[[#This Row],[列1]], "rt_pct_chg_20d","RT_Price"))</f>
        <v/>
      </c>
      <c r="L48" s="52" t="str">
        <f>IF(表1_3[[#This Row],[列1]]="","",RTD("wdf.rtq", ,表1_3[[#This Row],[列1]], "rt_pct_chg_60d","RT_Price"))</f>
        <v/>
      </c>
      <c r="M48" s="47" t="str">
        <f>IF(表1_3[[#This Row],[列1]]="","",RTD("wdf.rtq", ,表1_3[[#This Row],[列1]], "rt_pct_chg_ytd","RT_Price"))</f>
        <v/>
      </c>
      <c r="N48" s="5"/>
      <c r="O48" s="4"/>
    </row>
    <row r="49" spans="1:15" ht="16.5" customHeight="1" x14ac:dyDescent="0.2">
      <c r="A49" s="4"/>
      <c r="B49" s="5"/>
      <c r="C49" s="14"/>
      <c r="D49" s="12" t="str">
        <f>IF(C49="","",[1]!hks_info_name(C49))</f>
        <v/>
      </c>
      <c r="E49" s="13" t="str">
        <f ca="1">IF(C49="","",[1]!lastradeday_s(C49,TODAY()))</f>
        <v/>
      </c>
      <c r="F49" s="35" t="str">
        <f>IF(表1_3[[#This Row],[列1]]="","",RTD("wdf.rtq", ,表1_3[[#This Row],[列1]], "rt_last","RT_Price"))</f>
        <v/>
      </c>
      <c r="G49" s="50" t="str">
        <f>IF(表1_3[[#This Row],[列1]]="","",RTD("wdf.rtq", ,表1_3[[#This Row],[列1]], "rt_chg","RT_Price"))</f>
        <v/>
      </c>
      <c r="H49" s="48" t="str">
        <f>IF(表1_3[[#This Row],[列1]]="","",RTD("wdf.rtq", ,表1_3[[#This Row],[列1]], "rt_pct_chg","RT_Price")/100)</f>
        <v/>
      </c>
      <c r="I49" s="33" t="str">
        <f>IF(表1_3[[#This Row],[列1]]="","",RTD("wdf.rtq", ,表1_3[[#This Row],[列1]], "rt_amt","RT_Price"))</f>
        <v/>
      </c>
      <c r="J49" s="54" t="str">
        <f>IF(表1_3[[#This Row],[列1]]="","",RTD("wdf.rtq", ,表1_3[[#This Row],[列1]], "rt_vol","RT_Price"))</f>
        <v/>
      </c>
      <c r="K49" s="56" t="str">
        <f>IF(表1_3[[#This Row],[列1]]="","",RTD("wdf.rtq", ,表1_3[[#This Row],[列1]], "rt_pct_chg_20d","RT_Price"))</f>
        <v/>
      </c>
      <c r="L49" s="53" t="str">
        <f>IF(表1_3[[#This Row],[列1]]="","",RTD("wdf.rtq", ,表1_3[[#This Row],[列1]], "rt_pct_chg_60d","RT_Price"))</f>
        <v/>
      </c>
      <c r="M49" s="48" t="str">
        <f>IF(表1_3[[#This Row],[列1]]="","",RTD("wdf.rtq", ,表1_3[[#This Row],[列1]], "rt_pct_chg_ytd","RT_Price"))</f>
        <v/>
      </c>
      <c r="N49" s="5"/>
      <c r="O49" s="4"/>
    </row>
    <row r="50" spans="1:15" ht="16.5" customHeight="1" x14ac:dyDescent="0.2">
      <c r="A50" s="4"/>
      <c r="B50" s="5"/>
      <c r="C50" s="14"/>
      <c r="D50" s="12" t="str">
        <f>IF(C50="","",[1]!hks_info_name(C50))</f>
        <v/>
      </c>
      <c r="E50" s="13" t="str">
        <f ca="1">IF(C50="","",[1]!lastradeday_s(C50,TODAY()))</f>
        <v/>
      </c>
      <c r="F50" s="35" t="str">
        <f>IF(表1_3[[#This Row],[列1]]="","",RTD("wdf.rtq", ,表1_3[[#This Row],[列1]], "rt_last","RT_Price"))</f>
        <v/>
      </c>
      <c r="G50" s="49" t="str">
        <f>IF(表1_3[[#This Row],[列1]]="","",RTD("wdf.rtq", ,表1_3[[#This Row],[列1]], "rt_chg","RT_Price"))</f>
        <v/>
      </c>
      <c r="H50" s="47" t="str">
        <f>IF(表1_3[[#This Row],[列1]]="","",RTD("wdf.rtq", ,表1_3[[#This Row],[列1]], "rt_pct_chg","RT_Price")/100)</f>
        <v/>
      </c>
      <c r="I50" s="33" t="str">
        <f>IF(表1_3[[#This Row],[列1]]="","",RTD("wdf.rtq", ,表1_3[[#This Row],[列1]], "rt_amt","RT_Price"))</f>
        <v/>
      </c>
      <c r="J50" s="54" t="str">
        <f>IF(表1_3[[#This Row],[列1]]="","",RTD("wdf.rtq", ,表1_3[[#This Row],[列1]], "rt_vol","RT_Price"))</f>
        <v/>
      </c>
      <c r="K50" s="55" t="str">
        <f>IF(表1_3[[#This Row],[列1]]="","",RTD("wdf.rtq", ,表1_3[[#This Row],[列1]], "rt_pct_chg_20d","RT_Price"))</f>
        <v/>
      </c>
      <c r="L50" s="52" t="str">
        <f>IF(表1_3[[#This Row],[列1]]="","",RTD("wdf.rtq", ,表1_3[[#This Row],[列1]], "rt_pct_chg_60d","RT_Price"))</f>
        <v/>
      </c>
      <c r="M50" s="47" t="str">
        <f>IF(表1_3[[#This Row],[列1]]="","",RTD("wdf.rtq", ,表1_3[[#This Row],[列1]], "rt_pct_chg_ytd","RT_Price"))</f>
        <v/>
      </c>
      <c r="N50" s="5"/>
      <c r="O50" s="4"/>
    </row>
    <row r="51" spans="1:15" ht="16.5" customHeight="1" x14ac:dyDescent="0.2">
      <c r="A51" s="4"/>
      <c r="B51" s="5"/>
      <c r="C51" s="14"/>
      <c r="D51" s="12" t="str">
        <f>IF(C51="","",[1]!hks_info_name(C51))</f>
        <v/>
      </c>
      <c r="E51" s="13" t="str">
        <f ca="1">IF(C51="","",[1]!lastradeday_s(C51,TODAY()))</f>
        <v/>
      </c>
      <c r="F51" s="35" t="str">
        <f>IF(表1_3[[#This Row],[列1]]="","",RTD("wdf.rtq", ,表1_3[[#This Row],[列1]], "rt_last","RT_Price"))</f>
        <v/>
      </c>
      <c r="G51" s="50" t="str">
        <f>IF(表1_3[[#This Row],[列1]]="","",RTD("wdf.rtq", ,表1_3[[#This Row],[列1]], "rt_chg","RT_Price"))</f>
        <v/>
      </c>
      <c r="H51" s="48" t="str">
        <f>IF(表1_3[[#This Row],[列1]]="","",RTD("wdf.rtq", ,表1_3[[#This Row],[列1]], "rt_pct_chg","RT_Price")/100)</f>
        <v/>
      </c>
      <c r="I51" s="33" t="str">
        <f>IF(表1_3[[#This Row],[列1]]="","",RTD("wdf.rtq", ,表1_3[[#This Row],[列1]], "rt_amt","RT_Price"))</f>
        <v/>
      </c>
      <c r="J51" s="54" t="str">
        <f>IF(表1_3[[#This Row],[列1]]="","",RTD("wdf.rtq", ,表1_3[[#This Row],[列1]], "rt_vol","RT_Price"))</f>
        <v/>
      </c>
      <c r="K51" s="56" t="str">
        <f>IF(表1_3[[#This Row],[列1]]="","",RTD("wdf.rtq", ,表1_3[[#This Row],[列1]], "rt_pct_chg_20d","RT_Price"))</f>
        <v/>
      </c>
      <c r="L51" s="53" t="str">
        <f>IF(表1_3[[#This Row],[列1]]="","",RTD("wdf.rtq", ,表1_3[[#This Row],[列1]], "rt_pct_chg_60d","RT_Price"))</f>
        <v/>
      </c>
      <c r="M51" s="48" t="str">
        <f>IF(表1_3[[#This Row],[列1]]="","",RTD("wdf.rtq", ,表1_3[[#This Row],[列1]], "rt_pct_chg_ytd","RT_Price"))</f>
        <v/>
      </c>
      <c r="N51" s="5"/>
      <c r="O51" s="4"/>
    </row>
    <row r="52" spans="1:15" ht="16.5" customHeight="1" x14ac:dyDescent="0.2">
      <c r="A52" s="4"/>
      <c r="B52" s="5"/>
      <c r="C52" s="14"/>
      <c r="D52" s="12" t="str">
        <f>IF(C52="","",[1]!hks_info_name(C52))</f>
        <v/>
      </c>
      <c r="E52" s="13" t="str">
        <f ca="1">IF(C52="","",[1]!lastradeday_s(C52,TODAY()))</f>
        <v/>
      </c>
      <c r="F52" s="35" t="str">
        <f>IF(表1_3[[#This Row],[列1]]="","",RTD("wdf.rtq", ,表1_3[[#This Row],[列1]], "rt_last","RT_Price"))</f>
        <v/>
      </c>
      <c r="G52" s="49" t="str">
        <f>IF(表1_3[[#This Row],[列1]]="","",RTD("wdf.rtq", ,表1_3[[#This Row],[列1]], "rt_chg","RT_Price"))</f>
        <v/>
      </c>
      <c r="H52" s="51" t="str">
        <f>IF(表1_3[[#This Row],[列1]]="","",RTD("wdf.rtq", ,表1_3[[#This Row],[列1]], "rt_pct_chg","RT_Price")/100)</f>
        <v/>
      </c>
      <c r="I52" s="33" t="str">
        <f>IF(表1_3[[#This Row],[列1]]="","",RTD("wdf.rtq", ,表1_3[[#This Row],[列1]], "rt_amt","RT_Price"))</f>
        <v/>
      </c>
      <c r="J52" s="54" t="str">
        <f>IF(表1_3[[#This Row],[列1]]="","",RTD("wdf.rtq", ,表1_3[[#This Row],[列1]], "rt_vol","RT_Price"))</f>
        <v/>
      </c>
      <c r="K52" s="55" t="str">
        <f>IF(表1_3[[#This Row],[列1]]="","",RTD("wdf.rtq", ,表1_3[[#This Row],[列1]], "rt_pct_chg_20d","RT_Price"))</f>
        <v/>
      </c>
      <c r="L52" s="52" t="str">
        <f>IF(表1_3[[#This Row],[列1]]="","",RTD("wdf.rtq", ,表1_3[[#This Row],[列1]], "rt_pct_chg_60d","RT_Price"))</f>
        <v/>
      </c>
      <c r="M52" s="47" t="str">
        <f>IF(表1_3[[#This Row],[列1]]="","",RTD("wdf.rtq", ,表1_3[[#This Row],[列1]], "rt_pct_chg_ytd","RT_Price"))</f>
        <v/>
      </c>
      <c r="N52" s="5"/>
      <c r="O52" s="4"/>
    </row>
    <row r="53" spans="1:15" ht="16.5" customHeight="1" x14ac:dyDescent="0.2">
      <c r="A53" s="4"/>
      <c r="B53" s="5"/>
      <c r="C53" s="14"/>
      <c r="D53" s="12" t="str">
        <f>IF(C53="","",[1]!hks_info_name(C53))</f>
        <v/>
      </c>
      <c r="E53" s="13" t="str">
        <f ca="1">IF(C53="","",[1]!lastradeday_s(C53,TODAY()))</f>
        <v/>
      </c>
      <c r="F53" s="35" t="str">
        <f>IF(表1_3[[#This Row],[列1]]="","",RTD("wdf.rtq", ,表1_3[[#This Row],[列1]], "rt_last","RT_Price"))</f>
        <v/>
      </c>
      <c r="G53" s="50" t="str">
        <f>IF(表1_3[[#This Row],[列1]]="","",RTD("wdf.rtq", ,表1_3[[#This Row],[列1]], "rt_chg","RT_Price"))</f>
        <v/>
      </c>
      <c r="H53" s="48" t="str">
        <f>IF(表1_3[[#This Row],[列1]]="","",RTD("wdf.rtq", ,表1_3[[#This Row],[列1]], "rt_pct_chg","RT_Price")/100)</f>
        <v/>
      </c>
      <c r="I53" s="33" t="str">
        <f>IF(表1_3[[#This Row],[列1]]="","",RTD("wdf.rtq", ,表1_3[[#This Row],[列1]], "rt_amt","RT_Price"))</f>
        <v/>
      </c>
      <c r="J53" s="54" t="str">
        <f>IF(表1_3[[#This Row],[列1]]="","",RTD("wdf.rtq", ,表1_3[[#This Row],[列1]], "rt_vol","RT_Price"))</f>
        <v/>
      </c>
      <c r="K53" s="56" t="str">
        <f>IF(表1_3[[#This Row],[列1]]="","",RTD("wdf.rtq", ,表1_3[[#This Row],[列1]], "rt_pct_chg_20d","RT_Price"))</f>
        <v/>
      </c>
      <c r="L53" s="53" t="str">
        <f>IF(表1_3[[#This Row],[列1]]="","",RTD("wdf.rtq", ,表1_3[[#This Row],[列1]], "rt_pct_chg_60d","RT_Price"))</f>
        <v/>
      </c>
      <c r="M53" s="48" t="str">
        <f>IF(表1_3[[#This Row],[列1]]="","",RTD("wdf.rtq", ,表1_3[[#This Row],[列1]], "rt_pct_chg_ytd","RT_Price"))</f>
        <v/>
      </c>
      <c r="N53" s="5"/>
      <c r="O53" s="4"/>
    </row>
    <row r="54" spans="1:15" ht="16.5" customHeight="1" x14ac:dyDescent="0.2">
      <c r="A54" s="4"/>
      <c r="B54" s="5"/>
      <c r="C54" s="14"/>
      <c r="D54" s="12" t="str">
        <f>IF(C54="","",[1]!hks_info_name(C54))</f>
        <v/>
      </c>
      <c r="E54" s="13" t="str">
        <f ca="1">IF(C54="","",[1]!lastradeday_s(C54,TODAY()))</f>
        <v/>
      </c>
      <c r="F54" s="35" t="str">
        <f>IF(表1_3[[#This Row],[列1]]="","",RTD("wdf.rtq", ,表1_3[[#This Row],[列1]], "rt_last","RT_Price"))</f>
        <v/>
      </c>
      <c r="G54" s="49" t="str">
        <f>IF(表1_3[[#This Row],[列1]]="","",RTD("wdf.rtq", ,表1_3[[#This Row],[列1]], "rt_chg","RT_Price"))</f>
        <v/>
      </c>
      <c r="H54" s="47" t="str">
        <f>IF(表1_3[[#This Row],[列1]]="","",RTD("wdf.rtq", ,表1_3[[#This Row],[列1]], "rt_pct_chg","RT_Price")/100)</f>
        <v/>
      </c>
      <c r="I54" s="33" t="str">
        <f>IF(表1_3[[#This Row],[列1]]="","",RTD("wdf.rtq", ,表1_3[[#This Row],[列1]], "rt_amt","RT_Price"))</f>
        <v/>
      </c>
      <c r="J54" s="54" t="str">
        <f>IF(表1_3[[#This Row],[列1]]="","",RTD("wdf.rtq", ,表1_3[[#This Row],[列1]], "rt_vol","RT_Price"))</f>
        <v/>
      </c>
      <c r="K54" s="55" t="str">
        <f>IF(表1_3[[#This Row],[列1]]="","",RTD("wdf.rtq", ,表1_3[[#This Row],[列1]], "rt_pct_chg_20d","RT_Price"))</f>
        <v/>
      </c>
      <c r="L54" s="52" t="str">
        <f>IF(表1_3[[#This Row],[列1]]="","",RTD("wdf.rtq", ,表1_3[[#This Row],[列1]], "rt_pct_chg_60d","RT_Price"))</f>
        <v/>
      </c>
      <c r="M54" s="47" t="str">
        <f>IF(表1_3[[#This Row],[列1]]="","",RTD("wdf.rtq", ,表1_3[[#This Row],[列1]], "rt_pct_chg_ytd","RT_Price"))</f>
        <v/>
      </c>
      <c r="N54" s="5"/>
      <c r="O54" s="4"/>
    </row>
    <row r="55" spans="1:15" ht="16.5" customHeight="1" x14ac:dyDescent="0.2">
      <c r="A55" s="4"/>
      <c r="B55" s="5"/>
      <c r="C55" s="14"/>
      <c r="D55" s="12" t="str">
        <f>IF(C55="","",[1]!hks_info_name(C55))</f>
        <v/>
      </c>
      <c r="E55" s="13" t="str">
        <f ca="1">IF(C55="","",[1]!lastradeday_s(C55,TODAY()))</f>
        <v/>
      </c>
      <c r="F55" s="35" t="str">
        <f>IF(表1_3[[#This Row],[列1]]="","",RTD("wdf.rtq", ,表1_3[[#This Row],[列1]], "rt_last","RT_Price"))</f>
        <v/>
      </c>
      <c r="G55" s="50" t="str">
        <f>IF(表1_3[[#This Row],[列1]]="","",RTD("wdf.rtq", ,表1_3[[#This Row],[列1]], "rt_chg","RT_Price"))</f>
        <v/>
      </c>
      <c r="H55" s="48" t="str">
        <f>IF(表1_3[[#This Row],[列1]]="","",RTD("wdf.rtq", ,表1_3[[#This Row],[列1]], "rt_pct_chg","RT_Price")/100)</f>
        <v/>
      </c>
      <c r="I55" s="33" t="str">
        <f>IF(表1_3[[#This Row],[列1]]="","",RTD("wdf.rtq", ,表1_3[[#This Row],[列1]], "rt_amt","RT_Price"))</f>
        <v/>
      </c>
      <c r="J55" s="54" t="str">
        <f>IF(表1_3[[#This Row],[列1]]="","",RTD("wdf.rtq", ,表1_3[[#This Row],[列1]], "rt_vol","RT_Price"))</f>
        <v/>
      </c>
      <c r="K55" s="56" t="str">
        <f>IF(表1_3[[#This Row],[列1]]="","",RTD("wdf.rtq", ,表1_3[[#This Row],[列1]], "rt_pct_chg_20d","RT_Price"))</f>
        <v/>
      </c>
      <c r="L55" s="53" t="str">
        <f>IF(表1_3[[#This Row],[列1]]="","",RTD("wdf.rtq", ,表1_3[[#This Row],[列1]], "rt_pct_chg_60d","RT_Price"))</f>
        <v/>
      </c>
      <c r="M55" s="48" t="str">
        <f>IF(表1_3[[#This Row],[列1]]="","",RTD("wdf.rtq", ,表1_3[[#This Row],[列1]], "rt_pct_chg_ytd","RT_Price"))</f>
        <v/>
      </c>
      <c r="N55" s="5"/>
      <c r="O55" s="4"/>
    </row>
    <row r="56" spans="1:15" ht="16.5" customHeight="1" x14ac:dyDescent="0.2">
      <c r="A56" s="4"/>
      <c r="B56" s="5"/>
      <c r="C56" s="14"/>
      <c r="D56" s="12" t="str">
        <f>IF(C56="","",[1]!hks_info_name(C56))</f>
        <v/>
      </c>
      <c r="E56" s="13" t="str">
        <f ca="1">IF(C56="","",[1]!lastradeday_s(C56,TODAY()))</f>
        <v/>
      </c>
      <c r="F56" s="35" t="str">
        <f>IF(表1_3[[#This Row],[列1]]="","",RTD("wdf.rtq", ,表1_3[[#This Row],[列1]], "rt_last","RT_Price"))</f>
        <v/>
      </c>
      <c r="G56" s="49" t="str">
        <f>IF(表1_3[[#This Row],[列1]]="","",RTD("wdf.rtq", ,表1_3[[#This Row],[列1]], "rt_chg","RT_Price"))</f>
        <v/>
      </c>
      <c r="H56" s="47" t="str">
        <f>IF(表1_3[[#This Row],[列1]]="","",RTD("wdf.rtq", ,表1_3[[#This Row],[列1]], "rt_pct_chg","RT_Price")/100)</f>
        <v/>
      </c>
      <c r="I56" s="33" t="str">
        <f>IF(表1_3[[#This Row],[列1]]="","",RTD("wdf.rtq", ,表1_3[[#This Row],[列1]], "rt_amt","RT_Price"))</f>
        <v/>
      </c>
      <c r="J56" s="54" t="str">
        <f>IF(表1_3[[#This Row],[列1]]="","",RTD("wdf.rtq", ,表1_3[[#This Row],[列1]], "rt_vol","RT_Price"))</f>
        <v/>
      </c>
      <c r="K56" s="55" t="str">
        <f>IF(表1_3[[#This Row],[列1]]="","",RTD("wdf.rtq", ,表1_3[[#This Row],[列1]], "rt_pct_chg_20d","RT_Price"))</f>
        <v/>
      </c>
      <c r="L56" s="52" t="str">
        <f>IF(表1_3[[#This Row],[列1]]="","",RTD("wdf.rtq", ,表1_3[[#This Row],[列1]], "rt_pct_chg_60d","RT_Price"))</f>
        <v/>
      </c>
      <c r="M56" s="47" t="str">
        <f>IF(表1_3[[#This Row],[列1]]="","",RTD("wdf.rtq", ,表1_3[[#This Row],[列1]], "rt_pct_chg_ytd","RT_Price"))</f>
        <v/>
      </c>
      <c r="N56" s="5"/>
      <c r="O56" s="4"/>
    </row>
    <row r="57" spans="1:15" ht="16.5" customHeight="1" x14ac:dyDescent="0.2">
      <c r="A57" s="4"/>
      <c r="B57" s="5"/>
      <c r="C57" s="14"/>
      <c r="D57" s="12" t="str">
        <f>IF(C57="","",[1]!hks_info_name(C57))</f>
        <v/>
      </c>
      <c r="E57" s="13" t="str">
        <f ca="1">IF(C57="","",[1]!lastradeday_s(C57,TODAY()))</f>
        <v/>
      </c>
      <c r="F57" s="35" t="str">
        <f>IF(表1_3[[#This Row],[列1]]="","",RTD("wdf.rtq", ,表1_3[[#This Row],[列1]], "rt_last","RT_Price"))</f>
        <v/>
      </c>
      <c r="G57" s="50" t="str">
        <f>IF(表1_3[[#This Row],[列1]]="","",RTD("wdf.rtq", ,表1_3[[#This Row],[列1]], "rt_chg","RT_Price"))</f>
        <v/>
      </c>
      <c r="H57" s="48" t="str">
        <f>IF(表1_3[[#This Row],[列1]]="","",RTD("wdf.rtq", ,表1_3[[#This Row],[列1]], "rt_pct_chg","RT_Price")/100)</f>
        <v/>
      </c>
      <c r="I57" s="33" t="str">
        <f>IF(表1_3[[#This Row],[列1]]="","",RTD("wdf.rtq", ,表1_3[[#This Row],[列1]], "rt_amt","RT_Price"))</f>
        <v/>
      </c>
      <c r="J57" s="54" t="str">
        <f>IF(表1_3[[#This Row],[列1]]="","",RTD("wdf.rtq", ,表1_3[[#This Row],[列1]], "rt_vol","RT_Price"))</f>
        <v/>
      </c>
      <c r="K57" s="56" t="str">
        <f>IF(表1_3[[#This Row],[列1]]="","",RTD("wdf.rtq", ,表1_3[[#This Row],[列1]], "rt_pct_chg_20d","RT_Price"))</f>
        <v/>
      </c>
      <c r="L57" s="53" t="str">
        <f>IF(表1_3[[#This Row],[列1]]="","",RTD("wdf.rtq", ,表1_3[[#This Row],[列1]], "rt_pct_chg_60d","RT_Price"))</f>
        <v/>
      </c>
      <c r="M57" s="48" t="str">
        <f>IF(表1_3[[#This Row],[列1]]="","",RTD("wdf.rtq", ,表1_3[[#This Row],[列1]], "rt_pct_chg_ytd","RT_Price"))</f>
        <v/>
      </c>
      <c r="N57" s="5"/>
      <c r="O57" s="4"/>
    </row>
    <row r="58" spans="1:15" ht="16.5" customHeight="1" x14ac:dyDescent="0.2">
      <c r="A58" s="4"/>
      <c r="B58" s="5"/>
      <c r="C58" s="14"/>
      <c r="D58" s="12" t="str">
        <f>IF(C58="","",[1]!hks_info_name(C58))</f>
        <v/>
      </c>
      <c r="E58" s="13" t="str">
        <f ca="1">IF(C58="","",[1]!lastradeday_s(C58,TODAY()))</f>
        <v/>
      </c>
      <c r="F58" s="35" t="str">
        <f>IF(表1_3[[#This Row],[列1]]="","",RTD("wdf.rtq", ,表1_3[[#This Row],[列1]], "rt_last","RT_Price"))</f>
        <v/>
      </c>
      <c r="G58" s="49" t="str">
        <f>IF(表1_3[[#This Row],[列1]]="","",RTD("wdf.rtq", ,表1_3[[#This Row],[列1]], "rt_chg","RT_Price"))</f>
        <v/>
      </c>
      <c r="H58" s="47" t="str">
        <f>IF(表1_3[[#This Row],[列1]]="","",RTD("wdf.rtq", ,表1_3[[#This Row],[列1]], "rt_pct_chg","RT_Price")/100)</f>
        <v/>
      </c>
      <c r="I58" s="33" t="str">
        <f>IF(表1_3[[#This Row],[列1]]="","",RTD("wdf.rtq", ,表1_3[[#This Row],[列1]], "rt_amt","RT_Price"))</f>
        <v/>
      </c>
      <c r="J58" s="54" t="str">
        <f>IF(表1_3[[#This Row],[列1]]="","",RTD("wdf.rtq", ,表1_3[[#This Row],[列1]], "rt_vol","RT_Price"))</f>
        <v/>
      </c>
      <c r="K58" s="55" t="str">
        <f>IF(表1_3[[#This Row],[列1]]="","",RTD("wdf.rtq", ,表1_3[[#This Row],[列1]], "rt_pct_chg_20d","RT_Price"))</f>
        <v/>
      </c>
      <c r="L58" s="52" t="str">
        <f>IF(表1_3[[#This Row],[列1]]="","",RTD("wdf.rtq", ,表1_3[[#This Row],[列1]], "rt_pct_chg_60d","RT_Price"))</f>
        <v/>
      </c>
      <c r="M58" s="47" t="str">
        <f>IF(表1_3[[#This Row],[列1]]="","",RTD("wdf.rtq", ,表1_3[[#This Row],[列1]], "rt_pct_chg_ytd","RT_Price"))</f>
        <v/>
      </c>
      <c r="N58" s="5"/>
      <c r="O58" s="4"/>
    </row>
    <row r="59" spans="1:15" ht="16.5" customHeight="1" x14ac:dyDescent="0.2">
      <c r="A59" s="4"/>
      <c r="B59" s="5"/>
      <c r="C59" s="14"/>
      <c r="D59" s="12" t="str">
        <f>IF(C59="","",[1]!hks_info_name(C59))</f>
        <v/>
      </c>
      <c r="E59" s="13" t="str">
        <f ca="1">IF(C59="","",[1]!lastradeday_s(C59,TODAY()))</f>
        <v/>
      </c>
      <c r="F59" s="35" t="str">
        <f>IF(表1_3[[#This Row],[列1]]="","",RTD("wdf.rtq", ,表1_3[[#This Row],[列1]], "rt_last","RT_Price"))</f>
        <v/>
      </c>
      <c r="G59" s="50" t="str">
        <f>IF(表1_3[[#This Row],[列1]]="","",RTD("wdf.rtq", ,表1_3[[#This Row],[列1]], "rt_chg","RT_Price"))</f>
        <v/>
      </c>
      <c r="H59" s="48" t="str">
        <f>IF(表1_3[[#This Row],[列1]]="","",RTD("wdf.rtq", ,表1_3[[#This Row],[列1]], "rt_pct_chg","RT_Price")/100)</f>
        <v/>
      </c>
      <c r="I59" s="33" t="str">
        <f>IF(表1_3[[#This Row],[列1]]="","",RTD("wdf.rtq", ,表1_3[[#This Row],[列1]], "rt_amt","RT_Price"))</f>
        <v/>
      </c>
      <c r="J59" s="54" t="str">
        <f>IF(表1_3[[#This Row],[列1]]="","",RTD("wdf.rtq", ,表1_3[[#This Row],[列1]], "rt_vol","RT_Price"))</f>
        <v/>
      </c>
      <c r="K59" s="56" t="str">
        <f>IF(表1_3[[#This Row],[列1]]="","",RTD("wdf.rtq", ,表1_3[[#This Row],[列1]], "rt_pct_chg_20d","RT_Price"))</f>
        <v/>
      </c>
      <c r="L59" s="53" t="str">
        <f>IF(表1_3[[#This Row],[列1]]="","",RTD("wdf.rtq", ,表1_3[[#This Row],[列1]], "rt_pct_chg_60d","RT_Price"))</f>
        <v/>
      </c>
      <c r="M59" s="48" t="str">
        <f>IF(表1_3[[#This Row],[列1]]="","",RTD("wdf.rtq", ,表1_3[[#This Row],[列1]], "rt_pct_chg_ytd","RT_Price"))</f>
        <v/>
      </c>
      <c r="N59" s="5"/>
      <c r="O59" s="4"/>
    </row>
    <row r="60" spans="1:15" ht="16.5" customHeight="1" x14ac:dyDescent="0.2">
      <c r="A60" s="4"/>
      <c r="B60" s="5"/>
      <c r="C60" s="14"/>
      <c r="D60" s="12" t="str">
        <f>IF(C60="","",[1]!hks_info_name(C60))</f>
        <v/>
      </c>
      <c r="E60" s="13" t="str">
        <f ca="1">IF(C60="","",[1]!lastradeday_s(C60,TODAY()))</f>
        <v/>
      </c>
      <c r="F60" s="35" t="str">
        <f>IF(表1_3[[#This Row],[列1]]="","",RTD("wdf.rtq", ,表1_3[[#This Row],[列1]], "rt_last","RT_Price"))</f>
        <v/>
      </c>
      <c r="G60" s="49" t="str">
        <f>IF(表1_3[[#This Row],[列1]]="","",RTD("wdf.rtq", ,表1_3[[#This Row],[列1]], "rt_chg","RT_Price"))</f>
        <v/>
      </c>
      <c r="H60" s="47" t="str">
        <f>IF(表1_3[[#This Row],[列1]]="","",RTD("wdf.rtq", ,表1_3[[#This Row],[列1]], "rt_pct_chg","RT_Price")/100)</f>
        <v/>
      </c>
      <c r="I60" s="33" t="str">
        <f>IF(表1_3[[#This Row],[列1]]="","",RTD("wdf.rtq", ,表1_3[[#This Row],[列1]], "rt_amt","RT_Price"))</f>
        <v/>
      </c>
      <c r="J60" s="54" t="str">
        <f>IF(表1_3[[#This Row],[列1]]="","",RTD("wdf.rtq", ,表1_3[[#This Row],[列1]], "rt_vol","RT_Price"))</f>
        <v/>
      </c>
      <c r="K60" s="55" t="str">
        <f>IF(表1_3[[#This Row],[列1]]="","",RTD("wdf.rtq", ,表1_3[[#This Row],[列1]], "rt_pct_chg_20d","RT_Price"))</f>
        <v/>
      </c>
      <c r="L60" s="52" t="str">
        <f>IF(表1_3[[#This Row],[列1]]="","",RTD("wdf.rtq", ,表1_3[[#This Row],[列1]], "rt_pct_chg_60d","RT_Price"))</f>
        <v/>
      </c>
      <c r="M60" s="47" t="str">
        <f>IF(表1_3[[#This Row],[列1]]="","",RTD("wdf.rtq", ,表1_3[[#This Row],[列1]], "rt_pct_chg_ytd","RT_Price"))</f>
        <v/>
      </c>
      <c r="N60" s="5"/>
      <c r="O60" s="4"/>
    </row>
    <row r="61" spans="1:15" ht="16.5" customHeight="1" x14ac:dyDescent="0.2">
      <c r="A61" s="4"/>
      <c r="B61" s="5"/>
      <c r="C61" s="14"/>
      <c r="D61" s="12" t="str">
        <f>IF(C61="","",[1]!hks_info_name(C61))</f>
        <v/>
      </c>
      <c r="E61" s="13" t="str">
        <f ca="1">IF(C61="","",[1]!lastradeday_s(C61,TODAY()))</f>
        <v/>
      </c>
      <c r="F61" s="35" t="str">
        <f>IF(表1_3[[#This Row],[列1]]="","",RTD("wdf.rtq", ,表1_3[[#This Row],[列1]], "rt_last","RT_Price"))</f>
        <v/>
      </c>
      <c r="G61" s="50" t="str">
        <f>IF(表1_3[[#This Row],[列1]]="","",RTD("wdf.rtq", ,表1_3[[#This Row],[列1]], "rt_chg","RT_Price"))</f>
        <v/>
      </c>
      <c r="H61" s="48" t="str">
        <f>IF(表1_3[[#This Row],[列1]]="","",RTD("wdf.rtq", ,表1_3[[#This Row],[列1]], "rt_pct_chg","RT_Price")/100)</f>
        <v/>
      </c>
      <c r="I61" s="33" t="str">
        <f>IF(表1_3[[#This Row],[列1]]="","",RTD("wdf.rtq", ,表1_3[[#This Row],[列1]], "rt_amt","RT_Price"))</f>
        <v/>
      </c>
      <c r="J61" s="54" t="str">
        <f>IF(表1_3[[#This Row],[列1]]="","",RTD("wdf.rtq", ,表1_3[[#This Row],[列1]], "rt_vol","RT_Price"))</f>
        <v/>
      </c>
      <c r="K61" s="56" t="str">
        <f>IF(表1_3[[#This Row],[列1]]="","",RTD("wdf.rtq", ,表1_3[[#This Row],[列1]], "rt_pct_chg_20d","RT_Price"))</f>
        <v/>
      </c>
      <c r="L61" s="53" t="str">
        <f>IF(表1_3[[#This Row],[列1]]="","",RTD("wdf.rtq", ,表1_3[[#This Row],[列1]], "rt_pct_chg_60d","RT_Price"))</f>
        <v/>
      </c>
      <c r="M61" s="48" t="str">
        <f>IF(表1_3[[#This Row],[列1]]="","",RTD("wdf.rtq", ,表1_3[[#This Row],[列1]], "rt_pct_chg_ytd","RT_Price"))</f>
        <v/>
      </c>
      <c r="N61" s="5"/>
      <c r="O61" s="4"/>
    </row>
    <row r="62" spans="1:15" ht="16.5" customHeight="1" x14ac:dyDescent="0.2">
      <c r="A62" s="4"/>
      <c r="B62" s="5"/>
      <c r="C62" s="14"/>
      <c r="D62" s="12" t="str">
        <f>IF(C62="","",[1]!hks_info_name(C62))</f>
        <v/>
      </c>
      <c r="E62" s="13" t="str">
        <f ca="1">IF(C62="","",[1]!lastradeday_s(C62,TODAY()))</f>
        <v/>
      </c>
      <c r="F62" s="35" t="str">
        <f>IF(表1_3[[#This Row],[列1]]="","",RTD("wdf.rtq", ,表1_3[[#This Row],[列1]], "rt_last","RT_Price"))</f>
        <v/>
      </c>
      <c r="G62" s="49" t="str">
        <f>IF(表1_3[[#This Row],[列1]]="","",RTD("wdf.rtq", ,表1_3[[#This Row],[列1]], "rt_chg","RT_Price"))</f>
        <v/>
      </c>
      <c r="H62" s="47" t="str">
        <f>IF(表1_3[[#This Row],[列1]]="","",RTD("wdf.rtq", ,表1_3[[#This Row],[列1]], "rt_pct_chg","RT_Price")/100)</f>
        <v/>
      </c>
      <c r="I62" s="33" t="str">
        <f>IF(表1_3[[#This Row],[列1]]="","",RTD("wdf.rtq", ,表1_3[[#This Row],[列1]], "rt_amt","RT_Price"))</f>
        <v/>
      </c>
      <c r="J62" s="54" t="str">
        <f>IF(表1_3[[#This Row],[列1]]="","",RTD("wdf.rtq", ,表1_3[[#This Row],[列1]], "rt_vol","RT_Price"))</f>
        <v/>
      </c>
      <c r="K62" s="55" t="str">
        <f>IF(表1_3[[#This Row],[列1]]="","",RTD("wdf.rtq", ,表1_3[[#This Row],[列1]], "rt_pct_chg_20d","RT_Price"))</f>
        <v/>
      </c>
      <c r="L62" s="52" t="str">
        <f>IF(表1_3[[#This Row],[列1]]="","",RTD("wdf.rtq", ,表1_3[[#This Row],[列1]], "rt_pct_chg_60d","RT_Price"))</f>
        <v/>
      </c>
      <c r="M62" s="47" t="str">
        <f>IF(表1_3[[#This Row],[列1]]="","",RTD("wdf.rtq", ,表1_3[[#This Row],[列1]], "rt_pct_chg_ytd","RT_Price"))</f>
        <v/>
      </c>
      <c r="N62" s="5"/>
      <c r="O62" s="4"/>
    </row>
    <row r="63" spans="1:15" ht="16.5" customHeight="1" x14ac:dyDescent="0.2">
      <c r="A63" s="4"/>
      <c r="B63" s="5"/>
      <c r="C63" s="14"/>
      <c r="D63" s="12" t="str">
        <f>IF(C63="","",[1]!hks_info_name(C63))</f>
        <v/>
      </c>
      <c r="E63" s="13" t="str">
        <f ca="1">IF(C63="","",[1]!lastradeday_s(C63,TODAY()))</f>
        <v/>
      </c>
      <c r="F63" s="35" t="str">
        <f>IF(表1_3[[#This Row],[列1]]="","",RTD("wdf.rtq", ,表1_3[[#This Row],[列1]], "rt_last","RT_Price"))</f>
        <v/>
      </c>
      <c r="G63" s="50" t="str">
        <f>IF(表1_3[[#This Row],[列1]]="","",RTD("wdf.rtq", ,表1_3[[#This Row],[列1]], "rt_chg","RT_Price"))</f>
        <v/>
      </c>
      <c r="H63" s="48" t="str">
        <f>IF(表1_3[[#This Row],[列1]]="","",RTD("wdf.rtq", ,表1_3[[#This Row],[列1]], "rt_pct_chg","RT_Price")/100)</f>
        <v/>
      </c>
      <c r="I63" s="33" t="str">
        <f>IF(表1_3[[#This Row],[列1]]="","",RTD("wdf.rtq", ,表1_3[[#This Row],[列1]], "rt_amt","RT_Price"))</f>
        <v/>
      </c>
      <c r="J63" s="54" t="str">
        <f>IF(表1_3[[#This Row],[列1]]="","",RTD("wdf.rtq", ,表1_3[[#This Row],[列1]], "rt_vol","RT_Price"))</f>
        <v/>
      </c>
      <c r="K63" s="56" t="str">
        <f>IF(表1_3[[#This Row],[列1]]="","",RTD("wdf.rtq", ,表1_3[[#This Row],[列1]], "rt_pct_chg_20d","RT_Price"))</f>
        <v/>
      </c>
      <c r="L63" s="53" t="str">
        <f>IF(表1_3[[#This Row],[列1]]="","",RTD("wdf.rtq", ,表1_3[[#This Row],[列1]], "rt_pct_chg_60d","RT_Price"))</f>
        <v/>
      </c>
      <c r="M63" s="48" t="str">
        <f>IF(表1_3[[#This Row],[列1]]="","",RTD("wdf.rtq", ,表1_3[[#This Row],[列1]], "rt_pct_chg_ytd","RT_Price"))</f>
        <v/>
      </c>
      <c r="N63" s="5"/>
      <c r="O63" s="4"/>
    </row>
    <row r="64" spans="1:15" ht="16.5" customHeight="1" x14ac:dyDescent="0.2">
      <c r="A64" s="4"/>
      <c r="B64" s="5"/>
      <c r="C64" s="14"/>
      <c r="D64" s="12" t="str">
        <f>IF(C64="","",[1]!hks_info_name(C64))</f>
        <v/>
      </c>
      <c r="E64" s="13" t="str">
        <f ca="1">IF(C64="","",[1]!lastradeday_s(C64,TODAY()))</f>
        <v/>
      </c>
      <c r="F64" s="35" t="str">
        <f>IF(表1_3[[#This Row],[列1]]="","",RTD("wdf.rtq", ,表1_3[[#This Row],[列1]], "rt_last","RT_Price"))</f>
        <v/>
      </c>
      <c r="G64" s="49" t="str">
        <f>IF(表1_3[[#This Row],[列1]]="","",RTD("wdf.rtq", ,表1_3[[#This Row],[列1]], "rt_chg","RT_Price"))</f>
        <v/>
      </c>
      <c r="H64" s="47" t="str">
        <f>IF(表1_3[[#This Row],[列1]]="","",RTD("wdf.rtq", ,表1_3[[#This Row],[列1]], "rt_pct_chg","RT_Price")/100)</f>
        <v/>
      </c>
      <c r="I64" s="33" t="str">
        <f>IF(表1_3[[#This Row],[列1]]="","",RTD("wdf.rtq", ,表1_3[[#This Row],[列1]], "rt_amt","RT_Price"))</f>
        <v/>
      </c>
      <c r="J64" s="54" t="str">
        <f>IF(表1_3[[#This Row],[列1]]="","",RTD("wdf.rtq", ,表1_3[[#This Row],[列1]], "rt_vol","RT_Price"))</f>
        <v/>
      </c>
      <c r="K64" s="55" t="str">
        <f>IF(表1_3[[#This Row],[列1]]="","",RTD("wdf.rtq", ,表1_3[[#This Row],[列1]], "rt_pct_chg_20d","RT_Price"))</f>
        <v/>
      </c>
      <c r="L64" s="52" t="str">
        <f>IF(表1_3[[#This Row],[列1]]="","",RTD("wdf.rtq", ,表1_3[[#This Row],[列1]], "rt_pct_chg_60d","RT_Price"))</f>
        <v/>
      </c>
      <c r="M64" s="47" t="str">
        <f>IF(表1_3[[#This Row],[列1]]="","",RTD("wdf.rtq", ,表1_3[[#This Row],[列1]], "rt_pct_chg_ytd","RT_Price"))</f>
        <v/>
      </c>
      <c r="N64" s="5"/>
      <c r="O64" s="4"/>
    </row>
    <row r="65" spans="1:15" ht="16.5" customHeight="1" x14ac:dyDescent="0.2">
      <c r="A65" s="4"/>
      <c r="B65" s="5"/>
      <c r="C65" s="14"/>
      <c r="D65" s="12" t="str">
        <f>IF(C65="","",[1]!hks_info_name(C65))</f>
        <v/>
      </c>
      <c r="E65" s="13" t="str">
        <f ca="1">IF(C65="","",[1]!lastradeday_s(C65,TODAY()))</f>
        <v/>
      </c>
      <c r="F65" s="35" t="str">
        <f>IF(表1_3[[#This Row],[列1]]="","",RTD("wdf.rtq", ,表1_3[[#This Row],[列1]], "rt_last","RT_Price"))</f>
        <v/>
      </c>
      <c r="G65" s="50" t="str">
        <f>IF(表1_3[[#This Row],[列1]]="","",RTD("wdf.rtq", ,表1_3[[#This Row],[列1]], "rt_chg","RT_Price"))</f>
        <v/>
      </c>
      <c r="H65" s="48" t="str">
        <f>IF(表1_3[[#This Row],[列1]]="","",RTD("wdf.rtq", ,表1_3[[#This Row],[列1]], "rt_pct_chg","RT_Price")/100)</f>
        <v/>
      </c>
      <c r="I65" s="33" t="str">
        <f>IF(表1_3[[#This Row],[列1]]="","",RTD("wdf.rtq", ,表1_3[[#This Row],[列1]], "rt_amt","RT_Price"))</f>
        <v/>
      </c>
      <c r="J65" s="54" t="str">
        <f>IF(表1_3[[#This Row],[列1]]="","",RTD("wdf.rtq", ,表1_3[[#This Row],[列1]], "rt_vol","RT_Price"))</f>
        <v/>
      </c>
      <c r="K65" s="56" t="str">
        <f>IF(表1_3[[#This Row],[列1]]="","",RTD("wdf.rtq", ,表1_3[[#This Row],[列1]], "rt_pct_chg_20d","RT_Price"))</f>
        <v/>
      </c>
      <c r="L65" s="53" t="str">
        <f>IF(表1_3[[#This Row],[列1]]="","",RTD("wdf.rtq", ,表1_3[[#This Row],[列1]], "rt_pct_chg_60d","RT_Price"))</f>
        <v/>
      </c>
      <c r="M65" s="48" t="str">
        <f>IF(表1_3[[#This Row],[列1]]="","",RTD("wdf.rtq", ,表1_3[[#This Row],[列1]], "rt_pct_chg_ytd","RT_Price"))</f>
        <v/>
      </c>
      <c r="N65" s="5"/>
      <c r="O65" s="4"/>
    </row>
    <row r="66" spans="1:15" ht="16.5" customHeight="1" x14ac:dyDescent="0.2">
      <c r="A66" s="4"/>
      <c r="B66" s="5"/>
      <c r="C66" s="14"/>
      <c r="D66" s="12" t="str">
        <f>IF(C66="","",[1]!hks_info_name(C66))</f>
        <v/>
      </c>
      <c r="E66" s="13" t="str">
        <f ca="1">IF(C66="","",[1]!lastradeday_s(C66,TODAY()))</f>
        <v/>
      </c>
      <c r="F66" s="35" t="str">
        <f>IF(表1_3[[#This Row],[列1]]="","",RTD("wdf.rtq", ,表1_3[[#This Row],[列1]], "rt_last","RT_Price"))</f>
        <v/>
      </c>
      <c r="G66" s="49" t="str">
        <f>IF(表1_3[[#This Row],[列1]]="","",RTD("wdf.rtq", ,表1_3[[#This Row],[列1]], "rt_chg","RT_Price"))</f>
        <v/>
      </c>
      <c r="H66" s="47" t="str">
        <f>IF(表1_3[[#This Row],[列1]]="","",RTD("wdf.rtq", ,表1_3[[#This Row],[列1]], "rt_pct_chg","RT_Price")/100)</f>
        <v/>
      </c>
      <c r="I66" s="33" t="str">
        <f>IF(表1_3[[#This Row],[列1]]="","",RTD("wdf.rtq", ,表1_3[[#This Row],[列1]], "rt_amt","RT_Price"))</f>
        <v/>
      </c>
      <c r="J66" s="54" t="str">
        <f>IF(表1_3[[#This Row],[列1]]="","",RTD("wdf.rtq", ,表1_3[[#This Row],[列1]], "rt_vol","RT_Price"))</f>
        <v/>
      </c>
      <c r="K66" s="55" t="str">
        <f>IF(表1_3[[#This Row],[列1]]="","",RTD("wdf.rtq", ,表1_3[[#This Row],[列1]], "rt_pct_chg_20d","RT_Price"))</f>
        <v/>
      </c>
      <c r="L66" s="52" t="str">
        <f>IF(表1_3[[#This Row],[列1]]="","",RTD("wdf.rtq", ,表1_3[[#This Row],[列1]], "rt_pct_chg_60d","RT_Price"))</f>
        <v/>
      </c>
      <c r="M66" s="47" t="str">
        <f>IF(表1_3[[#This Row],[列1]]="","",RTD("wdf.rtq", ,表1_3[[#This Row],[列1]], "rt_pct_chg_ytd","RT_Price"))</f>
        <v/>
      </c>
      <c r="N66" s="5"/>
      <c r="O66" s="4"/>
    </row>
    <row r="67" spans="1:15" ht="16.5" customHeight="1" x14ac:dyDescent="0.2">
      <c r="A67" s="4"/>
      <c r="B67" s="5"/>
      <c r="C67" s="14"/>
      <c r="D67" s="12" t="str">
        <f>IF(C67="","",[1]!hks_info_name(C67))</f>
        <v/>
      </c>
      <c r="E67" s="13" t="str">
        <f ca="1">IF(C67="","",[1]!lastradeday_s(C67,TODAY()))</f>
        <v/>
      </c>
      <c r="F67" s="35" t="str">
        <f>IF(表1_3[[#This Row],[列1]]="","",RTD("wdf.rtq", ,表1_3[[#This Row],[列1]], "rt_last","RT_Price"))</f>
        <v/>
      </c>
      <c r="G67" s="50" t="str">
        <f>IF(表1_3[[#This Row],[列1]]="","",RTD("wdf.rtq", ,表1_3[[#This Row],[列1]], "rt_chg","RT_Price"))</f>
        <v/>
      </c>
      <c r="H67" s="48" t="str">
        <f>IF(表1_3[[#This Row],[列1]]="","",RTD("wdf.rtq", ,表1_3[[#This Row],[列1]], "rt_pct_chg","RT_Price")/100)</f>
        <v/>
      </c>
      <c r="I67" s="33" t="str">
        <f>IF(表1_3[[#This Row],[列1]]="","",RTD("wdf.rtq", ,表1_3[[#This Row],[列1]], "rt_amt","RT_Price"))</f>
        <v/>
      </c>
      <c r="J67" s="54" t="str">
        <f>IF(表1_3[[#This Row],[列1]]="","",RTD("wdf.rtq", ,表1_3[[#This Row],[列1]], "rt_vol","RT_Price"))</f>
        <v/>
      </c>
      <c r="K67" s="56" t="str">
        <f>IF(表1_3[[#This Row],[列1]]="","",RTD("wdf.rtq", ,表1_3[[#This Row],[列1]], "rt_pct_chg_20d","RT_Price"))</f>
        <v/>
      </c>
      <c r="L67" s="53" t="str">
        <f>IF(表1_3[[#This Row],[列1]]="","",RTD("wdf.rtq", ,表1_3[[#This Row],[列1]], "rt_pct_chg_60d","RT_Price"))</f>
        <v/>
      </c>
      <c r="M67" s="48" t="str">
        <f>IF(表1_3[[#This Row],[列1]]="","",RTD("wdf.rtq", ,表1_3[[#This Row],[列1]], "rt_pct_chg_ytd","RT_Price"))</f>
        <v/>
      </c>
      <c r="N67" s="5"/>
      <c r="O67" s="4"/>
    </row>
    <row r="68" spans="1:15" ht="16.5" customHeight="1" x14ac:dyDescent="0.2">
      <c r="A68" s="4"/>
      <c r="B68" s="5"/>
      <c r="C68" s="14"/>
      <c r="D68" s="12" t="str">
        <f>IF(C68="","",[1]!hks_info_name(C68))</f>
        <v/>
      </c>
      <c r="E68" s="13" t="str">
        <f ca="1">IF(C68="","",[1]!lastradeday_s(C68,TODAY()))</f>
        <v/>
      </c>
      <c r="F68" s="35" t="str">
        <f>IF(表1_3[[#This Row],[列1]]="","",RTD("wdf.rtq", ,表1_3[[#This Row],[列1]], "rt_last","RT_Price"))</f>
        <v/>
      </c>
      <c r="G68" s="49" t="str">
        <f>IF(表1_3[[#This Row],[列1]]="","",RTD("wdf.rtq", ,表1_3[[#This Row],[列1]], "rt_chg","RT_Price"))</f>
        <v/>
      </c>
      <c r="H68" s="47" t="str">
        <f>IF(表1_3[[#This Row],[列1]]="","",RTD("wdf.rtq", ,表1_3[[#This Row],[列1]], "rt_pct_chg","RT_Price")/100)</f>
        <v/>
      </c>
      <c r="I68" s="33" t="str">
        <f>IF(表1_3[[#This Row],[列1]]="","",RTD("wdf.rtq", ,表1_3[[#This Row],[列1]], "rt_amt","RT_Price"))</f>
        <v/>
      </c>
      <c r="J68" s="54" t="str">
        <f>IF(表1_3[[#This Row],[列1]]="","",RTD("wdf.rtq", ,表1_3[[#This Row],[列1]], "rt_vol","RT_Price"))</f>
        <v/>
      </c>
      <c r="K68" s="55" t="str">
        <f>IF(表1_3[[#This Row],[列1]]="","",RTD("wdf.rtq", ,表1_3[[#This Row],[列1]], "rt_pct_chg_20d","RT_Price"))</f>
        <v/>
      </c>
      <c r="L68" s="52" t="str">
        <f>IF(表1_3[[#This Row],[列1]]="","",RTD("wdf.rtq", ,表1_3[[#This Row],[列1]], "rt_pct_chg_60d","RT_Price"))</f>
        <v/>
      </c>
      <c r="M68" s="47" t="str">
        <f>IF(表1_3[[#This Row],[列1]]="","",RTD("wdf.rtq", ,表1_3[[#This Row],[列1]], "rt_pct_chg_ytd","RT_Price"))</f>
        <v/>
      </c>
      <c r="N68" s="5"/>
      <c r="O68" s="4"/>
    </row>
    <row r="69" spans="1:15" ht="16.5" customHeight="1" x14ac:dyDescent="0.2">
      <c r="A69" s="4"/>
      <c r="B69" s="5"/>
      <c r="C69" s="14"/>
      <c r="D69" s="12" t="str">
        <f>IF(C69="","",[1]!hks_info_name(C69))</f>
        <v/>
      </c>
      <c r="E69" s="13" t="str">
        <f ca="1">IF(C69="","",[1]!lastradeday_s(C69,TODAY()))</f>
        <v/>
      </c>
      <c r="F69" s="35" t="str">
        <f>IF(表1_3[[#This Row],[列1]]="","",RTD("wdf.rtq", ,表1_3[[#This Row],[列1]], "rt_last","RT_Price"))</f>
        <v/>
      </c>
      <c r="G69" s="50" t="str">
        <f>IF(表1_3[[#This Row],[列1]]="","",RTD("wdf.rtq", ,表1_3[[#This Row],[列1]], "rt_chg","RT_Price"))</f>
        <v/>
      </c>
      <c r="H69" s="48" t="str">
        <f>IF(表1_3[[#This Row],[列1]]="","",RTD("wdf.rtq", ,表1_3[[#This Row],[列1]], "rt_pct_chg","RT_Price")/100)</f>
        <v/>
      </c>
      <c r="I69" s="33" t="str">
        <f>IF(表1_3[[#This Row],[列1]]="","",RTD("wdf.rtq", ,表1_3[[#This Row],[列1]], "rt_amt","RT_Price"))</f>
        <v/>
      </c>
      <c r="J69" s="54" t="str">
        <f>IF(表1_3[[#This Row],[列1]]="","",RTD("wdf.rtq", ,表1_3[[#This Row],[列1]], "rt_vol","RT_Price"))</f>
        <v/>
      </c>
      <c r="K69" s="56" t="str">
        <f>IF(表1_3[[#This Row],[列1]]="","",RTD("wdf.rtq", ,表1_3[[#This Row],[列1]], "rt_pct_chg_20d","RT_Price"))</f>
        <v/>
      </c>
      <c r="L69" s="53" t="str">
        <f>IF(表1_3[[#This Row],[列1]]="","",RTD("wdf.rtq", ,表1_3[[#This Row],[列1]], "rt_pct_chg_60d","RT_Price"))</f>
        <v/>
      </c>
      <c r="M69" s="48" t="str">
        <f>IF(表1_3[[#This Row],[列1]]="","",RTD("wdf.rtq", ,表1_3[[#This Row],[列1]], "rt_pct_chg_ytd","RT_Price"))</f>
        <v/>
      </c>
      <c r="N69" s="5"/>
      <c r="O69" s="4"/>
    </row>
    <row r="70" spans="1:15" ht="16.5" customHeight="1" x14ac:dyDescent="0.2">
      <c r="A70" s="4"/>
      <c r="B70" s="5"/>
      <c r="C70" s="14"/>
      <c r="D70" s="12" t="str">
        <f>IF(C70="","",[1]!hks_info_name(C70))</f>
        <v/>
      </c>
      <c r="E70" s="13" t="str">
        <f ca="1">IF(C70="","",[1]!lastradeday_s(C70,TODAY()))</f>
        <v/>
      </c>
      <c r="F70" s="35" t="str">
        <f>IF(表1_3[[#This Row],[列1]]="","",RTD("wdf.rtq", ,表1_3[[#This Row],[列1]], "rt_last","RT_Price"))</f>
        <v/>
      </c>
      <c r="G70" s="49" t="str">
        <f>IF(表1_3[[#This Row],[列1]]="","",RTD("wdf.rtq", ,表1_3[[#This Row],[列1]], "rt_chg","RT_Price"))</f>
        <v/>
      </c>
      <c r="H70" s="47" t="str">
        <f>IF(表1_3[[#This Row],[列1]]="","",RTD("wdf.rtq", ,表1_3[[#This Row],[列1]], "rt_pct_chg","RT_Price")/100)</f>
        <v/>
      </c>
      <c r="I70" s="33" t="str">
        <f>IF(表1_3[[#This Row],[列1]]="","",RTD("wdf.rtq", ,表1_3[[#This Row],[列1]], "rt_amt","RT_Price"))</f>
        <v/>
      </c>
      <c r="J70" s="54" t="str">
        <f>IF(表1_3[[#This Row],[列1]]="","",RTD("wdf.rtq", ,表1_3[[#This Row],[列1]], "rt_vol","RT_Price"))</f>
        <v/>
      </c>
      <c r="K70" s="55" t="str">
        <f>IF(表1_3[[#This Row],[列1]]="","",RTD("wdf.rtq", ,表1_3[[#This Row],[列1]], "rt_pct_chg_20d","RT_Price"))</f>
        <v/>
      </c>
      <c r="L70" s="52" t="str">
        <f>IF(表1_3[[#This Row],[列1]]="","",RTD("wdf.rtq", ,表1_3[[#This Row],[列1]], "rt_pct_chg_60d","RT_Price"))</f>
        <v/>
      </c>
      <c r="M70" s="47" t="str">
        <f>IF(表1_3[[#This Row],[列1]]="","",RTD("wdf.rtq", ,表1_3[[#This Row],[列1]], "rt_pct_chg_ytd","RT_Price"))</f>
        <v/>
      </c>
      <c r="N70" s="5"/>
      <c r="O70" s="4"/>
    </row>
    <row r="71" spans="1:15" ht="16.5" customHeight="1" x14ac:dyDescent="0.2">
      <c r="A71" s="4"/>
      <c r="B71" s="5"/>
      <c r="C71" s="14"/>
      <c r="D71" s="12" t="str">
        <f>IF(C71="","",[1]!hks_info_name(C71))</f>
        <v/>
      </c>
      <c r="E71" s="13" t="str">
        <f ca="1">IF(C71="","",[1]!lastradeday_s(C71,TODAY()))</f>
        <v/>
      </c>
      <c r="F71" s="35" t="str">
        <f>IF(表1_3[[#This Row],[列1]]="","",RTD("wdf.rtq", ,表1_3[[#This Row],[列1]], "rt_last","RT_Price"))</f>
        <v/>
      </c>
      <c r="G71" s="50" t="str">
        <f>IF(表1_3[[#This Row],[列1]]="","",RTD("wdf.rtq", ,表1_3[[#This Row],[列1]], "rt_chg","RT_Price"))</f>
        <v/>
      </c>
      <c r="H71" s="48" t="str">
        <f>IF(表1_3[[#This Row],[列1]]="","",RTD("wdf.rtq", ,表1_3[[#This Row],[列1]], "rt_pct_chg","RT_Price")/100)</f>
        <v/>
      </c>
      <c r="I71" s="33" t="str">
        <f>IF(表1_3[[#This Row],[列1]]="","",RTD("wdf.rtq", ,表1_3[[#This Row],[列1]], "rt_amt","RT_Price"))</f>
        <v/>
      </c>
      <c r="J71" s="54" t="str">
        <f>IF(表1_3[[#This Row],[列1]]="","",RTD("wdf.rtq", ,表1_3[[#This Row],[列1]], "rt_vol","RT_Price"))</f>
        <v/>
      </c>
      <c r="K71" s="56" t="str">
        <f>IF(表1_3[[#This Row],[列1]]="","",RTD("wdf.rtq", ,表1_3[[#This Row],[列1]], "rt_pct_chg_20d","RT_Price"))</f>
        <v/>
      </c>
      <c r="L71" s="53" t="str">
        <f>IF(表1_3[[#This Row],[列1]]="","",RTD("wdf.rtq", ,表1_3[[#This Row],[列1]], "rt_pct_chg_60d","RT_Price"))</f>
        <v/>
      </c>
      <c r="M71" s="48" t="str">
        <f>IF(表1_3[[#This Row],[列1]]="","",RTD("wdf.rtq", ,表1_3[[#This Row],[列1]], "rt_pct_chg_ytd","RT_Price"))</f>
        <v/>
      </c>
      <c r="N71" s="5"/>
      <c r="O71" s="4"/>
    </row>
    <row r="72" spans="1:15" ht="16.5" customHeight="1" x14ac:dyDescent="0.2">
      <c r="A72" s="4"/>
      <c r="B72" s="5"/>
      <c r="C72" s="14"/>
      <c r="D72" s="12" t="str">
        <f>IF(C72="","",[1]!hks_info_name(C72))</f>
        <v/>
      </c>
      <c r="E72" s="13" t="str">
        <f ca="1">IF(C72="","",[1]!lastradeday_s(C72,TODAY()))</f>
        <v/>
      </c>
      <c r="F72" s="35" t="str">
        <f>IF(表1_3[[#This Row],[列1]]="","",RTD("wdf.rtq", ,表1_3[[#This Row],[列1]], "rt_last","RT_Price"))</f>
        <v/>
      </c>
      <c r="G72" s="49" t="str">
        <f>IF(表1_3[[#This Row],[列1]]="","",RTD("wdf.rtq", ,表1_3[[#This Row],[列1]], "rt_chg","RT_Price"))</f>
        <v/>
      </c>
      <c r="H72" s="47" t="str">
        <f>IF(表1_3[[#This Row],[列1]]="","",RTD("wdf.rtq", ,表1_3[[#This Row],[列1]], "rt_pct_chg","RT_Price")/100)</f>
        <v/>
      </c>
      <c r="I72" s="33" t="str">
        <f>IF(表1_3[[#This Row],[列1]]="","",RTD("wdf.rtq", ,表1_3[[#This Row],[列1]], "rt_amt","RT_Price"))</f>
        <v/>
      </c>
      <c r="J72" s="54" t="str">
        <f>IF(表1_3[[#This Row],[列1]]="","",RTD("wdf.rtq", ,表1_3[[#This Row],[列1]], "rt_vol","RT_Price"))</f>
        <v/>
      </c>
      <c r="K72" s="55" t="str">
        <f>IF(表1_3[[#This Row],[列1]]="","",RTD("wdf.rtq", ,表1_3[[#This Row],[列1]], "rt_pct_chg_20d","RT_Price"))</f>
        <v/>
      </c>
      <c r="L72" s="52" t="str">
        <f>IF(表1_3[[#This Row],[列1]]="","",RTD("wdf.rtq", ,表1_3[[#This Row],[列1]], "rt_pct_chg_60d","RT_Price"))</f>
        <v/>
      </c>
      <c r="M72" s="47" t="str">
        <f>IF(表1_3[[#This Row],[列1]]="","",RTD("wdf.rtq", ,表1_3[[#This Row],[列1]], "rt_pct_chg_ytd","RT_Price"))</f>
        <v/>
      </c>
      <c r="N72" s="5"/>
      <c r="O72" s="4"/>
    </row>
    <row r="73" spans="1:15" ht="16.5" customHeight="1" x14ac:dyDescent="0.2">
      <c r="A73" s="4"/>
      <c r="B73" s="5"/>
      <c r="C73" s="14"/>
      <c r="D73" s="12" t="str">
        <f>IF(C73="","",[1]!hks_info_name(C73))</f>
        <v/>
      </c>
      <c r="E73" s="13" t="str">
        <f ca="1">IF(C73="","",[1]!lastradeday_s(C73,TODAY()))</f>
        <v/>
      </c>
      <c r="F73" s="35" t="str">
        <f>IF(表1_3[[#This Row],[列1]]="","",RTD("wdf.rtq", ,表1_3[[#This Row],[列1]], "rt_last","RT_Price"))</f>
        <v/>
      </c>
      <c r="G73" s="50" t="str">
        <f>IF(表1_3[[#This Row],[列1]]="","",RTD("wdf.rtq", ,表1_3[[#This Row],[列1]], "rt_chg","RT_Price"))</f>
        <v/>
      </c>
      <c r="H73" s="48" t="str">
        <f>IF(表1_3[[#This Row],[列1]]="","",RTD("wdf.rtq", ,表1_3[[#This Row],[列1]], "rt_pct_chg","RT_Price")/100)</f>
        <v/>
      </c>
      <c r="I73" s="33" t="str">
        <f>IF(表1_3[[#This Row],[列1]]="","",RTD("wdf.rtq", ,表1_3[[#This Row],[列1]], "rt_amt","RT_Price"))</f>
        <v/>
      </c>
      <c r="J73" s="54" t="str">
        <f>IF(表1_3[[#This Row],[列1]]="","",RTD("wdf.rtq", ,表1_3[[#This Row],[列1]], "rt_vol","RT_Price"))</f>
        <v/>
      </c>
      <c r="K73" s="56" t="str">
        <f>IF(表1_3[[#This Row],[列1]]="","",RTD("wdf.rtq", ,表1_3[[#This Row],[列1]], "rt_pct_chg_20d","RT_Price"))</f>
        <v/>
      </c>
      <c r="L73" s="53" t="str">
        <f>IF(表1_3[[#This Row],[列1]]="","",RTD("wdf.rtq", ,表1_3[[#This Row],[列1]], "rt_pct_chg_60d","RT_Price"))</f>
        <v/>
      </c>
      <c r="M73" s="48" t="str">
        <f>IF(表1_3[[#This Row],[列1]]="","",RTD("wdf.rtq", ,表1_3[[#This Row],[列1]], "rt_pct_chg_ytd","RT_Price"))</f>
        <v/>
      </c>
      <c r="N73" s="5"/>
      <c r="O73" s="4"/>
    </row>
    <row r="74" spans="1:15" ht="16.5" customHeight="1" x14ac:dyDescent="0.2">
      <c r="A74" s="4"/>
      <c r="B74" s="5"/>
      <c r="C74" s="14"/>
      <c r="D74" s="12" t="str">
        <f>IF(C74="","",[1]!hks_info_name(C74))</f>
        <v/>
      </c>
      <c r="E74" s="13" t="str">
        <f ca="1">IF(C74="","",[1]!lastradeday_s(C74,TODAY()))</f>
        <v/>
      </c>
      <c r="F74" s="35" t="str">
        <f>IF(表1_3[[#This Row],[列1]]="","",RTD("wdf.rtq", ,表1_3[[#This Row],[列1]], "rt_last","RT_Price"))</f>
        <v/>
      </c>
      <c r="G74" s="49" t="str">
        <f>IF(表1_3[[#This Row],[列1]]="","",RTD("wdf.rtq", ,表1_3[[#This Row],[列1]], "rt_chg","RT_Price"))</f>
        <v/>
      </c>
      <c r="H74" s="47" t="str">
        <f>IF(表1_3[[#This Row],[列1]]="","",RTD("wdf.rtq", ,表1_3[[#This Row],[列1]], "rt_pct_chg","RT_Price")/100)</f>
        <v/>
      </c>
      <c r="I74" s="33" t="str">
        <f>IF(表1_3[[#This Row],[列1]]="","",RTD("wdf.rtq", ,表1_3[[#This Row],[列1]], "rt_amt","RT_Price"))</f>
        <v/>
      </c>
      <c r="J74" s="54" t="str">
        <f>IF(表1_3[[#This Row],[列1]]="","",RTD("wdf.rtq", ,表1_3[[#This Row],[列1]], "rt_vol","RT_Price"))</f>
        <v/>
      </c>
      <c r="K74" s="55" t="str">
        <f>IF(表1_3[[#This Row],[列1]]="","",RTD("wdf.rtq", ,表1_3[[#This Row],[列1]], "rt_pct_chg_20d","RT_Price"))</f>
        <v/>
      </c>
      <c r="L74" s="52" t="str">
        <f>IF(表1_3[[#This Row],[列1]]="","",RTD("wdf.rtq", ,表1_3[[#This Row],[列1]], "rt_pct_chg_60d","RT_Price"))</f>
        <v/>
      </c>
      <c r="M74" s="47" t="str">
        <f>IF(表1_3[[#This Row],[列1]]="","",RTD("wdf.rtq", ,表1_3[[#This Row],[列1]], "rt_pct_chg_ytd","RT_Price"))</f>
        <v/>
      </c>
      <c r="N74" s="5"/>
      <c r="O74" s="4"/>
    </row>
    <row r="75" spans="1:15" ht="16.5" customHeight="1" x14ac:dyDescent="0.2">
      <c r="A75" s="4"/>
      <c r="B75" s="5"/>
      <c r="C75" s="14"/>
      <c r="D75" s="12" t="str">
        <f>IF(C75="","",[1]!hks_info_name(C75))</f>
        <v/>
      </c>
      <c r="E75" s="13" t="str">
        <f ca="1">IF(C75="","",[1]!lastradeday_s(C75,TODAY()))</f>
        <v/>
      </c>
      <c r="F75" s="35" t="str">
        <f>IF(表1_3[[#This Row],[列1]]="","",RTD("wdf.rtq", ,表1_3[[#This Row],[列1]], "rt_last","RT_Price"))</f>
        <v/>
      </c>
      <c r="G75" s="50" t="str">
        <f>IF(表1_3[[#This Row],[列1]]="","",RTD("wdf.rtq", ,表1_3[[#This Row],[列1]], "rt_chg","RT_Price"))</f>
        <v/>
      </c>
      <c r="H75" s="48" t="str">
        <f>IF(表1_3[[#This Row],[列1]]="","",RTD("wdf.rtq", ,表1_3[[#This Row],[列1]], "rt_pct_chg","RT_Price")/100)</f>
        <v/>
      </c>
      <c r="I75" s="33" t="str">
        <f>IF(表1_3[[#This Row],[列1]]="","",RTD("wdf.rtq", ,表1_3[[#This Row],[列1]], "rt_amt","RT_Price"))</f>
        <v/>
      </c>
      <c r="J75" s="54" t="str">
        <f>IF(表1_3[[#This Row],[列1]]="","",RTD("wdf.rtq", ,表1_3[[#This Row],[列1]], "rt_vol","RT_Price"))</f>
        <v/>
      </c>
      <c r="K75" s="56" t="str">
        <f>IF(表1_3[[#This Row],[列1]]="","",RTD("wdf.rtq", ,表1_3[[#This Row],[列1]], "rt_pct_chg_20d","RT_Price"))</f>
        <v/>
      </c>
      <c r="L75" s="53" t="str">
        <f>IF(表1_3[[#This Row],[列1]]="","",RTD("wdf.rtq", ,表1_3[[#This Row],[列1]], "rt_pct_chg_60d","RT_Price"))</f>
        <v/>
      </c>
      <c r="M75" s="48" t="str">
        <f>IF(表1_3[[#This Row],[列1]]="","",RTD("wdf.rtq", ,表1_3[[#This Row],[列1]], "rt_pct_chg_ytd","RT_Price"))</f>
        <v/>
      </c>
      <c r="N75" s="5"/>
      <c r="O75" s="4"/>
    </row>
    <row r="76" spans="1:15" ht="16.5" customHeight="1" x14ac:dyDescent="0.2">
      <c r="A76" s="4"/>
      <c r="B76" s="5"/>
      <c r="C76" s="14"/>
      <c r="D76" s="12" t="str">
        <f>IF(C76="","",[1]!hks_info_name(C76))</f>
        <v/>
      </c>
      <c r="E76" s="13" t="str">
        <f ca="1">IF(C76="","",[1]!lastradeday_s(C76,TODAY()))</f>
        <v/>
      </c>
      <c r="F76" s="35" t="str">
        <f>IF(表1_3[[#This Row],[列1]]="","",RTD("wdf.rtq", ,表1_3[[#This Row],[列1]], "rt_last","RT_Price"))</f>
        <v/>
      </c>
      <c r="G76" s="49" t="str">
        <f>IF(表1_3[[#This Row],[列1]]="","",RTD("wdf.rtq", ,表1_3[[#This Row],[列1]], "rt_chg","RT_Price"))</f>
        <v/>
      </c>
      <c r="H76" s="47" t="str">
        <f>IF(表1_3[[#This Row],[列1]]="","",RTD("wdf.rtq", ,表1_3[[#This Row],[列1]], "rt_pct_chg","RT_Price")/100)</f>
        <v/>
      </c>
      <c r="I76" s="33" t="str">
        <f>IF(表1_3[[#This Row],[列1]]="","",RTD("wdf.rtq", ,表1_3[[#This Row],[列1]], "rt_amt","RT_Price"))</f>
        <v/>
      </c>
      <c r="J76" s="54" t="str">
        <f>IF(表1_3[[#This Row],[列1]]="","",RTD("wdf.rtq", ,表1_3[[#This Row],[列1]], "rt_vol","RT_Price"))</f>
        <v/>
      </c>
      <c r="K76" s="55" t="str">
        <f>IF(表1_3[[#This Row],[列1]]="","",RTD("wdf.rtq", ,表1_3[[#This Row],[列1]], "rt_pct_chg_20d","RT_Price"))</f>
        <v/>
      </c>
      <c r="L76" s="52" t="str">
        <f>IF(表1_3[[#This Row],[列1]]="","",RTD("wdf.rtq", ,表1_3[[#This Row],[列1]], "rt_pct_chg_60d","RT_Price"))</f>
        <v/>
      </c>
      <c r="M76" s="47" t="str">
        <f>IF(表1_3[[#This Row],[列1]]="","",RTD("wdf.rtq", ,表1_3[[#This Row],[列1]], "rt_pct_chg_ytd","RT_Price"))</f>
        <v/>
      </c>
      <c r="N76" s="5"/>
      <c r="O76" s="4"/>
    </row>
    <row r="77" spans="1:15" ht="16.5" customHeight="1" x14ac:dyDescent="0.2">
      <c r="A77" s="4"/>
      <c r="B77" s="5"/>
      <c r="C77" s="14"/>
      <c r="D77" s="12" t="str">
        <f>IF(C77="","",[1]!hks_info_name(C77))</f>
        <v/>
      </c>
      <c r="E77" s="13" t="str">
        <f ca="1">IF(C77="","",[1]!lastradeday_s(C77,TODAY()))</f>
        <v/>
      </c>
      <c r="F77" s="35" t="str">
        <f>IF(表1_3[[#This Row],[列1]]="","",RTD("wdf.rtq", ,表1_3[[#This Row],[列1]], "rt_last","RT_Price"))</f>
        <v/>
      </c>
      <c r="G77" s="50" t="str">
        <f>IF(表1_3[[#This Row],[列1]]="","",RTD("wdf.rtq", ,表1_3[[#This Row],[列1]], "rt_chg","RT_Price"))</f>
        <v/>
      </c>
      <c r="H77" s="48" t="str">
        <f>IF(表1_3[[#This Row],[列1]]="","",RTD("wdf.rtq", ,表1_3[[#This Row],[列1]], "rt_pct_chg","RT_Price")/100)</f>
        <v/>
      </c>
      <c r="I77" s="33" t="str">
        <f>IF(表1_3[[#This Row],[列1]]="","",RTD("wdf.rtq", ,表1_3[[#This Row],[列1]], "rt_amt","RT_Price"))</f>
        <v/>
      </c>
      <c r="J77" s="54" t="str">
        <f>IF(表1_3[[#This Row],[列1]]="","",RTD("wdf.rtq", ,表1_3[[#This Row],[列1]], "rt_vol","RT_Price"))</f>
        <v/>
      </c>
      <c r="K77" s="56" t="str">
        <f>IF(表1_3[[#This Row],[列1]]="","",RTD("wdf.rtq", ,表1_3[[#This Row],[列1]], "rt_pct_chg_20d","RT_Price"))</f>
        <v/>
      </c>
      <c r="L77" s="53" t="str">
        <f>IF(表1_3[[#This Row],[列1]]="","",RTD("wdf.rtq", ,表1_3[[#This Row],[列1]], "rt_pct_chg_60d","RT_Price"))</f>
        <v/>
      </c>
      <c r="M77" s="48" t="str">
        <f>IF(表1_3[[#This Row],[列1]]="","",RTD("wdf.rtq", ,表1_3[[#This Row],[列1]], "rt_pct_chg_ytd","RT_Price"))</f>
        <v/>
      </c>
      <c r="N77" s="5"/>
      <c r="O77" s="4"/>
    </row>
    <row r="78" spans="1:15" ht="16.5" customHeight="1" x14ac:dyDescent="0.2">
      <c r="A78" s="4"/>
      <c r="B78" s="5"/>
      <c r="C78" s="14"/>
      <c r="D78" s="12" t="str">
        <f>IF(C78="","",[1]!hks_info_name(C78))</f>
        <v/>
      </c>
      <c r="E78" s="13" t="str">
        <f ca="1">IF(C78="","",[1]!lastradeday_s(C78,TODAY()))</f>
        <v/>
      </c>
      <c r="F78" s="35" t="str">
        <f>IF(表1_3[[#This Row],[列1]]="","",RTD("wdf.rtq", ,表1_3[[#This Row],[列1]], "rt_last","RT_Price"))</f>
        <v/>
      </c>
      <c r="G78" s="49" t="str">
        <f>IF(表1_3[[#This Row],[列1]]="","",RTD("wdf.rtq", ,表1_3[[#This Row],[列1]], "rt_chg","RT_Price"))</f>
        <v/>
      </c>
      <c r="H78" s="47" t="str">
        <f>IF(表1_3[[#This Row],[列1]]="","",RTD("wdf.rtq", ,表1_3[[#This Row],[列1]], "rt_pct_chg","RT_Price")/100)</f>
        <v/>
      </c>
      <c r="I78" s="33" t="str">
        <f>IF(表1_3[[#This Row],[列1]]="","",RTD("wdf.rtq", ,表1_3[[#This Row],[列1]], "rt_amt","RT_Price"))</f>
        <v/>
      </c>
      <c r="J78" s="54" t="str">
        <f>IF(表1_3[[#This Row],[列1]]="","",RTD("wdf.rtq", ,表1_3[[#This Row],[列1]], "rt_vol","RT_Price"))</f>
        <v/>
      </c>
      <c r="K78" s="55" t="str">
        <f>IF(表1_3[[#This Row],[列1]]="","",RTD("wdf.rtq", ,表1_3[[#This Row],[列1]], "rt_pct_chg_20d","RT_Price"))</f>
        <v/>
      </c>
      <c r="L78" s="52" t="str">
        <f>IF(表1_3[[#This Row],[列1]]="","",RTD("wdf.rtq", ,表1_3[[#This Row],[列1]], "rt_pct_chg_60d","RT_Price"))</f>
        <v/>
      </c>
      <c r="M78" s="47" t="str">
        <f>IF(表1_3[[#This Row],[列1]]="","",RTD("wdf.rtq", ,表1_3[[#This Row],[列1]], "rt_pct_chg_ytd","RT_Price"))</f>
        <v/>
      </c>
      <c r="N78" s="5"/>
      <c r="O78" s="4"/>
    </row>
    <row r="79" spans="1:15" ht="16.5" customHeight="1" x14ac:dyDescent="0.2">
      <c r="A79" s="4"/>
      <c r="B79" s="5"/>
      <c r="C79" s="14"/>
      <c r="D79" s="12" t="str">
        <f>IF(C79="","",[1]!hks_info_name(C79))</f>
        <v/>
      </c>
      <c r="E79" s="13" t="str">
        <f ca="1">IF(C79="","",[1]!lastradeday_s(C79,TODAY()))</f>
        <v/>
      </c>
      <c r="F79" s="35" t="str">
        <f>IF(表1_3[[#This Row],[列1]]="","",RTD("wdf.rtq", ,表1_3[[#This Row],[列1]], "rt_last","RT_Price"))</f>
        <v/>
      </c>
      <c r="G79" s="50" t="str">
        <f>IF(表1_3[[#This Row],[列1]]="","",RTD("wdf.rtq", ,表1_3[[#This Row],[列1]], "rt_chg","RT_Price"))</f>
        <v/>
      </c>
      <c r="H79" s="48" t="str">
        <f>IF(表1_3[[#This Row],[列1]]="","",RTD("wdf.rtq", ,表1_3[[#This Row],[列1]], "rt_pct_chg","RT_Price")/100)</f>
        <v/>
      </c>
      <c r="I79" s="33" t="str">
        <f>IF(表1_3[[#This Row],[列1]]="","",RTD("wdf.rtq", ,表1_3[[#This Row],[列1]], "rt_amt","RT_Price"))</f>
        <v/>
      </c>
      <c r="J79" s="54" t="str">
        <f>IF(表1_3[[#This Row],[列1]]="","",RTD("wdf.rtq", ,表1_3[[#This Row],[列1]], "rt_vol","RT_Price"))</f>
        <v/>
      </c>
      <c r="K79" s="56" t="str">
        <f>IF(表1_3[[#This Row],[列1]]="","",RTD("wdf.rtq", ,表1_3[[#This Row],[列1]], "rt_pct_chg_20d","RT_Price"))</f>
        <v/>
      </c>
      <c r="L79" s="53" t="str">
        <f>IF(表1_3[[#This Row],[列1]]="","",RTD("wdf.rtq", ,表1_3[[#This Row],[列1]], "rt_pct_chg_60d","RT_Price"))</f>
        <v/>
      </c>
      <c r="M79" s="48" t="str">
        <f>IF(表1_3[[#This Row],[列1]]="","",RTD("wdf.rtq", ,表1_3[[#This Row],[列1]], "rt_pct_chg_ytd","RT_Price"))</f>
        <v/>
      </c>
      <c r="N79" s="5"/>
      <c r="O79" s="4"/>
    </row>
    <row r="80" spans="1:15" ht="16.5" customHeight="1" x14ac:dyDescent="0.2">
      <c r="A80" s="4"/>
      <c r="B80" s="5"/>
      <c r="C80" s="14"/>
      <c r="D80" s="12" t="str">
        <f>IF(C80="","",[1]!hks_info_name(C80))</f>
        <v/>
      </c>
      <c r="E80" s="13" t="str">
        <f ca="1">IF(C80="","",[1]!lastradeday_s(C80,TODAY()))</f>
        <v/>
      </c>
      <c r="F80" s="35" t="str">
        <f>IF(表1_3[[#This Row],[列1]]="","",RTD("wdf.rtq", ,表1_3[[#This Row],[列1]], "rt_last","RT_Price"))</f>
        <v/>
      </c>
      <c r="G80" s="49" t="str">
        <f>IF(表1_3[[#This Row],[列1]]="","",RTD("wdf.rtq", ,表1_3[[#This Row],[列1]], "rt_chg","RT_Price"))</f>
        <v/>
      </c>
      <c r="H80" s="47" t="str">
        <f>IF(表1_3[[#This Row],[列1]]="","",RTD("wdf.rtq", ,表1_3[[#This Row],[列1]], "rt_pct_chg","RT_Price")/100)</f>
        <v/>
      </c>
      <c r="I80" s="33" t="str">
        <f>IF(表1_3[[#This Row],[列1]]="","",RTD("wdf.rtq", ,表1_3[[#This Row],[列1]], "rt_amt","RT_Price"))</f>
        <v/>
      </c>
      <c r="J80" s="54" t="str">
        <f>IF(表1_3[[#This Row],[列1]]="","",RTD("wdf.rtq", ,表1_3[[#This Row],[列1]], "rt_vol","RT_Price"))</f>
        <v/>
      </c>
      <c r="K80" s="55" t="str">
        <f>IF(表1_3[[#This Row],[列1]]="","",RTD("wdf.rtq", ,表1_3[[#This Row],[列1]], "rt_pct_chg_20d","RT_Price"))</f>
        <v/>
      </c>
      <c r="L80" s="52" t="str">
        <f>IF(表1_3[[#This Row],[列1]]="","",RTD("wdf.rtq", ,表1_3[[#This Row],[列1]], "rt_pct_chg_60d","RT_Price"))</f>
        <v/>
      </c>
      <c r="M80" s="47" t="str">
        <f>IF(表1_3[[#This Row],[列1]]="","",RTD("wdf.rtq", ,表1_3[[#This Row],[列1]], "rt_pct_chg_ytd","RT_Price"))</f>
        <v/>
      </c>
      <c r="N80" s="5"/>
      <c r="O80" s="4"/>
    </row>
    <row r="81" spans="1:15" ht="16.5" customHeight="1" x14ac:dyDescent="0.2">
      <c r="A81" s="4"/>
      <c r="B81" s="5"/>
      <c r="C81" s="14"/>
      <c r="D81" s="12" t="str">
        <f>IF(C81="","",[1]!hks_info_name(C81))</f>
        <v/>
      </c>
      <c r="E81" s="13" t="str">
        <f ca="1">IF(C81="","",[1]!lastradeday_s(C81,TODAY()))</f>
        <v/>
      </c>
      <c r="F81" s="35" t="str">
        <f>IF(表1_3[[#This Row],[列1]]="","",RTD("wdf.rtq", ,表1_3[[#This Row],[列1]], "rt_last","RT_Price"))</f>
        <v/>
      </c>
      <c r="G81" s="50" t="str">
        <f>IF(表1_3[[#This Row],[列1]]="","",RTD("wdf.rtq", ,表1_3[[#This Row],[列1]], "rt_chg","RT_Price"))</f>
        <v/>
      </c>
      <c r="H81" s="48" t="str">
        <f>IF(表1_3[[#This Row],[列1]]="","",RTD("wdf.rtq", ,表1_3[[#This Row],[列1]], "rt_pct_chg","RT_Price")/100)</f>
        <v/>
      </c>
      <c r="I81" s="33" t="str">
        <f>IF(表1_3[[#This Row],[列1]]="","",RTD("wdf.rtq", ,表1_3[[#This Row],[列1]], "rt_amt","RT_Price"))</f>
        <v/>
      </c>
      <c r="J81" s="54" t="str">
        <f>IF(表1_3[[#This Row],[列1]]="","",RTD("wdf.rtq", ,表1_3[[#This Row],[列1]], "rt_vol","RT_Price"))</f>
        <v/>
      </c>
      <c r="K81" s="56" t="str">
        <f>IF(表1_3[[#This Row],[列1]]="","",RTD("wdf.rtq", ,表1_3[[#This Row],[列1]], "rt_pct_chg_20d","RT_Price"))</f>
        <v/>
      </c>
      <c r="L81" s="53" t="str">
        <f>IF(表1_3[[#This Row],[列1]]="","",RTD("wdf.rtq", ,表1_3[[#This Row],[列1]], "rt_pct_chg_60d","RT_Price"))</f>
        <v/>
      </c>
      <c r="M81" s="48" t="str">
        <f>IF(表1_3[[#This Row],[列1]]="","",RTD("wdf.rtq", ,表1_3[[#This Row],[列1]], "rt_pct_chg_ytd","RT_Price"))</f>
        <v/>
      </c>
      <c r="N81" s="5"/>
      <c r="O81" s="4"/>
    </row>
    <row r="82" spans="1:15" ht="16.5" customHeight="1" x14ac:dyDescent="0.2">
      <c r="A82" s="4"/>
      <c r="B82" s="5"/>
      <c r="C82" s="14"/>
      <c r="D82" s="12" t="str">
        <f>IF(C82="","",[1]!hks_info_name(C82))</f>
        <v/>
      </c>
      <c r="E82" s="13" t="str">
        <f ca="1">IF(C82="","",[1]!lastradeday_s(C82,TODAY()))</f>
        <v/>
      </c>
      <c r="F82" s="35" t="str">
        <f>IF(表1_3[[#This Row],[列1]]="","",RTD("wdf.rtq", ,表1_3[[#This Row],[列1]], "rt_last","RT_Price"))</f>
        <v/>
      </c>
      <c r="G82" s="49" t="str">
        <f>IF(表1_3[[#This Row],[列1]]="","",RTD("wdf.rtq", ,表1_3[[#This Row],[列1]], "rt_chg","RT_Price"))</f>
        <v/>
      </c>
      <c r="H82" s="47" t="str">
        <f>IF(表1_3[[#This Row],[列1]]="","",RTD("wdf.rtq", ,表1_3[[#This Row],[列1]], "rt_pct_chg","RT_Price")/100)</f>
        <v/>
      </c>
      <c r="I82" s="33" t="str">
        <f>IF(表1_3[[#This Row],[列1]]="","",RTD("wdf.rtq", ,表1_3[[#This Row],[列1]], "rt_amt","RT_Price"))</f>
        <v/>
      </c>
      <c r="J82" s="54" t="str">
        <f>IF(表1_3[[#This Row],[列1]]="","",RTD("wdf.rtq", ,表1_3[[#This Row],[列1]], "rt_vol","RT_Price"))</f>
        <v/>
      </c>
      <c r="K82" s="55" t="str">
        <f>IF(表1_3[[#This Row],[列1]]="","",RTD("wdf.rtq", ,表1_3[[#This Row],[列1]], "rt_pct_chg_20d","RT_Price"))</f>
        <v/>
      </c>
      <c r="L82" s="52" t="str">
        <f>IF(表1_3[[#This Row],[列1]]="","",RTD("wdf.rtq", ,表1_3[[#This Row],[列1]], "rt_pct_chg_60d","RT_Price"))</f>
        <v/>
      </c>
      <c r="M82" s="47" t="str">
        <f>IF(表1_3[[#This Row],[列1]]="","",RTD("wdf.rtq", ,表1_3[[#This Row],[列1]], "rt_pct_chg_ytd","RT_Price"))</f>
        <v/>
      </c>
      <c r="N82" s="5"/>
      <c r="O82" s="4"/>
    </row>
    <row r="83" spans="1:15" ht="16.5" customHeight="1" x14ac:dyDescent="0.2">
      <c r="A83" s="4"/>
      <c r="B83" s="5"/>
      <c r="C83" s="14"/>
      <c r="D83" s="12" t="str">
        <f>IF(C83="","",[1]!hks_info_name(C83))</f>
        <v/>
      </c>
      <c r="E83" s="13" t="str">
        <f ca="1">IF(C83="","",[1]!lastradeday_s(C83,TODAY()))</f>
        <v/>
      </c>
      <c r="F83" s="35" t="str">
        <f>IF(表1_3[[#This Row],[列1]]="","",RTD("wdf.rtq", ,表1_3[[#This Row],[列1]], "rt_last","RT_Price"))</f>
        <v/>
      </c>
      <c r="G83" s="50" t="str">
        <f>IF(表1_3[[#This Row],[列1]]="","",RTD("wdf.rtq", ,表1_3[[#This Row],[列1]], "rt_chg","RT_Price"))</f>
        <v/>
      </c>
      <c r="H83" s="48" t="str">
        <f>IF(表1_3[[#This Row],[列1]]="","",RTD("wdf.rtq", ,表1_3[[#This Row],[列1]], "rt_pct_chg","RT_Price")/100)</f>
        <v/>
      </c>
      <c r="I83" s="33" t="str">
        <f>IF(表1_3[[#This Row],[列1]]="","",RTD("wdf.rtq", ,表1_3[[#This Row],[列1]], "rt_amt","RT_Price"))</f>
        <v/>
      </c>
      <c r="J83" s="54" t="str">
        <f>IF(表1_3[[#This Row],[列1]]="","",RTD("wdf.rtq", ,表1_3[[#This Row],[列1]], "rt_vol","RT_Price"))</f>
        <v/>
      </c>
      <c r="K83" s="56" t="str">
        <f>IF(表1_3[[#This Row],[列1]]="","",RTD("wdf.rtq", ,表1_3[[#This Row],[列1]], "rt_pct_chg_20d","RT_Price"))</f>
        <v/>
      </c>
      <c r="L83" s="53" t="str">
        <f>IF(表1_3[[#This Row],[列1]]="","",RTD("wdf.rtq", ,表1_3[[#This Row],[列1]], "rt_pct_chg_60d","RT_Price"))</f>
        <v/>
      </c>
      <c r="M83" s="48" t="str">
        <f>IF(表1_3[[#This Row],[列1]]="","",RTD("wdf.rtq", ,表1_3[[#This Row],[列1]], "rt_pct_chg_ytd","RT_Price"))</f>
        <v/>
      </c>
      <c r="N83" s="5"/>
      <c r="O83" s="4"/>
    </row>
    <row r="84" spans="1:15" ht="16.5" customHeight="1" x14ac:dyDescent="0.2">
      <c r="A84" s="4"/>
      <c r="B84" s="5"/>
      <c r="C84" s="14"/>
      <c r="D84" s="12" t="str">
        <f>IF(C84="","",[1]!hks_info_name(C84))</f>
        <v/>
      </c>
      <c r="E84" s="13" t="str">
        <f ca="1">IF(C84="","",[1]!lastradeday_s(C84,TODAY()))</f>
        <v/>
      </c>
      <c r="F84" s="35" t="str">
        <f>IF(表1_3[[#This Row],[列1]]="","",RTD("wdf.rtq", ,表1_3[[#This Row],[列1]], "rt_last","RT_Price"))</f>
        <v/>
      </c>
      <c r="G84" s="49" t="str">
        <f>IF(表1_3[[#This Row],[列1]]="","",RTD("wdf.rtq", ,表1_3[[#This Row],[列1]], "rt_chg","RT_Price"))</f>
        <v/>
      </c>
      <c r="H84" s="47" t="str">
        <f>IF(表1_3[[#This Row],[列1]]="","",RTD("wdf.rtq", ,表1_3[[#This Row],[列1]], "rt_pct_chg","RT_Price")/100)</f>
        <v/>
      </c>
      <c r="I84" s="33" t="str">
        <f>IF(表1_3[[#This Row],[列1]]="","",RTD("wdf.rtq", ,表1_3[[#This Row],[列1]], "rt_amt","RT_Price"))</f>
        <v/>
      </c>
      <c r="J84" s="54" t="str">
        <f>IF(表1_3[[#This Row],[列1]]="","",RTD("wdf.rtq", ,表1_3[[#This Row],[列1]], "rt_vol","RT_Price"))</f>
        <v/>
      </c>
      <c r="K84" s="55" t="str">
        <f>IF(表1_3[[#This Row],[列1]]="","",RTD("wdf.rtq", ,表1_3[[#This Row],[列1]], "rt_pct_chg_20d","RT_Price"))</f>
        <v/>
      </c>
      <c r="L84" s="52" t="str">
        <f>IF(表1_3[[#This Row],[列1]]="","",RTD("wdf.rtq", ,表1_3[[#This Row],[列1]], "rt_pct_chg_60d","RT_Price"))</f>
        <v/>
      </c>
      <c r="M84" s="47" t="str">
        <f>IF(表1_3[[#This Row],[列1]]="","",RTD("wdf.rtq", ,表1_3[[#This Row],[列1]], "rt_pct_chg_ytd","RT_Price"))</f>
        <v/>
      </c>
      <c r="N84" s="5"/>
      <c r="O84" s="4"/>
    </row>
    <row r="85" spans="1:15" ht="16.5" customHeight="1" x14ac:dyDescent="0.2">
      <c r="A85" s="4"/>
      <c r="B85" s="5"/>
      <c r="C85" s="14"/>
      <c r="D85" s="12" t="str">
        <f>IF(C85="","",[1]!hks_info_name(C85))</f>
        <v/>
      </c>
      <c r="E85" s="13" t="str">
        <f ca="1">IF(C85="","",[1]!lastradeday_s(C85,TODAY()))</f>
        <v/>
      </c>
      <c r="F85" s="35" t="str">
        <f>IF(表1_3[[#This Row],[列1]]="","",RTD("wdf.rtq", ,表1_3[[#This Row],[列1]], "rt_last","RT_Price"))</f>
        <v/>
      </c>
      <c r="G85" s="50" t="str">
        <f>IF(表1_3[[#This Row],[列1]]="","",RTD("wdf.rtq", ,表1_3[[#This Row],[列1]], "rt_chg","RT_Price"))</f>
        <v/>
      </c>
      <c r="H85" s="48" t="str">
        <f>IF(表1_3[[#This Row],[列1]]="","",RTD("wdf.rtq", ,表1_3[[#This Row],[列1]], "rt_pct_chg","RT_Price")/100)</f>
        <v/>
      </c>
      <c r="I85" s="33" t="str">
        <f>IF(表1_3[[#This Row],[列1]]="","",RTD("wdf.rtq", ,表1_3[[#This Row],[列1]], "rt_amt","RT_Price"))</f>
        <v/>
      </c>
      <c r="J85" s="54" t="str">
        <f>IF(表1_3[[#This Row],[列1]]="","",RTD("wdf.rtq", ,表1_3[[#This Row],[列1]], "rt_vol","RT_Price"))</f>
        <v/>
      </c>
      <c r="K85" s="56" t="str">
        <f>IF(表1_3[[#This Row],[列1]]="","",RTD("wdf.rtq", ,表1_3[[#This Row],[列1]], "rt_pct_chg_20d","RT_Price"))</f>
        <v/>
      </c>
      <c r="L85" s="53" t="str">
        <f>IF(表1_3[[#This Row],[列1]]="","",RTD("wdf.rtq", ,表1_3[[#This Row],[列1]], "rt_pct_chg_60d","RT_Price"))</f>
        <v/>
      </c>
      <c r="M85" s="48" t="str">
        <f>IF(表1_3[[#This Row],[列1]]="","",RTD("wdf.rtq", ,表1_3[[#This Row],[列1]], "rt_pct_chg_ytd","RT_Price"))</f>
        <v/>
      </c>
      <c r="N85" s="5"/>
      <c r="O85" s="4"/>
    </row>
    <row r="86" spans="1:15" ht="16.5" customHeight="1" x14ac:dyDescent="0.2">
      <c r="A86" s="4"/>
      <c r="B86" s="5"/>
      <c r="C86" s="14"/>
      <c r="D86" s="12" t="str">
        <f>IF(C86="","",[1]!hks_info_name(C86))</f>
        <v/>
      </c>
      <c r="E86" s="13" t="str">
        <f ca="1">IF(C86="","",[1]!lastradeday_s(C86,TODAY()))</f>
        <v/>
      </c>
      <c r="F86" s="35" t="str">
        <f>IF(表1_3[[#This Row],[列1]]="","",RTD("wdf.rtq", ,表1_3[[#This Row],[列1]], "rt_last","RT_Price"))</f>
        <v/>
      </c>
      <c r="G86" s="49" t="str">
        <f>IF(表1_3[[#This Row],[列1]]="","",RTD("wdf.rtq", ,表1_3[[#This Row],[列1]], "rt_chg","RT_Price"))</f>
        <v/>
      </c>
      <c r="H86" s="47" t="str">
        <f>IF(表1_3[[#This Row],[列1]]="","",RTD("wdf.rtq", ,表1_3[[#This Row],[列1]], "rt_pct_chg","RT_Price")/100)</f>
        <v/>
      </c>
      <c r="I86" s="33" t="str">
        <f>IF(表1_3[[#This Row],[列1]]="","",RTD("wdf.rtq", ,表1_3[[#This Row],[列1]], "rt_amt","RT_Price"))</f>
        <v/>
      </c>
      <c r="J86" s="54" t="str">
        <f>IF(表1_3[[#This Row],[列1]]="","",RTD("wdf.rtq", ,表1_3[[#This Row],[列1]], "rt_vol","RT_Price"))</f>
        <v/>
      </c>
      <c r="K86" s="55" t="str">
        <f>IF(表1_3[[#This Row],[列1]]="","",RTD("wdf.rtq", ,表1_3[[#This Row],[列1]], "rt_pct_chg_20d","RT_Price"))</f>
        <v/>
      </c>
      <c r="L86" s="52" t="str">
        <f>IF(表1_3[[#This Row],[列1]]="","",RTD("wdf.rtq", ,表1_3[[#This Row],[列1]], "rt_pct_chg_60d","RT_Price"))</f>
        <v/>
      </c>
      <c r="M86" s="47" t="str">
        <f>IF(表1_3[[#This Row],[列1]]="","",RTD("wdf.rtq", ,表1_3[[#This Row],[列1]], "rt_pct_chg_ytd","RT_Price"))</f>
        <v/>
      </c>
      <c r="N86" s="5"/>
      <c r="O86" s="4"/>
    </row>
    <row r="87" spans="1:15" ht="16.5" customHeight="1" x14ac:dyDescent="0.2">
      <c r="A87" s="4"/>
      <c r="B87" s="5"/>
      <c r="C87" s="14"/>
      <c r="D87" s="12" t="str">
        <f>IF(C87="","",[1]!hks_info_name(C87))</f>
        <v/>
      </c>
      <c r="E87" s="13" t="str">
        <f ca="1">IF(C87="","",[1]!lastradeday_s(C87,TODAY()))</f>
        <v/>
      </c>
      <c r="F87" s="35" t="str">
        <f>IF(表1_3[[#This Row],[列1]]="","",RTD("wdf.rtq", ,表1_3[[#This Row],[列1]], "rt_last","RT_Price"))</f>
        <v/>
      </c>
      <c r="G87" s="50" t="str">
        <f>IF(表1_3[[#This Row],[列1]]="","",RTD("wdf.rtq", ,表1_3[[#This Row],[列1]], "rt_chg","RT_Price"))</f>
        <v/>
      </c>
      <c r="H87" s="48" t="str">
        <f>IF(表1_3[[#This Row],[列1]]="","",RTD("wdf.rtq", ,表1_3[[#This Row],[列1]], "rt_pct_chg","RT_Price")/100)</f>
        <v/>
      </c>
      <c r="I87" s="33" t="str">
        <f>IF(表1_3[[#This Row],[列1]]="","",RTD("wdf.rtq", ,表1_3[[#This Row],[列1]], "rt_amt","RT_Price"))</f>
        <v/>
      </c>
      <c r="J87" s="54" t="str">
        <f>IF(表1_3[[#This Row],[列1]]="","",RTD("wdf.rtq", ,表1_3[[#This Row],[列1]], "rt_vol","RT_Price"))</f>
        <v/>
      </c>
      <c r="K87" s="56" t="str">
        <f>IF(表1_3[[#This Row],[列1]]="","",RTD("wdf.rtq", ,表1_3[[#This Row],[列1]], "rt_pct_chg_20d","RT_Price"))</f>
        <v/>
      </c>
      <c r="L87" s="53" t="str">
        <f>IF(表1_3[[#This Row],[列1]]="","",RTD("wdf.rtq", ,表1_3[[#This Row],[列1]], "rt_pct_chg_60d","RT_Price"))</f>
        <v/>
      </c>
      <c r="M87" s="48" t="str">
        <f>IF(表1_3[[#This Row],[列1]]="","",RTD("wdf.rtq", ,表1_3[[#This Row],[列1]], "rt_pct_chg_ytd","RT_Price"))</f>
        <v/>
      </c>
      <c r="N87" s="5"/>
      <c r="O87" s="4"/>
    </row>
    <row r="88" spans="1:15" ht="16.5" customHeight="1" x14ac:dyDescent="0.2">
      <c r="A88" s="4"/>
      <c r="B88" s="5"/>
      <c r="C88" s="14"/>
      <c r="D88" s="12" t="str">
        <f>IF(C88="","",[1]!hks_info_name(C88))</f>
        <v/>
      </c>
      <c r="E88" s="13" t="str">
        <f ca="1">IF(C88="","",[1]!lastradeday_s(C88,TODAY()))</f>
        <v/>
      </c>
      <c r="F88" s="35" t="str">
        <f>IF(表1_3[[#This Row],[列1]]="","",RTD("wdf.rtq", ,表1_3[[#This Row],[列1]], "rt_last","RT_Price"))</f>
        <v/>
      </c>
      <c r="G88" s="49" t="str">
        <f>IF(表1_3[[#This Row],[列1]]="","",RTD("wdf.rtq", ,表1_3[[#This Row],[列1]], "rt_chg","RT_Price"))</f>
        <v/>
      </c>
      <c r="H88" s="47" t="str">
        <f>IF(表1_3[[#This Row],[列1]]="","",RTD("wdf.rtq", ,表1_3[[#This Row],[列1]], "rt_pct_chg","RT_Price")/100)</f>
        <v/>
      </c>
      <c r="I88" s="33" t="str">
        <f>IF(表1_3[[#This Row],[列1]]="","",RTD("wdf.rtq", ,表1_3[[#This Row],[列1]], "rt_amt","RT_Price"))</f>
        <v/>
      </c>
      <c r="J88" s="54" t="str">
        <f>IF(表1_3[[#This Row],[列1]]="","",RTD("wdf.rtq", ,表1_3[[#This Row],[列1]], "rt_vol","RT_Price"))</f>
        <v/>
      </c>
      <c r="K88" s="55" t="str">
        <f>IF(表1_3[[#This Row],[列1]]="","",RTD("wdf.rtq", ,表1_3[[#This Row],[列1]], "rt_pct_chg_20d","RT_Price"))</f>
        <v/>
      </c>
      <c r="L88" s="52" t="str">
        <f>IF(表1_3[[#This Row],[列1]]="","",RTD("wdf.rtq", ,表1_3[[#This Row],[列1]], "rt_pct_chg_60d","RT_Price"))</f>
        <v/>
      </c>
      <c r="M88" s="47" t="str">
        <f>IF(表1_3[[#This Row],[列1]]="","",RTD("wdf.rtq", ,表1_3[[#This Row],[列1]], "rt_pct_chg_ytd","RT_Price"))</f>
        <v/>
      </c>
      <c r="N88" s="5"/>
      <c r="O88" s="4"/>
    </row>
    <row r="89" spans="1:15" ht="16.5" customHeight="1" x14ac:dyDescent="0.2">
      <c r="A89" s="4"/>
      <c r="B89" s="5"/>
      <c r="C89" s="14"/>
      <c r="D89" s="12" t="str">
        <f>IF(C89="","",[1]!hks_info_name(C89))</f>
        <v/>
      </c>
      <c r="E89" s="13" t="str">
        <f ca="1">IF(C89="","",[1]!lastradeday_s(C89,TODAY()))</f>
        <v/>
      </c>
      <c r="F89" s="35" t="str">
        <f>IF(表1_3[[#This Row],[列1]]="","",RTD("wdf.rtq", ,表1_3[[#This Row],[列1]], "rt_last","RT_Price"))</f>
        <v/>
      </c>
      <c r="G89" s="50" t="str">
        <f>IF(表1_3[[#This Row],[列1]]="","",RTD("wdf.rtq", ,表1_3[[#This Row],[列1]], "rt_chg","RT_Price"))</f>
        <v/>
      </c>
      <c r="H89" s="48" t="str">
        <f>IF(表1_3[[#This Row],[列1]]="","",RTD("wdf.rtq", ,表1_3[[#This Row],[列1]], "rt_pct_chg","RT_Price")/100)</f>
        <v/>
      </c>
      <c r="I89" s="33" t="str">
        <f>IF(表1_3[[#This Row],[列1]]="","",RTD("wdf.rtq", ,表1_3[[#This Row],[列1]], "rt_amt","RT_Price"))</f>
        <v/>
      </c>
      <c r="J89" s="54" t="str">
        <f>IF(表1_3[[#This Row],[列1]]="","",RTD("wdf.rtq", ,表1_3[[#This Row],[列1]], "rt_vol","RT_Price"))</f>
        <v/>
      </c>
      <c r="K89" s="56" t="str">
        <f>IF(表1_3[[#This Row],[列1]]="","",RTD("wdf.rtq", ,表1_3[[#This Row],[列1]], "rt_pct_chg_20d","RT_Price"))</f>
        <v/>
      </c>
      <c r="L89" s="53" t="str">
        <f>IF(表1_3[[#This Row],[列1]]="","",RTD("wdf.rtq", ,表1_3[[#This Row],[列1]], "rt_pct_chg_60d","RT_Price"))</f>
        <v/>
      </c>
      <c r="M89" s="48" t="str">
        <f>IF(表1_3[[#This Row],[列1]]="","",RTD("wdf.rtq", ,表1_3[[#This Row],[列1]], "rt_pct_chg_ytd","RT_Price"))</f>
        <v/>
      </c>
      <c r="N89" s="5"/>
      <c r="O89" s="4"/>
    </row>
    <row r="90" spans="1:15" ht="16.5" customHeight="1" x14ac:dyDescent="0.2">
      <c r="A90" s="4"/>
      <c r="B90" s="5"/>
      <c r="C90" s="14"/>
      <c r="D90" s="12" t="str">
        <f>IF(C90="","",[1]!hks_info_name(C90))</f>
        <v/>
      </c>
      <c r="E90" s="13" t="str">
        <f ca="1">IF(C90="","",[1]!lastradeday_s(C90,TODAY()))</f>
        <v/>
      </c>
      <c r="F90" s="35" t="str">
        <f>IF(表1_3[[#This Row],[列1]]="","",RTD("wdf.rtq", ,表1_3[[#This Row],[列1]], "rt_last","RT_Price"))</f>
        <v/>
      </c>
      <c r="G90" s="49" t="str">
        <f>IF(表1_3[[#This Row],[列1]]="","",RTD("wdf.rtq", ,表1_3[[#This Row],[列1]], "rt_chg","RT_Price"))</f>
        <v/>
      </c>
      <c r="H90" s="47" t="str">
        <f>IF(表1_3[[#This Row],[列1]]="","",RTD("wdf.rtq", ,表1_3[[#This Row],[列1]], "rt_pct_chg","RT_Price")/100)</f>
        <v/>
      </c>
      <c r="I90" s="33" t="str">
        <f>IF(表1_3[[#This Row],[列1]]="","",RTD("wdf.rtq", ,表1_3[[#This Row],[列1]], "rt_amt","RT_Price"))</f>
        <v/>
      </c>
      <c r="J90" s="54" t="str">
        <f>IF(表1_3[[#This Row],[列1]]="","",RTD("wdf.rtq", ,表1_3[[#This Row],[列1]], "rt_vol","RT_Price"))</f>
        <v/>
      </c>
      <c r="K90" s="55" t="str">
        <f>IF(表1_3[[#This Row],[列1]]="","",RTD("wdf.rtq", ,表1_3[[#This Row],[列1]], "rt_pct_chg_20d","RT_Price"))</f>
        <v/>
      </c>
      <c r="L90" s="52" t="str">
        <f>IF(表1_3[[#This Row],[列1]]="","",RTD("wdf.rtq", ,表1_3[[#This Row],[列1]], "rt_pct_chg_60d","RT_Price"))</f>
        <v/>
      </c>
      <c r="M90" s="47" t="str">
        <f>IF(表1_3[[#This Row],[列1]]="","",RTD("wdf.rtq", ,表1_3[[#This Row],[列1]], "rt_pct_chg_ytd","RT_Price"))</f>
        <v/>
      </c>
      <c r="N90" s="5"/>
      <c r="O90" s="4"/>
    </row>
    <row r="91" spans="1:15" ht="16.5" customHeight="1" x14ac:dyDescent="0.2">
      <c r="A91" s="4"/>
      <c r="B91" s="5"/>
      <c r="C91" s="14"/>
      <c r="D91" s="12" t="str">
        <f>IF(C91="","",[1]!hks_info_name(C91))</f>
        <v/>
      </c>
      <c r="E91" s="13" t="str">
        <f ca="1">IF(C91="","",[1]!lastradeday_s(C91,TODAY()))</f>
        <v/>
      </c>
      <c r="F91" s="35" t="str">
        <f>IF(表1_3[[#This Row],[列1]]="","",RTD("wdf.rtq", ,表1_3[[#This Row],[列1]], "rt_last","RT_Price"))</f>
        <v/>
      </c>
      <c r="G91" s="50" t="str">
        <f>IF(表1_3[[#This Row],[列1]]="","",RTD("wdf.rtq", ,表1_3[[#This Row],[列1]], "rt_chg","RT_Price"))</f>
        <v/>
      </c>
      <c r="H91" s="48" t="str">
        <f>IF(表1_3[[#This Row],[列1]]="","",RTD("wdf.rtq", ,表1_3[[#This Row],[列1]], "rt_pct_chg","RT_Price")/100)</f>
        <v/>
      </c>
      <c r="I91" s="33" t="str">
        <f>IF(表1_3[[#This Row],[列1]]="","",RTD("wdf.rtq", ,表1_3[[#This Row],[列1]], "rt_amt","RT_Price"))</f>
        <v/>
      </c>
      <c r="J91" s="54" t="str">
        <f>IF(表1_3[[#This Row],[列1]]="","",RTD("wdf.rtq", ,表1_3[[#This Row],[列1]], "rt_vol","RT_Price"))</f>
        <v/>
      </c>
      <c r="K91" s="56" t="str">
        <f>IF(表1_3[[#This Row],[列1]]="","",RTD("wdf.rtq", ,表1_3[[#This Row],[列1]], "rt_pct_chg_20d","RT_Price"))</f>
        <v/>
      </c>
      <c r="L91" s="53" t="str">
        <f>IF(表1_3[[#This Row],[列1]]="","",RTD("wdf.rtq", ,表1_3[[#This Row],[列1]], "rt_pct_chg_60d","RT_Price"))</f>
        <v/>
      </c>
      <c r="M91" s="48" t="str">
        <f>IF(表1_3[[#This Row],[列1]]="","",RTD("wdf.rtq", ,表1_3[[#This Row],[列1]], "rt_pct_chg_ytd","RT_Price"))</f>
        <v/>
      </c>
      <c r="N91" s="5"/>
      <c r="O91" s="4"/>
    </row>
    <row r="92" spans="1:15" ht="16.5" customHeight="1" x14ac:dyDescent="0.2">
      <c r="A92" s="4"/>
      <c r="B92" s="5"/>
      <c r="C92" s="14"/>
      <c r="D92" s="12" t="str">
        <f>IF(C92="","",[1]!hks_info_name(C92))</f>
        <v/>
      </c>
      <c r="E92" s="13" t="str">
        <f ca="1">IF(C92="","",[1]!lastradeday_s(C92,TODAY()))</f>
        <v/>
      </c>
      <c r="F92" s="35" t="str">
        <f>IF(表1_3[[#This Row],[列1]]="","",RTD("wdf.rtq", ,表1_3[[#This Row],[列1]], "rt_last","RT_Price"))</f>
        <v/>
      </c>
      <c r="G92" s="49" t="str">
        <f>IF(表1_3[[#This Row],[列1]]="","",RTD("wdf.rtq", ,表1_3[[#This Row],[列1]], "rt_chg","RT_Price"))</f>
        <v/>
      </c>
      <c r="H92" s="47" t="str">
        <f>IF(表1_3[[#This Row],[列1]]="","",RTD("wdf.rtq", ,表1_3[[#This Row],[列1]], "rt_pct_chg","RT_Price")/100)</f>
        <v/>
      </c>
      <c r="I92" s="33" t="str">
        <f>IF(表1_3[[#This Row],[列1]]="","",RTD("wdf.rtq", ,表1_3[[#This Row],[列1]], "rt_amt","RT_Price"))</f>
        <v/>
      </c>
      <c r="J92" s="54" t="str">
        <f>IF(表1_3[[#This Row],[列1]]="","",RTD("wdf.rtq", ,表1_3[[#This Row],[列1]], "rt_vol","RT_Price"))</f>
        <v/>
      </c>
      <c r="K92" s="55" t="str">
        <f>IF(表1_3[[#This Row],[列1]]="","",RTD("wdf.rtq", ,表1_3[[#This Row],[列1]], "rt_pct_chg_20d","RT_Price"))</f>
        <v/>
      </c>
      <c r="L92" s="52" t="str">
        <f>IF(表1_3[[#This Row],[列1]]="","",RTD("wdf.rtq", ,表1_3[[#This Row],[列1]], "rt_pct_chg_60d","RT_Price"))</f>
        <v/>
      </c>
      <c r="M92" s="47" t="str">
        <f>IF(表1_3[[#This Row],[列1]]="","",RTD("wdf.rtq", ,表1_3[[#This Row],[列1]], "rt_pct_chg_ytd","RT_Price"))</f>
        <v/>
      </c>
      <c r="N92" s="5"/>
      <c r="O92" s="4"/>
    </row>
    <row r="93" spans="1:15" ht="16.5" customHeight="1" x14ac:dyDescent="0.2">
      <c r="A93" s="4"/>
      <c r="B93" s="5"/>
      <c r="C93" s="14"/>
      <c r="D93" s="12" t="str">
        <f>IF(C93="","",[1]!hks_info_name(C93))</f>
        <v/>
      </c>
      <c r="E93" s="13" t="str">
        <f ca="1">IF(C93="","",[1]!lastradeday_s(C93,TODAY()))</f>
        <v/>
      </c>
      <c r="F93" s="35" t="str">
        <f>IF(表1_3[[#This Row],[列1]]="","",RTD("wdf.rtq", ,表1_3[[#This Row],[列1]], "rt_last","RT_Price"))</f>
        <v/>
      </c>
      <c r="G93" s="50" t="str">
        <f>IF(表1_3[[#This Row],[列1]]="","",RTD("wdf.rtq", ,表1_3[[#This Row],[列1]], "rt_chg","RT_Price"))</f>
        <v/>
      </c>
      <c r="H93" s="48" t="str">
        <f>IF(表1_3[[#This Row],[列1]]="","",RTD("wdf.rtq", ,表1_3[[#This Row],[列1]], "rt_pct_chg","RT_Price")/100)</f>
        <v/>
      </c>
      <c r="I93" s="33" t="str">
        <f>IF(表1_3[[#This Row],[列1]]="","",RTD("wdf.rtq", ,表1_3[[#This Row],[列1]], "rt_amt","RT_Price"))</f>
        <v/>
      </c>
      <c r="J93" s="54" t="str">
        <f>IF(表1_3[[#This Row],[列1]]="","",RTD("wdf.rtq", ,表1_3[[#This Row],[列1]], "rt_vol","RT_Price"))</f>
        <v/>
      </c>
      <c r="K93" s="56" t="str">
        <f>IF(表1_3[[#This Row],[列1]]="","",RTD("wdf.rtq", ,表1_3[[#This Row],[列1]], "rt_pct_chg_20d","RT_Price"))</f>
        <v/>
      </c>
      <c r="L93" s="53" t="str">
        <f>IF(表1_3[[#This Row],[列1]]="","",RTD("wdf.rtq", ,表1_3[[#This Row],[列1]], "rt_pct_chg_60d","RT_Price"))</f>
        <v/>
      </c>
      <c r="M93" s="48" t="str">
        <f>IF(表1_3[[#This Row],[列1]]="","",RTD("wdf.rtq", ,表1_3[[#This Row],[列1]], "rt_pct_chg_ytd","RT_Price"))</f>
        <v/>
      </c>
      <c r="N93" s="5"/>
      <c r="O93" s="4"/>
    </row>
    <row r="94" spans="1:15" ht="16.5" customHeight="1" x14ac:dyDescent="0.2">
      <c r="A94" s="4"/>
      <c r="B94" s="5"/>
      <c r="C94" s="14"/>
      <c r="D94" s="12" t="str">
        <f>IF(C94="","",[1]!hks_info_name(C94))</f>
        <v/>
      </c>
      <c r="E94" s="13" t="str">
        <f ca="1">IF(C94="","",[1]!lastradeday_s(C94,TODAY()))</f>
        <v/>
      </c>
      <c r="F94" s="35" t="str">
        <f>IF(表1_3[[#This Row],[列1]]="","",RTD("wdf.rtq", ,表1_3[[#This Row],[列1]], "rt_last","RT_Price"))</f>
        <v/>
      </c>
      <c r="G94" s="49" t="str">
        <f>IF(表1_3[[#This Row],[列1]]="","",RTD("wdf.rtq", ,表1_3[[#This Row],[列1]], "rt_chg","RT_Price"))</f>
        <v/>
      </c>
      <c r="H94" s="47" t="str">
        <f>IF(表1_3[[#This Row],[列1]]="","",RTD("wdf.rtq", ,表1_3[[#This Row],[列1]], "rt_pct_chg","RT_Price")/100)</f>
        <v/>
      </c>
      <c r="I94" s="33" t="str">
        <f>IF(表1_3[[#This Row],[列1]]="","",RTD("wdf.rtq", ,表1_3[[#This Row],[列1]], "rt_amt","RT_Price"))</f>
        <v/>
      </c>
      <c r="J94" s="54" t="str">
        <f>IF(表1_3[[#This Row],[列1]]="","",RTD("wdf.rtq", ,表1_3[[#This Row],[列1]], "rt_vol","RT_Price"))</f>
        <v/>
      </c>
      <c r="K94" s="55" t="str">
        <f>IF(表1_3[[#This Row],[列1]]="","",RTD("wdf.rtq", ,表1_3[[#This Row],[列1]], "rt_pct_chg_20d","RT_Price"))</f>
        <v/>
      </c>
      <c r="L94" s="52" t="str">
        <f>IF(表1_3[[#This Row],[列1]]="","",RTD("wdf.rtq", ,表1_3[[#This Row],[列1]], "rt_pct_chg_60d","RT_Price"))</f>
        <v/>
      </c>
      <c r="M94" s="47" t="str">
        <f>IF(表1_3[[#This Row],[列1]]="","",RTD("wdf.rtq", ,表1_3[[#This Row],[列1]], "rt_pct_chg_ytd","RT_Price"))</f>
        <v/>
      </c>
      <c r="N94" s="5"/>
      <c r="O94" s="4"/>
    </row>
    <row r="95" spans="1:15" ht="16.5" customHeight="1" x14ac:dyDescent="0.2">
      <c r="A95" s="4"/>
      <c r="B95" s="5"/>
      <c r="C95" s="14"/>
      <c r="D95" s="12" t="str">
        <f>IF(C95="","",[1]!hks_info_name(C95))</f>
        <v/>
      </c>
      <c r="E95" s="13" t="str">
        <f ca="1">IF(C95="","",[1]!lastradeday_s(C95,TODAY()))</f>
        <v/>
      </c>
      <c r="F95" s="35" t="str">
        <f>IF(表1_3[[#This Row],[列1]]="","",RTD("wdf.rtq", ,表1_3[[#This Row],[列1]], "rt_last","RT_Price"))</f>
        <v/>
      </c>
      <c r="G95" s="50" t="str">
        <f>IF(表1_3[[#This Row],[列1]]="","",RTD("wdf.rtq", ,表1_3[[#This Row],[列1]], "rt_chg","RT_Price"))</f>
        <v/>
      </c>
      <c r="H95" s="48" t="str">
        <f>IF(表1_3[[#This Row],[列1]]="","",RTD("wdf.rtq", ,表1_3[[#This Row],[列1]], "rt_pct_chg","RT_Price")/100)</f>
        <v/>
      </c>
      <c r="I95" s="33" t="str">
        <f>IF(表1_3[[#This Row],[列1]]="","",RTD("wdf.rtq", ,表1_3[[#This Row],[列1]], "rt_amt","RT_Price"))</f>
        <v/>
      </c>
      <c r="J95" s="54" t="str">
        <f>IF(表1_3[[#This Row],[列1]]="","",RTD("wdf.rtq", ,表1_3[[#This Row],[列1]], "rt_vol","RT_Price"))</f>
        <v/>
      </c>
      <c r="K95" s="56" t="str">
        <f>IF(表1_3[[#This Row],[列1]]="","",RTD("wdf.rtq", ,表1_3[[#This Row],[列1]], "rt_pct_chg_20d","RT_Price"))</f>
        <v/>
      </c>
      <c r="L95" s="53" t="str">
        <f>IF(表1_3[[#This Row],[列1]]="","",RTD("wdf.rtq", ,表1_3[[#This Row],[列1]], "rt_pct_chg_60d","RT_Price"))</f>
        <v/>
      </c>
      <c r="M95" s="48" t="str">
        <f>IF(表1_3[[#This Row],[列1]]="","",RTD("wdf.rtq", ,表1_3[[#This Row],[列1]], "rt_pct_chg_ytd","RT_Price"))</f>
        <v/>
      </c>
      <c r="N95" s="5"/>
      <c r="O95" s="4"/>
    </row>
    <row r="96" spans="1:15" ht="16.5" customHeight="1" x14ac:dyDescent="0.2">
      <c r="A96" s="4"/>
      <c r="B96" s="5"/>
      <c r="C96" s="14"/>
      <c r="D96" s="12" t="str">
        <f>IF(C96="","",[1]!hks_info_name(C96))</f>
        <v/>
      </c>
      <c r="E96" s="13" t="str">
        <f ca="1">IF(C96="","",[1]!lastradeday_s(C96,TODAY()))</f>
        <v/>
      </c>
      <c r="F96" s="35" t="str">
        <f>IF(表1_3[[#This Row],[列1]]="","",RTD("wdf.rtq", ,表1_3[[#This Row],[列1]], "rt_last","RT_Price"))</f>
        <v/>
      </c>
      <c r="G96" s="49" t="str">
        <f>IF(表1_3[[#This Row],[列1]]="","",RTD("wdf.rtq", ,表1_3[[#This Row],[列1]], "rt_chg","RT_Price"))</f>
        <v/>
      </c>
      <c r="H96" s="47" t="str">
        <f>IF(表1_3[[#This Row],[列1]]="","",RTD("wdf.rtq", ,表1_3[[#This Row],[列1]], "rt_pct_chg","RT_Price")/100)</f>
        <v/>
      </c>
      <c r="I96" s="33" t="str">
        <f>IF(表1_3[[#This Row],[列1]]="","",RTD("wdf.rtq", ,表1_3[[#This Row],[列1]], "rt_amt","RT_Price"))</f>
        <v/>
      </c>
      <c r="J96" s="54" t="str">
        <f>IF(表1_3[[#This Row],[列1]]="","",RTD("wdf.rtq", ,表1_3[[#This Row],[列1]], "rt_vol","RT_Price"))</f>
        <v/>
      </c>
      <c r="K96" s="55" t="str">
        <f>IF(表1_3[[#This Row],[列1]]="","",RTD("wdf.rtq", ,表1_3[[#This Row],[列1]], "rt_pct_chg_20d","RT_Price"))</f>
        <v/>
      </c>
      <c r="L96" s="52" t="str">
        <f>IF(表1_3[[#This Row],[列1]]="","",RTD("wdf.rtq", ,表1_3[[#This Row],[列1]], "rt_pct_chg_60d","RT_Price"))</f>
        <v/>
      </c>
      <c r="M96" s="47" t="str">
        <f>IF(表1_3[[#This Row],[列1]]="","",RTD("wdf.rtq", ,表1_3[[#This Row],[列1]], "rt_pct_chg_ytd","RT_Price"))</f>
        <v/>
      </c>
      <c r="N96" s="5"/>
      <c r="O96" s="4"/>
    </row>
    <row r="97" spans="1:15" ht="16.5" customHeight="1" x14ac:dyDescent="0.2">
      <c r="A97" s="4"/>
      <c r="B97" s="5"/>
      <c r="C97" s="14"/>
      <c r="D97" s="12" t="str">
        <f>IF(C97="","",[1]!hks_info_name(C97))</f>
        <v/>
      </c>
      <c r="E97" s="13" t="str">
        <f ca="1">IF(C97="","",[1]!lastradeday_s(C97,TODAY()))</f>
        <v/>
      </c>
      <c r="F97" s="35" t="str">
        <f>IF(表1_3[[#This Row],[列1]]="","",RTD("wdf.rtq", ,表1_3[[#This Row],[列1]], "rt_last","RT_Price"))</f>
        <v/>
      </c>
      <c r="G97" s="50" t="str">
        <f>IF(表1_3[[#This Row],[列1]]="","",RTD("wdf.rtq", ,表1_3[[#This Row],[列1]], "rt_chg","RT_Price"))</f>
        <v/>
      </c>
      <c r="H97" s="48" t="str">
        <f>IF(表1_3[[#This Row],[列1]]="","",RTD("wdf.rtq", ,表1_3[[#This Row],[列1]], "rt_pct_chg","RT_Price")/100)</f>
        <v/>
      </c>
      <c r="I97" s="33" t="str">
        <f>IF(表1_3[[#This Row],[列1]]="","",RTD("wdf.rtq", ,表1_3[[#This Row],[列1]], "rt_amt","RT_Price"))</f>
        <v/>
      </c>
      <c r="J97" s="54" t="str">
        <f>IF(表1_3[[#This Row],[列1]]="","",RTD("wdf.rtq", ,表1_3[[#This Row],[列1]], "rt_vol","RT_Price"))</f>
        <v/>
      </c>
      <c r="K97" s="56" t="str">
        <f>IF(表1_3[[#This Row],[列1]]="","",RTD("wdf.rtq", ,表1_3[[#This Row],[列1]], "rt_pct_chg_20d","RT_Price"))</f>
        <v/>
      </c>
      <c r="L97" s="53" t="str">
        <f>IF(表1_3[[#This Row],[列1]]="","",RTD("wdf.rtq", ,表1_3[[#This Row],[列1]], "rt_pct_chg_60d","RT_Price"))</f>
        <v/>
      </c>
      <c r="M97" s="48" t="str">
        <f>IF(表1_3[[#This Row],[列1]]="","",RTD("wdf.rtq", ,表1_3[[#This Row],[列1]], "rt_pct_chg_ytd","RT_Price"))</f>
        <v/>
      </c>
      <c r="N97" s="5"/>
      <c r="O97" s="4"/>
    </row>
    <row r="98" spans="1:15" ht="16.5" customHeight="1" x14ac:dyDescent="0.2">
      <c r="A98" s="4"/>
      <c r="B98" s="5"/>
      <c r="C98" s="14"/>
      <c r="D98" s="12" t="str">
        <f>IF(C98="","",[1]!hks_info_name(C98))</f>
        <v/>
      </c>
      <c r="E98" s="13" t="str">
        <f ca="1">IF(C98="","",[1]!lastradeday_s(C98,TODAY()))</f>
        <v/>
      </c>
      <c r="F98" s="35" t="str">
        <f>IF(表1_3[[#This Row],[列1]]="","",RTD("wdf.rtq", ,表1_3[[#This Row],[列1]], "rt_last","RT_Price"))</f>
        <v/>
      </c>
      <c r="G98" s="49" t="str">
        <f>IF(表1_3[[#This Row],[列1]]="","",RTD("wdf.rtq", ,表1_3[[#This Row],[列1]], "rt_chg","RT_Price"))</f>
        <v/>
      </c>
      <c r="H98" s="47" t="str">
        <f>IF(表1_3[[#This Row],[列1]]="","",RTD("wdf.rtq", ,表1_3[[#This Row],[列1]], "rt_pct_chg","RT_Price")/100)</f>
        <v/>
      </c>
      <c r="I98" s="33" t="str">
        <f>IF(表1_3[[#This Row],[列1]]="","",RTD("wdf.rtq", ,表1_3[[#This Row],[列1]], "rt_amt","RT_Price"))</f>
        <v/>
      </c>
      <c r="J98" s="54" t="str">
        <f>IF(表1_3[[#This Row],[列1]]="","",RTD("wdf.rtq", ,表1_3[[#This Row],[列1]], "rt_vol","RT_Price"))</f>
        <v/>
      </c>
      <c r="K98" s="55" t="str">
        <f>IF(表1_3[[#This Row],[列1]]="","",RTD("wdf.rtq", ,表1_3[[#This Row],[列1]], "rt_pct_chg_20d","RT_Price"))</f>
        <v/>
      </c>
      <c r="L98" s="52" t="str">
        <f>IF(表1_3[[#This Row],[列1]]="","",RTD("wdf.rtq", ,表1_3[[#This Row],[列1]], "rt_pct_chg_60d","RT_Price"))</f>
        <v/>
      </c>
      <c r="M98" s="47" t="str">
        <f>IF(表1_3[[#This Row],[列1]]="","",RTD("wdf.rtq", ,表1_3[[#This Row],[列1]], "rt_pct_chg_ytd","RT_Price"))</f>
        <v/>
      </c>
      <c r="N98" s="5"/>
      <c r="O98" s="4"/>
    </row>
    <row r="99" spans="1:15" ht="9" customHeight="1" x14ac:dyDescent="0.2">
      <c r="A99" s="4"/>
      <c r="B99" s="5"/>
      <c r="C99" s="9"/>
      <c r="D99" s="9"/>
      <c r="E99" s="9"/>
      <c r="F99" s="9"/>
      <c r="G99" s="41"/>
      <c r="H99" s="9"/>
      <c r="I99" s="29"/>
      <c r="J99" s="29"/>
      <c r="K99" s="47"/>
      <c r="L99" s="47"/>
      <c r="M99" s="47"/>
      <c r="N99" s="5"/>
      <c r="O99" s="4"/>
    </row>
    <row r="100" spans="1:15" ht="9" customHeight="1" x14ac:dyDescent="0.35">
      <c r="A100" s="4"/>
      <c r="B100" s="4"/>
      <c r="C100" s="10"/>
      <c r="D100" s="10"/>
      <c r="E100" s="10"/>
      <c r="F100" s="10"/>
      <c r="G100" s="42"/>
      <c r="H100" s="10"/>
      <c r="I100" s="30"/>
      <c r="J100" s="30"/>
      <c r="K100" s="30"/>
      <c r="L100" s="30"/>
      <c r="M100" s="24"/>
      <c r="N100" s="4"/>
      <c r="O100" s="4"/>
    </row>
  </sheetData>
  <mergeCells count="1">
    <mergeCell ref="D1:L1"/>
  </mergeCells>
  <phoneticPr fontId="5" type="noConversion"/>
  <conditionalFormatting sqref="K99:M9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{26076FD5-0765-48DE-8489-90A00922164F}</x14:id>
        </ext>
      </extLst>
    </cfRule>
  </conditionalFormatting>
  <conditionalFormatting sqref="K6:M1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{74EFA476-C420-4E2F-89C2-FB95BA5E2C52}</x14:id>
        </ext>
      </extLst>
    </cfRule>
  </conditionalFormatting>
  <conditionalFormatting sqref="K20:M9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{EE8F979F-64EA-4BAC-BAD9-8E09D12C0B88}</x14:id>
        </ext>
      </extLst>
    </cfRule>
  </conditionalFormatting>
  <conditionalFormatting sqref="G6:G9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{0E970ACE-F5EA-4417-A8B8-9A0B9B6C78F8}</x14:id>
        </ext>
      </extLst>
    </cfRule>
  </conditionalFormatting>
  <conditionalFormatting sqref="H6:H9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{E051574A-E16A-4E6B-A69E-144C0B8E4F35}</x14:id>
        </ext>
      </extLst>
    </cfRule>
  </conditionalFormatting>
  <pageMargins left="0.7" right="0.7" top="0.75" bottom="0.75" header="0.3" footer="0.3"/>
  <pageSetup paperSize="9" orientation="portrait" verticalDpi="0" r:id="rId1"/>
  <ignoredErrors>
    <ignoredError sqref="I6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076FD5-0765-48DE-8489-90A009221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K99:M99</xm:sqref>
        </x14:conditionalFormatting>
        <x14:conditionalFormatting xmlns:xm="http://schemas.microsoft.com/office/excel/2006/main">
          <x14:cfRule type="dataBar" id="{74EFA476-C420-4E2F-89C2-FB95BA5E2C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K6:M19</xm:sqref>
        </x14:conditionalFormatting>
        <x14:conditionalFormatting xmlns:xm="http://schemas.microsoft.com/office/excel/2006/main">
          <x14:cfRule type="dataBar" id="{EE8F979F-64EA-4BAC-BAD9-8E09D12C0B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K20:M98</xm:sqref>
        </x14:conditionalFormatting>
        <x14:conditionalFormatting xmlns:xm="http://schemas.microsoft.com/office/excel/2006/main">
          <x14:cfRule type="dataBar" id="{0E970ACE-F5EA-4417-A8B8-9A0B9B6C78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G6:G98</xm:sqref>
        </x14:conditionalFormatting>
        <x14:conditionalFormatting xmlns:xm="http://schemas.microsoft.com/office/excel/2006/main">
          <x14:cfRule type="dataBar" id="{E051574A-E16A-4E6B-A69E-144C0B8E4F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H6:H98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A390-3885-40BF-9591-8974AA175AE5}">
  <sheetPr codeName="Sheet2"/>
  <dimension ref="A1"/>
  <sheetViews>
    <sheetView workbookViewId="0"/>
  </sheetViews>
  <sheetFormatPr defaultRowHeight="20.25" x14ac:dyDescent="0.35"/>
  <sheetData>
    <row r="1" spans="1:1" x14ac:dyDescent="0.35">
      <c r="A1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行情实时报价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 YongQiang</dc:creator>
  <cp:lastModifiedBy>Cui YongQiang</cp:lastModifiedBy>
  <dcterms:created xsi:type="dcterms:W3CDTF">2024-11-12T07:12:15Z</dcterms:created>
  <dcterms:modified xsi:type="dcterms:W3CDTF">2024-11-12T08:19:39Z</dcterms:modified>
</cp:coreProperties>
</file>