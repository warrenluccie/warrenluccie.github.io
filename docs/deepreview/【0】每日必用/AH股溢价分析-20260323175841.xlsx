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yqcui\SVN\PT\yqcui\Excel插件模板库项目\模板详情\20250826 AH股溢价分析\"/>
    </mc:Choice>
  </mc:AlternateContent>
  <xr:revisionPtr revIDLastSave="0" documentId="13_ncr:1_{F20F65B8-D747-4EB5-ABEE-5A943BF95587}" xr6:coauthVersionLast="36" xr6:coauthVersionMax="36" xr10:uidLastSave="{00000000-0000-0000-0000-000000000000}"/>
  <bookViews>
    <workbookView xWindow="19410" yWindow="150" windowWidth="18750" windowHeight="11595" xr2:uid="{00000000-000D-0000-FFFF-FFFF00000000}"/>
  </bookViews>
  <sheets>
    <sheet name="AH股溢价一览" sheetId="2" r:id="rId1"/>
    <sheet name="溢价变动趋势" sheetId="3" r:id="rId2"/>
    <sheet name="Wind模板" sheetId="11" state="veryHidden" r:id="rId3"/>
    <sheet name="公司名单" sheetId="1" r:id="rId4"/>
    <sheet name="汇率表" sheetId="7" r:id="rId5"/>
    <sheet name="Sheet1" sheetId="8" state="veryHidden" r:id="rId6"/>
  </sheets>
  <externalReferences>
    <externalReference r:id="rId7"/>
  </externalReferences>
  <definedNames>
    <definedName name="AHMD">公司名单!$C$1:$E$85</definedName>
    <definedName name="BZ">溢价变动趋势!$G$8</definedName>
    <definedName name="company">OFFSET(公司名单!$B$1,溢价变动趋势!$A$5,1)</definedName>
    <definedName name="gslb">AH股溢价一览!$A$4:$K$162</definedName>
    <definedName name="hcrate1">溢价变动趋势!$H$19</definedName>
    <definedName name="HKS_CNY中间价最新">AH股溢价一览!$P$6</definedName>
    <definedName name="hl">汇率表!$A:$B</definedName>
    <definedName name="QJ">溢价变动趋势!$G$9</definedName>
    <definedName name="QJYR">[1]!td(TODAY())</definedName>
    <definedName name="wcodea">溢价变动趋势!$G$6</definedName>
    <definedName name="wcodeh">溢价变动趋势!$G$7</definedName>
    <definedName name="windcodea">OFFSET(公司名单!$B$1,溢价变动趋势!$A$5,2)</definedName>
    <definedName name="windcodeh">OFFSET(公司名单!$B$1,溢价变动趋势!$A$5,3)</definedName>
  </definedNames>
  <calcPr calcId="179021"/>
</workbook>
</file>

<file path=xl/calcChain.xml><?xml version="1.0" encoding="utf-8"?>
<calcChain xmlns="http://schemas.openxmlformats.org/spreadsheetml/2006/main">
  <c r="D6" i="2" l="1"/>
  <c r="E6" i="2"/>
  <c r="F6" i="2"/>
  <c r="D7" i="2"/>
  <c r="E7" i="2"/>
  <c r="F7" i="2"/>
  <c r="D8" i="2"/>
  <c r="E8" i="2"/>
  <c r="F8" i="2"/>
  <c r="D9" i="2"/>
  <c r="E9" i="2"/>
  <c r="F9" i="2"/>
  <c r="D10" i="2"/>
  <c r="E10" i="2"/>
  <c r="F10" i="2"/>
  <c r="D11" i="2"/>
  <c r="E11" i="2"/>
  <c r="F11" i="2"/>
  <c r="D12" i="2"/>
  <c r="E12" i="2"/>
  <c r="F12" i="2"/>
  <c r="D13" i="2"/>
  <c r="E13" i="2"/>
  <c r="F13" i="2"/>
  <c r="D14" i="2"/>
  <c r="E14" i="2"/>
  <c r="F14" i="2"/>
  <c r="D15" i="2"/>
  <c r="E15" i="2"/>
  <c r="F15" i="2"/>
  <c r="D16" i="2"/>
  <c r="E16" i="2"/>
  <c r="F16" i="2"/>
  <c r="D17" i="2"/>
  <c r="E17" i="2"/>
  <c r="F17" i="2"/>
  <c r="D18" i="2"/>
  <c r="E18" i="2"/>
  <c r="F18" i="2"/>
  <c r="D19" i="2"/>
  <c r="E19" i="2"/>
  <c r="F19" i="2"/>
  <c r="D20" i="2"/>
  <c r="E20" i="2"/>
  <c r="F20" i="2"/>
  <c r="D21" i="2"/>
  <c r="E21" i="2"/>
  <c r="F21" i="2"/>
  <c r="D22" i="2"/>
  <c r="E22" i="2"/>
  <c r="F22" i="2"/>
  <c r="D23" i="2"/>
  <c r="E23" i="2"/>
  <c r="F23" i="2"/>
  <c r="D24" i="2"/>
  <c r="E24" i="2"/>
  <c r="F24" i="2"/>
  <c r="D25" i="2"/>
  <c r="E25" i="2"/>
  <c r="F25" i="2"/>
  <c r="D26" i="2"/>
  <c r="E26" i="2"/>
  <c r="F26" i="2"/>
  <c r="D27" i="2"/>
  <c r="E27" i="2"/>
  <c r="F27" i="2"/>
  <c r="D28" i="2"/>
  <c r="E28" i="2"/>
  <c r="F28" i="2"/>
  <c r="D29" i="2"/>
  <c r="E29" i="2"/>
  <c r="F29" i="2"/>
  <c r="D30" i="2"/>
  <c r="E30" i="2"/>
  <c r="F30" i="2"/>
  <c r="D31" i="2"/>
  <c r="E31" i="2"/>
  <c r="F31" i="2"/>
  <c r="D32" i="2"/>
  <c r="E32" i="2"/>
  <c r="F32" i="2"/>
  <c r="D33" i="2"/>
  <c r="E33" i="2"/>
  <c r="F33" i="2"/>
  <c r="D34" i="2"/>
  <c r="E34" i="2"/>
  <c r="F34" i="2"/>
  <c r="D35" i="2"/>
  <c r="E35" i="2"/>
  <c r="F35" i="2"/>
  <c r="D36" i="2"/>
  <c r="E36" i="2"/>
  <c r="F36" i="2"/>
  <c r="D37" i="2"/>
  <c r="E37" i="2"/>
  <c r="F37" i="2"/>
  <c r="D38" i="2"/>
  <c r="E38" i="2"/>
  <c r="F38" i="2"/>
  <c r="D39" i="2"/>
  <c r="E39" i="2"/>
  <c r="F39" i="2"/>
  <c r="D40" i="2"/>
  <c r="E40" i="2"/>
  <c r="F40" i="2"/>
  <c r="D41" i="2"/>
  <c r="E41" i="2"/>
  <c r="F41" i="2"/>
  <c r="D42" i="2"/>
  <c r="E42" i="2"/>
  <c r="F42" i="2"/>
  <c r="D43" i="2"/>
  <c r="E43" i="2"/>
  <c r="F43" i="2"/>
  <c r="D44" i="2"/>
  <c r="E44" i="2"/>
  <c r="F44" i="2"/>
  <c r="D45" i="2"/>
  <c r="E45" i="2"/>
  <c r="F45" i="2"/>
  <c r="D46" i="2"/>
  <c r="E46" i="2"/>
  <c r="F46" i="2"/>
  <c r="D47" i="2"/>
  <c r="E47" i="2"/>
  <c r="F47" i="2"/>
  <c r="D48" i="2"/>
  <c r="E48" i="2"/>
  <c r="F48" i="2"/>
  <c r="D49" i="2"/>
  <c r="E49" i="2"/>
  <c r="F49" i="2"/>
  <c r="D50" i="2"/>
  <c r="E50" i="2"/>
  <c r="F50" i="2"/>
  <c r="D51" i="2"/>
  <c r="E51" i="2"/>
  <c r="F51" i="2"/>
  <c r="D52" i="2"/>
  <c r="E52" i="2"/>
  <c r="F52" i="2"/>
  <c r="D53" i="2"/>
  <c r="E53" i="2"/>
  <c r="F53" i="2"/>
  <c r="D54" i="2"/>
  <c r="E54" i="2"/>
  <c r="F54" i="2"/>
  <c r="D55" i="2"/>
  <c r="E55" i="2"/>
  <c r="F55" i="2"/>
  <c r="D56" i="2"/>
  <c r="E56" i="2"/>
  <c r="F56" i="2"/>
  <c r="D57" i="2"/>
  <c r="E57" i="2"/>
  <c r="F57" i="2"/>
  <c r="D58" i="2"/>
  <c r="E58" i="2"/>
  <c r="F58" i="2"/>
  <c r="D59" i="2"/>
  <c r="E59" i="2"/>
  <c r="F59" i="2"/>
  <c r="D60" i="2"/>
  <c r="E60" i="2"/>
  <c r="F60" i="2"/>
  <c r="D61" i="2"/>
  <c r="E61" i="2"/>
  <c r="F61" i="2"/>
  <c r="D62" i="2"/>
  <c r="E62" i="2"/>
  <c r="F62" i="2"/>
  <c r="D63" i="2"/>
  <c r="E63" i="2"/>
  <c r="F63" i="2"/>
  <c r="D64" i="2"/>
  <c r="E64" i="2"/>
  <c r="F64" i="2"/>
  <c r="D65" i="2"/>
  <c r="E65" i="2"/>
  <c r="F65" i="2"/>
  <c r="D66" i="2"/>
  <c r="E66" i="2"/>
  <c r="F66" i="2"/>
  <c r="D67" i="2"/>
  <c r="E67" i="2"/>
  <c r="F67" i="2"/>
  <c r="D68" i="2"/>
  <c r="E68" i="2"/>
  <c r="F68" i="2"/>
  <c r="D69" i="2"/>
  <c r="E69" i="2"/>
  <c r="F69" i="2"/>
  <c r="D70" i="2"/>
  <c r="E70" i="2"/>
  <c r="F70" i="2"/>
  <c r="D71" i="2"/>
  <c r="E71" i="2"/>
  <c r="F71" i="2"/>
  <c r="D72" i="2"/>
  <c r="E72" i="2"/>
  <c r="F72" i="2"/>
  <c r="D73" i="2"/>
  <c r="E73" i="2"/>
  <c r="F73" i="2"/>
  <c r="D74" i="2"/>
  <c r="E74" i="2"/>
  <c r="F74" i="2"/>
  <c r="D75" i="2"/>
  <c r="E75" i="2"/>
  <c r="F75" i="2"/>
  <c r="D76" i="2"/>
  <c r="E76" i="2"/>
  <c r="F76" i="2"/>
  <c r="D77" i="2"/>
  <c r="E77" i="2"/>
  <c r="F77" i="2"/>
  <c r="D78" i="2"/>
  <c r="E78" i="2"/>
  <c r="F78" i="2"/>
  <c r="D79" i="2"/>
  <c r="E79" i="2"/>
  <c r="F79" i="2"/>
  <c r="D80" i="2"/>
  <c r="E80" i="2"/>
  <c r="F80" i="2"/>
  <c r="D81" i="2"/>
  <c r="E81" i="2"/>
  <c r="F81" i="2"/>
  <c r="D82" i="2"/>
  <c r="E82" i="2"/>
  <c r="F82" i="2"/>
  <c r="D83" i="2"/>
  <c r="E83" i="2"/>
  <c r="F83" i="2"/>
  <c r="D84" i="2"/>
  <c r="E84" i="2"/>
  <c r="F84" i="2"/>
  <c r="D85" i="2"/>
  <c r="E85" i="2"/>
  <c r="F85" i="2"/>
  <c r="D86" i="2"/>
  <c r="E86" i="2"/>
  <c r="F86" i="2"/>
  <c r="D87" i="2"/>
  <c r="E87" i="2"/>
  <c r="F87" i="2"/>
  <c r="D88" i="2"/>
  <c r="E88" i="2"/>
  <c r="F88" i="2"/>
  <c r="D89" i="2"/>
  <c r="E89" i="2"/>
  <c r="F89" i="2"/>
  <c r="D90" i="2"/>
  <c r="E90" i="2"/>
  <c r="F90" i="2"/>
  <c r="D91" i="2"/>
  <c r="E91" i="2"/>
  <c r="F91" i="2"/>
  <c r="D92" i="2"/>
  <c r="E92" i="2"/>
  <c r="F92" i="2"/>
  <c r="D93" i="2"/>
  <c r="E93" i="2"/>
  <c r="F93" i="2"/>
  <c r="D94" i="2"/>
  <c r="E94" i="2"/>
  <c r="F94" i="2"/>
  <c r="D95" i="2"/>
  <c r="E95" i="2"/>
  <c r="F95" i="2"/>
  <c r="D96" i="2"/>
  <c r="E96" i="2"/>
  <c r="F96" i="2"/>
  <c r="D97" i="2"/>
  <c r="E97" i="2"/>
  <c r="F97" i="2"/>
  <c r="D98" i="2"/>
  <c r="E98" i="2"/>
  <c r="F98" i="2"/>
  <c r="D99" i="2"/>
  <c r="E99" i="2"/>
  <c r="F99" i="2"/>
  <c r="D100" i="2"/>
  <c r="E100" i="2"/>
  <c r="F100" i="2"/>
  <c r="D101" i="2"/>
  <c r="E101" i="2"/>
  <c r="F101" i="2"/>
  <c r="D102" i="2"/>
  <c r="E102" i="2"/>
  <c r="F102" i="2"/>
  <c r="D103" i="2"/>
  <c r="E103" i="2"/>
  <c r="F103" i="2"/>
  <c r="D104" i="2"/>
  <c r="E104" i="2"/>
  <c r="F104" i="2"/>
  <c r="D105" i="2"/>
  <c r="E105" i="2"/>
  <c r="F105" i="2"/>
  <c r="D106" i="2"/>
  <c r="E106" i="2"/>
  <c r="F106" i="2"/>
  <c r="D107" i="2"/>
  <c r="E107" i="2"/>
  <c r="F107" i="2"/>
  <c r="D108" i="2"/>
  <c r="E108" i="2"/>
  <c r="F108" i="2"/>
  <c r="D109" i="2"/>
  <c r="E109" i="2"/>
  <c r="F109" i="2"/>
  <c r="D110" i="2"/>
  <c r="E110" i="2"/>
  <c r="F110" i="2"/>
  <c r="D111" i="2"/>
  <c r="E111" i="2"/>
  <c r="F111" i="2"/>
  <c r="D112" i="2"/>
  <c r="E112" i="2"/>
  <c r="F112" i="2"/>
  <c r="D113" i="2"/>
  <c r="E113" i="2"/>
  <c r="F113" i="2"/>
  <c r="D114" i="2"/>
  <c r="E114" i="2"/>
  <c r="F114" i="2"/>
  <c r="D115" i="2"/>
  <c r="E115" i="2"/>
  <c r="F115" i="2"/>
  <c r="D116" i="2"/>
  <c r="E116" i="2"/>
  <c r="F116" i="2"/>
  <c r="D117" i="2"/>
  <c r="E117" i="2"/>
  <c r="F117" i="2"/>
  <c r="D118" i="2"/>
  <c r="E118" i="2"/>
  <c r="F118" i="2"/>
  <c r="D119" i="2"/>
  <c r="E119" i="2"/>
  <c r="F119" i="2"/>
  <c r="D120" i="2"/>
  <c r="E120" i="2"/>
  <c r="F120" i="2"/>
  <c r="D121" i="2"/>
  <c r="E121" i="2"/>
  <c r="F121" i="2"/>
  <c r="D122" i="2"/>
  <c r="E122" i="2"/>
  <c r="F122" i="2"/>
  <c r="D123" i="2"/>
  <c r="E123" i="2"/>
  <c r="F123" i="2"/>
  <c r="D124" i="2"/>
  <c r="E124" i="2"/>
  <c r="F124" i="2"/>
  <c r="D125" i="2"/>
  <c r="E125" i="2"/>
  <c r="F125" i="2"/>
  <c r="D126" i="2"/>
  <c r="E126" i="2"/>
  <c r="F126" i="2"/>
  <c r="D127" i="2"/>
  <c r="E127" i="2"/>
  <c r="F127" i="2"/>
  <c r="D128" i="2"/>
  <c r="E128" i="2"/>
  <c r="F128" i="2"/>
  <c r="D129" i="2"/>
  <c r="E129" i="2"/>
  <c r="F129" i="2"/>
  <c r="D130" i="2"/>
  <c r="E130" i="2"/>
  <c r="F130" i="2"/>
  <c r="D131" i="2"/>
  <c r="E131" i="2"/>
  <c r="F131" i="2"/>
  <c r="D132" i="2"/>
  <c r="E132" i="2"/>
  <c r="F132" i="2"/>
  <c r="D133" i="2"/>
  <c r="E133" i="2"/>
  <c r="F133" i="2"/>
  <c r="D134" i="2"/>
  <c r="E134" i="2"/>
  <c r="F134" i="2"/>
  <c r="D135" i="2"/>
  <c r="E135" i="2"/>
  <c r="F135" i="2"/>
  <c r="D136" i="2"/>
  <c r="E136" i="2"/>
  <c r="F136" i="2"/>
  <c r="D137" i="2"/>
  <c r="E137" i="2"/>
  <c r="F137" i="2"/>
  <c r="D138" i="2"/>
  <c r="E138" i="2"/>
  <c r="F138" i="2"/>
  <c r="D139" i="2"/>
  <c r="E139" i="2"/>
  <c r="F139" i="2"/>
  <c r="D140" i="2"/>
  <c r="E140" i="2"/>
  <c r="F140" i="2"/>
  <c r="D141" i="2"/>
  <c r="E141" i="2"/>
  <c r="F141" i="2"/>
  <c r="D142" i="2"/>
  <c r="E142" i="2"/>
  <c r="F142" i="2"/>
  <c r="D143" i="2"/>
  <c r="E143" i="2"/>
  <c r="F143" i="2"/>
  <c r="D144" i="2"/>
  <c r="E144" i="2"/>
  <c r="F144" i="2"/>
  <c r="D145" i="2"/>
  <c r="E145" i="2"/>
  <c r="F145" i="2"/>
  <c r="D146" i="2"/>
  <c r="E146" i="2"/>
  <c r="F146" i="2"/>
  <c r="D147" i="2"/>
  <c r="E147" i="2"/>
  <c r="F147" i="2"/>
  <c r="D148" i="2"/>
  <c r="E148" i="2"/>
  <c r="F148" i="2"/>
  <c r="D149" i="2"/>
  <c r="E149" i="2"/>
  <c r="F149" i="2"/>
  <c r="D150" i="2"/>
  <c r="E150" i="2"/>
  <c r="F150" i="2"/>
  <c r="D151" i="2"/>
  <c r="E151" i="2"/>
  <c r="F151" i="2"/>
  <c r="D152" i="2"/>
  <c r="E152" i="2"/>
  <c r="F152" i="2"/>
  <c r="D153" i="2"/>
  <c r="E153" i="2"/>
  <c r="F153" i="2"/>
  <c r="D154" i="2"/>
  <c r="E154" i="2"/>
  <c r="F154" i="2"/>
  <c r="D155" i="2"/>
  <c r="E155" i="2"/>
  <c r="F155" i="2"/>
  <c r="D156" i="2"/>
  <c r="E156" i="2"/>
  <c r="F156" i="2"/>
  <c r="D157" i="2"/>
  <c r="E157" i="2"/>
  <c r="F157" i="2"/>
  <c r="D158" i="2"/>
  <c r="E158" i="2"/>
  <c r="F158" i="2"/>
  <c r="D159" i="2"/>
  <c r="E159" i="2"/>
  <c r="F159" i="2"/>
  <c r="D160" i="2"/>
  <c r="E160" i="2"/>
  <c r="F160" i="2"/>
  <c r="D161" i="2"/>
  <c r="E161" i="2"/>
  <c r="F161" i="2"/>
  <c r="D162" i="2"/>
  <c r="E162" i="2"/>
  <c r="F162" i="2"/>
  <c r="E5" i="2"/>
  <c r="F5" i="2"/>
  <c r="D5" i="2"/>
  <c r="B153" i="1"/>
  <c r="B154" i="1"/>
  <c r="B155" i="1"/>
  <c r="B156" i="1"/>
  <c r="B157" i="1"/>
  <c r="B158" i="1"/>
  <c r="B159" i="1"/>
  <c r="B160" i="1"/>
  <c r="B161" i="1"/>
  <c r="B162" i="1"/>
  <c r="G156" i="2"/>
  <c r="H156" i="2"/>
  <c r="G161" i="2"/>
  <c r="G159" i="2"/>
  <c r="H161" i="2"/>
  <c r="H159" i="2"/>
  <c r="G157" i="2"/>
  <c r="H157" i="2"/>
  <c r="G162" i="2"/>
  <c r="G160" i="2"/>
  <c r="H162" i="2"/>
  <c r="H160" i="2"/>
  <c r="G158" i="2"/>
  <c r="H158" i="2"/>
  <c r="B156" i="2"/>
  <c r="B162" i="2"/>
  <c r="C156" i="2"/>
  <c r="C162" i="2"/>
  <c r="B157" i="2"/>
  <c r="C157" i="2"/>
  <c r="B158" i="2"/>
  <c r="C158" i="2"/>
  <c r="B159" i="2"/>
  <c r="C159" i="2"/>
  <c r="B160" i="2"/>
  <c r="C160" i="2"/>
  <c r="B161" i="2"/>
  <c r="C161" i="2"/>
  <c r="B141" i="1" l="1"/>
  <c r="B142" i="1"/>
  <c r="B143" i="1"/>
  <c r="B144" i="1"/>
  <c r="B145" i="1"/>
  <c r="B146" i="1"/>
  <c r="B147" i="1"/>
  <c r="B148" i="1"/>
  <c r="B149" i="1"/>
  <c r="B150" i="1"/>
  <c r="B151" i="1"/>
  <c r="B152" i="1"/>
  <c r="C144" i="2"/>
  <c r="C98" i="2"/>
  <c r="C153" i="2"/>
  <c r="B67" i="2"/>
  <c r="B134" i="2"/>
  <c r="B140" i="2"/>
  <c r="C133" i="2"/>
  <c r="C129" i="2"/>
  <c r="C100" i="2"/>
  <c r="B106" i="2"/>
  <c r="B85" i="2"/>
  <c r="C97" i="2"/>
  <c r="C16" i="2"/>
  <c r="C119" i="2"/>
  <c r="C30" i="2"/>
  <c r="C118" i="2"/>
  <c r="C112" i="2"/>
  <c r="C135" i="2"/>
  <c r="C128" i="2"/>
  <c r="C136" i="2"/>
  <c r="B88" i="2"/>
  <c r="B37" i="2"/>
  <c r="B8" i="2"/>
  <c r="B128" i="2"/>
  <c r="B27" i="2"/>
  <c r="C24" i="2"/>
  <c r="C53" i="2"/>
  <c r="B144" i="2"/>
  <c r="B39" i="2"/>
  <c r="C32" i="2"/>
  <c r="B33" i="2"/>
  <c r="B111" i="2"/>
  <c r="B125" i="2"/>
  <c r="B45" i="2"/>
  <c r="B46" i="2"/>
  <c r="B75" i="2"/>
  <c r="C12" i="2"/>
  <c r="B14" i="2"/>
  <c r="B21" i="2"/>
  <c r="C152" i="2"/>
  <c r="B150" i="2"/>
  <c r="C96" i="2"/>
  <c r="C7" i="2"/>
  <c r="C34" i="2"/>
  <c r="C147" i="2"/>
  <c r="C94" i="2"/>
  <c r="C115" i="2"/>
  <c r="B102" i="2"/>
  <c r="C105" i="2"/>
  <c r="C91" i="2"/>
  <c r="C154" i="2"/>
  <c r="B76" i="2"/>
  <c r="C19" i="2"/>
  <c r="C82" i="2"/>
  <c r="B153" i="2"/>
  <c r="B84" i="2"/>
  <c r="B109" i="2"/>
  <c r="B126" i="2"/>
  <c r="C54" i="2"/>
  <c r="B151" i="2"/>
  <c r="C111" i="2"/>
  <c r="B64" i="2"/>
  <c r="B86" i="2"/>
  <c r="C81" i="2"/>
  <c r="C71" i="2"/>
  <c r="C13" i="2"/>
  <c r="C23" i="2"/>
  <c r="B148" i="2"/>
  <c r="C109" i="2"/>
  <c r="C89" i="2"/>
  <c r="C149" i="2"/>
  <c r="C8" i="2"/>
  <c r="B26" i="2"/>
  <c r="C64" i="2"/>
  <c r="C55" i="2"/>
  <c r="B100" i="2"/>
  <c r="B66" i="2"/>
  <c r="C29" i="2"/>
  <c r="B20" i="2"/>
  <c r="B10" i="2"/>
  <c r="B62" i="2"/>
  <c r="B123" i="2"/>
  <c r="C50" i="2"/>
  <c r="B58" i="2"/>
  <c r="C49" i="2"/>
  <c r="B24" i="2"/>
  <c r="C146" i="2"/>
  <c r="B69" i="2"/>
  <c r="C6" i="2"/>
  <c r="B15" i="2"/>
  <c r="B36" i="2"/>
  <c r="C58" i="2"/>
  <c r="B131" i="2"/>
  <c r="C22" i="2"/>
  <c r="C88" i="2"/>
  <c r="B80" i="2"/>
  <c r="C117" i="2"/>
  <c r="C67" i="2"/>
  <c r="C44" i="2"/>
  <c r="C63" i="2"/>
  <c r="C14" i="2"/>
  <c r="B23" i="2"/>
  <c r="B118" i="2"/>
  <c r="C132" i="2"/>
  <c r="C51" i="2"/>
  <c r="C142" i="2"/>
  <c r="B35" i="2"/>
  <c r="B54" i="2"/>
  <c r="B120" i="2"/>
  <c r="C9" i="2"/>
  <c r="B25" i="2"/>
  <c r="B60" i="2"/>
  <c r="B38" i="2"/>
  <c r="C140" i="2"/>
  <c r="B18" i="2"/>
  <c r="C36" i="2"/>
  <c r="C114" i="2"/>
  <c r="B99" i="2"/>
  <c r="B57" i="2"/>
  <c r="B110" i="2"/>
  <c r="B155" i="2"/>
  <c r="C66" i="2"/>
  <c r="C15" i="2"/>
  <c r="C151" i="2"/>
  <c r="B13" i="2"/>
  <c r="B114" i="2"/>
  <c r="B22" i="2"/>
  <c r="B40" i="2"/>
  <c r="B50" i="2"/>
  <c r="B78" i="2"/>
  <c r="C104" i="2"/>
  <c r="B87" i="2"/>
  <c r="C18" i="2"/>
  <c r="B89" i="2"/>
  <c r="C131" i="2"/>
  <c r="B7" i="2"/>
  <c r="C83" i="2"/>
  <c r="B132" i="2"/>
  <c r="B130" i="2"/>
  <c r="C155" i="2"/>
  <c r="C148" i="2"/>
  <c r="C113" i="2"/>
  <c r="C26" i="2"/>
  <c r="C56" i="2"/>
  <c r="B63" i="2"/>
  <c r="C85" i="2"/>
  <c r="B101" i="2"/>
  <c r="B96" i="2"/>
  <c r="B71" i="2"/>
  <c r="B53" i="2"/>
  <c r="C84" i="2"/>
  <c r="B42" i="2"/>
  <c r="B142" i="2"/>
  <c r="C33" i="2"/>
  <c r="B135" i="2"/>
  <c r="B56" i="2"/>
  <c r="C74" i="2"/>
  <c r="B77" i="2"/>
  <c r="C106" i="2"/>
  <c r="C92" i="2"/>
  <c r="C77" i="2"/>
  <c r="B70" i="2"/>
  <c r="B41" i="2"/>
  <c r="B152" i="2"/>
  <c r="B65" i="2"/>
  <c r="B112" i="2"/>
  <c r="C103" i="2"/>
  <c r="B43" i="2"/>
  <c r="B9" i="2"/>
  <c r="C78" i="2"/>
  <c r="C46" i="2"/>
  <c r="C127" i="2"/>
  <c r="B17" i="2"/>
  <c r="B133" i="2"/>
  <c r="B81" i="2"/>
  <c r="B98" i="2"/>
  <c r="C73" i="2"/>
  <c r="C48" i="2"/>
  <c r="C57" i="2"/>
  <c r="B91" i="2"/>
  <c r="C37" i="2"/>
  <c r="B115" i="2"/>
  <c r="B12" i="2"/>
  <c r="B6" i="2"/>
  <c r="C59" i="2"/>
  <c r="C47" i="2"/>
  <c r="C134" i="2"/>
  <c r="C65" i="2"/>
  <c r="B119" i="2"/>
  <c r="B79" i="2"/>
  <c r="C35" i="2"/>
  <c r="C60" i="2"/>
  <c r="B48" i="2"/>
  <c r="C107" i="2"/>
  <c r="B122" i="2"/>
  <c r="C123" i="2"/>
  <c r="C108" i="2"/>
  <c r="C52" i="2"/>
  <c r="B44" i="2"/>
  <c r="C45" i="2"/>
  <c r="C76" i="2"/>
  <c r="B49" i="2"/>
  <c r="C126" i="2"/>
  <c r="B83" i="2"/>
  <c r="B31" i="2"/>
  <c r="B16" i="2"/>
  <c r="B136" i="2"/>
  <c r="B94" i="2"/>
  <c r="C75" i="2"/>
  <c r="B127" i="2"/>
  <c r="B82" i="2"/>
  <c r="B52" i="2"/>
  <c r="B28" i="2"/>
  <c r="B146" i="2"/>
  <c r="C25" i="2"/>
  <c r="C70" i="2"/>
  <c r="B154" i="2"/>
  <c r="C121" i="2"/>
  <c r="B141" i="2"/>
  <c r="C31" i="2"/>
  <c r="C150" i="2"/>
  <c r="B147" i="2"/>
  <c r="B11" i="2"/>
  <c r="C120" i="2"/>
  <c r="B51" i="2"/>
  <c r="C141" i="2"/>
  <c r="C137" i="2"/>
  <c r="C43" i="2"/>
  <c r="B97" i="2"/>
  <c r="B143" i="2"/>
  <c r="C69" i="2"/>
  <c r="C86" i="2"/>
  <c r="C130" i="2"/>
  <c r="B72" i="2"/>
  <c r="B117" i="2"/>
  <c r="C93" i="2"/>
  <c r="B139" i="2"/>
  <c r="C122" i="2"/>
  <c r="B90" i="2"/>
  <c r="C27" i="2"/>
  <c r="B61" i="2"/>
  <c r="C110" i="2"/>
  <c r="C145" i="2"/>
  <c r="C21" i="2"/>
  <c r="B138" i="2"/>
  <c r="C116" i="2"/>
  <c r="C80" i="2"/>
  <c r="C95" i="2"/>
  <c r="C28" i="2"/>
  <c r="B47" i="2"/>
  <c r="B19" i="2"/>
  <c r="B92" i="2"/>
  <c r="C143" i="2"/>
  <c r="B73" i="2"/>
  <c r="B124" i="2"/>
  <c r="C61" i="2"/>
  <c r="B74" i="2"/>
  <c r="B29" i="2"/>
  <c r="B32" i="2"/>
  <c r="C42" i="2"/>
  <c r="C138" i="2"/>
  <c r="C101" i="2"/>
  <c r="C79" i="2"/>
  <c r="B129" i="2"/>
  <c r="C38" i="2"/>
  <c r="B105" i="2"/>
  <c r="B116" i="2"/>
  <c r="C68" i="2"/>
  <c r="C10" i="2"/>
  <c r="C99" i="2"/>
  <c r="C124" i="2"/>
  <c r="B121" i="2"/>
  <c r="B145" i="2"/>
  <c r="B113" i="2"/>
  <c r="C87" i="2"/>
  <c r="B108" i="2"/>
  <c r="C20" i="2"/>
  <c r="B68" i="2"/>
  <c r="C40" i="2"/>
  <c r="B103" i="2"/>
  <c r="C17" i="2"/>
  <c r="B137" i="2"/>
  <c r="C125" i="2"/>
  <c r="B93" i="2"/>
  <c r="B34" i="2"/>
  <c r="C72" i="2"/>
  <c r="B149" i="2"/>
  <c r="B107" i="2"/>
  <c r="B95" i="2"/>
  <c r="B104" i="2"/>
  <c r="C11" i="2"/>
  <c r="C102" i="2"/>
  <c r="B59" i="2"/>
  <c r="B55" i="2"/>
  <c r="C139" i="2"/>
  <c r="B30" i="2"/>
  <c r="C41" i="2"/>
  <c r="C39" i="2"/>
  <c r="C90" i="2"/>
  <c r="C62" i="2"/>
  <c r="G6" i="3" l="1"/>
  <c r="B131" i="1"/>
  <c r="B132" i="1"/>
  <c r="B133" i="1"/>
  <c r="B134" i="1"/>
  <c r="B135" i="1"/>
  <c r="B136" i="1"/>
  <c r="B137" i="1"/>
  <c r="B138" i="1"/>
  <c r="B139" i="1"/>
  <c r="B140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G152" i="2"/>
  <c r="H151" i="2"/>
  <c r="G148" i="2"/>
  <c r="G144" i="2"/>
  <c r="H145" i="2"/>
  <c r="H152" i="2"/>
  <c r="H147" i="2"/>
  <c r="G145" i="2"/>
  <c r="G151" i="2"/>
  <c r="H146" i="2"/>
  <c r="H148" i="2"/>
  <c r="G147" i="2"/>
  <c r="H155" i="2"/>
  <c r="G149" i="2"/>
  <c r="H144" i="2"/>
  <c r="G153" i="2"/>
  <c r="G155" i="2"/>
  <c r="G5" i="2"/>
  <c r="H154" i="2"/>
  <c r="H153" i="2"/>
  <c r="G154" i="2"/>
  <c r="H149" i="2"/>
  <c r="G150" i="2"/>
  <c r="H150" i="2"/>
  <c r="G146" i="2"/>
  <c r="G7" i="3" l="1"/>
  <c r="P6" i="2" l="1"/>
  <c r="B2" i="1"/>
  <c r="B16" i="3"/>
  <c r="B5" i="2"/>
  <c r="C5" i="2"/>
  <c r="A1" i="7"/>
  <c r="H118" i="2"/>
  <c r="B19" i="3"/>
  <c r="I158" i="2" l="1"/>
  <c r="I159" i="2"/>
  <c r="J158" i="2"/>
  <c r="J159" i="2"/>
  <c r="K158" i="2"/>
  <c r="K159" i="2"/>
  <c r="K157" i="2"/>
  <c r="K160" i="2"/>
  <c r="I161" i="2"/>
  <c r="J160" i="2"/>
  <c r="J161" i="2"/>
  <c r="I160" i="2"/>
  <c r="K161" i="2"/>
  <c r="I157" i="2"/>
  <c r="I162" i="2"/>
  <c r="I156" i="2"/>
  <c r="J162" i="2"/>
  <c r="J156" i="2"/>
  <c r="K162" i="2"/>
  <c r="K156" i="2"/>
  <c r="J157" i="2"/>
  <c r="I144" i="2"/>
  <c r="I148" i="2"/>
  <c r="I152" i="2"/>
  <c r="J144" i="2"/>
  <c r="J148" i="2"/>
  <c r="J152" i="2"/>
  <c r="J153" i="2"/>
  <c r="K151" i="2"/>
  <c r="I155" i="2"/>
  <c r="J155" i="2"/>
  <c r="K144" i="2"/>
  <c r="K148" i="2"/>
  <c r="K152" i="2"/>
  <c r="J149" i="2"/>
  <c r="K154" i="2"/>
  <c r="I147" i="2"/>
  <c r="K145" i="2"/>
  <c r="K149" i="2"/>
  <c r="K153" i="2"/>
  <c r="J150" i="2"/>
  <c r="K155" i="2"/>
  <c r="J147" i="2"/>
  <c r="I145" i="2"/>
  <c r="I149" i="2"/>
  <c r="I153" i="2"/>
  <c r="I154" i="2"/>
  <c r="K150" i="2"/>
  <c r="J145" i="2"/>
  <c r="I146" i="2"/>
  <c r="I150" i="2"/>
  <c r="J154" i="2"/>
  <c r="J146" i="2"/>
  <c r="I151" i="2"/>
  <c r="K146" i="2"/>
  <c r="K147" i="2"/>
  <c r="J151" i="2"/>
  <c r="H19" i="3"/>
  <c r="F19" i="3"/>
  <c r="G39" i="2"/>
  <c r="G32" i="2"/>
  <c r="H71" i="2"/>
  <c r="G118" i="2"/>
  <c r="H44" i="2"/>
  <c r="H46" i="2"/>
  <c r="H25" i="2"/>
  <c r="G14" i="2"/>
  <c r="G74" i="2"/>
  <c r="H78" i="2"/>
  <c r="H111" i="2"/>
  <c r="G112" i="2"/>
  <c r="G90" i="2"/>
  <c r="G111" i="2"/>
  <c r="G26" i="2"/>
  <c r="H138" i="2"/>
  <c r="H52" i="2"/>
  <c r="H126" i="2"/>
  <c r="H53" i="2"/>
  <c r="H32" i="2"/>
  <c r="H128" i="2"/>
  <c r="H47" i="2"/>
  <c r="G143" i="2"/>
  <c r="G12" i="2"/>
  <c r="H142" i="2"/>
  <c r="G123" i="2"/>
  <c r="H55" i="2"/>
  <c r="G24" i="2"/>
  <c r="G114" i="2"/>
  <c r="H18" i="2"/>
  <c r="H90" i="2"/>
  <c r="H101" i="2"/>
  <c r="H115" i="2"/>
  <c r="H35" i="2"/>
  <c r="G33" i="2"/>
  <c r="H140" i="2"/>
  <c r="H75" i="2"/>
  <c r="G86" i="2"/>
  <c r="G97" i="2"/>
  <c r="G132" i="2"/>
  <c r="H81" i="2"/>
  <c r="H73" i="2"/>
  <c r="G89" i="2"/>
  <c r="H5" i="2"/>
  <c r="H92" i="2"/>
  <c r="H48" i="2"/>
  <c r="G134" i="2"/>
  <c r="H79" i="2"/>
  <c r="G92" i="2"/>
  <c r="G125" i="2"/>
  <c r="G122" i="2"/>
  <c r="G27" i="2"/>
  <c r="G40" i="2"/>
  <c r="G115" i="2"/>
  <c r="G78" i="2"/>
  <c r="G42" i="2"/>
  <c r="H86" i="2"/>
  <c r="G128" i="2"/>
  <c r="H8" i="2"/>
  <c r="H69" i="2"/>
  <c r="H16" i="2"/>
  <c r="G65" i="2"/>
  <c r="H23" i="2"/>
  <c r="G99" i="2"/>
  <c r="G61" i="2"/>
  <c r="H133" i="2"/>
  <c r="H88" i="2"/>
  <c r="G41" i="2"/>
  <c r="G31" i="2"/>
  <c r="H39" i="2"/>
  <c r="G93" i="2"/>
  <c r="G20" i="2"/>
  <c r="G10" i="2"/>
  <c r="H34" i="2"/>
  <c r="H94" i="2"/>
  <c r="G140" i="2"/>
  <c r="H77" i="2"/>
  <c r="G124" i="2"/>
  <c r="G69" i="2"/>
  <c r="H121" i="2"/>
  <c r="H33" i="2"/>
  <c r="G129" i="2"/>
  <c r="H76" i="2"/>
  <c r="G104" i="2"/>
  <c r="H120" i="2"/>
  <c r="H124" i="2"/>
  <c r="H43" i="2"/>
  <c r="G18" i="2"/>
  <c r="H57" i="2"/>
  <c r="H105" i="2"/>
  <c r="G103" i="2"/>
  <c r="G94" i="2"/>
  <c r="H60" i="2"/>
  <c r="G101" i="2"/>
  <c r="H135" i="2"/>
  <c r="H6" i="2"/>
  <c r="H107" i="2"/>
  <c r="G127" i="2"/>
  <c r="G60" i="2"/>
  <c r="G30" i="2"/>
  <c r="G59" i="2"/>
  <c r="G79" i="2"/>
  <c r="H98" i="2"/>
  <c r="G35" i="2"/>
  <c r="H87" i="2"/>
  <c r="G16" i="2"/>
  <c r="H64" i="2"/>
  <c r="H21" i="2"/>
  <c r="G23" i="2"/>
  <c r="G108" i="2"/>
  <c r="G88" i="2"/>
  <c r="H130" i="2"/>
  <c r="G55" i="2"/>
  <c r="G85" i="2"/>
  <c r="G126" i="2"/>
  <c r="G45" i="2"/>
  <c r="G29" i="2"/>
  <c r="H102" i="2"/>
  <c r="H29" i="2"/>
  <c r="H110" i="2"/>
  <c r="G73" i="2"/>
  <c r="H11" i="2"/>
  <c r="G50" i="2"/>
  <c r="G66" i="2"/>
  <c r="H72" i="2"/>
  <c r="G43" i="2"/>
  <c r="G141" i="2"/>
  <c r="H27" i="2"/>
  <c r="G72" i="2"/>
  <c r="H9" i="2"/>
  <c r="H95" i="2"/>
  <c r="G71" i="2"/>
  <c r="G76" i="2"/>
  <c r="G121" i="2"/>
  <c r="G64" i="2"/>
  <c r="G52" i="2"/>
  <c r="G106" i="2"/>
  <c r="G44" i="2"/>
  <c r="H10" i="2"/>
  <c r="D19" i="3"/>
  <c r="G53" i="2"/>
  <c r="H65" i="2"/>
  <c r="G130" i="2"/>
  <c r="H119" i="2"/>
  <c r="G13" i="2"/>
  <c r="H17" i="2"/>
  <c r="H131" i="2"/>
  <c r="H31" i="2"/>
  <c r="H74" i="2"/>
  <c r="H19" i="2"/>
  <c r="G11" i="2"/>
  <c r="H132" i="2"/>
  <c r="H30" i="2"/>
  <c r="G15" i="2"/>
  <c r="G48" i="2"/>
  <c r="H137" i="2"/>
  <c r="G98" i="2"/>
  <c r="H117" i="2"/>
  <c r="H70" i="2"/>
  <c r="H116" i="2"/>
  <c r="G68" i="2"/>
  <c r="G70" i="2"/>
  <c r="G28" i="2"/>
  <c r="H114" i="2"/>
  <c r="H58" i="2"/>
  <c r="H134" i="2"/>
  <c r="H89" i="2"/>
  <c r="H12" i="2"/>
  <c r="G7" i="2"/>
  <c r="G113" i="2"/>
  <c r="G96" i="2"/>
  <c r="H26" i="2"/>
  <c r="H93" i="2"/>
  <c r="H122" i="2"/>
  <c r="G63" i="2"/>
  <c r="H125" i="2"/>
  <c r="G36" i="2"/>
  <c r="G142" i="2"/>
  <c r="H106" i="2"/>
  <c r="G67" i="2"/>
  <c r="H36" i="2"/>
  <c r="H41" i="2"/>
  <c r="H7" i="2"/>
  <c r="H13" i="2"/>
  <c r="G133" i="2"/>
  <c r="H56" i="2"/>
  <c r="G25" i="2"/>
  <c r="G34" i="2"/>
  <c r="G120" i="2"/>
  <c r="H83" i="2"/>
  <c r="H62" i="2"/>
  <c r="G105" i="2"/>
  <c r="G57" i="2"/>
  <c r="H113" i="2"/>
  <c r="B20" i="3"/>
  <c r="H42" i="2"/>
  <c r="H20" i="2"/>
  <c r="G80" i="2"/>
  <c r="G83" i="2"/>
  <c r="G87" i="2"/>
  <c r="H103" i="2"/>
  <c r="H109" i="2"/>
  <c r="G137" i="2"/>
  <c r="G49" i="2"/>
  <c r="G84" i="2"/>
  <c r="G37" i="2"/>
  <c r="H67" i="2"/>
  <c r="H51" i="2"/>
  <c r="H82" i="2"/>
  <c r="H91" i="2"/>
  <c r="G109" i="2"/>
  <c r="H37" i="2"/>
  <c r="H24" i="2"/>
  <c r="H66" i="2"/>
  <c r="H68" i="2"/>
  <c r="G138" i="2"/>
  <c r="G110" i="2"/>
  <c r="G131" i="2"/>
  <c r="H84" i="2"/>
  <c r="H45" i="2"/>
  <c r="H112" i="2"/>
  <c r="H141" i="2"/>
  <c r="G75" i="2"/>
  <c r="H100" i="2"/>
  <c r="H96" i="2"/>
  <c r="G17" i="2"/>
  <c r="G119" i="2"/>
  <c r="G58" i="2"/>
  <c r="H129" i="2"/>
  <c r="G38" i="2"/>
  <c r="G47" i="2"/>
  <c r="G77" i="2"/>
  <c r="H104" i="2"/>
  <c r="H22" i="2"/>
  <c r="G91" i="2"/>
  <c r="G21" i="2"/>
  <c r="H54" i="2"/>
  <c r="H40" i="2"/>
  <c r="G102" i="2"/>
  <c r="H49" i="2"/>
  <c r="G54" i="2"/>
  <c r="G82" i="2"/>
  <c r="G135" i="2"/>
  <c r="G100" i="2"/>
  <c r="H59" i="2"/>
  <c r="G62" i="2"/>
  <c r="H28" i="2"/>
  <c r="G107" i="2"/>
  <c r="H80" i="2"/>
  <c r="H50" i="2"/>
  <c r="G139" i="2"/>
  <c r="G117" i="2"/>
  <c r="G6" i="2"/>
  <c r="H108" i="2"/>
  <c r="G46" i="2"/>
  <c r="H139" i="2"/>
  <c r="H99" i="2"/>
  <c r="H136" i="2"/>
  <c r="H61" i="2"/>
  <c r="H63" i="2"/>
  <c r="G136" i="2"/>
  <c r="G8" i="2"/>
  <c r="H123" i="2"/>
  <c r="G56" i="2"/>
  <c r="H85" i="2"/>
  <c r="G116" i="2"/>
  <c r="H97" i="2"/>
  <c r="G81" i="2"/>
  <c r="G9" i="2"/>
  <c r="H127" i="2"/>
  <c r="G51" i="2"/>
  <c r="G95" i="2"/>
  <c r="H143" i="2"/>
  <c r="G19" i="2"/>
  <c r="H14" i="2"/>
  <c r="G22" i="2"/>
  <c r="H15" i="2"/>
  <c r="H38" i="2"/>
  <c r="C19" i="3" l="1"/>
  <c r="E19" i="3"/>
  <c r="G19" i="3" s="1"/>
  <c r="J81" i="2"/>
  <c r="J88" i="2"/>
  <c r="J84" i="2"/>
  <c r="J77" i="2"/>
  <c r="J91" i="2"/>
  <c r="J83" i="2"/>
  <c r="J82" i="2"/>
  <c r="J87" i="2"/>
  <c r="J7" i="2"/>
  <c r="J80" i="2"/>
  <c r="J85" i="2"/>
  <c r="J78" i="2"/>
  <c r="J75" i="2"/>
  <c r="J76" i="2"/>
  <c r="J86" i="2"/>
  <c r="J79" i="2"/>
  <c r="J90" i="2"/>
  <c r="J38" i="2"/>
  <c r="J89" i="2"/>
  <c r="J14" i="2"/>
  <c r="I14" i="2"/>
  <c r="K14" i="2"/>
  <c r="I82" i="2"/>
  <c r="K82" i="2"/>
  <c r="I78" i="2"/>
  <c r="K78" i="2"/>
  <c r="J19" i="2"/>
  <c r="I19" i="2"/>
  <c r="K19" i="2"/>
  <c r="K65" i="2"/>
  <c r="J65" i="2"/>
  <c r="I65" i="2"/>
  <c r="K58" i="2"/>
  <c r="J58" i="2"/>
  <c r="I58" i="2"/>
  <c r="J55" i="2"/>
  <c r="I55" i="2"/>
  <c r="K55" i="2"/>
  <c r="K83" i="2"/>
  <c r="I83" i="2"/>
  <c r="J141" i="2"/>
  <c r="K141" i="2"/>
  <c r="I141" i="2"/>
  <c r="I96" i="2"/>
  <c r="J96" i="2"/>
  <c r="K96" i="2"/>
  <c r="K31" i="2"/>
  <c r="J31" i="2"/>
  <c r="I31" i="2"/>
  <c r="I9" i="2"/>
  <c r="K9" i="2"/>
  <c r="J9" i="2"/>
  <c r="K101" i="2"/>
  <c r="I101" i="2"/>
  <c r="J101" i="2"/>
  <c r="J53" i="2"/>
  <c r="K53" i="2"/>
  <c r="I53" i="2"/>
  <c r="I42" i="2"/>
  <c r="J42" i="2"/>
  <c r="K42" i="2"/>
  <c r="I34" i="2"/>
  <c r="J34" i="2"/>
  <c r="K34" i="2"/>
  <c r="I67" i="2"/>
  <c r="K67" i="2"/>
  <c r="J67" i="2"/>
  <c r="K48" i="2"/>
  <c r="J48" i="2"/>
  <c r="I48" i="2"/>
  <c r="K91" i="2"/>
  <c r="I91" i="2"/>
  <c r="J117" i="2"/>
  <c r="K117" i="2"/>
  <c r="I117" i="2"/>
  <c r="K136" i="2"/>
  <c r="I136" i="2"/>
  <c r="J136" i="2"/>
  <c r="J142" i="2"/>
  <c r="K142" i="2"/>
  <c r="I142" i="2"/>
  <c r="J8" i="2"/>
  <c r="K8" i="2"/>
  <c r="I8" i="2"/>
  <c r="K72" i="2"/>
  <c r="I72" i="2"/>
  <c r="J72" i="2"/>
  <c r="I52" i="2"/>
  <c r="J52" i="2"/>
  <c r="K52" i="2"/>
  <c r="K49" i="2"/>
  <c r="I49" i="2"/>
  <c r="J49" i="2"/>
  <c r="K114" i="2"/>
  <c r="I114" i="2"/>
  <c r="J114" i="2"/>
  <c r="I51" i="2"/>
  <c r="J51" i="2"/>
  <c r="K51" i="2"/>
  <c r="I120" i="2"/>
  <c r="J120" i="2"/>
  <c r="K120" i="2"/>
  <c r="K126" i="2"/>
  <c r="I126" i="2"/>
  <c r="J126" i="2"/>
  <c r="K59" i="2"/>
  <c r="I59" i="2"/>
  <c r="J59" i="2"/>
  <c r="I75" i="2"/>
  <c r="K75" i="2"/>
  <c r="I41" i="2"/>
  <c r="J41" i="2"/>
  <c r="K41" i="2"/>
  <c r="J92" i="2"/>
  <c r="K92" i="2"/>
  <c r="I92" i="2"/>
  <c r="J24" i="2"/>
  <c r="I24" i="2"/>
  <c r="K24" i="2"/>
  <c r="I95" i="2"/>
  <c r="J95" i="2"/>
  <c r="K95" i="2"/>
  <c r="J61" i="2"/>
  <c r="K61" i="2"/>
  <c r="I61" i="2"/>
  <c r="I132" i="2"/>
  <c r="J132" i="2"/>
  <c r="K132" i="2"/>
  <c r="K138" i="2"/>
  <c r="I138" i="2"/>
  <c r="J138" i="2"/>
  <c r="K111" i="2"/>
  <c r="I111" i="2"/>
  <c r="J111" i="2"/>
  <c r="J130" i="2"/>
  <c r="K130" i="2"/>
  <c r="I130" i="2"/>
  <c r="K46" i="2"/>
  <c r="I46" i="2"/>
  <c r="J46" i="2"/>
  <c r="I98" i="2"/>
  <c r="J98" i="2"/>
  <c r="K98" i="2"/>
  <c r="I63" i="2"/>
  <c r="J63" i="2"/>
  <c r="K63" i="2"/>
  <c r="I108" i="2"/>
  <c r="J108" i="2"/>
  <c r="K108" i="2"/>
  <c r="J127" i="2"/>
  <c r="K127" i="2"/>
  <c r="I127" i="2"/>
  <c r="K88" i="2"/>
  <c r="I88" i="2"/>
  <c r="I18" i="2"/>
  <c r="J18" i="2"/>
  <c r="K18" i="2"/>
  <c r="K87" i="2"/>
  <c r="I87" i="2"/>
  <c r="K70" i="2"/>
  <c r="I70" i="2"/>
  <c r="J70" i="2"/>
  <c r="K76" i="2"/>
  <c r="I76" i="2"/>
  <c r="I133" i="2"/>
  <c r="J133" i="2"/>
  <c r="K133" i="2"/>
  <c r="J139" i="2"/>
  <c r="K139" i="2"/>
  <c r="I139" i="2"/>
  <c r="I86" i="2"/>
  <c r="K86" i="2"/>
  <c r="I44" i="2"/>
  <c r="K44" i="2"/>
  <c r="J44" i="2"/>
  <c r="H20" i="3"/>
  <c r="J62" i="2"/>
  <c r="K62" i="2"/>
  <c r="I62" i="2"/>
  <c r="J60" i="2"/>
  <c r="I60" i="2"/>
  <c r="K60" i="2"/>
  <c r="I110" i="2"/>
  <c r="J110" i="2"/>
  <c r="K110" i="2"/>
  <c r="J11" i="2"/>
  <c r="I11" i="2"/>
  <c r="K11" i="2"/>
  <c r="I64" i="2"/>
  <c r="J64" i="2"/>
  <c r="K64" i="2"/>
  <c r="J104" i="2"/>
  <c r="K104" i="2"/>
  <c r="I104" i="2"/>
  <c r="K10" i="2"/>
  <c r="J10" i="2"/>
  <c r="I10" i="2"/>
  <c r="J93" i="2"/>
  <c r="K93" i="2"/>
  <c r="I93" i="2"/>
  <c r="K99" i="2"/>
  <c r="I99" i="2"/>
  <c r="J99" i="2"/>
  <c r="J105" i="2"/>
  <c r="K105" i="2"/>
  <c r="I105" i="2"/>
  <c r="K124" i="2"/>
  <c r="I124" i="2"/>
  <c r="J124" i="2"/>
  <c r="I143" i="2"/>
  <c r="J143" i="2"/>
  <c r="K143" i="2"/>
  <c r="I15" i="2"/>
  <c r="J15" i="2"/>
  <c r="K15" i="2"/>
  <c r="J94" i="2"/>
  <c r="K94" i="2"/>
  <c r="I94" i="2"/>
  <c r="J16" i="2"/>
  <c r="K16" i="2"/>
  <c r="I16" i="2"/>
  <c r="K100" i="2"/>
  <c r="I100" i="2"/>
  <c r="J100" i="2"/>
  <c r="K13" i="2"/>
  <c r="I13" i="2"/>
  <c r="J13" i="2"/>
  <c r="J5" i="2"/>
  <c r="K5" i="2"/>
  <c r="I5" i="2"/>
  <c r="K56" i="2"/>
  <c r="I56" i="2"/>
  <c r="J56" i="2"/>
  <c r="I33" i="2"/>
  <c r="J33" i="2"/>
  <c r="K33" i="2"/>
  <c r="K50" i="2"/>
  <c r="J50" i="2"/>
  <c r="I50" i="2"/>
  <c r="K71" i="2"/>
  <c r="J71" i="2"/>
  <c r="I71" i="2"/>
  <c r="I68" i="2"/>
  <c r="K68" i="2"/>
  <c r="J68" i="2"/>
  <c r="I74" i="2"/>
  <c r="K74" i="2"/>
  <c r="J74" i="2"/>
  <c r="J57" i="2"/>
  <c r="I57" i="2"/>
  <c r="K57" i="2"/>
  <c r="J40" i="2"/>
  <c r="K40" i="2"/>
  <c r="I40" i="2"/>
  <c r="I39" i="2"/>
  <c r="K39" i="2"/>
  <c r="J39" i="2"/>
  <c r="J106" i="2"/>
  <c r="K106" i="2"/>
  <c r="I106" i="2"/>
  <c r="K112" i="2"/>
  <c r="I112" i="2"/>
  <c r="J112" i="2"/>
  <c r="J118" i="2"/>
  <c r="K118" i="2"/>
  <c r="I118" i="2"/>
  <c r="I20" i="2"/>
  <c r="J20" i="2"/>
  <c r="K20" i="2"/>
  <c r="K137" i="2"/>
  <c r="I137" i="2"/>
  <c r="J137" i="2"/>
  <c r="I7" i="2"/>
  <c r="K7" i="2"/>
  <c r="J35" i="2"/>
  <c r="K35" i="2"/>
  <c r="I35" i="2"/>
  <c r="J66" i="2"/>
  <c r="I66" i="2"/>
  <c r="K66" i="2"/>
  <c r="K90" i="2"/>
  <c r="I90" i="2"/>
  <c r="K12" i="2"/>
  <c r="J12" i="2"/>
  <c r="I12" i="2"/>
  <c r="K81" i="2"/>
  <c r="I81" i="2"/>
  <c r="J115" i="2"/>
  <c r="K115" i="2"/>
  <c r="I115" i="2"/>
  <c r="I80" i="2"/>
  <c r="K80" i="2"/>
  <c r="K113" i="2"/>
  <c r="I113" i="2"/>
  <c r="J113" i="2"/>
  <c r="J29" i="2"/>
  <c r="K29" i="2"/>
  <c r="I29" i="2"/>
  <c r="I119" i="2"/>
  <c r="J119" i="2"/>
  <c r="K119" i="2"/>
  <c r="K125" i="2"/>
  <c r="I125" i="2"/>
  <c r="J125" i="2"/>
  <c r="I131" i="2"/>
  <c r="J131" i="2"/>
  <c r="K131" i="2"/>
  <c r="I38" i="2"/>
  <c r="K38" i="2"/>
  <c r="I32" i="2"/>
  <c r="J32" i="2"/>
  <c r="K32" i="2"/>
  <c r="J17" i="2"/>
  <c r="I17" i="2"/>
  <c r="K17" i="2"/>
  <c r="J103" i="2"/>
  <c r="K103" i="2"/>
  <c r="I103" i="2"/>
  <c r="J43" i="2"/>
  <c r="K43" i="2"/>
  <c r="I43" i="2"/>
  <c r="I109" i="2"/>
  <c r="J109" i="2"/>
  <c r="K109" i="2"/>
  <c r="K23" i="2"/>
  <c r="I23" i="2"/>
  <c r="J23" i="2"/>
  <c r="K102" i="2"/>
  <c r="I102" i="2"/>
  <c r="J102" i="2"/>
  <c r="K89" i="2"/>
  <c r="I89" i="2"/>
  <c r="J116" i="2"/>
  <c r="K116" i="2"/>
  <c r="I116" i="2"/>
  <c r="I26" i="2"/>
  <c r="K26" i="2"/>
  <c r="J26" i="2"/>
  <c r="I73" i="2"/>
  <c r="K73" i="2"/>
  <c r="J73" i="2"/>
  <c r="I85" i="2"/>
  <c r="K85" i="2"/>
  <c r="I84" i="2"/>
  <c r="K84" i="2"/>
  <c r="I79" i="2"/>
  <c r="K79" i="2"/>
  <c r="J21" i="2"/>
  <c r="I21" i="2"/>
  <c r="K21" i="2"/>
  <c r="I22" i="2"/>
  <c r="J22" i="2"/>
  <c r="K22" i="2"/>
  <c r="I45" i="2"/>
  <c r="J45" i="2"/>
  <c r="K45" i="2"/>
  <c r="K135" i="2"/>
  <c r="I135" i="2"/>
  <c r="J135" i="2"/>
  <c r="I25" i="2"/>
  <c r="K25" i="2"/>
  <c r="J25" i="2"/>
  <c r="I30" i="2"/>
  <c r="K30" i="2"/>
  <c r="J30" i="2"/>
  <c r="I107" i="2"/>
  <c r="J107" i="2"/>
  <c r="K107" i="2"/>
  <c r="I6" i="2"/>
  <c r="K6" i="2"/>
  <c r="J6" i="2"/>
  <c r="I122" i="2"/>
  <c r="J122" i="2"/>
  <c r="K122" i="2"/>
  <c r="J128" i="2"/>
  <c r="K128" i="2"/>
  <c r="I128" i="2"/>
  <c r="I36" i="2"/>
  <c r="K36" i="2"/>
  <c r="J36" i="2"/>
  <c r="I134" i="2"/>
  <c r="J134" i="2"/>
  <c r="K134" i="2"/>
  <c r="J69" i="2"/>
  <c r="I69" i="2"/>
  <c r="K69" i="2"/>
  <c r="J140" i="2"/>
  <c r="K140" i="2"/>
  <c r="I140" i="2"/>
  <c r="K77" i="2"/>
  <c r="I77" i="2"/>
  <c r="J27" i="2"/>
  <c r="I27" i="2"/>
  <c r="K27" i="2"/>
  <c r="K37" i="2"/>
  <c r="I37" i="2"/>
  <c r="J37" i="2"/>
  <c r="I97" i="2"/>
  <c r="J97" i="2"/>
  <c r="K97" i="2"/>
  <c r="J54" i="2"/>
  <c r="I54" i="2"/>
  <c r="K54" i="2"/>
  <c r="K123" i="2"/>
  <c r="I123" i="2"/>
  <c r="J123" i="2"/>
  <c r="K47" i="2"/>
  <c r="I47" i="2"/>
  <c r="J47" i="2"/>
  <c r="J129" i="2"/>
  <c r="K129" i="2"/>
  <c r="I129" i="2"/>
  <c r="I121" i="2"/>
  <c r="J121" i="2"/>
  <c r="K121" i="2"/>
  <c r="K28" i="2"/>
  <c r="J28" i="2"/>
  <c r="I28" i="2"/>
  <c r="D20" i="3"/>
  <c r="B21" i="3"/>
  <c r="F21" i="3"/>
  <c r="F20" i="3"/>
  <c r="A6" i="2" l="1"/>
  <c r="A25" i="2"/>
  <c r="A66" i="2"/>
  <c r="A76" i="2"/>
  <c r="A118" i="2"/>
  <c r="A40" i="2"/>
  <c r="A60" i="2"/>
  <c r="A139" i="2"/>
  <c r="A112" i="2"/>
  <c r="A99" i="2"/>
  <c r="A153" i="2"/>
  <c r="A35" i="2"/>
  <c r="A116" i="2"/>
  <c r="A57" i="2"/>
  <c r="A126" i="2"/>
  <c r="A49" i="2"/>
  <c r="A48" i="2"/>
  <c r="A18" i="2"/>
  <c r="A30" i="2"/>
  <c r="A42" i="2"/>
  <c r="A78" i="2"/>
  <c r="A90" i="2"/>
  <c r="A102" i="2"/>
  <c r="A114" i="2"/>
  <c r="A138" i="2"/>
  <c r="A150" i="2"/>
  <c r="A137" i="2"/>
  <c r="A7" i="2"/>
  <c r="A19" i="2"/>
  <c r="A31" i="2"/>
  <c r="A43" i="2"/>
  <c r="A55" i="2"/>
  <c r="A79" i="2"/>
  <c r="A91" i="2"/>
  <c r="A103" i="2"/>
  <c r="A115" i="2"/>
  <c r="A151" i="2"/>
  <c r="A113" i="2"/>
  <c r="A8" i="2"/>
  <c r="A20" i="2"/>
  <c r="A32" i="2"/>
  <c r="A56" i="2"/>
  <c r="A80" i="2"/>
  <c r="A92" i="2"/>
  <c r="A104" i="2"/>
  <c r="A128" i="2"/>
  <c r="A140" i="2"/>
  <c r="A152" i="2"/>
  <c r="A125" i="2"/>
  <c r="A9" i="2"/>
  <c r="A21" i="2"/>
  <c r="A33" i="2"/>
  <c r="A45" i="2"/>
  <c r="A69" i="2"/>
  <c r="A81" i="2"/>
  <c r="A93" i="2"/>
  <c r="A105" i="2"/>
  <c r="A117" i="2"/>
  <c r="A129" i="2"/>
  <c r="A141" i="2"/>
  <c r="A101" i="2"/>
  <c r="A10" i="2"/>
  <c r="A22" i="2"/>
  <c r="A58" i="2"/>
  <c r="A94" i="2"/>
  <c r="A106" i="2"/>
  <c r="A130" i="2"/>
  <c r="A142" i="2"/>
  <c r="A154" i="2"/>
  <c r="A53" i="2"/>
  <c r="A11" i="2"/>
  <c r="A23" i="2"/>
  <c r="A47" i="2"/>
  <c r="A59" i="2"/>
  <c r="A71" i="2"/>
  <c r="A83" i="2"/>
  <c r="A95" i="2"/>
  <c r="A143" i="2"/>
  <c r="A12" i="2"/>
  <c r="A24" i="2"/>
  <c r="A36" i="2"/>
  <c r="A84" i="2"/>
  <c r="A96" i="2"/>
  <c r="A120" i="2"/>
  <c r="A132" i="2"/>
  <c r="A144" i="2"/>
  <c r="A77" i="2"/>
  <c r="A13" i="2"/>
  <c r="A37" i="2"/>
  <c r="A61" i="2"/>
  <c r="A85" i="2"/>
  <c r="A109" i="2"/>
  <c r="A133" i="2"/>
  <c r="A145" i="2"/>
  <c r="A41" i="2"/>
  <c r="A14" i="2"/>
  <c r="A26" i="2"/>
  <c r="A38" i="2"/>
  <c r="A50" i="2"/>
  <c r="A62" i="2"/>
  <c r="A74" i="2"/>
  <c r="A86" i="2"/>
  <c r="A98" i="2"/>
  <c r="A110" i="2"/>
  <c r="A122" i="2"/>
  <c r="A134" i="2"/>
  <c r="A146" i="2"/>
  <c r="A158" i="2"/>
  <c r="A65" i="2"/>
  <c r="A15" i="2"/>
  <c r="A39" i="2"/>
  <c r="A51" i="2"/>
  <c r="A63" i="2"/>
  <c r="A75" i="2"/>
  <c r="A87" i="2"/>
  <c r="A111" i="2"/>
  <c r="A123" i="2"/>
  <c r="A147" i="2"/>
  <c r="A159" i="2"/>
  <c r="A29" i="2"/>
  <c r="A16" i="2"/>
  <c r="A28" i="2"/>
  <c r="A64" i="2"/>
  <c r="A88" i="2"/>
  <c r="A124" i="2"/>
  <c r="A136" i="2"/>
  <c r="A148" i="2"/>
  <c r="A17" i="2"/>
  <c r="A162" i="2"/>
  <c r="A100" i="2"/>
  <c r="A46" i="2"/>
  <c r="A149" i="2"/>
  <c r="A135" i="2"/>
  <c r="A107" i="2"/>
  <c r="A44" i="2"/>
  <c r="A67" i="2"/>
  <c r="A89" i="2"/>
  <c r="A82" i="2"/>
  <c r="A156" i="2"/>
  <c r="A121" i="2"/>
  <c r="A131" i="2"/>
  <c r="A70" i="2"/>
  <c r="A127" i="2"/>
  <c r="A155" i="2"/>
  <c r="A73" i="2"/>
  <c r="A68" i="2"/>
  <c r="A52" i="2"/>
  <c r="A157" i="2"/>
  <c r="A27" i="2"/>
  <c r="A54" i="2"/>
  <c r="A108" i="2"/>
  <c r="A160" i="2"/>
  <c r="A119" i="2"/>
  <c r="A97" i="2"/>
  <c r="A72" i="2"/>
  <c r="A34" i="2"/>
  <c r="A161" i="2"/>
  <c r="A5" i="2"/>
  <c r="C20" i="3"/>
  <c r="E20" i="3"/>
  <c r="G20" i="3" s="1"/>
  <c r="H21" i="3"/>
  <c r="E21" i="3" s="1"/>
  <c r="D21" i="3"/>
  <c r="B22" i="3"/>
  <c r="D22" i="3"/>
  <c r="F22" i="3"/>
  <c r="N26" i="2" l="1"/>
  <c r="N29" i="2"/>
  <c r="N32" i="2"/>
  <c r="Q30" i="2"/>
  <c r="Q31" i="2"/>
  <c r="O29" i="2"/>
  <c r="O32" i="2"/>
  <c r="P33" i="2"/>
  <c r="O31" i="2"/>
  <c r="P29" i="2"/>
  <c r="P32" i="2"/>
  <c r="P30" i="2"/>
  <c r="P31" i="2"/>
  <c r="Q29" i="2"/>
  <c r="Q32" i="2"/>
  <c r="O30" i="2"/>
  <c r="N31" i="2"/>
  <c r="N30" i="2"/>
  <c r="N33" i="2"/>
  <c r="O33" i="2"/>
  <c r="Q33" i="2"/>
  <c r="N18" i="2"/>
  <c r="N15" i="2"/>
  <c r="O15" i="2"/>
  <c r="O18" i="2"/>
  <c r="P15" i="2"/>
  <c r="P18" i="2"/>
  <c r="Q15" i="2"/>
  <c r="Q18" i="2"/>
  <c r="P17" i="2"/>
  <c r="N16" i="2"/>
  <c r="N19" i="2"/>
  <c r="O19" i="2"/>
  <c r="N17" i="2"/>
  <c r="O16" i="2"/>
  <c r="P16" i="2"/>
  <c r="P19" i="2"/>
  <c r="Q16" i="2"/>
  <c r="Q19" i="2"/>
  <c r="Q17" i="2"/>
  <c r="O17" i="2"/>
  <c r="C21" i="3"/>
  <c r="G21" i="3"/>
  <c r="O25" i="2"/>
  <c r="P28" i="2"/>
  <c r="N25" i="2"/>
  <c r="N10" i="2"/>
  <c r="P27" i="2"/>
  <c r="N24" i="2"/>
  <c r="P26" i="2"/>
  <c r="P25" i="2"/>
  <c r="O26" i="2"/>
  <c r="N28" i="2"/>
  <c r="N27" i="2"/>
  <c r="Q24" i="2"/>
  <c r="Q27" i="2"/>
  <c r="Q25" i="2"/>
  <c r="P24" i="2"/>
  <c r="O28" i="2"/>
  <c r="O24" i="2"/>
  <c r="O27" i="2"/>
  <c r="Q28" i="2"/>
  <c r="Q26" i="2"/>
  <c r="N13" i="2"/>
  <c r="N12" i="2"/>
  <c r="N14" i="2"/>
  <c r="C22" i="3"/>
  <c r="H22" i="3"/>
  <c r="E22" i="3" s="1"/>
  <c r="G22" i="3" s="1"/>
  <c r="Q14" i="2"/>
  <c r="O10" i="2"/>
  <c r="Q11" i="2"/>
  <c r="P11" i="2"/>
  <c r="P14" i="2"/>
  <c r="P10" i="2"/>
  <c r="O13" i="2"/>
  <c r="Q12" i="2"/>
  <c r="N11" i="2"/>
  <c r="O11" i="2"/>
  <c r="P12" i="2"/>
  <c r="O14" i="2"/>
  <c r="Q10" i="2"/>
  <c r="O12" i="2"/>
  <c r="Q13" i="2"/>
  <c r="P13" i="2"/>
  <c r="B23" i="3"/>
  <c r="F23" i="3"/>
  <c r="D23" i="3"/>
  <c r="C23" i="3" l="1"/>
  <c r="H23" i="3"/>
  <c r="E23" i="3" s="1"/>
  <c r="G23" i="3" s="1"/>
  <c r="B24" i="3"/>
  <c r="D24" i="3"/>
  <c r="C24" i="3" l="1"/>
  <c r="H24" i="3"/>
  <c r="F24" i="3"/>
  <c r="B25" i="3"/>
  <c r="F25" i="3"/>
  <c r="D25" i="3"/>
  <c r="E24" i="3" l="1"/>
  <c r="G24" i="3" s="1"/>
  <c r="C25" i="3"/>
  <c r="H25" i="3"/>
  <c r="E25" i="3" s="1"/>
  <c r="G25" i="3" s="1"/>
  <c r="B26" i="3"/>
  <c r="F26" i="3"/>
  <c r="D26" i="3"/>
  <c r="C26" i="3" l="1"/>
  <c r="H26" i="3"/>
  <c r="E26" i="3" s="1"/>
  <c r="G26" i="3" s="1"/>
  <c r="B27" i="3"/>
  <c r="D27" i="3"/>
  <c r="F27" i="3"/>
  <c r="C27" i="3" l="1"/>
  <c r="H27" i="3"/>
  <c r="E27" i="3" s="1"/>
  <c r="G27" i="3" s="1"/>
  <c r="B28" i="3"/>
  <c r="F28" i="3" s="1"/>
  <c r="D28" i="3"/>
  <c r="C28" i="3" l="1"/>
  <c r="H28" i="3"/>
  <c r="E28" i="3" s="1"/>
  <c r="G28" i="3" s="1"/>
  <c r="B29" i="3"/>
  <c r="D29" i="3"/>
  <c r="C29" i="3" l="1"/>
  <c r="H29" i="3"/>
  <c r="F29" i="3"/>
  <c r="B30" i="3"/>
  <c r="D30" i="3"/>
  <c r="E29" i="3" l="1"/>
  <c r="G29" i="3" s="1"/>
  <c r="C30" i="3"/>
  <c r="H30" i="3"/>
  <c r="F30" i="3"/>
  <c r="B31" i="3"/>
  <c r="F31" i="3"/>
  <c r="E30" i="3" l="1"/>
  <c r="G30" i="3" s="1"/>
  <c r="H31" i="3"/>
  <c r="E31" i="3" s="1"/>
  <c r="B32" i="3"/>
  <c r="F32" i="3"/>
  <c r="D31" i="3"/>
  <c r="C31" i="3" l="1"/>
  <c r="G31" i="3"/>
  <c r="H32" i="3"/>
  <c r="E32" i="3" s="1"/>
  <c r="B33" i="3"/>
  <c r="D32" i="3"/>
  <c r="F33" i="3"/>
  <c r="C32" i="3" l="1"/>
  <c r="G32" i="3"/>
  <c r="H33" i="3"/>
  <c r="E33" i="3" s="1"/>
  <c r="D33" i="3"/>
  <c r="B34" i="3"/>
  <c r="D34" i="3"/>
  <c r="F34" i="3"/>
  <c r="C33" i="3" l="1"/>
  <c r="G33" i="3"/>
  <c r="C34" i="3"/>
  <c r="H34" i="3"/>
  <c r="E34" i="3" s="1"/>
  <c r="G34" i="3" s="1"/>
  <c r="B35" i="3"/>
  <c r="F35" i="3"/>
  <c r="H35" i="3" l="1"/>
  <c r="E35" i="3" s="1"/>
  <c r="D35" i="3"/>
  <c r="B36" i="3"/>
  <c r="D36" i="3" s="1"/>
  <c r="F36" i="3"/>
  <c r="C35" i="3" l="1"/>
  <c r="G35" i="3"/>
  <c r="C36" i="3"/>
  <c r="H36" i="3"/>
  <c r="E36" i="3" s="1"/>
  <c r="G36" i="3" s="1"/>
  <c r="B37" i="3"/>
  <c r="D37" i="3"/>
  <c r="C37" i="3" l="1"/>
  <c r="H37" i="3"/>
  <c r="B38" i="3"/>
  <c r="F37" i="3"/>
  <c r="F38" i="3"/>
  <c r="D38" i="3"/>
  <c r="E37" i="3" l="1"/>
  <c r="G37" i="3" s="1"/>
  <c r="C38" i="3"/>
  <c r="H38" i="3"/>
  <c r="E38" i="3" s="1"/>
  <c r="G38" i="3" s="1"/>
  <c r="B39" i="3"/>
  <c r="F39" i="3"/>
  <c r="H39" i="3" l="1"/>
  <c r="E39" i="3" s="1"/>
  <c r="D39" i="3"/>
  <c r="B40" i="3"/>
  <c r="D40" i="3"/>
  <c r="C39" i="3" l="1"/>
  <c r="G39" i="3"/>
  <c r="C40" i="3"/>
  <c r="H40" i="3"/>
  <c r="F40" i="3"/>
  <c r="B41" i="3"/>
  <c r="D41" i="3" s="1"/>
  <c r="F41" i="3"/>
  <c r="E40" i="3" l="1"/>
  <c r="G40" i="3" s="1"/>
  <c r="C41" i="3"/>
  <c r="H41" i="3"/>
  <c r="E41" i="3" s="1"/>
  <c r="G41" i="3" s="1"/>
  <c r="B42" i="3"/>
  <c r="D42" i="3"/>
  <c r="C42" i="3" l="1"/>
  <c r="H42" i="3"/>
  <c r="F42" i="3"/>
  <c r="B43" i="3"/>
  <c r="D43" i="3"/>
  <c r="E42" i="3" l="1"/>
  <c r="G42" i="3" s="1"/>
  <c r="C43" i="3"/>
  <c r="H43" i="3"/>
  <c r="F43" i="3"/>
  <c r="B44" i="3"/>
  <c r="D44" i="3"/>
  <c r="F44" i="3"/>
  <c r="E43" i="3" l="1"/>
  <c r="G43" i="3" s="1"/>
  <c r="C44" i="3"/>
  <c r="H44" i="3"/>
  <c r="E44" i="3" s="1"/>
  <c r="G44" i="3" s="1"/>
  <c r="B45" i="3"/>
  <c r="D45" i="3"/>
  <c r="C45" i="3" l="1"/>
  <c r="H45" i="3"/>
  <c r="F45" i="3"/>
  <c r="B46" i="3"/>
  <c r="E45" i="3" l="1"/>
  <c r="G45" i="3" s="1"/>
  <c r="H46" i="3"/>
  <c r="F46" i="3"/>
  <c r="B47" i="3"/>
  <c r="D46" i="3"/>
  <c r="F47" i="3"/>
  <c r="E46" i="3" l="1"/>
  <c r="G46" i="3" s="1"/>
  <c r="C46" i="3"/>
  <c r="H47" i="3"/>
  <c r="E47" i="3" s="1"/>
  <c r="D47" i="3"/>
  <c r="B48" i="3"/>
  <c r="D48" i="3" s="1"/>
  <c r="F48" i="3"/>
  <c r="C47" i="3" l="1"/>
  <c r="G47" i="3"/>
  <c r="C48" i="3"/>
  <c r="H48" i="3"/>
  <c r="E48" i="3" s="1"/>
  <c r="G48" i="3" s="1"/>
  <c r="B49" i="3"/>
  <c r="F49" i="3"/>
  <c r="H49" i="3" l="1"/>
  <c r="E49" i="3" s="1"/>
  <c r="D49" i="3"/>
  <c r="B50" i="3"/>
  <c r="F50" i="3"/>
  <c r="D50" i="3"/>
  <c r="C49" i="3" l="1"/>
  <c r="G49" i="3"/>
  <c r="C50" i="3"/>
  <c r="H50" i="3"/>
  <c r="E50" i="3" s="1"/>
  <c r="G50" i="3" s="1"/>
  <c r="B51" i="3"/>
  <c r="D51" i="3"/>
  <c r="C51" i="3" l="1"/>
  <c r="H51" i="3"/>
  <c r="B52" i="3"/>
  <c r="F51" i="3"/>
  <c r="E51" i="3" l="1"/>
  <c r="G51" i="3" s="1"/>
  <c r="H52" i="3"/>
  <c r="F52" i="3"/>
  <c r="D52" i="3"/>
  <c r="B53" i="3"/>
  <c r="E52" i="3" l="1"/>
  <c r="G52" i="3" s="1"/>
  <c r="C52" i="3"/>
  <c r="H53" i="3"/>
  <c r="D53" i="3"/>
  <c r="B54" i="3"/>
  <c r="D54" i="3" s="1"/>
  <c r="F53" i="3"/>
  <c r="F54" i="3"/>
  <c r="C53" i="3" l="1"/>
  <c r="E53" i="3"/>
  <c r="G53" i="3" s="1"/>
  <c r="C54" i="3"/>
  <c r="H54" i="3"/>
  <c r="E54" i="3" s="1"/>
  <c r="G54" i="3" s="1"/>
  <c r="B55" i="3"/>
  <c r="D55" i="3"/>
  <c r="F55" i="3"/>
  <c r="C55" i="3" l="1"/>
  <c r="H55" i="3"/>
  <c r="E55" i="3" s="1"/>
  <c r="G55" i="3" s="1"/>
  <c r="B56" i="3"/>
  <c r="F56" i="3"/>
  <c r="D56" i="3"/>
  <c r="C56" i="3" l="1"/>
  <c r="H56" i="3"/>
  <c r="E56" i="3" s="1"/>
  <c r="G56" i="3" s="1"/>
  <c r="B57" i="3"/>
  <c r="F57" i="3" s="1"/>
  <c r="D57" i="3"/>
  <c r="C57" i="3" l="1"/>
  <c r="H57" i="3"/>
  <c r="E57" i="3" s="1"/>
  <c r="G57" i="3" s="1"/>
  <c r="B58" i="3"/>
  <c r="H58" i="3" l="1"/>
  <c r="F58" i="3"/>
  <c r="B59" i="3"/>
  <c r="D58" i="3"/>
  <c r="D59" i="3"/>
  <c r="F59" i="3"/>
  <c r="E58" i="3" l="1"/>
  <c r="G58" i="3" s="1"/>
  <c r="C58" i="3"/>
  <c r="C59" i="3"/>
  <c r="H59" i="3"/>
  <c r="E59" i="3" s="1"/>
  <c r="G59" i="3" s="1"/>
  <c r="B60" i="3"/>
  <c r="F60" i="3" s="1"/>
  <c r="D60" i="3"/>
  <c r="C60" i="3" l="1"/>
  <c r="H60" i="3"/>
  <c r="E60" i="3" s="1"/>
  <c r="G60" i="3" s="1"/>
  <c r="B61" i="3"/>
  <c r="D61" i="3"/>
  <c r="C61" i="3" l="1"/>
  <c r="H61" i="3"/>
  <c r="F61" i="3"/>
  <c r="B62" i="3"/>
  <c r="F62" i="3"/>
  <c r="D62" i="3"/>
  <c r="E61" i="3" l="1"/>
  <c r="G61" i="3" s="1"/>
  <c r="C62" i="3"/>
  <c r="H62" i="3"/>
  <c r="E62" i="3" s="1"/>
  <c r="G62" i="3" s="1"/>
  <c r="B63" i="3"/>
  <c r="F63" i="3"/>
  <c r="D63" i="3"/>
  <c r="C63" i="3" l="1"/>
  <c r="H63" i="3"/>
  <c r="E63" i="3" s="1"/>
  <c r="G63" i="3" s="1"/>
  <c r="B64" i="3"/>
  <c r="H64" i="3" l="1"/>
  <c r="D64" i="3"/>
  <c r="B65" i="3"/>
  <c r="F65" i="3"/>
  <c r="F64" i="3"/>
  <c r="C64" i="3" l="1"/>
  <c r="E64" i="3"/>
  <c r="G64" i="3" s="1"/>
  <c r="H65" i="3"/>
  <c r="E65" i="3" s="1"/>
  <c r="D65" i="3"/>
  <c r="B66" i="3"/>
  <c r="C65" i="3" l="1"/>
  <c r="G65" i="3"/>
  <c r="H66" i="3"/>
  <c r="F66" i="3"/>
  <c r="B67" i="3"/>
  <c r="F67" i="3" s="1"/>
  <c r="D66" i="3"/>
  <c r="E66" i="3" l="1"/>
  <c r="G66" i="3" s="1"/>
  <c r="C66" i="3"/>
  <c r="H67" i="3"/>
  <c r="E67" i="3" s="1"/>
  <c r="D67" i="3"/>
  <c r="B68" i="3"/>
  <c r="C67" i="3" l="1"/>
  <c r="G67" i="3"/>
  <c r="H68" i="3"/>
  <c r="D68" i="3"/>
  <c r="B69" i="3"/>
  <c r="F68" i="3"/>
  <c r="C68" i="3" l="1"/>
  <c r="E68" i="3"/>
  <c r="G68" i="3" s="1"/>
  <c r="H69" i="3"/>
  <c r="F69" i="3"/>
  <c r="D69" i="3"/>
  <c r="B70" i="3"/>
  <c r="D70" i="3" s="1"/>
  <c r="E69" i="3" l="1"/>
  <c r="G69" i="3" s="1"/>
  <c r="C69" i="3"/>
  <c r="C70" i="3"/>
  <c r="H70" i="3"/>
  <c r="B71" i="3"/>
  <c r="F71" i="3" s="1"/>
  <c r="F70" i="3"/>
  <c r="E70" i="3" l="1"/>
  <c r="G70" i="3" s="1"/>
  <c r="H71" i="3"/>
  <c r="E71" i="3" s="1"/>
  <c r="B72" i="3"/>
  <c r="D72" i="3"/>
  <c r="F72" i="3"/>
  <c r="D71" i="3"/>
  <c r="C71" i="3" l="1"/>
  <c r="G71" i="3"/>
  <c r="C72" i="3"/>
  <c r="H72" i="3"/>
  <c r="E72" i="3" s="1"/>
  <c r="G72" i="3" s="1"/>
  <c r="B73" i="3"/>
  <c r="F73" i="3"/>
  <c r="H73" i="3" l="1"/>
  <c r="E73" i="3" s="1"/>
  <c r="D73" i="3"/>
  <c r="B74" i="3"/>
  <c r="C73" i="3" l="1"/>
  <c r="G73" i="3"/>
  <c r="H74" i="3"/>
  <c r="F74" i="3"/>
  <c r="B75" i="3"/>
  <c r="D74" i="3"/>
  <c r="D75" i="3"/>
  <c r="E74" i="3" l="1"/>
  <c r="G74" i="3" s="1"/>
  <c r="C74" i="3"/>
  <c r="C75" i="3"/>
  <c r="H75" i="3"/>
  <c r="F75" i="3"/>
  <c r="B76" i="3"/>
  <c r="D76" i="3" s="1"/>
  <c r="E75" i="3" l="1"/>
  <c r="G75" i="3" s="1"/>
  <c r="C76" i="3"/>
  <c r="H76" i="3"/>
  <c r="B77" i="3"/>
  <c r="F76" i="3"/>
  <c r="D77" i="3"/>
  <c r="F77" i="3"/>
  <c r="E76" i="3" l="1"/>
  <c r="G76" i="3" s="1"/>
  <c r="C77" i="3"/>
  <c r="H77" i="3"/>
  <c r="E77" i="3" s="1"/>
  <c r="G77" i="3" s="1"/>
  <c r="B78" i="3"/>
  <c r="D78" i="3" s="1"/>
  <c r="C78" i="3" l="1"/>
  <c r="H78" i="3"/>
  <c r="B79" i="3"/>
  <c r="F78" i="3"/>
  <c r="D79" i="3"/>
  <c r="E78" i="3" l="1"/>
  <c r="G78" i="3" s="1"/>
  <c r="C79" i="3"/>
  <c r="H79" i="3"/>
  <c r="F79" i="3"/>
  <c r="B80" i="3"/>
  <c r="D80" i="3"/>
  <c r="E79" i="3" l="1"/>
  <c r="G79" i="3" s="1"/>
  <c r="C80" i="3"/>
  <c r="H80" i="3"/>
  <c r="B81" i="3"/>
  <c r="F80" i="3"/>
  <c r="F81" i="3"/>
  <c r="E80" i="3" l="1"/>
  <c r="G80" i="3" s="1"/>
  <c r="H81" i="3"/>
  <c r="E81" i="3" s="1"/>
  <c r="D81" i="3"/>
  <c r="B82" i="3"/>
  <c r="C81" i="3" l="1"/>
  <c r="G81" i="3"/>
  <c r="H82" i="3"/>
  <c r="F82" i="3"/>
  <c r="D82" i="3"/>
  <c r="B83" i="3"/>
  <c r="D83" i="3" s="1"/>
  <c r="F83" i="3"/>
  <c r="E82" i="3" l="1"/>
  <c r="G82" i="3" s="1"/>
  <c r="C82" i="3"/>
  <c r="C83" i="3"/>
  <c r="H83" i="3"/>
  <c r="E83" i="3" s="1"/>
  <c r="G83" i="3" s="1"/>
  <c r="B84" i="3"/>
  <c r="H84" i="3" l="1"/>
  <c r="D84" i="3"/>
  <c r="F84" i="3"/>
  <c r="B85" i="3"/>
  <c r="C84" i="3" l="1"/>
  <c r="E84" i="3"/>
  <c r="G84" i="3" s="1"/>
  <c r="H85" i="3"/>
  <c r="F85" i="3"/>
  <c r="D85" i="3"/>
  <c r="B86" i="3"/>
  <c r="D86" i="3"/>
  <c r="E85" i="3" l="1"/>
  <c r="G85" i="3" s="1"/>
  <c r="C85" i="3"/>
  <c r="C86" i="3"/>
  <c r="H86" i="3"/>
  <c r="F86" i="3"/>
  <c r="B87" i="3"/>
  <c r="D87" i="3"/>
  <c r="E86" i="3" l="1"/>
  <c r="G86" i="3" s="1"/>
  <c r="C87" i="3"/>
  <c r="H87" i="3"/>
  <c r="B88" i="3"/>
  <c r="F88" i="3"/>
  <c r="F87" i="3"/>
  <c r="E87" i="3" l="1"/>
  <c r="G87" i="3" s="1"/>
  <c r="H88" i="3"/>
  <c r="E88" i="3" s="1"/>
  <c r="D88" i="3"/>
  <c r="B89" i="3"/>
  <c r="F89" i="3"/>
  <c r="C88" i="3" l="1"/>
  <c r="G88" i="3"/>
  <c r="H89" i="3"/>
  <c r="E89" i="3" s="1"/>
  <c r="D89" i="3"/>
  <c r="B90" i="3"/>
  <c r="C89" i="3" l="1"/>
  <c r="G89" i="3"/>
  <c r="H90" i="3"/>
  <c r="F90" i="3"/>
  <c r="D90" i="3"/>
  <c r="B91" i="3"/>
  <c r="E90" i="3" l="1"/>
  <c r="G90" i="3" s="1"/>
  <c r="C90" i="3"/>
  <c r="H91" i="3"/>
  <c r="D91" i="3"/>
  <c r="F91" i="3"/>
  <c r="B92" i="3"/>
  <c r="D92" i="3"/>
  <c r="C91" i="3" l="1"/>
  <c r="E91" i="3"/>
  <c r="G91" i="3" s="1"/>
  <c r="C92" i="3"/>
  <c r="H92" i="3"/>
  <c r="B93" i="3"/>
  <c r="F92" i="3"/>
  <c r="D93" i="3"/>
  <c r="F93" i="3"/>
  <c r="E92" i="3" l="1"/>
  <c r="G92" i="3" s="1"/>
  <c r="C93" i="3"/>
  <c r="H93" i="3"/>
  <c r="E93" i="3" s="1"/>
  <c r="G93" i="3" s="1"/>
  <c r="B94" i="3"/>
  <c r="F94" i="3"/>
  <c r="D94" i="3"/>
  <c r="C94" i="3" l="1"/>
  <c r="H94" i="3"/>
  <c r="E94" i="3" s="1"/>
  <c r="G94" i="3" s="1"/>
  <c r="B95" i="3"/>
  <c r="H95" i="3" l="1"/>
  <c r="F95" i="3"/>
  <c r="B96" i="3"/>
  <c r="D96" i="3"/>
  <c r="D95" i="3"/>
  <c r="E95" i="3" l="1"/>
  <c r="G95" i="3" s="1"/>
  <c r="C95" i="3"/>
  <c r="C96" i="3"/>
  <c r="H96" i="3"/>
  <c r="F96" i="3"/>
  <c r="B97" i="3"/>
  <c r="E96" i="3" l="1"/>
  <c r="G96" i="3" s="1"/>
  <c r="H97" i="3"/>
  <c r="D97" i="3"/>
  <c r="F97" i="3"/>
  <c r="B98" i="3"/>
  <c r="D98" i="3"/>
  <c r="F98" i="3"/>
  <c r="C97" i="3" l="1"/>
  <c r="E97" i="3"/>
  <c r="G97" i="3" s="1"/>
  <c r="C98" i="3"/>
  <c r="H98" i="3"/>
  <c r="E98" i="3" s="1"/>
  <c r="G98" i="3" s="1"/>
  <c r="B99" i="3"/>
  <c r="D99" i="3"/>
  <c r="C99" i="3" l="1"/>
  <c r="H99" i="3"/>
  <c r="B100" i="3"/>
  <c r="D100" i="3" s="1"/>
  <c r="F99" i="3"/>
  <c r="E99" i="3" l="1"/>
  <c r="G99" i="3" s="1"/>
  <c r="C100" i="3"/>
  <c r="H100" i="3"/>
  <c r="F100" i="3"/>
  <c r="B101" i="3"/>
  <c r="D101" i="3"/>
  <c r="E100" i="3" l="1"/>
  <c r="G100" i="3" s="1"/>
  <c r="C101" i="3"/>
  <c r="H101" i="3"/>
  <c r="F101" i="3"/>
  <c r="B102" i="3"/>
  <c r="F102" i="3"/>
  <c r="D102" i="3"/>
  <c r="E101" i="3" l="1"/>
  <c r="G101" i="3" s="1"/>
  <c r="C102" i="3"/>
  <c r="H102" i="3"/>
  <c r="E102" i="3" s="1"/>
  <c r="G102" i="3" s="1"/>
  <c r="B103" i="3"/>
  <c r="F103" i="3"/>
  <c r="D103" i="3"/>
  <c r="C103" i="3" l="1"/>
  <c r="H103" i="3"/>
  <c r="E103" i="3" s="1"/>
  <c r="G103" i="3" s="1"/>
  <c r="B104" i="3"/>
  <c r="D104" i="3" s="1"/>
  <c r="C104" i="3" l="1"/>
  <c r="H104" i="3"/>
  <c r="B105" i="3"/>
  <c r="F104" i="3"/>
  <c r="D105" i="3"/>
  <c r="F105" i="3"/>
  <c r="E104" i="3" l="1"/>
  <c r="G104" i="3" s="1"/>
  <c r="C105" i="3"/>
  <c r="H105" i="3"/>
  <c r="E105" i="3" s="1"/>
  <c r="G105" i="3" s="1"/>
  <c r="B106" i="3"/>
  <c r="D106" i="3"/>
  <c r="F106" i="3"/>
  <c r="C106" i="3" l="1"/>
  <c r="H106" i="3"/>
  <c r="E106" i="3" s="1"/>
  <c r="G106" i="3" s="1"/>
  <c r="B107" i="3"/>
  <c r="F107" i="3"/>
  <c r="H107" i="3" l="1"/>
  <c r="E107" i="3" s="1"/>
  <c r="D107" i="3"/>
  <c r="B108" i="3"/>
  <c r="F108" i="3"/>
  <c r="C107" i="3" l="1"/>
  <c r="G107" i="3"/>
  <c r="H108" i="3"/>
  <c r="E108" i="3" s="1"/>
  <c r="D108" i="3"/>
  <c r="B109" i="3"/>
  <c r="F109" i="3"/>
  <c r="C108" i="3" l="1"/>
  <c r="G108" i="3"/>
  <c r="H109" i="3"/>
  <c r="E109" i="3" s="1"/>
  <c r="D109" i="3"/>
  <c r="B110" i="3"/>
  <c r="F110" i="3" s="1"/>
  <c r="D110" i="3"/>
  <c r="C109" i="3" l="1"/>
  <c r="G109" i="3"/>
  <c r="C110" i="3"/>
  <c r="H110" i="3"/>
  <c r="E110" i="3" s="1"/>
  <c r="G110" i="3" s="1"/>
  <c r="B111" i="3"/>
  <c r="D111" i="3"/>
  <c r="C111" i="3" l="1"/>
  <c r="H111" i="3"/>
  <c r="F111" i="3"/>
  <c r="B112" i="3"/>
  <c r="E111" i="3" l="1"/>
  <c r="G111" i="3" s="1"/>
  <c r="H112" i="3"/>
  <c r="F112" i="3"/>
  <c r="D112" i="3"/>
  <c r="B113" i="3"/>
  <c r="E112" i="3" l="1"/>
  <c r="G112" i="3" s="1"/>
  <c r="C112" i="3"/>
  <c r="H113" i="3"/>
  <c r="F113" i="3"/>
  <c r="B114" i="3"/>
  <c r="D113" i="3"/>
  <c r="F114" i="3"/>
  <c r="E113" i="3" l="1"/>
  <c r="G113" i="3" s="1"/>
  <c r="C113" i="3"/>
  <c r="H114" i="3"/>
  <c r="E114" i="3" s="1"/>
  <c r="D114" i="3"/>
  <c r="B115" i="3"/>
  <c r="C114" i="3" l="1"/>
  <c r="G114" i="3"/>
  <c r="H115" i="3"/>
  <c r="D115" i="3"/>
  <c r="F115" i="3"/>
  <c r="B116" i="3"/>
  <c r="D116" i="3" s="1"/>
  <c r="C115" i="3" l="1"/>
  <c r="E115" i="3"/>
  <c r="G115" i="3" s="1"/>
  <c r="C116" i="3"/>
  <c r="H116" i="3"/>
  <c r="F116" i="3"/>
  <c r="B117" i="3"/>
  <c r="D117" i="3"/>
  <c r="E116" i="3" l="1"/>
  <c r="G116" i="3" s="1"/>
  <c r="C117" i="3"/>
  <c r="H117" i="3"/>
  <c r="F117" i="3"/>
  <c r="B118" i="3"/>
  <c r="F118" i="3"/>
  <c r="E117" i="3" l="1"/>
  <c r="G117" i="3" s="1"/>
  <c r="H118" i="3"/>
  <c r="E118" i="3" s="1"/>
  <c r="D118" i="3"/>
  <c r="C118" i="3" l="1"/>
  <c r="G1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400-000001000000}">
      <text>
        <r>
          <rPr>
            <b/>
            <sz val="9"/>
            <color indexed="81"/>
            <rFont val="宋体"/>
            <family val="3"/>
            <charset val="134"/>
          </rPr>
          <t>UEsDBBQAAAAIADZ6MT1mSBOFkAAAACEFAAAKAAAAemlwcGVkZmlsZXN1cWJgZmBgYGVkAIOe4lZ++9wpHuuOqN77dOrSFQY08B8IgBTjtQt7nuy5bbXj9pVV2y6dOH3448ZL6EqHCDgDIiA+2P340CmNE1c1B9pJCMDoawAEhhbmQLZQ+7e5wHDf+QuPepA0yC+Xfly4gNdgcqKMBWT+MIn2b3MH2gWjYHABRiSSSQJEdjRMnssAAFBLAQIUABQAAAAIADZ6MT1mSBOFkAAAACEFAAAKAAAAAAAAAAAAIAAAAAAAAAB6aXBwZWRmaWxlUEsFBgAAAAABAAEAOAAAALgAAAAAAA==</t>
        </r>
      </text>
    </comment>
  </commentList>
</comments>
</file>

<file path=xl/sharedStrings.xml><?xml version="1.0" encoding="utf-8"?>
<sst xmlns="http://schemas.openxmlformats.org/spreadsheetml/2006/main" count="531" uniqueCount="529">
  <si>
    <t>公司名称</t>
    <phoneticPr fontId="2" type="noConversion"/>
  </si>
  <si>
    <t>公司</t>
    <phoneticPr fontId="2" type="noConversion"/>
  </si>
  <si>
    <t>最新汇价</t>
    <phoneticPr fontId="2" type="noConversion"/>
  </si>
  <si>
    <t>序号</t>
    <phoneticPr fontId="2" type="noConversion"/>
  </si>
  <si>
    <t>序号</t>
    <phoneticPr fontId="2" type="noConversion"/>
  </si>
  <si>
    <t>公司名称</t>
    <phoneticPr fontId="2" type="noConversion"/>
  </si>
  <si>
    <t>公司名称</t>
    <phoneticPr fontId="2" type="noConversion"/>
  </si>
  <si>
    <t>A/H</t>
    <phoneticPr fontId="2" type="noConversion"/>
  </si>
  <si>
    <t>601818.SH</t>
  </si>
  <si>
    <t>6818.HK</t>
  </si>
  <si>
    <t>600030.SH</t>
  </si>
  <si>
    <t>6030.HK</t>
  </si>
  <si>
    <t>603993.SH</t>
  </si>
  <si>
    <t>3993.HK</t>
  </si>
  <si>
    <t>601988.SH</t>
  </si>
  <si>
    <t>3988.HK</t>
  </si>
  <si>
    <t>600036.SH</t>
  </si>
  <si>
    <t>3968.HK</t>
  </si>
  <si>
    <t>601328.SH</t>
  </si>
  <si>
    <t>3328.HK</t>
  </si>
  <si>
    <t>601899.SH</t>
  </si>
  <si>
    <t>2899.HK</t>
  </si>
  <si>
    <t>601808.SH</t>
  </si>
  <si>
    <t>2883.HK</t>
  </si>
  <si>
    <t>601880.SH</t>
  </si>
  <si>
    <t>2880.HK</t>
  </si>
  <si>
    <t>601866.SH</t>
  </si>
  <si>
    <t>2866.HK</t>
  </si>
  <si>
    <t>601727.SH</t>
  </si>
  <si>
    <t>2727.HK</t>
  </si>
  <si>
    <t>601628.SH</t>
  </si>
  <si>
    <t>2628.HK</t>
  </si>
  <si>
    <t>601607.SH</t>
  </si>
  <si>
    <t>2607.HK</t>
  </si>
  <si>
    <t>601601.SH</t>
  </si>
  <si>
    <t>2601.HK</t>
  </si>
  <si>
    <t>601600.SH</t>
  </si>
  <si>
    <t>2600.HK</t>
  </si>
  <si>
    <t>000338.SZ</t>
  </si>
  <si>
    <t>2338.HK</t>
  </si>
  <si>
    <t>601633.SH</t>
  </si>
  <si>
    <t>2333.HK</t>
  </si>
  <si>
    <t>601318.SH</t>
  </si>
  <si>
    <t>2318.HK</t>
  </si>
  <si>
    <t>601238.SH</t>
  </si>
  <si>
    <t>2238.HK</t>
  </si>
  <si>
    <t>002202.SZ</t>
  </si>
  <si>
    <t>2208.HK</t>
  </si>
  <si>
    <t>600196.SH</t>
  </si>
  <si>
    <t>2196.HK</t>
  </si>
  <si>
    <t>601992.SH</t>
  </si>
  <si>
    <t>2009.HK</t>
  </si>
  <si>
    <t>600016.SH</t>
  </si>
  <si>
    <t>1988.HK</t>
  </si>
  <si>
    <t>601919.SH</t>
  </si>
  <si>
    <t>1919.HK</t>
  </si>
  <si>
    <t>601898.SH</t>
  </si>
  <si>
    <t>1898.HK</t>
  </si>
  <si>
    <t>000488.SZ</t>
  </si>
  <si>
    <t>1812.HK</t>
  </si>
  <si>
    <t>601800.SH</t>
  </si>
  <si>
    <t>1800.HK</t>
  </si>
  <si>
    <t>601766.SH</t>
  </si>
  <si>
    <t>1766.HK</t>
  </si>
  <si>
    <t>601618.SH</t>
  </si>
  <si>
    <t>1618.HK</t>
  </si>
  <si>
    <t>601398.SH</t>
  </si>
  <si>
    <t>1398.HK</t>
  </si>
  <si>
    <t>601336.SH</t>
  </si>
  <si>
    <t>1336.HK</t>
  </si>
  <si>
    <t>601288.SH</t>
  </si>
  <si>
    <t>1288.HK</t>
  </si>
  <si>
    <t>002594.SZ</t>
  </si>
  <si>
    <t>1211.HK</t>
  </si>
  <si>
    <t>601186.SH</t>
  </si>
  <si>
    <t>1186.HK</t>
  </si>
  <si>
    <t>600188.SH</t>
  </si>
  <si>
    <t>1171.HK</t>
  </si>
  <si>
    <t>000157.SZ</t>
  </si>
  <si>
    <t>1157.HK</t>
  </si>
  <si>
    <t>600026.SH</t>
  </si>
  <si>
    <t>1138.HK</t>
  </si>
  <si>
    <t>600876.SH</t>
  </si>
  <si>
    <t>1108.HK</t>
  </si>
  <si>
    <t>601088.SH</t>
  </si>
  <si>
    <t>1088.HK</t>
  </si>
  <si>
    <t>600875.SH</t>
  </si>
  <si>
    <t>1072.HK</t>
  </si>
  <si>
    <t>600027.SH</t>
  </si>
  <si>
    <t>1071.HK</t>
  </si>
  <si>
    <t>600874.SH</t>
  </si>
  <si>
    <t>1065.HK</t>
  </si>
  <si>
    <t>002703.SZ</t>
  </si>
  <si>
    <t>1057.HK</t>
  </si>
  <si>
    <t>600029.SH</t>
  </si>
  <si>
    <t>1055.HK</t>
  </si>
  <si>
    <t>601005.SH</t>
  </si>
  <si>
    <t>1053.HK</t>
  </si>
  <si>
    <t>600871.SH</t>
  </si>
  <si>
    <t>1033.HK</t>
  </si>
  <si>
    <t>601998.SH</t>
  </si>
  <si>
    <t>0998.HK</t>
  </si>
  <si>
    <t>600012.SH</t>
  </si>
  <si>
    <t>0995.HK</t>
  </si>
  <si>
    <t>601991.SH</t>
  </si>
  <si>
    <t>0991.HK</t>
  </si>
  <si>
    <t>601939.SH</t>
  </si>
  <si>
    <t>0939.HK</t>
  </si>
  <si>
    <t>000921.SZ</t>
  </si>
  <si>
    <t>0921.HK</t>
  </si>
  <si>
    <t>600585.SH</t>
  </si>
  <si>
    <t>0914.HK</t>
  </si>
  <si>
    <t>600011.SH</t>
  </si>
  <si>
    <t>0902.HK</t>
  </si>
  <si>
    <t>002672.SZ</t>
  </si>
  <si>
    <t>0895.HK</t>
  </si>
  <si>
    <t>600332.SH</t>
  </si>
  <si>
    <t>0874.HK</t>
  </si>
  <si>
    <t>601857.SH</t>
  </si>
  <si>
    <t>0857.HK</t>
  </si>
  <si>
    <t>000063.SZ</t>
  </si>
  <si>
    <t>0763.HK</t>
  </si>
  <si>
    <t>601111.SH</t>
  </si>
  <si>
    <t>0753.HK</t>
  </si>
  <si>
    <t>000756.SZ</t>
  </si>
  <si>
    <t>0719.HK</t>
  </si>
  <si>
    <t>600115.SH</t>
  </si>
  <si>
    <t>0670.HK</t>
  </si>
  <si>
    <t>601588.SH</t>
  </si>
  <si>
    <t>0588.HK</t>
  </si>
  <si>
    <t>002490.SZ</t>
  </si>
  <si>
    <t>0568.HK</t>
  </si>
  <si>
    <t>601717.SH</t>
  </si>
  <si>
    <t>0564.HK</t>
  </si>
  <si>
    <t>600775.SH</t>
  </si>
  <si>
    <t>0553.HK</t>
  </si>
  <si>
    <t>600548.SH</t>
  </si>
  <si>
    <t>0548.HK</t>
  </si>
  <si>
    <t>601333.SH</t>
  </si>
  <si>
    <t>0525.HK</t>
  </si>
  <si>
    <t>601390.SH</t>
  </si>
  <si>
    <t>0390.HK</t>
  </si>
  <si>
    <t>600028.SH</t>
  </si>
  <si>
    <t>0386.HK</t>
  </si>
  <si>
    <t>600362.SH</t>
  </si>
  <si>
    <t>0358.HK</t>
  </si>
  <si>
    <t>000898.SZ</t>
  </si>
  <si>
    <t>0347.HK</t>
  </si>
  <si>
    <t>600688.SH</t>
  </si>
  <si>
    <t>0338.HK</t>
  </si>
  <si>
    <t>600808.SH</t>
  </si>
  <si>
    <t>0323.HK</t>
  </si>
  <si>
    <t>600685.SH</t>
  </si>
  <si>
    <t>0317.HK</t>
  </si>
  <si>
    <t>600860.SH</t>
  </si>
  <si>
    <t>0187.HK</t>
  </si>
  <si>
    <t>600377.SH</t>
  </si>
  <si>
    <t>0177.HK</t>
  </si>
  <si>
    <t>600600.SH</t>
  </si>
  <si>
    <t>0168.HK</t>
  </si>
  <si>
    <t>601107.SH</t>
  </si>
  <si>
    <t>0107.HK</t>
  </si>
  <si>
    <t>601038.SH</t>
  </si>
  <si>
    <t>0038.HK</t>
  </si>
  <si>
    <t>A股涨幅</t>
    <phoneticPr fontId="2" type="noConversion"/>
  </si>
  <si>
    <t>A股最新价[CNY]</t>
    <phoneticPr fontId="2" type="noConversion"/>
  </si>
  <si>
    <t>A股代码</t>
    <phoneticPr fontId="2" type="noConversion"/>
  </si>
  <si>
    <t>H股代码</t>
    <phoneticPr fontId="2" type="noConversion"/>
  </si>
  <si>
    <t>H股最新价[HKD]</t>
    <phoneticPr fontId="2" type="noConversion"/>
  </si>
  <si>
    <t>H股涨幅</t>
    <phoneticPr fontId="2" type="noConversion"/>
  </si>
  <si>
    <t>A-H价差[CNY]</t>
    <phoneticPr fontId="2" type="noConversion"/>
  </si>
  <si>
    <t>A-H溢价%</t>
    <phoneticPr fontId="2" type="noConversion"/>
  </si>
  <si>
    <t>最高溢价</t>
    <phoneticPr fontId="2" type="noConversion"/>
  </si>
  <si>
    <r>
      <t>A-H</t>
    </r>
    <r>
      <rPr>
        <sz val="10"/>
        <color indexed="8"/>
        <rFont val="微软雅黑"/>
        <family val="2"/>
        <charset val="134"/>
      </rPr>
      <t>溢价%</t>
    </r>
    <phoneticPr fontId="2" type="noConversion"/>
  </si>
  <si>
    <r>
      <t>A</t>
    </r>
    <r>
      <rPr>
        <sz val="10"/>
        <color indexed="8"/>
        <rFont val="微软雅黑"/>
        <family val="2"/>
        <charset val="134"/>
      </rPr>
      <t>股价格[CNY]</t>
    </r>
    <phoneticPr fontId="2" type="noConversion"/>
  </si>
  <si>
    <r>
      <t>H</t>
    </r>
    <r>
      <rPr>
        <sz val="10"/>
        <color indexed="8"/>
        <rFont val="微软雅黑"/>
        <family val="2"/>
        <charset val="134"/>
      </rPr>
      <t>股价格[HKD]</t>
    </r>
    <phoneticPr fontId="2" type="noConversion"/>
  </si>
  <si>
    <r>
      <rPr>
        <b/>
        <sz val="10"/>
        <color indexed="8"/>
        <rFont val="微软雅黑"/>
        <family val="2"/>
        <charset val="134"/>
      </rPr>
      <t>最低溢价</t>
    </r>
    <phoneticPr fontId="2" type="noConversion"/>
  </si>
  <si>
    <r>
      <t>H</t>
    </r>
    <r>
      <rPr>
        <sz val="10"/>
        <color indexed="8"/>
        <rFont val="微软雅黑"/>
        <family val="2"/>
        <charset val="134"/>
      </rPr>
      <t>股价格[HKD]</t>
    </r>
    <phoneticPr fontId="2" type="noConversion"/>
  </si>
  <si>
    <t>人民币</t>
    <phoneticPr fontId="14" type="noConversion"/>
  </si>
  <si>
    <r>
      <rPr>
        <b/>
        <sz val="10"/>
        <rFont val="微软雅黑"/>
        <family val="2"/>
        <charset val="134"/>
      </rPr>
      <t>日期</t>
    </r>
    <phoneticPr fontId="2" type="noConversion"/>
  </si>
  <si>
    <r>
      <t>A</t>
    </r>
    <r>
      <rPr>
        <b/>
        <sz val="10"/>
        <rFont val="微软雅黑"/>
        <family val="2"/>
        <charset val="134"/>
      </rPr>
      <t>股价格</t>
    </r>
    <phoneticPr fontId="2" type="noConversion"/>
  </si>
  <si>
    <t>A股代码</t>
  </si>
  <si>
    <t>H股代码</t>
  </si>
  <si>
    <t>2202.HK</t>
  </si>
  <si>
    <t>2039.HK</t>
  </si>
  <si>
    <t>6806.HK</t>
  </si>
  <si>
    <t>1513.HK</t>
  </si>
  <si>
    <t>1776.HK</t>
  </si>
  <si>
    <t>0916.HK</t>
  </si>
  <si>
    <t>9989.HK</t>
  </si>
  <si>
    <t>1772.HK</t>
  </si>
  <si>
    <t>6821.HK</t>
  </si>
  <si>
    <t>6196.HK</t>
  </si>
  <si>
    <t>3866.HK</t>
  </si>
  <si>
    <t>1816.HK</t>
  </si>
  <si>
    <t>3347.HK</t>
  </si>
  <si>
    <t>6680.HK</t>
  </si>
  <si>
    <t>3759.HK</t>
  </si>
  <si>
    <t>1787.HK</t>
  </si>
  <si>
    <t>1635.HK</t>
  </si>
  <si>
    <t>3606.HK</t>
  </si>
  <si>
    <t>6690.HK</t>
  </si>
  <si>
    <t>6655.HK</t>
  </si>
  <si>
    <t>0956.HK</t>
  </si>
  <si>
    <t>3958.HK</t>
  </si>
  <si>
    <t>6099.HK</t>
  </si>
  <si>
    <t>6066.HK</t>
  </si>
  <si>
    <t>2068.HK</t>
  </si>
  <si>
    <t>3618.HK</t>
  </si>
  <si>
    <t>2611.HK</t>
  </si>
  <si>
    <t>6198.HK</t>
  </si>
  <si>
    <t>1339.HK</t>
  </si>
  <si>
    <t>3369.HK</t>
  </si>
  <si>
    <t>1330.HK</t>
  </si>
  <si>
    <t>1375.HK</t>
  </si>
  <si>
    <t>1456.HK</t>
  </si>
  <si>
    <t>0598.HK</t>
  </si>
  <si>
    <t>1658.HK</t>
  </si>
  <si>
    <t>6886.HK</t>
  </si>
  <si>
    <t>0728.HK</t>
  </si>
  <si>
    <t>6178.HK</t>
  </si>
  <si>
    <t>0811.HK</t>
  </si>
  <si>
    <t>1528.HK</t>
  </si>
  <si>
    <t>6865.HK</t>
  </si>
  <si>
    <t>3996.HK</t>
  </si>
  <si>
    <t>6869.HK</t>
  </si>
  <si>
    <t>6881.HK</t>
  </si>
  <si>
    <t>2016.HK</t>
  </si>
  <si>
    <t>1963.HK</t>
  </si>
  <si>
    <t>3908.HK</t>
  </si>
  <si>
    <t>6127.HK</t>
  </si>
  <si>
    <t>2359.HK</t>
  </si>
  <si>
    <t>2218.HK</t>
  </si>
  <si>
    <t>3969.HK</t>
  </si>
  <si>
    <t>1877.HK</t>
  </si>
  <si>
    <t>6185.HK</t>
  </si>
  <si>
    <t>3898.HK</t>
  </si>
  <si>
    <t>1858.HK</t>
  </si>
  <si>
    <t>9995.HK</t>
  </si>
  <si>
    <t>6826.HK</t>
  </si>
  <si>
    <t>1385.HK</t>
  </si>
  <si>
    <t>1349.HK</t>
  </si>
  <si>
    <t>000002.SZ</t>
  </si>
  <si>
    <t>000039.SZ</t>
  </si>
  <si>
    <t>000166.SZ</t>
  </si>
  <si>
    <t>000513.SZ</t>
  </si>
  <si>
    <t>000776.SZ</t>
  </si>
  <si>
    <t>001289.SZ</t>
  </si>
  <si>
    <t>002399.SZ</t>
  </si>
  <si>
    <t>002460.SZ</t>
  </si>
  <si>
    <t>002821.SZ</t>
  </si>
  <si>
    <t>002936.SZ</t>
  </si>
  <si>
    <t>002948.SZ</t>
  </si>
  <si>
    <t>003816.SZ</t>
  </si>
  <si>
    <t>300347.SZ</t>
  </si>
  <si>
    <t>300748.SZ</t>
  </si>
  <si>
    <t>300759.SZ</t>
  </si>
  <si>
    <t>600547.SH</t>
  </si>
  <si>
    <t>600635.SH</t>
  </si>
  <si>
    <t>600660.SH</t>
  </si>
  <si>
    <t>600690.SH</t>
  </si>
  <si>
    <t>600801.SH</t>
  </si>
  <si>
    <t>600956.SH</t>
  </si>
  <si>
    <t>600958.SH</t>
  </si>
  <si>
    <t>600999.SH</t>
  </si>
  <si>
    <t>601066.SH</t>
  </si>
  <si>
    <t>601068.SH</t>
  </si>
  <si>
    <t>601077.SH</t>
  </si>
  <si>
    <t>601211.SH</t>
  </si>
  <si>
    <t>601298.SH</t>
  </si>
  <si>
    <t>601319.SH</t>
  </si>
  <si>
    <t>601326.SH</t>
  </si>
  <si>
    <t>601330.SH</t>
  </si>
  <si>
    <t>601375.SH</t>
  </si>
  <si>
    <t>601456.SH</t>
  </si>
  <si>
    <t>601598.SH</t>
  </si>
  <si>
    <t>601658.SH</t>
  </si>
  <si>
    <t>601688.SH</t>
  </si>
  <si>
    <t>601728.SH</t>
  </si>
  <si>
    <t>601788.SH</t>
  </si>
  <si>
    <t>601811.SH</t>
  </si>
  <si>
    <t>601828.SH</t>
  </si>
  <si>
    <t>601865.SH</t>
  </si>
  <si>
    <t>601868.SH</t>
  </si>
  <si>
    <t>601869.SH</t>
  </si>
  <si>
    <t>601881.SH</t>
  </si>
  <si>
    <t>601916.SH</t>
  </si>
  <si>
    <t>601963.SH</t>
  </si>
  <si>
    <t>601995.SH</t>
  </si>
  <si>
    <t>603127.SH</t>
  </si>
  <si>
    <t>603259.SH</t>
  </si>
  <si>
    <t>605198.SH</t>
  </si>
  <si>
    <t>688009.SH</t>
  </si>
  <si>
    <t>688180.SH</t>
  </si>
  <si>
    <t>688185.SH</t>
  </si>
  <si>
    <t>688187.SH</t>
  </si>
  <si>
    <t>688236.SH</t>
  </si>
  <si>
    <t>688331.SH</t>
  </si>
  <si>
    <t>688366.SH</t>
  </si>
  <si>
    <t>688385.SH</t>
  </si>
  <si>
    <t>688505.SH</t>
  </si>
  <si>
    <r>
      <t>A</t>
    </r>
    <r>
      <rPr>
        <sz val="10"/>
        <color indexed="8"/>
        <rFont val="微软雅黑"/>
        <family val="2"/>
        <charset val="134"/>
      </rPr>
      <t>股代码：</t>
    </r>
    <phoneticPr fontId="2" type="noConversion"/>
  </si>
  <si>
    <r>
      <t>H</t>
    </r>
    <r>
      <rPr>
        <sz val="10"/>
        <color indexed="8"/>
        <rFont val="微软雅黑"/>
        <family val="2"/>
        <charset val="134"/>
      </rPr>
      <t>股代码：</t>
    </r>
    <phoneticPr fontId="2" type="noConversion"/>
  </si>
  <si>
    <r>
      <rPr>
        <sz val="10"/>
        <color rgb="FF212121"/>
        <rFont val="微软雅黑"/>
        <family val="2"/>
        <charset val="134"/>
      </rPr>
      <t>币种：</t>
    </r>
    <phoneticPr fontId="2" type="noConversion"/>
  </si>
  <si>
    <r>
      <rPr>
        <sz val="10"/>
        <color rgb="FF212121"/>
        <rFont val="微软雅黑"/>
        <family val="2"/>
        <charset val="134"/>
      </rPr>
      <t>行情周期：</t>
    </r>
    <phoneticPr fontId="2" type="noConversion"/>
  </si>
  <si>
    <t>周</t>
    <phoneticPr fontId="14" type="noConversion"/>
  </si>
  <si>
    <r>
      <t>A</t>
    </r>
    <r>
      <rPr>
        <b/>
        <sz val="10"/>
        <rFont val="微软雅黑"/>
        <family val="2"/>
        <charset val="134"/>
      </rPr>
      <t>股价格</t>
    </r>
    <phoneticPr fontId="2" type="noConversion"/>
  </si>
  <si>
    <r>
      <t>H</t>
    </r>
    <r>
      <rPr>
        <b/>
        <sz val="10"/>
        <rFont val="微软雅黑"/>
        <family val="2"/>
        <charset val="134"/>
      </rPr>
      <t>股价格</t>
    </r>
    <phoneticPr fontId="2" type="noConversion"/>
  </si>
  <si>
    <r>
      <t>H</t>
    </r>
    <r>
      <rPr>
        <b/>
        <sz val="10"/>
        <rFont val="微软雅黑"/>
        <family val="2"/>
        <charset val="134"/>
      </rPr>
      <t>股价格</t>
    </r>
    <phoneticPr fontId="2" type="noConversion"/>
  </si>
  <si>
    <r>
      <t>A-H</t>
    </r>
    <r>
      <rPr>
        <b/>
        <sz val="10"/>
        <rFont val="微软雅黑"/>
        <family val="2"/>
        <charset val="134"/>
      </rPr>
      <t>溢价</t>
    </r>
    <r>
      <rPr>
        <b/>
        <sz val="10"/>
        <rFont val="Arial"/>
        <family val="2"/>
      </rPr>
      <t>(%)</t>
    </r>
    <phoneticPr fontId="2" type="noConversion"/>
  </si>
  <si>
    <r>
      <rPr>
        <b/>
        <sz val="10"/>
        <color rgb="FF212121"/>
        <rFont val="微软雅黑"/>
        <family val="2"/>
        <charset val="134"/>
      </rPr>
      <t>汇率</t>
    </r>
    <phoneticPr fontId="2" type="noConversion"/>
  </si>
  <si>
    <t>AH股溢价分析</t>
    <phoneticPr fontId="14" type="noConversion"/>
  </si>
  <si>
    <t>AH股价格走势</t>
    <phoneticPr fontId="14" type="noConversion"/>
  </si>
  <si>
    <t>A-H股溢价走势</t>
    <phoneticPr fontId="14" type="noConversion"/>
  </si>
  <si>
    <t>688235.SH</t>
  </si>
  <si>
    <t>001236.SZ</t>
  </si>
  <si>
    <t>688347.SH</t>
  </si>
  <si>
    <t>688428.SH</t>
  </si>
  <si>
    <t>002466.SZ</t>
  </si>
  <si>
    <t>688339.SH</t>
  </si>
  <si>
    <t>600938.SH</t>
  </si>
  <si>
    <t>600941.SH</t>
  </si>
  <si>
    <t>601888.SH</t>
  </si>
  <si>
    <t>688981.SH</t>
  </si>
  <si>
    <t>AH两地上市股票池已更新至：</t>
    <phoneticPr fontId="2" type="noConversion"/>
  </si>
  <si>
    <t>中间价:港元兑人民币</t>
    <phoneticPr fontId="2" type="noConversion"/>
  </si>
  <si>
    <t>AH股溢价分析</t>
  </si>
  <si>
    <t>指标名称</t>
    <phoneticPr fontId="2" type="noConversion"/>
  </si>
  <si>
    <t>中国电信</t>
  </si>
  <si>
    <t>绿色动力</t>
  </si>
  <si>
    <t>中国神华</t>
  </si>
  <si>
    <t>凯盛新能</t>
  </si>
  <si>
    <t>创业环保</t>
  </si>
  <si>
    <t>弘业期货</t>
  </si>
  <si>
    <t>新天绿能</t>
  </si>
  <si>
    <t>复星医药</t>
  </si>
  <si>
    <t>中原证券</t>
  </si>
  <si>
    <t>白云山</t>
  </si>
  <si>
    <t>康龙化成</t>
  </si>
  <si>
    <t>东方证券</t>
  </si>
  <si>
    <t>广汽集团</t>
  </si>
  <si>
    <t>中远海能</t>
  </si>
  <si>
    <t>君实生物-U</t>
  </si>
  <si>
    <t>广发证券</t>
  </si>
  <si>
    <t>XD长飞光</t>
  </si>
  <si>
    <t>泰格医药</t>
  </si>
  <si>
    <t>浙江世宝</t>
  </si>
  <si>
    <t>华电国际</t>
  </si>
  <si>
    <t>山东墨龙</t>
  </si>
  <si>
    <t>新华保险</t>
  </si>
  <si>
    <t>华泰证券</t>
  </si>
  <si>
    <t>国联民生</t>
  </si>
  <si>
    <t>郑州银行</t>
  </si>
  <si>
    <t>中国铁建</t>
  </si>
  <si>
    <t>一拖股份</t>
  </si>
  <si>
    <t>龙源电力</t>
  </si>
  <si>
    <t>荣昌生物</t>
  </si>
  <si>
    <t>中兴通讯</t>
  </si>
  <si>
    <t>山东黄金</t>
  </si>
  <si>
    <t>龙蟠科技</t>
  </si>
  <si>
    <t>中国广核</t>
  </si>
  <si>
    <t>万 科Ａ</t>
  </si>
  <si>
    <t>长城汽车</t>
  </si>
  <si>
    <t>新华文轩</t>
  </si>
  <si>
    <t>中国银河</t>
  </si>
  <si>
    <t>中国交建</t>
  </si>
  <si>
    <t>中国通号</t>
  </si>
  <si>
    <t>京城股份</t>
  </si>
  <si>
    <t>春立医疗</t>
  </si>
  <si>
    <t>四川成渝</t>
  </si>
  <si>
    <t>福莱特</t>
  </si>
  <si>
    <t>华能国际</t>
  </si>
  <si>
    <t>凯莱英</t>
  </si>
  <si>
    <t>海普瑞</t>
  </si>
  <si>
    <t>南京熊猫</t>
  </si>
  <si>
    <t>金风科技</t>
  </si>
  <si>
    <t>昭衍新药</t>
  </si>
  <si>
    <t>农业银行</t>
  </si>
  <si>
    <t>广深铁路</t>
  </si>
  <si>
    <t>深高速</t>
  </si>
  <si>
    <t>赤峰黄金</t>
  </si>
  <si>
    <t>申万宏源</t>
  </si>
  <si>
    <t>新华制药</t>
  </si>
  <si>
    <t>上海电气</t>
  </si>
  <si>
    <t>ST晨鸣</t>
  </si>
  <si>
    <t>东江环保</t>
  </si>
  <si>
    <t>兖矿能源</t>
  </si>
  <si>
    <t>北辰实业</t>
  </si>
  <si>
    <t>中国太保</t>
  </si>
  <si>
    <t>秦港股份</t>
  </si>
  <si>
    <t>国泰海通</t>
  </si>
  <si>
    <t>康希诺</t>
  </si>
  <si>
    <t>渝农商行</t>
  </si>
  <si>
    <t>复旦微电</t>
  </si>
  <si>
    <t>中国中免</t>
  </si>
  <si>
    <t>青岛啤酒</t>
  </si>
  <si>
    <t>中信建投</t>
  </si>
  <si>
    <t>宁沪高速</t>
  </si>
  <si>
    <t>中创智领</t>
  </si>
  <si>
    <t>吉宏股份</t>
  </si>
  <si>
    <t>中信证券</t>
  </si>
  <si>
    <t>工商银行</t>
  </si>
  <si>
    <t>皖通高速</t>
  </si>
  <si>
    <t>复旦张江</t>
  </si>
  <si>
    <t>中国外运</t>
  </si>
  <si>
    <t>东方电气</t>
  </si>
  <si>
    <t>中国中冶</t>
  </si>
  <si>
    <t>天齐锂业</t>
  </si>
  <si>
    <t>中煤能源</t>
  </si>
  <si>
    <t>中金公司</t>
  </si>
  <si>
    <t>中国铝业</t>
  </si>
  <si>
    <t>中海油服</t>
  </si>
  <si>
    <t>上海医药</t>
  </si>
  <si>
    <t>XD青岛港</t>
  </si>
  <si>
    <t>金隅集团</t>
  </si>
  <si>
    <t>中远海控</t>
  </si>
  <si>
    <t>大众公用</t>
  </si>
  <si>
    <t>美凯龙</t>
  </si>
  <si>
    <t>中国石油</t>
  </si>
  <si>
    <t>重庆钢铁</t>
  </si>
  <si>
    <t>赣锋锂业</t>
  </si>
  <si>
    <t>昊海生科</t>
  </si>
  <si>
    <t>中国中车</t>
  </si>
  <si>
    <t>中芯国际</t>
  </si>
  <si>
    <t>上海石化</t>
  </si>
  <si>
    <t>中国中铁</t>
  </si>
  <si>
    <t>民生银行</t>
  </si>
  <si>
    <t>中联重科</t>
  </si>
  <si>
    <t>钧达股份</t>
  </si>
  <si>
    <t>邮储银行</t>
  </si>
  <si>
    <t>中信银行</t>
  </si>
  <si>
    <t>中国人保</t>
  </si>
  <si>
    <t>中国银行</t>
  </si>
  <si>
    <t>顺丰控股</t>
  </si>
  <si>
    <t>诺诚健华-U</t>
  </si>
  <si>
    <t>浙商银行</t>
  </si>
  <si>
    <t>中国石化</t>
  </si>
  <si>
    <t>洛阳钼业</t>
  </si>
  <si>
    <t>招商证券</t>
  </si>
  <si>
    <t>光大证券</t>
  </si>
  <si>
    <t>华虹公司</t>
  </si>
  <si>
    <t>紫金矿业</t>
  </si>
  <si>
    <t>中国人寿</t>
  </si>
  <si>
    <t>金力永磁</t>
  </si>
  <si>
    <t>招商银行</t>
  </si>
  <si>
    <t>安德利</t>
  </si>
  <si>
    <t>中远海发</t>
  </si>
  <si>
    <t>中船防务</t>
  </si>
  <si>
    <t>江西铜业</t>
  </si>
  <si>
    <t>丽珠集团</t>
  </si>
  <si>
    <t>中国海油</t>
  </si>
  <si>
    <t>中国能建</t>
  </si>
  <si>
    <t>中国国航</t>
  </si>
  <si>
    <t>南方航空</t>
  </si>
  <si>
    <t>时代电气</t>
  </si>
  <si>
    <t>辽港股份</t>
  </si>
  <si>
    <t>中铝国际</t>
  </si>
  <si>
    <t>大唐发电</t>
  </si>
  <si>
    <t>潍柴动力</t>
  </si>
  <si>
    <t>马钢股份</t>
  </si>
  <si>
    <t>美的集团</t>
  </si>
  <si>
    <t>福耀玻璃</t>
  </si>
  <si>
    <t>鞍钢股份</t>
  </si>
  <si>
    <t>药明康德</t>
  </si>
  <si>
    <t>石化油服</t>
  </si>
  <si>
    <t>华新水泥</t>
  </si>
  <si>
    <t>中集集团</t>
  </si>
  <si>
    <t>光大银行</t>
  </si>
  <si>
    <t>海尔智家</t>
  </si>
  <si>
    <t>中国移动</t>
  </si>
  <si>
    <t>建设银行</t>
  </si>
  <si>
    <t>安井食品</t>
  </si>
  <si>
    <t>中国东航</t>
  </si>
  <si>
    <t>中国平安</t>
  </si>
  <si>
    <t>恒瑞医药</t>
  </si>
  <si>
    <t>亿华通-U</t>
  </si>
  <si>
    <t>海信家电</t>
  </si>
  <si>
    <t>海螺水泥</t>
  </si>
  <si>
    <t>百济神州-U</t>
  </si>
  <si>
    <t>蓝思科技</t>
  </si>
  <si>
    <t>重庆银行</t>
  </si>
  <si>
    <t>峰岹科技</t>
  </si>
  <si>
    <t>交通银行</t>
  </si>
  <si>
    <t>青岛银行</t>
  </si>
  <si>
    <t>比亚迪</t>
  </si>
  <si>
    <t>三花智控</t>
  </si>
  <si>
    <t>海天味业</t>
  </si>
  <si>
    <t>宁德时代</t>
  </si>
  <si>
    <t>天岳先进</t>
  </si>
  <si>
    <t>603906.SH</t>
  </si>
  <si>
    <t>600988.SH</t>
  </si>
  <si>
    <t>002803.SZ</t>
  </si>
  <si>
    <t>002865.SZ</t>
  </si>
  <si>
    <t>002352.SZ</t>
  </si>
  <si>
    <t>000333.SZ</t>
  </si>
  <si>
    <t>603345.SH</t>
  </si>
  <si>
    <t>600276.SH</t>
  </si>
  <si>
    <t>300433.SZ</t>
  </si>
  <si>
    <t>688279.SH</t>
  </si>
  <si>
    <t>002050.SZ</t>
  </si>
  <si>
    <t>603288.SH</t>
  </si>
  <si>
    <t>300750.SZ</t>
  </si>
  <si>
    <t>688234.SH</t>
  </si>
  <si>
    <t>3678.HK</t>
  </si>
  <si>
    <t>2465.HK</t>
  </si>
  <si>
    <t>6693.HK</t>
  </si>
  <si>
    <t>1880.HK</t>
  </si>
  <si>
    <t>2603.HK</t>
  </si>
  <si>
    <t>9696.HK</t>
  </si>
  <si>
    <t>0981.HK</t>
  </si>
  <si>
    <t>2865.HK</t>
  </si>
  <si>
    <t>6936.HK</t>
  </si>
  <si>
    <t>9969.HK</t>
  </si>
  <si>
    <t>1347.HK</t>
  </si>
  <si>
    <t>0883.HK</t>
  </si>
  <si>
    <t>0300.HK</t>
  </si>
  <si>
    <t>0941.HK</t>
  </si>
  <si>
    <t>2648.HK</t>
  </si>
  <si>
    <t>1276.HK</t>
  </si>
  <si>
    <t>2402.HK</t>
  </si>
  <si>
    <t>6160.HK</t>
  </si>
  <si>
    <t>6613.HK</t>
  </si>
  <si>
    <t>1304.HK</t>
  </si>
  <si>
    <t>2050.HK</t>
  </si>
  <si>
    <t>3288.HK</t>
  </si>
  <si>
    <t>3750.HK</t>
  </si>
  <si>
    <t>2631.HK</t>
  </si>
  <si>
    <t>组合</t>
    <phoneticPr fontId="2" type="noConversion"/>
  </si>
  <si>
    <t>AH股溢价分析 V1.1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</si>
</sst>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76" formatCode="_ * #,##0.000_ ;_ * \-#,##0.000_ ;_ * &quot;-&quot;??_ ;_ @_ "/>
    <numFmt numFmtId="177" formatCode="yyyy/mm/dd;@"/>
    <numFmt numFmtId="178" formatCode="###,###,###,###,##0.0000"/>
    <numFmt numFmtId="179" formatCode="_ * #,##0.00000_ ;_ * \-#,##0.00000_ ;_ * &quot;-&quot;??_ ;_ @_ "/>
    <numFmt numFmtId="180" formatCode="0.0%"/>
    <numFmt numFmtId="181" formatCode="#,##0.00_ "/>
    <numFmt numFmtId="182" formatCode="#,##0.0000_ "/>
    <numFmt numFmtId="183" formatCode="yyyy\-mm\-dd"/>
    <numFmt numFmtId="184" formatCode="0.0000"/>
    <numFmt numFmtId="185" formatCode="_ * #,##0.0000_ ;_ * \-#,##0.0000_ ;_ * &quot;-&quot;??_ ;_ @_ "/>
    <numFmt numFmtId="186" formatCode="0.00_);[Red]\(0.00\)"/>
  </numFmts>
  <fonts count="45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Arial"/>
      <family val="2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0"/>
      <name val="微软雅黑"/>
      <family val="2"/>
      <charset val="134"/>
    </font>
    <font>
      <sz val="9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9"/>
      <color theme="1"/>
      <name val="Arial"/>
      <family val="2"/>
    </font>
    <font>
      <sz val="14"/>
      <color theme="1"/>
      <name val="Arial"/>
      <family val="2"/>
    </font>
    <font>
      <sz val="10"/>
      <color rgb="FF212121"/>
      <name val="微软雅黑"/>
      <family val="2"/>
      <charset val="134"/>
    </font>
    <font>
      <b/>
      <sz val="10"/>
      <color rgb="FF21212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212121"/>
      <name val="Arial"/>
      <family val="2"/>
    </font>
    <font>
      <sz val="14"/>
      <color rgb="FF212121"/>
      <name val="Arial"/>
      <family val="2"/>
    </font>
    <font>
      <b/>
      <sz val="10"/>
      <color indexed="10"/>
      <name val="Arial"/>
      <family val="2"/>
    </font>
    <font>
      <sz val="8"/>
      <name val="微软雅黑"/>
      <family val="2"/>
      <charset val="134"/>
    </font>
    <font>
      <b/>
      <sz val="8"/>
      <color indexed="10"/>
      <name val="微软雅黑"/>
      <family val="2"/>
      <charset val="134"/>
    </font>
    <font>
      <sz val="12"/>
      <name val="Arial"/>
      <family val="2"/>
    </font>
    <font>
      <sz val="12"/>
      <color theme="2"/>
      <name val="Arial"/>
      <family val="2"/>
    </font>
    <font>
      <sz val="11"/>
      <color theme="1"/>
      <name val="Arial"/>
      <family val="2"/>
    </font>
    <font>
      <sz val="20"/>
      <color theme="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0"/>
      <color rgb="FF212121"/>
      <name val="Arial"/>
      <family val="2"/>
    </font>
    <font>
      <sz val="10"/>
      <color rgb="FF107F3A"/>
      <name val="Arial"/>
      <family val="2"/>
    </font>
    <font>
      <b/>
      <sz val="11"/>
      <color theme="1"/>
      <name val="Arial"/>
      <family val="2"/>
    </font>
    <font>
      <sz val="11"/>
      <color theme="2"/>
      <name val="微软雅黑"/>
      <family val="2"/>
      <charset val="134"/>
    </font>
    <font>
      <sz val="9"/>
      <color theme="2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F2F3F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679555650502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3" fillId="0" borderId="0">
      <alignment vertical="center"/>
    </xf>
    <xf numFmtId="43" fontId="1" fillId="0" borderId="0" applyFont="0" applyFill="0" applyBorder="0" applyAlignment="0" applyProtection="0"/>
  </cellStyleXfs>
  <cellXfs count="145">
    <xf numFmtId="0" fontId="0" fillId="0" borderId="0" xfId="0"/>
    <xf numFmtId="0" fontId="5" fillId="0" borderId="0" xfId="0" applyFont="1"/>
    <xf numFmtId="43" fontId="5" fillId="0" borderId="0" xfId="4" applyFont="1" applyFill="1"/>
    <xf numFmtId="0" fontId="10" fillId="7" borderId="0" xfId="0" applyFont="1" applyFill="1" applyAlignment="1">
      <alignment horizontal="right"/>
    </xf>
    <xf numFmtId="0" fontId="11" fillId="4" borderId="1" xfId="0" applyFont="1" applyFill="1" applyBorder="1" applyAlignment="1">
      <alignment horizontal="left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9" fontId="11" fillId="4" borderId="1" xfId="1" applyFont="1" applyFill="1" applyBorder="1" applyAlignment="1"/>
    <xf numFmtId="0" fontId="7" fillId="4" borderId="0" xfId="0" applyFont="1" applyFill="1"/>
    <xf numFmtId="0" fontId="15" fillId="7" borderId="0" xfId="0" applyFont="1" applyFill="1" applyAlignment="1">
      <alignment horizontal="right"/>
    </xf>
    <xf numFmtId="0" fontId="16" fillId="4" borderId="0" xfId="0" applyFont="1" applyFill="1"/>
    <xf numFmtId="0" fontId="16" fillId="0" borderId="0" xfId="0" applyFont="1"/>
    <xf numFmtId="43" fontId="16" fillId="0" borderId="0" xfId="4" applyNumberFormat="1" applyFont="1"/>
    <xf numFmtId="0" fontId="16" fillId="0" borderId="0" xfId="0" applyFont="1" applyAlignment="1">
      <alignment vertical="center" wrapText="1"/>
    </xf>
    <xf numFmtId="43" fontId="18" fillId="4" borderId="0" xfId="4" applyFont="1" applyFill="1"/>
    <xf numFmtId="10" fontId="18" fillId="4" borderId="0" xfId="1" applyNumberFormat="1" applyFont="1" applyFill="1" applyAlignment="1"/>
    <xf numFmtId="43" fontId="18" fillId="4" borderId="0" xfId="4" applyFont="1" applyFill="1" applyAlignment="1"/>
    <xf numFmtId="43" fontId="18" fillId="4" borderId="0" xfId="4" applyNumberFormat="1" applyFont="1" applyFill="1" applyAlignment="1"/>
    <xf numFmtId="0" fontId="19" fillId="4" borderId="0" xfId="0" applyFont="1" applyFill="1"/>
    <xf numFmtId="43" fontId="18" fillId="7" borderId="0" xfId="4" applyFont="1" applyFill="1"/>
    <xf numFmtId="10" fontId="18" fillId="7" borderId="0" xfId="1" applyNumberFormat="1" applyFont="1" applyFill="1" applyAlignment="1"/>
    <xf numFmtId="43" fontId="18" fillId="7" borderId="0" xfId="4" applyFont="1" applyFill="1" applyAlignment="1"/>
    <xf numFmtId="43" fontId="18" fillId="7" borderId="0" xfId="4" applyNumberFormat="1" applyFont="1" applyFill="1" applyAlignment="1"/>
    <xf numFmtId="0" fontId="19" fillId="7" borderId="0" xfId="0" applyFont="1" applyFill="1"/>
    <xf numFmtId="14" fontId="19" fillId="7" borderId="0" xfId="0" applyNumberFormat="1" applyFont="1" applyFill="1"/>
    <xf numFmtId="0" fontId="20" fillId="7" borderId="0" xfId="0" applyFont="1" applyFill="1"/>
    <xf numFmtId="0" fontId="17" fillId="4" borderId="0" xfId="0" applyFont="1" applyFill="1"/>
    <xf numFmtId="43" fontId="19" fillId="4" borderId="0" xfId="4" applyFont="1" applyFill="1"/>
    <xf numFmtId="0" fontId="19" fillId="7" borderId="0" xfId="0" applyFont="1" applyFill="1" applyBorder="1" applyAlignment="1">
      <alignment horizontal="left"/>
    </xf>
    <xf numFmtId="0" fontId="19" fillId="7" borderId="0" xfId="0" applyFont="1" applyFill="1" applyBorder="1"/>
    <xf numFmtId="0" fontId="19" fillId="4" borderId="1" xfId="0" applyFont="1" applyFill="1" applyBorder="1" applyAlignment="1">
      <alignment horizontal="left"/>
    </xf>
    <xf numFmtId="0" fontId="19" fillId="4" borderId="1" xfId="0" applyFont="1" applyFill="1" applyBorder="1"/>
    <xf numFmtId="180" fontId="19" fillId="4" borderId="1" xfId="1" applyNumberFormat="1" applyFont="1" applyFill="1" applyBorder="1" applyAlignment="1"/>
    <xf numFmtId="43" fontId="16" fillId="0" borderId="0" xfId="0" applyNumberFormat="1" applyFont="1"/>
    <xf numFmtId="43" fontId="16" fillId="0" borderId="0" xfId="4" applyFont="1" applyFill="1"/>
    <xf numFmtId="0" fontId="16" fillId="0" borderId="0" xfId="0" applyFont="1" applyFill="1"/>
    <xf numFmtId="43" fontId="16" fillId="0" borderId="0" xfId="4" applyNumberFormat="1" applyFont="1" applyFill="1"/>
    <xf numFmtId="10" fontId="23" fillId="4" borderId="0" xfId="1" applyNumberFormat="1" applyFont="1" applyFill="1" applyBorder="1" applyAlignment="1"/>
    <xf numFmtId="181" fontId="23" fillId="4" borderId="0" xfId="4" applyNumberFormat="1" applyFont="1" applyFill="1" applyBorder="1"/>
    <xf numFmtId="10" fontId="23" fillId="7" borderId="0" xfId="1" applyNumberFormat="1" applyFont="1" applyFill="1" applyBorder="1" applyAlignment="1"/>
    <xf numFmtId="181" fontId="23" fillId="7" borderId="0" xfId="4" applyNumberFormat="1" applyFont="1" applyFill="1" applyBorder="1"/>
    <xf numFmtId="0" fontId="11" fillId="7" borderId="0" xfId="0" applyFont="1" applyFill="1" applyBorder="1" applyAlignment="1">
      <alignment horizontal="left"/>
    </xf>
    <xf numFmtId="9" fontId="11" fillId="7" borderId="0" xfId="1" applyFont="1" applyFill="1" applyBorder="1" applyAlignment="1"/>
    <xf numFmtId="49" fontId="24" fillId="8" borderId="0" xfId="0" applyNumberFormat="1" applyFont="1" applyFill="1" applyAlignment="1">
      <alignment horizontal="right" vertical="center"/>
    </xf>
    <xf numFmtId="0" fontId="28" fillId="4" borderId="0" xfId="0" applyFont="1" applyFill="1"/>
    <xf numFmtId="0" fontId="28" fillId="5" borderId="0" xfId="0" applyFont="1" applyFill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43" fontId="8" fillId="0" borderId="0" xfId="4" applyFont="1"/>
    <xf numFmtId="43" fontId="28" fillId="4" borderId="0" xfId="4" applyFont="1" applyFill="1"/>
    <xf numFmtId="43" fontId="28" fillId="5" borderId="0" xfId="4" applyFont="1" applyFill="1"/>
    <xf numFmtId="43" fontId="8" fillId="0" borderId="0" xfId="4" applyFont="1" applyAlignment="1">
      <alignment horizontal="left"/>
    </xf>
    <xf numFmtId="43" fontId="8" fillId="0" borderId="0" xfId="4" applyFont="1" applyAlignment="1">
      <alignment horizontal="right"/>
    </xf>
    <xf numFmtId="176" fontId="8" fillId="0" borderId="0" xfId="4" applyNumberFormat="1" applyFont="1"/>
    <xf numFmtId="185" fontId="28" fillId="4" borderId="0" xfId="4" applyNumberFormat="1" applyFont="1" applyFill="1"/>
    <xf numFmtId="185" fontId="28" fillId="5" borderId="0" xfId="4" applyNumberFormat="1" applyFont="1" applyFill="1"/>
    <xf numFmtId="185" fontId="8" fillId="0" borderId="0" xfId="4" applyNumberFormat="1" applyFont="1"/>
    <xf numFmtId="14" fontId="8" fillId="4" borderId="0" xfId="0" applyNumberFormat="1" applyFont="1" applyFill="1" applyBorder="1" applyAlignment="1">
      <alignment horizontal="right"/>
    </xf>
    <xf numFmtId="43" fontId="28" fillId="4" borderId="0" xfId="4" applyFont="1" applyFill="1" applyAlignment="1">
      <alignment horizontal="right"/>
    </xf>
    <xf numFmtId="185" fontId="28" fillId="4" borderId="0" xfId="4" applyNumberFormat="1" applyFont="1" applyFill="1" applyAlignment="1">
      <alignment horizontal="right"/>
    </xf>
    <xf numFmtId="14" fontId="11" fillId="7" borderId="0" xfId="0" applyNumberFormat="1" applyFont="1" applyFill="1" applyBorder="1" applyAlignment="1">
      <alignment horizontal="right"/>
    </xf>
    <xf numFmtId="43" fontId="28" fillId="5" borderId="0" xfId="4" applyFont="1" applyFill="1" applyAlignment="1">
      <alignment horizontal="right"/>
    </xf>
    <xf numFmtId="185" fontId="28" fillId="5" borderId="0" xfId="4" applyNumberFormat="1" applyFont="1" applyFill="1" applyAlignment="1">
      <alignment horizontal="right"/>
    </xf>
    <xf numFmtId="0" fontId="20" fillId="0" borderId="0" xfId="0" applyFont="1" applyAlignment="1">
      <alignment horizontal="center"/>
    </xf>
    <xf numFmtId="185" fontId="29" fillId="4" borderId="0" xfId="4" applyNumberFormat="1" applyFont="1" applyFill="1" applyAlignment="1">
      <alignment horizontal="right"/>
    </xf>
    <xf numFmtId="0" fontId="30" fillId="0" borderId="0" xfId="0" applyFont="1"/>
    <xf numFmtId="179" fontId="8" fillId="0" borderId="0" xfId="4" applyNumberFormat="1" applyFont="1"/>
    <xf numFmtId="183" fontId="8" fillId="0" borderId="0" xfId="0" applyNumberFormat="1" applyFont="1" applyAlignment="1">
      <alignment horizontal="right"/>
    </xf>
    <xf numFmtId="182" fontId="8" fillId="0" borderId="0" xfId="4" applyNumberFormat="1" applyFont="1" applyAlignment="1">
      <alignment horizontal="right"/>
    </xf>
    <xf numFmtId="0" fontId="20" fillId="0" borderId="0" xfId="0" applyNumberFormat="1" applyFont="1" applyAlignment="1">
      <alignment horizontal="left"/>
    </xf>
    <xf numFmtId="0" fontId="20" fillId="0" borderId="0" xfId="4" applyNumberFormat="1" applyFont="1" applyAlignment="1">
      <alignment horizontal="left"/>
    </xf>
    <xf numFmtId="0" fontId="31" fillId="0" borderId="0" xfId="0" applyFont="1"/>
    <xf numFmtId="0" fontId="32" fillId="0" borderId="0" xfId="3" applyFont="1">
      <alignment vertical="center"/>
    </xf>
    <xf numFmtId="0" fontId="31" fillId="0" borderId="0" xfId="3" applyFont="1">
      <alignment vertical="center"/>
    </xf>
    <xf numFmtId="177" fontId="31" fillId="0" borderId="0" xfId="3" applyNumberFormat="1" applyFont="1">
      <alignment vertical="center"/>
    </xf>
    <xf numFmtId="178" fontId="31" fillId="0" borderId="0" xfId="3" applyNumberFormat="1" applyFont="1" applyAlignment="1">
      <alignment horizontal="right" vertical="center"/>
    </xf>
    <xf numFmtId="49" fontId="19" fillId="4" borderId="0" xfId="0" applyNumberFormat="1" applyFont="1" applyFill="1" applyAlignment="1">
      <alignment horizontal="right"/>
    </xf>
    <xf numFmtId="49" fontId="19" fillId="7" borderId="0" xfId="0" applyNumberFormat="1" applyFont="1" applyFill="1" applyAlignment="1">
      <alignment horizontal="right"/>
    </xf>
    <xf numFmtId="0" fontId="33" fillId="3" borderId="0" xfId="0" applyFont="1" applyFill="1"/>
    <xf numFmtId="0" fontId="34" fillId="3" borderId="0" xfId="0" applyFont="1" applyFill="1"/>
    <xf numFmtId="185" fontId="29" fillId="7" borderId="0" xfId="4" applyNumberFormat="1" applyFont="1" applyFill="1" applyAlignment="1">
      <alignment horizontal="right"/>
    </xf>
    <xf numFmtId="186" fontId="28" fillId="4" borderId="0" xfId="4" applyNumberFormat="1" applyFont="1" applyFill="1" applyAlignment="1">
      <alignment horizontal="right"/>
    </xf>
    <xf numFmtId="186" fontId="28" fillId="5" borderId="0" xfId="4" applyNumberFormat="1" applyFont="1" applyFill="1" applyAlignment="1">
      <alignment horizontal="right"/>
    </xf>
    <xf numFmtId="186" fontId="8" fillId="0" borderId="0" xfId="4" applyNumberFormat="1" applyFont="1" applyAlignment="1">
      <alignment horizontal="right"/>
    </xf>
    <xf numFmtId="0" fontId="8" fillId="0" borderId="0" xfId="0" applyFont="1" applyAlignment="1">
      <alignment horizontal="center"/>
    </xf>
    <xf numFmtId="0" fontId="33" fillId="7" borderId="0" xfId="0" applyFont="1" applyFill="1"/>
    <xf numFmtId="0" fontId="33" fillId="7" borderId="0" xfId="0" applyFont="1" applyFill="1" applyAlignment="1">
      <alignment horizontal="center"/>
    </xf>
    <xf numFmtId="0" fontId="28" fillId="4" borderId="0" xfId="0" applyFont="1" applyFill="1" applyAlignment="1">
      <alignment horizontal="right"/>
    </xf>
    <xf numFmtId="0" fontId="28" fillId="5" borderId="0" xfId="0" applyFont="1" applyFill="1" applyAlignment="1">
      <alignment horizontal="right"/>
    </xf>
    <xf numFmtId="185" fontId="8" fillId="0" borderId="0" xfId="4" applyNumberFormat="1" applyFont="1" applyAlignment="1">
      <alignment horizontal="right"/>
    </xf>
    <xf numFmtId="0" fontId="35" fillId="2" borderId="0" xfId="0" applyFont="1" applyFill="1" applyAlignment="1">
      <alignment vertical="center"/>
    </xf>
    <xf numFmtId="43" fontId="36" fillId="2" borderId="0" xfId="4" applyFont="1" applyFill="1" applyAlignment="1">
      <alignment vertical="center"/>
    </xf>
    <xf numFmtId="0" fontId="35" fillId="2" borderId="0" xfId="0" applyFont="1" applyFill="1" applyAlignment="1"/>
    <xf numFmtId="0" fontId="33" fillId="2" borderId="0" xfId="0" applyFont="1" applyFill="1"/>
    <xf numFmtId="43" fontId="33" fillId="7" borderId="0" xfId="4" applyFont="1" applyFill="1"/>
    <xf numFmtId="185" fontId="33" fillId="7" borderId="0" xfId="4" applyNumberFormat="1" applyFont="1" applyFill="1"/>
    <xf numFmtId="0" fontId="37" fillId="0" borderId="0" xfId="0" applyFont="1"/>
    <xf numFmtId="43" fontId="28" fillId="7" borderId="0" xfId="4" applyFont="1" applyFill="1"/>
    <xf numFmtId="0" fontId="11" fillId="5" borderId="0" xfId="0" applyFont="1" applyFill="1"/>
    <xf numFmtId="43" fontId="11" fillId="5" borderId="0" xfId="4" applyFont="1" applyFill="1"/>
    <xf numFmtId="0" fontId="38" fillId="4" borderId="2" xfId="0" applyFont="1" applyFill="1" applyBorder="1" applyAlignment="1">
      <alignment vertical="center"/>
    </xf>
    <xf numFmtId="0" fontId="39" fillId="4" borderId="2" xfId="0" applyFont="1" applyFill="1" applyBorder="1" applyAlignment="1">
      <alignment vertical="center"/>
    </xf>
    <xf numFmtId="0" fontId="37" fillId="4" borderId="2" xfId="0" applyFont="1" applyFill="1" applyBorder="1" applyAlignment="1">
      <alignment vertical="center"/>
    </xf>
    <xf numFmtId="0" fontId="40" fillId="6" borderId="0" xfId="0" applyFont="1" applyFill="1"/>
    <xf numFmtId="43" fontId="40" fillId="6" borderId="0" xfId="4" applyFont="1" applyFill="1"/>
    <xf numFmtId="185" fontId="40" fillId="6" borderId="0" xfId="4" applyNumberFormat="1" applyFont="1" applyFill="1"/>
    <xf numFmtId="43" fontId="8" fillId="0" borderId="0" xfId="0" applyNumberFormat="1" applyFont="1"/>
    <xf numFmtId="10" fontId="41" fillId="4" borderId="0" xfId="4" applyNumberFormat="1" applyFont="1" applyFill="1" applyBorder="1" applyAlignment="1">
      <alignment horizontal="right" vertical="center"/>
    </xf>
    <xf numFmtId="43" fontId="19" fillId="4" borderId="0" xfId="4" applyFont="1" applyFill="1" applyBorder="1"/>
    <xf numFmtId="49" fontId="19" fillId="4" borderId="0" xfId="0" applyNumberFormat="1" applyFont="1" applyFill="1" applyBorder="1" applyAlignment="1">
      <alignment horizontal="right"/>
    </xf>
    <xf numFmtId="43" fontId="19" fillId="4" borderId="0" xfId="4" applyFont="1" applyFill="1" applyAlignment="1"/>
    <xf numFmtId="10" fontId="19" fillId="4" borderId="0" xfId="1" applyNumberFormat="1" applyFont="1" applyFill="1" applyAlignment="1"/>
    <xf numFmtId="43" fontId="19" fillId="4" borderId="0" xfId="4" applyNumberFormat="1" applyFont="1" applyFill="1" applyAlignment="1"/>
    <xf numFmtId="43" fontId="19" fillId="7" borderId="0" xfId="4" applyFont="1" applyFill="1" applyBorder="1"/>
    <xf numFmtId="43" fontId="19" fillId="7" borderId="0" xfId="4" applyFont="1" applyFill="1" applyAlignment="1"/>
    <xf numFmtId="10" fontId="19" fillId="7" borderId="0" xfId="1" applyNumberFormat="1" applyFont="1" applyFill="1" applyAlignment="1"/>
    <xf numFmtId="43" fontId="19" fillId="7" borderId="0" xfId="4" applyNumberFormat="1" applyFont="1" applyFill="1" applyAlignment="1"/>
    <xf numFmtId="10" fontId="41" fillId="7" borderId="0" xfId="4" applyNumberFormat="1" applyFont="1" applyFill="1" applyBorder="1" applyAlignment="1">
      <alignment horizontal="right" vertical="center"/>
    </xf>
    <xf numFmtId="0" fontId="17" fillId="4" borderId="0" xfId="0" applyFont="1" applyFill="1" applyAlignment="1">
      <alignment horizontal="right" vertical="center" wrapText="1"/>
    </xf>
    <xf numFmtId="43" fontId="17" fillId="4" borderId="0" xfId="4" applyFont="1" applyFill="1" applyAlignment="1">
      <alignment horizontal="right" vertical="center" wrapText="1"/>
    </xf>
    <xf numFmtId="14" fontId="19" fillId="7" borderId="0" xfId="0" applyNumberFormat="1" applyFont="1" applyFill="1" applyAlignment="1"/>
    <xf numFmtId="2" fontId="11" fillId="4" borderId="1" xfId="0" applyNumberFormat="1" applyFont="1" applyFill="1" applyBorder="1"/>
    <xf numFmtId="2" fontId="11" fillId="7" borderId="0" xfId="0" applyNumberFormat="1" applyFont="1" applyFill="1" applyBorder="1"/>
    <xf numFmtId="0" fontId="7" fillId="0" borderId="0" xfId="0" applyFont="1" applyAlignment="1"/>
    <xf numFmtId="0" fontId="19" fillId="7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184" fontId="42" fillId="4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 vertical="center"/>
    </xf>
    <xf numFmtId="14" fontId="35" fillId="7" borderId="0" xfId="0" applyNumberFormat="1" applyFont="1" applyFill="1" applyAlignment="1">
      <alignment horizontal="center"/>
    </xf>
    <xf numFmtId="0" fontId="27" fillId="9" borderId="0" xfId="0" applyFont="1" applyFill="1" applyAlignment="1">
      <alignment horizontal="right"/>
    </xf>
    <xf numFmtId="0" fontId="15" fillId="7" borderId="0" xfId="0" applyNumberFormat="1" applyFont="1" applyFill="1" applyAlignment="1">
      <alignment horizontal="right"/>
    </xf>
    <xf numFmtId="0" fontId="16" fillId="0" borderId="0" xfId="0" applyNumberFormat="1" applyFont="1"/>
    <xf numFmtId="0" fontId="23" fillId="4" borderId="0" xfId="0" applyNumberFormat="1" applyFont="1" applyFill="1" applyBorder="1" applyAlignment="1">
      <alignment horizontal="right"/>
    </xf>
    <xf numFmtId="0" fontId="23" fillId="7" borderId="0" xfId="0" applyNumberFormat="1" applyFont="1" applyFill="1" applyBorder="1" applyAlignment="1">
      <alignment horizontal="right"/>
    </xf>
    <xf numFmtId="0" fontId="5" fillId="0" borderId="0" xfId="0" applyNumberFormat="1" applyFont="1"/>
    <xf numFmtId="0" fontId="16" fillId="0" borderId="0" xfId="0" applyNumberFormat="1" applyFont="1" applyFill="1"/>
    <xf numFmtId="0" fontId="17" fillId="4" borderId="0" xfId="0" applyNumberFormat="1" applyFont="1" applyFill="1" applyAlignment="1">
      <alignment horizontal="right" vertical="center" wrapText="1"/>
    </xf>
    <xf numFmtId="0" fontId="18" fillId="4" borderId="0" xfId="0" applyNumberFormat="1" applyFont="1" applyFill="1" applyAlignment="1">
      <alignment horizontal="right"/>
    </xf>
    <xf numFmtId="0" fontId="18" fillId="7" borderId="0" xfId="0" applyNumberFormat="1" applyFont="1" applyFill="1" applyAlignment="1">
      <alignment horizontal="right"/>
    </xf>
    <xf numFmtId="0" fontId="19" fillId="4" borderId="0" xfId="4" applyNumberFormat="1" applyFont="1" applyFill="1" applyBorder="1"/>
    <xf numFmtId="0" fontId="19" fillId="7" borderId="0" xfId="4" applyNumberFormat="1" applyFont="1" applyFill="1" applyBorder="1"/>
    <xf numFmtId="0" fontId="43" fillId="2" borderId="0" xfId="0" applyNumberFormat="1" applyFont="1" applyFill="1" applyAlignment="1">
      <alignment vertical="center"/>
    </xf>
    <xf numFmtId="0" fontId="44" fillId="7" borderId="0" xfId="0" applyNumberFormat="1" applyFont="1" applyFill="1" applyAlignment="1">
      <alignment horizontal="right"/>
    </xf>
    <xf numFmtId="10" fontId="44" fillId="7" borderId="0" xfId="0" applyNumberFormat="1" applyFont="1" applyFill="1" applyAlignment="1">
      <alignment horizontal="right"/>
    </xf>
  </cellXfs>
  <cellStyles count="5">
    <cellStyle name="百分比" xfId="1" builtinId="5"/>
    <cellStyle name="常规" xfId="0" builtinId="0"/>
    <cellStyle name="常规 4" xfId="2" xr:uid="{00000000-0005-0000-0000-000002000000}"/>
    <cellStyle name="常规_Sheet3" xfId="3" xr:uid="{00000000-0005-0000-0000-000003000000}"/>
    <cellStyle name="千位分隔" xfId="4" builtinId="3"/>
  </cellStyles>
  <dxfs count="32"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</dxfs>
  <tableStyles count="0" defaultTableStyle="TableStyleMedium9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6.0000000000000005E-2</v>
        <stp/>
        <stp>601865.SH</stp>
        <stp>27</stp>
        <tr r="B47" s="2"/>
      </tp>
      <tp>
        <v>-0.89</v>
        <stp/>
        <stp>601995.SH</stp>
        <stp>27</stp>
        <tr r="B86" s="2"/>
      </tp>
      <tp>
        <v>-1.32</v>
        <stp/>
        <stp>601005.SH</stp>
        <stp>27</stp>
        <tr r="B96" s="2"/>
      </tp>
      <tp>
        <v>-1.04</v>
        <stp/>
        <stp>601375.SH</stp>
        <stp>27</stp>
        <tr r="B13" s="2"/>
      </tp>
      <tp>
        <v>-0.73</v>
        <stp/>
        <stp>600875.SH</stp>
        <stp>27</stp>
        <tr r="B82" s="2"/>
      </tp>
      <tp>
        <v>0</v>
        <stp/>
        <stp>600115.SH</stp>
        <stp>27</stp>
        <tr r="B149" s="2"/>
      </tp>
      <tp>
        <v>-0.12000000000000001</v>
        <stp/>
        <stp>600585.SH</stp>
        <stp>27</stp>
        <tr r="B154" s="2"/>
      </tp>
      <tp>
        <v>-1.1400000000000001</v>
        <stp/>
        <stp>600685.SH</stp>
        <stp>27</stp>
        <tr r="B124" s="2"/>
      </tp>
      <tp>
        <v>-0.22999999999999998</v>
        <stp/>
        <stp>600635.SH</stp>
        <stp>27</stp>
        <tr r="B93" s="2"/>
      </tp>
      <tp>
        <v>-1.02</v>
        <stp/>
        <stp>600775.SH</stp>
        <stp>27</stp>
        <tr r="B51" s="2"/>
      </tp>
      <tp>
        <v>-1.0100000000000002</v>
        <stp/>
        <stp>603345.SH</stp>
        <stp>27</stp>
        <tr r="B148" s="2"/>
      </tp>
      <tp>
        <v>-3.62</v>
        <stp/>
        <stp>002865.SZ</stp>
        <stp>27</stp>
        <tr r="B105" s="2"/>
      </tp>
      <tp>
        <v>0.5</v>
        <stp/>
        <stp>600874.SH</stp>
        <stp>27</stp>
        <tr r="B9" s="2"/>
      </tp>
      <tp>
        <v>2</v>
        <stp/>
        <stp>002594.SZ</stp>
        <stp>27</stp>
        <tr r="B161" s="2"/>
      </tp>
      <tp>
        <v>0.45999999999999996</v>
        <stp/>
        <stp>601857.SH</stp>
        <stp>27</stp>
        <tr r="B95" s="2"/>
      </tp>
      <tp>
        <v>-0.77</v>
        <stp/>
        <stp>601077.SH</stp>
        <stp>27</stp>
        <tr r="B69" s="2"/>
      </tp>
      <tp>
        <v>0.89</v>
        <stp/>
        <stp>601107.SH</stp>
        <stp>27</stp>
        <tr r="B46" s="2"/>
      </tp>
      <tp>
        <v>-0.45999999999999996</v>
        <stp/>
        <stp>601607.SH</stp>
        <stp>27</stp>
        <tr r="B89" s="2"/>
      </tp>
      <tp>
        <v>-2.4900000000000002</v>
        <stp/>
        <stp>601727.SH</stp>
        <stp>27</stp>
        <tr r="B60" s="2"/>
      </tp>
      <tp>
        <v>1.53</v>
        <stp/>
        <stp>601717.SH</stp>
        <stp>27</stp>
        <tr r="B75" s="2"/>
      </tp>
      <tp>
        <v>-0.18000000000000002</v>
        <stp/>
        <stp>600027.SH</stp>
        <stp>27</stp>
        <tr r="B24" s="2"/>
      </tp>
      <tp>
        <v>-0.13</v>
        <stp/>
        <stp>000157.SZ</stp>
        <stp>27</stp>
        <tr r="B104" s="2"/>
      </tp>
      <tp>
        <v>-3.73</v>
        <stp/>
        <stp>300347.SZ</stp>
        <stp>27</stp>
        <tr r="B22" s="2"/>
      </tp>
      <tp>
        <v>-0.13999999999999999</v>
        <stp/>
        <stp>600377.SH</stp>
        <stp>27</stp>
        <tr r="B74" s="2"/>
      </tp>
      <tp>
        <v>1.1600000000000001</v>
        <stp/>
        <stp>600547.SH</stp>
        <stp>27</stp>
        <tr r="B35" s="2"/>
      </tp>
      <tp>
        <v>-1.82</v>
        <stp/>
        <stp>603127.SH</stp>
        <stp>27</stp>
        <tr r="B53" s="2"/>
      </tp>
      <tp>
        <v>0</v>
        <stp/>
        <stp>601866.SH</stp>
        <stp>27</stp>
        <tr r="B123" s="2"/>
      </tp>
      <tp>
        <v>-0.89</v>
        <stp/>
        <stp>601916.SH</stp>
        <stp>27</stp>
        <tr r="B112" s="2"/>
      </tp>
      <tp>
        <v>-0.32</v>
        <stp/>
        <stp>601066.SH</stp>
        <stp>27</stp>
        <tr r="B73" s="2"/>
      </tp>
      <tp>
        <v>-0.6</v>
        <stp/>
        <stp>601186.SH</stp>
        <stp>27</stp>
        <tr r="B30" s="2"/>
      </tp>
      <tp>
        <v>1.78</v>
        <stp/>
        <stp>001236.SZ</stp>
        <stp>27</stp>
        <tr r="B10" s="2"/>
      </tp>
      <tp>
        <v>-0.58000000000000007</v>
        <stp/>
        <stp>601326.SH</stp>
        <stp>27</stp>
        <tr r="B66" s="2"/>
      </tp>
      <tp>
        <v>-0.33</v>
        <stp/>
        <stp>601336.SH</stp>
        <stp>27</stp>
        <tr r="B26" s="2"/>
      </tp>
      <tp>
        <v>0.57000000000000006</v>
        <stp/>
        <stp>601456.SH</stp>
        <stp>27</stp>
        <tr r="B28" s="2"/>
      </tp>
      <tp>
        <v>-1.26</v>
        <stp/>
        <stp>601766.SH</stp>
        <stp>27</stp>
        <tr r="B99" s="2"/>
      </tp>
      <tp>
        <v>0.98</v>
        <stp/>
        <stp>600876.SH</stp>
        <stp>27</stp>
        <tr r="B8" s="2"/>
      </tp>
      <tp>
        <v>0.38</v>
        <stp/>
        <stp>600956.SH</stp>
        <stp>27</stp>
        <tr r="B11" s="2"/>
      </tp>
      <tp>
        <v>-0.45999999999999996</v>
        <stp/>
        <stp>600026.SH</stp>
        <stp>27</stp>
        <tr r="B18" s="2"/>
      </tp>
      <tp>
        <v>-0.57000000000000006</v>
        <stp/>
        <stp>600036.SH</stp>
        <stp>27</stp>
        <tr r="B121" s="2"/>
      </tp>
      <tp>
        <v>-1.26</v>
        <stp/>
        <stp>600016.SH</stp>
        <stp>27</stp>
        <tr r="B103" s="2"/>
      </tp>
      <tp>
        <v>-1.05</v>
        <stp/>
        <stp>000166.SZ</stp>
        <stp>27</stp>
        <tr r="B58" s="2"/>
      </tp>
      <tp>
        <v>-1.6800000000000002</v>
        <stp/>
        <stp>600196.SH</stp>
        <stp>27</stp>
        <tr r="B12" s="2"/>
      </tp>
      <tp>
        <v>-1.4200000000000002</v>
        <stp/>
        <stp>600276.SH</stp>
        <stp>27</stp>
        <tr r="B151" s="2"/>
      </tp>
      <tp>
        <v>-1.2100000000000002</v>
        <stp/>
        <stp>000776.SZ</stp>
        <stp>27</stp>
        <tr r="B20" s="2"/>
      </tp>
      <tp>
        <v>-0.36000000000000004</v>
        <stp/>
        <stp>000756.SZ</stp>
        <stp>27</stp>
        <tr r="B59" s="2"/>
      </tp>
      <tp>
        <v>-0.26</v>
        <stp/>
        <stp>003816.SZ</stp>
        <stp>27</stp>
        <tr r="B37" s="2"/>
      </tp>
      <tp>
        <v>0.80999999999999994</v>
        <stp/>
        <stp>603906.SH</stp>
        <stp>27</stp>
        <tr r="B36" s="2"/>
      </tp>
      <tp>
        <v>-0.47000000000000003</v>
        <stp/>
        <stp>002936.SZ</stp>
        <stp>27</stp>
        <tr r="B29" s="2"/>
      </tp>
      <tp>
        <v>0.64</v>
        <stp/>
        <stp>002466.SZ</stp>
        <stp>27</stp>
        <tr r="B84" s="2"/>
      </tp>
      <tp>
        <v>-1.26</v>
        <stp/>
        <stp>601881.SH</stp>
        <stp>27</stp>
        <tr r="B41" s="2"/>
      </tp>
      <tp>
        <v>0.25</v>
        <stp/>
        <stp>601811.SH</stp>
        <stp>27</stp>
        <tr r="B40" s="2"/>
      </tp>
      <tp>
        <v>0</v>
        <stp/>
        <stp>601991.SH</stp>
        <stp>27</stp>
        <tr r="B134" s="2"/>
      </tp>
      <tp>
        <v>0.66</v>
        <stp/>
        <stp>601111.SH</stp>
        <stp>27</stp>
        <tr r="B129" s="2"/>
      </tp>
      <tp>
        <v>-0.65</v>
        <stp/>
        <stp>601211.SH</stp>
        <stp>27</stp>
        <tr r="B67" s="2"/>
      </tp>
      <tp>
        <v>-0.70000000000000007</v>
        <stp/>
        <stp>601601.SH</stp>
        <stp>27</stp>
        <tr r="B65" s="2"/>
      </tp>
      <tp>
        <v>1.4400000000000002</v>
        <stp/>
        <stp>600871.SH</stp>
        <stp>27</stp>
        <tr r="B141" s="2"/>
      </tp>
      <tp>
        <v>-6.0000000000000005E-2</v>
        <stp/>
        <stp>600801.SH</stp>
        <stp>27</stp>
        <tr r="B142" s="2"/>
      </tp>
      <tp>
        <v>0.12000000000000001</v>
        <stp/>
        <stp>000921.SZ</stp>
        <stp>27</stp>
        <tr r="B153" s="2"/>
      </tp>
      <tp>
        <v>-0.45000000000000007</v>
        <stp/>
        <stp>600941.SH</stp>
        <stp>27</stp>
        <tr r="B146" s="2"/>
      </tp>
      <tp>
        <v>-0.13</v>
        <stp/>
        <stp>600011.SH</stp>
        <stp>27</stp>
        <tr r="B48" s="2"/>
      </tp>
      <tp>
        <v>-5.49</v>
        <stp/>
        <stp>002821.SZ</stp>
        <stp>27</stp>
        <tr r="B49" s="2"/>
      </tp>
      <tp>
        <v>-0.36000000000000004</v>
        <stp/>
        <stp>688009.SH</stp>
        <stp>27</stp>
        <tr r="B43" s="2"/>
      </tp>
      <tp>
        <v>-1.31</v>
        <stp/>
        <stp>688279.SH</stp>
        <stp>27</stp>
        <tr r="B158" s="2"/>
      </tp>
      <tp>
        <v>0.2</v>
        <stp/>
        <stp>688339.SH</stp>
        <stp>27</stp>
        <tr r="B152" s="2"/>
      </tp>
      <tp>
        <v>-0.6</v>
        <stp/>
        <stp>601880.SH</stp>
        <stp>27</stp>
        <tr r="B132" s="2"/>
      </tp>
      <tp>
        <v>-0.93</v>
        <stp/>
        <stp>601800.SH</stp>
        <stp>27</stp>
        <tr r="B42" s="2"/>
      </tp>
      <tp>
        <v>-0.51</v>
        <stp/>
        <stp>601390.SH</stp>
        <stp>27</stp>
        <tr r="B102" s="2"/>
      </tp>
      <tp>
        <v>0.27999999999999997</v>
        <stp/>
        <stp>601330.SH</stp>
        <stp>27</stp>
        <tr r="B6" s="2"/>
      </tp>
      <tp>
        <v>0.9900000000000001</v>
        <stp/>
        <stp>601600.SH</stp>
        <stp>27</stp>
        <tr r="B87" s="2"/>
      </tp>
      <tp>
        <v>1.17</v>
        <stp/>
        <stp>600860.SH</stp>
        <stp>27</stp>
        <tr r="B44" s="2"/>
      </tp>
      <tp>
        <v>-0.84000000000000008</v>
        <stp/>
        <stp>600030.SH</stp>
        <stp>27</stp>
        <tr r="B77" s="2"/>
      </tp>
      <tp>
        <v>0.57000000000000006</v>
        <stp/>
        <stp>600690.SH</stp>
        <stp>27</stp>
        <tr r="B145" s="2"/>
      </tp>
      <tp>
        <v>1.48</v>
        <stp/>
        <stp>600660.SH</stp>
        <stp>27</stp>
        <tr r="B138" s="2"/>
      </tp>
      <tp>
        <v>0.4</v>
        <stp/>
        <stp>600600.SH</stp>
        <stp>27</stp>
        <tr r="B72" s="2"/>
      </tp>
      <tp>
        <v>-0.64</v>
        <stp/>
        <stp>002050.SZ</stp>
        <stp>27</stp>
        <tr r="B162" s="2"/>
      </tp>
      <tp>
        <v>-0.32</v>
        <stp/>
        <stp>002490.SZ</stp>
        <stp>27</stp>
        <tr r="B25" s="2"/>
      </tp>
      <tp>
        <v>0.08</v>
        <stp/>
        <stp>002460.SZ</stp>
        <stp>27</stp>
        <tr r="B97" s="2"/>
      </tp>
      <tp>
        <v>-1.49</v>
        <stp/>
        <stp>688428.SH</stp>
        <stp>27</stp>
        <tr r="B111" s="2"/>
      </tp>
      <tp>
        <v>-0.4</v>
        <stp/>
        <stp>601963.SH</stp>
        <stp>27</stp>
        <tr r="B157" s="2"/>
      </tp>
      <tp>
        <v>-0.33</v>
        <stp/>
        <stp>601333.SH</stp>
        <stp>27</stp>
        <tr r="B55" s="2"/>
      </tp>
      <tp>
        <v>2.46</v>
        <stp/>
        <stp>601633.SH</stp>
        <stp>27</stp>
        <tr r="B39" s="2"/>
      </tp>
      <tp>
        <v>-0.91999999999999993</v>
        <stp/>
        <stp>000063.SZ</stp>
        <stp>27</stp>
        <tr r="B34" s="2"/>
      </tp>
      <tp>
        <v>0.69000000000000006</v>
        <stp/>
        <stp>000333.SZ</stp>
        <stp>27</stp>
        <tr r="B137" s="2"/>
      </tp>
      <tp>
        <v>8.0800000000000018</v>
        <stp/>
        <stp>300433.SZ</stp>
        <stp>27</stp>
        <tr r="B156" s="2"/>
      </tp>
      <tp>
        <v>0.38</v>
        <stp/>
        <stp>000513.SZ</stp>
        <stp>27</stp>
        <tr r="B126" s="2"/>
      </tp>
      <tp>
        <v>-0.41000000000000003</v>
        <stp/>
        <stp>603993.SH</stp>
        <stp>27</stp>
        <tr r="B114" s="2"/>
      </tp>
      <tp>
        <v>4.05</v>
        <stp/>
        <stp>002803.SZ</stp>
        <stp>27</stp>
        <tr r="B76" s="2"/>
      </tp>
      <tp>
        <v>0.62000000000000011</v>
        <stp/>
        <stp>002703.SZ</stp>
        <stp>27</stp>
        <tr r="B23" s="2"/>
      </tp>
      <tp>
        <v>1.18</v>
        <stp/>
        <stp>601992.SH</stp>
        <stp>27</stp>
        <tr r="B91" s="2"/>
      </tp>
      <tp>
        <v>-2.5100000000000002</v>
        <stp/>
        <stp>000002.SZ</stp>
        <stp>27</stp>
        <tr r="B38" s="2"/>
      </tp>
      <tp>
        <v>0.59</v>
        <stp/>
        <stp>600012.SH</stp>
        <stp>27</stp>
        <tr r="B79" s="2"/>
      </tp>
      <tp>
        <v>-0.63</v>
        <stp/>
        <stp>600362.SH</stp>
        <stp>27</stp>
        <tr r="B125" s="2"/>
      </tp>
      <tp>
        <v>-0.22</v>
        <stp/>
        <stp>600332.SH</stp>
        <stp>27</stp>
        <tr r="B14" s="2"/>
      </tp>
      <tp>
        <v>3.1</v>
        <stp/>
        <stp>002202.SZ</stp>
        <stp>27</stp>
        <tr r="B52" s="2"/>
      </tp>
      <tp>
        <v>2.0500000000000003</v>
        <stp/>
        <stp>002352.SZ</stp>
        <stp>27</stp>
        <tr r="B110" s="2"/>
      </tp>
      <tp>
        <v>2.11</v>
        <stp/>
        <stp>002672.SZ</stp>
        <stp>27</stp>
        <tr r="B62" s="2"/>
      </tp>
      <tp>
        <v>-2.79</v>
        <stp/>
        <stp>688185.SH</stp>
        <stp>27</stp>
        <tr r="B68" s="2"/>
      </tp>
      <tp>
        <v>-1.5000000000000002</v>
        <stp/>
        <stp>688235.SH</stp>
        <stp>27</stp>
        <tr r="B155" s="2"/>
      </tp>
      <tp>
        <v>3.39</v>
        <stp/>
        <stp>688385.SH</stp>
        <stp>27</stp>
        <tr r="B70" s="2"/>
      </tp>
      <tp>
        <v>-1.55</v>
        <stp/>
        <stp>688505.SH</stp>
        <stp>27</stp>
        <tr r="B80" s="2"/>
      </tp>
      <tp>
        <v>-0.55999999999999994</v>
        <stp/>
        <stp>688187.SH</stp>
        <stp>27</stp>
        <tr r="B131" s="2"/>
      </tp>
      <tp>
        <v>0</v>
        <stp/>
        <stp>688347.SH</stp>
        <stp>27</stp>
        <tr r="B117" s="2"/>
      </tp>
      <tp>
        <v>-0.18000000000000002</v>
        <stp/>
        <stp>688236.SH</stp>
        <stp>27</stp>
        <tr r="B45" s="2"/>
      </tp>
      <tp>
        <v>3.0000000000000002E-2</v>
        <stp/>
        <stp>688366.SH</stp>
        <stp>27</stp>
        <tr r="B98" s="2"/>
      </tp>
      <tp>
        <v>0.68</v>
        <stp/>
        <stp>601899.SH</stp>
        <stp>27</stp>
        <tr r="B118" s="2"/>
      </tp>
      <tp>
        <v>10</v>
        <stp/>
        <stp>601869.SH</stp>
        <stp>27</stp>
        <tr r="B21" s="2"/>
      </tp>
      <tp>
        <v>-0.11</v>
        <stp/>
        <stp>601939.SH</stp>
        <stp>27</stp>
        <tr r="B147" s="2"/>
      </tp>
      <tp>
        <v>0.19</v>
        <stp/>
        <stp>601919.SH</stp>
        <stp>27</stp>
        <tr r="B92" s="2"/>
      </tp>
      <tp>
        <v>0.3</v>
        <stp/>
        <stp>001289.SZ</stp>
        <stp>27</stp>
        <tr r="B32" s="2"/>
      </tp>
      <tp>
        <v>-0.68</v>
        <stp/>
        <stp>601319.SH</stp>
        <stp>27</stp>
        <tr r="B108" s="2"/>
      </tp>
      <tp>
        <v>-1.26</v>
        <stp/>
        <stp>600999.SH</stp>
        <stp>27</stp>
        <tr r="B115" s="2"/>
      </tp>
      <tp>
        <v>0.85000000000000009</v>
        <stp/>
        <stp>000039.SZ</stp>
        <stp>27</stp>
        <tr r="B143" s="2"/>
      </tp>
      <tp>
        <v>1.33</v>
        <stp/>
        <stp>600029.SH</stp>
        <stp>27</stp>
        <tr r="B130" s="2"/>
      </tp>
      <tp>
        <v>-3.1100000000000003</v>
        <stp/>
        <stp>300759.SZ</stp>
        <stp>27</stp>
        <tr r="B15" s="2"/>
      </tp>
      <tp>
        <v>-3.06</v>
        <stp/>
        <stp>603259.SH</stp>
        <stp>27</stp>
        <tr r="B140" s="2"/>
      </tp>
      <tp>
        <v>-0.45000000000000007</v>
        <stp/>
        <stp>002399.SZ</stp>
        <stp>27</stp>
        <tr r="B50" s="2"/>
      </tp>
      <tp>
        <v>-1.8800000000000001</v>
        <stp/>
        <stp>688981.SH</stp>
        <stp>27</stp>
        <tr r="B100" s="2"/>
      </tp>
      <tp>
        <v>4.0400000000000009</v>
        <stp/>
        <stp>688331.SH</stp>
        <stp>27</stp>
        <tr r="B33" s="2"/>
      </tp>
      <tp>
        <v>1.1300000000000001</v>
        <stp/>
        <stp>605198.SH</stp>
        <stp>27</stp>
        <tr r="B122" s="2"/>
      </tp>
      <tp>
        <v>3.3800000000000003</v>
        <stp/>
        <stp>601888.SH</stp>
        <stp>27</stp>
        <tr r="B71" s="2"/>
      </tp>
      <tp>
        <v>-1.3900000000000001</v>
        <stp/>
        <stp>601898.SH</stp>
        <stp>27</stp>
        <tr r="B85" s="2"/>
      </tp>
      <tp>
        <v>-0.39</v>
        <stp/>
        <stp>601868.SH</stp>
        <stp>27</stp>
        <tr r="B128" s="2"/>
      </tp>
      <tp>
        <v>0.33</v>
        <stp/>
        <stp>601828.SH</stp>
        <stp>27</stp>
        <tr r="B94" s="2"/>
      </tp>
      <tp>
        <v>0.62000000000000011</v>
        <stp/>
        <stp>601808.SH</stp>
        <stp>27</stp>
        <tr r="B88" s="2"/>
      </tp>
      <tp>
        <v>-1</v>
        <stp/>
        <stp>601818.SH</stp>
        <stp>27</stp>
        <tr r="B144" s="2"/>
      </tp>
      <tp>
        <v>-0.18000000000000002</v>
        <stp/>
        <stp>601988.SH</stp>
        <stp>27</stp>
        <tr r="B109" s="2"/>
      </tp>
      <tp>
        <v>-0.74</v>
        <stp/>
        <stp>601998.SH</stp>
        <stp>27</stp>
        <tr r="B107" s="2"/>
      </tp>
      <tp>
        <v>-0.59</v>
        <stp/>
        <stp>601088.SH</stp>
        <stp>27</stp>
        <tr r="B7" s="2"/>
      </tp>
      <tp>
        <v>0.39</v>
        <stp/>
        <stp>601068.SH</stp>
        <stp>27</stp>
        <tr r="B133" s="2"/>
      </tp>
      <tp>
        <v>0.44</v>
        <stp/>
        <stp>601038.SH</stp>
        <stp>27</stp>
        <tr r="B31" s="2"/>
      </tp>
      <tp>
        <v>0.27999999999999997</v>
        <stp/>
        <stp>601288.SH</stp>
        <stp>27</stp>
        <tr r="B54" s="2"/>
      </tp>
      <tp>
        <v>0.35000000000000003</v>
        <stp/>
        <stp>601298.SH</stp>
        <stp>27</stp>
        <tr r="B90" s="2"/>
      </tp>
      <tp>
        <v>-0.98</v>
        <stp/>
        <stp>601238.SH</stp>
        <stp>27</stp>
        <tr r="B17" s="2"/>
      </tp>
      <tp>
        <v>-0.4</v>
        <stp/>
        <stp>601398.SH</stp>
        <stp>27</stp>
        <tr r="B78" s="2"/>
      </tp>
      <tp>
        <v>-0.65</v>
        <stp/>
        <stp>601328.SH</stp>
        <stp>27</stp>
        <tr r="B159" s="2"/>
      </tp>
      <tp>
        <v>-0.79</v>
        <stp/>
        <stp>601318.SH</stp>
        <stp>27</stp>
        <tr r="B150" s="2"/>
      </tp>
      <tp>
        <v>-1.04</v>
        <stp/>
        <stp>601588.SH</stp>
        <stp>27</stp>
        <tr r="B64" s="2"/>
      </tp>
      <tp>
        <v>0.71000000000000008</v>
        <stp/>
        <stp>601598.SH</stp>
        <stp>27</stp>
        <tr r="B81" s="2"/>
      </tp>
      <tp>
        <v>-0.04</v>
        <stp/>
        <stp>601688.SH</stp>
        <stp>27</stp>
        <tr r="B27" s="2"/>
      </tp>
      <tp>
        <v>0.48000000000000004</v>
        <stp/>
        <stp>601658.SH</stp>
        <stp>27</stp>
        <tr r="B106" s="2"/>
      </tp>
      <tp>
        <v>-0.05</v>
        <stp/>
        <stp>601628.SH</stp>
        <stp>27</stp>
        <tr r="B119" s="2"/>
      </tp>
      <tp>
        <v>-1.1499999999999999</v>
        <stp/>
        <stp>601618.SH</stp>
        <stp>27</stp>
        <tr r="B83" s="2"/>
      </tp>
      <tp>
        <v>-1.02</v>
        <stp/>
        <stp>601788.SH</stp>
        <stp>27</stp>
        <tr r="B116" s="2"/>
      </tp>
      <tp>
        <v>-1.56</v>
        <stp/>
        <stp>601728.SH</stp>
        <stp>27</stp>
        <tr r="B5" s="2"/>
      </tp>
      <tp>
        <v>-1.0900000000000001</v>
        <stp/>
        <stp>000898.SZ</stp>
        <stp>27</stp>
        <tr r="B139" s="2"/>
      </tp>
      <tp>
        <v>2.93</v>
        <stp/>
        <stp>600808.SH</stp>
        <stp>27</stp>
        <tr r="B136" s="2"/>
      </tp>
      <tp>
        <v>1.07</v>
        <stp/>
        <stp>600988.SH</stp>
        <stp>27</stp>
        <tr r="B57" s="2"/>
      </tp>
      <tp>
        <v>-2.2000000000000002</v>
        <stp/>
        <stp>600958.SH</stp>
        <stp>27</stp>
        <tr r="B16" s="2"/>
      </tp>
      <tp>
        <v>-0.12000000000000001</v>
        <stp/>
        <stp>600938.SH</stp>
        <stp>27</stp>
        <tr r="B127" s="2"/>
      </tp>
      <tp>
        <v>0.17</v>
        <stp/>
        <stp>600028.SH</stp>
        <stp>27</stp>
        <tr r="B113" s="2"/>
      </tp>
      <tp>
        <v>-0.52</v>
        <stp/>
        <stp>600188.SH</stp>
        <stp>27</stp>
        <tr r="B63" s="2"/>
      </tp>
      <tp>
        <v>-0.32</v>
        <stp/>
        <stp>000338.SZ</stp>
        <stp>27</stp>
        <tr r="B135" s="2"/>
      </tp>
      <tp>
        <v>0.86</v>
        <stp/>
        <stp>000488.SZ</stp>
        <stp>27</stp>
        <tr r="B61" s="2"/>
      </tp>
      <tp>
        <v>-0.65</v>
        <stp/>
        <stp>600548.SH</stp>
        <stp>27</stp>
        <tr r="B56" s="2"/>
      </tp>
      <tp>
        <v>1.02</v>
        <stp/>
        <stp>600688.SH</stp>
        <stp>27</stp>
        <tr r="B101" s="2"/>
      </tp>
      <tp>
        <v>2.2800000000000002</v>
        <stp/>
        <stp>300748.SZ</stp>
        <stp>27</stp>
        <tr r="B120" s="2"/>
      </tp>
      <tp>
        <v>-1</v>
        <stp/>
        <stp>002948.SZ</stp>
        <stp>27</stp>
        <tr r="B160" s="2"/>
      </tp>
      <tp>
        <v>-3.1300000000000003</v>
        <stp/>
        <stp>688180.SH</stp>
        <stp>27</stp>
        <tr r="B19" s="2"/>
      </tp>
      <tp>
        <v>-1.17</v>
        <stp/>
        <stp>6030.HK</stp>
        <stp>27</stp>
        <tr r="H77" s="2"/>
      </tp>
      <tp>
        <v>-2.39</v>
        <stp/>
        <stp>6160.HK</stp>
        <stp>27</stp>
        <tr r="H155" s="2"/>
      </tp>
      <tp>
        <v>1.96</v>
        <stp/>
        <stp>6680.HK</stp>
        <stp>27</stp>
        <tr r="H120" s="2"/>
      </tp>
      <tp>
        <v>1.54</v>
        <stp/>
        <stp>6690.HK</stp>
        <stp>27</stp>
        <tr r="H145" s="2"/>
      </tp>
      <tp>
        <v>0.12000000000000001</v>
        <stp/>
        <stp>0300.HK</stp>
        <stp>27</stp>
        <tr r="H137" s="2"/>
      </tp>
      <tp>
        <v>0.48000000000000004</v>
        <stp/>
        <stp>0390.HK</stp>
        <stp>27</stp>
        <tr r="H102" s="2"/>
      </tp>
      <tp>
        <v>0</v>
        <stp/>
        <stp>0670.HK</stp>
        <stp>27</stp>
        <tr r="H149" s="2"/>
      </tp>
      <tp>
        <v>-0.85000000000000009</v>
        <stp/>
        <stp>1800.HK</stp>
        <stp>27</stp>
        <tr r="H42" s="2"/>
      </tp>
      <tp>
        <v>4.78</v>
        <stp/>
        <stp>1880.HK</stp>
        <stp>27</stp>
        <tr r="H71" s="2"/>
      </tp>
      <tp>
        <v>1.59</v>
        <stp/>
        <stp>1330.HK</stp>
        <stp>27</stp>
        <tr r="H6" s="2"/>
      </tp>
      <tp>
        <v>0</v>
        <stp/>
        <stp>2880.HK</stp>
        <stp>27</stp>
        <tr r="H132" s="2"/>
      </tp>
      <tp>
        <v>0.74</v>
        <stp/>
        <stp>2050.HK</stp>
        <stp>27</stp>
        <tr r="H162" s="2"/>
      </tp>
      <tp>
        <v>2.4300000000000002</v>
        <stp/>
        <stp>2600.HK</stp>
        <stp>27</stp>
        <tr r="H87" s="2"/>
      </tp>
      <tp>
        <v>-6.8900000000000006</v>
        <stp/>
        <stp>6821.HK</stp>
        <stp>27</stp>
        <tr r="H49" s="2"/>
      </tp>
      <tp>
        <v>-2.16</v>
        <stp/>
        <stp>6881.HK</stp>
        <stp>27</stp>
        <tr r="H41" s="2"/>
      </tp>
      <tp>
        <v>-0.73</v>
        <stp/>
        <stp>0811.HK</stp>
        <stp>27</stp>
        <tr r="H40" s="2"/>
      </tp>
      <tp>
        <v>-0.08</v>
        <stp/>
        <stp>0921.HK</stp>
        <stp>27</stp>
        <tr r="H153" s="2"/>
      </tp>
      <tp>
        <v>-0.11</v>
        <stp/>
        <stp>0941.HK</stp>
        <stp>27</stp>
        <tr r="H146" s="2"/>
      </tp>
      <tp>
        <v>-2.68</v>
        <stp/>
        <stp>0981.HK</stp>
        <stp>27</stp>
        <tr r="H100" s="2"/>
      </tp>
      <tp>
        <v>0.93</v>
        <stp/>
        <stp>0991.HK</stp>
        <stp>27</stp>
        <tr r="H134" s="2"/>
      </tp>
      <tp>
        <v>0</v>
        <stp/>
        <stp>1071.HK</stp>
        <stp>27</stp>
        <tr r="H24" s="2"/>
      </tp>
      <tp>
        <v>1.17</v>
        <stp/>
        <stp>1171.HK</stp>
        <stp>27</stp>
        <tr r="H63" s="2"/>
      </tp>
      <tp>
        <v>2.9400000000000004</v>
        <stp/>
        <stp>1211.HK</stp>
        <stp>27</stp>
        <tr r="H161" s="2"/>
      </tp>
      <tp>
        <v>-1.6099999999999999</v>
        <stp/>
        <stp>2601.HK</stp>
        <stp>27</stp>
        <tr r="H65" s="2"/>
      </tp>
      <tp>
        <v>-0.69000000000000006</v>
        <stp/>
        <stp>2611.HK</stp>
        <stp>27</stp>
        <tr r="H67" s="2"/>
      </tp>
      <tp>
        <v>-1.22</v>
        <stp/>
        <stp>0902.HK</stp>
        <stp>27</stp>
        <tr r="H48" s="2"/>
      </tp>
      <tp>
        <v>1.04</v>
        <stp/>
        <stp>1812.HK</stp>
        <stp>27</stp>
        <tr r="H61" s="2"/>
      </tp>
      <tp>
        <v>-0.22</v>
        <stp/>
        <stp>1072.HK</stp>
        <stp>27</stp>
        <tr r="H82" s="2"/>
      </tp>
      <tp>
        <v>-2.91</v>
        <stp/>
        <stp>1772.HK</stp>
        <stp>27</stp>
        <tr r="H97" s="2"/>
      </tp>
      <tp>
        <v>0</v>
        <stp/>
        <stp>2202.HK</stp>
        <stp>27</stp>
        <tr r="H38" s="2"/>
      </tp>
      <tp>
        <v>-1.6</v>
        <stp/>
        <stp>2402.HK</stp>
        <stp>27</stp>
        <tr r="H152" s="2"/>
      </tp>
      <tp>
        <v>5.5200000000000005</v>
        <stp/>
        <stp>6613.HK</stp>
        <stp>27</stp>
        <tr r="H156" s="2"/>
      </tp>
      <tp>
        <v>1.05</v>
        <stp/>
        <stp>6693.HK</stp>
        <stp>27</stp>
        <tr r="H57" s="2"/>
      </tp>
      <tp>
        <v>0.58000000000000007</v>
        <stp/>
        <stp>0883.HK</stp>
        <stp>27</stp>
        <tr r="H127" s="2"/>
      </tp>
      <tp>
        <v>3.72</v>
        <stp/>
        <stp>0323.HK</stp>
        <stp>27</stp>
        <tr r="H136" s="2"/>
      </tp>
      <tp>
        <v>-1.35</v>
        <stp/>
        <stp>0553.HK</stp>
        <stp>27</stp>
        <tr r="H51" s="2"/>
      </tp>
      <tp>
        <v>-4.0400000000000009</v>
        <stp/>
        <stp>0763.HK</stp>
        <stp>27</stp>
        <tr r="H34" s="2"/>
      </tp>
      <tp>
        <v>0.19</v>
        <stp/>
        <stp>0753.HK</stp>
        <stp>27</stp>
        <tr r="H129" s="2"/>
      </tp>
      <tp>
        <v>-0.26</v>
        <stp/>
        <stp>1963.HK</stp>
        <stp>27</stp>
        <tr r="H157" s="2"/>
      </tp>
      <tp>
        <v>1.23</v>
        <stp/>
        <stp>1033.HK</stp>
        <stp>27</stp>
        <tr r="H141" s="2"/>
      </tp>
      <tp>
        <v>0</v>
        <stp/>
        <stp>1053.HK</stp>
        <stp>27</stp>
        <tr r="H96" s="2"/>
      </tp>
      <tp>
        <v>-0.26</v>
        <stp/>
        <stp>1513.HK</stp>
        <stp>27</stp>
        <tr r="H126" s="2"/>
      </tp>
      <tp>
        <v>3.08</v>
        <stp/>
        <stp>2883.HK</stp>
        <stp>27</stp>
        <tr r="H88" s="2"/>
      </tp>
      <tp>
        <v>3.8700000000000006</v>
        <stp/>
        <stp>2333.HK</stp>
        <stp>27</stp>
        <tr r="H39" s="2"/>
      </tp>
      <tp>
        <v>1.9100000000000001</v>
        <stp/>
        <stp>2603.HK</stp>
        <stp>27</stp>
        <tr r="H76" s="2"/>
      </tp>
      <tp>
        <v>0</v>
        <stp/>
        <stp>3993.HK</stp>
        <stp>27</stp>
        <tr r="H114" s="2"/>
      </tp>
      <tp>
        <v>-0.16</v>
        <stp/>
        <stp>0874.HK</stp>
        <stp>27</stp>
        <tr r="H14" s="2"/>
      </tp>
      <tp>
        <v>0</v>
        <stp/>
        <stp>0914.HK</stp>
        <stp>27</stp>
        <tr r="H154" s="2"/>
      </tp>
      <tp>
        <v>1.33</v>
        <stp/>
        <stp>0564.HK</stp>
        <stp>27</stp>
        <tr r="H75" s="2"/>
      </tp>
      <tp>
        <v>-1.31</v>
        <stp/>
        <stp>1304.HK</stp>
        <stp>27</stp>
        <tr r="H158" s="2"/>
      </tp>
      <tp>
        <v>2.2000000000000002</v>
        <stp/>
        <stp>9995.HK</stp>
        <stp>27</stp>
        <tr r="H33" s="2"/>
      </tp>
      <tp>
        <v>1.6099999999999999</v>
        <stp/>
        <stp>6865.HK</stp>
        <stp>27</stp>
        <tr r="H47" s="2"/>
      </tp>
      <tp>
        <v>-3.52</v>
        <stp/>
        <stp>6185.HK</stp>
        <stp>27</stp>
        <tr r="H68" s="2"/>
      </tp>
      <tp>
        <v>1.58</v>
        <stp/>
        <stp>6655.HK</stp>
        <stp>27</stp>
        <tr r="H142" s="2"/>
      </tp>
      <tp>
        <v>1.9</v>
        <stp/>
        <stp>0895.HK</stp>
        <stp>27</stp>
        <tr r="H62" s="2"/>
      </tp>
      <tp>
        <v>0.33</v>
        <stp/>
        <stp>0995.HK</stp>
        <stp>27</stp>
        <tr r="H79" s="2"/>
      </tp>
      <tp>
        <v>-1.0100000000000002</v>
        <stp/>
        <stp>0525.HK</stp>
        <stp>27</stp>
        <tr r="H55" s="2"/>
      </tp>
      <tp>
        <v>0.25</v>
        <stp/>
        <stp>1065.HK</stp>
        <stp>27</stp>
        <tr r="H9" s="2"/>
      </tp>
      <tp>
        <v>0.75000000000000011</v>
        <stp/>
        <stp>1055.HK</stp>
        <stp>27</stp>
        <tr r="H130" s="2"/>
      </tp>
      <tp>
        <v>-1.33</v>
        <stp/>
        <stp>1375.HK</stp>
        <stp>27</stp>
        <tr r="H13" s="2"/>
      </tp>
      <tp>
        <v>4.0199999999999996</v>
        <stp/>
        <stp>1385.HK</stp>
        <stp>27</stp>
        <tr r="H70" s="2"/>
      </tp>
      <tp>
        <v>-0.39</v>
        <stp/>
        <stp>1635.HK</stp>
        <stp>27</stp>
        <tr r="H93" s="2"/>
      </tp>
      <tp>
        <v>-2.1500000000000004</v>
        <stp/>
        <stp>2865.HK</stp>
        <stp>27</stp>
        <tr r="H105" s="2"/>
      </tp>
      <tp>
        <v>7.53</v>
        <stp/>
        <stp>2465.HK</stp>
        <stp>27</stp>
        <tr r="H36" s="2"/>
      </tp>
      <tp>
        <v>0.62000000000000011</v>
        <stp/>
        <stp>9696.HK</stp>
        <stp>27</stp>
        <tr r="H84" s="2"/>
      </tp>
      <tp>
        <v>-1.08</v>
        <stp/>
        <stp>6826.HK</stp>
        <stp>27</stp>
        <tr r="H98" s="2"/>
      </tp>
      <tp>
        <v>-1.1199999999999999</v>
        <stp/>
        <stp>6806.HK</stp>
        <stp>27</stp>
        <tr r="H58" s="2"/>
      </tp>
      <tp>
        <v>-0.27999999999999997</v>
        <stp/>
        <stp>6886.HK</stp>
        <stp>27</stp>
        <tr r="H27" s="2"/>
      </tp>
      <tp>
        <v>1.27</v>
        <stp/>
        <stp>6936.HK</stp>
        <stp>27</stp>
        <tr r="H110" s="2"/>
      </tp>
      <tp>
        <v>-0.4</v>
        <stp/>
        <stp>6066.HK</stp>
        <stp>27</stp>
        <tr r="H73" s="2"/>
      </tp>
      <tp>
        <v>0.71000000000000008</v>
        <stp/>
        <stp>6196.HK</stp>
        <stp>27</stp>
        <tr r="H29" s="2"/>
      </tp>
      <tp>
        <v>-0.44</v>
        <stp/>
        <stp>0916.HK</stp>
        <stp>27</stp>
        <tr r="H32" s="2"/>
      </tp>
      <tp>
        <v>0.71000000000000008</v>
        <stp/>
        <stp>0956.HK</stp>
        <stp>27</stp>
        <tr r="H11" s="2"/>
      </tp>
      <tp>
        <v>0.68</v>
        <stp/>
        <stp>0386.HK</stp>
        <stp>27</stp>
        <tr r="H113" s="2"/>
      </tp>
      <tp>
        <v>-0.63</v>
        <stp/>
        <stp>1816.HK</stp>
        <stp>27</stp>
        <tr r="H37" s="2"/>
      </tp>
      <tp>
        <v>-0.85000000000000009</v>
        <stp/>
        <stp>1186.HK</stp>
        <stp>27</stp>
        <tr r="H30" s="2"/>
      </tp>
      <tp>
        <v>-1.35</v>
        <stp/>
        <stp>1276.HK</stp>
        <stp>27</stp>
        <tr r="H151" s="2"/>
      </tp>
      <tp>
        <v>-0.52</v>
        <stp/>
        <stp>1336.HK</stp>
        <stp>27</stp>
        <tr r="H26" s="2"/>
      </tp>
      <tp>
        <v>-2.29</v>
        <stp/>
        <stp>1456.HK</stp>
        <stp>27</stp>
        <tr r="H28" s="2"/>
      </tp>
      <tp>
        <v>-0.16</v>
        <stp/>
        <stp>1766.HK</stp>
        <stp>27</stp>
        <tr r="H99" s="2"/>
      </tp>
      <tp>
        <v>-0.57000000000000006</v>
        <stp/>
        <stp>1776.HK</stp>
        <stp>27</stp>
        <tr r="H20" s="2"/>
      </tp>
      <tp>
        <v>0</v>
        <stp/>
        <stp>2866.HK</stp>
        <stp>27</stp>
        <tr r="H123" s="2"/>
      </tp>
      <tp>
        <v>0</v>
        <stp/>
        <stp>2016.HK</stp>
        <stp>27</stp>
        <tr r="H112" s="2"/>
      </tp>
      <tp>
        <v>-2.3200000000000003</v>
        <stp/>
        <stp>2196.HK</stp>
        <stp>27</stp>
        <tr r="H12" s="2"/>
      </tp>
      <tp>
        <v>-0.71000000000000008</v>
        <stp/>
        <stp>3866.HK</stp>
        <stp>27</stp>
        <tr r="H160" s="2"/>
      </tp>
      <tp>
        <v>0</v>
        <stp/>
        <stp>3996.HK</stp>
        <stp>27</stp>
        <tr r="H128" s="2"/>
      </tp>
      <tp>
        <v>2.0500000000000003</v>
        <stp/>
        <stp>3606.HK</stp>
        <stp>27</stp>
        <tr r="H138" s="2"/>
      </tp>
      <tp>
        <v>-2.2800000000000002</v>
        <stp/>
        <stp>6127.HK</stp>
        <stp>27</stp>
        <tr r="H53" s="2"/>
      </tp>
      <tp>
        <v>0</v>
        <stp/>
        <stp>0857.HK</stp>
        <stp>27</stp>
        <tr r="H95" s="2"/>
      </tp>
      <tp>
        <v>0.61</v>
        <stp/>
        <stp>0107.HK</stp>
        <stp>27</stp>
        <tr r="H46" s="2"/>
      </tp>
      <tp>
        <v>0.52</v>
        <stp/>
        <stp>0177.HK</stp>
        <stp>27</stp>
        <tr r="H74" s="2"/>
      </tp>
      <tp>
        <v>0</v>
        <stp/>
        <stp>0187.HK</stp>
        <stp>27</stp>
        <tr r="H44" s="2"/>
      </tp>
      <tp>
        <v>0.3</v>
        <stp/>
        <stp>0317.HK</stp>
        <stp>27</stp>
        <tr r="H124" s="2"/>
      </tp>
      <tp>
        <v>0.44</v>
        <stp/>
        <stp>0347.HK</stp>
        <stp>27</stp>
        <tr r="H139" s="2"/>
      </tp>
      <tp>
        <v>-4.3600000000000003</v>
        <stp/>
        <stp>1877.HK</stp>
        <stp>27</stp>
        <tr r="H19" s="2"/>
      </tp>
      <tp>
        <v>-1.76</v>
        <stp/>
        <stp>1057.HK</stp>
        <stp>27</stp>
        <tr r="H23" s="2"/>
      </tp>
      <tp>
        <v>-0.90000000000000013</v>
        <stp/>
        <stp>1157.HK</stp>
        <stp>27</stp>
        <tr r="H104" s="2"/>
      </tp>
      <tp>
        <v>-2.0300000000000002</v>
        <stp/>
        <stp>1347.HK</stp>
        <stp>27</stp>
        <tr r="H117" s="2"/>
      </tp>
      <tp>
        <v>3.6799999999999997</v>
        <stp/>
        <stp>1787.HK</stp>
        <stp>27</stp>
        <tr r="H35" s="2"/>
      </tp>
      <tp>
        <v>-0.39</v>
        <stp/>
        <stp>2607.HK</stp>
        <stp>27</stp>
        <tr r="H89" s="2"/>
      </tp>
      <tp>
        <v>-2.0500000000000003</v>
        <stp/>
        <stp>2727.HK</stp>
        <stp>27</stp>
        <tr r="H60" s="2"/>
      </tp>
      <tp>
        <v>-3.02</v>
        <stp/>
        <stp>3347.HK</stp>
        <stp>27</stp>
        <tr r="H22" s="2"/>
      </tp>
      <tp>
        <v>-0.55000000000000004</v>
        <stp/>
        <stp>6818.HK</stp>
        <stp>27</stp>
        <tr r="H144" s="2"/>
      </tp>
      <tp>
        <v>-1.8000000000000003</v>
        <stp/>
        <stp>6178.HK</stp>
        <stp>27</stp>
        <tr r="H116" s="2"/>
      </tp>
      <tp>
        <v>1.2100000000000002</v>
        <stp/>
        <stp>6198.HK</stp>
        <stp>27</stp>
        <tr r="H90" s="2"/>
      </tp>
      <tp>
        <v>-0.85000000000000009</v>
        <stp/>
        <stp>0998.HK</stp>
        <stp>27</stp>
        <tr r="H107" s="2"/>
      </tp>
      <tp>
        <v>-0.66</v>
        <stp/>
        <stp>0038.HK</stp>
        <stp>27</stp>
        <tr r="H31" s="2"/>
      </tp>
      <tp>
        <v>-0.96000000000000008</v>
        <stp/>
        <stp>0168.HK</stp>
        <stp>27</stp>
        <tr r="H72" s="2"/>
      </tp>
      <tp>
        <v>2.8400000000000003</v>
        <stp/>
        <stp>0338.HK</stp>
        <stp>27</stp>
        <tr r="H101" s="2"/>
      </tp>
      <tp>
        <v>3.7600000000000002</v>
        <stp/>
        <stp>0358.HK</stp>
        <stp>27</stp>
        <tr r="H125" s="2"/>
      </tp>
      <tp>
        <v>1.18</v>
        <stp/>
        <stp>0568.HK</stp>
        <stp>27</stp>
        <tr r="H25" s="2"/>
      </tp>
      <tp>
        <v>1</v>
        <stp/>
        <stp>0548.HK</stp>
        <stp>27</stp>
        <tr r="H56" s="2"/>
      </tp>
      <tp>
        <v>0</v>
        <stp/>
        <stp>0588.HK</stp>
        <stp>27</stp>
        <tr r="H64" s="2"/>
      </tp>
      <tp>
        <v>0</v>
        <stp/>
        <stp>0598.HK</stp>
        <stp>27</stp>
        <tr r="H81" s="2"/>
      </tp>
      <tp>
        <v>-1.4400000000000002</v>
        <stp/>
        <stp>0728.HK</stp>
        <stp>27</stp>
        <tr r="H5" s="2"/>
      </tp>
      <tp>
        <v>1.8399999999999999</v>
        <stp/>
        <stp>1858.HK</stp>
        <stp>27</stp>
        <tr r="H45" s="2"/>
      </tp>
      <tp>
        <v>-2.0300000000000002</v>
        <stp/>
        <stp>1898.HK</stp>
        <stp>27</stp>
        <tr r="H85" s="2"/>
      </tp>
      <tp>
        <v>-0.66</v>
        <stp/>
        <stp>1988.HK</stp>
        <stp>27</stp>
        <tr r="H103" s="2"/>
      </tp>
      <tp>
        <v>-0.39</v>
        <stp/>
        <stp>1088.HK</stp>
        <stp>27</stp>
        <tr r="H7" s="2"/>
      </tp>
      <tp>
        <v>0.55999999999999994</v>
        <stp/>
        <stp>1138.HK</stp>
        <stp>27</stp>
        <tr r="H18" s="2"/>
      </tp>
      <tp>
        <v>0.21000000000000002</v>
        <stp/>
        <stp>1108.HK</stp>
        <stp>27</stp>
        <tr r="H8" s="2"/>
      </tp>
      <tp>
        <v>-0.73</v>
        <stp/>
        <stp>1288.HK</stp>
        <stp>27</stp>
        <tr r="H54" s="2"/>
      </tp>
      <tp>
        <v>-0.67</v>
        <stp/>
        <stp>1398.HK</stp>
        <stp>27</stp>
        <tr r="H78" s="2"/>
      </tp>
      <tp>
        <v>-0.6</v>
        <stp/>
        <stp>1528.HK</stp>
        <stp>27</stp>
        <tr r="H94" s="2"/>
      </tp>
      <tp>
        <v>-0.85000000000000009</v>
        <stp/>
        <stp>1618.HK</stp>
        <stp>27</stp>
        <tr r="H83" s="2"/>
      </tp>
      <tp>
        <v>-0.71000000000000008</v>
        <stp/>
        <stp>1658.HK</stp>
        <stp>27</stp>
        <tr r="H106" s="2"/>
      </tp>
      <tp>
        <v>0.79</v>
        <stp/>
        <stp>2068.HK</stp>
        <stp>27</stp>
        <tr r="H133" s="2"/>
      </tp>
      <tp>
        <v>0.80999999999999994</v>
        <stp/>
        <stp>2238.HK</stp>
        <stp>27</stp>
        <tr r="H17" s="2"/>
      </tp>
      <tp>
        <v>3.7800000000000002</v>
        <stp/>
        <stp>2208.HK</stp>
        <stp>27</stp>
        <tr r="H52" s="2"/>
      </tp>
      <tp>
        <v>-0.11</v>
        <stp/>
        <stp>2218.HK</stp>
        <stp>27</stp>
        <tr r="H122" s="2"/>
      </tp>
      <tp>
        <v>-0.93</v>
        <stp/>
        <stp>2338.HK</stp>
        <stp>27</stp>
        <tr r="H135" s="2"/>
      </tp>
      <tp>
        <v>-1.02</v>
        <stp/>
        <stp>2318.HK</stp>
        <stp>27</stp>
        <tr r="H150" s="2"/>
      </tp>
      <tp>
        <v>1.86</v>
        <stp/>
        <stp>2628.HK</stp>
        <stp>27</stp>
        <tr r="H119" s="2"/>
      </tp>
      <tp>
        <v>-2.73</v>
        <stp/>
        <stp>2648.HK</stp>
        <stp>27</stp>
        <tr r="H148" s="2"/>
      </tp>
      <tp>
        <v>-0.74</v>
        <stp/>
        <stp>3898.HK</stp>
        <stp>27</stp>
        <tr r="H131" s="2"/>
      </tp>
      <tp>
        <v>-1.1100000000000001</v>
        <stp/>
        <stp>3908.HK</stp>
        <stp>27</stp>
        <tr r="H86" s="2"/>
      </tp>
      <tp>
        <v>-1.53</v>
        <stp/>
        <stp>3968.HK</stp>
        <stp>27</stp>
        <tr r="H121" s="2"/>
      </tp>
      <tp>
        <v>-1.4000000000000001</v>
        <stp/>
        <stp>3958.HK</stp>
        <stp>27</stp>
        <tr r="H16" s="2"/>
      </tp>
      <tp>
        <v>-0.45000000000000007</v>
        <stp/>
        <stp>3988.HK</stp>
        <stp>27</stp>
        <tr r="H109" s="2"/>
      </tp>
      <tp>
        <v>0</v>
        <stp/>
        <stp>3328.HK</stp>
        <stp>27</stp>
        <tr r="H159" s="2"/>
      </tp>
      <tp>
        <v>0</v>
        <stp/>
        <stp>3618.HK</stp>
        <stp>27</stp>
        <tr r="H69" s="2"/>
      </tp>
      <tp>
        <v>0.66</v>
        <stp/>
        <stp>3678.HK</stp>
        <stp>27</stp>
        <tr r="H10" s="2"/>
      </tp>
      <tp>
        <v>-4.16</v>
        <stp/>
        <stp>9969.HK</stp>
        <stp>27</stp>
        <tr r="H111" s="2"/>
      </tp>
      <tp>
        <v>-1.52</v>
        <stp/>
        <stp>9989.HK</stp>
        <stp>27</stp>
        <tr r="H50" s="2"/>
      </tp>
      <tp>
        <v>-3.29</v>
        <stp/>
        <stp>6869.HK</stp>
        <stp>27</stp>
        <tr r="H21" s="2"/>
      </tp>
      <tp>
        <v>-1.1400000000000001</v>
        <stp/>
        <stp>6099.HK</stp>
        <stp>27</stp>
        <tr r="H115" s="2"/>
      </tp>
      <tp>
        <v>-0.52</v>
        <stp/>
        <stp>0939.HK</stp>
        <stp>27</stp>
        <tr r="H147" s="2"/>
      </tp>
      <tp>
        <v>-1.0100000000000002</v>
        <stp/>
        <stp>0719.HK</stp>
        <stp>27</stp>
        <tr r="H59" s="2"/>
      </tp>
      <tp>
        <v>0.82000000000000006</v>
        <stp/>
        <stp>1919.HK</stp>
        <stp>27</stp>
        <tr r="H92" s="2"/>
      </tp>
      <tp>
        <v>-0.73</v>
        <stp/>
        <stp>1339.HK</stp>
        <stp>27</stp>
        <tr r="H108" s="2"/>
      </tp>
      <tp>
        <v>-1.02</v>
        <stp/>
        <stp>1349.HK</stp>
        <stp>27</stp>
        <tr r="H80" s="2"/>
      </tp>
      <tp>
        <v>2.2999999999999998</v>
        <stp/>
        <stp>2899.HK</stp>
        <stp>27</stp>
        <tr r="H118" s="2"/>
      </tp>
      <tp>
        <v>1.5700000000000003</v>
        <stp/>
        <stp>2039.HK</stp>
        <stp>27</stp>
        <tr r="H143" s="2"/>
      </tp>
      <tp>
        <v>1.1499999999999999</v>
        <stp/>
        <stp>2009.HK</stp>
        <stp>27</stp>
        <tr r="H91" s="2"/>
      </tp>
      <tp>
        <v>-2.2500000000000004</v>
        <stp/>
        <stp>2359.HK</stp>
        <stp>27</stp>
        <tr r="H140" s="2"/>
      </tp>
      <tp>
        <v>-0.85000000000000009</v>
        <stp/>
        <stp>3969.HK</stp>
        <stp>27</stp>
        <tr r="H43" s="2"/>
      </tp>
      <tp>
        <v>-0.88</v>
        <stp/>
        <stp>3369.HK</stp>
        <stp>27</stp>
        <tr r="H66" s="2"/>
      </tp>
      <tp>
        <v>-3.83</v>
        <stp/>
        <stp>3759.HK</stp>
        <stp>27</stp>
        <tr r="H15" s="2"/>
      </tp>
      <tp>
        <v>10.65</v>
        <stp/>
        <stp>600548.SH</stp>
        <stp>LastPrice</stp>
        <tr r="C56" s="2"/>
      </tp>
      <tp>
        <v>78.5</v>
        <stp/>
        <stp>688347.SH</stp>
        <stp>LastPrice</stp>
        <tr r="C117" s="2"/>
      </tp>
      <tp>
        <v>109.59</v>
        <stp/>
        <stp>600941.SH</stp>
        <stp>LastPrice</stp>
        <tr r="C146" s="2"/>
      </tp>
      <tp>
        <v>76.28</v>
        <stp/>
        <stp>603345.SH</stp>
        <stp>LastPrice</stp>
        <tr r="C148" s="2"/>
      </tp>
      <tp>
        <v>32.33</v>
        <stp/>
        <stp>600547.SH</stp>
        <stp>LastPrice</stp>
        <tr r="C35" s="2"/>
      </tp>
      <tp>
        <v>96.92</v>
        <stp/>
        <stp>603259.SH</stp>
        <stp>LastPrice</stp>
        <tr r="C140" s="2"/>
      </tp>
      <tp>
        <v>11.98</v>
        <stp/>
        <stp>600958.SH</stp>
        <stp>LastPrice</stp>
        <tr r="C16" s="2"/>
      </tp>
      <tp>
        <v>6.3</v>
        <stp/>
        <stp>601658.SH</stp>
        <stp>LastPrice</stp>
        <tr r="C106" s="2"/>
      </tp>
      <tp>
        <v>8.81</v>
        <stp/>
        <stp>601857.SH</stp>
        <stp>LastPrice</stp>
        <tr r="C95" s="2"/>
      </tp>
      <tp>
        <v>7.98</v>
        <stp/>
        <stp>600956.SH</stp>
        <stp>LastPrice</stp>
        <tr r="C11" s="2"/>
      </tp>
      <tp>
        <v>12.290000000000001</v>
        <stp/>
        <stp>601456.SH</stp>
        <stp>LastPrice</stp>
        <tr r="C28" s="2"/>
      </tp>
      <tp>
        <v>71.070000000000007</v>
        <stp/>
        <stp>601869.SH</stp>
        <stp>LastPrice</stp>
        <tr r="C21" s="2"/>
      </tp>
      <tp>
        <v>2.56</v>
        <stp/>
        <stp>601868.SH</stp>
        <stp>LastPrice</stp>
        <tr r="C128" s="2"/>
      </tp>
      <tp>
        <v>5.2</v>
        <stp/>
        <stp>601068.SH</stp>
        <stp>LastPrice</stp>
        <tr r="C133" s="2"/>
      </tp>
      <tp>
        <v>57.64</v>
        <stp/>
        <stp>688366.SH</stp>
        <stp>LastPrice</stp>
        <tr r="C98" s="2"/>
      </tp>
      <tp>
        <v>13.83</v>
        <stp/>
        <stp>600860.SH</stp>
        <stp>LastPrice</stp>
        <tr r="C44" s="2"/>
      </tp>
      <tp>
        <v>63.76</v>
        <stp/>
        <stp>600660.SH</stp>
        <stp>LastPrice</stp>
        <tr r="C138" s="2"/>
      </tp>
      <tp>
        <v>9.8800000000000008</v>
        <stp/>
        <stp>601963.SH</stp>
        <stp>LastPrice</stp>
        <tr r="C157" s="2"/>
      </tp>
      <tp>
        <v>26.8</v>
        <stp/>
        <stp>600362.SH</stp>
        <stp>LastPrice</stp>
        <tr r="C125" s="2"/>
      </tp>
      <tp>
        <v>17.059999999999999</v>
        <stp/>
        <stp>601865.SH</stp>
        <stp>LastPrice</stp>
        <tr r="C47" s="2"/>
      </tp>
      <tp>
        <v>2.58</v>
        <stp/>
        <stp>601866.SH</stp>
        <stp>LastPrice</stp>
        <tr r="C123" s="2"/>
      </tp>
      <tp>
        <v>7.8100000000000005</v>
        <stp/>
        <stp>601766.SH</stp>
        <stp>LastPrice</stp>
        <tr r="C99" s="2"/>
      </tp>
      <tp>
        <v>27.82</v>
        <stp/>
        <stp>601066.SH</stp>
        <stp>LastPrice</stp>
        <tr r="C73" s="2"/>
      </tp>
      <tp>
        <v>211.11</v>
        <stp/>
        <stp>688279.SH</stp>
        <stp>LastPrice</stp>
        <tr r="C158" s="2"/>
      </tp>
      <tp>
        <v>2.12</v>
        <stp/>
        <stp>600871.SH</stp>
        <stp>LastPrice</stp>
        <tr r="C141" s="2"/>
      </tp>
      <tp>
        <v>20.5</v>
        <stp/>
        <stp>600875.SH</stp>
        <stp>LastPrice</stp>
        <tr r="C82" s="2"/>
      </tp>
      <tp>
        <v>12.66</v>
        <stp/>
        <stp>600775.SH</stp>
        <stp>LastPrice</stp>
        <tr r="C51" s="2"/>
      </tp>
      <tp>
        <v>4.76</v>
        <stp/>
        <stp>601375.SH</stp>
        <stp>LastPrice</stp>
        <tr r="C13" s="2"/>
      </tp>
      <tp>
        <v>6.09</v>
        <stp/>
        <stp>600874.SH</stp>
        <stp>LastPrice</stp>
        <tr r="C9" s="2"/>
      </tp>
      <tp>
        <v>13.92</v>
        <stp/>
        <stp>600377.SH</stp>
        <stp>LastPrice</stp>
        <tr r="C74" s="2"/>
      </tp>
      <tp>
        <v>6.44</v>
        <stp/>
        <stp>601077.SH</stp>
        <stp>LastPrice</stp>
        <tr r="C69" s="2"/>
      </tp>
      <tp>
        <v>11.33</v>
        <stp/>
        <stp>600876.SH</stp>
        <stp>LastPrice</stp>
        <tr r="C8" s="2"/>
      </tp>
      <tp>
        <v>65.320000000000007</v>
        <stp/>
        <stp>600276.SH</stp>
        <stp>LastPrice</stp>
        <tr r="C151" s="2"/>
      </tp>
      <tp>
        <v>3.87</v>
        <stp/>
        <stp>600808.SH</stp>
        <stp>LastPrice</stp>
        <tr r="C136" s="2"/>
      </tp>
      <tp>
        <v>14.71</v>
        <stp/>
        <stp>601808.SH</stp>
        <stp>LastPrice</stp>
        <tr r="C88" s="2"/>
      </tp>
      <tp>
        <v>10.19</v>
        <stp/>
        <stp>688505.SH</stp>
        <stp>LastPrice</stp>
        <tr r="C80" s="2"/>
      </tp>
      <tp>
        <v>5.6000000000000005</v>
        <stp/>
        <stp>688009.SH</stp>
        <stp>LastPrice</stp>
        <tr r="C43" s="2"/>
      </tp>
      <tp>
        <v>15.98</v>
        <stp/>
        <stp>600801.SH</stp>
        <stp>LastPrice</stp>
        <tr r="C142" s="2"/>
      </tp>
      <tp>
        <v>41.28</v>
        <stp/>
        <stp>601601.SH</stp>
        <stp>LastPrice</stp>
        <tr r="C65" s="2"/>
      </tp>
      <tp>
        <v>69.97</v>
        <stp/>
        <stp>600600.SH</stp>
        <stp>LastPrice</stp>
        <tr r="C72" s="2"/>
      </tp>
      <tp>
        <v>9.5400000000000009</v>
        <stp/>
        <stp>601800.SH</stp>
        <stp>LastPrice</stp>
        <tr r="C42" s="2"/>
      </tp>
      <tp>
        <v>8.16</v>
        <stp/>
        <stp>601600.SH</stp>
        <stp>LastPrice</stp>
        <tr r="C87" s="2"/>
      </tp>
      <tp>
        <v>1.5</v>
        <stp/>
        <stp>601005.SH</stp>
        <stp>LastPrice</stp>
        <tr r="C96" s="2"/>
      </tp>
      <tp>
        <v>19.39</v>
        <stp/>
        <stp>601607.SH</stp>
        <stp>LastPrice</stp>
        <tr r="C89" s="2"/>
      </tp>
      <tp>
        <v>5.69</v>
        <stp/>
        <stp>601107.SH</stp>
        <stp>LastPrice</stp>
        <tr r="C46" s="2"/>
      </tp>
      <tp>
        <v>14.97</v>
        <stp/>
        <stp>603906.SH</stp>
        <stp>LastPrice</stp>
        <tr r="C36" s="2"/>
      </tp>
      <tp>
        <v>15.97</v>
        <stp/>
        <stp>601919.SH</stp>
        <stp>LastPrice</stp>
        <tr r="C92" s="2"/>
      </tp>
      <tp>
        <v>8.7799999999999994</v>
        <stp/>
        <stp>601319.SH</stp>
        <stp>LastPrice</stp>
        <tr r="C108" s="2"/>
      </tp>
      <tp>
        <v>3.96</v>
        <stp/>
        <stp>601818.SH</stp>
        <stp>LastPrice</stp>
        <tr r="C144" s="2"/>
      </tp>
      <tp>
        <v>3.43</v>
        <stp/>
        <stp>601618.SH</stp>
        <stp>LastPrice</stp>
        <tr r="C83" s="2"/>
      </tp>
      <tp>
        <v>60.52</v>
        <stp/>
        <stp>601318.SH</stp>
        <stp>LastPrice</stp>
        <tr r="C150" s="2"/>
      </tp>
      <tp>
        <v>7.44</v>
        <stp/>
        <stp>600011.SH</stp>
        <stp>LastPrice</stp>
        <tr r="C48" s="2"/>
      </tp>
      <tp>
        <v>16.11</v>
        <stp/>
        <stp>601811.SH</stp>
        <stp>LastPrice</stp>
        <tr r="C40" s="2"/>
      </tp>
      <tp>
        <v>7.59</v>
        <stp/>
        <stp>601111.SH</stp>
        <stp>LastPrice</stp>
        <tr r="C129" s="2"/>
      </tp>
      <tp>
        <v>21.5</v>
        <stp/>
        <stp>601211.SH</stp>
        <stp>LastPrice</stp>
        <tr r="C67" s="2"/>
      </tp>
      <tp>
        <v>15.47</v>
        <stp/>
        <stp>600012.SH</stp>
        <stp>LastPrice</stp>
        <tr r="C79" s="2"/>
      </tp>
      <tp>
        <v>4.17</v>
        <stp/>
        <stp>600115.SH</stp>
        <stp>LastPrice</stp>
        <tr r="C149" s="2"/>
      </tp>
      <tp>
        <v>18.600000000000001</v>
        <stp/>
        <stp>601717.SH</stp>
        <stp>LastPrice</stp>
        <tr r="C75" s="2"/>
      </tp>
      <tp>
        <v>4.72</v>
        <stp/>
        <stp>600016.SH</stp>
        <stp>LastPrice</stp>
        <tr r="C103" s="2"/>
      </tp>
      <tp>
        <v>3.34</v>
        <stp/>
        <stp>601916.SH</stp>
        <stp>LastPrice</stp>
        <tr r="C112" s="2"/>
      </tp>
      <tp>
        <v>6.08</v>
        <stp/>
        <stp>600029.SH</stp>
        <stp>LastPrice</stp>
        <tr r="C130" s="2"/>
      </tp>
      <tp>
        <v>5.8500000000000005</v>
        <stp/>
        <stp>600028.SH</stp>
        <stp>LastPrice</stp>
        <tr r="C113" s="2"/>
      </tp>
      <tp>
        <v>3.0700000000000003</v>
        <stp/>
        <stp>601828.SH</stp>
        <stp>LastPrice</stp>
        <tr r="C94" s="2"/>
      </tp>
      <tp>
        <v>42.84</v>
        <stp/>
        <stp>601628.SH</stp>
        <stp>LastPrice</stp>
        <tr r="C119" s="2"/>
      </tp>
      <tp>
        <v>7.55</v>
        <stp/>
        <stp>601728.SH</stp>
        <stp>LastPrice</stp>
        <tr r="C5" s="2"/>
      </tp>
      <tp>
        <v>7.63</v>
        <stp/>
        <stp>601328.SH</stp>
        <stp>LastPrice</stp>
        <tr r="C159" s="2"/>
      </tp>
      <tp>
        <v>29.17</v>
        <stp/>
        <stp>688428.SH</stp>
        <stp>LastPrice</stp>
        <tr r="C111" s="2"/>
      </tp>
      <tp>
        <v>32.28</v>
        <stp/>
        <stp>603127.SH</stp>
        <stp>LastPrice</stp>
        <tr r="C53" s="2"/>
      </tp>
      <tp>
        <v>5.48</v>
        <stp/>
        <stp>600027.SH</stp>
        <stp>LastPrice</stp>
        <tr r="C24" s="2"/>
      </tp>
      <tp>
        <v>9</v>
        <stp/>
        <stp>601727.SH</stp>
        <stp>LastPrice</stp>
        <tr r="C60" s="2"/>
      </tp>
      <tp>
        <v>10.75</v>
        <stp/>
        <stp>600026.SH</stp>
        <stp>LastPrice</stp>
        <tr r="C18" s="2"/>
      </tp>
      <tp>
        <v>3.4</v>
        <stp/>
        <stp>601326.SH</stp>
        <stp>LastPrice</stp>
        <tr r="C66" s="2"/>
      </tp>
      <tp>
        <v>85.5</v>
        <stp/>
        <stp>688331.SH</stp>
        <stp>LastPrice</stp>
        <tr r="C33" s="2"/>
      </tp>
      <tp>
        <v>9.18</v>
        <stp/>
        <stp>601939.SH</stp>
        <stp>LastPrice</stp>
        <tr r="C147" s="2"/>
      </tp>
      <tp>
        <v>25.96</v>
        <stp/>
        <stp>600938.SH</stp>
        <stp>LastPrice</stp>
        <tr r="C127" s="2"/>
      </tp>
      <tp>
        <v>13.71</v>
        <stp/>
        <stp>601038.SH</stp>
        <stp>LastPrice</stp>
        <tr r="C31" s="2"/>
      </tp>
      <tp>
        <v>8.0500000000000007</v>
        <stp/>
        <stp>601238.SH</stp>
        <stp>LastPrice</stp>
        <tr r="C17" s="2"/>
      </tp>
      <tp>
        <v>251.16</v>
        <stp/>
        <stp>688235.SH</stp>
        <stp>LastPrice</stp>
        <tr r="C155" s="2"/>
      </tp>
      <tp>
        <v>22.71</v>
        <stp/>
        <stp>688236.SH</stp>
        <stp>LastPrice</stp>
        <tr r="C45" s="2"/>
      </tp>
      <tp>
        <v>24.5</v>
        <stp/>
        <stp>688339.SH</stp>
        <stp>LastPrice</stp>
        <tr r="C152" s="2"/>
      </tp>
      <tp>
        <v>31.87</v>
        <stp/>
        <stp>600030.SH</stp>
        <stp>LastPrice</stp>
        <tr r="C77" s="2"/>
      </tp>
      <tp>
        <v>7.21</v>
        <stp/>
        <stp>601330.SH</stp>
        <stp>LastPrice</stp>
        <tr r="C6" s="2"/>
      </tp>
      <tp>
        <v>26.29</v>
        <stp/>
        <stp>601633.SH</stp>
        <stp>LastPrice</stp>
        <tr r="C39" s="2"/>
      </tp>
      <tp>
        <v>2.98</v>
        <stp/>
        <stp>601333.SH</stp>
        <stp>LastPrice</stp>
        <tr r="C55" s="2"/>
      </tp>
      <tp>
        <v>27.53</v>
        <stp/>
        <stp>600332.SH</stp>
        <stp>LastPrice</stp>
        <tr r="C14" s="2"/>
      </tp>
      <tp>
        <v>4.25</v>
        <stp/>
        <stp>600635.SH</stp>
        <stp>LastPrice</stp>
        <tr r="C93" s="2"/>
      </tp>
      <tp>
        <v>43.62</v>
        <stp/>
        <stp>600036.SH</stp>
        <stp>LastPrice</stp>
        <tr r="C121" s="2"/>
      </tp>
      <tp>
        <v>67.08</v>
        <stp/>
        <stp>601336.SH</stp>
        <stp>LastPrice</stp>
        <tr r="C26" s="2"/>
      </tp>
      <tp>
        <v>101.23</v>
        <stp/>
        <stp>688981.SH</stp>
        <stp>LastPrice</stp>
        <tr r="C100" s="2"/>
      </tp>
      <tp>
        <v>45.160000000000004</v>
        <stp/>
        <stp>688180.SH</stp>
        <stp>LastPrice</stp>
        <tr r="C19" s="2"/>
      </tp>
      <tp>
        <v>25.57</v>
        <stp/>
        <stp>600988.SH</stp>
        <stp>LastPrice</stp>
        <tr r="C57" s="2"/>
      </tp>
      <tp>
        <v>2.96</v>
        <stp/>
        <stp>600688.SH</stp>
        <stp>LastPrice</stp>
        <tr r="C101" s="2"/>
      </tp>
      <tp>
        <v>13.35</v>
        <stp/>
        <stp>600188.SH</stp>
        <stp>LastPrice</stp>
        <tr r="C63" s="2"/>
      </tp>
      <tp>
        <v>71.58</v>
        <stp/>
        <stp>601888.SH</stp>
        <stp>LastPrice</stp>
        <tr r="C71" s="2"/>
      </tp>
      <tp>
        <v>5.67</v>
        <stp/>
        <stp>601988.SH</stp>
        <stp>LastPrice</stp>
        <tr r="C109" s="2"/>
      </tp>
      <tp>
        <v>1.9100000000000001</v>
        <stp/>
        <stp>601588.SH</stp>
        <stp>LastPrice</stp>
        <tr r="C64" s="2"/>
      </tp>
      <tp>
        <v>22.32</v>
        <stp/>
        <stp>601688.SH</stp>
        <stp>LastPrice</stp>
        <tr r="C27" s="2"/>
      </tp>
      <tp>
        <v>20.420000000000002</v>
        <stp/>
        <stp>601788.SH</stp>
        <stp>LastPrice</stp>
        <tr r="C116" s="2"/>
      </tp>
      <tp>
        <v>38.869999999999997</v>
        <stp/>
        <stp>601088.SH</stp>
        <stp>LastPrice</stp>
        <tr r="C7" s="2"/>
      </tp>
      <tp>
        <v>7.28</v>
        <stp/>
        <stp>601288.SH</stp>
        <stp>LastPrice</stp>
        <tr r="C54" s="2"/>
      </tp>
      <tp>
        <v>85.73</v>
        <stp/>
        <stp>688185.SH</stp>
        <stp>LastPrice</stp>
        <tr r="C68" s="2"/>
      </tp>
      <tp>
        <v>56.42</v>
        <stp/>
        <stp>688385.SH</stp>
        <stp>LastPrice</stp>
        <tr r="C70" s="2"/>
      </tp>
      <tp>
        <v>49.9</v>
        <stp/>
        <stp>688187.SH</stp>
        <stp>LastPrice</stp>
        <tr r="C131" s="2"/>
      </tp>
      <tp>
        <v>18.760000000000002</v>
        <stp/>
        <stp>601881.SH</stp>
        <stp>LastPrice</stp>
        <tr r="C41" s="2"/>
      </tp>
      <tp>
        <v>1.6500000000000001</v>
        <stp/>
        <stp>601880.SH</stp>
        <stp>LastPrice</stp>
        <tr r="C132" s="2"/>
      </tp>
      <tp>
        <v>24.68</v>
        <stp/>
        <stp>600585.SH</stp>
        <stp>LastPrice</stp>
        <tr r="C154" s="2"/>
      </tp>
      <tp>
        <v>29.46</v>
        <stp/>
        <stp>600685.SH</stp>
        <stp>LastPrice</stp>
        <tr r="C124" s="2"/>
      </tp>
      <tp>
        <v>8.27</v>
        <stp/>
        <stp>601186.SH</stp>
        <stp>LastPrice</stp>
        <tr r="C30" s="2"/>
      </tp>
      <tp>
        <v>19.63</v>
        <stp/>
        <stp>600999.SH</stp>
        <stp>LastPrice</stp>
        <tr r="C115" s="2"/>
      </tp>
      <tp>
        <v>22.36</v>
        <stp/>
        <stp>601899.SH</stp>
        <stp>LastPrice</stp>
        <tr r="C118" s="2"/>
      </tp>
      <tp>
        <v>52.1</v>
        <stp/>
        <stp>605198.SH</stp>
        <stp>LastPrice</stp>
        <tr r="C122" s="2"/>
      </tp>
      <tp>
        <v>12.08</v>
        <stp/>
        <stp>601898.SH</stp>
        <stp>LastPrice</stp>
        <tr r="C85" s="2"/>
      </tp>
      <tp>
        <v>8.02</v>
        <stp/>
        <stp>601998.SH</stp>
        <stp>LastPrice</stp>
        <tr r="C107" s="2"/>
      </tp>
      <tp>
        <v>5.64</v>
        <stp/>
        <stp>601598.SH</stp>
        <stp>LastPrice</stp>
        <tr r="C81" s="2"/>
      </tp>
      <tp>
        <v>8.6</v>
        <stp/>
        <stp>601298.SH</stp>
        <stp>LastPrice</stp>
        <tr r="C90" s="2"/>
      </tp>
      <tp>
        <v>7.5600000000000005</v>
        <stp/>
        <stp>601398.SH</stp>
        <stp>LastPrice</stp>
        <tr r="C78" s="2"/>
      </tp>
      <tp>
        <v>3.42</v>
        <stp/>
        <stp>601991.SH</stp>
        <stp>LastPrice</stp>
        <tr r="C134" s="2"/>
      </tp>
      <tp>
        <v>26.34</v>
        <stp/>
        <stp>600690.SH</stp>
        <stp>LastPrice</stp>
        <tr r="C145" s="2"/>
      </tp>
      <tp>
        <v>5.8100000000000005</v>
        <stp/>
        <stp>601390.SH</stp>
        <stp>LastPrice</stp>
        <tr r="C102" s="2"/>
      </tp>
      <tp>
        <v>12.030000000000001</v>
        <stp/>
        <stp>603993.SH</stp>
        <stp>LastPrice</stp>
        <tr r="C114" s="2"/>
      </tp>
      <tp>
        <v>1.71</v>
        <stp/>
        <stp>601992.SH</stp>
        <stp>LastPrice</stp>
        <tr r="C91" s="2"/>
      </tp>
      <tp>
        <v>38.94</v>
        <stp/>
        <stp>601995.SH</stp>
        <stp>LastPrice</stp>
        <tr r="C86" s="2"/>
      </tp>
      <tp>
        <v>28.64</v>
        <stp/>
        <stp>600196.SH</stp>
        <stp>LastPrice</stp>
        <tr r="C12" s="2"/>
      </tp>
      <tp>
        <v>18.77</v>
        <stp/>
        <stp>002803.SZ</stp>
        <stp>LastPrice</stp>
        <tr r="C76" s="2"/>
      </tp>
      <tp>
        <v>12.99</v>
        <stp/>
        <stp>002703.SZ</stp>
        <stp>LastPrice</stp>
        <tr r="C23" s="2"/>
      </tp>
      <tp>
        <v>31.45</v>
        <stp/>
        <stp>300433.SZ</stp>
        <stp>LastPrice</stp>
        <tr r="C156" s="2"/>
      </tp>
      <tp>
        <v>11.98</v>
        <stp/>
        <stp>002202.SZ</stp>
        <stp>LastPrice</stp>
        <tr r="C52" s="2"/>
      </tp>
      <tp>
        <v>6.98</v>
        <stp/>
        <stp>000002.SZ</stp>
        <stp>LastPrice</stp>
        <tr r="C38" s="2"/>
      </tp>
      <tp>
        <v>2.5100000000000002</v>
        <stp/>
        <stp>0323.HK</stp>
        <stp>5</stp>
        <tr r="G136" s="2"/>
        <tr r="G136" s="2"/>
      </tp>
      <tp>
        <v>23.82</v>
        <stp/>
        <stp>0921.HK</stp>
        <stp>5</stp>
        <tr r="G153" s="2"/>
        <tr r="G153" s="2"/>
      </tp>
      <tp>
        <v>92.600000000000009</v>
        <stp/>
        <stp>6821.HK</stp>
        <stp>5</stp>
        <tr r="G49" s="2"/>
        <tr r="G49" s="2"/>
      </tp>
      <tp>
        <v>3.83</v>
        <stp/>
        <stp>2727.HK</stp>
        <stp>5</stp>
        <tr r="G60" s="2"/>
        <tr r="G60" s="2"/>
      </tp>
      <tp>
        <v>23.18</v>
        <stp/>
        <stp>6127.HK</stp>
        <stp>5</stp>
        <tr r="G53" s="2"/>
        <tr r="G53" s="2"/>
      </tp>
      <tp>
        <v>29.34</v>
        <stp/>
        <stp>6826.HK</stp>
        <stp>5</stp>
        <tr r="G98" s="2"/>
        <tr r="G98" s="2"/>
      </tp>
      <tp>
        <v>1.97</v>
        <stp/>
        <stp>0525.HK</stp>
        <stp>5</stp>
        <tr r="G55" s="2"/>
        <tr r="G55" s="2"/>
      </tp>
      <tp>
        <v>6.94</v>
        <stp/>
        <stp>3328.HK</stp>
        <stp>5</stp>
        <tr r="G159" s="2"/>
        <tr r="G159" s="2"/>
      </tp>
      <tp>
        <v>25.2</v>
        <stp/>
        <stp>2628.HK</stp>
        <stp>5</stp>
        <tr r="G119" s="2"/>
        <tr r="G119" s="2"/>
      </tp>
      <tp>
        <v>1.67</v>
        <stp/>
        <stp>1528.HK</stp>
        <stp>5</stp>
        <tr r="G94" s="2"/>
        <tr r="G94" s="2"/>
      </tp>
      <tp>
        <v>6.1400000000000006</v>
        <stp/>
        <stp>0728.HK</stp>
        <stp>5</stp>
        <tr r="G5" s="2"/>
        <tr r="G5" s="2"/>
      </tp>
      <tp>
        <v>41.76</v>
        <stp/>
        <stp>000513.SZ</stp>
        <stp>LastPrice</stp>
        <tr r="C126" s="2"/>
      </tp>
      <tp>
        <v>3.81</v>
        <stp/>
        <stp>003816.SZ</stp>
        <stp>LastPrice</stp>
        <tr r="C37" s="2"/>
      </tp>
      <tp>
        <v>18.8</v>
        <stp/>
        <stp>2333.HK</stp>
        <stp>5</stp>
        <tr r="G39" s="2"/>
        <tr r="G39" s="2"/>
      </tp>
      <tp>
        <v>0.82000000000000006</v>
        <stp/>
        <stp>1033.HK</stp>
        <stp>5</stp>
        <tr r="G141" s="2"/>
        <tr r="G141" s="2"/>
      </tp>
      <tp>
        <v>5.1100000000000003</v>
        <stp/>
        <stp>1330.HK</stp>
        <stp>5</stp>
        <tr r="G6" s="2"/>
        <tr r="G6" s="2"/>
      </tp>
      <tp>
        <v>30.48</v>
        <stp/>
        <stp>6030.HK</stp>
        <stp>5</stp>
        <tr r="G77" s="2"/>
        <tr r="G77" s="2"/>
      </tp>
      <tp>
        <v>49.84</v>
        <stp/>
        <stp>1336.HK</stp>
        <stp>5</stp>
        <tr r="G26" s="2"/>
        <tr r="G26" s="2"/>
      </tp>
      <tp>
        <v>46.08</v>
        <stp/>
        <stp>6936.HK</stp>
        <stp>5</stp>
        <tr r="G110" s="2"/>
        <tr r="G110" s="2"/>
      </tp>
      <tp>
        <v>2.56</v>
        <stp/>
        <stp>1635.HK</stp>
        <stp>5</stp>
        <tr r="G93" s="2"/>
        <tr r="G93" s="2"/>
      </tp>
      <tp>
        <v>8.4</v>
        <stp/>
        <stp>2039.HK</stp>
        <stp>5</stp>
        <tr r="G143" s="2"/>
        <tr r="G143" s="2"/>
      </tp>
      <tp>
        <v>6.79</v>
        <stp/>
        <stp>1339.HK</stp>
        <stp>5</stp>
        <tr r="G108" s="2"/>
        <tr r="G108" s="2"/>
      </tp>
      <tp>
        <v>7.69</v>
        <stp/>
        <stp>0939.HK</stp>
        <stp>5</stp>
        <tr r="G147" s="2"/>
        <tr r="G147" s="2"/>
      </tp>
      <tp>
        <v>17.05</v>
        <stp/>
        <stp>2338.HK</stp>
        <stp>5</stp>
        <tr r="G135" s="2"/>
        <tr r="G135" s="2"/>
      </tp>
      <tp>
        <v>3.75</v>
        <stp/>
        <stp>2238.HK</stp>
        <stp>5</stp>
        <tr r="G17" s="2"/>
        <tr r="G17" s="2"/>
      </tp>
      <tp>
        <v>7.18</v>
        <stp/>
        <stp>1138.HK</stp>
        <stp>5</stp>
        <tr r="G18" s="2"/>
        <tr r="G18" s="2"/>
      </tp>
      <tp>
        <v>1.45</v>
        <stp/>
        <stp>0338.HK</stp>
        <stp>5</stp>
        <tr r="G101" s="2"/>
        <tr r="G101" s="2"/>
      </tp>
      <tp>
        <v>7.53</v>
        <stp/>
        <stp>0038.HK</stp>
        <stp>5</stp>
        <tr r="G31" s="2"/>
        <tr r="G31" s="2"/>
      </tp>
      <tp>
        <v>104.52</v>
        <stp/>
        <stp>002821.SZ</stp>
        <stp>LastPrice</stp>
        <tr r="C49" s="2"/>
      </tp>
      <tp>
        <v>25.63</v>
        <stp/>
        <stp>000921.SZ</stp>
        <stp>LastPrice</stp>
        <tr r="C153" s="2"/>
      </tp>
      <tp>
        <v>18.68</v>
        <stp/>
        <stp>2603.HK</stp>
        <stp>5</stp>
        <tr r="G76" s="2"/>
        <tr r="G76" s="2"/>
      </tp>
      <tp>
        <v>25.84</v>
        <stp/>
        <stp>2402.HK</stp>
        <stp>5</stp>
        <tr r="G152" s="2"/>
        <tr r="G152" s="2"/>
      </tp>
      <tp>
        <v>5.68</v>
        <stp/>
        <stp>2202.HK</stp>
        <stp>5</stp>
        <tr r="G38" s="2"/>
        <tr r="G38" s="2"/>
      </tp>
      <tp>
        <v>5.65</v>
        <stp/>
        <stp>0902.HK</stp>
        <stp>5</stp>
        <tr r="G48" s="2"/>
        <tr r="G48" s="2"/>
      </tp>
      <tp>
        <v>36.6</v>
        <stp/>
        <stp>2601.HK</stp>
        <stp>5</stp>
        <tr r="G65" s="2"/>
        <tr r="G65" s="2"/>
      </tp>
      <tp>
        <v>7.17</v>
        <stp/>
        <stp>2600.HK</stp>
        <stp>5</stp>
        <tr r="G87" s="2"/>
        <tr r="G87" s="2"/>
      </tp>
      <tp>
        <v>5.83</v>
        <stp/>
        <stp>1800.HK</stp>
        <stp>5</stp>
        <tr r="G42" s="2"/>
        <tr r="G42" s="2"/>
      </tp>
      <tp>
        <v>84.05</v>
        <stp/>
        <stp>0300.HK</stp>
        <stp>5</stp>
        <tr r="G137" s="2"/>
        <tr r="G137" s="2"/>
      </tp>
      <tp>
        <v>12.74</v>
        <stp/>
        <stp>2607.HK</stp>
        <stp>5</stp>
        <tr r="G89" s="2"/>
        <tr r="G89" s="2"/>
      </tp>
      <tp>
        <v>4.91</v>
        <stp/>
        <stp>0107.HK</stp>
        <stp>5</stp>
        <tr r="G46" s="2"/>
        <tr r="G46" s="2"/>
      </tp>
      <tp>
        <v>69.600000000000009</v>
        <stp/>
        <stp>3606.HK</stp>
        <stp>5</stp>
        <tr r="G138" s="2"/>
        <tr r="G138" s="2"/>
      </tp>
      <tp>
        <v>3.54</v>
        <stp/>
        <stp>6806.HK</stp>
        <stp>5</stp>
        <tr r="G58" s="2"/>
        <tr r="G58" s="2"/>
      </tp>
      <tp>
        <v>181.3</v>
        <stp/>
        <stp>1304.HK</stp>
        <stp>5</stp>
        <tr r="G158" s="2"/>
        <tr r="G158" s="2"/>
      </tp>
      <tp>
        <v>0.88</v>
        <stp/>
        <stp>2009.HK</stp>
        <stp>5</stp>
        <tr r="G91" s="2"/>
        <tr r="G91" s="2"/>
      </tp>
      <tp>
        <v>23.2</v>
        <stp/>
        <stp>3908.HK</stp>
        <stp>5</stp>
        <tr r="G86" s="2"/>
        <tr r="G86" s="2"/>
      </tp>
      <tp>
        <v>9.8800000000000008</v>
        <stp/>
        <stp>2208.HK</stp>
        <stp>5</stp>
        <tr r="G52" s="2"/>
        <tr r="G52" s="2"/>
      </tp>
      <tp>
        <v>4.71</v>
        <stp/>
        <stp>1108.HK</stp>
        <stp>5</stp>
        <tr r="G8" s="2"/>
        <tr r="G8" s="2"/>
      </tp>
      <tp>
        <v>8.2900000000000009</v>
        <stp/>
        <stp>000039.SZ</stp>
        <stp>LastPrice</stp>
        <tr r="C143" s="2"/>
      </tp>
      <tp>
        <v>15.72</v>
        <stp/>
        <stp>000338.SZ</stp>
        <stp>LastPrice</stp>
        <tr r="C135" s="2"/>
      </tp>
      <tp>
        <v>74.03</v>
        <stp/>
        <stp>000333.SZ</stp>
        <stp>LastPrice</stp>
        <tr r="C137" s="2"/>
      </tp>
      <tp>
        <v>2.12</v>
        <stp/>
        <stp>002936.SZ</stp>
        <stp>LastPrice</stp>
        <tr r="C29" s="2"/>
      </tp>
      <tp>
        <v>13.16</v>
        <stp/>
        <stp>001236.SZ</stp>
        <stp>LastPrice</stp>
        <tr r="C10" s="2"/>
      </tp>
      <tp>
        <v>37.78</v>
        <stp/>
        <stp>1513.HK</stp>
        <stp>5</stp>
        <tr r="G126" s="2"/>
        <tr r="G126" s="2"/>
      </tp>
      <tp>
        <v>26</v>
        <stp/>
        <stp>6613.HK</stp>
        <stp>5</stp>
        <tr r="G156" s="2"/>
        <tr r="G156" s="2"/>
      </tp>
      <tp>
        <v>0.97</v>
        <stp/>
        <stp>1812.HK</stp>
        <stp>5</stp>
        <tr r="G61" s="2"/>
        <tr r="G61" s="2"/>
      </tp>
      <tp>
        <v>17.150000000000002</v>
        <stp/>
        <stp>2611.HK</stp>
        <stp>5</stp>
        <tr r="G67" s="2"/>
        <tr r="G67" s="2"/>
      </tp>
      <tp>
        <v>119.2</v>
        <stp/>
        <stp>1211.HK</stp>
        <stp>5</stp>
        <tr r="G161" s="2"/>
        <tr r="G161" s="2"/>
      </tp>
      <tp>
        <v>12.16</v>
        <stp/>
        <stp>0811.HK</stp>
        <stp>5</stp>
        <tr r="G40" s="2"/>
        <tr r="G40" s="2"/>
      </tp>
      <tp>
        <v>16.55</v>
        <stp/>
        <stp>0317.HK</stp>
        <stp>5</stp>
        <tr r="G124" s="2"/>
        <tr r="G124" s="2"/>
      </tp>
      <tp>
        <v>2.88</v>
        <stp/>
        <stp>2016.HK</stp>
        <stp>5</stp>
        <tr r="G112" s="2"/>
        <tr r="G112" s="2"/>
      </tp>
      <tp>
        <v>3.13</v>
        <stp/>
        <stp>1816.HK</stp>
        <stp>5</stp>
        <tr r="G37" s="2"/>
        <tr r="G37" s="2"/>
      </tp>
      <tp>
        <v>6.84</v>
        <stp/>
        <stp>0916.HK</stp>
        <stp>5</stp>
        <tr r="G32" s="2"/>
        <tr r="G32" s="2"/>
      </tp>
      <tp>
        <v>24.2</v>
        <stp/>
        <stp>0914.HK</stp>
        <stp>5</stp>
        <tr r="G154" s="2"/>
        <tr r="G154" s="2"/>
      </tp>
      <tp>
        <v>14.73</v>
        <stp/>
        <stp>1919.HK</stp>
        <stp>5</stp>
        <tr r="G92" s="2"/>
        <tr r="G92" s="2"/>
      </tp>
      <tp>
        <v>7.83</v>
        <stp/>
        <stp>0719.HK</stp>
        <stp>5</stp>
        <tr r="G59" s="2"/>
        <tr r="G59" s="2"/>
      </tp>
      <tp>
        <v>5.87</v>
        <stp/>
        <stp>3618.HK</stp>
        <stp>5</stp>
        <tr r="G69" s="2"/>
        <tr r="G69" s="2"/>
      </tp>
      <tp>
        <v>58.050000000000004</v>
        <stp/>
        <stp>2318.HK</stp>
        <stp>5</stp>
        <tr r="G150" s="2"/>
        <tr r="G150" s="2"/>
      </tp>
      <tp>
        <v>18.18</v>
        <stp/>
        <stp>2218.HK</stp>
        <stp>5</stp>
        <tr r="G122" s="2"/>
        <tr r="G122" s="2"/>
      </tp>
      <tp>
        <v>2.34</v>
        <stp/>
        <stp>1618.HK</stp>
        <stp>5</stp>
        <tr r="G83" s="2"/>
        <tr r="G83" s="2"/>
      </tp>
      <tp>
        <v>3.64</v>
        <stp/>
        <stp>6818.HK</stp>
        <stp>5</stp>
        <tr r="G144" s="2"/>
        <tr r="G144" s="2"/>
      </tp>
      <tp>
        <v>4.95</v>
        <stp/>
        <stp>002948.SZ</stp>
        <stp>LastPrice</stp>
        <tr r="C160" s="2"/>
      </tp>
      <tp>
        <v>7.5600000000000005</v>
        <stp/>
        <stp>1963.HK</stp>
        <stp>5</stp>
        <tr r="G157" s="2"/>
        <tr r="G157" s="2"/>
      </tp>
      <tp>
        <v>35.6</v>
        <stp/>
        <stp>0763.HK</stp>
        <stp>5</stp>
        <tr r="G34" s="2"/>
        <tr r="G34" s="2"/>
      </tp>
      <tp>
        <v>183.4</v>
        <stp/>
        <stp>6160.HK</stp>
        <stp>5</stp>
        <tr r="G155" s="2"/>
        <tr r="G155" s="2"/>
      </tp>
      <tp>
        <v>4.17</v>
        <stp/>
        <stp>3866.HK</stp>
        <stp>5</stp>
        <tr r="G160" s="2"/>
        <tr r="G160" s="2"/>
      </tp>
      <tp>
        <v>1.19</v>
        <stp/>
        <stp>2866.HK</stp>
        <stp>5</stp>
        <tr r="G123" s="2"/>
        <tr r="G123" s="2"/>
      </tp>
      <tp>
        <v>6.3500000000000005</v>
        <stp/>
        <stp>1766.HK</stp>
        <stp>5</stp>
        <tr r="G99" s="2"/>
        <tr r="G99" s="2"/>
      </tp>
      <tp>
        <v>15.01</v>
        <stp/>
        <stp>6066.HK</stp>
        <stp>5</stp>
        <tr r="G73" s="2"/>
        <tr r="G73" s="2"/>
      </tp>
      <tp>
        <v>22.740000000000002</v>
        <stp/>
        <stp>2865.HK</stp>
        <stp>5</stp>
        <tr r="G105" s="2"/>
        <tr r="G105" s="2"/>
      </tp>
      <tp>
        <v>10.43</v>
        <stp/>
        <stp>2465.HK</stp>
        <stp>5</stp>
        <tr r="G36" s="2"/>
        <tr r="G36" s="2"/>
      </tp>
      <tp>
        <v>4.01</v>
        <stp/>
        <stp>1065.HK</stp>
        <stp>5</stp>
        <tr r="G9" s="2"/>
        <tr r="G9" s="2"/>
      </tp>
      <tp>
        <v>10.700000000000001</v>
        <stp/>
        <stp>6865.HK</stp>
        <stp>5</stp>
        <tr r="G47" s="2"/>
        <tr r="G47" s="2"/>
      </tp>
      <tp>
        <v>16.760000000000002</v>
        <stp/>
        <stp>0564.HK</stp>
        <stp>5</stp>
        <tr r="G75" s="2"/>
        <tr r="G75" s="2"/>
      </tp>
      <tp>
        <v>17.27</v>
        <stp/>
        <stp>9969.HK</stp>
        <stp>5</stp>
        <tr r="G111" s="2"/>
        <tr r="G111" s="2"/>
      </tp>
      <tp>
        <v>3.5100000000000002</v>
        <stp/>
        <stp>3969.HK</stp>
        <stp>5</stp>
        <tr r="G43" s="2"/>
        <tr r="G43" s="2"/>
      </tp>
      <tp>
        <v>2.2600000000000002</v>
        <stp/>
        <stp>3369.HK</stp>
        <stp>5</stp>
        <tr r="G66" s="2"/>
        <tr r="G66" s="2"/>
      </tp>
      <tp>
        <v>45.26</v>
        <stp/>
        <stp>6869.HK</stp>
        <stp>5</stp>
        <tr r="G21" s="2"/>
        <tr r="G21" s="2"/>
      </tp>
      <tp>
        <v>48.88</v>
        <stp/>
        <stp>3968.HK</stp>
        <stp>5</stp>
        <tr r="G121" s="2"/>
        <tr r="G121" s="2"/>
      </tp>
      <tp>
        <v>2.5500000000000003</v>
        <stp/>
        <stp>2068.HK</stp>
        <stp>5</stp>
        <tr r="G133" s="2"/>
        <tr r="G133" s="2"/>
      </tp>
      <tp>
        <v>4.29</v>
        <stp/>
        <stp>0568.HK</stp>
        <stp>5</stp>
        <tr r="G25" s="2"/>
        <tr r="G25" s="2"/>
      </tp>
      <tp>
        <v>51.75</v>
        <stp/>
        <stp>0168.HK</stp>
        <stp>5</stp>
        <tr r="G72" s="2"/>
        <tr r="G72" s="2"/>
      </tp>
      <tp>
        <v>30.810000000000002</v>
        <stp/>
        <stp>002050.SZ</stp>
        <stp>LastPrice</stp>
        <tr r="C162" s="2"/>
      </tp>
      <tp>
        <v>49.33</v>
        <stp/>
        <stp>002352.SZ</stp>
        <stp>LastPrice</stp>
        <tr r="C110" s="2"/>
      </tp>
      <tp>
        <v>7.65</v>
        <stp/>
        <stp>000157.SZ</stp>
        <stp>LastPrice</stp>
        <tr r="C104" s="2"/>
      </tp>
      <tp>
        <v>16.55</v>
        <stp/>
        <stp>000756.SZ</stp>
        <stp>LastPrice</stp>
        <tr r="C59" s="2"/>
      </tp>
      <tp>
        <v>30.080000000000002</v>
        <stp/>
        <stp>1772.HK</stp>
        <stp>5</stp>
        <tr r="G97" s="2"/>
        <tr r="G97" s="2"/>
      </tp>
      <tp>
        <v>17.77</v>
        <stp/>
        <stp>1072.HK</stp>
        <stp>5</stp>
        <tr r="G82" s="2"/>
        <tr r="G82" s="2"/>
      </tp>
      <tp>
        <v>9.5400000000000009</v>
        <stp/>
        <stp>1171.HK</stp>
        <stp>5</stp>
        <tr r="G63" s="2"/>
        <tr r="G63" s="2"/>
      </tp>
      <tp>
        <v>4.49</v>
        <stp/>
        <stp>1071.HK</stp>
        <stp>5</stp>
        <tr r="G24" s="2"/>
        <tr r="G24" s="2"/>
      </tp>
      <tp>
        <v>3.17</v>
        <stp/>
        <stp>0670.HK</stp>
        <stp>5</stp>
        <tr r="G149" s="2"/>
        <tr r="G149" s="2"/>
      </tp>
      <tp>
        <v>33.32</v>
        <stp/>
        <stp>1877.HK</stp>
        <stp>5</stp>
        <tr r="G19" s="2"/>
        <tr r="G19" s="2"/>
      </tp>
      <tp>
        <v>9.74</v>
        <stp/>
        <stp>0177.HK</stp>
        <stp>5</stp>
        <tr r="G74" s="2"/>
        <tr r="G74" s="2"/>
      </tp>
      <tp>
        <v>19.27</v>
        <stp/>
        <stp>1776.HK</stp>
        <stp>5</stp>
        <tr r="G20" s="2"/>
        <tr r="G20" s="2"/>
      </tp>
      <tp>
        <v>76.900000000000006</v>
        <stp/>
        <stp>1276.HK</stp>
        <stp>5</stp>
        <tr r="G151" s="2"/>
        <tr r="G151" s="2"/>
      </tp>
      <tp>
        <v>2.96</v>
        <stp/>
        <stp>1375.HK</stp>
        <stp>5</stp>
        <tr r="G13" s="2"/>
        <tr r="G13" s="2"/>
      </tp>
      <tp>
        <v>18.830000000000002</v>
        <stp/>
        <stp>0874.HK</stp>
        <stp>5</stp>
        <tr r="G14" s="2"/>
        <tr r="G14" s="2"/>
      </tp>
      <tp>
        <v>4.58</v>
        <stp/>
        <stp>3678.HK</stp>
        <stp>5</stp>
        <tr r="G10" s="2"/>
        <tr r="G10" s="2"/>
      </tp>
      <tp>
        <v>11.48</v>
        <stp/>
        <stp>6178.HK</stp>
        <stp>5</stp>
        <tr r="G116" s="2"/>
        <tr r="G116" s="2"/>
      </tp>
      <tp>
        <v>30.830000000000002</v>
        <stp/>
        <stp>300759.SZ</stp>
        <stp>LastPrice</stp>
        <tr r="C15" s="2"/>
      </tp>
      <tp>
        <v>39.29</v>
        <stp/>
        <stp>002460.SZ</stp>
        <stp>LastPrice</stp>
        <tr r="C97" s="2"/>
      </tp>
      <tp>
        <v>45.42</v>
        <stp/>
        <stp>000063.SZ</stp>
        <stp>LastPrice</stp>
        <tr r="C34" s="2"/>
      </tp>
      <tp>
        <v>47.88</v>
        <stp/>
        <stp>002865.SZ</stp>
        <stp>LastPrice</stp>
        <tr r="C105" s="2"/>
      </tp>
      <tp>
        <v>44.12</v>
        <stp/>
        <stp>002466.SZ</stp>
        <stp>LastPrice</stp>
        <tr r="C84" s="2"/>
      </tp>
      <tp>
        <v>5.67</v>
        <stp/>
        <stp>000166.SZ</stp>
        <stp>LastPrice</stp>
        <tr r="C58" s="2"/>
      </tp>
      <tp>
        <v>90.25</v>
        <stp/>
        <stp>0941.HK</stp>
        <stp>5</stp>
        <tr r="G146" s="2"/>
        <tr r="G146" s="2"/>
      </tp>
      <tp>
        <v>51.45</v>
        <stp/>
        <stp>3347.HK</stp>
        <stp>5</stp>
        <tr r="G22" s="2"/>
        <tr r="G22" s="2"/>
      </tp>
      <tp>
        <v>53.2</v>
        <stp/>
        <stp>1347.HK</stp>
        <stp>5</stp>
        <tr r="G117" s="2"/>
        <tr r="G117" s="2"/>
      </tp>
      <tp>
        <v>2.29</v>
        <stp/>
        <stp>0347.HK</stp>
        <stp>5</stp>
        <tr r="G139" s="2"/>
        <tr r="G139" s="2"/>
      </tp>
      <tp>
        <v>3.9</v>
        <stp/>
        <stp>1349.HK</stp>
        <stp>5</stp>
        <tr r="G80" s="2"/>
        <tr r="G80" s="2"/>
      </tp>
      <tp>
        <v>60.65</v>
        <stp/>
        <stp>2648.HK</stp>
        <stp>5</stp>
        <tr r="G148" s="2"/>
        <tr r="G148" s="2"/>
      </tp>
      <tp>
        <v>7.08</v>
        <stp/>
        <stp>0548.HK</stp>
        <stp>5</stp>
        <tr r="G56" s="2"/>
        <tr r="G56" s="2"/>
      </tp>
      <tp>
        <v>37.19</v>
        <stp/>
        <stp>300748.SZ</stp>
        <stp>LastPrice</stp>
        <tr r="C120" s="2"/>
      </tp>
      <tp>
        <v>4.8500000000000005</v>
        <stp/>
        <stp>002672.SZ</stp>
        <stp>LastPrice</stp>
        <tr r="C62" s="2"/>
      </tp>
      <tp>
        <v>66.09</v>
        <stp/>
        <stp>300347.SZ</stp>
        <stp>LastPrice</stp>
        <tr r="C22" s="2"/>
      </tp>
      <tp>
        <v>22.03</v>
        <stp/>
        <stp>000776.SZ</stp>
        <stp>LastPrice</stp>
        <tr r="C20" s="2"/>
      </tp>
      <tp>
        <v>1.3900000000000001</v>
        <stp/>
        <stp>1053.HK</stp>
        <stp>5</stp>
        <tr r="G96" s="2"/>
        <tr r="G96" s="2"/>
      </tp>
      <tp>
        <v>5.3100000000000005</v>
        <stp/>
        <stp>0753.HK</stp>
        <stp>5</stp>
        <tr r="G129" s="2"/>
        <tr r="G129" s="2"/>
      </tp>
      <tp>
        <v>5.83</v>
        <stp/>
        <stp>0553.HK</stp>
        <stp>5</stp>
        <tr r="G51" s="2"/>
        <tr r="G51" s="2"/>
      </tp>
      <tp>
        <v>29.86</v>
        <stp/>
        <stp>2050.HK</stp>
        <stp>5</stp>
        <tr r="G162" s="2"/>
        <tr r="G162" s="2"/>
      </tp>
      <tp>
        <v>6.62</v>
        <stp/>
        <stp>1157.HK</stp>
        <stp>5</stp>
        <tr r="G104" s="2"/>
        <tr r="G104" s="2"/>
      </tp>
      <tp>
        <v>5.57</v>
        <stp/>
        <stp>1057.HK</stp>
        <stp>5</stp>
        <tr r="G23" s="2"/>
        <tr r="G23" s="2"/>
      </tp>
      <tp>
        <v>7.48</v>
        <stp/>
        <stp>0857.HK</stp>
        <stp>5</stp>
        <tr r="G95" s="2"/>
        <tr r="G95" s="2"/>
      </tp>
      <tp>
        <v>6.84</v>
        <stp/>
        <stp>1456.HK</stp>
        <stp>5</stp>
        <tr r="G28" s="2"/>
        <tr r="G28" s="2"/>
      </tp>
      <tp>
        <v>4.28</v>
        <stp/>
        <stp>0956.HK</stp>
        <stp>5</stp>
        <tr r="G11" s="2"/>
        <tr r="G11" s="2"/>
      </tp>
      <tp>
        <v>4.01</v>
        <stp/>
        <stp>1055.HK</stp>
        <stp>5</stp>
        <tr r="G130" s="2"/>
        <tr r="G130" s="2"/>
      </tp>
      <tp>
        <v>13.48</v>
        <stp/>
        <stp>6655.HK</stp>
        <stp>5</stp>
        <tr r="G142" s="2"/>
        <tr r="G142" s="2"/>
      </tp>
      <tp>
        <v>22.1</v>
        <stp/>
        <stp>3759.HK</stp>
        <stp>5</stp>
        <tr r="G15" s="2"/>
        <tr r="G15" s="2"/>
      </tp>
      <tp>
        <v>104.2</v>
        <stp/>
        <stp>2359.HK</stp>
        <stp>5</stp>
        <tr r="G140" s="2"/>
        <tr r="G140" s="2"/>
      </tp>
      <tp>
        <v>8.4600000000000009</v>
        <stp/>
        <stp>3958.HK</stp>
        <stp>5</stp>
        <tr r="G16" s="2"/>
        <tr r="G16" s="2"/>
      </tp>
      <tp>
        <v>16.59</v>
        <stp/>
        <stp>1858.HK</stp>
        <stp>5</stp>
        <tr r="G45" s="2"/>
        <tr r="G45" s="2"/>
      </tp>
      <tp>
        <v>5.63</v>
        <stp/>
        <stp>1658.HK</stp>
        <stp>5</stp>
        <tr r="G106" s="2"/>
        <tr r="G106" s="2"/>
      </tp>
      <tp>
        <v>21.54</v>
        <stp/>
        <stp>0358.HK</stp>
        <stp>5</stp>
        <tr r="G125" s="2"/>
        <tr r="G125" s="2"/>
      </tp>
      <tp>
        <v>16.96</v>
        <stp/>
        <stp>001289.SZ</stp>
        <stp>LastPrice</stp>
        <tr r="C32" s="2"/>
      </tp>
      <tp>
        <v>2.35</v>
        <stp/>
        <stp>000488.SZ</stp>
        <stp>LastPrice</stp>
        <tr r="C61" s="2"/>
      </tp>
      <tp>
        <v>13.41</v>
        <stp/>
        <stp>002399.SZ</stp>
        <stp>LastPrice</stp>
        <tr r="C50" s="2"/>
      </tp>
      <tp>
        <v>2.71</v>
        <stp/>
        <stp>000898.SZ</stp>
        <stp>LastPrice</stp>
        <tr r="C139" s="2"/>
      </tp>
      <tp>
        <v>6.2</v>
        <stp/>
        <stp>002490.SZ</stp>
        <stp>LastPrice</stp>
        <tr r="C25" s="2"/>
      </tp>
      <tp>
        <v>113.84</v>
        <stp/>
        <stp>002594.SZ</stp>
        <stp>LastPrice</stp>
        <tr r="C161" s="2"/>
      </tp>
      <tp>
        <v>7.69</v>
        <stp/>
        <stp>2883.HK</stp>
        <stp>5</stp>
        <tr r="G88" s="2"/>
        <tr r="G88" s="2"/>
      </tp>
      <tp>
        <v>18.940000000000001</v>
        <stp/>
        <stp>0883.HK</stp>
        <stp>5</stp>
        <tr r="G127" s="2"/>
        <tr r="G127" s="2"/>
      </tp>
      <tp>
        <v>56.25</v>
        <stp/>
        <stp>0981.HK</stp>
        <stp>5</stp>
        <tr r="G100" s="2"/>
        <tr r="G100" s="2"/>
      </tp>
      <tp>
        <v>12.23</v>
        <stp/>
        <stp>6881.HK</stp>
        <stp>5</stp>
        <tr r="G41" s="2"/>
        <tr r="G41" s="2"/>
      </tp>
      <tp>
        <v>0.88</v>
        <stp/>
        <stp>2880.HK</stp>
        <stp>5</stp>
        <tr r="G132" s="2"/>
        <tr r="G132" s="2"/>
      </tp>
      <tp>
        <v>65.7</v>
        <stp/>
        <stp>1880.HK</stp>
        <stp>5</stp>
        <tr r="G71" s="2"/>
        <tr r="G71" s="2"/>
      </tp>
      <tp>
        <v>22.84</v>
        <stp/>
        <stp>6680.HK</stp>
        <stp>5</stp>
        <tr r="G120" s="2"/>
        <tr r="G120" s="2"/>
      </tp>
      <tp>
        <v>28.7</v>
        <stp/>
        <stp>1787.HK</stp>
        <stp>5</stp>
        <tr r="G35" s="2"/>
        <tr r="G35" s="2"/>
      </tp>
      <tp>
        <v>5.28</v>
        <stp/>
        <stp>0187.HK</stp>
        <stp>5</stp>
        <tr r="G44" s="2"/>
        <tr r="G44" s="2"/>
      </tp>
      <tp>
        <v>5.8500000000000005</v>
        <stp/>
        <stp>1186.HK</stp>
        <stp>5</stp>
        <tr r="G30" s="2"/>
        <tr r="G30" s="2"/>
      </tp>
      <tp>
        <v>4.43</v>
        <stp/>
        <stp>0386.HK</stp>
        <stp>5</stp>
        <tr r="G113" s="2"/>
        <tr r="G113" s="2"/>
      </tp>
      <tp>
        <v>21.06</v>
        <stp/>
        <stp>6886.HK</stp>
        <stp>5</stp>
        <tr r="G27" s="2"/>
        <tr r="G27" s="2"/>
      </tp>
      <tp>
        <v>34.18</v>
        <stp/>
        <stp>1385.HK</stp>
        <stp>5</stp>
        <tr r="G70" s="2"/>
        <tr r="G70" s="2"/>
      </tp>
      <tp>
        <v>49.88</v>
        <stp/>
        <stp>6185.HK</stp>
        <stp>5</stp>
        <tr r="G68" s="2"/>
        <tr r="G68" s="2"/>
      </tp>
      <tp>
        <v>6.5</v>
        <stp/>
        <stp>9989.HK</stp>
        <stp>5</stp>
        <tr r="G50" s="2"/>
        <tr r="G50" s="2"/>
      </tp>
      <tp>
        <v>4.4000000000000004</v>
        <stp/>
        <stp>3988.HK</stp>
        <stp>5</stp>
        <tr r="G109" s="2"/>
        <tr r="G109" s="2"/>
      </tp>
      <tp>
        <v>4.49</v>
        <stp/>
        <stp>1988.HK</stp>
        <stp>5</stp>
        <tr r="G103" s="2"/>
        <tr r="G103" s="2"/>
      </tp>
      <tp>
        <v>5.46</v>
        <stp/>
        <stp>1288.HK</stp>
        <stp>5</stp>
        <tr r="G54" s="2"/>
        <tr r="G54" s="2"/>
      </tp>
      <tp>
        <v>35.78</v>
        <stp/>
        <stp>1088.HK</stp>
        <stp>5</stp>
        <tr r="G7" s="2"/>
        <tr r="G7" s="2"/>
      </tp>
      <tp>
        <v>0.93</v>
        <stp/>
        <stp>0588.HK</stp>
        <stp>5</stp>
        <tr r="G64" s="2"/>
        <tr r="G64" s="2"/>
      </tp>
      <tp>
        <v>11.92</v>
        <stp/>
        <stp>3993.HK</stp>
        <stp>5</stp>
        <tr r="G114" s="2"/>
        <tr r="G114" s="2"/>
      </tp>
      <tp>
        <v>25.1</v>
        <stp/>
        <stp>6693.HK</stp>
        <stp>5</stp>
        <tr r="G57" s="2"/>
        <tr r="G57" s="2"/>
      </tp>
      <tp>
        <v>2.16</v>
        <stp/>
        <stp>0991.HK</stp>
        <stp>5</stp>
        <tr r="G134" s="2"/>
        <tr r="G134" s="2"/>
      </tp>
      <tp>
        <v>4.18</v>
        <stp/>
        <stp>0390.HK</stp>
        <stp>5</stp>
        <tr r="G102" s="2"/>
        <tr r="G102" s="2"/>
      </tp>
      <tp>
        <v>26.38</v>
        <stp/>
        <stp>6690.HK</stp>
        <stp>5</stp>
        <tr r="G145" s="2"/>
        <tr r="G145" s="2"/>
      </tp>
      <tp>
        <v>42.42</v>
        <stp/>
        <stp>9696.HK</stp>
        <stp>5</stp>
        <tr r="G84" s="2"/>
        <tr r="G84" s="2"/>
      </tp>
      <tp>
        <v>1.32</v>
        <stp/>
        <stp>3996.HK</stp>
        <stp>5</stp>
        <tr r="G128" s="2"/>
        <tr r="G128" s="2"/>
      </tp>
      <tp>
        <v>21.04</v>
        <stp/>
        <stp>2196.HK</stp>
        <stp>5</stp>
        <tr r="G12" s="2"/>
        <tr r="G12" s="2"/>
      </tp>
      <tp>
        <v>1.42</v>
        <stp/>
        <stp>6196.HK</stp>
        <stp>5</stp>
        <tr r="G29" s="2"/>
        <tr r="G29" s="2"/>
      </tp>
      <tp>
        <v>90.65</v>
        <stp/>
        <stp>9995.HK</stp>
        <stp>5</stp>
        <tr r="G33" s="2"/>
        <tr r="G33" s="2"/>
      </tp>
      <tp>
        <v>12.32</v>
        <stp/>
        <stp>0995.HK</stp>
        <stp>5</stp>
        <tr r="G79" s="2"/>
        <tr r="G79" s="2"/>
      </tp>
      <tp>
        <v>2.68</v>
        <stp/>
        <stp>0895.HK</stp>
        <stp>5</stp>
        <tr r="G62" s="2"/>
        <tr r="G62" s="2"/>
      </tp>
      <tp>
        <v>24.900000000000002</v>
        <stp/>
        <stp>2899.HK</stp>
        <stp>5</stp>
        <tr r="G118" s="2"/>
        <tr r="G118" s="2"/>
      </tp>
      <tp>
        <v>18.18</v>
        <stp/>
        <stp>6099.HK</stp>
        <stp>5</stp>
        <tr r="G115" s="2"/>
        <tr r="G115" s="2"/>
      </tp>
      <tp>
        <v>40.46</v>
        <stp/>
        <stp>3898.HK</stp>
        <stp>5</stp>
        <tr r="G131" s="2"/>
        <tr r="G131" s="2"/>
      </tp>
      <tp>
        <v>9.67</v>
        <stp/>
        <stp>1898.HK</stp>
        <stp>5</stp>
        <tr r="G85" s="2"/>
        <tr r="G85" s="2"/>
      </tp>
      <tp>
        <v>5.9</v>
        <stp/>
        <stp>1398.HK</stp>
        <stp>5</stp>
        <tr r="G78" s="2"/>
        <tr r="G78" s="2"/>
      </tp>
      <tp>
        <v>7.04</v>
        <stp/>
        <stp>0998.HK</stp>
        <stp>5</stp>
        <tr r="G107" s="2"/>
        <tr r="G107" s="2"/>
      </tp>
      <tp>
        <v>4.68</v>
        <stp/>
        <stp>0598.HK</stp>
        <stp>5</stp>
        <tr r="G81" s="2"/>
        <tr r="G81" s="2"/>
      </tp>
      <tp>
        <v>6.67</v>
        <stp/>
        <stp>6198.HK</stp>
        <stp>5</stp>
        <tr r="G90" s="2"/>
        <tr r="G90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80242436800663"/>
          <c:y val="0.10742863940874246"/>
          <c:w val="0.83124461374787695"/>
          <c:h val="0.60851731452485269"/>
        </c:manualLayout>
      </c:layout>
      <c:lineChart>
        <c:grouping val="standard"/>
        <c:varyColors val="0"/>
        <c:ser>
          <c:idx val="0"/>
          <c:order val="0"/>
          <c:tx>
            <c:strRef>
              <c:f>溢价变动趋势!$C$18</c:f>
              <c:strCache>
                <c:ptCount val="1"/>
                <c:pt idx="0">
                  <c:v> A股价格 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numRef>
              <c:f>溢价变动趋势!$B$19:$B$118</c:f>
              <c:numCache>
                <c:formatCode>m/d/yyyy</c:formatCode>
                <c:ptCount val="100"/>
                <c:pt idx="0">
                  <c:v>45894</c:v>
                </c:pt>
                <c:pt idx="1">
                  <c:v>45887</c:v>
                </c:pt>
                <c:pt idx="2">
                  <c:v>45880</c:v>
                </c:pt>
                <c:pt idx="3">
                  <c:v>45873</c:v>
                </c:pt>
                <c:pt idx="4">
                  <c:v>45866</c:v>
                </c:pt>
                <c:pt idx="5">
                  <c:v>45859</c:v>
                </c:pt>
                <c:pt idx="6">
                  <c:v>45852</c:v>
                </c:pt>
                <c:pt idx="7">
                  <c:v>45845</c:v>
                </c:pt>
                <c:pt idx="8">
                  <c:v>45838</c:v>
                </c:pt>
                <c:pt idx="9">
                  <c:v>45831</c:v>
                </c:pt>
                <c:pt idx="10">
                  <c:v>45824</c:v>
                </c:pt>
                <c:pt idx="11">
                  <c:v>45817</c:v>
                </c:pt>
                <c:pt idx="12">
                  <c:v>45807</c:v>
                </c:pt>
                <c:pt idx="13">
                  <c:v>45800</c:v>
                </c:pt>
                <c:pt idx="14">
                  <c:v>45793</c:v>
                </c:pt>
                <c:pt idx="15">
                  <c:v>45786</c:v>
                </c:pt>
                <c:pt idx="16">
                  <c:v>45777</c:v>
                </c:pt>
                <c:pt idx="17">
                  <c:v>45770</c:v>
                </c:pt>
                <c:pt idx="18">
                  <c:v>45763</c:v>
                </c:pt>
                <c:pt idx="19">
                  <c:v>45756</c:v>
                </c:pt>
                <c:pt idx="20">
                  <c:v>45749</c:v>
                </c:pt>
                <c:pt idx="21">
                  <c:v>45742</c:v>
                </c:pt>
                <c:pt idx="22">
                  <c:v>45735</c:v>
                </c:pt>
                <c:pt idx="23">
                  <c:v>45728</c:v>
                </c:pt>
                <c:pt idx="24">
                  <c:v>45721</c:v>
                </c:pt>
                <c:pt idx="25">
                  <c:v>45714</c:v>
                </c:pt>
                <c:pt idx="26">
                  <c:v>45707</c:v>
                </c:pt>
                <c:pt idx="27">
                  <c:v>45700</c:v>
                </c:pt>
                <c:pt idx="28">
                  <c:v>45693</c:v>
                </c:pt>
                <c:pt idx="29">
                  <c:v>45684</c:v>
                </c:pt>
                <c:pt idx="30">
                  <c:v>45677</c:v>
                </c:pt>
                <c:pt idx="31">
                  <c:v>45670</c:v>
                </c:pt>
                <c:pt idx="32">
                  <c:v>45663</c:v>
                </c:pt>
                <c:pt idx="33">
                  <c:v>45656</c:v>
                </c:pt>
                <c:pt idx="34">
                  <c:v>45649</c:v>
                </c:pt>
                <c:pt idx="35">
                  <c:v>45642</c:v>
                </c:pt>
                <c:pt idx="36">
                  <c:v>45635</c:v>
                </c:pt>
                <c:pt idx="37">
                  <c:v>45628</c:v>
                </c:pt>
                <c:pt idx="38">
                  <c:v>45621</c:v>
                </c:pt>
                <c:pt idx="39">
                  <c:v>45614</c:v>
                </c:pt>
                <c:pt idx="40">
                  <c:v>45607</c:v>
                </c:pt>
                <c:pt idx="41">
                  <c:v>45600</c:v>
                </c:pt>
                <c:pt idx="42">
                  <c:v>45593</c:v>
                </c:pt>
                <c:pt idx="43">
                  <c:v>45586</c:v>
                </c:pt>
                <c:pt idx="44">
                  <c:v>45579</c:v>
                </c:pt>
                <c:pt idx="45">
                  <c:v>45565</c:v>
                </c:pt>
                <c:pt idx="46">
                  <c:v>45558</c:v>
                </c:pt>
                <c:pt idx="47">
                  <c:v>45548</c:v>
                </c:pt>
                <c:pt idx="48">
                  <c:v>45541</c:v>
                </c:pt>
                <c:pt idx="49">
                  <c:v>45534</c:v>
                </c:pt>
                <c:pt idx="50">
                  <c:v>45527</c:v>
                </c:pt>
                <c:pt idx="51">
                  <c:v>45520</c:v>
                </c:pt>
                <c:pt idx="52">
                  <c:v>45513</c:v>
                </c:pt>
                <c:pt idx="53">
                  <c:v>45506</c:v>
                </c:pt>
                <c:pt idx="54">
                  <c:v>45499</c:v>
                </c:pt>
                <c:pt idx="55">
                  <c:v>45492</c:v>
                </c:pt>
                <c:pt idx="56">
                  <c:v>45485</c:v>
                </c:pt>
                <c:pt idx="57">
                  <c:v>45478</c:v>
                </c:pt>
                <c:pt idx="58">
                  <c:v>45471</c:v>
                </c:pt>
                <c:pt idx="59">
                  <c:v>45464</c:v>
                </c:pt>
                <c:pt idx="60">
                  <c:v>45457</c:v>
                </c:pt>
                <c:pt idx="61">
                  <c:v>45450</c:v>
                </c:pt>
                <c:pt idx="62">
                  <c:v>45443</c:v>
                </c:pt>
                <c:pt idx="63">
                  <c:v>45436</c:v>
                </c:pt>
                <c:pt idx="64">
                  <c:v>45429</c:v>
                </c:pt>
                <c:pt idx="65">
                  <c:v>45422</c:v>
                </c:pt>
                <c:pt idx="66">
                  <c:v>45412</c:v>
                </c:pt>
                <c:pt idx="67">
                  <c:v>45405</c:v>
                </c:pt>
                <c:pt idx="68">
                  <c:v>45398</c:v>
                </c:pt>
                <c:pt idx="69">
                  <c:v>45391</c:v>
                </c:pt>
                <c:pt idx="70">
                  <c:v>45384</c:v>
                </c:pt>
                <c:pt idx="71">
                  <c:v>45377</c:v>
                </c:pt>
                <c:pt idx="72">
                  <c:v>45370</c:v>
                </c:pt>
                <c:pt idx="73">
                  <c:v>45363</c:v>
                </c:pt>
                <c:pt idx="74">
                  <c:v>45356</c:v>
                </c:pt>
                <c:pt idx="75">
                  <c:v>45349</c:v>
                </c:pt>
                <c:pt idx="76">
                  <c:v>45342</c:v>
                </c:pt>
                <c:pt idx="77">
                  <c:v>45330</c:v>
                </c:pt>
                <c:pt idx="78">
                  <c:v>45323</c:v>
                </c:pt>
                <c:pt idx="79">
                  <c:v>45316</c:v>
                </c:pt>
                <c:pt idx="80">
                  <c:v>45309</c:v>
                </c:pt>
                <c:pt idx="81">
                  <c:v>45302</c:v>
                </c:pt>
                <c:pt idx="82">
                  <c:v>45295</c:v>
                </c:pt>
                <c:pt idx="83">
                  <c:v>45288</c:v>
                </c:pt>
                <c:pt idx="84">
                  <c:v>45281</c:v>
                </c:pt>
                <c:pt idx="85">
                  <c:v>45274</c:v>
                </c:pt>
                <c:pt idx="86">
                  <c:v>45267</c:v>
                </c:pt>
                <c:pt idx="87">
                  <c:v>45260</c:v>
                </c:pt>
                <c:pt idx="88">
                  <c:v>45253</c:v>
                </c:pt>
                <c:pt idx="89">
                  <c:v>45246</c:v>
                </c:pt>
                <c:pt idx="90">
                  <c:v>45239</c:v>
                </c:pt>
                <c:pt idx="91">
                  <c:v>45232</c:v>
                </c:pt>
                <c:pt idx="92">
                  <c:v>45225</c:v>
                </c:pt>
                <c:pt idx="93">
                  <c:v>45218</c:v>
                </c:pt>
                <c:pt idx="94">
                  <c:v>45211</c:v>
                </c:pt>
                <c:pt idx="95">
                  <c:v>45197</c:v>
                </c:pt>
                <c:pt idx="96">
                  <c:v>45190</c:v>
                </c:pt>
                <c:pt idx="97">
                  <c:v>45183</c:v>
                </c:pt>
                <c:pt idx="98">
                  <c:v>45176</c:v>
                </c:pt>
                <c:pt idx="99">
                  <c:v>45169</c:v>
                </c:pt>
              </c:numCache>
            </c:numRef>
          </c:cat>
          <c:val>
            <c:numRef>
              <c:f>溢价变动趋势!$C$19:$C$118</c:f>
              <c:numCache>
                <c:formatCode>_(* #,##0.00_);_(* \(#,##0.00\);_(* "-"??_);_(@_)</c:formatCode>
                <c:ptCount val="100"/>
                <c:pt idx="0">
                  <c:v>7.67</c:v>
                </c:pt>
                <c:pt idx="1">
                  <c:v>7.47</c:v>
                </c:pt>
                <c:pt idx="2">
                  <c:v>7.38</c:v>
                </c:pt>
                <c:pt idx="3">
                  <c:v>7.4</c:v>
                </c:pt>
                <c:pt idx="4">
                  <c:v>7.3</c:v>
                </c:pt>
                <c:pt idx="5">
                  <c:v>7.59</c:v>
                </c:pt>
                <c:pt idx="6">
                  <c:v>7.63</c:v>
                </c:pt>
                <c:pt idx="7">
                  <c:v>7.65</c:v>
                </c:pt>
                <c:pt idx="8">
                  <c:v>7.75</c:v>
                </c:pt>
                <c:pt idx="9">
                  <c:v>7.86</c:v>
                </c:pt>
                <c:pt idx="10">
                  <c:v>7.75</c:v>
                </c:pt>
                <c:pt idx="11">
                  <c:v>8</c:v>
                </c:pt>
                <c:pt idx="12">
                  <c:v>8.0299999999999994</c:v>
                </c:pt>
                <c:pt idx="13">
                  <c:v>7.92</c:v>
                </c:pt>
                <c:pt idx="14">
                  <c:v>7.82</c:v>
                </c:pt>
                <c:pt idx="15">
                  <c:v>7.81</c:v>
                </c:pt>
                <c:pt idx="16">
                  <c:v>7.69</c:v>
                </c:pt>
                <c:pt idx="17">
                  <c:v>7.76</c:v>
                </c:pt>
                <c:pt idx="18">
                  <c:v>8.1199999999999992</c:v>
                </c:pt>
                <c:pt idx="19">
                  <c:v>8.3000000000000007</c:v>
                </c:pt>
                <c:pt idx="20">
                  <c:v>7.88</c:v>
                </c:pt>
                <c:pt idx="21">
                  <c:v>7.65</c:v>
                </c:pt>
                <c:pt idx="22">
                  <c:v>7.64</c:v>
                </c:pt>
                <c:pt idx="23">
                  <c:v>7.93</c:v>
                </c:pt>
                <c:pt idx="24">
                  <c:v>8.0399999999999991</c:v>
                </c:pt>
                <c:pt idx="25">
                  <c:v>8.06</c:v>
                </c:pt>
                <c:pt idx="26">
                  <c:v>8.06</c:v>
                </c:pt>
                <c:pt idx="27">
                  <c:v>7.74</c:v>
                </c:pt>
                <c:pt idx="28">
                  <c:v>6.97</c:v>
                </c:pt>
                <c:pt idx="29">
                  <c:v>7.06</c:v>
                </c:pt>
                <c:pt idx="30">
                  <c:v>6.87</c:v>
                </c:pt>
                <c:pt idx="31">
                  <c:v>6.83</c:v>
                </c:pt>
                <c:pt idx="32">
                  <c:v>7</c:v>
                </c:pt>
                <c:pt idx="33">
                  <c:v>7.26</c:v>
                </c:pt>
                <c:pt idx="34">
                  <c:v>7.06</c:v>
                </c:pt>
                <c:pt idx="35">
                  <c:v>6.98</c:v>
                </c:pt>
                <c:pt idx="36">
                  <c:v>6.73</c:v>
                </c:pt>
                <c:pt idx="37">
                  <c:v>6.49</c:v>
                </c:pt>
                <c:pt idx="38">
                  <c:v>6.38</c:v>
                </c:pt>
                <c:pt idx="39">
                  <c:v>6.75</c:v>
                </c:pt>
                <c:pt idx="40">
                  <c:v>6.52</c:v>
                </c:pt>
                <c:pt idx="41">
                  <c:v>6.39</c:v>
                </c:pt>
                <c:pt idx="42">
                  <c:v>6.52</c:v>
                </c:pt>
                <c:pt idx="43">
                  <c:v>6.66</c:v>
                </c:pt>
                <c:pt idx="44">
                  <c:v>6.52</c:v>
                </c:pt>
                <c:pt idx="45">
                  <c:v>6.71</c:v>
                </c:pt>
                <c:pt idx="46">
                  <c:v>6.06</c:v>
                </c:pt>
                <c:pt idx="47">
                  <c:v>5.95</c:v>
                </c:pt>
                <c:pt idx="48">
                  <c:v>6.1</c:v>
                </c:pt>
                <c:pt idx="49">
                  <c:v>6.1</c:v>
                </c:pt>
                <c:pt idx="50">
                  <c:v>6.22</c:v>
                </c:pt>
                <c:pt idx="51">
                  <c:v>5.98</c:v>
                </c:pt>
                <c:pt idx="52">
                  <c:v>5.78</c:v>
                </c:pt>
                <c:pt idx="53">
                  <c:v>6.06</c:v>
                </c:pt>
                <c:pt idx="54">
                  <c:v>6.02</c:v>
                </c:pt>
                <c:pt idx="55">
                  <c:v>6.38</c:v>
                </c:pt>
                <c:pt idx="56">
                  <c:v>6.26</c:v>
                </c:pt>
                <c:pt idx="57">
                  <c:v>6.18</c:v>
                </c:pt>
                <c:pt idx="58">
                  <c:v>6.15</c:v>
                </c:pt>
                <c:pt idx="59">
                  <c:v>5.82</c:v>
                </c:pt>
                <c:pt idx="60">
                  <c:v>5.73</c:v>
                </c:pt>
                <c:pt idx="61">
                  <c:v>5.97</c:v>
                </c:pt>
                <c:pt idx="62">
                  <c:v>5.94</c:v>
                </c:pt>
                <c:pt idx="63">
                  <c:v>5.94</c:v>
                </c:pt>
                <c:pt idx="64">
                  <c:v>5.89</c:v>
                </c:pt>
                <c:pt idx="65">
                  <c:v>5.99</c:v>
                </c:pt>
                <c:pt idx="66">
                  <c:v>6</c:v>
                </c:pt>
                <c:pt idx="67">
                  <c:v>6.1</c:v>
                </c:pt>
                <c:pt idx="68">
                  <c:v>6.14</c:v>
                </c:pt>
                <c:pt idx="69">
                  <c:v>5.93</c:v>
                </c:pt>
                <c:pt idx="70">
                  <c:v>6.01</c:v>
                </c:pt>
                <c:pt idx="71">
                  <c:v>5.87</c:v>
                </c:pt>
                <c:pt idx="72">
                  <c:v>5.71</c:v>
                </c:pt>
                <c:pt idx="73">
                  <c:v>5.68</c:v>
                </c:pt>
                <c:pt idx="74">
                  <c:v>5.94</c:v>
                </c:pt>
                <c:pt idx="75">
                  <c:v>5.89</c:v>
                </c:pt>
                <c:pt idx="76">
                  <c:v>6.02</c:v>
                </c:pt>
                <c:pt idx="77">
                  <c:v>5.84</c:v>
                </c:pt>
                <c:pt idx="78">
                  <c:v>5.71</c:v>
                </c:pt>
                <c:pt idx="79">
                  <c:v>5.77</c:v>
                </c:pt>
                <c:pt idx="80">
                  <c:v>5.28</c:v>
                </c:pt>
                <c:pt idx="81">
                  <c:v>5.1100000000000003</c:v>
                </c:pt>
                <c:pt idx="82">
                  <c:v>5.34</c:v>
                </c:pt>
                <c:pt idx="83">
                  <c:v>5.35</c:v>
                </c:pt>
                <c:pt idx="84">
                  <c:v>5.16</c:v>
                </c:pt>
                <c:pt idx="85">
                  <c:v>5.17</c:v>
                </c:pt>
                <c:pt idx="86">
                  <c:v>5.0599999999999996</c:v>
                </c:pt>
                <c:pt idx="87">
                  <c:v>5.19</c:v>
                </c:pt>
                <c:pt idx="88">
                  <c:v>5.18</c:v>
                </c:pt>
                <c:pt idx="89">
                  <c:v>5.13</c:v>
                </c:pt>
                <c:pt idx="90">
                  <c:v>5.26</c:v>
                </c:pt>
                <c:pt idx="91">
                  <c:v>5.33</c:v>
                </c:pt>
                <c:pt idx="92">
                  <c:v>5.42</c:v>
                </c:pt>
                <c:pt idx="93">
                  <c:v>5.97</c:v>
                </c:pt>
                <c:pt idx="94">
                  <c:v>5.9</c:v>
                </c:pt>
                <c:pt idx="95">
                  <c:v>5.79</c:v>
                </c:pt>
                <c:pt idx="96">
                  <c:v>6</c:v>
                </c:pt>
                <c:pt idx="97">
                  <c:v>6.2</c:v>
                </c:pt>
                <c:pt idx="98">
                  <c:v>5.85</c:v>
                </c:pt>
                <c:pt idx="99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3-418B-B877-60AF40C8C119}"/>
            </c:ext>
          </c:extLst>
        </c:ser>
        <c:ser>
          <c:idx val="1"/>
          <c:order val="1"/>
          <c:tx>
            <c:strRef>
              <c:f>溢价变动趋势!$E$18</c:f>
              <c:strCache>
                <c:ptCount val="1"/>
                <c:pt idx="0">
                  <c:v> H股价格 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溢价变动趋势!$B$19:$B$118</c:f>
              <c:numCache>
                <c:formatCode>m/d/yyyy</c:formatCode>
                <c:ptCount val="100"/>
                <c:pt idx="0">
                  <c:v>45894</c:v>
                </c:pt>
                <c:pt idx="1">
                  <c:v>45887</c:v>
                </c:pt>
                <c:pt idx="2">
                  <c:v>45880</c:v>
                </c:pt>
                <c:pt idx="3">
                  <c:v>45873</c:v>
                </c:pt>
                <c:pt idx="4">
                  <c:v>45866</c:v>
                </c:pt>
                <c:pt idx="5">
                  <c:v>45859</c:v>
                </c:pt>
                <c:pt idx="6">
                  <c:v>45852</c:v>
                </c:pt>
                <c:pt idx="7">
                  <c:v>45845</c:v>
                </c:pt>
                <c:pt idx="8">
                  <c:v>45838</c:v>
                </c:pt>
                <c:pt idx="9">
                  <c:v>45831</c:v>
                </c:pt>
                <c:pt idx="10">
                  <c:v>45824</c:v>
                </c:pt>
                <c:pt idx="11">
                  <c:v>45817</c:v>
                </c:pt>
                <c:pt idx="12">
                  <c:v>45807</c:v>
                </c:pt>
                <c:pt idx="13">
                  <c:v>45800</c:v>
                </c:pt>
                <c:pt idx="14">
                  <c:v>45793</c:v>
                </c:pt>
                <c:pt idx="15">
                  <c:v>45786</c:v>
                </c:pt>
                <c:pt idx="16">
                  <c:v>45777</c:v>
                </c:pt>
                <c:pt idx="17">
                  <c:v>45770</c:v>
                </c:pt>
                <c:pt idx="18">
                  <c:v>45763</c:v>
                </c:pt>
                <c:pt idx="19">
                  <c:v>45756</c:v>
                </c:pt>
                <c:pt idx="20">
                  <c:v>45749</c:v>
                </c:pt>
                <c:pt idx="21">
                  <c:v>45742</c:v>
                </c:pt>
                <c:pt idx="22">
                  <c:v>45735</c:v>
                </c:pt>
                <c:pt idx="23">
                  <c:v>45728</c:v>
                </c:pt>
                <c:pt idx="24">
                  <c:v>45721</c:v>
                </c:pt>
                <c:pt idx="25">
                  <c:v>45714</c:v>
                </c:pt>
                <c:pt idx="26">
                  <c:v>45707</c:v>
                </c:pt>
                <c:pt idx="27">
                  <c:v>45700</c:v>
                </c:pt>
                <c:pt idx="28">
                  <c:v>45693</c:v>
                </c:pt>
                <c:pt idx="29">
                  <c:v>45684</c:v>
                </c:pt>
                <c:pt idx="30">
                  <c:v>45677</c:v>
                </c:pt>
                <c:pt idx="31">
                  <c:v>45670</c:v>
                </c:pt>
                <c:pt idx="32">
                  <c:v>45663</c:v>
                </c:pt>
                <c:pt idx="33">
                  <c:v>45656</c:v>
                </c:pt>
                <c:pt idx="34">
                  <c:v>45649</c:v>
                </c:pt>
                <c:pt idx="35">
                  <c:v>45642</c:v>
                </c:pt>
                <c:pt idx="36">
                  <c:v>45635</c:v>
                </c:pt>
                <c:pt idx="37">
                  <c:v>45628</c:v>
                </c:pt>
                <c:pt idx="38">
                  <c:v>45621</c:v>
                </c:pt>
                <c:pt idx="39">
                  <c:v>45614</c:v>
                </c:pt>
                <c:pt idx="40">
                  <c:v>45607</c:v>
                </c:pt>
                <c:pt idx="41">
                  <c:v>45600</c:v>
                </c:pt>
                <c:pt idx="42">
                  <c:v>45593</c:v>
                </c:pt>
                <c:pt idx="43">
                  <c:v>45586</c:v>
                </c:pt>
                <c:pt idx="44">
                  <c:v>45579</c:v>
                </c:pt>
                <c:pt idx="45">
                  <c:v>45565</c:v>
                </c:pt>
                <c:pt idx="46">
                  <c:v>45558</c:v>
                </c:pt>
                <c:pt idx="47">
                  <c:v>45548</c:v>
                </c:pt>
                <c:pt idx="48">
                  <c:v>45541</c:v>
                </c:pt>
                <c:pt idx="49">
                  <c:v>45534</c:v>
                </c:pt>
                <c:pt idx="50">
                  <c:v>45527</c:v>
                </c:pt>
                <c:pt idx="51">
                  <c:v>45520</c:v>
                </c:pt>
                <c:pt idx="52">
                  <c:v>45513</c:v>
                </c:pt>
                <c:pt idx="53">
                  <c:v>45506</c:v>
                </c:pt>
                <c:pt idx="54">
                  <c:v>45499</c:v>
                </c:pt>
                <c:pt idx="55">
                  <c:v>45492</c:v>
                </c:pt>
                <c:pt idx="56">
                  <c:v>45485</c:v>
                </c:pt>
                <c:pt idx="57">
                  <c:v>45478</c:v>
                </c:pt>
                <c:pt idx="58">
                  <c:v>45471</c:v>
                </c:pt>
                <c:pt idx="59">
                  <c:v>45464</c:v>
                </c:pt>
                <c:pt idx="60">
                  <c:v>45457</c:v>
                </c:pt>
                <c:pt idx="61">
                  <c:v>45450</c:v>
                </c:pt>
                <c:pt idx="62">
                  <c:v>45443</c:v>
                </c:pt>
                <c:pt idx="63">
                  <c:v>45436</c:v>
                </c:pt>
                <c:pt idx="64">
                  <c:v>45429</c:v>
                </c:pt>
                <c:pt idx="65">
                  <c:v>45422</c:v>
                </c:pt>
                <c:pt idx="66">
                  <c:v>45412</c:v>
                </c:pt>
                <c:pt idx="67">
                  <c:v>45405</c:v>
                </c:pt>
                <c:pt idx="68">
                  <c:v>45398</c:v>
                </c:pt>
                <c:pt idx="69">
                  <c:v>45391</c:v>
                </c:pt>
                <c:pt idx="70">
                  <c:v>45384</c:v>
                </c:pt>
                <c:pt idx="71">
                  <c:v>45377</c:v>
                </c:pt>
                <c:pt idx="72">
                  <c:v>45370</c:v>
                </c:pt>
                <c:pt idx="73">
                  <c:v>45363</c:v>
                </c:pt>
                <c:pt idx="74">
                  <c:v>45356</c:v>
                </c:pt>
                <c:pt idx="75">
                  <c:v>45349</c:v>
                </c:pt>
                <c:pt idx="76">
                  <c:v>45342</c:v>
                </c:pt>
                <c:pt idx="77">
                  <c:v>45330</c:v>
                </c:pt>
                <c:pt idx="78">
                  <c:v>45323</c:v>
                </c:pt>
                <c:pt idx="79">
                  <c:v>45316</c:v>
                </c:pt>
                <c:pt idx="80">
                  <c:v>45309</c:v>
                </c:pt>
                <c:pt idx="81">
                  <c:v>45302</c:v>
                </c:pt>
                <c:pt idx="82">
                  <c:v>45295</c:v>
                </c:pt>
                <c:pt idx="83">
                  <c:v>45288</c:v>
                </c:pt>
                <c:pt idx="84">
                  <c:v>45281</c:v>
                </c:pt>
                <c:pt idx="85">
                  <c:v>45274</c:v>
                </c:pt>
                <c:pt idx="86">
                  <c:v>45267</c:v>
                </c:pt>
                <c:pt idx="87">
                  <c:v>45260</c:v>
                </c:pt>
                <c:pt idx="88">
                  <c:v>45253</c:v>
                </c:pt>
                <c:pt idx="89">
                  <c:v>45246</c:v>
                </c:pt>
                <c:pt idx="90">
                  <c:v>45239</c:v>
                </c:pt>
                <c:pt idx="91">
                  <c:v>45232</c:v>
                </c:pt>
                <c:pt idx="92">
                  <c:v>45225</c:v>
                </c:pt>
                <c:pt idx="93">
                  <c:v>45218</c:v>
                </c:pt>
                <c:pt idx="94">
                  <c:v>45211</c:v>
                </c:pt>
                <c:pt idx="95">
                  <c:v>45197</c:v>
                </c:pt>
                <c:pt idx="96">
                  <c:v>45190</c:v>
                </c:pt>
                <c:pt idx="97">
                  <c:v>45183</c:v>
                </c:pt>
                <c:pt idx="98">
                  <c:v>45176</c:v>
                </c:pt>
                <c:pt idx="99">
                  <c:v>45169</c:v>
                </c:pt>
              </c:numCache>
            </c:numRef>
          </c:cat>
          <c:val>
            <c:numRef>
              <c:f>溢价变动趋势!$E$19:$E$118</c:f>
              <c:numCache>
                <c:formatCode>_(* #,##0.00_);_(* \(#,##0.00\);_(* "-"??_);_(@_)</c:formatCode>
                <c:ptCount val="100"/>
                <c:pt idx="0">
                  <c:v>5.6734118000000002</c:v>
                </c:pt>
                <c:pt idx="1">
                  <c:v>5.8309120000000005</c:v>
                </c:pt>
                <c:pt idx="2">
                  <c:v>5.6397680000000001</c:v>
                </c:pt>
                <c:pt idx="3">
                  <c:v>5.4298343999999998</c:v>
                </c:pt>
                <c:pt idx="4">
                  <c:v>5.3264835000000001</c:v>
                </c:pt>
                <c:pt idx="5">
                  <c:v>5.230575</c:v>
                </c:pt>
                <c:pt idx="6">
                  <c:v>5.1091392000000004</c:v>
                </c:pt>
                <c:pt idx="7">
                  <c:v>5.0373875999999997</c:v>
                </c:pt>
                <c:pt idx="8">
                  <c:v>5.0886810000000002</c:v>
                </c:pt>
                <c:pt idx="9">
                  <c:v>5.1157119999999994</c:v>
                </c:pt>
                <c:pt idx="10">
                  <c:v>5.2587774999999999</c:v>
                </c:pt>
                <c:pt idx="11">
                  <c:v>5.2925148000000002</c:v>
                </c:pt>
                <c:pt idx="12">
                  <c:v>5.4801916000000004</c:v>
                </c:pt>
                <c:pt idx="13">
                  <c:v>5.3370659999999992</c:v>
                </c:pt>
                <c:pt idx="14">
                  <c:v>5.1878197999999998</c:v>
                </c:pt>
                <c:pt idx="15">
                  <c:v>5.1947839999999994</c:v>
                </c:pt>
                <c:pt idx="16">
                  <c:v>4.9562141999999998</c:v>
                </c:pt>
                <c:pt idx="17">
                  <c:v>5.1308399999999992</c:v>
                </c:pt>
                <c:pt idx="18">
                  <c:v>5.5240217999999999</c:v>
                </c:pt>
                <c:pt idx="19">
                  <c:v>5.3447616</c:v>
                </c:pt>
                <c:pt idx="20">
                  <c:v>5.4806598000000006</c:v>
                </c:pt>
                <c:pt idx="21">
                  <c:v>5.3433593999999998</c:v>
                </c:pt>
                <c:pt idx="22">
                  <c:v>5.6105024000000006</c:v>
                </c:pt>
                <c:pt idx="23">
                  <c:v>5.4161315999999999</c:v>
                </c:pt>
                <c:pt idx="24">
                  <c:v>5.5349400000000006</c:v>
                </c:pt>
                <c:pt idx="25">
                  <c:v>5.6301779999999999</c:v>
                </c:pt>
                <c:pt idx="26">
                  <c:v>5.5970863</c:v>
                </c:pt>
                <c:pt idx="27">
                  <c:v>5.1899843999999993</c:v>
                </c:pt>
                <c:pt idx="28">
                  <c:v>4.4750394</c:v>
                </c:pt>
                <c:pt idx="29">
                  <c:v>4.5291059999999996</c:v>
                </c:pt>
                <c:pt idx="30">
                  <c:v>4.3861499999999998</c:v>
                </c:pt>
                <c:pt idx="31">
                  <c:v>4.3477068000000001</c:v>
                </c:pt>
                <c:pt idx="32">
                  <c:v>4.3985256000000001</c:v>
                </c:pt>
                <c:pt idx="33">
                  <c:v>4.5180992</c:v>
                </c:pt>
                <c:pt idx="34">
                  <c:v>4.4846979999999999</c:v>
                </c:pt>
                <c:pt idx="35">
                  <c:v>4.4650452000000005</c:v>
                </c:pt>
                <c:pt idx="36">
                  <c:v>4.3138190999999999</c:v>
                </c:pt>
                <c:pt idx="37">
                  <c:v>4.1923722000000003</c:v>
                </c:pt>
                <c:pt idx="38">
                  <c:v>4.1029152</c:v>
                </c:pt>
                <c:pt idx="39">
                  <c:v>4.156695</c:v>
                </c:pt>
                <c:pt idx="40">
                  <c:v>3.9975859000000002</c:v>
                </c:pt>
                <c:pt idx="41">
                  <c:v>4.0934024999999998</c:v>
                </c:pt>
                <c:pt idx="42">
                  <c:v>4.2013714000000002</c:v>
                </c:pt>
                <c:pt idx="43">
                  <c:v>4.29392</c:v>
                </c:pt>
                <c:pt idx="44">
                  <c:v>4.32212</c:v>
                </c:pt>
                <c:pt idx="45">
                  <c:v>4.0219833999999999</c:v>
                </c:pt>
                <c:pt idx="46">
                  <c:v>3.9654768000000002</c:v>
                </c:pt>
                <c:pt idx="47">
                  <c:v>3.9523945999999999</c:v>
                </c:pt>
                <c:pt idx="48">
                  <c:v>4.0769344000000007</c:v>
                </c:pt>
                <c:pt idx="49">
                  <c:v>4.3330450000000003</c:v>
                </c:pt>
                <c:pt idx="50">
                  <c:v>4.301628</c:v>
                </c:pt>
                <c:pt idx="51">
                  <c:v>4.0969337999999995</c:v>
                </c:pt>
                <c:pt idx="52">
                  <c:v>3.8771334000000004</c:v>
                </c:pt>
                <c:pt idx="53">
                  <c:v>4.2200465999999999</c:v>
                </c:pt>
                <c:pt idx="54">
                  <c:v>4.1908535999999996</c:v>
                </c:pt>
                <c:pt idx="55">
                  <c:v>4.3646658</c:v>
                </c:pt>
                <c:pt idx="56">
                  <c:v>4.5212805000000005</c:v>
                </c:pt>
                <c:pt idx="57">
                  <c:v>4.3089823999999997</c:v>
                </c:pt>
                <c:pt idx="58">
                  <c:v>4.2257084000000003</c:v>
                </c:pt>
                <c:pt idx="59">
                  <c:v>4.0507008000000004</c:v>
                </c:pt>
                <c:pt idx="60">
                  <c:v>3.9169129999999996</c:v>
                </c:pt>
                <c:pt idx="61">
                  <c:v>3.9965242999999999</c:v>
                </c:pt>
                <c:pt idx="62">
                  <c:v>4.0735296000000005</c:v>
                </c:pt>
                <c:pt idx="63">
                  <c:v>4.0425312</c:v>
                </c:pt>
                <c:pt idx="64">
                  <c:v>4.0611421999999999</c:v>
                </c:pt>
                <c:pt idx="65">
                  <c:v>4.0617548999999995</c:v>
                </c:pt>
                <c:pt idx="66">
                  <c:v>3.9227760000000003</c:v>
                </c:pt>
                <c:pt idx="67">
                  <c:v>3.9811592999999994</c:v>
                </c:pt>
                <c:pt idx="68">
                  <c:v>3.9547380000000003</c:v>
                </c:pt>
                <c:pt idx="69">
                  <c:v>3.7872889999999999</c:v>
                </c:pt>
                <c:pt idx="70">
                  <c:v>3.7448774999999999</c:v>
                </c:pt>
                <c:pt idx="71">
                  <c:v>3.7189459999999994</c:v>
                </c:pt>
                <c:pt idx="72">
                  <c:v>3.5764167999999996</c:v>
                </c:pt>
                <c:pt idx="73">
                  <c:v>3.5657283</c:v>
                </c:pt>
                <c:pt idx="74">
                  <c:v>3.6940541000000007</c:v>
                </c:pt>
                <c:pt idx="75">
                  <c:v>3.9057759999999999</c:v>
                </c:pt>
                <c:pt idx="76">
                  <c:v>3.8252902</c:v>
                </c:pt>
                <c:pt idx="77">
                  <c:v>3.7442148</c:v>
                </c:pt>
                <c:pt idx="78">
                  <c:v>3.6260721</c:v>
                </c:pt>
                <c:pt idx="79">
                  <c:v>3.6346400000000001</c:v>
                </c:pt>
                <c:pt idx="80">
                  <c:v>3.4679001</c:v>
                </c:pt>
                <c:pt idx="81">
                  <c:v>3.4283249000000002</c:v>
                </c:pt>
                <c:pt idx="82">
                  <c:v>3.3650020000000005</c:v>
                </c:pt>
                <c:pt idx="83">
                  <c:v>3.3164264999999999</c:v>
                </c:pt>
                <c:pt idx="84">
                  <c:v>3.1662431999999998</c:v>
                </c:pt>
                <c:pt idx="85">
                  <c:v>3.2418784</c:v>
                </c:pt>
                <c:pt idx="86">
                  <c:v>3.2536265999999996</c:v>
                </c:pt>
                <c:pt idx="87">
                  <c:v>3.2934398000000003</c:v>
                </c:pt>
                <c:pt idx="88">
                  <c:v>3.2969769000000002</c:v>
                </c:pt>
                <c:pt idx="89">
                  <c:v>3.2153100000000001</c:v>
                </c:pt>
                <c:pt idx="90">
                  <c:v>3.1040229999999998</c:v>
                </c:pt>
                <c:pt idx="91">
                  <c:v>3.1573351999999999</c:v>
                </c:pt>
                <c:pt idx="92">
                  <c:v>3.1565439999999998</c:v>
                </c:pt>
                <c:pt idx="93">
                  <c:v>3.4578816999999997</c:v>
                </c:pt>
                <c:pt idx="94">
                  <c:v>3.532683</c:v>
                </c:pt>
                <c:pt idx="95">
                  <c:v>3.5971095999999996</c:v>
                </c:pt>
                <c:pt idx="96">
                  <c:v>3.6952279000000003</c:v>
                </c:pt>
                <c:pt idx="97">
                  <c:v>3.6080151000000003</c:v>
                </c:pt>
                <c:pt idx="98">
                  <c:v>3.4512288</c:v>
                </c:pt>
                <c:pt idx="99">
                  <c:v>3.4326749999999997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13-418B-B877-60AF40C8C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650480"/>
        <c:axId val="1"/>
      </c:lineChart>
      <c:dateAx>
        <c:axId val="975650480"/>
        <c:scaling>
          <c:orientation val="minMax"/>
        </c:scaling>
        <c:delete val="0"/>
        <c:axPos val="b"/>
        <c:numFmt formatCode="m/d/yyyy" sourceLinked="0"/>
        <c:majorTickMark val="in"/>
        <c:minorTickMark val="none"/>
        <c:tickLblPos val="nextTo"/>
        <c:txPr>
          <a:bodyPr rot="-2700000" vert="horz"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bg2"/>
              </a:solidFill>
              <a:prstDash val="sysDash"/>
            </a:ln>
          </c:spPr>
        </c:majorGridlines>
        <c:numFmt formatCode="0.00_);[Red]\(0.00\)" sourceLinked="0"/>
        <c:majorTickMark val="out"/>
        <c:minorTickMark val="none"/>
        <c:tickLblPos val="nextTo"/>
        <c:txPr>
          <a:bodyPr rot="0" vert="horz"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975650480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4068863102638486"/>
          <c:y val="0.89161131062583188"/>
          <c:w val="0.30132891283326424"/>
          <c:h val="5.7945604210917767E-2"/>
        </c:manualLayout>
      </c:layout>
      <c:overlay val="0"/>
      <c:spPr>
        <a:noFill/>
        <a:ln>
          <a:noFill/>
        </a:ln>
        <a:effectLst/>
      </c:spPr>
      <c:txPr>
        <a:bodyPr/>
        <a:lstStyle/>
        <a:p>
          <a:pPr>
            <a:defRPr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Arial" pitchFamily="34" charset="0"/>
          <a:cs typeface="Arial" pitchFamily="34" charset="0"/>
        </a:defRPr>
      </a:pPr>
      <a:endParaRPr lang="zh-CN"/>
    </a:p>
  </c:txPr>
  <c:printSettings>
    <c:headerFooter alignWithMargins="0"/>
    <c:pageMargins b="1" l="0.75000000000000211" r="0.75000000000000211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24711264469206"/>
          <c:y val="0.13725825002211803"/>
          <c:w val="0.82526963664048791"/>
          <c:h val="0.61151900714397511"/>
        </c:manualLayout>
      </c:layout>
      <c:lineChart>
        <c:grouping val="standard"/>
        <c:varyColors val="0"/>
        <c:ser>
          <c:idx val="0"/>
          <c:order val="0"/>
          <c:tx>
            <c:strRef>
              <c:f>溢价变动趋势!$G$18</c:f>
              <c:strCache>
                <c:ptCount val="1"/>
                <c:pt idx="0">
                  <c:v>A-H溢价(%)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numRef>
              <c:f>溢价变动趋势!$B$19:$B$118</c:f>
              <c:numCache>
                <c:formatCode>m/d/yyyy</c:formatCode>
                <c:ptCount val="100"/>
                <c:pt idx="0">
                  <c:v>45894</c:v>
                </c:pt>
                <c:pt idx="1">
                  <c:v>45887</c:v>
                </c:pt>
                <c:pt idx="2">
                  <c:v>45880</c:v>
                </c:pt>
                <c:pt idx="3">
                  <c:v>45873</c:v>
                </c:pt>
                <c:pt idx="4">
                  <c:v>45866</c:v>
                </c:pt>
                <c:pt idx="5">
                  <c:v>45859</c:v>
                </c:pt>
                <c:pt idx="6">
                  <c:v>45852</c:v>
                </c:pt>
                <c:pt idx="7">
                  <c:v>45845</c:v>
                </c:pt>
                <c:pt idx="8">
                  <c:v>45838</c:v>
                </c:pt>
                <c:pt idx="9">
                  <c:v>45831</c:v>
                </c:pt>
                <c:pt idx="10">
                  <c:v>45824</c:v>
                </c:pt>
                <c:pt idx="11">
                  <c:v>45817</c:v>
                </c:pt>
                <c:pt idx="12">
                  <c:v>45807</c:v>
                </c:pt>
                <c:pt idx="13">
                  <c:v>45800</c:v>
                </c:pt>
                <c:pt idx="14">
                  <c:v>45793</c:v>
                </c:pt>
                <c:pt idx="15">
                  <c:v>45786</c:v>
                </c:pt>
                <c:pt idx="16">
                  <c:v>45777</c:v>
                </c:pt>
                <c:pt idx="17">
                  <c:v>45770</c:v>
                </c:pt>
                <c:pt idx="18">
                  <c:v>45763</c:v>
                </c:pt>
                <c:pt idx="19">
                  <c:v>45756</c:v>
                </c:pt>
                <c:pt idx="20">
                  <c:v>45749</c:v>
                </c:pt>
                <c:pt idx="21">
                  <c:v>45742</c:v>
                </c:pt>
                <c:pt idx="22">
                  <c:v>45735</c:v>
                </c:pt>
                <c:pt idx="23">
                  <c:v>45728</c:v>
                </c:pt>
                <c:pt idx="24">
                  <c:v>45721</c:v>
                </c:pt>
                <c:pt idx="25">
                  <c:v>45714</c:v>
                </c:pt>
                <c:pt idx="26">
                  <c:v>45707</c:v>
                </c:pt>
                <c:pt idx="27">
                  <c:v>45700</c:v>
                </c:pt>
                <c:pt idx="28">
                  <c:v>45693</c:v>
                </c:pt>
                <c:pt idx="29">
                  <c:v>45684</c:v>
                </c:pt>
                <c:pt idx="30">
                  <c:v>45677</c:v>
                </c:pt>
                <c:pt idx="31">
                  <c:v>45670</c:v>
                </c:pt>
                <c:pt idx="32">
                  <c:v>45663</c:v>
                </c:pt>
                <c:pt idx="33">
                  <c:v>45656</c:v>
                </c:pt>
                <c:pt idx="34">
                  <c:v>45649</c:v>
                </c:pt>
                <c:pt idx="35">
                  <c:v>45642</c:v>
                </c:pt>
                <c:pt idx="36">
                  <c:v>45635</c:v>
                </c:pt>
                <c:pt idx="37">
                  <c:v>45628</c:v>
                </c:pt>
                <c:pt idx="38">
                  <c:v>45621</c:v>
                </c:pt>
                <c:pt idx="39">
                  <c:v>45614</c:v>
                </c:pt>
                <c:pt idx="40">
                  <c:v>45607</c:v>
                </c:pt>
                <c:pt idx="41">
                  <c:v>45600</c:v>
                </c:pt>
                <c:pt idx="42">
                  <c:v>45593</c:v>
                </c:pt>
                <c:pt idx="43">
                  <c:v>45586</c:v>
                </c:pt>
                <c:pt idx="44">
                  <c:v>45579</c:v>
                </c:pt>
                <c:pt idx="45">
                  <c:v>45565</c:v>
                </c:pt>
                <c:pt idx="46">
                  <c:v>45558</c:v>
                </c:pt>
                <c:pt idx="47">
                  <c:v>45548</c:v>
                </c:pt>
                <c:pt idx="48">
                  <c:v>45541</c:v>
                </c:pt>
                <c:pt idx="49">
                  <c:v>45534</c:v>
                </c:pt>
                <c:pt idx="50">
                  <c:v>45527</c:v>
                </c:pt>
                <c:pt idx="51">
                  <c:v>45520</c:v>
                </c:pt>
                <c:pt idx="52">
                  <c:v>45513</c:v>
                </c:pt>
                <c:pt idx="53">
                  <c:v>45506</c:v>
                </c:pt>
                <c:pt idx="54">
                  <c:v>45499</c:v>
                </c:pt>
                <c:pt idx="55">
                  <c:v>45492</c:v>
                </c:pt>
                <c:pt idx="56">
                  <c:v>45485</c:v>
                </c:pt>
                <c:pt idx="57">
                  <c:v>45478</c:v>
                </c:pt>
                <c:pt idx="58">
                  <c:v>45471</c:v>
                </c:pt>
                <c:pt idx="59">
                  <c:v>45464</c:v>
                </c:pt>
                <c:pt idx="60">
                  <c:v>45457</c:v>
                </c:pt>
                <c:pt idx="61">
                  <c:v>45450</c:v>
                </c:pt>
                <c:pt idx="62">
                  <c:v>45443</c:v>
                </c:pt>
                <c:pt idx="63">
                  <c:v>45436</c:v>
                </c:pt>
                <c:pt idx="64">
                  <c:v>45429</c:v>
                </c:pt>
                <c:pt idx="65">
                  <c:v>45422</c:v>
                </c:pt>
                <c:pt idx="66">
                  <c:v>45412</c:v>
                </c:pt>
                <c:pt idx="67">
                  <c:v>45405</c:v>
                </c:pt>
                <c:pt idx="68">
                  <c:v>45398</c:v>
                </c:pt>
                <c:pt idx="69">
                  <c:v>45391</c:v>
                </c:pt>
                <c:pt idx="70">
                  <c:v>45384</c:v>
                </c:pt>
                <c:pt idx="71">
                  <c:v>45377</c:v>
                </c:pt>
                <c:pt idx="72">
                  <c:v>45370</c:v>
                </c:pt>
                <c:pt idx="73">
                  <c:v>45363</c:v>
                </c:pt>
                <c:pt idx="74">
                  <c:v>45356</c:v>
                </c:pt>
                <c:pt idx="75">
                  <c:v>45349</c:v>
                </c:pt>
                <c:pt idx="76">
                  <c:v>45342</c:v>
                </c:pt>
                <c:pt idx="77">
                  <c:v>45330</c:v>
                </c:pt>
                <c:pt idx="78">
                  <c:v>45323</c:v>
                </c:pt>
                <c:pt idx="79">
                  <c:v>45316</c:v>
                </c:pt>
                <c:pt idx="80">
                  <c:v>45309</c:v>
                </c:pt>
                <c:pt idx="81">
                  <c:v>45302</c:v>
                </c:pt>
                <c:pt idx="82">
                  <c:v>45295</c:v>
                </c:pt>
                <c:pt idx="83">
                  <c:v>45288</c:v>
                </c:pt>
                <c:pt idx="84">
                  <c:v>45281</c:v>
                </c:pt>
                <c:pt idx="85">
                  <c:v>45274</c:v>
                </c:pt>
                <c:pt idx="86">
                  <c:v>45267</c:v>
                </c:pt>
                <c:pt idx="87">
                  <c:v>45260</c:v>
                </c:pt>
                <c:pt idx="88">
                  <c:v>45253</c:v>
                </c:pt>
                <c:pt idx="89">
                  <c:v>45246</c:v>
                </c:pt>
                <c:pt idx="90">
                  <c:v>45239</c:v>
                </c:pt>
                <c:pt idx="91">
                  <c:v>45232</c:v>
                </c:pt>
                <c:pt idx="92">
                  <c:v>45225</c:v>
                </c:pt>
                <c:pt idx="93">
                  <c:v>45218</c:v>
                </c:pt>
                <c:pt idx="94">
                  <c:v>45211</c:v>
                </c:pt>
                <c:pt idx="95">
                  <c:v>45197</c:v>
                </c:pt>
                <c:pt idx="96">
                  <c:v>45190</c:v>
                </c:pt>
                <c:pt idx="97">
                  <c:v>45183</c:v>
                </c:pt>
                <c:pt idx="98">
                  <c:v>45176</c:v>
                </c:pt>
                <c:pt idx="99">
                  <c:v>45169</c:v>
                </c:pt>
              </c:numCache>
            </c:numRef>
          </c:cat>
          <c:val>
            <c:numRef>
              <c:f>溢价变动趋势!$G$19:$G$118</c:f>
              <c:numCache>
                <c:formatCode>0.00_);[Red]\(0.00\)</c:formatCode>
                <c:ptCount val="100"/>
                <c:pt idx="0">
                  <c:v>35.192019729644855</c:v>
                </c:pt>
                <c:pt idx="1">
                  <c:v>28.110319620669966</c:v>
                </c:pt>
                <c:pt idx="2">
                  <c:v>30.856446577235097</c:v>
                </c:pt>
                <c:pt idx="3">
                  <c:v>36.284082623219604</c:v>
                </c:pt>
                <c:pt idx="4">
                  <c:v>37.051020621766682</c:v>
                </c:pt>
                <c:pt idx="5">
                  <c:v>45.108329390172194</c:v>
                </c:pt>
                <c:pt idx="6">
                  <c:v>49.340225453242681</c:v>
                </c:pt>
                <c:pt idx="7">
                  <c:v>51.864430682284613</c:v>
                </c:pt>
                <c:pt idx="8">
                  <c:v>52.298798057885712</c:v>
                </c:pt>
                <c:pt idx="9">
                  <c:v>53.644302103011299</c:v>
                </c:pt>
                <c:pt idx="10">
                  <c:v>47.372654576087328</c:v>
                </c:pt>
                <c:pt idx="11">
                  <c:v>51.156875366697129</c:v>
                </c:pt>
                <c:pt idx="12">
                  <c:v>46.527723592729828</c:v>
                </c:pt>
                <c:pt idx="13">
                  <c:v>48.396141250642223</c:v>
                </c:pt>
                <c:pt idx="14">
                  <c:v>50.737695245312885</c:v>
                </c:pt>
                <c:pt idx="15">
                  <c:v>50.34311339990267</c:v>
                </c:pt>
                <c:pt idx="16">
                  <c:v>55.158749999142501</c:v>
                </c:pt>
                <c:pt idx="17">
                  <c:v>51.242291710519147</c:v>
                </c:pt>
                <c:pt idx="18">
                  <c:v>46.994351108462304</c:v>
                </c:pt>
                <c:pt idx="19">
                  <c:v>55.292239788581043</c:v>
                </c:pt>
                <c:pt idx="20">
                  <c:v>43.778309319618771</c:v>
                </c:pt>
                <c:pt idx="21">
                  <c:v>43.168359590410496</c:v>
                </c:pt>
                <c:pt idx="22">
                  <c:v>36.173188340495123</c:v>
                </c:pt>
                <c:pt idx="23">
                  <c:v>46.414463045912704</c:v>
                </c:pt>
                <c:pt idx="24">
                  <c:v>45.25902719812678</c:v>
                </c:pt>
                <c:pt idx="25">
                  <c:v>43.157107999072153</c:v>
                </c:pt>
                <c:pt idx="26">
                  <c:v>44.003496962339142</c:v>
                </c:pt>
                <c:pt idx="27">
                  <c:v>49.133396239110105</c:v>
                </c:pt>
                <c:pt idx="28">
                  <c:v>55.752818623228208</c:v>
                </c:pt>
                <c:pt idx="29">
                  <c:v>55.880652826407683</c:v>
                </c:pt>
                <c:pt idx="30">
                  <c:v>56.629390239731904</c:v>
                </c:pt>
                <c:pt idx="31">
                  <c:v>57.094310039490239</c:v>
                </c:pt>
                <c:pt idx="32">
                  <c:v>59.144236877921095</c:v>
                </c:pt>
                <c:pt idx="33">
                  <c:v>60.687042905122567</c:v>
                </c:pt>
                <c:pt idx="34">
                  <c:v>57.424201139073361</c:v>
                </c:pt>
                <c:pt idx="35">
                  <c:v>56.32540517171023</c:v>
                </c:pt>
                <c:pt idx="36">
                  <c:v>56.010250870278732</c:v>
                </c:pt>
                <c:pt idx="37">
                  <c:v>54.804957441517232</c:v>
                </c:pt>
                <c:pt idx="38">
                  <c:v>55.499192379116202</c:v>
                </c:pt>
                <c:pt idx="39">
                  <c:v>62.388628465643968</c:v>
                </c:pt>
                <c:pt idx="40">
                  <c:v>63.098433982369187</c:v>
                </c:pt>
                <c:pt idx="41">
                  <c:v>56.104854091431264</c:v>
                </c:pt>
                <c:pt idx="42">
                  <c:v>55.187422849596189</c:v>
                </c:pt>
                <c:pt idx="43">
                  <c:v>55.103029399709371</c:v>
                </c:pt>
                <c:pt idx="44">
                  <c:v>50.851896754370543</c:v>
                </c:pt>
                <c:pt idx="45">
                  <c:v>66.833110251026895</c:v>
                </c:pt>
                <c:pt idx="46">
                  <c:v>52.818949791863588</c:v>
                </c:pt>
                <c:pt idx="47">
                  <c:v>50.541648852571555</c:v>
                </c:pt>
                <c:pt idx="48">
                  <c:v>49.622225954874288</c:v>
                </c:pt>
                <c:pt idx="49">
                  <c:v>40.778597960556581</c:v>
                </c:pt>
                <c:pt idx="50">
                  <c:v>44.59641791433382</c:v>
                </c:pt>
                <c:pt idx="51">
                  <c:v>45.962817363561051</c:v>
                </c:pt>
                <c:pt idx="52">
                  <c:v>49.079214039939913</c:v>
                </c:pt>
                <c:pt idx="53">
                  <c:v>43.600310006055373</c:v>
                </c:pt>
                <c:pt idx="54">
                  <c:v>43.646153614146769</c:v>
                </c:pt>
                <c:pt idx="55">
                  <c:v>46.173849095158673</c:v>
                </c:pt>
                <c:pt idx="56">
                  <c:v>38.456351027103921</c:v>
                </c:pt>
                <c:pt idx="57">
                  <c:v>43.421333073906276</c:v>
                </c:pt>
                <c:pt idx="58">
                  <c:v>45.537728064719275</c:v>
                </c:pt>
                <c:pt idx="59">
                  <c:v>43.678841942609026</c:v>
                </c:pt>
                <c:pt idx="60">
                  <c:v>46.288671716732054</c:v>
                </c:pt>
                <c:pt idx="61">
                  <c:v>49.379799842578208</c:v>
                </c:pt>
                <c:pt idx="62">
                  <c:v>45.819487846608496</c:v>
                </c:pt>
                <c:pt idx="63">
                  <c:v>46.937641446032629</c:v>
                </c:pt>
                <c:pt idx="64">
                  <c:v>45.033089459413645</c:v>
                </c:pt>
                <c:pt idx="65">
                  <c:v>47.473201792653732</c:v>
                </c:pt>
                <c:pt idx="66">
                  <c:v>52.952908858420656</c:v>
                </c:pt>
                <c:pt idx="67">
                  <c:v>53.221701025628398</c:v>
                </c:pt>
                <c:pt idx="68">
                  <c:v>55.256808415627013</c:v>
                </c:pt>
                <c:pt idx="69">
                  <c:v>56.576379568604352</c:v>
                </c:pt>
                <c:pt idx="70">
                  <c:v>60.485890392943432</c:v>
                </c:pt>
                <c:pt idx="71">
                  <c:v>57.840420377171412</c:v>
                </c:pt>
                <c:pt idx="72">
                  <c:v>59.657006420504466</c:v>
                </c:pt>
                <c:pt idx="73">
                  <c:v>59.294245722535834</c:v>
                </c:pt>
                <c:pt idx="74">
                  <c:v>60.79894444426246</c:v>
                </c:pt>
                <c:pt idx="75">
                  <c:v>50.802298954164286</c:v>
                </c:pt>
                <c:pt idx="76">
                  <c:v>57.373681086993081</c:v>
                </c:pt>
                <c:pt idx="77">
                  <c:v>55.973957477012263</c:v>
                </c:pt>
                <c:pt idx="78">
                  <c:v>57.470669157405887</c:v>
                </c:pt>
                <c:pt idx="79">
                  <c:v>58.750247617370619</c:v>
                </c:pt>
                <c:pt idx="80">
                  <c:v>52.253520797787687</c:v>
                </c:pt>
                <c:pt idx="81">
                  <c:v>49.052384154138949</c:v>
                </c:pt>
                <c:pt idx="82">
                  <c:v>58.692327671722012</c:v>
                </c:pt>
                <c:pt idx="83">
                  <c:v>61.318214047559927</c:v>
                </c:pt>
                <c:pt idx="84">
                  <c:v>62.96916168663229</c:v>
                </c:pt>
                <c:pt idx="85">
                  <c:v>59.475444853206085</c:v>
                </c:pt>
                <c:pt idx="86">
                  <c:v>55.518767888116002</c:v>
                </c:pt>
                <c:pt idx="87">
                  <c:v>57.585998687451337</c:v>
                </c:pt>
                <c:pt idx="88">
                  <c:v>57.113627335393204</c:v>
                </c:pt>
                <c:pt idx="89">
                  <c:v>59.549157001968702</c:v>
                </c:pt>
                <c:pt idx="90">
                  <c:v>69.457507241408976</c:v>
                </c:pt>
                <c:pt idx="91">
                  <c:v>68.813244789466779</c:v>
                </c:pt>
                <c:pt idx="92">
                  <c:v>71.706778045862833</c:v>
                </c:pt>
                <c:pt idx="93">
                  <c:v>72.6490527423191</c:v>
                </c:pt>
                <c:pt idx="94">
                  <c:v>67.011871713369132</c:v>
                </c:pt>
                <c:pt idx="95">
                  <c:v>60.96256839102152</c:v>
                </c:pt>
                <c:pt idx="96">
                  <c:v>62.371582007161173</c:v>
                </c:pt>
                <c:pt idx="97">
                  <c:v>71.839635593542823</c:v>
                </c:pt>
                <c:pt idx="98">
                  <c:v>69.504844187670201</c:v>
                </c:pt>
                <c:pt idx="99">
                  <c:v>67.799165373943055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9F-471D-A4FF-2D5F443E5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645904"/>
        <c:axId val="1"/>
      </c:lineChart>
      <c:dateAx>
        <c:axId val="975645904"/>
        <c:scaling>
          <c:orientation val="minMax"/>
        </c:scaling>
        <c:delete val="0"/>
        <c:axPos val="b"/>
        <c:numFmt formatCode="m/d/yyyy" sourceLinked="0"/>
        <c:majorTickMark val="out"/>
        <c:minorTickMark val="out"/>
        <c:tickLblPos val="low"/>
        <c:txPr>
          <a:bodyPr rot="-2700000" vert="horz"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6350">
              <a:solidFill>
                <a:schemeClr val="bg2"/>
              </a:solidFill>
              <a:prstDash val="sysDash"/>
            </a:ln>
          </c:spPr>
        </c:majorGridlines>
        <c:numFmt formatCode="0.00_);[Red]\(0.00\)" sourceLinked="1"/>
        <c:majorTickMark val="in"/>
        <c:minorTickMark val="none"/>
        <c:tickLblPos val="nextTo"/>
        <c:txPr>
          <a:bodyPr rot="0" vert="horz"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975645904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>
              <a:latin typeface="Arial" panose="020B0604020202020204" pitchFamily="34" charset="0"/>
              <a:ea typeface="微软雅黑" panose="020B0503020204020204" pitchFamily="34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 sz="900">
          <a:latin typeface="Arial" pitchFamily="34" charset="0"/>
          <a:cs typeface="Arial" pitchFamily="34" charset="0"/>
        </a:defRPr>
      </a:pPr>
      <a:endParaRPr lang="zh-CN"/>
    </a:p>
  </c:txPr>
  <c:printSettings>
    <c:headerFooter alignWithMargins="0"/>
    <c:pageMargins b="1" l="0.75000000000000211" r="0.75000000000000211" t="1" header="0.5" footer="0.5"/>
    <c:pageSetup/>
  </c:printSettings>
</c:chartSpace>
</file>

<file path=xl/ctrlProps/ctrlProp1.xml><?xml version="1.0" encoding="utf-8"?>
<formControlPr xmlns="http://schemas.microsoft.com/office/spreadsheetml/2009/9/main" objectType="List" dx="22" fmlaLink="$A$5" fmlaRange="公司名单!$B$2:$B$162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85725</xdr:rowOff>
    </xdr:from>
    <xdr:to>
      <xdr:col>1</xdr:col>
      <xdr:colOff>741046</xdr:colOff>
      <xdr:row>0</xdr:row>
      <xdr:rowOff>305325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85725"/>
          <a:ext cx="636271" cy="21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4</xdr:row>
          <xdr:rowOff>19050</xdr:rowOff>
        </xdr:from>
        <xdr:to>
          <xdr:col>3</xdr:col>
          <xdr:colOff>561975</xdr:colOff>
          <xdr:row>14</xdr:row>
          <xdr:rowOff>28575</xdr:rowOff>
        </xdr:to>
        <xdr:sp macro="" textlink="">
          <xdr:nvSpPr>
            <xdr:cNvPr id="1160" name="List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1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66675</xdr:colOff>
      <xdr:row>4</xdr:row>
      <xdr:rowOff>28575</xdr:rowOff>
    </xdr:from>
    <xdr:to>
      <xdr:col>18</xdr:col>
      <xdr:colOff>161925</xdr:colOff>
      <xdr:row>20</xdr:row>
      <xdr:rowOff>85725</xdr:rowOff>
    </xdr:to>
    <xdr:graphicFrame macro="">
      <xdr:nvGraphicFramePr>
        <xdr:cNvPr id="1337" name="Chart 11">
          <a:extLst>
            <a:ext uri="{FF2B5EF4-FFF2-40B4-BE49-F238E27FC236}">
              <a16:creationId xmlns:a16="http://schemas.microsoft.com/office/drawing/2014/main" id="{00000000-0008-0000-0100-000039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104775</xdr:colOff>
      <xdr:row>22</xdr:row>
      <xdr:rowOff>19050</xdr:rowOff>
    </xdr:from>
    <xdr:to>
      <xdr:col>18</xdr:col>
      <xdr:colOff>190500</xdr:colOff>
      <xdr:row>39</xdr:row>
      <xdr:rowOff>171450</xdr:rowOff>
    </xdr:to>
    <xdr:graphicFrame macro="">
      <xdr:nvGraphicFramePr>
        <xdr:cNvPr id="1338" name="Chart 21">
          <a:extLst>
            <a:ext uri="{FF2B5EF4-FFF2-40B4-BE49-F238E27FC236}">
              <a16:creationId xmlns:a16="http://schemas.microsoft.com/office/drawing/2014/main" id="{00000000-0008-0000-0100-00003A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104775</xdr:colOff>
      <xdr:row>0</xdr:row>
      <xdr:rowOff>85725</xdr:rowOff>
    </xdr:from>
    <xdr:to>
      <xdr:col>1</xdr:col>
      <xdr:colOff>741046</xdr:colOff>
      <xdr:row>0</xdr:row>
      <xdr:rowOff>305325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85725"/>
          <a:ext cx="636271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  <definedName name="s_dq_close"/>
      <definedName name="s_dq_preclose"/>
      <definedName name="t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63636D"/>
  </sheetPr>
  <dimension ref="A1:Q552"/>
  <sheetViews>
    <sheetView showGridLines="0" tabSelected="1" zoomScaleNormal="100" workbookViewId="0">
      <pane ySplit="4" topLeftCell="A5" activePane="bottomLeft" state="frozen"/>
      <selection activeCell="F6" sqref="F6:H88"/>
      <selection pane="bottomLeft" activeCell="Q42" sqref="Q42"/>
    </sheetView>
  </sheetViews>
  <sheetFormatPr defaultRowHeight="14.25" x14ac:dyDescent="0.3"/>
  <cols>
    <col min="1" max="1" width="1.75" style="143" customWidth="1"/>
    <col min="2" max="2" width="10.625" style="35" customWidth="1"/>
    <col min="3" max="3" width="15.5" style="35" bestFit="1" customWidth="1"/>
    <col min="4" max="4" width="9.25" style="136" bestFit="1" customWidth="1"/>
    <col min="5" max="5" width="11.625" style="136" bestFit="1" customWidth="1"/>
    <col min="6" max="6" width="8" style="136" bestFit="1" customWidth="1"/>
    <col min="7" max="7" width="15.5" style="35" bestFit="1" customWidth="1"/>
    <col min="8" max="8" width="10.625" style="35" customWidth="1"/>
    <col min="9" max="9" width="14.375" style="35" bestFit="1" customWidth="1"/>
    <col min="10" max="10" width="9.5" style="35" bestFit="1" customWidth="1"/>
    <col min="11" max="11" width="8" style="36" bestFit="1" customWidth="1"/>
    <col min="12" max="12" width="1.875" style="35" customWidth="1"/>
    <col min="13" max="13" width="3.375" style="35" customWidth="1"/>
    <col min="14" max="14" width="16" style="35" customWidth="1"/>
    <col min="15" max="15" width="9.375" style="35" bestFit="1" customWidth="1"/>
    <col min="16" max="16" width="12.25" style="35" bestFit="1" customWidth="1"/>
    <col min="17" max="17" width="12.375" style="35" bestFit="1" customWidth="1"/>
    <col min="18" max="18" width="3.75" style="35" customWidth="1"/>
    <col min="19" max="19" width="9" style="35" customWidth="1"/>
    <col min="20" max="16384" width="9" style="35"/>
  </cols>
  <sheetData>
    <row r="1" spans="1:17" s="8" customFormat="1" ht="27.75" customHeight="1" x14ac:dyDescent="0.3">
      <c r="A1" s="142"/>
      <c r="B1" s="5"/>
      <c r="C1" s="6"/>
      <c r="D1" s="128" t="s">
        <v>528</v>
      </c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6"/>
      <c r="Q1" s="6"/>
    </row>
    <row r="2" spans="1:17" s="10" customFormat="1" ht="14.25" customHeight="1" x14ac:dyDescent="0.3">
      <c r="A2" s="143"/>
      <c r="B2" s="9"/>
      <c r="C2" s="9"/>
      <c r="D2" s="131"/>
      <c r="E2" s="131"/>
      <c r="F2" s="131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11" customFormat="1" ht="7.5" customHeight="1" x14ac:dyDescent="0.3">
      <c r="A3" s="143"/>
      <c r="D3" s="132"/>
      <c r="E3" s="132"/>
      <c r="F3" s="132"/>
      <c r="K3" s="12"/>
    </row>
    <row r="4" spans="1:17" s="13" customFormat="1" ht="18.75" customHeight="1" x14ac:dyDescent="0.3">
      <c r="A4" s="143"/>
      <c r="B4" s="119" t="s">
        <v>164</v>
      </c>
      <c r="C4" s="119" t="s">
        <v>165</v>
      </c>
      <c r="D4" s="137" t="s">
        <v>166</v>
      </c>
      <c r="E4" s="137" t="s">
        <v>1</v>
      </c>
      <c r="F4" s="137" t="s">
        <v>167</v>
      </c>
      <c r="G4" s="119" t="s">
        <v>168</v>
      </c>
      <c r="H4" s="119" t="s">
        <v>169</v>
      </c>
      <c r="I4" s="120" t="s">
        <v>170</v>
      </c>
      <c r="J4" s="119" t="s">
        <v>171</v>
      </c>
      <c r="K4" s="119" t="s">
        <v>7</v>
      </c>
      <c r="M4" s="11"/>
      <c r="N4" s="11"/>
      <c r="O4" s="11"/>
      <c r="P4" s="11"/>
      <c r="Q4" s="11"/>
    </row>
    <row r="5" spans="1:17" s="11" customFormat="1" ht="16.5" customHeight="1" x14ac:dyDescent="0.35">
      <c r="A5" s="143">
        <f>RANK(J5,$J$5:$J$162)+COUNTIF(J$5:J5,J5)-1</f>
        <v>100</v>
      </c>
      <c r="B5" s="108">
        <f>RTD("wdf.rtq",,D5,27)/100</f>
        <v>-1.5600000000000001E-2</v>
      </c>
      <c r="C5" s="109">
        <f>RTD("wdf.rtq",,D5,"LastPrice")</f>
        <v>7.55</v>
      </c>
      <c r="D5" s="140" t="str">
        <f>公司名单!D2</f>
        <v>601728.SH</v>
      </c>
      <c r="E5" s="140" t="str">
        <f>公司名单!C2</f>
        <v>中国电信</v>
      </c>
      <c r="F5" s="140" t="str">
        <f>公司名单!E2</f>
        <v>0728.HK</v>
      </c>
      <c r="G5" s="109">
        <f>IF(RTD("wdf.rtq",,F5,5)=0,[1]!s_dq_preclose(F5),RTD("wdf.rtq",,F5,5))</f>
        <v>6.1400000000000006</v>
      </c>
      <c r="H5" s="108">
        <f>RTD("wdf.rtq",,F5,27)/100</f>
        <v>-1.4400000000000001E-2</v>
      </c>
      <c r="I5" s="111">
        <f t="shared" ref="I5:I35" si="0">C5-G5*HKS_CNY中间价最新</f>
        <v>1.9585475999999993</v>
      </c>
      <c r="J5" s="112">
        <f t="shared" ref="J5:J35" si="1">IF(G5=0,"",(C5/(G5*HKS_CNY中间价最新)-1))</f>
        <v>0.35027528804501662</v>
      </c>
      <c r="K5" s="113">
        <f t="shared" ref="K5:K35" si="2">IF(G5=0,"",C5/(G5*HKS_CNY中间价最新))</f>
        <v>1.3502752880450166</v>
      </c>
      <c r="M5" s="121"/>
      <c r="N5" s="125" t="s">
        <v>324</v>
      </c>
      <c r="O5" s="125"/>
      <c r="P5" s="129">
        <v>45895</v>
      </c>
      <c r="Q5" s="129"/>
    </row>
    <row r="6" spans="1:17" s="11" customFormat="1" ht="16.5" customHeight="1" x14ac:dyDescent="0.35">
      <c r="A6" s="144">
        <f>RANK(J6,$J$5:$J$162)+COUNTIF(J$5:J6,J6)-1</f>
        <v>67</v>
      </c>
      <c r="B6" s="118">
        <f>RTD("wdf.rtq",,D6,27)/100</f>
        <v>2.7999999999999995E-3</v>
      </c>
      <c r="C6" s="114">
        <f>RTD("wdf.rtq",,D6,"LastPrice")</f>
        <v>7.21</v>
      </c>
      <c r="D6" s="141" t="str">
        <f>公司名单!D3</f>
        <v>601330.SH</v>
      </c>
      <c r="E6" s="141" t="str">
        <f>公司名单!C3</f>
        <v>绿色动力</v>
      </c>
      <c r="F6" s="141" t="str">
        <f>公司名单!E3</f>
        <v>1330.HK</v>
      </c>
      <c r="G6" s="114">
        <f>IF(RTD("wdf.rtq",,F6,5)=0,[1]!s_dq_preclose(F6),RTD("wdf.rtq",,F6,5))</f>
        <v>5.1100000000000003</v>
      </c>
      <c r="H6" s="118">
        <f>RTD("wdf.rtq",,F6,27)/100</f>
        <v>1.5900000000000001E-2</v>
      </c>
      <c r="I6" s="115">
        <f t="shared" si="0"/>
        <v>2.5565273999999993</v>
      </c>
      <c r="J6" s="116">
        <f t="shared" si="1"/>
        <v>0.54938056366765742</v>
      </c>
      <c r="K6" s="117">
        <f t="shared" si="2"/>
        <v>1.5493805636676574</v>
      </c>
      <c r="M6" s="18"/>
      <c r="N6" s="126" t="s">
        <v>2</v>
      </c>
      <c r="O6" s="126"/>
      <c r="P6" s="127">
        <f>汇率表!B4</f>
        <v>0.91066000000000003</v>
      </c>
      <c r="Q6" s="127"/>
    </row>
    <row r="7" spans="1:17" s="11" customFormat="1" ht="16.5" customHeight="1" x14ac:dyDescent="0.35">
      <c r="A7" s="143">
        <f>RANK(J7,$J$5:$J$162)+COUNTIF(J$5:J7,J7)-1</f>
        <v>131</v>
      </c>
      <c r="B7" s="108">
        <f>RTD("wdf.rtq",,D7,27)/100</f>
        <v>-5.8999999999999999E-3</v>
      </c>
      <c r="C7" s="109">
        <f>RTD("wdf.rtq",,D7,"LastPrice")</f>
        <v>38.869999999999997</v>
      </c>
      <c r="D7" s="140" t="str">
        <f>公司名单!D4</f>
        <v>601088.SH</v>
      </c>
      <c r="E7" s="140" t="str">
        <f>公司名单!C4</f>
        <v>中国神华</v>
      </c>
      <c r="F7" s="140" t="str">
        <f>公司名单!E4</f>
        <v>1088.HK</v>
      </c>
      <c r="G7" s="109">
        <f>IF(RTD("wdf.rtq",,F7,5)=0,[1]!s_dq_preclose(F7),RTD("wdf.rtq",,F7,5))</f>
        <v>35.78</v>
      </c>
      <c r="H7" s="108">
        <f>RTD("wdf.rtq",,F7,27)/100</f>
        <v>-3.9000000000000003E-3</v>
      </c>
      <c r="I7" s="111">
        <f t="shared" si="0"/>
        <v>6.2865851999999975</v>
      </c>
      <c r="J7" s="112">
        <f t="shared" si="1"/>
        <v>0.19293819382000432</v>
      </c>
      <c r="K7" s="113">
        <f t="shared" si="2"/>
        <v>1.1929381938200043</v>
      </c>
      <c r="M7" s="23"/>
      <c r="N7" s="24"/>
      <c r="O7" s="23"/>
      <c r="P7" s="23"/>
      <c r="Q7" s="25"/>
    </row>
    <row r="8" spans="1:17" s="11" customFormat="1" ht="16.5" customHeight="1" x14ac:dyDescent="0.35">
      <c r="A8" s="143">
        <f>RANK(J8,$J$5:$J$162)+COUNTIF(J$5:J8,J8)-1</f>
        <v>8</v>
      </c>
      <c r="B8" s="118">
        <f>RTD("wdf.rtq",,D8,27)/100</f>
        <v>9.7999999999999997E-3</v>
      </c>
      <c r="C8" s="114">
        <f>RTD("wdf.rtq",,D8,"LastPrice")</f>
        <v>11.33</v>
      </c>
      <c r="D8" s="141" t="str">
        <f>公司名单!D5</f>
        <v>600876.SH</v>
      </c>
      <c r="E8" s="141" t="str">
        <f>公司名单!C5</f>
        <v>凯盛新能</v>
      </c>
      <c r="F8" s="141" t="str">
        <f>公司名单!E5</f>
        <v>1108.HK</v>
      </c>
      <c r="G8" s="114">
        <f>IF(RTD("wdf.rtq",,F8,5)=0,[1]!s_dq_preclose(F8),RTD("wdf.rtq",,F8,5))</f>
        <v>4.71</v>
      </c>
      <c r="H8" s="118">
        <f>RTD("wdf.rtq",,F8,27)/100</f>
        <v>2.1000000000000003E-3</v>
      </c>
      <c r="I8" s="115">
        <f t="shared" si="0"/>
        <v>7.0407913999999998</v>
      </c>
      <c r="J8" s="116">
        <f t="shared" si="1"/>
        <v>1.6415129355098279</v>
      </c>
      <c r="K8" s="117">
        <f t="shared" si="2"/>
        <v>2.6415129355098279</v>
      </c>
      <c r="M8" s="26" t="s">
        <v>172</v>
      </c>
      <c r="N8" s="18"/>
      <c r="O8" s="27"/>
      <c r="P8" s="18"/>
      <c r="Q8" s="18"/>
    </row>
    <row r="9" spans="1:17" s="11" customFormat="1" ht="16.5" customHeight="1" x14ac:dyDescent="0.35">
      <c r="A9" s="143">
        <f>RANK(J9,$J$5:$J$162)+COUNTIF(J$5:J9,J9)-1</f>
        <v>51</v>
      </c>
      <c r="B9" s="108">
        <f>RTD("wdf.rtq",,D9,27)/100</f>
        <v>5.0000000000000001E-3</v>
      </c>
      <c r="C9" s="109">
        <f>RTD("wdf.rtq",,D9,"LastPrice")</f>
        <v>6.09</v>
      </c>
      <c r="D9" s="140" t="str">
        <f>公司名单!D6</f>
        <v>600874.SH</v>
      </c>
      <c r="E9" s="140" t="str">
        <f>公司名单!C6</f>
        <v>创业环保</v>
      </c>
      <c r="F9" s="140" t="str">
        <f>公司名单!E6</f>
        <v>1065.HK</v>
      </c>
      <c r="G9" s="109">
        <f>IF(RTD("wdf.rtq",,F9,5)=0,[1]!s_dq_preclose(F9),RTD("wdf.rtq",,F9,5))</f>
        <v>4.01</v>
      </c>
      <c r="H9" s="108">
        <f>RTD("wdf.rtq",,F9,27)/100</f>
        <v>2.5000000000000001E-3</v>
      </c>
      <c r="I9" s="111">
        <f t="shared" si="0"/>
        <v>2.4382533999999998</v>
      </c>
      <c r="J9" s="112">
        <f t="shared" si="1"/>
        <v>0.6676951243002458</v>
      </c>
      <c r="K9" s="113">
        <f t="shared" si="2"/>
        <v>1.6676951243002458</v>
      </c>
      <c r="M9" s="28" t="s">
        <v>3</v>
      </c>
      <c r="N9" s="29" t="s">
        <v>6</v>
      </c>
      <c r="O9" s="29" t="s">
        <v>173</v>
      </c>
      <c r="P9" s="29" t="s">
        <v>174</v>
      </c>
      <c r="Q9" s="29" t="s">
        <v>175</v>
      </c>
    </row>
    <row r="10" spans="1:17" s="11" customFormat="1" ht="16.5" customHeight="1" x14ac:dyDescent="0.35">
      <c r="A10" s="143">
        <f>RANK(J10,$J$5:$J$162)+COUNTIF(J$5:J10,J10)-1</f>
        <v>1</v>
      </c>
      <c r="B10" s="118">
        <f>RTD("wdf.rtq",,D10,27)/100</f>
        <v>1.78E-2</v>
      </c>
      <c r="C10" s="114">
        <f>RTD("wdf.rtq",,D10,"LastPrice")</f>
        <v>13.16</v>
      </c>
      <c r="D10" s="141" t="str">
        <f>公司名单!D7</f>
        <v>001236.SZ</v>
      </c>
      <c r="E10" s="141" t="str">
        <f>公司名单!C7</f>
        <v>弘业期货</v>
      </c>
      <c r="F10" s="141" t="str">
        <f>公司名单!E7</f>
        <v>3678.HK</v>
      </c>
      <c r="G10" s="114">
        <f>IF(RTD("wdf.rtq",,F10,5)=0,[1]!s_dq_preclose(F10),RTD("wdf.rtq",,F10,5))</f>
        <v>4.58</v>
      </c>
      <c r="H10" s="118">
        <f>RTD("wdf.rtq",,F10,27)/100</f>
        <v>6.6E-3</v>
      </c>
      <c r="I10" s="115">
        <f>C10-G10*HKS_CNY中间价最新</f>
        <v>8.9891772000000003</v>
      </c>
      <c r="J10" s="116">
        <f t="shared" si="1"/>
        <v>2.1552527237551309</v>
      </c>
      <c r="K10" s="117">
        <f t="shared" si="2"/>
        <v>3.1552527237551309</v>
      </c>
      <c r="M10" s="4">
        <v>1</v>
      </c>
      <c r="N10" s="31" t="str">
        <f t="shared" ref="N10:N19" si="3">VLOOKUP(M10,gslb,5,FALSE)</f>
        <v>弘业期货</v>
      </c>
      <c r="O10" s="7">
        <f t="shared" ref="O10:O19" si="4">VLOOKUP(M10,gslb,10,FALSE)</f>
        <v>2.1552527237551309</v>
      </c>
      <c r="P10" s="122">
        <f t="shared" ref="P10:P19" si="5">VLOOKUP(M10,gslb,3,FALSE)</f>
        <v>13.16</v>
      </c>
      <c r="Q10" s="122">
        <f t="shared" ref="Q10:Q19" si="6">VLOOKUP(M10,gslb,7,FALSE)</f>
        <v>4.58</v>
      </c>
    </row>
    <row r="11" spans="1:17" s="11" customFormat="1" ht="16.5" customHeight="1" x14ac:dyDescent="0.35">
      <c r="A11" s="143">
        <f>RANK(J11,$J$5:$J$162)+COUNTIF(J$5:J11,J11)-1</f>
        <v>25</v>
      </c>
      <c r="B11" s="108">
        <f>RTD("wdf.rtq",,D11,27)/100</f>
        <v>3.8E-3</v>
      </c>
      <c r="C11" s="109">
        <f>RTD("wdf.rtq",,D11,"LastPrice")</f>
        <v>7.98</v>
      </c>
      <c r="D11" s="140" t="str">
        <f>公司名单!D8</f>
        <v>600956.SH</v>
      </c>
      <c r="E11" s="140" t="str">
        <f>公司名单!C8</f>
        <v>新天绿能</v>
      </c>
      <c r="F11" s="140" t="str">
        <f>公司名单!E8</f>
        <v>0956.HK</v>
      </c>
      <c r="G11" s="109">
        <f>IF(RTD("wdf.rtq",,F11,5)=0,[1]!s_dq_preclose(F11),RTD("wdf.rtq",,F11,5))</f>
        <v>4.28</v>
      </c>
      <c r="H11" s="108">
        <f>RTD("wdf.rtq",,F11,27)/100</f>
        <v>7.1000000000000004E-3</v>
      </c>
      <c r="I11" s="111">
        <f t="shared" si="0"/>
        <v>4.0823751999999995</v>
      </c>
      <c r="J11" s="112">
        <f t="shared" si="1"/>
        <v>1.0474007657176236</v>
      </c>
      <c r="K11" s="113">
        <f t="shared" si="2"/>
        <v>2.0474007657176236</v>
      </c>
      <c r="M11" s="41">
        <v>2</v>
      </c>
      <c r="N11" s="29" t="str">
        <f t="shared" si="3"/>
        <v>安德利</v>
      </c>
      <c r="O11" s="42">
        <f t="shared" si="4"/>
        <v>2.1469336290798604</v>
      </c>
      <c r="P11" s="123">
        <f t="shared" si="5"/>
        <v>52.1</v>
      </c>
      <c r="Q11" s="123">
        <f t="shared" si="6"/>
        <v>18.18</v>
      </c>
    </row>
    <row r="12" spans="1:17" s="11" customFormat="1" ht="16.5" customHeight="1" x14ac:dyDescent="0.35">
      <c r="A12" s="143">
        <f>RANK(J12,$J$5:$J$162)+COUNTIF(J$5:J12,J12)-1</f>
        <v>76</v>
      </c>
      <c r="B12" s="118">
        <f>RTD("wdf.rtq",,D12,27)/100</f>
        <v>-1.6800000000000002E-2</v>
      </c>
      <c r="C12" s="114">
        <f>RTD("wdf.rtq",,D12,"LastPrice")</f>
        <v>28.64</v>
      </c>
      <c r="D12" s="141" t="str">
        <f>公司名单!D9</f>
        <v>600196.SH</v>
      </c>
      <c r="E12" s="141" t="str">
        <f>公司名单!C9</f>
        <v>复星医药</v>
      </c>
      <c r="F12" s="141" t="str">
        <f>公司名单!E9</f>
        <v>2196.HK</v>
      </c>
      <c r="G12" s="114">
        <f>IF(RTD("wdf.rtq",,F12,5)=0,[1]!s_dq_preclose(F12),RTD("wdf.rtq",,F12,5))</f>
        <v>21.04</v>
      </c>
      <c r="H12" s="118">
        <f>RTD("wdf.rtq",,F12,27)/100</f>
        <v>-2.3200000000000002E-2</v>
      </c>
      <c r="I12" s="115">
        <f t="shared" si="0"/>
        <v>9.4797136000000002</v>
      </c>
      <c r="J12" s="116">
        <f t="shared" si="1"/>
        <v>0.49475844995719886</v>
      </c>
      <c r="K12" s="117">
        <f t="shared" si="2"/>
        <v>1.4947584499571989</v>
      </c>
      <c r="M12" s="4">
        <v>3</v>
      </c>
      <c r="N12" s="31" t="str">
        <f t="shared" si="3"/>
        <v>京城股份</v>
      </c>
      <c r="O12" s="7">
        <f t="shared" si="4"/>
        <v>1.876285531173195</v>
      </c>
      <c r="P12" s="122">
        <f t="shared" si="5"/>
        <v>13.83</v>
      </c>
      <c r="Q12" s="122">
        <f t="shared" si="6"/>
        <v>5.28</v>
      </c>
    </row>
    <row r="13" spans="1:17" s="11" customFormat="1" ht="16.5" customHeight="1" x14ac:dyDescent="0.35">
      <c r="A13" s="143">
        <f>RANK(J13,$J$5:$J$162)+COUNTIF(J$5:J13,J13)-1</f>
        <v>42</v>
      </c>
      <c r="B13" s="108">
        <f>RTD("wdf.rtq",,D13,27)/100</f>
        <v>-1.04E-2</v>
      </c>
      <c r="C13" s="109">
        <f>RTD("wdf.rtq",,D13,"LastPrice")</f>
        <v>4.76</v>
      </c>
      <c r="D13" s="140" t="str">
        <f>公司名单!D10</f>
        <v>601375.SH</v>
      </c>
      <c r="E13" s="140" t="str">
        <f>公司名单!C10</f>
        <v>中原证券</v>
      </c>
      <c r="F13" s="140" t="str">
        <f>公司名单!E10</f>
        <v>1375.HK</v>
      </c>
      <c r="G13" s="109">
        <f>IF(RTD("wdf.rtq",,F13,5)=0,[1]!s_dq_preclose(F13),RTD("wdf.rtq",,F13,5))</f>
        <v>2.96</v>
      </c>
      <c r="H13" s="108">
        <f>RTD("wdf.rtq",,F13,27)/100</f>
        <v>-1.3300000000000001E-2</v>
      </c>
      <c r="I13" s="111">
        <f t="shared" si="0"/>
        <v>2.0644463999999996</v>
      </c>
      <c r="J13" s="112">
        <f t="shared" si="1"/>
        <v>0.76587102552885589</v>
      </c>
      <c r="K13" s="113">
        <f t="shared" si="2"/>
        <v>1.7658710255288559</v>
      </c>
      <c r="M13" s="41">
        <v>4</v>
      </c>
      <c r="N13" s="29" t="str">
        <f t="shared" si="3"/>
        <v>复旦张江</v>
      </c>
      <c r="O13" s="42">
        <f t="shared" si="4"/>
        <v>1.8691504104940511</v>
      </c>
      <c r="P13" s="123">
        <f t="shared" si="5"/>
        <v>10.19</v>
      </c>
      <c r="Q13" s="123">
        <f t="shared" si="6"/>
        <v>3.9</v>
      </c>
    </row>
    <row r="14" spans="1:17" s="11" customFormat="1" ht="16.5" customHeight="1" x14ac:dyDescent="0.35">
      <c r="A14" s="143">
        <f>RANK(J14,$J$5:$J$162)+COUNTIF(J$5:J14,J14)-1</f>
        <v>60</v>
      </c>
      <c r="B14" s="118">
        <f>RTD("wdf.rtq",,D14,27)/100</f>
        <v>-2.2000000000000001E-3</v>
      </c>
      <c r="C14" s="114">
        <f>RTD("wdf.rtq",,D14,"LastPrice")</f>
        <v>27.53</v>
      </c>
      <c r="D14" s="141" t="str">
        <f>公司名单!D11</f>
        <v>600332.SH</v>
      </c>
      <c r="E14" s="141" t="str">
        <f>公司名单!C11</f>
        <v>白云山</v>
      </c>
      <c r="F14" s="141" t="str">
        <f>公司名单!E11</f>
        <v>0874.HK</v>
      </c>
      <c r="G14" s="114">
        <f>IF(RTD("wdf.rtq",,F14,5)=0,[1]!s_dq_preclose(F14),RTD("wdf.rtq",,F14,5))</f>
        <v>18.830000000000002</v>
      </c>
      <c r="H14" s="118">
        <f>RTD("wdf.rtq",,F14,27)/100</f>
        <v>-1.6000000000000001E-3</v>
      </c>
      <c r="I14" s="115">
        <f t="shared" si="0"/>
        <v>10.382272199999999</v>
      </c>
      <c r="J14" s="116">
        <f t="shared" si="1"/>
        <v>0.60546052054780097</v>
      </c>
      <c r="K14" s="117">
        <f t="shared" si="2"/>
        <v>1.605460520547801</v>
      </c>
      <c r="M14" s="4">
        <v>5</v>
      </c>
      <c r="N14" s="31" t="str">
        <f t="shared" si="3"/>
        <v>石化油服</v>
      </c>
      <c r="O14" s="7">
        <f t="shared" si="4"/>
        <v>1.8390023210183122</v>
      </c>
      <c r="P14" s="122">
        <f t="shared" si="5"/>
        <v>2.12</v>
      </c>
      <c r="Q14" s="122">
        <f t="shared" si="6"/>
        <v>0.82000000000000006</v>
      </c>
    </row>
    <row r="15" spans="1:17" s="11" customFormat="1" ht="16.5" customHeight="1" x14ac:dyDescent="0.35">
      <c r="A15" s="143">
        <f>RANK(J15,$J$5:$J$162)+COUNTIF(J$5:J15,J15)-1</f>
        <v>70</v>
      </c>
      <c r="B15" s="108">
        <f>RTD("wdf.rtq",,D15,27)/100</f>
        <v>-3.1100000000000003E-2</v>
      </c>
      <c r="C15" s="109">
        <f>RTD("wdf.rtq",,D15,"LastPrice")</f>
        <v>30.830000000000002</v>
      </c>
      <c r="D15" s="140" t="str">
        <f>公司名单!D12</f>
        <v>300759.SZ</v>
      </c>
      <c r="E15" s="140" t="str">
        <f>公司名单!C12</f>
        <v>康龙化成</v>
      </c>
      <c r="F15" s="140" t="str">
        <f>公司名单!E12</f>
        <v>3759.HK</v>
      </c>
      <c r="G15" s="109">
        <f>IF(RTD("wdf.rtq",,F15,5)=0,[1]!s_dq_preclose(F15),RTD("wdf.rtq",,F15,5))</f>
        <v>22.1</v>
      </c>
      <c r="H15" s="108">
        <f>RTD("wdf.rtq",,F15,27)/100</f>
        <v>-3.8300000000000001E-2</v>
      </c>
      <c r="I15" s="111">
        <f t="shared" si="0"/>
        <v>10.704414</v>
      </c>
      <c r="J15" s="112">
        <f t="shared" si="1"/>
        <v>0.53188086051258332</v>
      </c>
      <c r="K15" s="113">
        <f t="shared" si="2"/>
        <v>1.5318808605125833</v>
      </c>
      <c r="M15" s="41">
        <v>6</v>
      </c>
      <c r="N15" s="29" t="str">
        <f t="shared" si="3"/>
        <v>龙源电力</v>
      </c>
      <c r="O15" s="42">
        <f t="shared" si="4"/>
        <v>1.7227858517368615</v>
      </c>
      <c r="P15" s="123">
        <f t="shared" si="5"/>
        <v>16.96</v>
      </c>
      <c r="Q15" s="123">
        <f t="shared" si="6"/>
        <v>6.84</v>
      </c>
    </row>
    <row r="16" spans="1:17" s="11" customFormat="1" ht="16.5" customHeight="1" x14ac:dyDescent="0.35">
      <c r="A16" s="143">
        <f>RANK(J16,$J$5:$J$162)+COUNTIF(J$5:J16,J16)-1</f>
        <v>65</v>
      </c>
      <c r="B16" s="118">
        <f>RTD("wdf.rtq",,D16,27)/100</f>
        <v>-2.2000000000000002E-2</v>
      </c>
      <c r="C16" s="114">
        <f>RTD("wdf.rtq",,D16,"LastPrice")</f>
        <v>11.98</v>
      </c>
      <c r="D16" s="141" t="str">
        <f>公司名单!D13</f>
        <v>600958.SH</v>
      </c>
      <c r="E16" s="141" t="str">
        <f>公司名单!C13</f>
        <v>东方证券</v>
      </c>
      <c r="F16" s="141" t="str">
        <f>公司名单!E13</f>
        <v>3958.HK</v>
      </c>
      <c r="G16" s="114">
        <f>IF(RTD("wdf.rtq",,F16,5)=0,[1]!s_dq_preclose(F16),RTD("wdf.rtq",,F16,5))</f>
        <v>8.4600000000000009</v>
      </c>
      <c r="H16" s="118">
        <f>RTD("wdf.rtq",,F16,27)/100</f>
        <v>-1.4000000000000002E-2</v>
      </c>
      <c r="I16" s="115">
        <f t="shared" si="0"/>
        <v>4.2758163999999992</v>
      </c>
      <c r="J16" s="116">
        <f t="shared" si="1"/>
        <v>0.55499928636176299</v>
      </c>
      <c r="K16" s="117">
        <f t="shared" si="2"/>
        <v>1.554999286361763</v>
      </c>
      <c r="M16" s="4">
        <v>7</v>
      </c>
      <c r="N16" s="31" t="str">
        <f t="shared" si="3"/>
        <v>ST晨鸣</v>
      </c>
      <c r="O16" s="7">
        <f t="shared" si="4"/>
        <v>1.6603566779820507</v>
      </c>
      <c r="P16" s="122">
        <f t="shared" si="5"/>
        <v>2.35</v>
      </c>
      <c r="Q16" s="122">
        <f t="shared" si="6"/>
        <v>0.97</v>
      </c>
    </row>
    <row r="17" spans="1:17" s="11" customFormat="1" ht="16.5" customHeight="1" x14ac:dyDescent="0.35">
      <c r="A17" s="143">
        <f>RANK(J17,$J$5:$J$162)+COUNTIF(J$5:J17,J17)-1</f>
        <v>13</v>
      </c>
      <c r="B17" s="108">
        <f>RTD("wdf.rtq",,D17,27)/100</f>
        <v>-9.7999999999999997E-3</v>
      </c>
      <c r="C17" s="109">
        <f>RTD("wdf.rtq",,D17,"LastPrice")</f>
        <v>8.0500000000000007</v>
      </c>
      <c r="D17" s="140" t="str">
        <f>公司名单!D14</f>
        <v>601238.SH</v>
      </c>
      <c r="E17" s="140" t="str">
        <f>公司名单!C14</f>
        <v>广汽集团</v>
      </c>
      <c r="F17" s="140" t="str">
        <f>公司名单!E14</f>
        <v>2238.HK</v>
      </c>
      <c r="G17" s="109">
        <f>IF(RTD("wdf.rtq",,F17,5)=0,[1]!s_dq_preclose(F17),RTD("wdf.rtq",,F17,5))</f>
        <v>3.75</v>
      </c>
      <c r="H17" s="108">
        <f>RTD("wdf.rtq",,F17,27)/100</f>
        <v>8.0999999999999996E-3</v>
      </c>
      <c r="I17" s="111">
        <f t="shared" si="0"/>
        <v>4.6350250000000006</v>
      </c>
      <c r="J17" s="112">
        <f t="shared" si="1"/>
        <v>1.3572646944706772</v>
      </c>
      <c r="K17" s="113">
        <f t="shared" si="2"/>
        <v>2.3572646944706772</v>
      </c>
      <c r="M17" s="41">
        <v>8</v>
      </c>
      <c r="N17" s="29" t="str">
        <f t="shared" si="3"/>
        <v>凯盛新能</v>
      </c>
      <c r="O17" s="42">
        <f t="shared" si="4"/>
        <v>1.6415129355098279</v>
      </c>
      <c r="P17" s="123">
        <f t="shared" si="5"/>
        <v>11.33</v>
      </c>
      <c r="Q17" s="123">
        <f t="shared" si="6"/>
        <v>4.71</v>
      </c>
    </row>
    <row r="18" spans="1:17" s="11" customFormat="1" ht="16.5" customHeight="1" x14ac:dyDescent="0.35">
      <c r="A18" s="143">
        <f>RANK(J18,$J$5:$J$162)+COUNTIF(J$5:J18,J18)-1</f>
        <v>56</v>
      </c>
      <c r="B18" s="118">
        <f>RTD("wdf.rtq",,D18,27)/100</f>
        <v>-4.5999999999999999E-3</v>
      </c>
      <c r="C18" s="114">
        <f>RTD("wdf.rtq",,D18,"LastPrice")</f>
        <v>10.75</v>
      </c>
      <c r="D18" s="141" t="str">
        <f>公司名单!D15</f>
        <v>600026.SH</v>
      </c>
      <c r="E18" s="141" t="str">
        <f>公司名单!C15</f>
        <v>中远海能</v>
      </c>
      <c r="F18" s="141" t="str">
        <f>公司名单!E15</f>
        <v>1138.HK</v>
      </c>
      <c r="G18" s="114">
        <f>IF(RTD("wdf.rtq",,F18,5)=0,[1]!s_dq_preclose(F18),RTD("wdf.rtq",,F18,5))</f>
        <v>7.18</v>
      </c>
      <c r="H18" s="118">
        <f>RTD("wdf.rtq",,F18,27)/100</f>
        <v>5.5999999999999991E-3</v>
      </c>
      <c r="I18" s="115">
        <f t="shared" si="0"/>
        <v>4.2114612000000005</v>
      </c>
      <c r="J18" s="116">
        <f t="shared" si="1"/>
        <v>0.64409821962056735</v>
      </c>
      <c r="K18" s="117">
        <f t="shared" si="2"/>
        <v>1.6440982196205673</v>
      </c>
      <c r="M18" s="4">
        <v>9</v>
      </c>
      <c r="N18" s="31" t="str">
        <f t="shared" si="3"/>
        <v>上海电气</v>
      </c>
      <c r="O18" s="7">
        <f t="shared" si="4"/>
        <v>1.5804026219413698</v>
      </c>
      <c r="P18" s="122">
        <f t="shared" si="5"/>
        <v>9</v>
      </c>
      <c r="Q18" s="122">
        <f t="shared" si="6"/>
        <v>3.83</v>
      </c>
    </row>
    <row r="19" spans="1:17" s="11" customFormat="1" ht="16.5" customHeight="1" x14ac:dyDescent="0.35">
      <c r="A19" s="143">
        <f>RANK(J19,$J$5:$J$162)+COUNTIF(J$5:J19,J19)-1</f>
        <v>77</v>
      </c>
      <c r="B19" s="108">
        <f>RTD("wdf.rtq",,D19,27)/100</f>
        <v>-3.1300000000000001E-2</v>
      </c>
      <c r="C19" s="109">
        <f>RTD("wdf.rtq",,D19,"LastPrice")</f>
        <v>45.160000000000004</v>
      </c>
      <c r="D19" s="140" t="str">
        <f>公司名单!D16</f>
        <v>688180.SH</v>
      </c>
      <c r="E19" s="140" t="str">
        <f>公司名单!C16</f>
        <v>君实生物-U</v>
      </c>
      <c r="F19" s="140" t="str">
        <f>公司名单!E16</f>
        <v>1877.HK</v>
      </c>
      <c r="G19" s="109">
        <f>IF(RTD("wdf.rtq",,F19,5)=0,[1]!s_dq_preclose(F19),RTD("wdf.rtq",,F19,5))</f>
        <v>33.32</v>
      </c>
      <c r="H19" s="108">
        <f>RTD("wdf.rtq",,F19,27)/100</f>
        <v>-4.36E-2</v>
      </c>
      <c r="I19" s="111">
        <f t="shared" si="0"/>
        <v>14.816808800000004</v>
      </c>
      <c r="J19" s="112">
        <f t="shared" si="1"/>
        <v>0.48830753174043218</v>
      </c>
      <c r="K19" s="113">
        <f t="shared" si="2"/>
        <v>1.4883075317404322</v>
      </c>
      <c r="M19" s="41">
        <v>10</v>
      </c>
      <c r="N19" s="29" t="str">
        <f t="shared" si="3"/>
        <v>浙江世宝</v>
      </c>
      <c r="O19" s="42">
        <f t="shared" si="4"/>
        <v>1.5609299247165458</v>
      </c>
      <c r="P19" s="123">
        <f t="shared" si="5"/>
        <v>12.99</v>
      </c>
      <c r="Q19" s="123">
        <f t="shared" si="6"/>
        <v>5.57</v>
      </c>
    </row>
    <row r="20" spans="1:17" s="11" customFormat="1" ht="16.5" customHeight="1" x14ac:dyDescent="0.35">
      <c r="A20" s="143">
        <f>RANK(J20,$J$5:$J$162)+COUNTIF(J$5:J20,J20)-1</f>
        <v>118</v>
      </c>
      <c r="B20" s="118">
        <f>RTD("wdf.rtq",,D20,27)/100</f>
        <v>-1.2100000000000001E-2</v>
      </c>
      <c r="C20" s="114">
        <f>RTD("wdf.rtq",,D20,"LastPrice")</f>
        <v>22.03</v>
      </c>
      <c r="D20" s="141" t="str">
        <f>公司名单!D17</f>
        <v>000776.SZ</v>
      </c>
      <c r="E20" s="141" t="str">
        <f>公司名单!C17</f>
        <v>广发证券</v>
      </c>
      <c r="F20" s="141" t="str">
        <f>公司名单!E17</f>
        <v>1776.HK</v>
      </c>
      <c r="G20" s="114">
        <f>IF(RTD("wdf.rtq",,F20,5)=0,[1]!s_dq_preclose(F20),RTD("wdf.rtq",,F20,5))</f>
        <v>19.27</v>
      </c>
      <c r="H20" s="118">
        <f>RTD("wdf.rtq",,F20,27)/100</f>
        <v>-5.7000000000000002E-3</v>
      </c>
      <c r="I20" s="115">
        <f t="shared" si="0"/>
        <v>4.4815818000000007</v>
      </c>
      <c r="J20" s="116">
        <f t="shared" si="1"/>
        <v>0.25538380433627927</v>
      </c>
      <c r="K20" s="117">
        <f t="shared" si="2"/>
        <v>1.2553838043362793</v>
      </c>
    </row>
    <row r="21" spans="1:17" s="11" customFormat="1" ht="16.5" customHeight="1" x14ac:dyDescent="0.35">
      <c r="A21" s="143">
        <f>RANK(J21,$J$5:$J$162)+COUNTIF(J$5:J21,J21)-1</f>
        <v>47</v>
      </c>
      <c r="B21" s="108">
        <f>RTD("wdf.rtq",,D21,27)/100</f>
        <v>0.1</v>
      </c>
      <c r="C21" s="109">
        <f>RTD("wdf.rtq",,D21,"LastPrice")</f>
        <v>71.070000000000007</v>
      </c>
      <c r="D21" s="140" t="str">
        <f>公司名单!D18</f>
        <v>601869.SH</v>
      </c>
      <c r="E21" s="140" t="str">
        <f>公司名单!C18</f>
        <v>XD长飞光</v>
      </c>
      <c r="F21" s="140" t="str">
        <f>公司名单!E18</f>
        <v>6869.HK</v>
      </c>
      <c r="G21" s="109">
        <f>IF(RTD("wdf.rtq",,F21,5)=0,[1]!s_dq_preclose(F21),RTD("wdf.rtq",,F21,5))</f>
        <v>45.26</v>
      </c>
      <c r="H21" s="108">
        <f>RTD("wdf.rtq",,F21,27)/100</f>
        <v>-3.2899999999999999E-2</v>
      </c>
      <c r="I21" s="111">
        <f t="shared" si="0"/>
        <v>29.853528400000009</v>
      </c>
      <c r="J21" s="112">
        <f t="shared" si="1"/>
        <v>0.72431062730755458</v>
      </c>
      <c r="K21" s="113">
        <f t="shared" si="2"/>
        <v>1.7243106273075546</v>
      </c>
      <c r="M21" s="28"/>
      <c r="N21" s="29"/>
      <c r="O21" s="29"/>
      <c r="P21" s="29"/>
      <c r="Q21" s="29"/>
    </row>
    <row r="22" spans="1:17" s="11" customFormat="1" ht="16.5" customHeight="1" x14ac:dyDescent="0.35">
      <c r="A22" s="143">
        <f>RANK(J22,$J$5:$J$162)+COUNTIF(J$5:J22,J22)-1</f>
        <v>90</v>
      </c>
      <c r="B22" s="118">
        <f>RTD("wdf.rtq",,D22,27)/100</f>
        <v>-3.73E-2</v>
      </c>
      <c r="C22" s="114">
        <f>RTD("wdf.rtq",,D22,"LastPrice")</f>
        <v>66.09</v>
      </c>
      <c r="D22" s="141" t="str">
        <f>公司名单!D19</f>
        <v>300347.SZ</v>
      </c>
      <c r="E22" s="141" t="str">
        <f>公司名单!C19</f>
        <v>泰格医药</v>
      </c>
      <c r="F22" s="141" t="str">
        <f>公司名单!E19</f>
        <v>3347.HK</v>
      </c>
      <c r="G22" s="114">
        <f>IF(RTD("wdf.rtq",,F22,5)=0,[1]!s_dq_preclose(F22),RTD("wdf.rtq",,F22,5))</f>
        <v>51.45</v>
      </c>
      <c r="H22" s="118">
        <f>RTD("wdf.rtq",,F22,27)/100</f>
        <v>-3.0200000000000001E-2</v>
      </c>
      <c r="I22" s="115">
        <f t="shared" si="0"/>
        <v>19.236542999999998</v>
      </c>
      <c r="J22" s="116">
        <f t="shared" si="1"/>
        <v>0.41056827460991818</v>
      </c>
      <c r="K22" s="117">
        <f t="shared" si="2"/>
        <v>1.4105682746099182</v>
      </c>
      <c r="M22" s="30" t="s">
        <v>176</v>
      </c>
      <c r="N22" s="31"/>
      <c r="O22" s="32"/>
      <c r="P22" s="31"/>
      <c r="Q22" s="31"/>
    </row>
    <row r="23" spans="1:17" s="11" customFormat="1" ht="16.5" customHeight="1" x14ac:dyDescent="0.35">
      <c r="A23" s="143">
        <f>RANK(J23,$J$5:$J$162)+COUNTIF(J$5:J23,J23)-1</f>
        <v>10</v>
      </c>
      <c r="B23" s="108">
        <f>RTD("wdf.rtq",,D23,27)/100</f>
        <v>6.2000000000000006E-3</v>
      </c>
      <c r="C23" s="109">
        <f>RTD("wdf.rtq",,D23,"LastPrice")</f>
        <v>12.99</v>
      </c>
      <c r="D23" s="140" t="str">
        <f>公司名单!D20</f>
        <v>002703.SZ</v>
      </c>
      <c r="E23" s="140" t="str">
        <f>公司名单!C20</f>
        <v>浙江世宝</v>
      </c>
      <c r="F23" s="140" t="str">
        <f>公司名单!E20</f>
        <v>1057.HK</v>
      </c>
      <c r="G23" s="109">
        <f>IF(RTD("wdf.rtq",,F23,5)=0,[1]!s_dq_preclose(F23),RTD("wdf.rtq",,F23,5))</f>
        <v>5.57</v>
      </c>
      <c r="H23" s="108">
        <f>RTD("wdf.rtq",,F23,27)/100</f>
        <v>-1.7600000000000001E-2</v>
      </c>
      <c r="I23" s="111">
        <f t="shared" si="0"/>
        <v>7.9176237999999994</v>
      </c>
      <c r="J23" s="112">
        <f t="shared" si="1"/>
        <v>1.5609299247165458</v>
      </c>
      <c r="K23" s="113">
        <f t="shared" si="2"/>
        <v>2.5609299247165458</v>
      </c>
      <c r="M23" s="28" t="s">
        <v>4</v>
      </c>
      <c r="N23" s="29" t="s">
        <v>5</v>
      </c>
      <c r="O23" s="29" t="s">
        <v>173</v>
      </c>
      <c r="P23" s="29" t="s">
        <v>174</v>
      </c>
      <c r="Q23" s="29" t="s">
        <v>177</v>
      </c>
    </row>
    <row r="24" spans="1:17" s="11" customFormat="1" ht="16.5" customHeight="1" x14ac:dyDescent="0.35">
      <c r="A24" s="143">
        <f>RANK(J24,$J$5:$J$162)+COUNTIF(J$5:J24,J24)-1</f>
        <v>102</v>
      </c>
      <c r="B24" s="118">
        <f>RTD("wdf.rtq",,D24,27)/100</f>
        <v>-1.8000000000000002E-3</v>
      </c>
      <c r="C24" s="114">
        <f>RTD("wdf.rtq",,D24,"LastPrice")</f>
        <v>5.48</v>
      </c>
      <c r="D24" s="141" t="str">
        <f>公司名单!D21</f>
        <v>600027.SH</v>
      </c>
      <c r="E24" s="141" t="str">
        <f>公司名单!C21</f>
        <v>华电国际</v>
      </c>
      <c r="F24" s="141" t="str">
        <f>公司名单!E21</f>
        <v>1071.HK</v>
      </c>
      <c r="G24" s="114">
        <f>IF(RTD("wdf.rtq",,F24,5)=0,[1]!s_dq_preclose(F24),RTD("wdf.rtq",,F24,5))</f>
        <v>4.49</v>
      </c>
      <c r="H24" s="118">
        <f>RTD("wdf.rtq",,F24,27)/100</f>
        <v>0</v>
      </c>
      <c r="I24" s="115">
        <f t="shared" si="0"/>
        <v>1.3911366000000003</v>
      </c>
      <c r="J24" s="116">
        <f t="shared" si="1"/>
        <v>0.34022574586375276</v>
      </c>
      <c r="K24" s="117">
        <f t="shared" si="2"/>
        <v>1.3402257458637528</v>
      </c>
      <c r="M24" s="4">
        <v>1</v>
      </c>
      <c r="N24" s="31" t="str">
        <f t="shared" ref="N24:N33" si="7">VLOOKUP(COUNTA($A$5:$A$155)-M24+1,gslb,5,FALSE)</f>
        <v>荣昌生物</v>
      </c>
      <c r="O24" s="7">
        <f t="shared" ref="O24:O33" si="8">VLOOKUP(COUNTA($A$5:$A$155)-M24+1,gslb,10,FALSE)</f>
        <v>3.5719243235926568E-2</v>
      </c>
      <c r="P24" s="122">
        <f t="shared" ref="P24:P33" si="9">VLOOKUP(COUNTA($A$5:$A$155)-M24+1,gslb,3,FALSE)</f>
        <v>85.5</v>
      </c>
      <c r="Q24" s="122">
        <f t="shared" ref="Q24:Q33" si="10">VLOOKUP(COUNTA($A$5:$A$155)-M24+1,gslb,7,FALSE)</f>
        <v>90.65</v>
      </c>
    </row>
    <row r="25" spans="1:17" s="11" customFormat="1" ht="16.5" customHeight="1" x14ac:dyDescent="0.35">
      <c r="A25" s="143">
        <f>RANK(J25,$J$5:$J$162)+COUNTIF(J$5:J25,J25)-1</f>
        <v>61</v>
      </c>
      <c r="B25" s="108">
        <f>RTD("wdf.rtq",,D25,27)/100</f>
        <v>-3.2000000000000002E-3</v>
      </c>
      <c r="C25" s="109">
        <f>RTD("wdf.rtq",,D25,"LastPrice")</f>
        <v>6.2</v>
      </c>
      <c r="D25" s="140" t="str">
        <f>公司名单!D22</f>
        <v>002490.SZ</v>
      </c>
      <c r="E25" s="140" t="str">
        <f>公司名单!C22</f>
        <v>山东墨龙</v>
      </c>
      <c r="F25" s="140" t="str">
        <f>公司名单!E22</f>
        <v>0568.HK</v>
      </c>
      <c r="G25" s="109">
        <f>IF(RTD("wdf.rtq",,F25,5)=0,[1]!s_dq_preclose(F25),RTD("wdf.rtq",,F25,5))</f>
        <v>4.29</v>
      </c>
      <c r="H25" s="108">
        <f>RTD("wdf.rtq",,F25,27)/100</f>
        <v>1.18E-2</v>
      </c>
      <c r="I25" s="111">
        <f t="shared" si="0"/>
        <v>2.2932686000000002</v>
      </c>
      <c r="J25" s="112">
        <f t="shared" si="1"/>
        <v>0.58700442011447218</v>
      </c>
      <c r="K25" s="113">
        <f t="shared" si="2"/>
        <v>1.5870044201144722</v>
      </c>
      <c r="M25" s="41">
        <v>2</v>
      </c>
      <c r="N25" s="29" t="str">
        <f t="shared" si="7"/>
        <v>亿华通-U</v>
      </c>
      <c r="O25" s="42">
        <f t="shared" si="8"/>
        <v>4.1159614851515425E-2</v>
      </c>
      <c r="P25" s="123">
        <f t="shared" si="9"/>
        <v>24.5</v>
      </c>
      <c r="Q25" s="123">
        <f t="shared" si="10"/>
        <v>25.84</v>
      </c>
    </row>
    <row r="26" spans="1:17" s="11" customFormat="1" ht="16.5" customHeight="1" x14ac:dyDescent="0.35">
      <c r="A26" s="143">
        <f>RANK(J26,$J$5:$J$162)+COUNTIF(J$5:J26,J26)-1</f>
        <v>79</v>
      </c>
      <c r="B26" s="118">
        <f>RTD("wdf.rtq",,D26,27)/100</f>
        <v>-3.3E-3</v>
      </c>
      <c r="C26" s="114">
        <f>RTD("wdf.rtq",,D26,"LastPrice")</f>
        <v>67.08</v>
      </c>
      <c r="D26" s="141" t="str">
        <f>公司名单!D23</f>
        <v>601336.SH</v>
      </c>
      <c r="E26" s="141" t="str">
        <f>公司名单!C23</f>
        <v>新华保险</v>
      </c>
      <c r="F26" s="141" t="str">
        <f>公司名单!E23</f>
        <v>1336.HK</v>
      </c>
      <c r="G26" s="114">
        <f>IF(RTD("wdf.rtq",,F26,5)=0,[1]!s_dq_preclose(F26),RTD("wdf.rtq",,F26,5))</f>
        <v>49.84</v>
      </c>
      <c r="H26" s="118">
        <f>RTD("wdf.rtq",,F26,27)/100</f>
        <v>-5.1999999999999998E-3</v>
      </c>
      <c r="I26" s="115">
        <f t="shared" si="0"/>
        <v>21.692705599999996</v>
      </c>
      <c r="J26" s="116">
        <f t="shared" si="1"/>
        <v>0.4779466563664565</v>
      </c>
      <c r="K26" s="117">
        <f t="shared" si="2"/>
        <v>1.4779466563664565</v>
      </c>
      <c r="M26" s="4">
        <v>3</v>
      </c>
      <c r="N26" s="31" t="str">
        <f>VLOOKUP(COUNTA($A$5:$A$155)-M26+1,gslb,5,FALSE)</f>
        <v>比亚迪</v>
      </c>
      <c r="O26" s="7">
        <f t="shared" si="8"/>
        <v>4.8726810277139432E-2</v>
      </c>
      <c r="P26" s="122">
        <f t="shared" si="9"/>
        <v>113.84</v>
      </c>
      <c r="Q26" s="122">
        <f t="shared" si="10"/>
        <v>119.2</v>
      </c>
    </row>
    <row r="27" spans="1:17" s="11" customFormat="1" ht="16.5" customHeight="1" x14ac:dyDescent="0.35">
      <c r="A27" s="143">
        <f>RANK(J27,$J$5:$J$162)+COUNTIF(J$5:J27,J27)-1</f>
        <v>137</v>
      </c>
      <c r="B27" s="108">
        <f>RTD("wdf.rtq",,D27,27)/100</f>
        <v>-4.0000000000000002E-4</v>
      </c>
      <c r="C27" s="109">
        <f>RTD("wdf.rtq",,D27,"LastPrice")</f>
        <v>22.32</v>
      </c>
      <c r="D27" s="140" t="str">
        <f>公司名单!D24</f>
        <v>601688.SH</v>
      </c>
      <c r="E27" s="140" t="str">
        <f>公司名单!C24</f>
        <v>华泰证券</v>
      </c>
      <c r="F27" s="140" t="str">
        <f>公司名单!E24</f>
        <v>6886.HK</v>
      </c>
      <c r="G27" s="109">
        <f>IF(RTD("wdf.rtq",,F27,5)=0,[1]!s_dq_preclose(F27),RTD("wdf.rtq",,F27,5))</f>
        <v>21.06</v>
      </c>
      <c r="H27" s="108">
        <f>RTD("wdf.rtq",,F27,27)/100</f>
        <v>-2.7999999999999995E-3</v>
      </c>
      <c r="I27" s="111">
        <f t="shared" si="0"/>
        <v>3.1415004000000017</v>
      </c>
      <c r="J27" s="112">
        <f t="shared" si="1"/>
        <v>0.16380324141727964</v>
      </c>
      <c r="K27" s="113">
        <f t="shared" si="2"/>
        <v>1.1638032414172796</v>
      </c>
      <c r="M27" s="41">
        <v>4</v>
      </c>
      <c r="N27" s="29" t="str">
        <f t="shared" si="7"/>
        <v>中集集团</v>
      </c>
      <c r="O27" s="42">
        <f t="shared" si="8"/>
        <v>8.3724729212617088E-2</v>
      </c>
      <c r="P27" s="123">
        <f t="shared" si="9"/>
        <v>8.2900000000000009</v>
      </c>
      <c r="Q27" s="123">
        <f t="shared" si="10"/>
        <v>8.4</v>
      </c>
    </row>
    <row r="28" spans="1:17" s="11" customFormat="1" ht="16.5" customHeight="1" x14ac:dyDescent="0.35">
      <c r="A28" s="143">
        <f>RANK(J28,$J$5:$J$162)+COUNTIF(J$5:J28,J28)-1</f>
        <v>31</v>
      </c>
      <c r="B28" s="118">
        <f>RTD("wdf.rtq",,D28,27)/100</f>
        <v>5.7000000000000002E-3</v>
      </c>
      <c r="C28" s="114">
        <f>RTD("wdf.rtq",,D28,"LastPrice")</f>
        <v>12.290000000000001</v>
      </c>
      <c r="D28" s="141" t="str">
        <f>公司名单!D25</f>
        <v>601456.SH</v>
      </c>
      <c r="E28" s="141" t="str">
        <f>公司名单!C25</f>
        <v>国联民生</v>
      </c>
      <c r="F28" s="141" t="str">
        <f>公司名单!E25</f>
        <v>1456.HK</v>
      </c>
      <c r="G28" s="114">
        <f>IF(RTD("wdf.rtq",,F28,5)=0,[1]!s_dq_preclose(F28),RTD("wdf.rtq",,F28,5))</f>
        <v>6.84</v>
      </c>
      <c r="H28" s="118">
        <f>RTD("wdf.rtq",,F28,27)/100</f>
        <v>-2.29E-2</v>
      </c>
      <c r="I28" s="115">
        <f t="shared" si="0"/>
        <v>6.0610856000000011</v>
      </c>
      <c r="J28" s="116">
        <f t="shared" si="1"/>
        <v>0.97305649279752515</v>
      </c>
      <c r="K28" s="117">
        <f t="shared" si="2"/>
        <v>1.9730564927975252</v>
      </c>
      <c r="M28" s="4">
        <v>5</v>
      </c>
      <c r="N28" s="31" t="str">
        <f t="shared" si="7"/>
        <v>海尔智家</v>
      </c>
      <c r="O28" s="7">
        <f t="shared" si="8"/>
        <v>9.6439614974364707E-2</v>
      </c>
      <c r="P28" s="122">
        <f t="shared" si="9"/>
        <v>26.34</v>
      </c>
      <c r="Q28" s="122">
        <f t="shared" si="10"/>
        <v>26.38</v>
      </c>
    </row>
    <row r="29" spans="1:17" s="11" customFormat="1" ht="16.5" customHeight="1" x14ac:dyDescent="0.35">
      <c r="A29" s="143">
        <f>RANK(J29,$J$5:$J$162)+COUNTIF(J$5:J29,J29)-1</f>
        <v>57</v>
      </c>
      <c r="B29" s="108">
        <f>RTD("wdf.rtq",,D29,27)/100</f>
        <v>-4.7000000000000002E-3</v>
      </c>
      <c r="C29" s="109">
        <f>RTD("wdf.rtq",,D29,"LastPrice")</f>
        <v>2.12</v>
      </c>
      <c r="D29" s="140" t="str">
        <f>公司名单!D26</f>
        <v>002936.SZ</v>
      </c>
      <c r="E29" s="140" t="str">
        <f>公司名单!C26</f>
        <v>郑州银行</v>
      </c>
      <c r="F29" s="140" t="str">
        <f>公司名单!E26</f>
        <v>6196.HK</v>
      </c>
      <c r="G29" s="109">
        <f>IF(RTD("wdf.rtq",,F29,5)=0,[1]!s_dq_preclose(F29),RTD("wdf.rtq",,F29,5))</f>
        <v>1.42</v>
      </c>
      <c r="H29" s="108">
        <f>RTD("wdf.rtq",,F29,27)/100</f>
        <v>7.1000000000000004E-3</v>
      </c>
      <c r="I29" s="111">
        <f t="shared" si="0"/>
        <v>0.82686280000000023</v>
      </c>
      <c r="J29" s="112">
        <f t="shared" si="1"/>
        <v>0.63942387551761737</v>
      </c>
      <c r="K29" s="113">
        <f t="shared" si="2"/>
        <v>1.6394238755176174</v>
      </c>
      <c r="M29" s="41">
        <v>6</v>
      </c>
      <c r="N29" s="29" t="str">
        <f t="shared" si="7"/>
        <v>吉宏股份</v>
      </c>
      <c r="O29" s="42">
        <f t="shared" si="8"/>
        <v>0.10339532553536346</v>
      </c>
      <c r="P29" s="123">
        <f t="shared" si="9"/>
        <v>18.77</v>
      </c>
      <c r="Q29" s="123">
        <f t="shared" si="10"/>
        <v>18.68</v>
      </c>
    </row>
    <row r="30" spans="1:17" s="11" customFormat="1" ht="16.5" customHeight="1" x14ac:dyDescent="0.35">
      <c r="A30" s="143">
        <f>RANK(J30,$J$5:$J$162)+COUNTIF(J$5:J30,J30)-1</f>
        <v>66</v>
      </c>
      <c r="B30" s="118">
        <f>RTD("wdf.rtq",,D30,27)/100</f>
        <v>-6.0000000000000001E-3</v>
      </c>
      <c r="C30" s="114">
        <f>RTD("wdf.rtq",,D30,"LastPrice")</f>
        <v>8.27</v>
      </c>
      <c r="D30" s="141" t="str">
        <f>公司名单!D27</f>
        <v>601186.SH</v>
      </c>
      <c r="E30" s="141" t="str">
        <f>公司名单!C27</f>
        <v>中国铁建</v>
      </c>
      <c r="F30" s="141" t="str">
        <f>公司名单!E27</f>
        <v>1186.HK</v>
      </c>
      <c r="G30" s="114">
        <f>IF(RTD("wdf.rtq",,F30,5)=0,[1]!s_dq_preclose(F30),RTD("wdf.rtq",,F30,5))</f>
        <v>5.8500000000000005</v>
      </c>
      <c r="H30" s="118">
        <f>RTD("wdf.rtq",,F30,27)/100</f>
        <v>-8.5000000000000006E-3</v>
      </c>
      <c r="I30" s="115">
        <f t="shared" si="0"/>
        <v>2.9426389999999989</v>
      </c>
      <c r="J30" s="116">
        <f t="shared" si="1"/>
        <v>0.55236335589046792</v>
      </c>
      <c r="K30" s="117">
        <f t="shared" si="2"/>
        <v>1.5523633558904679</v>
      </c>
      <c r="M30" s="4">
        <v>7</v>
      </c>
      <c r="N30" s="31" t="str">
        <f t="shared" si="7"/>
        <v>洛阳钼业</v>
      </c>
      <c r="O30" s="7">
        <f t="shared" si="8"/>
        <v>0.10823818759961257</v>
      </c>
      <c r="P30" s="122">
        <f t="shared" si="9"/>
        <v>12.030000000000001</v>
      </c>
      <c r="Q30" s="122">
        <f t="shared" si="10"/>
        <v>11.92</v>
      </c>
    </row>
    <row r="31" spans="1:17" s="11" customFormat="1" ht="16.5" customHeight="1" x14ac:dyDescent="0.35">
      <c r="A31" s="143">
        <f>RANK(J31,$J$5:$J$162)+COUNTIF(J$5:J31,J31)-1</f>
        <v>28</v>
      </c>
      <c r="B31" s="108">
        <f>RTD("wdf.rtq",,D31,27)/100</f>
        <v>4.4000000000000003E-3</v>
      </c>
      <c r="C31" s="109">
        <f>RTD("wdf.rtq",,D31,"LastPrice")</f>
        <v>13.71</v>
      </c>
      <c r="D31" s="140" t="str">
        <f>公司名单!D28</f>
        <v>601038.SH</v>
      </c>
      <c r="E31" s="140" t="str">
        <f>公司名单!C28</f>
        <v>一拖股份</v>
      </c>
      <c r="F31" s="140" t="str">
        <f>公司名单!E28</f>
        <v>0038.HK</v>
      </c>
      <c r="G31" s="109">
        <f>IF(RTD("wdf.rtq",,F31,5)=0,[1]!s_dq_preclose(F31),RTD("wdf.rtq",,F31,5))</f>
        <v>7.53</v>
      </c>
      <c r="H31" s="108">
        <f>RTD("wdf.rtq",,F31,27)/100</f>
        <v>-6.6E-3</v>
      </c>
      <c r="I31" s="111">
        <f t="shared" si="0"/>
        <v>6.8527302000000008</v>
      </c>
      <c r="J31" s="112">
        <f t="shared" si="1"/>
        <v>0.99933798725551104</v>
      </c>
      <c r="K31" s="113">
        <f t="shared" si="2"/>
        <v>1.999337987255511</v>
      </c>
      <c r="M31" s="41">
        <v>8</v>
      </c>
      <c r="N31" s="29" t="str">
        <f t="shared" si="7"/>
        <v>赤峰黄金</v>
      </c>
      <c r="O31" s="42">
        <f t="shared" si="8"/>
        <v>0.11866679068103747</v>
      </c>
      <c r="P31" s="123">
        <f t="shared" si="9"/>
        <v>25.57</v>
      </c>
      <c r="Q31" s="123">
        <f t="shared" si="10"/>
        <v>25.1</v>
      </c>
    </row>
    <row r="32" spans="1:17" s="11" customFormat="1" ht="16.5" customHeight="1" x14ac:dyDescent="0.35">
      <c r="A32" s="143">
        <f>RANK(J32,$J$5:$J$162)+COUNTIF(J$5:J32,J32)-1</f>
        <v>6</v>
      </c>
      <c r="B32" s="118">
        <f>RTD("wdf.rtq",,D32,27)/100</f>
        <v>3.0000000000000001E-3</v>
      </c>
      <c r="C32" s="114">
        <f>RTD("wdf.rtq",,D32,"LastPrice")</f>
        <v>16.96</v>
      </c>
      <c r="D32" s="141" t="str">
        <f>公司名单!D29</f>
        <v>001289.SZ</v>
      </c>
      <c r="E32" s="141" t="str">
        <f>公司名单!C29</f>
        <v>龙源电力</v>
      </c>
      <c r="F32" s="141" t="str">
        <f>公司名单!E29</f>
        <v>0916.HK</v>
      </c>
      <c r="G32" s="114">
        <f>IF(RTD("wdf.rtq",,F32,5)=0,[1]!s_dq_preclose(F32),RTD("wdf.rtq",,F32,5))</f>
        <v>6.84</v>
      </c>
      <c r="H32" s="118">
        <f>RTD("wdf.rtq",,F32,27)/100</f>
        <v>-4.4000000000000003E-3</v>
      </c>
      <c r="I32" s="115">
        <f t="shared" si="0"/>
        <v>10.7310856</v>
      </c>
      <c r="J32" s="116">
        <f t="shared" si="1"/>
        <v>1.7227858517368615</v>
      </c>
      <c r="K32" s="117">
        <f t="shared" si="2"/>
        <v>2.7227858517368615</v>
      </c>
      <c r="M32" s="4">
        <v>9</v>
      </c>
      <c r="N32" s="31" t="str">
        <f t="shared" si="7"/>
        <v>海螺水泥</v>
      </c>
      <c r="O32" s="7">
        <f t="shared" si="8"/>
        <v>0.11988525985966403</v>
      </c>
      <c r="P32" s="122">
        <f t="shared" si="9"/>
        <v>24.68</v>
      </c>
      <c r="Q32" s="122">
        <f t="shared" si="10"/>
        <v>24.2</v>
      </c>
    </row>
    <row r="33" spans="1:17" s="11" customFormat="1" ht="16.5" customHeight="1" x14ac:dyDescent="0.35">
      <c r="A33" s="143">
        <f>RANK(J33,$J$5:$J$162)+COUNTIF(J$5:J33,J33)-1</f>
        <v>151</v>
      </c>
      <c r="B33" s="108">
        <f>RTD("wdf.rtq",,D33,27)/100</f>
        <v>4.0400000000000012E-2</v>
      </c>
      <c r="C33" s="109">
        <f>RTD("wdf.rtq",,D33,"LastPrice")</f>
        <v>85.5</v>
      </c>
      <c r="D33" s="140" t="str">
        <f>公司名单!D30</f>
        <v>688331.SH</v>
      </c>
      <c r="E33" s="140" t="str">
        <f>公司名单!C30</f>
        <v>荣昌生物</v>
      </c>
      <c r="F33" s="140" t="str">
        <f>公司名单!E30</f>
        <v>9995.HK</v>
      </c>
      <c r="G33" s="109">
        <f>IF(RTD("wdf.rtq",,F33,5)=0,[1]!s_dq_preclose(F33),RTD("wdf.rtq",,F33,5))</f>
        <v>90.65</v>
      </c>
      <c r="H33" s="108">
        <f>RTD("wdf.rtq",,F33,27)/100</f>
        <v>2.2000000000000002E-2</v>
      </c>
      <c r="I33" s="111">
        <f t="shared" si="0"/>
        <v>2.9486709999999903</v>
      </c>
      <c r="J33" s="112">
        <f t="shared" si="1"/>
        <v>3.5719243235926568E-2</v>
      </c>
      <c r="K33" s="113">
        <f t="shared" si="2"/>
        <v>1.0357192432359266</v>
      </c>
      <c r="M33" s="41">
        <v>10</v>
      </c>
      <c r="N33" s="29" t="str">
        <f t="shared" si="7"/>
        <v>三花智控</v>
      </c>
      <c r="O33" s="42">
        <f t="shared" si="8"/>
        <v>0.13304102223380276</v>
      </c>
      <c r="P33" s="123">
        <f t="shared" si="9"/>
        <v>30.810000000000002</v>
      </c>
      <c r="Q33" s="123">
        <f t="shared" si="10"/>
        <v>29.86</v>
      </c>
    </row>
    <row r="34" spans="1:17" s="11" customFormat="1" ht="16.5" customHeight="1" x14ac:dyDescent="0.35">
      <c r="A34" s="143">
        <f>RANK(J34,$J$5:$J$162)+COUNTIF(J$5:J34,J34)-1</f>
        <v>92</v>
      </c>
      <c r="B34" s="118">
        <f>RTD("wdf.rtq",,D34,27)/100</f>
        <v>-9.1999999999999998E-3</v>
      </c>
      <c r="C34" s="114">
        <f>RTD("wdf.rtq",,D34,"LastPrice")</f>
        <v>45.42</v>
      </c>
      <c r="D34" s="141" t="str">
        <f>公司名单!D31</f>
        <v>000063.SZ</v>
      </c>
      <c r="E34" s="141" t="str">
        <f>公司名单!C31</f>
        <v>中兴通讯</v>
      </c>
      <c r="F34" s="141" t="str">
        <f>公司名单!E31</f>
        <v>0763.HK</v>
      </c>
      <c r="G34" s="114">
        <f>IF(RTD("wdf.rtq",,F34,5)=0,[1]!s_dq_preclose(F34),RTD("wdf.rtq",,F34,5))</f>
        <v>35.6</v>
      </c>
      <c r="H34" s="118">
        <f>RTD("wdf.rtq",,F34,27)/100</f>
        <v>-4.0400000000000012E-2</v>
      </c>
      <c r="I34" s="115">
        <f t="shared" si="0"/>
        <v>13.000503999999999</v>
      </c>
      <c r="J34" s="116">
        <f t="shared" si="1"/>
        <v>0.40100882506008118</v>
      </c>
      <c r="K34" s="117">
        <f t="shared" si="2"/>
        <v>1.4010088250600812</v>
      </c>
      <c r="M34" s="33"/>
    </row>
    <row r="35" spans="1:17" s="11" customFormat="1" ht="16.5" customHeight="1" x14ac:dyDescent="0.35">
      <c r="A35" s="143">
        <f>RANK(J35,$J$5:$J$162)+COUNTIF(J$5:J35,J35)-1</f>
        <v>123</v>
      </c>
      <c r="B35" s="108">
        <f>RTD("wdf.rtq",,D35,27)/100</f>
        <v>1.1600000000000001E-2</v>
      </c>
      <c r="C35" s="109">
        <f>RTD("wdf.rtq",,D35,"LastPrice")</f>
        <v>32.33</v>
      </c>
      <c r="D35" s="140" t="str">
        <f>公司名单!D32</f>
        <v>600547.SH</v>
      </c>
      <c r="E35" s="140" t="str">
        <f>公司名单!C32</f>
        <v>山东黄金</v>
      </c>
      <c r="F35" s="140" t="str">
        <f>公司名单!E32</f>
        <v>1787.HK</v>
      </c>
      <c r="G35" s="109">
        <f>IF(RTD("wdf.rtq",,F35,5)=0,[1]!s_dq_preclose(F35),RTD("wdf.rtq",,F35,5))</f>
        <v>28.7</v>
      </c>
      <c r="H35" s="108">
        <f>RTD("wdf.rtq",,F35,27)/100</f>
        <v>3.6799999999999999E-2</v>
      </c>
      <c r="I35" s="111">
        <f t="shared" si="0"/>
        <v>6.1940579999999983</v>
      </c>
      <c r="J35" s="112">
        <f t="shared" si="1"/>
        <v>0.23699386844369319</v>
      </c>
      <c r="K35" s="113">
        <f t="shared" si="2"/>
        <v>1.2369938684436932</v>
      </c>
      <c r="M35" s="33"/>
    </row>
    <row r="36" spans="1:17" s="11" customFormat="1" ht="16.5" customHeight="1" x14ac:dyDescent="0.35">
      <c r="A36" s="143">
        <f>RANK(J36,$J$5:$J$162)+COUNTIF(J$5:J36,J36)-1</f>
        <v>62</v>
      </c>
      <c r="B36" s="118">
        <f>RTD("wdf.rtq",,D36,27)/100</f>
        <v>8.0999999999999996E-3</v>
      </c>
      <c r="C36" s="114">
        <f>RTD("wdf.rtq",,D36,"LastPrice")</f>
        <v>14.97</v>
      </c>
      <c r="D36" s="141" t="str">
        <f>公司名单!D33</f>
        <v>603906.SH</v>
      </c>
      <c r="E36" s="141" t="str">
        <f>公司名单!C33</f>
        <v>龙蟠科技</v>
      </c>
      <c r="F36" s="141" t="str">
        <f>公司名单!E33</f>
        <v>2465.HK</v>
      </c>
      <c r="G36" s="114">
        <f>IF(RTD("wdf.rtq",,F36,5)=0,[1]!s_dq_preclose(F36),RTD("wdf.rtq",,F36,5))</f>
        <v>10.43</v>
      </c>
      <c r="H36" s="118">
        <f>RTD("wdf.rtq",,F36,27)/100</f>
        <v>7.5300000000000006E-2</v>
      </c>
      <c r="I36" s="115">
        <f t="shared" ref="I36:I65" si="11">C36-G36*HKS_CNY中间价最新</f>
        <v>5.471816200000001</v>
      </c>
      <c r="J36" s="116">
        <f t="shared" ref="J36:J67" si="12">IF(G36=0,"",(C36/(G36*HKS_CNY中间价最新)-1))</f>
        <v>0.57609078906222067</v>
      </c>
      <c r="K36" s="117">
        <f t="shared" ref="K36:K67" si="13">IF(G36=0,"",C36/(G36*HKS_CNY中间价最新))</f>
        <v>1.5760907890622207</v>
      </c>
      <c r="M36" s="33"/>
    </row>
    <row r="37" spans="1:17" s="11" customFormat="1" ht="16.5" customHeight="1" x14ac:dyDescent="0.35">
      <c r="A37" s="143">
        <f>RANK(J37,$J$5:$J$162)+COUNTIF(J$5:J37,J37)-1</f>
        <v>103</v>
      </c>
      <c r="B37" s="108">
        <f>RTD("wdf.rtq",,D37,27)/100</f>
        <v>-2.5999999999999999E-3</v>
      </c>
      <c r="C37" s="109">
        <f>RTD("wdf.rtq",,D37,"LastPrice")</f>
        <v>3.81</v>
      </c>
      <c r="D37" s="140" t="str">
        <f>公司名单!D34</f>
        <v>003816.SZ</v>
      </c>
      <c r="E37" s="140" t="str">
        <f>公司名单!C34</f>
        <v>中国广核</v>
      </c>
      <c r="F37" s="140" t="str">
        <f>公司名单!E34</f>
        <v>1816.HK</v>
      </c>
      <c r="G37" s="109">
        <f>IF(RTD("wdf.rtq",,F37,5)=0,[1]!s_dq_preclose(F37),RTD("wdf.rtq",,F37,5))</f>
        <v>3.13</v>
      </c>
      <c r="H37" s="108">
        <f>RTD("wdf.rtq",,F37,27)/100</f>
        <v>-6.3E-3</v>
      </c>
      <c r="I37" s="111">
        <f t="shared" si="11"/>
        <v>0.95963419999999999</v>
      </c>
      <c r="J37" s="112">
        <f t="shared" si="12"/>
        <v>0.3366705424265195</v>
      </c>
      <c r="K37" s="113">
        <f t="shared" si="13"/>
        <v>1.3366705424265195</v>
      </c>
      <c r="M37" s="33"/>
    </row>
    <row r="38" spans="1:17" s="11" customFormat="1" ht="16.5" customHeight="1" x14ac:dyDescent="0.35">
      <c r="A38" s="143">
        <f>RANK(J38,$J$5:$J$162)+COUNTIF(J$5:J38,J38)-1</f>
        <v>101</v>
      </c>
      <c r="B38" s="118">
        <f>RTD("wdf.rtq",,D38,27)/100</f>
        <v>-2.5100000000000001E-2</v>
      </c>
      <c r="C38" s="114">
        <f>RTD("wdf.rtq",,D38,"LastPrice")</f>
        <v>6.98</v>
      </c>
      <c r="D38" s="141" t="str">
        <f>公司名单!D35</f>
        <v>000002.SZ</v>
      </c>
      <c r="E38" s="141" t="str">
        <f>公司名单!C35</f>
        <v>万 科Ａ</v>
      </c>
      <c r="F38" s="141" t="str">
        <f>公司名单!E35</f>
        <v>2202.HK</v>
      </c>
      <c r="G38" s="114">
        <f>IF(RTD("wdf.rtq",,F38,5)=0,[1]!s_dq_preclose(F38),RTD("wdf.rtq",,F38,5))</f>
        <v>5.68</v>
      </c>
      <c r="H38" s="118">
        <f>RTD("wdf.rtq",,F38,27)/100</f>
        <v>0</v>
      </c>
      <c r="I38" s="115">
        <f t="shared" si="11"/>
        <v>1.8074512000000009</v>
      </c>
      <c r="J38" s="116">
        <f t="shared" si="12"/>
        <v>0.34943144470671816</v>
      </c>
      <c r="K38" s="117">
        <f t="shared" si="13"/>
        <v>1.3494314447067182</v>
      </c>
      <c r="M38" s="33"/>
    </row>
    <row r="39" spans="1:17" s="11" customFormat="1" ht="16.5" customHeight="1" x14ac:dyDescent="0.35">
      <c r="A39" s="143">
        <f>RANK(J39,$J$5:$J$162)+COUNTIF(J$5:J39,J39)-1</f>
        <v>69</v>
      </c>
      <c r="B39" s="108">
        <f>RTD("wdf.rtq",,D39,27)/100</f>
        <v>2.46E-2</v>
      </c>
      <c r="C39" s="109">
        <f>RTD("wdf.rtq",,D39,"LastPrice")</f>
        <v>26.29</v>
      </c>
      <c r="D39" s="140" t="str">
        <f>公司名单!D36</f>
        <v>601633.SH</v>
      </c>
      <c r="E39" s="140" t="str">
        <f>公司名单!C36</f>
        <v>长城汽车</v>
      </c>
      <c r="F39" s="140" t="str">
        <f>公司名单!E36</f>
        <v>2333.HK</v>
      </c>
      <c r="G39" s="109">
        <f>IF(RTD("wdf.rtq",,F39,5)=0,[1]!s_dq_preclose(F39),RTD("wdf.rtq",,F39,5))</f>
        <v>18.8</v>
      </c>
      <c r="H39" s="108">
        <f>RTD("wdf.rtq",,F39,27)/100</f>
        <v>3.8700000000000005E-2</v>
      </c>
      <c r="I39" s="111">
        <f t="shared" si="11"/>
        <v>9.169591999999998</v>
      </c>
      <c r="J39" s="112">
        <f t="shared" si="12"/>
        <v>0.53559424518387622</v>
      </c>
      <c r="K39" s="113">
        <f t="shared" si="13"/>
        <v>1.5355942451838762</v>
      </c>
      <c r="M39" s="33"/>
    </row>
    <row r="40" spans="1:17" s="11" customFormat="1" ht="16.5" customHeight="1" x14ac:dyDescent="0.35">
      <c r="A40" s="143">
        <f>RANK(J40,$J$5:$J$162)+COUNTIF(J$5:J40,J40)-1</f>
        <v>81</v>
      </c>
      <c r="B40" s="118">
        <f>RTD("wdf.rtq",,D40,27)/100</f>
        <v>2.5000000000000001E-3</v>
      </c>
      <c r="C40" s="114">
        <f>RTD("wdf.rtq",,D40,"LastPrice")</f>
        <v>16.11</v>
      </c>
      <c r="D40" s="141" t="str">
        <f>公司名单!D37</f>
        <v>601811.SH</v>
      </c>
      <c r="E40" s="141" t="str">
        <f>公司名单!C37</f>
        <v>新华文轩</v>
      </c>
      <c r="F40" s="141" t="str">
        <f>公司名单!E37</f>
        <v>0811.HK</v>
      </c>
      <c r="G40" s="114">
        <f>IF(RTD("wdf.rtq",,F40,5)=0,[1]!s_dq_preclose(F40),RTD("wdf.rtq",,F40,5))</f>
        <v>12.16</v>
      </c>
      <c r="H40" s="118">
        <f>RTD("wdf.rtq",,F40,27)/100</f>
        <v>-7.3000000000000001E-3</v>
      </c>
      <c r="I40" s="115">
        <f t="shared" si="11"/>
        <v>5.0363743999999997</v>
      </c>
      <c r="J40" s="116">
        <f t="shared" si="12"/>
        <v>0.45480808020094154</v>
      </c>
      <c r="K40" s="117">
        <f t="shared" si="13"/>
        <v>1.4548080802009415</v>
      </c>
      <c r="M40" s="33"/>
    </row>
    <row r="41" spans="1:17" s="11" customFormat="1" ht="16.5" customHeight="1" x14ac:dyDescent="0.35">
      <c r="A41" s="143">
        <f>RANK(J41,$J$5:$J$162)+COUNTIF(J$5:J41,J41)-1</f>
        <v>49</v>
      </c>
      <c r="B41" s="108">
        <f>RTD("wdf.rtq",,D41,27)/100</f>
        <v>-1.26E-2</v>
      </c>
      <c r="C41" s="109">
        <f>RTD("wdf.rtq",,D41,"LastPrice")</f>
        <v>18.760000000000002</v>
      </c>
      <c r="D41" s="140" t="str">
        <f>公司名单!D38</f>
        <v>601881.SH</v>
      </c>
      <c r="E41" s="140" t="str">
        <f>公司名单!C38</f>
        <v>中国银河</v>
      </c>
      <c r="F41" s="140" t="str">
        <f>公司名单!E38</f>
        <v>6881.HK</v>
      </c>
      <c r="G41" s="109">
        <f>IF(RTD("wdf.rtq",,F41,5)=0,[1]!s_dq_preclose(F41),RTD("wdf.rtq",,F41,5))</f>
        <v>12.23</v>
      </c>
      <c r="H41" s="108">
        <f>RTD("wdf.rtq",,F41,27)/100</f>
        <v>-2.1600000000000001E-2</v>
      </c>
      <c r="I41" s="111">
        <f t="shared" si="11"/>
        <v>7.6226282000000012</v>
      </c>
      <c r="J41" s="112">
        <f t="shared" si="12"/>
        <v>0.68441893984359936</v>
      </c>
      <c r="K41" s="113">
        <f t="shared" si="13"/>
        <v>1.6844189398435994</v>
      </c>
      <c r="M41" s="33"/>
    </row>
    <row r="42" spans="1:17" s="11" customFormat="1" ht="16.5" customHeight="1" x14ac:dyDescent="0.35">
      <c r="A42" s="143">
        <f>RANK(J42,$J$5:$J$162)+COUNTIF(J$5:J42,J42)-1</f>
        <v>40</v>
      </c>
      <c r="B42" s="118">
        <f>RTD("wdf.rtq",,D42,27)/100</f>
        <v>-9.300000000000001E-3</v>
      </c>
      <c r="C42" s="114">
        <f>RTD("wdf.rtq",,D42,"LastPrice")</f>
        <v>9.5400000000000009</v>
      </c>
      <c r="D42" s="141" t="str">
        <f>公司名单!D39</f>
        <v>601800.SH</v>
      </c>
      <c r="E42" s="141" t="str">
        <f>公司名单!C39</f>
        <v>中国交建</v>
      </c>
      <c r="F42" s="141" t="str">
        <f>公司名单!E39</f>
        <v>1800.HK</v>
      </c>
      <c r="G42" s="114">
        <f>IF(RTD("wdf.rtq",,F42,5)=0,[1]!s_dq_preclose(F42),RTD("wdf.rtq",,F42,5))</f>
        <v>5.83</v>
      </c>
      <c r="H42" s="118">
        <f>RTD("wdf.rtq",,F42,27)/100</f>
        <v>-8.5000000000000006E-3</v>
      </c>
      <c r="I42" s="115">
        <f t="shared" si="11"/>
        <v>4.2308522000000011</v>
      </c>
      <c r="J42" s="116">
        <f t="shared" si="12"/>
        <v>0.79689855309735425</v>
      </c>
      <c r="K42" s="117">
        <f t="shared" si="13"/>
        <v>1.7968985530973542</v>
      </c>
      <c r="M42" s="33"/>
    </row>
    <row r="43" spans="1:17" s="11" customFormat="1" ht="16.5" customHeight="1" x14ac:dyDescent="0.35">
      <c r="A43" s="143">
        <f>RANK(J43,$J$5:$J$162)+COUNTIF(J$5:J43,J43)-1</f>
        <v>44</v>
      </c>
      <c r="B43" s="108">
        <f>RTD("wdf.rtq",,D43,27)/100</f>
        <v>-3.6000000000000003E-3</v>
      </c>
      <c r="C43" s="109">
        <f>RTD("wdf.rtq",,D43,"LastPrice")</f>
        <v>5.6000000000000005</v>
      </c>
      <c r="D43" s="140" t="str">
        <f>公司名单!D40</f>
        <v>688009.SH</v>
      </c>
      <c r="E43" s="140" t="str">
        <f>公司名单!C40</f>
        <v>中国通号</v>
      </c>
      <c r="F43" s="140" t="str">
        <f>公司名单!E40</f>
        <v>3969.HK</v>
      </c>
      <c r="G43" s="109">
        <f>IF(RTD("wdf.rtq",,F43,5)=0,[1]!s_dq_preclose(F43),RTD("wdf.rtq",,F43,5))</f>
        <v>3.5100000000000002</v>
      </c>
      <c r="H43" s="108">
        <f>RTD("wdf.rtq",,F43,27)/100</f>
        <v>-8.5000000000000006E-3</v>
      </c>
      <c r="I43" s="111">
        <f t="shared" si="11"/>
        <v>2.4035834</v>
      </c>
      <c r="J43" s="112">
        <f t="shared" si="12"/>
        <v>0.75196186880020566</v>
      </c>
      <c r="K43" s="113">
        <f t="shared" si="13"/>
        <v>1.7519618688002057</v>
      </c>
      <c r="M43" s="33"/>
    </row>
    <row r="44" spans="1:17" s="11" customFormat="1" ht="16.5" customHeight="1" x14ac:dyDescent="0.35">
      <c r="A44" s="143">
        <f>RANK(J44,$J$5:$J$162)+COUNTIF(J$5:J44,J44)-1</f>
        <v>3</v>
      </c>
      <c r="B44" s="118">
        <f>RTD("wdf.rtq",,D44,27)/100</f>
        <v>1.1699999999999999E-2</v>
      </c>
      <c r="C44" s="114">
        <f>RTD("wdf.rtq",,D44,"LastPrice")</f>
        <v>13.83</v>
      </c>
      <c r="D44" s="141" t="str">
        <f>公司名单!D41</f>
        <v>600860.SH</v>
      </c>
      <c r="E44" s="141" t="str">
        <f>公司名单!C41</f>
        <v>京城股份</v>
      </c>
      <c r="F44" s="141" t="str">
        <f>公司名单!E41</f>
        <v>0187.HK</v>
      </c>
      <c r="G44" s="114">
        <f>IF(RTD("wdf.rtq",,F44,5)=0,[1]!s_dq_preclose(F44),RTD("wdf.rtq",,F44,5))</f>
        <v>5.28</v>
      </c>
      <c r="H44" s="118">
        <f>RTD("wdf.rtq",,F44,27)/100</f>
        <v>0</v>
      </c>
      <c r="I44" s="115">
        <f t="shared" si="11"/>
        <v>9.0217151999999992</v>
      </c>
      <c r="J44" s="116">
        <f t="shared" si="12"/>
        <v>1.876285531173195</v>
      </c>
      <c r="K44" s="117">
        <f t="shared" si="13"/>
        <v>2.876285531173195</v>
      </c>
      <c r="M44" s="33"/>
    </row>
    <row r="45" spans="1:17" s="11" customFormat="1" ht="16.5" customHeight="1" x14ac:dyDescent="0.35">
      <c r="A45" s="143">
        <f>RANK(J45,$J$5:$J$162)+COUNTIF(J$5:J45,J45)-1</f>
        <v>75</v>
      </c>
      <c r="B45" s="108">
        <f>RTD("wdf.rtq",,D45,27)/100</f>
        <v>-1.8000000000000002E-3</v>
      </c>
      <c r="C45" s="109">
        <f>RTD("wdf.rtq",,D45,"LastPrice")</f>
        <v>22.71</v>
      </c>
      <c r="D45" s="140" t="str">
        <f>公司名单!D42</f>
        <v>688236.SH</v>
      </c>
      <c r="E45" s="140" t="str">
        <f>公司名单!C42</f>
        <v>春立医疗</v>
      </c>
      <c r="F45" s="140" t="str">
        <f>公司名单!E42</f>
        <v>1858.HK</v>
      </c>
      <c r="G45" s="109">
        <f>IF(RTD("wdf.rtq",,F45,5)=0,[1]!s_dq_preclose(F45),RTD("wdf.rtq",,F45,5))</f>
        <v>16.59</v>
      </c>
      <c r="H45" s="108">
        <f>RTD("wdf.rtq",,F45,27)/100</f>
        <v>1.84E-2</v>
      </c>
      <c r="I45" s="111">
        <f t="shared" si="11"/>
        <v>7.6021505999999999</v>
      </c>
      <c r="J45" s="112">
        <f t="shared" si="12"/>
        <v>0.50319210886494536</v>
      </c>
      <c r="K45" s="113">
        <f t="shared" si="13"/>
        <v>1.5031921088649454</v>
      </c>
      <c r="M45" s="33"/>
    </row>
    <row r="46" spans="1:17" s="11" customFormat="1" ht="16.5" customHeight="1" x14ac:dyDescent="0.35">
      <c r="A46" s="143">
        <f>RANK(J46,$J$5:$J$162)+COUNTIF(J$5:J46,J46)-1</f>
        <v>115</v>
      </c>
      <c r="B46" s="118">
        <f>RTD("wdf.rtq",,D46,27)/100</f>
        <v>8.8999999999999999E-3</v>
      </c>
      <c r="C46" s="114">
        <f>RTD("wdf.rtq",,D46,"LastPrice")</f>
        <v>5.69</v>
      </c>
      <c r="D46" s="141" t="str">
        <f>公司名单!D43</f>
        <v>601107.SH</v>
      </c>
      <c r="E46" s="141" t="str">
        <f>公司名单!C43</f>
        <v>四川成渝</v>
      </c>
      <c r="F46" s="141" t="str">
        <f>公司名单!E43</f>
        <v>0107.HK</v>
      </c>
      <c r="G46" s="114">
        <f>IF(RTD("wdf.rtq",,F46,5)=0,[1]!s_dq_preclose(F46),RTD("wdf.rtq",,F46,5))</f>
        <v>4.91</v>
      </c>
      <c r="H46" s="118">
        <f>RTD("wdf.rtq",,F46,27)/100</f>
        <v>6.0999999999999995E-3</v>
      </c>
      <c r="I46" s="115">
        <f t="shared" si="11"/>
        <v>1.2186593999999999</v>
      </c>
      <c r="J46" s="116">
        <f t="shared" si="12"/>
        <v>0.27254899794482212</v>
      </c>
      <c r="K46" s="117">
        <f t="shared" si="13"/>
        <v>1.2725489979448221</v>
      </c>
      <c r="M46" s="33"/>
    </row>
    <row r="47" spans="1:17" s="11" customFormat="1" ht="16.5" customHeight="1" x14ac:dyDescent="0.35">
      <c r="A47" s="143">
        <f>RANK(J47,$J$5:$J$162)+COUNTIF(J$5:J47,J47)-1</f>
        <v>45</v>
      </c>
      <c r="B47" s="108">
        <f>RTD("wdf.rtq",,D47,27)/100</f>
        <v>6.0000000000000006E-4</v>
      </c>
      <c r="C47" s="109">
        <f>RTD("wdf.rtq",,D47,"LastPrice")</f>
        <v>17.059999999999999</v>
      </c>
      <c r="D47" s="140" t="str">
        <f>公司名单!D44</f>
        <v>601865.SH</v>
      </c>
      <c r="E47" s="140" t="str">
        <f>公司名单!C44</f>
        <v>福莱特</v>
      </c>
      <c r="F47" s="140" t="str">
        <f>公司名单!E44</f>
        <v>6865.HK</v>
      </c>
      <c r="G47" s="109">
        <f>IF(RTD("wdf.rtq",,F47,5)=0,[1]!s_dq_preclose(F47),RTD("wdf.rtq",,F47,5))</f>
        <v>10.700000000000001</v>
      </c>
      <c r="H47" s="108">
        <f>RTD("wdf.rtq",,F47,27)/100</f>
        <v>1.61E-2</v>
      </c>
      <c r="I47" s="111">
        <f t="shared" si="11"/>
        <v>7.3159379999999974</v>
      </c>
      <c r="J47" s="112">
        <f t="shared" si="12"/>
        <v>0.75080987785176201</v>
      </c>
      <c r="K47" s="113">
        <f t="shared" si="13"/>
        <v>1.750809877851762</v>
      </c>
      <c r="M47" s="33"/>
    </row>
    <row r="48" spans="1:17" s="11" customFormat="1" ht="16.5" customHeight="1" x14ac:dyDescent="0.35">
      <c r="A48" s="143">
        <f>RANK(J48,$J$5:$J$162)+COUNTIF(J$5:J48,J48)-1</f>
        <v>83</v>
      </c>
      <c r="B48" s="118">
        <f>RTD("wdf.rtq",,D48,27)/100</f>
        <v>-1.2999999999999999E-3</v>
      </c>
      <c r="C48" s="114">
        <f>RTD("wdf.rtq",,D48,"LastPrice")</f>
        <v>7.44</v>
      </c>
      <c r="D48" s="141" t="str">
        <f>公司名单!D45</f>
        <v>600011.SH</v>
      </c>
      <c r="E48" s="141" t="str">
        <f>公司名单!C45</f>
        <v>华能国际</v>
      </c>
      <c r="F48" s="141" t="str">
        <f>公司名单!E45</f>
        <v>0902.HK</v>
      </c>
      <c r="G48" s="114">
        <f>IF(RTD("wdf.rtq",,F48,5)=0,[1]!s_dq_preclose(F48),RTD("wdf.rtq",,F48,5))</f>
        <v>5.65</v>
      </c>
      <c r="H48" s="118">
        <f>RTD("wdf.rtq",,F48,27)/100</f>
        <v>-1.2199999999999999E-2</v>
      </c>
      <c r="I48" s="115">
        <f t="shared" si="11"/>
        <v>2.2947709999999999</v>
      </c>
      <c r="J48" s="116">
        <f t="shared" si="12"/>
        <v>0.44599977960164638</v>
      </c>
      <c r="K48" s="117">
        <f t="shared" si="13"/>
        <v>1.4459997796016464</v>
      </c>
      <c r="M48" s="33"/>
    </row>
    <row r="49" spans="1:13" s="11" customFormat="1" ht="16.5" customHeight="1" x14ac:dyDescent="0.35">
      <c r="A49" s="143">
        <f>RANK(J49,$J$5:$J$162)+COUNTIF(J$5:J49,J49)-1</f>
        <v>121</v>
      </c>
      <c r="B49" s="108">
        <f>RTD("wdf.rtq",,D49,27)/100</f>
        <v>-5.4900000000000004E-2</v>
      </c>
      <c r="C49" s="109">
        <f>RTD("wdf.rtq",,D49,"LastPrice")</f>
        <v>104.52</v>
      </c>
      <c r="D49" s="140" t="str">
        <f>公司名单!D46</f>
        <v>002821.SZ</v>
      </c>
      <c r="E49" s="140" t="str">
        <f>公司名单!C46</f>
        <v>凯莱英</v>
      </c>
      <c r="F49" s="140" t="str">
        <f>公司名单!E46</f>
        <v>6821.HK</v>
      </c>
      <c r="G49" s="109">
        <f>IF(RTD("wdf.rtq",,F49,5)=0,[1]!s_dq_preclose(F49),RTD("wdf.rtq",,F49,5))</f>
        <v>92.600000000000009</v>
      </c>
      <c r="H49" s="108">
        <f>RTD("wdf.rtq",,F49,27)/100</f>
        <v>-6.8900000000000003E-2</v>
      </c>
      <c r="I49" s="111">
        <f t="shared" si="11"/>
        <v>20.192883999999992</v>
      </c>
      <c r="J49" s="112">
        <f t="shared" si="12"/>
        <v>0.23945896596297667</v>
      </c>
      <c r="K49" s="113">
        <f t="shared" si="13"/>
        <v>1.2394589659629767</v>
      </c>
      <c r="M49" s="33"/>
    </row>
    <row r="50" spans="1:13" s="11" customFormat="1" ht="16.5" customHeight="1" x14ac:dyDescent="0.35">
      <c r="A50" s="143">
        <f>RANK(J50,$J$5:$J$162)+COUNTIF(J$5:J50,J50)-1</f>
        <v>16</v>
      </c>
      <c r="B50" s="118">
        <f>RTD("wdf.rtq",,D50,27)/100</f>
        <v>-4.5000000000000005E-3</v>
      </c>
      <c r="C50" s="114">
        <f>RTD("wdf.rtq",,D50,"LastPrice")</f>
        <v>13.41</v>
      </c>
      <c r="D50" s="141" t="str">
        <f>公司名单!D47</f>
        <v>002399.SZ</v>
      </c>
      <c r="E50" s="141" t="str">
        <f>公司名单!C47</f>
        <v>海普瑞</v>
      </c>
      <c r="F50" s="141" t="str">
        <f>公司名单!E47</f>
        <v>9989.HK</v>
      </c>
      <c r="G50" s="114">
        <f>IF(RTD("wdf.rtq",,F50,5)=0,[1]!s_dq_preclose(F50),RTD("wdf.rtq",,F50,5))</f>
        <v>6.5</v>
      </c>
      <c r="H50" s="118">
        <f>RTD("wdf.rtq",,F50,27)/100</f>
        <v>-1.52E-2</v>
      </c>
      <c r="I50" s="115">
        <f t="shared" si="11"/>
        <v>7.49071</v>
      </c>
      <c r="J50" s="116">
        <f t="shared" si="12"/>
        <v>1.2654744065588948</v>
      </c>
      <c r="K50" s="117">
        <f t="shared" si="13"/>
        <v>2.2654744065588948</v>
      </c>
      <c r="M50" s="33"/>
    </row>
    <row r="51" spans="1:13" s="11" customFormat="1" ht="16.5" customHeight="1" x14ac:dyDescent="0.35">
      <c r="A51" s="143">
        <f>RANK(J51,$J$5:$J$162)+COUNTIF(J$5:J51,J51)-1</f>
        <v>11</v>
      </c>
      <c r="B51" s="108">
        <f>RTD("wdf.rtq",,D51,27)/100</f>
        <v>-1.0200000000000001E-2</v>
      </c>
      <c r="C51" s="109">
        <f>RTD("wdf.rtq",,D51,"LastPrice")</f>
        <v>12.66</v>
      </c>
      <c r="D51" s="140" t="str">
        <f>公司名单!D48</f>
        <v>600775.SH</v>
      </c>
      <c r="E51" s="140" t="str">
        <f>公司名单!C48</f>
        <v>南京熊猫</v>
      </c>
      <c r="F51" s="140" t="str">
        <f>公司名单!E48</f>
        <v>0553.HK</v>
      </c>
      <c r="G51" s="109">
        <f>IF(RTD("wdf.rtq",,F51,5)=0,[1]!s_dq_preclose(F51),RTD("wdf.rtq",,F51,5))</f>
        <v>5.83</v>
      </c>
      <c r="H51" s="108">
        <f>RTD("wdf.rtq",,F51,27)/100</f>
        <v>-1.3500000000000002E-2</v>
      </c>
      <c r="I51" s="111">
        <f t="shared" si="11"/>
        <v>7.3508522000000003</v>
      </c>
      <c r="J51" s="112">
        <f t="shared" si="12"/>
        <v>1.3845634887015201</v>
      </c>
      <c r="K51" s="113">
        <f t="shared" si="13"/>
        <v>2.3845634887015201</v>
      </c>
      <c r="M51" s="33"/>
    </row>
    <row r="52" spans="1:13" s="11" customFormat="1" ht="16.5" customHeight="1" x14ac:dyDescent="0.35">
      <c r="A52" s="143">
        <f>RANK(J52,$J$5:$J$162)+COUNTIF(J$5:J52,J52)-1</f>
        <v>105</v>
      </c>
      <c r="B52" s="118">
        <f>RTD("wdf.rtq",,D52,27)/100</f>
        <v>3.1E-2</v>
      </c>
      <c r="C52" s="114">
        <f>RTD("wdf.rtq",,D52,"LastPrice")</f>
        <v>11.98</v>
      </c>
      <c r="D52" s="141" t="str">
        <f>公司名单!D49</f>
        <v>002202.SZ</v>
      </c>
      <c r="E52" s="141" t="str">
        <f>公司名单!C49</f>
        <v>金风科技</v>
      </c>
      <c r="F52" s="141" t="str">
        <f>公司名单!E49</f>
        <v>2208.HK</v>
      </c>
      <c r="G52" s="114">
        <f>IF(RTD("wdf.rtq",,F52,5)=0,[1]!s_dq_preclose(F52),RTD("wdf.rtq",,F52,5))</f>
        <v>9.8800000000000008</v>
      </c>
      <c r="H52" s="118">
        <f>RTD("wdf.rtq",,F52,27)/100</f>
        <v>3.78E-2</v>
      </c>
      <c r="I52" s="115">
        <f t="shared" si="11"/>
        <v>2.9826791999999998</v>
      </c>
      <c r="J52" s="116">
        <f t="shared" si="12"/>
        <v>0.33150748609519387</v>
      </c>
      <c r="K52" s="117">
        <f t="shared" si="13"/>
        <v>1.3315074860951939</v>
      </c>
      <c r="M52" s="33"/>
    </row>
    <row r="53" spans="1:13" s="11" customFormat="1" ht="16.5" customHeight="1" x14ac:dyDescent="0.35">
      <c r="A53" s="143">
        <f>RANK(J53,$J$5:$J$162)+COUNTIF(J$5:J53,J53)-1</f>
        <v>71</v>
      </c>
      <c r="B53" s="108">
        <f>RTD("wdf.rtq",,D53,27)/100</f>
        <v>-1.8200000000000001E-2</v>
      </c>
      <c r="C53" s="109">
        <f>RTD("wdf.rtq",,D53,"LastPrice")</f>
        <v>32.28</v>
      </c>
      <c r="D53" s="140" t="str">
        <f>公司名单!D50</f>
        <v>603127.SH</v>
      </c>
      <c r="E53" s="140" t="str">
        <f>公司名单!C50</f>
        <v>昭衍新药</v>
      </c>
      <c r="F53" s="140" t="str">
        <f>公司名单!E50</f>
        <v>6127.HK</v>
      </c>
      <c r="G53" s="109">
        <f>IF(RTD("wdf.rtq",,F53,5)=0,[1]!s_dq_preclose(F53),RTD("wdf.rtq",,F53,5))</f>
        <v>23.18</v>
      </c>
      <c r="H53" s="108">
        <f>RTD("wdf.rtq",,F53,27)/100</f>
        <v>-2.2800000000000001E-2</v>
      </c>
      <c r="I53" s="111">
        <f t="shared" si="11"/>
        <v>11.170901199999999</v>
      </c>
      <c r="J53" s="112">
        <f t="shared" si="12"/>
        <v>0.5291983947699368</v>
      </c>
      <c r="K53" s="113">
        <f t="shared" si="13"/>
        <v>1.5291983947699368</v>
      </c>
      <c r="M53" s="33"/>
    </row>
    <row r="54" spans="1:13" s="11" customFormat="1" ht="16.5" customHeight="1" x14ac:dyDescent="0.35">
      <c r="A54" s="143">
        <f>RANK(J54,$J$5:$J$162)+COUNTIF(J$5:J54,J54)-1</f>
        <v>80</v>
      </c>
      <c r="B54" s="118">
        <f>RTD("wdf.rtq",,D54,27)/100</f>
        <v>2.7999999999999995E-3</v>
      </c>
      <c r="C54" s="114">
        <f>RTD("wdf.rtq",,D54,"LastPrice")</f>
        <v>7.28</v>
      </c>
      <c r="D54" s="141" t="str">
        <f>公司名单!D51</f>
        <v>601288.SH</v>
      </c>
      <c r="E54" s="141" t="str">
        <f>公司名单!C51</f>
        <v>农业银行</v>
      </c>
      <c r="F54" s="141" t="str">
        <f>公司名单!E51</f>
        <v>1288.HK</v>
      </c>
      <c r="G54" s="114">
        <f>IF(RTD("wdf.rtq",,F54,5)=0,[1]!s_dq_preclose(F54),RTD("wdf.rtq",,F54,5))</f>
        <v>5.46</v>
      </c>
      <c r="H54" s="118">
        <f>RTD("wdf.rtq",,F54,27)/100</f>
        <v>-7.3000000000000001E-3</v>
      </c>
      <c r="I54" s="115">
        <f t="shared" si="11"/>
        <v>2.3077964</v>
      </c>
      <c r="J54" s="116">
        <f t="shared" si="12"/>
        <v>0.46413956178302906</v>
      </c>
      <c r="K54" s="117">
        <f t="shared" si="13"/>
        <v>1.4641395617830291</v>
      </c>
      <c r="M54" s="33"/>
    </row>
    <row r="55" spans="1:13" s="11" customFormat="1" ht="16.5" customHeight="1" x14ac:dyDescent="0.35">
      <c r="A55" s="143">
        <f>RANK(J55,$J$5:$J$162)+COUNTIF(J$5:J55,J55)-1</f>
        <v>53</v>
      </c>
      <c r="B55" s="108">
        <f>RTD("wdf.rtq",,D55,27)/100</f>
        <v>-3.3E-3</v>
      </c>
      <c r="C55" s="109">
        <f>RTD("wdf.rtq",,D55,"LastPrice")</f>
        <v>2.98</v>
      </c>
      <c r="D55" s="140" t="str">
        <f>公司名单!D52</f>
        <v>601333.SH</v>
      </c>
      <c r="E55" s="140" t="str">
        <f>公司名单!C52</f>
        <v>广深铁路</v>
      </c>
      <c r="F55" s="140" t="str">
        <f>公司名单!E52</f>
        <v>0525.HK</v>
      </c>
      <c r="G55" s="109">
        <f>IF(RTD("wdf.rtq",,F55,5)=0,[1]!s_dq_preclose(F55),RTD("wdf.rtq",,F55,5))</f>
        <v>1.97</v>
      </c>
      <c r="H55" s="108">
        <f>RTD("wdf.rtq",,F55,27)/100</f>
        <v>-1.0100000000000003E-2</v>
      </c>
      <c r="I55" s="111">
        <f t="shared" si="11"/>
        <v>1.1859998</v>
      </c>
      <c r="J55" s="112">
        <f t="shared" si="12"/>
        <v>0.6610923454746549</v>
      </c>
      <c r="K55" s="113">
        <f t="shared" si="13"/>
        <v>1.6610923454746549</v>
      </c>
      <c r="M55" s="33"/>
    </row>
    <row r="56" spans="1:13" s="11" customFormat="1" ht="16.5" customHeight="1" x14ac:dyDescent="0.35">
      <c r="A56" s="143">
        <f>RANK(J56,$J$5:$J$162)+COUNTIF(J$5:J56,J56)-1</f>
        <v>55</v>
      </c>
      <c r="B56" s="118">
        <f>RTD("wdf.rtq",,D56,27)/100</f>
        <v>-6.5000000000000006E-3</v>
      </c>
      <c r="C56" s="114">
        <f>RTD("wdf.rtq",,D56,"LastPrice")</f>
        <v>10.65</v>
      </c>
      <c r="D56" s="141" t="str">
        <f>公司名单!D53</f>
        <v>600548.SH</v>
      </c>
      <c r="E56" s="141" t="str">
        <f>公司名单!C53</f>
        <v>深高速</v>
      </c>
      <c r="F56" s="141" t="str">
        <f>公司名单!E53</f>
        <v>0548.HK</v>
      </c>
      <c r="G56" s="114">
        <f>IF(RTD("wdf.rtq",,F56,5)=0,[1]!s_dq_preclose(F56),RTD("wdf.rtq",,F56,5))</f>
        <v>7.08</v>
      </c>
      <c r="H56" s="118">
        <f>RTD("wdf.rtq",,F56,27)/100</f>
        <v>0.01</v>
      </c>
      <c r="I56" s="115">
        <f t="shared" si="11"/>
        <v>4.2025272000000005</v>
      </c>
      <c r="J56" s="116">
        <f t="shared" si="12"/>
        <v>0.65180999290140473</v>
      </c>
      <c r="K56" s="117">
        <f t="shared" si="13"/>
        <v>1.6518099929014047</v>
      </c>
      <c r="M56" s="33"/>
    </row>
    <row r="57" spans="1:13" s="11" customFormat="1" ht="16.5" customHeight="1" x14ac:dyDescent="0.35">
      <c r="A57" s="143">
        <f>RANK(J57,$J$5:$J$162)+COUNTIF(J$5:J57,J57)-1</f>
        <v>144</v>
      </c>
      <c r="B57" s="108">
        <f>RTD("wdf.rtq",,D57,27)/100</f>
        <v>1.0700000000000001E-2</v>
      </c>
      <c r="C57" s="109">
        <f>RTD("wdf.rtq",,D57,"LastPrice")</f>
        <v>25.57</v>
      </c>
      <c r="D57" s="140" t="str">
        <f>公司名单!D54</f>
        <v>600988.SH</v>
      </c>
      <c r="E57" s="140" t="str">
        <f>公司名单!C54</f>
        <v>赤峰黄金</v>
      </c>
      <c r="F57" s="140" t="str">
        <f>公司名单!E54</f>
        <v>6693.HK</v>
      </c>
      <c r="G57" s="109">
        <f>IF(RTD("wdf.rtq",,F57,5)=0,[1]!s_dq_preclose(F57),RTD("wdf.rtq",,F57,5))</f>
        <v>25.1</v>
      </c>
      <c r="H57" s="108">
        <f>RTD("wdf.rtq",,F57,27)/100</f>
        <v>1.0500000000000001E-2</v>
      </c>
      <c r="I57" s="111">
        <f t="shared" si="11"/>
        <v>2.7124339999999982</v>
      </c>
      <c r="J57" s="112">
        <f t="shared" si="12"/>
        <v>0.11866679068103747</v>
      </c>
      <c r="K57" s="113">
        <f t="shared" si="13"/>
        <v>1.1186667906810375</v>
      </c>
      <c r="M57" s="33"/>
    </row>
    <row r="58" spans="1:13" s="11" customFormat="1" ht="16.5" customHeight="1" x14ac:dyDescent="0.35">
      <c r="A58" s="143">
        <f>RANK(J58,$J$5:$J$162)+COUNTIF(J$5:J58,J58)-1</f>
        <v>43</v>
      </c>
      <c r="B58" s="118">
        <f>RTD("wdf.rtq",,D58,27)/100</f>
        <v>-1.0500000000000001E-2</v>
      </c>
      <c r="C58" s="114">
        <f>RTD("wdf.rtq",,D58,"LastPrice")</f>
        <v>5.67</v>
      </c>
      <c r="D58" s="141" t="str">
        <f>公司名单!D55</f>
        <v>000166.SZ</v>
      </c>
      <c r="E58" s="141" t="str">
        <f>公司名单!C55</f>
        <v>申万宏源</v>
      </c>
      <c r="F58" s="141" t="str">
        <f>公司名单!E55</f>
        <v>6806.HK</v>
      </c>
      <c r="G58" s="114">
        <f>IF(RTD("wdf.rtq",,F58,5)=0,[1]!s_dq_preclose(F58),RTD("wdf.rtq",,F58,5))</f>
        <v>3.54</v>
      </c>
      <c r="H58" s="118">
        <f>RTD("wdf.rtq",,F58,27)/100</f>
        <v>-1.1199999999999998E-2</v>
      </c>
      <c r="I58" s="115">
        <f t="shared" si="11"/>
        <v>2.4462636</v>
      </c>
      <c r="J58" s="116">
        <f t="shared" si="12"/>
        <v>0.75882866849783381</v>
      </c>
      <c r="K58" s="117">
        <f t="shared" si="13"/>
        <v>1.7588286684978338</v>
      </c>
      <c r="M58" s="33"/>
    </row>
    <row r="59" spans="1:13" s="11" customFormat="1" ht="16.5" customHeight="1" x14ac:dyDescent="0.35">
      <c r="A59" s="143">
        <f>RANK(J59,$J$5:$J$162)+COUNTIF(J$5:J59,J59)-1</f>
        <v>14</v>
      </c>
      <c r="B59" s="108">
        <f>RTD("wdf.rtq",,D59,27)/100</f>
        <v>-3.6000000000000003E-3</v>
      </c>
      <c r="C59" s="109">
        <f>RTD("wdf.rtq",,D59,"LastPrice")</f>
        <v>16.55</v>
      </c>
      <c r="D59" s="140" t="str">
        <f>公司名单!D56</f>
        <v>000756.SZ</v>
      </c>
      <c r="E59" s="140" t="str">
        <f>公司名单!C56</f>
        <v>新华制药</v>
      </c>
      <c r="F59" s="140" t="str">
        <f>公司名单!E56</f>
        <v>0719.HK</v>
      </c>
      <c r="G59" s="109">
        <f>IF(RTD("wdf.rtq",,F59,5)=0,[1]!s_dq_preclose(F59),RTD("wdf.rtq",,F59,5))</f>
        <v>7.83</v>
      </c>
      <c r="H59" s="108">
        <f>RTD("wdf.rtq",,F59,27)/100</f>
        <v>-1.0100000000000003E-2</v>
      </c>
      <c r="I59" s="111">
        <f t="shared" si="11"/>
        <v>9.4195322000000008</v>
      </c>
      <c r="J59" s="112">
        <f t="shared" si="12"/>
        <v>1.3210258378840165</v>
      </c>
      <c r="K59" s="113">
        <f t="shared" si="13"/>
        <v>2.3210258378840165</v>
      </c>
      <c r="M59" s="33"/>
    </row>
    <row r="60" spans="1:13" s="11" customFormat="1" ht="16.5" customHeight="1" x14ac:dyDescent="0.35">
      <c r="A60" s="143">
        <f>RANK(J60,$J$5:$J$162)+COUNTIF(J$5:J60,J60)-1</f>
        <v>9</v>
      </c>
      <c r="B60" s="118">
        <f>RTD("wdf.rtq",,D60,27)/100</f>
        <v>-2.4900000000000002E-2</v>
      </c>
      <c r="C60" s="114">
        <f>RTD("wdf.rtq",,D60,"LastPrice")</f>
        <v>9</v>
      </c>
      <c r="D60" s="141" t="str">
        <f>公司名单!D57</f>
        <v>601727.SH</v>
      </c>
      <c r="E60" s="141" t="str">
        <f>公司名单!C57</f>
        <v>上海电气</v>
      </c>
      <c r="F60" s="141" t="str">
        <f>公司名单!E57</f>
        <v>2727.HK</v>
      </c>
      <c r="G60" s="114">
        <f>IF(RTD("wdf.rtq",,F60,5)=0,[1]!s_dq_preclose(F60),RTD("wdf.rtq",,F60,5))</f>
        <v>3.83</v>
      </c>
      <c r="H60" s="118">
        <f>RTD("wdf.rtq",,F60,27)/100</f>
        <v>-2.0500000000000004E-2</v>
      </c>
      <c r="I60" s="115">
        <f t="shared" si="11"/>
        <v>5.5121722000000002</v>
      </c>
      <c r="J60" s="116">
        <f t="shared" si="12"/>
        <v>1.5804026219413698</v>
      </c>
      <c r="K60" s="117">
        <f t="shared" si="13"/>
        <v>2.5804026219413698</v>
      </c>
      <c r="M60" s="33"/>
    </row>
    <row r="61" spans="1:13" s="11" customFormat="1" ht="16.5" customHeight="1" x14ac:dyDescent="0.35">
      <c r="A61" s="143">
        <f>RANK(J61,$J$5:$J$162)+COUNTIF(J$5:J61,J61)-1</f>
        <v>7</v>
      </c>
      <c r="B61" s="108">
        <f>RTD("wdf.rtq",,D61,27)/100</f>
        <v>8.6E-3</v>
      </c>
      <c r="C61" s="109">
        <f>RTD("wdf.rtq",,D61,"LastPrice")</f>
        <v>2.35</v>
      </c>
      <c r="D61" s="140" t="str">
        <f>公司名单!D58</f>
        <v>000488.SZ</v>
      </c>
      <c r="E61" s="140" t="str">
        <f>公司名单!C58</f>
        <v>ST晨鸣</v>
      </c>
      <c r="F61" s="140" t="str">
        <f>公司名单!E58</f>
        <v>1812.HK</v>
      </c>
      <c r="G61" s="109">
        <f>IF(RTD("wdf.rtq",,F61,5)=0,[1]!s_dq_preclose(F61),RTD("wdf.rtq",,F61,5))</f>
        <v>0.97</v>
      </c>
      <c r="H61" s="108">
        <f>RTD("wdf.rtq",,F61,27)/100</f>
        <v>1.04E-2</v>
      </c>
      <c r="I61" s="111">
        <f t="shared" si="11"/>
        <v>1.4666598</v>
      </c>
      <c r="J61" s="112">
        <f t="shared" si="12"/>
        <v>1.6603566779820507</v>
      </c>
      <c r="K61" s="113">
        <f t="shared" si="13"/>
        <v>2.6603566779820507</v>
      </c>
      <c r="M61" s="33"/>
    </row>
    <row r="62" spans="1:13" s="11" customFormat="1" ht="16.5" customHeight="1" x14ac:dyDescent="0.35">
      <c r="A62" s="143">
        <f>RANK(J62,$J$5:$J$162)+COUNTIF(J$5:J62,J62)-1</f>
        <v>29</v>
      </c>
      <c r="B62" s="118">
        <f>RTD("wdf.rtq",,D62,27)/100</f>
        <v>2.1099999999999997E-2</v>
      </c>
      <c r="C62" s="114">
        <f>RTD("wdf.rtq",,D62,"LastPrice")</f>
        <v>4.8500000000000005</v>
      </c>
      <c r="D62" s="141" t="str">
        <f>公司名单!D59</f>
        <v>002672.SZ</v>
      </c>
      <c r="E62" s="141" t="str">
        <f>公司名单!C59</f>
        <v>东江环保</v>
      </c>
      <c r="F62" s="141" t="str">
        <f>公司名单!E59</f>
        <v>0895.HK</v>
      </c>
      <c r="G62" s="114">
        <f>IF(RTD("wdf.rtq",,F62,5)=0,[1]!s_dq_preclose(F62),RTD("wdf.rtq",,F62,5))</f>
        <v>2.68</v>
      </c>
      <c r="H62" s="118">
        <f>RTD("wdf.rtq",,F62,27)/100</f>
        <v>1.9E-2</v>
      </c>
      <c r="I62" s="115">
        <f t="shared" si="11"/>
        <v>2.4094312000000002</v>
      </c>
      <c r="J62" s="116">
        <f t="shared" si="12"/>
        <v>0.98724166268125679</v>
      </c>
      <c r="K62" s="117">
        <f t="shared" si="13"/>
        <v>1.9872416626812568</v>
      </c>
      <c r="M62" s="33"/>
    </row>
    <row r="63" spans="1:13" s="11" customFormat="1" ht="16.5" customHeight="1" x14ac:dyDescent="0.35">
      <c r="A63" s="143">
        <f>RANK(J63,$J$5:$J$162)+COUNTIF(J$5:J63,J63)-1</f>
        <v>68</v>
      </c>
      <c r="B63" s="108">
        <f>RTD("wdf.rtq",,D63,27)/100</f>
        <v>-5.1999999999999998E-3</v>
      </c>
      <c r="C63" s="109">
        <f>RTD("wdf.rtq",,D63,"LastPrice")</f>
        <v>13.35</v>
      </c>
      <c r="D63" s="140" t="str">
        <f>公司名单!D60</f>
        <v>600188.SH</v>
      </c>
      <c r="E63" s="140" t="str">
        <f>公司名单!C60</f>
        <v>兖矿能源</v>
      </c>
      <c r="F63" s="140" t="str">
        <f>公司名单!E60</f>
        <v>1171.HK</v>
      </c>
      <c r="G63" s="109">
        <f>IF(RTD("wdf.rtq",,F63,5)=0,[1]!s_dq_preclose(F63),RTD("wdf.rtq",,F63,5))</f>
        <v>9.5400000000000009</v>
      </c>
      <c r="H63" s="108">
        <f>RTD("wdf.rtq",,F63,27)/100</f>
        <v>1.1699999999999999E-2</v>
      </c>
      <c r="I63" s="111">
        <f t="shared" si="11"/>
        <v>4.6623035999999978</v>
      </c>
      <c r="J63" s="112">
        <f t="shared" si="12"/>
        <v>0.53665590800341456</v>
      </c>
      <c r="K63" s="113">
        <f t="shared" si="13"/>
        <v>1.5366559080034146</v>
      </c>
      <c r="M63" s="33"/>
    </row>
    <row r="64" spans="1:13" s="11" customFormat="1" ht="16.5" customHeight="1" x14ac:dyDescent="0.35">
      <c r="A64" s="143">
        <f>RANK(J64,$J$5:$J$162)+COUNTIF(J$5:J64,J64)-1</f>
        <v>17</v>
      </c>
      <c r="B64" s="118">
        <f>RTD("wdf.rtq",,D64,27)/100</f>
        <v>-1.04E-2</v>
      </c>
      <c r="C64" s="114">
        <f>RTD("wdf.rtq",,D64,"LastPrice")</f>
        <v>1.9100000000000001</v>
      </c>
      <c r="D64" s="141" t="str">
        <f>公司名单!D61</f>
        <v>601588.SH</v>
      </c>
      <c r="E64" s="141" t="str">
        <f>公司名单!C61</f>
        <v>北辰实业</v>
      </c>
      <c r="F64" s="141" t="str">
        <f>公司名单!E61</f>
        <v>0588.HK</v>
      </c>
      <c r="G64" s="114">
        <f>IF(RTD("wdf.rtq",,F64,5)=0,[1]!s_dq_preclose(F64),RTD("wdf.rtq",,F64,5))</f>
        <v>0.93</v>
      </c>
      <c r="H64" s="118">
        <f>RTD("wdf.rtq",,F64,27)/100</f>
        <v>0</v>
      </c>
      <c r="I64" s="115">
        <f t="shared" si="11"/>
        <v>1.0630862000000001</v>
      </c>
      <c r="J64" s="116">
        <f t="shared" si="12"/>
        <v>1.2552472282303109</v>
      </c>
      <c r="K64" s="117">
        <f t="shared" si="13"/>
        <v>2.2552472282303109</v>
      </c>
      <c r="M64" s="33"/>
    </row>
    <row r="65" spans="1:13" s="11" customFormat="1" ht="16.5" customHeight="1" x14ac:dyDescent="0.35">
      <c r="A65" s="143">
        <f>RANK(J65,$J$5:$J$162)+COUNTIF(J$5:J65,J65)-1</f>
        <v>122</v>
      </c>
      <c r="B65" s="108">
        <f>RTD("wdf.rtq",,D65,27)/100</f>
        <v>-7.000000000000001E-3</v>
      </c>
      <c r="C65" s="109">
        <f>RTD("wdf.rtq",,D65,"LastPrice")</f>
        <v>41.28</v>
      </c>
      <c r="D65" s="140" t="str">
        <f>公司名单!D62</f>
        <v>601601.SH</v>
      </c>
      <c r="E65" s="140" t="str">
        <f>公司名单!C62</f>
        <v>中国太保</v>
      </c>
      <c r="F65" s="140" t="str">
        <f>公司名单!E62</f>
        <v>2601.HK</v>
      </c>
      <c r="G65" s="109">
        <f>IF(RTD("wdf.rtq",,F65,5)=0,[1]!s_dq_preclose(F65),RTD("wdf.rtq",,F65,5))</f>
        <v>36.6</v>
      </c>
      <c r="H65" s="108">
        <f>RTD("wdf.rtq",,F65,27)/100</f>
        <v>-1.61E-2</v>
      </c>
      <c r="I65" s="111">
        <f t="shared" si="11"/>
        <v>7.9498439999999988</v>
      </c>
      <c r="J65" s="112">
        <f t="shared" si="12"/>
        <v>0.23851805554105421</v>
      </c>
      <c r="K65" s="113">
        <f t="shared" si="13"/>
        <v>1.2385180555410542</v>
      </c>
      <c r="M65" s="33"/>
    </row>
    <row r="66" spans="1:13" s="11" customFormat="1" ht="16.5" customHeight="1" x14ac:dyDescent="0.35">
      <c r="A66" s="143">
        <f>RANK(J66,$J$5:$J$162)+COUNTIF(J$5:J66,J66)-1</f>
        <v>54</v>
      </c>
      <c r="B66" s="118">
        <f>RTD("wdf.rtq",,D66,27)/100</f>
        <v>-5.8000000000000005E-3</v>
      </c>
      <c r="C66" s="114">
        <f>RTD("wdf.rtq",,D66,"LastPrice")</f>
        <v>3.4</v>
      </c>
      <c r="D66" s="141" t="str">
        <f>公司名单!D63</f>
        <v>601326.SH</v>
      </c>
      <c r="E66" s="141" t="str">
        <f>公司名单!C63</f>
        <v>秦港股份</v>
      </c>
      <c r="F66" s="141" t="str">
        <f>公司名单!E63</f>
        <v>3369.HK</v>
      </c>
      <c r="G66" s="114">
        <f>IF(RTD("wdf.rtq",,F66,5)=0,[1]!s_dq_preclose(F66),RTD("wdf.rtq",,F66,5))</f>
        <v>2.2600000000000002</v>
      </c>
      <c r="H66" s="118">
        <f>RTD("wdf.rtq",,F66,27)/100</f>
        <v>-8.8000000000000005E-3</v>
      </c>
      <c r="I66" s="115">
        <f t="shared" ref="I66:I129" si="14">C66-G66*HKS_CNY中间价最新</f>
        <v>1.3419083999999994</v>
      </c>
      <c r="J66" s="116">
        <f t="shared" si="12"/>
        <v>0.65201587723306353</v>
      </c>
      <c r="K66" s="117">
        <f t="shared" si="13"/>
        <v>1.6520158772330635</v>
      </c>
      <c r="M66" s="33"/>
    </row>
    <row r="67" spans="1:13" s="11" customFormat="1" ht="16.5" customHeight="1" x14ac:dyDescent="0.35">
      <c r="A67" s="143">
        <f>RANK(J67,$J$5:$J$162)+COUNTIF(J$5:J67,J67)-1</f>
        <v>95</v>
      </c>
      <c r="B67" s="108">
        <f>RTD("wdf.rtq",,D67,27)/100</f>
        <v>-6.5000000000000006E-3</v>
      </c>
      <c r="C67" s="109">
        <f>RTD("wdf.rtq",,D67,"LastPrice")</f>
        <v>21.5</v>
      </c>
      <c r="D67" s="140" t="str">
        <f>公司名单!D64</f>
        <v>601211.SH</v>
      </c>
      <c r="E67" s="140" t="str">
        <f>公司名单!C64</f>
        <v>国泰海通</v>
      </c>
      <c r="F67" s="140" t="str">
        <f>公司名单!E64</f>
        <v>2611.HK</v>
      </c>
      <c r="G67" s="109">
        <f>IF(RTD("wdf.rtq",,F67,5)=0,[1]!s_dq_preclose(F67),RTD("wdf.rtq",,F67,5))</f>
        <v>17.150000000000002</v>
      </c>
      <c r="H67" s="108">
        <f>RTD("wdf.rtq",,F67,27)/100</f>
        <v>-6.9000000000000008E-3</v>
      </c>
      <c r="I67" s="111">
        <f t="shared" si="14"/>
        <v>5.8821809999999974</v>
      </c>
      <c r="J67" s="112">
        <f t="shared" si="12"/>
        <v>0.37663267835284797</v>
      </c>
      <c r="K67" s="113">
        <f t="shared" si="13"/>
        <v>1.376632678352848</v>
      </c>
      <c r="M67" s="33"/>
    </row>
    <row r="68" spans="1:13" s="11" customFormat="1" ht="16.5" customHeight="1" x14ac:dyDescent="0.35">
      <c r="A68" s="143">
        <f>RANK(J68,$J$5:$J$162)+COUNTIF(J$5:J68,J68)-1</f>
        <v>34</v>
      </c>
      <c r="B68" s="118">
        <f>RTD("wdf.rtq",,D68,27)/100</f>
        <v>-2.7900000000000001E-2</v>
      </c>
      <c r="C68" s="114">
        <f>RTD("wdf.rtq",,D68,"LastPrice")</f>
        <v>85.73</v>
      </c>
      <c r="D68" s="141" t="str">
        <f>公司名单!D65</f>
        <v>688185.SH</v>
      </c>
      <c r="E68" s="141" t="str">
        <f>公司名单!C65</f>
        <v>康希诺</v>
      </c>
      <c r="F68" s="141" t="str">
        <f>公司名单!E65</f>
        <v>6185.HK</v>
      </c>
      <c r="G68" s="114">
        <f>IF(RTD("wdf.rtq",,F68,5)=0,[1]!s_dq_preclose(F68),RTD("wdf.rtq",,F68,5))</f>
        <v>49.88</v>
      </c>
      <c r="H68" s="118">
        <f>RTD("wdf.rtq",,F68,27)/100</f>
        <v>-3.5200000000000002E-2</v>
      </c>
      <c r="I68" s="115">
        <f t="shared" si="14"/>
        <v>40.306279199999999</v>
      </c>
      <c r="J68" s="116">
        <f t="shared" ref="J68:J131" si="15">IF(G68=0,"",(C68/(G68*HKS_CNY中间价最新)-1))</f>
        <v>0.8873398851993648</v>
      </c>
      <c r="K68" s="117">
        <f t="shared" ref="K68:K131" si="16">IF(G68=0,"",C68/(G68*HKS_CNY中间价最新))</f>
        <v>1.8873398851993648</v>
      </c>
      <c r="M68" s="33"/>
    </row>
    <row r="69" spans="1:13" s="11" customFormat="1" ht="16.5" customHeight="1" x14ac:dyDescent="0.35">
      <c r="A69" s="143">
        <f>RANK(J69,$J$5:$J$162)+COUNTIF(J$5:J69,J69)-1</f>
        <v>128</v>
      </c>
      <c r="B69" s="108">
        <f>RTD("wdf.rtq",,D69,27)/100</f>
        <v>-7.7000000000000002E-3</v>
      </c>
      <c r="C69" s="109">
        <f>RTD("wdf.rtq",,D69,"LastPrice")</f>
        <v>6.44</v>
      </c>
      <c r="D69" s="140" t="str">
        <f>公司名单!D66</f>
        <v>601077.SH</v>
      </c>
      <c r="E69" s="140" t="str">
        <f>公司名单!C66</f>
        <v>渝农商行</v>
      </c>
      <c r="F69" s="140" t="str">
        <f>公司名单!E66</f>
        <v>3618.HK</v>
      </c>
      <c r="G69" s="109">
        <f>IF(RTD("wdf.rtq",,F69,5)=0,[1]!s_dq_preclose(F69),RTD("wdf.rtq",,F69,5))</f>
        <v>5.87</v>
      </c>
      <c r="H69" s="108">
        <f>RTD("wdf.rtq",,F69,27)/100</f>
        <v>0</v>
      </c>
      <c r="I69" s="111">
        <f t="shared" si="14"/>
        <v>1.0944257999999998</v>
      </c>
      <c r="J69" s="112">
        <f t="shared" si="15"/>
        <v>0.20473493754889782</v>
      </c>
      <c r="K69" s="113">
        <f t="shared" si="16"/>
        <v>1.2047349375488978</v>
      </c>
      <c r="M69" s="33"/>
    </row>
    <row r="70" spans="1:13" s="11" customFormat="1" ht="16.5" customHeight="1" x14ac:dyDescent="0.35">
      <c r="A70" s="143">
        <f>RANK(J70,$J$5:$J$162)+COUNTIF(J$5:J70,J70)-1</f>
        <v>39</v>
      </c>
      <c r="B70" s="118">
        <f>RTD("wdf.rtq",,D70,27)/100</f>
        <v>3.39E-2</v>
      </c>
      <c r="C70" s="114">
        <f>RTD("wdf.rtq",,D70,"LastPrice")</f>
        <v>56.42</v>
      </c>
      <c r="D70" s="141" t="str">
        <f>公司名单!D67</f>
        <v>688385.SH</v>
      </c>
      <c r="E70" s="141" t="str">
        <f>公司名单!C67</f>
        <v>复旦微电</v>
      </c>
      <c r="F70" s="141" t="str">
        <f>公司名单!E67</f>
        <v>1385.HK</v>
      </c>
      <c r="G70" s="114">
        <f>IF(RTD("wdf.rtq",,F70,5)=0,[1]!s_dq_preclose(F70),RTD("wdf.rtq",,F70,5))</f>
        <v>34.18</v>
      </c>
      <c r="H70" s="118">
        <f>RTD("wdf.rtq",,F70,27)/100</f>
        <v>4.0199999999999993E-2</v>
      </c>
      <c r="I70" s="115">
        <f t="shared" si="14"/>
        <v>25.2936412</v>
      </c>
      <c r="J70" s="116">
        <f t="shared" si="15"/>
        <v>0.81261163127117841</v>
      </c>
      <c r="K70" s="117">
        <f t="shared" si="16"/>
        <v>1.8126116312711784</v>
      </c>
      <c r="M70" s="33"/>
    </row>
    <row r="71" spans="1:13" s="11" customFormat="1" ht="16.5" customHeight="1" x14ac:dyDescent="0.35">
      <c r="A71" s="143">
        <f>RANK(J71,$J$5:$J$162)+COUNTIF(J$5:J71,J71)-1</f>
        <v>129</v>
      </c>
      <c r="B71" s="108">
        <f>RTD("wdf.rtq",,D71,27)/100</f>
        <v>3.3800000000000004E-2</v>
      </c>
      <c r="C71" s="109">
        <f>RTD("wdf.rtq",,D71,"LastPrice")</f>
        <v>71.58</v>
      </c>
      <c r="D71" s="140" t="str">
        <f>公司名单!D68</f>
        <v>601888.SH</v>
      </c>
      <c r="E71" s="140" t="str">
        <f>公司名单!C68</f>
        <v>中国中免</v>
      </c>
      <c r="F71" s="140" t="str">
        <f>公司名单!E68</f>
        <v>1880.HK</v>
      </c>
      <c r="G71" s="109">
        <f>IF(RTD("wdf.rtq",,F71,5)=0,[1]!s_dq_preclose(F71),RTD("wdf.rtq",,F71,5))</f>
        <v>65.7</v>
      </c>
      <c r="H71" s="108">
        <f>RTD("wdf.rtq",,F71,27)/100</f>
        <v>4.7800000000000002E-2</v>
      </c>
      <c r="I71" s="111">
        <f t="shared" si="14"/>
        <v>11.749637999999997</v>
      </c>
      <c r="J71" s="112">
        <f t="shared" si="15"/>
        <v>0.19638253233366698</v>
      </c>
      <c r="K71" s="113">
        <f t="shared" si="16"/>
        <v>1.196382532333667</v>
      </c>
      <c r="M71" s="33"/>
    </row>
    <row r="72" spans="1:13" s="11" customFormat="1" ht="16.5" customHeight="1" x14ac:dyDescent="0.35">
      <c r="A72" s="143">
        <f>RANK(J72,$J$5:$J$162)+COUNTIF(J$5:J72,J72)-1</f>
        <v>78</v>
      </c>
      <c r="B72" s="118">
        <f>RTD("wdf.rtq",,D72,27)/100</f>
        <v>4.0000000000000001E-3</v>
      </c>
      <c r="C72" s="114">
        <f>RTD("wdf.rtq",,D72,"LastPrice")</f>
        <v>69.97</v>
      </c>
      <c r="D72" s="141" t="str">
        <f>公司名单!D69</f>
        <v>600600.SH</v>
      </c>
      <c r="E72" s="141" t="str">
        <f>公司名单!C69</f>
        <v>青岛啤酒</v>
      </c>
      <c r="F72" s="141" t="str">
        <f>公司名单!E69</f>
        <v>0168.HK</v>
      </c>
      <c r="G72" s="114">
        <f>IF(RTD("wdf.rtq",,F72,5)=0,[1]!s_dq_preclose(F72),RTD("wdf.rtq",,F72,5))</f>
        <v>51.75</v>
      </c>
      <c r="H72" s="118">
        <f>RTD("wdf.rtq",,F72,27)/100</f>
        <v>-9.6000000000000009E-3</v>
      </c>
      <c r="I72" s="115">
        <f t="shared" si="14"/>
        <v>22.843344999999999</v>
      </c>
      <c r="J72" s="116">
        <f t="shared" si="15"/>
        <v>0.484722393303747</v>
      </c>
      <c r="K72" s="117">
        <f t="shared" si="16"/>
        <v>1.484722393303747</v>
      </c>
      <c r="M72" s="33"/>
    </row>
    <row r="73" spans="1:13" s="11" customFormat="1" ht="16.5" customHeight="1" x14ac:dyDescent="0.35">
      <c r="A73" s="143">
        <f>RANK(J73,$J$5:$J$162)+COUNTIF(J$5:J73,J73)-1</f>
        <v>26</v>
      </c>
      <c r="B73" s="108">
        <f>RTD("wdf.rtq",,D73,27)/100</f>
        <v>-3.2000000000000002E-3</v>
      </c>
      <c r="C73" s="109">
        <f>RTD("wdf.rtq",,D73,"LastPrice")</f>
        <v>27.82</v>
      </c>
      <c r="D73" s="140" t="str">
        <f>公司名单!D70</f>
        <v>601066.SH</v>
      </c>
      <c r="E73" s="140" t="str">
        <f>公司名单!C70</f>
        <v>中信建投</v>
      </c>
      <c r="F73" s="140" t="str">
        <f>公司名单!E70</f>
        <v>6066.HK</v>
      </c>
      <c r="G73" s="109">
        <f>IF(RTD("wdf.rtq",,F73,5)=0,[1]!s_dq_preclose(F73),RTD("wdf.rtq",,F73,5))</f>
        <v>15.01</v>
      </c>
      <c r="H73" s="108">
        <f>RTD("wdf.rtq",,F73,27)/100</f>
        <v>-4.0000000000000001E-3</v>
      </c>
      <c r="I73" s="111">
        <f t="shared" si="14"/>
        <v>14.150993400000001</v>
      </c>
      <c r="J73" s="112">
        <f t="shared" si="15"/>
        <v>1.0352612895804731</v>
      </c>
      <c r="K73" s="113">
        <f t="shared" si="16"/>
        <v>2.0352612895804731</v>
      </c>
      <c r="M73" s="33"/>
    </row>
    <row r="74" spans="1:13" s="11" customFormat="1" ht="16.5" customHeight="1" x14ac:dyDescent="0.35">
      <c r="A74" s="143">
        <f>RANK(J74,$J$5:$J$162)+COUNTIF(J$5:J74,J74)-1</f>
        <v>64</v>
      </c>
      <c r="B74" s="118">
        <f>RTD("wdf.rtq",,D74,27)/100</f>
        <v>-1.3999999999999998E-3</v>
      </c>
      <c r="C74" s="114">
        <f>RTD("wdf.rtq",,D74,"LastPrice")</f>
        <v>13.92</v>
      </c>
      <c r="D74" s="141" t="str">
        <f>公司名单!D71</f>
        <v>600377.SH</v>
      </c>
      <c r="E74" s="141" t="str">
        <f>公司名单!C71</f>
        <v>宁沪高速</v>
      </c>
      <c r="F74" s="141" t="str">
        <f>公司名单!E71</f>
        <v>0177.HK</v>
      </c>
      <c r="G74" s="114">
        <f>IF(RTD("wdf.rtq",,F74,5)=0,[1]!s_dq_preclose(F74),RTD("wdf.rtq",,F74,5))</f>
        <v>9.74</v>
      </c>
      <c r="H74" s="118">
        <f>RTD("wdf.rtq",,F74,27)/100</f>
        <v>5.1999999999999998E-3</v>
      </c>
      <c r="I74" s="115">
        <f t="shared" si="14"/>
        <v>5.0501715999999988</v>
      </c>
      <c r="J74" s="116">
        <f t="shared" si="15"/>
        <v>0.5693651976401255</v>
      </c>
      <c r="K74" s="117">
        <f t="shared" si="16"/>
        <v>1.5693651976401255</v>
      </c>
      <c r="M74" s="33"/>
    </row>
    <row r="75" spans="1:13" s="11" customFormat="1" ht="16.5" customHeight="1" x14ac:dyDescent="0.35">
      <c r="A75" s="143">
        <f>RANK(J75,$J$5:$J$162)+COUNTIF(J$5:J75,J75)-1</f>
        <v>125</v>
      </c>
      <c r="B75" s="108">
        <f>RTD("wdf.rtq",,D75,27)/100</f>
        <v>1.5300000000000001E-2</v>
      </c>
      <c r="C75" s="109">
        <f>RTD("wdf.rtq",,D75,"LastPrice")</f>
        <v>18.600000000000001</v>
      </c>
      <c r="D75" s="140" t="str">
        <f>公司名单!D72</f>
        <v>601717.SH</v>
      </c>
      <c r="E75" s="140" t="str">
        <f>公司名单!C72</f>
        <v>中创智领</v>
      </c>
      <c r="F75" s="140" t="str">
        <f>公司名单!E72</f>
        <v>0564.HK</v>
      </c>
      <c r="G75" s="109">
        <f>IF(RTD("wdf.rtq",,F75,5)=0,[1]!s_dq_preclose(F75),RTD("wdf.rtq",,F75,5))</f>
        <v>16.760000000000002</v>
      </c>
      <c r="H75" s="108">
        <f>RTD("wdf.rtq",,F75,27)/100</f>
        <v>1.3300000000000001E-2</v>
      </c>
      <c r="I75" s="111">
        <f t="shared" si="14"/>
        <v>3.3373384000000001</v>
      </c>
      <c r="J75" s="112">
        <f t="shared" si="15"/>
        <v>0.21866031544589837</v>
      </c>
      <c r="K75" s="113">
        <f t="shared" si="16"/>
        <v>1.2186603154458984</v>
      </c>
      <c r="M75" s="33"/>
    </row>
    <row r="76" spans="1:13" s="11" customFormat="1" ht="16.5" customHeight="1" x14ac:dyDescent="0.35">
      <c r="A76" s="143">
        <f>RANK(J76,$J$5:$J$162)+COUNTIF(J$5:J76,J76)-1</f>
        <v>146</v>
      </c>
      <c r="B76" s="118">
        <f>RTD("wdf.rtq",,D76,27)/100</f>
        <v>4.0500000000000001E-2</v>
      </c>
      <c r="C76" s="114">
        <f>RTD("wdf.rtq",,D76,"LastPrice")</f>
        <v>18.77</v>
      </c>
      <c r="D76" s="141" t="str">
        <f>公司名单!D73</f>
        <v>002803.SZ</v>
      </c>
      <c r="E76" s="141" t="str">
        <f>公司名单!C73</f>
        <v>吉宏股份</v>
      </c>
      <c r="F76" s="141" t="str">
        <f>公司名单!E73</f>
        <v>2603.HK</v>
      </c>
      <c r="G76" s="114">
        <f>IF(RTD("wdf.rtq",,F76,5)=0,[1]!s_dq_preclose(F76),RTD("wdf.rtq",,F76,5))</f>
        <v>18.68</v>
      </c>
      <c r="H76" s="118">
        <f>RTD("wdf.rtq",,F76,27)/100</f>
        <v>1.9100000000000002E-2</v>
      </c>
      <c r="I76" s="115">
        <f t="shared" si="14"/>
        <v>1.758871199999998</v>
      </c>
      <c r="J76" s="116">
        <f t="shared" si="15"/>
        <v>0.10339532553536346</v>
      </c>
      <c r="K76" s="117">
        <f t="shared" si="16"/>
        <v>1.1033953255353635</v>
      </c>
      <c r="M76" s="33"/>
    </row>
    <row r="77" spans="1:13" s="11" customFormat="1" ht="16.5" customHeight="1" x14ac:dyDescent="0.35">
      <c r="A77" s="143">
        <f>RANK(J77,$J$5:$J$162)+COUNTIF(J$5:J77,J77)-1</f>
        <v>139</v>
      </c>
      <c r="B77" s="108">
        <f>RTD("wdf.rtq",,D77,27)/100</f>
        <v>-8.4000000000000012E-3</v>
      </c>
      <c r="C77" s="109">
        <f>RTD("wdf.rtq",,D77,"LastPrice")</f>
        <v>31.87</v>
      </c>
      <c r="D77" s="140" t="str">
        <f>公司名单!D74</f>
        <v>600030.SH</v>
      </c>
      <c r="E77" s="140" t="str">
        <f>公司名单!C74</f>
        <v>中信证券</v>
      </c>
      <c r="F77" s="140" t="str">
        <f>公司名单!E74</f>
        <v>6030.HK</v>
      </c>
      <c r="G77" s="109">
        <f>IF(RTD("wdf.rtq",,F77,5)=0,[1]!s_dq_preclose(F77),RTD("wdf.rtq",,F77,5))</f>
        <v>30.48</v>
      </c>
      <c r="H77" s="108">
        <f>RTD("wdf.rtq",,F77,27)/100</f>
        <v>-1.1699999999999999E-2</v>
      </c>
      <c r="I77" s="111">
        <f t="shared" si="14"/>
        <v>4.1130831999999984</v>
      </c>
      <c r="J77" s="112">
        <f t="shared" si="15"/>
        <v>0.14818227938053985</v>
      </c>
      <c r="K77" s="113">
        <f t="shared" si="16"/>
        <v>1.1481822793805398</v>
      </c>
      <c r="M77" s="33"/>
    </row>
    <row r="78" spans="1:13" s="11" customFormat="1" ht="16.5" customHeight="1" x14ac:dyDescent="0.35">
      <c r="A78" s="143">
        <f>RANK(J78,$J$5:$J$162)+COUNTIF(J$5:J78,J78)-1</f>
        <v>91</v>
      </c>
      <c r="B78" s="118">
        <f>RTD("wdf.rtq",,D78,27)/100</f>
        <v>-4.0000000000000001E-3</v>
      </c>
      <c r="C78" s="114">
        <f>RTD("wdf.rtq",,D78,"LastPrice")</f>
        <v>7.5600000000000005</v>
      </c>
      <c r="D78" s="141" t="str">
        <f>公司名单!D75</f>
        <v>601398.SH</v>
      </c>
      <c r="E78" s="141" t="str">
        <f>公司名单!C75</f>
        <v>工商银行</v>
      </c>
      <c r="F78" s="141" t="str">
        <f>公司名单!E75</f>
        <v>1398.HK</v>
      </c>
      <c r="G78" s="114">
        <f>IF(RTD("wdf.rtq",,F78,5)=0,[1]!s_dq_preclose(F78),RTD("wdf.rtq",,F78,5))</f>
        <v>5.9</v>
      </c>
      <c r="H78" s="118">
        <f>RTD("wdf.rtq",,F78,27)/100</f>
        <v>-6.7000000000000002E-3</v>
      </c>
      <c r="I78" s="115">
        <f t="shared" si="14"/>
        <v>2.187106</v>
      </c>
      <c r="J78" s="116">
        <f t="shared" si="15"/>
        <v>0.40706293479826705</v>
      </c>
      <c r="K78" s="117">
        <f t="shared" si="16"/>
        <v>1.4070629347982671</v>
      </c>
      <c r="M78" s="33"/>
    </row>
    <row r="79" spans="1:13" s="11" customFormat="1" ht="16.5" customHeight="1" x14ac:dyDescent="0.35">
      <c r="A79" s="143">
        <f>RANK(J79,$J$5:$J$162)+COUNTIF(J$5:J79,J79)-1</f>
        <v>94</v>
      </c>
      <c r="B79" s="108">
        <f>RTD("wdf.rtq",,D79,27)/100</f>
        <v>5.8999999999999999E-3</v>
      </c>
      <c r="C79" s="109">
        <f>RTD("wdf.rtq",,D79,"LastPrice")</f>
        <v>15.47</v>
      </c>
      <c r="D79" s="140" t="str">
        <f>公司名单!D76</f>
        <v>600012.SH</v>
      </c>
      <c r="E79" s="140" t="str">
        <f>公司名单!C76</f>
        <v>皖通高速</v>
      </c>
      <c r="F79" s="140" t="str">
        <f>公司名单!E76</f>
        <v>0995.HK</v>
      </c>
      <c r="G79" s="109">
        <f>IF(RTD("wdf.rtq",,F79,5)=0,[1]!s_dq_preclose(F79),RTD("wdf.rtq",,F79,5))</f>
        <v>12.32</v>
      </c>
      <c r="H79" s="108">
        <f>RTD("wdf.rtq",,F79,27)/100</f>
        <v>3.3E-3</v>
      </c>
      <c r="I79" s="111">
        <f t="shared" si="14"/>
        <v>4.2506687999999997</v>
      </c>
      <c r="J79" s="112">
        <f t="shared" si="15"/>
        <v>0.37887007025873332</v>
      </c>
      <c r="K79" s="113">
        <f t="shared" si="16"/>
        <v>1.3788700702587333</v>
      </c>
      <c r="M79" s="33"/>
    </row>
    <row r="80" spans="1:13" s="11" customFormat="1" ht="16.5" customHeight="1" x14ac:dyDescent="0.35">
      <c r="A80" s="143">
        <f>RANK(J80,$J$5:$J$162)+COUNTIF(J$5:J80,J80)-1</f>
        <v>4</v>
      </c>
      <c r="B80" s="118">
        <f>RTD("wdf.rtq",,D80,27)/100</f>
        <v>-1.55E-2</v>
      </c>
      <c r="C80" s="114">
        <f>RTD("wdf.rtq",,D80,"LastPrice")</f>
        <v>10.19</v>
      </c>
      <c r="D80" s="141" t="str">
        <f>公司名单!D77</f>
        <v>688505.SH</v>
      </c>
      <c r="E80" s="141" t="str">
        <f>公司名单!C77</f>
        <v>复旦张江</v>
      </c>
      <c r="F80" s="141" t="str">
        <f>公司名单!E77</f>
        <v>1349.HK</v>
      </c>
      <c r="G80" s="114">
        <f>IF(RTD("wdf.rtq",,F80,5)=0,[1]!s_dq_preclose(F80),RTD("wdf.rtq",,F80,5))</f>
        <v>3.9</v>
      </c>
      <c r="H80" s="118">
        <f>RTD("wdf.rtq",,F80,27)/100</f>
        <v>-1.0200000000000001E-2</v>
      </c>
      <c r="I80" s="115">
        <f t="shared" si="14"/>
        <v>6.638425999999999</v>
      </c>
      <c r="J80" s="116">
        <f t="shared" si="15"/>
        <v>1.8691504104940511</v>
      </c>
      <c r="K80" s="117">
        <f t="shared" si="16"/>
        <v>2.8691504104940511</v>
      </c>
      <c r="M80" s="33"/>
    </row>
    <row r="81" spans="1:13" s="11" customFormat="1" ht="16.5" customHeight="1" x14ac:dyDescent="0.35">
      <c r="A81" s="143">
        <f>RANK(J81,$J$5:$J$162)+COUNTIF(J$5:J81,J81)-1</f>
        <v>107</v>
      </c>
      <c r="B81" s="108">
        <f>RTD("wdf.rtq",,D81,27)/100</f>
        <v>7.1000000000000004E-3</v>
      </c>
      <c r="C81" s="109">
        <f>RTD("wdf.rtq",,D81,"LastPrice")</f>
        <v>5.64</v>
      </c>
      <c r="D81" s="140" t="str">
        <f>公司名单!D78</f>
        <v>601598.SH</v>
      </c>
      <c r="E81" s="140" t="str">
        <f>公司名单!C78</f>
        <v>中国外运</v>
      </c>
      <c r="F81" s="140" t="str">
        <f>公司名单!E78</f>
        <v>0598.HK</v>
      </c>
      <c r="G81" s="109">
        <f>IF(RTD("wdf.rtq",,F81,5)=0,[1]!s_dq_preclose(F81),RTD("wdf.rtq",,F81,5))</f>
        <v>4.68</v>
      </c>
      <c r="H81" s="108">
        <f>RTD("wdf.rtq",,F81,27)/100</f>
        <v>0</v>
      </c>
      <c r="I81" s="111">
        <f t="shared" si="14"/>
        <v>1.3781112000000002</v>
      </c>
      <c r="J81" s="112">
        <f t="shared" si="15"/>
        <v>0.3233569116115842</v>
      </c>
      <c r="K81" s="113">
        <f t="shared" si="16"/>
        <v>1.3233569116115842</v>
      </c>
      <c r="M81" s="33"/>
    </row>
    <row r="82" spans="1:13" s="11" customFormat="1" ht="16.5" customHeight="1" x14ac:dyDescent="0.35">
      <c r="A82" s="143">
        <f>RANK(J82,$J$5:$J$162)+COUNTIF(J$5:J82,J82)-1</f>
        <v>117</v>
      </c>
      <c r="B82" s="118">
        <f>RTD("wdf.rtq",,D82,27)/100</f>
        <v>-7.3000000000000001E-3</v>
      </c>
      <c r="C82" s="114">
        <f>RTD("wdf.rtq",,D82,"LastPrice")</f>
        <v>20.5</v>
      </c>
      <c r="D82" s="141" t="str">
        <f>公司名单!D79</f>
        <v>600875.SH</v>
      </c>
      <c r="E82" s="141" t="str">
        <f>公司名单!C79</f>
        <v>东方电气</v>
      </c>
      <c r="F82" s="141" t="str">
        <f>公司名单!E79</f>
        <v>1072.HK</v>
      </c>
      <c r="G82" s="114">
        <f>IF(RTD("wdf.rtq",,F82,5)=0,[1]!s_dq_preclose(F82),RTD("wdf.rtq",,F82,5))</f>
        <v>17.77</v>
      </c>
      <c r="H82" s="118">
        <f>RTD("wdf.rtq",,F82,27)/100</f>
        <v>-2.2000000000000001E-3</v>
      </c>
      <c r="I82" s="115">
        <f t="shared" si="14"/>
        <v>4.3175717999999996</v>
      </c>
      <c r="J82" s="116">
        <f t="shared" si="15"/>
        <v>0.26680617683815822</v>
      </c>
      <c r="K82" s="117">
        <f t="shared" si="16"/>
        <v>1.2668061768381582</v>
      </c>
      <c r="M82" s="33"/>
    </row>
    <row r="83" spans="1:13" s="11" customFormat="1" ht="16.5" customHeight="1" x14ac:dyDescent="0.35">
      <c r="A83" s="143">
        <f>RANK(J83,$J$5:$J$162)+COUNTIF(J$5:J83,J83)-1</f>
        <v>59</v>
      </c>
      <c r="B83" s="108">
        <f>RTD("wdf.rtq",,D83,27)/100</f>
        <v>-1.15E-2</v>
      </c>
      <c r="C83" s="109">
        <f>RTD("wdf.rtq",,D83,"LastPrice")</f>
        <v>3.43</v>
      </c>
      <c r="D83" s="140" t="str">
        <f>公司名单!D80</f>
        <v>601618.SH</v>
      </c>
      <c r="E83" s="140" t="str">
        <f>公司名单!C80</f>
        <v>中国中冶</v>
      </c>
      <c r="F83" s="140" t="str">
        <f>公司名单!E80</f>
        <v>1618.HK</v>
      </c>
      <c r="G83" s="109">
        <f>IF(RTD("wdf.rtq",,F83,5)=0,[1]!s_dq_preclose(F83),RTD("wdf.rtq",,F83,5))</f>
        <v>2.34</v>
      </c>
      <c r="H83" s="108">
        <f>RTD("wdf.rtq",,F83,27)/100</f>
        <v>-8.5000000000000006E-3</v>
      </c>
      <c r="I83" s="111">
        <f t="shared" si="14"/>
        <v>1.2990556000000004</v>
      </c>
      <c r="J83" s="112">
        <f t="shared" si="15"/>
        <v>0.60961496696018935</v>
      </c>
      <c r="K83" s="113">
        <f t="shared" si="16"/>
        <v>1.6096149669601894</v>
      </c>
      <c r="M83" s="33"/>
    </row>
    <row r="84" spans="1:13" s="11" customFormat="1" ht="16.5" customHeight="1" x14ac:dyDescent="0.35">
      <c r="A84" s="143">
        <f>RANK(J84,$J$5:$J$162)+COUNTIF(J$5:J84,J84)-1</f>
        <v>141</v>
      </c>
      <c r="B84" s="118">
        <f>RTD("wdf.rtq",,D84,27)/100</f>
        <v>6.4000000000000003E-3</v>
      </c>
      <c r="C84" s="114">
        <f>RTD("wdf.rtq",,D84,"LastPrice")</f>
        <v>44.12</v>
      </c>
      <c r="D84" s="141" t="str">
        <f>公司名单!D81</f>
        <v>002466.SZ</v>
      </c>
      <c r="E84" s="141" t="str">
        <f>公司名单!C81</f>
        <v>天齐锂业</v>
      </c>
      <c r="F84" s="141" t="str">
        <f>公司名单!E81</f>
        <v>9696.HK</v>
      </c>
      <c r="G84" s="114">
        <f>IF(RTD("wdf.rtq",,F84,5)=0,[1]!s_dq_preclose(F84),RTD("wdf.rtq",,F84,5))</f>
        <v>42.42</v>
      </c>
      <c r="H84" s="118">
        <f>RTD("wdf.rtq",,F84,27)/100</f>
        <v>6.2000000000000006E-3</v>
      </c>
      <c r="I84" s="115">
        <f t="shared" si="14"/>
        <v>5.4898027999999925</v>
      </c>
      <c r="J84" s="116">
        <f t="shared" si="15"/>
        <v>0.14211169494107567</v>
      </c>
      <c r="K84" s="117">
        <f t="shared" si="16"/>
        <v>1.1421116949410757</v>
      </c>
      <c r="M84" s="33"/>
    </row>
    <row r="85" spans="1:13" s="11" customFormat="1" ht="16.5" customHeight="1" x14ac:dyDescent="0.35">
      <c r="A85" s="143">
        <f>RANK(J85,$J$5:$J$162)+COUNTIF(J$5:J85,J85)-1</f>
        <v>96</v>
      </c>
      <c r="B85" s="108">
        <f>RTD("wdf.rtq",,D85,27)/100</f>
        <v>-1.3900000000000001E-2</v>
      </c>
      <c r="C85" s="109">
        <f>RTD("wdf.rtq",,D85,"LastPrice")</f>
        <v>12.08</v>
      </c>
      <c r="D85" s="140" t="str">
        <f>公司名单!D82</f>
        <v>601898.SH</v>
      </c>
      <c r="E85" s="140" t="str">
        <f>公司名单!C82</f>
        <v>中煤能源</v>
      </c>
      <c r="F85" s="140" t="str">
        <f>公司名单!E82</f>
        <v>1898.HK</v>
      </c>
      <c r="G85" s="109">
        <f>IF(RTD("wdf.rtq",,F85,5)=0,[1]!s_dq_preclose(F85),RTD("wdf.rtq",,F85,5))</f>
        <v>9.67</v>
      </c>
      <c r="H85" s="108">
        <f>RTD("wdf.rtq",,F85,27)/100</f>
        <v>-2.0300000000000002E-2</v>
      </c>
      <c r="I85" s="111">
        <f t="shared" si="14"/>
        <v>3.2739177999999995</v>
      </c>
      <c r="J85" s="112">
        <f t="shared" si="15"/>
        <v>0.37177915509351012</v>
      </c>
      <c r="K85" s="113">
        <f t="shared" si="16"/>
        <v>1.3717791550935101</v>
      </c>
      <c r="M85" s="33"/>
    </row>
    <row r="86" spans="1:13" s="11" customFormat="1" ht="16.5" customHeight="1" x14ac:dyDescent="0.35">
      <c r="A86" s="143">
        <f>RANK(J86,$J$5:$J$162)+COUNTIF(J$5:J86,J86)-1</f>
        <v>37</v>
      </c>
      <c r="B86" s="118">
        <f>RTD("wdf.rtq",,D86,27)/100</f>
        <v>-8.8999999999999999E-3</v>
      </c>
      <c r="C86" s="114">
        <f>RTD("wdf.rtq",,D86,"LastPrice")</f>
        <v>38.94</v>
      </c>
      <c r="D86" s="141" t="str">
        <f>公司名单!D83</f>
        <v>601995.SH</v>
      </c>
      <c r="E86" s="141" t="str">
        <f>公司名单!C83</f>
        <v>中金公司</v>
      </c>
      <c r="F86" s="141" t="str">
        <f>公司名单!E83</f>
        <v>3908.HK</v>
      </c>
      <c r="G86" s="114">
        <f>IF(RTD("wdf.rtq",,F86,5)=0,[1]!s_dq_preclose(F86),RTD("wdf.rtq",,F86,5))</f>
        <v>23.2</v>
      </c>
      <c r="H86" s="118">
        <f>RTD("wdf.rtq",,F86,27)/100</f>
        <v>-1.11E-2</v>
      </c>
      <c r="I86" s="115">
        <f t="shared" si="14"/>
        <v>17.812687999999998</v>
      </c>
      <c r="J86" s="116">
        <f t="shared" si="15"/>
        <v>0.84311189232212769</v>
      </c>
      <c r="K86" s="117">
        <f t="shared" si="16"/>
        <v>1.8431118923221277</v>
      </c>
      <c r="M86" s="33"/>
    </row>
    <row r="87" spans="1:13" s="11" customFormat="1" ht="16.5" customHeight="1" x14ac:dyDescent="0.35">
      <c r="A87" s="143">
        <f>RANK(J87,$J$5:$J$162)+COUNTIF(J$5:J87,J87)-1</f>
        <v>120</v>
      </c>
      <c r="B87" s="108">
        <f>RTD("wdf.rtq",,D87,27)/100</f>
        <v>9.9000000000000008E-3</v>
      </c>
      <c r="C87" s="109">
        <f>RTD("wdf.rtq",,D87,"LastPrice")</f>
        <v>8.16</v>
      </c>
      <c r="D87" s="140" t="str">
        <f>公司名单!D84</f>
        <v>601600.SH</v>
      </c>
      <c r="E87" s="140" t="str">
        <f>公司名单!C84</f>
        <v>中国铝业</v>
      </c>
      <c r="F87" s="140" t="str">
        <f>公司名单!E84</f>
        <v>2600.HK</v>
      </c>
      <c r="G87" s="109">
        <f>IF(RTD("wdf.rtq",,F87,5)=0,[1]!s_dq_preclose(F87),RTD("wdf.rtq",,F87,5))</f>
        <v>7.17</v>
      </c>
      <c r="H87" s="108">
        <f>RTD("wdf.rtq",,F87,27)/100</f>
        <v>2.4300000000000002E-2</v>
      </c>
      <c r="I87" s="111">
        <f t="shared" si="14"/>
        <v>1.6305677999999997</v>
      </c>
      <c r="J87" s="112">
        <f t="shared" si="15"/>
        <v>0.24972581842568164</v>
      </c>
      <c r="K87" s="113">
        <f t="shared" si="16"/>
        <v>1.2497258184256816</v>
      </c>
      <c r="M87" s="33"/>
    </row>
    <row r="88" spans="1:13" s="11" customFormat="1" ht="16.5" x14ac:dyDescent="0.35">
      <c r="A88" s="143">
        <f>RANK(J88,$J$5:$J$162)+COUNTIF(J$5:J88,J88)-1</f>
        <v>23</v>
      </c>
      <c r="B88" s="118">
        <f>RTD("wdf.rtq",,D88,27)/100</f>
        <v>6.2000000000000006E-3</v>
      </c>
      <c r="C88" s="114">
        <f>RTD("wdf.rtq",,D88,"LastPrice")</f>
        <v>14.71</v>
      </c>
      <c r="D88" s="141" t="str">
        <f>公司名单!D85</f>
        <v>601808.SH</v>
      </c>
      <c r="E88" s="141" t="str">
        <f>公司名单!C85</f>
        <v>中海油服</v>
      </c>
      <c r="F88" s="141" t="str">
        <f>公司名单!E85</f>
        <v>2883.HK</v>
      </c>
      <c r="G88" s="114">
        <f>IF(RTD("wdf.rtq",,F88,5)=0,[1]!s_dq_preclose(F88),RTD("wdf.rtq",,F88,5))</f>
        <v>7.69</v>
      </c>
      <c r="H88" s="118">
        <f>RTD("wdf.rtq",,F88,27)/100</f>
        <v>3.0800000000000001E-2</v>
      </c>
      <c r="I88" s="115">
        <f t="shared" si="14"/>
        <v>7.7070246000000004</v>
      </c>
      <c r="J88" s="116">
        <f t="shared" si="15"/>
        <v>1.1005357237153794</v>
      </c>
      <c r="K88" s="117">
        <f t="shared" si="16"/>
        <v>2.1005357237153794</v>
      </c>
      <c r="M88" s="33"/>
    </row>
    <row r="89" spans="1:13" s="11" customFormat="1" ht="16.5" x14ac:dyDescent="0.35">
      <c r="A89" s="143">
        <f>RANK(J89,$J$5:$J$162)+COUNTIF(J$5:J89,J89)-1</f>
        <v>50</v>
      </c>
      <c r="B89" s="108">
        <f>RTD("wdf.rtq",,D89,27)/100</f>
        <v>-4.5999999999999999E-3</v>
      </c>
      <c r="C89" s="109">
        <f>RTD("wdf.rtq",,D89,"LastPrice")</f>
        <v>19.39</v>
      </c>
      <c r="D89" s="140" t="str">
        <f>公司名单!D86</f>
        <v>601607.SH</v>
      </c>
      <c r="E89" s="140" t="str">
        <f>公司名单!C86</f>
        <v>上海医药</v>
      </c>
      <c r="F89" s="140" t="str">
        <f>公司名单!E86</f>
        <v>2607.HK</v>
      </c>
      <c r="G89" s="109">
        <f>IF(RTD("wdf.rtq",,F89,5)=0,[1]!s_dq_preclose(F89),RTD("wdf.rtq",,F89,5))</f>
        <v>12.74</v>
      </c>
      <c r="H89" s="108">
        <f>RTD("wdf.rtq",,F89,27)/100</f>
        <v>-3.9000000000000003E-3</v>
      </c>
      <c r="I89" s="111">
        <f t="shared" si="14"/>
        <v>7.7881915999999993</v>
      </c>
      <c r="J89" s="112">
        <f t="shared" si="15"/>
        <v>0.6712911756067268</v>
      </c>
      <c r="K89" s="113">
        <f t="shared" si="16"/>
        <v>1.6712911756067268</v>
      </c>
      <c r="M89" s="33"/>
    </row>
    <row r="90" spans="1:13" s="11" customFormat="1" ht="16.5" x14ac:dyDescent="0.35">
      <c r="A90" s="143">
        <f>RANK(J90,$J$5:$J$162)+COUNTIF(J$5:J90,J90)-1</f>
        <v>88</v>
      </c>
      <c r="B90" s="118">
        <f>RTD("wdf.rtq",,D90,27)/100</f>
        <v>3.5000000000000005E-3</v>
      </c>
      <c r="C90" s="114">
        <f>RTD("wdf.rtq",,D90,"LastPrice")</f>
        <v>8.6</v>
      </c>
      <c r="D90" s="141" t="str">
        <f>公司名单!D87</f>
        <v>601298.SH</v>
      </c>
      <c r="E90" s="141" t="str">
        <f>公司名单!C87</f>
        <v>XD青岛港</v>
      </c>
      <c r="F90" s="141" t="str">
        <f>公司名单!E87</f>
        <v>6198.HK</v>
      </c>
      <c r="G90" s="114">
        <f>IF(RTD("wdf.rtq",,F90,5)=0,[1]!s_dq_preclose(F90),RTD("wdf.rtq",,F90,5))</f>
        <v>6.67</v>
      </c>
      <c r="H90" s="118">
        <f>RTD("wdf.rtq",,F90,27)/100</f>
        <v>1.2100000000000001E-2</v>
      </c>
      <c r="I90" s="115">
        <f t="shared" si="14"/>
        <v>2.5258977999999992</v>
      </c>
      <c r="J90" s="116">
        <f t="shared" si="15"/>
        <v>0.41584710247384371</v>
      </c>
      <c r="K90" s="117">
        <f t="shared" si="16"/>
        <v>1.4158471024738437</v>
      </c>
      <c r="M90" s="33"/>
    </row>
    <row r="91" spans="1:13" s="11" customFormat="1" ht="16.5" x14ac:dyDescent="0.35">
      <c r="A91" s="143">
        <f>RANK(J91,$J$5:$J$162)+COUNTIF(J$5:J91,J91)-1</f>
        <v>21</v>
      </c>
      <c r="B91" s="108">
        <f>RTD("wdf.rtq",,D91,27)/100</f>
        <v>1.18E-2</v>
      </c>
      <c r="C91" s="109">
        <f>RTD("wdf.rtq",,D91,"LastPrice")</f>
        <v>1.71</v>
      </c>
      <c r="D91" s="140" t="str">
        <f>公司名单!D88</f>
        <v>601992.SH</v>
      </c>
      <c r="E91" s="140" t="str">
        <f>公司名单!C88</f>
        <v>金隅集团</v>
      </c>
      <c r="F91" s="140" t="str">
        <f>公司名单!E88</f>
        <v>2009.HK</v>
      </c>
      <c r="G91" s="109">
        <f>IF(RTD("wdf.rtq",,F91,5)=0,[1]!s_dq_preclose(F91),RTD("wdf.rtq",,F91,5))</f>
        <v>0.88</v>
      </c>
      <c r="H91" s="108">
        <f>RTD("wdf.rtq",,F91,27)/100</f>
        <v>1.15E-2</v>
      </c>
      <c r="I91" s="111">
        <f t="shared" si="14"/>
        <v>0.90861919999999996</v>
      </c>
      <c r="J91" s="112">
        <f t="shared" si="15"/>
        <v>1.1338170318031078</v>
      </c>
      <c r="K91" s="113">
        <f t="shared" si="16"/>
        <v>2.1338170318031078</v>
      </c>
      <c r="M91" s="33"/>
    </row>
    <row r="92" spans="1:13" s="11" customFormat="1" ht="16.5" x14ac:dyDescent="0.35">
      <c r="A92" s="143">
        <f>RANK(J92,$J$5:$J$162)+COUNTIF(J$5:J92,J92)-1</f>
        <v>132</v>
      </c>
      <c r="B92" s="118">
        <f>RTD("wdf.rtq",,D92,27)/100</f>
        <v>1.9E-3</v>
      </c>
      <c r="C92" s="114">
        <f>RTD("wdf.rtq",,D92,"LastPrice")</f>
        <v>15.97</v>
      </c>
      <c r="D92" s="141" t="str">
        <f>公司名单!D89</f>
        <v>601919.SH</v>
      </c>
      <c r="E92" s="141" t="str">
        <f>公司名单!C89</f>
        <v>中远海控</v>
      </c>
      <c r="F92" s="141" t="str">
        <f>公司名单!E89</f>
        <v>1919.HK</v>
      </c>
      <c r="G92" s="114">
        <f>IF(RTD("wdf.rtq",,F92,5)=0,[1]!s_dq_preclose(F92),RTD("wdf.rtq",,F92,5))</f>
        <v>14.73</v>
      </c>
      <c r="H92" s="118">
        <f>RTD("wdf.rtq",,F92,27)/100</f>
        <v>8.2000000000000007E-3</v>
      </c>
      <c r="I92" s="115">
        <f t="shared" si="14"/>
        <v>2.5559782000000002</v>
      </c>
      <c r="J92" s="116">
        <f t="shared" si="15"/>
        <v>0.19054525466776862</v>
      </c>
      <c r="K92" s="117">
        <f t="shared" si="16"/>
        <v>1.1905452546677686</v>
      </c>
      <c r="M92" s="33"/>
    </row>
    <row r="93" spans="1:13" s="11" customFormat="1" ht="16.5" x14ac:dyDescent="0.35">
      <c r="A93" s="143">
        <f>RANK(J93,$J$5:$J$162)+COUNTIF(J$5:J93,J93)-1</f>
        <v>38</v>
      </c>
      <c r="B93" s="108">
        <f>RTD("wdf.rtq",,D93,27)/100</f>
        <v>-2.3E-3</v>
      </c>
      <c r="C93" s="109">
        <f>RTD("wdf.rtq",,D93,"LastPrice")</f>
        <v>4.25</v>
      </c>
      <c r="D93" s="140" t="str">
        <f>公司名单!D90</f>
        <v>600635.SH</v>
      </c>
      <c r="E93" s="140" t="str">
        <f>公司名单!C90</f>
        <v>大众公用</v>
      </c>
      <c r="F93" s="140" t="str">
        <f>公司名单!E90</f>
        <v>1635.HK</v>
      </c>
      <c r="G93" s="109">
        <f>IF(RTD("wdf.rtq",,F93,5)=0,[1]!s_dq_preclose(F93),RTD("wdf.rtq",,F93,5))</f>
        <v>2.56</v>
      </c>
      <c r="H93" s="108">
        <f>RTD("wdf.rtq",,F93,27)/100</f>
        <v>-3.9000000000000003E-3</v>
      </c>
      <c r="I93" s="111">
        <f t="shared" si="14"/>
        <v>1.9187103999999997</v>
      </c>
      <c r="J93" s="112">
        <f t="shared" si="15"/>
        <v>0.82302533327476746</v>
      </c>
      <c r="K93" s="113">
        <f t="shared" si="16"/>
        <v>1.8230253332747675</v>
      </c>
      <c r="L93" s="34"/>
      <c r="M93" s="33"/>
    </row>
    <row r="94" spans="1:13" s="11" customFormat="1" ht="16.5" x14ac:dyDescent="0.35">
      <c r="A94" s="143">
        <f>RANK(J94,$J$5:$J$162)+COUNTIF(J$5:J94,J94)-1</f>
        <v>27</v>
      </c>
      <c r="B94" s="118">
        <f>RTD("wdf.rtq",,D94,27)/100</f>
        <v>3.3E-3</v>
      </c>
      <c r="C94" s="114">
        <f>RTD("wdf.rtq",,D94,"LastPrice")</f>
        <v>3.0700000000000003</v>
      </c>
      <c r="D94" s="141" t="str">
        <f>公司名单!D91</f>
        <v>601828.SH</v>
      </c>
      <c r="E94" s="141" t="str">
        <f>公司名单!C91</f>
        <v>美凯龙</v>
      </c>
      <c r="F94" s="141" t="str">
        <f>公司名单!E91</f>
        <v>1528.HK</v>
      </c>
      <c r="G94" s="114">
        <f>IF(RTD("wdf.rtq",,F94,5)=0,[1]!s_dq_preclose(F94),RTD("wdf.rtq",,F94,5))</f>
        <v>1.67</v>
      </c>
      <c r="H94" s="118">
        <f>RTD("wdf.rtq",,F94,27)/100</f>
        <v>-6.0000000000000001E-3</v>
      </c>
      <c r="I94" s="115">
        <f t="shared" si="14"/>
        <v>1.5491978000000004</v>
      </c>
      <c r="J94" s="116">
        <f t="shared" si="15"/>
        <v>1.0186714616798955</v>
      </c>
      <c r="K94" s="117">
        <f t="shared" si="16"/>
        <v>2.0186714616798955</v>
      </c>
      <c r="L94" s="34"/>
      <c r="M94" s="34"/>
    </row>
    <row r="95" spans="1:13" s="11" customFormat="1" ht="16.5" x14ac:dyDescent="0.35">
      <c r="A95" s="143">
        <f>RANK(J95,$J$5:$J$162)+COUNTIF(J$5:J95,J95)-1</f>
        <v>112</v>
      </c>
      <c r="B95" s="108">
        <f>RTD("wdf.rtq",,D95,27)/100</f>
        <v>4.5999999999999999E-3</v>
      </c>
      <c r="C95" s="109">
        <f>RTD("wdf.rtq",,D95,"LastPrice")</f>
        <v>8.81</v>
      </c>
      <c r="D95" s="140" t="str">
        <f>公司名单!D92</f>
        <v>601857.SH</v>
      </c>
      <c r="E95" s="140" t="str">
        <f>公司名单!C92</f>
        <v>中国石油</v>
      </c>
      <c r="F95" s="140" t="str">
        <f>公司名单!E92</f>
        <v>0857.HK</v>
      </c>
      <c r="G95" s="109">
        <f>IF(RTD("wdf.rtq",,F95,5)=0,[1]!s_dq_preclose(F95),RTD("wdf.rtq",,F95,5))</f>
        <v>7.48</v>
      </c>
      <c r="H95" s="108">
        <f>RTD("wdf.rtq",,F95,27)/100</f>
        <v>0</v>
      </c>
      <c r="I95" s="111">
        <f t="shared" si="14"/>
        <v>1.9982632000000002</v>
      </c>
      <c r="J95" s="112">
        <f t="shared" si="15"/>
        <v>0.29335590300553016</v>
      </c>
      <c r="K95" s="113">
        <f t="shared" si="16"/>
        <v>1.2933559030055302</v>
      </c>
      <c r="L95" s="34"/>
      <c r="M95" s="34"/>
    </row>
    <row r="96" spans="1:13" s="11" customFormat="1" ht="16.5" x14ac:dyDescent="0.35">
      <c r="A96" s="143">
        <f>RANK(J96,$J$5:$J$162)+COUNTIF(J$5:J96,J96)-1</f>
        <v>134</v>
      </c>
      <c r="B96" s="118">
        <f>RTD("wdf.rtq",,D96,27)/100</f>
        <v>-1.32E-2</v>
      </c>
      <c r="C96" s="114">
        <f>RTD("wdf.rtq",,D96,"LastPrice")</f>
        <v>1.5</v>
      </c>
      <c r="D96" s="141" t="str">
        <f>公司名单!D93</f>
        <v>601005.SH</v>
      </c>
      <c r="E96" s="141" t="str">
        <f>公司名单!C93</f>
        <v>重庆钢铁</v>
      </c>
      <c r="F96" s="141" t="str">
        <f>公司名单!E93</f>
        <v>1053.HK</v>
      </c>
      <c r="G96" s="114">
        <f>IF(RTD("wdf.rtq",,F96,5)=0,[1]!s_dq_preclose(F96),RTD("wdf.rtq",,F96,5))</f>
        <v>1.3900000000000001</v>
      </c>
      <c r="H96" s="118">
        <f>RTD("wdf.rtq",,F96,27)/100</f>
        <v>0</v>
      </c>
      <c r="I96" s="115">
        <f t="shared" si="14"/>
        <v>0.2341825999999998</v>
      </c>
      <c r="J96" s="116">
        <f t="shared" si="15"/>
        <v>0.18500504101144433</v>
      </c>
      <c r="K96" s="117">
        <f t="shared" si="16"/>
        <v>1.1850050410114443</v>
      </c>
      <c r="L96" s="34"/>
      <c r="M96" s="34"/>
    </row>
    <row r="97" spans="1:13" s="11" customFormat="1" ht="16.5" x14ac:dyDescent="0.35">
      <c r="A97" s="143">
        <f>RANK(J97,$J$5:$J$162)+COUNTIF(J$5:J97,J97)-1</f>
        <v>86</v>
      </c>
      <c r="B97" s="108">
        <f>RTD("wdf.rtq",,D97,27)/100</f>
        <v>8.0000000000000004E-4</v>
      </c>
      <c r="C97" s="109">
        <f>RTD("wdf.rtq",,D97,"LastPrice")</f>
        <v>39.29</v>
      </c>
      <c r="D97" s="140" t="str">
        <f>公司名单!D94</f>
        <v>002460.SZ</v>
      </c>
      <c r="E97" s="140" t="str">
        <f>公司名单!C94</f>
        <v>赣锋锂业</v>
      </c>
      <c r="F97" s="140" t="str">
        <f>公司名单!E94</f>
        <v>1772.HK</v>
      </c>
      <c r="G97" s="109">
        <f>IF(RTD("wdf.rtq",,F97,5)=0,[1]!s_dq_preclose(F97),RTD("wdf.rtq",,F97,5))</f>
        <v>30.080000000000002</v>
      </c>
      <c r="H97" s="108">
        <f>RTD("wdf.rtq",,F97,27)/100</f>
        <v>-2.9100000000000001E-2</v>
      </c>
      <c r="I97" s="111">
        <f t="shared" si="14"/>
        <v>11.897347199999995</v>
      </c>
      <c r="J97" s="112">
        <f t="shared" si="15"/>
        <v>0.4343262146556317</v>
      </c>
      <c r="K97" s="113">
        <f t="shared" si="16"/>
        <v>1.4343262146556317</v>
      </c>
      <c r="L97" s="34"/>
      <c r="M97" s="34"/>
    </row>
    <row r="98" spans="1:13" s="11" customFormat="1" ht="16.5" x14ac:dyDescent="0.35">
      <c r="A98" s="143">
        <f>RANK(J98,$J$5:$J$162)+COUNTIF(J$5:J98,J98)-1</f>
        <v>20</v>
      </c>
      <c r="B98" s="118">
        <f>RTD("wdf.rtq",,D98,27)/100</f>
        <v>3.0000000000000003E-4</v>
      </c>
      <c r="C98" s="114">
        <f>RTD("wdf.rtq",,D98,"LastPrice")</f>
        <v>57.64</v>
      </c>
      <c r="D98" s="141" t="str">
        <f>公司名单!D95</f>
        <v>688366.SH</v>
      </c>
      <c r="E98" s="141" t="str">
        <f>公司名单!C95</f>
        <v>昊海生科</v>
      </c>
      <c r="F98" s="141" t="str">
        <f>公司名单!E95</f>
        <v>6826.HK</v>
      </c>
      <c r="G98" s="114">
        <f>IF(RTD("wdf.rtq",,F98,5)=0,[1]!s_dq_preclose(F98),RTD("wdf.rtq",,F98,5))</f>
        <v>29.34</v>
      </c>
      <c r="H98" s="118">
        <f>RTD("wdf.rtq",,F98,27)/100</f>
        <v>-1.0800000000000001E-2</v>
      </c>
      <c r="I98" s="115">
        <f t="shared" si="14"/>
        <v>30.921235599999999</v>
      </c>
      <c r="J98" s="116">
        <f t="shared" si="15"/>
        <v>1.15728538704432</v>
      </c>
      <c r="K98" s="117">
        <f t="shared" si="16"/>
        <v>2.15728538704432</v>
      </c>
      <c r="L98" s="34"/>
      <c r="M98" s="34"/>
    </row>
    <row r="99" spans="1:13" s="11" customFormat="1" ht="16.5" x14ac:dyDescent="0.35">
      <c r="A99" s="143">
        <f>RANK(J99,$J$5:$J$162)+COUNTIF(J$5:J99,J99)-1</f>
        <v>99</v>
      </c>
      <c r="B99" s="108">
        <f>RTD("wdf.rtq",,D99,27)/100</f>
        <v>-1.26E-2</v>
      </c>
      <c r="C99" s="109">
        <f>RTD("wdf.rtq",,D99,"LastPrice")</f>
        <v>7.8100000000000005</v>
      </c>
      <c r="D99" s="140" t="str">
        <f>公司名单!D96</f>
        <v>601766.SH</v>
      </c>
      <c r="E99" s="140" t="str">
        <f>公司名单!C96</f>
        <v>中国中车</v>
      </c>
      <c r="F99" s="140" t="str">
        <f>公司名单!E96</f>
        <v>1766.HK</v>
      </c>
      <c r="G99" s="109">
        <f>IF(RTD("wdf.rtq",,F99,5)=0,[1]!s_dq_preclose(F99),RTD("wdf.rtq",,F99,5))</f>
        <v>6.3500000000000005</v>
      </c>
      <c r="H99" s="108">
        <f>RTD("wdf.rtq",,F99,27)/100</f>
        <v>-1.6000000000000001E-3</v>
      </c>
      <c r="I99" s="111">
        <f t="shared" si="14"/>
        <v>2.0273089999999998</v>
      </c>
      <c r="J99" s="112">
        <f t="shared" si="15"/>
        <v>0.35058228081009335</v>
      </c>
      <c r="K99" s="113">
        <f t="shared" si="16"/>
        <v>1.3505822808100933</v>
      </c>
      <c r="L99" s="34"/>
      <c r="M99" s="34"/>
    </row>
    <row r="100" spans="1:13" s="11" customFormat="1" ht="16.5" x14ac:dyDescent="0.35">
      <c r="A100" s="143">
        <f>RANK(J100,$J$5:$J$162)+COUNTIF(J$5:J100,J100)-1</f>
        <v>30</v>
      </c>
      <c r="B100" s="118">
        <f>RTD("wdf.rtq",,D100,27)/100</f>
        <v>-1.8800000000000001E-2</v>
      </c>
      <c r="C100" s="114">
        <f>RTD("wdf.rtq",,D100,"LastPrice")</f>
        <v>101.23</v>
      </c>
      <c r="D100" s="141" t="str">
        <f>公司名单!D97</f>
        <v>688981.SH</v>
      </c>
      <c r="E100" s="141" t="str">
        <f>公司名单!C97</f>
        <v>中芯国际</v>
      </c>
      <c r="F100" s="141" t="str">
        <f>公司名单!E97</f>
        <v>0981.HK</v>
      </c>
      <c r="G100" s="114">
        <f>IF(RTD("wdf.rtq",,F100,5)=0,[1]!s_dq_preclose(F100),RTD("wdf.rtq",,F100,5))</f>
        <v>56.25</v>
      </c>
      <c r="H100" s="118">
        <f>RTD("wdf.rtq",,F100,27)/100</f>
        <v>-2.6800000000000001E-2</v>
      </c>
      <c r="I100" s="115">
        <f t="shared" si="14"/>
        <v>50.005375000000001</v>
      </c>
      <c r="J100" s="116">
        <f t="shared" si="15"/>
        <v>0.97619797119061391</v>
      </c>
      <c r="K100" s="117">
        <f t="shared" si="16"/>
        <v>1.9761979711906139</v>
      </c>
      <c r="L100" s="34"/>
      <c r="M100" s="34"/>
    </row>
    <row r="101" spans="1:13" s="11" customFormat="1" ht="16.5" x14ac:dyDescent="0.35">
      <c r="A101" s="143">
        <f>RANK(J101,$J$5:$J$162)+COUNTIF(J$5:J101,J101)-1</f>
        <v>18</v>
      </c>
      <c r="B101" s="108">
        <f>RTD("wdf.rtq",,D101,27)/100</f>
        <v>1.0200000000000001E-2</v>
      </c>
      <c r="C101" s="109">
        <f>RTD("wdf.rtq",,D101,"LastPrice")</f>
        <v>2.96</v>
      </c>
      <c r="D101" s="140" t="str">
        <f>公司名单!D98</f>
        <v>600688.SH</v>
      </c>
      <c r="E101" s="140" t="str">
        <f>公司名单!C98</f>
        <v>上海石化</v>
      </c>
      <c r="F101" s="140" t="str">
        <f>公司名单!E98</f>
        <v>0338.HK</v>
      </c>
      <c r="G101" s="109">
        <f>IF(RTD("wdf.rtq",,F101,5)=0,[1]!s_dq_preclose(F101),RTD("wdf.rtq",,F101,5))</f>
        <v>1.45</v>
      </c>
      <c r="H101" s="108">
        <f>RTD("wdf.rtq",,F101,27)/100</f>
        <v>2.8400000000000002E-2</v>
      </c>
      <c r="I101" s="111">
        <f t="shared" si="14"/>
        <v>1.639543</v>
      </c>
      <c r="J101" s="112">
        <f t="shared" si="15"/>
        <v>1.2416481566609137</v>
      </c>
      <c r="K101" s="113">
        <f t="shared" si="16"/>
        <v>2.2416481566609137</v>
      </c>
      <c r="L101" s="34"/>
      <c r="M101" s="34"/>
    </row>
    <row r="102" spans="1:13" s="11" customFormat="1" ht="16.5" x14ac:dyDescent="0.35">
      <c r="A102" s="143">
        <f>RANK(J102,$J$5:$J$162)+COUNTIF(J$5:J102,J102)-1</f>
        <v>72</v>
      </c>
      <c r="B102" s="118">
        <f>RTD("wdf.rtq",,D102,27)/100</f>
        <v>-5.1000000000000004E-3</v>
      </c>
      <c r="C102" s="114">
        <f>RTD("wdf.rtq",,D102,"LastPrice")</f>
        <v>5.8100000000000005</v>
      </c>
      <c r="D102" s="141" t="str">
        <f>公司名单!D99</f>
        <v>601390.SH</v>
      </c>
      <c r="E102" s="141" t="str">
        <f>公司名单!C99</f>
        <v>中国中铁</v>
      </c>
      <c r="F102" s="141" t="str">
        <f>公司名单!E99</f>
        <v>0390.HK</v>
      </c>
      <c r="G102" s="114">
        <f>IF(RTD("wdf.rtq",,F102,5)=0,[1]!s_dq_preclose(F102),RTD("wdf.rtq",,F102,5))</f>
        <v>4.18</v>
      </c>
      <c r="H102" s="118">
        <f>RTD("wdf.rtq",,F102,27)/100</f>
        <v>4.8000000000000004E-3</v>
      </c>
      <c r="I102" s="115">
        <f t="shared" si="14"/>
        <v>2.0034412000000006</v>
      </c>
      <c r="J102" s="116">
        <f t="shared" si="15"/>
        <v>0.52631295226544261</v>
      </c>
      <c r="K102" s="117">
        <f t="shared" si="16"/>
        <v>1.5263129522654426</v>
      </c>
      <c r="L102" s="34"/>
      <c r="M102" s="34"/>
    </row>
    <row r="103" spans="1:13" s="11" customFormat="1" ht="16.5" x14ac:dyDescent="0.35">
      <c r="A103" s="143">
        <f>RANK(J103,$J$5:$J$162)+COUNTIF(J$5:J103,J103)-1</f>
        <v>138</v>
      </c>
      <c r="B103" s="108">
        <f>RTD("wdf.rtq",,D103,27)/100</f>
        <v>-1.26E-2</v>
      </c>
      <c r="C103" s="109">
        <f>RTD("wdf.rtq",,D103,"LastPrice")</f>
        <v>4.72</v>
      </c>
      <c r="D103" s="140" t="str">
        <f>公司名单!D100</f>
        <v>600016.SH</v>
      </c>
      <c r="E103" s="140" t="str">
        <f>公司名单!C100</f>
        <v>民生银行</v>
      </c>
      <c r="F103" s="140" t="str">
        <f>公司名单!E100</f>
        <v>1988.HK</v>
      </c>
      <c r="G103" s="109">
        <f>IF(RTD("wdf.rtq",,F103,5)=0,[1]!s_dq_preclose(F103),RTD("wdf.rtq",,F103,5))</f>
        <v>4.49</v>
      </c>
      <c r="H103" s="108">
        <f>RTD("wdf.rtq",,F103,27)/100</f>
        <v>-6.6E-3</v>
      </c>
      <c r="I103" s="111">
        <f t="shared" si="14"/>
        <v>0.6311365999999996</v>
      </c>
      <c r="J103" s="112">
        <f t="shared" si="15"/>
        <v>0.15435502198483797</v>
      </c>
      <c r="K103" s="113">
        <f t="shared" si="16"/>
        <v>1.154355021984838</v>
      </c>
      <c r="L103" s="34"/>
      <c r="M103" s="34"/>
    </row>
    <row r="104" spans="1:13" s="11" customFormat="1" ht="16.5" x14ac:dyDescent="0.35">
      <c r="A104" s="143">
        <f>RANK(J104,$J$5:$J$162)+COUNTIF(J$5:J104,J104)-1</f>
        <v>116</v>
      </c>
      <c r="B104" s="118">
        <f>RTD("wdf.rtq",,D104,27)/100</f>
        <v>-1.2999999999999999E-3</v>
      </c>
      <c r="C104" s="114">
        <f>RTD("wdf.rtq",,D104,"LastPrice")</f>
        <v>7.65</v>
      </c>
      <c r="D104" s="141" t="str">
        <f>公司名单!D101</f>
        <v>000157.SZ</v>
      </c>
      <c r="E104" s="141" t="str">
        <f>公司名单!C101</f>
        <v>中联重科</v>
      </c>
      <c r="F104" s="141" t="str">
        <f>公司名单!E101</f>
        <v>1157.HK</v>
      </c>
      <c r="G104" s="114">
        <f>IF(RTD("wdf.rtq",,F104,5)=0,[1]!s_dq_preclose(F104),RTD("wdf.rtq",,F104,5))</f>
        <v>6.62</v>
      </c>
      <c r="H104" s="118">
        <f>RTD("wdf.rtq",,F104,27)/100</f>
        <v>-9.0000000000000011E-3</v>
      </c>
      <c r="I104" s="115">
        <f t="shared" si="14"/>
        <v>1.6214307999999997</v>
      </c>
      <c r="J104" s="116">
        <f t="shared" si="15"/>
        <v>0.26895781506497429</v>
      </c>
      <c r="K104" s="117">
        <f t="shared" si="16"/>
        <v>1.2689578150649743</v>
      </c>
      <c r="L104" s="34"/>
      <c r="M104" s="34"/>
    </row>
    <row r="105" spans="1:13" s="11" customFormat="1" ht="16.5" x14ac:dyDescent="0.35">
      <c r="A105" s="143">
        <f>RANK(J105,$J$5:$J$162)+COUNTIF(J$5:J105,J105)-1</f>
        <v>15</v>
      </c>
      <c r="B105" s="108">
        <f>RTD("wdf.rtq",,D105,27)/100</f>
        <v>-3.6200000000000003E-2</v>
      </c>
      <c r="C105" s="109">
        <f>RTD("wdf.rtq",,D105,"LastPrice")</f>
        <v>47.88</v>
      </c>
      <c r="D105" s="140" t="str">
        <f>公司名单!D102</f>
        <v>002865.SZ</v>
      </c>
      <c r="E105" s="140" t="str">
        <f>公司名单!C102</f>
        <v>钧达股份</v>
      </c>
      <c r="F105" s="140" t="str">
        <f>公司名单!E102</f>
        <v>2865.HK</v>
      </c>
      <c r="G105" s="109">
        <f>IF(RTD("wdf.rtq",,F105,5)=0,[1]!s_dq_preclose(F105),RTD("wdf.rtq",,F105,5))</f>
        <v>22.740000000000002</v>
      </c>
      <c r="H105" s="108">
        <f>RTD("wdf.rtq",,F105,27)/100</f>
        <v>-2.1500000000000005E-2</v>
      </c>
      <c r="I105" s="111">
        <f t="shared" si="14"/>
        <v>27.171591599999999</v>
      </c>
      <c r="J105" s="112">
        <f t="shared" si="15"/>
        <v>1.312104294794572</v>
      </c>
      <c r="K105" s="113">
        <f t="shared" si="16"/>
        <v>2.312104294794572</v>
      </c>
      <c r="L105" s="34"/>
      <c r="M105" s="34"/>
    </row>
    <row r="106" spans="1:13" s="11" customFormat="1" ht="16.5" x14ac:dyDescent="0.35">
      <c r="A106" s="143">
        <f>RANK(J106,$J$5:$J$162)+COUNTIF(J$5:J106,J106)-1</f>
        <v>124</v>
      </c>
      <c r="B106" s="118">
        <f>RTD("wdf.rtq",,D106,27)/100</f>
        <v>4.8000000000000004E-3</v>
      </c>
      <c r="C106" s="114">
        <f>RTD("wdf.rtq",,D106,"LastPrice")</f>
        <v>6.3</v>
      </c>
      <c r="D106" s="141" t="str">
        <f>公司名单!D103</f>
        <v>601658.SH</v>
      </c>
      <c r="E106" s="141" t="str">
        <f>公司名单!C103</f>
        <v>邮储银行</v>
      </c>
      <c r="F106" s="141" t="str">
        <f>公司名单!E103</f>
        <v>1658.HK</v>
      </c>
      <c r="G106" s="114">
        <f>IF(RTD("wdf.rtq",,F106,5)=0,[1]!s_dq_preclose(F106),RTD("wdf.rtq",,F106,5))</f>
        <v>5.63</v>
      </c>
      <c r="H106" s="118">
        <f>RTD("wdf.rtq",,F106,27)/100</f>
        <v>-7.1000000000000004E-3</v>
      </c>
      <c r="I106" s="115">
        <f t="shared" si="14"/>
        <v>1.1729842000000001</v>
      </c>
      <c r="J106" s="116">
        <f t="shared" si="15"/>
        <v>0.22878497858344815</v>
      </c>
      <c r="K106" s="117">
        <f t="shared" si="16"/>
        <v>1.2287849785834482</v>
      </c>
      <c r="L106" s="34"/>
      <c r="M106" s="34"/>
    </row>
    <row r="107" spans="1:13" s="11" customFormat="1" ht="16.5" x14ac:dyDescent="0.35">
      <c r="A107" s="143">
        <f>RANK(J107,$J$5:$J$162)+COUNTIF(J$5:J107,J107)-1</f>
        <v>119</v>
      </c>
      <c r="B107" s="108">
        <f>RTD("wdf.rtq",,D107,27)/100</f>
        <v>-7.4000000000000003E-3</v>
      </c>
      <c r="C107" s="109">
        <f>RTD("wdf.rtq",,D107,"LastPrice")</f>
        <v>8.02</v>
      </c>
      <c r="D107" s="140" t="str">
        <f>公司名单!D104</f>
        <v>601998.SH</v>
      </c>
      <c r="E107" s="140" t="str">
        <f>公司名单!C104</f>
        <v>中信银行</v>
      </c>
      <c r="F107" s="140" t="str">
        <f>公司名单!E104</f>
        <v>0998.HK</v>
      </c>
      <c r="G107" s="109">
        <f>IF(RTD("wdf.rtq",,F107,5)=0,[1]!s_dq_preclose(F107),RTD("wdf.rtq",,F107,5))</f>
        <v>7.04</v>
      </c>
      <c r="H107" s="108">
        <f>RTD("wdf.rtq",,F107,27)/100</f>
        <v>-8.5000000000000006E-3</v>
      </c>
      <c r="I107" s="111">
        <f t="shared" si="14"/>
        <v>1.6089535999999995</v>
      </c>
      <c r="J107" s="112">
        <f t="shared" si="15"/>
        <v>0.25096583297228969</v>
      </c>
      <c r="K107" s="113">
        <f t="shared" si="16"/>
        <v>1.2509658329722897</v>
      </c>
      <c r="L107" s="34"/>
      <c r="M107" s="34"/>
    </row>
    <row r="108" spans="1:13" s="11" customFormat="1" ht="16.5" x14ac:dyDescent="0.35">
      <c r="A108" s="143">
        <f>RANK(J108,$J$5:$J$162)+COUNTIF(J$5:J108,J108)-1</f>
        <v>87</v>
      </c>
      <c r="B108" s="118">
        <f>RTD("wdf.rtq",,D108,27)/100</f>
        <v>-6.8000000000000005E-3</v>
      </c>
      <c r="C108" s="114">
        <f>RTD("wdf.rtq",,D108,"LastPrice")</f>
        <v>8.7799999999999994</v>
      </c>
      <c r="D108" s="141" t="str">
        <f>公司名单!D105</f>
        <v>601319.SH</v>
      </c>
      <c r="E108" s="141" t="str">
        <f>公司名单!C105</f>
        <v>中国人保</v>
      </c>
      <c r="F108" s="141" t="str">
        <f>公司名单!E105</f>
        <v>1339.HK</v>
      </c>
      <c r="G108" s="114">
        <f>IF(RTD("wdf.rtq",,F108,5)=0,[1]!s_dq_preclose(F108),RTD("wdf.rtq",,F108,5))</f>
        <v>6.79</v>
      </c>
      <c r="H108" s="118">
        <f>RTD("wdf.rtq",,F108,27)/100</f>
        <v>-7.3000000000000001E-3</v>
      </c>
      <c r="I108" s="115">
        <f t="shared" si="14"/>
        <v>2.5966185999999993</v>
      </c>
      <c r="J108" s="116">
        <f t="shared" si="15"/>
        <v>0.4199350536585047</v>
      </c>
      <c r="K108" s="117">
        <f t="shared" si="16"/>
        <v>1.4199350536585047</v>
      </c>
      <c r="L108" s="34"/>
      <c r="M108" s="34"/>
    </row>
    <row r="109" spans="1:13" s="11" customFormat="1" ht="16.5" x14ac:dyDescent="0.35">
      <c r="A109" s="143">
        <f>RANK(J109,$J$5:$J$162)+COUNTIF(J$5:J109,J109)-1</f>
        <v>89</v>
      </c>
      <c r="B109" s="108">
        <f>RTD("wdf.rtq",,D109,27)/100</f>
        <v>-1.8000000000000002E-3</v>
      </c>
      <c r="C109" s="109">
        <f>RTD("wdf.rtq",,D109,"LastPrice")</f>
        <v>5.67</v>
      </c>
      <c r="D109" s="140" t="str">
        <f>公司名单!D106</f>
        <v>601988.SH</v>
      </c>
      <c r="E109" s="140" t="str">
        <f>公司名单!C106</f>
        <v>中国银行</v>
      </c>
      <c r="F109" s="140" t="str">
        <f>公司名单!E106</f>
        <v>3988.HK</v>
      </c>
      <c r="G109" s="109">
        <f>IF(RTD("wdf.rtq",,F109,5)=0,[1]!s_dq_preclose(F109),RTD("wdf.rtq",,F109,5))</f>
        <v>4.4000000000000004</v>
      </c>
      <c r="H109" s="108">
        <f>RTD("wdf.rtq",,F109,27)/100</f>
        <v>-4.5000000000000005E-3</v>
      </c>
      <c r="I109" s="111">
        <f t="shared" si="14"/>
        <v>1.6630959999999995</v>
      </c>
      <c r="J109" s="112">
        <f t="shared" si="15"/>
        <v>0.41505761056416612</v>
      </c>
      <c r="K109" s="113">
        <f t="shared" si="16"/>
        <v>1.4150576105641661</v>
      </c>
      <c r="L109" s="34"/>
      <c r="M109" s="34"/>
    </row>
    <row r="110" spans="1:13" s="11" customFormat="1" ht="16.5" x14ac:dyDescent="0.35">
      <c r="A110" s="143">
        <f>RANK(J110,$J$5:$J$162)+COUNTIF(J$5:J110,J110)-1</f>
        <v>136</v>
      </c>
      <c r="B110" s="118">
        <f>RTD("wdf.rtq",,D110,27)/100</f>
        <v>2.0500000000000004E-2</v>
      </c>
      <c r="C110" s="114">
        <f>RTD("wdf.rtq",,D110,"LastPrice")</f>
        <v>49.33</v>
      </c>
      <c r="D110" s="141" t="str">
        <f>公司名单!D107</f>
        <v>002352.SZ</v>
      </c>
      <c r="E110" s="141" t="str">
        <f>公司名单!C107</f>
        <v>顺丰控股</v>
      </c>
      <c r="F110" s="141" t="str">
        <f>公司名单!E107</f>
        <v>6936.HK</v>
      </c>
      <c r="G110" s="114">
        <f>IF(RTD("wdf.rtq",,F110,5)=0,[1]!s_dq_preclose(F110),RTD("wdf.rtq",,F110,5))</f>
        <v>46.08</v>
      </c>
      <c r="H110" s="118">
        <f>RTD("wdf.rtq",,F110,27)/100</f>
        <v>1.2699999999999999E-2</v>
      </c>
      <c r="I110" s="115">
        <f t="shared" si="14"/>
        <v>7.3667871999999974</v>
      </c>
      <c r="J110" s="116">
        <f t="shared" si="15"/>
        <v>0.17555346000580774</v>
      </c>
      <c r="K110" s="117">
        <f t="shared" si="16"/>
        <v>1.1755534600058077</v>
      </c>
      <c r="L110" s="34"/>
      <c r="M110" s="34"/>
    </row>
    <row r="111" spans="1:13" s="11" customFormat="1" ht="16.5" x14ac:dyDescent="0.35">
      <c r="A111" s="143">
        <f>RANK(J111,$J$5:$J$162)+COUNTIF(J$5:J111,J111)-1</f>
        <v>36</v>
      </c>
      <c r="B111" s="108">
        <f>RTD("wdf.rtq",,D111,27)/100</f>
        <v>-1.49E-2</v>
      </c>
      <c r="C111" s="109">
        <f>RTD("wdf.rtq",,D111,"LastPrice")</f>
        <v>29.17</v>
      </c>
      <c r="D111" s="140" t="str">
        <f>公司名单!D108</f>
        <v>688428.SH</v>
      </c>
      <c r="E111" s="140" t="str">
        <f>公司名单!C108</f>
        <v>诺诚健华-U</v>
      </c>
      <c r="F111" s="140" t="str">
        <f>公司名单!E108</f>
        <v>9969.HK</v>
      </c>
      <c r="G111" s="109">
        <f>IF(RTD("wdf.rtq",,F111,5)=0,[1]!s_dq_preclose(F111),RTD("wdf.rtq",,F111,5))</f>
        <v>17.27</v>
      </c>
      <c r="H111" s="108">
        <f>RTD("wdf.rtq",,F111,27)/100</f>
        <v>-4.1599999999999998E-2</v>
      </c>
      <c r="I111" s="111">
        <f t="shared" si="14"/>
        <v>13.442901800000001</v>
      </c>
      <c r="J111" s="112">
        <f t="shared" si="15"/>
        <v>0.85476046687366658</v>
      </c>
      <c r="K111" s="113">
        <f t="shared" si="16"/>
        <v>1.8547604668736666</v>
      </c>
      <c r="L111" s="34"/>
      <c r="M111" s="34"/>
    </row>
    <row r="112" spans="1:13" s="11" customFormat="1" ht="16.5" x14ac:dyDescent="0.35">
      <c r="A112" s="143">
        <f>RANK(J112,$J$5:$J$162)+COUNTIF(J$5:J112,J112)-1</f>
        <v>114</v>
      </c>
      <c r="B112" s="118">
        <f>RTD("wdf.rtq",,D112,27)/100</f>
        <v>-8.8999999999999999E-3</v>
      </c>
      <c r="C112" s="114">
        <f>RTD("wdf.rtq",,D112,"LastPrice")</f>
        <v>3.34</v>
      </c>
      <c r="D112" s="141" t="str">
        <f>公司名单!D109</f>
        <v>601916.SH</v>
      </c>
      <c r="E112" s="141" t="str">
        <f>公司名单!C109</f>
        <v>浙商银行</v>
      </c>
      <c r="F112" s="141" t="str">
        <f>公司名单!E109</f>
        <v>2016.HK</v>
      </c>
      <c r="G112" s="114">
        <f>IF(RTD("wdf.rtq",,F112,5)=0,[1]!s_dq_preclose(F112),RTD("wdf.rtq",,F112,5))</f>
        <v>2.88</v>
      </c>
      <c r="H112" s="118">
        <f>RTD("wdf.rtq",,F112,27)/100</f>
        <v>0</v>
      </c>
      <c r="I112" s="115">
        <f t="shared" si="14"/>
        <v>0.7172991999999998</v>
      </c>
      <c r="J112" s="116">
        <f t="shared" si="15"/>
        <v>0.27349638967586376</v>
      </c>
      <c r="K112" s="117">
        <f t="shared" si="16"/>
        <v>1.2734963896758638</v>
      </c>
      <c r="L112" s="34"/>
      <c r="M112" s="34"/>
    </row>
    <row r="113" spans="1:13" s="11" customFormat="1" ht="16.5" x14ac:dyDescent="0.35">
      <c r="A113" s="143">
        <f>RANK(J113,$J$5:$J$162)+COUNTIF(J$5:J113,J113)-1</f>
        <v>82</v>
      </c>
      <c r="B113" s="108">
        <f>RTD("wdf.rtq",,D113,27)/100</f>
        <v>1.7000000000000001E-3</v>
      </c>
      <c r="C113" s="109">
        <f>RTD("wdf.rtq",,D113,"LastPrice")</f>
        <v>5.8500000000000005</v>
      </c>
      <c r="D113" s="140" t="str">
        <f>公司名单!D110</f>
        <v>600028.SH</v>
      </c>
      <c r="E113" s="140" t="str">
        <f>公司名单!C110</f>
        <v>中国石化</v>
      </c>
      <c r="F113" s="140" t="str">
        <f>公司名单!E110</f>
        <v>0386.HK</v>
      </c>
      <c r="G113" s="109">
        <f>IF(RTD("wdf.rtq",,F113,5)=0,[1]!s_dq_preclose(F113),RTD("wdf.rtq",,F113,5))</f>
        <v>4.43</v>
      </c>
      <c r="H113" s="108">
        <f>RTD("wdf.rtq",,F113,27)/100</f>
        <v>6.8000000000000005E-3</v>
      </c>
      <c r="I113" s="111">
        <f t="shared" si="14"/>
        <v>1.8157762000000011</v>
      </c>
      <c r="J113" s="112">
        <f t="shared" si="15"/>
        <v>0.45009307614515626</v>
      </c>
      <c r="K113" s="113">
        <f t="shared" si="16"/>
        <v>1.4500930761451563</v>
      </c>
      <c r="L113" s="34"/>
      <c r="M113" s="34"/>
    </row>
    <row r="114" spans="1:13" s="11" customFormat="1" ht="16.5" x14ac:dyDescent="0.35">
      <c r="A114" s="143">
        <f>RANK(J114,$J$5:$J$162)+COUNTIF(J$5:J114,J114)-1</f>
        <v>145</v>
      </c>
      <c r="B114" s="118">
        <f>RTD("wdf.rtq",,D114,27)/100</f>
        <v>-4.1000000000000003E-3</v>
      </c>
      <c r="C114" s="114">
        <f>RTD("wdf.rtq",,D114,"LastPrice")</f>
        <v>12.030000000000001</v>
      </c>
      <c r="D114" s="141" t="str">
        <f>公司名单!D111</f>
        <v>603993.SH</v>
      </c>
      <c r="E114" s="141" t="str">
        <f>公司名单!C111</f>
        <v>洛阳钼业</v>
      </c>
      <c r="F114" s="141" t="str">
        <f>公司名单!E111</f>
        <v>3993.HK</v>
      </c>
      <c r="G114" s="114">
        <f>IF(RTD("wdf.rtq",,F114,5)=0,[1]!s_dq_preclose(F114),RTD("wdf.rtq",,F114,5))</f>
        <v>11.92</v>
      </c>
      <c r="H114" s="118">
        <f>RTD("wdf.rtq",,F114,27)/100</f>
        <v>0</v>
      </c>
      <c r="I114" s="115">
        <f t="shared" si="14"/>
        <v>1.1749328000000006</v>
      </c>
      <c r="J114" s="116">
        <f t="shared" si="15"/>
        <v>0.10823818759961257</v>
      </c>
      <c r="K114" s="117">
        <f t="shared" si="16"/>
        <v>1.1082381875996126</v>
      </c>
      <c r="L114" s="34"/>
      <c r="M114" s="34"/>
    </row>
    <row r="115" spans="1:13" s="11" customFormat="1" ht="16.5" x14ac:dyDescent="0.35">
      <c r="A115" s="143">
        <f>RANK(J115,$J$5:$J$162)+COUNTIF(J$5:J115,J115)-1</f>
        <v>133</v>
      </c>
      <c r="B115" s="108">
        <f>RTD("wdf.rtq",,D115,27)/100</f>
        <v>-1.26E-2</v>
      </c>
      <c r="C115" s="109">
        <f>RTD("wdf.rtq",,D115,"LastPrice")</f>
        <v>19.63</v>
      </c>
      <c r="D115" s="140" t="str">
        <f>公司名单!D112</f>
        <v>600999.SH</v>
      </c>
      <c r="E115" s="140" t="str">
        <f>公司名单!C112</f>
        <v>招商证券</v>
      </c>
      <c r="F115" s="140" t="str">
        <f>公司名单!E112</f>
        <v>6099.HK</v>
      </c>
      <c r="G115" s="109">
        <f>IF(RTD("wdf.rtq",,F115,5)=0,[1]!s_dq_preclose(F115),RTD("wdf.rtq",,F115,5))</f>
        <v>18.18</v>
      </c>
      <c r="H115" s="108">
        <f>RTD("wdf.rtq",,F115,27)/100</f>
        <v>-1.14E-2</v>
      </c>
      <c r="I115" s="111">
        <f t="shared" si="14"/>
        <v>3.0742011999999974</v>
      </c>
      <c r="J115" s="112">
        <f t="shared" si="15"/>
        <v>0.18568727713699906</v>
      </c>
      <c r="K115" s="113">
        <f t="shared" si="16"/>
        <v>1.1856872771369991</v>
      </c>
      <c r="L115" s="34"/>
      <c r="M115" s="34"/>
    </row>
    <row r="116" spans="1:13" s="11" customFormat="1" ht="16.5" x14ac:dyDescent="0.35">
      <c r="A116" s="143">
        <f>RANK(J116,$J$5:$J$162)+COUNTIF(J$5:J116,J116)-1</f>
        <v>33</v>
      </c>
      <c r="B116" s="118">
        <f>RTD("wdf.rtq",,D116,27)/100</f>
        <v>-1.0200000000000001E-2</v>
      </c>
      <c r="C116" s="114">
        <f>RTD("wdf.rtq",,D116,"LastPrice")</f>
        <v>20.420000000000002</v>
      </c>
      <c r="D116" s="141" t="str">
        <f>公司名单!D113</f>
        <v>601788.SH</v>
      </c>
      <c r="E116" s="141" t="str">
        <f>公司名单!C113</f>
        <v>光大证券</v>
      </c>
      <c r="F116" s="141" t="str">
        <f>公司名单!E113</f>
        <v>6178.HK</v>
      </c>
      <c r="G116" s="114">
        <f>IF(RTD("wdf.rtq",,F116,5)=0,[1]!s_dq_preclose(F116),RTD("wdf.rtq",,F116,5))</f>
        <v>11.48</v>
      </c>
      <c r="H116" s="118">
        <f>RTD("wdf.rtq",,F116,27)/100</f>
        <v>-1.8000000000000002E-2</v>
      </c>
      <c r="I116" s="115">
        <f t="shared" si="14"/>
        <v>9.9656232000000013</v>
      </c>
      <c r="J116" s="116">
        <f t="shared" si="15"/>
        <v>0.9532489014553216</v>
      </c>
      <c r="K116" s="117">
        <f t="shared" si="16"/>
        <v>1.9532489014553216</v>
      </c>
      <c r="L116" s="34"/>
      <c r="M116" s="34"/>
    </row>
    <row r="117" spans="1:13" s="11" customFormat="1" ht="16.5" x14ac:dyDescent="0.35">
      <c r="A117" s="143">
        <f>RANK(J117,$J$5:$J$162)+COUNTIF(J$5:J117,J117)-1</f>
        <v>58</v>
      </c>
      <c r="B117" s="108">
        <f>RTD("wdf.rtq",,D117,27)/100</f>
        <v>0</v>
      </c>
      <c r="C117" s="109">
        <f>RTD("wdf.rtq",,D117,"LastPrice")</f>
        <v>78.5</v>
      </c>
      <c r="D117" s="140" t="str">
        <f>公司名单!D114</f>
        <v>688347.SH</v>
      </c>
      <c r="E117" s="140" t="str">
        <f>公司名单!C114</f>
        <v>华虹公司</v>
      </c>
      <c r="F117" s="140" t="str">
        <f>公司名单!E114</f>
        <v>1347.HK</v>
      </c>
      <c r="G117" s="109">
        <f>IF(RTD("wdf.rtq",,F117,5)=0,[1]!s_dq_preclose(F117),RTD("wdf.rtq",,F117,5))</f>
        <v>53.2</v>
      </c>
      <c r="H117" s="108">
        <f>RTD("wdf.rtq",,F117,27)/100</f>
        <v>-2.0300000000000002E-2</v>
      </c>
      <c r="I117" s="111">
        <f t="shared" si="14"/>
        <v>30.052887999999996</v>
      </c>
      <c r="J117" s="112">
        <f t="shared" si="15"/>
        <v>0.62032362217999681</v>
      </c>
      <c r="K117" s="113">
        <f t="shared" si="16"/>
        <v>1.6203236221799968</v>
      </c>
      <c r="L117" s="34"/>
      <c r="M117" s="34"/>
    </row>
    <row r="118" spans="1:13" s="11" customFormat="1" ht="16.5" x14ac:dyDescent="0.35">
      <c r="A118" s="143">
        <f>RANK(J118,$J$5:$J$162)+COUNTIF(J$5:J118,J118)-1</f>
        <v>155</v>
      </c>
      <c r="B118" s="118">
        <f>RTD("wdf.rtq",,D118,27)/100</f>
        <v>6.8000000000000005E-3</v>
      </c>
      <c r="C118" s="114">
        <f>RTD("wdf.rtq",,D118,"LastPrice")</f>
        <v>22.36</v>
      </c>
      <c r="D118" s="141" t="str">
        <f>公司名单!D115</f>
        <v>601899.SH</v>
      </c>
      <c r="E118" s="141" t="str">
        <f>公司名单!C115</f>
        <v>紫金矿业</v>
      </c>
      <c r="F118" s="141" t="str">
        <f>公司名单!E115</f>
        <v>2899.HK</v>
      </c>
      <c r="G118" s="114">
        <f>IF(RTD("wdf.rtq",,F118,5)=0,[1]!s_dq_preclose(F118),RTD("wdf.rtq",,F118,5))</f>
        <v>24.900000000000002</v>
      </c>
      <c r="H118" s="118">
        <f>RTD("wdf.rtq",,F118,27)/100</f>
        <v>2.3E-2</v>
      </c>
      <c r="I118" s="115">
        <f t="shared" si="14"/>
        <v>-0.31543400000000332</v>
      </c>
      <c r="J118" s="116">
        <f t="shared" si="15"/>
        <v>-1.391082525697207E-2</v>
      </c>
      <c r="K118" s="117">
        <f t="shared" si="16"/>
        <v>0.98608917474302793</v>
      </c>
      <c r="L118" s="34"/>
      <c r="M118" s="34"/>
    </row>
    <row r="119" spans="1:13" s="11" customFormat="1" ht="16.5" x14ac:dyDescent="0.35">
      <c r="A119" s="143">
        <f>RANK(J119,$J$5:$J$162)+COUNTIF(J$5:J119,J119)-1</f>
        <v>35</v>
      </c>
      <c r="B119" s="108">
        <f>RTD("wdf.rtq",,D119,27)/100</f>
        <v>-5.0000000000000001E-4</v>
      </c>
      <c r="C119" s="109">
        <f>RTD("wdf.rtq",,D119,"LastPrice")</f>
        <v>42.84</v>
      </c>
      <c r="D119" s="140" t="str">
        <f>公司名单!D116</f>
        <v>601628.SH</v>
      </c>
      <c r="E119" s="140" t="str">
        <f>公司名单!C116</f>
        <v>中国人寿</v>
      </c>
      <c r="F119" s="140" t="str">
        <f>公司名单!E116</f>
        <v>2628.HK</v>
      </c>
      <c r="G119" s="109">
        <f>IF(RTD("wdf.rtq",,F119,5)=0,[1]!s_dq_preclose(F119),RTD("wdf.rtq",,F119,5))</f>
        <v>25.2</v>
      </c>
      <c r="H119" s="108">
        <f>RTD("wdf.rtq",,F119,27)/100</f>
        <v>1.8600000000000002E-2</v>
      </c>
      <c r="I119" s="111">
        <f t="shared" si="14"/>
        <v>19.891368000000003</v>
      </c>
      <c r="J119" s="112">
        <f t="shared" si="15"/>
        <v>0.86677794127336227</v>
      </c>
      <c r="K119" s="113">
        <f t="shared" si="16"/>
        <v>1.8667779412733623</v>
      </c>
      <c r="L119" s="34"/>
      <c r="M119" s="34"/>
    </row>
    <row r="120" spans="1:13" s="11" customFormat="1" ht="16.5" x14ac:dyDescent="0.35">
      <c r="A120" s="143">
        <f>RANK(J120,$J$5:$J$162)+COUNTIF(J$5:J120,J120)-1</f>
        <v>41</v>
      </c>
      <c r="B120" s="118">
        <f>RTD("wdf.rtq",,D120,27)/100</f>
        <v>2.2800000000000001E-2</v>
      </c>
      <c r="C120" s="114">
        <f>RTD("wdf.rtq",,D120,"LastPrice")</f>
        <v>37.19</v>
      </c>
      <c r="D120" s="141" t="str">
        <f>公司名单!D117</f>
        <v>300748.SZ</v>
      </c>
      <c r="E120" s="141" t="str">
        <f>公司名单!C117</f>
        <v>金力永磁</v>
      </c>
      <c r="F120" s="141" t="str">
        <f>公司名单!E117</f>
        <v>6680.HK</v>
      </c>
      <c r="G120" s="114">
        <f>IF(RTD("wdf.rtq",,F120,5)=0,[1]!s_dq_preclose(F120),RTD("wdf.rtq",,F120,5))</f>
        <v>22.84</v>
      </c>
      <c r="H120" s="118">
        <f>RTD("wdf.rtq",,F120,27)/100</f>
        <v>1.9599999999999999E-2</v>
      </c>
      <c r="I120" s="115">
        <f t="shared" si="14"/>
        <v>16.390525599999997</v>
      </c>
      <c r="J120" s="116">
        <f t="shared" si="15"/>
        <v>0.78802595127115316</v>
      </c>
      <c r="K120" s="117">
        <f t="shared" si="16"/>
        <v>1.7880259512711532</v>
      </c>
      <c r="L120" s="34"/>
      <c r="M120" s="34"/>
    </row>
    <row r="121" spans="1:13" s="11" customFormat="1" ht="16.5" x14ac:dyDescent="0.35">
      <c r="A121" s="143">
        <f>RANK(J121,$J$5:$J$162)+COUNTIF(J$5:J121,J121)-1</f>
        <v>156</v>
      </c>
      <c r="B121" s="108">
        <f>RTD("wdf.rtq",,D121,27)/100</f>
        <v>-5.7000000000000002E-3</v>
      </c>
      <c r="C121" s="109">
        <f>RTD("wdf.rtq",,D121,"LastPrice")</f>
        <v>43.62</v>
      </c>
      <c r="D121" s="140" t="str">
        <f>公司名单!D118</f>
        <v>600036.SH</v>
      </c>
      <c r="E121" s="140" t="str">
        <f>公司名单!C118</f>
        <v>招商银行</v>
      </c>
      <c r="F121" s="140" t="str">
        <f>公司名单!E118</f>
        <v>3968.HK</v>
      </c>
      <c r="G121" s="109">
        <f>IF(RTD("wdf.rtq",,F121,5)=0,[1]!s_dq_preclose(F121),RTD("wdf.rtq",,F121,5))</f>
        <v>48.88</v>
      </c>
      <c r="H121" s="108">
        <f>RTD("wdf.rtq",,F121,27)/100</f>
        <v>-1.5300000000000001E-2</v>
      </c>
      <c r="I121" s="111">
        <f t="shared" si="14"/>
        <v>-0.89306080000000776</v>
      </c>
      <c r="J121" s="112">
        <f t="shared" si="15"/>
        <v>-2.0062893540675364E-2</v>
      </c>
      <c r="K121" s="113">
        <f t="shared" si="16"/>
        <v>0.97993710645932464</v>
      </c>
      <c r="L121" s="34"/>
      <c r="M121" s="34"/>
    </row>
    <row r="122" spans="1:13" s="11" customFormat="1" ht="16.5" x14ac:dyDescent="0.35">
      <c r="A122" s="143">
        <f>RANK(J122,$J$5:$J$162)+COUNTIF(J$5:J122,J122)-1</f>
        <v>2</v>
      </c>
      <c r="B122" s="118">
        <f>RTD("wdf.rtq",,D122,27)/100</f>
        <v>1.1300000000000001E-2</v>
      </c>
      <c r="C122" s="114">
        <f>RTD("wdf.rtq",,D122,"LastPrice")</f>
        <v>52.1</v>
      </c>
      <c r="D122" s="141" t="str">
        <f>公司名单!D119</f>
        <v>605198.SH</v>
      </c>
      <c r="E122" s="141" t="str">
        <f>公司名单!C119</f>
        <v>安德利</v>
      </c>
      <c r="F122" s="141" t="str">
        <f>公司名单!E119</f>
        <v>2218.HK</v>
      </c>
      <c r="G122" s="114">
        <f>IF(RTD("wdf.rtq",,F122,5)=0,[1]!s_dq_preclose(F122),RTD("wdf.rtq",,F122,5))</f>
        <v>18.18</v>
      </c>
      <c r="H122" s="118">
        <f>RTD("wdf.rtq",,F122,27)/100</f>
        <v>-1.1000000000000001E-3</v>
      </c>
      <c r="I122" s="115">
        <f t="shared" si="14"/>
        <v>35.544201200000003</v>
      </c>
      <c r="J122" s="116">
        <f t="shared" si="15"/>
        <v>2.1469336290798604</v>
      </c>
      <c r="K122" s="117">
        <f t="shared" si="16"/>
        <v>3.1469336290798604</v>
      </c>
      <c r="L122" s="34"/>
      <c r="M122" s="34"/>
    </row>
    <row r="123" spans="1:13" s="11" customFormat="1" ht="16.5" x14ac:dyDescent="0.35">
      <c r="A123" s="143">
        <f>RANK(J123,$J$5:$J$162)+COUNTIF(J$5:J123,J123)-1</f>
        <v>12</v>
      </c>
      <c r="B123" s="108">
        <f>RTD("wdf.rtq",,D123,27)/100</f>
        <v>0</v>
      </c>
      <c r="C123" s="109">
        <f>RTD("wdf.rtq",,D123,"LastPrice")</f>
        <v>2.58</v>
      </c>
      <c r="D123" s="140" t="str">
        <f>公司名单!D120</f>
        <v>601866.SH</v>
      </c>
      <c r="E123" s="140" t="str">
        <f>公司名单!C120</f>
        <v>中远海发</v>
      </c>
      <c r="F123" s="140" t="str">
        <f>公司名单!E120</f>
        <v>2866.HK</v>
      </c>
      <c r="G123" s="109">
        <f>IF(RTD("wdf.rtq",,F123,5)=0,[1]!s_dq_preclose(F123),RTD("wdf.rtq",,F123,5))</f>
        <v>1.19</v>
      </c>
      <c r="H123" s="108">
        <f>RTD("wdf.rtq",,F123,27)/100</f>
        <v>0</v>
      </c>
      <c r="I123" s="111">
        <f t="shared" si="14"/>
        <v>1.4963146000000001</v>
      </c>
      <c r="J123" s="112">
        <f t="shared" si="15"/>
        <v>1.3807647496219846</v>
      </c>
      <c r="K123" s="113">
        <f t="shared" si="16"/>
        <v>2.3807647496219846</v>
      </c>
      <c r="L123" s="34"/>
      <c r="M123" s="34"/>
    </row>
    <row r="124" spans="1:13" s="11" customFormat="1" ht="16.5" x14ac:dyDescent="0.35">
      <c r="A124" s="143">
        <f>RANK(J124,$J$5:$J$162)+COUNTIF(J$5:J124,J124)-1</f>
        <v>32</v>
      </c>
      <c r="B124" s="118">
        <f>RTD("wdf.rtq",,D124,27)/100</f>
        <v>-1.14E-2</v>
      </c>
      <c r="C124" s="114">
        <f>RTD("wdf.rtq",,D124,"LastPrice")</f>
        <v>29.46</v>
      </c>
      <c r="D124" s="141" t="str">
        <f>公司名单!D121</f>
        <v>600685.SH</v>
      </c>
      <c r="E124" s="141" t="str">
        <f>公司名单!C121</f>
        <v>中船防务</v>
      </c>
      <c r="F124" s="141" t="str">
        <f>公司名单!E121</f>
        <v>0317.HK</v>
      </c>
      <c r="G124" s="114">
        <f>IF(RTD("wdf.rtq",,F124,5)=0,[1]!s_dq_preclose(F124),RTD("wdf.rtq",,F124,5))</f>
        <v>16.55</v>
      </c>
      <c r="H124" s="118">
        <f>RTD("wdf.rtq",,F124,27)/100</f>
        <v>3.0000000000000001E-3</v>
      </c>
      <c r="I124" s="115">
        <f t="shared" si="14"/>
        <v>14.388577</v>
      </c>
      <c r="J124" s="116">
        <f t="shared" si="15"/>
        <v>0.95469266571577216</v>
      </c>
      <c r="K124" s="117">
        <f t="shared" si="16"/>
        <v>1.9546926657157722</v>
      </c>
      <c r="L124" s="34"/>
      <c r="M124" s="34"/>
    </row>
    <row r="125" spans="1:13" s="11" customFormat="1" ht="16.5" x14ac:dyDescent="0.35">
      <c r="A125" s="143">
        <f>RANK(J125,$J$5:$J$162)+COUNTIF(J$5:J125,J125)-1</f>
        <v>97</v>
      </c>
      <c r="B125" s="108">
        <f>RTD("wdf.rtq",,D125,27)/100</f>
        <v>-6.3E-3</v>
      </c>
      <c r="C125" s="109">
        <f>RTD("wdf.rtq",,D125,"LastPrice")</f>
        <v>26.8</v>
      </c>
      <c r="D125" s="140" t="str">
        <f>公司名单!D122</f>
        <v>600362.SH</v>
      </c>
      <c r="E125" s="140" t="str">
        <f>公司名单!C122</f>
        <v>江西铜业</v>
      </c>
      <c r="F125" s="140" t="str">
        <f>公司名单!E122</f>
        <v>0358.HK</v>
      </c>
      <c r="G125" s="109">
        <f>IF(RTD("wdf.rtq",,F125,5)=0,[1]!s_dq_preclose(F125),RTD("wdf.rtq",,F125,5))</f>
        <v>21.54</v>
      </c>
      <c r="H125" s="108">
        <f>RTD("wdf.rtq",,F125,27)/100</f>
        <v>3.7600000000000001E-2</v>
      </c>
      <c r="I125" s="111">
        <f t="shared" si="14"/>
        <v>7.1843836000000003</v>
      </c>
      <c r="J125" s="112">
        <f t="shared" si="15"/>
        <v>0.36625836545213031</v>
      </c>
      <c r="K125" s="113">
        <f t="shared" si="16"/>
        <v>1.3662583654521303</v>
      </c>
      <c r="L125" s="34"/>
      <c r="M125" s="34"/>
    </row>
    <row r="126" spans="1:13" s="11" customFormat="1" ht="16.5" x14ac:dyDescent="0.35">
      <c r="A126" s="143">
        <f>RANK(J126,$J$5:$J$162)+COUNTIF(J$5:J126,J126)-1</f>
        <v>126</v>
      </c>
      <c r="B126" s="118">
        <f>RTD("wdf.rtq",,D126,27)/100</f>
        <v>3.8E-3</v>
      </c>
      <c r="C126" s="114">
        <f>RTD("wdf.rtq",,D126,"LastPrice")</f>
        <v>41.76</v>
      </c>
      <c r="D126" s="141" t="str">
        <f>公司名单!D123</f>
        <v>000513.SZ</v>
      </c>
      <c r="E126" s="141" t="str">
        <f>公司名单!C123</f>
        <v>丽珠集团</v>
      </c>
      <c r="F126" s="141" t="str">
        <f>公司名单!E123</f>
        <v>1513.HK</v>
      </c>
      <c r="G126" s="114">
        <f>IF(RTD("wdf.rtq",,F126,5)=0,[1]!s_dq_preclose(F126),RTD("wdf.rtq",,F126,5))</f>
        <v>37.78</v>
      </c>
      <c r="H126" s="118">
        <f>RTD("wdf.rtq",,F126,27)/100</f>
        <v>-2.5999999999999999E-3</v>
      </c>
      <c r="I126" s="115">
        <f t="shared" si="14"/>
        <v>7.3552651999999981</v>
      </c>
      <c r="J126" s="116">
        <f t="shared" si="15"/>
        <v>0.21378642337333176</v>
      </c>
      <c r="K126" s="117">
        <f t="shared" si="16"/>
        <v>1.2137864233733318</v>
      </c>
      <c r="L126" s="34"/>
      <c r="M126" s="34"/>
    </row>
    <row r="127" spans="1:13" s="11" customFormat="1" ht="16.5" x14ac:dyDescent="0.35">
      <c r="A127" s="143">
        <f>RANK(J127,$J$5:$J$162)+COUNTIF(J$5:J127,J127)-1</f>
        <v>73</v>
      </c>
      <c r="B127" s="108">
        <f>RTD("wdf.rtq",,D127,27)/100</f>
        <v>-1.2000000000000001E-3</v>
      </c>
      <c r="C127" s="109">
        <f>RTD("wdf.rtq",,D127,"LastPrice")</f>
        <v>25.96</v>
      </c>
      <c r="D127" s="140" t="str">
        <f>公司名单!D124</f>
        <v>600938.SH</v>
      </c>
      <c r="E127" s="140" t="str">
        <f>公司名单!C124</f>
        <v>中国海油</v>
      </c>
      <c r="F127" s="140" t="str">
        <f>公司名单!E124</f>
        <v>0883.HK</v>
      </c>
      <c r="G127" s="109">
        <f>IF(RTD("wdf.rtq",,F127,5)=0,[1]!s_dq_preclose(F127),RTD("wdf.rtq",,F127,5))</f>
        <v>18.940000000000001</v>
      </c>
      <c r="H127" s="108">
        <f>RTD("wdf.rtq",,F127,27)/100</f>
        <v>5.8000000000000005E-3</v>
      </c>
      <c r="I127" s="111">
        <f t="shared" si="14"/>
        <v>8.7120995999999984</v>
      </c>
      <c r="J127" s="112">
        <f t="shared" si="15"/>
        <v>0.5051107322025119</v>
      </c>
      <c r="K127" s="113">
        <f t="shared" si="16"/>
        <v>1.5051107322025119</v>
      </c>
      <c r="L127" s="34"/>
      <c r="M127" s="34"/>
    </row>
    <row r="128" spans="1:13" s="11" customFormat="1" ht="16.5" x14ac:dyDescent="0.35">
      <c r="A128" s="143">
        <f>RANK(J128,$J$5:$J$162)+COUNTIF(J$5:J128,J128)-1</f>
        <v>22</v>
      </c>
      <c r="B128" s="118">
        <f>RTD("wdf.rtq",,D128,27)/100</f>
        <v>-3.9000000000000003E-3</v>
      </c>
      <c r="C128" s="114">
        <f>RTD("wdf.rtq",,D128,"LastPrice")</f>
        <v>2.56</v>
      </c>
      <c r="D128" s="141" t="str">
        <f>公司名单!D125</f>
        <v>601868.SH</v>
      </c>
      <c r="E128" s="141" t="str">
        <f>公司名单!C125</f>
        <v>中国能建</v>
      </c>
      <c r="F128" s="141" t="str">
        <f>公司名单!E125</f>
        <v>3996.HK</v>
      </c>
      <c r="G128" s="114">
        <f>IF(RTD("wdf.rtq",,F128,5)=0,[1]!s_dq_preclose(F128),RTD("wdf.rtq",,F128,5))</f>
        <v>1.32</v>
      </c>
      <c r="H128" s="118">
        <f>RTD("wdf.rtq",,F128,27)/100</f>
        <v>0</v>
      </c>
      <c r="I128" s="115">
        <f t="shared" si="14"/>
        <v>1.3579288</v>
      </c>
      <c r="J128" s="116">
        <f t="shared" si="15"/>
        <v>1.1296575444116788</v>
      </c>
      <c r="K128" s="117">
        <f t="shared" si="16"/>
        <v>2.1296575444116788</v>
      </c>
      <c r="L128" s="34"/>
      <c r="M128" s="34"/>
    </row>
    <row r="129" spans="1:13" s="11" customFormat="1" ht="16.5" x14ac:dyDescent="0.35">
      <c r="A129" s="143">
        <f>RANK(J129,$J$5:$J$162)+COUNTIF(J$5:J129,J129)-1</f>
        <v>63</v>
      </c>
      <c r="B129" s="108">
        <f>RTD("wdf.rtq",,D129,27)/100</f>
        <v>6.6E-3</v>
      </c>
      <c r="C129" s="109">
        <f>RTD("wdf.rtq",,D129,"LastPrice")</f>
        <v>7.59</v>
      </c>
      <c r="D129" s="140" t="str">
        <f>公司名单!D126</f>
        <v>601111.SH</v>
      </c>
      <c r="E129" s="140" t="str">
        <f>公司名单!C126</f>
        <v>中国国航</v>
      </c>
      <c r="F129" s="140" t="str">
        <f>公司名单!E126</f>
        <v>0753.HK</v>
      </c>
      <c r="G129" s="109">
        <f>IF(RTD("wdf.rtq",,F129,5)=0,[1]!s_dq_preclose(F129),RTD("wdf.rtq",,F129,5))</f>
        <v>5.3100000000000005</v>
      </c>
      <c r="H129" s="108">
        <f>RTD("wdf.rtq",,F129,27)/100</f>
        <v>1.9E-3</v>
      </c>
      <c r="I129" s="111">
        <f t="shared" si="14"/>
        <v>2.7543953999999991</v>
      </c>
      <c r="J129" s="112">
        <f t="shared" si="15"/>
        <v>0.56960724208095903</v>
      </c>
      <c r="K129" s="113">
        <f t="shared" si="16"/>
        <v>1.569607242080959</v>
      </c>
      <c r="L129" s="34"/>
      <c r="M129" s="34"/>
    </row>
    <row r="130" spans="1:13" s="11" customFormat="1" ht="16.5" x14ac:dyDescent="0.35">
      <c r="A130" s="143">
        <f>RANK(J130,$J$5:$J$162)+COUNTIF(J$5:J130,J130)-1</f>
        <v>52</v>
      </c>
      <c r="B130" s="118">
        <f>RTD("wdf.rtq",,D130,27)/100</f>
        <v>1.3300000000000001E-2</v>
      </c>
      <c r="C130" s="114">
        <f>RTD("wdf.rtq",,D130,"LastPrice")</f>
        <v>6.08</v>
      </c>
      <c r="D130" s="141" t="str">
        <f>公司名单!D127</f>
        <v>600029.SH</v>
      </c>
      <c r="E130" s="141" t="str">
        <f>公司名单!C127</f>
        <v>南方航空</v>
      </c>
      <c r="F130" s="141" t="str">
        <f>公司名单!E127</f>
        <v>1055.HK</v>
      </c>
      <c r="G130" s="114">
        <f>IF(RTD("wdf.rtq",,F130,5)=0,[1]!s_dq_preclose(F130),RTD("wdf.rtq",,F130,5))</f>
        <v>4.01</v>
      </c>
      <c r="H130" s="118">
        <f>RTD("wdf.rtq",,F130,27)/100</f>
        <v>7.5000000000000015E-3</v>
      </c>
      <c r="I130" s="115">
        <f t="shared" ref="I130:I143" si="17">C130-G130*HKS_CNY中间价最新</f>
        <v>2.4282534</v>
      </c>
      <c r="J130" s="116">
        <f t="shared" si="15"/>
        <v>0.66495670866100065</v>
      </c>
      <c r="K130" s="117">
        <f t="shared" si="16"/>
        <v>1.6649567086610007</v>
      </c>
      <c r="L130" s="34"/>
      <c r="M130" s="34"/>
    </row>
    <row r="131" spans="1:13" s="11" customFormat="1" ht="16.5" x14ac:dyDescent="0.35">
      <c r="A131" s="143">
        <f>RANK(J131,$J$5:$J$162)+COUNTIF(J$5:J131,J131)-1</f>
        <v>98</v>
      </c>
      <c r="B131" s="108">
        <f>RTD("wdf.rtq",,D131,27)/100</f>
        <v>-5.5999999999999991E-3</v>
      </c>
      <c r="C131" s="109">
        <f>RTD("wdf.rtq",,D131,"LastPrice")</f>
        <v>49.9</v>
      </c>
      <c r="D131" s="140" t="str">
        <f>公司名单!D128</f>
        <v>688187.SH</v>
      </c>
      <c r="E131" s="140" t="str">
        <f>公司名单!C128</f>
        <v>时代电气</v>
      </c>
      <c r="F131" s="140" t="str">
        <f>公司名单!E128</f>
        <v>3898.HK</v>
      </c>
      <c r="G131" s="109">
        <f>IF(RTD("wdf.rtq",,F131,5)=0,[1]!s_dq_preclose(F131),RTD("wdf.rtq",,F131,5))</f>
        <v>40.46</v>
      </c>
      <c r="H131" s="108">
        <f>RTD("wdf.rtq",,F131,27)/100</f>
        <v>-7.4000000000000003E-3</v>
      </c>
      <c r="I131" s="111">
        <f t="shared" si="17"/>
        <v>13.054696399999997</v>
      </c>
      <c r="J131" s="112">
        <f t="shared" si="15"/>
        <v>0.35431100098195412</v>
      </c>
      <c r="K131" s="113">
        <f t="shared" si="16"/>
        <v>1.3543110009819541</v>
      </c>
      <c r="L131" s="34"/>
      <c r="M131" s="34"/>
    </row>
    <row r="132" spans="1:13" s="11" customFormat="1" ht="16.5" x14ac:dyDescent="0.35">
      <c r="A132" s="143">
        <f>RANK(J132,$J$5:$J$162)+COUNTIF(J$5:J132,J132)-1</f>
        <v>24</v>
      </c>
      <c r="B132" s="118">
        <f>RTD("wdf.rtq",,D132,27)/100</f>
        <v>-6.0000000000000001E-3</v>
      </c>
      <c r="C132" s="114">
        <f>RTD("wdf.rtq",,D132,"LastPrice")</f>
        <v>1.6500000000000001</v>
      </c>
      <c r="D132" s="141" t="str">
        <f>公司名单!D129</f>
        <v>601880.SH</v>
      </c>
      <c r="E132" s="141" t="str">
        <f>公司名单!C129</f>
        <v>辽港股份</v>
      </c>
      <c r="F132" s="141" t="str">
        <f>公司名单!E129</f>
        <v>2880.HK</v>
      </c>
      <c r="G132" s="114">
        <f>IF(RTD("wdf.rtq",,F132,5)=0,[1]!s_dq_preclose(F132),RTD("wdf.rtq",,F132,5))</f>
        <v>0.88</v>
      </c>
      <c r="H132" s="118">
        <f>RTD("wdf.rtq",,F132,27)/100</f>
        <v>0</v>
      </c>
      <c r="I132" s="115">
        <f t="shared" si="17"/>
        <v>0.84861920000000013</v>
      </c>
      <c r="J132" s="116">
        <f t="shared" ref="J132:J143" si="18">IF(G132=0,"",(C132/(G132*HKS_CNY中间价最新)-1))</f>
        <v>1.058946258757385</v>
      </c>
      <c r="K132" s="117">
        <f t="shared" ref="K132:K143" si="19">IF(G132=0,"",C132/(G132*HKS_CNY中间价最新))</f>
        <v>2.058946258757385</v>
      </c>
      <c r="L132" s="34"/>
      <c r="M132" s="34"/>
    </row>
    <row r="133" spans="1:13" s="11" customFormat="1" ht="16.5" x14ac:dyDescent="0.35">
      <c r="A133" s="143">
        <f>RANK(J133,$J$5:$J$162)+COUNTIF(J$5:J133,J133)-1</f>
        <v>19</v>
      </c>
      <c r="B133" s="108">
        <f>RTD("wdf.rtq",,D133,27)/100</f>
        <v>3.9000000000000003E-3</v>
      </c>
      <c r="C133" s="109">
        <f>RTD("wdf.rtq",,D133,"LastPrice")</f>
        <v>5.2</v>
      </c>
      <c r="D133" s="140" t="str">
        <f>公司名单!D130</f>
        <v>601068.SH</v>
      </c>
      <c r="E133" s="140" t="str">
        <f>公司名单!C130</f>
        <v>中铝国际</v>
      </c>
      <c r="F133" s="140" t="str">
        <f>公司名单!E130</f>
        <v>2068.HK</v>
      </c>
      <c r="G133" s="109">
        <f>IF(RTD("wdf.rtq",,F133,5)=0,[1]!s_dq_preclose(F133),RTD("wdf.rtq",,F133,5))</f>
        <v>2.5500000000000003</v>
      </c>
      <c r="H133" s="108">
        <f>RTD("wdf.rtq",,F133,27)/100</f>
        <v>7.9000000000000008E-3</v>
      </c>
      <c r="I133" s="111">
        <f t="shared" si="17"/>
        <v>2.8778169999999998</v>
      </c>
      <c r="J133" s="112">
        <f t="shared" si="18"/>
        <v>1.2392722709622794</v>
      </c>
      <c r="K133" s="113">
        <f t="shared" si="19"/>
        <v>2.2392722709622794</v>
      </c>
      <c r="L133" s="34"/>
      <c r="M133" s="34"/>
    </row>
    <row r="134" spans="1:13" s="11" customFormat="1" ht="16.5" x14ac:dyDescent="0.35">
      <c r="A134" s="143">
        <f>RANK(J134,$J$5:$J$162)+COUNTIF(J$5:J134,J134)-1</f>
        <v>46</v>
      </c>
      <c r="B134" s="118">
        <f>RTD("wdf.rtq",,D134,27)/100</f>
        <v>0</v>
      </c>
      <c r="C134" s="114">
        <f>RTD("wdf.rtq",,D134,"LastPrice")</f>
        <v>3.42</v>
      </c>
      <c r="D134" s="141" t="str">
        <f>公司名单!D131</f>
        <v>601991.SH</v>
      </c>
      <c r="E134" s="141" t="str">
        <f>公司名单!C131</f>
        <v>大唐发电</v>
      </c>
      <c r="F134" s="141" t="str">
        <f>公司名单!E131</f>
        <v>0991.HK</v>
      </c>
      <c r="G134" s="114">
        <f>IF(RTD("wdf.rtq",,F134,5)=0,[1]!s_dq_preclose(F134),RTD("wdf.rtq",,F134,5))</f>
        <v>2.16</v>
      </c>
      <c r="H134" s="118">
        <f>RTD("wdf.rtq",,F134,27)/100</f>
        <v>9.300000000000001E-3</v>
      </c>
      <c r="I134" s="115">
        <f t="shared" si="17"/>
        <v>1.4529743999999998</v>
      </c>
      <c r="J134" s="116">
        <f t="shared" si="18"/>
        <v>0.73866572961734689</v>
      </c>
      <c r="K134" s="117">
        <f t="shared" si="19"/>
        <v>1.7386657296173469</v>
      </c>
      <c r="L134" s="34"/>
      <c r="M134" s="34"/>
    </row>
    <row r="135" spans="1:13" s="11" customFormat="1" ht="16.5" x14ac:dyDescent="0.35">
      <c r="A135" s="143">
        <f>RANK(J135,$J$5:$J$162)+COUNTIF(J$5:J135,J135)-1</f>
        <v>153</v>
      </c>
      <c r="B135" s="108">
        <f>RTD("wdf.rtq",,D135,27)/100</f>
        <v>-3.2000000000000002E-3</v>
      </c>
      <c r="C135" s="109">
        <f>RTD("wdf.rtq",,D135,"LastPrice")</f>
        <v>15.72</v>
      </c>
      <c r="D135" s="140" t="str">
        <f>公司名单!D132</f>
        <v>000338.SZ</v>
      </c>
      <c r="E135" s="140" t="str">
        <f>公司名单!C132</f>
        <v>潍柴动力</v>
      </c>
      <c r="F135" s="140" t="str">
        <f>公司名单!E132</f>
        <v>2338.HK</v>
      </c>
      <c r="G135" s="109">
        <f>IF(RTD("wdf.rtq",,F135,5)=0,[1]!s_dq_preclose(F135),RTD("wdf.rtq",,F135,5))</f>
        <v>17.05</v>
      </c>
      <c r="H135" s="108">
        <f>RTD("wdf.rtq",,F135,27)/100</f>
        <v>-9.300000000000001E-3</v>
      </c>
      <c r="I135" s="111">
        <f t="shared" si="17"/>
        <v>0.1932469999999995</v>
      </c>
      <c r="J135" s="112">
        <f t="shared" si="18"/>
        <v>1.2446066476358597E-2</v>
      </c>
      <c r="K135" s="113">
        <f t="shared" si="19"/>
        <v>1.0124460664763586</v>
      </c>
      <c r="L135" s="34"/>
      <c r="M135" s="34"/>
    </row>
    <row r="136" spans="1:13" s="11" customFormat="1" ht="16.5" x14ac:dyDescent="0.35">
      <c r="A136" s="143">
        <f>RANK(J136,$J$5:$J$162)+COUNTIF(J$5:J136,J136)-1</f>
        <v>48</v>
      </c>
      <c r="B136" s="118">
        <f>RTD("wdf.rtq",,D136,27)/100</f>
        <v>2.9300000000000003E-2</v>
      </c>
      <c r="C136" s="114">
        <f>RTD("wdf.rtq",,D136,"LastPrice")</f>
        <v>3.87</v>
      </c>
      <c r="D136" s="141" t="str">
        <f>公司名单!D133</f>
        <v>600808.SH</v>
      </c>
      <c r="E136" s="141" t="str">
        <f>公司名单!C133</f>
        <v>马钢股份</v>
      </c>
      <c r="F136" s="141" t="str">
        <f>公司名单!E133</f>
        <v>0323.HK</v>
      </c>
      <c r="G136" s="114">
        <f>IF(RTD("wdf.rtq",,F136,5)=0,[1]!s_dq_preclose(F136),RTD("wdf.rtq",,F136,5))</f>
        <v>2.5100000000000002</v>
      </c>
      <c r="H136" s="118">
        <f>RTD("wdf.rtq",,F136,27)/100</f>
        <v>3.7200000000000004E-2</v>
      </c>
      <c r="I136" s="115">
        <f t="shared" si="17"/>
        <v>1.5842433999999996</v>
      </c>
      <c r="J136" s="116">
        <f t="shared" si="18"/>
        <v>0.69309365660368183</v>
      </c>
      <c r="K136" s="117">
        <f t="shared" si="19"/>
        <v>1.6930936566036818</v>
      </c>
      <c r="L136" s="34"/>
      <c r="M136" s="34"/>
    </row>
    <row r="137" spans="1:13" s="11" customFormat="1" ht="16.5" x14ac:dyDescent="0.35">
      <c r="A137" s="143">
        <f>RANK(J137,$J$5:$J$162)+COUNTIF(J$5:J137,J137)-1</f>
        <v>157</v>
      </c>
      <c r="B137" s="108">
        <f>RTD("wdf.rtq",,D137,27)/100</f>
        <v>6.9000000000000008E-3</v>
      </c>
      <c r="C137" s="109">
        <f>RTD("wdf.rtq",,D137,"LastPrice")</f>
        <v>74.03</v>
      </c>
      <c r="D137" s="140" t="str">
        <f>公司名单!D134</f>
        <v>000333.SZ</v>
      </c>
      <c r="E137" s="140" t="str">
        <f>公司名单!C134</f>
        <v>美的集团</v>
      </c>
      <c r="F137" s="140" t="str">
        <f>公司名单!E134</f>
        <v>0300.HK</v>
      </c>
      <c r="G137" s="109">
        <f>IF(RTD("wdf.rtq",,F137,5)=0,[1]!s_dq_preclose(F137),RTD("wdf.rtq",,F137,5))</f>
        <v>84.05</v>
      </c>
      <c r="H137" s="108">
        <f>RTD("wdf.rtq",,F137,27)/100</f>
        <v>1.2000000000000001E-3</v>
      </c>
      <c r="I137" s="111">
        <f t="shared" si="17"/>
        <v>-2.5109729999999928</v>
      </c>
      <c r="J137" s="112">
        <f t="shared" si="18"/>
        <v>-3.2805605959568829E-2</v>
      </c>
      <c r="K137" s="113">
        <f t="shared" si="19"/>
        <v>0.96719439404043117</v>
      </c>
      <c r="L137" s="34"/>
      <c r="M137" s="34"/>
    </row>
    <row r="138" spans="1:13" s="11" customFormat="1" ht="16.5" x14ac:dyDescent="0.35">
      <c r="A138" s="143">
        <f>RANK(J138,$J$5:$J$162)+COUNTIF(J$5:J138,J138)-1</f>
        <v>154</v>
      </c>
      <c r="B138" s="118">
        <f>RTD("wdf.rtq",,D138,27)/100</f>
        <v>1.4800000000000001E-2</v>
      </c>
      <c r="C138" s="114">
        <f>RTD("wdf.rtq",,D138,"LastPrice")</f>
        <v>63.76</v>
      </c>
      <c r="D138" s="141" t="str">
        <f>公司名单!D135</f>
        <v>600660.SH</v>
      </c>
      <c r="E138" s="141" t="str">
        <f>公司名单!C135</f>
        <v>福耀玻璃</v>
      </c>
      <c r="F138" s="141" t="str">
        <f>公司名单!E135</f>
        <v>3606.HK</v>
      </c>
      <c r="G138" s="114">
        <f>IF(RTD("wdf.rtq",,F138,5)=0,[1]!s_dq_preclose(F138),RTD("wdf.rtq",,F138,5))</f>
        <v>69.600000000000009</v>
      </c>
      <c r="H138" s="118">
        <f>RTD("wdf.rtq",,F138,27)/100</f>
        <v>2.0500000000000004E-2</v>
      </c>
      <c r="I138" s="115">
        <f t="shared" si="17"/>
        <v>0.37806399999998774</v>
      </c>
      <c r="J138" s="116">
        <f t="shared" si="18"/>
        <v>5.9648540871328759E-3</v>
      </c>
      <c r="K138" s="117">
        <f t="shared" si="19"/>
        <v>1.0059648540871329</v>
      </c>
      <c r="L138" s="34"/>
      <c r="M138" s="34"/>
    </row>
    <row r="139" spans="1:13" s="11" customFormat="1" ht="16.5" x14ac:dyDescent="0.35">
      <c r="A139" s="143">
        <f>RANK(J139,$J$5:$J$162)+COUNTIF(J$5:J139,J139)-1</f>
        <v>111</v>
      </c>
      <c r="B139" s="108">
        <f>RTD("wdf.rtq",,D139,27)/100</f>
        <v>-1.09E-2</v>
      </c>
      <c r="C139" s="109">
        <f>RTD("wdf.rtq",,D139,"LastPrice")</f>
        <v>2.71</v>
      </c>
      <c r="D139" s="140" t="str">
        <f>公司名单!D136</f>
        <v>000898.SZ</v>
      </c>
      <c r="E139" s="140" t="str">
        <f>公司名单!C136</f>
        <v>鞍钢股份</v>
      </c>
      <c r="F139" s="140" t="str">
        <f>公司名单!E136</f>
        <v>0347.HK</v>
      </c>
      <c r="G139" s="109">
        <f>IF(RTD("wdf.rtq",,F139,5)=0,[1]!s_dq_preclose(F139),RTD("wdf.rtq",,F139,5))</f>
        <v>2.29</v>
      </c>
      <c r="H139" s="108">
        <f>RTD("wdf.rtq",,F139,27)/100</f>
        <v>4.4000000000000003E-3</v>
      </c>
      <c r="I139" s="111">
        <f t="shared" si="17"/>
        <v>0.62458860000000005</v>
      </c>
      <c r="J139" s="112">
        <f t="shared" si="18"/>
        <v>0.2995037813641952</v>
      </c>
      <c r="K139" s="113">
        <f t="shared" si="19"/>
        <v>1.2995037813641952</v>
      </c>
      <c r="L139" s="34"/>
      <c r="M139" s="34"/>
    </row>
    <row r="140" spans="1:13" s="11" customFormat="1" ht="16.5" x14ac:dyDescent="0.35">
      <c r="A140" s="143">
        <f>RANK(J140,$J$5:$J$162)+COUNTIF(J$5:J140,J140)-1</f>
        <v>152</v>
      </c>
      <c r="B140" s="118">
        <f>RTD("wdf.rtq",,D140,27)/100</f>
        <v>-3.0600000000000002E-2</v>
      </c>
      <c r="C140" s="114">
        <f>RTD("wdf.rtq",,D140,"LastPrice")</f>
        <v>96.92</v>
      </c>
      <c r="D140" s="141" t="str">
        <f>公司名单!D137</f>
        <v>603259.SH</v>
      </c>
      <c r="E140" s="141" t="str">
        <f>公司名单!C137</f>
        <v>药明康德</v>
      </c>
      <c r="F140" s="141" t="str">
        <f>公司名单!E137</f>
        <v>2359.HK</v>
      </c>
      <c r="G140" s="114">
        <f>IF(RTD("wdf.rtq",,F140,5)=0,[1]!s_dq_preclose(F140),RTD("wdf.rtq",,F140,5))</f>
        <v>104.2</v>
      </c>
      <c r="H140" s="118">
        <f>RTD("wdf.rtq",,F140,27)/100</f>
        <v>-2.2500000000000006E-2</v>
      </c>
      <c r="I140" s="115">
        <f t="shared" si="17"/>
        <v>2.0292280000000034</v>
      </c>
      <c r="J140" s="116">
        <f t="shared" si="18"/>
        <v>2.1384882399312799E-2</v>
      </c>
      <c r="K140" s="117">
        <f t="shared" si="19"/>
        <v>1.0213848823993128</v>
      </c>
      <c r="L140" s="34"/>
      <c r="M140" s="34"/>
    </row>
    <row r="141" spans="1:13" s="11" customFormat="1" ht="16.5" x14ac:dyDescent="0.35">
      <c r="A141" s="143">
        <f>RANK(J141,$J$5:$J$162)+COUNTIF(J$5:J141,J141)-1</f>
        <v>5</v>
      </c>
      <c r="B141" s="108">
        <f>RTD("wdf.rtq",,D141,27)/100</f>
        <v>1.4400000000000001E-2</v>
      </c>
      <c r="C141" s="109">
        <f>RTD("wdf.rtq",,D141,"LastPrice")</f>
        <v>2.12</v>
      </c>
      <c r="D141" s="140" t="str">
        <f>公司名单!D138</f>
        <v>600871.SH</v>
      </c>
      <c r="E141" s="140" t="str">
        <f>公司名单!C138</f>
        <v>石化油服</v>
      </c>
      <c r="F141" s="140" t="str">
        <f>公司名单!E138</f>
        <v>1033.HK</v>
      </c>
      <c r="G141" s="109">
        <f>IF(RTD("wdf.rtq",,F141,5)=0,[1]!s_dq_preclose(F141),RTD("wdf.rtq",,F141,5))</f>
        <v>0.82000000000000006</v>
      </c>
      <c r="H141" s="108">
        <f>RTD("wdf.rtq",,F141,27)/100</f>
        <v>1.23E-2</v>
      </c>
      <c r="I141" s="111">
        <f t="shared" si="17"/>
        <v>1.3732587999999999</v>
      </c>
      <c r="J141" s="112">
        <f t="shared" si="18"/>
        <v>1.8390023210183122</v>
      </c>
      <c r="K141" s="113">
        <f t="shared" si="19"/>
        <v>2.8390023210183122</v>
      </c>
      <c r="L141" s="34"/>
      <c r="M141" s="34"/>
    </row>
    <row r="142" spans="1:13" s="11" customFormat="1" ht="16.5" x14ac:dyDescent="0.35">
      <c r="A142" s="143">
        <f>RANK(J142,$J$5:$J$162)+COUNTIF(J$5:J142,J142)-1</f>
        <v>110</v>
      </c>
      <c r="B142" s="118">
        <f>RTD("wdf.rtq",,D142,27)/100</f>
        <v>-6.0000000000000006E-4</v>
      </c>
      <c r="C142" s="114">
        <f>RTD("wdf.rtq",,D142,"LastPrice")</f>
        <v>15.98</v>
      </c>
      <c r="D142" s="141" t="str">
        <f>公司名单!D139</f>
        <v>600801.SH</v>
      </c>
      <c r="E142" s="141" t="str">
        <f>公司名单!C139</f>
        <v>华新水泥</v>
      </c>
      <c r="F142" s="141" t="str">
        <f>公司名单!E139</f>
        <v>6655.HK</v>
      </c>
      <c r="G142" s="114">
        <f>IF(RTD("wdf.rtq",,F142,5)=0,[1]!s_dq_preclose(F142),RTD("wdf.rtq",,F142,5))</f>
        <v>13.48</v>
      </c>
      <c r="H142" s="118">
        <f>RTD("wdf.rtq",,F142,27)/100</f>
        <v>1.5800000000000002E-2</v>
      </c>
      <c r="I142" s="115">
        <f t="shared" si="17"/>
        <v>3.7043032</v>
      </c>
      <c r="J142" s="116">
        <f t="shared" si="18"/>
        <v>0.30175909851406568</v>
      </c>
      <c r="K142" s="117">
        <f t="shared" si="19"/>
        <v>1.3017590985140657</v>
      </c>
      <c r="L142" s="34"/>
      <c r="M142" s="34"/>
    </row>
    <row r="143" spans="1:13" s="11" customFormat="1" ht="16.5" x14ac:dyDescent="0.35">
      <c r="A143" s="143">
        <f>RANK(J143,$J$5:$J$162)+COUNTIF(J$5:J143,J143)-1</f>
        <v>148</v>
      </c>
      <c r="B143" s="108">
        <f>RTD("wdf.rtq",,D143,27)/100</f>
        <v>8.5000000000000006E-3</v>
      </c>
      <c r="C143" s="109">
        <f>RTD("wdf.rtq",,D143,"LastPrice")</f>
        <v>8.2900000000000009</v>
      </c>
      <c r="D143" s="140" t="str">
        <f>公司名单!D140</f>
        <v>000039.SZ</v>
      </c>
      <c r="E143" s="140" t="str">
        <f>公司名单!C140</f>
        <v>中集集团</v>
      </c>
      <c r="F143" s="140" t="str">
        <f>公司名单!E140</f>
        <v>2039.HK</v>
      </c>
      <c r="G143" s="109">
        <f>IF(RTD("wdf.rtq",,F143,5)=0,[1]!s_dq_preclose(F143),RTD("wdf.rtq",,F143,5))</f>
        <v>8.4</v>
      </c>
      <c r="H143" s="108">
        <f>RTD("wdf.rtq",,F143,27)/100</f>
        <v>1.5700000000000002E-2</v>
      </c>
      <c r="I143" s="111">
        <f t="shared" si="17"/>
        <v>0.64045600000000036</v>
      </c>
      <c r="J143" s="112">
        <f t="shared" si="18"/>
        <v>8.3724729212617088E-2</v>
      </c>
      <c r="K143" s="113">
        <f t="shared" si="19"/>
        <v>1.0837247292126171</v>
      </c>
      <c r="L143" s="34"/>
      <c r="M143" s="34"/>
    </row>
    <row r="144" spans="1:13" s="11" customFormat="1" ht="16.5" x14ac:dyDescent="0.35">
      <c r="A144" s="143">
        <f>RANK(J144,$J$5:$J$162)+COUNTIF(J$5:J144,J144)-1</f>
        <v>130</v>
      </c>
      <c r="B144" s="118">
        <f>RTD("wdf.rtq",,D144,27)/100</f>
        <v>-0.01</v>
      </c>
      <c r="C144" s="114">
        <f>RTD("wdf.rtq",,D144,"LastPrice")</f>
        <v>3.96</v>
      </c>
      <c r="D144" s="141" t="str">
        <f>公司名单!D141</f>
        <v>601818.SH</v>
      </c>
      <c r="E144" s="141" t="str">
        <f>公司名单!C141</f>
        <v>光大银行</v>
      </c>
      <c r="F144" s="141" t="str">
        <f>公司名单!E141</f>
        <v>6818.HK</v>
      </c>
      <c r="G144" s="114">
        <f>IF(RTD("wdf.rtq",,F144,5)=0,[1]!s_dq_preclose(F144),RTD("wdf.rtq",,F144,5))</f>
        <v>3.64</v>
      </c>
      <c r="H144" s="118">
        <f>RTD("wdf.rtq",,F144,27)/100</f>
        <v>-5.5000000000000005E-3</v>
      </c>
      <c r="I144" s="115">
        <f t="shared" ref="I144:I155" si="20">C144-G144*HKS_CNY中间价最新</f>
        <v>0.64519759999999993</v>
      </c>
      <c r="J144" s="116">
        <f t="shared" ref="J144:J155" si="21">IF(G144=0,"",(C144/(G144*HKS_CNY中间价最新)-1))</f>
        <v>0.19464134574054848</v>
      </c>
      <c r="K144" s="117">
        <f t="shared" ref="K144:K155" si="22">IF(G144=0,"",C144/(G144*HKS_CNY中间价最新))</f>
        <v>1.1946413457405485</v>
      </c>
      <c r="L144" s="34"/>
      <c r="M144" s="34"/>
    </row>
    <row r="145" spans="1:13" s="11" customFormat="1" ht="16.5" x14ac:dyDescent="0.35">
      <c r="A145" s="143">
        <f>RANK(J145,$J$5:$J$162)+COUNTIF(J$5:J145,J145)-1</f>
        <v>147</v>
      </c>
      <c r="B145" s="108">
        <f>RTD("wdf.rtq",,D145,27)/100</f>
        <v>5.7000000000000002E-3</v>
      </c>
      <c r="C145" s="109">
        <f>RTD("wdf.rtq",,D145,"LastPrice")</f>
        <v>26.34</v>
      </c>
      <c r="D145" s="140" t="str">
        <f>公司名单!D142</f>
        <v>600690.SH</v>
      </c>
      <c r="E145" s="140" t="str">
        <f>公司名单!C142</f>
        <v>海尔智家</v>
      </c>
      <c r="F145" s="140" t="str">
        <f>公司名单!E142</f>
        <v>6690.HK</v>
      </c>
      <c r="G145" s="109">
        <f>IF(RTD("wdf.rtq",,F145,5)=0,[1]!s_dq_preclose(F145),RTD("wdf.rtq",,F145,5))</f>
        <v>26.38</v>
      </c>
      <c r="H145" s="108">
        <f>RTD("wdf.rtq",,F145,27)/100</f>
        <v>1.54E-2</v>
      </c>
      <c r="I145" s="111">
        <f t="shared" si="20"/>
        <v>2.3167891999999988</v>
      </c>
      <c r="J145" s="112">
        <f t="shared" si="21"/>
        <v>9.6439614974364707E-2</v>
      </c>
      <c r="K145" s="113">
        <f t="shared" si="22"/>
        <v>1.0964396149743647</v>
      </c>
      <c r="L145" s="34"/>
      <c r="M145" s="34"/>
    </row>
    <row r="146" spans="1:13" s="11" customFormat="1" ht="16.5" x14ac:dyDescent="0.35">
      <c r="A146" s="143">
        <f>RANK(J146,$J$5:$J$162)+COUNTIF(J$5:J146,J146)-1</f>
        <v>104</v>
      </c>
      <c r="B146" s="118">
        <f>RTD("wdf.rtq",,D146,27)/100</f>
        <v>-4.5000000000000005E-3</v>
      </c>
      <c r="C146" s="114">
        <f>RTD("wdf.rtq",,D146,"LastPrice")</f>
        <v>109.59</v>
      </c>
      <c r="D146" s="141" t="str">
        <f>公司名单!D143</f>
        <v>600941.SH</v>
      </c>
      <c r="E146" s="141" t="str">
        <f>公司名单!C143</f>
        <v>中国移动</v>
      </c>
      <c r="F146" s="141" t="str">
        <f>公司名单!E143</f>
        <v>0941.HK</v>
      </c>
      <c r="G146" s="114">
        <f>IF(RTD("wdf.rtq",,F146,5)=0,[1]!s_dq_preclose(F146),RTD("wdf.rtq",,F146,5))</f>
        <v>90.25</v>
      </c>
      <c r="H146" s="118">
        <f>RTD("wdf.rtq",,F146,27)/100</f>
        <v>-1.1000000000000001E-3</v>
      </c>
      <c r="I146" s="115">
        <f t="shared" si="20"/>
        <v>27.402934999999999</v>
      </c>
      <c r="J146" s="116">
        <f t="shared" si="21"/>
        <v>0.33342150617010113</v>
      </c>
      <c r="K146" s="117">
        <f t="shared" si="22"/>
        <v>1.3334215061701011</v>
      </c>
      <c r="L146" s="34"/>
      <c r="M146" s="34"/>
    </row>
    <row r="147" spans="1:13" s="11" customFormat="1" ht="16.5" x14ac:dyDescent="0.35">
      <c r="A147" s="143">
        <f>RANK(J147,$J$5:$J$162)+COUNTIF(J$5:J147,J147)-1</f>
        <v>108</v>
      </c>
      <c r="B147" s="108">
        <f>RTD("wdf.rtq",,D147,27)/100</f>
        <v>-1.1000000000000001E-3</v>
      </c>
      <c r="C147" s="109">
        <f>RTD("wdf.rtq",,D147,"LastPrice")</f>
        <v>9.18</v>
      </c>
      <c r="D147" s="140" t="str">
        <f>公司名单!D144</f>
        <v>601939.SH</v>
      </c>
      <c r="E147" s="140" t="str">
        <f>公司名单!C144</f>
        <v>建设银行</v>
      </c>
      <c r="F147" s="140" t="str">
        <f>公司名单!E144</f>
        <v>0939.HK</v>
      </c>
      <c r="G147" s="109">
        <f>IF(RTD("wdf.rtq",,F147,5)=0,[1]!s_dq_preclose(F147),RTD("wdf.rtq",,F147,5))</f>
        <v>7.69</v>
      </c>
      <c r="H147" s="108">
        <f>RTD("wdf.rtq",,F147,27)/100</f>
        <v>-5.1999999999999998E-3</v>
      </c>
      <c r="I147" s="111">
        <f t="shared" si="20"/>
        <v>2.1770245999999993</v>
      </c>
      <c r="J147" s="112">
        <f t="shared" si="21"/>
        <v>0.31087137618675609</v>
      </c>
      <c r="K147" s="113">
        <f t="shared" si="22"/>
        <v>1.3108713761867561</v>
      </c>
      <c r="L147" s="34"/>
      <c r="M147" s="34"/>
    </row>
    <row r="148" spans="1:13" s="11" customFormat="1" ht="16.5" x14ac:dyDescent="0.35">
      <c r="A148" s="143">
        <f>RANK(J148,$J$5:$J$162)+COUNTIF(J$5:J148,J148)-1</f>
        <v>93</v>
      </c>
      <c r="B148" s="118">
        <f>RTD("wdf.rtq",,D148,27)/100</f>
        <v>-1.0100000000000003E-2</v>
      </c>
      <c r="C148" s="114">
        <f>RTD("wdf.rtq",,D148,"LastPrice")</f>
        <v>76.28</v>
      </c>
      <c r="D148" s="141" t="str">
        <f>公司名单!D145</f>
        <v>603345.SH</v>
      </c>
      <c r="E148" s="141" t="str">
        <f>公司名单!C145</f>
        <v>安井食品</v>
      </c>
      <c r="F148" s="141" t="str">
        <f>公司名单!E145</f>
        <v>2648.HK</v>
      </c>
      <c r="G148" s="114">
        <f>IF(RTD("wdf.rtq",,F148,5)=0,[1]!s_dq_preclose(F148),RTD("wdf.rtq",,F148,5))</f>
        <v>60.65</v>
      </c>
      <c r="H148" s="118">
        <f>RTD("wdf.rtq",,F148,27)/100</f>
        <v>-2.7300000000000001E-2</v>
      </c>
      <c r="I148" s="115">
        <f t="shared" si="20"/>
        <v>21.048470999999999</v>
      </c>
      <c r="J148" s="116">
        <f t="shared" si="21"/>
        <v>0.38109520741314262</v>
      </c>
      <c r="K148" s="117">
        <f t="shared" si="22"/>
        <v>1.3810952074131426</v>
      </c>
      <c r="L148" s="34"/>
      <c r="M148" s="34"/>
    </row>
    <row r="149" spans="1:13" s="11" customFormat="1" ht="16.5" x14ac:dyDescent="0.35">
      <c r="A149" s="143">
        <f>RANK(J149,$J$5:$J$162)+COUNTIF(J$5:J149,J149)-1</f>
        <v>84</v>
      </c>
      <c r="B149" s="108">
        <f>RTD("wdf.rtq",,D149,27)/100</f>
        <v>0</v>
      </c>
      <c r="C149" s="109">
        <f>RTD("wdf.rtq",,D149,"LastPrice")</f>
        <v>4.17</v>
      </c>
      <c r="D149" s="140" t="str">
        <f>公司名单!D146</f>
        <v>600115.SH</v>
      </c>
      <c r="E149" s="140" t="str">
        <f>公司名单!C146</f>
        <v>中国东航</v>
      </c>
      <c r="F149" s="140" t="str">
        <f>公司名单!E146</f>
        <v>0670.HK</v>
      </c>
      <c r="G149" s="109">
        <f>IF(RTD("wdf.rtq",,F149,5)=0,[1]!s_dq_preclose(F149),RTD("wdf.rtq",,F149,5))</f>
        <v>3.17</v>
      </c>
      <c r="H149" s="108">
        <f>RTD("wdf.rtq",,F149,27)/100</f>
        <v>0</v>
      </c>
      <c r="I149" s="111">
        <f t="shared" si="20"/>
        <v>1.2832078</v>
      </c>
      <c r="J149" s="112">
        <f t="shared" si="21"/>
        <v>0.44450993043420306</v>
      </c>
      <c r="K149" s="113">
        <f t="shared" si="22"/>
        <v>1.4445099304342031</v>
      </c>
      <c r="L149" s="34"/>
      <c r="M149" s="34"/>
    </row>
    <row r="150" spans="1:13" s="11" customFormat="1" ht="16.5" x14ac:dyDescent="0.35">
      <c r="A150" s="143">
        <f>RANK(J150,$J$5:$J$162)+COUNTIF(J$5:J150,J150)-1</f>
        <v>140</v>
      </c>
      <c r="B150" s="118">
        <f>RTD("wdf.rtq",,D150,27)/100</f>
        <v>-7.9000000000000008E-3</v>
      </c>
      <c r="C150" s="114">
        <f>RTD("wdf.rtq",,D150,"LastPrice")</f>
        <v>60.52</v>
      </c>
      <c r="D150" s="141" t="str">
        <f>公司名单!D147</f>
        <v>601318.SH</v>
      </c>
      <c r="E150" s="141" t="str">
        <f>公司名单!C147</f>
        <v>中国平安</v>
      </c>
      <c r="F150" s="141" t="str">
        <f>公司名单!E147</f>
        <v>2318.HK</v>
      </c>
      <c r="G150" s="114">
        <f>IF(RTD("wdf.rtq",,F150,5)=0,[1]!s_dq_preclose(F150),RTD("wdf.rtq",,F150,5))</f>
        <v>58.050000000000004</v>
      </c>
      <c r="H150" s="118">
        <f>RTD("wdf.rtq",,F150,27)/100</f>
        <v>-1.0200000000000001E-2</v>
      </c>
      <c r="I150" s="115">
        <f t="shared" si="20"/>
        <v>7.6561869999999956</v>
      </c>
      <c r="J150" s="116">
        <f t="shared" si="21"/>
        <v>0.14482850489804799</v>
      </c>
      <c r="K150" s="117">
        <f t="shared" si="22"/>
        <v>1.144828504898048</v>
      </c>
      <c r="L150" s="34"/>
      <c r="M150" s="34"/>
    </row>
    <row r="151" spans="1:13" s="11" customFormat="1" ht="16.5" x14ac:dyDescent="0.35">
      <c r="A151" s="143">
        <f>RANK(J151,$J$5:$J$162)+COUNTIF(J$5:J151,J151)-1</f>
        <v>158</v>
      </c>
      <c r="B151" s="108">
        <f>RTD("wdf.rtq",,D151,27)/100</f>
        <v>-1.4200000000000001E-2</v>
      </c>
      <c r="C151" s="109">
        <f>RTD("wdf.rtq",,D151,"LastPrice")</f>
        <v>65.320000000000007</v>
      </c>
      <c r="D151" s="140" t="str">
        <f>公司名单!D148</f>
        <v>600276.SH</v>
      </c>
      <c r="E151" s="140" t="str">
        <f>公司名单!C148</f>
        <v>恒瑞医药</v>
      </c>
      <c r="F151" s="140" t="str">
        <f>公司名单!E148</f>
        <v>1276.HK</v>
      </c>
      <c r="G151" s="109">
        <f>IF(RTD("wdf.rtq",,F151,5)=0,[1]!s_dq_preclose(F151),RTD("wdf.rtq",,F151,5))</f>
        <v>76.900000000000006</v>
      </c>
      <c r="H151" s="108">
        <f>RTD("wdf.rtq",,F151,27)/100</f>
        <v>-1.3500000000000002E-2</v>
      </c>
      <c r="I151" s="111">
        <f t="shared" si="20"/>
        <v>-4.7097540000000038</v>
      </c>
      <c r="J151" s="112">
        <f t="shared" si="21"/>
        <v>-6.7253613371253684E-2</v>
      </c>
      <c r="K151" s="113">
        <f t="shared" si="22"/>
        <v>0.93274638662874632</v>
      </c>
      <c r="L151" s="34"/>
      <c r="M151" s="34"/>
    </row>
    <row r="152" spans="1:13" s="11" customFormat="1" ht="16.5" x14ac:dyDescent="0.35">
      <c r="A152" s="143">
        <f>RANK(J152,$J$5:$J$162)+COUNTIF(J$5:J152,J152)-1</f>
        <v>150</v>
      </c>
      <c r="B152" s="118">
        <f>RTD("wdf.rtq",,D152,27)/100</f>
        <v>2E-3</v>
      </c>
      <c r="C152" s="114">
        <f>RTD("wdf.rtq",,D152,"LastPrice")</f>
        <v>24.5</v>
      </c>
      <c r="D152" s="141" t="str">
        <f>公司名单!D149</f>
        <v>688339.SH</v>
      </c>
      <c r="E152" s="141" t="str">
        <f>公司名单!C149</f>
        <v>亿华通-U</v>
      </c>
      <c r="F152" s="141" t="str">
        <f>公司名单!E149</f>
        <v>2402.HK</v>
      </c>
      <c r="G152" s="114">
        <f>IF(RTD("wdf.rtq",,F152,5)=0,[1]!s_dq_preclose(F152),RTD("wdf.rtq",,F152,5))</f>
        <v>25.84</v>
      </c>
      <c r="H152" s="118">
        <f>RTD("wdf.rtq",,F152,27)/100</f>
        <v>-1.6E-2</v>
      </c>
      <c r="I152" s="115">
        <f t="shared" si="20"/>
        <v>0.96854559999999879</v>
      </c>
      <c r="J152" s="116">
        <f t="shared" si="21"/>
        <v>4.1159614851515425E-2</v>
      </c>
      <c r="K152" s="117">
        <f t="shared" si="22"/>
        <v>1.0411596148515154</v>
      </c>
      <c r="L152" s="34"/>
      <c r="M152" s="34"/>
    </row>
    <row r="153" spans="1:13" s="11" customFormat="1" ht="16.5" x14ac:dyDescent="0.35">
      <c r="A153" s="143">
        <f>RANK(J153,$J$5:$J$162)+COUNTIF(J$5:J153,J153)-1</f>
        <v>135</v>
      </c>
      <c r="B153" s="108">
        <f>RTD("wdf.rtq",,D153,27)/100</f>
        <v>1.2000000000000001E-3</v>
      </c>
      <c r="C153" s="109">
        <f>RTD("wdf.rtq",,D153,"LastPrice")</f>
        <v>25.63</v>
      </c>
      <c r="D153" s="140" t="str">
        <f>公司名单!D150</f>
        <v>000921.SZ</v>
      </c>
      <c r="E153" s="140" t="str">
        <f>公司名单!C150</f>
        <v>海信家电</v>
      </c>
      <c r="F153" s="140" t="str">
        <f>公司名单!E150</f>
        <v>0921.HK</v>
      </c>
      <c r="G153" s="109">
        <f>IF(RTD("wdf.rtq",,F153,5)=0,[1]!s_dq_preclose(F153),RTD("wdf.rtq",,F153,5))</f>
        <v>23.82</v>
      </c>
      <c r="H153" s="108">
        <f>RTD("wdf.rtq",,F153,27)/100</f>
        <v>-8.0000000000000004E-4</v>
      </c>
      <c r="I153" s="111">
        <f t="shared" si="20"/>
        <v>3.9380787999999995</v>
      </c>
      <c r="J153" s="112">
        <f t="shared" si="21"/>
        <v>0.18154587432301761</v>
      </c>
      <c r="K153" s="113">
        <f t="shared" si="22"/>
        <v>1.1815458743230176</v>
      </c>
      <c r="L153" s="34"/>
      <c r="M153" s="34"/>
    </row>
    <row r="154" spans="1:13" s="11" customFormat="1" ht="16.5" x14ac:dyDescent="0.35">
      <c r="A154" s="143">
        <f>RANK(J154,$J$5:$J$162)+COUNTIF(J$5:J154,J154)-1</f>
        <v>143</v>
      </c>
      <c r="B154" s="118">
        <f>RTD("wdf.rtq",,D154,27)/100</f>
        <v>-1.2000000000000001E-3</v>
      </c>
      <c r="C154" s="114">
        <f>RTD("wdf.rtq",,D154,"LastPrice")</f>
        <v>24.68</v>
      </c>
      <c r="D154" s="141" t="str">
        <f>公司名单!D151</f>
        <v>600585.SH</v>
      </c>
      <c r="E154" s="141" t="str">
        <f>公司名单!C151</f>
        <v>海螺水泥</v>
      </c>
      <c r="F154" s="141" t="str">
        <f>公司名单!E151</f>
        <v>0914.HK</v>
      </c>
      <c r="G154" s="114">
        <f>IF(RTD("wdf.rtq",,F154,5)=0,[1]!s_dq_preclose(F154),RTD("wdf.rtq",,F154,5))</f>
        <v>24.2</v>
      </c>
      <c r="H154" s="118">
        <f>RTD("wdf.rtq",,F154,27)/100</f>
        <v>0</v>
      </c>
      <c r="I154" s="115">
        <f t="shared" si="20"/>
        <v>2.6420279999999998</v>
      </c>
      <c r="J154" s="116">
        <f t="shared" si="21"/>
        <v>0.11988525985966403</v>
      </c>
      <c r="K154" s="117">
        <f t="shared" si="22"/>
        <v>1.119885259859664</v>
      </c>
      <c r="L154" s="34"/>
      <c r="M154" s="34"/>
    </row>
    <row r="155" spans="1:13" s="11" customFormat="1" ht="16.5" x14ac:dyDescent="0.35">
      <c r="A155" s="143">
        <f>RANK(J155,$J$5:$J$162)+COUNTIF(J$5:J155,J155)-1</f>
        <v>74</v>
      </c>
      <c r="B155" s="108">
        <f>RTD("wdf.rtq",,D155,27)/100</f>
        <v>-1.5000000000000003E-2</v>
      </c>
      <c r="C155" s="109">
        <f>RTD("wdf.rtq",,D155,"LastPrice")</f>
        <v>251.16</v>
      </c>
      <c r="D155" s="140" t="str">
        <f>公司名单!D152</f>
        <v>688235.SH</v>
      </c>
      <c r="E155" s="140" t="str">
        <f>公司名单!C152</f>
        <v>百济神州-U</v>
      </c>
      <c r="F155" s="140" t="str">
        <f>公司名单!E152</f>
        <v>6160.HK</v>
      </c>
      <c r="G155" s="109">
        <f>IF(RTD("wdf.rtq",,F155,5)=0,[1]!s_dq_preclose(F155),RTD("wdf.rtq",,F155,5))</f>
        <v>183.4</v>
      </c>
      <c r="H155" s="108">
        <f>RTD("wdf.rtq",,F155,27)/100</f>
        <v>-2.3900000000000001E-2</v>
      </c>
      <c r="I155" s="111">
        <f t="shared" si="20"/>
        <v>84.144955999999979</v>
      </c>
      <c r="J155" s="112">
        <f t="shared" si="21"/>
        <v>0.50381662624356149</v>
      </c>
      <c r="K155" s="113">
        <f t="shared" si="22"/>
        <v>1.5038166262435615</v>
      </c>
      <c r="L155" s="34"/>
      <c r="M155" s="34"/>
    </row>
    <row r="156" spans="1:13" s="11" customFormat="1" ht="16.5" x14ac:dyDescent="0.35">
      <c r="A156" s="143">
        <f>RANK(J156,$J$5:$J$162)+COUNTIF(J$5:J156,J156)-1</f>
        <v>106</v>
      </c>
      <c r="B156" s="108">
        <f>RTD("wdf.rtq",,D156,27)/100</f>
        <v>8.0800000000000025E-2</v>
      </c>
      <c r="C156" s="109">
        <f>RTD("wdf.rtq",,D156,"LastPrice")</f>
        <v>31.45</v>
      </c>
      <c r="D156" s="140" t="str">
        <f>公司名单!D153</f>
        <v>300433.SZ</v>
      </c>
      <c r="E156" s="140" t="str">
        <f>公司名单!C153</f>
        <v>蓝思科技</v>
      </c>
      <c r="F156" s="140" t="str">
        <f>公司名单!E153</f>
        <v>6613.HK</v>
      </c>
      <c r="G156" s="109">
        <f>IF(RTD("wdf.rtq",,F156,5)=0,[1]!s_dq_preclose(F156),RTD("wdf.rtq",,F156,5))</f>
        <v>26</v>
      </c>
      <c r="H156" s="108">
        <f>RTD("wdf.rtq",,F156,27)/100</f>
        <v>5.5200000000000006E-2</v>
      </c>
      <c r="I156" s="111">
        <f t="shared" ref="I156:I162" si="23">C156-G156*HKS_CNY中间价最新</f>
        <v>7.7728399999999986</v>
      </c>
      <c r="J156" s="112">
        <f t="shared" ref="J156:J162" si="24">IF(G156=0,"",(C156/(G156*HKS_CNY中间价最新)-1))</f>
        <v>0.32828430436758449</v>
      </c>
      <c r="K156" s="113">
        <f t="shared" ref="K156:K162" si="25">IF(G156=0,"",C156/(G156*HKS_CNY中间价最新))</f>
        <v>1.3282843043675845</v>
      </c>
      <c r="L156" s="34"/>
      <c r="M156" s="34"/>
    </row>
    <row r="157" spans="1:13" s="11" customFormat="1" ht="16.5" x14ac:dyDescent="0.35">
      <c r="A157" s="143">
        <f>RANK(J157,$J$5:$J$162)+COUNTIF(J$5:J157,J157)-1</f>
        <v>85</v>
      </c>
      <c r="B157" s="108">
        <f>RTD("wdf.rtq",,D157,27)/100</f>
        <v>-4.0000000000000001E-3</v>
      </c>
      <c r="C157" s="109">
        <f>RTD("wdf.rtq",,D157,"LastPrice")</f>
        <v>9.8800000000000008</v>
      </c>
      <c r="D157" s="140" t="str">
        <f>公司名单!D154</f>
        <v>601963.SH</v>
      </c>
      <c r="E157" s="140" t="str">
        <f>公司名单!C154</f>
        <v>重庆银行</v>
      </c>
      <c r="F157" s="140" t="str">
        <f>公司名单!E154</f>
        <v>1963.HK</v>
      </c>
      <c r="G157" s="109">
        <f>IF(RTD("wdf.rtq",,F157,5)=0,[1]!s_dq_preclose(F157),RTD("wdf.rtq",,F157,5))</f>
        <v>7.5600000000000005</v>
      </c>
      <c r="H157" s="108">
        <f>RTD("wdf.rtq",,F157,27)/100</f>
        <v>-2.5999999999999999E-3</v>
      </c>
      <c r="I157" s="111">
        <f t="shared" si="23"/>
        <v>2.9954103999999999</v>
      </c>
      <c r="J157" s="112">
        <f t="shared" si="24"/>
        <v>0.4350891736524134</v>
      </c>
      <c r="K157" s="113">
        <f t="shared" si="25"/>
        <v>1.4350891736524134</v>
      </c>
      <c r="L157" s="34"/>
      <c r="M157" s="34"/>
    </row>
    <row r="158" spans="1:13" s="11" customFormat="1" ht="16.5" x14ac:dyDescent="0.35">
      <c r="A158" s="143">
        <f>RANK(J158,$J$5:$J$162)+COUNTIF(J$5:J158,J158)-1</f>
        <v>113</v>
      </c>
      <c r="B158" s="108">
        <f>RTD("wdf.rtq",,D158,27)/100</f>
        <v>-1.3100000000000001E-2</v>
      </c>
      <c r="C158" s="109">
        <f>RTD("wdf.rtq",,D158,"LastPrice")</f>
        <v>211.11</v>
      </c>
      <c r="D158" s="140" t="str">
        <f>公司名单!D155</f>
        <v>688279.SH</v>
      </c>
      <c r="E158" s="140" t="str">
        <f>公司名单!C155</f>
        <v>峰岹科技</v>
      </c>
      <c r="F158" s="140" t="str">
        <f>公司名单!E155</f>
        <v>1304.HK</v>
      </c>
      <c r="G158" s="109">
        <f>IF(RTD("wdf.rtq",,F158,5)=0,[1]!s_dq_preclose(F158),RTD("wdf.rtq",,F158,5))</f>
        <v>181.3</v>
      </c>
      <c r="H158" s="108">
        <f>RTD("wdf.rtq",,F158,27)/100</f>
        <v>-1.3100000000000001E-2</v>
      </c>
      <c r="I158" s="111">
        <f t="shared" si="23"/>
        <v>46.007341999999994</v>
      </c>
      <c r="J158" s="112">
        <f t="shared" si="24"/>
        <v>0.27865900257038856</v>
      </c>
      <c r="K158" s="113">
        <f t="shared" si="25"/>
        <v>1.2786590025703886</v>
      </c>
      <c r="L158" s="34"/>
      <c r="M158" s="34"/>
    </row>
    <row r="159" spans="1:13" s="11" customFormat="1" ht="16.5" x14ac:dyDescent="0.35">
      <c r="A159" s="143">
        <f>RANK(J159,$J$5:$J$162)+COUNTIF(J$5:J159,J159)-1</f>
        <v>127</v>
      </c>
      <c r="B159" s="108">
        <f>RTD("wdf.rtq",,D159,27)/100</f>
        <v>-6.5000000000000006E-3</v>
      </c>
      <c r="C159" s="109">
        <f>RTD("wdf.rtq",,D159,"LastPrice")</f>
        <v>7.63</v>
      </c>
      <c r="D159" s="140" t="str">
        <f>公司名单!D156</f>
        <v>601328.SH</v>
      </c>
      <c r="E159" s="140" t="str">
        <f>公司名单!C156</f>
        <v>交通银行</v>
      </c>
      <c r="F159" s="140" t="str">
        <f>公司名单!E156</f>
        <v>3328.HK</v>
      </c>
      <c r="G159" s="109">
        <f>IF(RTD("wdf.rtq",,F159,5)=0,[1]!s_dq_preclose(F159),RTD("wdf.rtq",,F159,5))</f>
        <v>6.94</v>
      </c>
      <c r="H159" s="108">
        <f>RTD("wdf.rtq",,F159,27)/100</f>
        <v>0</v>
      </c>
      <c r="I159" s="111">
        <f t="shared" si="23"/>
        <v>1.3100195999999995</v>
      </c>
      <c r="J159" s="112">
        <f t="shared" si="24"/>
        <v>0.20728222511576133</v>
      </c>
      <c r="K159" s="113">
        <f t="shared" si="25"/>
        <v>1.2072822251157613</v>
      </c>
      <c r="L159" s="34"/>
      <c r="M159" s="34"/>
    </row>
    <row r="160" spans="1:13" s="11" customFormat="1" ht="16.5" x14ac:dyDescent="0.35">
      <c r="A160" s="143">
        <f>RANK(J160,$J$5:$J$162)+COUNTIF(J$5:J160,J160)-1</f>
        <v>109</v>
      </c>
      <c r="B160" s="108">
        <f>RTD("wdf.rtq",,D160,27)/100</f>
        <v>-0.01</v>
      </c>
      <c r="C160" s="109">
        <f>RTD("wdf.rtq",,D160,"LastPrice")</f>
        <v>4.95</v>
      </c>
      <c r="D160" s="140" t="str">
        <f>公司名单!D157</f>
        <v>002948.SZ</v>
      </c>
      <c r="E160" s="140" t="str">
        <f>公司名单!C157</f>
        <v>青岛银行</v>
      </c>
      <c r="F160" s="140" t="str">
        <f>公司名单!E157</f>
        <v>3866.HK</v>
      </c>
      <c r="G160" s="109">
        <f>IF(RTD("wdf.rtq",,F160,5)=0,[1]!s_dq_preclose(F160),RTD("wdf.rtq",,F160,5))</f>
        <v>4.17</v>
      </c>
      <c r="H160" s="108">
        <f>RTD("wdf.rtq",,F160,27)/100</f>
        <v>-7.1000000000000004E-3</v>
      </c>
      <c r="I160" s="111">
        <f t="shared" si="23"/>
        <v>1.1525478000000002</v>
      </c>
      <c r="J160" s="112">
        <f t="shared" si="24"/>
        <v>0.30350554511258898</v>
      </c>
      <c r="K160" s="113">
        <f t="shared" si="25"/>
        <v>1.303505545112589</v>
      </c>
      <c r="L160" s="34"/>
      <c r="M160" s="34"/>
    </row>
    <row r="161" spans="1:13" s="11" customFormat="1" ht="16.5" x14ac:dyDescent="0.35">
      <c r="A161" s="143">
        <f>RANK(J161,$J$5:$J$162)+COUNTIF(J$5:J161,J161)-1</f>
        <v>149</v>
      </c>
      <c r="B161" s="108">
        <f>RTD("wdf.rtq",,D161,27)/100</f>
        <v>0.02</v>
      </c>
      <c r="C161" s="109">
        <f>RTD("wdf.rtq",,D161,"LastPrice")</f>
        <v>113.84</v>
      </c>
      <c r="D161" s="140" t="str">
        <f>公司名单!D158</f>
        <v>002594.SZ</v>
      </c>
      <c r="E161" s="140" t="str">
        <f>公司名单!C158</f>
        <v>比亚迪</v>
      </c>
      <c r="F161" s="140" t="str">
        <f>公司名单!E158</f>
        <v>1211.HK</v>
      </c>
      <c r="G161" s="109">
        <f>IF(RTD("wdf.rtq",,F161,5)=0,[1]!s_dq_preclose(F161),RTD("wdf.rtq",,F161,5))</f>
        <v>119.2</v>
      </c>
      <c r="H161" s="108">
        <f>RTD("wdf.rtq",,F161,27)/100</f>
        <v>2.9400000000000003E-2</v>
      </c>
      <c r="I161" s="111">
        <f t="shared" si="23"/>
        <v>5.2893279999999976</v>
      </c>
      <c r="J161" s="112">
        <f t="shared" si="24"/>
        <v>4.8726810277139432E-2</v>
      </c>
      <c r="K161" s="113">
        <f t="shared" si="25"/>
        <v>1.0487268102771394</v>
      </c>
      <c r="L161" s="34"/>
      <c r="M161" s="34"/>
    </row>
    <row r="162" spans="1:13" s="11" customFormat="1" ht="16.5" x14ac:dyDescent="0.35">
      <c r="A162" s="143">
        <f>RANK(J162,$J$5:$J$162)+COUNTIF(J$5:J162,J162)-1</f>
        <v>142</v>
      </c>
      <c r="B162" s="108">
        <f>RTD("wdf.rtq",,D162,27)/100</f>
        <v>-6.4000000000000003E-3</v>
      </c>
      <c r="C162" s="109">
        <f>RTD("wdf.rtq",,D162,"LastPrice")</f>
        <v>30.810000000000002</v>
      </c>
      <c r="D162" s="140" t="str">
        <f>公司名单!D159</f>
        <v>002050.SZ</v>
      </c>
      <c r="E162" s="140" t="str">
        <f>公司名单!C159</f>
        <v>三花智控</v>
      </c>
      <c r="F162" s="140" t="str">
        <f>公司名单!E159</f>
        <v>2050.HK</v>
      </c>
      <c r="G162" s="109">
        <f>IF(RTD("wdf.rtq",,F162,5)=0,[1]!s_dq_preclose(F162),RTD("wdf.rtq",,F162,5))</f>
        <v>29.86</v>
      </c>
      <c r="H162" s="108">
        <f>RTD("wdf.rtq",,F162,27)/100</f>
        <v>7.4000000000000003E-3</v>
      </c>
      <c r="I162" s="111">
        <f t="shared" si="23"/>
        <v>3.6176924000000028</v>
      </c>
      <c r="J162" s="112">
        <f t="shared" si="24"/>
        <v>0.13304102223380276</v>
      </c>
      <c r="K162" s="113">
        <f t="shared" si="25"/>
        <v>1.1330410222338028</v>
      </c>
      <c r="L162" s="34"/>
      <c r="M162" s="34"/>
    </row>
    <row r="163" spans="1:13" s="11" customFormat="1" x14ac:dyDescent="0.3">
      <c r="A163" s="143"/>
      <c r="B163" s="37"/>
      <c r="C163" s="38"/>
      <c r="D163" s="133"/>
      <c r="E163" s="138"/>
      <c r="F163" s="138"/>
      <c r="G163" s="14"/>
      <c r="H163" s="15"/>
      <c r="I163" s="16"/>
      <c r="J163" s="15"/>
      <c r="K163" s="17"/>
      <c r="L163" s="34"/>
      <c r="M163" s="34"/>
    </row>
    <row r="164" spans="1:13" s="11" customFormat="1" x14ac:dyDescent="0.3">
      <c r="A164" s="143"/>
      <c r="B164" s="39"/>
      <c r="C164" s="40"/>
      <c r="D164" s="134"/>
      <c r="E164" s="139"/>
      <c r="F164" s="139"/>
      <c r="G164" s="19"/>
      <c r="H164" s="20"/>
      <c r="I164" s="21"/>
      <c r="J164" s="20"/>
      <c r="K164" s="22"/>
      <c r="L164" s="34"/>
      <c r="M164" s="34"/>
    </row>
    <row r="165" spans="1:13" s="11" customFormat="1" x14ac:dyDescent="0.3">
      <c r="A165" s="143"/>
      <c r="B165" s="1"/>
      <c r="C165" s="1"/>
      <c r="D165" s="135"/>
      <c r="E165" s="132"/>
      <c r="F165" s="135"/>
      <c r="G165" s="1"/>
      <c r="H165" s="2"/>
      <c r="I165" s="2"/>
      <c r="J165" s="2"/>
      <c r="K165" s="2"/>
      <c r="L165" s="34"/>
      <c r="M165" s="34"/>
    </row>
    <row r="166" spans="1:13" s="11" customFormat="1" x14ac:dyDescent="0.3">
      <c r="A166" s="143"/>
      <c r="B166" s="1"/>
      <c r="C166" s="1"/>
      <c r="D166" s="135"/>
      <c r="E166" s="132"/>
      <c r="F166" s="135"/>
      <c r="G166" s="1"/>
      <c r="H166" s="2"/>
      <c r="I166" s="2"/>
      <c r="J166" s="2"/>
      <c r="K166" s="2"/>
      <c r="L166" s="34"/>
      <c r="M166" s="34"/>
    </row>
    <row r="167" spans="1:13" s="11" customFormat="1" x14ac:dyDescent="0.3">
      <c r="A167" s="143"/>
      <c r="B167" s="1"/>
      <c r="C167" s="1"/>
      <c r="D167" s="135"/>
      <c r="E167" s="132"/>
      <c r="F167" s="135"/>
      <c r="G167" s="1"/>
      <c r="H167" s="2"/>
      <c r="I167" s="2"/>
      <c r="J167" s="2"/>
      <c r="K167" s="2"/>
      <c r="L167" s="34"/>
      <c r="M167" s="34"/>
    </row>
    <row r="168" spans="1:13" s="11" customFormat="1" x14ac:dyDescent="0.3">
      <c r="A168" s="143"/>
      <c r="B168" s="1"/>
      <c r="C168" s="1"/>
      <c r="D168" s="135"/>
      <c r="E168" s="132"/>
      <c r="F168" s="135"/>
      <c r="G168" s="1"/>
      <c r="H168" s="2"/>
      <c r="I168" s="2"/>
      <c r="J168" s="2"/>
      <c r="K168" s="2"/>
      <c r="L168" s="34"/>
      <c r="M168" s="34"/>
    </row>
    <row r="169" spans="1:13" s="11" customFormat="1" x14ac:dyDescent="0.3">
      <c r="A169" s="143"/>
      <c r="B169" s="1"/>
      <c r="C169" s="1"/>
      <c r="D169" s="135"/>
      <c r="E169" s="132"/>
      <c r="F169" s="135"/>
      <c r="G169" s="1"/>
      <c r="H169" s="2"/>
      <c r="I169" s="2"/>
      <c r="J169" s="2"/>
      <c r="K169" s="2"/>
      <c r="L169" s="34"/>
      <c r="M169" s="34"/>
    </row>
    <row r="170" spans="1:13" s="11" customFormat="1" x14ac:dyDescent="0.3">
      <c r="A170" s="143"/>
      <c r="B170" s="1"/>
      <c r="C170" s="1"/>
      <c r="D170" s="135"/>
      <c r="E170" s="132"/>
      <c r="F170" s="135"/>
      <c r="G170" s="1"/>
      <c r="H170" s="2"/>
      <c r="I170" s="2"/>
      <c r="J170" s="2"/>
      <c r="K170" s="2"/>
      <c r="L170" s="34"/>
      <c r="M170" s="34"/>
    </row>
    <row r="171" spans="1:13" s="11" customFormat="1" x14ac:dyDescent="0.3">
      <c r="A171" s="143"/>
      <c r="B171" s="1"/>
      <c r="C171" s="1"/>
      <c r="D171" s="135"/>
      <c r="E171" s="132"/>
      <c r="F171" s="135"/>
      <c r="G171" s="1"/>
      <c r="H171" s="2"/>
      <c r="I171" s="2"/>
      <c r="J171" s="2"/>
      <c r="K171" s="2"/>
      <c r="L171" s="34"/>
      <c r="M171" s="34"/>
    </row>
    <row r="172" spans="1:13" s="11" customFormat="1" x14ac:dyDescent="0.3">
      <c r="A172" s="143"/>
      <c r="B172" s="1"/>
      <c r="C172" s="1"/>
      <c r="D172" s="135"/>
      <c r="E172" s="132"/>
      <c r="F172" s="135"/>
      <c r="G172" s="1"/>
      <c r="H172" s="2"/>
      <c r="I172" s="2"/>
      <c r="J172" s="2"/>
      <c r="K172" s="2"/>
      <c r="L172" s="34"/>
      <c r="M172" s="34"/>
    </row>
    <row r="173" spans="1:13" s="11" customFormat="1" x14ac:dyDescent="0.3">
      <c r="A173" s="143"/>
      <c r="B173" s="1"/>
      <c r="C173" s="1"/>
      <c r="D173" s="135"/>
      <c r="E173" s="132"/>
      <c r="F173" s="135"/>
      <c r="G173" s="1"/>
      <c r="H173" s="2"/>
      <c r="I173" s="2"/>
      <c r="J173" s="2"/>
      <c r="K173" s="2"/>
      <c r="L173" s="34"/>
      <c r="M173" s="34"/>
    </row>
    <row r="174" spans="1:13" s="11" customFormat="1" x14ac:dyDescent="0.3">
      <c r="A174" s="143"/>
      <c r="B174" s="1"/>
      <c r="C174" s="1"/>
      <c r="D174" s="135"/>
      <c r="E174" s="132"/>
      <c r="F174" s="135"/>
      <c r="G174" s="1"/>
      <c r="H174" s="2"/>
      <c r="I174" s="2"/>
      <c r="J174" s="2"/>
      <c r="K174" s="2"/>
      <c r="L174" s="34"/>
      <c r="M174" s="34"/>
    </row>
    <row r="175" spans="1:13" s="11" customFormat="1" x14ac:dyDescent="0.3">
      <c r="A175" s="143"/>
      <c r="B175" s="1"/>
      <c r="C175" s="1"/>
      <c r="D175" s="135"/>
      <c r="E175" s="132"/>
      <c r="F175" s="135"/>
      <c r="G175" s="1"/>
      <c r="H175" s="2"/>
      <c r="I175" s="2"/>
      <c r="J175" s="2"/>
      <c r="K175" s="2"/>
      <c r="L175" s="34"/>
      <c r="M175" s="34"/>
    </row>
    <row r="176" spans="1:13" s="11" customFormat="1" x14ac:dyDescent="0.3">
      <c r="A176" s="143"/>
      <c r="B176" s="1"/>
      <c r="C176" s="1"/>
      <c r="D176" s="135"/>
      <c r="E176" s="132"/>
      <c r="F176" s="135"/>
      <c r="G176" s="1"/>
      <c r="H176" s="2"/>
      <c r="I176" s="2"/>
      <c r="J176" s="2"/>
      <c r="K176" s="2"/>
      <c r="L176" s="34"/>
      <c r="M176" s="34"/>
    </row>
    <row r="177" spans="1:13" s="11" customFormat="1" x14ac:dyDescent="0.3">
      <c r="A177" s="143"/>
      <c r="B177" s="1"/>
      <c r="C177" s="1"/>
      <c r="D177" s="135"/>
      <c r="E177" s="132"/>
      <c r="F177" s="135"/>
      <c r="G177" s="1"/>
      <c r="H177" s="2"/>
      <c r="I177" s="2"/>
      <c r="J177" s="2"/>
      <c r="K177" s="2"/>
      <c r="L177" s="34"/>
      <c r="M177" s="34"/>
    </row>
    <row r="178" spans="1:13" s="11" customFormat="1" x14ac:dyDescent="0.3">
      <c r="A178" s="143"/>
      <c r="B178" s="1"/>
      <c r="C178" s="1"/>
      <c r="D178" s="135"/>
      <c r="E178" s="132"/>
      <c r="F178" s="135"/>
      <c r="G178" s="1"/>
      <c r="H178" s="2"/>
      <c r="I178" s="2"/>
      <c r="J178" s="2"/>
      <c r="K178" s="2"/>
      <c r="L178" s="34"/>
      <c r="M178" s="34"/>
    </row>
    <row r="179" spans="1:13" s="11" customFormat="1" x14ac:dyDescent="0.3">
      <c r="A179" s="143"/>
      <c r="B179" s="1"/>
      <c r="C179" s="1"/>
      <c r="D179" s="135"/>
      <c r="E179" s="132"/>
      <c r="F179" s="135"/>
      <c r="G179" s="1"/>
      <c r="H179" s="2"/>
      <c r="I179" s="2"/>
      <c r="J179" s="2"/>
      <c r="K179" s="2"/>
      <c r="L179" s="34"/>
      <c r="M179" s="34"/>
    </row>
    <row r="180" spans="1:13" s="11" customFormat="1" x14ac:dyDescent="0.3">
      <c r="A180" s="143"/>
      <c r="B180" s="1"/>
      <c r="C180" s="1"/>
      <c r="D180" s="135"/>
      <c r="E180" s="132"/>
      <c r="F180" s="135"/>
      <c r="G180" s="1"/>
      <c r="H180" s="2"/>
      <c r="I180" s="2"/>
      <c r="J180" s="2"/>
      <c r="K180" s="2"/>
      <c r="L180" s="34"/>
      <c r="M180" s="34"/>
    </row>
    <row r="181" spans="1:13" s="11" customFormat="1" x14ac:dyDescent="0.3">
      <c r="A181" s="143"/>
      <c r="B181" s="1"/>
      <c r="C181" s="1"/>
      <c r="D181" s="135"/>
      <c r="E181" s="132"/>
      <c r="F181" s="135"/>
      <c r="G181" s="1"/>
      <c r="H181" s="2"/>
      <c r="I181" s="2"/>
      <c r="J181" s="2"/>
      <c r="K181" s="2"/>
      <c r="L181" s="34"/>
      <c r="M181" s="34"/>
    </row>
    <row r="182" spans="1:13" s="11" customFormat="1" x14ac:dyDescent="0.3">
      <c r="A182" s="143"/>
      <c r="B182" s="1"/>
      <c r="C182" s="1"/>
      <c r="D182" s="135"/>
      <c r="E182" s="132"/>
      <c r="F182" s="135"/>
      <c r="G182" s="1"/>
      <c r="H182" s="2"/>
      <c r="I182" s="2"/>
      <c r="J182" s="2"/>
      <c r="K182" s="2"/>
      <c r="L182" s="34"/>
      <c r="M182" s="34"/>
    </row>
    <row r="183" spans="1:13" s="11" customFormat="1" x14ac:dyDescent="0.3">
      <c r="A183" s="143"/>
      <c r="B183" s="1"/>
      <c r="C183" s="1"/>
      <c r="D183" s="135"/>
      <c r="E183" s="132"/>
      <c r="F183" s="135"/>
      <c r="G183" s="1"/>
      <c r="H183" s="2"/>
      <c r="I183" s="2"/>
      <c r="J183" s="2"/>
      <c r="K183" s="2"/>
      <c r="L183" s="34"/>
      <c r="M183" s="34"/>
    </row>
    <row r="184" spans="1:13" s="11" customFormat="1" x14ac:dyDescent="0.3">
      <c r="A184" s="143"/>
      <c r="B184" s="1"/>
      <c r="C184" s="1"/>
      <c r="D184" s="135"/>
      <c r="E184" s="132"/>
      <c r="F184" s="135"/>
      <c r="G184" s="1"/>
      <c r="H184" s="2"/>
      <c r="I184" s="2"/>
      <c r="J184" s="2"/>
      <c r="K184" s="2"/>
      <c r="L184" s="34"/>
      <c r="M184" s="34"/>
    </row>
    <row r="185" spans="1:13" s="11" customFormat="1" x14ac:dyDescent="0.3">
      <c r="A185" s="143"/>
      <c r="B185" s="1"/>
      <c r="C185" s="1"/>
      <c r="D185" s="135"/>
      <c r="E185" s="132"/>
      <c r="F185" s="132"/>
      <c r="H185" s="34"/>
      <c r="I185" s="34"/>
      <c r="J185" s="34"/>
      <c r="K185" s="34"/>
      <c r="L185" s="34"/>
      <c r="M185" s="34"/>
    </row>
    <row r="186" spans="1:13" s="11" customFormat="1" x14ac:dyDescent="0.3">
      <c r="A186" s="143"/>
      <c r="B186" s="1"/>
      <c r="C186" s="1"/>
      <c r="D186" s="135"/>
      <c r="E186" s="132"/>
      <c r="F186" s="132"/>
      <c r="H186" s="34"/>
      <c r="I186" s="34"/>
      <c r="J186" s="34"/>
      <c r="K186" s="34"/>
      <c r="L186" s="34"/>
      <c r="M186" s="34"/>
    </row>
    <row r="187" spans="1:13" s="11" customFormat="1" x14ac:dyDescent="0.3">
      <c r="A187" s="143"/>
      <c r="B187" s="1"/>
      <c r="C187" s="1"/>
      <c r="D187" s="135"/>
      <c r="E187" s="132"/>
      <c r="F187" s="132"/>
      <c r="H187" s="34"/>
      <c r="I187" s="34"/>
      <c r="J187" s="34"/>
      <c r="K187" s="34"/>
      <c r="L187" s="34"/>
      <c r="M187" s="34"/>
    </row>
    <row r="188" spans="1:13" s="11" customFormat="1" x14ac:dyDescent="0.3">
      <c r="A188" s="143"/>
      <c r="B188" s="1"/>
      <c r="C188" s="1"/>
      <c r="D188" s="135"/>
      <c r="E188" s="132"/>
      <c r="F188" s="132"/>
      <c r="H188" s="34"/>
      <c r="I188" s="34"/>
      <c r="J188" s="34"/>
      <c r="K188" s="34"/>
      <c r="L188" s="34"/>
      <c r="M188" s="34"/>
    </row>
    <row r="189" spans="1:13" s="11" customFormat="1" x14ac:dyDescent="0.3">
      <c r="A189" s="143"/>
      <c r="B189" s="1"/>
      <c r="C189" s="1"/>
      <c r="D189" s="135"/>
      <c r="E189" s="132"/>
      <c r="F189" s="132"/>
      <c r="H189" s="34"/>
      <c r="I189" s="34"/>
      <c r="J189" s="34"/>
      <c r="K189" s="34"/>
      <c r="L189" s="34"/>
      <c r="M189" s="34"/>
    </row>
    <row r="190" spans="1:13" s="11" customFormat="1" x14ac:dyDescent="0.3">
      <c r="A190" s="143"/>
      <c r="B190" s="1"/>
      <c r="C190" s="1"/>
      <c r="D190" s="135"/>
      <c r="E190" s="132"/>
      <c r="F190" s="132"/>
      <c r="H190" s="34"/>
      <c r="I190" s="34"/>
      <c r="J190" s="34"/>
      <c r="K190" s="34"/>
      <c r="L190" s="34"/>
      <c r="M190" s="34"/>
    </row>
    <row r="191" spans="1:13" s="11" customFormat="1" x14ac:dyDescent="0.3">
      <c r="A191" s="143"/>
      <c r="B191" s="1"/>
      <c r="C191" s="1"/>
      <c r="D191" s="135"/>
      <c r="E191" s="132"/>
      <c r="F191" s="132"/>
      <c r="H191" s="34"/>
      <c r="I191" s="34"/>
      <c r="J191" s="34"/>
      <c r="K191" s="34"/>
      <c r="L191" s="34"/>
      <c r="M191" s="34"/>
    </row>
    <row r="192" spans="1:13" s="11" customFormat="1" x14ac:dyDescent="0.3">
      <c r="A192" s="143"/>
      <c r="B192" s="1"/>
      <c r="C192" s="1"/>
      <c r="D192" s="135"/>
      <c r="E192" s="132"/>
      <c r="F192" s="132"/>
      <c r="H192" s="34"/>
      <c r="I192" s="34"/>
      <c r="J192" s="34"/>
      <c r="K192" s="34"/>
      <c r="L192" s="34"/>
      <c r="M192" s="34"/>
    </row>
    <row r="193" spans="1:13" s="11" customFormat="1" x14ac:dyDescent="0.3">
      <c r="A193" s="143"/>
      <c r="B193" s="1"/>
      <c r="C193" s="1"/>
      <c r="D193" s="135"/>
      <c r="E193" s="132"/>
      <c r="F193" s="132"/>
      <c r="H193" s="34"/>
      <c r="I193" s="34"/>
      <c r="J193" s="34"/>
      <c r="K193" s="34"/>
      <c r="L193" s="34"/>
      <c r="M193" s="34"/>
    </row>
    <row r="194" spans="1:13" s="11" customFormat="1" x14ac:dyDescent="0.3">
      <c r="A194" s="143"/>
      <c r="D194" s="132"/>
      <c r="E194" s="132"/>
      <c r="F194" s="132"/>
      <c r="H194" s="34"/>
      <c r="I194" s="34"/>
      <c r="J194" s="34"/>
      <c r="K194" s="34"/>
      <c r="L194" s="34"/>
      <c r="M194" s="34"/>
    </row>
    <row r="195" spans="1:13" s="11" customFormat="1" x14ac:dyDescent="0.3">
      <c r="A195" s="143"/>
      <c r="D195" s="132"/>
      <c r="E195" s="132"/>
      <c r="F195" s="132"/>
      <c r="H195" s="34"/>
      <c r="I195" s="34"/>
      <c r="J195" s="34"/>
      <c r="K195" s="34"/>
      <c r="L195" s="34"/>
      <c r="M195" s="34"/>
    </row>
    <row r="196" spans="1:13" s="11" customFormat="1" x14ac:dyDescent="0.3">
      <c r="A196" s="143"/>
      <c r="D196" s="132"/>
      <c r="E196" s="132"/>
      <c r="F196" s="132"/>
      <c r="H196" s="34"/>
      <c r="I196" s="34"/>
      <c r="J196" s="34"/>
      <c r="K196" s="34"/>
      <c r="L196" s="34"/>
      <c r="M196" s="34"/>
    </row>
    <row r="197" spans="1:13" s="11" customFormat="1" x14ac:dyDescent="0.3">
      <c r="A197" s="143"/>
      <c r="D197" s="132"/>
      <c r="E197" s="132"/>
      <c r="F197" s="132"/>
      <c r="H197" s="34"/>
      <c r="I197" s="34"/>
      <c r="J197" s="34"/>
      <c r="K197" s="34"/>
      <c r="L197" s="34"/>
      <c r="M197" s="34"/>
    </row>
    <row r="198" spans="1:13" s="11" customFormat="1" x14ac:dyDescent="0.3">
      <c r="A198" s="143"/>
      <c r="D198" s="132"/>
      <c r="E198" s="132"/>
      <c r="F198" s="132"/>
      <c r="H198" s="34"/>
      <c r="I198" s="34"/>
      <c r="J198" s="34"/>
      <c r="K198" s="34"/>
      <c r="L198" s="34"/>
      <c r="M198" s="34"/>
    </row>
    <row r="199" spans="1:13" s="11" customFormat="1" x14ac:dyDescent="0.3">
      <c r="A199" s="143"/>
      <c r="D199" s="132"/>
      <c r="E199" s="132"/>
      <c r="F199" s="132"/>
      <c r="H199" s="34"/>
      <c r="I199" s="34"/>
      <c r="J199" s="34"/>
      <c r="K199" s="34"/>
      <c r="L199" s="34"/>
      <c r="M199" s="34"/>
    </row>
    <row r="200" spans="1:13" s="11" customFormat="1" x14ac:dyDescent="0.3">
      <c r="A200" s="143"/>
      <c r="D200" s="132"/>
      <c r="E200" s="132"/>
      <c r="F200" s="132"/>
      <c r="H200" s="34"/>
      <c r="I200" s="34"/>
      <c r="J200" s="34"/>
      <c r="K200" s="34"/>
      <c r="L200" s="34"/>
      <c r="M200" s="34"/>
    </row>
    <row r="201" spans="1:13" s="11" customFormat="1" x14ac:dyDescent="0.3">
      <c r="A201" s="143"/>
      <c r="D201" s="132"/>
      <c r="E201" s="132"/>
      <c r="F201" s="132"/>
      <c r="H201" s="34"/>
      <c r="I201" s="34"/>
      <c r="J201" s="34"/>
      <c r="K201" s="34"/>
      <c r="L201" s="34"/>
      <c r="M201" s="34"/>
    </row>
    <row r="202" spans="1:13" s="11" customFormat="1" x14ac:dyDescent="0.3">
      <c r="A202" s="143"/>
      <c r="D202" s="132"/>
      <c r="E202" s="132"/>
      <c r="F202" s="132"/>
      <c r="H202" s="34"/>
      <c r="I202" s="34"/>
      <c r="J202" s="34"/>
      <c r="K202" s="34"/>
      <c r="L202" s="34"/>
      <c r="M202" s="34"/>
    </row>
    <row r="203" spans="1:13" s="11" customFormat="1" x14ac:dyDescent="0.3">
      <c r="A203" s="143"/>
      <c r="D203" s="132"/>
      <c r="E203" s="132"/>
      <c r="F203" s="132"/>
      <c r="H203" s="34"/>
      <c r="I203" s="34"/>
      <c r="J203" s="34"/>
      <c r="K203" s="34"/>
      <c r="L203" s="34"/>
      <c r="M203" s="34"/>
    </row>
    <row r="204" spans="1:13" s="11" customFormat="1" x14ac:dyDescent="0.3">
      <c r="A204" s="143"/>
      <c r="D204" s="132"/>
      <c r="E204" s="132"/>
      <c r="F204" s="132"/>
      <c r="H204" s="34"/>
      <c r="I204" s="34"/>
      <c r="J204" s="34"/>
      <c r="K204" s="34"/>
      <c r="L204" s="34"/>
      <c r="M204" s="34"/>
    </row>
    <row r="205" spans="1:13" s="11" customFormat="1" x14ac:dyDescent="0.3">
      <c r="A205" s="143"/>
      <c r="D205" s="132"/>
      <c r="E205" s="132"/>
      <c r="F205" s="132"/>
      <c r="H205" s="34"/>
      <c r="I205" s="34"/>
      <c r="J205" s="34"/>
      <c r="K205" s="34"/>
      <c r="L205" s="34"/>
      <c r="M205" s="34"/>
    </row>
    <row r="206" spans="1:13" s="11" customFormat="1" x14ac:dyDescent="0.3">
      <c r="A206" s="143"/>
      <c r="D206" s="132"/>
      <c r="E206" s="132"/>
      <c r="F206" s="132"/>
      <c r="H206" s="34"/>
      <c r="I206" s="34"/>
      <c r="J206" s="34"/>
      <c r="K206" s="34"/>
      <c r="L206" s="34"/>
      <c r="M206" s="34"/>
    </row>
    <row r="207" spans="1:13" s="11" customFormat="1" x14ac:dyDescent="0.3">
      <c r="A207" s="143"/>
      <c r="D207" s="132"/>
      <c r="E207" s="132"/>
      <c r="F207" s="132"/>
      <c r="H207" s="34"/>
      <c r="I207" s="34"/>
      <c r="J207" s="34"/>
      <c r="K207" s="34"/>
      <c r="L207" s="34"/>
      <c r="M207" s="34"/>
    </row>
    <row r="208" spans="1:13" s="11" customFormat="1" x14ac:dyDescent="0.3">
      <c r="A208" s="143"/>
      <c r="D208" s="132"/>
      <c r="E208" s="132"/>
      <c r="F208" s="132"/>
      <c r="H208" s="34"/>
      <c r="I208" s="34"/>
      <c r="J208" s="34"/>
      <c r="K208" s="34"/>
      <c r="L208" s="34"/>
      <c r="M208" s="34"/>
    </row>
    <row r="209" spans="1:13" s="11" customFormat="1" x14ac:dyDescent="0.3">
      <c r="A209" s="143"/>
      <c r="D209" s="132"/>
      <c r="E209" s="132"/>
      <c r="F209" s="132"/>
      <c r="H209" s="34"/>
      <c r="I209" s="34"/>
      <c r="J209" s="34"/>
      <c r="K209" s="34"/>
      <c r="L209" s="34"/>
      <c r="M209" s="34"/>
    </row>
    <row r="210" spans="1:13" s="11" customFormat="1" x14ac:dyDescent="0.3">
      <c r="A210" s="143"/>
      <c r="D210" s="132"/>
      <c r="E210" s="132"/>
      <c r="F210" s="132"/>
      <c r="H210" s="34"/>
      <c r="I210" s="34"/>
      <c r="J210" s="34"/>
      <c r="K210" s="34"/>
      <c r="L210" s="34"/>
      <c r="M210" s="34"/>
    </row>
    <row r="211" spans="1:13" s="11" customFormat="1" x14ac:dyDescent="0.3">
      <c r="A211" s="143"/>
      <c r="D211" s="132"/>
      <c r="E211" s="132"/>
      <c r="F211" s="132"/>
      <c r="H211" s="34"/>
      <c r="I211" s="34"/>
      <c r="J211" s="34"/>
      <c r="K211" s="34"/>
      <c r="L211" s="34"/>
      <c r="M211" s="34"/>
    </row>
    <row r="212" spans="1:13" s="11" customFormat="1" x14ac:dyDescent="0.3">
      <c r="A212" s="143"/>
      <c r="D212" s="132"/>
      <c r="E212" s="132"/>
      <c r="F212" s="132"/>
      <c r="H212" s="34"/>
      <c r="I212" s="34"/>
      <c r="J212" s="34"/>
      <c r="K212" s="34"/>
      <c r="L212" s="34"/>
      <c r="M212" s="34"/>
    </row>
    <row r="213" spans="1:13" s="11" customFormat="1" x14ac:dyDescent="0.3">
      <c r="A213" s="143"/>
      <c r="D213" s="132"/>
      <c r="E213" s="132"/>
      <c r="F213" s="132"/>
      <c r="H213" s="34"/>
      <c r="I213" s="34"/>
      <c r="J213" s="34"/>
      <c r="K213" s="34"/>
      <c r="L213" s="34"/>
      <c r="M213" s="34"/>
    </row>
    <row r="214" spans="1:13" s="11" customFormat="1" x14ac:dyDescent="0.3">
      <c r="A214" s="143"/>
      <c r="D214" s="132"/>
      <c r="E214" s="132"/>
      <c r="F214" s="132"/>
      <c r="H214" s="34"/>
      <c r="I214" s="34"/>
      <c r="J214" s="34"/>
      <c r="K214" s="34"/>
      <c r="L214" s="34"/>
      <c r="M214" s="34"/>
    </row>
    <row r="215" spans="1:13" s="11" customFormat="1" x14ac:dyDescent="0.3">
      <c r="A215" s="143"/>
      <c r="D215" s="132"/>
      <c r="E215" s="132"/>
      <c r="F215" s="132"/>
      <c r="H215" s="34"/>
      <c r="I215" s="34"/>
      <c r="J215" s="34"/>
      <c r="K215" s="34"/>
      <c r="L215" s="34"/>
      <c r="M215" s="34"/>
    </row>
    <row r="216" spans="1:13" s="11" customFormat="1" x14ac:dyDescent="0.3">
      <c r="A216" s="143"/>
      <c r="D216" s="132"/>
      <c r="E216" s="132"/>
      <c r="F216" s="132"/>
      <c r="H216" s="34"/>
      <c r="I216" s="34"/>
      <c r="J216" s="34"/>
      <c r="K216" s="34"/>
      <c r="L216" s="34"/>
      <c r="M216" s="34"/>
    </row>
    <row r="217" spans="1:13" s="11" customFormat="1" x14ac:dyDescent="0.3">
      <c r="A217" s="143"/>
      <c r="D217" s="132"/>
      <c r="E217" s="132"/>
      <c r="F217" s="132"/>
      <c r="H217" s="34"/>
      <c r="I217" s="34"/>
      <c r="J217" s="34"/>
      <c r="K217" s="34"/>
      <c r="L217" s="34"/>
      <c r="M217" s="34"/>
    </row>
    <row r="218" spans="1:13" s="11" customFormat="1" x14ac:dyDescent="0.3">
      <c r="A218" s="143"/>
      <c r="D218" s="132"/>
      <c r="E218" s="132"/>
      <c r="F218" s="132"/>
      <c r="H218" s="34"/>
      <c r="I218" s="34"/>
      <c r="J218" s="34"/>
      <c r="K218" s="34"/>
      <c r="L218" s="34"/>
      <c r="M218" s="34"/>
    </row>
    <row r="219" spans="1:13" s="11" customFormat="1" x14ac:dyDescent="0.3">
      <c r="A219" s="143"/>
      <c r="D219" s="132"/>
      <c r="E219" s="132"/>
      <c r="F219" s="132"/>
      <c r="H219" s="34"/>
      <c r="I219" s="34"/>
      <c r="J219" s="34"/>
      <c r="K219" s="34"/>
      <c r="L219" s="34"/>
      <c r="M219" s="34"/>
    </row>
    <row r="220" spans="1:13" s="11" customFormat="1" x14ac:dyDescent="0.3">
      <c r="A220" s="143"/>
      <c r="D220" s="132"/>
      <c r="E220" s="132"/>
      <c r="F220" s="132"/>
      <c r="H220" s="34"/>
      <c r="I220" s="34"/>
      <c r="J220" s="34"/>
      <c r="K220" s="34"/>
      <c r="L220" s="34"/>
      <c r="M220" s="34"/>
    </row>
    <row r="221" spans="1:13" s="11" customFormat="1" x14ac:dyDescent="0.3">
      <c r="A221" s="143"/>
      <c r="D221" s="132"/>
      <c r="E221" s="132"/>
      <c r="F221" s="132"/>
      <c r="H221" s="34"/>
      <c r="I221" s="34"/>
      <c r="J221" s="34"/>
      <c r="K221" s="34"/>
      <c r="L221" s="34"/>
      <c r="M221" s="34"/>
    </row>
    <row r="222" spans="1:13" s="11" customFormat="1" x14ac:dyDescent="0.3">
      <c r="A222" s="143"/>
      <c r="D222" s="132"/>
      <c r="E222" s="132"/>
      <c r="F222" s="132"/>
      <c r="H222" s="34"/>
      <c r="I222" s="34"/>
      <c r="J222" s="34"/>
      <c r="K222" s="34"/>
      <c r="L222" s="34"/>
      <c r="M222" s="34"/>
    </row>
    <row r="223" spans="1:13" s="11" customFormat="1" x14ac:dyDescent="0.3">
      <c r="A223" s="143"/>
      <c r="D223" s="132"/>
      <c r="E223" s="132"/>
      <c r="F223" s="132"/>
      <c r="H223" s="34"/>
      <c r="I223" s="34"/>
      <c r="J223" s="34"/>
      <c r="K223" s="34"/>
      <c r="L223" s="34"/>
      <c r="M223" s="34"/>
    </row>
    <row r="224" spans="1:13" s="11" customFormat="1" x14ac:dyDescent="0.3">
      <c r="A224" s="143"/>
      <c r="D224" s="132"/>
      <c r="E224" s="132"/>
      <c r="F224" s="132"/>
      <c r="H224" s="34"/>
      <c r="I224" s="34"/>
      <c r="J224" s="34"/>
      <c r="K224" s="34"/>
      <c r="L224" s="34"/>
      <c r="M224" s="34"/>
    </row>
    <row r="225" spans="1:13" s="11" customFormat="1" x14ac:dyDescent="0.3">
      <c r="A225" s="143"/>
      <c r="D225" s="132"/>
      <c r="E225" s="132"/>
      <c r="F225" s="132"/>
      <c r="H225" s="34"/>
      <c r="I225" s="34"/>
      <c r="J225" s="34"/>
      <c r="K225" s="34"/>
      <c r="L225" s="34"/>
      <c r="M225" s="34"/>
    </row>
    <row r="226" spans="1:13" s="11" customFormat="1" x14ac:dyDescent="0.3">
      <c r="A226" s="143"/>
      <c r="D226" s="132"/>
      <c r="E226" s="132"/>
      <c r="F226" s="132"/>
      <c r="H226" s="34"/>
      <c r="I226" s="34"/>
      <c r="J226" s="34"/>
      <c r="K226" s="34"/>
      <c r="L226" s="34"/>
      <c r="M226" s="34"/>
    </row>
    <row r="227" spans="1:13" s="11" customFormat="1" x14ac:dyDescent="0.3">
      <c r="A227" s="143"/>
      <c r="D227" s="132"/>
      <c r="E227" s="132"/>
      <c r="F227" s="132"/>
      <c r="H227" s="34"/>
      <c r="I227" s="34"/>
      <c r="J227" s="34"/>
      <c r="K227" s="34"/>
      <c r="L227" s="34"/>
      <c r="M227" s="34"/>
    </row>
    <row r="228" spans="1:13" s="11" customFormat="1" x14ac:dyDescent="0.3">
      <c r="A228" s="143"/>
      <c r="D228" s="132"/>
      <c r="E228" s="132"/>
      <c r="F228" s="132"/>
      <c r="H228" s="34"/>
      <c r="I228" s="34"/>
      <c r="J228" s="34"/>
      <c r="K228" s="34"/>
      <c r="L228" s="34"/>
      <c r="M228" s="34"/>
    </row>
    <row r="229" spans="1:13" s="11" customFormat="1" x14ac:dyDescent="0.3">
      <c r="A229" s="143"/>
      <c r="D229" s="132"/>
      <c r="E229" s="132"/>
      <c r="F229" s="132"/>
      <c r="H229" s="34"/>
      <c r="I229" s="34"/>
      <c r="J229" s="34"/>
      <c r="K229" s="34"/>
      <c r="L229" s="34"/>
      <c r="M229" s="34"/>
    </row>
    <row r="230" spans="1:13" s="11" customFormat="1" x14ac:dyDescent="0.3">
      <c r="A230" s="143"/>
      <c r="D230" s="132"/>
      <c r="E230" s="132"/>
      <c r="F230" s="132"/>
      <c r="H230" s="34"/>
      <c r="I230" s="34"/>
      <c r="J230" s="34"/>
      <c r="K230" s="34"/>
      <c r="L230" s="34"/>
      <c r="M230" s="34"/>
    </row>
    <row r="231" spans="1:13" s="11" customFormat="1" x14ac:dyDescent="0.3">
      <c r="A231" s="143"/>
      <c r="D231" s="132"/>
      <c r="E231" s="132"/>
      <c r="F231" s="132"/>
      <c r="H231" s="34"/>
      <c r="I231" s="34"/>
      <c r="J231" s="34"/>
      <c r="K231" s="34"/>
      <c r="L231" s="34"/>
      <c r="M231" s="34"/>
    </row>
    <row r="232" spans="1:13" s="11" customFormat="1" x14ac:dyDescent="0.3">
      <c r="A232" s="143"/>
      <c r="D232" s="132"/>
      <c r="E232" s="132"/>
      <c r="F232" s="132"/>
      <c r="H232" s="34"/>
      <c r="I232" s="34"/>
      <c r="J232" s="34"/>
      <c r="K232" s="34"/>
      <c r="L232" s="34"/>
      <c r="M232" s="34"/>
    </row>
    <row r="233" spans="1:13" s="11" customFormat="1" x14ac:dyDescent="0.3">
      <c r="A233" s="143"/>
      <c r="D233" s="132"/>
      <c r="E233" s="132"/>
      <c r="F233" s="132"/>
      <c r="H233" s="34"/>
      <c r="I233" s="34"/>
      <c r="J233" s="34"/>
      <c r="K233" s="34"/>
      <c r="L233" s="34"/>
      <c r="M233" s="34"/>
    </row>
    <row r="234" spans="1:13" s="11" customFormat="1" x14ac:dyDescent="0.3">
      <c r="A234" s="143"/>
      <c r="D234" s="132"/>
      <c r="E234" s="132"/>
      <c r="F234" s="132"/>
      <c r="H234" s="34"/>
      <c r="I234" s="34"/>
      <c r="J234" s="34"/>
      <c r="K234" s="34"/>
      <c r="L234" s="34"/>
      <c r="M234" s="34"/>
    </row>
    <row r="235" spans="1:13" s="11" customFormat="1" x14ac:dyDescent="0.3">
      <c r="A235" s="143"/>
      <c r="D235" s="132"/>
      <c r="E235" s="132"/>
      <c r="F235" s="132"/>
      <c r="H235" s="34"/>
      <c r="I235" s="34"/>
      <c r="J235" s="34"/>
      <c r="K235" s="34"/>
      <c r="L235" s="34"/>
      <c r="M235" s="34"/>
    </row>
    <row r="236" spans="1:13" s="11" customFormat="1" x14ac:dyDescent="0.3">
      <c r="A236" s="143"/>
      <c r="D236" s="132"/>
      <c r="E236" s="132"/>
      <c r="F236" s="132"/>
      <c r="H236" s="34"/>
      <c r="I236" s="34"/>
      <c r="J236" s="34"/>
      <c r="K236" s="34"/>
      <c r="L236" s="34"/>
      <c r="M236" s="34"/>
    </row>
    <row r="237" spans="1:13" s="11" customFormat="1" x14ac:dyDescent="0.3">
      <c r="A237" s="143"/>
      <c r="D237" s="132"/>
      <c r="E237" s="132"/>
      <c r="F237" s="132"/>
      <c r="H237" s="34"/>
      <c r="I237" s="34"/>
      <c r="J237" s="34"/>
      <c r="K237" s="34"/>
      <c r="L237" s="34"/>
      <c r="M237" s="34"/>
    </row>
    <row r="238" spans="1:13" s="11" customFormat="1" x14ac:dyDescent="0.3">
      <c r="A238" s="143"/>
      <c r="D238" s="132"/>
      <c r="E238" s="132"/>
      <c r="F238" s="132"/>
      <c r="H238" s="34"/>
      <c r="I238" s="34"/>
      <c r="J238" s="34"/>
      <c r="K238" s="34"/>
      <c r="L238" s="34"/>
      <c r="M238" s="34"/>
    </row>
    <row r="239" spans="1:13" s="11" customFormat="1" x14ac:dyDescent="0.3">
      <c r="A239" s="143"/>
      <c r="D239" s="132"/>
      <c r="E239" s="132"/>
      <c r="F239" s="132"/>
      <c r="H239" s="34"/>
      <c r="I239" s="34"/>
      <c r="J239" s="34"/>
      <c r="K239" s="34"/>
      <c r="L239" s="34"/>
      <c r="M239" s="34"/>
    </row>
    <row r="240" spans="1:13" s="11" customFormat="1" x14ac:dyDescent="0.3">
      <c r="A240" s="143"/>
      <c r="D240" s="132"/>
      <c r="E240" s="132"/>
      <c r="F240" s="132"/>
      <c r="H240" s="34"/>
      <c r="I240" s="34"/>
      <c r="J240" s="34"/>
      <c r="K240" s="34"/>
      <c r="L240" s="34"/>
      <c r="M240" s="34"/>
    </row>
    <row r="241" spans="1:13" s="11" customFormat="1" x14ac:dyDescent="0.3">
      <c r="A241" s="143"/>
      <c r="D241" s="132"/>
      <c r="E241" s="132"/>
      <c r="F241" s="132"/>
      <c r="H241" s="34"/>
      <c r="I241" s="34"/>
      <c r="J241" s="34"/>
      <c r="K241" s="34"/>
      <c r="L241" s="34"/>
      <c r="M241" s="34"/>
    </row>
    <row r="242" spans="1:13" s="11" customFormat="1" x14ac:dyDescent="0.3">
      <c r="A242" s="143"/>
      <c r="D242" s="132"/>
      <c r="E242" s="132"/>
      <c r="F242" s="132"/>
      <c r="H242" s="34"/>
      <c r="I242" s="34"/>
      <c r="J242" s="34"/>
      <c r="K242" s="34"/>
      <c r="L242" s="34"/>
      <c r="M242" s="34"/>
    </row>
    <row r="243" spans="1:13" s="11" customFormat="1" x14ac:dyDescent="0.3">
      <c r="A243" s="143"/>
      <c r="D243" s="132"/>
      <c r="E243" s="132"/>
      <c r="F243" s="132"/>
      <c r="H243" s="34"/>
      <c r="I243" s="34"/>
      <c r="J243" s="34"/>
      <c r="K243" s="34"/>
      <c r="L243" s="34"/>
      <c r="M243" s="34"/>
    </row>
    <row r="244" spans="1:13" s="11" customFormat="1" x14ac:dyDescent="0.3">
      <c r="A244" s="143"/>
      <c r="D244" s="132"/>
      <c r="E244" s="132"/>
      <c r="F244" s="132"/>
      <c r="H244" s="34"/>
      <c r="I244" s="34"/>
      <c r="J244" s="34"/>
      <c r="K244" s="34"/>
      <c r="L244" s="34"/>
      <c r="M244" s="34"/>
    </row>
    <row r="245" spans="1:13" s="11" customFormat="1" x14ac:dyDescent="0.3">
      <c r="A245" s="143"/>
      <c r="D245" s="132"/>
      <c r="E245" s="132"/>
      <c r="F245" s="132"/>
      <c r="H245" s="34"/>
      <c r="I245" s="34"/>
      <c r="J245" s="34"/>
      <c r="K245" s="34"/>
      <c r="L245" s="34"/>
      <c r="M245" s="34"/>
    </row>
    <row r="246" spans="1:13" s="11" customFormat="1" x14ac:dyDescent="0.3">
      <c r="A246" s="143"/>
      <c r="D246" s="132"/>
      <c r="E246" s="132"/>
      <c r="F246" s="132"/>
      <c r="H246" s="34"/>
      <c r="I246" s="34"/>
      <c r="J246" s="34"/>
      <c r="K246" s="34"/>
      <c r="L246" s="34"/>
      <c r="M246" s="34"/>
    </row>
    <row r="247" spans="1:13" s="11" customFormat="1" x14ac:dyDescent="0.3">
      <c r="A247" s="143"/>
      <c r="D247" s="132"/>
      <c r="E247" s="132"/>
      <c r="F247" s="132"/>
      <c r="H247" s="34"/>
      <c r="I247" s="34"/>
      <c r="J247" s="34"/>
      <c r="K247" s="34"/>
      <c r="L247" s="34"/>
      <c r="M247" s="34"/>
    </row>
    <row r="248" spans="1:13" s="11" customFormat="1" x14ac:dyDescent="0.3">
      <c r="A248" s="143"/>
      <c r="D248" s="132"/>
      <c r="E248" s="132"/>
      <c r="F248" s="132"/>
      <c r="H248" s="34"/>
      <c r="I248" s="34"/>
      <c r="J248" s="34"/>
      <c r="K248" s="34"/>
      <c r="L248" s="34"/>
      <c r="M248" s="34"/>
    </row>
    <row r="249" spans="1:13" s="11" customFormat="1" x14ac:dyDescent="0.3">
      <c r="A249" s="143"/>
      <c r="D249" s="132"/>
      <c r="E249" s="132"/>
      <c r="F249" s="132"/>
      <c r="H249" s="34"/>
      <c r="I249" s="34"/>
      <c r="J249" s="34"/>
      <c r="K249" s="34"/>
      <c r="L249" s="34"/>
      <c r="M249" s="34"/>
    </row>
    <row r="250" spans="1:13" s="11" customFormat="1" x14ac:dyDescent="0.3">
      <c r="A250" s="143"/>
      <c r="D250" s="132"/>
      <c r="E250" s="132"/>
      <c r="F250" s="132"/>
      <c r="H250" s="34"/>
      <c r="I250" s="34"/>
      <c r="J250" s="34"/>
      <c r="K250" s="34"/>
      <c r="L250" s="34"/>
      <c r="M250" s="34"/>
    </row>
    <row r="251" spans="1:13" s="11" customFormat="1" x14ac:dyDescent="0.3">
      <c r="A251" s="143"/>
      <c r="D251" s="132"/>
      <c r="E251" s="132"/>
      <c r="F251" s="132"/>
      <c r="H251" s="34"/>
      <c r="I251" s="34"/>
      <c r="J251" s="34"/>
      <c r="K251" s="34"/>
      <c r="L251" s="34"/>
      <c r="M251" s="34"/>
    </row>
    <row r="252" spans="1:13" s="11" customFormat="1" x14ac:dyDescent="0.3">
      <c r="A252" s="143"/>
      <c r="D252" s="132"/>
      <c r="E252" s="132"/>
      <c r="F252" s="132"/>
      <c r="H252" s="34"/>
      <c r="I252" s="34"/>
      <c r="J252" s="34"/>
      <c r="K252" s="34"/>
      <c r="L252" s="34"/>
      <c r="M252" s="34"/>
    </row>
    <row r="253" spans="1:13" s="11" customFormat="1" x14ac:dyDescent="0.3">
      <c r="A253" s="143"/>
      <c r="D253" s="132"/>
      <c r="E253" s="132"/>
      <c r="F253" s="132"/>
      <c r="H253" s="34"/>
      <c r="I253" s="34"/>
      <c r="J253" s="34"/>
      <c r="K253" s="34"/>
      <c r="L253" s="34"/>
      <c r="M253" s="34"/>
    </row>
    <row r="254" spans="1:13" s="11" customFormat="1" x14ac:dyDescent="0.3">
      <c r="A254" s="143"/>
      <c r="D254" s="132"/>
      <c r="E254" s="132"/>
      <c r="F254" s="132"/>
      <c r="H254" s="34"/>
      <c r="I254" s="34"/>
      <c r="J254" s="34"/>
      <c r="K254" s="34"/>
      <c r="L254" s="34"/>
      <c r="M254" s="34"/>
    </row>
    <row r="255" spans="1:13" s="11" customFormat="1" x14ac:dyDescent="0.3">
      <c r="A255" s="143"/>
      <c r="D255" s="132"/>
      <c r="E255" s="132"/>
      <c r="F255" s="132"/>
      <c r="H255" s="34"/>
      <c r="I255" s="34"/>
      <c r="J255" s="34"/>
      <c r="K255" s="34"/>
      <c r="L255" s="34"/>
      <c r="M255" s="34"/>
    </row>
    <row r="256" spans="1:13" s="11" customFormat="1" x14ac:dyDescent="0.3">
      <c r="A256" s="143"/>
      <c r="D256" s="132"/>
      <c r="E256" s="132"/>
      <c r="F256" s="132"/>
      <c r="H256" s="34"/>
      <c r="I256" s="34"/>
      <c r="J256" s="34"/>
      <c r="K256" s="34"/>
      <c r="L256" s="34"/>
      <c r="M256" s="34"/>
    </row>
    <row r="257" spans="1:13" s="11" customFormat="1" x14ac:dyDescent="0.3">
      <c r="A257" s="143"/>
      <c r="D257" s="132"/>
      <c r="E257" s="132"/>
      <c r="F257" s="132"/>
      <c r="H257" s="34"/>
      <c r="I257" s="34"/>
      <c r="J257" s="34"/>
      <c r="K257" s="34"/>
      <c r="L257" s="34"/>
      <c r="M257" s="34"/>
    </row>
    <row r="258" spans="1:13" s="11" customFormat="1" x14ac:dyDescent="0.3">
      <c r="A258" s="143"/>
      <c r="D258" s="132"/>
      <c r="E258" s="132"/>
      <c r="F258" s="132"/>
      <c r="H258" s="34"/>
      <c r="I258" s="34"/>
      <c r="J258" s="34"/>
      <c r="K258" s="34"/>
      <c r="L258" s="34"/>
      <c r="M258" s="34"/>
    </row>
    <row r="259" spans="1:13" s="11" customFormat="1" x14ac:dyDescent="0.3">
      <c r="A259" s="143"/>
      <c r="D259" s="132"/>
      <c r="E259" s="132"/>
      <c r="F259" s="132"/>
      <c r="H259" s="34"/>
      <c r="I259" s="34"/>
      <c r="J259" s="34"/>
      <c r="K259" s="34"/>
      <c r="L259" s="34"/>
      <c r="M259" s="34"/>
    </row>
    <row r="260" spans="1:13" s="11" customFormat="1" x14ac:dyDescent="0.3">
      <c r="A260" s="143"/>
      <c r="D260" s="132"/>
      <c r="E260" s="132"/>
      <c r="F260" s="132"/>
      <c r="H260" s="34"/>
      <c r="I260" s="34"/>
      <c r="J260" s="34"/>
      <c r="K260" s="34"/>
      <c r="L260" s="34"/>
      <c r="M260" s="34"/>
    </row>
    <row r="261" spans="1:13" s="11" customFormat="1" x14ac:dyDescent="0.3">
      <c r="A261" s="143"/>
      <c r="D261" s="132"/>
      <c r="E261" s="132"/>
      <c r="F261" s="132"/>
      <c r="H261" s="34"/>
      <c r="I261" s="34"/>
      <c r="J261" s="34"/>
      <c r="K261" s="34"/>
      <c r="L261" s="34"/>
      <c r="M261" s="34"/>
    </row>
    <row r="262" spans="1:13" s="11" customFormat="1" x14ac:dyDescent="0.3">
      <c r="A262" s="143"/>
      <c r="D262" s="132"/>
      <c r="E262" s="132"/>
      <c r="F262" s="132"/>
      <c r="H262" s="34"/>
      <c r="I262" s="34"/>
      <c r="J262" s="34"/>
      <c r="K262" s="34"/>
      <c r="L262" s="34"/>
      <c r="M262" s="34"/>
    </row>
    <row r="263" spans="1:13" s="11" customFormat="1" x14ac:dyDescent="0.3">
      <c r="A263" s="143"/>
      <c r="D263" s="132"/>
      <c r="E263" s="132"/>
      <c r="F263" s="132"/>
      <c r="H263" s="34"/>
      <c r="I263" s="34"/>
      <c r="J263" s="34"/>
      <c r="K263" s="34"/>
      <c r="L263" s="34"/>
      <c r="M263" s="34"/>
    </row>
    <row r="264" spans="1:13" s="11" customFormat="1" x14ac:dyDescent="0.3">
      <c r="A264" s="143"/>
      <c r="D264" s="132"/>
      <c r="E264" s="132"/>
      <c r="F264" s="132"/>
      <c r="H264" s="34"/>
      <c r="I264" s="34"/>
      <c r="J264" s="34"/>
      <c r="K264" s="34"/>
      <c r="L264" s="34"/>
      <c r="M264" s="34"/>
    </row>
    <row r="265" spans="1:13" s="11" customFormat="1" x14ac:dyDescent="0.3">
      <c r="A265" s="143"/>
      <c r="D265" s="132"/>
      <c r="E265" s="132"/>
      <c r="F265" s="132"/>
      <c r="H265" s="34"/>
      <c r="I265" s="34"/>
      <c r="J265" s="34"/>
      <c r="K265" s="34"/>
      <c r="L265" s="34"/>
      <c r="M265" s="34"/>
    </row>
    <row r="266" spans="1:13" s="11" customFormat="1" x14ac:dyDescent="0.3">
      <c r="A266" s="143"/>
      <c r="D266" s="132"/>
      <c r="E266" s="132"/>
      <c r="F266" s="132"/>
      <c r="H266" s="34"/>
      <c r="I266" s="34"/>
      <c r="J266" s="34"/>
      <c r="K266" s="34"/>
      <c r="L266" s="34"/>
      <c r="M266" s="34"/>
    </row>
    <row r="267" spans="1:13" s="11" customFormat="1" x14ac:dyDescent="0.3">
      <c r="A267" s="143"/>
      <c r="D267" s="132"/>
      <c r="E267" s="132"/>
      <c r="F267" s="132"/>
      <c r="H267" s="34"/>
      <c r="I267" s="34"/>
      <c r="J267" s="34"/>
      <c r="K267" s="34"/>
      <c r="L267" s="34"/>
      <c r="M267" s="34"/>
    </row>
    <row r="268" spans="1:13" s="11" customFormat="1" x14ac:dyDescent="0.3">
      <c r="A268" s="143"/>
      <c r="D268" s="132"/>
      <c r="E268" s="132"/>
      <c r="F268" s="132"/>
      <c r="H268" s="34"/>
      <c r="I268" s="34"/>
      <c r="J268" s="34"/>
      <c r="K268" s="34"/>
      <c r="L268" s="34"/>
      <c r="M268" s="34"/>
    </row>
    <row r="269" spans="1:13" s="11" customFormat="1" x14ac:dyDescent="0.3">
      <c r="A269" s="143"/>
      <c r="D269" s="132"/>
      <c r="E269" s="132"/>
      <c r="F269" s="132"/>
      <c r="H269" s="34"/>
      <c r="I269" s="34"/>
      <c r="J269" s="34"/>
      <c r="K269" s="34"/>
      <c r="L269" s="34"/>
      <c r="M269" s="34"/>
    </row>
    <row r="270" spans="1:13" s="11" customFormat="1" x14ac:dyDescent="0.3">
      <c r="A270" s="143"/>
      <c r="D270" s="132"/>
      <c r="E270" s="132"/>
      <c r="F270" s="132"/>
      <c r="H270" s="34"/>
      <c r="I270" s="34"/>
      <c r="J270" s="34"/>
      <c r="K270" s="34"/>
      <c r="L270" s="34"/>
      <c r="M270" s="34"/>
    </row>
    <row r="271" spans="1:13" s="11" customFormat="1" x14ac:dyDescent="0.3">
      <c r="A271" s="143"/>
      <c r="D271" s="132"/>
      <c r="E271" s="132"/>
      <c r="F271" s="132"/>
      <c r="H271" s="34"/>
      <c r="I271" s="34"/>
      <c r="J271" s="34"/>
      <c r="K271" s="34"/>
      <c r="L271" s="34"/>
      <c r="M271" s="34"/>
    </row>
    <row r="272" spans="1:13" s="11" customFormat="1" x14ac:dyDescent="0.3">
      <c r="A272" s="143"/>
      <c r="D272" s="132"/>
      <c r="E272" s="132"/>
      <c r="F272" s="132"/>
      <c r="H272" s="34"/>
      <c r="I272" s="34"/>
      <c r="J272" s="34"/>
      <c r="K272" s="34"/>
      <c r="L272" s="34"/>
      <c r="M272" s="34"/>
    </row>
    <row r="273" spans="1:13" s="11" customFormat="1" x14ac:dyDescent="0.3">
      <c r="A273" s="143"/>
      <c r="D273" s="132"/>
      <c r="E273" s="132"/>
      <c r="F273" s="132"/>
      <c r="H273" s="34"/>
      <c r="I273" s="34"/>
      <c r="J273" s="34"/>
      <c r="K273" s="34"/>
      <c r="L273" s="34"/>
      <c r="M273" s="34"/>
    </row>
    <row r="274" spans="1:13" s="11" customFormat="1" x14ac:dyDescent="0.3">
      <c r="A274" s="143"/>
      <c r="D274" s="132"/>
      <c r="E274" s="132"/>
      <c r="F274" s="132"/>
      <c r="H274" s="34"/>
      <c r="I274" s="34"/>
      <c r="J274" s="34"/>
      <c r="K274" s="34"/>
      <c r="L274" s="34"/>
      <c r="M274" s="34"/>
    </row>
    <row r="275" spans="1:13" s="11" customFormat="1" x14ac:dyDescent="0.3">
      <c r="A275" s="143"/>
      <c r="D275" s="132"/>
      <c r="E275" s="132"/>
      <c r="F275" s="132"/>
      <c r="H275" s="34"/>
      <c r="I275" s="34"/>
      <c r="J275" s="34"/>
      <c r="K275" s="34"/>
      <c r="L275" s="34"/>
      <c r="M275" s="34"/>
    </row>
    <row r="276" spans="1:13" s="11" customFormat="1" x14ac:dyDescent="0.3">
      <c r="A276" s="143"/>
      <c r="D276" s="132"/>
      <c r="E276" s="132"/>
      <c r="F276" s="132"/>
      <c r="H276" s="34"/>
      <c r="I276" s="34"/>
      <c r="J276" s="34"/>
      <c r="K276" s="34"/>
      <c r="L276" s="34"/>
      <c r="M276" s="34"/>
    </row>
    <row r="277" spans="1:13" s="11" customFormat="1" x14ac:dyDescent="0.3">
      <c r="A277" s="143"/>
      <c r="D277" s="132"/>
      <c r="E277" s="132"/>
      <c r="F277" s="132"/>
      <c r="H277" s="34"/>
      <c r="I277" s="34"/>
      <c r="J277" s="34"/>
      <c r="K277" s="34"/>
      <c r="L277" s="34"/>
      <c r="M277" s="34"/>
    </row>
    <row r="278" spans="1:13" s="11" customFormat="1" x14ac:dyDescent="0.3">
      <c r="A278" s="143"/>
      <c r="D278" s="132"/>
      <c r="E278" s="132"/>
      <c r="F278" s="132"/>
      <c r="H278" s="34"/>
      <c r="I278" s="34"/>
      <c r="J278" s="34"/>
      <c r="K278" s="34"/>
      <c r="L278" s="34"/>
      <c r="M278" s="34"/>
    </row>
    <row r="279" spans="1:13" s="11" customFormat="1" x14ac:dyDescent="0.3">
      <c r="A279" s="143"/>
      <c r="D279" s="132"/>
      <c r="E279" s="132"/>
      <c r="F279" s="132"/>
      <c r="H279" s="34"/>
      <c r="I279" s="34"/>
      <c r="J279" s="34"/>
      <c r="K279" s="34"/>
      <c r="L279" s="34"/>
      <c r="M279" s="34"/>
    </row>
    <row r="280" spans="1:13" s="11" customFormat="1" x14ac:dyDescent="0.3">
      <c r="A280" s="143"/>
      <c r="D280" s="132"/>
      <c r="E280" s="132"/>
      <c r="F280" s="132"/>
      <c r="H280" s="34"/>
      <c r="I280" s="34"/>
      <c r="J280" s="34"/>
      <c r="K280" s="34"/>
      <c r="L280" s="34"/>
      <c r="M280" s="34"/>
    </row>
    <row r="281" spans="1:13" s="11" customFormat="1" x14ac:dyDescent="0.3">
      <c r="A281" s="143"/>
      <c r="D281" s="132"/>
      <c r="E281" s="132"/>
      <c r="F281" s="132"/>
      <c r="H281" s="34"/>
      <c r="I281" s="34"/>
      <c r="J281" s="34"/>
      <c r="K281" s="34"/>
      <c r="L281" s="34"/>
      <c r="M281" s="34"/>
    </row>
    <row r="282" spans="1:13" s="11" customFormat="1" x14ac:dyDescent="0.3">
      <c r="A282" s="143"/>
      <c r="D282" s="132"/>
      <c r="E282" s="132"/>
      <c r="F282" s="132"/>
      <c r="H282" s="34"/>
      <c r="I282" s="34"/>
      <c r="J282" s="34"/>
      <c r="K282" s="34"/>
      <c r="L282" s="34"/>
      <c r="M282" s="34"/>
    </row>
    <row r="283" spans="1:13" s="11" customFormat="1" x14ac:dyDescent="0.3">
      <c r="A283" s="143"/>
      <c r="D283" s="132"/>
      <c r="E283" s="132"/>
      <c r="F283" s="132"/>
      <c r="H283" s="34"/>
      <c r="I283" s="34"/>
      <c r="J283" s="34"/>
      <c r="K283" s="34"/>
      <c r="L283" s="34"/>
      <c r="M283" s="34"/>
    </row>
    <row r="284" spans="1:13" s="11" customFormat="1" x14ac:dyDescent="0.3">
      <c r="A284" s="143"/>
      <c r="D284" s="132"/>
      <c r="E284" s="132"/>
      <c r="F284" s="132"/>
      <c r="H284" s="34"/>
      <c r="I284" s="34"/>
      <c r="J284" s="34"/>
      <c r="K284" s="34"/>
      <c r="L284" s="34"/>
      <c r="M284" s="34"/>
    </row>
    <row r="285" spans="1:13" s="11" customFormat="1" x14ac:dyDescent="0.3">
      <c r="A285" s="143"/>
      <c r="D285" s="132"/>
      <c r="E285" s="132"/>
      <c r="F285" s="132"/>
      <c r="H285" s="34"/>
      <c r="I285" s="34"/>
      <c r="J285" s="34"/>
      <c r="K285" s="34"/>
      <c r="L285" s="34"/>
      <c r="M285" s="34"/>
    </row>
    <row r="286" spans="1:13" s="11" customFormat="1" x14ac:dyDescent="0.3">
      <c r="A286" s="143"/>
      <c r="D286" s="132"/>
      <c r="E286" s="132"/>
      <c r="F286" s="132"/>
      <c r="H286" s="34"/>
      <c r="I286" s="34"/>
      <c r="J286" s="34"/>
      <c r="K286" s="34"/>
      <c r="L286" s="34"/>
      <c r="M286" s="34"/>
    </row>
    <row r="287" spans="1:13" s="11" customFormat="1" x14ac:dyDescent="0.3">
      <c r="A287" s="143"/>
      <c r="D287" s="132"/>
      <c r="E287" s="132"/>
      <c r="F287" s="132"/>
      <c r="H287" s="34"/>
      <c r="I287" s="34"/>
      <c r="J287" s="34"/>
      <c r="K287" s="34"/>
      <c r="L287" s="34"/>
      <c r="M287" s="34"/>
    </row>
    <row r="288" spans="1:13" s="11" customFormat="1" x14ac:dyDescent="0.3">
      <c r="A288" s="143"/>
      <c r="D288" s="132"/>
      <c r="E288" s="132"/>
      <c r="F288" s="132"/>
      <c r="H288" s="34"/>
      <c r="I288" s="34"/>
      <c r="J288" s="34"/>
      <c r="K288" s="34"/>
      <c r="L288" s="34"/>
      <c r="M288" s="34"/>
    </row>
    <row r="289" spans="1:13" s="11" customFormat="1" x14ac:dyDescent="0.3">
      <c r="A289" s="143"/>
      <c r="D289" s="132"/>
      <c r="E289" s="132"/>
      <c r="F289" s="132"/>
      <c r="H289" s="34"/>
      <c r="I289" s="34"/>
      <c r="J289" s="34"/>
      <c r="K289" s="34"/>
      <c r="L289" s="34"/>
      <c r="M289" s="34"/>
    </row>
    <row r="290" spans="1:13" s="11" customFormat="1" x14ac:dyDescent="0.3">
      <c r="A290" s="143"/>
      <c r="D290" s="132"/>
      <c r="E290" s="132"/>
      <c r="F290" s="132"/>
      <c r="H290" s="34"/>
      <c r="I290" s="34"/>
      <c r="J290" s="34"/>
      <c r="K290" s="34"/>
      <c r="L290" s="34"/>
      <c r="M290" s="34"/>
    </row>
    <row r="291" spans="1:13" s="11" customFormat="1" x14ac:dyDescent="0.3">
      <c r="A291" s="143"/>
      <c r="D291" s="132"/>
      <c r="E291" s="132"/>
      <c r="F291" s="132"/>
      <c r="H291" s="34"/>
      <c r="I291" s="34"/>
      <c r="J291" s="34"/>
      <c r="K291" s="34"/>
      <c r="L291" s="34"/>
      <c r="M291" s="34"/>
    </row>
    <row r="292" spans="1:13" s="11" customFormat="1" x14ac:dyDescent="0.3">
      <c r="A292" s="143"/>
      <c r="D292" s="132"/>
      <c r="E292" s="132"/>
      <c r="F292" s="132"/>
      <c r="H292" s="34"/>
      <c r="I292" s="34"/>
      <c r="J292" s="34"/>
      <c r="K292" s="34"/>
      <c r="L292" s="34"/>
      <c r="M292" s="34"/>
    </row>
    <row r="293" spans="1:13" s="11" customFormat="1" x14ac:dyDescent="0.3">
      <c r="A293" s="143"/>
      <c r="D293" s="132"/>
      <c r="E293" s="132"/>
      <c r="F293" s="132"/>
      <c r="H293" s="34"/>
      <c r="I293" s="34"/>
      <c r="J293" s="34"/>
      <c r="K293" s="34"/>
      <c r="L293" s="34"/>
      <c r="M293" s="34"/>
    </row>
    <row r="294" spans="1:13" s="11" customFormat="1" x14ac:dyDescent="0.3">
      <c r="A294" s="143"/>
      <c r="D294" s="132"/>
      <c r="E294" s="132"/>
      <c r="F294" s="132"/>
      <c r="H294" s="34"/>
      <c r="I294" s="34"/>
      <c r="J294" s="34"/>
      <c r="K294" s="34"/>
      <c r="L294" s="34"/>
      <c r="M294" s="34"/>
    </row>
    <row r="295" spans="1:13" s="11" customFormat="1" x14ac:dyDescent="0.3">
      <c r="A295" s="143"/>
      <c r="D295" s="132"/>
      <c r="E295" s="132"/>
      <c r="F295" s="132"/>
      <c r="H295" s="34"/>
      <c r="I295" s="34"/>
      <c r="J295" s="34"/>
      <c r="K295" s="34"/>
      <c r="L295" s="34"/>
      <c r="M295" s="34"/>
    </row>
    <row r="296" spans="1:13" s="11" customFormat="1" x14ac:dyDescent="0.3">
      <c r="A296" s="143"/>
      <c r="D296" s="132"/>
      <c r="E296" s="132"/>
      <c r="F296" s="132"/>
      <c r="H296" s="34"/>
      <c r="I296" s="34"/>
      <c r="J296" s="34"/>
      <c r="K296" s="34"/>
      <c r="L296" s="34"/>
      <c r="M296" s="34"/>
    </row>
    <row r="297" spans="1:13" s="11" customFormat="1" x14ac:dyDescent="0.3">
      <c r="A297" s="143"/>
      <c r="D297" s="132"/>
      <c r="E297" s="132"/>
      <c r="F297" s="132"/>
      <c r="H297" s="34"/>
      <c r="I297" s="34"/>
      <c r="J297" s="34"/>
      <c r="K297" s="34"/>
      <c r="L297" s="34"/>
      <c r="M297" s="34"/>
    </row>
    <row r="298" spans="1:13" s="11" customFormat="1" x14ac:dyDescent="0.3">
      <c r="A298" s="143"/>
      <c r="D298" s="132"/>
      <c r="E298" s="132"/>
      <c r="F298" s="132"/>
      <c r="H298" s="34"/>
      <c r="I298" s="34"/>
      <c r="J298" s="34"/>
      <c r="K298" s="34"/>
      <c r="L298" s="34"/>
      <c r="M298" s="34"/>
    </row>
    <row r="299" spans="1:13" s="11" customFormat="1" x14ac:dyDescent="0.3">
      <c r="A299" s="143"/>
      <c r="D299" s="132"/>
      <c r="E299" s="132"/>
      <c r="F299" s="132"/>
      <c r="H299" s="34"/>
      <c r="I299" s="34"/>
      <c r="J299" s="34"/>
      <c r="K299" s="34"/>
      <c r="L299" s="34"/>
      <c r="M299" s="34"/>
    </row>
    <row r="300" spans="1:13" s="11" customFormat="1" x14ac:dyDescent="0.3">
      <c r="A300" s="143"/>
      <c r="D300" s="132"/>
      <c r="E300" s="132"/>
      <c r="F300" s="132"/>
      <c r="H300" s="34"/>
      <c r="I300" s="34"/>
      <c r="J300" s="34"/>
      <c r="K300" s="34"/>
      <c r="L300" s="34"/>
      <c r="M300" s="34"/>
    </row>
    <row r="301" spans="1:13" s="11" customFormat="1" x14ac:dyDescent="0.3">
      <c r="A301" s="143"/>
      <c r="D301" s="132"/>
      <c r="E301" s="132"/>
      <c r="F301" s="132"/>
      <c r="H301" s="34"/>
      <c r="I301" s="34"/>
      <c r="J301" s="34"/>
      <c r="K301" s="34"/>
      <c r="L301" s="34"/>
      <c r="M301" s="34"/>
    </row>
    <row r="302" spans="1:13" s="11" customFormat="1" x14ac:dyDescent="0.3">
      <c r="A302" s="143"/>
      <c r="D302" s="132"/>
      <c r="E302" s="132"/>
      <c r="F302" s="132"/>
      <c r="H302" s="34"/>
      <c r="I302" s="34"/>
      <c r="J302" s="34"/>
      <c r="K302" s="34"/>
      <c r="L302" s="34"/>
      <c r="M302" s="34"/>
    </row>
    <row r="303" spans="1:13" s="11" customFormat="1" x14ac:dyDescent="0.3">
      <c r="A303" s="143"/>
      <c r="D303" s="132"/>
      <c r="E303" s="132"/>
      <c r="F303" s="132"/>
      <c r="H303" s="34"/>
      <c r="I303" s="34"/>
      <c r="J303" s="34"/>
      <c r="K303" s="34"/>
      <c r="L303" s="34"/>
      <c r="M303" s="34"/>
    </row>
    <row r="304" spans="1:13" s="11" customFormat="1" x14ac:dyDescent="0.3">
      <c r="A304" s="143"/>
      <c r="D304" s="132"/>
      <c r="E304" s="132"/>
      <c r="F304" s="132"/>
      <c r="H304" s="34"/>
      <c r="I304" s="34"/>
      <c r="J304" s="34"/>
      <c r="K304" s="34"/>
      <c r="L304" s="34"/>
      <c r="M304" s="34"/>
    </row>
    <row r="305" spans="1:13" s="11" customFormat="1" x14ac:dyDescent="0.3">
      <c r="A305" s="143"/>
      <c r="D305" s="132"/>
      <c r="E305" s="132"/>
      <c r="F305" s="132"/>
      <c r="H305" s="34"/>
      <c r="I305" s="34"/>
      <c r="J305" s="34"/>
      <c r="K305" s="34"/>
      <c r="L305" s="34"/>
      <c r="M305" s="34"/>
    </row>
    <row r="306" spans="1:13" s="11" customFormat="1" x14ac:dyDescent="0.3">
      <c r="A306" s="143"/>
      <c r="D306" s="132"/>
      <c r="E306" s="132"/>
      <c r="F306" s="132"/>
      <c r="H306" s="34"/>
      <c r="I306" s="34"/>
      <c r="J306" s="34"/>
      <c r="K306" s="34"/>
      <c r="L306" s="34"/>
      <c r="M306" s="34"/>
    </row>
    <row r="307" spans="1:13" s="11" customFormat="1" x14ac:dyDescent="0.3">
      <c r="A307" s="143"/>
      <c r="D307" s="132"/>
      <c r="E307" s="132"/>
      <c r="F307" s="132"/>
      <c r="H307" s="34"/>
      <c r="I307" s="34"/>
      <c r="J307" s="34"/>
      <c r="K307" s="34"/>
      <c r="L307" s="34"/>
      <c r="M307" s="34"/>
    </row>
    <row r="308" spans="1:13" s="11" customFormat="1" x14ac:dyDescent="0.3">
      <c r="A308" s="143"/>
      <c r="D308" s="132"/>
      <c r="E308" s="132"/>
      <c r="F308" s="132"/>
      <c r="H308" s="34"/>
      <c r="I308" s="34"/>
      <c r="J308" s="34"/>
      <c r="K308" s="34"/>
      <c r="L308" s="34"/>
      <c r="M308" s="34"/>
    </row>
    <row r="309" spans="1:13" s="11" customFormat="1" x14ac:dyDescent="0.3">
      <c r="A309" s="143"/>
      <c r="D309" s="132"/>
      <c r="E309" s="132"/>
      <c r="F309" s="132"/>
      <c r="H309" s="34"/>
      <c r="I309" s="34"/>
      <c r="J309" s="34"/>
      <c r="K309" s="34"/>
      <c r="L309" s="34"/>
      <c r="M309" s="34"/>
    </row>
    <row r="310" spans="1:13" s="11" customFormat="1" x14ac:dyDescent="0.3">
      <c r="A310" s="143"/>
      <c r="D310" s="132"/>
      <c r="E310" s="132"/>
      <c r="F310" s="132"/>
      <c r="H310" s="34"/>
      <c r="I310" s="34"/>
      <c r="J310" s="34"/>
      <c r="K310" s="34"/>
      <c r="L310" s="34"/>
      <c r="M310" s="34"/>
    </row>
    <row r="311" spans="1:13" s="11" customFormat="1" x14ac:dyDescent="0.3">
      <c r="A311" s="143"/>
      <c r="D311" s="132"/>
      <c r="E311" s="132"/>
      <c r="F311" s="132"/>
      <c r="H311" s="34"/>
      <c r="I311" s="34"/>
      <c r="J311" s="34"/>
      <c r="K311" s="34"/>
      <c r="L311" s="34"/>
      <c r="M311" s="34"/>
    </row>
    <row r="312" spans="1:13" s="11" customFormat="1" x14ac:dyDescent="0.3">
      <c r="A312" s="143"/>
      <c r="D312" s="132"/>
      <c r="E312" s="132"/>
      <c r="F312" s="132"/>
      <c r="H312" s="34"/>
      <c r="I312" s="34"/>
      <c r="J312" s="34"/>
      <c r="K312" s="34"/>
      <c r="L312" s="34"/>
      <c r="M312" s="34"/>
    </row>
    <row r="313" spans="1:13" s="11" customFormat="1" x14ac:dyDescent="0.3">
      <c r="A313" s="143"/>
      <c r="D313" s="132"/>
      <c r="E313" s="132"/>
      <c r="F313" s="132"/>
      <c r="H313" s="34"/>
      <c r="I313" s="34"/>
      <c r="J313" s="34"/>
      <c r="K313" s="34"/>
      <c r="L313" s="34"/>
      <c r="M313" s="34"/>
    </row>
    <row r="314" spans="1:13" s="11" customFormat="1" x14ac:dyDescent="0.3">
      <c r="A314" s="143"/>
      <c r="D314" s="132"/>
      <c r="E314" s="132"/>
      <c r="F314" s="132"/>
      <c r="H314" s="34"/>
      <c r="I314" s="34"/>
      <c r="J314" s="34"/>
      <c r="K314" s="34"/>
      <c r="L314" s="34"/>
      <c r="M314" s="34"/>
    </row>
    <row r="315" spans="1:13" s="11" customFormat="1" x14ac:dyDescent="0.3">
      <c r="A315" s="143"/>
      <c r="D315" s="132"/>
      <c r="E315" s="132"/>
      <c r="F315" s="132"/>
      <c r="H315" s="34"/>
      <c r="I315" s="34"/>
      <c r="J315" s="34"/>
      <c r="K315" s="34"/>
      <c r="L315" s="34"/>
      <c r="M315" s="34"/>
    </row>
    <row r="316" spans="1:13" s="11" customFormat="1" x14ac:dyDescent="0.3">
      <c r="A316" s="143"/>
      <c r="D316" s="132"/>
      <c r="E316" s="132"/>
      <c r="F316" s="132"/>
      <c r="H316" s="34"/>
      <c r="I316" s="34"/>
      <c r="J316" s="34"/>
      <c r="K316" s="34"/>
      <c r="L316" s="34"/>
      <c r="M316" s="34"/>
    </row>
    <row r="317" spans="1:13" s="11" customFormat="1" x14ac:dyDescent="0.3">
      <c r="A317" s="143"/>
      <c r="D317" s="132"/>
      <c r="E317" s="132"/>
      <c r="F317" s="132"/>
      <c r="H317" s="34"/>
      <c r="I317" s="34"/>
      <c r="J317" s="34"/>
      <c r="K317" s="34"/>
      <c r="L317" s="34"/>
      <c r="M317" s="34"/>
    </row>
    <row r="318" spans="1:13" s="11" customFormat="1" x14ac:dyDescent="0.3">
      <c r="A318" s="143"/>
      <c r="D318" s="132"/>
      <c r="E318" s="132"/>
      <c r="F318" s="132"/>
      <c r="H318" s="34"/>
      <c r="I318" s="34"/>
      <c r="J318" s="34"/>
      <c r="K318" s="34"/>
      <c r="L318" s="34"/>
      <c r="M318" s="34"/>
    </row>
    <row r="319" spans="1:13" s="11" customFormat="1" x14ac:dyDescent="0.3">
      <c r="A319" s="143"/>
      <c r="D319" s="132"/>
      <c r="E319" s="132"/>
      <c r="F319" s="132"/>
      <c r="H319" s="34"/>
      <c r="I319" s="34"/>
      <c r="J319" s="34"/>
      <c r="K319" s="34"/>
      <c r="L319" s="34"/>
      <c r="M319" s="34"/>
    </row>
    <row r="320" spans="1:13" s="11" customFormat="1" x14ac:dyDescent="0.3">
      <c r="A320" s="143"/>
      <c r="D320" s="132"/>
      <c r="E320" s="132"/>
      <c r="F320" s="132"/>
      <c r="H320" s="34"/>
      <c r="I320" s="34"/>
      <c r="J320" s="34"/>
      <c r="K320" s="34"/>
      <c r="L320" s="34"/>
      <c r="M320" s="34"/>
    </row>
    <row r="321" spans="1:13" s="11" customFormat="1" x14ac:dyDescent="0.3">
      <c r="A321" s="143"/>
      <c r="D321" s="132"/>
      <c r="E321" s="132"/>
      <c r="F321" s="132"/>
      <c r="H321" s="34"/>
      <c r="I321" s="34"/>
      <c r="J321" s="34"/>
      <c r="K321" s="34"/>
      <c r="L321" s="34"/>
      <c r="M321" s="34"/>
    </row>
    <row r="322" spans="1:13" s="11" customFormat="1" x14ac:dyDescent="0.3">
      <c r="A322" s="143"/>
      <c r="D322" s="132"/>
      <c r="E322" s="132"/>
      <c r="F322" s="132"/>
      <c r="H322" s="34"/>
      <c r="I322" s="34"/>
      <c r="J322" s="34"/>
      <c r="K322" s="34"/>
      <c r="L322" s="34"/>
      <c r="M322" s="34"/>
    </row>
    <row r="323" spans="1:13" s="11" customFormat="1" x14ac:dyDescent="0.3">
      <c r="A323" s="143"/>
      <c r="D323" s="132"/>
      <c r="E323" s="132"/>
      <c r="F323" s="132"/>
      <c r="H323" s="34"/>
      <c r="I323" s="34"/>
      <c r="J323" s="34"/>
      <c r="K323" s="34"/>
      <c r="L323" s="34"/>
      <c r="M323" s="34"/>
    </row>
    <row r="324" spans="1:13" s="11" customFormat="1" x14ac:dyDescent="0.3">
      <c r="A324" s="143"/>
      <c r="D324" s="132"/>
      <c r="E324" s="132"/>
      <c r="F324" s="132"/>
      <c r="H324" s="34"/>
      <c r="I324" s="34"/>
      <c r="J324" s="34"/>
      <c r="K324" s="34"/>
      <c r="L324" s="34"/>
      <c r="M324" s="34"/>
    </row>
    <row r="325" spans="1:13" s="11" customFormat="1" x14ac:dyDescent="0.3">
      <c r="A325" s="143"/>
      <c r="D325" s="132"/>
      <c r="E325" s="132"/>
      <c r="F325" s="132"/>
      <c r="H325" s="34"/>
      <c r="I325" s="34"/>
      <c r="J325" s="34"/>
      <c r="K325" s="34"/>
      <c r="L325" s="34"/>
      <c r="M325" s="34"/>
    </row>
    <row r="326" spans="1:13" s="11" customFormat="1" x14ac:dyDescent="0.3">
      <c r="A326" s="143"/>
      <c r="D326" s="132"/>
      <c r="E326" s="132"/>
      <c r="F326" s="132"/>
      <c r="H326" s="34"/>
      <c r="I326" s="34"/>
      <c r="J326" s="34"/>
      <c r="K326" s="34"/>
      <c r="L326" s="34"/>
      <c r="M326" s="34"/>
    </row>
    <row r="327" spans="1:13" s="11" customFormat="1" x14ac:dyDescent="0.3">
      <c r="A327" s="143"/>
      <c r="D327" s="132"/>
      <c r="E327" s="132"/>
      <c r="F327" s="132"/>
      <c r="H327" s="34"/>
      <c r="I327" s="34"/>
      <c r="J327" s="34"/>
      <c r="K327" s="34"/>
      <c r="L327" s="34"/>
      <c r="M327" s="34"/>
    </row>
    <row r="328" spans="1:13" s="11" customFormat="1" x14ac:dyDescent="0.3">
      <c r="A328" s="143"/>
      <c r="D328" s="132"/>
      <c r="E328" s="132"/>
      <c r="F328" s="132"/>
      <c r="H328" s="34"/>
      <c r="I328" s="34"/>
      <c r="J328" s="34"/>
      <c r="K328" s="34"/>
      <c r="L328" s="34"/>
      <c r="M328" s="34"/>
    </row>
    <row r="329" spans="1:13" s="11" customFormat="1" x14ac:dyDescent="0.3">
      <c r="A329" s="143"/>
      <c r="D329" s="132"/>
      <c r="E329" s="132"/>
      <c r="F329" s="132"/>
      <c r="H329" s="34"/>
      <c r="I329" s="34"/>
      <c r="J329" s="34"/>
      <c r="K329" s="34"/>
      <c r="L329" s="34"/>
      <c r="M329" s="34"/>
    </row>
    <row r="330" spans="1:13" s="11" customFormat="1" x14ac:dyDescent="0.3">
      <c r="A330" s="143"/>
      <c r="D330" s="132"/>
      <c r="E330" s="132"/>
      <c r="F330" s="132"/>
      <c r="H330" s="34"/>
      <c r="I330" s="34"/>
      <c r="J330" s="34"/>
      <c r="K330" s="34"/>
      <c r="L330" s="34"/>
      <c r="M330" s="34"/>
    </row>
    <row r="331" spans="1:13" s="11" customFormat="1" x14ac:dyDescent="0.3">
      <c r="A331" s="143"/>
      <c r="D331" s="132"/>
      <c r="E331" s="132"/>
      <c r="F331" s="132"/>
      <c r="H331" s="34"/>
      <c r="I331" s="34"/>
      <c r="J331" s="34"/>
      <c r="K331" s="34"/>
      <c r="L331" s="34"/>
      <c r="M331" s="34"/>
    </row>
    <row r="332" spans="1:13" s="11" customFormat="1" x14ac:dyDescent="0.3">
      <c r="A332" s="143"/>
      <c r="D332" s="132"/>
      <c r="E332" s="132"/>
      <c r="F332" s="132"/>
      <c r="H332" s="34"/>
      <c r="I332" s="34"/>
      <c r="J332" s="34"/>
      <c r="K332" s="34"/>
      <c r="L332" s="34"/>
      <c r="M332" s="34"/>
    </row>
    <row r="333" spans="1:13" s="11" customFormat="1" x14ac:dyDescent="0.3">
      <c r="A333" s="143"/>
      <c r="D333" s="132"/>
      <c r="E333" s="132"/>
      <c r="F333" s="132"/>
      <c r="H333" s="34"/>
      <c r="I333" s="34"/>
      <c r="J333" s="34"/>
      <c r="K333" s="34"/>
      <c r="L333" s="34"/>
      <c r="M333" s="34"/>
    </row>
    <row r="334" spans="1:13" s="11" customFormat="1" x14ac:dyDescent="0.3">
      <c r="A334" s="143"/>
      <c r="D334" s="132"/>
      <c r="E334" s="132"/>
      <c r="F334" s="132"/>
      <c r="H334" s="34"/>
      <c r="I334" s="34"/>
      <c r="J334" s="34"/>
      <c r="K334" s="34"/>
      <c r="L334" s="34"/>
      <c r="M334" s="34"/>
    </row>
    <row r="335" spans="1:13" s="11" customFormat="1" x14ac:dyDescent="0.3">
      <c r="A335" s="143"/>
      <c r="D335" s="132"/>
      <c r="E335" s="132"/>
      <c r="F335" s="132"/>
      <c r="H335" s="34"/>
      <c r="I335" s="34"/>
      <c r="J335" s="34"/>
      <c r="K335" s="34"/>
      <c r="L335" s="34"/>
      <c r="M335" s="34"/>
    </row>
    <row r="336" spans="1:13" s="11" customFormat="1" x14ac:dyDescent="0.3">
      <c r="A336" s="143"/>
      <c r="D336" s="132"/>
      <c r="E336" s="132"/>
      <c r="F336" s="132"/>
      <c r="H336" s="34"/>
      <c r="I336" s="34"/>
      <c r="J336" s="34"/>
      <c r="K336" s="34"/>
      <c r="L336" s="34"/>
      <c r="M336" s="34"/>
    </row>
    <row r="337" spans="1:13" s="11" customFormat="1" x14ac:dyDescent="0.3">
      <c r="A337" s="143"/>
      <c r="D337" s="132"/>
      <c r="E337" s="132"/>
      <c r="F337" s="132"/>
      <c r="H337" s="34"/>
      <c r="I337" s="34"/>
      <c r="J337" s="34"/>
      <c r="K337" s="34"/>
      <c r="L337" s="34"/>
      <c r="M337" s="34"/>
    </row>
    <row r="338" spans="1:13" s="11" customFormat="1" x14ac:dyDescent="0.3">
      <c r="A338" s="143"/>
      <c r="D338" s="132"/>
      <c r="E338" s="132"/>
      <c r="F338" s="132"/>
      <c r="H338" s="34"/>
      <c r="I338" s="34"/>
      <c r="J338" s="34"/>
      <c r="K338" s="34"/>
      <c r="L338" s="34"/>
      <c r="M338" s="34"/>
    </row>
    <row r="339" spans="1:13" s="11" customFormat="1" x14ac:dyDescent="0.3">
      <c r="A339" s="143"/>
      <c r="D339" s="132"/>
      <c r="E339" s="132"/>
      <c r="F339" s="132"/>
      <c r="H339" s="34"/>
      <c r="I339" s="34"/>
      <c r="J339" s="34"/>
      <c r="K339" s="34"/>
      <c r="L339" s="34"/>
      <c r="M339" s="34"/>
    </row>
    <row r="340" spans="1:13" s="11" customFormat="1" x14ac:dyDescent="0.3">
      <c r="A340" s="143"/>
      <c r="D340" s="132"/>
      <c r="E340" s="132"/>
      <c r="F340" s="132"/>
      <c r="H340" s="34"/>
      <c r="I340" s="34"/>
      <c r="J340" s="34"/>
      <c r="K340" s="34"/>
      <c r="L340" s="34"/>
      <c r="M340" s="34"/>
    </row>
    <row r="341" spans="1:13" s="11" customFormat="1" x14ac:dyDescent="0.3">
      <c r="A341" s="143"/>
      <c r="D341" s="132"/>
      <c r="E341" s="132"/>
      <c r="F341" s="132"/>
      <c r="H341" s="34"/>
      <c r="I341" s="34"/>
      <c r="J341" s="34"/>
      <c r="K341" s="34"/>
      <c r="L341" s="34"/>
      <c r="M341" s="34"/>
    </row>
    <row r="342" spans="1:13" s="11" customFormat="1" x14ac:dyDescent="0.3">
      <c r="A342" s="143"/>
      <c r="D342" s="132"/>
      <c r="E342" s="132"/>
      <c r="F342" s="132"/>
      <c r="H342" s="34"/>
      <c r="I342" s="34"/>
      <c r="J342" s="34"/>
      <c r="K342" s="34"/>
      <c r="L342" s="34"/>
      <c r="M342" s="34"/>
    </row>
    <row r="343" spans="1:13" s="11" customFormat="1" x14ac:dyDescent="0.3">
      <c r="A343" s="143"/>
      <c r="D343" s="132"/>
      <c r="E343" s="132"/>
      <c r="F343" s="132"/>
      <c r="H343" s="34"/>
      <c r="I343" s="34"/>
      <c r="J343" s="34"/>
      <c r="K343" s="34"/>
      <c r="L343" s="34"/>
      <c r="M343" s="34"/>
    </row>
    <row r="344" spans="1:13" s="11" customFormat="1" x14ac:dyDescent="0.3">
      <c r="A344" s="143"/>
      <c r="D344" s="132"/>
      <c r="E344" s="132"/>
      <c r="F344" s="132"/>
      <c r="H344" s="34"/>
      <c r="I344" s="34"/>
      <c r="J344" s="34"/>
      <c r="K344" s="34"/>
      <c r="L344" s="34"/>
      <c r="M344" s="34"/>
    </row>
    <row r="345" spans="1:13" s="11" customFormat="1" x14ac:dyDescent="0.3">
      <c r="A345" s="143"/>
      <c r="D345" s="132"/>
      <c r="E345" s="132"/>
      <c r="F345" s="132"/>
      <c r="H345" s="34"/>
      <c r="I345" s="34"/>
      <c r="J345" s="34"/>
      <c r="K345" s="34"/>
      <c r="L345" s="34"/>
      <c r="M345" s="34"/>
    </row>
    <row r="346" spans="1:13" s="11" customFormat="1" x14ac:dyDescent="0.3">
      <c r="A346" s="143"/>
      <c r="D346" s="132"/>
      <c r="E346" s="132"/>
      <c r="F346" s="132"/>
      <c r="H346" s="34"/>
      <c r="I346" s="34"/>
      <c r="J346" s="34"/>
      <c r="K346" s="34"/>
      <c r="L346" s="34"/>
      <c r="M346" s="34"/>
    </row>
    <row r="347" spans="1:13" s="11" customFormat="1" x14ac:dyDescent="0.3">
      <c r="A347" s="143"/>
      <c r="D347" s="132"/>
      <c r="E347" s="132"/>
      <c r="F347" s="132"/>
      <c r="H347" s="34"/>
      <c r="I347" s="34"/>
      <c r="J347" s="34"/>
      <c r="K347" s="34"/>
      <c r="L347" s="34"/>
      <c r="M347" s="34"/>
    </row>
    <row r="348" spans="1:13" s="11" customFormat="1" x14ac:dyDescent="0.3">
      <c r="A348" s="143"/>
      <c r="D348" s="132"/>
      <c r="E348" s="132"/>
      <c r="F348" s="132"/>
      <c r="H348" s="34"/>
      <c r="I348" s="34"/>
      <c r="J348" s="34"/>
      <c r="K348" s="34"/>
      <c r="L348" s="34"/>
      <c r="M348" s="34"/>
    </row>
    <row r="349" spans="1:13" s="11" customFormat="1" x14ac:dyDescent="0.3">
      <c r="A349" s="143"/>
      <c r="D349" s="132"/>
      <c r="E349" s="132"/>
      <c r="F349" s="132"/>
      <c r="H349" s="34"/>
      <c r="I349" s="34"/>
      <c r="J349" s="34"/>
      <c r="K349" s="34"/>
      <c r="L349" s="34"/>
      <c r="M349" s="34"/>
    </row>
    <row r="350" spans="1:13" s="11" customFormat="1" x14ac:dyDescent="0.3">
      <c r="A350" s="143"/>
      <c r="D350" s="132"/>
      <c r="E350" s="132"/>
      <c r="F350" s="132"/>
      <c r="H350" s="34"/>
      <c r="I350" s="34"/>
      <c r="J350" s="34"/>
      <c r="K350" s="34"/>
      <c r="L350" s="34"/>
      <c r="M350" s="34"/>
    </row>
    <row r="351" spans="1:13" s="11" customFormat="1" x14ac:dyDescent="0.3">
      <c r="A351" s="143"/>
      <c r="D351" s="132"/>
      <c r="E351" s="132"/>
      <c r="F351" s="132"/>
      <c r="H351" s="34"/>
      <c r="I351" s="34"/>
      <c r="J351" s="34"/>
      <c r="K351" s="34"/>
      <c r="L351" s="34"/>
      <c r="M351" s="34"/>
    </row>
    <row r="352" spans="1:13" s="11" customFormat="1" x14ac:dyDescent="0.3">
      <c r="A352" s="143"/>
      <c r="D352" s="132"/>
      <c r="E352" s="132"/>
      <c r="F352" s="132"/>
      <c r="H352" s="34"/>
      <c r="I352" s="34"/>
      <c r="J352" s="34"/>
      <c r="K352" s="34"/>
      <c r="L352" s="34"/>
      <c r="M352" s="34"/>
    </row>
    <row r="353" spans="1:13" s="11" customFormat="1" x14ac:dyDescent="0.3">
      <c r="A353" s="143"/>
      <c r="D353" s="132"/>
      <c r="E353" s="132"/>
      <c r="F353" s="132"/>
      <c r="H353" s="34"/>
      <c r="I353" s="34"/>
      <c r="J353" s="34"/>
      <c r="K353" s="34"/>
      <c r="L353" s="34"/>
      <c r="M353" s="34"/>
    </row>
    <row r="354" spans="1:13" s="11" customFormat="1" x14ac:dyDescent="0.3">
      <c r="A354" s="143"/>
      <c r="D354" s="132"/>
      <c r="E354" s="132"/>
      <c r="F354" s="132"/>
      <c r="H354" s="34"/>
      <c r="I354" s="34"/>
      <c r="J354" s="34"/>
      <c r="K354" s="34"/>
      <c r="L354" s="34"/>
      <c r="M354" s="34"/>
    </row>
    <row r="355" spans="1:13" s="11" customFormat="1" x14ac:dyDescent="0.3">
      <c r="A355" s="143"/>
      <c r="D355" s="132"/>
      <c r="E355" s="132"/>
      <c r="F355" s="132"/>
      <c r="H355" s="34"/>
      <c r="I355" s="34"/>
      <c r="J355" s="34"/>
      <c r="K355" s="34"/>
      <c r="L355" s="34"/>
      <c r="M355" s="34"/>
    </row>
    <row r="356" spans="1:13" s="11" customFormat="1" x14ac:dyDescent="0.3">
      <c r="A356" s="143"/>
      <c r="D356" s="132"/>
      <c r="E356" s="132"/>
      <c r="F356" s="132"/>
      <c r="H356" s="34"/>
      <c r="I356" s="34"/>
      <c r="J356" s="34"/>
      <c r="K356" s="34"/>
      <c r="L356" s="34"/>
      <c r="M356" s="34"/>
    </row>
    <row r="357" spans="1:13" s="11" customFormat="1" x14ac:dyDescent="0.3">
      <c r="A357" s="143"/>
      <c r="D357" s="132"/>
      <c r="E357" s="132"/>
      <c r="F357" s="132"/>
      <c r="H357" s="34"/>
      <c r="I357" s="34"/>
      <c r="J357" s="34"/>
      <c r="K357" s="34"/>
      <c r="L357" s="34"/>
      <c r="M357" s="34"/>
    </row>
    <row r="358" spans="1:13" s="11" customFormat="1" x14ac:dyDescent="0.3">
      <c r="A358" s="143"/>
      <c r="D358" s="132"/>
      <c r="E358" s="132"/>
      <c r="F358" s="132"/>
      <c r="H358" s="34"/>
      <c r="I358" s="34"/>
      <c r="J358" s="34"/>
      <c r="K358" s="34"/>
      <c r="L358" s="34"/>
      <c r="M358" s="34"/>
    </row>
    <row r="359" spans="1:13" s="11" customFormat="1" x14ac:dyDescent="0.3">
      <c r="A359" s="143"/>
      <c r="D359" s="132"/>
      <c r="E359" s="132"/>
      <c r="F359" s="132"/>
      <c r="H359" s="34"/>
      <c r="I359" s="34"/>
      <c r="J359" s="34"/>
      <c r="K359" s="34"/>
      <c r="L359" s="34"/>
      <c r="M359" s="34"/>
    </row>
    <row r="360" spans="1:13" s="11" customFormat="1" x14ac:dyDescent="0.3">
      <c r="A360" s="143"/>
      <c r="D360" s="132"/>
      <c r="E360" s="132"/>
      <c r="F360" s="132"/>
      <c r="H360" s="34"/>
      <c r="I360" s="34"/>
      <c r="J360" s="34"/>
      <c r="K360" s="34"/>
      <c r="L360" s="34"/>
      <c r="M360" s="34"/>
    </row>
    <row r="361" spans="1:13" s="11" customFormat="1" x14ac:dyDescent="0.3">
      <c r="A361" s="143"/>
      <c r="D361" s="132"/>
      <c r="E361" s="132"/>
      <c r="F361" s="132"/>
      <c r="H361" s="34"/>
      <c r="I361" s="34"/>
      <c r="J361" s="34"/>
      <c r="K361" s="34"/>
      <c r="L361" s="34"/>
      <c r="M361" s="34"/>
    </row>
    <row r="362" spans="1:13" s="11" customFormat="1" x14ac:dyDescent="0.3">
      <c r="A362" s="143"/>
      <c r="D362" s="132"/>
      <c r="E362" s="132"/>
      <c r="F362" s="132"/>
      <c r="H362" s="34"/>
      <c r="I362" s="34"/>
      <c r="J362" s="34"/>
      <c r="K362" s="34"/>
      <c r="L362" s="34"/>
      <c r="M362" s="34"/>
    </row>
    <row r="363" spans="1:13" s="11" customFormat="1" x14ac:dyDescent="0.3">
      <c r="A363" s="143"/>
      <c r="D363" s="132"/>
      <c r="E363" s="132"/>
      <c r="F363" s="132"/>
      <c r="H363" s="34"/>
      <c r="I363" s="34"/>
      <c r="J363" s="34"/>
      <c r="K363" s="34"/>
      <c r="L363" s="34"/>
      <c r="M363" s="34"/>
    </row>
    <row r="364" spans="1:13" s="11" customFormat="1" x14ac:dyDescent="0.3">
      <c r="A364" s="143"/>
      <c r="D364" s="132"/>
      <c r="E364" s="132"/>
      <c r="F364" s="132"/>
      <c r="H364" s="34"/>
      <c r="I364" s="34"/>
      <c r="J364" s="34"/>
      <c r="K364" s="34"/>
      <c r="L364" s="34"/>
      <c r="M364" s="34"/>
    </row>
    <row r="365" spans="1:13" s="11" customFormat="1" x14ac:dyDescent="0.3">
      <c r="A365" s="143"/>
      <c r="D365" s="132"/>
      <c r="E365" s="132"/>
      <c r="F365" s="132"/>
      <c r="H365" s="34"/>
      <c r="I365" s="34"/>
      <c r="J365" s="34"/>
      <c r="K365" s="34"/>
      <c r="L365" s="34"/>
      <c r="M365" s="34"/>
    </row>
    <row r="366" spans="1:13" s="11" customFormat="1" x14ac:dyDescent="0.3">
      <c r="A366" s="143"/>
      <c r="D366" s="132"/>
      <c r="E366" s="132"/>
      <c r="F366" s="132"/>
      <c r="H366" s="34"/>
      <c r="I366" s="34"/>
      <c r="J366" s="34"/>
      <c r="K366" s="34"/>
      <c r="L366" s="34"/>
      <c r="M366" s="34"/>
    </row>
    <row r="367" spans="1:13" s="11" customFormat="1" x14ac:dyDescent="0.3">
      <c r="A367" s="143"/>
      <c r="D367" s="132"/>
      <c r="E367" s="132"/>
      <c r="F367" s="132"/>
      <c r="H367" s="34"/>
      <c r="I367" s="34"/>
      <c r="J367" s="34"/>
      <c r="K367" s="34"/>
      <c r="L367" s="34"/>
      <c r="M367" s="34"/>
    </row>
    <row r="368" spans="1:13" s="11" customFormat="1" x14ac:dyDescent="0.3">
      <c r="A368" s="143"/>
      <c r="D368" s="132"/>
      <c r="E368" s="132"/>
      <c r="F368" s="132"/>
      <c r="H368" s="34"/>
      <c r="I368" s="34"/>
      <c r="J368" s="34"/>
      <c r="K368" s="34"/>
      <c r="L368" s="34"/>
      <c r="M368" s="34"/>
    </row>
    <row r="369" spans="1:13" s="11" customFormat="1" x14ac:dyDescent="0.3">
      <c r="A369" s="143"/>
      <c r="D369" s="132"/>
      <c r="E369" s="132"/>
      <c r="F369" s="132"/>
      <c r="H369" s="34"/>
      <c r="I369" s="34"/>
      <c r="J369" s="34"/>
      <c r="K369" s="34"/>
      <c r="L369" s="34"/>
      <c r="M369" s="34"/>
    </row>
    <row r="370" spans="1:13" s="11" customFormat="1" x14ac:dyDescent="0.3">
      <c r="A370" s="143"/>
      <c r="D370" s="132"/>
      <c r="E370" s="132"/>
      <c r="F370" s="132"/>
      <c r="H370" s="34"/>
      <c r="I370" s="34"/>
      <c r="J370" s="34"/>
      <c r="K370" s="34"/>
      <c r="L370" s="34"/>
      <c r="M370" s="34"/>
    </row>
    <row r="371" spans="1:13" s="11" customFormat="1" x14ac:dyDescent="0.3">
      <c r="A371" s="143"/>
      <c r="D371" s="132"/>
      <c r="E371" s="132"/>
      <c r="F371" s="132"/>
      <c r="H371" s="34"/>
      <c r="I371" s="34"/>
      <c r="J371" s="34"/>
      <c r="K371" s="34"/>
      <c r="L371" s="34"/>
      <c r="M371" s="34"/>
    </row>
    <row r="372" spans="1:13" s="11" customFormat="1" x14ac:dyDescent="0.3">
      <c r="A372" s="143"/>
      <c r="D372" s="132"/>
      <c r="E372" s="132"/>
      <c r="F372" s="132"/>
      <c r="H372" s="34"/>
      <c r="I372" s="34"/>
      <c r="J372" s="34"/>
      <c r="K372" s="34"/>
      <c r="L372" s="34"/>
      <c r="M372" s="34"/>
    </row>
    <row r="373" spans="1:13" s="11" customFormat="1" x14ac:dyDescent="0.3">
      <c r="A373" s="143"/>
      <c r="D373" s="132"/>
      <c r="E373" s="132"/>
      <c r="F373" s="132"/>
      <c r="H373" s="34"/>
      <c r="I373" s="34"/>
      <c r="J373" s="34"/>
      <c r="K373" s="34"/>
      <c r="L373" s="34"/>
      <c r="M373" s="34"/>
    </row>
    <row r="374" spans="1:13" s="11" customFormat="1" x14ac:dyDescent="0.3">
      <c r="A374" s="143"/>
      <c r="D374" s="132"/>
      <c r="E374" s="132"/>
      <c r="F374" s="132"/>
      <c r="H374" s="34"/>
      <c r="I374" s="34"/>
      <c r="J374" s="34"/>
      <c r="K374" s="34"/>
      <c r="L374" s="34"/>
      <c r="M374" s="34"/>
    </row>
    <row r="375" spans="1:13" s="11" customFormat="1" x14ac:dyDescent="0.3">
      <c r="A375" s="143"/>
      <c r="D375" s="132"/>
      <c r="E375" s="132"/>
      <c r="F375" s="132"/>
      <c r="H375" s="34"/>
      <c r="I375" s="34"/>
      <c r="J375" s="34"/>
      <c r="K375" s="34"/>
      <c r="L375" s="34"/>
      <c r="M375" s="34"/>
    </row>
    <row r="376" spans="1:13" s="11" customFormat="1" x14ac:dyDescent="0.3">
      <c r="A376" s="143"/>
      <c r="D376" s="132"/>
      <c r="E376" s="132"/>
      <c r="F376" s="132"/>
      <c r="H376" s="34"/>
      <c r="I376" s="34"/>
      <c r="J376" s="34"/>
      <c r="K376" s="34"/>
      <c r="L376" s="34"/>
      <c r="M376" s="34"/>
    </row>
    <row r="377" spans="1:13" s="11" customFormat="1" x14ac:dyDescent="0.3">
      <c r="A377" s="143"/>
      <c r="D377" s="132"/>
      <c r="E377" s="132"/>
      <c r="F377" s="132"/>
      <c r="H377" s="34"/>
      <c r="I377" s="34"/>
      <c r="J377" s="34"/>
      <c r="K377" s="34"/>
      <c r="L377" s="34"/>
      <c r="M377" s="34"/>
    </row>
    <row r="378" spans="1:13" s="11" customFormat="1" x14ac:dyDescent="0.3">
      <c r="A378" s="143"/>
      <c r="D378" s="132"/>
      <c r="E378" s="132"/>
      <c r="F378" s="132"/>
      <c r="H378" s="34"/>
      <c r="I378" s="34"/>
      <c r="J378" s="34"/>
      <c r="K378" s="34"/>
      <c r="L378" s="34"/>
      <c r="M378" s="34"/>
    </row>
    <row r="379" spans="1:13" s="11" customFormat="1" x14ac:dyDescent="0.3">
      <c r="A379" s="143"/>
      <c r="D379" s="132"/>
      <c r="E379" s="132"/>
      <c r="F379" s="132"/>
      <c r="H379" s="34"/>
      <c r="I379" s="34"/>
      <c r="J379" s="34"/>
      <c r="K379" s="34"/>
      <c r="L379" s="34"/>
      <c r="M379" s="34"/>
    </row>
    <row r="380" spans="1:13" s="11" customFormat="1" x14ac:dyDescent="0.3">
      <c r="A380" s="143"/>
      <c r="D380" s="132"/>
      <c r="E380" s="132"/>
      <c r="F380" s="132"/>
      <c r="H380" s="34"/>
      <c r="I380" s="34"/>
      <c r="J380" s="34"/>
      <c r="K380" s="34"/>
      <c r="L380" s="34"/>
      <c r="M380" s="34"/>
    </row>
    <row r="381" spans="1:13" s="11" customFormat="1" x14ac:dyDescent="0.3">
      <c r="A381" s="143"/>
      <c r="D381" s="132"/>
      <c r="E381" s="132"/>
      <c r="F381" s="132"/>
      <c r="H381" s="34"/>
      <c r="I381" s="34"/>
      <c r="J381" s="34"/>
      <c r="K381" s="34"/>
      <c r="L381" s="34"/>
      <c r="M381" s="34"/>
    </row>
    <row r="382" spans="1:13" s="11" customFormat="1" x14ac:dyDescent="0.3">
      <c r="A382" s="143"/>
      <c r="D382" s="132"/>
      <c r="E382" s="132"/>
      <c r="F382" s="132"/>
      <c r="H382" s="34"/>
      <c r="I382" s="34"/>
      <c r="J382" s="34"/>
      <c r="K382" s="34"/>
      <c r="L382" s="34"/>
      <c r="M382" s="34"/>
    </row>
    <row r="383" spans="1:13" s="11" customFormat="1" x14ac:dyDescent="0.3">
      <c r="A383" s="143"/>
      <c r="D383" s="132"/>
      <c r="E383" s="132"/>
      <c r="F383" s="132"/>
      <c r="H383" s="34"/>
      <c r="I383" s="34"/>
      <c r="J383" s="34"/>
      <c r="K383" s="34"/>
      <c r="L383" s="34"/>
      <c r="M383" s="34"/>
    </row>
    <row r="384" spans="1:13" s="11" customFormat="1" x14ac:dyDescent="0.3">
      <c r="A384" s="143"/>
      <c r="D384" s="132"/>
      <c r="E384" s="132"/>
      <c r="F384" s="132"/>
      <c r="H384" s="34"/>
      <c r="I384" s="34"/>
      <c r="J384" s="34"/>
      <c r="K384" s="34"/>
      <c r="L384" s="34"/>
      <c r="M384" s="34"/>
    </row>
    <row r="385" spans="1:13" s="11" customFormat="1" x14ac:dyDescent="0.3">
      <c r="A385" s="143"/>
      <c r="D385" s="132"/>
      <c r="E385" s="132"/>
      <c r="F385" s="132"/>
      <c r="H385" s="34"/>
      <c r="I385" s="34"/>
      <c r="J385" s="34"/>
      <c r="K385" s="34"/>
      <c r="L385" s="34"/>
      <c r="M385" s="34"/>
    </row>
    <row r="386" spans="1:13" s="11" customFormat="1" x14ac:dyDescent="0.3">
      <c r="A386" s="143"/>
      <c r="D386" s="132"/>
      <c r="E386" s="132"/>
      <c r="F386" s="132"/>
      <c r="H386" s="34"/>
      <c r="I386" s="34"/>
      <c r="J386" s="34"/>
      <c r="K386" s="34"/>
      <c r="L386" s="34"/>
      <c r="M386" s="34"/>
    </row>
    <row r="387" spans="1:13" s="11" customFormat="1" x14ac:dyDescent="0.3">
      <c r="A387" s="143"/>
      <c r="D387" s="132"/>
      <c r="E387" s="132"/>
      <c r="F387" s="132"/>
      <c r="H387" s="34"/>
      <c r="I387" s="34"/>
      <c r="J387" s="34"/>
      <c r="K387" s="34"/>
      <c r="L387" s="34"/>
      <c r="M387" s="34"/>
    </row>
    <row r="388" spans="1:13" s="11" customFormat="1" x14ac:dyDescent="0.3">
      <c r="A388" s="143"/>
      <c r="D388" s="132"/>
      <c r="E388" s="132"/>
      <c r="F388" s="132"/>
      <c r="H388" s="34"/>
      <c r="I388" s="34"/>
      <c r="J388" s="34"/>
      <c r="K388" s="34"/>
      <c r="L388" s="34"/>
      <c r="M388" s="34"/>
    </row>
    <row r="389" spans="1:13" s="11" customFormat="1" x14ac:dyDescent="0.3">
      <c r="A389" s="143"/>
      <c r="D389" s="132"/>
      <c r="E389" s="132"/>
      <c r="F389" s="132"/>
      <c r="H389" s="34"/>
      <c r="I389" s="34"/>
      <c r="J389" s="34"/>
      <c r="K389" s="34"/>
      <c r="L389" s="34"/>
      <c r="M389" s="34"/>
    </row>
    <row r="390" spans="1:13" s="11" customFormat="1" x14ac:dyDescent="0.3">
      <c r="A390" s="143"/>
      <c r="D390" s="132"/>
      <c r="E390" s="132"/>
      <c r="F390" s="132"/>
      <c r="H390" s="34"/>
      <c r="I390" s="34"/>
      <c r="J390" s="34"/>
      <c r="K390" s="34"/>
      <c r="L390" s="34"/>
      <c r="M390" s="34"/>
    </row>
    <row r="391" spans="1:13" s="11" customFormat="1" x14ac:dyDescent="0.3">
      <c r="A391" s="143"/>
      <c r="D391" s="132"/>
      <c r="E391" s="132"/>
      <c r="F391" s="132"/>
      <c r="H391" s="34"/>
      <c r="I391" s="34"/>
      <c r="J391" s="34"/>
      <c r="K391" s="34"/>
      <c r="L391" s="34"/>
      <c r="M391" s="34"/>
    </row>
    <row r="392" spans="1:13" s="11" customFormat="1" x14ac:dyDescent="0.3">
      <c r="A392" s="143"/>
      <c r="D392" s="132"/>
      <c r="E392" s="132"/>
      <c r="F392" s="132"/>
      <c r="H392" s="34"/>
      <c r="I392" s="34"/>
      <c r="J392" s="34"/>
      <c r="K392" s="34"/>
      <c r="L392" s="34"/>
      <c r="M392" s="34"/>
    </row>
    <row r="393" spans="1:13" s="11" customFormat="1" x14ac:dyDescent="0.3">
      <c r="A393" s="143"/>
      <c r="D393" s="132"/>
      <c r="E393" s="132"/>
      <c r="F393" s="132"/>
      <c r="H393" s="34"/>
      <c r="I393" s="34"/>
      <c r="J393" s="34"/>
      <c r="K393" s="34"/>
      <c r="L393" s="34"/>
      <c r="M393" s="34"/>
    </row>
    <row r="394" spans="1:13" s="11" customFormat="1" x14ac:dyDescent="0.3">
      <c r="A394" s="143"/>
      <c r="D394" s="132"/>
      <c r="E394" s="132"/>
      <c r="F394" s="132"/>
      <c r="H394" s="34"/>
      <c r="I394" s="34"/>
      <c r="J394" s="34"/>
      <c r="K394" s="34"/>
      <c r="L394" s="34"/>
      <c r="M394" s="34"/>
    </row>
    <row r="395" spans="1:13" s="11" customFormat="1" x14ac:dyDescent="0.3">
      <c r="A395" s="143"/>
      <c r="D395" s="132"/>
      <c r="E395" s="132"/>
      <c r="F395" s="132"/>
      <c r="H395" s="34"/>
      <c r="I395" s="34"/>
      <c r="J395" s="34"/>
      <c r="K395" s="34"/>
      <c r="L395" s="34"/>
      <c r="M395" s="34"/>
    </row>
    <row r="396" spans="1:13" s="11" customFormat="1" x14ac:dyDescent="0.3">
      <c r="A396" s="143"/>
      <c r="D396" s="132"/>
      <c r="E396" s="132"/>
      <c r="F396" s="132"/>
      <c r="H396" s="34"/>
      <c r="I396" s="34"/>
      <c r="J396" s="34"/>
      <c r="K396" s="34"/>
      <c r="L396" s="34"/>
      <c r="M396" s="34"/>
    </row>
    <row r="397" spans="1:13" s="11" customFormat="1" x14ac:dyDescent="0.3">
      <c r="A397" s="143"/>
      <c r="D397" s="132"/>
      <c r="E397" s="132"/>
      <c r="F397" s="132"/>
      <c r="H397" s="34"/>
      <c r="I397" s="34"/>
      <c r="J397" s="34"/>
      <c r="K397" s="34"/>
      <c r="L397" s="34"/>
      <c r="M397" s="34"/>
    </row>
    <row r="398" spans="1:13" s="11" customFormat="1" x14ac:dyDescent="0.3">
      <c r="A398" s="143"/>
      <c r="D398" s="132"/>
      <c r="E398" s="132"/>
      <c r="F398" s="132"/>
      <c r="H398" s="34"/>
      <c r="I398" s="34"/>
      <c r="J398" s="34"/>
      <c r="K398" s="34"/>
      <c r="L398" s="34"/>
      <c r="M398" s="34"/>
    </row>
    <row r="399" spans="1:13" s="11" customFormat="1" x14ac:dyDescent="0.3">
      <c r="A399" s="143"/>
      <c r="D399" s="132"/>
      <c r="E399" s="132"/>
      <c r="F399" s="132"/>
      <c r="H399" s="34"/>
      <c r="I399" s="34"/>
      <c r="J399" s="34"/>
      <c r="K399" s="34"/>
      <c r="L399" s="34"/>
      <c r="M399" s="34"/>
    </row>
    <row r="400" spans="1:13" s="11" customFormat="1" x14ac:dyDescent="0.3">
      <c r="A400" s="143"/>
      <c r="D400" s="132"/>
      <c r="E400" s="132"/>
      <c r="F400" s="132"/>
      <c r="H400" s="34"/>
      <c r="I400" s="34"/>
      <c r="J400" s="34"/>
      <c r="K400" s="34"/>
      <c r="L400" s="34"/>
      <c r="M400" s="34"/>
    </row>
    <row r="401" spans="1:13" s="11" customFormat="1" x14ac:dyDescent="0.3">
      <c r="A401" s="143"/>
      <c r="D401" s="132"/>
      <c r="E401" s="132"/>
      <c r="F401" s="132"/>
      <c r="H401" s="34"/>
      <c r="I401" s="34"/>
      <c r="J401" s="34"/>
      <c r="K401" s="34"/>
      <c r="L401" s="34"/>
      <c r="M401" s="34"/>
    </row>
    <row r="402" spans="1:13" s="11" customFormat="1" x14ac:dyDescent="0.3">
      <c r="A402" s="143"/>
      <c r="D402" s="132"/>
      <c r="E402" s="132"/>
      <c r="F402" s="132"/>
      <c r="H402" s="34"/>
      <c r="I402" s="34"/>
      <c r="J402" s="34"/>
      <c r="K402" s="34"/>
      <c r="L402" s="34"/>
      <c r="M402" s="34"/>
    </row>
    <row r="403" spans="1:13" s="11" customFormat="1" x14ac:dyDescent="0.3">
      <c r="A403" s="143"/>
      <c r="D403" s="132"/>
      <c r="E403" s="132"/>
      <c r="F403" s="132"/>
      <c r="H403" s="34"/>
      <c r="I403" s="34"/>
      <c r="J403" s="34"/>
      <c r="K403" s="34"/>
      <c r="L403" s="34"/>
      <c r="M403" s="34"/>
    </row>
    <row r="404" spans="1:13" s="11" customFormat="1" x14ac:dyDescent="0.3">
      <c r="A404" s="143"/>
      <c r="D404" s="132"/>
      <c r="E404" s="132"/>
      <c r="F404" s="132"/>
      <c r="H404" s="34"/>
      <c r="I404" s="34"/>
      <c r="J404" s="34"/>
      <c r="K404" s="34"/>
      <c r="L404" s="34"/>
      <c r="M404" s="34"/>
    </row>
    <row r="405" spans="1:13" s="11" customFormat="1" x14ac:dyDescent="0.3">
      <c r="A405" s="143"/>
      <c r="D405" s="132"/>
      <c r="E405" s="132"/>
      <c r="F405" s="132"/>
      <c r="H405" s="34"/>
      <c r="I405" s="34"/>
      <c r="J405" s="34"/>
      <c r="K405" s="34"/>
      <c r="L405" s="34"/>
      <c r="M405" s="34"/>
    </row>
    <row r="406" spans="1:13" s="11" customFormat="1" x14ac:dyDescent="0.3">
      <c r="A406" s="143"/>
      <c r="D406" s="132"/>
      <c r="E406" s="132"/>
      <c r="F406" s="132"/>
      <c r="H406" s="34"/>
      <c r="I406" s="34"/>
      <c r="J406" s="34"/>
      <c r="K406" s="34"/>
      <c r="L406" s="34"/>
      <c r="M406" s="34"/>
    </row>
    <row r="407" spans="1:13" s="11" customFormat="1" x14ac:dyDescent="0.3">
      <c r="A407" s="143"/>
      <c r="D407" s="132"/>
      <c r="E407" s="132"/>
      <c r="F407" s="132"/>
      <c r="H407" s="34"/>
      <c r="I407" s="34"/>
      <c r="J407" s="34"/>
      <c r="K407" s="34"/>
      <c r="L407" s="34"/>
      <c r="M407" s="34"/>
    </row>
    <row r="408" spans="1:13" s="11" customFormat="1" x14ac:dyDescent="0.3">
      <c r="A408" s="143"/>
      <c r="D408" s="132"/>
      <c r="E408" s="132"/>
      <c r="F408" s="132"/>
      <c r="H408" s="34"/>
      <c r="I408" s="34"/>
      <c r="J408" s="34"/>
      <c r="K408" s="34"/>
      <c r="L408" s="34"/>
      <c r="M408" s="34"/>
    </row>
    <row r="409" spans="1:13" s="11" customFormat="1" x14ac:dyDescent="0.3">
      <c r="A409" s="143"/>
      <c r="D409" s="132"/>
      <c r="E409" s="132"/>
      <c r="F409" s="132"/>
      <c r="H409" s="34"/>
      <c r="I409" s="34"/>
      <c r="J409" s="34"/>
      <c r="K409" s="34"/>
      <c r="L409" s="34"/>
      <c r="M409" s="34"/>
    </row>
    <row r="410" spans="1:13" s="11" customFormat="1" x14ac:dyDescent="0.3">
      <c r="A410" s="143"/>
      <c r="D410" s="132"/>
      <c r="E410" s="132"/>
      <c r="F410" s="132"/>
      <c r="H410" s="34"/>
      <c r="I410" s="34"/>
      <c r="J410" s="34"/>
      <c r="K410" s="34"/>
      <c r="L410" s="34"/>
      <c r="M410" s="34"/>
    </row>
    <row r="411" spans="1:13" s="11" customFormat="1" x14ac:dyDescent="0.3">
      <c r="A411" s="143"/>
      <c r="D411" s="132"/>
      <c r="E411" s="132"/>
      <c r="F411" s="132"/>
      <c r="H411" s="34"/>
      <c r="I411" s="34"/>
      <c r="J411" s="34"/>
      <c r="K411" s="34"/>
      <c r="L411" s="34"/>
      <c r="M411" s="34"/>
    </row>
    <row r="412" spans="1:13" s="11" customFormat="1" x14ac:dyDescent="0.3">
      <c r="A412" s="143"/>
      <c r="D412" s="132"/>
      <c r="E412" s="132"/>
      <c r="F412" s="132"/>
      <c r="H412" s="34"/>
      <c r="I412" s="34"/>
      <c r="J412" s="34"/>
      <c r="K412" s="34"/>
      <c r="L412" s="34"/>
      <c r="M412" s="34"/>
    </row>
    <row r="413" spans="1:13" s="11" customFormat="1" x14ac:dyDescent="0.3">
      <c r="A413" s="143"/>
      <c r="D413" s="132"/>
      <c r="E413" s="132"/>
      <c r="F413" s="132"/>
      <c r="H413" s="34"/>
      <c r="I413" s="34"/>
      <c r="J413" s="34"/>
      <c r="K413" s="34"/>
      <c r="L413" s="34"/>
      <c r="M413" s="34"/>
    </row>
    <row r="414" spans="1:13" s="11" customFormat="1" x14ac:dyDescent="0.3">
      <c r="A414" s="143"/>
      <c r="D414" s="132"/>
      <c r="E414" s="132"/>
      <c r="F414" s="132"/>
      <c r="H414" s="34"/>
      <c r="I414" s="34"/>
      <c r="J414" s="34"/>
      <c r="K414" s="34"/>
      <c r="L414" s="34"/>
      <c r="M414" s="34"/>
    </row>
    <row r="415" spans="1:13" s="11" customFormat="1" x14ac:dyDescent="0.3">
      <c r="A415" s="143"/>
      <c r="D415" s="132"/>
      <c r="E415" s="132"/>
      <c r="F415" s="132"/>
      <c r="H415" s="34"/>
      <c r="I415" s="34"/>
      <c r="J415" s="34"/>
      <c r="K415" s="34"/>
      <c r="L415" s="34"/>
      <c r="M415" s="34"/>
    </row>
    <row r="416" spans="1:13" s="11" customFormat="1" x14ac:dyDescent="0.3">
      <c r="A416" s="143"/>
      <c r="D416" s="132"/>
      <c r="E416" s="132"/>
      <c r="F416" s="132"/>
      <c r="H416" s="34"/>
      <c r="I416" s="34"/>
      <c r="J416" s="34"/>
      <c r="K416" s="34"/>
      <c r="L416" s="34"/>
      <c r="M416" s="34"/>
    </row>
    <row r="417" spans="1:13" s="11" customFormat="1" x14ac:dyDescent="0.3">
      <c r="A417" s="143"/>
      <c r="D417" s="132"/>
      <c r="E417" s="132"/>
      <c r="F417" s="132"/>
      <c r="H417" s="34"/>
      <c r="I417" s="34"/>
      <c r="J417" s="34"/>
      <c r="K417" s="34"/>
      <c r="L417" s="34"/>
      <c r="M417" s="34"/>
    </row>
    <row r="418" spans="1:13" s="11" customFormat="1" x14ac:dyDescent="0.3">
      <c r="A418" s="143"/>
      <c r="D418" s="132"/>
      <c r="E418" s="132"/>
      <c r="F418" s="132"/>
      <c r="H418" s="34"/>
      <c r="I418" s="34"/>
      <c r="J418" s="34"/>
      <c r="K418" s="34"/>
      <c r="L418" s="34"/>
      <c r="M418" s="34"/>
    </row>
    <row r="419" spans="1:13" s="11" customFormat="1" x14ac:dyDescent="0.3">
      <c r="A419" s="143"/>
      <c r="D419" s="132"/>
      <c r="E419" s="132"/>
      <c r="F419" s="132"/>
      <c r="H419" s="34"/>
      <c r="I419" s="34"/>
      <c r="J419" s="34"/>
      <c r="K419" s="34"/>
      <c r="L419" s="34"/>
      <c r="M419" s="34"/>
    </row>
    <row r="420" spans="1:13" s="11" customFormat="1" x14ac:dyDescent="0.3">
      <c r="A420" s="143"/>
      <c r="D420" s="132"/>
      <c r="E420" s="132"/>
      <c r="F420" s="132"/>
      <c r="H420" s="34"/>
      <c r="I420" s="34"/>
      <c r="J420" s="34"/>
      <c r="K420" s="34"/>
      <c r="L420" s="34"/>
      <c r="M420" s="34"/>
    </row>
    <row r="421" spans="1:13" s="11" customFormat="1" x14ac:dyDescent="0.3">
      <c r="A421" s="143"/>
      <c r="D421" s="132"/>
      <c r="E421" s="132"/>
      <c r="F421" s="132"/>
      <c r="H421" s="34"/>
      <c r="I421" s="34"/>
      <c r="J421" s="34"/>
      <c r="K421" s="34"/>
      <c r="L421" s="34"/>
      <c r="M421" s="34"/>
    </row>
    <row r="422" spans="1:13" s="11" customFormat="1" x14ac:dyDescent="0.3">
      <c r="A422" s="143"/>
      <c r="D422" s="132"/>
      <c r="E422" s="132"/>
      <c r="F422" s="132"/>
      <c r="H422" s="34"/>
      <c r="I422" s="34"/>
      <c r="J422" s="34"/>
      <c r="K422" s="34"/>
      <c r="L422" s="34"/>
      <c r="M422" s="34"/>
    </row>
    <row r="423" spans="1:13" s="11" customFormat="1" x14ac:dyDescent="0.3">
      <c r="A423" s="143"/>
      <c r="D423" s="132"/>
      <c r="E423" s="132"/>
      <c r="F423" s="132"/>
      <c r="H423" s="34"/>
      <c r="I423" s="34"/>
      <c r="J423" s="34"/>
      <c r="K423" s="34"/>
      <c r="L423" s="34"/>
      <c r="M423" s="34"/>
    </row>
    <row r="424" spans="1:13" s="11" customFormat="1" x14ac:dyDescent="0.3">
      <c r="A424" s="143"/>
      <c r="D424" s="132"/>
      <c r="E424" s="132"/>
      <c r="F424" s="132"/>
      <c r="H424" s="34"/>
      <c r="I424" s="34"/>
      <c r="J424" s="34"/>
      <c r="K424" s="34"/>
      <c r="L424" s="34"/>
      <c r="M424" s="34"/>
    </row>
    <row r="425" spans="1:13" s="11" customFormat="1" x14ac:dyDescent="0.3">
      <c r="A425" s="143"/>
      <c r="D425" s="132"/>
      <c r="E425" s="132"/>
      <c r="F425" s="132"/>
      <c r="H425" s="34"/>
      <c r="I425" s="34"/>
      <c r="J425" s="34"/>
      <c r="K425" s="34"/>
      <c r="L425" s="34"/>
      <c r="M425" s="34"/>
    </row>
    <row r="426" spans="1:13" s="11" customFormat="1" x14ac:dyDescent="0.3">
      <c r="A426" s="143"/>
      <c r="D426" s="132"/>
      <c r="E426" s="132"/>
      <c r="F426" s="132"/>
      <c r="H426" s="34"/>
      <c r="I426" s="34"/>
      <c r="J426" s="34"/>
      <c r="K426" s="34"/>
      <c r="L426" s="34"/>
      <c r="M426" s="34"/>
    </row>
    <row r="427" spans="1:13" s="11" customFormat="1" x14ac:dyDescent="0.3">
      <c r="A427" s="143"/>
      <c r="D427" s="132"/>
      <c r="E427" s="132"/>
      <c r="F427" s="132"/>
      <c r="H427" s="34"/>
      <c r="I427" s="34"/>
      <c r="J427" s="34"/>
      <c r="K427" s="34"/>
      <c r="L427" s="34"/>
      <c r="M427" s="34"/>
    </row>
    <row r="428" spans="1:13" s="11" customFormat="1" x14ac:dyDescent="0.3">
      <c r="A428" s="143"/>
      <c r="D428" s="132"/>
      <c r="E428" s="132"/>
      <c r="F428" s="132"/>
      <c r="H428" s="34"/>
      <c r="I428" s="34"/>
      <c r="J428" s="34"/>
      <c r="K428" s="34"/>
      <c r="L428" s="34"/>
      <c r="M428" s="34"/>
    </row>
    <row r="429" spans="1:13" s="11" customFormat="1" x14ac:dyDescent="0.3">
      <c r="A429" s="143"/>
      <c r="D429" s="132"/>
      <c r="E429" s="132"/>
      <c r="F429" s="132"/>
      <c r="H429" s="34"/>
      <c r="I429" s="34"/>
      <c r="J429" s="34"/>
      <c r="K429" s="34"/>
      <c r="L429" s="34"/>
      <c r="M429" s="34"/>
    </row>
    <row r="430" spans="1:13" s="11" customFormat="1" x14ac:dyDescent="0.3">
      <c r="A430" s="143"/>
      <c r="D430" s="132"/>
      <c r="E430" s="132"/>
      <c r="F430" s="132"/>
      <c r="H430" s="34"/>
      <c r="I430" s="34"/>
      <c r="J430" s="34"/>
      <c r="K430" s="34"/>
      <c r="L430" s="34"/>
      <c r="M430" s="34"/>
    </row>
    <row r="431" spans="1:13" s="11" customFormat="1" x14ac:dyDescent="0.3">
      <c r="A431" s="143"/>
      <c r="D431" s="132"/>
      <c r="E431" s="132"/>
      <c r="F431" s="132"/>
      <c r="H431" s="34"/>
      <c r="I431" s="34"/>
      <c r="J431" s="34"/>
      <c r="K431" s="34"/>
      <c r="L431" s="34"/>
      <c r="M431" s="34"/>
    </row>
    <row r="432" spans="1:13" s="11" customFormat="1" x14ac:dyDescent="0.3">
      <c r="A432" s="143"/>
      <c r="D432" s="132"/>
      <c r="E432" s="132"/>
      <c r="F432" s="132"/>
      <c r="H432" s="34"/>
      <c r="I432" s="34"/>
      <c r="J432" s="34"/>
      <c r="K432" s="34"/>
      <c r="L432" s="34"/>
      <c r="M432" s="34"/>
    </row>
    <row r="433" spans="1:13" s="11" customFormat="1" x14ac:dyDescent="0.3">
      <c r="A433" s="143"/>
      <c r="D433" s="132"/>
      <c r="E433" s="132"/>
      <c r="F433" s="132"/>
      <c r="H433" s="34"/>
      <c r="I433" s="34"/>
      <c r="J433" s="34"/>
      <c r="K433" s="34"/>
      <c r="L433" s="34"/>
      <c r="M433" s="34"/>
    </row>
    <row r="434" spans="1:13" s="11" customFormat="1" x14ac:dyDescent="0.3">
      <c r="A434" s="143"/>
      <c r="D434" s="132"/>
      <c r="E434" s="132"/>
      <c r="F434" s="132"/>
      <c r="H434" s="34"/>
      <c r="I434" s="34"/>
      <c r="J434" s="34"/>
      <c r="K434" s="34"/>
      <c r="L434" s="34"/>
      <c r="M434" s="34"/>
    </row>
    <row r="435" spans="1:13" s="11" customFormat="1" x14ac:dyDescent="0.3">
      <c r="A435" s="143"/>
      <c r="D435" s="132"/>
      <c r="E435" s="132"/>
      <c r="F435" s="132"/>
      <c r="H435" s="34"/>
      <c r="I435" s="34"/>
      <c r="J435" s="34"/>
      <c r="K435" s="34"/>
      <c r="L435" s="34"/>
      <c r="M435" s="34"/>
    </row>
    <row r="436" spans="1:13" s="11" customFormat="1" x14ac:dyDescent="0.3">
      <c r="A436" s="143"/>
      <c r="D436" s="132"/>
      <c r="E436" s="132"/>
      <c r="F436" s="132"/>
      <c r="H436" s="34"/>
      <c r="I436" s="34"/>
      <c r="J436" s="34"/>
      <c r="K436" s="34"/>
      <c r="L436" s="34"/>
      <c r="M436" s="34"/>
    </row>
    <row r="437" spans="1:13" s="11" customFormat="1" x14ac:dyDescent="0.3">
      <c r="A437" s="143"/>
      <c r="D437" s="132"/>
      <c r="E437" s="132"/>
      <c r="F437" s="132"/>
      <c r="H437" s="34"/>
      <c r="I437" s="34"/>
      <c r="J437" s="34"/>
      <c r="K437" s="34"/>
      <c r="L437" s="34"/>
      <c r="M437" s="34"/>
    </row>
    <row r="438" spans="1:13" s="11" customFormat="1" x14ac:dyDescent="0.3">
      <c r="A438" s="143"/>
      <c r="D438" s="132"/>
      <c r="E438" s="132"/>
      <c r="F438" s="132"/>
      <c r="H438" s="34"/>
      <c r="I438" s="34"/>
      <c r="J438" s="34"/>
      <c r="K438" s="34"/>
      <c r="L438" s="34"/>
      <c r="M438" s="34"/>
    </row>
    <row r="439" spans="1:13" s="11" customFormat="1" x14ac:dyDescent="0.3">
      <c r="A439" s="143"/>
      <c r="D439" s="132"/>
      <c r="E439" s="132"/>
      <c r="F439" s="132"/>
      <c r="H439" s="34"/>
      <c r="I439" s="34"/>
      <c r="J439" s="34"/>
      <c r="K439" s="34"/>
      <c r="L439" s="34"/>
      <c r="M439" s="34"/>
    </row>
    <row r="440" spans="1:13" s="11" customFormat="1" x14ac:dyDescent="0.3">
      <c r="A440" s="143"/>
      <c r="D440" s="132"/>
      <c r="E440" s="132"/>
      <c r="F440" s="132"/>
      <c r="H440" s="34"/>
      <c r="I440" s="34"/>
      <c r="J440" s="34"/>
      <c r="K440" s="34"/>
      <c r="L440" s="34"/>
      <c r="M440" s="34"/>
    </row>
    <row r="441" spans="1:13" s="11" customFormat="1" x14ac:dyDescent="0.3">
      <c r="A441" s="143"/>
      <c r="D441" s="132"/>
      <c r="E441" s="132"/>
      <c r="F441" s="132"/>
      <c r="H441" s="34"/>
      <c r="I441" s="34"/>
      <c r="J441" s="34"/>
      <c r="K441" s="34"/>
      <c r="L441" s="34"/>
      <c r="M441" s="34"/>
    </row>
    <row r="442" spans="1:13" s="11" customFormat="1" x14ac:dyDescent="0.3">
      <c r="A442" s="143"/>
      <c r="D442" s="132"/>
      <c r="E442" s="132"/>
      <c r="F442" s="132"/>
      <c r="H442" s="34"/>
      <c r="I442" s="34"/>
      <c r="J442" s="34"/>
      <c r="K442" s="34"/>
      <c r="L442" s="34"/>
      <c r="M442" s="34"/>
    </row>
    <row r="443" spans="1:13" s="11" customFormat="1" x14ac:dyDescent="0.3">
      <c r="A443" s="143"/>
      <c r="D443" s="132"/>
      <c r="E443" s="132"/>
      <c r="F443" s="132"/>
      <c r="H443" s="34"/>
      <c r="I443" s="34"/>
      <c r="J443" s="34"/>
      <c r="K443" s="34"/>
      <c r="L443" s="34"/>
      <c r="M443" s="34"/>
    </row>
    <row r="444" spans="1:13" s="11" customFormat="1" x14ac:dyDescent="0.3">
      <c r="A444" s="143"/>
      <c r="D444" s="132"/>
      <c r="E444" s="132"/>
      <c r="F444" s="132"/>
      <c r="H444" s="34"/>
      <c r="I444" s="34"/>
      <c r="J444" s="34"/>
      <c r="K444" s="34"/>
      <c r="L444" s="34"/>
      <c r="M444" s="34"/>
    </row>
    <row r="445" spans="1:13" s="11" customFormat="1" x14ac:dyDescent="0.3">
      <c r="A445" s="143"/>
      <c r="D445" s="132"/>
      <c r="E445" s="132"/>
      <c r="F445" s="132"/>
      <c r="H445" s="34"/>
      <c r="I445" s="34"/>
      <c r="J445" s="34"/>
      <c r="K445" s="34"/>
      <c r="L445" s="34"/>
      <c r="M445" s="34"/>
    </row>
    <row r="446" spans="1:13" s="11" customFormat="1" x14ac:dyDescent="0.3">
      <c r="A446" s="143"/>
      <c r="D446" s="132"/>
      <c r="E446" s="132"/>
      <c r="F446" s="132"/>
      <c r="H446" s="34"/>
      <c r="I446" s="34"/>
      <c r="J446" s="34"/>
      <c r="K446" s="34"/>
      <c r="L446" s="34"/>
      <c r="M446" s="34"/>
    </row>
    <row r="447" spans="1:13" s="11" customFormat="1" x14ac:dyDescent="0.3">
      <c r="A447" s="143"/>
      <c r="D447" s="132"/>
      <c r="E447" s="132"/>
      <c r="F447" s="132"/>
      <c r="H447" s="34"/>
      <c r="I447" s="34"/>
      <c r="J447" s="34"/>
      <c r="K447" s="34"/>
      <c r="L447" s="34"/>
      <c r="M447" s="34"/>
    </row>
    <row r="448" spans="1:13" s="11" customFormat="1" x14ac:dyDescent="0.3">
      <c r="A448" s="143"/>
      <c r="D448" s="132"/>
      <c r="E448" s="132"/>
      <c r="F448" s="132"/>
      <c r="H448" s="34"/>
      <c r="I448" s="34"/>
      <c r="J448" s="34"/>
      <c r="K448" s="34"/>
      <c r="L448" s="34"/>
      <c r="M448" s="34"/>
    </row>
    <row r="449" spans="1:13" s="11" customFormat="1" x14ac:dyDescent="0.3">
      <c r="A449" s="143"/>
      <c r="D449" s="132"/>
      <c r="E449" s="132"/>
      <c r="F449" s="132"/>
      <c r="H449" s="34"/>
      <c r="I449" s="34"/>
      <c r="J449" s="34"/>
      <c r="K449" s="34"/>
      <c r="L449" s="34"/>
      <c r="M449" s="34"/>
    </row>
    <row r="450" spans="1:13" s="11" customFormat="1" x14ac:dyDescent="0.3">
      <c r="A450" s="143"/>
      <c r="D450" s="132"/>
      <c r="E450" s="132"/>
      <c r="F450" s="132"/>
      <c r="H450" s="34"/>
      <c r="I450" s="34"/>
      <c r="J450" s="34"/>
      <c r="K450" s="34"/>
      <c r="L450" s="34"/>
      <c r="M450" s="34"/>
    </row>
    <row r="451" spans="1:13" s="11" customFormat="1" x14ac:dyDescent="0.3">
      <c r="A451" s="143"/>
      <c r="D451" s="132"/>
      <c r="E451" s="132"/>
      <c r="F451" s="132"/>
      <c r="H451" s="34"/>
      <c r="I451" s="34"/>
      <c r="J451" s="34"/>
      <c r="K451" s="34"/>
      <c r="L451" s="34"/>
      <c r="M451" s="34"/>
    </row>
    <row r="452" spans="1:13" s="11" customFormat="1" x14ac:dyDescent="0.3">
      <c r="A452" s="143"/>
      <c r="D452" s="132"/>
      <c r="E452" s="132"/>
      <c r="F452" s="132"/>
      <c r="H452" s="34"/>
      <c r="I452" s="34"/>
      <c r="J452" s="34"/>
      <c r="K452" s="34"/>
      <c r="L452" s="34"/>
      <c r="M452" s="34"/>
    </row>
    <row r="453" spans="1:13" s="11" customFormat="1" x14ac:dyDescent="0.3">
      <c r="A453" s="143"/>
      <c r="D453" s="132"/>
      <c r="E453" s="132"/>
      <c r="F453" s="132"/>
      <c r="H453" s="34"/>
      <c r="I453" s="34"/>
      <c r="J453" s="34"/>
      <c r="K453" s="34"/>
      <c r="L453" s="34"/>
      <c r="M453" s="34"/>
    </row>
    <row r="454" spans="1:13" s="11" customFormat="1" x14ac:dyDescent="0.3">
      <c r="A454" s="143"/>
      <c r="D454" s="132"/>
      <c r="E454" s="132"/>
      <c r="F454" s="132"/>
      <c r="H454" s="34"/>
      <c r="I454" s="34"/>
      <c r="J454" s="34"/>
      <c r="K454" s="34"/>
      <c r="L454" s="34"/>
      <c r="M454" s="34"/>
    </row>
    <row r="455" spans="1:13" s="11" customFormat="1" x14ac:dyDescent="0.3">
      <c r="A455" s="143"/>
      <c r="D455" s="132"/>
      <c r="E455" s="132"/>
      <c r="F455" s="132"/>
      <c r="H455" s="34"/>
      <c r="I455" s="34"/>
      <c r="J455" s="34"/>
      <c r="K455" s="34"/>
      <c r="L455" s="34"/>
      <c r="M455" s="34"/>
    </row>
    <row r="456" spans="1:13" s="11" customFormat="1" x14ac:dyDescent="0.3">
      <c r="A456" s="143"/>
      <c r="D456" s="132"/>
      <c r="E456" s="132"/>
      <c r="F456" s="132"/>
      <c r="H456" s="34"/>
      <c r="I456" s="34"/>
      <c r="J456" s="34"/>
      <c r="K456" s="34"/>
      <c r="L456" s="34"/>
      <c r="M456" s="34"/>
    </row>
    <row r="457" spans="1:13" s="11" customFormat="1" x14ac:dyDescent="0.3">
      <c r="A457" s="143"/>
      <c r="D457" s="132"/>
      <c r="E457" s="132"/>
      <c r="F457" s="132"/>
      <c r="H457" s="34"/>
      <c r="I457" s="34"/>
      <c r="J457" s="34"/>
      <c r="K457" s="34"/>
      <c r="L457" s="34"/>
      <c r="M457" s="34"/>
    </row>
    <row r="458" spans="1:13" s="11" customFormat="1" x14ac:dyDescent="0.3">
      <c r="A458" s="143"/>
      <c r="D458" s="132"/>
      <c r="E458" s="132"/>
      <c r="F458" s="132"/>
      <c r="H458" s="34"/>
      <c r="I458" s="34"/>
      <c r="J458" s="34"/>
      <c r="K458" s="34"/>
      <c r="L458" s="34"/>
      <c r="M458" s="34"/>
    </row>
    <row r="459" spans="1:13" s="11" customFormat="1" x14ac:dyDescent="0.3">
      <c r="A459" s="143"/>
      <c r="D459" s="132"/>
      <c r="E459" s="132"/>
      <c r="F459" s="132"/>
      <c r="H459" s="34"/>
      <c r="I459" s="34"/>
      <c r="J459" s="34"/>
      <c r="K459" s="34"/>
      <c r="L459" s="34"/>
      <c r="M459" s="34"/>
    </row>
    <row r="460" spans="1:13" s="11" customFormat="1" x14ac:dyDescent="0.3">
      <c r="A460" s="143"/>
      <c r="D460" s="132"/>
      <c r="E460" s="132"/>
      <c r="F460" s="132"/>
      <c r="H460" s="34"/>
      <c r="I460" s="34"/>
      <c r="J460" s="34"/>
      <c r="K460" s="34"/>
      <c r="L460" s="34"/>
      <c r="M460" s="34"/>
    </row>
    <row r="461" spans="1:13" s="11" customFormat="1" x14ac:dyDescent="0.3">
      <c r="A461" s="143"/>
      <c r="D461" s="132"/>
      <c r="E461" s="132"/>
      <c r="F461" s="132"/>
      <c r="H461" s="34"/>
      <c r="I461" s="34"/>
      <c r="J461" s="34"/>
      <c r="K461" s="34"/>
      <c r="L461" s="34"/>
      <c r="M461" s="34"/>
    </row>
    <row r="462" spans="1:13" s="11" customFormat="1" x14ac:dyDescent="0.3">
      <c r="A462" s="143"/>
      <c r="D462" s="132"/>
      <c r="E462" s="132"/>
      <c r="F462" s="132"/>
      <c r="H462" s="34"/>
      <c r="I462" s="34"/>
      <c r="J462" s="34"/>
      <c r="K462" s="34"/>
      <c r="L462" s="34"/>
      <c r="M462" s="34"/>
    </row>
    <row r="463" spans="1:13" s="11" customFormat="1" x14ac:dyDescent="0.3">
      <c r="A463" s="143"/>
      <c r="D463" s="132"/>
      <c r="E463" s="132"/>
      <c r="F463" s="132"/>
      <c r="H463" s="34"/>
      <c r="I463" s="34"/>
      <c r="J463" s="34"/>
      <c r="K463" s="34"/>
      <c r="L463" s="34"/>
      <c r="M463" s="34"/>
    </row>
    <row r="464" spans="1:13" s="11" customFormat="1" x14ac:dyDescent="0.3">
      <c r="A464" s="143"/>
      <c r="D464" s="132"/>
      <c r="E464" s="132"/>
      <c r="F464" s="132"/>
      <c r="H464" s="34"/>
      <c r="I464" s="34"/>
      <c r="J464" s="34"/>
      <c r="K464" s="34"/>
      <c r="L464" s="34"/>
      <c r="M464" s="34"/>
    </row>
    <row r="465" spans="1:13" s="11" customFormat="1" x14ac:dyDescent="0.3">
      <c r="A465" s="143"/>
      <c r="D465" s="132"/>
      <c r="E465" s="132"/>
      <c r="F465" s="132"/>
      <c r="H465" s="34"/>
      <c r="I465" s="34"/>
      <c r="J465" s="34"/>
      <c r="K465" s="34"/>
      <c r="L465" s="34"/>
      <c r="M465" s="34"/>
    </row>
    <row r="466" spans="1:13" s="11" customFormat="1" x14ac:dyDescent="0.3">
      <c r="A466" s="143"/>
      <c r="D466" s="132"/>
      <c r="E466" s="132"/>
      <c r="F466" s="132"/>
      <c r="H466" s="34"/>
      <c r="I466" s="34"/>
      <c r="J466" s="34"/>
      <c r="K466" s="34"/>
      <c r="L466" s="34"/>
      <c r="M466" s="34"/>
    </row>
    <row r="467" spans="1:13" s="11" customFormat="1" x14ac:dyDescent="0.3">
      <c r="A467" s="143"/>
      <c r="D467" s="132"/>
      <c r="E467" s="132"/>
      <c r="F467" s="132"/>
      <c r="H467" s="34"/>
      <c r="I467" s="34"/>
      <c r="J467" s="34"/>
      <c r="K467" s="34"/>
      <c r="L467" s="34"/>
      <c r="M467" s="34"/>
    </row>
    <row r="468" spans="1:13" s="11" customFormat="1" x14ac:dyDescent="0.3">
      <c r="A468" s="143"/>
      <c r="D468" s="132"/>
      <c r="E468" s="132"/>
      <c r="F468" s="132"/>
      <c r="H468" s="34"/>
      <c r="I468" s="34"/>
      <c r="J468" s="34"/>
      <c r="K468" s="34"/>
      <c r="L468" s="34"/>
      <c r="M468" s="34"/>
    </row>
    <row r="469" spans="1:13" s="11" customFormat="1" x14ac:dyDescent="0.3">
      <c r="A469" s="143"/>
      <c r="D469" s="132"/>
      <c r="E469" s="132"/>
      <c r="F469" s="132"/>
      <c r="H469" s="34"/>
      <c r="I469" s="34"/>
      <c r="J469" s="34"/>
      <c r="K469" s="34"/>
      <c r="L469" s="34"/>
      <c r="M469" s="34"/>
    </row>
    <row r="470" spans="1:13" s="11" customFormat="1" x14ac:dyDescent="0.3">
      <c r="A470" s="143"/>
      <c r="D470" s="132"/>
      <c r="E470" s="132"/>
      <c r="F470" s="132"/>
      <c r="H470" s="34"/>
      <c r="I470" s="34"/>
      <c r="J470" s="34"/>
      <c r="K470" s="34"/>
      <c r="L470" s="34"/>
      <c r="M470" s="34"/>
    </row>
    <row r="471" spans="1:13" s="11" customFormat="1" x14ac:dyDescent="0.3">
      <c r="A471" s="143"/>
      <c r="D471" s="132"/>
      <c r="E471" s="132"/>
      <c r="F471" s="132"/>
      <c r="H471" s="34"/>
      <c r="I471" s="34"/>
      <c r="J471" s="34"/>
      <c r="K471" s="34"/>
      <c r="L471" s="34"/>
      <c r="M471" s="34"/>
    </row>
    <row r="472" spans="1:13" s="11" customFormat="1" x14ac:dyDescent="0.3">
      <c r="A472" s="143"/>
      <c r="D472" s="132"/>
      <c r="E472" s="132"/>
      <c r="F472" s="132"/>
      <c r="H472" s="34"/>
      <c r="I472" s="34"/>
      <c r="J472" s="34"/>
      <c r="K472" s="34"/>
      <c r="L472" s="34"/>
      <c r="M472" s="34"/>
    </row>
    <row r="473" spans="1:13" s="11" customFormat="1" x14ac:dyDescent="0.3">
      <c r="A473" s="143"/>
      <c r="D473" s="132"/>
      <c r="E473" s="132"/>
      <c r="F473" s="132"/>
      <c r="H473" s="34"/>
      <c r="I473" s="34"/>
      <c r="J473" s="34"/>
      <c r="K473" s="34"/>
      <c r="L473" s="34"/>
      <c r="M473" s="34"/>
    </row>
    <row r="474" spans="1:13" s="11" customFormat="1" x14ac:dyDescent="0.3">
      <c r="A474" s="143"/>
      <c r="D474" s="132"/>
      <c r="E474" s="132"/>
      <c r="F474" s="132"/>
      <c r="H474" s="34"/>
      <c r="I474" s="34"/>
      <c r="J474" s="34"/>
      <c r="K474" s="34"/>
      <c r="L474" s="34"/>
      <c r="M474" s="34"/>
    </row>
    <row r="475" spans="1:13" s="11" customFormat="1" x14ac:dyDescent="0.3">
      <c r="A475" s="143"/>
      <c r="D475" s="132"/>
      <c r="E475" s="132"/>
      <c r="F475" s="132"/>
      <c r="H475" s="34"/>
      <c r="I475" s="34"/>
      <c r="J475" s="34"/>
      <c r="K475" s="34"/>
      <c r="L475" s="34"/>
      <c r="M475" s="34"/>
    </row>
    <row r="476" spans="1:13" s="11" customFormat="1" x14ac:dyDescent="0.3">
      <c r="A476" s="143"/>
      <c r="D476" s="132"/>
      <c r="E476" s="132"/>
      <c r="F476" s="132"/>
      <c r="H476" s="34"/>
      <c r="I476" s="34"/>
      <c r="J476" s="34"/>
      <c r="K476" s="34"/>
      <c r="L476" s="34"/>
      <c r="M476" s="34"/>
    </row>
    <row r="477" spans="1:13" s="11" customFormat="1" x14ac:dyDescent="0.3">
      <c r="A477" s="143"/>
      <c r="D477" s="132"/>
      <c r="E477" s="132"/>
      <c r="F477" s="132"/>
      <c r="H477" s="34"/>
      <c r="I477" s="34"/>
      <c r="J477" s="34"/>
      <c r="K477" s="34"/>
      <c r="L477" s="34"/>
      <c r="M477" s="34"/>
    </row>
    <row r="478" spans="1:13" s="11" customFormat="1" x14ac:dyDescent="0.3">
      <c r="A478" s="143"/>
      <c r="D478" s="132"/>
      <c r="E478" s="132"/>
      <c r="F478" s="132"/>
      <c r="H478" s="34"/>
      <c r="I478" s="34"/>
      <c r="J478" s="34"/>
      <c r="K478" s="34"/>
      <c r="L478" s="34"/>
      <c r="M478" s="34"/>
    </row>
    <row r="479" spans="1:13" s="11" customFormat="1" x14ac:dyDescent="0.3">
      <c r="A479" s="143"/>
      <c r="D479" s="132"/>
      <c r="E479" s="132"/>
      <c r="F479" s="132"/>
      <c r="H479" s="34"/>
      <c r="I479" s="34"/>
      <c r="J479" s="34"/>
      <c r="K479" s="34"/>
      <c r="L479" s="34"/>
      <c r="M479" s="34"/>
    </row>
    <row r="480" spans="1:13" s="11" customFormat="1" x14ac:dyDescent="0.3">
      <c r="A480" s="143"/>
      <c r="D480" s="132"/>
      <c r="E480" s="132"/>
      <c r="F480" s="132"/>
      <c r="H480" s="34"/>
      <c r="I480" s="34"/>
      <c r="J480" s="34"/>
      <c r="K480" s="34"/>
      <c r="L480" s="34"/>
      <c r="M480" s="34"/>
    </row>
    <row r="481" spans="1:13" s="11" customFormat="1" x14ac:dyDescent="0.3">
      <c r="A481" s="143"/>
      <c r="D481" s="132"/>
      <c r="E481" s="132"/>
      <c r="F481" s="132"/>
      <c r="H481" s="34"/>
      <c r="I481" s="34"/>
      <c r="J481" s="34"/>
      <c r="K481" s="34"/>
      <c r="L481" s="34"/>
      <c r="M481" s="34"/>
    </row>
    <row r="482" spans="1:13" s="11" customFormat="1" x14ac:dyDescent="0.3">
      <c r="A482" s="143"/>
      <c r="D482" s="132"/>
      <c r="E482" s="132"/>
      <c r="F482" s="132"/>
      <c r="H482" s="34"/>
      <c r="I482" s="34"/>
      <c r="J482" s="34"/>
      <c r="K482" s="34"/>
      <c r="L482" s="34"/>
      <c r="M482" s="34"/>
    </row>
    <row r="483" spans="1:13" s="11" customFormat="1" x14ac:dyDescent="0.3">
      <c r="A483" s="143"/>
      <c r="D483" s="132"/>
      <c r="E483" s="132"/>
      <c r="F483" s="132"/>
      <c r="H483" s="34"/>
      <c r="I483" s="34"/>
      <c r="J483" s="34"/>
      <c r="K483" s="34"/>
      <c r="L483" s="34"/>
      <c r="M483" s="34"/>
    </row>
    <row r="484" spans="1:13" s="11" customFormat="1" x14ac:dyDescent="0.3">
      <c r="A484" s="143"/>
      <c r="D484" s="132"/>
      <c r="E484" s="132"/>
      <c r="F484" s="132"/>
      <c r="H484" s="34"/>
      <c r="I484" s="34"/>
      <c r="J484" s="34"/>
      <c r="K484" s="34"/>
      <c r="L484" s="34"/>
      <c r="M484" s="34"/>
    </row>
    <row r="485" spans="1:13" s="11" customFormat="1" x14ac:dyDescent="0.3">
      <c r="A485" s="143"/>
      <c r="D485" s="132"/>
      <c r="E485" s="132"/>
      <c r="F485" s="132"/>
      <c r="H485" s="34"/>
      <c r="I485" s="34"/>
      <c r="J485" s="34"/>
      <c r="K485" s="34"/>
      <c r="L485" s="34"/>
      <c r="M485" s="34"/>
    </row>
    <row r="486" spans="1:13" s="11" customFormat="1" x14ac:dyDescent="0.3">
      <c r="A486" s="143"/>
      <c r="D486" s="132"/>
      <c r="E486" s="132"/>
      <c r="F486" s="132"/>
      <c r="H486" s="34"/>
      <c r="I486" s="34"/>
      <c r="J486" s="34"/>
      <c r="K486" s="34"/>
      <c r="L486" s="34"/>
      <c r="M486" s="34"/>
    </row>
    <row r="487" spans="1:13" s="11" customFormat="1" x14ac:dyDescent="0.3">
      <c r="A487" s="143"/>
      <c r="D487" s="132"/>
      <c r="E487" s="132"/>
      <c r="F487" s="132"/>
      <c r="H487" s="34"/>
      <c r="I487" s="34"/>
      <c r="J487" s="34"/>
      <c r="K487" s="34"/>
      <c r="L487" s="34"/>
      <c r="M487" s="34"/>
    </row>
    <row r="488" spans="1:13" s="11" customFormat="1" x14ac:dyDescent="0.3">
      <c r="A488" s="143"/>
      <c r="D488" s="132"/>
      <c r="E488" s="132"/>
      <c r="F488" s="132"/>
      <c r="H488" s="34"/>
      <c r="I488" s="34"/>
      <c r="J488" s="34"/>
      <c r="K488" s="34"/>
      <c r="L488" s="34"/>
      <c r="M488" s="34"/>
    </row>
    <row r="489" spans="1:13" s="11" customFormat="1" x14ac:dyDescent="0.3">
      <c r="A489" s="143"/>
      <c r="D489" s="132"/>
      <c r="E489" s="132"/>
      <c r="F489" s="132"/>
      <c r="H489" s="34"/>
      <c r="I489" s="34"/>
      <c r="J489" s="34"/>
      <c r="K489" s="34"/>
      <c r="L489" s="34"/>
      <c r="M489" s="34"/>
    </row>
    <row r="490" spans="1:13" s="11" customFormat="1" x14ac:dyDescent="0.3">
      <c r="A490" s="143"/>
      <c r="D490" s="132"/>
      <c r="E490" s="132"/>
      <c r="F490" s="132"/>
      <c r="H490" s="34"/>
      <c r="I490" s="34"/>
      <c r="J490" s="34"/>
      <c r="K490" s="34"/>
      <c r="L490" s="34"/>
      <c r="M490" s="34"/>
    </row>
    <row r="491" spans="1:13" s="11" customFormat="1" x14ac:dyDescent="0.3">
      <c r="A491" s="143"/>
      <c r="D491" s="132"/>
      <c r="E491" s="132"/>
      <c r="F491" s="132"/>
      <c r="H491" s="34"/>
      <c r="I491" s="34"/>
      <c r="J491" s="34"/>
      <c r="K491" s="34"/>
      <c r="L491" s="34"/>
      <c r="M491" s="34"/>
    </row>
    <row r="492" spans="1:13" s="11" customFormat="1" x14ac:dyDescent="0.3">
      <c r="A492" s="143"/>
      <c r="D492" s="132"/>
      <c r="E492" s="132"/>
      <c r="F492" s="132"/>
      <c r="H492" s="34"/>
      <c r="I492" s="34"/>
      <c r="J492" s="34"/>
      <c r="K492" s="34"/>
      <c r="L492" s="34"/>
      <c r="M492" s="34"/>
    </row>
    <row r="493" spans="1:13" s="11" customFormat="1" x14ac:dyDescent="0.3">
      <c r="A493" s="143"/>
      <c r="D493" s="132"/>
      <c r="E493" s="132"/>
      <c r="F493" s="132"/>
      <c r="H493" s="34"/>
      <c r="I493" s="34"/>
      <c r="J493" s="34"/>
      <c r="K493" s="34"/>
      <c r="L493" s="34"/>
      <c r="M493" s="34"/>
    </row>
    <row r="494" spans="1:13" s="11" customFormat="1" x14ac:dyDescent="0.3">
      <c r="A494" s="143"/>
      <c r="D494" s="132"/>
      <c r="E494" s="132"/>
      <c r="F494" s="132"/>
      <c r="H494" s="34"/>
      <c r="I494" s="34"/>
      <c r="J494" s="34"/>
      <c r="K494" s="34"/>
      <c r="L494" s="34"/>
      <c r="M494" s="34"/>
    </row>
    <row r="495" spans="1:13" s="11" customFormat="1" x14ac:dyDescent="0.3">
      <c r="A495" s="143"/>
      <c r="D495" s="132"/>
      <c r="E495" s="132"/>
      <c r="F495" s="132"/>
      <c r="H495" s="34"/>
      <c r="I495" s="34"/>
      <c r="J495" s="34"/>
      <c r="K495" s="34"/>
      <c r="L495" s="34"/>
      <c r="M495" s="34"/>
    </row>
    <row r="496" spans="1:13" s="11" customFormat="1" x14ac:dyDescent="0.3">
      <c r="A496" s="143"/>
      <c r="D496" s="132"/>
      <c r="E496" s="132"/>
      <c r="F496" s="132"/>
      <c r="H496" s="34"/>
      <c r="I496" s="34"/>
      <c r="J496" s="34"/>
      <c r="K496" s="34"/>
      <c r="L496" s="34"/>
      <c r="M496" s="34"/>
    </row>
    <row r="497" spans="1:13" s="11" customFormat="1" x14ac:dyDescent="0.3">
      <c r="A497" s="143"/>
      <c r="D497" s="132"/>
      <c r="E497" s="132"/>
      <c r="F497" s="132"/>
      <c r="H497" s="34"/>
      <c r="I497" s="34"/>
      <c r="J497" s="34"/>
      <c r="K497" s="34"/>
      <c r="L497" s="34"/>
      <c r="M497" s="34"/>
    </row>
    <row r="498" spans="1:13" s="11" customFormat="1" x14ac:dyDescent="0.3">
      <c r="A498" s="143"/>
      <c r="D498" s="132"/>
      <c r="E498" s="132"/>
      <c r="F498" s="132"/>
      <c r="H498" s="34"/>
      <c r="I498" s="34"/>
      <c r="J498" s="34"/>
      <c r="K498" s="34"/>
      <c r="L498" s="34"/>
      <c r="M498" s="34"/>
    </row>
    <row r="499" spans="1:13" s="11" customFormat="1" x14ac:dyDescent="0.3">
      <c r="A499" s="143"/>
      <c r="D499" s="132"/>
      <c r="E499" s="132"/>
      <c r="F499" s="132"/>
      <c r="H499" s="34"/>
      <c r="I499" s="34"/>
      <c r="J499" s="34"/>
      <c r="K499" s="34"/>
      <c r="L499" s="34"/>
      <c r="M499" s="34"/>
    </row>
    <row r="500" spans="1:13" s="11" customFormat="1" x14ac:dyDescent="0.3">
      <c r="A500" s="143"/>
      <c r="D500" s="132"/>
      <c r="E500" s="132"/>
      <c r="F500" s="132"/>
      <c r="H500" s="34"/>
      <c r="I500" s="34"/>
      <c r="J500" s="34"/>
      <c r="K500" s="34"/>
      <c r="L500" s="34"/>
      <c r="M500" s="34"/>
    </row>
    <row r="501" spans="1:13" s="11" customFormat="1" x14ac:dyDescent="0.3">
      <c r="A501" s="143"/>
      <c r="D501" s="132"/>
      <c r="E501" s="132"/>
      <c r="F501" s="132"/>
      <c r="H501" s="34"/>
      <c r="I501" s="34"/>
      <c r="J501" s="34"/>
      <c r="K501" s="34"/>
      <c r="L501" s="34"/>
      <c r="M501" s="34"/>
    </row>
    <row r="502" spans="1:13" s="11" customFormat="1" x14ac:dyDescent="0.3">
      <c r="A502" s="143"/>
      <c r="D502" s="132"/>
      <c r="E502" s="132"/>
      <c r="F502" s="132"/>
      <c r="H502" s="34"/>
      <c r="I502" s="34"/>
      <c r="J502" s="34"/>
      <c r="K502" s="34"/>
      <c r="L502" s="34"/>
      <c r="M502" s="34"/>
    </row>
    <row r="503" spans="1:13" s="11" customFormat="1" x14ac:dyDescent="0.3">
      <c r="A503" s="143"/>
      <c r="D503" s="132"/>
      <c r="E503" s="132"/>
      <c r="F503" s="132"/>
      <c r="H503" s="34"/>
      <c r="I503" s="34"/>
      <c r="J503" s="34"/>
      <c r="K503" s="34"/>
      <c r="L503" s="34"/>
      <c r="M503" s="34"/>
    </row>
    <row r="504" spans="1:13" s="11" customFormat="1" x14ac:dyDescent="0.3">
      <c r="A504" s="143"/>
      <c r="D504" s="132"/>
      <c r="E504" s="132"/>
      <c r="F504" s="132"/>
      <c r="H504" s="34"/>
      <c r="I504" s="34"/>
      <c r="J504" s="34"/>
      <c r="K504" s="34"/>
      <c r="L504" s="34"/>
      <c r="M504" s="34"/>
    </row>
    <row r="505" spans="1:13" s="11" customFormat="1" x14ac:dyDescent="0.3">
      <c r="A505" s="143"/>
      <c r="D505" s="132"/>
      <c r="E505" s="132"/>
      <c r="F505" s="132"/>
      <c r="H505" s="34"/>
      <c r="I505" s="34"/>
      <c r="J505" s="34"/>
      <c r="K505" s="34"/>
      <c r="L505" s="34"/>
      <c r="M505" s="34"/>
    </row>
    <row r="506" spans="1:13" s="11" customFormat="1" x14ac:dyDescent="0.3">
      <c r="A506" s="143"/>
      <c r="D506" s="132"/>
      <c r="E506" s="132"/>
      <c r="F506" s="132"/>
      <c r="H506" s="34"/>
      <c r="I506" s="34"/>
      <c r="J506" s="34"/>
      <c r="K506" s="34"/>
      <c r="L506" s="34"/>
      <c r="M506" s="34"/>
    </row>
    <row r="507" spans="1:13" s="11" customFormat="1" x14ac:dyDescent="0.3">
      <c r="A507" s="143"/>
      <c r="D507" s="132"/>
      <c r="E507" s="132"/>
      <c r="F507" s="132"/>
      <c r="H507" s="34"/>
      <c r="I507" s="34"/>
      <c r="J507" s="34"/>
      <c r="K507" s="34"/>
      <c r="L507" s="34"/>
      <c r="M507" s="34"/>
    </row>
    <row r="508" spans="1:13" s="11" customFormat="1" x14ac:dyDescent="0.3">
      <c r="A508" s="143"/>
      <c r="D508" s="132"/>
      <c r="E508" s="132"/>
      <c r="F508" s="132"/>
      <c r="H508" s="34"/>
      <c r="I508" s="34"/>
      <c r="J508" s="34"/>
      <c r="K508" s="34"/>
      <c r="L508" s="34"/>
      <c r="M508" s="34"/>
    </row>
    <row r="509" spans="1:13" s="11" customFormat="1" x14ac:dyDescent="0.3">
      <c r="A509" s="143"/>
      <c r="D509" s="132"/>
      <c r="E509" s="132"/>
      <c r="F509" s="132"/>
      <c r="H509" s="34"/>
      <c r="I509" s="34"/>
      <c r="J509" s="34"/>
      <c r="K509" s="34"/>
      <c r="L509" s="34"/>
      <c r="M509" s="34"/>
    </row>
    <row r="510" spans="1:13" s="11" customFormat="1" x14ac:dyDescent="0.3">
      <c r="A510" s="143"/>
      <c r="D510" s="132"/>
      <c r="E510" s="132"/>
      <c r="F510" s="132"/>
      <c r="H510" s="34"/>
      <c r="I510" s="34"/>
      <c r="J510" s="34"/>
      <c r="K510" s="34"/>
      <c r="L510" s="34"/>
      <c r="M510" s="34"/>
    </row>
    <row r="511" spans="1:13" s="11" customFormat="1" x14ac:dyDescent="0.3">
      <c r="A511" s="143"/>
      <c r="D511" s="132"/>
      <c r="E511" s="132"/>
      <c r="F511" s="132"/>
      <c r="H511" s="34"/>
      <c r="I511" s="34"/>
      <c r="J511" s="34"/>
      <c r="K511" s="34"/>
      <c r="L511" s="34"/>
      <c r="M511" s="34"/>
    </row>
    <row r="512" spans="1:13" s="11" customFormat="1" x14ac:dyDescent="0.3">
      <c r="A512" s="143"/>
      <c r="D512" s="132"/>
      <c r="E512" s="132"/>
      <c r="F512" s="132"/>
      <c r="H512" s="34"/>
      <c r="I512" s="34"/>
      <c r="J512" s="34"/>
      <c r="K512" s="34"/>
      <c r="L512" s="34"/>
      <c r="M512" s="34"/>
    </row>
    <row r="513" spans="1:13" s="11" customFormat="1" x14ac:dyDescent="0.3">
      <c r="A513" s="143"/>
      <c r="D513" s="132"/>
      <c r="E513" s="132"/>
      <c r="F513" s="132"/>
      <c r="H513" s="34"/>
      <c r="I513" s="34"/>
      <c r="J513" s="34"/>
      <c r="K513" s="34"/>
      <c r="L513" s="34"/>
      <c r="M513" s="34"/>
    </row>
    <row r="514" spans="1:13" s="11" customFormat="1" x14ac:dyDescent="0.3">
      <c r="A514" s="143"/>
      <c r="D514" s="132"/>
      <c r="E514" s="132"/>
      <c r="F514" s="132"/>
      <c r="H514" s="34"/>
      <c r="I514" s="34"/>
      <c r="J514" s="34"/>
      <c r="K514" s="34"/>
      <c r="L514" s="34"/>
      <c r="M514" s="34"/>
    </row>
    <row r="515" spans="1:13" s="11" customFormat="1" x14ac:dyDescent="0.3">
      <c r="A515" s="143"/>
      <c r="D515" s="132"/>
      <c r="E515" s="132"/>
      <c r="F515" s="132"/>
      <c r="H515" s="34"/>
      <c r="I515" s="34"/>
      <c r="J515" s="34"/>
      <c r="K515" s="34"/>
      <c r="L515" s="34"/>
      <c r="M515" s="34"/>
    </row>
    <row r="516" spans="1:13" s="11" customFormat="1" x14ac:dyDescent="0.3">
      <c r="A516" s="143"/>
      <c r="D516" s="132"/>
      <c r="E516" s="132"/>
      <c r="F516" s="132"/>
      <c r="H516" s="34"/>
      <c r="I516" s="34"/>
      <c r="J516" s="34"/>
      <c r="K516" s="34"/>
      <c r="L516" s="34"/>
      <c r="M516" s="34"/>
    </row>
    <row r="517" spans="1:13" s="11" customFormat="1" x14ac:dyDescent="0.3">
      <c r="A517" s="143"/>
      <c r="D517" s="132"/>
      <c r="E517" s="132"/>
      <c r="F517" s="132"/>
      <c r="H517" s="34"/>
      <c r="I517" s="34"/>
      <c r="J517" s="34"/>
      <c r="K517" s="34"/>
      <c r="L517" s="34"/>
      <c r="M517" s="34"/>
    </row>
    <row r="518" spans="1:13" s="11" customFormat="1" x14ac:dyDescent="0.3">
      <c r="A518" s="143"/>
      <c r="D518" s="132"/>
      <c r="E518" s="132"/>
      <c r="F518" s="132"/>
      <c r="H518" s="34"/>
      <c r="I518" s="34"/>
      <c r="J518" s="34"/>
      <c r="K518" s="34"/>
      <c r="L518" s="34"/>
      <c r="M518" s="34"/>
    </row>
    <row r="519" spans="1:13" s="11" customFormat="1" x14ac:dyDescent="0.3">
      <c r="A519" s="143"/>
      <c r="D519" s="132"/>
      <c r="E519" s="132"/>
      <c r="F519" s="132"/>
      <c r="H519" s="34"/>
      <c r="I519" s="34"/>
      <c r="J519" s="34"/>
      <c r="K519" s="34"/>
      <c r="L519" s="34"/>
      <c r="M519" s="34"/>
    </row>
    <row r="520" spans="1:13" s="11" customFormat="1" x14ac:dyDescent="0.3">
      <c r="A520" s="143"/>
      <c r="D520" s="132"/>
      <c r="E520" s="132"/>
      <c r="F520" s="132"/>
      <c r="H520" s="34"/>
      <c r="I520" s="34"/>
      <c r="J520" s="34"/>
      <c r="K520" s="34"/>
      <c r="L520" s="34"/>
      <c r="M520" s="34"/>
    </row>
    <row r="521" spans="1:13" s="11" customFormat="1" x14ac:dyDescent="0.3">
      <c r="A521" s="143"/>
      <c r="D521" s="132"/>
      <c r="E521" s="132"/>
      <c r="F521" s="132"/>
      <c r="H521" s="34"/>
      <c r="I521" s="34"/>
      <c r="J521" s="34"/>
      <c r="K521" s="34"/>
      <c r="L521" s="34"/>
      <c r="M521" s="34"/>
    </row>
    <row r="522" spans="1:13" s="11" customFormat="1" x14ac:dyDescent="0.3">
      <c r="A522" s="143"/>
      <c r="D522" s="132"/>
      <c r="E522" s="132"/>
      <c r="F522" s="132"/>
      <c r="H522" s="34"/>
      <c r="I522" s="34"/>
      <c r="J522" s="34"/>
      <c r="K522" s="34"/>
      <c r="L522" s="34"/>
      <c r="M522" s="34"/>
    </row>
    <row r="523" spans="1:13" s="11" customFormat="1" x14ac:dyDescent="0.3">
      <c r="A523" s="143"/>
      <c r="D523" s="132"/>
      <c r="E523" s="132"/>
      <c r="F523" s="132"/>
      <c r="H523" s="34"/>
      <c r="I523" s="34"/>
      <c r="J523" s="34"/>
      <c r="K523" s="34"/>
      <c r="L523" s="34"/>
      <c r="M523" s="34"/>
    </row>
    <row r="524" spans="1:13" s="11" customFormat="1" x14ac:dyDescent="0.3">
      <c r="A524" s="143"/>
      <c r="D524" s="132"/>
      <c r="E524" s="132"/>
      <c r="F524" s="132"/>
      <c r="H524" s="34"/>
      <c r="I524" s="34"/>
      <c r="J524" s="34"/>
      <c r="K524" s="34"/>
      <c r="L524" s="34"/>
      <c r="M524" s="34"/>
    </row>
    <row r="525" spans="1:13" s="11" customFormat="1" x14ac:dyDescent="0.3">
      <c r="A525" s="143"/>
      <c r="D525" s="132"/>
      <c r="E525" s="132"/>
      <c r="F525" s="132"/>
      <c r="H525" s="34"/>
      <c r="I525" s="34"/>
      <c r="J525" s="34"/>
      <c r="K525" s="34"/>
      <c r="L525" s="34"/>
      <c r="M525" s="34"/>
    </row>
    <row r="526" spans="1:13" s="11" customFormat="1" x14ac:dyDescent="0.3">
      <c r="A526" s="143"/>
      <c r="D526" s="132"/>
      <c r="E526" s="132"/>
      <c r="F526" s="132"/>
      <c r="H526" s="34"/>
      <c r="I526" s="34"/>
      <c r="J526" s="34"/>
      <c r="K526" s="34"/>
      <c r="L526" s="34"/>
      <c r="M526" s="34"/>
    </row>
    <row r="527" spans="1:13" s="11" customFormat="1" x14ac:dyDescent="0.3">
      <c r="A527" s="143"/>
      <c r="D527" s="132"/>
      <c r="E527" s="132"/>
      <c r="F527" s="132"/>
      <c r="H527" s="34"/>
      <c r="I527" s="34"/>
      <c r="J527" s="34"/>
      <c r="K527" s="34"/>
      <c r="L527" s="34"/>
      <c r="M527" s="34"/>
    </row>
    <row r="528" spans="1:13" s="11" customFormat="1" x14ac:dyDescent="0.3">
      <c r="A528" s="143"/>
      <c r="D528" s="132"/>
      <c r="E528" s="132"/>
      <c r="F528" s="132"/>
      <c r="H528" s="34"/>
      <c r="I528" s="34"/>
      <c r="J528" s="34"/>
      <c r="K528" s="34"/>
      <c r="L528" s="34"/>
      <c r="M528" s="34"/>
    </row>
    <row r="529" spans="1:13" s="11" customFormat="1" x14ac:dyDescent="0.3">
      <c r="A529" s="143"/>
      <c r="D529" s="132"/>
      <c r="E529" s="132"/>
      <c r="F529" s="132"/>
      <c r="H529" s="34"/>
      <c r="I529" s="34"/>
      <c r="J529" s="34"/>
      <c r="K529" s="34"/>
      <c r="L529" s="34"/>
      <c r="M529" s="34"/>
    </row>
    <row r="530" spans="1:13" s="11" customFormat="1" x14ac:dyDescent="0.3">
      <c r="A530" s="143"/>
      <c r="D530" s="132"/>
      <c r="E530" s="132"/>
      <c r="F530" s="132"/>
      <c r="H530" s="34"/>
      <c r="I530" s="34"/>
      <c r="J530" s="34"/>
      <c r="K530" s="34"/>
      <c r="L530" s="34"/>
      <c r="M530" s="34"/>
    </row>
    <row r="531" spans="1:13" s="11" customFormat="1" x14ac:dyDescent="0.3">
      <c r="A531" s="143"/>
      <c r="D531" s="132"/>
      <c r="E531" s="132"/>
      <c r="F531" s="132"/>
      <c r="H531" s="34"/>
      <c r="I531" s="34"/>
      <c r="J531" s="34"/>
      <c r="K531" s="34"/>
      <c r="L531" s="34"/>
      <c r="M531" s="34"/>
    </row>
    <row r="532" spans="1:13" s="11" customFormat="1" x14ac:dyDescent="0.3">
      <c r="A532" s="143"/>
      <c r="D532" s="132"/>
      <c r="E532" s="132"/>
      <c r="F532" s="132"/>
      <c r="H532" s="34"/>
      <c r="I532" s="34"/>
      <c r="J532" s="34"/>
      <c r="K532" s="34"/>
      <c r="L532" s="34"/>
      <c r="M532" s="34"/>
    </row>
    <row r="533" spans="1:13" s="11" customFormat="1" x14ac:dyDescent="0.3">
      <c r="A533" s="143"/>
      <c r="D533" s="132"/>
      <c r="E533" s="132"/>
      <c r="F533" s="132"/>
      <c r="H533" s="34"/>
      <c r="I533" s="34"/>
      <c r="J533" s="34"/>
      <c r="K533" s="34"/>
      <c r="L533" s="34"/>
      <c r="M533" s="34"/>
    </row>
    <row r="534" spans="1:13" s="11" customFormat="1" x14ac:dyDescent="0.3">
      <c r="A534" s="143"/>
      <c r="D534" s="132"/>
      <c r="E534" s="132"/>
      <c r="F534" s="132"/>
      <c r="H534" s="34"/>
      <c r="I534" s="34"/>
      <c r="J534" s="34"/>
      <c r="K534" s="34"/>
      <c r="L534" s="34"/>
      <c r="M534" s="34"/>
    </row>
    <row r="535" spans="1:13" s="11" customFormat="1" x14ac:dyDescent="0.3">
      <c r="A535" s="143"/>
      <c r="D535" s="132"/>
      <c r="E535" s="132"/>
      <c r="F535" s="132"/>
      <c r="H535" s="34"/>
      <c r="I535" s="34"/>
      <c r="J535" s="34"/>
      <c r="K535" s="34"/>
      <c r="L535" s="34"/>
      <c r="M535" s="34"/>
    </row>
    <row r="536" spans="1:13" s="11" customFormat="1" x14ac:dyDescent="0.3">
      <c r="A536" s="143"/>
      <c r="D536" s="132"/>
      <c r="E536" s="132"/>
      <c r="F536" s="132"/>
      <c r="H536" s="34"/>
      <c r="I536" s="34"/>
      <c r="J536" s="34"/>
      <c r="K536" s="34"/>
      <c r="L536" s="34"/>
      <c r="M536" s="34"/>
    </row>
    <row r="537" spans="1:13" s="11" customFormat="1" x14ac:dyDescent="0.3">
      <c r="A537" s="143"/>
      <c r="D537" s="132"/>
      <c r="E537" s="132"/>
      <c r="F537" s="132"/>
      <c r="H537" s="34"/>
      <c r="I537" s="34"/>
      <c r="J537" s="34"/>
      <c r="K537" s="34"/>
      <c r="L537" s="34"/>
      <c r="M537" s="34"/>
    </row>
    <row r="538" spans="1:13" s="11" customFormat="1" x14ac:dyDescent="0.3">
      <c r="A538" s="143"/>
      <c r="D538" s="132"/>
      <c r="E538" s="132"/>
      <c r="F538" s="132"/>
      <c r="H538" s="34"/>
      <c r="I538" s="34"/>
      <c r="J538" s="34"/>
      <c r="K538" s="34"/>
      <c r="L538" s="34"/>
      <c r="M538" s="34"/>
    </row>
    <row r="539" spans="1:13" s="11" customFormat="1" x14ac:dyDescent="0.3">
      <c r="A539" s="143"/>
      <c r="D539" s="132"/>
      <c r="E539" s="132"/>
      <c r="F539" s="132"/>
      <c r="H539" s="34"/>
      <c r="I539" s="34"/>
      <c r="J539" s="34"/>
      <c r="K539" s="34"/>
      <c r="L539" s="34"/>
      <c r="M539" s="34"/>
    </row>
    <row r="540" spans="1:13" s="11" customFormat="1" x14ac:dyDescent="0.3">
      <c r="A540" s="143"/>
      <c r="D540" s="132"/>
      <c r="E540" s="132"/>
      <c r="F540" s="132"/>
      <c r="H540" s="34"/>
      <c r="I540" s="34"/>
      <c r="J540" s="34"/>
      <c r="K540" s="34"/>
      <c r="L540" s="34"/>
      <c r="M540" s="34"/>
    </row>
    <row r="541" spans="1:13" s="11" customFormat="1" x14ac:dyDescent="0.3">
      <c r="A541" s="143"/>
      <c r="D541" s="132"/>
      <c r="E541" s="132"/>
      <c r="F541" s="132"/>
      <c r="H541" s="34"/>
      <c r="I541" s="34"/>
      <c r="J541" s="34"/>
      <c r="K541" s="34"/>
      <c r="L541" s="34"/>
      <c r="M541" s="34"/>
    </row>
    <row r="542" spans="1:13" s="11" customFormat="1" x14ac:dyDescent="0.3">
      <c r="A542" s="143"/>
      <c r="D542" s="132"/>
      <c r="E542" s="132"/>
      <c r="F542" s="132"/>
      <c r="H542" s="34"/>
      <c r="I542" s="34"/>
      <c r="J542" s="34"/>
      <c r="K542" s="34"/>
      <c r="L542" s="34"/>
      <c r="M542" s="34"/>
    </row>
    <row r="543" spans="1:13" s="11" customFormat="1" x14ac:dyDescent="0.3">
      <c r="A543" s="143"/>
      <c r="D543" s="132"/>
      <c r="E543" s="132"/>
      <c r="F543" s="132"/>
      <c r="H543" s="34"/>
      <c r="I543" s="34"/>
      <c r="J543" s="34"/>
      <c r="K543" s="34"/>
      <c r="L543" s="34"/>
      <c r="M543" s="34"/>
    </row>
    <row r="544" spans="1:13" s="11" customFormat="1" x14ac:dyDescent="0.3">
      <c r="A544" s="143"/>
      <c r="D544" s="132"/>
      <c r="E544" s="132"/>
      <c r="F544" s="132"/>
      <c r="H544" s="34"/>
      <c r="I544" s="34"/>
      <c r="J544" s="34"/>
      <c r="K544" s="34"/>
      <c r="L544" s="34"/>
      <c r="M544" s="34"/>
    </row>
    <row r="545" spans="1:17" s="11" customFormat="1" x14ac:dyDescent="0.3">
      <c r="A545" s="143"/>
      <c r="D545" s="132"/>
      <c r="E545" s="132"/>
      <c r="F545" s="132"/>
      <c r="H545" s="34"/>
      <c r="I545" s="34"/>
      <c r="J545" s="34"/>
      <c r="K545" s="34"/>
      <c r="L545" s="34"/>
      <c r="M545" s="34"/>
    </row>
    <row r="546" spans="1:17" s="11" customFormat="1" x14ac:dyDescent="0.3">
      <c r="A546" s="143"/>
      <c r="D546" s="132"/>
      <c r="E546" s="132"/>
      <c r="F546" s="132"/>
      <c r="H546" s="34"/>
      <c r="I546" s="34"/>
      <c r="J546" s="34"/>
      <c r="K546" s="34"/>
      <c r="L546" s="34"/>
      <c r="M546" s="34"/>
    </row>
    <row r="547" spans="1:17" x14ac:dyDescent="0.3">
      <c r="H547" s="34"/>
      <c r="I547" s="34"/>
      <c r="J547" s="34"/>
      <c r="K547" s="34"/>
      <c r="L547" s="34"/>
      <c r="M547" s="34"/>
      <c r="N547" s="11"/>
      <c r="O547" s="11"/>
      <c r="P547" s="11"/>
      <c r="Q547" s="11"/>
    </row>
    <row r="548" spans="1:17" x14ac:dyDescent="0.3">
      <c r="H548" s="34"/>
      <c r="I548" s="34"/>
      <c r="J548" s="34"/>
      <c r="K548" s="34"/>
      <c r="L548" s="34"/>
      <c r="M548" s="34"/>
    </row>
    <row r="549" spans="1:17" x14ac:dyDescent="0.3">
      <c r="H549" s="34"/>
      <c r="I549" s="34"/>
      <c r="J549" s="34"/>
      <c r="K549" s="34"/>
      <c r="L549" s="34"/>
      <c r="M549" s="34"/>
    </row>
    <row r="550" spans="1:17" x14ac:dyDescent="0.3">
      <c r="H550" s="34"/>
      <c r="I550" s="34"/>
      <c r="J550" s="34"/>
      <c r="K550" s="34"/>
      <c r="L550" s="34"/>
      <c r="M550" s="34"/>
    </row>
    <row r="551" spans="1:17" x14ac:dyDescent="0.3">
      <c r="H551" s="34"/>
      <c r="I551" s="34"/>
      <c r="J551" s="34"/>
      <c r="K551" s="34"/>
      <c r="L551" s="34"/>
      <c r="M551" s="34"/>
    </row>
    <row r="552" spans="1:17" x14ac:dyDescent="0.3">
      <c r="M552" s="34"/>
    </row>
  </sheetData>
  <mergeCells count="5">
    <mergeCell ref="N5:O5"/>
    <mergeCell ref="N6:O6"/>
    <mergeCell ref="P6:Q6"/>
    <mergeCell ref="D1:O1"/>
    <mergeCell ref="P5:Q5"/>
  </mergeCells>
  <phoneticPr fontId="2" type="noConversion"/>
  <conditionalFormatting sqref="B5:B132">
    <cfRule type="cellIs" dxfId="31" priority="35" operator="lessThan">
      <formula>0</formula>
    </cfRule>
    <cfRule type="cellIs" dxfId="30" priority="36" operator="greaterThan">
      <formula>0</formula>
    </cfRule>
  </conditionalFormatting>
  <conditionalFormatting sqref="B5:B132">
    <cfRule type="cellIs" dxfId="29" priority="33" operator="lessThan">
      <formula>0</formula>
    </cfRule>
    <cfRule type="cellIs" dxfId="28" priority="34" operator="greaterThan">
      <formula>0</formula>
    </cfRule>
  </conditionalFormatting>
  <conditionalFormatting sqref="H133:H142">
    <cfRule type="cellIs" dxfId="27" priority="17" operator="lessThan">
      <formula>0</formula>
    </cfRule>
    <cfRule type="cellIs" dxfId="26" priority="18" operator="greaterThan">
      <formula>0</formula>
    </cfRule>
  </conditionalFormatting>
  <conditionalFormatting sqref="H5:H132">
    <cfRule type="cellIs" dxfId="25" priority="23" operator="lessThan">
      <formula>0</formula>
    </cfRule>
    <cfRule type="cellIs" dxfId="24" priority="24" operator="greaterThan">
      <formula>0</formula>
    </cfRule>
  </conditionalFormatting>
  <conditionalFormatting sqref="H5:H132">
    <cfRule type="cellIs" dxfId="23" priority="21" operator="lessThan">
      <formula>0</formula>
    </cfRule>
    <cfRule type="cellIs" dxfId="22" priority="22" operator="greaterThan">
      <formula>0</formula>
    </cfRule>
  </conditionalFormatting>
  <conditionalFormatting sqref="B133:B142">
    <cfRule type="cellIs" dxfId="21" priority="27" operator="lessThan">
      <formula>0</formula>
    </cfRule>
    <cfRule type="cellIs" dxfId="20" priority="28" operator="greaterThan">
      <formula>0</formula>
    </cfRule>
  </conditionalFormatting>
  <conditionalFormatting sqref="B133:B142">
    <cfRule type="cellIs" dxfId="19" priority="25" operator="lessThan">
      <formula>0</formula>
    </cfRule>
    <cfRule type="cellIs" dxfId="18" priority="26" operator="greaterThan">
      <formula>0</formula>
    </cfRule>
  </conditionalFormatting>
  <conditionalFormatting sqref="H133:H142">
    <cfRule type="cellIs" dxfId="17" priority="19" operator="lessThan">
      <formula>0</formula>
    </cfRule>
    <cfRule type="cellIs" dxfId="16" priority="20" operator="greaterThan">
      <formula>0</formula>
    </cfRule>
  </conditionalFormatting>
  <conditionalFormatting sqref="B143:B150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B143:B150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H151:H162">
    <cfRule type="cellIs" dxfId="11" priority="1" operator="lessThan">
      <formula>0</formula>
    </cfRule>
    <cfRule type="cellIs" dxfId="10" priority="2" operator="greaterThan">
      <formula>0</formula>
    </cfRule>
  </conditionalFormatting>
  <conditionalFormatting sqref="H143:H150">
    <cfRule type="cellIs" dxfId="9" priority="7" operator="lessThan">
      <formula>0</formula>
    </cfRule>
    <cfRule type="cellIs" dxfId="8" priority="8" operator="greaterThan">
      <formula>0</formula>
    </cfRule>
  </conditionalFormatting>
  <conditionalFormatting sqref="H143:H150">
    <cfRule type="cellIs" dxfId="7" priority="5" operator="lessThan">
      <formula>0</formula>
    </cfRule>
    <cfRule type="cellIs" dxfId="6" priority="6" operator="greaterThan">
      <formula>0</formula>
    </cfRule>
  </conditionalFormatting>
  <conditionalFormatting sqref="B151:B162">
    <cfRule type="cellIs" dxfId="5" priority="11" operator="lessThan">
      <formula>0</formula>
    </cfRule>
    <cfRule type="cellIs" dxfId="4" priority="12" operator="greaterThan">
      <formula>0</formula>
    </cfRule>
  </conditionalFormatting>
  <conditionalFormatting sqref="B151:B162">
    <cfRule type="cellIs" dxfId="3" priority="9" operator="lessThan">
      <formula>0</formula>
    </cfRule>
    <cfRule type="cellIs" dxfId="2" priority="10" operator="greaterThan">
      <formula>0</formula>
    </cfRule>
  </conditionalFormatting>
  <conditionalFormatting sqref="H151:H162">
    <cfRule type="cellIs" dxfId="1" priority="3" operator="lessThan">
      <formula>0</formula>
    </cfRule>
    <cfRule type="cellIs" dxfId="0" priority="4" operator="greaterThan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63636D"/>
    <outlinePr summaryBelow="0"/>
  </sheetPr>
  <dimension ref="A1:T231"/>
  <sheetViews>
    <sheetView showGridLines="0" zoomScaleNormal="100" workbookViewId="0">
      <selection activeCell="A38" sqref="A38"/>
    </sheetView>
  </sheetViews>
  <sheetFormatPr defaultRowHeight="12.75" x14ac:dyDescent="0.2"/>
  <cols>
    <col min="1" max="1" width="2.625" style="46" customWidth="1"/>
    <col min="2" max="2" width="10.5" style="46" customWidth="1"/>
    <col min="3" max="4" width="7.625" style="49" bestFit="1" customWidth="1"/>
    <col min="5" max="5" width="9.375" style="52" bestFit="1" customWidth="1"/>
    <col min="6" max="6" width="9" style="49" bestFit="1" customWidth="1"/>
    <col min="7" max="7" width="15.5" style="48" bestFit="1" customWidth="1"/>
    <col min="8" max="8" width="8.375" style="57" customWidth="1"/>
    <col min="9" max="9" width="8.375" style="49" customWidth="1"/>
    <col min="10" max="10" width="1.625" style="46" customWidth="1"/>
    <col min="11" max="11" width="7.875" style="46" customWidth="1"/>
    <col min="12" max="12" width="9" style="46" customWidth="1"/>
    <col min="13" max="14" width="9" style="46"/>
    <col min="15" max="15" width="12.25" style="46" bestFit="1" customWidth="1"/>
    <col min="16" max="16" width="10" style="46" customWidth="1"/>
    <col min="17" max="18" width="10.125" style="46" customWidth="1"/>
    <col min="19" max="19" width="4.75" style="46" customWidth="1"/>
    <col min="20" max="20" width="1.75" style="46" customWidth="1"/>
    <col min="21" max="16384" width="9" style="46"/>
  </cols>
  <sheetData>
    <row r="1" spans="1:20" ht="27.75" customHeight="1" x14ac:dyDescent="0.2">
      <c r="A1" s="91"/>
      <c r="B1" s="91"/>
      <c r="C1" s="92"/>
      <c r="D1" s="128" t="s">
        <v>311</v>
      </c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93"/>
      <c r="R1" s="93"/>
      <c r="S1" s="94"/>
      <c r="T1" s="94"/>
    </row>
    <row r="2" spans="1:20" ht="15" hidden="1" x14ac:dyDescent="0.2">
      <c r="A2" s="3"/>
      <c r="B2" s="86"/>
      <c r="C2" s="95"/>
      <c r="D2" s="95"/>
      <c r="E2" s="95"/>
      <c r="F2" s="95"/>
      <c r="G2" s="86"/>
      <c r="H2" s="9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</row>
    <row r="3" spans="1:20" ht="7.5" customHeight="1" x14ac:dyDescent="0.2">
      <c r="A3" s="3"/>
      <c r="B3" s="86"/>
      <c r="C3" s="95"/>
      <c r="D3" s="95"/>
      <c r="E3" s="95"/>
      <c r="F3" s="95"/>
      <c r="G3" s="86"/>
      <c r="H3" s="9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</row>
    <row r="4" spans="1:20" ht="17.25" customHeight="1" x14ac:dyDescent="0.35">
      <c r="A4" s="79"/>
      <c r="B4" s="79"/>
      <c r="C4" s="79"/>
      <c r="D4" s="79"/>
      <c r="E4" s="79"/>
      <c r="F4" s="79"/>
      <c r="G4" s="79"/>
      <c r="H4" s="79"/>
      <c r="I4" s="79"/>
      <c r="J4" s="79"/>
      <c r="O4" s="64" t="s">
        <v>312</v>
      </c>
      <c r="T4" s="86"/>
    </row>
    <row r="5" spans="1:20" ht="17.25" customHeight="1" x14ac:dyDescent="0.2">
      <c r="A5" s="80">
        <v>1</v>
      </c>
      <c r="B5" s="97"/>
      <c r="E5" s="51"/>
      <c r="F5" s="51"/>
      <c r="G5" s="51"/>
      <c r="H5" s="56"/>
      <c r="I5" s="45"/>
      <c r="J5" s="79"/>
      <c r="O5" s="85"/>
      <c r="T5" s="86"/>
    </row>
    <row r="6" spans="1:20" ht="17.25" customHeight="1" x14ac:dyDescent="0.35">
      <c r="A6" s="79"/>
      <c r="E6" s="50"/>
      <c r="F6" s="50" t="s">
        <v>301</v>
      </c>
      <c r="G6" s="65" t="str">
        <f ca="1">windcodea</f>
        <v>601728.SH</v>
      </c>
      <c r="H6" s="55"/>
      <c r="I6" s="44"/>
      <c r="J6" s="79"/>
      <c r="O6" s="85"/>
      <c r="T6" s="86"/>
    </row>
    <row r="7" spans="1:20" ht="17.25" customHeight="1" x14ac:dyDescent="0.35">
      <c r="A7" s="79"/>
      <c r="E7" s="51"/>
      <c r="F7" s="98" t="s">
        <v>302</v>
      </c>
      <c r="G7" s="81" t="str">
        <f ca="1">windcodeh</f>
        <v>0728.HK</v>
      </c>
      <c r="H7" s="56"/>
      <c r="I7" s="45"/>
      <c r="J7" s="79"/>
      <c r="O7" s="85"/>
      <c r="T7" s="86"/>
    </row>
    <row r="8" spans="1:20" ht="17.25" customHeight="1" x14ac:dyDescent="0.35">
      <c r="A8" s="79"/>
      <c r="E8" s="50"/>
      <c r="F8" s="50" t="s">
        <v>303</v>
      </c>
      <c r="G8" s="43" t="s">
        <v>178</v>
      </c>
      <c r="H8" s="55"/>
      <c r="I8" s="44"/>
      <c r="J8" s="79"/>
      <c r="O8" s="85"/>
      <c r="T8" s="86"/>
    </row>
    <row r="9" spans="1:20" ht="17.25" customHeight="1" x14ac:dyDescent="0.35">
      <c r="A9" s="79"/>
      <c r="E9" s="51"/>
      <c r="F9" s="98" t="s">
        <v>304</v>
      </c>
      <c r="G9" s="43" t="s">
        <v>305</v>
      </c>
      <c r="H9" s="56"/>
      <c r="I9" s="45"/>
      <c r="J9" s="79"/>
      <c r="O9" s="85"/>
      <c r="T9" s="86"/>
    </row>
    <row r="10" spans="1:20" ht="17.25" customHeight="1" x14ac:dyDescent="0.2">
      <c r="A10" s="79"/>
      <c r="E10" s="50"/>
      <c r="F10" s="50"/>
      <c r="G10" s="44"/>
      <c r="H10" s="55"/>
      <c r="I10" s="44"/>
      <c r="J10" s="79"/>
      <c r="O10" s="85"/>
      <c r="T10" s="86"/>
    </row>
    <row r="11" spans="1:20" ht="17.25" customHeight="1" x14ac:dyDescent="0.2">
      <c r="A11" s="79"/>
      <c r="E11" s="51"/>
      <c r="F11" s="51"/>
      <c r="G11" s="45"/>
      <c r="H11" s="56"/>
      <c r="I11" s="45"/>
      <c r="J11" s="79"/>
      <c r="O11" s="85"/>
      <c r="T11" s="86"/>
    </row>
    <row r="12" spans="1:20" ht="17.25" customHeight="1" x14ac:dyDescent="0.2">
      <c r="A12" s="79"/>
      <c r="B12" s="47"/>
      <c r="E12" s="50"/>
      <c r="F12" s="50"/>
      <c r="G12" s="44"/>
      <c r="H12" s="55"/>
      <c r="I12" s="44"/>
      <c r="J12" s="79"/>
      <c r="O12" s="85"/>
      <c r="T12" s="86"/>
    </row>
    <row r="13" spans="1:20" ht="17.25" customHeight="1" x14ac:dyDescent="0.2">
      <c r="A13" s="79"/>
      <c r="B13" s="99"/>
      <c r="C13" s="100"/>
      <c r="E13" s="51"/>
      <c r="F13" s="51"/>
      <c r="G13" s="45"/>
      <c r="H13" s="56"/>
      <c r="I13" s="45"/>
      <c r="J13" s="79"/>
      <c r="O13" s="85"/>
      <c r="T13" s="86"/>
    </row>
    <row r="14" spans="1:20" ht="17.25" customHeight="1" x14ac:dyDescent="0.2">
      <c r="A14" s="79"/>
      <c r="E14" s="50"/>
      <c r="F14" s="50"/>
      <c r="G14" s="44"/>
      <c r="H14" s="55"/>
      <c r="I14" s="44"/>
      <c r="J14" s="79"/>
      <c r="O14" s="85"/>
      <c r="T14" s="86"/>
    </row>
    <row r="15" spans="1:20" ht="17.25" customHeight="1" x14ac:dyDescent="0.2">
      <c r="A15" s="79"/>
      <c r="B15" s="51"/>
      <c r="C15" s="51"/>
      <c r="D15" s="51"/>
      <c r="E15" s="51"/>
      <c r="F15" s="51"/>
      <c r="G15" s="45"/>
      <c r="H15" s="56"/>
      <c r="I15" s="45"/>
      <c r="J15" s="79"/>
      <c r="O15" s="85"/>
      <c r="T15" s="86"/>
    </row>
    <row r="16" spans="1:20" ht="17.25" customHeight="1" x14ac:dyDescent="0.2">
      <c r="A16" s="79"/>
      <c r="B16" s="101" t="str">
        <f ca="1">company</f>
        <v>中国电信</v>
      </c>
      <c r="C16" s="102"/>
      <c r="D16" s="103"/>
      <c r="E16" s="102"/>
      <c r="F16" s="103"/>
      <c r="G16" s="102"/>
      <c r="H16" s="103"/>
      <c r="I16" s="102"/>
      <c r="J16" s="79"/>
      <c r="O16" s="85"/>
      <c r="T16" s="86"/>
    </row>
    <row r="17" spans="1:20" ht="17.25" customHeight="1" x14ac:dyDescent="0.2">
      <c r="A17" s="79"/>
      <c r="J17" s="79"/>
      <c r="O17" s="85"/>
      <c r="T17" s="86"/>
    </row>
    <row r="18" spans="1:20" ht="17.25" customHeight="1" x14ac:dyDescent="0.35">
      <c r="A18" s="79"/>
      <c r="B18" s="104" t="s">
        <v>179</v>
      </c>
      <c r="C18" s="105" t="s">
        <v>306</v>
      </c>
      <c r="D18" s="105" t="s">
        <v>180</v>
      </c>
      <c r="E18" s="105" t="s">
        <v>307</v>
      </c>
      <c r="F18" s="105" t="s">
        <v>308</v>
      </c>
      <c r="G18" s="104" t="s">
        <v>309</v>
      </c>
      <c r="H18" s="106" t="s">
        <v>310</v>
      </c>
      <c r="I18" s="104"/>
      <c r="J18" s="79"/>
      <c r="O18" s="85"/>
      <c r="T18" s="86"/>
    </row>
    <row r="19" spans="1:20" ht="17.25" customHeight="1" x14ac:dyDescent="0.2">
      <c r="A19" s="79"/>
      <c r="B19" s="58">
        <f ca="1">--[1]!td(TODAY()-1)</f>
        <v>45894</v>
      </c>
      <c r="C19" s="59">
        <f t="shared" ref="C19:C82" ca="1" si="0">IF(BZ="港币",D19/H19,D19)</f>
        <v>7.67</v>
      </c>
      <c r="D19" s="59">
        <f ca="1">[1]!s_dq_close(wcodea,B19,1)</f>
        <v>7.67</v>
      </c>
      <c r="E19" s="59">
        <f ca="1">IF(BZ="人民币",F19*H19,F19)</f>
        <v>5.6734118000000002</v>
      </c>
      <c r="F19" s="59">
        <f ca="1">[1]!s_dq_close(wcodeh,B19,1)</f>
        <v>6.23</v>
      </c>
      <c r="G19" s="82">
        <f ca="1">IF(BZ="人民币",100*(D19/E19-1),100*(C19/E19-1))</f>
        <v>35.192019729644855</v>
      </c>
      <c r="H19" s="60">
        <f ca="1">VLOOKUP(B19,hl,2,FALSE)</f>
        <v>0.91066000000000003</v>
      </c>
      <c r="I19" s="88"/>
      <c r="J19" s="79"/>
      <c r="O19" s="85"/>
      <c r="T19" s="86"/>
    </row>
    <row r="20" spans="1:20" ht="17.25" customHeight="1" x14ac:dyDescent="0.2">
      <c r="A20" s="79"/>
      <c r="B20" s="61">
        <f ca="1">--IF(QJ="日",[1]!td(B19-1),IF(QJ="周",[1]!td(B19-7),[1]!td(B19-30)))</f>
        <v>45887</v>
      </c>
      <c r="C20" s="62">
        <f t="shared" ca="1" si="0"/>
        <v>7.47</v>
      </c>
      <c r="D20" s="62">
        <f ca="1">[1]!s_dq_close(wcodea,B20,1)</f>
        <v>7.47</v>
      </c>
      <c r="E20" s="62">
        <f t="shared" ref="E20:E82" ca="1" si="1">IF(BZ="人民币",F20*H20,F20)</f>
        <v>5.8309120000000005</v>
      </c>
      <c r="F20" s="62">
        <f ca="1">[1]!s_dq_close(wcodeh,B20,1)</f>
        <v>6.4</v>
      </c>
      <c r="G20" s="83">
        <f t="shared" ref="G20:G50" ca="1" si="2">IF(BZ="人民币",100*(D20/E20-1),100*(C20/E20-1))</f>
        <v>28.110319620669966</v>
      </c>
      <c r="H20" s="63">
        <f t="shared" ref="H20:H50" ca="1" si="3">VLOOKUP(B20,hl,2,FALSE)</f>
        <v>0.91108</v>
      </c>
      <c r="I20" s="89"/>
      <c r="J20" s="79"/>
      <c r="O20" s="85"/>
      <c r="T20" s="86"/>
    </row>
    <row r="21" spans="1:20" ht="17.25" customHeight="1" x14ac:dyDescent="0.2">
      <c r="A21" s="79"/>
      <c r="B21" s="58">
        <f ca="1">--IF(QJ="日",[1]!td(B20-1),IF(QJ="周",[1]!td(B20-7),[1]!td(B20-30)))</f>
        <v>45880</v>
      </c>
      <c r="C21" s="59">
        <f t="shared" ca="1" si="0"/>
        <v>7.38</v>
      </c>
      <c r="D21" s="59">
        <f ca="1">[1]!s_dq_close(wcodea,B21,1)</f>
        <v>7.38</v>
      </c>
      <c r="E21" s="59">
        <f t="shared" ca="1" si="1"/>
        <v>5.6397680000000001</v>
      </c>
      <c r="F21" s="59">
        <f ca="1">[1]!s_dq_close(wcodeh,B21,1)</f>
        <v>6.2</v>
      </c>
      <c r="G21" s="82">
        <f t="shared" ca="1" si="2"/>
        <v>30.856446577235097</v>
      </c>
      <c r="H21" s="60">
        <f t="shared" ca="1" si="3"/>
        <v>0.90964</v>
      </c>
      <c r="I21" s="88"/>
      <c r="J21" s="79"/>
      <c r="K21" s="86"/>
      <c r="L21" s="86"/>
      <c r="M21" s="86"/>
      <c r="N21" s="86"/>
      <c r="O21" s="87"/>
      <c r="P21" s="86"/>
      <c r="Q21" s="86"/>
      <c r="R21" s="86"/>
      <c r="S21" s="86"/>
      <c r="T21" s="86"/>
    </row>
    <row r="22" spans="1:20" ht="17.25" customHeight="1" x14ac:dyDescent="0.35">
      <c r="A22" s="79"/>
      <c r="B22" s="61">
        <f ca="1">--IF(QJ="日",[1]!td(B21-1),IF(QJ="周",[1]!td(B21-7),[1]!td(B21-30)))</f>
        <v>45873</v>
      </c>
      <c r="C22" s="62">
        <f t="shared" ca="1" si="0"/>
        <v>7.4</v>
      </c>
      <c r="D22" s="62">
        <f ca="1">[1]!s_dq_close(wcodea,B22,1)</f>
        <v>7.4</v>
      </c>
      <c r="E22" s="62">
        <f t="shared" ca="1" si="1"/>
        <v>5.4298343999999998</v>
      </c>
      <c r="F22" s="62">
        <f ca="1">[1]!s_dq_close(wcodeh,B22,1)</f>
        <v>5.97</v>
      </c>
      <c r="G22" s="83">
        <f t="shared" ca="1" si="2"/>
        <v>36.284082623219604</v>
      </c>
      <c r="H22" s="63">
        <f t="shared" ca="1" si="3"/>
        <v>0.90952</v>
      </c>
      <c r="I22" s="89"/>
      <c r="J22" s="79"/>
      <c r="O22" s="64" t="s">
        <v>313</v>
      </c>
      <c r="T22" s="86"/>
    </row>
    <row r="23" spans="1:20" ht="17.25" customHeight="1" x14ac:dyDescent="0.2">
      <c r="A23" s="79"/>
      <c r="B23" s="58">
        <f ca="1">--IF(QJ="日",[1]!td(B22-1),IF(QJ="周",[1]!td(B22-7),[1]!td(B22-30)))</f>
        <v>45866</v>
      </c>
      <c r="C23" s="59">
        <f t="shared" ca="1" si="0"/>
        <v>7.3</v>
      </c>
      <c r="D23" s="59">
        <f ca="1">[1]!s_dq_close(wcodea,B23,1)</f>
        <v>7.3</v>
      </c>
      <c r="E23" s="59">
        <f t="shared" ca="1" si="1"/>
        <v>5.3264835000000001</v>
      </c>
      <c r="F23" s="59">
        <f ca="1">[1]!s_dq_close(wcodeh,B23,1)</f>
        <v>5.85</v>
      </c>
      <c r="G23" s="82">
        <f t="shared" ca="1" si="2"/>
        <v>37.051020621766682</v>
      </c>
      <c r="H23" s="60">
        <f t="shared" ca="1" si="3"/>
        <v>0.91051000000000004</v>
      </c>
      <c r="I23" s="88"/>
      <c r="J23" s="79"/>
      <c r="T23" s="86"/>
    </row>
    <row r="24" spans="1:20" ht="17.25" customHeight="1" x14ac:dyDescent="0.2">
      <c r="A24" s="79"/>
      <c r="B24" s="61">
        <f ca="1">--IF(QJ="日",[1]!td(B23-1),IF(QJ="周",[1]!td(B23-7),[1]!td(B23-30)))</f>
        <v>45859</v>
      </c>
      <c r="C24" s="62">
        <f t="shared" ca="1" si="0"/>
        <v>7.59</v>
      </c>
      <c r="D24" s="62">
        <f ca="1">[1]!s_dq_close(wcodea,B24,1)</f>
        <v>7.59</v>
      </c>
      <c r="E24" s="62">
        <f t="shared" ca="1" si="1"/>
        <v>5.230575</v>
      </c>
      <c r="F24" s="62">
        <f ca="1">[1]!s_dq_close(wcodeh,B24,1)</f>
        <v>5.74</v>
      </c>
      <c r="G24" s="83">
        <f t="shared" ca="1" si="2"/>
        <v>45.108329390172194</v>
      </c>
      <c r="H24" s="63">
        <f t="shared" ca="1" si="3"/>
        <v>0.91125</v>
      </c>
      <c r="I24" s="89"/>
      <c r="J24" s="79"/>
      <c r="T24" s="86"/>
    </row>
    <row r="25" spans="1:20" ht="17.25" customHeight="1" x14ac:dyDescent="0.2">
      <c r="A25" s="79"/>
      <c r="B25" s="58">
        <f ca="1">--IF(QJ="日",[1]!td(B24-1),IF(QJ="周",[1]!td(B24-7),[1]!td(B24-30)))</f>
        <v>45852</v>
      </c>
      <c r="C25" s="59">
        <f t="shared" ca="1" si="0"/>
        <v>7.63</v>
      </c>
      <c r="D25" s="59">
        <f ca="1">[1]!s_dq_close(wcodea,B25,1)</f>
        <v>7.63</v>
      </c>
      <c r="E25" s="59">
        <f t="shared" ca="1" si="1"/>
        <v>5.1091392000000004</v>
      </c>
      <c r="F25" s="59">
        <f ca="1">[1]!s_dq_close(wcodeh,B25,1)</f>
        <v>5.61</v>
      </c>
      <c r="G25" s="82">
        <f t="shared" ca="1" si="2"/>
        <v>49.340225453242681</v>
      </c>
      <c r="H25" s="60">
        <f t="shared" ca="1" si="3"/>
        <v>0.91071999999999997</v>
      </c>
      <c r="I25" s="88"/>
      <c r="J25" s="79"/>
      <c r="T25" s="86"/>
    </row>
    <row r="26" spans="1:20" ht="17.25" customHeight="1" x14ac:dyDescent="0.2">
      <c r="A26" s="79"/>
      <c r="B26" s="61">
        <f ca="1">--IF(QJ="日",[1]!td(B25-1),IF(QJ="周",[1]!td(B25-7),[1]!td(B25-30)))</f>
        <v>45845</v>
      </c>
      <c r="C26" s="62">
        <f t="shared" ca="1" si="0"/>
        <v>7.65</v>
      </c>
      <c r="D26" s="62">
        <f ca="1">[1]!s_dq_close(wcodea,B26,1)</f>
        <v>7.65</v>
      </c>
      <c r="E26" s="62">
        <f t="shared" ca="1" si="1"/>
        <v>5.0373875999999997</v>
      </c>
      <c r="F26" s="62">
        <f ca="1">[1]!s_dq_close(wcodeh,B26,1)</f>
        <v>5.53</v>
      </c>
      <c r="G26" s="83">
        <f t="shared" ca="1" si="2"/>
        <v>51.864430682284613</v>
      </c>
      <c r="H26" s="63">
        <f t="shared" ca="1" si="3"/>
        <v>0.91091999999999995</v>
      </c>
      <c r="I26" s="89"/>
      <c r="J26" s="79"/>
      <c r="T26" s="86"/>
    </row>
    <row r="27" spans="1:20" ht="17.25" customHeight="1" x14ac:dyDescent="0.2">
      <c r="A27" s="79"/>
      <c r="B27" s="58">
        <f ca="1">--IF(QJ="日",[1]!td(B26-1),IF(QJ="周",[1]!td(B26-7),[1]!td(B26-30)))</f>
        <v>45838</v>
      </c>
      <c r="C27" s="59">
        <f t="shared" ca="1" si="0"/>
        <v>7.75</v>
      </c>
      <c r="D27" s="59">
        <f ca="1">[1]!s_dq_close(wcodea,B27,1)</f>
        <v>7.75</v>
      </c>
      <c r="E27" s="59">
        <f t="shared" ca="1" si="1"/>
        <v>5.0886810000000002</v>
      </c>
      <c r="F27" s="59">
        <f ca="1">[1]!s_dq_close(wcodeh,B27,1)</f>
        <v>5.58</v>
      </c>
      <c r="G27" s="82">
        <f t="shared" ca="1" si="2"/>
        <v>52.298798057885712</v>
      </c>
      <c r="H27" s="60">
        <f t="shared" ca="1" si="3"/>
        <v>0.91195000000000004</v>
      </c>
      <c r="I27" s="88"/>
      <c r="J27" s="79"/>
      <c r="T27" s="86"/>
    </row>
    <row r="28" spans="1:20" ht="17.25" customHeight="1" x14ac:dyDescent="0.2">
      <c r="A28" s="79"/>
      <c r="B28" s="61">
        <f ca="1">--IF(QJ="日",[1]!td(B27-1),IF(QJ="周",[1]!td(B27-7),[1]!td(B27-30)))</f>
        <v>45831</v>
      </c>
      <c r="C28" s="62">
        <f t="shared" ca="1" si="0"/>
        <v>7.86</v>
      </c>
      <c r="D28" s="62">
        <f ca="1">[1]!s_dq_close(wcodea,B28,1)</f>
        <v>7.86</v>
      </c>
      <c r="E28" s="62">
        <f t="shared" ca="1" si="1"/>
        <v>5.1157119999999994</v>
      </c>
      <c r="F28" s="62">
        <f ca="1">[1]!s_dq_close(wcodeh,B28,1)</f>
        <v>5.6</v>
      </c>
      <c r="G28" s="83">
        <f t="shared" ca="1" si="2"/>
        <v>53.644302103011299</v>
      </c>
      <c r="H28" s="63">
        <f t="shared" ca="1" si="3"/>
        <v>0.91352</v>
      </c>
      <c r="I28" s="89"/>
      <c r="J28" s="79"/>
      <c r="T28" s="86"/>
    </row>
    <row r="29" spans="1:20" ht="17.25" customHeight="1" x14ac:dyDescent="0.2">
      <c r="A29" s="79"/>
      <c r="B29" s="58">
        <f ca="1">--IF(QJ="日",[1]!td(B28-1),IF(QJ="周",[1]!td(B28-7),[1]!td(B28-30)))</f>
        <v>45824</v>
      </c>
      <c r="C29" s="59">
        <f t="shared" ca="1" si="0"/>
        <v>7.75</v>
      </c>
      <c r="D29" s="59">
        <f ca="1">[1]!s_dq_close(wcodea,B29,1)</f>
        <v>7.75</v>
      </c>
      <c r="E29" s="59">
        <f t="shared" ca="1" si="1"/>
        <v>5.2587774999999999</v>
      </c>
      <c r="F29" s="59">
        <f ca="1">[1]!s_dq_close(wcodeh,B29,1)</f>
        <v>5.75</v>
      </c>
      <c r="G29" s="82">
        <f t="shared" ca="1" si="2"/>
        <v>47.372654576087328</v>
      </c>
      <c r="H29" s="60">
        <f t="shared" ca="1" si="3"/>
        <v>0.91456999999999999</v>
      </c>
      <c r="I29" s="88"/>
      <c r="J29" s="79"/>
      <c r="T29" s="86"/>
    </row>
    <row r="30" spans="1:20" ht="17.25" customHeight="1" x14ac:dyDescent="0.2">
      <c r="A30" s="79"/>
      <c r="B30" s="61">
        <f ca="1">--IF(QJ="日",[1]!td(B29-1),IF(QJ="周",[1]!td(B29-7),[1]!td(B29-30)))</f>
        <v>45817</v>
      </c>
      <c r="C30" s="62">
        <f t="shared" ca="1" si="0"/>
        <v>8</v>
      </c>
      <c r="D30" s="62">
        <f ca="1">[1]!s_dq_close(wcodea,B30,1)</f>
        <v>8</v>
      </c>
      <c r="E30" s="62">
        <f t="shared" ca="1" si="1"/>
        <v>5.2925148000000002</v>
      </c>
      <c r="F30" s="62">
        <f ca="1">[1]!s_dq_close(wcodeh,B30,1)</f>
        <v>5.78</v>
      </c>
      <c r="G30" s="83">
        <f t="shared" ca="1" si="2"/>
        <v>51.156875366697129</v>
      </c>
      <c r="H30" s="63">
        <f t="shared" ca="1" si="3"/>
        <v>0.91566000000000003</v>
      </c>
      <c r="I30" s="89"/>
      <c r="J30" s="79"/>
      <c r="T30" s="86"/>
    </row>
    <row r="31" spans="1:20" ht="17.25" customHeight="1" x14ac:dyDescent="0.2">
      <c r="A31" s="79"/>
      <c r="B31" s="58">
        <f ca="1">--IF(QJ="日",[1]!td(B30-1),IF(QJ="周",[1]!td(B30-7),[1]!td(B30-30)))</f>
        <v>45807</v>
      </c>
      <c r="C31" s="59">
        <f t="shared" ca="1" si="0"/>
        <v>8.0299999999999994</v>
      </c>
      <c r="D31" s="59">
        <f ca="1">[1]!s_dq_close(wcodea,B31,1)</f>
        <v>8.0299999999999994</v>
      </c>
      <c r="E31" s="59">
        <f t="shared" ca="1" si="1"/>
        <v>5.4801916000000004</v>
      </c>
      <c r="F31" s="59">
        <f ca="1">[1]!s_dq_close(wcodeh,B31,1)</f>
        <v>5.98</v>
      </c>
      <c r="G31" s="82">
        <f t="shared" ca="1" si="2"/>
        <v>46.527723592729828</v>
      </c>
      <c r="H31" s="60">
        <f t="shared" ca="1" si="3"/>
        <v>0.91642000000000001</v>
      </c>
      <c r="I31" s="88"/>
      <c r="J31" s="79"/>
      <c r="T31" s="86"/>
    </row>
    <row r="32" spans="1:20" ht="17.25" customHeight="1" x14ac:dyDescent="0.2">
      <c r="A32" s="79"/>
      <c r="B32" s="61">
        <f ca="1">--IF(QJ="日",[1]!td(B31-1),IF(QJ="周",[1]!td(B31-7),[1]!td(B31-30)))</f>
        <v>45800</v>
      </c>
      <c r="C32" s="62">
        <f t="shared" ca="1" si="0"/>
        <v>7.92</v>
      </c>
      <c r="D32" s="62">
        <f ca="1">[1]!s_dq_close(wcodea,B32,1)</f>
        <v>7.92</v>
      </c>
      <c r="E32" s="62">
        <f t="shared" ca="1" si="1"/>
        <v>5.3370659999999992</v>
      </c>
      <c r="F32" s="62">
        <f ca="1">[1]!s_dq_close(wcodeh,B32,1)</f>
        <v>5.81</v>
      </c>
      <c r="G32" s="83">
        <f t="shared" ca="1" si="2"/>
        <v>48.396141250642223</v>
      </c>
      <c r="H32" s="63">
        <f t="shared" ca="1" si="3"/>
        <v>0.91859999999999997</v>
      </c>
      <c r="I32" s="89"/>
      <c r="J32" s="79"/>
      <c r="T32" s="86"/>
    </row>
    <row r="33" spans="1:20" ht="17.25" customHeight="1" x14ac:dyDescent="0.2">
      <c r="A33" s="79"/>
      <c r="B33" s="58">
        <f ca="1">--IF(QJ="日",[1]!td(B32-1),IF(QJ="周",[1]!td(B32-7),[1]!td(B32-30)))</f>
        <v>45793</v>
      </c>
      <c r="C33" s="59">
        <f t="shared" ca="1" si="0"/>
        <v>7.82</v>
      </c>
      <c r="D33" s="59">
        <f ca="1">[1]!s_dq_close(wcodea,B33,1)</f>
        <v>7.82</v>
      </c>
      <c r="E33" s="59">
        <f t="shared" ca="1" si="1"/>
        <v>5.1878197999999998</v>
      </c>
      <c r="F33" s="59">
        <f ca="1">[1]!s_dq_close(wcodeh,B33,1)</f>
        <v>5.63</v>
      </c>
      <c r="G33" s="82">
        <f t="shared" ca="1" si="2"/>
        <v>50.737695245312885</v>
      </c>
      <c r="H33" s="60">
        <f t="shared" ca="1" si="3"/>
        <v>0.92145999999999995</v>
      </c>
      <c r="I33" s="88"/>
      <c r="J33" s="79"/>
      <c r="T33" s="86"/>
    </row>
    <row r="34" spans="1:20" ht="17.25" customHeight="1" x14ac:dyDescent="0.2">
      <c r="A34" s="79"/>
      <c r="B34" s="61">
        <f ca="1">--IF(QJ="日",[1]!td(B33-1),IF(QJ="周",[1]!td(B33-7),[1]!td(B33-30)))</f>
        <v>45786</v>
      </c>
      <c r="C34" s="62">
        <f t="shared" ca="1" si="0"/>
        <v>7.81</v>
      </c>
      <c r="D34" s="62">
        <f ca="1">[1]!s_dq_close(wcodea,B34,1)</f>
        <v>7.81</v>
      </c>
      <c r="E34" s="62">
        <f t="shared" ca="1" si="1"/>
        <v>5.1947839999999994</v>
      </c>
      <c r="F34" s="62">
        <f ca="1">[1]!s_dq_close(wcodeh,B34,1)</f>
        <v>5.6</v>
      </c>
      <c r="G34" s="83">
        <f t="shared" ca="1" si="2"/>
        <v>50.34311339990267</v>
      </c>
      <c r="H34" s="63">
        <f t="shared" ca="1" si="3"/>
        <v>0.92764000000000002</v>
      </c>
      <c r="I34" s="89"/>
      <c r="J34" s="79"/>
      <c r="T34" s="86"/>
    </row>
    <row r="35" spans="1:20" ht="17.25" customHeight="1" x14ac:dyDescent="0.2">
      <c r="A35" s="79"/>
      <c r="B35" s="58">
        <f ca="1">--IF(QJ="日",[1]!td(B34-1),IF(QJ="周",[1]!td(B34-7),[1]!td(B34-30)))</f>
        <v>45777</v>
      </c>
      <c r="C35" s="59">
        <f t="shared" ca="1" si="0"/>
        <v>7.69</v>
      </c>
      <c r="D35" s="59">
        <f ca="1">[1]!s_dq_close(wcodea,B35,1)</f>
        <v>7.69</v>
      </c>
      <c r="E35" s="59">
        <f t="shared" ca="1" si="1"/>
        <v>4.9562141999999998</v>
      </c>
      <c r="F35" s="59">
        <f ca="1">[1]!s_dq_close(wcodeh,B35,1)</f>
        <v>5.34</v>
      </c>
      <c r="G35" s="82">
        <f t="shared" ca="1" si="2"/>
        <v>55.158749999142501</v>
      </c>
      <c r="H35" s="60">
        <f t="shared" ca="1" si="3"/>
        <v>0.92813000000000001</v>
      </c>
      <c r="I35" s="88"/>
      <c r="J35" s="79"/>
      <c r="T35" s="86"/>
    </row>
    <row r="36" spans="1:20" ht="17.25" customHeight="1" x14ac:dyDescent="0.2">
      <c r="A36" s="79"/>
      <c r="B36" s="61">
        <f ca="1">--IF(QJ="日",[1]!td(B35-1),IF(QJ="周",[1]!td(B35-7),[1]!td(B35-30)))</f>
        <v>45770</v>
      </c>
      <c r="C36" s="62">
        <f t="shared" ca="1" si="0"/>
        <v>7.76</v>
      </c>
      <c r="D36" s="62">
        <f ca="1">[1]!s_dq_close(wcodea,B36,1)</f>
        <v>7.76</v>
      </c>
      <c r="E36" s="62">
        <f t="shared" ca="1" si="1"/>
        <v>5.1308399999999992</v>
      </c>
      <c r="F36" s="62">
        <f ca="1">[1]!s_dq_close(wcodeh,B36,1)</f>
        <v>5.52</v>
      </c>
      <c r="G36" s="83">
        <f t="shared" ca="1" si="2"/>
        <v>51.242291710519147</v>
      </c>
      <c r="H36" s="63">
        <f t="shared" ca="1" si="3"/>
        <v>0.92949999999999999</v>
      </c>
      <c r="I36" s="89"/>
      <c r="J36" s="79"/>
      <c r="T36" s="86"/>
    </row>
    <row r="37" spans="1:20" ht="17.25" customHeight="1" x14ac:dyDescent="0.2">
      <c r="A37" s="79"/>
      <c r="B37" s="58">
        <f ca="1">--IF(QJ="日",[1]!td(B36-1),IF(QJ="周",[1]!td(B36-7),[1]!td(B36-30)))</f>
        <v>45763</v>
      </c>
      <c r="C37" s="59">
        <f t="shared" ca="1" si="0"/>
        <v>8.1199999999999992</v>
      </c>
      <c r="D37" s="59">
        <f ca="1">[1]!s_dq_close(wcodea,B37,1)</f>
        <v>8.1199999999999992</v>
      </c>
      <c r="E37" s="59">
        <f t="shared" ca="1" si="1"/>
        <v>5.5240217999999999</v>
      </c>
      <c r="F37" s="59">
        <f ca="1">[1]!s_dq_close(wcodeh,B37,1)</f>
        <v>5.94</v>
      </c>
      <c r="G37" s="82">
        <f t="shared" ca="1" si="2"/>
        <v>46.994351108462304</v>
      </c>
      <c r="H37" s="60">
        <f t="shared" ca="1" si="3"/>
        <v>0.92996999999999996</v>
      </c>
      <c r="I37" s="88"/>
      <c r="J37" s="79"/>
      <c r="T37" s="86"/>
    </row>
    <row r="38" spans="1:20" ht="17.25" customHeight="1" x14ac:dyDescent="0.2">
      <c r="A38" s="79"/>
      <c r="B38" s="61">
        <f ca="1">--IF(QJ="日",[1]!td(B37-1),IF(QJ="周",[1]!td(B37-7),[1]!td(B37-30)))</f>
        <v>45756</v>
      </c>
      <c r="C38" s="62">
        <f t="shared" ca="1" si="0"/>
        <v>8.3000000000000007</v>
      </c>
      <c r="D38" s="62">
        <f ca="1">[1]!s_dq_close(wcodea,B38,1)</f>
        <v>8.3000000000000007</v>
      </c>
      <c r="E38" s="62">
        <f t="shared" ca="1" si="1"/>
        <v>5.3447616</v>
      </c>
      <c r="F38" s="62">
        <f ca="1">[1]!s_dq_close(wcodeh,B38,1)</f>
        <v>5.76</v>
      </c>
      <c r="G38" s="83">
        <f t="shared" ca="1" si="2"/>
        <v>55.292239788581043</v>
      </c>
      <c r="H38" s="63">
        <f t="shared" ca="1" si="3"/>
        <v>0.92791000000000001</v>
      </c>
      <c r="I38" s="89"/>
      <c r="J38" s="79"/>
      <c r="T38" s="86"/>
    </row>
    <row r="39" spans="1:20" ht="17.25" customHeight="1" x14ac:dyDescent="0.2">
      <c r="A39" s="79"/>
      <c r="B39" s="58">
        <f ca="1">--IF(QJ="日",[1]!td(B38-1),IF(QJ="周",[1]!td(B38-7),[1]!td(B38-30)))</f>
        <v>45749</v>
      </c>
      <c r="C39" s="59">
        <f t="shared" ca="1" si="0"/>
        <v>7.88</v>
      </c>
      <c r="D39" s="59">
        <f ca="1">[1]!s_dq_close(wcodea,B39,1)</f>
        <v>7.88</v>
      </c>
      <c r="E39" s="59">
        <f t="shared" ca="1" si="1"/>
        <v>5.4806598000000006</v>
      </c>
      <c r="F39" s="59">
        <f ca="1">[1]!s_dq_close(wcodeh,B39,1)</f>
        <v>5.94</v>
      </c>
      <c r="G39" s="82">
        <f t="shared" ca="1" si="2"/>
        <v>43.778309319618771</v>
      </c>
      <c r="H39" s="60">
        <f t="shared" ca="1" si="3"/>
        <v>0.92266999999999999</v>
      </c>
      <c r="I39" s="88"/>
      <c r="J39" s="79"/>
      <c r="T39" s="86"/>
    </row>
    <row r="40" spans="1:20" ht="17.25" customHeight="1" x14ac:dyDescent="0.2">
      <c r="A40" s="79"/>
      <c r="B40" s="61">
        <f ca="1">--IF(QJ="日",[1]!td(B39-1),IF(QJ="周",[1]!td(B39-7),[1]!td(B39-30)))</f>
        <v>45742</v>
      </c>
      <c r="C40" s="62">
        <f t="shared" ca="1" si="0"/>
        <v>7.65</v>
      </c>
      <c r="D40" s="62">
        <f ca="1">[1]!s_dq_close(wcodea,B40,1)</f>
        <v>7.65</v>
      </c>
      <c r="E40" s="62">
        <f t="shared" ca="1" si="1"/>
        <v>5.3433593999999998</v>
      </c>
      <c r="F40" s="62">
        <f ca="1">[1]!s_dq_close(wcodeh,B40,1)</f>
        <v>5.79</v>
      </c>
      <c r="G40" s="83">
        <f t="shared" ca="1" si="2"/>
        <v>43.168359590410496</v>
      </c>
      <c r="H40" s="63">
        <f t="shared" ca="1" si="3"/>
        <v>0.92286000000000001</v>
      </c>
      <c r="I40" s="89"/>
      <c r="J40" s="79"/>
      <c r="T40" s="86"/>
    </row>
    <row r="41" spans="1:20" ht="17.25" customHeight="1" x14ac:dyDescent="0.2">
      <c r="A41" s="79"/>
      <c r="B41" s="58">
        <f ca="1">--IF(QJ="日",[1]!td(B40-1),IF(QJ="周",[1]!td(B40-7),[1]!td(B40-30)))</f>
        <v>45735</v>
      </c>
      <c r="C41" s="59">
        <f t="shared" ca="1" si="0"/>
        <v>7.64</v>
      </c>
      <c r="D41" s="59">
        <f ca="1">[1]!s_dq_close(wcodea,B41,1)</f>
        <v>7.64</v>
      </c>
      <c r="E41" s="59">
        <f t="shared" ca="1" si="1"/>
        <v>5.6105024000000006</v>
      </c>
      <c r="F41" s="59">
        <f ca="1">[1]!s_dq_close(wcodeh,B41,1)</f>
        <v>6.08</v>
      </c>
      <c r="G41" s="82">
        <f t="shared" ca="1" si="2"/>
        <v>36.173188340495123</v>
      </c>
      <c r="H41" s="60">
        <f t="shared" ca="1" si="3"/>
        <v>0.92278000000000004</v>
      </c>
      <c r="I41" s="88"/>
      <c r="J41" s="79"/>
      <c r="K41" s="86"/>
      <c r="L41" s="86"/>
      <c r="M41" s="86"/>
      <c r="N41" s="86"/>
      <c r="O41" s="86"/>
      <c r="P41" s="86"/>
      <c r="Q41" s="86"/>
      <c r="R41" s="86"/>
      <c r="S41" s="86"/>
      <c r="T41" s="86"/>
    </row>
    <row r="42" spans="1:20" ht="17.25" customHeight="1" x14ac:dyDescent="0.2">
      <c r="A42" s="79"/>
      <c r="B42" s="61">
        <f ca="1">--IF(QJ="日",[1]!td(B41-1),IF(QJ="周",[1]!td(B41-7),[1]!td(B41-30)))</f>
        <v>45728</v>
      </c>
      <c r="C42" s="62">
        <f t="shared" ca="1" si="0"/>
        <v>7.93</v>
      </c>
      <c r="D42" s="62">
        <f ca="1">[1]!s_dq_close(wcodea,B42,1)</f>
        <v>7.93</v>
      </c>
      <c r="E42" s="62">
        <f t="shared" ca="1" si="1"/>
        <v>5.4161315999999999</v>
      </c>
      <c r="F42" s="62">
        <f ca="1">[1]!s_dq_close(wcodeh,B42,1)</f>
        <v>5.87</v>
      </c>
      <c r="G42" s="83">
        <f t="shared" ca="1" si="2"/>
        <v>46.414463045912704</v>
      </c>
      <c r="H42" s="63">
        <f t="shared" ca="1" si="3"/>
        <v>0.92267999999999994</v>
      </c>
      <c r="I42" s="89"/>
      <c r="J42" s="79"/>
    </row>
    <row r="43" spans="1:20" ht="17.25" customHeight="1" x14ac:dyDescent="0.2">
      <c r="A43" s="79"/>
      <c r="B43" s="58">
        <f ca="1">--IF(QJ="日",[1]!td(B42-1),IF(QJ="周",[1]!td(B42-7),[1]!td(B42-30)))</f>
        <v>45721</v>
      </c>
      <c r="C43" s="59">
        <f t="shared" ca="1" si="0"/>
        <v>8.0399999999999991</v>
      </c>
      <c r="D43" s="59">
        <f ca="1">[1]!s_dq_close(wcodea,B43,1)</f>
        <v>8.0399999999999991</v>
      </c>
      <c r="E43" s="59">
        <f t="shared" ca="1" si="1"/>
        <v>5.5349400000000006</v>
      </c>
      <c r="F43" s="59">
        <f ca="1">[1]!s_dq_close(wcodeh,B43,1)</f>
        <v>6</v>
      </c>
      <c r="G43" s="82">
        <f t="shared" ca="1" si="2"/>
        <v>45.25902719812678</v>
      </c>
      <c r="H43" s="60">
        <f t="shared" ca="1" si="3"/>
        <v>0.92249000000000003</v>
      </c>
      <c r="I43" s="88"/>
      <c r="J43" s="79"/>
    </row>
    <row r="44" spans="1:20" ht="17.25" customHeight="1" x14ac:dyDescent="0.2">
      <c r="A44" s="79"/>
      <c r="B44" s="61">
        <f ca="1">--IF(QJ="日",[1]!td(B43-1),IF(QJ="周",[1]!td(B43-7),[1]!td(B43-30)))</f>
        <v>45714</v>
      </c>
      <c r="C44" s="62">
        <f t="shared" ca="1" si="0"/>
        <v>8.06</v>
      </c>
      <c r="D44" s="62">
        <f ca="1">[1]!s_dq_close(wcodea,B44,1)</f>
        <v>8.06</v>
      </c>
      <c r="E44" s="62">
        <f t="shared" ca="1" si="1"/>
        <v>5.6301779999999999</v>
      </c>
      <c r="F44" s="62">
        <f ca="1">[1]!s_dq_close(wcodeh,B44,1)</f>
        <v>6.1</v>
      </c>
      <c r="G44" s="83">
        <f t="shared" ca="1" si="2"/>
        <v>43.157107999072153</v>
      </c>
      <c r="H44" s="63">
        <f t="shared" ca="1" si="3"/>
        <v>0.92298000000000002</v>
      </c>
      <c r="I44" s="89"/>
      <c r="J44" s="79"/>
    </row>
    <row r="45" spans="1:20" ht="17.25" customHeight="1" x14ac:dyDescent="0.2">
      <c r="A45" s="79"/>
      <c r="B45" s="58">
        <f ca="1">--IF(QJ="日",[1]!td(B44-1),IF(QJ="周",[1]!td(B44-7),[1]!td(B44-30)))</f>
        <v>45707</v>
      </c>
      <c r="C45" s="59">
        <f t="shared" ca="1" si="0"/>
        <v>8.06</v>
      </c>
      <c r="D45" s="59">
        <f ca="1">[1]!s_dq_close(wcodea,B45,1)</f>
        <v>8.06</v>
      </c>
      <c r="E45" s="59">
        <f t="shared" ca="1" si="1"/>
        <v>5.5970863</v>
      </c>
      <c r="F45" s="59">
        <f ca="1">[1]!s_dq_close(wcodeh,B45,1)</f>
        <v>6.07</v>
      </c>
      <c r="G45" s="82">
        <f t="shared" ca="1" si="2"/>
        <v>44.003496962339142</v>
      </c>
      <c r="H45" s="60">
        <f t="shared" ca="1" si="3"/>
        <v>0.92208999999999997</v>
      </c>
      <c r="I45" s="88"/>
      <c r="J45" s="79"/>
    </row>
    <row r="46" spans="1:20" ht="17.25" customHeight="1" x14ac:dyDescent="0.2">
      <c r="A46" s="79"/>
      <c r="B46" s="61">
        <f ca="1">--IF(QJ="日",[1]!td(B45-1),IF(QJ="周",[1]!td(B45-7),[1]!td(B45-30)))</f>
        <v>45700</v>
      </c>
      <c r="C46" s="62">
        <f t="shared" ca="1" si="0"/>
        <v>7.74</v>
      </c>
      <c r="D46" s="62">
        <f ca="1">[1]!s_dq_close(wcodea,B46,1)</f>
        <v>7.74</v>
      </c>
      <c r="E46" s="62">
        <f t="shared" ca="1" si="1"/>
        <v>5.1899843999999993</v>
      </c>
      <c r="F46" s="62">
        <f ca="1">[1]!s_dq_close(wcodeh,B46,1)</f>
        <v>5.64</v>
      </c>
      <c r="G46" s="83">
        <f t="shared" ca="1" si="2"/>
        <v>49.133396239110105</v>
      </c>
      <c r="H46" s="63">
        <f t="shared" ca="1" si="3"/>
        <v>0.92020999999999997</v>
      </c>
      <c r="I46" s="89"/>
      <c r="J46" s="79"/>
    </row>
    <row r="47" spans="1:20" ht="17.25" customHeight="1" x14ac:dyDescent="0.2">
      <c r="A47" s="79"/>
      <c r="B47" s="58">
        <f ca="1">--IF(QJ="日",[1]!td(B46-1),IF(QJ="周",[1]!td(B46-7),[1]!td(B46-30)))</f>
        <v>45693</v>
      </c>
      <c r="C47" s="59">
        <f t="shared" ca="1" si="0"/>
        <v>6.97</v>
      </c>
      <c r="D47" s="59">
        <f ca="1">[1]!s_dq_close(wcodea,B47,1)</f>
        <v>6.97</v>
      </c>
      <c r="E47" s="59">
        <f t="shared" ca="1" si="1"/>
        <v>4.4750394</v>
      </c>
      <c r="F47" s="59">
        <f ca="1">[1]!s_dq_close(wcodeh,B47,1)</f>
        <v>4.8600000000000003</v>
      </c>
      <c r="G47" s="82">
        <f t="shared" ca="1" si="2"/>
        <v>55.752818623228208</v>
      </c>
      <c r="H47" s="60">
        <f t="shared" ca="1" si="3"/>
        <v>0.92079</v>
      </c>
      <c r="I47" s="88"/>
      <c r="J47" s="79"/>
    </row>
    <row r="48" spans="1:20" ht="17.25" customHeight="1" x14ac:dyDescent="0.2">
      <c r="A48" s="79"/>
      <c r="B48" s="61">
        <f ca="1">--IF(QJ="日",[1]!td(B47-1),IF(QJ="周",[1]!td(B47-7),[1]!td(B47-30)))</f>
        <v>45684</v>
      </c>
      <c r="C48" s="62">
        <f t="shared" ca="1" si="0"/>
        <v>7.06</v>
      </c>
      <c r="D48" s="62">
        <f ca="1">[1]!s_dq_close(wcodea,B48,1)</f>
        <v>7.06</v>
      </c>
      <c r="E48" s="62">
        <f t="shared" ca="1" si="1"/>
        <v>4.5291059999999996</v>
      </c>
      <c r="F48" s="62">
        <f ca="1">[1]!s_dq_close(wcodeh,B48,1)</f>
        <v>4.92</v>
      </c>
      <c r="G48" s="83">
        <f t="shared" ca="1" si="2"/>
        <v>55.880652826407683</v>
      </c>
      <c r="H48" s="63">
        <f t="shared" ca="1" si="3"/>
        <v>0.92054999999999998</v>
      </c>
      <c r="I48" s="89"/>
      <c r="J48" s="79"/>
    </row>
    <row r="49" spans="1:10" ht="17.25" customHeight="1" x14ac:dyDescent="0.2">
      <c r="A49" s="79"/>
      <c r="B49" s="58">
        <f ca="1">--IF(QJ="日",[1]!td(B48-1),IF(QJ="周",[1]!td(B48-7),[1]!td(B48-30)))</f>
        <v>45677</v>
      </c>
      <c r="C49" s="59">
        <f t="shared" ca="1" si="0"/>
        <v>6.87</v>
      </c>
      <c r="D49" s="59">
        <f ca="1">[1]!s_dq_close(wcodea,B49,1)</f>
        <v>6.87</v>
      </c>
      <c r="E49" s="59">
        <f t="shared" ca="1" si="1"/>
        <v>4.3861499999999998</v>
      </c>
      <c r="F49" s="59">
        <f ca="1">[1]!s_dq_close(wcodeh,B49,1)</f>
        <v>4.75</v>
      </c>
      <c r="G49" s="82">
        <f t="shared" ca="1" si="2"/>
        <v>56.629390239731904</v>
      </c>
      <c r="H49" s="60">
        <f t="shared" ca="1" si="3"/>
        <v>0.9234</v>
      </c>
      <c r="I49" s="88"/>
      <c r="J49" s="79"/>
    </row>
    <row r="50" spans="1:10" ht="17.25" customHeight="1" x14ac:dyDescent="0.2">
      <c r="A50" s="79"/>
      <c r="B50" s="61">
        <f ca="1">--IF(QJ="日",[1]!td(B49-1),IF(QJ="周",[1]!td(B49-7),[1]!td(B49-30)))</f>
        <v>45670</v>
      </c>
      <c r="C50" s="62">
        <f t="shared" ca="1" si="0"/>
        <v>6.83</v>
      </c>
      <c r="D50" s="62">
        <f ca="1">[1]!s_dq_close(wcodea,B50,1)</f>
        <v>6.83</v>
      </c>
      <c r="E50" s="62">
        <f t="shared" ca="1" si="1"/>
        <v>4.3477068000000001</v>
      </c>
      <c r="F50" s="62">
        <f ca="1">[1]!s_dq_close(wcodeh,B50,1)</f>
        <v>4.71</v>
      </c>
      <c r="G50" s="83">
        <f t="shared" ca="1" si="2"/>
        <v>57.094310039490239</v>
      </c>
      <c r="H50" s="63">
        <f t="shared" ca="1" si="3"/>
        <v>0.92308000000000001</v>
      </c>
      <c r="I50" s="89"/>
      <c r="J50" s="79"/>
    </row>
    <row r="51" spans="1:10" ht="17.25" customHeight="1" x14ac:dyDescent="0.2">
      <c r="A51" s="79"/>
      <c r="B51" s="58">
        <f ca="1">--IF(QJ="日",[1]!td(B50-1),IF(QJ="周",[1]!td(B50-7),[1]!td(B50-30)))</f>
        <v>45663</v>
      </c>
      <c r="C51" s="59">
        <f t="shared" ca="1" si="0"/>
        <v>7</v>
      </c>
      <c r="D51" s="59">
        <f ca="1">[1]!s_dq_close(wcodea,B51,1)</f>
        <v>7</v>
      </c>
      <c r="E51" s="59">
        <f t="shared" ca="1" si="1"/>
        <v>4.3985256000000001</v>
      </c>
      <c r="F51" s="59">
        <f ca="1">[1]!s_dq_close(wcodeh,B51,1)</f>
        <v>4.76</v>
      </c>
      <c r="G51" s="82">
        <f t="shared" ref="G51:G82" ca="1" si="4">IF(BZ="人民币",100*(D51/E51-1),100*(C51/E51-1))</f>
        <v>59.144236877921095</v>
      </c>
      <c r="H51" s="60">
        <f t="shared" ref="H51:H82" ca="1" si="5">VLOOKUP(B51,hl,2,FALSE)</f>
        <v>0.92405999999999999</v>
      </c>
      <c r="I51" s="88"/>
      <c r="J51" s="79"/>
    </row>
    <row r="52" spans="1:10" ht="17.25" customHeight="1" x14ac:dyDescent="0.2">
      <c r="A52" s="79"/>
      <c r="B52" s="61">
        <f ca="1">--IF(QJ="日",[1]!td(B51-1),IF(QJ="周",[1]!td(B51-7),[1]!td(B51-30)))</f>
        <v>45656</v>
      </c>
      <c r="C52" s="62">
        <f t="shared" ca="1" si="0"/>
        <v>7.26</v>
      </c>
      <c r="D52" s="62">
        <f ca="1">[1]!s_dq_close(wcodea,B52,1)</f>
        <v>7.26</v>
      </c>
      <c r="E52" s="62">
        <f t="shared" ca="1" si="1"/>
        <v>4.5180992</v>
      </c>
      <c r="F52" s="62">
        <f ca="1">[1]!s_dq_close(wcodeh,B52,1)</f>
        <v>4.88</v>
      </c>
      <c r="G52" s="83">
        <f t="shared" ca="1" si="4"/>
        <v>60.687042905122567</v>
      </c>
      <c r="H52" s="63">
        <f t="shared" ca="1" si="5"/>
        <v>0.92584</v>
      </c>
      <c r="I52" s="89"/>
      <c r="J52" s="79"/>
    </row>
    <row r="53" spans="1:10" ht="17.25" customHeight="1" x14ac:dyDescent="0.2">
      <c r="A53" s="79"/>
      <c r="B53" s="58">
        <f ca="1">--IF(QJ="日",[1]!td(B52-1),IF(QJ="周",[1]!td(B52-7),[1]!td(B52-30)))</f>
        <v>45649</v>
      </c>
      <c r="C53" s="59">
        <f t="shared" ca="1" si="0"/>
        <v>7.06</v>
      </c>
      <c r="D53" s="59">
        <f ca="1">[1]!s_dq_close(wcodea,B53,1)</f>
        <v>7.06</v>
      </c>
      <c r="E53" s="59">
        <f t="shared" ca="1" si="1"/>
        <v>4.4846979999999999</v>
      </c>
      <c r="F53" s="59">
        <f ca="1">[1]!s_dq_close(wcodeh,B53,1)</f>
        <v>4.8499999999999996</v>
      </c>
      <c r="G53" s="82">
        <f t="shared" ca="1" si="4"/>
        <v>57.424201139073361</v>
      </c>
      <c r="H53" s="60">
        <f t="shared" ca="1" si="5"/>
        <v>0.92467999999999995</v>
      </c>
      <c r="I53" s="88"/>
      <c r="J53" s="79"/>
    </row>
    <row r="54" spans="1:10" ht="17.25" customHeight="1" x14ac:dyDescent="0.2">
      <c r="A54" s="79"/>
      <c r="B54" s="61">
        <f ca="1">--IF(QJ="日",[1]!td(B53-1),IF(QJ="周",[1]!td(B53-7),[1]!td(B53-30)))</f>
        <v>45642</v>
      </c>
      <c r="C54" s="62">
        <f t="shared" ca="1" si="0"/>
        <v>6.98</v>
      </c>
      <c r="D54" s="62">
        <f ca="1">[1]!s_dq_close(wcodea,B54,1)</f>
        <v>6.98</v>
      </c>
      <c r="E54" s="62">
        <f t="shared" ca="1" si="1"/>
        <v>4.4650452000000005</v>
      </c>
      <c r="F54" s="62">
        <f ca="1">[1]!s_dq_close(wcodeh,B54,1)</f>
        <v>4.83</v>
      </c>
      <c r="G54" s="83">
        <f t="shared" ca="1" si="4"/>
        <v>56.32540517171023</v>
      </c>
      <c r="H54" s="63">
        <f t="shared" ca="1" si="5"/>
        <v>0.92444000000000004</v>
      </c>
      <c r="I54" s="89"/>
      <c r="J54" s="79"/>
    </row>
    <row r="55" spans="1:10" ht="17.25" customHeight="1" x14ac:dyDescent="0.2">
      <c r="A55" s="79"/>
      <c r="B55" s="58">
        <f ca="1">--IF(QJ="日",[1]!td(B54-1),IF(QJ="周",[1]!td(B54-7),[1]!td(B54-30)))</f>
        <v>45635</v>
      </c>
      <c r="C55" s="59">
        <f t="shared" ca="1" si="0"/>
        <v>6.73</v>
      </c>
      <c r="D55" s="59">
        <f ca="1">[1]!s_dq_close(wcodea,B55,1)</f>
        <v>6.73</v>
      </c>
      <c r="E55" s="59">
        <f t="shared" ca="1" si="1"/>
        <v>4.3138190999999999</v>
      </c>
      <c r="F55" s="59">
        <f ca="1">[1]!s_dq_close(wcodeh,B55,1)</f>
        <v>4.67</v>
      </c>
      <c r="G55" s="82">
        <f t="shared" ca="1" si="4"/>
        <v>56.010250870278732</v>
      </c>
      <c r="H55" s="60">
        <f t="shared" ca="1" si="5"/>
        <v>0.92373000000000005</v>
      </c>
      <c r="I55" s="88"/>
      <c r="J55" s="79"/>
    </row>
    <row r="56" spans="1:10" ht="17.25" customHeight="1" x14ac:dyDescent="0.2">
      <c r="A56" s="79"/>
      <c r="B56" s="61">
        <f ca="1">--IF(QJ="日",[1]!td(B55-1),IF(QJ="周",[1]!td(B55-7),[1]!td(B55-30)))</f>
        <v>45628</v>
      </c>
      <c r="C56" s="62">
        <f t="shared" ca="1" si="0"/>
        <v>6.49</v>
      </c>
      <c r="D56" s="62">
        <f ca="1">[1]!s_dq_close(wcodea,B56,1)</f>
        <v>6.49</v>
      </c>
      <c r="E56" s="62">
        <f t="shared" ca="1" si="1"/>
        <v>4.1923722000000003</v>
      </c>
      <c r="F56" s="62">
        <f ca="1">[1]!s_dq_close(wcodeh,B56,1)</f>
        <v>4.54</v>
      </c>
      <c r="G56" s="83">
        <f t="shared" ca="1" si="4"/>
        <v>54.804957441517232</v>
      </c>
      <c r="H56" s="63">
        <f t="shared" ca="1" si="5"/>
        <v>0.92342999999999997</v>
      </c>
      <c r="I56" s="89"/>
      <c r="J56" s="79"/>
    </row>
    <row r="57" spans="1:10" ht="17.25" customHeight="1" x14ac:dyDescent="0.2">
      <c r="A57" s="79"/>
      <c r="B57" s="58">
        <f ca="1">--IF(QJ="日",[1]!td(B56-1),IF(QJ="周",[1]!td(B56-7),[1]!td(B56-30)))</f>
        <v>45621</v>
      </c>
      <c r="C57" s="59">
        <f t="shared" ca="1" si="0"/>
        <v>6.38</v>
      </c>
      <c r="D57" s="59">
        <f ca="1">[1]!s_dq_close(wcodea,B57,1)</f>
        <v>6.38</v>
      </c>
      <c r="E57" s="59">
        <f t="shared" ca="1" si="1"/>
        <v>4.1029152</v>
      </c>
      <c r="F57" s="59">
        <f ca="1">[1]!s_dq_close(wcodeh,B57,1)</f>
        <v>4.4400000000000004</v>
      </c>
      <c r="G57" s="82">
        <f t="shared" ca="1" si="4"/>
        <v>55.499192379116202</v>
      </c>
      <c r="H57" s="60">
        <f t="shared" ca="1" si="5"/>
        <v>0.92408000000000001</v>
      </c>
      <c r="I57" s="88"/>
      <c r="J57" s="79"/>
    </row>
    <row r="58" spans="1:10" ht="17.25" customHeight="1" x14ac:dyDescent="0.2">
      <c r="A58" s="79"/>
      <c r="B58" s="61">
        <f ca="1">--IF(QJ="日",[1]!td(B57-1),IF(QJ="周",[1]!td(B57-7),[1]!td(B57-30)))</f>
        <v>45614</v>
      </c>
      <c r="C58" s="62">
        <f t="shared" ca="1" si="0"/>
        <v>6.75</v>
      </c>
      <c r="D58" s="62">
        <f ca="1">[1]!s_dq_close(wcodea,B58,1)</f>
        <v>6.75</v>
      </c>
      <c r="E58" s="62">
        <f t="shared" ca="1" si="1"/>
        <v>4.156695</v>
      </c>
      <c r="F58" s="62">
        <f ca="1">[1]!s_dq_close(wcodeh,B58,1)</f>
        <v>4.5</v>
      </c>
      <c r="G58" s="83">
        <f t="shared" ca="1" si="4"/>
        <v>62.388628465643968</v>
      </c>
      <c r="H58" s="63">
        <f t="shared" ca="1" si="5"/>
        <v>0.92371000000000003</v>
      </c>
      <c r="I58" s="89"/>
      <c r="J58" s="79"/>
    </row>
    <row r="59" spans="1:10" ht="17.25" customHeight="1" x14ac:dyDescent="0.2">
      <c r="A59" s="79"/>
      <c r="B59" s="58">
        <f ca="1">--IF(QJ="日",[1]!td(B58-1),IF(QJ="周",[1]!td(B58-7),[1]!td(B58-30)))</f>
        <v>45607</v>
      </c>
      <c r="C59" s="59">
        <f t="shared" ca="1" si="0"/>
        <v>6.52</v>
      </c>
      <c r="D59" s="59">
        <f ca="1">[1]!s_dq_close(wcodea,B59,1)</f>
        <v>6.52</v>
      </c>
      <c r="E59" s="59">
        <f t="shared" ca="1" si="1"/>
        <v>3.9975859000000002</v>
      </c>
      <c r="F59" s="59">
        <f ca="1">[1]!s_dq_close(wcodeh,B59,1)</f>
        <v>4.33</v>
      </c>
      <c r="G59" s="82">
        <f t="shared" ca="1" si="4"/>
        <v>63.098433982369187</v>
      </c>
      <c r="H59" s="60">
        <f t="shared" ca="1" si="5"/>
        <v>0.92323</v>
      </c>
      <c r="I59" s="88"/>
      <c r="J59" s="79"/>
    </row>
    <row r="60" spans="1:10" ht="17.25" customHeight="1" x14ac:dyDescent="0.2">
      <c r="A60" s="79"/>
      <c r="B60" s="61">
        <f ca="1">--IF(QJ="日",[1]!td(B59-1),IF(QJ="周",[1]!td(B59-7),[1]!td(B59-30)))</f>
        <v>45600</v>
      </c>
      <c r="C60" s="62">
        <f t="shared" ca="1" si="0"/>
        <v>6.39</v>
      </c>
      <c r="D60" s="62">
        <f ca="1">[1]!s_dq_close(wcodea,B60,1)</f>
        <v>6.39</v>
      </c>
      <c r="E60" s="62">
        <f t="shared" ca="1" si="1"/>
        <v>4.0934024999999998</v>
      </c>
      <c r="F60" s="62">
        <f ca="1">[1]!s_dq_close(wcodeh,B60,1)</f>
        <v>4.47</v>
      </c>
      <c r="G60" s="83">
        <f t="shared" ca="1" si="4"/>
        <v>56.104854091431264</v>
      </c>
      <c r="H60" s="63">
        <f t="shared" ca="1" si="5"/>
        <v>0.91574999999999995</v>
      </c>
      <c r="I60" s="89"/>
      <c r="J60" s="79"/>
    </row>
    <row r="61" spans="1:10" ht="17.25" customHeight="1" x14ac:dyDescent="0.2">
      <c r="A61" s="79"/>
      <c r="B61" s="58">
        <f ca="1">--IF(QJ="日",[1]!td(B60-1),IF(QJ="周",[1]!td(B60-7),[1]!td(B60-30)))</f>
        <v>45593</v>
      </c>
      <c r="C61" s="59">
        <f t="shared" ca="1" si="0"/>
        <v>6.52</v>
      </c>
      <c r="D61" s="59">
        <f ca="1">[1]!s_dq_close(wcodea,B61,1)</f>
        <v>6.52</v>
      </c>
      <c r="E61" s="59">
        <f t="shared" ca="1" si="1"/>
        <v>4.2013714000000002</v>
      </c>
      <c r="F61" s="59">
        <f ca="1">[1]!s_dq_close(wcodeh,B61,1)</f>
        <v>4.58</v>
      </c>
      <c r="G61" s="82">
        <f t="shared" ca="1" si="4"/>
        <v>55.187422849596189</v>
      </c>
      <c r="H61" s="60">
        <f t="shared" ca="1" si="5"/>
        <v>0.91732999999999998</v>
      </c>
      <c r="I61" s="88"/>
      <c r="J61" s="79"/>
    </row>
    <row r="62" spans="1:10" ht="17.25" customHeight="1" x14ac:dyDescent="0.2">
      <c r="A62" s="79"/>
      <c r="B62" s="61">
        <f ca="1">--IF(QJ="日",[1]!td(B61-1),IF(QJ="周",[1]!td(B61-7),[1]!td(B61-30)))</f>
        <v>45586</v>
      </c>
      <c r="C62" s="62">
        <f t="shared" ca="1" si="0"/>
        <v>6.66</v>
      </c>
      <c r="D62" s="62">
        <f ca="1">[1]!s_dq_close(wcodea,B62,1)</f>
        <v>6.66</v>
      </c>
      <c r="E62" s="62">
        <f t="shared" ca="1" si="1"/>
        <v>4.29392</v>
      </c>
      <c r="F62" s="62">
        <f ca="1">[1]!s_dq_close(wcodeh,B62,1)</f>
        <v>4.7</v>
      </c>
      <c r="G62" s="83">
        <f t="shared" ca="1" si="4"/>
        <v>55.103029399709371</v>
      </c>
      <c r="H62" s="63">
        <f t="shared" ca="1" si="5"/>
        <v>0.91359999999999997</v>
      </c>
      <c r="I62" s="89"/>
      <c r="J62" s="79"/>
    </row>
    <row r="63" spans="1:10" ht="17.25" customHeight="1" x14ac:dyDescent="0.2">
      <c r="A63" s="79"/>
      <c r="B63" s="58">
        <f ca="1">--IF(QJ="日",[1]!td(B62-1),IF(QJ="周",[1]!td(B62-7),[1]!td(B62-30)))</f>
        <v>45579</v>
      </c>
      <c r="C63" s="59">
        <f t="shared" ca="1" si="0"/>
        <v>6.52</v>
      </c>
      <c r="D63" s="59">
        <f ca="1">[1]!s_dq_close(wcodea,B63,1)</f>
        <v>6.52</v>
      </c>
      <c r="E63" s="59">
        <f t="shared" ca="1" si="1"/>
        <v>4.32212</v>
      </c>
      <c r="F63" s="59">
        <f ca="1">[1]!s_dq_close(wcodeh,B63,1)</f>
        <v>4.75</v>
      </c>
      <c r="G63" s="82">
        <f t="shared" ca="1" si="4"/>
        <v>50.851896754370543</v>
      </c>
      <c r="H63" s="60">
        <f t="shared" ca="1" si="5"/>
        <v>0.90991999999999995</v>
      </c>
      <c r="I63" s="88"/>
      <c r="J63" s="79"/>
    </row>
    <row r="64" spans="1:10" ht="17.25" customHeight="1" x14ac:dyDescent="0.2">
      <c r="A64" s="79"/>
      <c r="B64" s="61">
        <f ca="1">--IF(QJ="日",[1]!td(B63-1),IF(QJ="周",[1]!td(B63-7),[1]!td(B63-30)))</f>
        <v>45565</v>
      </c>
      <c r="C64" s="62">
        <f t="shared" ca="1" si="0"/>
        <v>6.71</v>
      </c>
      <c r="D64" s="62">
        <f ca="1">[1]!s_dq_close(wcodea,B64,1)</f>
        <v>6.71</v>
      </c>
      <c r="E64" s="62">
        <f t="shared" ca="1" si="1"/>
        <v>4.0219833999999999</v>
      </c>
      <c r="F64" s="62">
        <f ca="1">[1]!s_dq_close(wcodeh,B64,1)</f>
        <v>4.46</v>
      </c>
      <c r="G64" s="83">
        <f t="shared" ca="1" si="4"/>
        <v>66.833110251026895</v>
      </c>
      <c r="H64" s="63">
        <f t="shared" ca="1" si="5"/>
        <v>0.90178999999999998</v>
      </c>
      <c r="I64" s="89"/>
      <c r="J64" s="79"/>
    </row>
    <row r="65" spans="1:10" ht="17.25" customHeight="1" x14ac:dyDescent="0.2">
      <c r="A65" s="79"/>
      <c r="B65" s="58">
        <f ca="1">--IF(QJ="日",[1]!td(B64-1),IF(QJ="周",[1]!td(B64-7),[1]!td(B64-30)))</f>
        <v>45558</v>
      </c>
      <c r="C65" s="59">
        <f t="shared" ca="1" si="0"/>
        <v>6.06</v>
      </c>
      <c r="D65" s="59">
        <f ca="1">[1]!s_dq_close(wcodea,B65,1)</f>
        <v>6.06</v>
      </c>
      <c r="E65" s="59">
        <f t="shared" ca="1" si="1"/>
        <v>3.9654768000000002</v>
      </c>
      <c r="F65" s="59">
        <f ca="1">[1]!s_dq_close(wcodeh,B65,1)</f>
        <v>4.38</v>
      </c>
      <c r="G65" s="82">
        <f t="shared" ca="1" si="4"/>
        <v>52.818949791863588</v>
      </c>
      <c r="H65" s="60">
        <f t="shared" ca="1" si="5"/>
        <v>0.90536000000000005</v>
      </c>
      <c r="I65" s="88"/>
      <c r="J65" s="79"/>
    </row>
    <row r="66" spans="1:10" ht="17.25" customHeight="1" x14ac:dyDescent="0.2">
      <c r="A66" s="79"/>
      <c r="B66" s="61">
        <f ca="1">--IF(QJ="日",[1]!td(B65-1),IF(QJ="周",[1]!td(B65-7),[1]!td(B65-30)))</f>
        <v>45548</v>
      </c>
      <c r="C66" s="62">
        <f t="shared" ca="1" si="0"/>
        <v>5.95</v>
      </c>
      <c r="D66" s="62">
        <f ca="1">[1]!s_dq_close(wcodea,B66,1)</f>
        <v>5.95</v>
      </c>
      <c r="E66" s="62">
        <f t="shared" ca="1" si="1"/>
        <v>3.9523945999999999</v>
      </c>
      <c r="F66" s="62">
        <f ca="1">[1]!s_dq_close(wcodeh,B66,1)</f>
        <v>4.34</v>
      </c>
      <c r="G66" s="83">
        <f t="shared" ca="1" si="4"/>
        <v>50.541648852571555</v>
      </c>
      <c r="H66" s="63">
        <f t="shared" ca="1" si="5"/>
        <v>0.91069</v>
      </c>
      <c r="I66" s="89"/>
      <c r="J66" s="79"/>
    </row>
    <row r="67" spans="1:10" ht="17.25" customHeight="1" x14ac:dyDescent="0.2">
      <c r="A67" s="79"/>
      <c r="B67" s="58">
        <f ca="1">--IF(QJ="日",[1]!td(B66-1),IF(QJ="周",[1]!td(B66-7),[1]!td(B66-30)))</f>
        <v>45541</v>
      </c>
      <c r="C67" s="59">
        <f t="shared" ca="1" si="0"/>
        <v>6.1</v>
      </c>
      <c r="D67" s="59">
        <f ca="1">[1]!s_dq_close(wcodea,B67,1)</f>
        <v>6.1</v>
      </c>
      <c r="E67" s="59">
        <f t="shared" ca="1" si="1"/>
        <v>4.0769344000000007</v>
      </c>
      <c r="F67" s="59">
        <f ca="1">[1]!s_dq_close(wcodeh,B67,1)</f>
        <v>4.4800000000000004</v>
      </c>
      <c r="G67" s="82">
        <f t="shared" ca="1" si="4"/>
        <v>49.622225954874288</v>
      </c>
      <c r="H67" s="60">
        <f t="shared" ca="1" si="5"/>
        <v>0.91003000000000001</v>
      </c>
      <c r="I67" s="88"/>
      <c r="J67" s="79"/>
    </row>
    <row r="68" spans="1:10" ht="17.25" customHeight="1" x14ac:dyDescent="0.2">
      <c r="A68" s="79"/>
      <c r="B68" s="61">
        <f ca="1">--IF(QJ="日",[1]!td(B67-1),IF(QJ="周",[1]!td(B67-7),[1]!td(B67-30)))</f>
        <v>45534</v>
      </c>
      <c r="C68" s="62">
        <f t="shared" ca="1" si="0"/>
        <v>6.1</v>
      </c>
      <c r="D68" s="62">
        <f ca="1">[1]!s_dq_close(wcodea,B68,1)</f>
        <v>6.1</v>
      </c>
      <c r="E68" s="62">
        <f t="shared" ca="1" si="1"/>
        <v>4.3330450000000003</v>
      </c>
      <c r="F68" s="62">
        <f ca="1">[1]!s_dq_close(wcodeh,B68,1)</f>
        <v>4.75</v>
      </c>
      <c r="G68" s="83">
        <f t="shared" ca="1" si="4"/>
        <v>40.778597960556581</v>
      </c>
      <c r="H68" s="63">
        <f t="shared" ca="1" si="5"/>
        <v>0.91222000000000003</v>
      </c>
      <c r="I68" s="89"/>
      <c r="J68" s="79"/>
    </row>
    <row r="69" spans="1:10" ht="17.25" customHeight="1" x14ac:dyDescent="0.2">
      <c r="A69" s="79"/>
      <c r="B69" s="58">
        <f ca="1">--IF(QJ="日",[1]!td(B68-1),IF(QJ="周",[1]!td(B68-7),[1]!td(B68-30)))</f>
        <v>45527</v>
      </c>
      <c r="C69" s="59">
        <f t="shared" ca="1" si="0"/>
        <v>6.22</v>
      </c>
      <c r="D69" s="59">
        <f ca="1">[1]!s_dq_close(wcodea,B69,1)</f>
        <v>6.22</v>
      </c>
      <c r="E69" s="59">
        <f t="shared" ca="1" si="1"/>
        <v>4.301628</v>
      </c>
      <c r="F69" s="59">
        <f ca="1">[1]!s_dq_close(wcodeh,B69,1)</f>
        <v>4.7</v>
      </c>
      <c r="G69" s="82">
        <f t="shared" ca="1" si="4"/>
        <v>44.59641791433382</v>
      </c>
      <c r="H69" s="60">
        <f t="shared" ca="1" si="5"/>
        <v>0.91524000000000005</v>
      </c>
      <c r="I69" s="88"/>
      <c r="J69" s="79"/>
    </row>
    <row r="70" spans="1:10" ht="17.25" customHeight="1" x14ac:dyDescent="0.2">
      <c r="A70" s="79"/>
      <c r="B70" s="61">
        <f ca="1">--IF(QJ="日",[1]!td(B69-1),IF(QJ="周",[1]!td(B69-7),[1]!td(B69-30)))</f>
        <v>45520</v>
      </c>
      <c r="C70" s="62">
        <f t="shared" ca="1" si="0"/>
        <v>5.98</v>
      </c>
      <c r="D70" s="62">
        <f ca="1">[1]!s_dq_close(wcodea,B70,1)</f>
        <v>5.98</v>
      </c>
      <c r="E70" s="62">
        <f t="shared" ca="1" si="1"/>
        <v>4.0969337999999995</v>
      </c>
      <c r="F70" s="62">
        <f ca="1">[1]!s_dq_close(wcodeh,B70,1)</f>
        <v>4.47</v>
      </c>
      <c r="G70" s="83">
        <f t="shared" ca="1" si="4"/>
        <v>45.962817363561051</v>
      </c>
      <c r="H70" s="63">
        <f t="shared" ca="1" si="5"/>
        <v>0.91654000000000002</v>
      </c>
      <c r="I70" s="89"/>
      <c r="J70" s="79"/>
    </row>
    <row r="71" spans="1:10" ht="17.25" customHeight="1" x14ac:dyDescent="0.2">
      <c r="A71" s="79"/>
      <c r="B71" s="58">
        <f ca="1">--IF(QJ="日",[1]!td(B70-1),IF(QJ="周",[1]!td(B70-7),[1]!td(B70-30)))</f>
        <v>45513</v>
      </c>
      <c r="C71" s="59">
        <f t="shared" ca="1" si="0"/>
        <v>5.78</v>
      </c>
      <c r="D71" s="59">
        <f ca="1">[1]!s_dq_close(wcodea,B71,1)</f>
        <v>5.78</v>
      </c>
      <c r="E71" s="59">
        <f t="shared" ca="1" si="1"/>
        <v>3.8771334000000004</v>
      </c>
      <c r="F71" s="59">
        <f ca="1">[1]!s_dq_close(wcodeh,B71,1)</f>
        <v>4.2300000000000004</v>
      </c>
      <c r="G71" s="82">
        <f t="shared" ca="1" si="4"/>
        <v>49.079214039939913</v>
      </c>
      <c r="H71" s="60">
        <f t="shared" ca="1" si="5"/>
        <v>0.91657999999999995</v>
      </c>
      <c r="I71" s="88"/>
      <c r="J71" s="79"/>
    </row>
    <row r="72" spans="1:10" ht="17.25" customHeight="1" x14ac:dyDescent="0.2">
      <c r="A72" s="79"/>
      <c r="B72" s="61">
        <f ca="1">--IF(QJ="日",[1]!td(B71-1),IF(QJ="周",[1]!td(B71-7),[1]!td(B71-30)))</f>
        <v>45506</v>
      </c>
      <c r="C72" s="62">
        <f t="shared" ca="1" si="0"/>
        <v>6.06</v>
      </c>
      <c r="D72" s="62">
        <f ca="1">[1]!s_dq_close(wcodea,B72,1)</f>
        <v>6.06</v>
      </c>
      <c r="E72" s="62">
        <f t="shared" ca="1" si="1"/>
        <v>4.2200465999999999</v>
      </c>
      <c r="F72" s="62">
        <f ca="1">[1]!s_dq_close(wcodeh,B72,1)</f>
        <v>4.62</v>
      </c>
      <c r="G72" s="83">
        <f t="shared" ca="1" si="4"/>
        <v>43.600310006055373</v>
      </c>
      <c r="H72" s="63">
        <f t="shared" ca="1" si="5"/>
        <v>0.91342999999999996</v>
      </c>
      <c r="I72" s="89"/>
      <c r="J72" s="79"/>
    </row>
    <row r="73" spans="1:10" ht="17.25" customHeight="1" x14ac:dyDescent="0.2">
      <c r="A73" s="79"/>
      <c r="B73" s="58">
        <f ca="1">--IF(QJ="日",[1]!td(B72-1),IF(QJ="周",[1]!td(B72-7),[1]!td(B72-30)))</f>
        <v>45499</v>
      </c>
      <c r="C73" s="59">
        <f t="shared" ca="1" si="0"/>
        <v>6.02</v>
      </c>
      <c r="D73" s="59">
        <f ca="1">[1]!s_dq_close(wcodea,B73,1)</f>
        <v>6.02</v>
      </c>
      <c r="E73" s="59">
        <f t="shared" ca="1" si="1"/>
        <v>4.1908535999999996</v>
      </c>
      <c r="F73" s="59">
        <f ca="1">[1]!s_dq_close(wcodeh,B73,1)</f>
        <v>4.59</v>
      </c>
      <c r="G73" s="82">
        <f t="shared" ca="1" si="4"/>
        <v>43.646153614146769</v>
      </c>
      <c r="H73" s="60">
        <f t="shared" ca="1" si="5"/>
        <v>0.91303999999999996</v>
      </c>
      <c r="I73" s="88"/>
      <c r="J73" s="79"/>
    </row>
    <row r="74" spans="1:10" ht="17.25" customHeight="1" x14ac:dyDescent="0.2">
      <c r="A74" s="79"/>
      <c r="B74" s="61">
        <f ca="1">--IF(QJ="日",[1]!td(B73-1),IF(QJ="周",[1]!td(B73-7),[1]!td(B73-30)))</f>
        <v>45492</v>
      </c>
      <c r="C74" s="62">
        <f t="shared" ca="1" si="0"/>
        <v>6.38</v>
      </c>
      <c r="D74" s="62">
        <f ca="1">[1]!s_dq_close(wcodea,B74,1)</f>
        <v>6.38</v>
      </c>
      <c r="E74" s="62">
        <f t="shared" ca="1" si="1"/>
        <v>4.3646658</v>
      </c>
      <c r="F74" s="62">
        <f ca="1">[1]!s_dq_close(wcodeh,B74,1)</f>
        <v>4.78</v>
      </c>
      <c r="G74" s="83">
        <f t="shared" ca="1" si="4"/>
        <v>46.173849095158673</v>
      </c>
      <c r="H74" s="63">
        <f t="shared" ca="1" si="5"/>
        <v>0.91310999999999998</v>
      </c>
      <c r="I74" s="89"/>
      <c r="J74" s="79"/>
    </row>
    <row r="75" spans="1:10" ht="17.25" customHeight="1" x14ac:dyDescent="0.2">
      <c r="A75" s="79"/>
      <c r="B75" s="58">
        <f ca="1">--IF(QJ="日",[1]!td(B74-1),IF(QJ="周",[1]!td(B74-7),[1]!td(B74-30)))</f>
        <v>45485</v>
      </c>
      <c r="C75" s="59">
        <f t="shared" ca="1" si="0"/>
        <v>6.26</v>
      </c>
      <c r="D75" s="59">
        <f ca="1">[1]!s_dq_close(wcodea,B75,1)</f>
        <v>6.26</v>
      </c>
      <c r="E75" s="59">
        <f t="shared" ca="1" si="1"/>
        <v>4.5212805000000005</v>
      </c>
      <c r="F75" s="59">
        <f ca="1">[1]!s_dq_close(wcodeh,B75,1)</f>
        <v>4.95</v>
      </c>
      <c r="G75" s="82">
        <f t="shared" ca="1" si="4"/>
        <v>38.456351027103921</v>
      </c>
      <c r="H75" s="60">
        <f t="shared" ca="1" si="5"/>
        <v>0.91339000000000004</v>
      </c>
      <c r="I75" s="88"/>
      <c r="J75" s="79"/>
    </row>
    <row r="76" spans="1:10" ht="17.25" customHeight="1" x14ac:dyDescent="0.2">
      <c r="A76" s="79"/>
      <c r="B76" s="61">
        <f ca="1">--IF(QJ="日",[1]!td(B75-1),IF(QJ="周",[1]!td(B75-7),[1]!td(B75-30)))</f>
        <v>45478</v>
      </c>
      <c r="C76" s="62">
        <f t="shared" ca="1" si="0"/>
        <v>6.18</v>
      </c>
      <c r="D76" s="62">
        <f ca="1">[1]!s_dq_close(wcodea,B76,1)</f>
        <v>6.18</v>
      </c>
      <c r="E76" s="62">
        <f t="shared" ca="1" si="1"/>
        <v>4.3089823999999997</v>
      </c>
      <c r="F76" s="62">
        <f ca="1">[1]!s_dq_close(wcodeh,B76,1)</f>
        <v>4.72</v>
      </c>
      <c r="G76" s="83">
        <f t="shared" ca="1" si="4"/>
        <v>43.421333073906276</v>
      </c>
      <c r="H76" s="63">
        <f t="shared" ca="1" si="5"/>
        <v>0.91291999999999995</v>
      </c>
      <c r="I76" s="89"/>
      <c r="J76" s="79"/>
    </row>
    <row r="77" spans="1:10" ht="17.25" customHeight="1" x14ac:dyDescent="0.2">
      <c r="A77" s="79"/>
      <c r="B77" s="58">
        <f ca="1">--IF(QJ="日",[1]!td(B76-1),IF(QJ="周",[1]!td(B76-7),[1]!td(B76-30)))</f>
        <v>45471</v>
      </c>
      <c r="C77" s="59">
        <f t="shared" ca="1" si="0"/>
        <v>6.15</v>
      </c>
      <c r="D77" s="59">
        <f ca="1">[1]!s_dq_close(wcodea,B77,1)</f>
        <v>6.15</v>
      </c>
      <c r="E77" s="59">
        <f t="shared" ca="1" si="1"/>
        <v>4.2257084000000003</v>
      </c>
      <c r="F77" s="59">
        <f ca="1">[1]!s_dq_close(wcodeh,B77,1)</f>
        <v>4.63</v>
      </c>
      <c r="G77" s="82">
        <f t="shared" ca="1" si="4"/>
        <v>45.537728064719275</v>
      </c>
      <c r="H77" s="60">
        <f t="shared" ca="1" si="5"/>
        <v>0.91268000000000005</v>
      </c>
      <c r="I77" s="88"/>
      <c r="J77" s="79"/>
    </row>
    <row r="78" spans="1:10" ht="17.25" customHeight="1" x14ac:dyDescent="0.2">
      <c r="A78" s="79"/>
      <c r="B78" s="61">
        <f ca="1">--IF(QJ="日",[1]!td(B77-1),IF(QJ="周",[1]!td(B77-7),[1]!td(B77-30)))</f>
        <v>45464</v>
      </c>
      <c r="C78" s="62">
        <f t="shared" ca="1" si="0"/>
        <v>5.82</v>
      </c>
      <c r="D78" s="62">
        <f ca="1">[1]!s_dq_close(wcodea,B78,1)</f>
        <v>5.82</v>
      </c>
      <c r="E78" s="62">
        <f t="shared" ca="1" si="1"/>
        <v>4.0507008000000004</v>
      </c>
      <c r="F78" s="62">
        <f ca="1">[1]!s_dq_close(wcodeh,B78,1)</f>
        <v>4.4400000000000004</v>
      </c>
      <c r="G78" s="83">
        <f t="shared" ca="1" si="4"/>
        <v>43.678841942609026</v>
      </c>
      <c r="H78" s="63">
        <f t="shared" ca="1" si="5"/>
        <v>0.91232000000000002</v>
      </c>
      <c r="I78" s="89"/>
      <c r="J78" s="79"/>
    </row>
    <row r="79" spans="1:10" ht="17.25" customHeight="1" x14ac:dyDescent="0.2">
      <c r="A79" s="79"/>
      <c r="B79" s="58">
        <f ca="1">--IF(QJ="日",[1]!td(B78-1),IF(QJ="周",[1]!td(B78-7),[1]!td(B78-30)))</f>
        <v>45457</v>
      </c>
      <c r="C79" s="59">
        <f t="shared" ca="1" si="0"/>
        <v>5.73</v>
      </c>
      <c r="D79" s="59">
        <f ca="1">[1]!s_dq_close(wcodea,B79,1)</f>
        <v>5.73</v>
      </c>
      <c r="E79" s="59">
        <f t="shared" ca="1" si="1"/>
        <v>3.9169129999999996</v>
      </c>
      <c r="F79" s="59">
        <f ca="1">[1]!s_dq_close(wcodeh,B79,1)</f>
        <v>4.3</v>
      </c>
      <c r="G79" s="82">
        <f t="shared" ca="1" si="4"/>
        <v>46.288671716732054</v>
      </c>
      <c r="H79" s="60">
        <f t="shared" ca="1" si="5"/>
        <v>0.91091</v>
      </c>
      <c r="I79" s="88"/>
      <c r="J79" s="79"/>
    </row>
    <row r="80" spans="1:10" ht="17.25" customHeight="1" x14ac:dyDescent="0.2">
      <c r="A80" s="79"/>
      <c r="B80" s="61">
        <f ca="1">--IF(QJ="日",[1]!td(B79-1),IF(QJ="周",[1]!td(B79-7),[1]!td(B79-30)))</f>
        <v>45450</v>
      </c>
      <c r="C80" s="62">
        <f t="shared" ca="1" si="0"/>
        <v>5.97</v>
      </c>
      <c r="D80" s="62">
        <f ca="1">[1]!s_dq_close(wcodea,B80,1)</f>
        <v>5.97</v>
      </c>
      <c r="E80" s="62">
        <f t="shared" ca="1" si="1"/>
        <v>3.9965242999999999</v>
      </c>
      <c r="F80" s="62">
        <f ca="1">[1]!s_dq_close(wcodeh,B80,1)</f>
        <v>4.3899999999999997</v>
      </c>
      <c r="G80" s="83">
        <f t="shared" ca="1" si="4"/>
        <v>49.379799842578208</v>
      </c>
      <c r="H80" s="63">
        <f t="shared" ca="1" si="5"/>
        <v>0.91037000000000001</v>
      </c>
      <c r="I80" s="89"/>
      <c r="J80" s="79"/>
    </row>
    <row r="81" spans="1:10" ht="17.25" customHeight="1" x14ac:dyDescent="0.2">
      <c r="A81" s="79"/>
      <c r="B81" s="58">
        <f ca="1">--IF(QJ="日",[1]!td(B80-1),IF(QJ="周",[1]!td(B80-7),[1]!td(B80-30)))</f>
        <v>45443</v>
      </c>
      <c r="C81" s="59">
        <f t="shared" ca="1" si="0"/>
        <v>5.94</v>
      </c>
      <c r="D81" s="59">
        <f ca="1">[1]!s_dq_close(wcodea,B81,1)</f>
        <v>5.94</v>
      </c>
      <c r="E81" s="59">
        <f t="shared" ca="1" si="1"/>
        <v>4.0735296000000005</v>
      </c>
      <c r="F81" s="59">
        <f ca="1">[1]!s_dq_close(wcodeh,B81,1)</f>
        <v>4.4800000000000004</v>
      </c>
      <c r="G81" s="82">
        <f t="shared" ca="1" si="4"/>
        <v>45.819487846608496</v>
      </c>
      <c r="H81" s="60">
        <f t="shared" ca="1" si="5"/>
        <v>0.90927000000000002</v>
      </c>
      <c r="I81" s="88"/>
      <c r="J81" s="79"/>
    </row>
    <row r="82" spans="1:10" ht="17.25" customHeight="1" x14ac:dyDescent="0.2">
      <c r="A82" s="79"/>
      <c r="B82" s="61">
        <f ca="1">--IF(QJ="日",[1]!td(B81-1),IF(QJ="周",[1]!td(B81-7),[1]!td(B81-30)))</f>
        <v>45436</v>
      </c>
      <c r="C82" s="62">
        <f t="shared" ca="1" si="0"/>
        <v>5.94</v>
      </c>
      <c r="D82" s="62">
        <f ca="1">[1]!s_dq_close(wcodea,B82,1)</f>
        <v>5.94</v>
      </c>
      <c r="E82" s="62">
        <f t="shared" ca="1" si="1"/>
        <v>4.0425312</v>
      </c>
      <c r="F82" s="62">
        <f ca="1">[1]!s_dq_close(wcodeh,B82,1)</f>
        <v>4.4400000000000004</v>
      </c>
      <c r="G82" s="83">
        <f t="shared" ca="1" si="4"/>
        <v>46.937641446032629</v>
      </c>
      <c r="H82" s="63">
        <f t="shared" ca="1" si="5"/>
        <v>0.91047999999999996</v>
      </c>
      <c r="I82" s="89"/>
      <c r="J82" s="79"/>
    </row>
    <row r="83" spans="1:10" ht="17.25" customHeight="1" x14ac:dyDescent="0.2">
      <c r="A83" s="79"/>
      <c r="B83" s="58">
        <f ca="1">--IF(QJ="日",[1]!td(B82-1),IF(QJ="周",[1]!td(B82-7),[1]!td(B82-30)))</f>
        <v>45429</v>
      </c>
      <c r="C83" s="59">
        <f t="shared" ref="C83:C118" ca="1" si="6">IF(BZ="港币",D83/H83,D83)</f>
        <v>5.89</v>
      </c>
      <c r="D83" s="59">
        <f ca="1">[1]!s_dq_close(wcodea,B83,1)</f>
        <v>5.89</v>
      </c>
      <c r="E83" s="59">
        <f t="shared" ref="E83:E118" ca="1" si="7">IF(BZ="人民币",F83*H83,F83)</f>
        <v>4.0611421999999999</v>
      </c>
      <c r="F83" s="59">
        <f ca="1">[1]!s_dq_close(wcodeh,B83,1)</f>
        <v>4.46</v>
      </c>
      <c r="G83" s="82">
        <f t="shared" ref="G83:G118" ca="1" si="8">IF(BZ="人民币",100*(D83/E83-1),100*(C83/E83-1))</f>
        <v>45.033089459413645</v>
      </c>
      <c r="H83" s="60">
        <f t="shared" ref="H83:H118" ca="1" si="9">VLOOKUP(B83,hl,2,FALSE)</f>
        <v>0.91056999999999999</v>
      </c>
      <c r="I83" s="88"/>
      <c r="J83" s="79"/>
    </row>
    <row r="84" spans="1:10" ht="17.25" customHeight="1" x14ac:dyDescent="0.2">
      <c r="A84" s="79"/>
      <c r="B84" s="61">
        <f ca="1">--IF(QJ="日",[1]!td(B83-1),IF(QJ="周",[1]!td(B83-7),[1]!td(B83-30)))</f>
        <v>45422</v>
      </c>
      <c r="C84" s="62">
        <f t="shared" ca="1" si="6"/>
        <v>5.99</v>
      </c>
      <c r="D84" s="62">
        <f ca="1">[1]!s_dq_close(wcodea,B84,1)</f>
        <v>5.99</v>
      </c>
      <c r="E84" s="62">
        <f t="shared" ca="1" si="7"/>
        <v>4.0617548999999995</v>
      </c>
      <c r="F84" s="62">
        <f ca="1">[1]!s_dq_close(wcodeh,B84,1)</f>
        <v>4.47</v>
      </c>
      <c r="G84" s="83">
        <f t="shared" ca="1" si="8"/>
        <v>47.473201792653732</v>
      </c>
      <c r="H84" s="63">
        <f t="shared" ca="1" si="9"/>
        <v>0.90866999999999998</v>
      </c>
      <c r="I84" s="89"/>
      <c r="J84" s="79"/>
    </row>
    <row r="85" spans="1:10" ht="17.25" customHeight="1" x14ac:dyDescent="0.2">
      <c r="A85" s="79"/>
      <c r="B85" s="58">
        <f ca="1">--IF(QJ="日",[1]!td(B84-1),IF(QJ="周",[1]!td(B84-7),[1]!td(B84-30)))</f>
        <v>45412</v>
      </c>
      <c r="C85" s="59">
        <f t="shared" ca="1" si="6"/>
        <v>6</v>
      </c>
      <c r="D85" s="59">
        <f ca="1">[1]!s_dq_close(wcodea,B85,1)</f>
        <v>6</v>
      </c>
      <c r="E85" s="59">
        <f t="shared" ca="1" si="7"/>
        <v>3.9227760000000003</v>
      </c>
      <c r="F85" s="59">
        <f ca="1">[1]!s_dq_close(wcodeh,B85,1)</f>
        <v>4.32</v>
      </c>
      <c r="G85" s="82">
        <f t="shared" ca="1" si="8"/>
        <v>52.952908858420656</v>
      </c>
      <c r="H85" s="60">
        <f t="shared" ca="1" si="9"/>
        <v>0.90805000000000002</v>
      </c>
      <c r="I85" s="88"/>
      <c r="J85" s="79"/>
    </row>
    <row r="86" spans="1:10" ht="17.25" customHeight="1" x14ac:dyDescent="0.2">
      <c r="A86" s="79"/>
      <c r="B86" s="61">
        <f ca="1">--IF(QJ="日",[1]!td(B85-1),IF(QJ="周",[1]!td(B85-7),[1]!td(B85-30)))</f>
        <v>45405</v>
      </c>
      <c r="C86" s="62">
        <f t="shared" ca="1" si="6"/>
        <v>6.1</v>
      </c>
      <c r="D86" s="62">
        <f ca="1">[1]!s_dq_close(wcodea,B86,1)</f>
        <v>6.1</v>
      </c>
      <c r="E86" s="62">
        <f t="shared" ca="1" si="7"/>
        <v>3.9811592999999994</v>
      </c>
      <c r="F86" s="62">
        <f ca="1">[1]!s_dq_close(wcodeh,B86,1)</f>
        <v>4.3899999999999997</v>
      </c>
      <c r="G86" s="83">
        <f t="shared" ca="1" si="8"/>
        <v>53.221701025628398</v>
      </c>
      <c r="H86" s="63">
        <f t="shared" ca="1" si="9"/>
        <v>0.90686999999999995</v>
      </c>
      <c r="I86" s="89"/>
      <c r="J86" s="79"/>
    </row>
    <row r="87" spans="1:10" ht="17.25" customHeight="1" x14ac:dyDescent="0.2">
      <c r="A87" s="79"/>
      <c r="B87" s="58">
        <f ca="1">--IF(QJ="日",[1]!td(B86-1),IF(QJ="周",[1]!td(B86-7),[1]!td(B86-30)))</f>
        <v>45398</v>
      </c>
      <c r="C87" s="59">
        <f t="shared" ca="1" si="6"/>
        <v>6.14</v>
      </c>
      <c r="D87" s="59">
        <f ca="1">[1]!s_dq_close(wcodea,B87,1)</f>
        <v>6.14</v>
      </c>
      <c r="E87" s="59">
        <f t="shared" ca="1" si="7"/>
        <v>3.9547380000000003</v>
      </c>
      <c r="F87" s="59">
        <f ca="1">[1]!s_dq_close(wcodeh,B87,1)</f>
        <v>4.3600000000000003</v>
      </c>
      <c r="G87" s="82">
        <f t="shared" ca="1" si="8"/>
        <v>55.256808415627013</v>
      </c>
      <c r="H87" s="60">
        <f t="shared" ca="1" si="9"/>
        <v>0.90705000000000002</v>
      </c>
      <c r="I87" s="88"/>
      <c r="J87" s="79"/>
    </row>
    <row r="88" spans="1:10" ht="17.25" customHeight="1" x14ac:dyDescent="0.2">
      <c r="A88" s="79"/>
      <c r="B88" s="61">
        <f ca="1">--IF(QJ="日",[1]!td(B87-1),IF(QJ="周",[1]!td(B87-7),[1]!td(B87-30)))</f>
        <v>45391</v>
      </c>
      <c r="C88" s="62">
        <f t="shared" ca="1" si="6"/>
        <v>5.93</v>
      </c>
      <c r="D88" s="62">
        <f ca="1">[1]!s_dq_close(wcodea,B88,1)</f>
        <v>5.93</v>
      </c>
      <c r="E88" s="62">
        <f t="shared" ca="1" si="7"/>
        <v>3.7872889999999999</v>
      </c>
      <c r="F88" s="62">
        <f ca="1">[1]!s_dq_close(wcodeh,B88,1)</f>
        <v>4.18</v>
      </c>
      <c r="G88" s="83">
        <f t="shared" ca="1" si="8"/>
        <v>56.576379568604352</v>
      </c>
      <c r="H88" s="63">
        <f t="shared" ca="1" si="9"/>
        <v>0.90605000000000002</v>
      </c>
      <c r="I88" s="89"/>
      <c r="J88" s="79"/>
    </row>
    <row r="89" spans="1:10" ht="17.25" customHeight="1" x14ac:dyDescent="0.2">
      <c r="A89" s="79"/>
      <c r="B89" s="58">
        <f ca="1">--IF(QJ="日",[1]!td(B88-1),IF(QJ="周",[1]!td(B88-7),[1]!td(B88-30)))</f>
        <v>45384</v>
      </c>
      <c r="C89" s="59">
        <f t="shared" ca="1" si="6"/>
        <v>6.01</v>
      </c>
      <c r="D89" s="59">
        <f ca="1">[1]!s_dq_close(wcodea,B89,1)</f>
        <v>6.01</v>
      </c>
      <c r="E89" s="59">
        <f t="shared" ca="1" si="7"/>
        <v>3.7448774999999999</v>
      </c>
      <c r="F89" s="59">
        <f ca="1">[1]!s_dq_close(wcodeh,B89,1)</f>
        <v>4.13</v>
      </c>
      <c r="G89" s="82">
        <f t="shared" ca="1" si="8"/>
        <v>60.485890392943432</v>
      </c>
      <c r="H89" s="60">
        <f t="shared" ca="1" si="9"/>
        <v>0.90674999999999994</v>
      </c>
      <c r="I89" s="88"/>
      <c r="J89" s="79"/>
    </row>
    <row r="90" spans="1:10" ht="17.25" customHeight="1" x14ac:dyDescent="0.2">
      <c r="A90" s="79"/>
      <c r="B90" s="61">
        <f ca="1">--IF(QJ="日",[1]!td(B89-1),IF(QJ="周",[1]!td(B89-7),[1]!td(B89-30)))</f>
        <v>45377</v>
      </c>
      <c r="C90" s="62">
        <f t="shared" ca="1" si="6"/>
        <v>5.87</v>
      </c>
      <c r="D90" s="62">
        <f ca="1">[1]!s_dq_close(wcodea,B90,1)</f>
        <v>5.87</v>
      </c>
      <c r="E90" s="62">
        <f t="shared" ca="1" si="7"/>
        <v>3.7189459999999994</v>
      </c>
      <c r="F90" s="62">
        <f ca="1">[1]!s_dq_close(wcodeh,B90,1)</f>
        <v>4.0999999999999996</v>
      </c>
      <c r="G90" s="83">
        <f t="shared" ca="1" si="8"/>
        <v>57.840420377171412</v>
      </c>
      <c r="H90" s="63">
        <f t="shared" ca="1" si="9"/>
        <v>0.90705999999999998</v>
      </c>
      <c r="I90" s="89"/>
      <c r="J90" s="79"/>
    </row>
    <row r="91" spans="1:10" ht="17.25" customHeight="1" x14ac:dyDescent="0.2">
      <c r="A91" s="79"/>
      <c r="B91" s="58">
        <f ca="1">--IF(QJ="日",[1]!td(B90-1),IF(QJ="周",[1]!td(B90-7),[1]!td(B90-30)))</f>
        <v>45370</v>
      </c>
      <c r="C91" s="59">
        <f t="shared" ca="1" si="6"/>
        <v>5.71</v>
      </c>
      <c r="D91" s="59">
        <f ca="1">[1]!s_dq_close(wcodea,B91,1)</f>
        <v>5.71</v>
      </c>
      <c r="E91" s="59">
        <f t="shared" ca="1" si="7"/>
        <v>3.5764167999999996</v>
      </c>
      <c r="F91" s="59">
        <f ca="1">[1]!s_dq_close(wcodeh,B91,1)</f>
        <v>3.94</v>
      </c>
      <c r="G91" s="82">
        <f t="shared" ca="1" si="8"/>
        <v>59.657006420504466</v>
      </c>
      <c r="H91" s="60">
        <f t="shared" ca="1" si="9"/>
        <v>0.90771999999999997</v>
      </c>
      <c r="I91" s="88"/>
      <c r="J91" s="79"/>
    </row>
    <row r="92" spans="1:10" ht="17.25" customHeight="1" x14ac:dyDescent="0.2">
      <c r="A92" s="79"/>
      <c r="B92" s="61">
        <f ca="1">--IF(QJ="日",[1]!td(B91-1),IF(QJ="周",[1]!td(B91-7),[1]!td(B91-30)))</f>
        <v>45363</v>
      </c>
      <c r="C92" s="62">
        <f t="shared" ca="1" si="6"/>
        <v>5.68</v>
      </c>
      <c r="D92" s="62">
        <f ca="1">[1]!s_dq_close(wcodea,B92,1)</f>
        <v>5.68</v>
      </c>
      <c r="E92" s="62">
        <f t="shared" ca="1" si="7"/>
        <v>3.5657283</v>
      </c>
      <c r="F92" s="62">
        <f ca="1">[1]!s_dq_close(wcodeh,B92,1)</f>
        <v>3.93</v>
      </c>
      <c r="G92" s="83">
        <f t="shared" ca="1" si="8"/>
        <v>59.294245722535834</v>
      </c>
      <c r="H92" s="63">
        <f t="shared" ca="1" si="9"/>
        <v>0.90730999999999995</v>
      </c>
      <c r="I92" s="89"/>
      <c r="J92" s="79"/>
    </row>
    <row r="93" spans="1:10" ht="17.25" customHeight="1" x14ac:dyDescent="0.2">
      <c r="A93" s="79"/>
      <c r="B93" s="58">
        <f ca="1">--IF(QJ="日",[1]!td(B92-1),IF(QJ="周",[1]!td(B92-7),[1]!td(B92-30)))</f>
        <v>45356</v>
      </c>
      <c r="C93" s="59">
        <f t="shared" ca="1" si="6"/>
        <v>5.94</v>
      </c>
      <c r="D93" s="59">
        <f ca="1">[1]!s_dq_close(wcodea,B93,1)</f>
        <v>5.94</v>
      </c>
      <c r="E93" s="59">
        <f t="shared" ca="1" si="7"/>
        <v>3.6940541000000007</v>
      </c>
      <c r="F93" s="59">
        <f ca="1">[1]!s_dq_close(wcodeh,B93,1)</f>
        <v>4.07</v>
      </c>
      <c r="G93" s="82">
        <f t="shared" ca="1" si="8"/>
        <v>60.79894444426246</v>
      </c>
      <c r="H93" s="60">
        <f t="shared" ca="1" si="9"/>
        <v>0.90763000000000005</v>
      </c>
      <c r="I93" s="88"/>
      <c r="J93" s="79"/>
    </row>
    <row r="94" spans="1:10" ht="17.25" customHeight="1" x14ac:dyDescent="0.2">
      <c r="A94" s="79"/>
      <c r="B94" s="61">
        <f ca="1">--IF(QJ="日",[1]!td(B93-1),IF(QJ="周",[1]!td(B93-7),[1]!td(B93-30)))</f>
        <v>45349</v>
      </c>
      <c r="C94" s="62">
        <f t="shared" ca="1" si="6"/>
        <v>5.89</v>
      </c>
      <c r="D94" s="62">
        <f ca="1">[1]!s_dq_close(wcodea,B94,1)</f>
        <v>5.89</v>
      </c>
      <c r="E94" s="62">
        <f t="shared" ca="1" si="7"/>
        <v>3.9057759999999999</v>
      </c>
      <c r="F94" s="62">
        <f ca="1">[1]!s_dq_close(wcodeh,B94,1)</f>
        <v>4.3</v>
      </c>
      <c r="G94" s="83">
        <f t="shared" ca="1" si="8"/>
        <v>50.802298954164286</v>
      </c>
      <c r="H94" s="63">
        <f t="shared" ca="1" si="9"/>
        <v>0.90832000000000002</v>
      </c>
      <c r="I94" s="89"/>
      <c r="J94" s="79"/>
    </row>
    <row r="95" spans="1:10" ht="17.25" customHeight="1" x14ac:dyDescent="0.2">
      <c r="A95" s="79"/>
      <c r="B95" s="58">
        <f ca="1">--IF(QJ="日",[1]!td(B94-1),IF(QJ="周",[1]!td(B94-7),[1]!td(B94-30)))</f>
        <v>45342</v>
      </c>
      <c r="C95" s="59">
        <f t="shared" ca="1" si="6"/>
        <v>6.02</v>
      </c>
      <c r="D95" s="59">
        <f ca="1">[1]!s_dq_close(wcodea,B95,1)</f>
        <v>6.02</v>
      </c>
      <c r="E95" s="59">
        <f t="shared" ca="1" si="7"/>
        <v>3.8252902</v>
      </c>
      <c r="F95" s="59">
        <f ca="1">[1]!s_dq_close(wcodeh,B95,1)</f>
        <v>4.21</v>
      </c>
      <c r="G95" s="82">
        <f t="shared" ca="1" si="8"/>
        <v>57.373681086993081</v>
      </c>
      <c r="H95" s="60">
        <f t="shared" ca="1" si="9"/>
        <v>0.90861999999999998</v>
      </c>
      <c r="I95" s="88"/>
      <c r="J95" s="79"/>
    </row>
    <row r="96" spans="1:10" ht="17.25" customHeight="1" x14ac:dyDescent="0.2">
      <c r="A96" s="79"/>
      <c r="B96" s="61">
        <f ca="1">--IF(QJ="日",[1]!td(B95-1),IF(QJ="周",[1]!td(B95-7),[1]!td(B95-30)))</f>
        <v>45330</v>
      </c>
      <c r="C96" s="62">
        <f t="shared" ca="1" si="6"/>
        <v>5.84</v>
      </c>
      <c r="D96" s="62">
        <f ca="1">[1]!s_dq_close(wcodea,B96,1)</f>
        <v>5.84</v>
      </c>
      <c r="E96" s="62">
        <f t="shared" ca="1" si="7"/>
        <v>3.7442148</v>
      </c>
      <c r="F96" s="62">
        <f ca="1">[1]!s_dq_close(wcodeh,B96,1)</f>
        <v>4.12</v>
      </c>
      <c r="G96" s="83">
        <f t="shared" ca="1" si="8"/>
        <v>55.973957477012263</v>
      </c>
      <c r="H96" s="63">
        <f t="shared" ca="1" si="9"/>
        <v>0.90878999999999999</v>
      </c>
      <c r="I96" s="89"/>
      <c r="J96" s="79"/>
    </row>
    <row r="97" spans="1:10" ht="17.25" customHeight="1" x14ac:dyDescent="0.2">
      <c r="A97" s="79"/>
      <c r="B97" s="58">
        <f ca="1">--IF(QJ="日",[1]!td(B96-1),IF(QJ="周",[1]!td(B96-7),[1]!td(B96-30)))</f>
        <v>45323</v>
      </c>
      <c r="C97" s="59">
        <f t="shared" ca="1" si="6"/>
        <v>5.71</v>
      </c>
      <c r="D97" s="59">
        <f ca="1">[1]!s_dq_close(wcodea,B97,1)</f>
        <v>5.71</v>
      </c>
      <c r="E97" s="59">
        <f t="shared" ca="1" si="7"/>
        <v>3.6260721</v>
      </c>
      <c r="F97" s="59">
        <f ca="1">[1]!s_dq_close(wcodeh,B97,1)</f>
        <v>3.99</v>
      </c>
      <c r="G97" s="82">
        <f t="shared" ca="1" si="8"/>
        <v>57.470669157405887</v>
      </c>
      <c r="H97" s="60">
        <f t="shared" ca="1" si="9"/>
        <v>0.90878999999999999</v>
      </c>
      <c r="I97" s="88"/>
      <c r="J97" s="79"/>
    </row>
    <row r="98" spans="1:10" ht="17.25" customHeight="1" x14ac:dyDescent="0.2">
      <c r="A98" s="79"/>
      <c r="B98" s="61">
        <f ca="1">--IF(QJ="日",[1]!td(B97-1),IF(QJ="周",[1]!td(B97-7),[1]!td(B97-30)))</f>
        <v>45316</v>
      </c>
      <c r="C98" s="62">
        <f t="shared" ca="1" si="6"/>
        <v>5.77</v>
      </c>
      <c r="D98" s="62">
        <f ca="1">[1]!s_dq_close(wcodea,B98,1)</f>
        <v>5.77</v>
      </c>
      <c r="E98" s="62">
        <f t="shared" ca="1" si="7"/>
        <v>3.6346400000000001</v>
      </c>
      <c r="F98" s="62">
        <f ca="1">[1]!s_dq_close(wcodeh,B98,1)</f>
        <v>4</v>
      </c>
      <c r="G98" s="83">
        <f t="shared" ca="1" si="8"/>
        <v>58.750247617370619</v>
      </c>
      <c r="H98" s="63">
        <f t="shared" ca="1" si="9"/>
        <v>0.90866000000000002</v>
      </c>
      <c r="I98" s="89"/>
      <c r="J98" s="79"/>
    </row>
    <row r="99" spans="1:10" ht="17.25" customHeight="1" x14ac:dyDescent="0.2">
      <c r="A99" s="79"/>
      <c r="B99" s="58">
        <f ca="1">--IF(QJ="日",[1]!td(B98-1),IF(QJ="周",[1]!td(B98-7),[1]!td(B98-30)))</f>
        <v>45309</v>
      </c>
      <c r="C99" s="59">
        <f t="shared" ca="1" si="6"/>
        <v>5.28</v>
      </c>
      <c r="D99" s="59">
        <f ca="1">[1]!s_dq_close(wcodea,B99,1)</f>
        <v>5.28</v>
      </c>
      <c r="E99" s="59">
        <f t="shared" ca="1" si="7"/>
        <v>3.4679001</v>
      </c>
      <c r="F99" s="59">
        <f ca="1">[1]!s_dq_close(wcodeh,B99,1)</f>
        <v>3.81</v>
      </c>
      <c r="G99" s="82">
        <f t="shared" ca="1" si="8"/>
        <v>52.253520797787687</v>
      </c>
      <c r="H99" s="60">
        <f t="shared" ca="1" si="9"/>
        <v>0.91020999999999996</v>
      </c>
      <c r="I99" s="88"/>
      <c r="J99" s="79"/>
    </row>
    <row r="100" spans="1:10" ht="17.25" customHeight="1" x14ac:dyDescent="0.2">
      <c r="A100" s="79"/>
      <c r="B100" s="61">
        <f ca="1">--IF(QJ="日",[1]!td(B99-1),IF(QJ="周",[1]!td(B99-7),[1]!td(B99-30)))</f>
        <v>45302</v>
      </c>
      <c r="C100" s="62">
        <f t="shared" ca="1" si="6"/>
        <v>5.1100000000000003</v>
      </c>
      <c r="D100" s="62">
        <f ca="1">[1]!s_dq_close(wcodea,B100,1)</f>
        <v>5.1100000000000003</v>
      </c>
      <c r="E100" s="62">
        <f t="shared" ca="1" si="7"/>
        <v>3.4283249000000002</v>
      </c>
      <c r="F100" s="62">
        <f ca="1">[1]!s_dq_close(wcodeh,B100,1)</f>
        <v>3.77</v>
      </c>
      <c r="G100" s="83">
        <f t="shared" ca="1" si="8"/>
        <v>49.052384154138949</v>
      </c>
      <c r="H100" s="63">
        <f t="shared" ca="1" si="9"/>
        <v>0.90937000000000001</v>
      </c>
      <c r="I100" s="89"/>
      <c r="J100" s="79"/>
    </row>
    <row r="101" spans="1:10" ht="17.25" customHeight="1" x14ac:dyDescent="0.2">
      <c r="A101" s="79"/>
      <c r="B101" s="58">
        <f ca="1">--IF(QJ="日",[1]!td(B100-1),IF(QJ="周",[1]!td(B100-7),[1]!td(B100-30)))</f>
        <v>45295</v>
      </c>
      <c r="C101" s="59">
        <f t="shared" ca="1" si="6"/>
        <v>5.34</v>
      </c>
      <c r="D101" s="59">
        <f ca="1">[1]!s_dq_close(wcodea,B101,1)</f>
        <v>5.34</v>
      </c>
      <c r="E101" s="59">
        <f t="shared" ca="1" si="7"/>
        <v>3.3650020000000005</v>
      </c>
      <c r="F101" s="59">
        <f ca="1">[1]!s_dq_close(wcodeh,B101,1)</f>
        <v>3.7</v>
      </c>
      <c r="G101" s="82">
        <f t="shared" ca="1" si="8"/>
        <v>58.692327671722012</v>
      </c>
      <c r="H101" s="60">
        <f t="shared" ca="1" si="9"/>
        <v>0.90946000000000005</v>
      </c>
      <c r="I101" s="88"/>
      <c r="J101" s="79"/>
    </row>
    <row r="102" spans="1:10" ht="17.25" customHeight="1" x14ac:dyDescent="0.2">
      <c r="A102" s="79"/>
      <c r="B102" s="61">
        <f ca="1">--IF(QJ="日",[1]!td(B101-1),IF(QJ="周",[1]!td(B101-7),[1]!td(B101-30)))</f>
        <v>45288</v>
      </c>
      <c r="C102" s="62">
        <f t="shared" ca="1" si="6"/>
        <v>5.35</v>
      </c>
      <c r="D102" s="62">
        <f ca="1">[1]!s_dq_close(wcodea,B102,1)</f>
        <v>5.35</v>
      </c>
      <c r="E102" s="62">
        <f t="shared" ca="1" si="7"/>
        <v>3.3164264999999999</v>
      </c>
      <c r="F102" s="62">
        <f ca="1">[1]!s_dq_close(wcodeh,B102,1)</f>
        <v>3.65</v>
      </c>
      <c r="G102" s="83">
        <f t="shared" ca="1" si="8"/>
        <v>61.318214047559927</v>
      </c>
      <c r="H102" s="63">
        <f t="shared" ca="1" si="9"/>
        <v>0.90861000000000003</v>
      </c>
      <c r="I102" s="89"/>
      <c r="J102" s="79"/>
    </row>
    <row r="103" spans="1:10" ht="17.25" customHeight="1" x14ac:dyDescent="0.2">
      <c r="A103" s="79"/>
      <c r="B103" s="58">
        <f ca="1">--IF(QJ="日",[1]!td(B102-1),IF(QJ="周",[1]!td(B102-7),[1]!td(B102-30)))</f>
        <v>45281</v>
      </c>
      <c r="C103" s="59">
        <f t="shared" ca="1" si="6"/>
        <v>5.16</v>
      </c>
      <c r="D103" s="59">
        <f ca="1">[1]!s_dq_close(wcodea,B103,1)</f>
        <v>5.16</v>
      </c>
      <c r="E103" s="59">
        <f t="shared" ca="1" si="7"/>
        <v>3.1662431999999998</v>
      </c>
      <c r="F103" s="59">
        <f ca="1">[1]!s_dq_close(wcodeh,B103,1)</f>
        <v>3.48</v>
      </c>
      <c r="G103" s="82">
        <f t="shared" ca="1" si="8"/>
        <v>62.96916168663229</v>
      </c>
      <c r="H103" s="60">
        <f t="shared" ca="1" si="9"/>
        <v>0.90983999999999998</v>
      </c>
      <c r="I103" s="88"/>
      <c r="J103" s="79"/>
    </row>
    <row r="104" spans="1:10" ht="17.25" customHeight="1" x14ac:dyDescent="0.2">
      <c r="A104" s="79"/>
      <c r="B104" s="61">
        <f ca="1">--IF(QJ="日",[1]!td(B103-1),IF(QJ="周",[1]!td(B103-7),[1]!td(B103-30)))</f>
        <v>45274</v>
      </c>
      <c r="C104" s="62">
        <f t="shared" ca="1" si="6"/>
        <v>5.17</v>
      </c>
      <c r="D104" s="62">
        <f ca="1">[1]!s_dq_close(wcodea,B104,1)</f>
        <v>5.17</v>
      </c>
      <c r="E104" s="62">
        <f t="shared" ca="1" si="7"/>
        <v>3.2418784</v>
      </c>
      <c r="F104" s="62">
        <f ca="1">[1]!s_dq_close(wcodeh,B104,1)</f>
        <v>3.56</v>
      </c>
      <c r="G104" s="83">
        <f t="shared" ca="1" si="8"/>
        <v>59.475444853206085</v>
      </c>
      <c r="H104" s="63">
        <f t="shared" ca="1" si="9"/>
        <v>0.91064000000000001</v>
      </c>
      <c r="I104" s="89"/>
      <c r="J104" s="79"/>
    </row>
    <row r="105" spans="1:10" ht="17.25" customHeight="1" x14ac:dyDescent="0.2">
      <c r="A105" s="79"/>
      <c r="B105" s="58">
        <f ca="1">--IF(QJ="日",[1]!td(B104-1),IF(QJ="周",[1]!td(B104-7),[1]!td(B104-30)))</f>
        <v>45267</v>
      </c>
      <c r="C105" s="59">
        <f t="shared" ca="1" si="6"/>
        <v>5.0599999999999996</v>
      </c>
      <c r="D105" s="59">
        <f ca="1">[1]!s_dq_close(wcodea,B105,1)</f>
        <v>5.0599999999999996</v>
      </c>
      <c r="E105" s="59">
        <f t="shared" ca="1" si="7"/>
        <v>3.2536265999999996</v>
      </c>
      <c r="F105" s="59">
        <f ca="1">[1]!s_dq_close(wcodeh,B105,1)</f>
        <v>3.57</v>
      </c>
      <c r="G105" s="82">
        <f t="shared" ca="1" si="8"/>
        <v>55.518767888116002</v>
      </c>
      <c r="H105" s="60">
        <f t="shared" ca="1" si="9"/>
        <v>0.91137999999999997</v>
      </c>
      <c r="I105" s="88"/>
      <c r="J105" s="79"/>
    </row>
    <row r="106" spans="1:10" ht="17.25" customHeight="1" x14ac:dyDescent="0.2">
      <c r="A106" s="79"/>
      <c r="B106" s="61">
        <f ca="1">--IF(QJ="日",[1]!td(B105-1),IF(QJ="周",[1]!td(B105-7),[1]!td(B105-30)))</f>
        <v>45260</v>
      </c>
      <c r="C106" s="62">
        <f t="shared" ca="1" si="6"/>
        <v>5.19</v>
      </c>
      <c r="D106" s="62">
        <f ca="1">[1]!s_dq_close(wcodea,B106,1)</f>
        <v>5.19</v>
      </c>
      <c r="E106" s="62">
        <f t="shared" ca="1" si="7"/>
        <v>3.2934398000000003</v>
      </c>
      <c r="F106" s="62">
        <f ca="1">[1]!s_dq_close(wcodeh,B106,1)</f>
        <v>3.62</v>
      </c>
      <c r="G106" s="83">
        <f t="shared" ca="1" si="8"/>
        <v>57.585998687451337</v>
      </c>
      <c r="H106" s="63">
        <f t="shared" ca="1" si="9"/>
        <v>0.90978999999999999</v>
      </c>
      <c r="I106" s="89"/>
      <c r="J106" s="79"/>
    </row>
    <row r="107" spans="1:10" ht="17.25" customHeight="1" x14ac:dyDescent="0.2">
      <c r="A107" s="79"/>
      <c r="B107" s="58">
        <f ca="1">--IF(QJ="日",[1]!td(B106-1),IF(QJ="周",[1]!td(B106-7),[1]!td(B106-30)))</f>
        <v>45253</v>
      </c>
      <c r="C107" s="59">
        <f t="shared" ca="1" si="6"/>
        <v>5.18</v>
      </c>
      <c r="D107" s="59">
        <f ca="1">[1]!s_dq_close(wcodea,B107,1)</f>
        <v>5.18</v>
      </c>
      <c r="E107" s="59">
        <f t="shared" ca="1" si="7"/>
        <v>3.2969769000000002</v>
      </c>
      <c r="F107" s="59">
        <f ca="1">[1]!s_dq_close(wcodeh,B107,1)</f>
        <v>3.61</v>
      </c>
      <c r="G107" s="82">
        <f t="shared" ca="1" si="8"/>
        <v>57.113627335393204</v>
      </c>
      <c r="H107" s="60">
        <f t="shared" ca="1" si="9"/>
        <v>0.91329000000000005</v>
      </c>
      <c r="I107" s="88"/>
      <c r="J107" s="79"/>
    </row>
    <row r="108" spans="1:10" ht="17.25" customHeight="1" x14ac:dyDescent="0.2">
      <c r="A108" s="79"/>
      <c r="B108" s="61">
        <f ca="1">--IF(QJ="日",[1]!td(B107-1),IF(QJ="周",[1]!td(B107-7),[1]!td(B107-30)))</f>
        <v>45246</v>
      </c>
      <c r="C108" s="62">
        <f t="shared" ca="1" si="6"/>
        <v>5.13</v>
      </c>
      <c r="D108" s="62">
        <f ca="1">[1]!s_dq_close(wcodea,B108,1)</f>
        <v>5.13</v>
      </c>
      <c r="E108" s="62">
        <f t="shared" ca="1" si="7"/>
        <v>3.2153100000000001</v>
      </c>
      <c r="F108" s="62">
        <f ca="1">[1]!s_dq_close(wcodeh,B108,1)</f>
        <v>3.5</v>
      </c>
      <c r="G108" s="83">
        <f t="shared" ca="1" si="8"/>
        <v>59.549157001968702</v>
      </c>
      <c r="H108" s="63">
        <f t="shared" ca="1" si="9"/>
        <v>0.91866000000000003</v>
      </c>
      <c r="I108" s="89"/>
      <c r="J108" s="79"/>
    </row>
    <row r="109" spans="1:10" ht="17.25" customHeight="1" x14ac:dyDescent="0.2">
      <c r="A109" s="79"/>
      <c r="B109" s="58">
        <f ca="1">--IF(QJ="日",[1]!td(B108-1),IF(QJ="周",[1]!td(B108-7),[1]!td(B108-30)))</f>
        <v>45239</v>
      </c>
      <c r="C109" s="59">
        <f t="shared" ca="1" si="6"/>
        <v>5.26</v>
      </c>
      <c r="D109" s="59">
        <f ca="1">[1]!s_dq_close(wcodea,B109,1)</f>
        <v>5.26</v>
      </c>
      <c r="E109" s="59">
        <f t="shared" ca="1" si="7"/>
        <v>3.1040229999999998</v>
      </c>
      <c r="F109" s="59">
        <f ca="1">[1]!s_dq_close(wcodeh,B109,1)</f>
        <v>3.38</v>
      </c>
      <c r="G109" s="82">
        <f t="shared" ca="1" si="8"/>
        <v>69.457507241408976</v>
      </c>
      <c r="H109" s="60">
        <f t="shared" ca="1" si="9"/>
        <v>0.91835</v>
      </c>
      <c r="I109" s="88"/>
      <c r="J109" s="79"/>
    </row>
    <row r="110" spans="1:10" ht="17.25" customHeight="1" x14ac:dyDescent="0.2">
      <c r="A110" s="79"/>
      <c r="B110" s="61">
        <f ca="1">--IF(QJ="日",[1]!td(B109-1),IF(QJ="周",[1]!td(B109-7),[1]!td(B109-30)))</f>
        <v>45232</v>
      </c>
      <c r="C110" s="62">
        <f t="shared" ca="1" si="6"/>
        <v>5.33</v>
      </c>
      <c r="D110" s="62">
        <f ca="1">[1]!s_dq_close(wcodea,B110,1)</f>
        <v>5.33</v>
      </c>
      <c r="E110" s="62">
        <f t="shared" ca="1" si="7"/>
        <v>3.1573351999999999</v>
      </c>
      <c r="F110" s="62">
        <f ca="1">[1]!s_dq_close(wcodeh,B110,1)</f>
        <v>3.44</v>
      </c>
      <c r="G110" s="83">
        <f t="shared" ca="1" si="8"/>
        <v>68.813244789466779</v>
      </c>
      <c r="H110" s="63">
        <f t="shared" ca="1" si="9"/>
        <v>0.91783000000000003</v>
      </c>
      <c r="I110" s="89"/>
      <c r="J110" s="79"/>
    </row>
    <row r="111" spans="1:10" ht="17.25" customHeight="1" x14ac:dyDescent="0.2">
      <c r="A111" s="79"/>
      <c r="B111" s="58">
        <f ca="1">--IF(QJ="日",[1]!td(B110-1),IF(QJ="周",[1]!td(B110-7),[1]!td(B110-30)))</f>
        <v>45225</v>
      </c>
      <c r="C111" s="59">
        <f t="shared" ca="1" si="6"/>
        <v>5.42</v>
      </c>
      <c r="D111" s="59">
        <f ca="1">[1]!s_dq_close(wcodea,B111,1)</f>
        <v>5.42</v>
      </c>
      <c r="E111" s="59">
        <f t="shared" ca="1" si="7"/>
        <v>3.1565439999999998</v>
      </c>
      <c r="F111" s="59">
        <f ca="1">[1]!s_dq_close(wcodeh,B111,1)</f>
        <v>3.44</v>
      </c>
      <c r="G111" s="82">
        <f t="shared" ca="1" si="8"/>
        <v>71.706778045862833</v>
      </c>
      <c r="H111" s="60">
        <f t="shared" ca="1" si="9"/>
        <v>0.91759999999999997</v>
      </c>
      <c r="I111" s="88"/>
      <c r="J111" s="79"/>
    </row>
    <row r="112" spans="1:10" ht="17.25" customHeight="1" x14ac:dyDescent="0.2">
      <c r="A112" s="79"/>
      <c r="B112" s="61">
        <f ca="1">--IF(QJ="日",[1]!td(B111-1),IF(QJ="周",[1]!td(B111-7),[1]!td(B111-30)))</f>
        <v>45218</v>
      </c>
      <c r="C112" s="62">
        <f t="shared" ca="1" si="6"/>
        <v>5.97</v>
      </c>
      <c r="D112" s="62">
        <f ca="1">[1]!s_dq_close(wcodea,B112,1)</f>
        <v>5.97</v>
      </c>
      <c r="E112" s="62">
        <f t="shared" ca="1" si="7"/>
        <v>3.4578816999999997</v>
      </c>
      <c r="F112" s="62">
        <f ca="1">[1]!s_dq_close(wcodeh,B112,1)</f>
        <v>3.77</v>
      </c>
      <c r="G112" s="83">
        <f t="shared" ca="1" si="8"/>
        <v>72.6490527423191</v>
      </c>
      <c r="H112" s="63">
        <f t="shared" ca="1" si="9"/>
        <v>0.91720999999999997</v>
      </c>
      <c r="I112" s="89"/>
      <c r="J112" s="79"/>
    </row>
    <row r="113" spans="1:10" ht="17.25" customHeight="1" x14ac:dyDescent="0.2">
      <c r="A113" s="79"/>
      <c r="B113" s="58">
        <f ca="1">--IF(QJ="日",[1]!td(B112-1),IF(QJ="周",[1]!td(B112-7),[1]!td(B112-30)))</f>
        <v>45211</v>
      </c>
      <c r="C113" s="59">
        <f t="shared" ca="1" si="6"/>
        <v>5.9</v>
      </c>
      <c r="D113" s="59">
        <f ca="1">[1]!s_dq_close(wcodea,B113,1)</f>
        <v>5.9</v>
      </c>
      <c r="E113" s="59">
        <f t="shared" ca="1" si="7"/>
        <v>3.532683</v>
      </c>
      <c r="F113" s="59">
        <f ca="1">[1]!s_dq_close(wcodeh,B113,1)</f>
        <v>3.85</v>
      </c>
      <c r="G113" s="82">
        <f t="shared" ca="1" si="8"/>
        <v>67.011871713369132</v>
      </c>
      <c r="H113" s="60">
        <f t="shared" ca="1" si="9"/>
        <v>0.91757999999999995</v>
      </c>
      <c r="I113" s="88"/>
      <c r="J113" s="79"/>
    </row>
    <row r="114" spans="1:10" ht="17.25" customHeight="1" x14ac:dyDescent="0.2">
      <c r="A114" s="79"/>
      <c r="B114" s="61">
        <f ca="1">--IF(QJ="日",[1]!td(B113-1),IF(QJ="周",[1]!td(B113-7),[1]!td(B113-30)))</f>
        <v>45197</v>
      </c>
      <c r="C114" s="62">
        <f t="shared" ca="1" si="6"/>
        <v>5.79</v>
      </c>
      <c r="D114" s="62">
        <f ca="1">[1]!s_dq_close(wcodea,B114,1)</f>
        <v>5.79</v>
      </c>
      <c r="E114" s="62">
        <f t="shared" ca="1" si="7"/>
        <v>3.5971095999999996</v>
      </c>
      <c r="F114" s="62">
        <f ca="1">[1]!s_dq_close(wcodeh,B114,1)</f>
        <v>3.92</v>
      </c>
      <c r="G114" s="83">
        <f t="shared" ca="1" si="8"/>
        <v>60.96256839102152</v>
      </c>
      <c r="H114" s="63">
        <f t="shared" ca="1" si="9"/>
        <v>0.91762999999999995</v>
      </c>
      <c r="I114" s="89"/>
      <c r="J114" s="79"/>
    </row>
    <row r="115" spans="1:10" ht="17.25" customHeight="1" x14ac:dyDescent="0.2">
      <c r="A115" s="79"/>
      <c r="B115" s="58">
        <f ca="1">--IF(QJ="日",[1]!td(B114-1),IF(QJ="周",[1]!td(B114-7),[1]!td(B114-30)))</f>
        <v>45190</v>
      </c>
      <c r="C115" s="59">
        <f t="shared" ca="1" si="6"/>
        <v>6</v>
      </c>
      <c r="D115" s="59">
        <f ca="1">[1]!s_dq_close(wcodea,B115,1)</f>
        <v>6</v>
      </c>
      <c r="E115" s="59">
        <f t="shared" ca="1" si="7"/>
        <v>3.6952279000000003</v>
      </c>
      <c r="F115" s="59">
        <f ca="1">[1]!s_dq_close(wcodeh,B115,1)</f>
        <v>4.03</v>
      </c>
      <c r="G115" s="82">
        <f t="shared" ca="1" si="8"/>
        <v>62.371582007161173</v>
      </c>
      <c r="H115" s="60">
        <f t="shared" ca="1" si="9"/>
        <v>0.91693000000000002</v>
      </c>
      <c r="I115" s="88"/>
      <c r="J115" s="79"/>
    </row>
    <row r="116" spans="1:10" ht="17.25" customHeight="1" x14ac:dyDescent="0.2">
      <c r="A116" s="79"/>
      <c r="B116" s="61">
        <f ca="1">--IF(QJ="日",[1]!td(B115-1),IF(QJ="周",[1]!td(B115-7),[1]!td(B115-30)))</f>
        <v>45183</v>
      </c>
      <c r="C116" s="62">
        <f t="shared" ca="1" si="6"/>
        <v>6.2</v>
      </c>
      <c r="D116" s="62">
        <f ca="1">[1]!s_dq_close(wcodea,B116,1)</f>
        <v>6.2</v>
      </c>
      <c r="E116" s="62">
        <f t="shared" ca="1" si="7"/>
        <v>3.6080151000000003</v>
      </c>
      <c r="F116" s="62">
        <f ca="1">[1]!s_dq_close(wcodeh,B116,1)</f>
        <v>3.93</v>
      </c>
      <c r="G116" s="83">
        <f t="shared" ca="1" si="8"/>
        <v>71.839635593542823</v>
      </c>
      <c r="H116" s="63">
        <f t="shared" ca="1" si="9"/>
        <v>0.91807000000000005</v>
      </c>
      <c r="I116" s="89"/>
      <c r="J116" s="79"/>
    </row>
    <row r="117" spans="1:10" ht="17.25" customHeight="1" x14ac:dyDescent="0.2">
      <c r="A117" s="79"/>
      <c r="B117" s="58">
        <f ca="1">--IF(QJ="日",[1]!td(B116-1),IF(QJ="周",[1]!td(B116-7),[1]!td(B116-30)))</f>
        <v>45176</v>
      </c>
      <c r="C117" s="59">
        <f t="shared" ca="1" si="6"/>
        <v>5.85</v>
      </c>
      <c r="D117" s="59">
        <f ca="1">[1]!s_dq_close(wcodea,B117,1)</f>
        <v>5.85</v>
      </c>
      <c r="E117" s="59">
        <f t="shared" ca="1" si="7"/>
        <v>3.4512288</v>
      </c>
      <c r="F117" s="59">
        <f ca="1">[1]!s_dq_close(wcodeh,B117,1)</f>
        <v>3.76</v>
      </c>
      <c r="G117" s="82">
        <f t="shared" ca="1" si="8"/>
        <v>69.504844187670201</v>
      </c>
      <c r="H117" s="60">
        <f t="shared" ca="1" si="9"/>
        <v>0.91788000000000003</v>
      </c>
      <c r="I117" s="88"/>
      <c r="J117" s="79"/>
    </row>
    <row r="118" spans="1:10" ht="17.25" customHeight="1" x14ac:dyDescent="0.2">
      <c r="A118" s="79"/>
      <c r="B118" s="61">
        <f ca="1">--IF(QJ="日",[1]!td(B117-1),IF(QJ="周",[1]!td(B117-7),[1]!td(B117-30)))</f>
        <v>45169</v>
      </c>
      <c r="C118" s="62">
        <f t="shared" ca="1" si="6"/>
        <v>5.76</v>
      </c>
      <c r="D118" s="62">
        <f ca="1">[1]!s_dq_close(wcodea,B118,1)</f>
        <v>5.76</v>
      </c>
      <c r="E118" s="62">
        <f t="shared" ca="1" si="7"/>
        <v>3.4326749999999997</v>
      </c>
      <c r="F118" s="62">
        <f ca="1">[1]!s_dq_close(wcodeh,B118,1)</f>
        <v>3.75</v>
      </c>
      <c r="G118" s="83">
        <f t="shared" ca="1" si="8"/>
        <v>67.799165373943055</v>
      </c>
      <c r="H118" s="63">
        <f t="shared" ca="1" si="9"/>
        <v>0.91537999999999997</v>
      </c>
      <c r="I118" s="89"/>
      <c r="J118" s="79"/>
    </row>
    <row r="119" spans="1:10" ht="17.25" customHeight="1" x14ac:dyDescent="0.2">
      <c r="A119" s="79"/>
      <c r="B119" s="48"/>
      <c r="C119" s="53"/>
      <c r="D119" s="53"/>
      <c r="E119" s="53"/>
      <c r="F119" s="53"/>
      <c r="G119" s="84"/>
      <c r="H119" s="90"/>
      <c r="I119" s="53"/>
      <c r="J119" s="79"/>
    </row>
    <row r="120" spans="1:10" ht="17.25" customHeight="1" x14ac:dyDescent="0.2">
      <c r="A120" s="79"/>
      <c r="B120" s="48"/>
      <c r="C120" s="53"/>
      <c r="D120" s="53"/>
      <c r="E120" s="53"/>
      <c r="F120" s="53"/>
      <c r="G120" s="84"/>
      <c r="H120" s="90"/>
      <c r="I120" s="53"/>
      <c r="J120" s="79"/>
    </row>
    <row r="121" spans="1:10" ht="17.25" customHeight="1" x14ac:dyDescent="0.2">
      <c r="A121" s="79"/>
      <c r="B121" s="48"/>
      <c r="C121" s="53"/>
      <c r="D121" s="53"/>
      <c r="E121" s="53"/>
      <c r="F121" s="53"/>
      <c r="G121" s="84"/>
      <c r="H121" s="90"/>
      <c r="I121" s="53"/>
      <c r="J121" s="79"/>
    </row>
    <row r="122" spans="1:10" ht="17.25" customHeight="1" x14ac:dyDescent="0.2">
      <c r="A122" s="79"/>
      <c r="B122" s="48"/>
      <c r="C122" s="53"/>
      <c r="D122" s="53"/>
      <c r="E122" s="53"/>
      <c r="F122" s="53"/>
      <c r="G122" s="84"/>
      <c r="H122" s="90"/>
      <c r="I122" s="53"/>
      <c r="J122" s="79"/>
    </row>
    <row r="123" spans="1:10" ht="17.25" customHeight="1" x14ac:dyDescent="0.2">
      <c r="A123" s="79"/>
      <c r="B123" s="48"/>
      <c r="C123" s="53"/>
      <c r="D123" s="53"/>
      <c r="E123" s="53"/>
      <c r="F123" s="53"/>
      <c r="G123" s="84"/>
      <c r="H123" s="90"/>
      <c r="I123" s="53"/>
      <c r="J123" s="79"/>
    </row>
    <row r="124" spans="1:10" ht="17.25" customHeight="1" x14ac:dyDescent="0.2">
      <c r="A124" s="79"/>
      <c r="B124" s="48"/>
      <c r="C124" s="53"/>
      <c r="D124" s="53"/>
      <c r="E124" s="53"/>
      <c r="F124" s="53"/>
      <c r="G124" s="84"/>
      <c r="H124" s="90"/>
      <c r="I124" s="53"/>
      <c r="J124" s="79"/>
    </row>
    <row r="125" spans="1:10" ht="17.25" customHeight="1" x14ac:dyDescent="0.2">
      <c r="A125" s="79"/>
      <c r="B125" s="48"/>
      <c r="C125" s="53"/>
      <c r="D125" s="53"/>
      <c r="E125" s="53"/>
      <c r="F125" s="53"/>
      <c r="G125" s="84"/>
      <c r="H125" s="90"/>
      <c r="I125" s="53"/>
      <c r="J125" s="79"/>
    </row>
    <row r="126" spans="1:10" ht="17.25" customHeight="1" x14ac:dyDescent="0.2">
      <c r="A126" s="79"/>
      <c r="B126" s="48"/>
      <c r="C126" s="53"/>
      <c r="D126" s="53"/>
      <c r="E126" s="53"/>
      <c r="F126" s="53"/>
      <c r="G126" s="84"/>
      <c r="H126" s="90"/>
      <c r="I126" s="53"/>
      <c r="J126" s="79"/>
    </row>
    <row r="127" spans="1:10" ht="17.25" customHeight="1" x14ac:dyDescent="0.2">
      <c r="A127" s="79"/>
      <c r="B127" s="48"/>
      <c r="C127" s="53"/>
      <c r="D127" s="53"/>
      <c r="E127" s="53"/>
      <c r="F127" s="53"/>
      <c r="G127" s="84"/>
      <c r="H127" s="90"/>
      <c r="I127" s="53"/>
      <c r="J127" s="79"/>
    </row>
    <row r="128" spans="1:10" ht="17.25" customHeight="1" x14ac:dyDescent="0.2">
      <c r="A128" s="79"/>
      <c r="B128" s="48"/>
      <c r="C128" s="53"/>
      <c r="D128" s="53"/>
      <c r="E128" s="53"/>
      <c r="F128" s="53"/>
      <c r="G128" s="84"/>
      <c r="H128" s="90"/>
      <c r="I128" s="53"/>
      <c r="J128" s="79"/>
    </row>
    <row r="129" spans="1:12" ht="17.25" customHeight="1" x14ac:dyDescent="0.2">
      <c r="A129" s="79"/>
      <c r="B129" s="48"/>
      <c r="C129" s="53"/>
      <c r="D129" s="53"/>
      <c r="E129" s="53"/>
      <c r="F129" s="53"/>
      <c r="G129" s="84"/>
      <c r="H129" s="90"/>
      <c r="I129" s="53"/>
      <c r="J129" s="79"/>
    </row>
    <row r="130" spans="1:12" ht="17.25" customHeight="1" x14ac:dyDescent="0.2">
      <c r="A130" s="79"/>
      <c r="B130" s="48"/>
      <c r="C130" s="53"/>
      <c r="D130" s="53"/>
      <c r="E130" s="53"/>
      <c r="F130" s="53"/>
      <c r="G130" s="84"/>
      <c r="H130" s="90"/>
      <c r="I130" s="53"/>
      <c r="J130" s="79"/>
    </row>
    <row r="131" spans="1:12" ht="17.25" customHeight="1" x14ac:dyDescent="0.2">
      <c r="A131" s="79"/>
      <c r="B131" s="48"/>
      <c r="C131" s="53"/>
      <c r="D131" s="53"/>
      <c r="E131" s="53"/>
      <c r="F131" s="53"/>
      <c r="G131" s="84"/>
      <c r="H131" s="90"/>
      <c r="I131" s="53"/>
      <c r="J131" s="79"/>
    </row>
    <row r="132" spans="1:12" ht="17.25" customHeight="1" x14ac:dyDescent="0.2">
      <c r="A132" s="79"/>
      <c r="B132" s="48"/>
      <c r="C132" s="53"/>
      <c r="D132" s="53"/>
      <c r="E132" s="53"/>
      <c r="F132" s="53"/>
      <c r="G132" s="84"/>
      <c r="H132" s="90"/>
      <c r="I132" s="53"/>
      <c r="J132" s="79"/>
    </row>
    <row r="133" spans="1:12" ht="17.25" customHeight="1" x14ac:dyDescent="0.2">
      <c r="A133" s="79"/>
      <c r="B133" s="48"/>
      <c r="C133" s="53"/>
      <c r="D133" s="53"/>
      <c r="E133" s="53"/>
      <c r="F133" s="53"/>
      <c r="G133" s="84"/>
      <c r="H133" s="90"/>
      <c r="I133" s="53"/>
      <c r="J133" s="79"/>
    </row>
    <row r="134" spans="1:12" ht="17.25" customHeight="1" x14ac:dyDescent="0.2">
      <c r="A134" s="79"/>
      <c r="B134" s="48"/>
      <c r="C134" s="53"/>
      <c r="D134" s="53"/>
      <c r="E134" s="53"/>
      <c r="F134" s="53"/>
      <c r="G134" s="84"/>
      <c r="H134" s="90"/>
      <c r="I134" s="53"/>
      <c r="J134" s="79"/>
    </row>
    <row r="135" spans="1:12" ht="17.25" customHeight="1" x14ac:dyDescent="0.2">
      <c r="A135" s="79"/>
      <c r="B135" s="48"/>
      <c r="C135" s="53"/>
      <c r="D135" s="53"/>
      <c r="E135" s="53"/>
      <c r="F135" s="53"/>
      <c r="G135" s="84"/>
      <c r="H135" s="90"/>
      <c r="I135" s="53"/>
      <c r="J135" s="79"/>
    </row>
    <row r="136" spans="1:12" ht="17.25" customHeight="1" x14ac:dyDescent="0.2">
      <c r="A136" s="79"/>
      <c r="B136" s="48"/>
      <c r="C136" s="53"/>
      <c r="D136" s="53"/>
      <c r="E136" s="53"/>
      <c r="F136" s="53"/>
      <c r="G136" s="84"/>
      <c r="H136" s="90"/>
      <c r="I136" s="53"/>
      <c r="J136" s="79"/>
      <c r="K136" s="107"/>
      <c r="L136" s="107"/>
    </row>
    <row r="137" spans="1:12" x14ac:dyDescent="0.2">
      <c r="B137" s="49"/>
      <c r="E137" s="49"/>
      <c r="G137" s="107"/>
      <c r="I137" s="46"/>
      <c r="J137" s="107"/>
      <c r="K137" s="107"/>
      <c r="L137" s="107"/>
    </row>
    <row r="138" spans="1:12" x14ac:dyDescent="0.2">
      <c r="B138" s="49"/>
      <c r="E138" s="49"/>
      <c r="G138" s="107"/>
      <c r="I138" s="46"/>
      <c r="J138" s="107"/>
      <c r="K138" s="107"/>
      <c r="L138" s="107"/>
    </row>
    <row r="139" spans="1:12" x14ac:dyDescent="0.2">
      <c r="B139" s="49"/>
      <c r="C139" s="53"/>
      <c r="E139" s="49"/>
      <c r="G139" s="107"/>
      <c r="I139" s="46"/>
      <c r="K139" s="107"/>
      <c r="L139" s="107"/>
    </row>
    <row r="140" spans="1:12" x14ac:dyDescent="0.2">
      <c r="B140" s="49"/>
      <c r="C140" s="53"/>
      <c r="E140" s="49"/>
      <c r="G140" s="107"/>
      <c r="I140" s="46"/>
      <c r="K140" s="107"/>
      <c r="L140" s="107"/>
    </row>
    <row r="141" spans="1:12" x14ac:dyDescent="0.2">
      <c r="B141" s="49"/>
      <c r="C141" s="53"/>
      <c r="E141" s="49"/>
      <c r="G141" s="107"/>
      <c r="I141" s="46"/>
      <c r="K141" s="107"/>
      <c r="L141" s="107"/>
    </row>
    <row r="142" spans="1:12" x14ac:dyDescent="0.2">
      <c r="B142" s="49"/>
      <c r="C142" s="53"/>
      <c r="E142" s="49"/>
      <c r="G142" s="107"/>
      <c r="I142" s="46"/>
      <c r="K142" s="107"/>
      <c r="L142" s="107"/>
    </row>
    <row r="143" spans="1:12" x14ac:dyDescent="0.2">
      <c r="B143" s="49"/>
      <c r="C143" s="53"/>
      <c r="E143" s="49"/>
      <c r="G143" s="107"/>
      <c r="I143" s="46"/>
      <c r="K143" s="107"/>
      <c r="L143" s="107"/>
    </row>
    <row r="144" spans="1:12" x14ac:dyDescent="0.2">
      <c r="B144" s="49"/>
      <c r="C144" s="53"/>
      <c r="E144" s="49"/>
      <c r="G144" s="107"/>
      <c r="I144" s="46"/>
      <c r="K144" s="107"/>
      <c r="L144" s="107"/>
    </row>
    <row r="145" spans="2:12" x14ac:dyDescent="0.2">
      <c r="B145" s="49"/>
      <c r="C145" s="53"/>
      <c r="E145" s="49"/>
      <c r="G145" s="107"/>
      <c r="I145" s="46"/>
      <c r="K145" s="107"/>
      <c r="L145" s="107"/>
    </row>
    <row r="146" spans="2:12" x14ac:dyDescent="0.2">
      <c r="B146" s="49"/>
      <c r="C146" s="53"/>
      <c r="E146" s="49"/>
      <c r="G146" s="107"/>
      <c r="I146" s="46"/>
      <c r="K146" s="107"/>
      <c r="L146" s="107"/>
    </row>
    <row r="147" spans="2:12" x14ac:dyDescent="0.2">
      <c r="B147" s="49"/>
      <c r="C147" s="53"/>
      <c r="E147" s="49"/>
      <c r="G147" s="107"/>
      <c r="I147" s="46"/>
      <c r="K147" s="107"/>
      <c r="L147" s="107"/>
    </row>
    <row r="148" spans="2:12" x14ac:dyDescent="0.2">
      <c r="B148" s="49"/>
      <c r="C148" s="53"/>
      <c r="E148" s="49"/>
      <c r="G148" s="107"/>
      <c r="I148" s="46"/>
    </row>
    <row r="149" spans="2:12" x14ac:dyDescent="0.2">
      <c r="B149" s="49"/>
      <c r="C149" s="53"/>
      <c r="E149" s="49"/>
      <c r="G149" s="107"/>
      <c r="I149" s="46"/>
    </row>
    <row r="150" spans="2:12" x14ac:dyDescent="0.2">
      <c r="B150" s="49"/>
      <c r="C150" s="53"/>
      <c r="E150" s="49"/>
      <c r="G150" s="107"/>
      <c r="I150" s="46"/>
    </row>
    <row r="151" spans="2:12" x14ac:dyDescent="0.2">
      <c r="B151" s="49"/>
      <c r="C151" s="53"/>
      <c r="E151" s="49"/>
      <c r="G151" s="107"/>
      <c r="I151" s="46"/>
    </row>
    <row r="152" spans="2:12" x14ac:dyDescent="0.2">
      <c r="B152" s="49"/>
      <c r="C152" s="53"/>
      <c r="E152" s="49"/>
      <c r="G152" s="107"/>
      <c r="I152" s="46"/>
    </row>
    <row r="153" spans="2:12" x14ac:dyDescent="0.2">
      <c r="B153" s="49"/>
      <c r="C153" s="53"/>
      <c r="E153" s="49"/>
      <c r="G153" s="107"/>
      <c r="I153" s="46"/>
    </row>
    <row r="154" spans="2:12" x14ac:dyDescent="0.2">
      <c r="B154" s="49"/>
      <c r="C154" s="53"/>
      <c r="E154" s="49"/>
      <c r="G154" s="107"/>
      <c r="I154" s="46"/>
    </row>
    <row r="155" spans="2:12" x14ac:dyDescent="0.2">
      <c r="B155" s="49"/>
      <c r="C155" s="53"/>
      <c r="E155" s="49"/>
      <c r="G155" s="107"/>
      <c r="I155" s="46"/>
    </row>
    <row r="156" spans="2:12" x14ac:dyDescent="0.2">
      <c r="B156" s="49"/>
      <c r="C156" s="53"/>
      <c r="E156" s="49"/>
      <c r="G156" s="107"/>
      <c r="I156" s="46"/>
    </row>
    <row r="157" spans="2:12" x14ac:dyDescent="0.2">
      <c r="B157" s="49"/>
      <c r="C157" s="53"/>
      <c r="E157" s="49"/>
      <c r="G157" s="107"/>
      <c r="I157" s="46"/>
    </row>
    <row r="158" spans="2:12" x14ac:dyDescent="0.2">
      <c r="B158" s="49"/>
      <c r="C158" s="53"/>
      <c r="E158" s="49"/>
      <c r="G158" s="107"/>
      <c r="I158" s="46"/>
    </row>
    <row r="159" spans="2:12" x14ac:dyDescent="0.2">
      <c r="B159" s="49"/>
      <c r="C159" s="53"/>
      <c r="E159" s="49"/>
      <c r="G159" s="107"/>
      <c r="I159" s="46"/>
    </row>
    <row r="160" spans="2:12" x14ac:dyDescent="0.2">
      <c r="B160" s="49"/>
      <c r="C160" s="53"/>
      <c r="E160" s="49"/>
      <c r="G160" s="107"/>
      <c r="I160" s="46"/>
    </row>
    <row r="161" spans="2:9" x14ac:dyDescent="0.2">
      <c r="B161" s="49"/>
      <c r="C161" s="53"/>
      <c r="E161" s="49"/>
      <c r="G161" s="107"/>
      <c r="I161" s="46"/>
    </row>
    <row r="162" spans="2:9" x14ac:dyDescent="0.2">
      <c r="B162" s="49"/>
      <c r="C162" s="53"/>
      <c r="E162" s="49"/>
      <c r="G162" s="107"/>
      <c r="I162" s="46"/>
    </row>
    <row r="163" spans="2:9" x14ac:dyDescent="0.2">
      <c r="B163" s="49"/>
      <c r="C163" s="53"/>
      <c r="E163" s="49"/>
      <c r="G163" s="107"/>
      <c r="I163" s="46"/>
    </row>
    <row r="164" spans="2:9" x14ac:dyDescent="0.2">
      <c r="B164" s="49"/>
      <c r="C164" s="53"/>
      <c r="E164" s="49"/>
      <c r="G164" s="107"/>
      <c r="I164" s="46"/>
    </row>
    <row r="165" spans="2:9" x14ac:dyDescent="0.2">
      <c r="B165" s="49"/>
      <c r="C165" s="53"/>
      <c r="E165" s="49"/>
      <c r="G165" s="107"/>
      <c r="I165" s="46"/>
    </row>
    <row r="166" spans="2:9" x14ac:dyDescent="0.2">
      <c r="B166" s="54"/>
      <c r="C166" s="53"/>
      <c r="E166" s="49"/>
      <c r="G166" s="107"/>
      <c r="I166" s="46"/>
    </row>
    <row r="167" spans="2:9" x14ac:dyDescent="0.2">
      <c r="B167" s="54"/>
      <c r="C167" s="53"/>
      <c r="E167" s="49"/>
      <c r="G167" s="107"/>
      <c r="I167" s="46"/>
    </row>
    <row r="168" spans="2:9" x14ac:dyDescent="0.2">
      <c r="B168" s="54"/>
      <c r="C168" s="53"/>
      <c r="E168" s="49"/>
      <c r="G168" s="107"/>
      <c r="I168" s="46"/>
    </row>
    <row r="169" spans="2:9" x14ac:dyDescent="0.2">
      <c r="B169" s="54"/>
      <c r="C169" s="53"/>
      <c r="E169" s="49"/>
      <c r="G169" s="107"/>
      <c r="I169" s="46"/>
    </row>
    <row r="170" spans="2:9" x14ac:dyDescent="0.2">
      <c r="B170" s="54"/>
      <c r="C170" s="53"/>
      <c r="E170" s="49"/>
      <c r="G170" s="107"/>
      <c r="I170" s="46"/>
    </row>
    <row r="171" spans="2:9" x14ac:dyDescent="0.2">
      <c r="B171" s="54"/>
      <c r="C171" s="53"/>
      <c r="E171" s="49"/>
      <c r="G171" s="107"/>
      <c r="I171" s="46"/>
    </row>
    <row r="172" spans="2:9" x14ac:dyDescent="0.2">
      <c r="B172" s="54"/>
      <c r="C172" s="53"/>
      <c r="E172" s="49"/>
      <c r="G172" s="107"/>
      <c r="I172" s="46"/>
    </row>
    <row r="173" spans="2:9" x14ac:dyDescent="0.2">
      <c r="B173" s="54"/>
      <c r="C173" s="53"/>
      <c r="E173" s="49"/>
      <c r="G173" s="107"/>
      <c r="I173" s="46"/>
    </row>
    <row r="174" spans="2:9" x14ac:dyDescent="0.2">
      <c r="B174" s="54"/>
      <c r="C174" s="53"/>
      <c r="E174" s="49"/>
      <c r="G174" s="107"/>
      <c r="I174" s="46"/>
    </row>
    <row r="175" spans="2:9" x14ac:dyDescent="0.2">
      <c r="B175" s="54"/>
      <c r="C175" s="53"/>
      <c r="E175" s="49"/>
      <c r="G175" s="107"/>
      <c r="I175" s="46"/>
    </row>
    <row r="176" spans="2:9" x14ac:dyDescent="0.2">
      <c r="B176" s="54"/>
      <c r="C176" s="53"/>
      <c r="E176" s="49"/>
      <c r="G176" s="107"/>
      <c r="I176" s="46"/>
    </row>
    <row r="177" spans="2:9" x14ac:dyDescent="0.2">
      <c r="B177" s="54"/>
      <c r="C177" s="53"/>
      <c r="E177" s="49"/>
      <c r="G177" s="107"/>
      <c r="I177" s="46"/>
    </row>
    <row r="178" spans="2:9" x14ac:dyDescent="0.2">
      <c r="B178" s="54"/>
      <c r="C178" s="53"/>
      <c r="E178" s="49"/>
      <c r="G178" s="107"/>
      <c r="I178" s="46"/>
    </row>
    <row r="179" spans="2:9" x14ac:dyDescent="0.2">
      <c r="B179" s="54"/>
      <c r="C179" s="53"/>
      <c r="E179" s="49"/>
      <c r="G179" s="107"/>
      <c r="I179" s="46"/>
    </row>
    <row r="180" spans="2:9" x14ac:dyDescent="0.2">
      <c r="B180" s="54"/>
      <c r="C180" s="53"/>
      <c r="E180" s="49"/>
      <c r="G180" s="107"/>
      <c r="I180" s="46"/>
    </row>
    <row r="181" spans="2:9" x14ac:dyDescent="0.2">
      <c r="B181" s="54"/>
      <c r="C181" s="53"/>
      <c r="E181" s="49"/>
      <c r="G181" s="107"/>
      <c r="I181" s="46"/>
    </row>
    <row r="182" spans="2:9" x14ac:dyDescent="0.2">
      <c r="B182" s="54"/>
      <c r="C182" s="53"/>
      <c r="E182" s="49"/>
      <c r="G182" s="107"/>
      <c r="I182" s="46"/>
    </row>
    <row r="183" spans="2:9" x14ac:dyDescent="0.2">
      <c r="B183" s="54"/>
      <c r="C183" s="53"/>
      <c r="E183" s="49"/>
      <c r="G183" s="107"/>
      <c r="I183" s="46"/>
    </row>
    <row r="184" spans="2:9" x14ac:dyDescent="0.2">
      <c r="B184" s="54"/>
      <c r="C184" s="53"/>
      <c r="E184" s="49"/>
      <c r="G184" s="107"/>
      <c r="I184" s="46"/>
    </row>
    <row r="185" spans="2:9" x14ac:dyDescent="0.2">
      <c r="B185" s="54"/>
      <c r="C185" s="53"/>
      <c r="E185" s="49"/>
      <c r="G185" s="107"/>
      <c r="I185" s="46"/>
    </row>
    <row r="186" spans="2:9" x14ac:dyDescent="0.2">
      <c r="B186" s="54"/>
      <c r="C186" s="53"/>
      <c r="E186" s="49"/>
      <c r="G186" s="107"/>
      <c r="I186" s="46"/>
    </row>
    <row r="187" spans="2:9" x14ac:dyDescent="0.2">
      <c r="B187" s="54"/>
      <c r="C187" s="53"/>
      <c r="E187" s="49"/>
      <c r="G187" s="107"/>
      <c r="I187" s="46"/>
    </row>
    <row r="188" spans="2:9" x14ac:dyDescent="0.2">
      <c r="B188" s="54"/>
      <c r="C188" s="53"/>
      <c r="E188" s="49"/>
      <c r="G188" s="107"/>
      <c r="I188" s="46"/>
    </row>
    <row r="189" spans="2:9" x14ac:dyDescent="0.2">
      <c r="B189" s="54"/>
      <c r="C189" s="53"/>
      <c r="E189" s="49"/>
      <c r="G189" s="107"/>
      <c r="I189" s="46"/>
    </row>
    <row r="190" spans="2:9" x14ac:dyDescent="0.2">
      <c r="B190" s="54"/>
      <c r="C190" s="53"/>
      <c r="E190" s="49"/>
      <c r="G190" s="107"/>
      <c r="I190" s="46"/>
    </row>
    <row r="191" spans="2:9" x14ac:dyDescent="0.2">
      <c r="B191" s="54"/>
      <c r="C191" s="53"/>
      <c r="E191" s="49"/>
      <c r="G191" s="107"/>
      <c r="I191" s="46"/>
    </row>
    <row r="192" spans="2:9" x14ac:dyDescent="0.2">
      <c r="B192" s="54"/>
      <c r="C192" s="53"/>
      <c r="E192" s="49"/>
      <c r="G192" s="107"/>
      <c r="I192" s="46"/>
    </row>
    <row r="193" spans="2:9" x14ac:dyDescent="0.2">
      <c r="B193" s="54"/>
      <c r="C193" s="53"/>
      <c r="E193" s="49"/>
      <c r="G193" s="107"/>
      <c r="I193" s="46"/>
    </row>
    <row r="194" spans="2:9" x14ac:dyDescent="0.2">
      <c r="B194" s="54"/>
      <c r="C194" s="53"/>
      <c r="E194" s="49"/>
      <c r="G194" s="107"/>
      <c r="I194" s="46"/>
    </row>
    <row r="195" spans="2:9" x14ac:dyDescent="0.2">
      <c r="B195" s="107"/>
      <c r="E195" s="49"/>
      <c r="G195" s="107"/>
      <c r="I195" s="46"/>
    </row>
    <row r="196" spans="2:9" x14ac:dyDescent="0.2">
      <c r="B196" s="107"/>
      <c r="E196" s="49"/>
      <c r="G196" s="107"/>
      <c r="I196" s="46"/>
    </row>
    <row r="197" spans="2:9" x14ac:dyDescent="0.2">
      <c r="B197" s="107"/>
      <c r="E197" s="49"/>
      <c r="G197" s="46"/>
      <c r="I197" s="46"/>
    </row>
    <row r="198" spans="2:9" x14ac:dyDescent="0.2">
      <c r="B198" s="107"/>
      <c r="E198" s="49"/>
      <c r="G198" s="46"/>
      <c r="I198" s="46"/>
    </row>
    <row r="199" spans="2:9" x14ac:dyDescent="0.2">
      <c r="B199" s="107"/>
      <c r="E199" s="49"/>
      <c r="G199" s="46"/>
      <c r="I199" s="46"/>
    </row>
    <row r="200" spans="2:9" x14ac:dyDescent="0.2">
      <c r="B200" s="107"/>
      <c r="E200" s="49"/>
      <c r="G200" s="46"/>
      <c r="I200" s="46"/>
    </row>
    <row r="201" spans="2:9" x14ac:dyDescent="0.2">
      <c r="B201" s="107"/>
      <c r="E201" s="49"/>
      <c r="G201" s="46"/>
      <c r="I201" s="46"/>
    </row>
    <row r="202" spans="2:9" x14ac:dyDescent="0.2">
      <c r="B202" s="107"/>
      <c r="E202" s="49"/>
      <c r="G202" s="46"/>
      <c r="I202" s="46"/>
    </row>
    <row r="203" spans="2:9" x14ac:dyDescent="0.2">
      <c r="B203" s="107"/>
      <c r="E203" s="49"/>
      <c r="G203" s="46"/>
      <c r="I203" s="46"/>
    </row>
    <row r="204" spans="2:9" x14ac:dyDescent="0.2">
      <c r="B204" s="107"/>
      <c r="E204" s="49"/>
      <c r="G204" s="46"/>
      <c r="I204" s="46"/>
    </row>
    <row r="205" spans="2:9" x14ac:dyDescent="0.2">
      <c r="B205" s="107"/>
      <c r="E205" s="49"/>
      <c r="G205" s="46"/>
      <c r="I205" s="46"/>
    </row>
    <row r="206" spans="2:9" x14ac:dyDescent="0.2">
      <c r="B206" s="107"/>
      <c r="E206" s="49"/>
      <c r="G206" s="46"/>
      <c r="I206" s="46"/>
    </row>
    <row r="207" spans="2:9" x14ac:dyDescent="0.2">
      <c r="B207" s="107"/>
      <c r="E207" s="49"/>
      <c r="G207" s="46"/>
      <c r="I207" s="46"/>
    </row>
    <row r="208" spans="2:9" x14ac:dyDescent="0.2">
      <c r="B208" s="107"/>
      <c r="E208" s="49"/>
      <c r="G208" s="46"/>
      <c r="I208" s="46"/>
    </row>
    <row r="209" spans="2:10" x14ac:dyDescent="0.2">
      <c r="B209" s="107"/>
      <c r="E209" s="49"/>
      <c r="G209" s="46"/>
      <c r="I209" s="46"/>
    </row>
    <row r="210" spans="2:10" x14ac:dyDescent="0.2">
      <c r="B210" s="107"/>
      <c r="E210" s="49"/>
      <c r="G210" s="46"/>
      <c r="I210" s="46"/>
    </row>
    <row r="211" spans="2:10" x14ac:dyDescent="0.2">
      <c r="B211" s="107"/>
      <c r="E211" s="49"/>
      <c r="G211" s="46"/>
      <c r="I211" s="46"/>
    </row>
    <row r="212" spans="2:10" x14ac:dyDescent="0.2">
      <c r="B212" s="107"/>
      <c r="E212" s="49"/>
      <c r="G212" s="46"/>
      <c r="I212" s="46"/>
    </row>
    <row r="213" spans="2:10" x14ac:dyDescent="0.2">
      <c r="B213" s="107"/>
      <c r="E213" s="49"/>
      <c r="G213" s="46"/>
      <c r="I213" s="46"/>
    </row>
    <row r="214" spans="2:10" x14ac:dyDescent="0.2">
      <c r="B214" s="107"/>
      <c r="E214" s="49"/>
      <c r="G214" s="46"/>
      <c r="I214" s="46"/>
    </row>
    <row r="215" spans="2:10" x14ac:dyDescent="0.2">
      <c r="B215" s="49"/>
      <c r="E215" s="49"/>
      <c r="G215" s="107"/>
      <c r="I215" s="107"/>
    </row>
    <row r="216" spans="2:10" x14ac:dyDescent="0.2">
      <c r="B216" s="49"/>
      <c r="E216" s="49"/>
      <c r="G216" s="107"/>
      <c r="I216" s="107"/>
    </row>
    <row r="217" spans="2:10" x14ac:dyDescent="0.2">
      <c r="B217" s="49"/>
      <c r="E217" s="49"/>
      <c r="G217" s="107"/>
      <c r="I217" s="107"/>
      <c r="J217" s="107"/>
    </row>
    <row r="218" spans="2:10" x14ac:dyDescent="0.2">
      <c r="B218" s="49"/>
      <c r="E218" s="49"/>
      <c r="G218" s="107"/>
      <c r="I218" s="107"/>
      <c r="J218" s="107"/>
    </row>
    <row r="219" spans="2:10" x14ac:dyDescent="0.2">
      <c r="B219" s="49"/>
      <c r="E219" s="49"/>
      <c r="G219" s="107"/>
      <c r="I219" s="107"/>
      <c r="J219" s="107"/>
    </row>
    <row r="220" spans="2:10" x14ac:dyDescent="0.2">
      <c r="B220" s="49"/>
      <c r="E220" s="49"/>
      <c r="G220" s="107"/>
      <c r="I220" s="107"/>
      <c r="J220" s="107"/>
    </row>
    <row r="221" spans="2:10" x14ac:dyDescent="0.2">
      <c r="B221" s="49"/>
      <c r="E221" s="49"/>
      <c r="G221" s="46"/>
      <c r="I221" s="46"/>
      <c r="J221" s="107"/>
    </row>
    <row r="222" spans="2:10" x14ac:dyDescent="0.2">
      <c r="B222" s="49"/>
      <c r="E222" s="49"/>
      <c r="G222" s="46"/>
      <c r="I222" s="46"/>
      <c r="J222" s="107"/>
    </row>
    <row r="223" spans="2:10" x14ac:dyDescent="0.2">
      <c r="B223" s="49"/>
      <c r="E223" s="49"/>
      <c r="G223" s="46"/>
      <c r="I223" s="46"/>
    </row>
    <row r="224" spans="2:10" x14ac:dyDescent="0.2">
      <c r="B224" s="49"/>
      <c r="E224" s="49"/>
      <c r="G224" s="46"/>
      <c r="I224" s="46"/>
    </row>
    <row r="225" spans="2:18" x14ac:dyDescent="0.2">
      <c r="B225" s="49"/>
      <c r="E225" s="49"/>
      <c r="G225" s="46"/>
      <c r="I225" s="46"/>
    </row>
    <row r="226" spans="2:18" x14ac:dyDescent="0.2">
      <c r="B226" s="49"/>
      <c r="E226" s="49"/>
      <c r="G226" s="46"/>
      <c r="I226" s="46"/>
      <c r="K226" s="107"/>
    </row>
    <row r="227" spans="2:18" x14ac:dyDescent="0.2">
      <c r="B227" s="49"/>
      <c r="E227" s="49"/>
      <c r="G227" s="46"/>
      <c r="I227" s="46"/>
      <c r="K227" s="107"/>
    </row>
    <row r="228" spans="2:18" x14ac:dyDescent="0.2">
      <c r="B228" s="49"/>
      <c r="E228" s="49"/>
      <c r="G228" s="46"/>
      <c r="I228" s="46"/>
      <c r="K228" s="107"/>
    </row>
    <row r="229" spans="2:18" x14ac:dyDescent="0.2">
      <c r="B229" s="49"/>
      <c r="E229" s="49"/>
      <c r="G229" s="46"/>
      <c r="I229" s="46"/>
      <c r="K229" s="107"/>
    </row>
    <row r="230" spans="2:18" x14ac:dyDescent="0.2">
      <c r="Q230" s="107"/>
      <c r="R230" s="107"/>
    </row>
    <row r="231" spans="2:18" x14ac:dyDescent="0.2">
      <c r="Q231" s="107"/>
      <c r="R231" s="107"/>
    </row>
  </sheetData>
  <sheetProtection selectLockedCells="1"/>
  <protectedRanges>
    <protectedRange sqref="A5" name="区域1"/>
  </protectedRanges>
  <mergeCells count="1">
    <mergeCell ref="D1:P1"/>
  </mergeCells>
  <phoneticPr fontId="14" type="noConversion"/>
  <dataValidations count="2">
    <dataValidation type="list" allowBlank="1" showInputMessage="1" showErrorMessage="1" sqref="G9" xr:uid="{00000000-0002-0000-0100-000000000000}">
      <formula1>"日,周,月"</formula1>
    </dataValidation>
    <dataValidation type="list" allowBlank="1" showInputMessage="1" showErrorMessage="1" sqref="G8" xr:uid="{00000000-0002-0000-0100-000001000000}">
      <formula1>"港币,人民币"</formula1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60" r:id="rId4" name="List Box 136">
              <controlPr defaultSize="0" autoLine="0" autoPict="0">
                <anchor moveWithCells="1">
                  <from>
                    <xdr:col>1</xdr:col>
                    <xdr:colOff>9525</xdr:colOff>
                    <xdr:row>4</xdr:row>
                    <xdr:rowOff>19050</xdr:rowOff>
                  </from>
                  <to>
                    <xdr:col>3</xdr:col>
                    <xdr:colOff>561975</xdr:colOff>
                    <xdr:row>14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rgb="FF63636D"/>
  </sheetPr>
  <dimension ref="A1"/>
  <sheetViews>
    <sheetView workbookViewId="0"/>
  </sheetViews>
  <sheetFormatPr defaultRowHeight="14.25" x14ac:dyDescent="0.15"/>
  <sheetData>
    <row r="1" spans="1:1" ht="17.25" x14ac:dyDescent="0.3">
      <c r="A1" s="124" t="s">
        <v>326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63636D"/>
  </sheetPr>
  <dimension ref="A1:I162"/>
  <sheetViews>
    <sheetView showGridLines="0" topLeftCell="B1" workbookViewId="0">
      <selection activeCell="B49" sqref="B49"/>
    </sheetView>
  </sheetViews>
  <sheetFormatPr defaultRowHeight="13.5" x14ac:dyDescent="0.3"/>
  <cols>
    <col min="1" max="1" width="3" style="72" hidden="1" customWidth="1"/>
    <col min="2" max="2" width="29.125" style="72" bestFit="1" customWidth="1"/>
    <col min="3" max="3" width="11.625" style="72" bestFit="1" customWidth="1"/>
    <col min="4" max="4" width="10.125" style="72" bestFit="1" customWidth="1"/>
    <col min="5" max="5" width="8.125" style="72" bestFit="1" customWidth="1"/>
    <col min="6" max="6" width="10.5" style="72" customWidth="1"/>
    <col min="7" max="7" width="9" style="72"/>
    <col min="8" max="8" width="10.125" style="72" bestFit="1" customWidth="1"/>
    <col min="9" max="9" width="17.875" style="72" customWidth="1"/>
    <col min="10" max="11" width="9" style="72"/>
    <col min="12" max="12" width="10.25" style="72" customWidth="1"/>
    <col min="13" max="16384" width="9" style="72"/>
  </cols>
  <sheetData>
    <row r="1" spans="2:9" ht="16.5" x14ac:dyDescent="0.35">
      <c r="B1" s="130" t="s">
        <v>527</v>
      </c>
      <c r="C1" s="130" t="s">
        <v>0</v>
      </c>
      <c r="D1" s="130" t="s">
        <v>181</v>
      </c>
      <c r="E1" s="130" t="s">
        <v>182</v>
      </c>
      <c r="H1" s="73"/>
      <c r="I1" s="74"/>
    </row>
    <row r="2" spans="2:9" ht="16.5" x14ac:dyDescent="0.35">
      <c r="B2" s="110" t="str">
        <f t="shared" ref="B2:B65" si="0">D2&amp;" "&amp;C2&amp;" "&amp;"("&amp;E2&amp;")"</f>
        <v>601728.SH 中国电信 (0728.HK)</v>
      </c>
      <c r="C2" s="110" t="s">
        <v>328</v>
      </c>
      <c r="D2" s="110" t="s">
        <v>278</v>
      </c>
      <c r="E2" s="110" t="s">
        <v>219</v>
      </c>
      <c r="H2" s="73"/>
      <c r="I2" s="74"/>
    </row>
    <row r="3" spans="2:9" ht="16.5" x14ac:dyDescent="0.35">
      <c r="B3" s="78" t="str">
        <f t="shared" si="0"/>
        <v>601330.SH 绿色动力 (1330.HK)</v>
      </c>
      <c r="C3" s="78" t="s">
        <v>329</v>
      </c>
      <c r="D3" s="78" t="s">
        <v>272</v>
      </c>
      <c r="E3" s="78" t="s">
        <v>213</v>
      </c>
      <c r="H3" s="75"/>
      <c r="I3" s="74"/>
    </row>
    <row r="4" spans="2:9" ht="16.5" x14ac:dyDescent="0.35">
      <c r="B4" s="77" t="str">
        <f t="shared" si="0"/>
        <v>601088.SH 中国神华 (1088.HK)</v>
      </c>
      <c r="C4" s="77" t="s">
        <v>330</v>
      </c>
      <c r="D4" s="77" t="s">
        <v>84</v>
      </c>
      <c r="E4" s="77" t="s">
        <v>85</v>
      </c>
      <c r="H4" s="75"/>
      <c r="I4" s="76"/>
    </row>
    <row r="5" spans="2:9" ht="16.5" x14ac:dyDescent="0.35">
      <c r="B5" s="78" t="str">
        <f t="shared" si="0"/>
        <v>600876.SH 凯盛新能 (1108.HK)</v>
      </c>
      <c r="C5" s="78" t="s">
        <v>331</v>
      </c>
      <c r="D5" s="78" t="s">
        <v>82</v>
      </c>
      <c r="E5" s="78" t="s">
        <v>83</v>
      </c>
    </row>
    <row r="6" spans="2:9" ht="16.5" x14ac:dyDescent="0.35">
      <c r="B6" s="77" t="str">
        <f t="shared" si="0"/>
        <v>600874.SH 创业环保 (1065.HK)</v>
      </c>
      <c r="C6" s="77" t="s">
        <v>332</v>
      </c>
      <c r="D6" s="77" t="s">
        <v>90</v>
      </c>
      <c r="E6" s="77" t="s">
        <v>91</v>
      </c>
    </row>
    <row r="7" spans="2:9" ht="16.5" x14ac:dyDescent="0.35">
      <c r="B7" s="78" t="str">
        <f t="shared" si="0"/>
        <v>001236.SZ 弘业期货 (3678.HK)</v>
      </c>
      <c r="C7" s="78" t="s">
        <v>333</v>
      </c>
      <c r="D7" s="78" t="s">
        <v>315</v>
      </c>
      <c r="E7" s="78" t="s">
        <v>503</v>
      </c>
    </row>
    <row r="8" spans="2:9" ht="16.5" x14ac:dyDescent="0.35">
      <c r="B8" s="77" t="str">
        <f t="shared" si="0"/>
        <v>600956.SH 新天绿能 (0956.HK)</v>
      </c>
      <c r="C8" s="77" t="s">
        <v>334</v>
      </c>
      <c r="D8" s="77" t="s">
        <v>262</v>
      </c>
      <c r="E8" s="77" t="s">
        <v>203</v>
      </c>
    </row>
    <row r="9" spans="2:9" ht="16.5" x14ac:dyDescent="0.35">
      <c r="B9" s="78" t="str">
        <f t="shared" si="0"/>
        <v>600196.SH 复星医药 (2196.HK)</v>
      </c>
      <c r="C9" s="78" t="s">
        <v>335</v>
      </c>
      <c r="D9" s="78" t="s">
        <v>48</v>
      </c>
      <c r="E9" s="78" t="s">
        <v>49</v>
      </c>
    </row>
    <row r="10" spans="2:9" ht="16.5" x14ac:dyDescent="0.35">
      <c r="B10" s="77" t="str">
        <f t="shared" si="0"/>
        <v>601375.SH 中原证券 (1375.HK)</v>
      </c>
      <c r="C10" s="77" t="s">
        <v>336</v>
      </c>
      <c r="D10" s="77" t="s">
        <v>273</v>
      </c>
      <c r="E10" s="77" t="s">
        <v>214</v>
      </c>
    </row>
    <row r="11" spans="2:9" ht="16.5" x14ac:dyDescent="0.35">
      <c r="B11" s="78" t="str">
        <f t="shared" si="0"/>
        <v>600332.SH 白云山 (0874.HK)</v>
      </c>
      <c r="C11" s="78" t="s">
        <v>337</v>
      </c>
      <c r="D11" s="78" t="s">
        <v>116</v>
      </c>
      <c r="E11" s="78" t="s">
        <v>117</v>
      </c>
    </row>
    <row r="12" spans="2:9" ht="16.5" x14ac:dyDescent="0.35">
      <c r="B12" s="77" t="str">
        <f t="shared" si="0"/>
        <v>300759.SZ 康龙化成 (3759.HK)</v>
      </c>
      <c r="C12" s="77" t="s">
        <v>338</v>
      </c>
      <c r="D12" s="77" t="s">
        <v>256</v>
      </c>
      <c r="E12" s="77" t="s">
        <v>197</v>
      </c>
    </row>
    <row r="13" spans="2:9" ht="16.5" x14ac:dyDescent="0.35">
      <c r="B13" s="78" t="str">
        <f t="shared" si="0"/>
        <v>600958.SH 东方证券 (3958.HK)</v>
      </c>
      <c r="C13" s="78" t="s">
        <v>339</v>
      </c>
      <c r="D13" s="78" t="s">
        <v>263</v>
      </c>
      <c r="E13" s="78" t="s">
        <v>204</v>
      </c>
    </row>
    <row r="14" spans="2:9" ht="16.5" x14ac:dyDescent="0.35">
      <c r="B14" s="77" t="str">
        <f t="shared" si="0"/>
        <v>601238.SH 广汽集团 (2238.HK)</v>
      </c>
      <c r="C14" s="77" t="s">
        <v>340</v>
      </c>
      <c r="D14" s="77" t="s">
        <v>44</v>
      </c>
      <c r="E14" s="77" t="s">
        <v>45</v>
      </c>
    </row>
    <row r="15" spans="2:9" ht="16.5" x14ac:dyDescent="0.35">
      <c r="B15" s="78" t="str">
        <f t="shared" si="0"/>
        <v>600026.SH 中远海能 (1138.HK)</v>
      </c>
      <c r="C15" s="78" t="s">
        <v>341</v>
      </c>
      <c r="D15" s="78" t="s">
        <v>80</v>
      </c>
      <c r="E15" s="78" t="s">
        <v>81</v>
      </c>
    </row>
    <row r="16" spans="2:9" ht="16.5" x14ac:dyDescent="0.35">
      <c r="B16" s="77" t="str">
        <f t="shared" si="0"/>
        <v>688180.SH 君实生物-U (1877.HK)</v>
      </c>
      <c r="C16" s="77" t="s">
        <v>342</v>
      </c>
      <c r="D16" s="77" t="s">
        <v>293</v>
      </c>
      <c r="E16" s="77" t="s">
        <v>234</v>
      </c>
    </row>
    <row r="17" spans="2:5" ht="16.5" x14ac:dyDescent="0.35">
      <c r="B17" s="78" t="str">
        <f t="shared" si="0"/>
        <v>000776.SZ 广发证券 (1776.HK)</v>
      </c>
      <c r="C17" s="78" t="s">
        <v>343</v>
      </c>
      <c r="D17" s="78" t="s">
        <v>246</v>
      </c>
      <c r="E17" s="78" t="s">
        <v>187</v>
      </c>
    </row>
    <row r="18" spans="2:5" ht="16.5" x14ac:dyDescent="0.35">
      <c r="B18" s="77" t="str">
        <f t="shared" si="0"/>
        <v>601869.SH XD长飞光 (6869.HK)</v>
      </c>
      <c r="C18" s="77" t="s">
        <v>344</v>
      </c>
      <c r="D18" s="77" t="s">
        <v>284</v>
      </c>
      <c r="E18" s="77" t="s">
        <v>225</v>
      </c>
    </row>
    <row r="19" spans="2:5" ht="16.5" x14ac:dyDescent="0.35">
      <c r="B19" s="78" t="str">
        <f t="shared" si="0"/>
        <v>300347.SZ 泰格医药 (3347.HK)</v>
      </c>
      <c r="C19" s="78" t="s">
        <v>345</v>
      </c>
      <c r="D19" s="78" t="s">
        <v>254</v>
      </c>
      <c r="E19" s="78" t="s">
        <v>195</v>
      </c>
    </row>
    <row r="20" spans="2:5" ht="16.5" x14ac:dyDescent="0.35">
      <c r="B20" s="77" t="str">
        <f t="shared" si="0"/>
        <v>002703.SZ 浙江世宝 (1057.HK)</v>
      </c>
      <c r="C20" s="77" t="s">
        <v>346</v>
      </c>
      <c r="D20" s="77" t="s">
        <v>92</v>
      </c>
      <c r="E20" s="77" t="s">
        <v>93</v>
      </c>
    </row>
    <row r="21" spans="2:5" ht="16.5" x14ac:dyDescent="0.35">
      <c r="B21" s="78" t="str">
        <f t="shared" si="0"/>
        <v>600027.SH 华电国际 (1071.HK)</v>
      </c>
      <c r="C21" s="78" t="s">
        <v>347</v>
      </c>
      <c r="D21" s="78" t="s">
        <v>88</v>
      </c>
      <c r="E21" s="78" t="s">
        <v>89</v>
      </c>
    </row>
    <row r="22" spans="2:5" ht="16.5" x14ac:dyDescent="0.35">
      <c r="B22" s="77" t="str">
        <f t="shared" si="0"/>
        <v>002490.SZ 山东墨龙 (0568.HK)</v>
      </c>
      <c r="C22" s="77" t="s">
        <v>348</v>
      </c>
      <c r="D22" s="77" t="s">
        <v>130</v>
      </c>
      <c r="E22" s="77" t="s">
        <v>131</v>
      </c>
    </row>
    <row r="23" spans="2:5" ht="16.5" x14ac:dyDescent="0.35">
      <c r="B23" s="78" t="str">
        <f t="shared" si="0"/>
        <v>601336.SH 新华保险 (1336.HK)</v>
      </c>
      <c r="C23" s="78" t="s">
        <v>349</v>
      </c>
      <c r="D23" s="78" t="s">
        <v>68</v>
      </c>
      <c r="E23" s="78" t="s">
        <v>69</v>
      </c>
    </row>
    <row r="24" spans="2:5" ht="16.5" x14ac:dyDescent="0.35">
      <c r="B24" s="77" t="str">
        <f t="shared" si="0"/>
        <v>601688.SH 华泰证券 (6886.HK)</v>
      </c>
      <c r="C24" s="77" t="s">
        <v>350</v>
      </c>
      <c r="D24" s="77" t="s">
        <v>277</v>
      </c>
      <c r="E24" s="77" t="s">
        <v>218</v>
      </c>
    </row>
    <row r="25" spans="2:5" ht="16.5" x14ac:dyDescent="0.35">
      <c r="B25" s="78" t="str">
        <f t="shared" si="0"/>
        <v>601456.SH 国联民生 (1456.HK)</v>
      </c>
      <c r="C25" s="78" t="s">
        <v>351</v>
      </c>
      <c r="D25" s="78" t="s">
        <v>274</v>
      </c>
      <c r="E25" s="78" t="s">
        <v>215</v>
      </c>
    </row>
    <row r="26" spans="2:5" ht="16.5" x14ac:dyDescent="0.35">
      <c r="B26" s="77" t="str">
        <f t="shared" si="0"/>
        <v>002936.SZ 郑州银行 (6196.HK)</v>
      </c>
      <c r="C26" s="77" t="s">
        <v>352</v>
      </c>
      <c r="D26" s="77" t="s">
        <v>251</v>
      </c>
      <c r="E26" s="77" t="s">
        <v>192</v>
      </c>
    </row>
    <row r="27" spans="2:5" ht="16.5" x14ac:dyDescent="0.35">
      <c r="B27" s="78" t="str">
        <f t="shared" si="0"/>
        <v>601186.SH 中国铁建 (1186.HK)</v>
      </c>
      <c r="C27" s="78" t="s">
        <v>353</v>
      </c>
      <c r="D27" s="78" t="s">
        <v>74</v>
      </c>
      <c r="E27" s="78" t="s">
        <v>75</v>
      </c>
    </row>
    <row r="28" spans="2:5" ht="16.5" x14ac:dyDescent="0.35">
      <c r="B28" s="77" t="str">
        <f t="shared" si="0"/>
        <v>601038.SH 一拖股份 (0038.HK)</v>
      </c>
      <c r="C28" s="77" t="s">
        <v>354</v>
      </c>
      <c r="D28" s="77" t="s">
        <v>162</v>
      </c>
      <c r="E28" s="77" t="s">
        <v>163</v>
      </c>
    </row>
    <row r="29" spans="2:5" ht="16.5" x14ac:dyDescent="0.35">
      <c r="B29" s="78" t="str">
        <f t="shared" si="0"/>
        <v>001289.SZ 龙源电力 (0916.HK)</v>
      </c>
      <c r="C29" s="78" t="s">
        <v>355</v>
      </c>
      <c r="D29" s="78" t="s">
        <v>247</v>
      </c>
      <c r="E29" s="78" t="s">
        <v>188</v>
      </c>
    </row>
    <row r="30" spans="2:5" ht="16.5" x14ac:dyDescent="0.35">
      <c r="B30" s="77" t="str">
        <f t="shared" si="0"/>
        <v>688331.SH 荣昌生物 (9995.HK)</v>
      </c>
      <c r="C30" s="77" t="s">
        <v>356</v>
      </c>
      <c r="D30" s="77" t="s">
        <v>297</v>
      </c>
      <c r="E30" s="77" t="s">
        <v>238</v>
      </c>
    </row>
    <row r="31" spans="2:5" ht="16.5" x14ac:dyDescent="0.35">
      <c r="B31" s="78" t="str">
        <f t="shared" si="0"/>
        <v>000063.SZ 中兴通讯 (0763.HK)</v>
      </c>
      <c r="C31" s="78" t="s">
        <v>357</v>
      </c>
      <c r="D31" s="78" t="s">
        <v>120</v>
      </c>
      <c r="E31" s="78" t="s">
        <v>121</v>
      </c>
    </row>
    <row r="32" spans="2:5" ht="16.5" x14ac:dyDescent="0.35">
      <c r="B32" s="77" t="str">
        <f t="shared" si="0"/>
        <v>600547.SH 山东黄金 (1787.HK)</v>
      </c>
      <c r="C32" s="77" t="s">
        <v>358</v>
      </c>
      <c r="D32" s="77" t="s">
        <v>257</v>
      </c>
      <c r="E32" s="77" t="s">
        <v>198</v>
      </c>
    </row>
    <row r="33" spans="2:5" ht="16.5" x14ac:dyDescent="0.35">
      <c r="B33" s="78" t="str">
        <f t="shared" si="0"/>
        <v>603906.SH 龙蟠科技 (2465.HK)</v>
      </c>
      <c r="C33" s="78" t="s">
        <v>359</v>
      </c>
      <c r="D33" s="78" t="s">
        <v>489</v>
      </c>
      <c r="E33" s="78" t="s">
        <v>504</v>
      </c>
    </row>
    <row r="34" spans="2:5" ht="16.5" x14ac:dyDescent="0.35">
      <c r="B34" s="77" t="str">
        <f t="shared" si="0"/>
        <v>003816.SZ 中国广核 (1816.HK)</v>
      </c>
      <c r="C34" s="77" t="s">
        <v>360</v>
      </c>
      <c r="D34" s="77" t="s">
        <v>253</v>
      </c>
      <c r="E34" s="77" t="s">
        <v>194</v>
      </c>
    </row>
    <row r="35" spans="2:5" ht="16.5" x14ac:dyDescent="0.35">
      <c r="B35" s="78" t="str">
        <f t="shared" si="0"/>
        <v>000002.SZ 万 科Ａ (2202.HK)</v>
      </c>
      <c r="C35" s="78" t="s">
        <v>361</v>
      </c>
      <c r="D35" s="78" t="s">
        <v>242</v>
      </c>
      <c r="E35" s="78" t="s">
        <v>183</v>
      </c>
    </row>
    <row r="36" spans="2:5" ht="16.5" x14ac:dyDescent="0.35">
      <c r="B36" s="77" t="str">
        <f t="shared" si="0"/>
        <v>601633.SH 长城汽车 (2333.HK)</v>
      </c>
      <c r="C36" s="77" t="s">
        <v>362</v>
      </c>
      <c r="D36" s="77" t="s">
        <v>40</v>
      </c>
      <c r="E36" s="77" t="s">
        <v>41</v>
      </c>
    </row>
    <row r="37" spans="2:5" ht="16.5" x14ac:dyDescent="0.35">
      <c r="B37" s="78" t="str">
        <f t="shared" si="0"/>
        <v>601811.SH 新华文轩 (0811.HK)</v>
      </c>
      <c r="C37" s="78" t="s">
        <v>363</v>
      </c>
      <c r="D37" s="78" t="s">
        <v>280</v>
      </c>
      <c r="E37" s="78" t="s">
        <v>221</v>
      </c>
    </row>
    <row r="38" spans="2:5" ht="16.5" x14ac:dyDescent="0.35">
      <c r="B38" s="77" t="str">
        <f t="shared" si="0"/>
        <v>601881.SH 中国银河 (6881.HK)</v>
      </c>
      <c r="C38" s="77" t="s">
        <v>364</v>
      </c>
      <c r="D38" s="77" t="s">
        <v>285</v>
      </c>
      <c r="E38" s="77" t="s">
        <v>226</v>
      </c>
    </row>
    <row r="39" spans="2:5" ht="16.5" x14ac:dyDescent="0.35">
      <c r="B39" s="78" t="str">
        <f t="shared" si="0"/>
        <v>601800.SH 中国交建 (1800.HK)</v>
      </c>
      <c r="C39" s="78" t="s">
        <v>365</v>
      </c>
      <c r="D39" s="78" t="s">
        <v>60</v>
      </c>
      <c r="E39" s="78" t="s">
        <v>61</v>
      </c>
    </row>
    <row r="40" spans="2:5" ht="16.5" x14ac:dyDescent="0.35">
      <c r="B40" s="77" t="str">
        <f t="shared" si="0"/>
        <v>688009.SH 中国通号 (3969.HK)</v>
      </c>
      <c r="C40" s="77" t="s">
        <v>366</v>
      </c>
      <c r="D40" s="77" t="s">
        <v>292</v>
      </c>
      <c r="E40" s="77" t="s">
        <v>233</v>
      </c>
    </row>
    <row r="41" spans="2:5" ht="16.5" x14ac:dyDescent="0.35">
      <c r="B41" s="78" t="str">
        <f t="shared" si="0"/>
        <v>600860.SH 京城股份 (0187.HK)</v>
      </c>
      <c r="C41" s="78" t="s">
        <v>367</v>
      </c>
      <c r="D41" s="78" t="s">
        <v>154</v>
      </c>
      <c r="E41" s="78" t="s">
        <v>155</v>
      </c>
    </row>
    <row r="42" spans="2:5" ht="16.5" x14ac:dyDescent="0.35">
      <c r="B42" s="77" t="str">
        <f t="shared" si="0"/>
        <v>688236.SH 春立医疗 (1858.HK)</v>
      </c>
      <c r="C42" s="77" t="s">
        <v>368</v>
      </c>
      <c r="D42" s="77" t="s">
        <v>296</v>
      </c>
      <c r="E42" s="77" t="s">
        <v>237</v>
      </c>
    </row>
    <row r="43" spans="2:5" ht="16.5" x14ac:dyDescent="0.35">
      <c r="B43" s="78" t="str">
        <f t="shared" si="0"/>
        <v>601107.SH 四川成渝 (0107.HK)</v>
      </c>
      <c r="C43" s="78" t="s">
        <v>369</v>
      </c>
      <c r="D43" s="78" t="s">
        <v>160</v>
      </c>
      <c r="E43" s="78" t="s">
        <v>161</v>
      </c>
    </row>
    <row r="44" spans="2:5" ht="16.5" x14ac:dyDescent="0.35">
      <c r="B44" s="77" t="str">
        <f t="shared" si="0"/>
        <v>601865.SH 福莱特 (6865.HK)</v>
      </c>
      <c r="C44" s="77" t="s">
        <v>370</v>
      </c>
      <c r="D44" s="77" t="s">
        <v>282</v>
      </c>
      <c r="E44" s="77" t="s">
        <v>223</v>
      </c>
    </row>
    <row r="45" spans="2:5" ht="16.5" x14ac:dyDescent="0.35">
      <c r="B45" s="78" t="str">
        <f t="shared" si="0"/>
        <v>600011.SH 华能国际 (0902.HK)</v>
      </c>
      <c r="C45" s="78" t="s">
        <v>371</v>
      </c>
      <c r="D45" s="78" t="s">
        <v>112</v>
      </c>
      <c r="E45" s="78" t="s">
        <v>113</v>
      </c>
    </row>
    <row r="46" spans="2:5" ht="16.5" x14ac:dyDescent="0.35">
      <c r="B46" s="77" t="str">
        <f t="shared" si="0"/>
        <v>002821.SZ 凯莱英 (6821.HK)</v>
      </c>
      <c r="C46" s="77" t="s">
        <v>372</v>
      </c>
      <c r="D46" s="77" t="s">
        <v>250</v>
      </c>
      <c r="E46" s="77" t="s">
        <v>191</v>
      </c>
    </row>
    <row r="47" spans="2:5" ht="16.5" x14ac:dyDescent="0.35">
      <c r="B47" s="78" t="str">
        <f t="shared" si="0"/>
        <v>002399.SZ 海普瑞 (9989.HK)</v>
      </c>
      <c r="C47" s="78" t="s">
        <v>373</v>
      </c>
      <c r="D47" s="78" t="s">
        <v>248</v>
      </c>
      <c r="E47" s="78" t="s">
        <v>189</v>
      </c>
    </row>
    <row r="48" spans="2:5" ht="16.5" x14ac:dyDescent="0.35">
      <c r="B48" s="77" t="str">
        <f t="shared" si="0"/>
        <v>600775.SH 南京熊猫 (0553.HK)</v>
      </c>
      <c r="C48" s="77" t="s">
        <v>374</v>
      </c>
      <c r="D48" s="77" t="s">
        <v>134</v>
      </c>
      <c r="E48" s="77" t="s">
        <v>135</v>
      </c>
    </row>
    <row r="49" spans="2:5" ht="16.5" x14ac:dyDescent="0.35">
      <c r="B49" s="78" t="str">
        <f t="shared" si="0"/>
        <v>002202.SZ 金风科技 (2208.HK)</v>
      </c>
      <c r="C49" s="78" t="s">
        <v>375</v>
      </c>
      <c r="D49" s="78" t="s">
        <v>46</v>
      </c>
      <c r="E49" s="78" t="s">
        <v>47</v>
      </c>
    </row>
    <row r="50" spans="2:5" ht="16.5" x14ac:dyDescent="0.35">
      <c r="B50" s="77" t="str">
        <f t="shared" si="0"/>
        <v>603127.SH 昭衍新药 (6127.HK)</v>
      </c>
      <c r="C50" s="77" t="s">
        <v>376</v>
      </c>
      <c r="D50" s="77" t="s">
        <v>289</v>
      </c>
      <c r="E50" s="77" t="s">
        <v>230</v>
      </c>
    </row>
    <row r="51" spans="2:5" ht="16.5" x14ac:dyDescent="0.35">
      <c r="B51" s="78" t="str">
        <f t="shared" si="0"/>
        <v>601288.SH 农业银行 (1288.HK)</v>
      </c>
      <c r="C51" s="78" t="s">
        <v>377</v>
      </c>
      <c r="D51" s="78" t="s">
        <v>70</v>
      </c>
      <c r="E51" s="78" t="s">
        <v>71</v>
      </c>
    </row>
    <row r="52" spans="2:5" ht="16.5" x14ac:dyDescent="0.35">
      <c r="B52" s="77" t="str">
        <f t="shared" si="0"/>
        <v>601333.SH 广深铁路 (0525.HK)</v>
      </c>
      <c r="C52" s="77" t="s">
        <v>378</v>
      </c>
      <c r="D52" s="77" t="s">
        <v>138</v>
      </c>
      <c r="E52" s="77" t="s">
        <v>139</v>
      </c>
    </row>
    <row r="53" spans="2:5" ht="16.5" x14ac:dyDescent="0.35">
      <c r="B53" s="78" t="str">
        <f t="shared" si="0"/>
        <v>600548.SH 深高速 (0548.HK)</v>
      </c>
      <c r="C53" s="78" t="s">
        <v>379</v>
      </c>
      <c r="D53" s="78" t="s">
        <v>136</v>
      </c>
      <c r="E53" s="78" t="s">
        <v>137</v>
      </c>
    </row>
    <row r="54" spans="2:5" ht="16.5" x14ac:dyDescent="0.35">
      <c r="B54" s="77" t="str">
        <f t="shared" si="0"/>
        <v>600988.SH 赤峰黄金 (6693.HK)</v>
      </c>
      <c r="C54" s="77" t="s">
        <v>380</v>
      </c>
      <c r="D54" s="77" t="s">
        <v>490</v>
      </c>
      <c r="E54" s="77" t="s">
        <v>505</v>
      </c>
    </row>
    <row r="55" spans="2:5" ht="16.5" x14ac:dyDescent="0.35">
      <c r="B55" s="78" t="str">
        <f t="shared" si="0"/>
        <v>000166.SZ 申万宏源 (6806.HK)</v>
      </c>
      <c r="C55" s="78" t="s">
        <v>381</v>
      </c>
      <c r="D55" s="78" t="s">
        <v>244</v>
      </c>
      <c r="E55" s="78" t="s">
        <v>185</v>
      </c>
    </row>
    <row r="56" spans="2:5" ht="16.5" x14ac:dyDescent="0.35">
      <c r="B56" s="77" t="str">
        <f t="shared" si="0"/>
        <v>000756.SZ 新华制药 (0719.HK)</v>
      </c>
      <c r="C56" s="77" t="s">
        <v>382</v>
      </c>
      <c r="D56" s="77" t="s">
        <v>124</v>
      </c>
      <c r="E56" s="77" t="s">
        <v>125</v>
      </c>
    </row>
    <row r="57" spans="2:5" ht="16.5" x14ac:dyDescent="0.35">
      <c r="B57" s="78" t="str">
        <f t="shared" si="0"/>
        <v>601727.SH 上海电气 (2727.HK)</v>
      </c>
      <c r="C57" s="78" t="s">
        <v>383</v>
      </c>
      <c r="D57" s="78" t="s">
        <v>28</v>
      </c>
      <c r="E57" s="78" t="s">
        <v>29</v>
      </c>
    </row>
    <row r="58" spans="2:5" ht="16.5" x14ac:dyDescent="0.35">
      <c r="B58" s="77" t="str">
        <f t="shared" si="0"/>
        <v>000488.SZ ST晨鸣 (1812.HK)</v>
      </c>
      <c r="C58" s="77" t="s">
        <v>384</v>
      </c>
      <c r="D58" s="77" t="s">
        <v>58</v>
      </c>
      <c r="E58" s="77" t="s">
        <v>59</v>
      </c>
    </row>
    <row r="59" spans="2:5" ht="16.5" x14ac:dyDescent="0.35">
      <c r="B59" s="78" t="str">
        <f t="shared" si="0"/>
        <v>002672.SZ 东江环保 (0895.HK)</v>
      </c>
      <c r="C59" s="78" t="s">
        <v>385</v>
      </c>
      <c r="D59" s="78" t="s">
        <v>114</v>
      </c>
      <c r="E59" s="78" t="s">
        <v>115</v>
      </c>
    </row>
    <row r="60" spans="2:5" ht="16.5" x14ac:dyDescent="0.35">
      <c r="B60" s="77" t="str">
        <f t="shared" si="0"/>
        <v>600188.SH 兖矿能源 (1171.HK)</v>
      </c>
      <c r="C60" s="77" t="s">
        <v>386</v>
      </c>
      <c r="D60" s="77" t="s">
        <v>76</v>
      </c>
      <c r="E60" s="77" t="s">
        <v>77</v>
      </c>
    </row>
    <row r="61" spans="2:5" ht="16.5" x14ac:dyDescent="0.35">
      <c r="B61" s="78" t="str">
        <f t="shared" si="0"/>
        <v>601588.SH 北辰实业 (0588.HK)</v>
      </c>
      <c r="C61" s="78" t="s">
        <v>387</v>
      </c>
      <c r="D61" s="78" t="s">
        <v>128</v>
      </c>
      <c r="E61" s="78" t="s">
        <v>129</v>
      </c>
    </row>
    <row r="62" spans="2:5" ht="16.5" x14ac:dyDescent="0.35">
      <c r="B62" s="77" t="str">
        <f t="shared" si="0"/>
        <v>601601.SH 中国太保 (2601.HK)</v>
      </c>
      <c r="C62" s="77" t="s">
        <v>388</v>
      </c>
      <c r="D62" s="77" t="s">
        <v>34</v>
      </c>
      <c r="E62" s="77" t="s">
        <v>35</v>
      </c>
    </row>
    <row r="63" spans="2:5" ht="16.5" x14ac:dyDescent="0.35">
      <c r="B63" s="78" t="str">
        <f t="shared" si="0"/>
        <v>601326.SH 秦港股份 (3369.HK)</v>
      </c>
      <c r="C63" s="78" t="s">
        <v>389</v>
      </c>
      <c r="D63" s="78" t="s">
        <v>271</v>
      </c>
      <c r="E63" s="78" t="s">
        <v>212</v>
      </c>
    </row>
    <row r="64" spans="2:5" ht="16.5" x14ac:dyDescent="0.35">
      <c r="B64" s="77" t="str">
        <f t="shared" si="0"/>
        <v>601211.SH 国泰海通 (2611.HK)</v>
      </c>
      <c r="C64" s="77" t="s">
        <v>390</v>
      </c>
      <c r="D64" s="77" t="s">
        <v>268</v>
      </c>
      <c r="E64" s="77" t="s">
        <v>209</v>
      </c>
    </row>
    <row r="65" spans="2:5" ht="16.5" x14ac:dyDescent="0.35">
      <c r="B65" s="78" t="str">
        <f t="shared" si="0"/>
        <v>688185.SH 康希诺 (6185.HK)</v>
      </c>
      <c r="C65" s="78" t="s">
        <v>391</v>
      </c>
      <c r="D65" s="78" t="s">
        <v>294</v>
      </c>
      <c r="E65" s="78" t="s">
        <v>235</v>
      </c>
    </row>
    <row r="66" spans="2:5" ht="16.5" x14ac:dyDescent="0.35">
      <c r="B66" s="77" t="str">
        <f t="shared" ref="B66:B129" si="1">D66&amp;" "&amp;C66&amp;" "&amp;"("&amp;E66&amp;")"</f>
        <v>601077.SH 渝农商行 (3618.HK)</v>
      </c>
      <c r="C66" s="77" t="s">
        <v>392</v>
      </c>
      <c r="D66" s="77" t="s">
        <v>267</v>
      </c>
      <c r="E66" s="77" t="s">
        <v>208</v>
      </c>
    </row>
    <row r="67" spans="2:5" ht="16.5" x14ac:dyDescent="0.35">
      <c r="B67" s="78" t="str">
        <f t="shared" si="1"/>
        <v>688385.SH 复旦微电 (1385.HK)</v>
      </c>
      <c r="C67" s="78" t="s">
        <v>393</v>
      </c>
      <c r="D67" s="78" t="s">
        <v>299</v>
      </c>
      <c r="E67" s="78" t="s">
        <v>240</v>
      </c>
    </row>
    <row r="68" spans="2:5" ht="16.5" x14ac:dyDescent="0.35">
      <c r="B68" s="77" t="str">
        <f t="shared" si="1"/>
        <v>601888.SH 中国中免 (1880.HK)</v>
      </c>
      <c r="C68" s="77" t="s">
        <v>394</v>
      </c>
      <c r="D68" s="77" t="s">
        <v>322</v>
      </c>
      <c r="E68" s="77" t="s">
        <v>506</v>
      </c>
    </row>
    <row r="69" spans="2:5" ht="16.5" x14ac:dyDescent="0.35">
      <c r="B69" s="78" t="str">
        <f t="shared" si="1"/>
        <v>600600.SH 青岛啤酒 (0168.HK)</v>
      </c>
      <c r="C69" s="78" t="s">
        <v>395</v>
      </c>
      <c r="D69" s="78" t="s">
        <v>158</v>
      </c>
      <c r="E69" s="78" t="s">
        <v>159</v>
      </c>
    </row>
    <row r="70" spans="2:5" ht="16.5" x14ac:dyDescent="0.35">
      <c r="B70" s="77" t="str">
        <f t="shared" si="1"/>
        <v>601066.SH 中信建投 (6066.HK)</v>
      </c>
      <c r="C70" s="77" t="s">
        <v>396</v>
      </c>
      <c r="D70" s="77" t="s">
        <v>265</v>
      </c>
      <c r="E70" s="77" t="s">
        <v>206</v>
      </c>
    </row>
    <row r="71" spans="2:5" ht="16.5" x14ac:dyDescent="0.35">
      <c r="B71" s="78" t="str">
        <f t="shared" si="1"/>
        <v>600377.SH 宁沪高速 (0177.HK)</v>
      </c>
      <c r="C71" s="78" t="s">
        <v>397</v>
      </c>
      <c r="D71" s="78" t="s">
        <v>156</v>
      </c>
      <c r="E71" s="78" t="s">
        <v>157</v>
      </c>
    </row>
    <row r="72" spans="2:5" ht="16.5" x14ac:dyDescent="0.35">
      <c r="B72" s="77" t="str">
        <f t="shared" si="1"/>
        <v>601717.SH 中创智领 (0564.HK)</v>
      </c>
      <c r="C72" s="77" t="s">
        <v>398</v>
      </c>
      <c r="D72" s="77" t="s">
        <v>132</v>
      </c>
      <c r="E72" s="77" t="s">
        <v>133</v>
      </c>
    </row>
    <row r="73" spans="2:5" ht="16.5" x14ac:dyDescent="0.35">
      <c r="B73" s="78" t="str">
        <f t="shared" si="1"/>
        <v>002803.SZ 吉宏股份 (2603.HK)</v>
      </c>
      <c r="C73" s="78" t="s">
        <v>399</v>
      </c>
      <c r="D73" s="78" t="s">
        <v>491</v>
      </c>
      <c r="E73" s="78" t="s">
        <v>507</v>
      </c>
    </row>
    <row r="74" spans="2:5" ht="16.5" x14ac:dyDescent="0.35">
      <c r="B74" s="77" t="str">
        <f t="shared" si="1"/>
        <v>600030.SH 中信证券 (6030.HK)</v>
      </c>
      <c r="C74" s="77" t="s">
        <v>400</v>
      </c>
      <c r="D74" s="77" t="s">
        <v>10</v>
      </c>
      <c r="E74" s="77" t="s">
        <v>11</v>
      </c>
    </row>
    <row r="75" spans="2:5" ht="16.5" x14ac:dyDescent="0.35">
      <c r="B75" s="78" t="str">
        <f t="shared" si="1"/>
        <v>601398.SH 工商银行 (1398.HK)</v>
      </c>
      <c r="C75" s="78" t="s">
        <v>401</v>
      </c>
      <c r="D75" s="78" t="s">
        <v>66</v>
      </c>
      <c r="E75" s="78" t="s">
        <v>67</v>
      </c>
    </row>
    <row r="76" spans="2:5" ht="16.5" x14ac:dyDescent="0.35">
      <c r="B76" s="77" t="str">
        <f t="shared" si="1"/>
        <v>600012.SH 皖通高速 (0995.HK)</v>
      </c>
      <c r="C76" s="77" t="s">
        <v>402</v>
      </c>
      <c r="D76" s="77" t="s">
        <v>102</v>
      </c>
      <c r="E76" s="77" t="s">
        <v>103</v>
      </c>
    </row>
    <row r="77" spans="2:5" ht="16.5" x14ac:dyDescent="0.35">
      <c r="B77" s="78" t="str">
        <f t="shared" si="1"/>
        <v>688505.SH 复旦张江 (1349.HK)</v>
      </c>
      <c r="C77" s="78" t="s">
        <v>403</v>
      </c>
      <c r="D77" s="78" t="s">
        <v>300</v>
      </c>
      <c r="E77" s="78" t="s">
        <v>241</v>
      </c>
    </row>
    <row r="78" spans="2:5" ht="16.5" x14ac:dyDescent="0.35">
      <c r="B78" s="77" t="str">
        <f t="shared" si="1"/>
        <v>601598.SH 中国外运 (0598.HK)</v>
      </c>
      <c r="C78" s="77" t="s">
        <v>404</v>
      </c>
      <c r="D78" s="77" t="s">
        <v>275</v>
      </c>
      <c r="E78" s="77" t="s">
        <v>216</v>
      </c>
    </row>
    <row r="79" spans="2:5" ht="16.5" x14ac:dyDescent="0.35">
      <c r="B79" s="78" t="str">
        <f t="shared" si="1"/>
        <v>600875.SH 东方电气 (1072.HK)</v>
      </c>
      <c r="C79" s="78" t="s">
        <v>405</v>
      </c>
      <c r="D79" s="78" t="s">
        <v>86</v>
      </c>
      <c r="E79" s="78" t="s">
        <v>87</v>
      </c>
    </row>
    <row r="80" spans="2:5" ht="16.5" x14ac:dyDescent="0.35">
      <c r="B80" s="77" t="str">
        <f t="shared" si="1"/>
        <v>601618.SH 中国中冶 (1618.HK)</v>
      </c>
      <c r="C80" s="77" t="s">
        <v>406</v>
      </c>
      <c r="D80" s="77" t="s">
        <v>64</v>
      </c>
      <c r="E80" s="77" t="s">
        <v>65</v>
      </c>
    </row>
    <row r="81" spans="2:5" ht="16.5" x14ac:dyDescent="0.35">
      <c r="B81" s="78" t="str">
        <f t="shared" si="1"/>
        <v>002466.SZ 天齐锂业 (9696.HK)</v>
      </c>
      <c r="C81" s="78" t="s">
        <v>407</v>
      </c>
      <c r="D81" s="78" t="s">
        <v>318</v>
      </c>
      <c r="E81" s="78" t="s">
        <v>508</v>
      </c>
    </row>
    <row r="82" spans="2:5" ht="16.5" x14ac:dyDescent="0.35">
      <c r="B82" s="77" t="str">
        <f t="shared" si="1"/>
        <v>601898.SH 中煤能源 (1898.HK)</v>
      </c>
      <c r="C82" s="77" t="s">
        <v>408</v>
      </c>
      <c r="D82" s="77" t="s">
        <v>56</v>
      </c>
      <c r="E82" s="77" t="s">
        <v>57</v>
      </c>
    </row>
    <row r="83" spans="2:5" ht="16.5" x14ac:dyDescent="0.35">
      <c r="B83" s="78" t="str">
        <f t="shared" si="1"/>
        <v>601995.SH 中金公司 (3908.HK)</v>
      </c>
      <c r="C83" s="78" t="s">
        <v>409</v>
      </c>
      <c r="D83" s="78" t="s">
        <v>288</v>
      </c>
      <c r="E83" s="78" t="s">
        <v>229</v>
      </c>
    </row>
    <row r="84" spans="2:5" ht="16.5" x14ac:dyDescent="0.35">
      <c r="B84" s="77" t="str">
        <f t="shared" si="1"/>
        <v>601600.SH 中国铝业 (2600.HK)</v>
      </c>
      <c r="C84" s="77" t="s">
        <v>410</v>
      </c>
      <c r="D84" s="77" t="s">
        <v>36</v>
      </c>
      <c r="E84" s="77" t="s">
        <v>37</v>
      </c>
    </row>
    <row r="85" spans="2:5" ht="16.5" x14ac:dyDescent="0.35">
      <c r="B85" s="78" t="str">
        <f t="shared" si="1"/>
        <v>601808.SH 中海油服 (2883.HK)</v>
      </c>
      <c r="C85" s="78" t="s">
        <v>411</v>
      </c>
      <c r="D85" s="78" t="s">
        <v>22</v>
      </c>
      <c r="E85" s="78" t="s">
        <v>23</v>
      </c>
    </row>
    <row r="86" spans="2:5" ht="16.5" x14ac:dyDescent="0.35">
      <c r="B86" s="77" t="str">
        <f t="shared" si="1"/>
        <v>601607.SH 上海医药 (2607.HK)</v>
      </c>
      <c r="C86" s="77" t="s">
        <v>412</v>
      </c>
      <c r="D86" s="77" t="s">
        <v>32</v>
      </c>
      <c r="E86" s="77" t="s">
        <v>33</v>
      </c>
    </row>
    <row r="87" spans="2:5" ht="16.5" x14ac:dyDescent="0.35">
      <c r="B87" s="78" t="str">
        <f t="shared" si="1"/>
        <v>601298.SH XD青岛港 (6198.HK)</v>
      </c>
      <c r="C87" s="78" t="s">
        <v>413</v>
      </c>
      <c r="D87" s="78" t="s">
        <v>269</v>
      </c>
      <c r="E87" s="78" t="s">
        <v>210</v>
      </c>
    </row>
    <row r="88" spans="2:5" ht="16.5" x14ac:dyDescent="0.35">
      <c r="B88" s="77" t="str">
        <f t="shared" si="1"/>
        <v>601992.SH 金隅集团 (2009.HK)</v>
      </c>
      <c r="C88" s="77" t="s">
        <v>414</v>
      </c>
      <c r="D88" s="77" t="s">
        <v>50</v>
      </c>
      <c r="E88" s="77" t="s">
        <v>51</v>
      </c>
    </row>
    <row r="89" spans="2:5" ht="16.5" x14ac:dyDescent="0.35">
      <c r="B89" s="78" t="str">
        <f t="shared" si="1"/>
        <v>601919.SH 中远海控 (1919.HK)</v>
      </c>
      <c r="C89" s="78" t="s">
        <v>415</v>
      </c>
      <c r="D89" s="78" t="s">
        <v>54</v>
      </c>
      <c r="E89" s="78" t="s">
        <v>55</v>
      </c>
    </row>
    <row r="90" spans="2:5" ht="16.5" x14ac:dyDescent="0.35">
      <c r="B90" s="77" t="str">
        <f t="shared" si="1"/>
        <v>600635.SH 大众公用 (1635.HK)</v>
      </c>
      <c r="C90" s="77" t="s">
        <v>416</v>
      </c>
      <c r="D90" s="77" t="s">
        <v>258</v>
      </c>
      <c r="E90" s="77" t="s">
        <v>199</v>
      </c>
    </row>
    <row r="91" spans="2:5" ht="16.5" x14ac:dyDescent="0.35">
      <c r="B91" s="78" t="str">
        <f t="shared" si="1"/>
        <v>601828.SH 美凯龙 (1528.HK)</v>
      </c>
      <c r="C91" s="78" t="s">
        <v>417</v>
      </c>
      <c r="D91" s="78" t="s">
        <v>281</v>
      </c>
      <c r="E91" s="78" t="s">
        <v>222</v>
      </c>
    </row>
    <row r="92" spans="2:5" ht="16.5" x14ac:dyDescent="0.35">
      <c r="B92" s="77" t="str">
        <f t="shared" si="1"/>
        <v>601857.SH 中国石油 (0857.HK)</v>
      </c>
      <c r="C92" s="77" t="s">
        <v>418</v>
      </c>
      <c r="D92" s="77" t="s">
        <v>118</v>
      </c>
      <c r="E92" s="77" t="s">
        <v>119</v>
      </c>
    </row>
    <row r="93" spans="2:5" ht="16.5" x14ac:dyDescent="0.35">
      <c r="B93" s="78" t="str">
        <f t="shared" si="1"/>
        <v>601005.SH 重庆钢铁 (1053.HK)</v>
      </c>
      <c r="C93" s="78" t="s">
        <v>419</v>
      </c>
      <c r="D93" s="78" t="s">
        <v>96</v>
      </c>
      <c r="E93" s="78" t="s">
        <v>97</v>
      </c>
    </row>
    <row r="94" spans="2:5" ht="16.5" x14ac:dyDescent="0.35">
      <c r="B94" s="77" t="str">
        <f t="shared" si="1"/>
        <v>002460.SZ 赣锋锂业 (1772.HK)</v>
      </c>
      <c r="C94" s="77" t="s">
        <v>420</v>
      </c>
      <c r="D94" s="77" t="s">
        <v>249</v>
      </c>
      <c r="E94" s="77" t="s">
        <v>190</v>
      </c>
    </row>
    <row r="95" spans="2:5" ht="16.5" x14ac:dyDescent="0.35">
      <c r="B95" s="78" t="str">
        <f t="shared" si="1"/>
        <v>688366.SH 昊海生科 (6826.HK)</v>
      </c>
      <c r="C95" s="78" t="s">
        <v>421</v>
      </c>
      <c r="D95" s="78" t="s">
        <v>298</v>
      </c>
      <c r="E95" s="78" t="s">
        <v>239</v>
      </c>
    </row>
    <row r="96" spans="2:5" ht="16.5" x14ac:dyDescent="0.35">
      <c r="B96" s="77" t="str">
        <f t="shared" si="1"/>
        <v>601766.SH 中国中车 (1766.HK)</v>
      </c>
      <c r="C96" s="77" t="s">
        <v>422</v>
      </c>
      <c r="D96" s="77" t="s">
        <v>62</v>
      </c>
      <c r="E96" s="77" t="s">
        <v>63</v>
      </c>
    </row>
    <row r="97" spans="2:5" ht="16.5" x14ac:dyDescent="0.35">
      <c r="B97" s="78" t="str">
        <f t="shared" si="1"/>
        <v>688981.SH 中芯国际 (0981.HK)</v>
      </c>
      <c r="C97" s="78" t="s">
        <v>423</v>
      </c>
      <c r="D97" s="78" t="s">
        <v>323</v>
      </c>
      <c r="E97" s="78" t="s">
        <v>509</v>
      </c>
    </row>
    <row r="98" spans="2:5" ht="16.5" x14ac:dyDescent="0.35">
      <c r="B98" s="77" t="str">
        <f t="shared" si="1"/>
        <v>600688.SH 上海石化 (0338.HK)</v>
      </c>
      <c r="C98" s="77" t="s">
        <v>424</v>
      </c>
      <c r="D98" s="77" t="s">
        <v>148</v>
      </c>
      <c r="E98" s="77" t="s">
        <v>149</v>
      </c>
    </row>
    <row r="99" spans="2:5" ht="16.5" x14ac:dyDescent="0.35">
      <c r="B99" s="78" t="str">
        <f t="shared" si="1"/>
        <v>601390.SH 中国中铁 (0390.HK)</v>
      </c>
      <c r="C99" s="78" t="s">
        <v>425</v>
      </c>
      <c r="D99" s="78" t="s">
        <v>140</v>
      </c>
      <c r="E99" s="78" t="s">
        <v>141</v>
      </c>
    </row>
    <row r="100" spans="2:5" ht="16.5" x14ac:dyDescent="0.35">
      <c r="B100" s="77" t="str">
        <f t="shared" si="1"/>
        <v>600016.SH 民生银行 (1988.HK)</v>
      </c>
      <c r="C100" s="77" t="s">
        <v>426</v>
      </c>
      <c r="D100" s="77" t="s">
        <v>52</v>
      </c>
      <c r="E100" s="77" t="s">
        <v>53</v>
      </c>
    </row>
    <row r="101" spans="2:5" ht="16.5" x14ac:dyDescent="0.35">
      <c r="B101" s="78" t="str">
        <f t="shared" si="1"/>
        <v>000157.SZ 中联重科 (1157.HK)</v>
      </c>
      <c r="C101" s="78" t="s">
        <v>427</v>
      </c>
      <c r="D101" s="78" t="s">
        <v>78</v>
      </c>
      <c r="E101" s="78" t="s">
        <v>79</v>
      </c>
    </row>
    <row r="102" spans="2:5" ht="16.5" x14ac:dyDescent="0.35">
      <c r="B102" s="77" t="str">
        <f t="shared" si="1"/>
        <v>002865.SZ 钧达股份 (2865.HK)</v>
      </c>
      <c r="C102" s="77" t="s">
        <v>428</v>
      </c>
      <c r="D102" s="77" t="s">
        <v>492</v>
      </c>
      <c r="E102" s="77" t="s">
        <v>510</v>
      </c>
    </row>
    <row r="103" spans="2:5" ht="16.5" x14ac:dyDescent="0.35">
      <c r="B103" s="78" t="str">
        <f t="shared" si="1"/>
        <v>601658.SH 邮储银行 (1658.HK)</v>
      </c>
      <c r="C103" s="78" t="s">
        <v>429</v>
      </c>
      <c r="D103" s="78" t="s">
        <v>276</v>
      </c>
      <c r="E103" s="78" t="s">
        <v>217</v>
      </c>
    </row>
    <row r="104" spans="2:5" ht="16.5" x14ac:dyDescent="0.35">
      <c r="B104" s="77" t="str">
        <f t="shared" si="1"/>
        <v>601998.SH 中信银行 (0998.HK)</v>
      </c>
      <c r="C104" s="77" t="s">
        <v>430</v>
      </c>
      <c r="D104" s="77" t="s">
        <v>100</v>
      </c>
      <c r="E104" s="77" t="s">
        <v>101</v>
      </c>
    </row>
    <row r="105" spans="2:5" ht="16.5" x14ac:dyDescent="0.35">
      <c r="B105" s="78" t="str">
        <f t="shared" si="1"/>
        <v>601319.SH 中国人保 (1339.HK)</v>
      </c>
      <c r="C105" s="78" t="s">
        <v>431</v>
      </c>
      <c r="D105" s="78" t="s">
        <v>270</v>
      </c>
      <c r="E105" s="78" t="s">
        <v>211</v>
      </c>
    </row>
    <row r="106" spans="2:5" ht="16.5" x14ac:dyDescent="0.35">
      <c r="B106" s="77" t="str">
        <f t="shared" si="1"/>
        <v>601988.SH 中国银行 (3988.HK)</v>
      </c>
      <c r="C106" s="77" t="s">
        <v>432</v>
      </c>
      <c r="D106" s="77" t="s">
        <v>14</v>
      </c>
      <c r="E106" s="77" t="s">
        <v>15</v>
      </c>
    </row>
    <row r="107" spans="2:5" ht="16.5" x14ac:dyDescent="0.35">
      <c r="B107" s="78" t="str">
        <f t="shared" si="1"/>
        <v>002352.SZ 顺丰控股 (6936.HK)</v>
      </c>
      <c r="C107" s="78" t="s">
        <v>433</v>
      </c>
      <c r="D107" s="78" t="s">
        <v>493</v>
      </c>
      <c r="E107" s="78" t="s">
        <v>511</v>
      </c>
    </row>
    <row r="108" spans="2:5" ht="16.5" x14ac:dyDescent="0.35">
      <c r="B108" s="77" t="str">
        <f t="shared" si="1"/>
        <v>688428.SH 诺诚健华-U (9969.HK)</v>
      </c>
      <c r="C108" s="77" t="s">
        <v>434</v>
      </c>
      <c r="D108" s="77" t="s">
        <v>317</v>
      </c>
      <c r="E108" s="77" t="s">
        <v>512</v>
      </c>
    </row>
    <row r="109" spans="2:5" ht="16.5" x14ac:dyDescent="0.35">
      <c r="B109" s="78" t="str">
        <f t="shared" si="1"/>
        <v>601916.SH 浙商银行 (2016.HK)</v>
      </c>
      <c r="C109" s="78" t="s">
        <v>435</v>
      </c>
      <c r="D109" s="78" t="s">
        <v>286</v>
      </c>
      <c r="E109" s="78" t="s">
        <v>227</v>
      </c>
    </row>
    <row r="110" spans="2:5" ht="16.5" x14ac:dyDescent="0.35">
      <c r="B110" s="77" t="str">
        <f t="shared" si="1"/>
        <v>600028.SH 中国石化 (0386.HK)</v>
      </c>
      <c r="C110" s="77" t="s">
        <v>436</v>
      </c>
      <c r="D110" s="77" t="s">
        <v>142</v>
      </c>
      <c r="E110" s="77" t="s">
        <v>143</v>
      </c>
    </row>
    <row r="111" spans="2:5" ht="16.5" x14ac:dyDescent="0.35">
      <c r="B111" s="78" t="str">
        <f t="shared" si="1"/>
        <v>603993.SH 洛阳钼业 (3993.HK)</v>
      </c>
      <c r="C111" s="78" t="s">
        <v>437</v>
      </c>
      <c r="D111" s="78" t="s">
        <v>12</v>
      </c>
      <c r="E111" s="78" t="s">
        <v>13</v>
      </c>
    </row>
    <row r="112" spans="2:5" ht="16.5" x14ac:dyDescent="0.35">
      <c r="B112" s="77" t="str">
        <f t="shared" si="1"/>
        <v>600999.SH 招商证券 (6099.HK)</v>
      </c>
      <c r="C112" s="77" t="s">
        <v>438</v>
      </c>
      <c r="D112" s="77" t="s">
        <v>264</v>
      </c>
      <c r="E112" s="77" t="s">
        <v>205</v>
      </c>
    </row>
    <row r="113" spans="2:5" ht="16.5" x14ac:dyDescent="0.35">
      <c r="B113" s="78" t="str">
        <f t="shared" si="1"/>
        <v>601788.SH 光大证券 (6178.HK)</v>
      </c>
      <c r="C113" s="78" t="s">
        <v>439</v>
      </c>
      <c r="D113" s="78" t="s">
        <v>279</v>
      </c>
      <c r="E113" s="78" t="s">
        <v>220</v>
      </c>
    </row>
    <row r="114" spans="2:5" ht="16.5" x14ac:dyDescent="0.35">
      <c r="B114" s="77" t="str">
        <f t="shared" si="1"/>
        <v>688347.SH 华虹公司 (1347.HK)</v>
      </c>
      <c r="C114" s="77" t="s">
        <v>440</v>
      </c>
      <c r="D114" s="77" t="s">
        <v>316</v>
      </c>
      <c r="E114" s="77" t="s">
        <v>513</v>
      </c>
    </row>
    <row r="115" spans="2:5" ht="16.5" x14ac:dyDescent="0.35">
      <c r="B115" s="78" t="str">
        <f t="shared" si="1"/>
        <v>601899.SH 紫金矿业 (2899.HK)</v>
      </c>
      <c r="C115" s="78" t="s">
        <v>441</v>
      </c>
      <c r="D115" s="78" t="s">
        <v>20</v>
      </c>
      <c r="E115" s="78" t="s">
        <v>21</v>
      </c>
    </row>
    <row r="116" spans="2:5" ht="16.5" x14ac:dyDescent="0.35">
      <c r="B116" s="77" t="str">
        <f t="shared" si="1"/>
        <v>601628.SH 中国人寿 (2628.HK)</v>
      </c>
      <c r="C116" s="77" t="s">
        <v>442</v>
      </c>
      <c r="D116" s="77" t="s">
        <v>30</v>
      </c>
      <c r="E116" s="77" t="s">
        <v>31</v>
      </c>
    </row>
    <row r="117" spans="2:5" ht="16.5" x14ac:dyDescent="0.35">
      <c r="B117" s="78" t="str">
        <f t="shared" si="1"/>
        <v>300748.SZ 金力永磁 (6680.HK)</v>
      </c>
      <c r="C117" s="78" t="s">
        <v>443</v>
      </c>
      <c r="D117" s="78" t="s">
        <v>255</v>
      </c>
      <c r="E117" s="78" t="s">
        <v>196</v>
      </c>
    </row>
    <row r="118" spans="2:5" ht="16.5" x14ac:dyDescent="0.35">
      <c r="B118" s="77" t="str">
        <f t="shared" si="1"/>
        <v>600036.SH 招商银行 (3968.HK)</v>
      </c>
      <c r="C118" s="77" t="s">
        <v>444</v>
      </c>
      <c r="D118" s="77" t="s">
        <v>16</v>
      </c>
      <c r="E118" s="77" t="s">
        <v>17</v>
      </c>
    </row>
    <row r="119" spans="2:5" ht="16.5" x14ac:dyDescent="0.35">
      <c r="B119" s="78" t="str">
        <f t="shared" si="1"/>
        <v>605198.SH 安德利 (2218.HK)</v>
      </c>
      <c r="C119" s="78" t="s">
        <v>445</v>
      </c>
      <c r="D119" s="78" t="s">
        <v>291</v>
      </c>
      <c r="E119" s="78" t="s">
        <v>232</v>
      </c>
    </row>
    <row r="120" spans="2:5" ht="16.5" x14ac:dyDescent="0.35">
      <c r="B120" s="77" t="str">
        <f t="shared" si="1"/>
        <v>601866.SH 中远海发 (2866.HK)</v>
      </c>
      <c r="C120" s="77" t="s">
        <v>446</v>
      </c>
      <c r="D120" s="77" t="s">
        <v>26</v>
      </c>
      <c r="E120" s="77" t="s">
        <v>27</v>
      </c>
    </row>
    <row r="121" spans="2:5" ht="16.5" x14ac:dyDescent="0.35">
      <c r="B121" s="78" t="str">
        <f t="shared" si="1"/>
        <v>600685.SH 中船防务 (0317.HK)</v>
      </c>
      <c r="C121" s="78" t="s">
        <v>447</v>
      </c>
      <c r="D121" s="78" t="s">
        <v>152</v>
      </c>
      <c r="E121" s="78" t="s">
        <v>153</v>
      </c>
    </row>
    <row r="122" spans="2:5" ht="16.5" x14ac:dyDescent="0.35">
      <c r="B122" s="77" t="str">
        <f t="shared" si="1"/>
        <v>600362.SH 江西铜业 (0358.HK)</v>
      </c>
      <c r="C122" s="77" t="s">
        <v>448</v>
      </c>
      <c r="D122" s="77" t="s">
        <v>144</v>
      </c>
      <c r="E122" s="77" t="s">
        <v>145</v>
      </c>
    </row>
    <row r="123" spans="2:5" ht="16.5" x14ac:dyDescent="0.35">
      <c r="B123" s="78" t="str">
        <f t="shared" si="1"/>
        <v>000513.SZ 丽珠集团 (1513.HK)</v>
      </c>
      <c r="C123" s="78" t="s">
        <v>449</v>
      </c>
      <c r="D123" s="78" t="s">
        <v>245</v>
      </c>
      <c r="E123" s="78" t="s">
        <v>186</v>
      </c>
    </row>
    <row r="124" spans="2:5" ht="16.5" x14ac:dyDescent="0.35">
      <c r="B124" s="77" t="str">
        <f t="shared" si="1"/>
        <v>600938.SH 中国海油 (0883.HK)</v>
      </c>
      <c r="C124" s="77" t="s">
        <v>450</v>
      </c>
      <c r="D124" s="77" t="s">
        <v>320</v>
      </c>
      <c r="E124" s="77" t="s">
        <v>514</v>
      </c>
    </row>
    <row r="125" spans="2:5" ht="16.5" x14ac:dyDescent="0.35">
      <c r="B125" s="78" t="str">
        <f t="shared" si="1"/>
        <v>601868.SH 中国能建 (3996.HK)</v>
      </c>
      <c r="C125" s="78" t="s">
        <v>451</v>
      </c>
      <c r="D125" s="78" t="s">
        <v>283</v>
      </c>
      <c r="E125" s="78" t="s">
        <v>224</v>
      </c>
    </row>
    <row r="126" spans="2:5" ht="16.5" x14ac:dyDescent="0.35">
      <c r="B126" s="77" t="str">
        <f t="shared" si="1"/>
        <v>601111.SH 中国国航 (0753.HK)</v>
      </c>
      <c r="C126" s="77" t="s">
        <v>452</v>
      </c>
      <c r="D126" s="77" t="s">
        <v>122</v>
      </c>
      <c r="E126" s="77" t="s">
        <v>123</v>
      </c>
    </row>
    <row r="127" spans="2:5" ht="16.5" x14ac:dyDescent="0.35">
      <c r="B127" s="78" t="str">
        <f t="shared" si="1"/>
        <v>600029.SH 南方航空 (1055.HK)</v>
      </c>
      <c r="C127" s="78" t="s">
        <v>453</v>
      </c>
      <c r="D127" s="78" t="s">
        <v>94</v>
      </c>
      <c r="E127" s="78" t="s">
        <v>95</v>
      </c>
    </row>
    <row r="128" spans="2:5" ht="16.5" x14ac:dyDescent="0.35">
      <c r="B128" s="77" t="str">
        <f t="shared" si="1"/>
        <v>688187.SH 时代电气 (3898.HK)</v>
      </c>
      <c r="C128" s="77" t="s">
        <v>454</v>
      </c>
      <c r="D128" s="77" t="s">
        <v>295</v>
      </c>
      <c r="E128" s="77" t="s">
        <v>236</v>
      </c>
    </row>
    <row r="129" spans="2:5" ht="16.5" x14ac:dyDescent="0.35">
      <c r="B129" s="78" t="str">
        <f t="shared" si="1"/>
        <v>601880.SH 辽港股份 (2880.HK)</v>
      </c>
      <c r="C129" s="78" t="s">
        <v>455</v>
      </c>
      <c r="D129" s="78" t="s">
        <v>24</v>
      </c>
      <c r="E129" s="78" t="s">
        <v>25</v>
      </c>
    </row>
    <row r="130" spans="2:5" ht="16.5" x14ac:dyDescent="0.35">
      <c r="B130" s="77" t="str">
        <f t="shared" ref="B130:B162" si="2">D130&amp;" "&amp;C130&amp;" "&amp;"("&amp;E130&amp;")"</f>
        <v>601068.SH 中铝国际 (2068.HK)</v>
      </c>
      <c r="C130" s="77" t="s">
        <v>456</v>
      </c>
      <c r="D130" s="77" t="s">
        <v>266</v>
      </c>
      <c r="E130" s="77" t="s">
        <v>207</v>
      </c>
    </row>
    <row r="131" spans="2:5" ht="16.5" x14ac:dyDescent="0.35">
      <c r="B131" s="78" t="str">
        <f t="shared" si="2"/>
        <v>601991.SH 大唐发电 (0991.HK)</v>
      </c>
      <c r="C131" s="78" t="s">
        <v>457</v>
      </c>
      <c r="D131" s="78" t="s">
        <v>104</v>
      </c>
      <c r="E131" s="78" t="s">
        <v>105</v>
      </c>
    </row>
    <row r="132" spans="2:5" ht="16.5" x14ac:dyDescent="0.35">
      <c r="B132" s="77" t="str">
        <f t="shared" si="2"/>
        <v>000338.SZ 潍柴动力 (2338.HK)</v>
      </c>
      <c r="C132" s="77" t="s">
        <v>458</v>
      </c>
      <c r="D132" s="77" t="s">
        <v>38</v>
      </c>
      <c r="E132" s="77" t="s">
        <v>39</v>
      </c>
    </row>
    <row r="133" spans="2:5" ht="16.5" x14ac:dyDescent="0.35">
      <c r="B133" s="78" t="str">
        <f t="shared" si="2"/>
        <v>600808.SH 马钢股份 (0323.HK)</v>
      </c>
      <c r="C133" s="78" t="s">
        <v>459</v>
      </c>
      <c r="D133" s="78" t="s">
        <v>150</v>
      </c>
      <c r="E133" s="78" t="s">
        <v>151</v>
      </c>
    </row>
    <row r="134" spans="2:5" ht="16.5" x14ac:dyDescent="0.35">
      <c r="B134" s="77" t="str">
        <f t="shared" si="2"/>
        <v>000333.SZ 美的集团 (0300.HK)</v>
      </c>
      <c r="C134" s="77" t="s">
        <v>460</v>
      </c>
      <c r="D134" s="77" t="s">
        <v>494</v>
      </c>
      <c r="E134" s="77" t="s">
        <v>515</v>
      </c>
    </row>
    <row r="135" spans="2:5" ht="16.5" x14ac:dyDescent="0.35">
      <c r="B135" s="78" t="str">
        <f t="shared" si="2"/>
        <v>600660.SH 福耀玻璃 (3606.HK)</v>
      </c>
      <c r="C135" s="78" t="s">
        <v>461</v>
      </c>
      <c r="D135" s="78" t="s">
        <v>259</v>
      </c>
      <c r="E135" s="78" t="s">
        <v>200</v>
      </c>
    </row>
    <row r="136" spans="2:5" ht="16.5" x14ac:dyDescent="0.35">
      <c r="B136" s="77" t="str">
        <f t="shared" si="2"/>
        <v>000898.SZ 鞍钢股份 (0347.HK)</v>
      </c>
      <c r="C136" s="77" t="s">
        <v>462</v>
      </c>
      <c r="D136" s="77" t="s">
        <v>146</v>
      </c>
      <c r="E136" s="77" t="s">
        <v>147</v>
      </c>
    </row>
    <row r="137" spans="2:5" ht="16.5" x14ac:dyDescent="0.35">
      <c r="B137" s="78" t="str">
        <f t="shared" si="2"/>
        <v>603259.SH 药明康德 (2359.HK)</v>
      </c>
      <c r="C137" s="78" t="s">
        <v>463</v>
      </c>
      <c r="D137" s="78" t="s">
        <v>290</v>
      </c>
      <c r="E137" s="78" t="s">
        <v>231</v>
      </c>
    </row>
    <row r="138" spans="2:5" ht="16.5" x14ac:dyDescent="0.35">
      <c r="B138" s="77" t="str">
        <f t="shared" si="2"/>
        <v>600871.SH 石化油服 (1033.HK)</v>
      </c>
      <c r="C138" s="77" t="s">
        <v>464</v>
      </c>
      <c r="D138" s="77" t="s">
        <v>98</v>
      </c>
      <c r="E138" s="77" t="s">
        <v>99</v>
      </c>
    </row>
    <row r="139" spans="2:5" ht="16.5" x14ac:dyDescent="0.35">
      <c r="B139" s="78" t="str">
        <f t="shared" si="2"/>
        <v>600801.SH 华新水泥 (6655.HK)</v>
      </c>
      <c r="C139" s="78" t="s">
        <v>465</v>
      </c>
      <c r="D139" s="78" t="s">
        <v>261</v>
      </c>
      <c r="E139" s="78" t="s">
        <v>202</v>
      </c>
    </row>
    <row r="140" spans="2:5" ht="16.5" x14ac:dyDescent="0.35">
      <c r="B140" s="77" t="str">
        <f t="shared" si="2"/>
        <v>000039.SZ 中集集团 (2039.HK)</v>
      </c>
      <c r="C140" s="77" t="s">
        <v>466</v>
      </c>
      <c r="D140" s="77" t="s">
        <v>243</v>
      </c>
      <c r="E140" s="77" t="s">
        <v>184</v>
      </c>
    </row>
    <row r="141" spans="2:5" ht="16.5" x14ac:dyDescent="0.35">
      <c r="B141" s="78" t="str">
        <f t="shared" si="2"/>
        <v>601818.SH 光大银行 (6818.HK)</v>
      </c>
      <c r="C141" s="78" t="s">
        <v>467</v>
      </c>
      <c r="D141" s="78" t="s">
        <v>8</v>
      </c>
      <c r="E141" s="78" t="s">
        <v>9</v>
      </c>
    </row>
    <row r="142" spans="2:5" ht="16.5" x14ac:dyDescent="0.35">
      <c r="B142" s="77" t="str">
        <f t="shared" si="2"/>
        <v>600690.SH 海尔智家 (6690.HK)</v>
      </c>
      <c r="C142" s="77" t="s">
        <v>468</v>
      </c>
      <c r="D142" s="77" t="s">
        <v>260</v>
      </c>
      <c r="E142" s="77" t="s">
        <v>201</v>
      </c>
    </row>
    <row r="143" spans="2:5" ht="16.5" x14ac:dyDescent="0.35">
      <c r="B143" s="78" t="str">
        <f t="shared" si="2"/>
        <v>600941.SH 中国移动 (0941.HK)</v>
      </c>
      <c r="C143" s="78" t="s">
        <v>469</v>
      </c>
      <c r="D143" s="78" t="s">
        <v>321</v>
      </c>
      <c r="E143" s="78" t="s">
        <v>516</v>
      </c>
    </row>
    <row r="144" spans="2:5" ht="16.5" x14ac:dyDescent="0.35">
      <c r="B144" s="77" t="str">
        <f t="shared" si="2"/>
        <v>601939.SH 建设银行 (0939.HK)</v>
      </c>
      <c r="C144" s="77" t="s">
        <v>470</v>
      </c>
      <c r="D144" s="77" t="s">
        <v>106</v>
      </c>
      <c r="E144" s="77" t="s">
        <v>107</v>
      </c>
    </row>
    <row r="145" spans="2:5" ht="16.5" x14ac:dyDescent="0.35">
      <c r="B145" s="78" t="str">
        <f t="shared" si="2"/>
        <v>603345.SH 安井食品 (2648.HK)</v>
      </c>
      <c r="C145" s="78" t="s">
        <v>471</v>
      </c>
      <c r="D145" s="78" t="s">
        <v>495</v>
      </c>
      <c r="E145" s="78" t="s">
        <v>517</v>
      </c>
    </row>
    <row r="146" spans="2:5" ht="16.5" x14ac:dyDescent="0.35">
      <c r="B146" s="77" t="str">
        <f t="shared" si="2"/>
        <v>600115.SH 中国东航 (0670.HK)</v>
      </c>
      <c r="C146" s="77" t="s">
        <v>472</v>
      </c>
      <c r="D146" s="77" t="s">
        <v>126</v>
      </c>
      <c r="E146" s="77" t="s">
        <v>127</v>
      </c>
    </row>
    <row r="147" spans="2:5" ht="16.5" x14ac:dyDescent="0.35">
      <c r="B147" s="78" t="str">
        <f t="shared" si="2"/>
        <v>601318.SH 中国平安 (2318.HK)</v>
      </c>
      <c r="C147" s="78" t="s">
        <v>473</v>
      </c>
      <c r="D147" s="78" t="s">
        <v>42</v>
      </c>
      <c r="E147" s="78" t="s">
        <v>43</v>
      </c>
    </row>
    <row r="148" spans="2:5" ht="16.5" x14ac:dyDescent="0.35">
      <c r="B148" s="77" t="str">
        <f t="shared" si="2"/>
        <v>600276.SH 恒瑞医药 (1276.HK)</v>
      </c>
      <c r="C148" s="77" t="s">
        <v>474</v>
      </c>
      <c r="D148" s="77" t="s">
        <v>496</v>
      </c>
      <c r="E148" s="77" t="s">
        <v>518</v>
      </c>
    </row>
    <row r="149" spans="2:5" ht="16.5" x14ac:dyDescent="0.35">
      <c r="B149" s="78" t="str">
        <f t="shared" si="2"/>
        <v>688339.SH 亿华通-U (2402.HK)</v>
      </c>
      <c r="C149" s="78" t="s">
        <v>475</v>
      </c>
      <c r="D149" s="78" t="s">
        <v>319</v>
      </c>
      <c r="E149" s="78" t="s">
        <v>519</v>
      </c>
    </row>
    <row r="150" spans="2:5" ht="16.5" x14ac:dyDescent="0.35">
      <c r="B150" s="77" t="str">
        <f t="shared" si="2"/>
        <v>000921.SZ 海信家电 (0921.HK)</v>
      </c>
      <c r="C150" s="77" t="s">
        <v>476</v>
      </c>
      <c r="D150" s="77" t="s">
        <v>108</v>
      </c>
      <c r="E150" s="77" t="s">
        <v>109</v>
      </c>
    </row>
    <row r="151" spans="2:5" ht="16.5" x14ac:dyDescent="0.35">
      <c r="B151" s="78" t="str">
        <f t="shared" si="2"/>
        <v>600585.SH 海螺水泥 (0914.HK)</v>
      </c>
      <c r="C151" s="78" t="s">
        <v>477</v>
      </c>
      <c r="D151" s="78" t="s">
        <v>110</v>
      </c>
      <c r="E151" s="78" t="s">
        <v>111</v>
      </c>
    </row>
    <row r="152" spans="2:5" ht="16.5" x14ac:dyDescent="0.35">
      <c r="B152" s="77" t="str">
        <f t="shared" si="2"/>
        <v>688235.SH 百济神州-U (6160.HK)</v>
      </c>
      <c r="C152" s="77" t="s">
        <v>478</v>
      </c>
      <c r="D152" s="77" t="s">
        <v>314</v>
      </c>
      <c r="E152" s="77" t="s">
        <v>520</v>
      </c>
    </row>
    <row r="153" spans="2:5" ht="16.5" x14ac:dyDescent="0.35">
      <c r="B153" s="78" t="str">
        <f t="shared" si="2"/>
        <v>300433.SZ 蓝思科技 (6613.HK)</v>
      </c>
      <c r="C153" s="78" t="s">
        <v>479</v>
      </c>
      <c r="D153" s="78" t="s">
        <v>497</v>
      </c>
      <c r="E153" s="78" t="s">
        <v>521</v>
      </c>
    </row>
    <row r="154" spans="2:5" ht="16.5" x14ac:dyDescent="0.35">
      <c r="B154" s="77" t="str">
        <f t="shared" si="2"/>
        <v>601963.SH 重庆银行 (1963.HK)</v>
      </c>
      <c r="C154" s="77" t="s">
        <v>480</v>
      </c>
      <c r="D154" s="77" t="s">
        <v>287</v>
      </c>
      <c r="E154" s="77" t="s">
        <v>228</v>
      </c>
    </row>
    <row r="155" spans="2:5" ht="16.5" x14ac:dyDescent="0.35">
      <c r="B155" s="78" t="str">
        <f t="shared" si="2"/>
        <v>688279.SH 峰岹科技 (1304.HK)</v>
      </c>
      <c r="C155" s="78" t="s">
        <v>481</v>
      </c>
      <c r="D155" s="78" t="s">
        <v>498</v>
      </c>
      <c r="E155" s="78" t="s">
        <v>522</v>
      </c>
    </row>
    <row r="156" spans="2:5" ht="16.5" x14ac:dyDescent="0.35">
      <c r="B156" s="77" t="str">
        <f t="shared" si="2"/>
        <v>601328.SH 交通银行 (3328.HK)</v>
      </c>
      <c r="C156" s="77" t="s">
        <v>482</v>
      </c>
      <c r="D156" s="77" t="s">
        <v>18</v>
      </c>
      <c r="E156" s="77" t="s">
        <v>19</v>
      </c>
    </row>
    <row r="157" spans="2:5" ht="16.5" x14ac:dyDescent="0.35">
      <c r="B157" s="78" t="str">
        <f t="shared" si="2"/>
        <v>002948.SZ 青岛银行 (3866.HK)</v>
      </c>
      <c r="C157" s="78" t="s">
        <v>483</v>
      </c>
      <c r="D157" s="78" t="s">
        <v>252</v>
      </c>
      <c r="E157" s="78" t="s">
        <v>193</v>
      </c>
    </row>
    <row r="158" spans="2:5" ht="16.5" x14ac:dyDescent="0.35">
      <c r="B158" s="77" t="str">
        <f t="shared" si="2"/>
        <v>002594.SZ 比亚迪 (1211.HK)</v>
      </c>
      <c r="C158" s="77" t="s">
        <v>484</v>
      </c>
      <c r="D158" s="77" t="s">
        <v>72</v>
      </c>
      <c r="E158" s="77" t="s">
        <v>73</v>
      </c>
    </row>
    <row r="159" spans="2:5" ht="16.5" x14ac:dyDescent="0.35">
      <c r="B159" s="78" t="str">
        <f t="shared" si="2"/>
        <v>002050.SZ 三花智控 (2050.HK)</v>
      </c>
      <c r="C159" s="78" t="s">
        <v>485</v>
      </c>
      <c r="D159" s="78" t="s">
        <v>499</v>
      </c>
      <c r="E159" s="78" t="s">
        <v>523</v>
      </c>
    </row>
    <row r="160" spans="2:5" ht="16.5" x14ac:dyDescent="0.35">
      <c r="B160" s="77" t="str">
        <f t="shared" si="2"/>
        <v>603288.SH 海天味业 (3288.HK)</v>
      </c>
      <c r="C160" s="77" t="s">
        <v>486</v>
      </c>
      <c r="D160" s="77" t="s">
        <v>500</v>
      </c>
      <c r="E160" s="77" t="s">
        <v>524</v>
      </c>
    </row>
    <row r="161" spans="2:5" ht="16.5" x14ac:dyDescent="0.35">
      <c r="B161" s="78" t="str">
        <f t="shared" si="2"/>
        <v>300750.SZ 宁德时代 (3750.HK)</v>
      </c>
      <c r="C161" s="78" t="s">
        <v>487</v>
      </c>
      <c r="D161" s="78" t="s">
        <v>501</v>
      </c>
      <c r="E161" s="78" t="s">
        <v>525</v>
      </c>
    </row>
    <row r="162" spans="2:5" ht="16.5" x14ac:dyDescent="0.35">
      <c r="B162" s="77" t="str">
        <f t="shared" si="2"/>
        <v>688234.SH 天岳先进 (2631.HK)</v>
      </c>
      <c r="C162" s="77" t="s">
        <v>488</v>
      </c>
      <c r="D162" s="77" t="s">
        <v>502</v>
      </c>
      <c r="E162" s="77" t="s">
        <v>526</v>
      </c>
    </row>
  </sheetData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63636D"/>
  </sheetPr>
  <dimension ref="A1:B10165"/>
  <sheetViews>
    <sheetView workbookViewId="0">
      <selection activeCell="A52" sqref="A52"/>
    </sheetView>
  </sheetViews>
  <sheetFormatPr defaultRowHeight="12.75" x14ac:dyDescent="0.2"/>
  <cols>
    <col min="1" max="1" width="10.625" style="46" customWidth="1"/>
    <col min="2" max="2" width="17.375" style="67" bestFit="1" customWidth="1"/>
    <col min="3" max="16384" width="9" style="46"/>
  </cols>
  <sheetData>
    <row r="1" spans="1:2" x14ac:dyDescent="0.2">
      <c r="A1" s="66" t="str">
        <f>[1]!edb()</f>
        <v>Wind</v>
      </c>
    </row>
    <row r="2" spans="1:2" ht="16.5" x14ac:dyDescent="0.35">
      <c r="A2" s="70" t="s">
        <v>327</v>
      </c>
      <c r="B2" s="71" t="s">
        <v>325</v>
      </c>
    </row>
    <row r="3" spans="1:2" x14ac:dyDescent="0.2">
      <c r="A3" s="68">
        <v>45895</v>
      </c>
      <c r="B3" s="69">
        <v>0.91164000000000001</v>
      </c>
    </row>
    <row r="4" spans="1:2" x14ac:dyDescent="0.2">
      <c r="A4" s="68">
        <v>45894</v>
      </c>
      <c r="B4" s="69">
        <v>0.91066000000000003</v>
      </c>
    </row>
    <row r="5" spans="1:2" x14ac:dyDescent="0.2">
      <c r="A5" s="68">
        <v>45891</v>
      </c>
      <c r="B5" s="69">
        <v>0.91285000000000005</v>
      </c>
    </row>
    <row r="6" spans="1:2" x14ac:dyDescent="0.2">
      <c r="A6" s="68">
        <v>45890</v>
      </c>
      <c r="B6" s="69">
        <v>0.91254000000000002</v>
      </c>
    </row>
    <row r="7" spans="1:2" x14ac:dyDescent="0.2">
      <c r="A7" s="68">
        <v>45889</v>
      </c>
      <c r="B7" s="69">
        <v>0.91476999999999997</v>
      </c>
    </row>
    <row r="8" spans="1:2" x14ac:dyDescent="0.2">
      <c r="A8" s="68">
        <v>45888</v>
      </c>
      <c r="B8" s="69">
        <v>0.91247</v>
      </c>
    </row>
    <row r="9" spans="1:2" x14ac:dyDescent="0.2">
      <c r="A9" s="68">
        <v>45887</v>
      </c>
      <c r="B9" s="69">
        <v>0.91108</v>
      </c>
    </row>
    <row r="10" spans="1:2" x14ac:dyDescent="0.2">
      <c r="A10" s="68">
        <v>45884</v>
      </c>
      <c r="B10" s="69">
        <v>0.91054000000000002</v>
      </c>
    </row>
    <row r="11" spans="1:2" x14ac:dyDescent="0.2">
      <c r="A11" s="68">
        <v>45883</v>
      </c>
      <c r="B11" s="69">
        <v>0.90886999999999996</v>
      </c>
    </row>
    <row r="12" spans="1:2" x14ac:dyDescent="0.2">
      <c r="A12" s="68">
        <v>45882</v>
      </c>
      <c r="B12" s="69">
        <v>0.90896999999999994</v>
      </c>
    </row>
    <row r="13" spans="1:2" x14ac:dyDescent="0.2">
      <c r="A13" s="68">
        <v>45881</v>
      </c>
      <c r="B13" s="69">
        <v>0.90980000000000005</v>
      </c>
    </row>
    <row r="14" spans="1:2" x14ac:dyDescent="0.2">
      <c r="A14" s="68">
        <v>45880</v>
      </c>
      <c r="B14" s="69">
        <v>0.90964</v>
      </c>
    </row>
    <row r="15" spans="1:2" x14ac:dyDescent="0.2">
      <c r="A15" s="68">
        <v>45877</v>
      </c>
      <c r="B15" s="69">
        <v>0.90937000000000001</v>
      </c>
    </row>
    <row r="16" spans="1:2" x14ac:dyDescent="0.2">
      <c r="A16" s="68">
        <v>45876</v>
      </c>
      <c r="B16" s="69">
        <v>0.90895000000000004</v>
      </c>
    </row>
    <row r="17" spans="1:2" x14ac:dyDescent="0.2">
      <c r="A17" s="68">
        <v>45875</v>
      </c>
      <c r="B17" s="69">
        <v>0.90968000000000004</v>
      </c>
    </row>
    <row r="18" spans="1:2" x14ac:dyDescent="0.2">
      <c r="A18" s="68">
        <v>45874</v>
      </c>
      <c r="B18" s="69">
        <v>0.90915999999999997</v>
      </c>
    </row>
    <row r="19" spans="1:2" x14ac:dyDescent="0.2">
      <c r="A19" s="68">
        <v>45873</v>
      </c>
      <c r="B19" s="69">
        <v>0.90952</v>
      </c>
    </row>
    <row r="20" spans="1:2" x14ac:dyDescent="0.2">
      <c r="A20" s="68">
        <v>45870</v>
      </c>
      <c r="B20" s="69">
        <v>0.91078999999999999</v>
      </c>
    </row>
    <row r="21" spans="1:2" x14ac:dyDescent="0.2">
      <c r="A21" s="68">
        <v>45869</v>
      </c>
      <c r="B21" s="69">
        <v>0.91078999999999999</v>
      </c>
    </row>
    <row r="22" spans="1:2" x14ac:dyDescent="0.2">
      <c r="A22" s="68">
        <v>45868</v>
      </c>
      <c r="B22" s="69">
        <v>0.91010000000000002</v>
      </c>
    </row>
    <row r="23" spans="1:2" x14ac:dyDescent="0.2">
      <c r="A23" s="68">
        <v>45867</v>
      </c>
      <c r="B23" s="69">
        <v>0.91102000000000005</v>
      </c>
    </row>
    <row r="24" spans="1:2" x14ac:dyDescent="0.2">
      <c r="A24" s="68">
        <v>45866</v>
      </c>
      <c r="B24" s="69">
        <v>0.91051000000000004</v>
      </c>
    </row>
    <row r="25" spans="1:2" x14ac:dyDescent="0.2">
      <c r="A25" s="68">
        <v>45863</v>
      </c>
      <c r="B25" s="69">
        <v>0.90983000000000003</v>
      </c>
    </row>
    <row r="26" spans="1:2" x14ac:dyDescent="0.2">
      <c r="A26" s="68">
        <v>45862</v>
      </c>
      <c r="B26" s="69">
        <v>0.90941000000000005</v>
      </c>
    </row>
    <row r="27" spans="1:2" x14ac:dyDescent="0.2">
      <c r="A27" s="68">
        <v>45861</v>
      </c>
      <c r="B27" s="69">
        <v>0.90974999999999995</v>
      </c>
    </row>
    <row r="28" spans="1:2" x14ac:dyDescent="0.2">
      <c r="A28" s="68">
        <v>45860</v>
      </c>
      <c r="B28" s="69">
        <v>0.91034000000000004</v>
      </c>
    </row>
    <row r="29" spans="1:2" x14ac:dyDescent="0.2">
      <c r="A29" s="68">
        <v>45859</v>
      </c>
      <c r="B29" s="69">
        <v>0.91125</v>
      </c>
    </row>
    <row r="30" spans="1:2" x14ac:dyDescent="0.2">
      <c r="A30" s="68">
        <v>45856</v>
      </c>
      <c r="B30" s="69">
        <v>0.91091999999999995</v>
      </c>
    </row>
    <row r="31" spans="1:2" x14ac:dyDescent="0.2">
      <c r="A31" s="68">
        <v>45855</v>
      </c>
      <c r="B31" s="69">
        <v>0.91034999999999999</v>
      </c>
    </row>
    <row r="32" spans="1:2" x14ac:dyDescent="0.2">
      <c r="A32" s="68">
        <v>45854</v>
      </c>
      <c r="B32" s="69">
        <v>0.91120999999999996</v>
      </c>
    </row>
    <row r="33" spans="1:2" x14ac:dyDescent="0.2">
      <c r="A33" s="68">
        <v>45853</v>
      </c>
      <c r="B33" s="69">
        <v>0.91081000000000001</v>
      </c>
    </row>
    <row r="34" spans="1:2" x14ac:dyDescent="0.2">
      <c r="A34" s="68">
        <v>45852</v>
      </c>
      <c r="B34" s="69">
        <v>0.91071999999999997</v>
      </c>
    </row>
    <row r="35" spans="1:2" x14ac:dyDescent="0.2">
      <c r="A35" s="68">
        <v>45849</v>
      </c>
      <c r="B35" s="69">
        <v>0.91054000000000002</v>
      </c>
    </row>
    <row r="36" spans="1:2" x14ac:dyDescent="0.2">
      <c r="A36" s="68">
        <v>45848</v>
      </c>
      <c r="B36" s="69">
        <v>0.91095999999999999</v>
      </c>
    </row>
    <row r="37" spans="1:2" x14ac:dyDescent="0.2">
      <c r="A37" s="68">
        <v>45847</v>
      </c>
      <c r="B37" s="69">
        <v>0.91135999999999995</v>
      </c>
    </row>
    <row r="38" spans="1:2" x14ac:dyDescent="0.2">
      <c r="A38" s="68">
        <v>45846</v>
      </c>
      <c r="B38" s="69">
        <v>0.91127999999999998</v>
      </c>
    </row>
    <row r="39" spans="1:2" x14ac:dyDescent="0.2">
      <c r="A39" s="68">
        <v>45845</v>
      </c>
      <c r="B39" s="69">
        <v>0.91091999999999995</v>
      </c>
    </row>
    <row r="40" spans="1:2" x14ac:dyDescent="0.2">
      <c r="A40" s="68">
        <v>45842</v>
      </c>
      <c r="B40" s="69">
        <v>0.91149999999999998</v>
      </c>
    </row>
    <row r="41" spans="1:2" x14ac:dyDescent="0.2">
      <c r="A41" s="68">
        <v>45841</v>
      </c>
      <c r="B41" s="69">
        <v>0.91113999999999995</v>
      </c>
    </row>
    <row r="42" spans="1:2" x14ac:dyDescent="0.2">
      <c r="A42" s="68">
        <v>45840</v>
      </c>
      <c r="B42" s="69">
        <v>0.91146000000000005</v>
      </c>
    </row>
    <row r="43" spans="1:2" x14ac:dyDescent="0.2">
      <c r="A43" s="68">
        <v>45839</v>
      </c>
      <c r="B43" s="69">
        <v>0.91125999999999996</v>
      </c>
    </row>
    <row r="44" spans="1:2" x14ac:dyDescent="0.2">
      <c r="A44" s="68">
        <v>45838</v>
      </c>
      <c r="B44" s="69">
        <v>0.91195000000000004</v>
      </c>
    </row>
    <row r="45" spans="1:2" x14ac:dyDescent="0.2">
      <c r="A45" s="68">
        <v>45835</v>
      </c>
      <c r="B45" s="69">
        <v>0.91249999999999998</v>
      </c>
    </row>
    <row r="46" spans="1:2" x14ac:dyDescent="0.2">
      <c r="A46" s="68">
        <v>45834</v>
      </c>
      <c r="B46" s="69">
        <v>0.91254000000000002</v>
      </c>
    </row>
    <row r="47" spans="1:2" x14ac:dyDescent="0.2">
      <c r="A47" s="68">
        <v>45833</v>
      </c>
      <c r="B47" s="69">
        <v>0.91298000000000001</v>
      </c>
    </row>
    <row r="48" spans="1:2" x14ac:dyDescent="0.2">
      <c r="A48" s="68">
        <v>45832</v>
      </c>
      <c r="B48" s="69">
        <v>0.91283000000000003</v>
      </c>
    </row>
    <row r="49" spans="1:2" x14ac:dyDescent="0.2">
      <c r="A49" s="68">
        <v>45831</v>
      </c>
      <c r="B49" s="69">
        <v>0.91352</v>
      </c>
    </row>
    <row r="50" spans="1:2" x14ac:dyDescent="0.2">
      <c r="A50" s="68">
        <v>45828</v>
      </c>
      <c r="B50" s="69">
        <v>0.91332999999999998</v>
      </c>
    </row>
    <row r="51" spans="1:2" x14ac:dyDescent="0.2">
      <c r="A51" s="68">
        <v>45827</v>
      </c>
      <c r="B51" s="69">
        <v>0.91378000000000004</v>
      </c>
    </row>
    <row r="52" spans="1:2" x14ac:dyDescent="0.2">
      <c r="A52" s="68">
        <v>45826</v>
      </c>
      <c r="B52" s="69">
        <v>0.91417000000000004</v>
      </c>
    </row>
    <row r="53" spans="1:2" x14ac:dyDescent="0.2">
      <c r="A53" s="68">
        <v>45825</v>
      </c>
      <c r="B53" s="69">
        <v>0.91402000000000005</v>
      </c>
    </row>
    <row r="54" spans="1:2" x14ac:dyDescent="0.2">
      <c r="A54" s="68">
        <v>45824</v>
      </c>
      <c r="B54" s="69">
        <v>0.91456999999999999</v>
      </c>
    </row>
    <row r="55" spans="1:2" x14ac:dyDescent="0.2">
      <c r="A55" s="68">
        <v>45821</v>
      </c>
      <c r="B55" s="69">
        <v>0.91444000000000003</v>
      </c>
    </row>
    <row r="56" spans="1:2" x14ac:dyDescent="0.2">
      <c r="A56" s="68">
        <v>45820</v>
      </c>
      <c r="B56" s="69">
        <v>0.91481000000000001</v>
      </c>
    </row>
    <row r="57" spans="1:2" x14ac:dyDescent="0.2">
      <c r="A57" s="68">
        <v>45819</v>
      </c>
      <c r="B57" s="69">
        <v>0.91501999999999994</v>
      </c>
    </row>
    <row r="58" spans="1:2" x14ac:dyDescent="0.2">
      <c r="A58" s="68">
        <v>45818</v>
      </c>
      <c r="B58" s="69">
        <v>0.91537000000000002</v>
      </c>
    </row>
    <row r="59" spans="1:2" x14ac:dyDescent="0.2">
      <c r="A59" s="68">
        <v>45817</v>
      </c>
      <c r="B59" s="69">
        <v>0.91566000000000003</v>
      </c>
    </row>
    <row r="60" spans="1:2" x14ac:dyDescent="0.2">
      <c r="A60" s="68">
        <v>45814</v>
      </c>
      <c r="B60" s="69">
        <v>0.91571999999999998</v>
      </c>
    </row>
    <row r="61" spans="1:2" x14ac:dyDescent="0.2">
      <c r="A61" s="68">
        <v>45813</v>
      </c>
      <c r="B61" s="69">
        <v>0.91605000000000003</v>
      </c>
    </row>
    <row r="62" spans="1:2" x14ac:dyDescent="0.2">
      <c r="A62" s="68">
        <v>45812</v>
      </c>
      <c r="B62" s="69">
        <v>0.91635</v>
      </c>
    </row>
    <row r="63" spans="1:2" x14ac:dyDescent="0.2">
      <c r="A63" s="68">
        <v>45811</v>
      </c>
      <c r="B63" s="69">
        <v>0.91617000000000004</v>
      </c>
    </row>
    <row r="64" spans="1:2" x14ac:dyDescent="0.2">
      <c r="A64" s="68">
        <v>45807</v>
      </c>
      <c r="B64" s="69">
        <v>0.91642000000000001</v>
      </c>
    </row>
    <row r="65" spans="1:2" x14ac:dyDescent="0.2">
      <c r="A65" s="68">
        <v>45806</v>
      </c>
      <c r="B65" s="69">
        <v>0.91761999999999999</v>
      </c>
    </row>
    <row r="66" spans="1:2" x14ac:dyDescent="0.2">
      <c r="A66" s="68">
        <v>45805</v>
      </c>
      <c r="B66" s="69">
        <v>0.91720000000000002</v>
      </c>
    </row>
    <row r="67" spans="1:2" x14ac:dyDescent="0.2">
      <c r="A67" s="68">
        <v>45804</v>
      </c>
      <c r="B67" s="69">
        <v>0.91722999999999999</v>
      </c>
    </row>
    <row r="68" spans="1:2" x14ac:dyDescent="0.2">
      <c r="A68" s="68">
        <v>45803</v>
      </c>
      <c r="B68" s="69">
        <v>0.91688999999999998</v>
      </c>
    </row>
    <row r="69" spans="1:2" x14ac:dyDescent="0.2">
      <c r="A69" s="68">
        <v>45800</v>
      </c>
      <c r="B69" s="69">
        <v>0.91859999999999997</v>
      </c>
    </row>
    <row r="70" spans="1:2" x14ac:dyDescent="0.2">
      <c r="A70" s="68">
        <v>45799</v>
      </c>
      <c r="B70" s="69">
        <v>0.91857999999999995</v>
      </c>
    </row>
    <row r="71" spans="1:2" x14ac:dyDescent="0.2">
      <c r="A71" s="68">
        <v>45798</v>
      </c>
      <c r="B71" s="69">
        <v>0.91888999999999998</v>
      </c>
    </row>
    <row r="72" spans="1:2" x14ac:dyDescent="0.2">
      <c r="A72" s="68">
        <v>45797</v>
      </c>
      <c r="B72" s="69">
        <v>0.91940999999999995</v>
      </c>
    </row>
    <row r="73" spans="1:2" x14ac:dyDescent="0.2">
      <c r="A73" s="68">
        <v>45796</v>
      </c>
      <c r="B73" s="69">
        <v>0.91984999999999995</v>
      </c>
    </row>
    <row r="74" spans="1:2" x14ac:dyDescent="0.2">
      <c r="A74" s="68">
        <v>45793</v>
      </c>
      <c r="B74" s="69">
        <v>0.92145999999999995</v>
      </c>
    </row>
    <row r="75" spans="1:2" x14ac:dyDescent="0.2">
      <c r="A75" s="68">
        <v>45792</v>
      </c>
      <c r="B75" s="69">
        <v>0.92208999999999997</v>
      </c>
    </row>
    <row r="76" spans="1:2" x14ac:dyDescent="0.2">
      <c r="A76" s="68">
        <v>45791</v>
      </c>
      <c r="B76" s="69">
        <v>0.92286000000000001</v>
      </c>
    </row>
    <row r="77" spans="1:2" x14ac:dyDescent="0.2">
      <c r="A77" s="68">
        <v>45790</v>
      </c>
      <c r="B77" s="69">
        <v>0.92374000000000001</v>
      </c>
    </row>
    <row r="78" spans="1:2" x14ac:dyDescent="0.2">
      <c r="A78" s="68">
        <v>45789</v>
      </c>
      <c r="B78" s="69">
        <v>0.92639000000000005</v>
      </c>
    </row>
    <row r="79" spans="1:2" x14ac:dyDescent="0.2">
      <c r="A79" s="68">
        <v>45786</v>
      </c>
      <c r="B79" s="69">
        <v>0.92764000000000002</v>
      </c>
    </row>
    <row r="80" spans="1:2" x14ac:dyDescent="0.2">
      <c r="A80" s="68">
        <v>45785</v>
      </c>
      <c r="B80" s="69">
        <v>0.92869999999999997</v>
      </c>
    </row>
    <row r="81" spans="1:2" x14ac:dyDescent="0.2">
      <c r="A81" s="68">
        <v>45784</v>
      </c>
      <c r="B81" s="69">
        <v>0.92891000000000001</v>
      </c>
    </row>
    <row r="82" spans="1:2" x14ac:dyDescent="0.2">
      <c r="A82" s="68">
        <v>45783</v>
      </c>
      <c r="B82" s="69">
        <v>0.92903000000000002</v>
      </c>
    </row>
    <row r="83" spans="1:2" x14ac:dyDescent="0.2">
      <c r="A83" s="68">
        <v>45777</v>
      </c>
      <c r="B83" s="69">
        <v>0.92813000000000001</v>
      </c>
    </row>
    <row r="84" spans="1:2" x14ac:dyDescent="0.2">
      <c r="A84" s="68">
        <v>45776</v>
      </c>
      <c r="B84" s="69">
        <v>0.92852999999999997</v>
      </c>
    </row>
    <row r="85" spans="1:2" x14ac:dyDescent="0.2">
      <c r="A85" s="68">
        <v>45775</v>
      </c>
      <c r="B85" s="69">
        <v>0.92876999999999998</v>
      </c>
    </row>
    <row r="86" spans="1:2" x14ac:dyDescent="0.2">
      <c r="A86" s="68">
        <v>45772</v>
      </c>
      <c r="B86" s="69">
        <v>0.92883000000000004</v>
      </c>
    </row>
    <row r="87" spans="1:2" x14ac:dyDescent="0.2">
      <c r="A87" s="68">
        <v>45771</v>
      </c>
      <c r="B87" s="69">
        <v>0.92915000000000003</v>
      </c>
    </row>
    <row r="88" spans="1:2" x14ac:dyDescent="0.2">
      <c r="A88" s="68">
        <v>45770</v>
      </c>
      <c r="B88" s="69">
        <v>0.92949999999999999</v>
      </c>
    </row>
    <row r="89" spans="1:2" x14ac:dyDescent="0.2">
      <c r="A89" s="68">
        <v>45769</v>
      </c>
      <c r="B89" s="69">
        <v>0.92871000000000004</v>
      </c>
    </row>
    <row r="90" spans="1:2" x14ac:dyDescent="0.2">
      <c r="A90" s="68">
        <v>45768</v>
      </c>
      <c r="B90" s="69">
        <v>0.92847999999999997</v>
      </c>
    </row>
    <row r="91" spans="1:2" x14ac:dyDescent="0.2">
      <c r="A91" s="68">
        <v>45765</v>
      </c>
      <c r="B91" s="69">
        <v>0.92830999999999997</v>
      </c>
    </row>
    <row r="92" spans="1:2" x14ac:dyDescent="0.2">
      <c r="A92" s="68">
        <v>45764</v>
      </c>
      <c r="B92" s="69">
        <v>0.92888000000000004</v>
      </c>
    </row>
    <row r="93" spans="1:2" x14ac:dyDescent="0.2">
      <c r="A93" s="68">
        <v>45763</v>
      </c>
      <c r="B93" s="69">
        <v>0.92996999999999996</v>
      </c>
    </row>
    <row r="94" spans="1:2" x14ac:dyDescent="0.2">
      <c r="A94" s="68">
        <v>45762</v>
      </c>
      <c r="B94" s="69">
        <v>0.92947999999999997</v>
      </c>
    </row>
    <row r="95" spans="1:2" x14ac:dyDescent="0.2">
      <c r="A95" s="68">
        <v>45761</v>
      </c>
      <c r="B95" s="69">
        <v>0.92949999999999999</v>
      </c>
    </row>
    <row r="96" spans="1:2" x14ac:dyDescent="0.2">
      <c r="A96" s="68">
        <v>45758</v>
      </c>
      <c r="B96" s="69">
        <v>0.92922000000000005</v>
      </c>
    </row>
    <row r="97" spans="1:2" x14ac:dyDescent="0.2">
      <c r="A97" s="68">
        <v>45757</v>
      </c>
      <c r="B97" s="69">
        <v>0.92906</v>
      </c>
    </row>
    <row r="98" spans="1:2" x14ac:dyDescent="0.2">
      <c r="A98" s="68">
        <v>45756</v>
      </c>
      <c r="B98" s="69">
        <v>0.92791000000000001</v>
      </c>
    </row>
    <row r="99" spans="1:2" x14ac:dyDescent="0.2">
      <c r="A99" s="68">
        <v>45755</v>
      </c>
      <c r="B99" s="69">
        <v>0.92701</v>
      </c>
    </row>
    <row r="100" spans="1:2" x14ac:dyDescent="0.2">
      <c r="A100" s="68">
        <v>45754</v>
      </c>
      <c r="B100" s="69">
        <v>0.92612000000000005</v>
      </c>
    </row>
    <row r="101" spans="1:2" x14ac:dyDescent="0.2">
      <c r="A101" s="68">
        <v>45750</v>
      </c>
      <c r="B101" s="69">
        <v>0.92352999999999996</v>
      </c>
    </row>
    <row r="102" spans="1:2" x14ac:dyDescent="0.2">
      <c r="A102" s="68">
        <v>45749</v>
      </c>
      <c r="B102" s="69">
        <v>0.92266999999999999</v>
      </c>
    </row>
    <row r="103" spans="1:2" x14ac:dyDescent="0.2">
      <c r="A103" s="68">
        <v>45748</v>
      </c>
      <c r="B103" s="69">
        <v>0.92257</v>
      </c>
    </row>
    <row r="104" spans="1:2" x14ac:dyDescent="0.2">
      <c r="A104" s="68">
        <v>45747</v>
      </c>
      <c r="B104" s="69">
        <v>0.92283000000000004</v>
      </c>
    </row>
    <row r="105" spans="1:2" x14ac:dyDescent="0.2">
      <c r="A105" s="68">
        <v>45744</v>
      </c>
      <c r="B105" s="69">
        <v>0.92273000000000005</v>
      </c>
    </row>
    <row r="106" spans="1:2" x14ac:dyDescent="0.2">
      <c r="A106" s="68">
        <v>45743</v>
      </c>
      <c r="B106" s="69">
        <v>0.92293999999999998</v>
      </c>
    </row>
    <row r="107" spans="1:2" x14ac:dyDescent="0.2">
      <c r="A107" s="68">
        <v>45742</v>
      </c>
      <c r="B107" s="69">
        <v>0.92286000000000001</v>
      </c>
    </row>
    <row r="108" spans="1:2" x14ac:dyDescent="0.2">
      <c r="A108" s="68">
        <v>45741</v>
      </c>
      <c r="B108" s="69">
        <v>0.92342000000000002</v>
      </c>
    </row>
    <row r="109" spans="1:2" x14ac:dyDescent="0.2">
      <c r="A109" s="68">
        <v>45740</v>
      </c>
      <c r="B109" s="69">
        <v>0.92347000000000001</v>
      </c>
    </row>
    <row r="110" spans="1:2" x14ac:dyDescent="0.2">
      <c r="A110" s="68">
        <v>45737</v>
      </c>
      <c r="B110" s="69">
        <v>0.92327999999999999</v>
      </c>
    </row>
    <row r="111" spans="1:2" x14ac:dyDescent="0.2">
      <c r="A111" s="68">
        <v>45736</v>
      </c>
      <c r="B111" s="69">
        <v>0.92352999999999996</v>
      </c>
    </row>
    <row r="112" spans="1:2" x14ac:dyDescent="0.2">
      <c r="A112" s="68">
        <v>45735</v>
      </c>
      <c r="B112" s="69">
        <v>0.92278000000000004</v>
      </c>
    </row>
    <row r="113" spans="1:2" x14ac:dyDescent="0.2">
      <c r="A113" s="68">
        <v>45734</v>
      </c>
      <c r="B113" s="69">
        <v>0.92323</v>
      </c>
    </row>
    <row r="114" spans="1:2" x14ac:dyDescent="0.2">
      <c r="A114" s="68">
        <v>45733</v>
      </c>
      <c r="B114" s="69">
        <v>0.92242000000000002</v>
      </c>
    </row>
    <row r="115" spans="1:2" x14ac:dyDescent="0.2">
      <c r="A115" s="68">
        <v>45730</v>
      </c>
      <c r="B115" s="69">
        <v>0.92303000000000002</v>
      </c>
    </row>
    <row r="116" spans="1:2" x14ac:dyDescent="0.2">
      <c r="A116" s="68">
        <v>45729</v>
      </c>
      <c r="B116" s="69">
        <v>0.92323</v>
      </c>
    </row>
    <row r="117" spans="1:2" x14ac:dyDescent="0.2">
      <c r="A117" s="68">
        <v>45728</v>
      </c>
      <c r="B117" s="69">
        <v>0.92267999999999994</v>
      </c>
    </row>
    <row r="118" spans="1:2" x14ac:dyDescent="0.2">
      <c r="A118" s="68">
        <v>45727</v>
      </c>
      <c r="B118" s="69">
        <v>0.92359999999999998</v>
      </c>
    </row>
    <row r="119" spans="1:2" x14ac:dyDescent="0.2">
      <c r="A119" s="68">
        <v>45726</v>
      </c>
      <c r="B119" s="69">
        <v>0.92305000000000004</v>
      </c>
    </row>
    <row r="120" spans="1:2" x14ac:dyDescent="0.2">
      <c r="A120" s="68">
        <v>45723</v>
      </c>
      <c r="B120" s="69">
        <v>0.92256000000000005</v>
      </c>
    </row>
    <row r="121" spans="1:2" x14ac:dyDescent="0.2">
      <c r="A121" s="68">
        <v>45722</v>
      </c>
      <c r="B121" s="69">
        <v>0.92252000000000001</v>
      </c>
    </row>
    <row r="122" spans="1:2" x14ac:dyDescent="0.2">
      <c r="A122" s="68">
        <v>45721</v>
      </c>
      <c r="B122" s="69">
        <v>0.92249000000000003</v>
      </c>
    </row>
    <row r="123" spans="1:2" x14ac:dyDescent="0.2">
      <c r="A123" s="68">
        <v>45720</v>
      </c>
      <c r="B123" s="69">
        <v>0.92244000000000004</v>
      </c>
    </row>
    <row r="124" spans="1:2" x14ac:dyDescent="0.2">
      <c r="A124" s="68">
        <v>45719</v>
      </c>
      <c r="B124" s="69">
        <v>0.92252000000000001</v>
      </c>
    </row>
    <row r="125" spans="1:2" x14ac:dyDescent="0.2">
      <c r="A125" s="68">
        <v>45716</v>
      </c>
      <c r="B125" s="69">
        <v>0.92259999999999998</v>
      </c>
    </row>
    <row r="126" spans="1:2" x14ac:dyDescent="0.2">
      <c r="A126" s="68">
        <v>45715</v>
      </c>
      <c r="B126" s="69">
        <v>0.92301999999999995</v>
      </c>
    </row>
    <row r="127" spans="1:2" x14ac:dyDescent="0.2">
      <c r="A127" s="68">
        <v>45714</v>
      </c>
      <c r="B127" s="69">
        <v>0.92298000000000002</v>
      </c>
    </row>
    <row r="128" spans="1:2" x14ac:dyDescent="0.2">
      <c r="A128" s="68">
        <v>45713</v>
      </c>
      <c r="B128" s="69">
        <v>0.92244999999999999</v>
      </c>
    </row>
    <row r="129" spans="1:2" x14ac:dyDescent="0.2">
      <c r="A129" s="68">
        <v>45712</v>
      </c>
      <c r="B129" s="69">
        <v>0.92305999999999999</v>
      </c>
    </row>
    <row r="130" spans="1:2" x14ac:dyDescent="0.2">
      <c r="A130" s="68">
        <v>45709</v>
      </c>
      <c r="B130" s="69">
        <v>0.92210000000000003</v>
      </c>
    </row>
    <row r="131" spans="1:2" x14ac:dyDescent="0.2">
      <c r="A131" s="68">
        <v>45708</v>
      </c>
      <c r="B131" s="69">
        <v>0.92210000000000003</v>
      </c>
    </row>
    <row r="132" spans="1:2" x14ac:dyDescent="0.2">
      <c r="A132" s="68">
        <v>45707</v>
      </c>
      <c r="B132" s="69">
        <v>0.92208999999999997</v>
      </c>
    </row>
    <row r="133" spans="1:2" x14ac:dyDescent="0.2">
      <c r="A133" s="68">
        <v>45706</v>
      </c>
      <c r="B133" s="69">
        <v>0.92135</v>
      </c>
    </row>
    <row r="134" spans="1:2" x14ac:dyDescent="0.2">
      <c r="A134" s="68">
        <v>45705</v>
      </c>
      <c r="B134" s="69">
        <v>0.92110000000000003</v>
      </c>
    </row>
    <row r="135" spans="1:2" x14ac:dyDescent="0.2">
      <c r="A135" s="68">
        <v>45702</v>
      </c>
      <c r="B135" s="69">
        <v>0.92091000000000001</v>
      </c>
    </row>
    <row r="136" spans="1:2" x14ac:dyDescent="0.2">
      <c r="A136" s="68">
        <v>45701</v>
      </c>
      <c r="B136" s="69">
        <v>0.92090000000000005</v>
      </c>
    </row>
    <row r="137" spans="1:2" x14ac:dyDescent="0.2">
      <c r="A137" s="68">
        <v>45700</v>
      </c>
      <c r="B137" s="69">
        <v>0.92020999999999997</v>
      </c>
    </row>
    <row r="138" spans="1:2" x14ac:dyDescent="0.2">
      <c r="A138" s="68">
        <v>45699</v>
      </c>
      <c r="B138" s="69">
        <v>0.92074999999999996</v>
      </c>
    </row>
    <row r="139" spans="1:2" x14ac:dyDescent="0.2">
      <c r="A139" s="68">
        <v>45698</v>
      </c>
      <c r="B139" s="69">
        <v>0.92054000000000002</v>
      </c>
    </row>
    <row r="140" spans="1:2" x14ac:dyDescent="0.2">
      <c r="A140" s="68">
        <v>45695</v>
      </c>
      <c r="B140" s="69">
        <v>0.92083999999999999</v>
      </c>
    </row>
    <row r="141" spans="1:2" x14ac:dyDescent="0.2">
      <c r="A141" s="68">
        <v>45694</v>
      </c>
      <c r="B141" s="69">
        <v>0.92054000000000002</v>
      </c>
    </row>
    <row r="142" spans="1:2" x14ac:dyDescent="0.2">
      <c r="A142" s="68">
        <v>45693</v>
      </c>
      <c r="B142" s="69">
        <v>0.92079</v>
      </c>
    </row>
    <row r="143" spans="1:2" x14ac:dyDescent="0.2">
      <c r="A143" s="68">
        <v>45684</v>
      </c>
      <c r="B143" s="69">
        <v>0.92054999999999998</v>
      </c>
    </row>
    <row r="144" spans="1:2" x14ac:dyDescent="0.2">
      <c r="A144" s="68">
        <v>45681</v>
      </c>
      <c r="B144" s="69">
        <v>0.92044000000000004</v>
      </c>
    </row>
    <row r="145" spans="1:2" x14ac:dyDescent="0.2">
      <c r="A145" s="68">
        <v>45680</v>
      </c>
      <c r="B145" s="69">
        <v>0.92096999999999996</v>
      </c>
    </row>
    <row r="146" spans="1:2" x14ac:dyDescent="0.2">
      <c r="A146" s="68">
        <v>45679</v>
      </c>
      <c r="B146" s="69">
        <v>0.92076000000000002</v>
      </c>
    </row>
    <row r="147" spans="1:2" x14ac:dyDescent="0.2">
      <c r="A147" s="68">
        <v>45678</v>
      </c>
      <c r="B147" s="69">
        <v>0.92129000000000005</v>
      </c>
    </row>
    <row r="148" spans="1:2" x14ac:dyDescent="0.2">
      <c r="A148" s="68">
        <v>45677</v>
      </c>
      <c r="B148" s="69">
        <v>0.9234</v>
      </c>
    </row>
    <row r="149" spans="1:2" x14ac:dyDescent="0.2">
      <c r="A149" s="68">
        <v>45674</v>
      </c>
      <c r="B149" s="69">
        <v>0.92303999999999997</v>
      </c>
    </row>
    <row r="150" spans="1:2" x14ac:dyDescent="0.2">
      <c r="A150" s="68">
        <v>45673</v>
      </c>
      <c r="B150" s="69">
        <v>0.92325999999999997</v>
      </c>
    </row>
    <row r="151" spans="1:2" x14ac:dyDescent="0.2">
      <c r="A151" s="68">
        <v>45672</v>
      </c>
      <c r="B151" s="69">
        <v>0.92313999999999996</v>
      </c>
    </row>
    <row r="152" spans="1:2" x14ac:dyDescent="0.2">
      <c r="A152" s="68">
        <v>45671</v>
      </c>
      <c r="B152" s="69">
        <v>0.92345999999999995</v>
      </c>
    </row>
    <row r="153" spans="1:2" x14ac:dyDescent="0.2">
      <c r="A153" s="68">
        <v>45670</v>
      </c>
      <c r="B153" s="69">
        <v>0.92308000000000001</v>
      </c>
    </row>
    <row r="154" spans="1:2" x14ac:dyDescent="0.2">
      <c r="A154" s="68">
        <v>45667</v>
      </c>
      <c r="B154" s="69">
        <v>0.92388999999999999</v>
      </c>
    </row>
    <row r="155" spans="1:2" x14ac:dyDescent="0.2">
      <c r="A155" s="68">
        <v>45666</v>
      </c>
      <c r="B155" s="69">
        <v>0.92403999999999997</v>
      </c>
    </row>
    <row r="156" spans="1:2" x14ac:dyDescent="0.2">
      <c r="A156" s="68">
        <v>45665</v>
      </c>
      <c r="B156" s="69">
        <v>0.92452999999999996</v>
      </c>
    </row>
    <row r="157" spans="1:2" x14ac:dyDescent="0.2">
      <c r="A157" s="68">
        <v>45664</v>
      </c>
      <c r="B157" s="69">
        <v>0.92452999999999996</v>
      </c>
    </row>
    <row r="158" spans="1:2" x14ac:dyDescent="0.2">
      <c r="A158" s="68">
        <v>45663</v>
      </c>
      <c r="B158" s="69">
        <v>0.92405999999999999</v>
      </c>
    </row>
    <row r="159" spans="1:2" x14ac:dyDescent="0.2">
      <c r="A159" s="68">
        <v>45660</v>
      </c>
      <c r="B159" s="69">
        <v>0.92427000000000004</v>
      </c>
    </row>
    <row r="160" spans="1:2" x14ac:dyDescent="0.2">
      <c r="A160" s="68">
        <v>45659</v>
      </c>
      <c r="B160" s="69">
        <v>0.92488999999999999</v>
      </c>
    </row>
    <row r="161" spans="1:2" x14ac:dyDescent="0.2">
      <c r="A161" s="68">
        <v>45657</v>
      </c>
      <c r="B161" s="69">
        <v>0.92603999999999997</v>
      </c>
    </row>
    <row r="162" spans="1:2" x14ac:dyDescent="0.2">
      <c r="A162" s="68">
        <v>45656</v>
      </c>
      <c r="B162" s="69">
        <v>0.92584</v>
      </c>
    </row>
    <row r="163" spans="1:2" x14ac:dyDescent="0.2">
      <c r="A163" s="68">
        <v>45653</v>
      </c>
      <c r="B163" s="69">
        <v>0.92564000000000002</v>
      </c>
    </row>
    <row r="164" spans="1:2" x14ac:dyDescent="0.2">
      <c r="A164" s="68">
        <v>45652</v>
      </c>
      <c r="B164" s="69">
        <v>0.92571999999999999</v>
      </c>
    </row>
    <row r="165" spans="1:2" x14ac:dyDescent="0.2">
      <c r="A165" s="68">
        <v>45651</v>
      </c>
      <c r="B165" s="69">
        <v>0.92532000000000003</v>
      </c>
    </row>
    <row r="166" spans="1:2" x14ac:dyDescent="0.2">
      <c r="A166" s="68">
        <v>45650</v>
      </c>
      <c r="B166" s="69">
        <v>0.92505999999999999</v>
      </c>
    </row>
    <row r="167" spans="1:2" x14ac:dyDescent="0.2">
      <c r="A167" s="68">
        <v>45649</v>
      </c>
      <c r="B167" s="69">
        <v>0.92467999999999995</v>
      </c>
    </row>
    <row r="168" spans="1:2" x14ac:dyDescent="0.2">
      <c r="A168" s="68">
        <v>45646</v>
      </c>
      <c r="B168" s="69">
        <v>0.92544999999999999</v>
      </c>
    </row>
    <row r="169" spans="1:2" x14ac:dyDescent="0.2">
      <c r="A169" s="68">
        <v>45645</v>
      </c>
      <c r="B169" s="69">
        <v>0.92525999999999997</v>
      </c>
    </row>
    <row r="170" spans="1:2" x14ac:dyDescent="0.2">
      <c r="A170" s="68">
        <v>45644</v>
      </c>
      <c r="B170" s="69">
        <v>0.92518</v>
      </c>
    </row>
    <row r="171" spans="1:2" x14ac:dyDescent="0.2">
      <c r="A171" s="68">
        <v>45643</v>
      </c>
      <c r="B171" s="69">
        <v>0.92479999999999996</v>
      </c>
    </row>
    <row r="172" spans="1:2" x14ac:dyDescent="0.2">
      <c r="A172" s="68">
        <v>45642</v>
      </c>
      <c r="B172" s="69">
        <v>0.92444000000000004</v>
      </c>
    </row>
    <row r="173" spans="1:2" x14ac:dyDescent="0.2">
      <c r="A173" s="68">
        <v>45639</v>
      </c>
      <c r="B173" s="69">
        <v>0.92442000000000002</v>
      </c>
    </row>
    <row r="174" spans="1:2" x14ac:dyDescent="0.2">
      <c r="A174" s="68">
        <v>45638</v>
      </c>
      <c r="B174" s="69">
        <v>0.92415999999999998</v>
      </c>
    </row>
    <row r="175" spans="1:2" x14ac:dyDescent="0.2">
      <c r="A175" s="68">
        <v>45637</v>
      </c>
      <c r="B175" s="69">
        <v>0.92391999999999996</v>
      </c>
    </row>
    <row r="176" spans="1:2" x14ac:dyDescent="0.2">
      <c r="A176" s="68">
        <v>45636</v>
      </c>
      <c r="B176" s="69">
        <v>0.92508000000000001</v>
      </c>
    </row>
    <row r="177" spans="1:2" x14ac:dyDescent="0.2">
      <c r="A177" s="68">
        <v>45635</v>
      </c>
      <c r="B177" s="69">
        <v>0.92373000000000005</v>
      </c>
    </row>
    <row r="178" spans="1:2" x14ac:dyDescent="0.2">
      <c r="A178" s="68">
        <v>45632</v>
      </c>
      <c r="B178" s="69">
        <v>0.92320000000000002</v>
      </c>
    </row>
    <row r="179" spans="1:2" x14ac:dyDescent="0.2">
      <c r="A179" s="68">
        <v>45631</v>
      </c>
      <c r="B179" s="69">
        <v>0.92349999999999999</v>
      </c>
    </row>
    <row r="180" spans="1:2" x14ac:dyDescent="0.2">
      <c r="A180" s="68">
        <v>45630</v>
      </c>
      <c r="B180" s="69">
        <v>0.92415999999999998</v>
      </c>
    </row>
    <row r="181" spans="1:2" x14ac:dyDescent="0.2">
      <c r="A181" s="68">
        <v>45629</v>
      </c>
      <c r="B181" s="69">
        <v>0.92525999999999997</v>
      </c>
    </row>
    <row r="182" spans="1:2" x14ac:dyDescent="0.2">
      <c r="A182" s="68">
        <v>45628</v>
      </c>
      <c r="B182" s="69">
        <v>0.92342999999999997</v>
      </c>
    </row>
    <row r="183" spans="1:2" x14ac:dyDescent="0.2">
      <c r="A183" s="68">
        <v>45625</v>
      </c>
      <c r="B183" s="69">
        <v>0.92354999999999998</v>
      </c>
    </row>
    <row r="184" spans="1:2" x14ac:dyDescent="0.2">
      <c r="A184" s="68">
        <v>45624</v>
      </c>
      <c r="B184" s="69">
        <v>0.92398000000000002</v>
      </c>
    </row>
    <row r="185" spans="1:2" x14ac:dyDescent="0.2">
      <c r="A185" s="68">
        <v>45623</v>
      </c>
      <c r="B185" s="69">
        <v>0.92505000000000004</v>
      </c>
    </row>
    <row r="186" spans="1:2" x14ac:dyDescent="0.2">
      <c r="A186" s="68">
        <v>45622</v>
      </c>
      <c r="B186" s="69">
        <v>0.92406999999999995</v>
      </c>
    </row>
    <row r="187" spans="1:2" x14ac:dyDescent="0.2">
      <c r="A187" s="68">
        <v>45621</v>
      </c>
      <c r="B187" s="69">
        <v>0.92408000000000001</v>
      </c>
    </row>
    <row r="188" spans="1:2" x14ac:dyDescent="0.2">
      <c r="A188" s="68">
        <v>45618</v>
      </c>
      <c r="B188" s="69">
        <v>0.92439000000000004</v>
      </c>
    </row>
    <row r="189" spans="1:2" x14ac:dyDescent="0.2">
      <c r="A189" s="68">
        <v>45617</v>
      </c>
      <c r="B189" s="69">
        <v>0.92425000000000002</v>
      </c>
    </row>
    <row r="190" spans="1:2" x14ac:dyDescent="0.2">
      <c r="A190" s="68">
        <v>45616</v>
      </c>
      <c r="B190" s="69">
        <v>0.92422000000000004</v>
      </c>
    </row>
    <row r="191" spans="1:2" x14ac:dyDescent="0.2">
      <c r="A191" s="68">
        <v>45615</v>
      </c>
      <c r="B191" s="69">
        <v>0.92391999999999996</v>
      </c>
    </row>
    <row r="192" spans="1:2" x14ac:dyDescent="0.2">
      <c r="A192" s="68">
        <v>45614</v>
      </c>
      <c r="B192" s="69">
        <v>0.92371000000000003</v>
      </c>
    </row>
    <row r="193" spans="1:2" x14ac:dyDescent="0.2">
      <c r="A193" s="68">
        <v>45611</v>
      </c>
      <c r="B193" s="69">
        <v>0.92498999999999998</v>
      </c>
    </row>
    <row r="194" spans="1:2" x14ac:dyDescent="0.2">
      <c r="A194" s="68">
        <v>45610</v>
      </c>
      <c r="B194" s="69">
        <v>0.92496</v>
      </c>
    </row>
    <row r="195" spans="1:2" x14ac:dyDescent="0.2">
      <c r="A195" s="68">
        <v>45609</v>
      </c>
      <c r="B195" s="69">
        <v>0.92552999999999996</v>
      </c>
    </row>
    <row r="196" spans="1:2" x14ac:dyDescent="0.2">
      <c r="A196" s="68">
        <v>45608</v>
      </c>
      <c r="B196" s="69">
        <v>0.92503999999999997</v>
      </c>
    </row>
    <row r="197" spans="1:2" x14ac:dyDescent="0.2">
      <c r="A197" s="68">
        <v>45607</v>
      </c>
      <c r="B197" s="69">
        <v>0.92323</v>
      </c>
    </row>
    <row r="198" spans="1:2" x14ac:dyDescent="0.2">
      <c r="A198" s="68">
        <v>45604</v>
      </c>
      <c r="B198" s="69">
        <v>0.91905999999999999</v>
      </c>
    </row>
    <row r="199" spans="1:2" x14ac:dyDescent="0.2">
      <c r="A199" s="68">
        <v>45603</v>
      </c>
      <c r="B199" s="69">
        <v>0.92169999999999996</v>
      </c>
    </row>
    <row r="200" spans="1:2" x14ac:dyDescent="0.2">
      <c r="A200" s="68">
        <v>45602</v>
      </c>
      <c r="B200" s="69">
        <v>0.91324000000000005</v>
      </c>
    </row>
    <row r="201" spans="1:2" x14ac:dyDescent="0.2">
      <c r="A201" s="68">
        <v>45601</v>
      </c>
      <c r="B201" s="69">
        <v>0.91356000000000004</v>
      </c>
    </row>
    <row r="202" spans="1:2" x14ac:dyDescent="0.2">
      <c r="A202" s="68">
        <v>45600</v>
      </c>
      <c r="B202" s="69">
        <v>0.91574999999999995</v>
      </c>
    </row>
    <row r="203" spans="1:2" x14ac:dyDescent="0.2">
      <c r="A203" s="68">
        <v>45597</v>
      </c>
      <c r="B203" s="69">
        <v>0.91500000000000004</v>
      </c>
    </row>
    <row r="204" spans="1:2" x14ac:dyDescent="0.2">
      <c r="A204" s="68">
        <v>45596</v>
      </c>
      <c r="B204" s="69">
        <v>0.91673000000000004</v>
      </c>
    </row>
    <row r="205" spans="1:2" x14ac:dyDescent="0.2">
      <c r="A205" s="68">
        <v>45595</v>
      </c>
      <c r="B205" s="69">
        <v>0.91876999999999998</v>
      </c>
    </row>
    <row r="206" spans="1:2" x14ac:dyDescent="0.2">
      <c r="A206" s="68">
        <v>45594</v>
      </c>
      <c r="B206" s="69">
        <v>0.91729000000000005</v>
      </c>
    </row>
    <row r="207" spans="1:2" x14ac:dyDescent="0.2">
      <c r="A207" s="68">
        <v>45593</v>
      </c>
      <c r="B207" s="69">
        <v>0.91732999999999998</v>
      </c>
    </row>
    <row r="208" spans="1:2" x14ac:dyDescent="0.2">
      <c r="A208" s="68">
        <v>45590</v>
      </c>
      <c r="B208" s="69">
        <v>0.91496</v>
      </c>
    </row>
    <row r="209" spans="1:2" x14ac:dyDescent="0.2">
      <c r="A209" s="68">
        <v>45589</v>
      </c>
      <c r="B209" s="69">
        <v>0.91754999999999998</v>
      </c>
    </row>
    <row r="210" spans="1:2" x14ac:dyDescent="0.2">
      <c r="A210" s="68">
        <v>45588</v>
      </c>
      <c r="B210" s="69">
        <v>0.91659999999999997</v>
      </c>
    </row>
    <row r="211" spans="1:2" x14ac:dyDescent="0.2">
      <c r="A211" s="68">
        <v>45587</v>
      </c>
      <c r="B211" s="69">
        <v>0.91612000000000005</v>
      </c>
    </row>
    <row r="212" spans="1:2" x14ac:dyDescent="0.2">
      <c r="A212" s="68">
        <v>45586</v>
      </c>
      <c r="B212" s="69">
        <v>0.91359999999999997</v>
      </c>
    </row>
    <row r="213" spans="1:2" x14ac:dyDescent="0.2">
      <c r="A213" s="68">
        <v>45583</v>
      </c>
      <c r="B213" s="69">
        <v>0.91696</v>
      </c>
    </row>
    <row r="214" spans="1:2" x14ac:dyDescent="0.2">
      <c r="A214" s="68">
        <v>45582</v>
      </c>
      <c r="B214" s="69">
        <v>0.91637000000000002</v>
      </c>
    </row>
    <row r="215" spans="1:2" x14ac:dyDescent="0.2">
      <c r="A215" s="68">
        <v>45581</v>
      </c>
      <c r="B215" s="69">
        <v>0.91649999999999998</v>
      </c>
    </row>
    <row r="216" spans="1:2" x14ac:dyDescent="0.2">
      <c r="A216" s="68">
        <v>45580</v>
      </c>
      <c r="B216" s="69">
        <v>0.91225000000000001</v>
      </c>
    </row>
    <row r="217" spans="1:2" x14ac:dyDescent="0.2">
      <c r="A217" s="68">
        <v>45579</v>
      </c>
      <c r="B217" s="69">
        <v>0.90991999999999995</v>
      </c>
    </row>
    <row r="218" spans="1:2" x14ac:dyDescent="0.2">
      <c r="A218" s="68">
        <v>45576</v>
      </c>
      <c r="B218" s="69">
        <v>0.91037000000000001</v>
      </c>
    </row>
    <row r="219" spans="1:2" x14ac:dyDescent="0.2">
      <c r="A219" s="68">
        <v>45575</v>
      </c>
      <c r="B219" s="69">
        <v>0.91015999999999997</v>
      </c>
    </row>
    <row r="220" spans="1:2" x14ac:dyDescent="0.2">
      <c r="A220" s="68">
        <v>45574</v>
      </c>
      <c r="B220" s="69">
        <v>0.90766999999999998</v>
      </c>
    </row>
    <row r="221" spans="1:2" x14ac:dyDescent="0.2">
      <c r="A221" s="68">
        <v>45573</v>
      </c>
      <c r="B221" s="69">
        <v>0.91042000000000001</v>
      </c>
    </row>
    <row r="222" spans="1:2" x14ac:dyDescent="0.2">
      <c r="A222" s="68">
        <v>45565</v>
      </c>
      <c r="B222" s="69">
        <v>0.90178999999999998</v>
      </c>
    </row>
    <row r="223" spans="1:2" x14ac:dyDescent="0.2">
      <c r="A223" s="68">
        <v>45562</v>
      </c>
      <c r="B223" s="69">
        <v>0.90112000000000003</v>
      </c>
    </row>
    <row r="224" spans="1:2" x14ac:dyDescent="0.2">
      <c r="A224" s="68">
        <v>45561</v>
      </c>
      <c r="B224" s="69">
        <v>0.90381999999999996</v>
      </c>
    </row>
    <row r="225" spans="1:2" x14ac:dyDescent="0.2">
      <c r="A225" s="68">
        <v>45560</v>
      </c>
      <c r="B225" s="69">
        <v>0.90193999999999996</v>
      </c>
    </row>
    <row r="226" spans="1:2" x14ac:dyDescent="0.2">
      <c r="A226" s="68">
        <v>45559</v>
      </c>
      <c r="B226" s="69">
        <v>0.90544999999999998</v>
      </c>
    </row>
    <row r="227" spans="1:2" x14ac:dyDescent="0.2">
      <c r="A227" s="68">
        <v>45558</v>
      </c>
      <c r="B227" s="69">
        <v>0.90536000000000005</v>
      </c>
    </row>
    <row r="228" spans="1:2" x14ac:dyDescent="0.2">
      <c r="A228" s="68">
        <v>45555</v>
      </c>
      <c r="B228" s="69">
        <v>0.90654999999999997</v>
      </c>
    </row>
    <row r="229" spans="1:2" x14ac:dyDescent="0.2">
      <c r="A229" s="68">
        <v>45554</v>
      </c>
      <c r="B229" s="69">
        <v>0.91059999999999997</v>
      </c>
    </row>
    <row r="230" spans="1:2" x14ac:dyDescent="0.2">
      <c r="A230" s="68">
        <v>45553</v>
      </c>
      <c r="B230" s="69">
        <v>0.90937000000000001</v>
      </c>
    </row>
    <row r="231" spans="1:2" x14ac:dyDescent="0.2">
      <c r="A231" s="68">
        <v>45548</v>
      </c>
      <c r="B231" s="69">
        <v>0.91069</v>
      </c>
    </row>
    <row r="232" spans="1:2" x14ac:dyDescent="0.2">
      <c r="A232" s="68">
        <v>45547</v>
      </c>
      <c r="B232" s="69">
        <v>0.91332000000000002</v>
      </c>
    </row>
    <row r="233" spans="1:2" x14ac:dyDescent="0.2">
      <c r="A233" s="68">
        <v>45546</v>
      </c>
      <c r="B233" s="69">
        <v>0.91293000000000002</v>
      </c>
    </row>
    <row r="234" spans="1:2" x14ac:dyDescent="0.2">
      <c r="A234" s="68">
        <v>45545</v>
      </c>
      <c r="B234" s="69">
        <v>0.91234000000000004</v>
      </c>
    </row>
    <row r="235" spans="1:2" x14ac:dyDescent="0.2">
      <c r="A235" s="68">
        <v>45544</v>
      </c>
      <c r="B235" s="69">
        <v>0.91056999999999999</v>
      </c>
    </row>
    <row r="236" spans="1:2" x14ac:dyDescent="0.2">
      <c r="A236" s="68">
        <v>45541</v>
      </c>
      <c r="B236" s="69">
        <v>0.91003000000000001</v>
      </c>
    </row>
    <row r="237" spans="1:2" x14ac:dyDescent="0.2">
      <c r="A237" s="68">
        <v>45540</v>
      </c>
      <c r="B237" s="69">
        <v>0.91081000000000001</v>
      </c>
    </row>
    <row r="238" spans="1:2" x14ac:dyDescent="0.2">
      <c r="A238" s="68">
        <v>45539</v>
      </c>
      <c r="B238" s="69">
        <v>0.91254999999999997</v>
      </c>
    </row>
    <row r="239" spans="1:2" x14ac:dyDescent="0.2">
      <c r="A239" s="68">
        <v>45538</v>
      </c>
      <c r="B239" s="69">
        <v>0.91208</v>
      </c>
    </row>
    <row r="240" spans="1:2" x14ac:dyDescent="0.2">
      <c r="A240" s="68">
        <v>45537</v>
      </c>
      <c r="B240" s="69">
        <v>0.91091</v>
      </c>
    </row>
    <row r="241" spans="1:2" x14ac:dyDescent="0.2">
      <c r="A241" s="68">
        <v>45534</v>
      </c>
      <c r="B241" s="69">
        <v>0.91222000000000003</v>
      </c>
    </row>
    <row r="242" spans="1:2" x14ac:dyDescent="0.2">
      <c r="A242" s="68">
        <v>45533</v>
      </c>
      <c r="B242" s="69">
        <v>0.91422999999999999</v>
      </c>
    </row>
    <row r="243" spans="1:2" x14ac:dyDescent="0.2">
      <c r="A243" s="68">
        <v>45532</v>
      </c>
      <c r="B243" s="69">
        <v>0.91278000000000004</v>
      </c>
    </row>
    <row r="244" spans="1:2" x14ac:dyDescent="0.2">
      <c r="A244" s="68">
        <v>45531</v>
      </c>
      <c r="B244" s="69">
        <v>0.91359000000000001</v>
      </c>
    </row>
    <row r="245" spans="1:2" x14ac:dyDescent="0.2">
      <c r="A245" s="68">
        <v>45530</v>
      </c>
      <c r="B245" s="69">
        <v>0.91266999999999998</v>
      </c>
    </row>
    <row r="246" spans="1:2" x14ac:dyDescent="0.2">
      <c r="A246" s="68">
        <v>45527</v>
      </c>
      <c r="B246" s="69">
        <v>0.91524000000000005</v>
      </c>
    </row>
    <row r="247" spans="1:2" x14ac:dyDescent="0.2">
      <c r="A247" s="68">
        <v>45526</v>
      </c>
      <c r="B247" s="69">
        <v>0.91410999999999998</v>
      </c>
    </row>
    <row r="248" spans="1:2" x14ac:dyDescent="0.2">
      <c r="A248" s="68">
        <v>45525</v>
      </c>
      <c r="B248" s="69">
        <v>0.91552999999999995</v>
      </c>
    </row>
    <row r="249" spans="1:2" x14ac:dyDescent="0.2">
      <c r="A249" s="68">
        <v>45524</v>
      </c>
      <c r="B249" s="69">
        <v>0.91600000000000004</v>
      </c>
    </row>
    <row r="250" spans="1:2" x14ac:dyDescent="0.2">
      <c r="A250" s="68">
        <v>45523</v>
      </c>
      <c r="B250" s="69">
        <v>0.91624000000000005</v>
      </c>
    </row>
    <row r="251" spans="1:2" x14ac:dyDescent="0.2">
      <c r="A251" s="68">
        <v>45520</v>
      </c>
      <c r="B251" s="69">
        <v>0.91654000000000002</v>
      </c>
    </row>
    <row r="252" spans="1:2" x14ac:dyDescent="0.2">
      <c r="A252" s="68">
        <v>45519</v>
      </c>
      <c r="B252" s="69">
        <v>0.91625999999999996</v>
      </c>
    </row>
    <row r="253" spans="1:2" x14ac:dyDescent="0.2">
      <c r="A253" s="68">
        <v>45518</v>
      </c>
      <c r="B253" s="69">
        <v>0.91691</v>
      </c>
    </row>
    <row r="254" spans="1:2" x14ac:dyDescent="0.2">
      <c r="A254" s="68">
        <v>45517</v>
      </c>
      <c r="B254" s="69">
        <v>0.91742999999999997</v>
      </c>
    </row>
    <row r="255" spans="1:2" x14ac:dyDescent="0.2">
      <c r="A255" s="68">
        <v>45516</v>
      </c>
      <c r="B255" s="69">
        <v>0.91622999999999999</v>
      </c>
    </row>
    <row r="256" spans="1:2" x14ac:dyDescent="0.2">
      <c r="A256" s="68">
        <v>45513</v>
      </c>
      <c r="B256" s="69">
        <v>0.91657999999999995</v>
      </c>
    </row>
    <row r="257" spans="1:2" x14ac:dyDescent="0.2">
      <c r="A257" s="68">
        <v>45512</v>
      </c>
      <c r="B257" s="69">
        <v>0.91732999999999998</v>
      </c>
    </row>
    <row r="258" spans="1:2" x14ac:dyDescent="0.2">
      <c r="A258" s="68">
        <v>45511</v>
      </c>
      <c r="B258" s="69">
        <v>0.91561999999999999</v>
      </c>
    </row>
    <row r="259" spans="1:2" x14ac:dyDescent="0.2">
      <c r="A259" s="68">
        <v>45510</v>
      </c>
      <c r="B259" s="69">
        <v>0.91556000000000004</v>
      </c>
    </row>
    <row r="260" spans="1:2" x14ac:dyDescent="0.2">
      <c r="A260" s="68">
        <v>45509</v>
      </c>
      <c r="B260" s="69">
        <v>0.91737000000000002</v>
      </c>
    </row>
    <row r="261" spans="1:2" x14ac:dyDescent="0.2">
      <c r="A261" s="68">
        <v>45506</v>
      </c>
      <c r="B261" s="69">
        <v>0.91342999999999996</v>
      </c>
    </row>
    <row r="262" spans="1:2" x14ac:dyDescent="0.2">
      <c r="A262" s="68">
        <v>45505</v>
      </c>
      <c r="B262" s="69">
        <v>0.91283000000000003</v>
      </c>
    </row>
    <row r="263" spans="1:2" x14ac:dyDescent="0.2">
      <c r="A263" s="68">
        <v>45504</v>
      </c>
      <c r="B263" s="69">
        <v>0.91335999999999995</v>
      </c>
    </row>
    <row r="264" spans="1:2" x14ac:dyDescent="0.2">
      <c r="A264" s="68">
        <v>45503</v>
      </c>
      <c r="B264" s="69">
        <v>0.91354000000000002</v>
      </c>
    </row>
    <row r="265" spans="1:2" x14ac:dyDescent="0.2">
      <c r="A265" s="68">
        <v>45502</v>
      </c>
      <c r="B265" s="69">
        <v>0.91339000000000004</v>
      </c>
    </row>
    <row r="266" spans="1:2" x14ac:dyDescent="0.2">
      <c r="A266" s="68">
        <v>45499</v>
      </c>
      <c r="B266" s="69">
        <v>0.91303999999999996</v>
      </c>
    </row>
    <row r="267" spans="1:2" x14ac:dyDescent="0.2">
      <c r="A267" s="68">
        <v>45498</v>
      </c>
      <c r="B267" s="69">
        <v>0.91339999999999999</v>
      </c>
    </row>
    <row r="268" spans="1:2" x14ac:dyDescent="0.2">
      <c r="A268" s="68">
        <v>45497</v>
      </c>
      <c r="B268" s="69">
        <v>0.91381000000000001</v>
      </c>
    </row>
    <row r="269" spans="1:2" x14ac:dyDescent="0.2">
      <c r="A269" s="68">
        <v>45496</v>
      </c>
      <c r="B269" s="69">
        <v>0.91376999999999997</v>
      </c>
    </row>
    <row r="270" spans="1:2" x14ac:dyDescent="0.2">
      <c r="A270" s="68">
        <v>45495</v>
      </c>
      <c r="B270" s="69">
        <v>0.91332999999999998</v>
      </c>
    </row>
    <row r="271" spans="1:2" x14ac:dyDescent="0.2">
      <c r="A271" s="68">
        <v>45492</v>
      </c>
      <c r="B271" s="69">
        <v>0.91310999999999998</v>
      </c>
    </row>
    <row r="272" spans="1:2" x14ac:dyDescent="0.2">
      <c r="A272" s="68">
        <v>45491</v>
      </c>
      <c r="B272" s="69">
        <v>0.91317000000000004</v>
      </c>
    </row>
    <row r="273" spans="1:2" x14ac:dyDescent="0.2">
      <c r="A273" s="68">
        <v>45490</v>
      </c>
      <c r="B273" s="69">
        <v>0.91357999999999995</v>
      </c>
    </row>
    <row r="274" spans="1:2" x14ac:dyDescent="0.2">
      <c r="A274" s="68">
        <v>45489</v>
      </c>
      <c r="B274" s="69">
        <v>0.91368000000000005</v>
      </c>
    </row>
    <row r="275" spans="1:2" x14ac:dyDescent="0.2">
      <c r="A275" s="68">
        <v>45488</v>
      </c>
      <c r="B275" s="69">
        <v>0.91332999999999998</v>
      </c>
    </row>
    <row r="276" spans="1:2" x14ac:dyDescent="0.2">
      <c r="A276" s="68">
        <v>45485</v>
      </c>
      <c r="B276" s="69">
        <v>0.91339000000000004</v>
      </c>
    </row>
    <row r="277" spans="1:2" x14ac:dyDescent="0.2">
      <c r="A277" s="68">
        <v>45484</v>
      </c>
      <c r="B277" s="69">
        <v>0.91339999999999999</v>
      </c>
    </row>
    <row r="278" spans="1:2" x14ac:dyDescent="0.2">
      <c r="A278" s="68">
        <v>45483</v>
      </c>
      <c r="B278" s="69">
        <v>0.91329000000000005</v>
      </c>
    </row>
    <row r="279" spans="1:2" x14ac:dyDescent="0.2">
      <c r="A279" s="68">
        <v>45482</v>
      </c>
      <c r="B279" s="69">
        <v>0.91303999999999996</v>
      </c>
    </row>
    <row r="280" spans="1:2" x14ac:dyDescent="0.2">
      <c r="A280" s="68">
        <v>45481</v>
      </c>
      <c r="B280" s="69">
        <v>0.91239999999999999</v>
      </c>
    </row>
    <row r="281" spans="1:2" x14ac:dyDescent="0.2">
      <c r="A281" s="68">
        <v>45478</v>
      </c>
      <c r="B281" s="69">
        <v>0.91291999999999995</v>
      </c>
    </row>
    <row r="282" spans="1:2" x14ac:dyDescent="0.2">
      <c r="A282" s="68">
        <v>45477</v>
      </c>
      <c r="B282" s="69">
        <v>0.91290000000000004</v>
      </c>
    </row>
    <row r="283" spans="1:2" x14ac:dyDescent="0.2">
      <c r="A283" s="68">
        <v>45476</v>
      </c>
      <c r="B283" s="69">
        <v>0.91278000000000004</v>
      </c>
    </row>
    <row r="284" spans="1:2" x14ac:dyDescent="0.2">
      <c r="A284" s="68">
        <v>45475</v>
      </c>
      <c r="B284" s="69">
        <v>0.91266999999999998</v>
      </c>
    </row>
    <row r="285" spans="1:2" x14ac:dyDescent="0.2">
      <c r="A285" s="68">
        <v>45474</v>
      </c>
      <c r="B285" s="69">
        <v>0.91261000000000003</v>
      </c>
    </row>
    <row r="286" spans="1:2" x14ac:dyDescent="0.2">
      <c r="A286" s="68">
        <v>45471</v>
      </c>
      <c r="B286" s="69">
        <v>0.91268000000000005</v>
      </c>
    </row>
    <row r="287" spans="1:2" x14ac:dyDescent="0.2">
      <c r="A287" s="68">
        <v>45470</v>
      </c>
      <c r="B287" s="69">
        <v>0.91271999999999998</v>
      </c>
    </row>
    <row r="288" spans="1:2" x14ac:dyDescent="0.2">
      <c r="A288" s="68">
        <v>45469</v>
      </c>
      <c r="B288" s="69">
        <v>0.91234999999999999</v>
      </c>
    </row>
    <row r="289" spans="1:2" x14ac:dyDescent="0.2">
      <c r="A289" s="68">
        <v>45468</v>
      </c>
      <c r="B289" s="69">
        <v>0.91234000000000004</v>
      </c>
    </row>
    <row r="290" spans="1:2" x14ac:dyDescent="0.2">
      <c r="A290" s="68">
        <v>45467</v>
      </c>
      <c r="B290" s="69">
        <v>0.91239000000000003</v>
      </c>
    </row>
    <row r="291" spans="1:2" x14ac:dyDescent="0.2">
      <c r="A291" s="68">
        <v>45464</v>
      </c>
      <c r="B291" s="69">
        <v>0.91232000000000002</v>
      </c>
    </row>
    <row r="292" spans="1:2" x14ac:dyDescent="0.2">
      <c r="A292" s="68">
        <v>45463</v>
      </c>
      <c r="B292" s="69">
        <v>0.91198999999999997</v>
      </c>
    </row>
    <row r="293" spans="1:2" x14ac:dyDescent="0.2">
      <c r="A293" s="68">
        <v>45462</v>
      </c>
      <c r="B293" s="69">
        <v>0.91137000000000001</v>
      </c>
    </row>
    <row r="294" spans="1:2" x14ac:dyDescent="0.2">
      <c r="A294" s="68">
        <v>45461</v>
      </c>
      <c r="B294" s="69">
        <v>0.91095000000000004</v>
      </c>
    </row>
    <row r="295" spans="1:2" x14ac:dyDescent="0.2">
      <c r="A295" s="68">
        <v>45460</v>
      </c>
      <c r="B295" s="69">
        <v>0.91086999999999996</v>
      </c>
    </row>
    <row r="296" spans="1:2" x14ac:dyDescent="0.2">
      <c r="A296" s="68">
        <v>45457</v>
      </c>
      <c r="B296" s="69">
        <v>0.91091</v>
      </c>
    </row>
    <row r="297" spans="1:2" x14ac:dyDescent="0.2">
      <c r="A297" s="68">
        <v>45456</v>
      </c>
      <c r="B297" s="69">
        <v>0.91080000000000005</v>
      </c>
    </row>
    <row r="298" spans="1:2" x14ac:dyDescent="0.2">
      <c r="A298" s="68">
        <v>45455</v>
      </c>
      <c r="B298" s="69">
        <v>0.91081000000000001</v>
      </c>
    </row>
    <row r="299" spans="1:2" x14ac:dyDescent="0.2">
      <c r="A299" s="68">
        <v>45454</v>
      </c>
      <c r="B299" s="69">
        <v>0.91059000000000001</v>
      </c>
    </row>
    <row r="300" spans="1:2" x14ac:dyDescent="0.2">
      <c r="A300" s="68">
        <v>45450</v>
      </c>
      <c r="B300" s="69">
        <v>0.91037000000000001</v>
      </c>
    </row>
    <row r="301" spans="1:2" x14ac:dyDescent="0.2">
      <c r="A301" s="68">
        <v>45449</v>
      </c>
      <c r="B301" s="69">
        <v>0.91061000000000003</v>
      </c>
    </row>
    <row r="302" spans="1:2" x14ac:dyDescent="0.2">
      <c r="A302" s="68">
        <v>45448</v>
      </c>
      <c r="B302" s="69">
        <v>0.91024000000000005</v>
      </c>
    </row>
    <row r="303" spans="1:2" x14ac:dyDescent="0.2">
      <c r="A303" s="68">
        <v>45447</v>
      </c>
      <c r="B303" s="69">
        <v>0.90910999999999997</v>
      </c>
    </row>
    <row r="304" spans="1:2" x14ac:dyDescent="0.2">
      <c r="A304" s="68">
        <v>45446</v>
      </c>
      <c r="B304" s="69">
        <v>0.90891999999999995</v>
      </c>
    </row>
    <row r="305" spans="1:2" x14ac:dyDescent="0.2">
      <c r="A305" s="68">
        <v>45443</v>
      </c>
      <c r="B305" s="69">
        <v>0.90927000000000002</v>
      </c>
    </row>
    <row r="306" spans="1:2" x14ac:dyDescent="0.2">
      <c r="A306" s="68">
        <v>45442</v>
      </c>
      <c r="B306" s="69">
        <v>0.91019000000000005</v>
      </c>
    </row>
    <row r="307" spans="1:2" x14ac:dyDescent="0.2">
      <c r="A307" s="68">
        <v>45441</v>
      </c>
      <c r="B307" s="69">
        <v>0.91025</v>
      </c>
    </row>
    <row r="308" spans="1:2" x14ac:dyDescent="0.2">
      <c r="A308" s="68">
        <v>45440</v>
      </c>
      <c r="B308" s="69">
        <v>0.91081999999999996</v>
      </c>
    </row>
    <row r="309" spans="1:2" x14ac:dyDescent="0.2">
      <c r="A309" s="68">
        <v>45439</v>
      </c>
      <c r="B309" s="69">
        <v>0.90981000000000001</v>
      </c>
    </row>
    <row r="310" spans="1:2" x14ac:dyDescent="0.2">
      <c r="A310" s="68">
        <v>45436</v>
      </c>
      <c r="B310" s="69">
        <v>0.91047999999999996</v>
      </c>
    </row>
    <row r="311" spans="1:2" x14ac:dyDescent="0.2">
      <c r="A311" s="68">
        <v>45435</v>
      </c>
      <c r="B311" s="69">
        <v>0.91093999999999997</v>
      </c>
    </row>
    <row r="312" spans="1:2" x14ac:dyDescent="0.2">
      <c r="A312" s="68">
        <v>45434</v>
      </c>
      <c r="B312" s="69">
        <v>0.91071999999999997</v>
      </c>
    </row>
    <row r="313" spans="1:2" x14ac:dyDescent="0.2">
      <c r="A313" s="68">
        <v>45433</v>
      </c>
      <c r="B313" s="69">
        <v>0.91152999999999995</v>
      </c>
    </row>
    <row r="314" spans="1:2" x14ac:dyDescent="0.2">
      <c r="A314" s="68">
        <v>45432</v>
      </c>
      <c r="B314" s="69">
        <v>0.91034000000000004</v>
      </c>
    </row>
    <row r="315" spans="1:2" x14ac:dyDescent="0.2">
      <c r="A315" s="68">
        <v>45429</v>
      </c>
      <c r="B315" s="69">
        <v>0.91056999999999999</v>
      </c>
    </row>
    <row r="316" spans="1:2" x14ac:dyDescent="0.2">
      <c r="A316" s="68">
        <v>45428</v>
      </c>
      <c r="B316" s="69">
        <v>0.90998000000000001</v>
      </c>
    </row>
    <row r="317" spans="1:2" x14ac:dyDescent="0.2">
      <c r="A317" s="68">
        <v>45427</v>
      </c>
      <c r="B317" s="69">
        <v>0.90954999999999997</v>
      </c>
    </row>
    <row r="318" spans="1:2" x14ac:dyDescent="0.2">
      <c r="A318" s="68">
        <v>45426</v>
      </c>
      <c r="B318" s="69">
        <v>0.90961999999999998</v>
      </c>
    </row>
    <row r="319" spans="1:2" x14ac:dyDescent="0.2">
      <c r="A319" s="68">
        <v>45425</v>
      </c>
      <c r="B319" s="69">
        <v>0.90888999999999998</v>
      </c>
    </row>
    <row r="320" spans="1:2" x14ac:dyDescent="0.2">
      <c r="A320" s="68">
        <v>45422</v>
      </c>
      <c r="B320" s="69">
        <v>0.90866999999999998</v>
      </c>
    </row>
    <row r="321" spans="1:2" x14ac:dyDescent="0.2">
      <c r="A321" s="68">
        <v>45421</v>
      </c>
      <c r="B321" s="69">
        <v>0.90878000000000003</v>
      </c>
    </row>
    <row r="322" spans="1:2" x14ac:dyDescent="0.2">
      <c r="A322" s="68">
        <v>45420</v>
      </c>
      <c r="B322" s="69">
        <v>0.90788000000000002</v>
      </c>
    </row>
    <row r="323" spans="1:2" x14ac:dyDescent="0.2">
      <c r="A323" s="68">
        <v>45419</v>
      </c>
      <c r="B323" s="69">
        <v>0.90805999999999998</v>
      </c>
    </row>
    <row r="324" spans="1:2" x14ac:dyDescent="0.2">
      <c r="A324" s="68">
        <v>45418</v>
      </c>
      <c r="B324" s="69">
        <v>0.90886</v>
      </c>
    </row>
    <row r="325" spans="1:2" x14ac:dyDescent="0.2">
      <c r="A325" s="68">
        <v>45412</v>
      </c>
      <c r="B325" s="69">
        <v>0.90805000000000002</v>
      </c>
    </row>
    <row r="326" spans="1:2" x14ac:dyDescent="0.2">
      <c r="A326" s="68">
        <v>45411</v>
      </c>
      <c r="B326" s="69">
        <v>0.90771999999999997</v>
      </c>
    </row>
    <row r="327" spans="1:2" x14ac:dyDescent="0.2">
      <c r="A327" s="68">
        <v>45408</v>
      </c>
      <c r="B327" s="69">
        <v>0.90776999999999997</v>
      </c>
    </row>
    <row r="328" spans="1:2" x14ac:dyDescent="0.2">
      <c r="A328" s="68">
        <v>45407</v>
      </c>
      <c r="B328" s="69">
        <v>0.90742999999999996</v>
      </c>
    </row>
    <row r="329" spans="1:2" x14ac:dyDescent="0.2">
      <c r="A329" s="68">
        <v>45406</v>
      </c>
      <c r="B329" s="69">
        <v>0.90678000000000003</v>
      </c>
    </row>
    <row r="330" spans="1:2" x14ac:dyDescent="0.2">
      <c r="A330" s="68">
        <v>45405</v>
      </c>
      <c r="B330" s="69">
        <v>0.90686999999999995</v>
      </c>
    </row>
    <row r="331" spans="1:2" x14ac:dyDescent="0.2">
      <c r="A331" s="68">
        <v>45404</v>
      </c>
      <c r="B331" s="69">
        <v>0.90695999999999999</v>
      </c>
    </row>
    <row r="332" spans="1:2" x14ac:dyDescent="0.2">
      <c r="A332" s="68">
        <v>45401</v>
      </c>
      <c r="B332" s="69">
        <v>0.90710999999999997</v>
      </c>
    </row>
    <row r="333" spans="1:2" x14ac:dyDescent="0.2">
      <c r="A333" s="68">
        <v>45400</v>
      </c>
      <c r="B333" s="69">
        <v>0.90707000000000004</v>
      </c>
    </row>
    <row r="334" spans="1:2" x14ac:dyDescent="0.2">
      <c r="A334" s="68">
        <v>45399</v>
      </c>
      <c r="B334" s="69">
        <v>0.90690000000000004</v>
      </c>
    </row>
    <row r="335" spans="1:2" x14ac:dyDescent="0.2">
      <c r="A335" s="68">
        <v>45398</v>
      </c>
      <c r="B335" s="69">
        <v>0.90705000000000002</v>
      </c>
    </row>
    <row r="336" spans="1:2" x14ac:dyDescent="0.2">
      <c r="A336" s="68">
        <v>45397</v>
      </c>
      <c r="B336" s="69">
        <v>0.90576999999999996</v>
      </c>
    </row>
    <row r="337" spans="1:2" x14ac:dyDescent="0.2">
      <c r="A337" s="68">
        <v>45394</v>
      </c>
      <c r="B337" s="69">
        <v>0.90549999999999997</v>
      </c>
    </row>
    <row r="338" spans="1:2" x14ac:dyDescent="0.2">
      <c r="A338" s="68">
        <v>45393</v>
      </c>
      <c r="B338" s="69">
        <v>0.90583999999999998</v>
      </c>
    </row>
    <row r="339" spans="1:2" x14ac:dyDescent="0.2">
      <c r="A339" s="68">
        <v>45392</v>
      </c>
      <c r="B339" s="69">
        <v>0.90615000000000001</v>
      </c>
    </row>
    <row r="340" spans="1:2" x14ac:dyDescent="0.2">
      <c r="A340" s="68">
        <v>45391</v>
      </c>
      <c r="B340" s="69">
        <v>0.90605000000000002</v>
      </c>
    </row>
    <row r="341" spans="1:2" x14ac:dyDescent="0.2">
      <c r="A341" s="68">
        <v>45390</v>
      </c>
      <c r="B341" s="69">
        <v>0.90622999999999998</v>
      </c>
    </row>
    <row r="342" spans="1:2" x14ac:dyDescent="0.2">
      <c r="A342" s="68">
        <v>45385</v>
      </c>
      <c r="B342" s="69">
        <v>0.90629000000000004</v>
      </c>
    </row>
    <row r="343" spans="1:2" x14ac:dyDescent="0.2">
      <c r="A343" s="68">
        <v>45384</v>
      </c>
      <c r="B343" s="69">
        <v>0.90674999999999994</v>
      </c>
    </row>
    <row r="344" spans="1:2" x14ac:dyDescent="0.2">
      <c r="A344" s="68">
        <v>45383</v>
      </c>
      <c r="B344" s="69">
        <v>0.90644000000000002</v>
      </c>
    </row>
    <row r="345" spans="1:2" x14ac:dyDescent="0.2">
      <c r="A345" s="68">
        <v>45380</v>
      </c>
      <c r="B345" s="69">
        <v>0.90654999999999997</v>
      </c>
    </row>
    <row r="346" spans="1:2" x14ac:dyDescent="0.2">
      <c r="A346" s="68">
        <v>45379</v>
      </c>
      <c r="B346" s="69">
        <v>0.90685000000000004</v>
      </c>
    </row>
    <row r="347" spans="1:2" x14ac:dyDescent="0.2">
      <c r="A347" s="68">
        <v>45378</v>
      </c>
      <c r="B347" s="69">
        <v>0.90698000000000001</v>
      </c>
    </row>
    <row r="348" spans="1:2" x14ac:dyDescent="0.2">
      <c r="A348" s="68">
        <v>45377</v>
      </c>
      <c r="B348" s="69">
        <v>0.90705999999999998</v>
      </c>
    </row>
    <row r="349" spans="1:2" x14ac:dyDescent="0.2">
      <c r="A349" s="68">
        <v>45376</v>
      </c>
      <c r="B349" s="69">
        <v>0.90773999999999999</v>
      </c>
    </row>
    <row r="350" spans="1:2" x14ac:dyDescent="0.2">
      <c r="A350" s="68">
        <v>45373</v>
      </c>
      <c r="B350" s="69">
        <v>0.90791999999999995</v>
      </c>
    </row>
    <row r="351" spans="1:2" x14ac:dyDescent="0.2">
      <c r="A351" s="68">
        <v>45372</v>
      </c>
      <c r="B351" s="69">
        <v>0.90708999999999995</v>
      </c>
    </row>
    <row r="352" spans="1:2" x14ac:dyDescent="0.2">
      <c r="A352" s="68">
        <v>45371</v>
      </c>
      <c r="B352" s="69">
        <v>0.90722000000000003</v>
      </c>
    </row>
    <row r="353" spans="1:2" x14ac:dyDescent="0.2">
      <c r="A353" s="68">
        <v>45370</v>
      </c>
      <c r="B353" s="69">
        <v>0.90771999999999997</v>
      </c>
    </row>
    <row r="354" spans="1:2" x14ac:dyDescent="0.2">
      <c r="A354" s="68">
        <v>45369</v>
      </c>
      <c r="B354" s="69">
        <v>0.90695999999999999</v>
      </c>
    </row>
    <row r="355" spans="1:2" x14ac:dyDescent="0.2">
      <c r="A355" s="68">
        <v>45366</v>
      </c>
      <c r="B355" s="69">
        <v>0.90734999999999999</v>
      </c>
    </row>
    <row r="356" spans="1:2" x14ac:dyDescent="0.2">
      <c r="A356" s="68">
        <v>45365</v>
      </c>
      <c r="B356" s="69">
        <v>0.90739000000000003</v>
      </c>
    </row>
    <row r="357" spans="1:2" x14ac:dyDescent="0.2">
      <c r="A357" s="68">
        <v>45364</v>
      </c>
      <c r="B357" s="69">
        <v>0.90661000000000003</v>
      </c>
    </row>
    <row r="358" spans="1:2" x14ac:dyDescent="0.2">
      <c r="A358" s="68">
        <v>45363</v>
      </c>
      <c r="B358" s="69">
        <v>0.90730999999999995</v>
      </c>
    </row>
    <row r="359" spans="1:2" x14ac:dyDescent="0.2">
      <c r="A359" s="68">
        <v>45362</v>
      </c>
      <c r="B359" s="69">
        <v>0.90751000000000004</v>
      </c>
    </row>
    <row r="360" spans="1:2" x14ac:dyDescent="0.2">
      <c r="A360" s="68">
        <v>45359</v>
      </c>
      <c r="B360" s="69">
        <v>0.90764999999999996</v>
      </c>
    </row>
    <row r="361" spans="1:2" x14ac:dyDescent="0.2">
      <c r="A361" s="68">
        <v>45358</v>
      </c>
      <c r="B361" s="69">
        <v>0.90769</v>
      </c>
    </row>
    <row r="362" spans="1:2" x14ac:dyDescent="0.2">
      <c r="A362" s="68">
        <v>45357</v>
      </c>
      <c r="B362" s="69">
        <v>0.90766999999999998</v>
      </c>
    </row>
    <row r="363" spans="1:2" x14ac:dyDescent="0.2">
      <c r="A363" s="68">
        <v>45356</v>
      </c>
      <c r="B363" s="69">
        <v>0.90763000000000005</v>
      </c>
    </row>
    <row r="364" spans="1:2" x14ac:dyDescent="0.2">
      <c r="A364" s="68">
        <v>45355</v>
      </c>
      <c r="B364" s="69">
        <v>0.90725</v>
      </c>
    </row>
    <row r="365" spans="1:2" x14ac:dyDescent="0.2">
      <c r="A365" s="68">
        <v>45352</v>
      </c>
      <c r="B365" s="69">
        <v>0.90771999999999997</v>
      </c>
    </row>
    <row r="366" spans="1:2" x14ac:dyDescent="0.2">
      <c r="A366" s="68">
        <v>45351</v>
      </c>
      <c r="B366" s="69">
        <v>0.90752999999999995</v>
      </c>
    </row>
    <row r="367" spans="1:2" x14ac:dyDescent="0.2">
      <c r="A367" s="68">
        <v>45350</v>
      </c>
      <c r="B367" s="69">
        <v>0.90822999999999998</v>
      </c>
    </row>
    <row r="368" spans="1:2" x14ac:dyDescent="0.2">
      <c r="A368" s="68">
        <v>45349</v>
      </c>
      <c r="B368" s="69">
        <v>0.90832000000000002</v>
      </c>
    </row>
    <row r="369" spans="1:2" x14ac:dyDescent="0.2">
      <c r="A369" s="68">
        <v>45348</v>
      </c>
      <c r="B369" s="69">
        <v>0.90844000000000003</v>
      </c>
    </row>
    <row r="370" spans="1:2" x14ac:dyDescent="0.2">
      <c r="A370" s="68">
        <v>45345</v>
      </c>
      <c r="B370" s="69">
        <v>0.90847999999999995</v>
      </c>
    </row>
    <row r="371" spans="1:2" x14ac:dyDescent="0.2">
      <c r="A371" s="68">
        <v>45344</v>
      </c>
      <c r="B371" s="69">
        <v>0.90817000000000003</v>
      </c>
    </row>
    <row r="372" spans="1:2" x14ac:dyDescent="0.2">
      <c r="A372" s="68">
        <v>45343</v>
      </c>
      <c r="B372" s="69">
        <v>0.90825999999999996</v>
      </c>
    </row>
    <row r="373" spans="1:2" x14ac:dyDescent="0.2">
      <c r="A373" s="68">
        <v>45342</v>
      </c>
      <c r="B373" s="69">
        <v>0.90861999999999998</v>
      </c>
    </row>
    <row r="374" spans="1:2" x14ac:dyDescent="0.2">
      <c r="A374" s="68">
        <v>45341</v>
      </c>
      <c r="B374" s="69">
        <v>0.90819000000000005</v>
      </c>
    </row>
    <row r="375" spans="1:2" x14ac:dyDescent="0.2">
      <c r="A375" s="68">
        <v>45331</v>
      </c>
      <c r="B375" s="69">
        <v>0.90819000000000005</v>
      </c>
    </row>
    <row r="376" spans="1:2" x14ac:dyDescent="0.2">
      <c r="A376" s="68">
        <v>45330</v>
      </c>
      <c r="B376" s="69">
        <v>0.90878999999999999</v>
      </c>
    </row>
    <row r="377" spans="1:2" x14ac:dyDescent="0.2">
      <c r="A377" s="68">
        <v>45329</v>
      </c>
      <c r="B377" s="69">
        <v>0.90842999999999996</v>
      </c>
    </row>
    <row r="378" spans="1:2" x14ac:dyDescent="0.2">
      <c r="A378" s="68">
        <v>45328</v>
      </c>
      <c r="B378" s="69">
        <v>0.90864</v>
      </c>
    </row>
    <row r="379" spans="1:2" x14ac:dyDescent="0.2">
      <c r="A379" s="68">
        <v>45327</v>
      </c>
      <c r="B379" s="69">
        <v>0.90854999999999997</v>
      </c>
    </row>
    <row r="380" spans="1:2" x14ac:dyDescent="0.2">
      <c r="A380" s="68">
        <v>45324</v>
      </c>
      <c r="B380" s="69">
        <v>0.90805000000000002</v>
      </c>
    </row>
    <row r="381" spans="1:2" x14ac:dyDescent="0.2">
      <c r="A381" s="68">
        <v>45323</v>
      </c>
      <c r="B381" s="69">
        <v>0.90878999999999999</v>
      </c>
    </row>
    <row r="382" spans="1:2" x14ac:dyDescent="0.2">
      <c r="A382" s="68">
        <v>45322</v>
      </c>
      <c r="B382" s="69">
        <v>0.90878000000000003</v>
      </c>
    </row>
    <row r="383" spans="1:2" x14ac:dyDescent="0.2">
      <c r="A383" s="68">
        <v>45321</v>
      </c>
      <c r="B383" s="69">
        <v>0.90949999999999998</v>
      </c>
    </row>
    <row r="384" spans="1:2" x14ac:dyDescent="0.2">
      <c r="A384" s="68">
        <v>45320</v>
      </c>
      <c r="B384" s="69">
        <v>0.90973000000000004</v>
      </c>
    </row>
    <row r="385" spans="1:2" x14ac:dyDescent="0.2">
      <c r="A385" s="68">
        <v>45317</v>
      </c>
      <c r="B385" s="69">
        <v>0.90908999999999995</v>
      </c>
    </row>
    <row r="386" spans="1:2" x14ac:dyDescent="0.2">
      <c r="A386" s="68">
        <v>45316</v>
      </c>
      <c r="B386" s="69">
        <v>0.90866000000000002</v>
      </c>
    </row>
    <row r="387" spans="1:2" x14ac:dyDescent="0.2">
      <c r="A387" s="68">
        <v>45315</v>
      </c>
      <c r="B387" s="69">
        <v>0.90839000000000003</v>
      </c>
    </row>
    <row r="388" spans="1:2" x14ac:dyDescent="0.2">
      <c r="A388" s="68">
        <v>45314</v>
      </c>
      <c r="B388" s="69">
        <v>0.90966999999999998</v>
      </c>
    </row>
    <row r="389" spans="1:2" x14ac:dyDescent="0.2">
      <c r="A389" s="68">
        <v>45313</v>
      </c>
      <c r="B389" s="69">
        <v>0.90947</v>
      </c>
    </row>
    <row r="390" spans="1:2" x14ac:dyDescent="0.2">
      <c r="A390" s="68">
        <v>45310</v>
      </c>
      <c r="B390" s="69">
        <v>0.91005999999999998</v>
      </c>
    </row>
    <row r="391" spans="1:2" x14ac:dyDescent="0.2">
      <c r="A391" s="68">
        <v>45309</v>
      </c>
      <c r="B391" s="69">
        <v>0.91020999999999996</v>
      </c>
    </row>
    <row r="392" spans="1:2" x14ac:dyDescent="0.2">
      <c r="A392" s="68">
        <v>45308</v>
      </c>
      <c r="B392" s="69">
        <v>0.90954000000000002</v>
      </c>
    </row>
    <row r="393" spans="1:2" x14ac:dyDescent="0.2">
      <c r="A393" s="68">
        <v>45307</v>
      </c>
      <c r="B393" s="69">
        <v>0.90934000000000004</v>
      </c>
    </row>
    <row r="394" spans="1:2" x14ac:dyDescent="0.2">
      <c r="A394" s="68">
        <v>45306</v>
      </c>
      <c r="B394" s="69">
        <v>0.90900000000000003</v>
      </c>
    </row>
    <row r="395" spans="1:2" x14ac:dyDescent="0.2">
      <c r="A395" s="68">
        <v>45303</v>
      </c>
      <c r="B395" s="69">
        <v>0.90893999999999997</v>
      </c>
    </row>
    <row r="396" spans="1:2" x14ac:dyDescent="0.2">
      <c r="A396" s="68">
        <v>45302</v>
      </c>
      <c r="B396" s="69">
        <v>0.90937000000000001</v>
      </c>
    </row>
    <row r="397" spans="1:2" x14ac:dyDescent="0.2">
      <c r="A397" s="68">
        <v>45301</v>
      </c>
      <c r="B397" s="69">
        <v>0.90896999999999994</v>
      </c>
    </row>
    <row r="398" spans="1:2" x14ac:dyDescent="0.2">
      <c r="A398" s="68">
        <v>45300</v>
      </c>
      <c r="B398" s="69">
        <v>0.90934000000000004</v>
      </c>
    </row>
    <row r="399" spans="1:2" x14ac:dyDescent="0.2">
      <c r="A399" s="68">
        <v>45299</v>
      </c>
      <c r="B399" s="69">
        <v>0.90913999999999995</v>
      </c>
    </row>
    <row r="400" spans="1:2" x14ac:dyDescent="0.2">
      <c r="A400" s="68">
        <v>45296</v>
      </c>
      <c r="B400" s="69">
        <v>0.90939000000000003</v>
      </c>
    </row>
    <row r="401" spans="1:2" x14ac:dyDescent="0.2">
      <c r="A401" s="68">
        <v>45295</v>
      </c>
      <c r="B401" s="69">
        <v>0.90946000000000005</v>
      </c>
    </row>
    <row r="402" spans="1:2" x14ac:dyDescent="0.2">
      <c r="A402" s="68">
        <v>45294</v>
      </c>
      <c r="B402" s="69">
        <v>0.90864</v>
      </c>
    </row>
    <row r="403" spans="1:2" x14ac:dyDescent="0.2">
      <c r="A403" s="68">
        <v>45293</v>
      </c>
      <c r="B403" s="69">
        <v>0.90564</v>
      </c>
    </row>
    <row r="404" spans="1:2" x14ac:dyDescent="0.2">
      <c r="A404" s="68">
        <v>45289</v>
      </c>
      <c r="B404" s="69">
        <v>0.90622000000000003</v>
      </c>
    </row>
    <row r="405" spans="1:2" x14ac:dyDescent="0.2">
      <c r="A405" s="68">
        <v>45288</v>
      </c>
      <c r="B405" s="69">
        <v>0.90861000000000003</v>
      </c>
    </row>
    <row r="406" spans="1:2" x14ac:dyDescent="0.2">
      <c r="A406" s="68">
        <v>45287</v>
      </c>
      <c r="B406" s="69">
        <v>0.90900999999999998</v>
      </c>
    </row>
    <row r="407" spans="1:2" x14ac:dyDescent="0.2">
      <c r="A407" s="68">
        <v>45286</v>
      </c>
      <c r="B407" s="69">
        <v>0.90859000000000001</v>
      </c>
    </row>
    <row r="408" spans="1:2" x14ac:dyDescent="0.2">
      <c r="A408" s="68">
        <v>45285</v>
      </c>
      <c r="B408" s="69">
        <v>0.90847</v>
      </c>
    </row>
    <row r="409" spans="1:2" x14ac:dyDescent="0.2">
      <c r="A409" s="68">
        <v>45282</v>
      </c>
      <c r="B409" s="69">
        <v>0.90861999999999998</v>
      </c>
    </row>
    <row r="410" spans="1:2" x14ac:dyDescent="0.2">
      <c r="A410" s="68">
        <v>45281</v>
      </c>
      <c r="B410" s="69">
        <v>0.90983999999999998</v>
      </c>
    </row>
    <row r="411" spans="1:2" x14ac:dyDescent="0.2">
      <c r="A411" s="68">
        <v>45280</v>
      </c>
      <c r="B411" s="69">
        <v>0.90998999999999997</v>
      </c>
    </row>
    <row r="412" spans="1:2" x14ac:dyDescent="0.2">
      <c r="A412" s="68">
        <v>45279</v>
      </c>
      <c r="B412" s="69">
        <v>0.91068000000000005</v>
      </c>
    </row>
    <row r="413" spans="1:2" x14ac:dyDescent="0.2">
      <c r="A413" s="68">
        <v>45278</v>
      </c>
      <c r="B413" s="69">
        <v>0.90920000000000001</v>
      </c>
    </row>
    <row r="414" spans="1:2" x14ac:dyDescent="0.2">
      <c r="A414" s="68">
        <v>45275</v>
      </c>
      <c r="B414" s="69">
        <v>0.90898000000000001</v>
      </c>
    </row>
    <row r="415" spans="1:2" x14ac:dyDescent="0.2">
      <c r="A415" s="68">
        <v>45274</v>
      </c>
      <c r="B415" s="69">
        <v>0.91064000000000001</v>
      </c>
    </row>
    <row r="416" spans="1:2" x14ac:dyDescent="0.2">
      <c r="A416" s="68">
        <v>45273</v>
      </c>
      <c r="B416" s="69">
        <v>0.91086999999999996</v>
      </c>
    </row>
    <row r="417" spans="1:2" x14ac:dyDescent="0.2">
      <c r="A417" s="68">
        <v>45272</v>
      </c>
      <c r="B417" s="69">
        <v>0.91181999999999996</v>
      </c>
    </row>
    <row r="418" spans="1:2" x14ac:dyDescent="0.2">
      <c r="A418" s="68">
        <v>45271</v>
      </c>
      <c r="B418" s="69">
        <v>0.91098999999999997</v>
      </c>
    </row>
    <row r="419" spans="1:2" x14ac:dyDescent="0.2">
      <c r="A419" s="68">
        <v>45268</v>
      </c>
      <c r="B419" s="69">
        <v>0.91044999999999998</v>
      </c>
    </row>
    <row r="420" spans="1:2" x14ac:dyDescent="0.2">
      <c r="A420" s="68">
        <v>45267</v>
      </c>
      <c r="B420" s="69">
        <v>0.91137999999999997</v>
      </c>
    </row>
    <row r="421" spans="1:2" x14ac:dyDescent="0.2">
      <c r="A421" s="68">
        <v>45266</v>
      </c>
      <c r="B421" s="69">
        <v>0.90993000000000002</v>
      </c>
    </row>
    <row r="422" spans="1:2" x14ac:dyDescent="0.2">
      <c r="A422" s="68">
        <v>45265</v>
      </c>
      <c r="B422" s="69">
        <v>0.91015999999999997</v>
      </c>
    </row>
    <row r="423" spans="1:2" x14ac:dyDescent="0.2">
      <c r="A423" s="68">
        <v>45264</v>
      </c>
      <c r="B423" s="69">
        <v>0.90881999999999996</v>
      </c>
    </row>
    <row r="424" spans="1:2" x14ac:dyDescent="0.2">
      <c r="A424" s="68">
        <v>45261</v>
      </c>
      <c r="B424" s="69">
        <v>0.91022000000000003</v>
      </c>
    </row>
    <row r="425" spans="1:2" x14ac:dyDescent="0.2">
      <c r="A425" s="68">
        <v>45260</v>
      </c>
      <c r="B425" s="69">
        <v>0.90978999999999999</v>
      </c>
    </row>
    <row r="426" spans="1:2" x14ac:dyDescent="0.2">
      <c r="A426" s="68">
        <v>45259</v>
      </c>
      <c r="B426" s="69">
        <v>0.91129000000000004</v>
      </c>
    </row>
    <row r="427" spans="1:2" x14ac:dyDescent="0.2">
      <c r="A427" s="68">
        <v>45258</v>
      </c>
      <c r="B427" s="69">
        <v>0.91313999999999995</v>
      </c>
    </row>
    <row r="428" spans="1:2" x14ac:dyDescent="0.2">
      <c r="A428" s="68">
        <v>45257</v>
      </c>
      <c r="B428" s="69">
        <v>0.91349999999999998</v>
      </c>
    </row>
    <row r="429" spans="1:2" x14ac:dyDescent="0.2">
      <c r="A429" s="68">
        <v>45254</v>
      </c>
      <c r="B429" s="69">
        <v>0.91237000000000001</v>
      </c>
    </row>
    <row r="430" spans="1:2" x14ac:dyDescent="0.2">
      <c r="A430" s="68">
        <v>45253</v>
      </c>
      <c r="B430" s="69">
        <v>0.91329000000000005</v>
      </c>
    </row>
    <row r="431" spans="1:2" x14ac:dyDescent="0.2">
      <c r="A431" s="68">
        <v>45252</v>
      </c>
      <c r="B431" s="69">
        <v>0.91410999999999998</v>
      </c>
    </row>
    <row r="432" spans="1:2" x14ac:dyDescent="0.2">
      <c r="A432" s="68">
        <v>45251</v>
      </c>
      <c r="B432" s="69">
        <v>0.91629000000000005</v>
      </c>
    </row>
    <row r="433" spans="1:2" x14ac:dyDescent="0.2">
      <c r="A433" s="68">
        <v>45250</v>
      </c>
      <c r="B433" s="69">
        <v>0.91847999999999996</v>
      </c>
    </row>
    <row r="434" spans="1:2" x14ac:dyDescent="0.2">
      <c r="A434" s="68">
        <v>45247</v>
      </c>
      <c r="B434" s="69">
        <v>0.91988000000000003</v>
      </c>
    </row>
    <row r="435" spans="1:2" x14ac:dyDescent="0.2">
      <c r="A435" s="68">
        <v>45246</v>
      </c>
      <c r="B435" s="69">
        <v>0.91866000000000003</v>
      </c>
    </row>
    <row r="436" spans="1:2" x14ac:dyDescent="0.2">
      <c r="A436" s="68">
        <v>45245</v>
      </c>
      <c r="B436" s="69">
        <v>0.91925999999999997</v>
      </c>
    </row>
    <row r="437" spans="1:2" x14ac:dyDescent="0.2">
      <c r="A437" s="68">
        <v>45244</v>
      </c>
      <c r="B437" s="69">
        <v>0.91901999999999995</v>
      </c>
    </row>
    <row r="438" spans="1:2" x14ac:dyDescent="0.2">
      <c r="A438" s="68">
        <v>45243</v>
      </c>
      <c r="B438" s="69">
        <v>0.91881999999999997</v>
      </c>
    </row>
    <row r="439" spans="1:2" x14ac:dyDescent="0.2">
      <c r="A439" s="68">
        <v>45240</v>
      </c>
      <c r="B439" s="69">
        <v>0.91927999999999999</v>
      </c>
    </row>
    <row r="440" spans="1:2" x14ac:dyDescent="0.2">
      <c r="A440" s="68">
        <v>45239</v>
      </c>
      <c r="B440" s="69">
        <v>0.91835</v>
      </c>
    </row>
    <row r="441" spans="1:2" x14ac:dyDescent="0.2">
      <c r="A441" s="68">
        <v>45238</v>
      </c>
      <c r="B441" s="69">
        <v>0.91793000000000002</v>
      </c>
    </row>
    <row r="442" spans="1:2" x14ac:dyDescent="0.2">
      <c r="A442" s="68">
        <v>45237</v>
      </c>
      <c r="B442" s="69">
        <v>0.91766000000000003</v>
      </c>
    </row>
    <row r="443" spans="1:2" x14ac:dyDescent="0.2">
      <c r="A443" s="68">
        <v>45236</v>
      </c>
      <c r="B443" s="69">
        <v>0.91752999999999996</v>
      </c>
    </row>
    <row r="444" spans="1:2" x14ac:dyDescent="0.2">
      <c r="A444" s="68">
        <v>45233</v>
      </c>
      <c r="B444" s="69">
        <v>0.91746000000000005</v>
      </c>
    </row>
    <row r="445" spans="1:2" x14ac:dyDescent="0.2">
      <c r="A445" s="68">
        <v>45232</v>
      </c>
      <c r="B445" s="69">
        <v>0.91783000000000003</v>
      </c>
    </row>
    <row r="446" spans="1:2" x14ac:dyDescent="0.2">
      <c r="A446" s="68">
        <v>45231</v>
      </c>
      <c r="B446" s="69">
        <v>0.91727000000000003</v>
      </c>
    </row>
    <row r="447" spans="1:2" x14ac:dyDescent="0.2">
      <c r="A447" s="68">
        <v>45230</v>
      </c>
      <c r="B447" s="69">
        <v>0.91783000000000003</v>
      </c>
    </row>
    <row r="448" spans="1:2" x14ac:dyDescent="0.2">
      <c r="A448" s="68">
        <v>45229</v>
      </c>
      <c r="B448" s="69">
        <v>0.91769000000000001</v>
      </c>
    </row>
    <row r="449" spans="1:2" x14ac:dyDescent="0.2">
      <c r="A449" s="68">
        <v>45226</v>
      </c>
      <c r="B449" s="69">
        <v>0.91781999999999997</v>
      </c>
    </row>
    <row r="450" spans="1:2" x14ac:dyDescent="0.2">
      <c r="A450" s="68">
        <v>45225</v>
      </c>
      <c r="B450" s="69">
        <v>0.91759999999999997</v>
      </c>
    </row>
    <row r="451" spans="1:2" x14ac:dyDescent="0.2">
      <c r="A451" s="68">
        <v>45224</v>
      </c>
      <c r="B451" s="69">
        <v>0.91757</v>
      </c>
    </row>
    <row r="452" spans="1:2" x14ac:dyDescent="0.2">
      <c r="A452" s="68">
        <v>45223</v>
      </c>
      <c r="B452" s="69">
        <v>0.91739000000000004</v>
      </c>
    </row>
    <row r="453" spans="1:2" x14ac:dyDescent="0.2">
      <c r="A453" s="68">
        <v>45222</v>
      </c>
      <c r="B453" s="69">
        <v>0.91739000000000004</v>
      </c>
    </row>
    <row r="454" spans="1:2" x14ac:dyDescent="0.2">
      <c r="A454" s="68">
        <v>45219</v>
      </c>
      <c r="B454" s="69">
        <v>0.91786000000000001</v>
      </c>
    </row>
    <row r="455" spans="1:2" x14ac:dyDescent="0.2">
      <c r="A455" s="68">
        <v>45218</v>
      </c>
      <c r="B455" s="69">
        <v>0.91720999999999997</v>
      </c>
    </row>
    <row r="456" spans="1:2" x14ac:dyDescent="0.2">
      <c r="A456" s="68">
        <v>45217</v>
      </c>
      <c r="B456" s="69">
        <v>0.91764000000000001</v>
      </c>
    </row>
    <row r="457" spans="1:2" x14ac:dyDescent="0.2">
      <c r="A457" s="68">
        <v>45216</v>
      </c>
      <c r="B457" s="69">
        <v>0.91851000000000005</v>
      </c>
    </row>
    <row r="458" spans="1:2" x14ac:dyDescent="0.2">
      <c r="A458" s="68">
        <v>45215</v>
      </c>
      <c r="B458" s="69">
        <v>0.91769999999999996</v>
      </c>
    </row>
    <row r="459" spans="1:2" x14ac:dyDescent="0.2">
      <c r="A459" s="68">
        <v>45212</v>
      </c>
      <c r="B459" s="69">
        <v>0.91747000000000001</v>
      </c>
    </row>
    <row r="460" spans="1:2" x14ac:dyDescent="0.2">
      <c r="A460" s="68">
        <v>45211</v>
      </c>
      <c r="B460" s="69">
        <v>0.91757999999999995</v>
      </c>
    </row>
    <row r="461" spans="1:2" x14ac:dyDescent="0.2">
      <c r="A461" s="68">
        <v>45210</v>
      </c>
      <c r="B461" s="69">
        <v>0.91798000000000002</v>
      </c>
    </row>
    <row r="462" spans="1:2" x14ac:dyDescent="0.2">
      <c r="A462" s="68">
        <v>45209</v>
      </c>
      <c r="B462" s="69">
        <v>0.91678999999999999</v>
      </c>
    </row>
    <row r="463" spans="1:2" x14ac:dyDescent="0.2">
      <c r="A463" s="68">
        <v>45208</v>
      </c>
      <c r="B463" s="69">
        <v>0.91654000000000002</v>
      </c>
    </row>
    <row r="464" spans="1:2" x14ac:dyDescent="0.2">
      <c r="A464" s="68">
        <v>45197</v>
      </c>
      <c r="B464" s="69">
        <v>0.91762999999999995</v>
      </c>
    </row>
    <row r="465" spans="1:2" x14ac:dyDescent="0.2">
      <c r="A465" s="68">
        <v>45196</v>
      </c>
      <c r="B465" s="69">
        <v>0.91705000000000003</v>
      </c>
    </row>
    <row r="466" spans="1:2" x14ac:dyDescent="0.2">
      <c r="A466" s="68">
        <v>45195</v>
      </c>
      <c r="B466" s="69">
        <v>0.91766999999999999</v>
      </c>
    </row>
    <row r="467" spans="1:2" x14ac:dyDescent="0.2">
      <c r="A467" s="68">
        <v>45194</v>
      </c>
      <c r="B467" s="69">
        <v>0.91754999999999998</v>
      </c>
    </row>
    <row r="468" spans="1:2" x14ac:dyDescent="0.2">
      <c r="A468" s="68">
        <v>45191</v>
      </c>
      <c r="B468" s="69">
        <v>0.91752999999999996</v>
      </c>
    </row>
    <row r="469" spans="1:2" x14ac:dyDescent="0.2">
      <c r="A469" s="68">
        <v>45190</v>
      </c>
      <c r="B469" s="69">
        <v>0.91693000000000002</v>
      </c>
    </row>
    <row r="470" spans="1:2" x14ac:dyDescent="0.2">
      <c r="A470" s="68">
        <v>45189</v>
      </c>
      <c r="B470" s="69">
        <v>0.91715000000000002</v>
      </c>
    </row>
    <row r="471" spans="1:2" x14ac:dyDescent="0.2">
      <c r="A471" s="68">
        <v>45188</v>
      </c>
      <c r="B471" s="69">
        <v>0.91778000000000004</v>
      </c>
    </row>
    <row r="472" spans="1:2" x14ac:dyDescent="0.2">
      <c r="A472" s="68">
        <v>45187</v>
      </c>
      <c r="B472" s="69">
        <v>0.91662999999999994</v>
      </c>
    </row>
    <row r="473" spans="1:2" x14ac:dyDescent="0.2">
      <c r="A473" s="68">
        <v>45184</v>
      </c>
      <c r="B473" s="69">
        <v>0.91705999999999999</v>
      </c>
    </row>
    <row r="474" spans="1:2" x14ac:dyDescent="0.2">
      <c r="A474" s="68">
        <v>45183</v>
      </c>
      <c r="B474" s="69">
        <v>0.91807000000000005</v>
      </c>
    </row>
    <row r="475" spans="1:2" x14ac:dyDescent="0.2">
      <c r="A475" s="68">
        <v>45182</v>
      </c>
      <c r="B475" s="69">
        <v>0.91859000000000002</v>
      </c>
    </row>
    <row r="476" spans="1:2" x14ac:dyDescent="0.2">
      <c r="A476" s="68">
        <v>45181</v>
      </c>
      <c r="B476" s="69">
        <v>0.91893999999999998</v>
      </c>
    </row>
    <row r="477" spans="1:2" x14ac:dyDescent="0.2">
      <c r="A477" s="68">
        <v>45180</v>
      </c>
      <c r="B477" s="69">
        <v>0.92015999999999998</v>
      </c>
    </row>
    <row r="478" spans="1:2" x14ac:dyDescent="0.2">
      <c r="A478" s="68">
        <v>45177</v>
      </c>
      <c r="B478" s="69">
        <v>0.92064000000000001</v>
      </c>
    </row>
    <row r="479" spans="1:2" x14ac:dyDescent="0.2">
      <c r="A479" s="68">
        <v>45176</v>
      </c>
      <c r="B479" s="69">
        <v>0.91788000000000003</v>
      </c>
    </row>
    <row r="480" spans="1:2" x14ac:dyDescent="0.2">
      <c r="A480" s="68">
        <v>45175</v>
      </c>
      <c r="B480" s="69">
        <v>0.91776999999999997</v>
      </c>
    </row>
    <row r="481" spans="1:2" x14ac:dyDescent="0.2">
      <c r="A481" s="68">
        <v>45174</v>
      </c>
      <c r="B481" s="69">
        <v>0.91593999999999998</v>
      </c>
    </row>
    <row r="482" spans="1:2" x14ac:dyDescent="0.2">
      <c r="A482" s="68">
        <v>45173</v>
      </c>
      <c r="B482" s="69">
        <v>0.91493000000000002</v>
      </c>
    </row>
    <row r="483" spans="1:2" x14ac:dyDescent="0.2">
      <c r="A483" s="68">
        <v>45170</v>
      </c>
      <c r="B483" s="69">
        <v>0.91551000000000005</v>
      </c>
    </row>
    <row r="484" spans="1:2" x14ac:dyDescent="0.2">
      <c r="A484" s="68">
        <v>45169</v>
      </c>
      <c r="B484" s="69">
        <v>0.91537999999999997</v>
      </c>
    </row>
    <row r="485" spans="1:2" x14ac:dyDescent="0.2">
      <c r="A485" s="68">
        <v>45168</v>
      </c>
      <c r="B485" s="69">
        <v>0.91522999999999999</v>
      </c>
    </row>
    <row r="486" spans="1:2" x14ac:dyDescent="0.2">
      <c r="A486" s="68">
        <v>45167</v>
      </c>
      <c r="B486" s="69">
        <v>0.91574999999999995</v>
      </c>
    </row>
    <row r="487" spans="1:2" x14ac:dyDescent="0.2">
      <c r="A487" s="68">
        <v>45166</v>
      </c>
      <c r="B487" s="69">
        <v>0.91603000000000001</v>
      </c>
    </row>
    <row r="488" spans="1:2" x14ac:dyDescent="0.2">
      <c r="A488" s="68">
        <v>45163</v>
      </c>
      <c r="B488" s="69">
        <v>0.91652999999999996</v>
      </c>
    </row>
    <row r="489" spans="1:2" x14ac:dyDescent="0.2">
      <c r="A489" s="68">
        <v>45162</v>
      </c>
      <c r="B489" s="69">
        <v>0.91696999999999995</v>
      </c>
    </row>
    <row r="490" spans="1:2" x14ac:dyDescent="0.2">
      <c r="A490" s="68">
        <v>45161</v>
      </c>
      <c r="B490" s="69">
        <v>0.91840999999999995</v>
      </c>
    </row>
    <row r="491" spans="1:2" x14ac:dyDescent="0.2">
      <c r="A491" s="68">
        <v>45160</v>
      </c>
      <c r="B491" s="69">
        <v>0.91842999999999997</v>
      </c>
    </row>
    <row r="492" spans="1:2" x14ac:dyDescent="0.2">
      <c r="A492" s="68">
        <v>45159</v>
      </c>
      <c r="B492" s="69">
        <v>0.91910999999999998</v>
      </c>
    </row>
    <row r="493" spans="1:2" x14ac:dyDescent="0.2">
      <c r="A493" s="68">
        <v>45156</v>
      </c>
      <c r="B493" s="69">
        <v>0.91991000000000001</v>
      </c>
    </row>
    <row r="494" spans="1:2" x14ac:dyDescent="0.2">
      <c r="A494" s="68">
        <v>45155</v>
      </c>
      <c r="B494" s="69">
        <v>0.92035</v>
      </c>
    </row>
    <row r="495" spans="1:2" x14ac:dyDescent="0.2">
      <c r="A495" s="68">
        <v>45154</v>
      </c>
      <c r="B495" s="69">
        <v>0.92007000000000005</v>
      </c>
    </row>
    <row r="496" spans="1:2" x14ac:dyDescent="0.2">
      <c r="A496" s="68">
        <v>45153</v>
      </c>
      <c r="B496" s="69">
        <v>0.91764999999999997</v>
      </c>
    </row>
    <row r="497" spans="1:2" x14ac:dyDescent="0.2">
      <c r="A497" s="68">
        <v>45152</v>
      </c>
      <c r="B497" s="69">
        <v>0.91700999999999999</v>
      </c>
    </row>
    <row r="498" spans="1:2" x14ac:dyDescent="0.2">
      <c r="A498" s="68">
        <v>45149</v>
      </c>
      <c r="B498" s="69">
        <v>0.91551000000000005</v>
      </c>
    </row>
    <row r="499" spans="1:2" x14ac:dyDescent="0.2">
      <c r="A499" s="68">
        <v>45148</v>
      </c>
      <c r="B499" s="69">
        <v>0.91535</v>
      </c>
    </row>
    <row r="500" spans="1:2" x14ac:dyDescent="0.2">
      <c r="A500" s="68">
        <v>45147</v>
      </c>
      <c r="B500" s="69">
        <v>0.91613</v>
      </c>
    </row>
    <row r="501" spans="1:2" x14ac:dyDescent="0.2">
      <c r="A501" s="68">
        <v>45146</v>
      </c>
      <c r="B501" s="69">
        <v>0.91662999999999994</v>
      </c>
    </row>
    <row r="502" spans="1:2" x14ac:dyDescent="0.2">
      <c r="A502" s="68">
        <v>45145</v>
      </c>
      <c r="B502" s="69">
        <v>0.91388000000000003</v>
      </c>
    </row>
    <row r="503" spans="1:2" x14ac:dyDescent="0.2">
      <c r="A503" s="68">
        <v>45142</v>
      </c>
      <c r="B503" s="69">
        <v>0.91468000000000005</v>
      </c>
    </row>
    <row r="504" spans="1:2" x14ac:dyDescent="0.2">
      <c r="A504" s="68">
        <v>45141</v>
      </c>
      <c r="B504" s="69">
        <v>0.91617999999999999</v>
      </c>
    </row>
    <row r="505" spans="1:2" x14ac:dyDescent="0.2">
      <c r="A505" s="68">
        <v>45140</v>
      </c>
      <c r="B505" s="69">
        <v>0.91563000000000005</v>
      </c>
    </row>
    <row r="506" spans="1:2" x14ac:dyDescent="0.2">
      <c r="A506" s="68">
        <v>45139</v>
      </c>
      <c r="B506" s="69">
        <v>0.91400000000000003</v>
      </c>
    </row>
    <row r="507" spans="1:2" x14ac:dyDescent="0.2">
      <c r="A507" s="68">
        <v>45138</v>
      </c>
      <c r="B507" s="69">
        <v>0.91437000000000002</v>
      </c>
    </row>
    <row r="508" spans="1:2" x14ac:dyDescent="0.2">
      <c r="A508" s="68">
        <v>45135</v>
      </c>
      <c r="B508" s="69">
        <v>0.91430999999999996</v>
      </c>
    </row>
    <row r="509" spans="1:2" x14ac:dyDescent="0.2">
      <c r="A509" s="68">
        <v>45134</v>
      </c>
      <c r="B509" s="69">
        <v>0.91400999999999999</v>
      </c>
    </row>
    <row r="510" spans="1:2" x14ac:dyDescent="0.2">
      <c r="A510" s="68">
        <v>45133</v>
      </c>
      <c r="B510" s="69">
        <v>0.91291999999999995</v>
      </c>
    </row>
    <row r="511" spans="1:2" x14ac:dyDescent="0.2">
      <c r="A511" s="68">
        <v>45132</v>
      </c>
      <c r="B511" s="69">
        <v>0.91393000000000002</v>
      </c>
    </row>
    <row r="512" spans="1:2" x14ac:dyDescent="0.2">
      <c r="A512" s="68">
        <v>45131</v>
      </c>
      <c r="B512" s="69">
        <v>0.91400000000000003</v>
      </c>
    </row>
    <row r="513" spans="1:2" x14ac:dyDescent="0.2">
      <c r="A513" s="68">
        <v>45128</v>
      </c>
      <c r="B513" s="69">
        <v>0.91447000000000001</v>
      </c>
    </row>
    <row r="514" spans="1:2" x14ac:dyDescent="0.2">
      <c r="A514" s="68">
        <v>45127</v>
      </c>
      <c r="B514" s="69">
        <v>0.91515999999999997</v>
      </c>
    </row>
    <row r="515" spans="1:2" x14ac:dyDescent="0.2">
      <c r="A515" s="68">
        <v>45126</v>
      </c>
      <c r="B515" s="69">
        <v>0.91490000000000005</v>
      </c>
    </row>
    <row r="516" spans="1:2" x14ac:dyDescent="0.2">
      <c r="A516" s="68">
        <v>45125</v>
      </c>
      <c r="B516" s="69">
        <v>0.91435999999999995</v>
      </c>
    </row>
    <row r="517" spans="1:2" x14ac:dyDescent="0.2">
      <c r="A517" s="68">
        <v>45124</v>
      </c>
      <c r="B517" s="69">
        <v>0.91273000000000004</v>
      </c>
    </row>
    <row r="518" spans="1:2" x14ac:dyDescent="0.2">
      <c r="A518" s="68">
        <v>45121</v>
      </c>
      <c r="B518" s="69">
        <v>0.91191</v>
      </c>
    </row>
    <row r="519" spans="1:2" x14ac:dyDescent="0.2">
      <c r="A519" s="68">
        <v>45120</v>
      </c>
      <c r="B519" s="69">
        <v>0.91398000000000001</v>
      </c>
    </row>
    <row r="520" spans="1:2" x14ac:dyDescent="0.2">
      <c r="A520" s="68">
        <v>45119</v>
      </c>
      <c r="B520" s="69">
        <v>0.91664999999999996</v>
      </c>
    </row>
    <row r="521" spans="1:2" x14ac:dyDescent="0.2">
      <c r="A521" s="68">
        <v>45118</v>
      </c>
      <c r="B521" s="69">
        <v>0.91803000000000001</v>
      </c>
    </row>
    <row r="522" spans="1:2" x14ac:dyDescent="0.2">
      <c r="A522" s="68">
        <v>45117</v>
      </c>
      <c r="B522" s="69">
        <v>0.91857</v>
      </c>
    </row>
    <row r="523" spans="1:2" x14ac:dyDescent="0.2">
      <c r="A523" s="68">
        <v>45114</v>
      </c>
      <c r="B523" s="69">
        <v>0.92095000000000005</v>
      </c>
    </row>
    <row r="524" spans="1:2" x14ac:dyDescent="0.2">
      <c r="A524" s="68">
        <v>45113</v>
      </c>
      <c r="B524" s="69">
        <v>0.92208000000000001</v>
      </c>
    </row>
    <row r="525" spans="1:2" x14ac:dyDescent="0.2">
      <c r="A525" s="68">
        <v>45112</v>
      </c>
      <c r="B525" s="69">
        <v>0.91908999999999996</v>
      </c>
    </row>
    <row r="526" spans="1:2" x14ac:dyDescent="0.2">
      <c r="A526" s="68">
        <v>45111</v>
      </c>
      <c r="B526" s="69">
        <v>0.91973000000000005</v>
      </c>
    </row>
    <row r="527" spans="1:2" x14ac:dyDescent="0.2">
      <c r="A527" s="68">
        <v>45110</v>
      </c>
      <c r="B527" s="69">
        <v>0.92064999999999997</v>
      </c>
    </row>
    <row r="528" spans="1:2" x14ac:dyDescent="0.2">
      <c r="A528" s="68">
        <v>45107</v>
      </c>
      <c r="B528" s="69">
        <v>0.92198000000000002</v>
      </c>
    </row>
    <row r="529" spans="1:2" x14ac:dyDescent="0.2">
      <c r="A529" s="68">
        <v>45106</v>
      </c>
      <c r="B529" s="69">
        <v>0.92183000000000004</v>
      </c>
    </row>
    <row r="530" spans="1:2" x14ac:dyDescent="0.2">
      <c r="A530" s="68">
        <v>45105</v>
      </c>
      <c r="B530" s="69">
        <v>0.92054999999999998</v>
      </c>
    </row>
    <row r="531" spans="1:2" x14ac:dyDescent="0.2">
      <c r="A531" s="68">
        <v>45104</v>
      </c>
      <c r="B531" s="69">
        <v>0.92047999999999996</v>
      </c>
    </row>
    <row r="532" spans="1:2" x14ac:dyDescent="0.2">
      <c r="A532" s="68">
        <v>45103</v>
      </c>
      <c r="B532" s="69">
        <v>0.92013</v>
      </c>
    </row>
    <row r="533" spans="1:2" x14ac:dyDescent="0.2">
      <c r="A533" s="68">
        <v>45098</v>
      </c>
      <c r="B533" s="69">
        <v>0.91751000000000005</v>
      </c>
    </row>
    <row r="534" spans="1:2" x14ac:dyDescent="0.2">
      <c r="A534" s="68">
        <v>45097</v>
      </c>
      <c r="B534" s="69">
        <v>0.91610000000000003</v>
      </c>
    </row>
    <row r="535" spans="1:2" x14ac:dyDescent="0.2">
      <c r="A535" s="68">
        <v>45096</v>
      </c>
      <c r="B535" s="69">
        <v>0.91020000000000001</v>
      </c>
    </row>
    <row r="536" spans="1:2" x14ac:dyDescent="0.2">
      <c r="A536" s="68">
        <v>45093</v>
      </c>
      <c r="B536" s="69">
        <v>0.91174999999999995</v>
      </c>
    </row>
    <row r="537" spans="1:2" x14ac:dyDescent="0.2">
      <c r="A537" s="68">
        <v>45092</v>
      </c>
      <c r="B537" s="69">
        <v>0.91313</v>
      </c>
    </row>
    <row r="538" spans="1:2" x14ac:dyDescent="0.2">
      <c r="A538" s="68">
        <v>45091</v>
      </c>
      <c r="B538" s="69">
        <v>0.91374999999999995</v>
      </c>
    </row>
    <row r="539" spans="1:2" x14ac:dyDescent="0.2">
      <c r="A539" s="68">
        <v>45090</v>
      </c>
      <c r="B539" s="69">
        <v>0.91256000000000004</v>
      </c>
    </row>
    <row r="540" spans="1:2" x14ac:dyDescent="0.2">
      <c r="A540" s="68">
        <v>45089</v>
      </c>
      <c r="B540" s="69">
        <v>0.90864</v>
      </c>
    </row>
    <row r="541" spans="1:2" x14ac:dyDescent="0.2">
      <c r="A541" s="68">
        <v>45086</v>
      </c>
      <c r="B541" s="69">
        <v>0.90763000000000005</v>
      </c>
    </row>
    <row r="542" spans="1:2" x14ac:dyDescent="0.2">
      <c r="A542" s="68">
        <v>45085</v>
      </c>
      <c r="B542" s="69">
        <v>0.90905999999999998</v>
      </c>
    </row>
    <row r="543" spans="1:2" x14ac:dyDescent="0.2">
      <c r="A543" s="68">
        <v>45084</v>
      </c>
      <c r="B543" s="69">
        <v>0.90769999999999995</v>
      </c>
    </row>
    <row r="544" spans="1:2" x14ac:dyDescent="0.2">
      <c r="A544" s="68">
        <v>45083</v>
      </c>
      <c r="B544" s="69">
        <v>0.90681</v>
      </c>
    </row>
    <row r="545" spans="1:2" x14ac:dyDescent="0.2">
      <c r="A545" s="68">
        <v>45082</v>
      </c>
      <c r="B545" s="69">
        <v>0.90449000000000002</v>
      </c>
    </row>
    <row r="546" spans="1:2" x14ac:dyDescent="0.2">
      <c r="A546" s="68">
        <v>45079</v>
      </c>
      <c r="B546" s="69">
        <v>0.90583999999999998</v>
      </c>
    </row>
    <row r="547" spans="1:2" x14ac:dyDescent="0.2">
      <c r="A547" s="68">
        <v>45078</v>
      </c>
      <c r="B547" s="69">
        <v>0.90624000000000005</v>
      </c>
    </row>
    <row r="548" spans="1:2" x14ac:dyDescent="0.2">
      <c r="A548" s="68">
        <v>45077</v>
      </c>
      <c r="B548" s="69">
        <v>0.90371999999999997</v>
      </c>
    </row>
    <row r="549" spans="1:2" x14ac:dyDescent="0.2">
      <c r="A549" s="68">
        <v>45076</v>
      </c>
      <c r="B549" s="69">
        <v>0.90468999999999999</v>
      </c>
    </row>
    <row r="550" spans="1:2" x14ac:dyDescent="0.2">
      <c r="A550" s="68">
        <v>45075</v>
      </c>
      <c r="B550" s="69">
        <v>0.90088999999999997</v>
      </c>
    </row>
    <row r="551" spans="1:2" x14ac:dyDescent="0.2">
      <c r="A551" s="68">
        <v>45072</v>
      </c>
      <c r="B551" s="69">
        <v>0.90314000000000005</v>
      </c>
    </row>
    <row r="552" spans="1:2" x14ac:dyDescent="0.2">
      <c r="A552" s="68">
        <v>45071</v>
      </c>
      <c r="B552" s="69">
        <v>0.90090999999999999</v>
      </c>
    </row>
    <row r="553" spans="1:2" x14ac:dyDescent="0.2">
      <c r="A553" s="68">
        <v>45070</v>
      </c>
      <c r="B553" s="69">
        <v>0.90059999999999996</v>
      </c>
    </row>
    <row r="554" spans="1:2" x14ac:dyDescent="0.2">
      <c r="A554" s="68">
        <v>45069</v>
      </c>
      <c r="B554" s="69">
        <v>0.89842</v>
      </c>
    </row>
    <row r="555" spans="1:2" x14ac:dyDescent="0.2">
      <c r="A555" s="68">
        <v>45068</v>
      </c>
      <c r="B555" s="69">
        <v>0.89705999999999997</v>
      </c>
    </row>
    <row r="556" spans="1:2" x14ac:dyDescent="0.2">
      <c r="A556" s="68">
        <v>45065</v>
      </c>
      <c r="B556" s="69">
        <v>0.89961000000000002</v>
      </c>
    </row>
    <row r="557" spans="1:2" x14ac:dyDescent="0.2">
      <c r="A557" s="68">
        <v>45064</v>
      </c>
      <c r="B557" s="69">
        <v>0.89376</v>
      </c>
    </row>
    <row r="558" spans="1:2" x14ac:dyDescent="0.2">
      <c r="A558" s="68">
        <v>45063</v>
      </c>
      <c r="B558" s="69">
        <v>0.88985000000000003</v>
      </c>
    </row>
    <row r="559" spans="1:2" x14ac:dyDescent="0.2">
      <c r="A559" s="68">
        <v>45062</v>
      </c>
      <c r="B559" s="69">
        <v>0.88690999999999998</v>
      </c>
    </row>
    <row r="560" spans="1:2" x14ac:dyDescent="0.2">
      <c r="A560" s="68">
        <v>45061</v>
      </c>
      <c r="B560" s="69">
        <v>0.88800999999999997</v>
      </c>
    </row>
    <row r="561" spans="1:2" x14ac:dyDescent="0.2">
      <c r="A561" s="68">
        <v>45058</v>
      </c>
      <c r="B561" s="69">
        <v>0.88632</v>
      </c>
    </row>
    <row r="562" spans="1:2" x14ac:dyDescent="0.2">
      <c r="A562" s="68">
        <v>45057</v>
      </c>
      <c r="B562" s="69">
        <v>0.88288999999999995</v>
      </c>
    </row>
    <row r="563" spans="1:2" x14ac:dyDescent="0.2">
      <c r="A563" s="68">
        <v>45056</v>
      </c>
      <c r="B563" s="69">
        <v>0.8841</v>
      </c>
    </row>
    <row r="564" spans="1:2" x14ac:dyDescent="0.2">
      <c r="A564" s="68">
        <v>45055</v>
      </c>
      <c r="B564" s="69">
        <v>0.88234000000000001</v>
      </c>
    </row>
    <row r="565" spans="1:2" x14ac:dyDescent="0.2">
      <c r="A565" s="68">
        <v>45054</v>
      </c>
      <c r="B565" s="69">
        <v>0.88117999999999996</v>
      </c>
    </row>
    <row r="566" spans="1:2" x14ac:dyDescent="0.2">
      <c r="A566" s="68">
        <v>45051</v>
      </c>
      <c r="B566" s="69">
        <v>0.88058999999999998</v>
      </c>
    </row>
    <row r="567" spans="1:2" x14ac:dyDescent="0.2">
      <c r="A567" s="68">
        <v>45050</v>
      </c>
      <c r="B567" s="69">
        <v>0.87977000000000005</v>
      </c>
    </row>
    <row r="568" spans="1:2" x14ac:dyDescent="0.2">
      <c r="A568" s="68">
        <v>45044</v>
      </c>
      <c r="B568" s="69">
        <v>0.88205999999999996</v>
      </c>
    </row>
    <row r="569" spans="1:2" x14ac:dyDescent="0.2">
      <c r="A569" s="68">
        <v>45043</v>
      </c>
      <c r="B569" s="69">
        <v>0.88166</v>
      </c>
    </row>
    <row r="570" spans="1:2" x14ac:dyDescent="0.2">
      <c r="A570" s="68">
        <v>45042</v>
      </c>
      <c r="B570" s="69">
        <v>0.88205999999999996</v>
      </c>
    </row>
    <row r="571" spans="1:2" x14ac:dyDescent="0.2">
      <c r="A571" s="68">
        <v>45041</v>
      </c>
      <c r="B571" s="69">
        <v>0.87714999999999999</v>
      </c>
    </row>
    <row r="572" spans="1:2" x14ac:dyDescent="0.2">
      <c r="A572" s="68">
        <v>45040</v>
      </c>
      <c r="B572" s="69">
        <v>0.87719000000000003</v>
      </c>
    </row>
    <row r="573" spans="1:2" x14ac:dyDescent="0.2">
      <c r="A573" s="68">
        <v>45037</v>
      </c>
      <c r="B573" s="69">
        <v>0.87609000000000004</v>
      </c>
    </row>
    <row r="574" spans="1:2" x14ac:dyDescent="0.2">
      <c r="A574" s="68">
        <v>45036</v>
      </c>
      <c r="B574" s="69">
        <v>0.87895000000000001</v>
      </c>
    </row>
    <row r="575" spans="1:2" x14ac:dyDescent="0.2">
      <c r="A575" s="68">
        <v>45035</v>
      </c>
      <c r="B575" s="69">
        <v>0.87575999999999998</v>
      </c>
    </row>
    <row r="576" spans="1:2" x14ac:dyDescent="0.2">
      <c r="A576" s="68">
        <v>45034</v>
      </c>
      <c r="B576" s="69">
        <v>0.87665000000000004</v>
      </c>
    </row>
    <row r="577" spans="1:2" x14ac:dyDescent="0.2">
      <c r="A577" s="68">
        <v>45033</v>
      </c>
      <c r="B577" s="69">
        <v>0.87492000000000003</v>
      </c>
    </row>
    <row r="578" spans="1:2" x14ac:dyDescent="0.2">
      <c r="A578" s="68">
        <v>45030</v>
      </c>
      <c r="B578" s="69">
        <v>0.87399000000000004</v>
      </c>
    </row>
    <row r="579" spans="1:2" x14ac:dyDescent="0.2">
      <c r="A579" s="68">
        <v>45029</v>
      </c>
      <c r="B579" s="69">
        <v>0.87488999999999995</v>
      </c>
    </row>
    <row r="580" spans="1:2" x14ac:dyDescent="0.2">
      <c r="A580" s="68">
        <v>45028</v>
      </c>
      <c r="B580" s="69">
        <v>0.87714000000000003</v>
      </c>
    </row>
    <row r="581" spans="1:2" x14ac:dyDescent="0.2">
      <c r="A581" s="68">
        <v>45027</v>
      </c>
      <c r="B581" s="69">
        <v>0.87753000000000003</v>
      </c>
    </row>
    <row r="582" spans="1:2" x14ac:dyDescent="0.2">
      <c r="A582" s="68">
        <v>45026</v>
      </c>
      <c r="B582" s="69">
        <v>0.87599000000000005</v>
      </c>
    </row>
    <row r="583" spans="1:2" x14ac:dyDescent="0.2">
      <c r="A583" s="68">
        <v>45023</v>
      </c>
      <c r="B583" s="69">
        <v>0.87692999999999999</v>
      </c>
    </row>
    <row r="584" spans="1:2" x14ac:dyDescent="0.2">
      <c r="A584" s="68">
        <v>45022</v>
      </c>
      <c r="B584" s="69">
        <v>0.87578</v>
      </c>
    </row>
    <row r="585" spans="1:2" x14ac:dyDescent="0.2">
      <c r="A585" s="68">
        <v>45020</v>
      </c>
      <c r="B585" s="69">
        <v>0.87534000000000001</v>
      </c>
    </row>
    <row r="586" spans="1:2" x14ac:dyDescent="0.2">
      <c r="A586" s="68">
        <v>45019</v>
      </c>
      <c r="B586" s="69">
        <v>0.87651999999999997</v>
      </c>
    </row>
    <row r="587" spans="1:2" x14ac:dyDescent="0.2">
      <c r="A587" s="68">
        <v>45016</v>
      </c>
      <c r="B587" s="69">
        <v>0.87541000000000002</v>
      </c>
    </row>
    <row r="588" spans="1:2" x14ac:dyDescent="0.2">
      <c r="A588" s="68">
        <v>45015</v>
      </c>
      <c r="B588" s="69">
        <v>0.87758000000000003</v>
      </c>
    </row>
    <row r="589" spans="1:2" x14ac:dyDescent="0.2">
      <c r="A589" s="68">
        <v>45014</v>
      </c>
      <c r="B589" s="69">
        <v>0.87609999999999999</v>
      </c>
    </row>
    <row r="590" spans="1:2" x14ac:dyDescent="0.2">
      <c r="A590" s="68">
        <v>45013</v>
      </c>
      <c r="B590" s="69">
        <v>0.87580000000000002</v>
      </c>
    </row>
    <row r="591" spans="1:2" x14ac:dyDescent="0.2">
      <c r="A591" s="68">
        <v>45012</v>
      </c>
      <c r="B591" s="69">
        <v>0.87539999999999996</v>
      </c>
    </row>
    <row r="592" spans="1:2" x14ac:dyDescent="0.2">
      <c r="A592" s="68">
        <v>45009</v>
      </c>
      <c r="B592" s="69">
        <v>0.87107000000000001</v>
      </c>
    </row>
    <row r="593" spans="1:2" x14ac:dyDescent="0.2">
      <c r="A593" s="68">
        <v>45008</v>
      </c>
      <c r="B593" s="69">
        <v>0.87553999999999998</v>
      </c>
    </row>
    <row r="594" spans="1:2" x14ac:dyDescent="0.2">
      <c r="A594" s="68">
        <v>45007</v>
      </c>
      <c r="B594" s="69">
        <v>0.87561999999999995</v>
      </c>
    </row>
    <row r="595" spans="1:2" x14ac:dyDescent="0.2">
      <c r="A595" s="68">
        <v>45006</v>
      </c>
      <c r="B595" s="69">
        <v>0.87721000000000005</v>
      </c>
    </row>
    <row r="596" spans="1:2" x14ac:dyDescent="0.2">
      <c r="A596" s="68">
        <v>45005</v>
      </c>
      <c r="B596" s="69">
        <v>0.87522999999999995</v>
      </c>
    </row>
    <row r="597" spans="1:2" x14ac:dyDescent="0.2">
      <c r="A597" s="68">
        <v>45002</v>
      </c>
      <c r="B597" s="69">
        <v>0.87968999999999997</v>
      </c>
    </row>
    <row r="598" spans="1:2" x14ac:dyDescent="0.2">
      <c r="A598" s="68">
        <v>45001</v>
      </c>
      <c r="B598" s="69">
        <v>0.88107000000000002</v>
      </c>
    </row>
    <row r="599" spans="1:2" x14ac:dyDescent="0.2">
      <c r="A599" s="68">
        <v>45000</v>
      </c>
      <c r="B599" s="69">
        <v>0.87502000000000002</v>
      </c>
    </row>
    <row r="600" spans="1:2" x14ac:dyDescent="0.2">
      <c r="A600" s="68">
        <v>44999</v>
      </c>
      <c r="B600" s="69">
        <v>0.87961999999999996</v>
      </c>
    </row>
    <row r="601" spans="1:2" x14ac:dyDescent="0.2">
      <c r="A601" s="68">
        <v>44998</v>
      </c>
      <c r="B601" s="69">
        <v>0.88392000000000004</v>
      </c>
    </row>
    <row r="602" spans="1:2" x14ac:dyDescent="0.2">
      <c r="A602" s="68">
        <v>44995</v>
      </c>
      <c r="B602" s="69">
        <v>0.88736000000000004</v>
      </c>
    </row>
    <row r="603" spans="1:2" x14ac:dyDescent="0.2">
      <c r="A603" s="68">
        <v>44994</v>
      </c>
      <c r="B603" s="69">
        <v>0.88751000000000002</v>
      </c>
    </row>
    <row r="604" spans="1:2" x14ac:dyDescent="0.2">
      <c r="A604" s="68">
        <v>44993</v>
      </c>
      <c r="B604" s="69">
        <v>0.88568999999999998</v>
      </c>
    </row>
    <row r="605" spans="1:2" x14ac:dyDescent="0.2">
      <c r="A605" s="68">
        <v>44992</v>
      </c>
      <c r="B605" s="69">
        <v>0.88102000000000003</v>
      </c>
    </row>
    <row r="606" spans="1:2" x14ac:dyDescent="0.2">
      <c r="A606" s="68">
        <v>44991</v>
      </c>
      <c r="B606" s="69">
        <v>0.87836999999999998</v>
      </c>
    </row>
    <row r="607" spans="1:2" x14ac:dyDescent="0.2">
      <c r="A607" s="68">
        <v>44988</v>
      </c>
      <c r="B607" s="69">
        <v>0.88051000000000001</v>
      </c>
    </row>
    <row r="608" spans="1:2" x14ac:dyDescent="0.2">
      <c r="A608" s="68">
        <v>44987</v>
      </c>
      <c r="B608" s="69">
        <v>0.87661999999999995</v>
      </c>
    </row>
    <row r="609" spans="1:2" x14ac:dyDescent="0.2">
      <c r="A609" s="68">
        <v>44986</v>
      </c>
      <c r="B609" s="69">
        <v>0.88415999999999995</v>
      </c>
    </row>
    <row r="610" spans="1:2" x14ac:dyDescent="0.2">
      <c r="A610" s="68">
        <v>44985</v>
      </c>
      <c r="B610" s="69">
        <v>0.88604000000000005</v>
      </c>
    </row>
    <row r="611" spans="1:2" x14ac:dyDescent="0.2">
      <c r="A611" s="68">
        <v>44984</v>
      </c>
      <c r="B611" s="69">
        <v>0.88646999999999998</v>
      </c>
    </row>
    <row r="612" spans="1:2" x14ac:dyDescent="0.2">
      <c r="A612" s="68">
        <v>44981</v>
      </c>
      <c r="B612" s="69">
        <v>0.87861999999999996</v>
      </c>
    </row>
    <row r="613" spans="1:2" x14ac:dyDescent="0.2">
      <c r="A613" s="68">
        <v>44980</v>
      </c>
      <c r="B613" s="69">
        <v>0.88002000000000002</v>
      </c>
    </row>
    <row r="614" spans="1:2" x14ac:dyDescent="0.2">
      <c r="A614" s="68">
        <v>44979</v>
      </c>
      <c r="B614" s="69">
        <v>0.87670000000000003</v>
      </c>
    </row>
    <row r="615" spans="1:2" x14ac:dyDescent="0.2">
      <c r="A615" s="68">
        <v>44978</v>
      </c>
      <c r="B615" s="69">
        <v>0.87458999999999998</v>
      </c>
    </row>
    <row r="616" spans="1:2" x14ac:dyDescent="0.2">
      <c r="A616" s="68">
        <v>44977</v>
      </c>
      <c r="B616" s="69">
        <v>0.87534999999999996</v>
      </c>
    </row>
    <row r="617" spans="1:2" x14ac:dyDescent="0.2">
      <c r="A617" s="68">
        <v>44974</v>
      </c>
      <c r="B617" s="69">
        <v>0.87473999999999996</v>
      </c>
    </row>
    <row r="618" spans="1:2" x14ac:dyDescent="0.2">
      <c r="A618" s="68">
        <v>44973</v>
      </c>
      <c r="B618" s="69">
        <v>0.87314999999999998</v>
      </c>
    </row>
    <row r="619" spans="1:2" x14ac:dyDescent="0.2">
      <c r="A619" s="68">
        <v>44972</v>
      </c>
      <c r="B619" s="69">
        <v>0.86904000000000003</v>
      </c>
    </row>
    <row r="620" spans="1:2" x14ac:dyDescent="0.2">
      <c r="A620" s="68">
        <v>44971</v>
      </c>
      <c r="B620" s="69">
        <v>0.86799000000000004</v>
      </c>
    </row>
    <row r="621" spans="1:2" x14ac:dyDescent="0.2">
      <c r="A621" s="68">
        <v>44970</v>
      </c>
      <c r="B621" s="69">
        <v>0.86819000000000002</v>
      </c>
    </row>
    <row r="622" spans="1:2" x14ac:dyDescent="0.2">
      <c r="A622" s="68">
        <v>44967</v>
      </c>
      <c r="B622" s="69">
        <v>0.86478999999999995</v>
      </c>
    </row>
    <row r="623" spans="1:2" x14ac:dyDescent="0.2">
      <c r="A623" s="68">
        <v>44966</v>
      </c>
      <c r="B623" s="69">
        <v>0.86516999999999999</v>
      </c>
    </row>
    <row r="624" spans="1:2" x14ac:dyDescent="0.2">
      <c r="A624" s="68">
        <v>44965</v>
      </c>
      <c r="B624" s="69">
        <v>0.86329</v>
      </c>
    </row>
    <row r="625" spans="1:2" x14ac:dyDescent="0.2">
      <c r="A625" s="68">
        <v>44964</v>
      </c>
      <c r="B625" s="69">
        <v>0.86611000000000005</v>
      </c>
    </row>
    <row r="626" spans="1:2" x14ac:dyDescent="0.2">
      <c r="A626" s="68">
        <v>44963</v>
      </c>
      <c r="B626" s="69">
        <v>0.86314000000000002</v>
      </c>
    </row>
    <row r="627" spans="1:2" x14ac:dyDescent="0.2">
      <c r="A627" s="68">
        <v>44960</v>
      </c>
      <c r="B627" s="69">
        <v>0.85904999999999998</v>
      </c>
    </row>
    <row r="628" spans="1:2" x14ac:dyDescent="0.2">
      <c r="A628" s="68">
        <v>44959</v>
      </c>
      <c r="B628" s="69">
        <v>0.85624</v>
      </c>
    </row>
    <row r="629" spans="1:2" x14ac:dyDescent="0.2">
      <c r="A629" s="68">
        <v>44958</v>
      </c>
      <c r="B629" s="69">
        <v>0.86084000000000005</v>
      </c>
    </row>
    <row r="630" spans="1:2" x14ac:dyDescent="0.2">
      <c r="A630" s="68">
        <v>44957</v>
      </c>
      <c r="B630" s="69">
        <v>0.86267000000000005</v>
      </c>
    </row>
    <row r="631" spans="1:2" x14ac:dyDescent="0.2">
      <c r="A631" s="68">
        <v>44956</v>
      </c>
      <c r="B631" s="69">
        <v>0.86368</v>
      </c>
    </row>
    <row r="632" spans="1:2" x14ac:dyDescent="0.2">
      <c r="A632" s="68">
        <v>44946</v>
      </c>
      <c r="B632" s="69">
        <v>0.86456</v>
      </c>
    </row>
    <row r="633" spans="1:2" x14ac:dyDescent="0.2">
      <c r="A633" s="68">
        <v>44945</v>
      </c>
      <c r="B633" s="69">
        <v>0.86487000000000003</v>
      </c>
    </row>
    <row r="634" spans="1:2" x14ac:dyDescent="0.2">
      <c r="A634" s="68">
        <v>44944</v>
      </c>
      <c r="B634" s="69">
        <v>0.86434</v>
      </c>
    </row>
    <row r="635" spans="1:2" x14ac:dyDescent="0.2">
      <c r="A635" s="68">
        <v>44943</v>
      </c>
      <c r="B635" s="69">
        <v>0.86063999999999996</v>
      </c>
    </row>
    <row r="636" spans="1:2" x14ac:dyDescent="0.2">
      <c r="A636" s="68">
        <v>44942</v>
      </c>
      <c r="B636" s="69">
        <v>0.85958000000000001</v>
      </c>
    </row>
    <row r="637" spans="1:2" x14ac:dyDescent="0.2">
      <c r="A637" s="68">
        <v>44939</v>
      </c>
      <c r="B637" s="69">
        <v>0.86170999999999998</v>
      </c>
    </row>
    <row r="638" spans="1:2" x14ac:dyDescent="0.2">
      <c r="A638" s="68">
        <v>44938</v>
      </c>
      <c r="B638" s="69">
        <v>0.86639999999999995</v>
      </c>
    </row>
    <row r="639" spans="1:2" x14ac:dyDescent="0.2">
      <c r="A639" s="68">
        <v>44937</v>
      </c>
      <c r="B639" s="69">
        <v>0.86751</v>
      </c>
    </row>
    <row r="640" spans="1:2" x14ac:dyDescent="0.2">
      <c r="A640" s="68">
        <v>44936</v>
      </c>
      <c r="B640" s="69">
        <v>0.86585000000000001</v>
      </c>
    </row>
    <row r="641" spans="1:2" x14ac:dyDescent="0.2">
      <c r="A641" s="68">
        <v>44935</v>
      </c>
      <c r="B641" s="69">
        <v>0.87431000000000003</v>
      </c>
    </row>
    <row r="642" spans="1:2" x14ac:dyDescent="0.2">
      <c r="A642" s="68">
        <v>44932</v>
      </c>
      <c r="B642" s="69">
        <v>0.88185999999999998</v>
      </c>
    </row>
    <row r="643" spans="1:2" x14ac:dyDescent="0.2">
      <c r="A643" s="68">
        <v>44931</v>
      </c>
      <c r="B643" s="69">
        <v>0.88171999999999995</v>
      </c>
    </row>
    <row r="644" spans="1:2" x14ac:dyDescent="0.2">
      <c r="A644" s="68">
        <v>44930</v>
      </c>
      <c r="B644" s="69">
        <v>0.88466999999999996</v>
      </c>
    </row>
    <row r="645" spans="1:2" x14ac:dyDescent="0.2">
      <c r="A645" s="68">
        <v>44929</v>
      </c>
      <c r="B645" s="69">
        <v>0.88990999999999998</v>
      </c>
    </row>
    <row r="646" spans="1:2" x14ac:dyDescent="0.2">
      <c r="A646" s="68">
        <v>44925</v>
      </c>
      <c r="B646" s="69">
        <v>0.89327000000000001</v>
      </c>
    </row>
    <row r="647" spans="1:2" x14ac:dyDescent="0.2">
      <c r="A647" s="68">
        <v>44924</v>
      </c>
      <c r="B647" s="69">
        <v>0.89573000000000003</v>
      </c>
    </row>
    <row r="648" spans="1:2" x14ac:dyDescent="0.2">
      <c r="A648" s="68">
        <v>44923</v>
      </c>
      <c r="B648" s="69">
        <v>0.89327999999999996</v>
      </c>
    </row>
    <row r="649" spans="1:2" x14ac:dyDescent="0.2">
      <c r="A649" s="68">
        <v>44922</v>
      </c>
      <c r="B649" s="69">
        <v>0.89139000000000002</v>
      </c>
    </row>
    <row r="650" spans="1:2" x14ac:dyDescent="0.2">
      <c r="A650" s="68">
        <v>44921</v>
      </c>
      <c r="B650" s="69">
        <v>0.89451000000000003</v>
      </c>
    </row>
    <row r="651" spans="1:2" x14ac:dyDescent="0.2">
      <c r="A651" s="68">
        <v>44918</v>
      </c>
      <c r="B651" s="69">
        <v>0.89546000000000003</v>
      </c>
    </row>
    <row r="652" spans="1:2" x14ac:dyDescent="0.2">
      <c r="A652" s="68">
        <v>44917</v>
      </c>
      <c r="B652" s="69">
        <v>0.89507999999999999</v>
      </c>
    </row>
    <row r="653" spans="1:2" x14ac:dyDescent="0.2">
      <c r="A653" s="68">
        <v>44916</v>
      </c>
      <c r="B653" s="69">
        <v>0.89424000000000003</v>
      </c>
    </row>
    <row r="654" spans="1:2" x14ac:dyDescent="0.2">
      <c r="A654" s="68">
        <v>44915</v>
      </c>
      <c r="B654" s="69">
        <v>0.89792000000000005</v>
      </c>
    </row>
    <row r="655" spans="1:2" x14ac:dyDescent="0.2">
      <c r="A655" s="68">
        <v>44914</v>
      </c>
      <c r="B655" s="69">
        <v>0.89573000000000003</v>
      </c>
    </row>
    <row r="656" spans="1:2" x14ac:dyDescent="0.2">
      <c r="A656" s="68">
        <v>44911</v>
      </c>
      <c r="B656" s="69">
        <v>0.89731000000000005</v>
      </c>
    </row>
    <row r="657" spans="1:2" x14ac:dyDescent="0.2">
      <c r="A657" s="68">
        <v>44910</v>
      </c>
      <c r="B657" s="69">
        <v>0.89168999999999998</v>
      </c>
    </row>
    <row r="658" spans="1:2" x14ac:dyDescent="0.2">
      <c r="A658" s="68">
        <v>44909</v>
      </c>
      <c r="B658" s="69">
        <v>0.89409000000000005</v>
      </c>
    </row>
    <row r="659" spans="1:2" x14ac:dyDescent="0.2">
      <c r="A659" s="68">
        <v>44908</v>
      </c>
      <c r="B659" s="69">
        <v>0.89714000000000005</v>
      </c>
    </row>
    <row r="660" spans="1:2" x14ac:dyDescent="0.2">
      <c r="A660" s="68">
        <v>44907</v>
      </c>
      <c r="B660" s="69">
        <v>0.89341000000000004</v>
      </c>
    </row>
    <row r="661" spans="1:2" x14ac:dyDescent="0.2">
      <c r="A661" s="68">
        <v>44904</v>
      </c>
      <c r="B661" s="69">
        <v>0.89381999999999995</v>
      </c>
    </row>
    <row r="662" spans="1:2" x14ac:dyDescent="0.2">
      <c r="A662" s="68">
        <v>44903</v>
      </c>
      <c r="B662" s="69">
        <v>0.89353000000000005</v>
      </c>
    </row>
    <row r="663" spans="1:2" x14ac:dyDescent="0.2">
      <c r="A663" s="68">
        <v>44902</v>
      </c>
      <c r="B663" s="69">
        <v>0.89934000000000003</v>
      </c>
    </row>
    <row r="664" spans="1:2" x14ac:dyDescent="0.2">
      <c r="A664" s="68">
        <v>44901</v>
      </c>
      <c r="B664" s="69">
        <v>0.89775000000000005</v>
      </c>
    </row>
    <row r="665" spans="1:2" x14ac:dyDescent="0.2">
      <c r="A665" s="68">
        <v>44900</v>
      </c>
      <c r="B665" s="69">
        <v>0.90452999999999995</v>
      </c>
    </row>
    <row r="666" spans="1:2" x14ac:dyDescent="0.2">
      <c r="A666" s="68">
        <v>44897</v>
      </c>
      <c r="B666" s="69">
        <v>0.90686999999999995</v>
      </c>
    </row>
    <row r="667" spans="1:2" x14ac:dyDescent="0.2">
      <c r="A667" s="68">
        <v>44896</v>
      </c>
      <c r="B667" s="69">
        <v>0.91303999999999996</v>
      </c>
    </row>
    <row r="668" spans="1:2" x14ac:dyDescent="0.2">
      <c r="A668" s="68">
        <v>44895</v>
      </c>
      <c r="B668" s="69">
        <v>0.91869000000000001</v>
      </c>
    </row>
    <row r="669" spans="1:2" x14ac:dyDescent="0.2">
      <c r="A669" s="68">
        <v>44894</v>
      </c>
      <c r="B669" s="69">
        <v>0.92115000000000002</v>
      </c>
    </row>
    <row r="670" spans="1:2" x14ac:dyDescent="0.2">
      <c r="A670" s="68">
        <v>44893</v>
      </c>
      <c r="B670" s="69">
        <v>0.91644000000000003</v>
      </c>
    </row>
    <row r="671" spans="1:2" x14ac:dyDescent="0.2">
      <c r="A671" s="68">
        <v>44890</v>
      </c>
      <c r="B671" s="69">
        <v>0.91325000000000001</v>
      </c>
    </row>
    <row r="672" spans="1:2" x14ac:dyDescent="0.2">
      <c r="A672" s="68">
        <v>44889</v>
      </c>
      <c r="B672" s="69">
        <v>0.91066000000000003</v>
      </c>
    </row>
    <row r="673" spans="1:2" x14ac:dyDescent="0.2">
      <c r="A673" s="68">
        <v>44888</v>
      </c>
      <c r="B673" s="69">
        <v>0.91181999999999996</v>
      </c>
    </row>
    <row r="674" spans="1:2" x14ac:dyDescent="0.2">
      <c r="A674" s="68">
        <v>44887</v>
      </c>
      <c r="B674" s="69">
        <v>0.91859000000000002</v>
      </c>
    </row>
    <row r="675" spans="1:2" x14ac:dyDescent="0.2">
      <c r="A675" s="68">
        <v>44886</v>
      </c>
      <c r="B675" s="69">
        <v>0.91108</v>
      </c>
    </row>
    <row r="676" spans="1:2" x14ac:dyDescent="0.2">
      <c r="A676" s="68">
        <v>44883</v>
      </c>
      <c r="B676" s="69">
        <v>0.90822999999999998</v>
      </c>
    </row>
    <row r="677" spans="1:2" x14ac:dyDescent="0.2">
      <c r="A677" s="68">
        <v>44882</v>
      </c>
      <c r="B677" s="69">
        <v>0.90322999999999998</v>
      </c>
    </row>
    <row r="678" spans="1:2" x14ac:dyDescent="0.2">
      <c r="A678" s="68">
        <v>44881</v>
      </c>
      <c r="B678" s="69">
        <v>0.89920999999999995</v>
      </c>
    </row>
    <row r="679" spans="1:2" x14ac:dyDescent="0.2">
      <c r="A679" s="68">
        <v>44880</v>
      </c>
      <c r="B679" s="69">
        <v>0.89861000000000002</v>
      </c>
    </row>
    <row r="680" spans="1:2" x14ac:dyDescent="0.2">
      <c r="A680" s="68">
        <v>44879</v>
      </c>
      <c r="B680" s="69">
        <v>0.90449000000000002</v>
      </c>
    </row>
    <row r="681" spans="1:2" x14ac:dyDescent="0.2">
      <c r="A681" s="68">
        <v>44876</v>
      </c>
      <c r="B681" s="69">
        <v>0.91698000000000002</v>
      </c>
    </row>
    <row r="682" spans="1:2" x14ac:dyDescent="0.2">
      <c r="A682" s="68">
        <v>44875</v>
      </c>
      <c r="B682" s="69">
        <v>0.92261000000000004</v>
      </c>
    </row>
    <row r="683" spans="1:2" x14ac:dyDescent="0.2">
      <c r="A683" s="68">
        <v>44874</v>
      </c>
      <c r="B683" s="69">
        <v>0.91969000000000001</v>
      </c>
    </row>
    <row r="684" spans="1:2" x14ac:dyDescent="0.2">
      <c r="A684" s="68">
        <v>44873</v>
      </c>
      <c r="B684" s="69">
        <v>0.91913</v>
      </c>
    </row>
    <row r="685" spans="1:2" x14ac:dyDescent="0.2">
      <c r="A685" s="68">
        <v>44872</v>
      </c>
      <c r="B685" s="69">
        <v>0.92096</v>
      </c>
    </row>
    <row r="686" spans="1:2" x14ac:dyDescent="0.2">
      <c r="A686" s="68">
        <v>44869</v>
      </c>
      <c r="B686" s="69">
        <v>0.92428999999999994</v>
      </c>
    </row>
    <row r="687" spans="1:2" x14ac:dyDescent="0.2">
      <c r="A687" s="68">
        <v>44868</v>
      </c>
      <c r="B687" s="69">
        <v>0.92323999999999995</v>
      </c>
    </row>
    <row r="688" spans="1:2" x14ac:dyDescent="0.2">
      <c r="A688" s="68">
        <v>44867</v>
      </c>
      <c r="B688" s="69">
        <v>0.91974</v>
      </c>
    </row>
    <row r="689" spans="1:2" x14ac:dyDescent="0.2">
      <c r="A689" s="68">
        <v>44866</v>
      </c>
      <c r="B689" s="69">
        <v>0.91827999999999999</v>
      </c>
    </row>
    <row r="690" spans="1:2" x14ac:dyDescent="0.2">
      <c r="A690" s="68">
        <v>44865</v>
      </c>
      <c r="B690" s="69">
        <v>0.91430999999999996</v>
      </c>
    </row>
    <row r="691" spans="1:2" x14ac:dyDescent="0.2">
      <c r="A691" s="68">
        <v>44862</v>
      </c>
      <c r="B691" s="69">
        <v>0.91342999999999996</v>
      </c>
    </row>
    <row r="692" spans="1:2" x14ac:dyDescent="0.2">
      <c r="A692" s="68">
        <v>44861</v>
      </c>
      <c r="B692" s="69">
        <v>0.91176000000000001</v>
      </c>
    </row>
    <row r="693" spans="1:2" x14ac:dyDescent="0.2">
      <c r="A693" s="68">
        <v>44860</v>
      </c>
      <c r="B693" s="69">
        <v>0.91261999999999999</v>
      </c>
    </row>
    <row r="694" spans="1:2" x14ac:dyDescent="0.2">
      <c r="A694" s="68">
        <v>44859</v>
      </c>
      <c r="B694" s="69">
        <v>0.91298999999999997</v>
      </c>
    </row>
    <row r="695" spans="1:2" x14ac:dyDescent="0.2">
      <c r="A695" s="68">
        <v>44858</v>
      </c>
      <c r="B695" s="69">
        <v>0.90744000000000002</v>
      </c>
    </row>
    <row r="696" spans="1:2" x14ac:dyDescent="0.2">
      <c r="A696" s="68">
        <v>44855</v>
      </c>
      <c r="B696" s="69">
        <v>0.90688999999999997</v>
      </c>
    </row>
    <row r="697" spans="1:2" x14ac:dyDescent="0.2">
      <c r="A697" s="68">
        <v>44854</v>
      </c>
      <c r="B697" s="69">
        <v>0.90688000000000002</v>
      </c>
    </row>
    <row r="698" spans="1:2" x14ac:dyDescent="0.2">
      <c r="A698" s="68">
        <v>44853</v>
      </c>
      <c r="B698" s="69">
        <v>0.90583000000000002</v>
      </c>
    </row>
    <row r="699" spans="1:2" x14ac:dyDescent="0.2">
      <c r="A699" s="68">
        <v>44852</v>
      </c>
      <c r="B699" s="69">
        <v>0.90559000000000001</v>
      </c>
    </row>
    <row r="700" spans="1:2" x14ac:dyDescent="0.2">
      <c r="A700" s="68">
        <v>44851</v>
      </c>
      <c r="B700" s="69">
        <v>0.90568000000000004</v>
      </c>
    </row>
    <row r="701" spans="1:2" x14ac:dyDescent="0.2">
      <c r="A701" s="68">
        <v>44848</v>
      </c>
      <c r="B701" s="69">
        <v>0.90559999999999996</v>
      </c>
    </row>
    <row r="702" spans="1:2" x14ac:dyDescent="0.2">
      <c r="A702" s="68">
        <v>44847</v>
      </c>
      <c r="B702" s="69">
        <v>0.90585000000000004</v>
      </c>
    </row>
    <row r="703" spans="1:2" x14ac:dyDescent="0.2">
      <c r="A703" s="68">
        <v>44846</v>
      </c>
      <c r="B703" s="69">
        <v>0.90578000000000003</v>
      </c>
    </row>
    <row r="704" spans="1:2" x14ac:dyDescent="0.2">
      <c r="A704" s="68">
        <v>44845</v>
      </c>
      <c r="B704" s="69">
        <v>0.90542</v>
      </c>
    </row>
    <row r="705" spans="1:2" x14ac:dyDescent="0.2">
      <c r="A705" s="68">
        <v>44844</v>
      </c>
      <c r="B705" s="69">
        <v>0.90437000000000001</v>
      </c>
    </row>
    <row r="706" spans="1:2" x14ac:dyDescent="0.2">
      <c r="A706" s="68">
        <v>44834</v>
      </c>
      <c r="B706" s="69">
        <v>0.90444000000000002</v>
      </c>
    </row>
    <row r="707" spans="1:2" x14ac:dyDescent="0.2">
      <c r="A707" s="68">
        <v>44833</v>
      </c>
      <c r="B707" s="69">
        <v>0.90578000000000003</v>
      </c>
    </row>
    <row r="708" spans="1:2" x14ac:dyDescent="0.2">
      <c r="A708" s="68">
        <v>44832</v>
      </c>
      <c r="B708" s="69">
        <v>0.90583999999999998</v>
      </c>
    </row>
    <row r="709" spans="1:2" x14ac:dyDescent="0.2">
      <c r="A709" s="68">
        <v>44831</v>
      </c>
      <c r="B709" s="69">
        <v>0.90093000000000001</v>
      </c>
    </row>
    <row r="710" spans="1:2" x14ac:dyDescent="0.2">
      <c r="A710" s="68">
        <v>44830</v>
      </c>
      <c r="B710" s="69">
        <v>0.89551000000000003</v>
      </c>
    </row>
    <row r="711" spans="1:2" x14ac:dyDescent="0.2">
      <c r="A711" s="68">
        <v>44827</v>
      </c>
      <c r="B711" s="69">
        <v>0.89080000000000004</v>
      </c>
    </row>
    <row r="712" spans="1:2" x14ac:dyDescent="0.2">
      <c r="A712" s="68">
        <v>44826</v>
      </c>
      <c r="B712" s="69">
        <v>0.88917000000000002</v>
      </c>
    </row>
    <row r="713" spans="1:2" x14ac:dyDescent="0.2">
      <c r="A713" s="68">
        <v>44825</v>
      </c>
      <c r="B713" s="69">
        <v>0.88585999999999998</v>
      </c>
    </row>
    <row r="714" spans="1:2" x14ac:dyDescent="0.2">
      <c r="A714" s="68">
        <v>44824</v>
      </c>
      <c r="B714" s="69">
        <v>0.88507000000000002</v>
      </c>
    </row>
    <row r="715" spans="1:2" x14ac:dyDescent="0.2">
      <c r="A715" s="68">
        <v>44823</v>
      </c>
      <c r="B715" s="69">
        <v>0.88412999999999997</v>
      </c>
    </row>
    <row r="716" spans="1:2" x14ac:dyDescent="0.2">
      <c r="A716" s="68">
        <v>44820</v>
      </c>
      <c r="B716" s="69">
        <v>0.88297000000000003</v>
      </c>
    </row>
    <row r="717" spans="1:2" x14ac:dyDescent="0.2">
      <c r="A717" s="68">
        <v>44819</v>
      </c>
      <c r="B717" s="69">
        <v>0.88048000000000004</v>
      </c>
    </row>
    <row r="718" spans="1:2" x14ac:dyDescent="0.2">
      <c r="A718" s="68">
        <v>44818</v>
      </c>
      <c r="B718" s="69">
        <v>0.88056000000000001</v>
      </c>
    </row>
    <row r="719" spans="1:2" x14ac:dyDescent="0.2">
      <c r="A719" s="68">
        <v>44817</v>
      </c>
      <c r="B719" s="69">
        <v>0.87819999999999998</v>
      </c>
    </row>
    <row r="720" spans="1:2" x14ac:dyDescent="0.2">
      <c r="A720" s="68">
        <v>44813</v>
      </c>
      <c r="B720" s="69">
        <v>0.88031000000000004</v>
      </c>
    </row>
    <row r="721" spans="1:2" x14ac:dyDescent="0.2">
      <c r="A721" s="68">
        <v>44812</v>
      </c>
      <c r="B721" s="69">
        <v>0.88092999999999999</v>
      </c>
    </row>
    <row r="722" spans="1:2" x14ac:dyDescent="0.2">
      <c r="A722" s="68">
        <v>44811</v>
      </c>
      <c r="B722" s="69">
        <v>0.88105</v>
      </c>
    </row>
    <row r="723" spans="1:2" x14ac:dyDescent="0.2">
      <c r="A723" s="68">
        <v>44810</v>
      </c>
      <c r="B723" s="69">
        <v>0.88029999999999997</v>
      </c>
    </row>
    <row r="724" spans="1:2" x14ac:dyDescent="0.2">
      <c r="A724" s="68">
        <v>44809</v>
      </c>
      <c r="B724" s="69">
        <v>0.87900999999999996</v>
      </c>
    </row>
    <row r="725" spans="1:2" x14ac:dyDescent="0.2">
      <c r="A725" s="68">
        <v>44806</v>
      </c>
      <c r="B725" s="69">
        <v>0.87812000000000001</v>
      </c>
    </row>
    <row r="726" spans="1:2" x14ac:dyDescent="0.2">
      <c r="A726" s="68">
        <v>44805</v>
      </c>
      <c r="B726" s="69">
        <v>0.87687000000000004</v>
      </c>
    </row>
    <row r="727" spans="1:2" x14ac:dyDescent="0.2">
      <c r="A727" s="68">
        <v>44804</v>
      </c>
      <c r="B727" s="69">
        <v>0.87787999999999999</v>
      </c>
    </row>
    <row r="728" spans="1:2" x14ac:dyDescent="0.2">
      <c r="A728" s="68">
        <v>44803</v>
      </c>
      <c r="B728" s="69">
        <v>0.87672000000000005</v>
      </c>
    </row>
    <row r="729" spans="1:2" x14ac:dyDescent="0.2">
      <c r="A729" s="68">
        <v>44802</v>
      </c>
      <c r="B729" s="69">
        <v>0.87541000000000002</v>
      </c>
    </row>
    <row r="730" spans="1:2" x14ac:dyDescent="0.2">
      <c r="A730" s="68">
        <v>44799</v>
      </c>
      <c r="B730" s="69">
        <v>0.87283999999999995</v>
      </c>
    </row>
    <row r="731" spans="1:2" x14ac:dyDescent="0.2">
      <c r="A731" s="68">
        <v>44798</v>
      </c>
      <c r="B731" s="69">
        <v>0.87355000000000005</v>
      </c>
    </row>
    <row r="732" spans="1:2" x14ac:dyDescent="0.2">
      <c r="A732" s="68">
        <v>44797</v>
      </c>
      <c r="B732" s="69">
        <v>0.87153000000000003</v>
      </c>
    </row>
    <row r="733" spans="1:2" x14ac:dyDescent="0.2">
      <c r="A733" s="68">
        <v>44796</v>
      </c>
      <c r="B733" s="69">
        <v>0.87326000000000004</v>
      </c>
    </row>
    <row r="734" spans="1:2" x14ac:dyDescent="0.2">
      <c r="A734" s="68">
        <v>44795</v>
      </c>
      <c r="B734" s="69">
        <v>0.86912999999999996</v>
      </c>
    </row>
    <row r="735" spans="1:2" x14ac:dyDescent="0.2">
      <c r="A735" s="68">
        <v>44792</v>
      </c>
      <c r="B735" s="69">
        <v>0.86765999999999999</v>
      </c>
    </row>
    <row r="736" spans="1:2" x14ac:dyDescent="0.2">
      <c r="A736" s="68">
        <v>44791</v>
      </c>
      <c r="B736" s="69">
        <v>0.86441000000000001</v>
      </c>
    </row>
    <row r="737" spans="1:2" x14ac:dyDescent="0.2">
      <c r="A737" s="68">
        <v>44790</v>
      </c>
      <c r="B737" s="69">
        <v>0.86563000000000001</v>
      </c>
    </row>
    <row r="738" spans="1:2" x14ac:dyDescent="0.2">
      <c r="A738" s="68">
        <v>44789</v>
      </c>
      <c r="B738" s="69">
        <v>0.86417999999999995</v>
      </c>
    </row>
    <row r="739" spans="1:2" x14ac:dyDescent="0.2">
      <c r="A739" s="68">
        <v>44788</v>
      </c>
      <c r="B739" s="69">
        <v>0.86024999999999996</v>
      </c>
    </row>
    <row r="740" spans="1:2" x14ac:dyDescent="0.2">
      <c r="A740" s="68">
        <v>44785</v>
      </c>
      <c r="B740" s="69">
        <v>0.85992000000000002</v>
      </c>
    </row>
    <row r="741" spans="1:2" x14ac:dyDescent="0.2">
      <c r="A741" s="68">
        <v>44784</v>
      </c>
      <c r="B741" s="69">
        <v>0.85790999999999995</v>
      </c>
    </row>
    <row r="742" spans="1:2" x14ac:dyDescent="0.2">
      <c r="A742" s="68">
        <v>44783</v>
      </c>
      <c r="B742" s="69">
        <v>0.86133000000000004</v>
      </c>
    </row>
    <row r="743" spans="1:2" x14ac:dyDescent="0.2">
      <c r="A743" s="68">
        <v>44782</v>
      </c>
      <c r="B743" s="69">
        <v>0.86095999999999995</v>
      </c>
    </row>
    <row r="744" spans="1:2" x14ac:dyDescent="0.2">
      <c r="A744" s="68">
        <v>44781</v>
      </c>
      <c r="B744" s="69">
        <v>0.86236999999999997</v>
      </c>
    </row>
    <row r="745" spans="1:2" x14ac:dyDescent="0.2">
      <c r="A745" s="68">
        <v>44778</v>
      </c>
      <c r="B745" s="69">
        <v>0.85868</v>
      </c>
    </row>
    <row r="746" spans="1:2" x14ac:dyDescent="0.2">
      <c r="A746" s="68">
        <v>44777</v>
      </c>
      <c r="B746" s="69">
        <v>0.86168</v>
      </c>
    </row>
    <row r="747" spans="1:2" x14ac:dyDescent="0.2">
      <c r="A747" s="68">
        <v>44776</v>
      </c>
      <c r="B747" s="69">
        <v>0.86387999999999998</v>
      </c>
    </row>
    <row r="748" spans="1:2" x14ac:dyDescent="0.2">
      <c r="A748" s="68">
        <v>44775</v>
      </c>
      <c r="B748" s="69">
        <v>0.85938999999999999</v>
      </c>
    </row>
    <row r="749" spans="1:2" x14ac:dyDescent="0.2">
      <c r="A749" s="68">
        <v>44774</v>
      </c>
      <c r="B749" s="69">
        <v>0.85948000000000002</v>
      </c>
    </row>
    <row r="750" spans="1:2" x14ac:dyDescent="0.2">
      <c r="A750" s="68">
        <v>44771</v>
      </c>
      <c r="B750" s="69">
        <v>0.85907999999999995</v>
      </c>
    </row>
    <row r="751" spans="1:2" x14ac:dyDescent="0.2">
      <c r="A751" s="68">
        <v>44770</v>
      </c>
      <c r="B751" s="69">
        <v>0.85880999999999996</v>
      </c>
    </row>
    <row r="752" spans="1:2" x14ac:dyDescent="0.2">
      <c r="A752" s="68">
        <v>44769</v>
      </c>
      <c r="B752" s="69">
        <v>0.8629</v>
      </c>
    </row>
    <row r="753" spans="1:2" x14ac:dyDescent="0.2">
      <c r="A753" s="68">
        <v>44768</v>
      </c>
      <c r="B753" s="69">
        <v>0.85972999999999999</v>
      </c>
    </row>
    <row r="754" spans="1:2" x14ac:dyDescent="0.2">
      <c r="A754" s="68">
        <v>44767</v>
      </c>
      <c r="B754" s="69">
        <v>0.86048999999999998</v>
      </c>
    </row>
    <row r="755" spans="1:2" x14ac:dyDescent="0.2">
      <c r="A755" s="68">
        <v>44764</v>
      </c>
      <c r="B755" s="69">
        <v>0.86029</v>
      </c>
    </row>
    <row r="756" spans="1:2" x14ac:dyDescent="0.2">
      <c r="A756" s="68">
        <v>44763</v>
      </c>
      <c r="B756" s="69">
        <v>0.86143999999999998</v>
      </c>
    </row>
    <row r="757" spans="1:2" x14ac:dyDescent="0.2">
      <c r="A757" s="68">
        <v>44762</v>
      </c>
      <c r="B757" s="69">
        <v>0.85943000000000003</v>
      </c>
    </row>
    <row r="758" spans="1:2" x14ac:dyDescent="0.2">
      <c r="A758" s="68">
        <v>44761</v>
      </c>
      <c r="B758" s="69">
        <v>0.85924999999999996</v>
      </c>
    </row>
    <row r="759" spans="1:2" x14ac:dyDescent="0.2">
      <c r="A759" s="68">
        <v>44760</v>
      </c>
      <c r="B759" s="69">
        <v>0.85919999999999996</v>
      </c>
    </row>
    <row r="760" spans="1:2" x14ac:dyDescent="0.2">
      <c r="A760" s="68">
        <v>44757</v>
      </c>
      <c r="B760" s="69">
        <v>0.85992999999999997</v>
      </c>
    </row>
    <row r="761" spans="1:2" x14ac:dyDescent="0.2">
      <c r="A761" s="68">
        <v>44756</v>
      </c>
      <c r="B761" s="69">
        <v>0.85694000000000004</v>
      </c>
    </row>
    <row r="762" spans="1:2" x14ac:dyDescent="0.2">
      <c r="A762" s="68">
        <v>44755</v>
      </c>
      <c r="B762" s="69">
        <v>0.85711000000000004</v>
      </c>
    </row>
    <row r="763" spans="1:2" x14ac:dyDescent="0.2">
      <c r="A763" s="68">
        <v>44754</v>
      </c>
      <c r="B763" s="69">
        <v>0.85718000000000005</v>
      </c>
    </row>
    <row r="764" spans="1:2" x14ac:dyDescent="0.2">
      <c r="A764" s="68">
        <v>44753</v>
      </c>
      <c r="B764" s="69">
        <v>0.85311000000000003</v>
      </c>
    </row>
    <row r="765" spans="1:2" x14ac:dyDescent="0.2">
      <c r="A765" s="68">
        <v>44750</v>
      </c>
      <c r="B765" s="69">
        <v>0.85494999999999999</v>
      </c>
    </row>
    <row r="766" spans="1:2" x14ac:dyDescent="0.2">
      <c r="A766" s="68">
        <v>44749</v>
      </c>
      <c r="B766" s="69">
        <v>0.85562000000000005</v>
      </c>
    </row>
    <row r="767" spans="1:2" x14ac:dyDescent="0.2">
      <c r="A767" s="68">
        <v>44748</v>
      </c>
      <c r="B767" s="69">
        <v>0.85694999999999999</v>
      </c>
    </row>
    <row r="768" spans="1:2" x14ac:dyDescent="0.2">
      <c r="A768" s="68">
        <v>44747</v>
      </c>
      <c r="B768" s="69">
        <v>0.85365999999999997</v>
      </c>
    </row>
    <row r="769" spans="1:2" x14ac:dyDescent="0.2">
      <c r="A769" s="68">
        <v>44746</v>
      </c>
      <c r="B769" s="69">
        <v>0.85468999999999995</v>
      </c>
    </row>
    <row r="770" spans="1:2" x14ac:dyDescent="0.2">
      <c r="A770" s="68">
        <v>44743</v>
      </c>
      <c r="B770" s="69">
        <v>0.85207999999999995</v>
      </c>
    </row>
    <row r="771" spans="1:2" x14ac:dyDescent="0.2">
      <c r="A771" s="68">
        <v>44742</v>
      </c>
      <c r="B771" s="69">
        <v>0.85519000000000001</v>
      </c>
    </row>
    <row r="772" spans="1:2" x14ac:dyDescent="0.2">
      <c r="A772" s="68">
        <v>44741</v>
      </c>
      <c r="B772" s="69">
        <v>0.85443000000000002</v>
      </c>
    </row>
    <row r="773" spans="1:2" x14ac:dyDescent="0.2">
      <c r="A773" s="68">
        <v>44740</v>
      </c>
      <c r="B773" s="69">
        <v>0.85304999999999997</v>
      </c>
    </row>
    <row r="774" spans="1:2" x14ac:dyDescent="0.2">
      <c r="A774" s="68">
        <v>44739</v>
      </c>
      <c r="B774" s="69">
        <v>0.85165999999999997</v>
      </c>
    </row>
    <row r="775" spans="1:2" x14ac:dyDescent="0.2">
      <c r="A775" s="68">
        <v>44736</v>
      </c>
      <c r="B775" s="69">
        <v>0.85353999999999997</v>
      </c>
    </row>
    <row r="776" spans="1:2" x14ac:dyDescent="0.2">
      <c r="A776" s="68">
        <v>44735</v>
      </c>
      <c r="B776" s="69">
        <v>0.85455999999999999</v>
      </c>
    </row>
    <row r="777" spans="1:2" x14ac:dyDescent="0.2">
      <c r="A777" s="68">
        <v>44734</v>
      </c>
      <c r="B777" s="69">
        <v>0.85489999999999999</v>
      </c>
    </row>
    <row r="778" spans="1:2" x14ac:dyDescent="0.2">
      <c r="A778" s="68">
        <v>44733</v>
      </c>
      <c r="B778" s="69">
        <v>0.85162000000000004</v>
      </c>
    </row>
    <row r="779" spans="1:2" x14ac:dyDescent="0.2">
      <c r="A779" s="68">
        <v>44732</v>
      </c>
      <c r="B779" s="69">
        <v>0.85504999999999998</v>
      </c>
    </row>
    <row r="780" spans="1:2" x14ac:dyDescent="0.2">
      <c r="A780" s="68">
        <v>44729</v>
      </c>
      <c r="B780" s="69">
        <v>0.85255000000000003</v>
      </c>
    </row>
    <row r="781" spans="1:2" x14ac:dyDescent="0.2">
      <c r="A781" s="68">
        <v>44728</v>
      </c>
      <c r="B781" s="69">
        <v>0.85485999999999995</v>
      </c>
    </row>
    <row r="782" spans="1:2" x14ac:dyDescent="0.2">
      <c r="A782" s="68">
        <v>44727</v>
      </c>
      <c r="B782" s="69">
        <v>0.86011000000000004</v>
      </c>
    </row>
    <row r="783" spans="1:2" x14ac:dyDescent="0.2">
      <c r="A783" s="68">
        <v>44726</v>
      </c>
      <c r="B783" s="69">
        <v>0.85965000000000003</v>
      </c>
    </row>
    <row r="784" spans="1:2" x14ac:dyDescent="0.2">
      <c r="A784" s="68">
        <v>44725</v>
      </c>
      <c r="B784" s="69">
        <v>0.85585</v>
      </c>
    </row>
    <row r="785" spans="1:2" x14ac:dyDescent="0.2">
      <c r="A785" s="68">
        <v>44722</v>
      </c>
      <c r="B785" s="69">
        <v>0.85355000000000003</v>
      </c>
    </row>
    <row r="786" spans="1:2" x14ac:dyDescent="0.2">
      <c r="A786" s="68">
        <v>44721</v>
      </c>
      <c r="B786" s="69">
        <v>0.85131999999999997</v>
      </c>
    </row>
    <row r="787" spans="1:2" x14ac:dyDescent="0.2">
      <c r="A787" s="68">
        <v>44720</v>
      </c>
      <c r="B787" s="69">
        <v>0.84926999999999997</v>
      </c>
    </row>
    <row r="788" spans="1:2" x14ac:dyDescent="0.2">
      <c r="A788" s="68">
        <v>44719</v>
      </c>
      <c r="B788" s="69">
        <v>0.84955999999999998</v>
      </c>
    </row>
    <row r="789" spans="1:2" x14ac:dyDescent="0.2">
      <c r="A789" s="68">
        <v>44718</v>
      </c>
      <c r="B789" s="69">
        <v>0.84997</v>
      </c>
    </row>
    <row r="790" spans="1:2" x14ac:dyDescent="0.2">
      <c r="A790" s="68">
        <v>44714</v>
      </c>
      <c r="B790" s="69">
        <v>0.85502</v>
      </c>
    </row>
    <row r="791" spans="1:2" x14ac:dyDescent="0.2">
      <c r="A791" s="68">
        <v>44713</v>
      </c>
      <c r="B791" s="69">
        <v>0.84945999999999999</v>
      </c>
    </row>
    <row r="792" spans="1:2" x14ac:dyDescent="0.2">
      <c r="A792" s="68">
        <v>44712</v>
      </c>
      <c r="B792" s="69">
        <v>0.84865000000000002</v>
      </c>
    </row>
    <row r="793" spans="1:2" x14ac:dyDescent="0.2">
      <c r="A793" s="68">
        <v>44711</v>
      </c>
      <c r="B793" s="69">
        <v>0.85419999999999996</v>
      </c>
    </row>
    <row r="794" spans="1:2" x14ac:dyDescent="0.2">
      <c r="A794" s="68">
        <v>44708</v>
      </c>
      <c r="B794" s="69">
        <v>0.85846999999999996</v>
      </c>
    </row>
    <row r="795" spans="1:2" x14ac:dyDescent="0.2">
      <c r="A795" s="68">
        <v>44707</v>
      </c>
      <c r="B795" s="69">
        <v>0.85057000000000005</v>
      </c>
    </row>
    <row r="796" spans="1:2" x14ac:dyDescent="0.2">
      <c r="A796" s="68">
        <v>44706</v>
      </c>
      <c r="B796" s="69">
        <v>0.84784999999999999</v>
      </c>
    </row>
    <row r="797" spans="1:2" x14ac:dyDescent="0.2">
      <c r="A797" s="68">
        <v>44705</v>
      </c>
      <c r="B797" s="69">
        <v>0.84804000000000002</v>
      </c>
    </row>
    <row r="798" spans="1:2" x14ac:dyDescent="0.2">
      <c r="A798" s="68">
        <v>44704</v>
      </c>
      <c r="B798" s="69">
        <v>0.85063</v>
      </c>
    </row>
    <row r="799" spans="1:2" x14ac:dyDescent="0.2">
      <c r="A799" s="68">
        <v>44701</v>
      </c>
      <c r="B799" s="69">
        <v>0.86004000000000003</v>
      </c>
    </row>
    <row r="800" spans="1:2" x14ac:dyDescent="0.2">
      <c r="A800" s="68">
        <v>44700</v>
      </c>
      <c r="B800" s="69">
        <v>0.86033000000000004</v>
      </c>
    </row>
    <row r="801" spans="1:2" x14ac:dyDescent="0.2">
      <c r="A801" s="68">
        <v>44699</v>
      </c>
      <c r="B801" s="69">
        <v>0.85892000000000002</v>
      </c>
    </row>
    <row r="802" spans="1:2" x14ac:dyDescent="0.2">
      <c r="A802" s="68">
        <v>44698</v>
      </c>
      <c r="B802" s="69">
        <v>0.86438999999999999</v>
      </c>
    </row>
    <row r="803" spans="1:2" x14ac:dyDescent="0.2">
      <c r="A803" s="68">
        <v>44697</v>
      </c>
      <c r="B803" s="69">
        <v>0.86460999999999999</v>
      </c>
    </row>
    <row r="804" spans="1:2" x14ac:dyDescent="0.2">
      <c r="A804" s="68">
        <v>44694</v>
      </c>
      <c r="B804" s="69">
        <v>0.86495</v>
      </c>
    </row>
    <row r="805" spans="1:2" x14ac:dyDescent="0.2">
      <c r="A805" s="68">
        <v>44693</v>
      </c>
      <c r="B805" s="69">
        <v>0.85723000000000005</v>
      </c>
    </row>
    <row r="806" spans="1:2" x14ac:dyDescent="0.2">
      <c r="A806" s="68">
        <v>44692</v>
      </c>
      <c r="B806" s="69">
        <v>0.85721999999999998</v>
      </c>
    </row>
    <row r="807" spans="1:2" x14ac:dyDescent="0.2">
      <c r="A807" s="68">
        <v>44691</v>
      </c>
      <c r="B807" s="69">
        <v>0.85523000000000005</v>
      </c>
    </row>
    <row r="808" spans="1:2" x14ac:dyDescent="0.2">
      <c r="A808" s="68">
        <v>44690</v>
      </c>
      <c r="B808" s="69">
        <v>0.85223000000000004</v>
      </c>
    </row>
    <row r="809" spans="1:2" x14ac:dyDescent="0.2">
      <c r="A809" s="68">
        <v>44687</v>
      </c>
      <c r="B809" s="69">
        <v>0.84504999999999997</v>
      </c>
    </row>
    <row r="810" spans="1:2" x14ac:dyDescent="0.2">
      <c r="A810" s="68">
        <v>44686</v>
      </c>
      <c r="B810" s="69">
        <v>0.83679000000000003</v>
      </c>
    </row>
    <row r="811" spans="1:2" x14ac:dyDescent="0.2">
      <c r="A811" s="68">
        <v>44680</v>
      </c>
      <c r="B811" s="69">
        <v>0.84338000000000002</v>
      </c>
    </row>
    <row r="812" spans="1:2" x14ac:dyDescent="0.2">
      <c r="A812" s="68">
        <v>44679</v>
      </c>
      <c r="B812" s="69">
        <v>0.83640000000000003</v>
      </c>
    </row>
    <row r="813" spans="1:2" x14ac:dyDescent="0.2">
      <c r="A813" s="68">
        <v>44678</v>
      </c>
      <c r="B813" s="69">
        <v>0.83603000000000005</v>
      </c>
    </row>
    <row r="814" spans="1:2" x14ac:dyDescent="0.2">
      <c r="A814" s="68">
        <v>44677</v>
      </c>
      <c r="B814" s="69">
        <v>0.83577999999999997</v>
      </c>
    </row>
    <row r="815" spans="1:2" x14ac:dyDescent="0.2">
      <c r="A815" s="68">
        <v>44676</v>
      </c>
      <c r="B815" s="69">
        <v>0.82721</v>
      </c>
    </row>
    <row r="816" spans="1:2" x14ac:dyDescent="0.2">
      <c r="A816" s="68">
        <v>44673</v>
      </c>
      <c r="B816" s="69">
        <v>0.82340000000000002</v>
      </c>
    </row>
    <row r="817" spans="1:2" x14ac:dyDescent="0.2">
      <c r="A817" s="68">
        <v>44672</v>
      </c>
      <c r="B817" s="69">
        <v>0.81715000000000004</v>
      </c>
    </row>
    <row r="818" spans="1:2" x14ac:dyDescent="0.2">
      <c r="A818" s="68">
        <v>44671</v>
      </c>
      <c r="B818" s="69">
        <v>0.81599999999999995</v>
      </c>
    </row>
    <row r="819" spans="1:2" x14ac:dyDescent="0.2">
      <c r="A819" s="68">
        <v>44670</v>
      </c>
      <c r="B819" s="69">
        <v>0.81240000000000001</v>
      </c>
    </row>
    <row r="820" spans="1:2" x14ac:dyDescent="0.2">
      <c r="A820" s="68">
        <v>44669</v>
      </c>
      <c r="B820" s="69">
        <v>0.81293000000000004</v>
      </c>
    </row>
    <row r="821" spans="1:2" x14ac:dyDescent="0.2">
      <c r="A821" s="68">
        <v>44666</v>
      </c>
      <c r="B821" s="69">
        <v>0.81469999999999998</v>
      </c>
    </row>
    <row r="822" spans="1:2" x14ac:dyDescent="0.2">
      <c r="A822" s="68">
        <v>44665</v>
      </c>
      <c r="B822" s="69">
        <v>0.81047000000000002</v>
      </c>
    </row>
    <row r="823" spans="1:2" x14ac:dyDescent="0.2">
      <c r="A823" s="68">
        <v>44664</v>
      </c>
      <c r="B823" s="69">
        <v>0.81340999999999997</v>
      </c>
    </row>
    <row r="824" spans="1:2" x14ac:dyDescent="0.2">
      <c r="A824" s="68">
        <v>44663</v>
      </c>
      <c r="B824" s="69">
        <v>0.81391999999999998</v>
      </c>
    </row>
    <row r="825" spans="1:2" x14ac:dyDescent="0.2">
      <c r="A825" s="68">
        <v>44662</v>
      </c>
      <c r="B825" s="69">
        <v>0.81183000000000005</v>
      </c>
    </row>
    <row r="826" spans="1:2" x14ac:dyDescent="0.2">
      <c r="A826" s="68">
        <v>44659</v>
      </c>
      <c r="B826" s="69">
        <v>0.81208999999999998</v>
      </c>
    </row>
    <row r="827" spans="1:2" x14ac:dyDescent="0.2">
      <c r="A827" s="68">
        <v>44658</v>
      </c>
      <c r="B827" s="69">
        <v>0.81216999999999995</v>
      </c>
    </row>
    <row r="828" spans="1:2" x14ac:dyDescent="0.2">
      <c r="A828" s="68">
        <v>44657</v>
      </c>
      <c r="B828" s="69">
        <v>0.81418000000000001</v>
      </c>
    </row>
    <row r="829" spans="1:2" x14ac:dyDescent="0.2">
      <c r="A829" s="68">
        <v>44652</v>
      </c>
      <c r="B829" s="69">
        <v>0.81084000000000001</v>
      </c>
    </row>
    <row r="830" spans="1:2" x14ac:dyDescent="0.2">
      <c r="A830" s="68">
        <v>44651</v>
      </c>
      <c r="B830" s="69">
        <v>0.81101000000000001</v>
      </c>
    </row>
    <row r="831" spans="1:2" x14ac:dyDescent="0.2">
      <c r="A831" s="68">
        <v>44650</v>
      </c>
      <c r="B831" s="69">
        <v>0.81218000000000001</v>
      </c>
    </row>
    <row r="832" spans="1:2" x14ac:dyDescent="0.2">
      <c r="A832" s="68">
        <v>44649</v>
      </c>
      <c r="B832" s="69">
        <v>0.81289</v>
      </c>
    </row>
    <row r="833" spans="1:2" x14ac:dyDescent="0.2">
      <c r="A833" s="68">
        <v>44648</v>
      </c>
      <c r="B833" s="69">
        <v>0.81406999999999996</v>
      </c>
    </row>
    <row r="834" spans="1:2" x14ac:dyDescent="0.2">
      <c r="A834" s="68">
        <v>44645</v>
      </c>
      <c r="B834" s="69">
        <v>0.81472</v>
      </c>
    </row>
    <row r="835" spans="1:2" x14ac:dyDescent="0.2">
      <c r="A835" s="68">
        <v>44644</v>
      </c>
      <c r="B835" s="69">
        <v>0.8135</v>
      </c>
    </row>
    <row r="836" spans="1:2" x14ac:dyDescent="0.2">
      <c r="A836" s="68">
        <v>44643</v>
      </c>
      <c r="B836" s="69">
        <v>0.81201000000000001</v>
      </c>
    </row>
    <row r="837" spans="1:2" x14ac:dyDescent="0.2">
      <c r="A837" s="68">
        <v>44642</v>
      </c>
      <c r="B837" s="69">
        <v>0.81340999999999997</v>
      </c>
    </row>
    <row r="838" spans="1:2" x14ac:dyDescent="0.2">
      <c r="A838" s="68">
        <v>44641</v>
      </c>
      <c r="B838" s="69">
        <v>0.81381000000000003</v>
      </c>
    </row>
    <row r="839" spans="1:2" x14ac:dyDescent="0.2">
      <c r="A839" s="68">
        <v>44638</v>
      </c>
      <c r="B839" s="69">
        <v>0.81133999999999995</v>
      </c>
    </row>
    <row r="840" spans="1:2" x14ac:dyDescent="0.2">
      <c r="A840" s="68">
        <v>44637</v>
      </c>
      <c r="B840" s="69">
        <v>0.81115999999999999</v>
      </c>
    </row>
    <row r="841" spans="1:2" x14ac:dyDescent="0.2">
      <c r="A841" s="68">
        <v>44636</v>
      </c>
      <c r="B841" s="69">
        <v>0.81535999999999997</v>
      </c>
    </row>
    <row r="842" spans="1:2" x14ac:dyDescent="0.2">
      <c r="A842" s="68">
        <v>44635</v>
      </c>
      <c r="B842" s="69">
        <v>0.8145</v>
      </c>
    </row>
    <row r="843" spans="1:2" x14ac:dyDescent="0.2">
      <c r="A843" s="68">
        <v>44634</v>
      </c>
      <c r="B843" s="69">
        <v>0.81111999999999995</v>
      </c>
    </row>
    <row r="844" spans="1:2" x14ac:dyDescent="0.2">
      <c r="A844" s="68">
        <v>44631</v>
      </c>
      <c r="B844" s="69">
        <v>0.80915999999999999</v>
      </c>
    </row>
    <row r="845" spans="1:2" x14ac:dyDescent="0.2">
      <c r="A845" s="68">
        <v>44630</v>
      </c>
      <c r="B845" s="69">
        <v>0.80701999999999996</v>
      </c>
    </row>
    <row r="846" spans="1:2" x14ac:dyDescent="0.2">
      <c r="A846" s="68">
        <v>44629</v>
      </c>
      <c r="B846" s="69">
        <v>0.80800000000000005</v>
      </c>
    </row>
    <row r="847" spans="1:2" x14ac:dyDescent="0.2">
      <c r="A847" s="68">
        <v>44628</v>
      </c>
      <c r="B847" s="69">
        <v>0.80810999999999999</v>
      </c>
    </row>
    <row r="848" spans="1:2" x14ac:dyDescent="0.2">
      <c r="A848" s="68">
        <v>44627</v>
      </c>
      <c r="B848" s="69">
        <v>0.81220000000000003</v>
      </c>
    </row>
    <row r="849" spans="1:2" x14ac:dyDescent="0.2">
      <c r="A849" s="68">
        <v>44624</v>
      </c>
      <c r="B849" s="69">
        <v>0.80964000000000003</v>
      </c>
    </row>
    <row r="850" spans="1:2" x14ac:dyDescent="0.2">
      <c r="A850" s="68">
        <v>44623</v>
      </c>
      <c r="B850" s="69">
        <v>0.80637999999999999</v>
      </c>
    </row>
    <row r="851" spans="1:2" x14ac:dyDescent="0.2">
      <c r="A851" s="68">
        <v>44622</v>
      </c>
      <c r="B851" s="69">
        <v>0.81054000000000004</v>
      </c>
    </row>
    <row r="852" spans="1:2" x14ac:dyDescent="0.2">
      <c r="A852" s="68">
        <v>44621</v>
      </c>
      <c r="B852" s="69">
        <v>0.80647000000000002</v>
      </c>
    </row>
    <row r="853" spans="1:2" x14ac:dyDescent="0.2">
      <c r="A853" s="68">
        <v>44620</v>
      </c>
      <c r="B853" s="69">
        <v>0.80932000000000004</v>
      </c>
    </row>
    <row r="854" spans="1:2" x14ac:dyDescent="0.2">
      <c r="A854" s="68">
        <v>44617</v>
      </c>
      <c r="B854" s="69">
        <v>0.81128</v>
      </c>
    </row>
    <row r="855" spans="1:2" x14ac:dyDescent="0.2">
      <c r="A855" s="68">
        <v>44616</v>
      </c>
      <c r="B855" s="69">
        <v>0.81079000000000001</v>
      </c>
    </row>
    <row r="856" spans="1:2" x14ac:dyDescent="0.2">
      <c r="A856" s="68">
        <v>44615</v>
      </c>
      <c r="B856" s="69">
        <v>0.81144000000000005</v>
      </c>
    </row>
    <row r="857" spans="1:2" x14ac:dyDescent="0.2">
      <c r="A857" s="68">
        <v>44614</v>
      </c>
      <c r="B857" s="69">
        <v>0.81372</v>
      </c>
    </row>
    <row r="858" spans="1:2" x14ac:dyDescent="0.2">
      <c r="A858" s="68">
        <v>44613</v>
      </c>
      <c r="B858" s="69">
        <v>0.81274999999999997</v>
      </c>
    </row>
    <row r="859" spans="1:2" x14ac:dyDescent="0.2">
      <c r="A859" s="68">
        <v>44610</v>
      </c>
      <c r="B859" s="69">
        <v>0.81211999999999995</v>
      </c>
    </row>
    <row r="860" spans="1:2" x14ac:dyDescent="0.2">
      <c r="A860" s="68">
        <v>44609</v>
      </c>
      <c r="B860" s="69">
        <v>0.81176000000000004</v>
      </c>
    </row>
    <row r="861" spans="1:2" x14ac:dyDescent="0.2">
      <c r="A861" s="68">
        <v>44608</v>
      </c>
      <c r="B861" s="69">
        <v>0.81337999999999999</v>
      </c>
    </row>
    <row r="862" spans="1:2" x14ac:dyDescent="0.2">
      <c r="A862" s="68">
        <v>44607</v>
      </c>
      <c r="B862" s="69">
        <v>0.81521999999999994</v>
      </c>
    </row>
    <row r="863" spans="1:2" x14ac:dyDescent="0.2">
      <c r="A863" s="68">
        <v>44606</v>
      </c>
      <c r="B863" s="69">
        <v>0.81611</v>
      </c>
    </row>
    <row r="864" spans="1:2" x14ac:dyDescent="0.2">
      <c r="A864" s="68">
        <v>44603</v>
      </c>
      <c r="B864" s="69">
        <v>0.81655999999999995</v>
      </c>
    </row>
    <row r="865" spans="1:2" x14ac:dyDescent="0.2">
      <c r="A865" s="68">
        <v>44602</v>
      </c>
      <c r="B865" s="69">
        <v>0.81621999999999995</v>
      </c>
    </row>
    <row r="866" spans="1:2" x14ac:dyDescent="0.2">
      <c r="A866" s="68">
        <v>44601</v>
      </c>
      <c r="B866" s="69">
        <v>0.81667000000000001</v>
      </c>
    </row>
    <row r="867" spans="1:2" x14ac:dyDescent="0.2">
      <c r="A867" s="68">
        <v>44600</v>
      </c>
      <c r="B867" s="69">
        <v>0.81577</v>
      </c>
    </row>
    <row r="868" spans="1:2" x14ac:dyDescent="0.2">
      <c r="A868" s="68">
        <v>44599</v>
      </c>
      <c r="B868" s="69">
        <v>0.81623999999999997</v>
      </c>
    </row>
    <row r="869" spans="1:2" x14ac:dyDescent="0.2">
      <c r="A869" s="68">
        <v>44589</v>
      </c>
      <c r="B869" s="69">
        <v>0.81823999999999997</v>
      </c>
    </row>
    <row r="870" spans="1:2" x14ac:dyDescent="0.2">
      <c r="A870" s="68">
        <v>44588</v>
      </c>
      <c r="B870" s="69">
        <v>0.81362999999999996</v>
      </c>
    </row>
    <row r="871" spans="1:2" x14ac:dyDescent="0.2">
      <c r="A871" s="68">
        <v>44587</v>
      </c>
      <c r="B871" s="69">
        <v>0.81232000000000004</v>
      </c>
    </row>
    <row r="872" spans="1:2" x14ac:dyDescent="0.2">
      <c r="A872" s="68">
        <v>44586</v>
      </c>
      <c r="B872" s="69">
        <v>0.81452999999999998</v>
      </c>
    </row>
    <row r="873" spans="1:2" x14ac:dyDescent="0.2">
      <c r="A873" s="68">
        <v>44585</v>
      </c>
      <c r="B873" s="69">
        <v>0.81422000000000005</v>
      </c>
    </row>
    <row r="874" spans="1:2" x14ac:dyDescent="0.2">
      <c r="A874" s="68">
        <v>44582</v>
      </c>
      <c r="B874" s="69">
        <v>0.81518000000000002</v>
      </c>
    </row>
    <row r="875" spans="1:2" x14ac:dyDescent="0.2">
      <c r="A875" s="68">
        <v>44581</v>
      </c>
      <c r="B875" s="69">
        <v>0.81484000000000001</v>
      </c>
    </row>
    <row r="876" spans="1:2" x14ac:dyDescent="0.2">
      <c r="A876" s="68">
        <v>44580</v>
      </c>
      <c r="B876" s="69">
        <v>0.81649000000000005</v>
      </c>
    </row>
    <row r="877" spans="1:2" x14ac:dyDescent="0.2">
      <c r="A877" s="68">
        <v>44579</v>
      </c>
      <c r="B877" s="69">
        <v>0.81537999999999999</v>
      </c>
    </row>
    <row r="878" spans="1:2" x14ac:dyDescent="0.2">
      <c r="A878" s="68">
        <v>44578</v>
      </c>
      <c r="B878" s="69">
        <v>0.81674999999999998</v>
      </c>
    </row>
    <row r="879" spans="1:2" x14ac:dyDescent="0.2">
      <c r="A879" s="68">
        <v>44575</v>
      </c>
      <c r="B879" s="69">
        <v>0.81755</v>
      </c>
    </row>
    <row r="880" spans="1:2" x14ac:dyDescent="0.2">
      <c r="A880" s="68">
        <v>44574</v>
      </c>
      <c r="B880" s="69">
        <v>0.81549000000000005</v>
      </c>
    </row>
    <row r="881" spans="1:2" x14ac:dyDescent="0.2">
      <c r="A881" s="68">
        <v>44573</v>
      </c>
      <c r="B881" s="69">
        <v>0.81662000000000001</v>
      </c>
    </row>
    <row r="882" spans="1:2" x14ac:dyDescent="0.2">
      <c r="A882" s="68">
        <v>44572</v>
      </c>
      <c r="B882" s="69">
        <v>0.81689000000000001</v>
      </c>
    </row>
    <row r="883" spans="1:2" x14ac:dyDescent="0.2">
      <c r="A883" s="68">
        <v>44571</v>
      </c>
      <c r="B883" s="69">
        <v>0.81621999999999995</v>
      </c>
    </row>
    <row r="884" spans="1:2" x14ac:dyDescent="0.2">
      <c r="A884" s="68">
        <v>44568</v>
      </c>
      <c r="B884" s="69">
        <v>0.81706999999999996</v>
      </c>
    </row>
    <row r="885" spans="1:2" x14ac:dyDescent="0.2">
      <c r="A885" s="68">
        <v>44567</v>
      </c>
      <c r="B885" s="69">
        <v>0.81738999999999995</v>
      </c>
    </row>
    <row r="886" spans="1:2" x14ac:dyDescent="0.2">
      <c r="A886" s="68">
        <v>44566</v>
      </c>
      <c r="B886" s="69">
        <v>0.81835999999999998</v>
      </c>
    </row>
    <row r="887" spans="1:2" x14ac:dyDescent="0.2">
      <c r="A887" s="68">
        <v>44565</v>
      </c>
      <c r="B887" s="69">
        <v>0.81810000000000005</v>
      </c>
    </row>
    <row r="888" spans="1:2" x14ac:dyDescent="0.2">
      <c r="A888" s="68">
        <v>44561</v>
      </c>
      <c r="B888" s="69">
        <v>0.81759999999999999</v>
      </c>
    </row>
    <row r="889" spans="1:2" x14ac:dyDescent="0.2">
      <c r="A889" s="68">
        <v>44560</v>
      </c>
      <c r="B889" s="69">
        <v>0.81652999999999998</v>
      </c>
    </row>
    <row r="890" spans="1:2" x14ac:dyDescent="0.2">
      <c r="A890" s="68">
        <v>44559</v>
      </c>
      <c r="B890" s="69">
        <v>0.81733999999999996</v>
      </c>
    </row>
    <row r="891" spans="1:2" x14ac:dyDescent="0.2">
      <c r="A891" s="68">
        <v>44558</v>
      </c>
      <c r="B891" s="69">
        <v>0.81716999999999995</v>
      </c>
    </row>
    <row r="892" spans="1:2" x14ac:dyDescent="0.2">
      <c r="A892" s="68">
        <v>44557</v>
      </c>
      <c r="B892" s="69">
        <v>0.81659000000000004</v>
      </c>
    </row>
    <row r="893" spans="1:2" x14ac:dyDescent="0.2">
      <c r="A893" s="68">
        <v>44554</v>
      </c>
      <c r="B893" s="69">
        <v>0.81669999999999998</v>
      </c>
    </row>
    <row r="894" spans="1:2" x14ac:dyDescent="0.2">
      <c r="A894" s="68">
        <v>44553</v>
      </c>
      <c r="B894" s="69">
        <v>0.81606999999999996</v>
      </c>
    </row>
    <row r="895" spans="1:2" x14ac:dyDescent="0.2">
      <c r="A895" s="68">
        <v>44552</v>
      </c>
      <c r="B895" s="69">
        <v>0.81664000000000003</v>
      </c>
    </row>
    <row r="896" spans="1:2" x14ac:dyDescent="0.2">
      <c r="A896" s="68">
        <v>44551</v>
      </c>
      <c r="B896" s="69">
        <v>0.81698999999999999</v>
      </c>
    </row>
    <row r="897" spans="1:2" x14ac:dyDescent="0.2">
      <c r="A897" s="68">
        <v>44550</v>
      </c>
      <c r="B897" s="69">
        <v>0.81933999999999996</v>
      </c>
    </row>
    <row r="898" spans="1:2" x14ac:dyDescent="0.2">
      <c r="A898" s="68">
        <v>44547</v>
      </c>
      <c r="B898" s="69">
        <v>0.81567999999999996</v>
      </c>
    </row>
    <row r="899" spans="1:2" x14ac:dyDescent="0.2">
      <c r="A899" s="68">
        <v>44546</v>
      </c>
      <c r="B899" s="69">
        <v>0.81552999999999998</v>
      </c>
    </row>
    <row r="900" spans="1:2" x14ac:dyDescent="0.2">
      <c r="A900" s="68">
        <v>44545</v>
      </c>
      <c r="B900" s="69">
        <v>0.81672</v>
      </c>
    </row>
    <row r="901" spans="1:2" x14ac:dyDescent="0.2">
      <c r="A901" s="68">
        <v>44544</v>
      </c>
      <c r="B901" s="69">
        <v>0.81601000000000001</v>
      </c>
    </row>
    <row r="902" spans="1:2" x14ac:dyDescent="0.2">
      <c r="A902" s="68">
        <v>44543</v>
      </c>
      <c r="B902" s="69">
        <v>0.81637000000000004</v>
      </c>
    </row>
    <row r="903" spans="1:2" x14ac:dyDescent="0.2">
      <c r="A903" s="68">
        <v>44540</v>
      </c>
      <c r="B903" s="69">
        <v>0.81694</v>
      </c>
    </row>
    <row r="904" spans="1:2" x14ac:dyDescent="0.2">
      <c r="A904" s="68">
        <v>44539</v>
      </c>
      <c r="B904" s="69">
        <v>0.81432000000000004</v>
      </c>
    </row>
    <row r="905" spans="1:2" x14ac:dyDescent="0.2">
      <c r="A905" s="68">
        <v>44538</v>
      </c>
      <c r="B905" s="69">
        <v>0.81650999999999996</v>
      </c>
    </row>
    <row r="906" spans="1:2" x14ac:dyDescent="0.2">
      <c r="A906" s="68">
        <v>44537</v>
      </c>
      <c r="B906" s="69">
        <v>0.81723000000000001</v>
      </c>
    </row>
    <row r="907" spans="1:2" x14ac:dyDescent="0.2">
      <c r="A907" s="68">
        <v>44536</v>
      </c>
      <c r="B907" s="69">
        <v>0.81703999999999999</v>
      </c>
    </row>
    <row r="908" spans="1:2" x14ac:dyDescent="0.2">
      <c r="A908" s="68">
        <v>44533</v>
      </c>
      <c r="B908" s="69">
        <v>0.81803000000000003</v>
      </c>
    </row>
    <row r="909" spans="1:2" x14ac:dyDescent="0.2">
      <c r="A909" s="68">
        <v>44532</v>
      </c>
      <c r="B909" s="69">
        <v>0.81766000000000005</v>
      </c>
    </row>
    <row r="910" spans="1:2" x14ac:dyDescent="0.2">
      <c r="A910" s="68">
        <v>44531</v>
      </c>
      <c r="B910" s="69">
        <v>0.81681000000000004</v>
      </c>
    </row>
    <row r="911" spans="1:2" x14ac:dyDescent="0.2">
      <c r="A911" s="68">
        <v>44530</v>
      </c>
      <c r="B911" s="69">
        <v>0.81791999999999998</v>
      </c>
    </row>
    <row r="912" spans="1:2" x14ac:dyDescent="0.2">
      <c r="A912" s="68">
        <v>44529</v>
      </c>
      <c r="B912" s="69">
        <v>0.81911999999999996</v>
      </c>
    </row>
    <row r="913" spans="1:2" x14ac:dyDescent="0.2">
      <c r="A913" s="68">
        <v>44526</v>
      </c>
      <c r="B913" s="69">
        <v>0.81996000000000002</v>
      </c>
    </row>
    <row r="914" spans="1:2" x14ac:dyDescent="0.2">
      <c r="A914" s="68">
        <v>44525</v>
      </c>
      <c r="B914" s="69">
        <v>0.82045000000000001</v>
      </c>
    </row>
    <row r="915" spans="1:2" x14ac:dyDescent="0.2">
      <c r="A915" s="68">
        <v>44524</v>
      </c>
      <c r="B915" s="69">
        <v>0.82001000000000002</v>
      </c>
    </row>
    <row r="916" spans="1:2" x14ac:dyDescent="0.2">
      <c r="A916" s="68">
        <v>44523</v>
      </c>
      <c r="B916" s="69">
        <v>0.8206</v>
      </c>
    </row>
    <row r="917" spans="1:2" x14ac:dyDescent="0.2">
      <c r="A917" s="68">
        <v>44522</v>
      </c>
      <c r="B917" s="69">
        <v>0.82096000000000002</v>
      </c>
    </row>
    <row r="918" spans="1:2" x14ac:dyDescent="0.2">
      <c r="A918" s="68">
        <v>44519</v>
      </c>
      <c r="B918" s="69">
        <v>0.81933999999999996</v>
      </c>
    </row>
    <row r="919" spans="1:2" x14ac:dyDescent="0.2">
      <c r="A919" s="68">
        <v>44518</v>
      </c>
      <c r="B919" s="69">
        <v>0.81913000000000002</v>
      </c>
    </row>
    <row r="920" spans="1:2" x14ac:dyDescent="0.2">
      <c r="A920" s="68">
        <v>44517</v>
      </c>
      <c r="B920" s="69">
        <v>0.82093000000000005</v>
      </c>
    </row>
    <row r="921" spans="1:2" x14ac:dyDescent="0.2">
      <c r="A921" s="68">
        <v>44516</v>
      </c>
      <c r="B921" s="69">
        <v>0.82069000000000003</v>
      </c>
    </row>
    <row r="922" spans="1:2" x14ac:dyDescent="0.2">
      <c r="A922" s="68">
        <v>44515</v>
      </c>
      <c r="B922" s="69">
        <v>0.82004999999999995</v>
      </c>
    </row>
    <row r="923" spans="1:2" x14ac:dyDescent="0.2">
      <c r="A923" s="68">
        <v>44512</v>
      </c>
      <c r="B923" s="69">
        <v>0.82228999999999997</v>
      </c>
    </row>
    <row r="924" spans="1:2" x14ac:dyDescent="0.2">
      <c r="A924" s="68">
        <v>44511</v>
      </c>
      <c r="B924" s="69">
        <v>0.82321</v>
      </c>
    </row>
    <row r="925" spans="1:2" x14ac:dyDescent="0.2">
      <c r="A925" s="68">
        <v>44510</v>
      </c>
      <c r="B925" s="69">
        <v>0.82088000000000005</v>
      </c>
    </row>
    <row r="926" spans="1:2" x14ac:dyDescent="0.2">
      <c r="A926" s="68">
        <v>44509</v>
      </c>
      <c r="B926" s="69">
        <v>0.82050999999999996</v>
      </c>
    </row>
    <row r="927" spans="1:2" x14ac:dyDescent="0.2">
      <c r="A927" s="68">
        <v>44508</v>
      </c>
      <c r="B927" s="69">
        <v>0.82177</v>
      </c>
    </row>
    <row r="928" spans="1:2" x14ac:dyDescent="0.2">
      <c r="A928" s="68">
        <v>44505</v>
      </c>
      <c r="B928" s="69">
        <v>0.82203000000000004</v>
      </c>
    </row>
    <row r="929" spans="1:2" x14ac:dyDescent="0.2">
      <c r="A929" s="68">
        <v>44504</v>
      </c>
      <c r="B929" s="69">
        <v>0.82155</v>
      </c>
    </row>
    <row r="930" spans="1:2" x14ac:dyDescent="0.2">
      <c r="A930" s="68">
        <v>44503</v>
      </c>
      <c r="B930" s="69">
        <v>0.82347999999999999</v>
      </c>
    </row>
    <row r="931" spans="1:2" x14ac:dyDescent="0.2">
      <c r="A931" s="68">
        <v>44502</v>
      </c>
      <c r="B931" s="69">
        <v>0.82221999999999995</v>
      </c>
    </row>
    <row r="932" spans="1:2" x14ac:dyDescent="0.2">
      <c r="A932" s="68">
        <v>44501</v>
      </c>
      <c r="B932" s="69">
        <v>0.82516999999999996</v>
      </c>
    </row>
    <row r="933" spans="1:2" x14ac:dyDescent="0.2">
      <c r="A933" s="68">
        <v>44498</v>
      </c>
      <c r="B933" s="69">
        <v>0.82164000000000004</v>
      </c>
    </row>
    <row r="934" spans="1:2" x14ac:dyDescent="0.2">
      <c r="A934" s="68">
        <v>44497</v>
      </c>
      <c r="B934" s="69">
        <v>0.82228000000000001</v>
      </c>
    </row>
    <row r="935" spans="1:2" x14ac:dyDescent="0.2">
      <c r="A935" s="68">
        <v>44496</v>
      </c>
      <c r="B935" s="69">
        <v>0.82108999999999999</v>
      </c>
    </row>
    <row r="936" spans="1:2" x14ac:dyDescent="0.2">
      <c r="A936" s="68">
        <v>44495</v>
      </c>
      <c r="B936" s="69">
        <v>0.82174999999999998</v>
      </c>
    </row>
    <row r="937" spans="1:2" x14ac:dyDescent="0.2">
      <c r="A937" s="68">
        <v>44494</v>
      </c>
      <c r="B937" s="69">
        <v>0.82237000000000005</v>
      </c>
    </row>
    <row r="938" spans="1:2" x14ac:dyDescent="0.2">
      <c r="A938" s="68">
        <v>44491</v>
      </c>
      <c r="B938" s="69">
        <v>0.82357999999999998</v>
      </c>
    </row>
    <row r="939" spans="1:2" x14ac:dyDescent="0.2">
      <c r="A939" s="68">
        <v>44490</v>
      </c>
      <c r="B939" s="69">
        <v>0.82186999999999999</v>
      </c>
    </row>
    <row r="940" spans="1:2" x14ac:dyDescent="0.2">
      <c r="A940" s="68">
        <v>44489</v>
      </c>
      <c r="B940" s="69">
        <v>0.82391000000000003</v>
      </c>
    </row>
    <row r="941" spans="1:2" x14ac:dyDescent="0.2">
      <c r="A941" s="68">
        <v>44488</v>
      </c>
      <c r="B941" s="69">
        <v>0.82679000000000002</v>
      </c>
    </row>
    <row r="942" spans="1:2" x14ac:dyDescent="0.2">
      <c r="A942" s="68">
        <v>44487</v>
      </c>
      <c r="B942" s="69">
        <v>0.82657999999999998</v>
      </c>
    </row>
    <row r="943" spans="1:2" x14ac:dyDescent="0.2">
      <c r="A943" s="68">
        <v>44484</v>
      </c>
      <c r="B943" s="69">
        <v>0.82764000000000004</v>
      </c>
    </row>
    <row r="944" spans="1:2" x14ac:dyDescent="0.2">
      <c r="A944" s="68">
        <v>44483</v>
      </c>
      <c r="B944" s="69">
        <v>0.82808999999999999</v>
      </c>
    </row>
    <row r="945" spans="1:2" x14ac:dyDescent="0.2">
      <c r="A945" s="68">
        <v>44482</v>
      </c>
      <c r="B945" s="69">
        <v>0.83035999999999999</v>
      </c>
    </row>
    <row r="946" spans="1:2" x14ac:dyDescent="0.2">
      <c r="A946" s="68">
        <v>44481</v>
      </c>
      <c r="B946" s="69">
        <v>0.82823000000000002</v>
      </c>
    </row>
    <row r="947" spans="1:2" x14ac:dyDescent="0.2">
      <c r="A947" s="68">
        <v>44480</v>
      </c>
      <c r="B947" s="69">
        <v>0.82833000000000001</v>
      </c>
    </row>
    <row r="948" spans="1:2" x14ac:dyDescent="0.2">
      <c r="A948" s="68">
        <v>44477</v>
      </c>
      <c r="B948" s="69">
        <v>0.82981000000000005</v>
      </c>
    </row>
    <row r="949" spans="1:2" x14ac:dyDescent="0.2">
      <c r="A949" s="68">
        <v>44469</v>
      </c>
      <c r="B949" s="69">
        <v>0.83306000000000002</v>
      </c>
    </row>
    <row r="950" spans="1:2" x14ac:dyDescent="0.2">
      <c r="A950" s="68">
        <v>44468</v>
      </c>
      <c r="B950" s="69">
        <v>0.83074000000000003</v>
      </c>
    </row>
    <row r="951" spans="1:2" x14ac:dyDescent="0.2">
      <c r="A951" s="68">
        <v>44467</v>
      </c>
      <c r="B951" s="69">
        <v>0.83008999999999999</v>
      </c>
    </row>
    <row r="952" spans="1:2" x14ac:dyDescent="0.2">
      <c r="A952" s="68">
        <v>44466</v>
      </c>
      <c r="B952" s="69">
        <v>0.83104</v>
      </c>
    </row>
    <row r="953" spans="1:2" x14ac:dyDescent="0.2">
      <c r="A953" s="68">
        <v>44463</v>
      </c>
      <c r="B953" s="69">
        <v>0.82969999999999999</v>
      </c>
    </row>
    <row r="954" spans="1:2" x14ac:dyDescent="0.2">
      <c r="A954" s="68">
        <v>44462</v>
      </c>
      <c r="B954" s="69">
        <v>0.83157000000000003</v>
      </c>
    </row>
    <row r="955" spans="1:2" x14ac:dyDescent="0.2">
      <c r="A955" s="68">
        <v>44461</v>
      </c>
      <c r="B955" s="69">
        <v>0.83082999999999996</v>
      </c>
    </row>
    <row r="956" spans="1:2" x14ac:dyDescent="0.2">
      <c r="A956" s="68">
        <v>44456</v>
      </c>
      <c r="B956" s="69">
        <v>0.82906000000000002</v>
      </c>
    </row>
    <row r="957" spans="1:2" x14ac:dyDescent="0.2">
      <c r="A957" s="68">
        <v>44455</v>
      </c>
      <c r="B957" s="69">
        <v>0.82670999999999994</v>
      </c>
    </row>
    <row r="958" spans="1:2" x14ac:dyDescent="0.2">
      <c r="A958" s="68">
        <v>44454</v>
      </c>
      <c r="B958" s="69">
        <v>0.82904</v>
      </c>
    </row>
    <row r="959" spans="1:2" x14ac:dyDescent="0.2">
      <c r="A959" s="68">
        <v>44453</v>
      </c>
      <c r="B959" s="69">
        <v>0.82909999999999995</v>
      </c>
    </row>
    <row r="960" spans="1:2" x14ac:dyDescent="0.2">
      <c r="A960" s="68">
        <v>44452</v>
      </c>
      <c r="B960" s="69">
        <v>0.82920000000000005</v>
      </c>
    </row>
    <row r="961" spans="1:2" x14ac:dyDescent="0.2">
      <c r="A961" s="68">
        <v>44449</v>
      </c>
      <c r="B961" s="69">
        <v>0.83011999999999997</v>
      </c>
    </row>
    <row r="962" spans="1:2" x14ac:dyDescent="0.2">
      <c r="A962" s="68">
        <v>44448</v>
      </c>
      <c r="B962" s="69">
        <v>0.83087</v>
      </c>
    </row>
    <row r="963" spans="1:2" x14ac:dyDescent="0.2">
      <c r="A963" s="68">
        <v>44447</v>
      </c>
      <c r="B963" s="69">
        <v>0.83191000000000004</v>
      </c>
    </row>
    <row r="964" spans="1:2" x14ac:dyDescent="0.2">
      <c r="A964" s="68">
        <v>44446</v>
      </c>
      <c r="B964" s="69">
        <v>0.83021</v>
      </c>
    </row>
    <row r="965" spans="1:2" x14ac:dyDescent="0.2">
      <c r="A965" s="68">
        <v>44445</v>
      </c>
      <c r="B965" s="69">
        <v>0.83030000000000004</v>
      </c>
    </row>
    <row r="966" spans="1:2" x14ac:dyDescent="0.2">
      <c r="A966" s="68">
        <v>44442</v>
      </c>
      <c r="B966" s="69">
        <v>0.83108000000000004</v>
      </c>
    </row>
    <row r="967" spans="1:2" x14ac:dyDescent="0.2">
      <c r="A967" s="68">
        <v>44441</v>
      </c>
      <c r="B967" s="69">
        <v>0.83062000000000002</v>
      </c>
    </row>
    <row r="968" spans="1:2" x14ac:dyDescent="0.2">
      <c r="A968" s="68">
        <v>44440</v>
      </c>
      <c r="B968" s="69">
        <v>0.83169999999999999</v>
      </c>
    </row>
    <row r="969" spans="1:2" x14ac:dyDescent="0.2">
      <c r="A969" s="68">
        <v>44439</v>
      </c>
      <c r="B969" s="69">
        <v>0.83069999999999999</v>
      </c>
    </row>
    <row r="970" spans="1:2" x14ac:dyDescent="0.2">
      <c r="A970" s="68">
        <v>44438</v>
      </c>
      <c r="B970" s="69">
        <v>0.83038999999999996</v>
      </c>
    </row>
    <row r="971" spans="1:2" x14ac:dyDescent="0.2">
      <c r="A971" s="68">
        <v>44435</v>
      </c>
      <c r="B971" s="69">
        <v>0.83284000000000002</v>
      </c>
    </row>
    <row r="972" spans="1:2" x14ac:dyDescent="0.2">
      <c r="A972" s="68">
        <v>44434</v>
      </c>
      <c r="B972" s="69">
        <v>0.83160999999999996</v>
      </c>
    </row>
    <row r="973" spans="1:2" x14ac:dyDescent="0.2">
      <c r="A973" s="68">
        <v>44433</v>
      </c>
      <c r="B973" s="69">
        <v>0.83104</v>
      </c>
    </row>
    <row r="974" spans="1:2" x14ac:dyDescent="0.2">
      <c r="A974" s="68">
        <v>44432</v>
      </c>
      <c r="B974" s="69">
        <v>0.83165</v>
      </c>
    </row>
    <row r="975" spans="1:2" x14ac:dyDescent="0.2">
      <c r="A975" s="68">
        <v>44431</v>
      </c>
      <c r="B975" s="69">
        <v>0.83401999999999998</v>
      </c>
    </row>
    <row r="976" spans="1:2" x14ac:dyDescent="0.2">
      <c r="A976" s="68">
        <v>44428</v>
      </c>
      <c r="B976" s="69">
        <v>0.83426</v>
      </c>
    </row>
    <row r="977" spans="1:2" x14ac:dyDescent="0.2">
      <c r="A977" s="68">
        <v>44427</v>
      </c>
      <c r="B977" s="69">
        <v>0.83252000000000004</v>
      </c>
    </row>
    <row r="978" spans="1:2" x14ac:dyDescent="0.2">
      <c r="A978" s="68">
        <v>44426</v>
      </c>
      <c r="B978" s="69">
        <v>0.83282999999999996</v>
      </c>
    </row>
    <row r="979" spans="1:2" x14ac:dyDescent="0.2">
      <c r="A979" s="68">
        <v>44425</v>
      </c>
      <c r="B979" s="69">
        <v>0.83186000000000004</v>
      </c>
    </row>
    <row r="980" spans="1:2" x14ac:dyDescent="0.2">
      <c r="A980" s="68">
        <v>44424</v>
      </c>
      <c r="B980" s="69">
        <v>0.83148</v>
      </c>
    </row>
    <row r="981" spans="1:2" x14ac:dyDescent="0.2">
      <c r="A981" s="68">
        <v>44421</v>
      </c>
      <c r="B981" s="69">
        <v>0.83264000000000005</v>
      </c>
    </row>
    <row r="982" spans="1:2" x14ac:dyDescent="0.2">
      <c r="A982" s="68">
        <v>44420</v>
      </c>
      <c r="B982" s="69">
        <v>0.83243</v>
      </c>
    </row>
    <row r="983" spans="1:2" x14ac:dyDescent="0.2">
      <c r="A983" s="68">
        <v>44419</v>
      </c>
      <c r="B983" s="69">
        <v>0.83313999999999999</v>
      </c>
    </row>
    <row r="984" spans="1:2" x14ac:dyDescent="0.2">
      <c r="A984" s="68">
        <v>44418</v>
      </c>
      <c r="B984" s="69">
        <v>0.83323999999999998</v>
      </c>
    </row>
    <row r="985" spans="1:2" x14ac:dyDescent="0.2">
      <c r="A985" s="68">
        <v>44417</v>
      </c>
      <c r="B985" s="69">
        <v>0.83335000000000004</v>
      </c>
    </row>
    <row r="986" spans="1:2" x14ac:dyDescent="0.2">
      <c r="A986" s="68">
        <v>44414</v>
      </c>
      <c r="B986" s="69">
        <v>0.83103000000000005</v>
      </c>
    </row>
    <row r="987" spans="1:2" x14ac:dyDescent="0.2">
      <c r="A987" s="68">
        <v>44413</v>
      </c>
      <c r="B987" s="69">
        <v>0.83182999999999996</v>
      </c>
    </row>
    <row r="988" spans="1:2" x14ac:dyDescent="0.2">
      <c r="A988" s="68">
        <v>44412</v>
      </c>
      <c r="B988" s="69">
        <v>0.83135000000000003</v>
      </c>
    </row>
    <row r="989" spans="1:2" x14ac:dyDescent="0.2">
      <c r="A989" s="68">
        <v>44411</v>
      </c>
      <c r="B989" s="69">
        <v>0.83103000000000005</v>
      </c>
    </row>
    <row r="990" spans="1:2" x14ac:dyDescent="0.2">
      <c r="A990" s="68">
        <v>44410</v>
      </c>
      <c r="B990" s="69">
        <v>0.83184999999999998</v>
      </c>
    </row>
    <row r="991" spans="1:2" x14ac:dyDescent="0.2">
      <c r="A991" s="68">
        <v>44407</v>
      </c>
      <c r="B991" s="69">
        <v>0.83120000000000005</v>
      </c>
    </row>
    <row r="992" spans="1:2" x14ac:dyDescent="0.2">
      <c r="A992" s="68">
        <v>44406</v>
      </c>
      <c r="B992" s="69">
        <v>0.83501999999999998</v>
      </c>
    </row>
    <row r="993" spans="1:2" x14ac:dyDescent="0.2">
      <c r="A993" s="68">
        <v>44405</v>
      </c>
      <c r="B993" s="69">
        <v>0.83421999999999996</v>
      </c>
    </row>
    <row r="994" spans="1:2" x14ac:dyDescent="0.2">
      <c r="A994" s="68">
        <v>44404</v>
      </c>
      <c r="B994" s="69">
        <v>0.83228999999999997</v>
      </c>
    </row>
    <row r="995" spans="1:2" x14ac:dyDescent="0.2">
      <c r="A995" s="68">
        <v>44403</v>
      </c>
      <c r="B995" s="69">
        <v>0.83343</v>
      </c>
    </row>
    <row r="996" spans="1:2" x14ac:dyDescent="0.2">
      <c r="A996" s="68">
        <v>44400</v>
      </c>
      <c r="B996" s="69">
        <v>0.83194999999999997</v>
      </c>
    </row>
    <row r="997" spans="1:2" x14ac:dyDescent="0.2">
      <c r="A997" s="68">
        <v>44399</v>
      </c>
      <c r="B997" s="69">
        <v>0.83172999999999997</v>
      </c>
    </row>
    <row r="998" spans="1:2" x14ac:dyDescent="0.2">
      <c r="A998" s="68">
        <v>44398</v>
      </c>
      <c r="B998" s="69">
        <v>0.83418000000000003</v>
      </c>
    </row>
    <row r="999" spans="1:2" x14ac:dyDescent="0.2">
      <c r="A999" s="68">
        <v>44397</v>
      </c>
      <c r="B999" s="69">
        <v>0.83457999999999999</v>
      </c>
    </row>
    <row r="1000" spans="1:2" x14ac:dyDescent="0.2">
      <c r="A1000" s="68">
        <v>44396</v>
      </c>
      <c r="B1000" s="69">
        <v>0.83287999999999995</v>
      </c>
    </row>
    <row r="1001" spans="1:2" x14ac:dyDescent="0.2">
      <c r="A1001" s="68">
        <v>44393</v>
      </c>
      <c r="B1001" s="69">
        <v>0.83298000000000005</v>
      </c>
    </row>
    <row r="1002" spans="1:2" x14ac:dyDescent="0.2">
      <c r="A1002" s="68">
        <v>44392</v>
      </c>
      <c r="B1002" s="69">
        <v>0.83221999999999996</v>
      </c>
    </row>
    <row r="1003" spans="1:2" x14ac:dyDescent="0.2">
      <c r="A1003" s="68">
        <v>44391</v>
      </c>
      <c r="B1003" s="69">
        <v>0.83445000000000003</v>
      </c>
    </row>
    <row r="1004" spans="1:2" x14ac:dyDescent="0.2">
      <c r="A1004" s="68">
        <v>44390</v>
      </c>
      <c r="B1004" s="69">
        <v>0.83382999999999996</v>
      </c>
    </row>
    <row r="1005" spans="1:2" x14ac:dyDescent="0.2">
      <c r="A1005" s="68">
        <v>44389</v>
      </c>
      <c r="B1005" s="69">
        <v>0.83401000000000003</v>
      </c>
    </row>
    <row r="1006" spans="1:2" x14ac:dyDescent="0.2">
      <c r="A1006" s="68">
        <v>44386</v>
      </c>
      <c r="B1006" s="69">
        <v>0.83360000000000001</v>
      </c>
    </row>
    <row r="1007" spans="1:2" x14ac:dyDescent="0.2">
      <c r="A1007" s="68">
        <v>44385</v>
      </c>
      <c r="B1007" s="69">
        <v>0.83292999999999995</v>
      </c>
    </row>
    <row r="1008" spans="1:2" x14ac:dyDescent="0.2">
      <c r="A1008" s="68">
        <v>44384</v>
      </c>
      <c r="B1008" s="69">
        <v>0.83375999999999995</v>
      </c>
    </row>
    <row r="1009" spans="1:2" x14ac:dyDescent="0.2">
      <c r="A1009" s="68">
        <v>44383</v>
      </c>
      <c r="B1009" s="69">
        <v>0.83177999999999996</v>
      </c>
    </row>
    <row r="1010" spans="1:2" x14ac:dyDescent="0.2">
      <c r="A1010" s="68">
        <v>44382</v>
      </c>
      <c r="B1010" s="69">
        <v>0.83296999999999999</v>
      </c>
    </row>
    <row r="1011" spans="1:2" x14ac:dyDescent="0.2">
      <c r="A1011" s="68">
        <v>44379</v>
      </c>
      <c r="B1011" s="69">
        <v>0.83338000000000001</v>
      </c>
    </row>
    <row r="1012" spans="1:2" x14ac:dyDescent="0.2">
      <c r="A1012" s="68">
        <v>44378</v>
      </c>
      <c r="B1012" s="69">
        <v>0.83335999999999999</v>
      </c>
    </row>
    <row r="1013" spans="1:2" x14ac:dyDescent="0.2">
      <c r="A1013" s="68">
        <v>44377</v>
      </c>
      <c r="B1013" s="69">
        <v>0.83208000000000004</v>
      </c>
    </row>
    <row r="1014" spans="1:2" x14ac:dyDescent="0.2">
      <c r="A1014" s="68">
        <v>44376</v>
      </c>
      <c r="B1014" s="69">
        <v>0.83184000000000002</v>
      </c>
    </row>
    <row r="1015" spans="1:2" x14ac:dyDescent="0.2">
      <c r="A1015" s="68">
        <v>44375</v>
      </c>
      <c r="B1015" s="69">
        <v>0.83204999999999996</v>
      </c>
    </row>
    <row r="1016" spans="1:2" x14ac:dyDescent="0.2">
      <c r="A1016" s="68">
        <v>44372</v>
      </c>
      <c r="B1016" s="69">
        <v>0.83411000000000002</v>
      </c>
    </row>
    <row r="1017" spans="1:2" x14ac:dyDescent="0.2">
      <c r="A1017" s="68">
        <v>44371</v>
      </c>
      <c r="B1017" s="69">
        <v>0.83479000000000003</v>
      </c>
    </row>
    <row r="1018" spans="1:2" x14ac:dyDescent="0.2">
      <c r="A1018" s="68">
        <v>44370</v>
      </c>
      <c r="B1018" s="69">
        <v>0.83211000000000002</v>
      </c>
    </row>
    <row r="1019" spans="1:2" x14ac:dyDescent="0.2">
      <c r="A1019" s="68">
        <v>44369</v>
      </c>
      <c r="B1019" s="69">
        <v>0.83220000000000005</v>
      </c>
    </row>
    <row r="1020" spans="1:2" x14ac:dyDescent="0.2">
      <c r="A1020" s="68">
        <v>44368</v>
      </c>
      <c r="B1020" s="69">
        <v>0.83148</v>
      </c>
    </row>
    <row r="1021" spans="1:2" x14ac:dyDescent="0.2">
      <c r="A1021" s="68">
        <v>44365</v>
      </c>
      <c r="B1021" s="69">
        <v>0.82892999999999994</v>
      </c>
    </row>
    <row r="1022" spans="1:2" x14ac:dyDescent="0.2">
      <c r="A1022" s="68">
        <v>44364</v>
      </c>
      <c r="B1022" s="69">
        <v>0.82821</v>
      </c>
    </row>
    <row r="1023" spans="1:2" x14ac:dyDescent="0.2">
      <c r="A1023" s="68">
        <v>44363</v>
      </c>
      <c r="B1023" s="69">
        <v>0.82543999999999995</v>
      </c>
    </row>
    <row r="1024" spans="1:2" x14ac:dyDescent="0.2">
      <c r="A1024" s="68">
        <v>44362</v>
      </c>
      <c r="B1024" s="69">
        <v>0.82542000000000004</v>
      </c>
    </row>
    <row r="1025" spans="1:2" x14ac:dyDescent="0.2">
      <c r="A1025" s="68">
        <v>44358</v>
      </c>
      <c r="B1025" s="69">
        <v>0.82291000000000003</v>
      </c>
    </row>
    <row r="1026" spans="1:2" x14ac:dyDescent="0.2">
      <c r="A1026" s="68">
        <v>44357</v>
      </c>
      <c r="B1026" s="69">
        <v>0.82433999999999996</v>
      </c>
    </row>
    <row r="1027" spans="1:2" x14ac:dyDescent="0.2">
      <c r="A1027" s="68">
        <v>44356</v>
      </c>
      <c r="B1027" s="69">
        <v>0.82425000000000004</v>
      </c>
    </row>
    <row r="1028" spans="1:2" x14ac:dyDescent="0.2">
      <c r="A1028" s="68">
        <v>44355</v>
      </c>
      <c r="B1028" s="69">
        <v>0.82367000000000001</v>
      </c>
    </row>
    <row r="1029" spans="1:2" x14ac:dyDescent="0.2">
      <c r="A1029" s="68">
        <v>44354</v>
      </c>
      <c r="B1029" s="69">
        <v>0.82462999999999997</v>
      </c>
    </row>
    <row r="1030" spans="1:2" x14ac:dyDescent="0.2">
      <c r="A1030" s="68">
        <v>44351</v>
      </c>
      <c r="B1030" s="69">
        <v>0.82584999999999997</v>
      </c>
    </row>
    <row r="1031" spans="1:2" x14ac:dyDescent="0.2">
      <c r="A1031" s="68">
        <v>44350</v>
      </c>
      <c r="B1031" s="69">
        <v>0.82238999999999995</v>
      </c>
    </row>
    <row r="1032" spans="1:2" x14ac:dyDescent="0.2">
      <c r="A1032" s="68">
        <v>44349</v>
      </c>
      <c r="B1032" s="69">
        <v>0.82188000000000005</v>
      </c>
    </row>
    <row r="1033" spans="1:2" x14ac:dyDescent="0.2">
      <c r="A1033" s="68">
        <v>44348</v>
      </c>
      <c r="B1033" s="69">
        <v>0.81913000000000002</v>
      </c>
    </row>
    <row r="1034" spans="1:2" x14ac:dyDescent="0.2">
      <c r="A1034" s="68">
        <v>44347</v>
      </c>
      <c r="B1034" s="69">
        <v>0.82042999999999999</v>
      </c>
    </row>
    <row r="1035" spans="1:2" x14ac:dyDescent="0.2">
      <c r="A1035" s="68">
        <v>44344</v>
      </c>
      <c r="B1035" s="69">
        <v>0.82281000000000004</v>
      </c>
    </row>
    <row r="1036" spans="1:2" x14ac:dyDescent="0.2">
      <c r="A1036" s="68">
        <v>44343</v>
      </c>
      <c r="B1036" s="69">
        <v>0.82481000000000004</v>
      </c>
    </row>
    <row r="1037" spans="1:2" x14ac:dyDescent="0.2">
      <c r="A1037" s="68">
        <v>44342</v>
      </c>
      <c r="B1037" s="69">
        <v>0.82574999999999998</v>
      </c>
    </row>
    <row r="1038" spans="1:2" x14ac:dyDescent="0.2">
      <c r="A1038" s="68">
        <v>44341</v>
      </c>
      <c r="B1038" s="69">
        <v>0.82794000000000001</v>
      </c>
    </row>
    <row r="1039" spans="1:2" x14ac:dyDescent="0.2">
      <c r="A1039" s="68">
        <v>44340</v>
      </c>
      <c r="B1039" s="69">
        <v>0.82959000000000005</v>
      </c>
    </row>
    <row r="1040" spans="1:2" x14ac:dyDescent="0.2">
      <c r="A1040" s="68">
        <v>44337</v>
      </c>
      <c r="B1040" s="69">
        <v>0.82833999999999997</v>
      </c>
    </row>
    <row r="1041" spans="1:2" x14ac:dyDescent="0.2">
      <c r="A1041" s="68">
        <v>44336</v>
      </c>
      <c r="B1041" s="69">
        <v>0.83015000000000005</v>
      </c>
    </row>
    <row r="1042" spans="1:2" x14ac:dyDescent="0.2">
      <c r="A1042" s="68">
        <v>44335</v>
      </c>
      <c r="B1042" s="69">
        <v>0.82745999999999997</v>
      </c>
    </row>
    <row r="1043" spans="1:2" x14ac:dyDescent="0.2">
      <c r="A1043" s="68">
        <v>44334</v>
      </c>
      <c r="B1043" s="69">
        <v>0.82867000000000002</v>
      </c>
    </row>
    <row r="1044" spans="1:2" x14ac:dyDescent="0.2">
      <c r="A1044" s="68">
        <v>44333</v>
      </c>
      <c r="B1044" s="69">
        <v>0.82787999999999995</v>
      </c>
    </row>
    <row r="1045" spans="1:2" x14ac:dyDescent="0.2">
      <c r="A1045" s="68">
        <v>44330</v>
      </c>
      <c r="B1045" s="69">
        <v>0.83069999999999999</v>
      </c>
    </row>
    <row r="1046" spans="1:2" x14ac:dyDescent="0.2">
      <c r="A1046" s="68">
        <v>44329</v>
      </c>
      <c r="B1046" s="69">
        <v>0.83189999999999997</v>
      </c>
    </row>
    <row r="1047" spans="1:2" x14ac:dyDescent="0.2">
      <c r="A1047" s="68">
        <v>44328</v>
      </c>
      <c r="B1047" s="69">
        <v>0.82723999999999998</v>
      </c>
    </row>
    <row r="1048" spans="1:2" x14ac:dyDescent="0.2">
      <c r="A1048" s="68">
        <v>44327</v>
      </c>
      <c r="B1048" s="69">
        <v>0.82735999999999998</v>
      </c>
    </row>
    <row r="1049" spans="1:2" x14ac:dyDescent="0.2">
      <c r="A1049" s="68">
        <v>44326</v>
      </c>
      <c r="B1049" s="69">
        <v>0.82959000000000005</v>
      </c>
    </row>
    <row r="1050" spans="1:2" x14ac:dyDescent="0.2">
      <c r="A1050" s="68">
        <v>44323</v>
      </c>
      <c r="B1050" s="69">
        <v>0.83252000000000004</v>
      </c>
    </row>
    <row r="1051" spans="1:2" x14ac:dyDescent="0.2">
      <c r="A1051" s="68">
        <v>44322</v>
      </c>
      <c r="B1051" s="69">
        <v>0.83525000000000005</v>
      </c>
    </row>
    <row r="1052" spans="1:2" x14ac:dyDescent="0.2">
      <c r="A1052" s="68">
        <v>44316</v>
      </c>
      <c r="B1052" s="69">
        <v>0.83306000000000002</v>
      </c>
    </row>
    <row r="1053" spans="1:2" x14ac:dyDescent="0.2">
      <c r="A1053" s="68">
        <v>44315</v>
      </c>
      <c r="B1053" s="69">
        <v>0.83372000000000002</v>
      </c>
    </row>
    <row r="1054" spans="1:2" x14ac:dyDescent="0.2">
      <c r="A1054" s="68">
        <v>44314</v>
      </c>
      <c r="B1054" s="69">
        <v>0.83547000000000005</v>
      </c>
    </row>
    <row r="1055" spans="1:2" x14ac:dyDescent="0.2">
      <c r="A1055" s="68">
        <v>44313</v>
      </c>
      <c r="B1055" s="69">
        <v>0.83657000000000004</v>
      </c>
    </row>
    <row r="1056" spans="1:2" x14ac:dyDescent="0.2">
      <c r="A1056" s="68">
        <v>44312</v>
      </c>
      <c r="B1056" s="69">
        <v>0.83650000000000002</v>
      </c>
    </row>
    <row r="1057" spans="1:2" x14ac:dyDescent="0.2">
      <c r="A1057" s="68">
        <v>44309</v>
      </c>
      <c r="B1057" s="69">
        <v>0.8367</v>
      </c>
    </row>
    <row r="1058" spans="1:2" x14ac:dyDescent="0.2">
      <c r="A1058" s="68">
        <v>44308</v>
      </c>
      <c r="B1058" s="69">
        <v>0.83601000000000003</v>
      </c>
    </row>
    <row r="1059" spans="1:2" x14ac:dyDescent="0.2">
      <c r="A1059" s="68">
        <v>44307</v>
      </c>
      <c r="B1059" s="69">
        <v>0.83796999999999999</v>
      </c>
    </row>
    <row r="1060" spans="1:2" x14ac:dyDescent="0.2">
      <c r="A1060" s="68">
        <v>44306</v>
      </c>
      <c r="B1060" s="69">
        <v>0.83816000000000002</v>
      </c>
    </row>
    <row r="1061" spans="1:2" x14ac:dyDescent="0.2">
      <c r="A1061" s="68">
        <v>44305</v>
      </c>
      <c r="B1061" s="69">
        <v>0.83931999999999995</v>
      </c>
    </row>
    <row r="1062" spans="1:2" x14ac:dyDescent="0.2">
      <c r="A1062" s="68">
        <v>44302</v>
      </c>
      <c r="B1062" s="69">
        <v>0.84060000000000001</v>
      </c>
    </row>
    <row r="1063" spans="1:2" x14ac:dyDescent="0.2">
      <c r="A1063" s="68">
        <v>44301</v>
      </c>
      <c r="B1063" s="69">
        <v>0.84080999999999995</v>
      </c>
    </row>
    <row r="1064" spans="1:2" x14ac:dyDescent="0.2">
      <c r="A1064" s="68">
        <v>44300</v>
      </c>
      <c r="B1064" s="69">
        <v>0.84082999999999997</v>
      </c>
    </row>
    <row r="1065" spans="1:2" x14ac:dyDescent="0.2">
      <c r="A1065" s="68">
        <v>44299</v>
      </c>
      <c r="B1065" s="69">
        <v>0.84202999999999995</v>
      </c>
    </row>
    <row r="1066" spans="1:2" x14ac:dyDescent="0.2">
      <c r="A1066" s="68">
        <v>44298</v>
      </c>
      <c r="B1066" s="69">
        <v>0.84323000000000004</v>
      </c>
    </row>
    <row r="1067" spans="1:2" x14ac:dyDescent="0.2">
      <c r="A1067" s="68">
        <v>44295</v>
      </c>
      <c r="B1067" s="69">
        <v>0.84096000000000004</v>
      </c>
    </row>
    <row r="1068" spans="1:2" x14ac:dyDescent="0.2">
      <c r="A1068" s="68">
        <v>44294</v>
      </c>
      <c r="B1068" s="69">
        <v>0.84089999999999998</v>
      </c>
    </row>
    <row r="1069" spans="1:2" x14ac:dyDescent="0.2">
      <c r="A1069" s="68">
        <v>44293</v>
      </c>
      <c r="B1069" s="69">
        <v>0.84077000000000002</v>
      </c>
    </row>
    <row r="1070" spans="1:2" x14ac:dyDescent="0.2">
      <c r="A1070" s="68">
        <v>44292</v>
      </c>
      <c r="B1070" s="69">
        <v>0.84272999999999998</v>
      </c>
    </row>
    <row r="1071" spans="1:2" x14ac:dyDescent="0.2">
      <c r="A1071" s="68">
        <v>44288</v>
      </c>
      <c r="B1071" s="69">
        <v>0.84435000000000004</v>
      </c>
    </row>
    <row r="1072" spans="1:2" x14ac:dyDescent="0.2">
      <c r="A1072" s="68">
        <v>44287</v>
      </c>
      <c r="B1072" s="69">
        <v>0.84367999999999999</v>
      </c>
    </row>
    <row r="1073" spans="1:2" x14ac:dyDescent="0.2">
      <c r="A1073" s="68">
        <v>44286</v>
      </c>
      <c r="B1073" s="69">
        <v>0.84518000000000004</v>
      </c>
    </row>
    <row r="1074" spans="1:2" x14ac:dyDescent="0.2">
      <c r="A1074" s="68">
        <v>44285</v>
      </c>
      <c r="B1074" s="69">
        <v>0.84436999999999995</v>
      </c>
    </row>
    <row r="1075" spans="1:2" x14ac:dyDescent="0.2">
      <c r="A1075" s="68">
        <v>44284</v>
      </c>
      <c r="B1075" s="69">
        <v>0.84197999999999995</v>
      </c>
    </row>
    <row r="1076" spans="1:2" x14ac:dyDescent="0.2">
      <c r="A1076" s="68">
        <v>44281</v>
      </c>
      <c r="B1076" s="69">
        <v>0.84140999999999999</v>
      </c>
    </row>
    <row r="1077" spans="1:2" x14ac:dyDescent="0.2">
      <c r="A1077" s="68">
        <v>44280</v>
      </c>
      <c r="B1077" s="69">
        <v>0.84033000000000002</v>
      </c>
    </row>
    <row r="1078" spans="1:2" x14ac:dyDescent="0.2">
      <c r="A1078" s="68">
        <v>44279</v>
      </c>
      <c r="B1078" s="69">
        <v>0.83962000000000003</v>
      </c>
    </row>
    <row r="1079" spans="1:2" x14ac:dyDescent="0.2">
      <c r="A1079" s="68">
        <v>44278</v>
      </c>
      <c r="B1079" s="69">
        <v>0.83747000000000005</v>
      </c>
    </row>
    <row r="1080" spans="1:2" x14ac:dyDescent="0.2">
      <c r="A1080" s="68">
        <v>44277</v>
      </c>
      <c r="B1080" s="69">
        <v>0.83935000000000004</v>
      </c>
    </row>
    <row r="1081" spans="1:2" x14ac:dyDescent="0.2">
      <c r="A1081" s="68">
        <v>44274</v>
      </c>
      <c r="B1081" s="69">
        <v>0.83826000000000001</v>
      </c>
    </row>
    <row r="1082" spans="1:2" x14ac:dyDescent="0.2">
      <c r="A1082" s="68">
        <v>44273</v>
      </c>
      <c r="B1082" s="69">
        <v>0.83536999999999995</v>
      </c>
    </row>
    <row r="1083" spans="1:2" x14ac:dyDescent="0.2">
      <c r="A1083" s="68">
        <v>44272</v>
      </c>
      <c r="B1083" s="69">
        <v>0.83667000000000002</v>
      </c>
    </row>
    <row r="1084" spans="1:2" x14ac:dyDescent="0.2">
      <c r="A1084" s="68">
        <v>44271</v>
      </c>
      <c r="B1084" s="69">
        <v>0.83753999999999995</v>
      </c>
    </row>
    <row r="1085" spans="1:2" x14ac:dyDescent="0.2">
      <c r="A1085" s="68">
        <v>44270</v>
      </c>
      <c r="B1085" s="69">
        <v>0.83736999999999995</v>
      </c>
    </row>
    <row r="1086" spans="1:2" x14ac:dyDescent="0.2">
      <c r="A1086" s="68">
        <v>44267</v>
      </c>
      <c r="B1086" s="69">
        <v>0.83582999999999996</v>
      </c>
    </row>
    <row r="1087" spans="1:2" x14ac:dyDescent="0.2">
      <c r="A1087" s="68">
        <v>44266</v>
      </c>
      <c r="B1087" s="69">
        <v>0.83716999999999997</v>
      </c>
    </row>
    <row r="1088" spans="1:2" x14ac:dyDescent="0.2">
      <c r="A1088" s="68">
        <v>44265</v>
      </c>
      <c r="B1088" s="69">
        <v>0.83875</v>
      </c>
    </row>
    <row r="1089" spans="1:2" x14ac:dyDescent="0.2">
      <c r="A1089" s="68">
        <v>44264</v>
      </c>
      <c r="B1089" s="69">
        <v>0.84119999999999995</v>
      </c>
    </row>
    <row r="1090" spans="1:2" x14ac:dyDescent="0.2">
      <c r="A1090" s="68">
        <v>44263</v>
      </c>
      <c r="B1090" s="69">
        <v>0.83457000000000003</v>
      </c>
    </row>
    <row r="1091" spans="1:2" x14ac:dyDescent="0.2">
      <c r="A1091" s="68">
        <v>44260</v>
      </c>
      <c r="B1091" s="69">
        <v>0.83626999999999996</v>
      </c>
    </row>
    <row r="1092" spans="1:2" x14ac:dyDescent="0.2">
      <c r="A1092" s="68">
        <v>44259</v>
      </c>
      <c r="B1092" s="69">
        <v>0.83482999999999996</v>
      </c>
    </row>
    <row r="1093" spans="1:2" x14ac:dyDescent="0.2">
      <c r="A1093" s="68">
        <v>44258</v>
      </c>
      <c r="B1093" s="69">
        <v>0.83228000000000002</v>
      </c>
    </row>
    <row r="1094" spans="1:2" x14ac:dyDescent="0.2">
      <c r="A1094" s="68">
        <v>44257</v>
      </c>
      <c r="B1094" s="69">
        <v>0.83318000000000003</v>
      </c>
    </row>
    <row r="1095" spans="1:2" x14ac:dyDescent="0.2">
      <c r="A1095" s="68">
        <v>44256</v>
      </c>
      <c r="B1095" s="69">
        <v>0.83482000000000001</v>
      </c>
    </row>
    <row r="1096" spans="1:2" x14ac:dyDescent="0.2">
      <c r="A1096" s="68">
        <v>44253</v>
      </c>
      <c r="B1096" s="69">
        <v>0.83448999999999995</v>
      </c>
    </row>
    <row r="1097" spans="1:2" x14ac:dyDescent="0.2">
      <c r="A1097" s="68">
        <v>44252</v>
      </c>
      <c r="B1097" s="69">
        <v>0.83204999999999996</v>
      </c>
    </row>
    <row r="1098" spans="1:2" x14ac:dyDescent="0.2">
      <c r="A1098" s="68">
        <v>44251</v>
      </c>
      <c r="B1098" s="69">
        <v>0.83338999999999996</v>
      </c>
    </row>
    <row r="1099" spans="1:2" x14ac:dyDescent="0.2">
      <c r="A1099" s="68">
        <v>44250</v>
      </c>
      <c r="B1099" s="69">
        <v>0.83206000000000002</v>
      </c>
    </row>
    <row r="1100" spans="1:2" x14ac:dyDescent="0.2">
      <c r="A1100" s="68">
        <v>44249</v>
      </c>
      <c r="B1100" s="69">
        <v>0.83272000000000002</v>
      </c>
    </row>
    <row r="1101" spans="1:2" x14ac:dyDescent="0.2">
      <c r="A1101" s="68">
        <v>44246</v>
      </c>
      <c r="B1101" s="69">
        <v>0.83357999999999999</v>
      </c>
    </row>
    <row r="1102" spans="1:2" x14ac:dyDescent="0.2">
      <c r="A1102" s="68">
        <v>44245</v>
      </c>
      <c r="B1102" s="69">
        <v>0.83245000000000002</v>
      </c>
    </row>
    <row r="1103" spans="1:2" x14ac:dyDescent="0.2">
      <c r="A1103" s="68">
        <v>44237</v>
      </c>
      <c r="B1103" s="69">
        <v>0.83064000000000004</v>
      </c>
    </row>
    <row r="1104" spans="1:2" x14ac:dyDescent="0.2">
      <c r="A1104" s="68">
        <v>44236</v>
      </c>
      <c r="B1104" s="69">
        <v>0.83245000000000002</v>
      </c>
    </row>
    <row r="1105" spans="1:2" x14ac:dyDescent="0.2">
      <c r="A1105" s="68">
        <v>44235</v>
      </c>
      <c r="B1105" s="69">
        <v>0.83426</v>
      </c>
    </row>
    <row r="1106" spans="1:2" x14ac:dyDescent="0.2">
      <c r="A1106" s="68">
        <v>44232</v>
      </c>
      <c r="B1106" s="69">
        <v>0.83465999999999996</v>
      </c>
    </row>
    <row r="1107" spans="1:2" x14ac:dyDescent="0.2">
      <c r="A1107" s="68">
        <v>44231</v>
      </c>
      <c r="B1107" s="69">
        <v>0.83345000000000002</v>
      </c>
    </row>
    <row r="1108" spans="1:2" x14ac:dyDescent="0.2">
      <c r="A1108" s="68">
        <v>44230</v>
      </c>
      <c r="B1108" s="69">
        <v>0.83426</v>
      </c>
    </row>
    <row r="1109" spans="1:2" x14ac:dyDescent="0.2">
      <c r="A1109" s="68">
        <v>44229</v>
      </c>
      <c r="B1109" s="69">
        <v>0.83498000000000006</v>
      </c>
    </row>
    <row r="1110" spans="1:2" x14ac:dyDescent="0.2">
      <c r="A1110" s="68">
        <v>44228</v>
      </c>
      <c r="B1110" s="69">
        <v>0.83350000000000002</v>
      </c>
    </row>
    <row r="1111" spans="1:2" x14ac:dyDescent="0.2">
      <c r="A1111" s="68">
        <v>44225</v>
      </c>
      <c r="B1111" s="69">
        <v>0.83462000000000003</v>
      </c>
    </row>
    <row r="1112" spans="1:2" x14ac:dyDescent="0.2">
      <c r="A1112" s="68">
        <v>44224</v>
      </c>
      <c r="B1112" s="69">
        <v>0.83647000000000005</v>
      </c>
    </row>
    <row r="1113" spans="1:2" x14ac:dyDescent="0.2">
      <c r="A1113" s="68">
        <v>44223</v>
      </c>
      <c r="B1113" s="69">
        <v>0.83416000000000001</v>
      </c>
    </row>
    <row r="1114" spans="1:2" x14ac:dyDescent="0.2">
      <c r="A1114" s="68">
        <v>44222</v>
      </c>
      <c r="B1114" s="69">
        <v>0.83657999999999999</v>
      </c>
    </row>
    <row r="1115" spans="1:2" x14ac:dyDescent="0.2">
      <c r="A1115" s="68">
        <v>44221</v>
      </c>
      <c r="B1115" s="69">
        <v>0.83611999999999997</v>
      </c>
    </row>
    <row r="1116" spans="1:2" x14ac:dyDescent="0.2">
      <c r="A1116" s="68">
        <v>44218</v>
      </c>
      <c r="B1116" s="69">
        <v>0.83357999999999999</v>
      </c>
    </row>
    <row r="1117" spans="1:2" x14ac:dyDescent="0.2">
      <c r="A1117" s="68">
        <v>44217</v>
      </c>
      <c r="B1117" s="69">
        <v>0.83460999999999996</v>
      </c>
    </row>
    <row r="1118" spans="1:2" x14ac:dyDescent="0.2">
      <c r="A1118" s="68">
        <v>44216</v>
      </c>
      <c r="B1118" s="69">
        <v>0.83640000000000003</v>
      </c>
    </row>
    <row r="1119" spans="1:2" x14ac:dyDescent="0.2">
      <c r="A1119" s="68">
        <v>44215</v>
      </c>
      <c r="B1119" s="69">
        <v>0.83686000000000005</v>
      </c>
    </row>
    <row r="1120" spans="1:2" x14ac:dyDescent="0.2">
      <c r="A1120" s="68">
        <v>44214</v>
      </c>
      <c r="B1120" s="69">
        <v>0.83631999999999995</v>
      </c>
    </row>
    <row r="1121" spans="1:2" x14ac:dyDescent="0.2">
      <c r="A1121" s="68">
        <v>44211</v>
      </c>
      <c r="B1121" s="69">
        <v>0.83362999999999998</v>
      </c>
    </row>
    <row r="1122" spans="1:2" x14ac:dyDescent="0.2">
      <c r="A1122" s="68">
        <v>44210</v>
      </c>
      <c r="B1122" s="69">
        <v>0.83504</v>
      </c>
    </row>
    <row r="1123" spans="1:2" x14ac:dyDescent="0.2">
      <c r="A1123" s="68">
        <v>44209</v>
      </c>
      <c r="B1123" s="69">
        <v>0.83316000000000001</v>
      </c>
    </row>
    <row r="1124" spans="1:2" x14ac:dyDescent="0.2">
      <c r="A1124" s="68">
        <v>44208</v>
      </c>
      <c r="B1124" s="69">
        <v>0.83587999999999996</v>
      </c>
    </row>
    <row r="1125" spans="1:2" x14ac:dyDescent="0.2">
      <c r="A1125" s="68">
        <v>44207</v>
      </c>
      <c r="B1125" s="69">
        <v>0.83513999999999999</v>
      </c>
    </row>
    <row r="1126" spans="1:2" x14ac:dyDescent="0.2">
      <c r="A1126" s="68">
        <v>44204</v>
      </c>
      <c r="B1126" s="69">
        <v>0.83457000000000003</v>
      </c>
    </row>
    <row r="1127" spans="1:2" x14ac:dyDescent="0.2">
      <c r="A1127" s="68">
        <v>44203</v>
      </c>
      <c r="B1127" s="69">
        <v>0.83331</v>
      </c>
    </row>
    <row r="1128" spans="1:2" x14ac:dyDescent="0.2">
      <c r="A1128" s="68">
        <v>44202</v>
      </c>
      <c r="B1128" s="69">
        <v>0.83328999999999998</v>
      </c>
    </row>
    <row r="1129" spans="1:2" x14ac:dyDescent="0.2">
      <c r="A1129" s="68">
        <v>44201</v>
      </c>
      <c r="B1129" s="69">
        <v>0.83526999999999996</v>
      </c>
    </row>
    <row r="1130" spans="1:2" x14ac:dyDescent="0.2">
      <c r="A1130" s="68">
        <v>44200</v>
      </c>
      <c r="B1130" s="69">
        <v>0.84362999999999999</v>
      </c>
    </row>
    <row r="1131" spans="1:2" x14ac:dyDescent="0.2">
      <c r="A1131" s="68">
        <v>44196</v>
      </c>
      <c r="B1131" s="69">
        <v>0.84164000000000005</v>
      </c>
    </row>
    <row r="1132" spans="1:2" x14ac:dyDescent="0.2">
      <c r="A1132" s="68">
        <v>44195</v>
      </c>
      <c r="B1132" s="69">
        <v>0.84255000000000002</v>
      </c>
    </row>
    <row r="1133" spans="1:2" x14ac:dyDescent="0.2">
      <c r="A1133" s="68">
        <v>44194</v>
      </c>
      <c r="B1133" s="69">
        <v>0.84413000000000005</v>
      </c>
    </row>
    <row r="1134" spans="1:2" x14ac:dyDescent="0.2">
      <c r="A1134" s="68">
        <v>44193</v>
      </c>
      <c r="B1134" s="69">
        <v>0.84138999999999997</v>
      </c>
    </row>
    <row r="1135" spans="1:2" x14ac:dyDescent="0.2">
      <c r="A1135" s="68">
        <v>44190</v>
      </c>
      <c r="B1135" s="69">
        <v>0.84265999999999996</v>
      </c>
    </row>
    <row r="1136" spans="1:2" x14ac:dyDescent="0.2">
      <c r="A1136" s="68">
        <v>44189</v>
      </c>
      <c r="B1136" s="69">
        <v>0.84306999999999999</v>
      </c>
    </row>
    <row r="1137" spans="1:2" x14ac:dyDescent="0.2">
      <c r="A1137" s="68">
        <v>44188</v>
      </c>
      <c r="B1137" s="69">
        <v>0.84562000000000004</v>
      </c>
    </row>
    <row r="1138" spans="1:2" x14ac:dyDescent="0.2">
      <c r="A1138" s="68">
        <v>44187</v>
      </c>
      <c r="B1138" s="69">
        <v>0.84335000000000004</v>
      </c>
    </row>
    <row r="1139" spans="1:2" x14ac:dyDescent="0.2">
      <c r="A1139" s="68">
        <v>44186</v>
      </c>
      <c r="B1139" s="69">
        <v>0.84497999999999995</v>
      </c>
    </row>
    <row r="1140" spans="1:2" x14ac:dyDescent="0.2">
      <c r="A1140" s="68">
        <v>44183</v>
      </c>
      <c r="B1140" s="69">
        <v>0.84253999999999996</v>
      </c>
    </row>
    <row r="1141" spans="1:2" x14ac:dyDescent="0.2">
      <c r="A1141" s="68">
        <v>44182</v>
      </c>
      <c r="B1141" s="69">
        <v>0.84314</v>
      </c>
    </row>
    <row r="1142" spans="1:2" x14ac:dyDescent="0.2">
      <c r="A1142" s="68">
        <v>44181</v>
      </c>
      <c r="B1142" s="69">
        <v>0.84311999999999998</v>
      </c>
    </row>
    <row r="1143" spans="1:2" x14ac:dyDescent="0.2">
      <c r="A1143" s="68">
        <v>44180</v>
      </c>
      <c r="B1143" s="69">
        <v>0.84409999999999996</v>
      </c>
    </row>
    <row r="1144" spans="1:2" x14ac:dyDescent="0.2">
      <c r="A1144" s="68">
        <v>44179</v>
      </c>
      <c r="B1144" s="69">
        <v>0.84321999999999997</v>
      </c>
    </row>
    <row r="1145" spans="1:2" x14ac:dyDescent="0.2">
      <c r="A1145" s="68">
        <v>44176</v>
      </c>
      <c r="B1145" s="69">
        <v>0.84380999999999995</v>
      </c>
    </row>
    <row r="1146" spans="1:2" x14ac:dyDescent="0.2">
      <c r="A1146" s="68">
        <v>44175</v>
      </c>
      <c r="B1146" s="69">
        <v>0.84460000000000002</v>
      </c>
    </row>
    <row r="1147" spans="1:2" x14ac:dyDescent="0.2">
      <c r="A1147" s="68">
        <v>44174</v>
      </c>
      <c r="B1147" s="69">
        <v>0.84258</v>
      </c>
    </row>
    <row r="1148" spans="1:2" x14ac:dyDescent="0.2">
      <c r="A1148" s="68">
        <v>44173</v>
      </c>
      <c r="B1148" s="69">
        <v>0.84275999999999995</v>
      </c>
    </row>
    <row r="1149" spans="1:2" x14ac:dyDescent="0.2">
      <c r="A1149" s="68">
        <v>44172</v>
      </c>
      <c r="B1149" s="69">
        <v>0.84330000000000005</v>
      </c>
    </row>
    <row r="1150" spans="1:2" x14ac:dyDescent="0.2">
      <c r="A1150" s="68">
        <v>44169</v>
      </c>
      <c r="B1150" s="69">
        <v>0.84509999999999996</v>
      </c>
    </row>
    <row r="1151" spans="1:2" x14ac:dyDescent="0.2">
      <c r="A1151" s="68">
        <v>44168</v>
      </c>
      <c r="B1151" s="69">
        <v>0.84614</v>
      </c>
    </row>
    <row r="1152" spans="1:2" x14ac:dyDescent="0.2">
      <c r="A1152" s="68">
        <v>44167</v>
      </c>
      <c r="B1152" s="69">
        <v>0.84635000000000005</v>
      </c>
    </row>
    <row r="1153" spans="1:2" x14ac:dyDescent="0.2">
      <c r="A1153" s="68">
        <v>44166</v>
      </c>
      <c r="B1153" s="69">
        <v>0.85041</v>
      </c>
    </row>
    <row r="1154" spans="1:2" x14ac:dyDescent="0.2">
      <c r="A1154" s="68">
        <v>44165</v>
      </c>
      <c r="B1154" s="69">
        <v>0.84867000000000004</v>
      </c>
    </row>
    <row r="1155" spans="1:2" x14ac:dyDescent="0.2">
      <c r="A1155" s="68">
        <v>44162</v>
      </c>
      <c r="B1155" s="69">
        <v>0.84835000000000005</v>
      </c>
    </row>
    <row r="1156" spans="1:2" x14ac:dyDescent="0.2">
      <c r="A1156" s="68">
        <v>44161</v>
      </c>
      <c r="B1156" s="69">
        <v>0.84863</v>
      </c>
    </row>
    <row r="1157" spans="1:2" x14ac:dyDescent="0.2">
      <c r="A1157" s="68">
        <v>44160</v>
      </c>
      <c r="B1157" s="69">
        <v>0.84819999999999995</v>
      </c>
    </row>
    <row r="1158" spans="1:2" x14ac:dyDescent="0.2">
      <c r="A1158" s="68">
        <v>44159</v>
      </c>
      <c r="B1158" s="69">
        <v>0.84894999999999998</v>
      </c>
    </row>
    <row r="1159" spans="1:2" x14ac:dyDescent="0.2">
      <c r="A1159" s="68">
        <v>44158</v>
      </c>
      <c r="B1159" s="69">
        <v>0.84772000000000003</v>
      </c>
    </row>
    <row r="1160" spans="1:2" x14ac:dyDescent="0.2">
      <c r="A1160" s="68">
        <v>44155</v>
      </c>
      <c r="B1160" s="69">
        <v>0.84848999999999997</v>
      </c>
    </row>
    <row r="1161" spans="1:2" x14ac:dyDescent="0.2">
      <c r="A1161" s="68">
        <v>44154</v>
      </c>
      <c r="B1161" s="69">
        <v>0.84472000000000003</v>
      </c>
    </row>
    <row r="1162" spans="1:2" x14ac:dyDescent="0.2">
      <c r="A1162" s="68">
        <v>44153</v>
      </c>
      <c r="B1162" s="69">
        <v>0.84608000000000005</v>
      </c>
    </row>
    <row r="1163" spans="1:2" x14ac:dyDescent="0.2">
      <c r="A1163" s="68">
        <v>44152</v>
      </c>
      <c r="B1163" s="69">
        <v>0.84818000000000005</v>
      </c>
    </row>
    <row r="1164" spans="1:2" x14ac:dyDescent="0.2">
      <c r="A1164" s="68">
        <v>44151</v>
      </c>
      <c r="B1164" s="69">
        <v>0.85187000000000002</v>
      </c>
    </row>
    <row r="1165" spans="1:2" x14ac:dyDescent="0.2">
      <c r="A1165" s="68">
        <v>44148</v>
      </c>
      <c r="B1165" s="69">
        <v>0.85485</v>
      </c>
    </row>
    <row r="1166" spans="1:2" x14ac:dyDescent="0.2">
      <c r="A1166" s="68">
        <v>44147</v>
      </c>
      <c r="B1166" s="69">
        <v>0.85419999999999996</v>
      </c>
    </row>
    <row r="1167" spans="1:2" x14ac:dyDescent="0.2">
      <c r="A1167" s="68">
        <v>44146</v>
      </c>
      <c r="B1167" s="69">
        <v>0.85207999999999995</v>
      </c>
    </row>
    <row r="1168" spans="1:2" x14ac:dyDescent="0.2">
      <c r="A1168" s="68">
        <v>44145</v>
      </c>
      <c r="B1168" s="69">
        <v>0.84997</v>
      </c>
    </row>
    <row r="1169" spans="1:2" x14ac:dyDescent="0.2">
      <c r="A1169" s="68">
        <v>44144</v>
      </c>
      <c r="B1169" s="69">
        <v>0.85284000000000004</v>
      </c>
    </row>
    <row r="1170" spans="1:2" x14ac:dyDescent="0.2">
      <c r="A1170" s="68">
        <v>44141</v>
      </c>
      <c r="B1170" s="69">
        <v>0.85497999999999996</v>
      </c>
    </row>
    <row r="1171" spans="1:2" x14ac:dyDescent="0.2">
      <c r="A1171" s="68">
        <v>44140</v>
      </c>
      <c r="B1171" s="69">
        <v>0.86255999999999999</v>
      </c>
    </row>
    <row r="1172" spans="1:2" x14ac:dyDescent="0.2">
      <c r="A1172" s="68">
        <v>44139</v>
      </c>
      <c r="B1172" s="69">
        <v>0.86123000000000005</v>
      </c>
    </row>
    <row r="1173" spans="1:2" x14ac:dyDescent="0.2">
      <c r="A1173" s="68">
        <v>44138</v>
      </c>
      <c r="B1173" s="69">
        <v>0.86377999999999999</v>
      </c>
    </row>
    <row r="1174" spans="1:2" x14ac:dyDescent="0.2">
      <c r="A1174" s="68">
        <v>44137</v>
      </c>
      <c r="B1174" s="69">
        <v>0.86480000000000001</v>
      </c>
    </row>
    <row r="1175" spans="1:2" x14ac:dyDescent="0.2">
      <c r="A1175" s="68">
        <v>44134</v>
      </c>
      <c r="B1175" s="69">
        <v>0.86721999999999999</v>
      </c>
    </row>
    <row r="1176" spans="1:2" x14ac:dyDescent="0.2">
      <c r="A1176" s="68">
        <v>44133</v>
      </c>
      <c r="B1176" s="69">
        <v>0.86778</v>
      </c>
    </row>
    <row r="1177" spans="1:2" x14ac:dyDescent="0.2">
      <c r="A1177" s="68">
        <v>44132</v>
      </c>
      <c r="B1177" s="69">
        <v>0.86702999999999997</v>
      </c>
    </row>
    <row r="1178" spans="1:2" x14ac:dyDescent="0.2">
      <c r="A1178" s="68">
        <v>44131</v>
      </c>
      <c r="B1178" s="69">
        <v>0.86436999999999997</v>
      </c>
    </row>
    <row r="1179" spans="1:2" x14ac:dyDescent="0.2">
      <c r="A1179" s="68">
        <v>44130</v>
      </c>
      <c r="B1179" s="69">
        <v>0.86095999999999995</v>
      </c>
    </row>
    <row r="1180" spans="1:2" x14ac:dyDescent="0.2">
      <c r="A1180" s="68">
        <v>44127</v>
      </c>
      <c r="B1180" s="69">
        <v>0.86068</v>
      </c>
    </row>
    <row r="1181" spans="1:2" x14ac:dyDescent="0.2">
      <c r="A1181" s="68">
        <v>44126</v>
      </c>
      <c r="B1181" s="69">
        <v>0.85877999999999999</v>
      </c>
    </row>
    <row r="1182" spans="1:2" x14ac:dyDescent="0.2">
      <c r="A1182" s="68">
        <v>44125</v>
      </c>
      <c r="B1182" s="69">
        <v>0.86168999999999996</v>
      </c>
    </row>
    <row r="1183" spans="1:2" x14ac:dyDescent="0.2">
      <c r="A1183" s="68">
        <v>44124</v>
      </c>
      <c r="B1183" s="69">
        <v>0.86360999999999999</v>
      </c>
    </row>
    <row r="1184" spans="1:2" x14ac:dyDescent="0.2">
      <c r="A1184" s="68">
        <v>44123</v>
      </c>
      <c r="B1184" s="69">
        <v>0.86463999999999996</v>
      </c>
    </row>
    <row r="1185" spans="1:2" x14ac:dyDescent="0.2">
      <c r="A1185" s="68">
        <v>44120</v>
      </c>
      <c r="B1185" s="69">
        <v>0.86878999999999995</v>
      </c>
    </row>
    <row r="1186" spans="1:2" x14ac:dyDescent="0.2">
      <c r="A1186" s="68">
        <v>44119</v>
      </c>
      <c r="B1186" s="69">
        <v>0.86934</v>
      </c>
    </row>
    <row r="1187" spans="1:2" x14ac:dyDescent="0.2">
      <c r="A1187" s="68">
        <v>44118</v>
      </c>
      <c r="B1187" s="69">
        <v>0.87060999999999999</v>
      </c>
    </row>
    <row r="1188" spans="1:2" x14ac:dyDescent="0.2">
      <c r="A1188" s="68">
        <v>44117</v>
      </c>
      <c r="B1188" s="69">
        <v>0.86833000000000005</v>
      </c>
    </row>
    <row r="1189" spans="1:2" x14ac:dyDescent="0.2">
      <c r="A1189" s="68">
        <v>44116</v>
      </c>
      <c r="B1189" s="69">
        <v>0.86614000000000002</v>
      </c>
    </row>
    <row r="1190" spans="1:2" x14ac:dyDescent="0.2">
      <c r="A1190" s="68">
        <v>44113</v>
      </c>
      <c r="B1190" s="69">
        <v>0.87478</v>
      </c>
    </row>
    <row r="1191" spans="1:2" x14ac:dyDescent="0.2">
      <c r="A1191" s="68">
        <v>44104</v>
      </c>
      <c r="B1191" s="69">
        <v>0.87871999999999995</v>
      </c>
    </row>
    <row r="1192" spans="1:2" x14ac:dyDescent="0.2">
      <c r="A1192" s="68">
        <v>44103</v>
      </c>
      <c r="B1192" s="69">
        <v>0.87961999999999996</v>
      </c>
    </row>
    <row r="1193" spans="1:2" x14ac:dyDescent="0.2">
      <c r="A1193" s="68">
        <v>44102</v>
      </c>
      <c r="B1193" s="69">
        <v>0.88065000000000004</v>
      </c>
    </row>
    <row r="1194" spans="1:2" x14ac:dyDescent="0.2">
      <c r="A1194" s="68">
        <v>44099</v>
      </c>
      <c r="B1194" s="69">
        <v>0.87895999999999996</v>
      </c>
    </row>
    <row r="1195" spans="1:2" x14ac:dyDescent="0.2">
      <c r="A1195" s="68">
        <v>44098</v>
      </c>
      <c r="B1195" s="69">
        <v>0.87775999999999998</v>
      </c>
    </row>
    <row r="1196" spans="1:2" x14ac:dyDescent="0.2">
      <c r="A1196" s="68">
        <v>44097</v>
      </c>
      <c r="B1196" s="69">
        <v>0.87722</v>
      </c>
    </row>
    <row r="1197" spans="1:2" x14ac:dyDescent="0.2">
      <c r="A1197" s="68">
        <v>44096</v>
      </c>
      <c r="B1197" s="69">
        <v>0.87575999999999998</v>
      </c>
    </row>
    <row r="1198" spans="1:2" x14ac:dyDescent="0.2">
      <c r="A1198" s="68">
        <v>44095</v>
      </c>
      <c r="B1198" s="69">
        <v>0.87219000000000002</v>
      </c>
    </row>
    <row r="1199" spans="1:2" x14ac:dyDescent="0.2">
      <c r="A1199" s="68">
        <v>44092</v>
      </c>
      <c r="B1199" s="69">
        <v>0.87212999999999996</v>
      </c>
    </row>
    <row r="1200" spans="1:2" x14ac:dyDescent="0.2">
      <c r="A1200" s="68">
        <v>44091</v>
      </c>
      <c r="B1200" s="69">
        <v>0.87322</v>
      </c>
    </row>
    <row r="1201" spans="1:2" x14ac:dyDescent="0.2">
      <c r="A1201" s="68">
        <v>44090</v>
      </c>
      <c r="B1201" s="69">
        <v>0.87516000000000005</v>
      </c>
    </row>
    <row r="1202" spans="1:2" x14ac:dyDescent="0.2">
      <c r="A1202" s="68">
        <v>44089</v>
      </c>
      <c r="B1202" s="69">
        <v>0.88027999999999995</v>
      </c>
    </row>
    <row r="1203" spans="1:2" x14ac:dyDescent="0.2">
      <c r="A1203" s="68">
        <v>44088</v>
      </c>
      <c r="B1203" s="69">
        <v>0.88202999999999998</v>
      </c>
    </row>
    <row r="1204" spans="1:2" x14ac:dyDescent="0.2">
      <c r="A1204" s="68">
        <v>44085</v>
      </c>
      <c r="B1204" s="69">
        <v>0.88239999999999996</v>
      </c>
    </row>
    <row r="1205" spans="1:2" x14ac:dyDescent="0.2">
      <c r="A1205" s="68">
        <v>44084</v>
      </c>
      <c r="B1205" s="69">
        <v>0.88163000000000002</v>
      </c>
    </row>
    <row r="1206" spans="1:2" x14ac:dyDescent="0.2">
      <c r="A1206" s="68">
        <v>44083</v>
      </c>
      <c r="B1206" s="69">
        <v>0.88283999999999996</v>
      </c>
    </row>
    <row r="1207" spans="1:2" x14ac:dyDescent="0.2">
      <c r="A1207" s="68">
        <v>44082</v>
      </c>
      <c r="B1207" s="69">
        <v>0.88207000000000002</v>
      </c>
    </row>
    <row r="1208" spans="1:2" x14ac:dyDescent="0.2">
      <c r="A1208" s="68">
        <v>44081</v>
      </c>
      <c r="B1208" s="69">
        <v>0.88236000000000003</v>
      </c>
    </row>
    <row r="1209" spans="1:2" x14ac:dyDescent="0.2">
      <c r="A1209" s="68">
        <v>44078</v>
      </c>
      <c r="B1209" s="69">
        <v>0.88202999999999998</v>
      </c>
    </row>
    <row r="1210" spans="1:2" x14ac:dyDescent="0.2">
      <c r="A1210" s="68">
        <v>44077</v>
      </c>
      <c r="B1210" s="69">
        <v>0.88151000000000002</v>
      </c>
    </row>
    <row r="1211" spans="1:2" x14ac:dyDescent="0.2">
      <c r="A1211" s="68">
        <v>44076</v>
      </c>
      <c r="B1211" s="69">
        <v>0.88227</v>
      </c>
    </row>
    <row r="1212" spans="1:2" x14ac:dyDescent="0.2">
      <c r="A1212" s="68">
        <v>44075</v>
      </c>
      <c r="B1212" s="69">
        <v>0.88383</v>
      </c>
    </row>
    <row r="1213" spans="1:2" x14ac:dyDescent="0.2">
      <c r="A1213" s="68">
        <v>44074</v>
      </c>
      <c r="B1213" s="69">
        <v>0.88519999999999999</v>
      </c>
    </row>
    <row r="1214" spans="1:2" x14ac:dyDescent="0.2">
      <c r="A1214" s="68">
        <v>44071</v>
      </c>
      <c r="B1214" s="69">
        <v>0.88890999999999998</v>
      </c>
    </row>
    <row r="1215" spans="1:2" x14ac:dyDescent="0.2">
      <c r="A1215" s="68">
        <v>44070</v>
      </c>
      <c r="B1215" s="69">
        <v>0.88905000000000001</v>
      </c>
    </row>
    <row r="1216" spans="1:2" x14ac:dyDescent="0.2">
      <c r="A1216" s="68">
        <v>44069</v>
      </c>
      <c r="B1216" s="69">
        <v>0.89129999999999998</v>
      </c>
    </row>
    <row r="1217" spans="1:2" x14ac:dyDescent="0.2">
      <c r="A1217" s="68">
        <v>44068</v>
      </c>
      <c r="B1217" s="69">
        <v>0.89266000000000001</v>
      </c>
    </row>
    <row r="1218" spans="1:2" x14ac:dyDescent="0.2">
      <c r="A1218" s="68">
        <v>44067</v>
      </c>
      <c r="B1218" s="69">
        <v>0.89278999999999997</v>
      </c>
    </row>
    <row r="1219" spans="1:2" x14ac:dyDescent="0.2">
      <c r="A1219" s="68">
        <v>44064</v>
      </c>
      <c r="B1219" s="69">
        <v>0.89166999999999996</v>
      </c>
    </row>
    <row r="1220" spans="1:2" x14ac:dyDescent="0.2">
      <c r="A1220" s="68">
        <v>44063</v>
      </c>
      <c r="B1220" s="69">
        <v>0.89385000000000003</v>
      </c>
    </row>
    <row r="1221" spans="1:2" x14ac:dyDescent="0.2">
      <c r="A1221" s="68">
        <v>44062</v>
      </c>
      <c r="B1221" s="69">
        <v>0.89246999999999999</v>
      </c>
    </row>
    <row r="1222" spans="1:2" x14ac:dyDescent="0.2">
      <c r="A1222" s="68">
        <v>44061</v>
      </c>
      <c r="B1222" s="69">
        <v>0.89448000000000005</v>
      </c>
    </row>
    <row r="1223" spans="1:2" x14ac:dyDescent="0.2">
      <c r="A1223" s="68">
        <v>44060</v>
      </c>
      <c r="B1223" s="69">
        <v>0.89490000000000003</v>
      </c>
    </row>
    <row r="1224" spans="1:2" x14ac:dyDescent="0.2">
      <c r="A1224" s="68">
        <v>44057</v>
      </c>
      <c r="B1224" s="69">
        <v>0.89551000000000003</v>
      </c>
    </row>
    <row r="1225" spans="1:2" x14ac:dyDescent="0.2">
      <c r="A1225" s="68">
        <v>44056</v>
      </c>
      <c r="B1225" s="69">
        <v>0.89573000000000003</v>
      </c>
    </row>
    <row r="1226" spans="1:2" x14ac:dyDescent="0.2">
      <c r="A1226" s="68">
        <v>44055</v>
      </c>
      <c r="B1226" s="69">
        <v>0.89800000000000002</v>
      </c>
    </row>
    <row r="1227" spans="1:2" x14ac:dyDescent="0.2">
      <c r="A1227" s="68">
        <v>44054</v>
      </c>
      <c r="B1227" s="69">
        <v>0.89947999999999995</v>
      </c>
    </row>
    <row r="1228" spans="1:2" x14ac:dyDescent="0.2">
      <c r="A1228" s="68">
        <v>44053</v>
      </c>
      <c r="B1228" s="69">
        <v>0.89864999999999995</v>
      </c>
    </row>
    <row r="1229" spans="1:2" x14ac:dyDescent="0.2">
      <c r="A1229" s="68">
        <v>44050</v>
      </c>
      <c r="B1229" s="69">
        <v>0.89556999999999998</v>
      </c>
    </row>
    <row r="1230" spans="1:2" x14ac:dyDescent="0.2">
      <c r="A1230" s="68">
        <v>44049</v>
      </c>
      <c r="B1230" s="69">
        <v>0.89595000000000002</v>
      </c>
    </row>
    <row r="1231" spans="1:2" x14ac:dyDescent="0.2">
      <c r="A1231" s="68">
        <v>44048</v>
      </c>
      <c r="B1231" s="69">
        <v>0.90000999999999998</v>
      </c>
    </row>
    <row r="1232" spans="1:2" x14ac:dyDescent="0.2">
      <c r="A1232" s="68">
        <v>44047</v>
      </c>
      <c r="B1232" s="69">
        <v>0.90064999999999995</v>
      </c>
    </row>
    <row r="1233" spans="1:2" x14ac:dyDescent="0.2">
      <c r="A1233" s="68">
        <v>44046</v>
      </c>
      <c r="B1233" s="69">
        <v>0.90293999999999996</v>
      </c>
    </row>
    <row r="1234" spans="1:2" x14ac:dyDescent="0.2">
      <c r="A1234" s="68">
        <v>44043</v>
      </c>
      <c r="B1234" s="69">
        <v>0.90125</v>
      </c>
    </row>
    <row r="1235" spans="1:2" x14ac:dyDescent="0.2">
      <c r="A1235" s="68">
        <v>44042</v>
      </c>
      <c r="B1235" s="69">
        <v>0.90195999999999998</v>
      </c>
    </row>
    <row r="1236" spans="1:2" x14ac:dyDescent="0.2">
      <c r="A1236" s="68">
        <v>44041</v>
      </c>
      <c r="B1236" s="69">
        <v>0.90278000000000003</v>
      </c>
    </row>
    <row r="1237" spans="1:2" x14ac:dyDescent="0.2">
      <c r="A1237" s="68">
        <v>44040</v>
      </c>
      <c r="B1237" s="69">
        <v>0.90176999999999996</v>
      </c>
    </row>
    <row r="1238" spans="1:2" x14ac:dyDescent="0.2">
      <c r="A1238" s="68">
        <v>44039</v>
      </c>
      <c r="B1238" s="69">
        <v>0.90344000000000002</v>
      </c>
    </row>
    <row r="1239" spans="1:2" x14ac:dyDescent="0.2">
      <c r="A1239" s="68">
        <v>44036</v>
      </c>
      <c r="B1239" s="69">
        <v>0.90225</v>
      </c>
    </row>
    <row r="1240" spans="1:2" x14ac:dyDescent="0.2">
      <c r="A1240" s="68">
        <v>44035</v>
      </c>
      <c r="B1240" s="69">
        <v>0.90198999999999996</v>
      </c>
    </row>
    <row r="1241" spans="1:2" x14ac:dyDescent="0.2">
      <c r="A1241" s="68">
        <v>44034</v>
      </c>
      <c r="B1241" s="69">
        <v>0.89949999999999997</v>
      </c>
    </row>
    <row r="1242" spans="1:2" x14ac:dyDescent="0.2">
      <c r="A1242" s="68">
        <v>44033</v>
      </c>
      <c r="B1242" s="69">
        <v>0.90122999999999998</v>
      </c>
    </row>
    <row r="1243" spans="1:2" x14ac:dyDescent="0.2">
      <c r="A1243" s="68">
        <v>44032</v>
      </c>
      <c r="B1243" s="69">
        <v>0.90185000000000004</v>
      </c>
    </row>
    <row r="1244" spans="1:2" x14ac:dyDescent="0.2">
      <c r="A1244" s="68">
        <v>44029</v>
      </c>
      <c r="B1244" s="69">
        <v>0.90337000000000001</v>
      </c>
    </row>
    <row r="1245" spans="1:2" x14ac:dyDescent="0.2">
      <c r="A1245" s="68">
        <v>44028</v>
      </c>
      <c r="B1245" s="69">
        <v>0.90178000000000003</v>
      </c>
    </row>
    <row r="1246" spans="1:2" x14ac:dyDescent="0.2">
      <c r="A1246" s="68">
        <v>44027</v>
      </c>
      <c r="B1246" s="69">
        <v>0.90283999999999998</v>
      </c>
    </row>
    <row r="1247" spans="1:2" x14ac:dyDescent="0.2">
      <c r="A1247" s="68">
        <v>44026</v>
      </c>
      <c r="B1247" s="69">
        <v>0.90303</v>
      </c>
    </row>
    <row r="1248" spans="1:2" x14ac:dyDescent="0.2">
      <c r="A1248" s="68">
        <v>44025</v>
      </c>
      <c r="B1248" s="69">
        <v>0.90256999999999998</v>
      </c>
    </row>
    <row r="1249" spans="1:2" x14ac:dyDescent="0.2">
      <c r="A1249" s="68">
        <v>44022</v>
      </c>
      <c r="B1249" s="69">
        <v>0.90247999999999995</v>
      </c>
    </row>
    <row r="1250" spans="1:2" x14ac:dyDescent="0.2">
      <c r="A1250" s="68">
        <v>44021</v>
      </c>
      <c r="B1250" s="69">
        <v>0.90432000000000001</v>
      </c>
    </row>
    <row r="1251" spans="1:2" x14ac:dyDescent="0.2">
      <c r="A1251" s="68">
        <v>44020</v>
      </c>
      <c r="B1251" s="69">
        <v>0.90588000000000002</v>
      </c>
    </row>
    <row r="1252" spans="1:2" x14ac:dyDescent="0.2">
      <c r="A1252" s="68">
        <v>44019</v>
      </c>
      <c r="B1252" s="69">
        <v>0.90722000000000003</v>
      </c>
    </row>
    <row r="1253" spans="1:2" x14ac:dyDescent="0.2">
      <c r="A1253" s="68">
        <v>44018</v>
      </c>
      <c r="B1253" s="69">
        <v>0.91176000000000001</v>
      </c>
    </row>
    <row r="1254" spans="1:2" x14ac:dyDescent="0.2">
      <c r="A1254" s="68">
        <v>44015</v>
      </c>
      <c r="B1254" s="69">
        <v>0.91142000000000001</v>
      </c>
    </row>
    <row r="1255" spans="1:2" x14ac:dyDescent="0.2">
      <c r="A1255" s="68">
        <v>44014</v>
      </c>
      <c r="B1255" s="69">
        <v>0.91046000000000005</v>
      </c>
    </row>
    <row r="1256" spans="1:2" x14ac:dyDescent="0.2">
      <c r="A1256" s="68">
        <v>44013</v>
      </c>
      <c r="B1256" s="69">
        <v>0.91232000000000002</v>
      </c>
    </row>
    <row r="1257" spans="1:2" x14ac:dyDescent="0.2">
      <c r="A1257" s="68">
        <v>44012</v>
      </c>
      <c r="B1257" s="69">
        <v>0.91344000000000003</v>
      </c>
    </row>
    <row r="1258" spans="1:2" x14ac:dyDescent="0.2">
      <c r="A1258" s="68">
        <v>44011</v>
      </c>
      <c r="B1258" s="69">
        <v>0.91361000000000003</v>
      </c>
    </row>
    <row r="1259" spans="1:2" x14ac:dyDescent="0.2">
      <c r="A1259" s="68">
        <v>44006</v>
      </c>
      <c r="B1259" s="69">
        <v>0.91037000000000001</v>
      </c>
    </row>
    <row r="1260" spans="1:2" x14ac:dyDescent="0.2">
      <c r="A1260" s="68">
        <v>44005</v>
      </c>
      <c r="B1260" s="69">
        <v>0.91185000000000005</v>
      </c>
    </row>
    <row r="1261" spans="1:2" x14ac:dyDescent="0.2">
      <c r="A1261" s="68">
        <v>44004</v>
      </c>
      <c r="B1261" s="69">
        <v>0.91435</v>
      </c>
    </row>
    <row r="1262" spans="1:2" x14ac:dyDescent="0.2">
      <c r="A1262" s="68">
        <v>44001</v>
      </c>
      <c r="B1262" s="69">
        <v>0.91496</v>
      </c>
    </row>
    <row r="1263" spans="1:2" x14ac:dyDescent="0.2">
      <c r="A1263" s="68">
        <v>44000</v>
      </c>
      <c r="B1263" s="69">
        <v>0.91485000000000005</v>
      </c>
    </row>
    <row r="1264" spans="1:2" x14ac:dyDescent="0.2">
      <c r="A1264" s="68">
        <v>43999</v>
      </c>
      <c r="B1264" s="69">
        <v>0.91447000000000001</v>
      </c>
    </row>
    <row r="1265" spans="1:2" x14ac:dyDescent="0.2">
      <c r="A1265" s="68">
        <v>43998</v>
      </c>
      <c r="B1265" s="69">
        <v>0.91293000000000002</v>
      </c>
    </row>
    <row r="1266" spans="1:2" x14ac:dyDescent="0.2">
      <c r="A1266" s="68">
        <v>43997</v>
      </c>
      <c r="B1266" s="69">
        <v>0.91483999999999999</v>
      </c>
    </row>
    <row r="1267" spans="1:2" x14ac:dyDescent="0.2">
      <c r="A1267" s="68">
        <v>43994</v>
      </c>
      <c r="B1267" s="69">
        <v>0.9143</v>
      </c>
    </row>
    <row r="1268" spans="1:2" x14ac:dyDescent="0.2">
      <c r="A1268" s="68">
        <v>43993</v>
      </c>
      <c r="B1268" s="69">
        <v>0.91100000000000003</v>
      </c>
    </row>
    <row r="1269" spans="1:2" x14ac:dyDescent="0.2">
      <c r="A1269" s="68">
        <v>43992</v>
      </c>
      <c r="B1269" s="69">
        <v>0.91229000000000005</v>
      </c>
    </row>
    <row r="1270" spans="1:2" x14ac:dyDescent="0.2">
      <c r="A1270" s="68">
        <v>43991</v>
      </c>
      <c r="B1270" s="69">
        <v>0.91237999999999997</v>
      </c>
    </row>
    <row r="1271" spans="1:2" x14ac:dyDescent="0.2">
      <c r="A1271" s="68">
        <v>43990</v>
      </c>
      <c r="B1271" s="69">
        <v>0.91459000000000001</v>
      </c>
    </row>
    <row r="1272" spans="1:2" x14ac:dyDescent="0.2">
      <c r="A1272" s="68">
        <v>43987</v>
      </c>
      <c r="B1272" s="69">
        <v>0.91566000000000003</v>
      </c>
    </row>
    <row r="1273" spans="1:2" x14ac:dyDescent="0.2">
      <c r="A1273" s="68">
        <v>43986</v>
      </c>
      <c r="B1273" s="69">
        <v>0.91625999999999996</v>
      </c>
    </row>
    <row r="1274" spans="1:2" x14ac:dyDescent="0.2">
      <c r="A1274" s="68">
        <v>43985</v>
      </c>
      <c r="B1274" s="69">
        <v>0.91701999999999995</v>
      </c>
    </row>
    <row r="1275" spans="1:2" x14ac:dyDescent="0.2">
      <c r="A1275" s="68">
        <v>43984</v>
      </c>
      <c r="B1275" s="69">
        <v>0.91820999999999997</v>
      </c>
    </row>
    <row r="1276" spans="1:2" x14ac:dyDescent="0.2">
      <c r="A1276" s="68">
        <v>43983</v>
      </c>
      <c r="B1276" s="69">
        <v>0.91998000000000002</v>
      </c>
    </row>
    <row r="1277" spans="1:2" x14ac:dyDescent="0.2">
      <c r="A1277" s="68">
        <v>43980</v>
      </c>
      <c r="B1277" s="69">
        <v>0.91988999999999999</v>
      </c>
    </row>
    <row r="1278" spans="1:2" x14ac:dyDescent="0.2">
      <c r="A1278" s="68">
        <v>43979</v>
      </c>
      <c r="B1278" s="69">
        <v>0.91940999999999995</v>
      </c>
    </row>
    <row r="1279" spans="1:2" x14ac:dyDescent="0.2">
      <c r="A1279" s="68">
        <v>43978</v>
      </c>
      <c r="B1279" s="69">
        <v>0.91700999999999999</v>
      </c>
    </row>
    <row r="1280" spans="1:2" x14ac:dyDescent="0.2">
      <c r="A1280" s="68">
        <v>43977</v>
      </c>
      <c r="B1280" s="69">
        <v>0.91957999999999995</v>
      </c>
    </row>
    <row r="1281" spans="1:2" x14ac:dyDescent="0.2">
      <c r="A1281" s="68">
        <v>43976</v>
      </c>
      <c r="B1281" s="69">
        <v>0.91808999999999996</v>
      </c>
    </row>
    <row r="1282" spans="1:2" x14ac:dyDescent="0.2">
      <c r="A1282" s="68">
        <v>43973</v>
      </c>
      <c r="B1282" s="69">
        <v>0.91479999999999995</v>
      </c>
    </row>
    <row r="1283" spans="1:2" x14ac:dyDescent="0.2">
      <c r="A1283" s="68">
        <v>43972</v>
      </c>
      <c r="B1283" s="69">
        <v>0.91439000000000004</v>
      </c>
    </row>
    <row r="1284" spans="1:2" x14ac:dyDescent="0.2">
      <c r="A1284" s="68">
        <v>43971</v>
      </c>
      <c r="B1284" s="69">
        <v>0.91549000000000003</v>
      </c>
    </row>
    <row r="1285" spans="1:2" x14ac:dyDescent="0.2">
      <c r="A1285" s="68">
        <v>43970</v>
      </c>
      <c r="B1285" s="69">
        <v>0.91485000000000005</v>
      </c>
    </row>
    <row r="1286" spans="1:2" x14ac:dyDescent="0.2">
      <c r="A1286" s="68">
        <v>43969</v>
      </c>
      <c r="B1286" s="69">
        <v>0.91632000000000002</v>
      </c>
    </row>
    <row r="1287" spans="1:2" x14ac:dyDescent="0.2">
      <c r="A1287" s="68">
        <v>43966</v>
      </c>
      <c r="B1287" s="69">
        <v>0.91507000000000005</v>
      </c>
    </row>
    <row r="1288" spans="1:2" x14ac:dyDescent="0.2">
      <c r="A1288" s="68">
        <v>43965</v>
      </c>
      <c r="B1288" s="69">
        <v>0.91532999999999998</v>
      </c>
    </row>
    <row r="1289" spans="1:2" x14ac:dyDescent="0.2">
      <c r="A1289" s="68">
        <v>43964</v>
      </c>
      <c r="B1289" s="69">
        <v>0.91444000000000003</v>
      </c>
    </row>
    <row r="1290" spans="1:2" x14ac:dyDescent="0.2">
      <c r="A1290" s="68">
        <v>43963</v>
      </c>
      <c r="B1290" s="69">
        <v>0.91498999999999997</v>
      </c>
    </row>
    <row r="1291" spans="1:2" x14ac:dyDescent="0.2">
      <c r="A1291" s="68">
        <v>43962</v>
      </c>
      <c r="B1291" s="69">
        <v>0.91302000000000005</v>
      </c>
    </row>
    <row r="1292" spans="1:2" x14ac:dyDescent="0.2">
      <c r="A1292" s="68">
        <v>43959</v>
      </c>
      <c r="B1292" s="69">
        <v>0.91327999999999998</v>
      </c>
    </row>
    <row r="1293" spans="1:2" x14ac:dyDescent="0.2">
      <c r="A1293" s="68">
        <v>43958</v>
      </c>
      <c r="B1293" s="69">
        <v>0.91503000000000001</v>
      </c>
    </row>
    <row r="1294" spans="1:2" x14ac:dyDescent="0.2">
      <c r="A1294" s="68">
        <v>43957</v>
      </c>
      <c r="B1294" s="69">
        <v>0.91178000000000003</v>
      </c>
    </row>
    <row r="1295" spans="1:2" x14ac:dyDescent="0.2">
      <c r="A1295" s="68">
        <v>43951</v>
      </c>
      <c r="B1295" s="69">
        <v>0.91056000000000004</v>
      </c>
    </row>
    <row r="1296" spans="1:2" x14ac:dyDescent="0.2">
      <c r="A1296" s="68">
        <v>43950</v>
      </c>
      <c r="B1296" s="69">
        <v>0.91222000000000003</v>
      </c>
    </row>
    <row r="1297" spans="1:2" x14ac:dyDescent="0.2">
      <c r="A1297" s="68">
        <v>43949</v>
      </c>
      <c r="B1297" s="69">
        <v>0.91227000000000003</v>
      </c>
    </row>
    <row r="1298" spans="1:2" x14ac:dyDescent="0.2">
      <c r="A1298" s="68">
        <v>43948</v>
      </c>
      <c r="B1298" s="69">
        <v>0.91225000000000001</v>
      </c>
    </row>
    <row r="1299" spans="1:2" x14ac:dyDescent="0.2">
      <c r="A1299" s="68">
        <v>43945</v>
      </c>
      <c r="B1299" s="69">
        <v>0.91344999999999998</v>
      </c>
    </row>
    <row r="1300" spans="1:2" x14ac:dyDescent="0.2">
      <c r="A1300" s="68">
        <v>43944</v>
      </c>
      <c r="B1300" s="69">
        <v>0.91456999999999999</v>
      </c>
    </row>
    <row r="1301" spans="1:2" x14ac:dyDescent="0.2">
      <c r="A1301" s="68">
        <v>43943</v>
      </c>
      <c r="B1301" s="69">
        <v>0.91486000000000001</v>
      </c>
    </row>
    <row r="1302" spans="1:2" x14ac:dyDescent="0.2">
      <c r="A1302" s="68">
        <v>43942</v>
      </c>
      <c r="B1302" s="69">
        <v>0.91288999999999998</v>
      </c>
    </row>
    <row r="1303" spans="1:2" x14ac:dyDescent="0.2">
      <c r="A1303" s="68">
        <v>43941</v>
      </c>
      <c r="B1303" s="69">
        <v>0.91159000000000001</v>
      </c>
    </row>
    <row r="1304" spans="1:2" x14ac:dyDescent="0.2">
      <c r="A1304" s="68">
        <v>43938</v>
      </c>
      <c r="B1304" s="69">
        <v>0.91234999999999999</v>
      </c>
    </row>
    <row r="1305" spans="1:2" x14ac:dyDescent="0.2">
      <c r="A1305" s="68">
        <v>43937</v>
      </c>
      <c r="B1305" s="69">
        <v>0.91227000000000003</v>
      </c>
    </row>
    <row r="1306" spans="1:2" x14ac:dyDescent="0.2">
      <c r="A1306" s="68">
        <v>43936</v>
      </c>
      <c r="B1306" s="69">
        <v>0.90819000000000005</v>
      </c>
    </row>
    <row r="1307" spans="1:2" x14ac:dyDescent="0.2">
      <c r="A1307" s="68">
        <v>43935</v>
      </c>
      <c r="B1307" s="69">
        <v>0.90815000000000001</v>
      </c>
    </row>
    <row r="1308" spans="1:2" x14ac:dyDescent="0.2">
      <c r="A1308" s="68">
        <v>43934</v>
      </c>
      <c r="B1308" s="69">
        <v>0.90676999999999996</v>
      </c>
    </row>
    <row r="1309" spans="1:2" x14ac:dyDescent="0.2">
      <c r="A1309" s="68">
        <v>43931</v>
      </c>
      <c r="B1309" s="69">
        <v>0.90744000000000002</v>
      </c>
    </row>
    <row r="1310" spans="1:2" x14ac:dyDescent="0.2">
      <c r="A1310" s="68">
        <v>43930</v>
      </c>
      <c r="B1310" s="69">
        <v>0.90991</v>
      </c>
    </row>
    <row r="1311" spans="1:2" x14ac:dyDescent="0.2">
      <c r="A1311" s="68">
        <v>43929</v>
      </c>
      <c r="B1311" s="69">
        <v>0.90912000000000004</v>
      </c>
    </row>
    <row r="1312" spans="1:2" x14ac:dyDescent="0.2">
      <c r="A1312" s="68">
        <v>43928</v>
      </c>
      <c r="B1312" s="69">
        <v>0.91500999999999999</v>
      </c>
    </row>
    <row r="1313" spans="1:2" x14ac:dyDescent="0.2">
      <c r="A1313" s="68">
        <v>43924</v>
      </c>
      <c r="B1313" s="69">
        <v>0.91725000000000001</v>
      </c>
    </row>
    <row r="1314" spans="1:2" x14ac:dyDescent="0.2">
      <c r="A1314" s="68">
        <v>43923</v>
      </c>
      <c r="B1314" s="69">
        <v>0.91581000000000001</v>
      </c>
    </row>
    <row r="1315" spans="1:2" x14ac:dyDescent="0.2">
      <c r="A1315" s="68">
        <v>43922</v>
      </c>
      <c r="B1315" s="69">
        <v>0.91276999999999997</v>
      </c>
    </row>
    <row r="1316" spans="1:2" x14ac:dyDescent="0.2">
      <c r="A1316" s="68">
        <v>43921</v>
      </c>
      <c r="B1316" s="69">
        <v>0.91369999999999996</v>
      </c>
    </row>
    <row r="1317" spans="1:2" x14ac:dyDescent="0.2">
      <c r="A1317" s="68">
        <v>43920</v>
      </c>
      <c r="B1317" s="69">
        <v>0.90858000000000005</v>
      </c>
    </row>
    <row r="1318" spans="1:2" x14ac:dyDescent="0.2">
      <c r="A1318" s="68">
        <v>43917</v>
      </c>
      <c r="B1318" s="69">
        <v>0.90839000000000003</v>
      </c>
    </row>
    <row r="1319" spans="1:2" x14ac:dyDescent="0.2">
      <c r="A1319" s="68">
        <v>43916</v>
      </c>
      <c r="B1319" s="69">
        <v>0.91166999999999998</v>
      </c>
    </row>
    <row r="1320" spans="1:2" x14ac:dyDescent="0.2">
      <c r="A1320" s="68">
        <v>43915</v>
      </c>
      <c r="B1320" s="69">
        <v>0.91242999999999996</v>
      </c>
    </row>
    <row r="1321" spans="1:2" x14ac:dyDescent="0.2">
      <c r="A1321" s="68">
        <v>43914</v>
      </c>
      <c r="B1321" s="69">
        <v>0.91556000000000004</v>
      </c>
    </row>
    <row r="1322" spans="1:2" x14ac:dyDescent="0.2">
      <c r="A1322" s="68">
        <v>43913</v>
      </c>
      <c r="B1322" s="69">
        <v>0.91432000000000002</v>
      </c>
    </row>
    <row r="1323" spans="1:2" x14ac:dyDescent="0.2">
      <c r="A1323" s="68">
        <v>43910</v>
      </c>
      <c r="B1323" s="69">
        <v>0.91552999999999995</v>
      </c>
    </row>
    <row r="1324" spans="1:2" x14ac:dyDescent="0.2">
      <c r="A1324" s="68">
        <v>43909</v>
      </c>
      <c r="B1324" s="69">
        <v>0.90812999999999999</v>
      </c>
    </row>
    <row r="1325" spans="1:2" x14ac:dyDescent="0.2">
      <c r="A1325" s="68">
        <v>43908</v>
      </c>
      <c r="B1325" s="69">
        <v>0.90588999999999997</v>
      </c>
    </row>
    <row r="1326" spans="1:2" x14ac:dyDescent="0.2">
      <c r="A1326" s="68">
        <v>43907</v>
      </c>
      <c r="B1326" s="69">
        <v>0.90208999999999995</v>
      </c>
    </row>
    <row r="1327" spans="1:2" x14ac:dyDescent="0.2">
      <c r="A1327" s="68">
        <v>43906</v>
      </c>
      <c r="B1327" s="69">
        <v>0.90215999999999996</v>
      </c>
    </row>
    <row r="1328" spans="1:2" x14ac:dyDescent="0.2">
      <c r="A1328" s="68">
        <v>43903</v>
      </c>
      <c r="B1328" s="69">
        <v>0.90022999999999997</v>
      </c>
    </row>
    <row r="1329" spans="1:2" x14ac:dyDescent="0.2">
      <c r="A1329" s="68">
        <v>43902</v>
      </c>
      <c r="B1329" s="69">
        <v>0.89612999999999998</v>
      </c>
    </row>
    <row r="1330" spans="1:2" x14ac:dyDescent="0.2">
      <c r="A1330" s="68">
        <v>43901</v>
      </c>
      <c r="B1330" s="69">
        <v>0.89593999999999996</v>
      </c>
    </row>
    <row r="1331" spans="1:2" x14ac:dyDescent="0.2">
      <c r="A1331" s="68">
        <v>43900</v>
      </c>
      <c r="B1331" s="69">
        <v>0.89273000000000002</v>
      </c>
    </row>
    <row r="1332" spans="1:2" x14ac:dyDescent="0.2">
      <c r="A1332" s="68">
        <v>43899</v>
      </c>
      <c r="B1332" s="69">
        <v>0.89168999999999998</v>
      </c>
    </row>
    <row r="1333" spans="1:2" x14ac:dyDescent="0.2">
      <c r="A1333" s="68">
        <v>43896</v>
      </c>
      <c r="B1333" s="69">
        <v>0.89215</v>
      </c>
    </row>
    <row r="1334" spans="1:2" x14ac:dyDescent="0.2">
      <c r="A1334" s="68">
        <v>43895</v>
      </c>
      <c r="B1334" s="69">
        <v>0.89293999999999996</v>
      </c>
    </row>
    <row r="1335" spans="1:2" x14ac:dyDescent="0.2">
      <c r="A1335" s="68">
        <v>43894</v>
      </c>
      <c r="B1335" s="69">
        <v>0.89473000000000003</v>
      </c>
    </row>
    <row r="1336" spans="1:2" x14ac:dyDescent="0.2">
      <c r="A1336" s="68">
        <v>43893</v>
      </c>
      <c r="B1336" s="69">
        <v>0.89332999999999996</v>
      </c>
    </row>
    <row r="1337" spans="1:2" x14ac:dyDescent="0.2">
      <c r="A1337" s="68">
        <v>43892</v>
      </c>
      <c r="B1337" s="69">
        <v>0.89553000000000005</v>
      </c>
    </row>
    <row r="1338" spans="1:2" x14ac:dyDescent="0.2">
      <c r="A1338" s="68">
        <v>43889</v>
      </c>
      <c r="B1338" s="69">
        <v>0.89866000000000001</v>
      </c>
    </row>
    <row r="1339" spans="1:2" x14ac:dyDescent="0.2">
      <c r="A1339" s="68">
        <v>43888</v>
      </c>
      <c r="B1339" s="69">
        <v>0.90097000000000005</v>
      </c>
    </row>
    <row r="1340" spans="1:2" x14ac:dyDescent="0.2">
      <c r="A1340" s="68">
        <v>43887</v>
      </c>
      <c r="B1340" s="69">
        <v>0.89993999999999996</v>
      </c>
    </row>
    <row r="1341" spans="1:2" x14ac:dyDescent="0.2">
      <c r="A1341" s="68">
        <v>43886</v>
      </c>
      <c r="B1341" s="69">
        <v>0.90130999999999994</v>
      </c>
    </row>
    <row r="1342" spans="1:2" x14ac:dyDescent="0.2">
      <c r="A1342" s="68">
        <v>43885</v>
      </c>
      <c r="B1342" s="69">
        <v>0.90132999999999996</v>
      </c>
    </row>
    <row r="1343" spans="1:2" x14ac:dyDescent="0.2">
      <c r="A1343" s="68">
        <v>43882</v>
      </c>
      <c r="B1343" s="69">
        <v>0.90210999999999997</v>
      </c>
    </row>
    <row r="1344" spans="1:2" x14ac:dyDescent="0.2">
      <c r="A1344" s="68">
        <v>43881</v>
      </c>
      <c r="B1344" s="69">
        <v>0.90090999999999999</v>
      </c>
    </row>
    <row r="1345" spans="1:2" x14ac:dyDescent="0.2">
      <c r="A1345" s="68">
        <v>43880</v>
      </c>
      <c r="B1345" s="69">
        <v>0.90115000000000001</v>
      </c>
    </row>
    <row r="1346" spans="1:2" x14ac:dyDescent="0.2">
      <c r="A1346" s="68">
        <v>43879</v>
      </c>
      <c r="B1346" s="69">
        <v>0.89890999999999999</v>
      </c>
    </row>
    <row r="1347" spans="1:2" x14ac:dyDescent="0.2">
      <c r="A1347" s="68">
        <v>43878</v>
      </c>
      <c r="B1347" s="69">
        <v>0.89846999999999999</v>
      </c>
    </row>
    <row r="1348" spans="1:2" x14ac:dyDescent="0.2">
      <c r="A1348" s="68">
        <v>43875</v>
      </c>
      <c r="B1348" s="69">
        <v>0.89927999999999997</v>
      </c>
    </row>
    <row r="1349" spans="1:2" x14ac:dyDescent="0.2">
      <c r="A1349" s="68">
        <v>43874</v>
      </c>
      <c r="B1349" s="69">
        <v>0.89815999999999996</v>
      </c>
    </row>
    <row r="1350" spans="1:2" x14ac:dyDescent="0.2">
      <c r="A1350" s="68">
        <v>43873</v>
      </c>
      <c r="B1350" s="69">
        <v>0.89778999999999998</v>
      </c>
    </row>
    <row r="1351" spans="1:2" x14ac:dyDescent="0.2">
      <c r="A1351" s="68">
        <v>43872</v>
      </c>
      <c r="B1351" s="69">
        <v>0.90014000000000005</v>
      </c>
    </row>
    <row r="1352" spans="1:2" x14ac:dyDescent="0.2">
      <c r="A1352" s="68">
        <v>43871</v>
      </c>
      <c r="B1352" s="69">
        <v>0.89963000000000004</v>
      </c>
    </row>
    <row r="1353" spans="1:2" x14ac:dyDescent="0.2">
      <c r="A1353" s="68">
        <v>43868</v>
      </c>
      <c r="B1353" s="69">
        <v>0.89859</v>
      </c>
    </row>
    <row r="1354" spans="1:2" x14ac:dyDescent="0.2">
      <c r="A1354" s="68">
        <v>43867</v>
      </c>
      <c r="B1354" s="69">
        <v>0.90137</v>
      </c>
    </row>
    <row r="1355" spans="1:2" x14ac:dyDescent="0.2">
      <c r="A1355" s="68">
        <v>43866</v>
      </c>
      <c r="B1355" s="69">
        <v>0.89890000000000003</v>
      </c>
    </row>
    <row r="1356" spans="1:2" x14ac:dyDescent="0.2">
      <c r="A1356" s="68">
        <v>43865</v>
      </c>
      <c r="B1356" s="69">
        <v>0.89827000000000001</v>
      </c>
    </row>
    <row r="1357" spans="1:2" x14ac:dyDescent="0.2">
      <c r="A1357" s="68">
        <v>43864</v>
      </c>
      <c r="B1357" s="69">
        <v>0.89163000000000003</v>
      </c>
    </row>
    <row r="1358" spans="1:2" x14ac:dyDescent="0.2">
      <c r="A1358" s="68">
        <v>43853</v>
      </c>
      <c r="B1358" s="69">
        <v>0.88593</v>
      </c>
    </row>
    <row r="1359" spans="1:2" x14ac:dyDescent="0.2">
      <c r="A1359" s="68">
        <v>43852</v>
      </c>
      <c r="B1359" s="69">
        <v>0.88624999999999998</v>
      </c>
    </row>
    <row r="1360" spans="1:2" x14ac:dyDescent="0.2">
      <c r="A1360" s="68">
        <v>43851</v>
      </c>
      <c r="B1360" s="69">
        <v>0.88280999999999998</v>
      </c>
    </row>
    <row r="1361" spans="1:2" x14ac:dyDescent="0.2">
      <c r="A1361" s="68">
        <v>43850</v>
      </c>
      <c r="B1361" s="69">
        <v>0.88390000000000002</v>
      </c>
    </row>
    <row r="1362" spans="1:2" x14ac:dyDescent="0.2">
      <c r="A1362" s="68">
        <v>43847</v>
      </c>
      <c r="B1362" s="69">
        <v>0.88617999999999997</v>
      </c>
    </row>
    <row r="1363" spans="1:2" x14ac:dyDescent="0.2">
      <c r="A1363" s="68">
        <v>43846</v>
      </c>
      <c r="B1363" s="69">
        <v>0.88558999999999999</v>
      </c>
    </row>
    <row r="1364" spans="1:2" x14ac:dyDescent="0.2">
      <c r="A1364" s="68">
        <v>43845</v>
      </c>
      <c r="B1364" s="69">
        <v>0.88504000000000005</v>
      </c>
    </row>
    <row r="1365" spans="1:2" x14ac:dyDescent="0.2">
      <c r="A1365" s="68">
        <v>43844</v>
      </c>
      <c r="B1365" s="69">
        <v>0.88690000000000002</v>
      </c>
    </row>
    <row r="1366" spans="1:2" x14ac:dyDescent="0.2">
      <c r="A1366" s="68">
        <v>43843</v>
      </c>
      <c r="B1366" s="69">
        <v>0.89185999999999999</v>
      </c>
    </row>
    <row r="1367" spans="1:2" x14ac:dyDescent="0.2">
      <c r="A1367" s="68">
        <v>43840</v>
      </c>
      <c r="B1367" s="69">
        <v>0.89307999999999998</v>
      </c>
    </row>
    <row r="1368" spans="1:2" x14ac:dyDescent="0.2">
      <c r="A1368" s="68">
        <v>43839</v>
      </c>
      <c r="B1368" s="69">
        <v>0.89359</v>
      </c>
    </row>
    <row r="1369" spans="1:2" x14ac:dyDescent="0.2">
      <c r="A1369" s="68">
        <v>43838</v>
      </c>
      <c r="B1369" s="69">
        <v>0.89336000000000004</v>
      </c>
    </row>
    <row r="1370" spans="1:2" x14ac:dyDescent="0.2">
      <c r="A1370" s="68">
        <v>43837</v>
      </c>
      <c r="B1370" s="69">
        <v>0.89639000000000002</v>
      </c>
    </row>
    <row r="1371" spans="1:2" x14ac:dyDescent="0.2">
      <c r="A1371" s="68">
        <v>43836</v>
      </c>
      <c r="B1371" s="69">
        <v>0.89595999999999998</v>
      </c>
    </row>
    <row r="1372" spans="1:2" x14ac:dyDescent="0.2">
      <c r="A1372" s="68">
        <v>43833</v>
      </c>
      <c r="B1372" s="69">
        <v>0.89456000000000002</v>
      </c>
    </row>
    <row r="1373" spans="1:2" x14ac:dyDescent="0.2">
      <c r="A1373" s="68">
        <v>43832</v>
      </c>
      <c r="B1373" s="69">
        <v>0.89327000000000001</v>
      </c>
    </row>
    <row r="1374" spans="1:2" x14ac:dyDescent="0.2">
      <c r="A1374" s="68">
        <v>43830</v>
      </c>
      <c r="B1374" s="69">
        <v>0.89578000000000002</v>
      </c>
    </row>
    <row r="1375" spans="1:2" x14ac:dyDescent="0.2">
      <c r="A1375" s="68">
        <v>43829</v>
      </c>
      <c r="B1375" s="69">
        <v>0.89600000000000002</v>
      </c>
    </row>
    <row r="1376" spans="1:2" x14ac:dyDescent="0.2">
      <c r="A1376" s="68">
        <v>43826</v>
      </c>
      <c r="B1376" s="69">
        <v>0.89714000000000005</v>
      </c>
    </row>
    <row r="1377" spans="1:2" x14ac:dyDescent="0.2">
      <c r="A1377" s="68">
        <v>43825</v>
      </c>
      <c r="B1377" s="69">
        <v>0.89607999999999999</v>
      </c>
    </row>
    <row r="1378" spans="1:2" x14ac:dyDescent="0.2">
      <c r="A1378" s="68">
        <v>43824</v>
      </c>
      <c r="B1378" s="69">
        <v>0.89964999999999995</v>
      </c>
    </row>
    <row r="1379" spans="1:2" x14ac:dyDescent="0.2">
      <c r="A1379" s="68">
        <v>43823</v>
      </c>
      <c r="B1379" s="69">
        <v>0.90066999999999997</v>
      </c>
    </row>
    <row r="1380" spans="1:2" x14ac:dyDescent="0.2">
      <c r="A1380" s="68">
        <v>43822</v>
      </c>
      <c r="B1380" s="69">
        <v>0.89914000000000005</v>
      </c>
    </row>
    <row r="1381" spans="1:2" x14ac:dyDescent="0.2">
      <c r="A1381" s="68">
        <v>43819</v>
      </c>
      <c r="B1381" s="69">
        <v>0.89788999999999997</v>
      </c>
    </row>
    <row r="1382" spans="1:2" x14ac:dyDescent="0.2">
      <c r="A1382" s="68">
        <v>43818</v>
      </c>
      <c r="B1382" s="69">
        <v>0.89903999999999995</v>
      </c>
    </row>
    <row r="1383" spans="1:2" x14ac:dyDescent="0.2">
      <c r="A1383" s="68">
        <v>43817</v>
      </c>
      <c r="B1383" s="69">
        <v>0.89858000000000005</v>
      </c>
    </row>
    <row r="1384" spans="1:2" x14ac:dyDescent="0.2">
      <c r="A1384" s="68">
        <v>43816</v>
      </c>
      <c r="B1384" s="69">
        <v>0.89809000000000005</v>
      </c>
    </row>
    <row r="1385" spans="1:2" x14ac:dyDescent="0.2">
      <c r="A1385" s="68">
        <v>43815</v>
      </c>
      <c r="B1385" s="69">
        <v>0.89668000000000003</v>
      </c>
    </row>
    <row r="1386" spans="1:2" x14ac:dyDescent="0.2">
      <c r="A1386" s="68">
        <v>43812</v>
      </c>
      <c r="B1386" s="69">
        <v>0.89868000000000003</v>
      </c>
    </row>
    <row r="1387" spans="1:2" x14ac:dyDescent="0.2">
      <c r="A1387" s="68">
        <v>43811</v>
      </c>
      <c r="B1387" s="69">
        <v>0.89961999999999998</v>
      </c>
    </row>
    <row r="1388" spans="1:2" x14ac:dyDescent="0.2">
      <c r="A1388" s="68">
        <v>43810</v>
      </c>
      <c r="B1388" s="69">
        <v>0.89936000000000005</v>
      </c>
    </row>
    <row r="1389" spans="1:2" x14ac:dyDescent="0.2">
      <c r="A1389" s="68">
        <v>43809</v>
      </c>
      <c r="B1389" s="69">
        <v>0.89924999999999999</v>
      </c>
    </row>
    <row r="1390" spans="1:2" x14ac:dyDescent="0.2">
      <c r="A1390" s="68">
        <v>43808</v>
      </c>
      <c r="B1390" s="69">
        <v>0.89912000000000003</v>
      </c>
    </row>
    <row r="1391" spans="1:2" x14ac:dyDescent="0.2">
      <c r="A1391" s="68">
        <v>43805</v>
      </c>
      <c r="B1391" s="69">
        <v>0.89897000000000005</v>
      </c>
    </row>
    <row r="1392" spans="1:2" x14ac:dyDescent="0.2">
      <c r="A1392" s="68">
        <v>43804</v>
      </c>
      <c r="B1392" s="69">
        <v>0.90073999999999999</v>
      </c>
    </row>
    <row r="1393" spans="1:2" x14ac:dyDescent="0.2">
      <c r="A1393" s="68">
        <v>43803</v>
      </c>
      <c r="B1393" s="69">
        <v>0.89897000000000005</v>
      </c>
    </row>
    <row r="1394" spans="1:2" x14ac:dyDescent="0.2">
      <c r="A1394" s="68">
        <v>43802</v>
      </c>
      <c r="B1394" s="69">
        <v>0.89686999999999995</v>
      </c>
    </row>
    <row r="1395" spans="1:2" x14ac:dyDescent="0.2">
      <c r="A1395" s="68">
        <v>43801</v>
      </c>
      <c r="B1395" s="69">
        <v>0.89761000000000002</v>
      </c>
    </row>
    <row r="1396" spans="1:2" x14ac:dyDescent="0.2">
      <c r="A1396" s="68">
        <v>43798</v>
      </c>
      <c r="B1396" s="69">
        <v>0.89802000000000004</v>
      </c>
    </row>
    <row r="1397" spans="1:2" x14ac:dyDescent="0.2">
      <c r="A1397" s="68">
        <v>43797</v>
      </c>
      <c r="B1397" s="69">
        <v>0.89763000000000004</v>
      </c>
    </row>
    <row r="1398" spans="1:2" x14ac:dyDescent="0.2">
      <c r="A1398" s="68">
        <v>43796</v>
      </c>
      <c r="B1398" s="69">
        <v>0.89851999999999999</v>
      </c>
    </row>
    <row r="1399" spans="1:2" x14ac:dyDescent="0.2">
      <c r="A1399" s="68">
        <v>43795</v>
      </c>
      <c r="B1399" s="69">
        <v>0.89881</v>
      </c>
    </row>
    <row r="1400" spans="1:2" x14ac:dyDescent="0.2">
      <c r="A1400" s="68">
        <v>43794</v>
      </c>
      <c r="B1400" s="69">
        <v>0.89934999999999998</v>
      </c>
    </row>
    <row r="1401" spans="1:2" x14ac:dyDescent="0.2">
      <c r="A1401" s="68">
        <v>43791</v>
      </c>
      <c r="B1401" s="69">
        <v>0.89863999999999999</v>
      </c>
    </row>
    <row r="1402" spans="1:2" x14ac:dyDescent="0.2">
      <c r="A1402" s="68">
        <v>43790</v>
      </c>
      <c r="B1402" s="69">
        <v>0.89717999999999998</v>
      </c>
    </row>
    <row r="1403" spans="1:2" x14ac:dyDescent="0.2">
      <c r="A1403" s="68">
        <v>43789</v>
      </c>
      <c r="B1403" s="69">
        <v>0.89575000000000005</v>
      </c>
    </row>
    <row r="1404" spans="1:2" x14ac:dyDescent="0.2">
      <c r="A1404" s="68">
        <v>43788</v>
      </c>
      <c r="B1404" s="69">
        <v>0.89461000000000002</v>
      </c>
    </row>
    <row r="1405" spans="1:2" x14ac:dyDescent="0.2">
      <c r="A1405" s="68">
        <v>43787</v>
      </c>
      <c r="B1405" s="69">
        <v>0.89458000000000004</v>
      </c>
    </row>
    <row r="1406" spans="1:2" x14ac:dyDescent="0.2">
      <c r="A1406" s="68">
        <v>43784</v>
      </c>
      <c r="B1406" s="69">
        <v>0.89507999999999999</v>
      </c>
    </row>
    <row r="1407" spans="1:2" x14ac:dyDescent="0.2">
      <c r="A1407" s="68">
        <v>43783</v>
      </c>
      <c r="B1407" s="69">
        <v>0.89507000000000003</v>
      </c>
    </row>
    <row r="1408" spans="1:2" x14ac:dyDescent="0.2">
      <c r="A1408" s="68">
        <v>43782</v>
      </c>
      <c r="B1408" s="69">
        <v>0.89451000000000003</v>
      </c>
    </row>
    <row r="1409" spans="1:2" x14ac:dyDescent="0.2">
      <c r="A1409" s="68">
        <v>43781</v>
      </c>
      <c r="B1409" s="69">
        <v>0.89400000000000002</v>
      </c>
    </row>
    <row r="1410" spans="1:2" x14ac:dyDescent="0.2">
      <c r="A1410" s="68">
        <v>43780</v>
      </c>
      <c r="B1410" s="69">
        <v>0.89327000000000001</v>
      </c>
    </row>
    <row r="1411" spans="1:2" x14ac:dyDescent="0.2">
      <c r="A1411" s="68">
        <v>43777</v>
      </c>
      <c r="B1411" s="69">
        <v>0.89402000000000004</v>
      </c>
    </row>
    <row r="1412" spans="1:2" x14ac:dyDescent="0.2">
      <c r="A1412" s="68">
        <v>43776</v>
      </c>
      <c r="B1412" s="69">
        <v>0.89471000000000001</v>
      </c>
    </row>
    <row r="1413" spans="1:2" x14ac:dyDescent="0.2">
      <c r="A1413" s="68">
        <v>43775</v>
      </c>
      <c r="B1413" s="69">
        <v>0.89473000000000003</v>
      </c>
    </row>
    <row r="1414" spans="1:2" x14ac:dyDescent="0.2">
      <c r="A1414" s="68">
        <v>43774</v>
      </c>
      <c r="B1414" s="69">
        <v>0.89792000000000005</v>
      </c>
    </row>
    <row r="1415" spans="1:2" x14ac:dyDescent="0.2">
      <c r="A1415" s="68">
        <v>43773</v>
      </c>
      <c r="B1415" s="69">
        <v>0.89778999999999998</v>
      </c>
    </row>
    <row r="1416" spans="1:2" x14ac:dyDescent="0.2">
      <c r="A1416" s="68">
        <v>43770</v>
      </c>
      <c r="B1416" s="69">
        <v>0.89880000000000004</v>
      </c>
    </row>
    <row r="1417" spans="1:2" x14ac:dyDescent="0.2">
      <c r="A1417" s="68">
        <v>43769</v>
      </c>
      <c r="B1417" s="69">
        <v>0.90000999999999998</v>
      </c>
    </row>
    <row r="1418" spans="1:2" x14ac:dyDescent="0.2">
      <c r="A1418" s="68">
        <v>43768</v>
      </c>
      <c r="B1418" s="69">
        <v>0.90034999999999998</v>
      </c>
    </row>
    <row r="1419" spans="1:2" x14ac:dyDescent="0.2">
      <c r="A1419" s="68">
        <v>43767</v>
      </c>
      <c r="B1419" s="69">
        <v>0.90071000000000001</v>
      </c>
    </row>
    <row r="1420" spans="1:2" x14ac:dyDescent="0.2">
      <c r="A1420" s="68">
        <v>43766</v>
      </c>
      <c r="B1420" s="69">
        <v>0.90276999999999996</v>
      </c>
    </row>
    <row r="1421" spans="1:2" x14ac:dyDescent="0.2">
      <c r="A1421" s="68">
        <v>43763</v>
      </c>
      <c r="B1421" s="69">
        <v>0.90273999999999999</v>
      </c>
    </row>
    <row r="1422" spans="1:2" x14ac:dyDescent="0.2">
      <c r="A1422" s="68">
        <v>43762</v>
      </c>
      <c r="B1422" s="69">
        <v>0.90227000000000002</v>
      </c>
    </row>
    <row r="1423" spans="1:2" x14ac:dyDescent="0.2">
      <c r="A1423" s="68">
        <v>43761</v>
      </c>
      <c r="B1423" s="69">
        <v>0.90219000000000005</v>
      </c>
    </row>
    <row r="1424" spans="1:2" x14ac:dyDescent="0.2">
      <c r="A1424" s="68">
        <v>43760</v>
      </c>
      <c r="B1424" s="69">
        <v>0.90110999999999997</v>
      </c>
    </row>
    <row r="1425" spans="1:2" x14ac:dyDescent="0.2">
      <c r="A1425" s="68">
        <v>43759</v>
      </c>
      <c r="B1425" s="69">
        <v>0.90136000000000005</v>
      </c>
    </row>
    <row r="1426" spans="1:2" x14ac:dyDescent="0.2">
      <c r="A1426" s="68">
        <v>43756</v>
      </c>
      <c r="B1426" s="69">
        <v>0.90136000000000005</v>
      </c>
    </row>
    <row r="1427" spans="1:2" x14ac:dyDescent="0.2">
      <c r="A1427" s="68">
        <v>43755</v>
      </c>
      <c r="B1427" s="69">
        <v>0.90247999999999995</v>
      </c>
    </row>
    <row r="1428" spans="1:2" x14ac:dyDescent="0.2">
      <c r="A1428" s="68">
        <v>43754</v>
      </c>
      <c r="B1428" s="69">
        <v>0.90173000000000003</v>
      </c>
    </row>
    <row r="1429" spans="1:2" x14ac:dyDescent="0.2">
      <c r="A1429" s="68">
        <v>43753</v>
      </c>
      <c r="B1429" s="69">
        <v>0.90132999999999996</v>
      </c>
    </row>
    <row r="1430" spans="1:2" x14ac:dyDescent="0.2">
      <c r="A1430" s="68">
        <v>43752</v>
      </c>
      <c r="B1430" s="69">
        <v>0.90168000000000004</v>
      </c>
    </row>
    <row r="1431" spans="1:2" x14ac:dyDescent="0.2">
      <c r="A1431" s="68">
        <v>43749</v>
      </c>
      <c r="B1431" s="69">
        <v>0.90186999999999995</v>
      </c>
    </row>
    <row r="1432" spans="1:2" x14ac:dyDescent="0.2">
      <c r="A1432" s="68">
        <v>43748</v>
      </c>
      <c r="B1432" s="69">
        <v>0.90159999999999996</v>
      </c>
    </row>
    <row r="1433" spans="1:2" x14ac:dyDescent="0.2">
      <c r="A1433" s="68">
        <v>43747</v>
      </c>
      <c r="B1433" s="69">
        <v>0.90168999999999999</v>
      </c>
    </row>
    <row r="1434" spans="1:2" x14ac:dyDescent="0.2">
      <c r="A1434" s="68">
        <v>43746</v>
      </c>
      <c r="B1434" s="69">
        <v>0.90181</v>
      </c>
    </row>
    <row r="1435" spans="1:2" x14ac:dyDescent="0.2">
      <c r="A1435" s="68">
        <v>43738</v>
      </c>
      <c r="B1435" s="69">
        <v>0.90200999999999998</v>
      </c>
    </row>
    <row r="1436" spans="1:2" x14ac:dyDescent="0.2">
      <c r="A1436" s="68">
        <v>43735</v>
      </c>
      <c r="B1436" s="69">
        <v>0.90212000000000003</v>
      </c>
    </row>
    <row r="1437" spans="1:2" x14ac:dyDescent="0.2">
      <c r="A1437" s="68">
        <v>43734</v>
      </c>
      <c r="B1437" s="69">
        <v>0.90246999999999999</v>
      </c>
    </row>
    <row r="1438" spans="1:2" x14ac:dyDescent="0.2">
      <c r="A1438" s="68">
        <v>43733</v>
      </c>
      <c r="B1438" s="69">
        <v>0.90212999999999999</v>
      </c>
    </row>
    <row r="1439" spans="1:2" x14ac:dyDescent="0.2">
      <c r="A1439" s="68">
        <v>43732</v>
      </c>
      <c r="B1439" s="69">
        <v>0.90254999999999996</v>
      </c>
    </row>
    <row r="1440" spans="1:2" x14ac:dyDescent="0.2">
      <c r="A1440" s="68">
        <v>43731</v>
      </c>
      <c r="B1440" s="69">
        <v>0.90258000000000005</v>
      </c>
    </row>
    <row r="1441" spans="1:2" x14ac:dyDescent="0.2">
      <c r="A1441" s="68">
        <v>43728</v>
      </c>
      <c r="B1441" s="69">
        <v>0.9032</v>
      </c>
    </row>
    <row r="1442" spans="1:2" x14ac:dyDescent="0.2">
      <c r="A1442" s="68">
        <v>43727</v>
      </c>
      <c r="B1442" s="69">
        <v>0.90329999999999999</v>
      </c>
    </row>
    <row r="1443" spans="1:2" x14ac:dyDescent="0.2">
      <c r="A1443" s="68">
        <v>43726</v>
      </c>
      <c r="B1443" s="69">
        <v>0.90373000000000003</v>
      </c>
    </row>
    <row r="1444" spans="1:2" x14ac:dyDescent="0.2">
      <c r="A1444" s="68">
        <v>43725</v>
      </c>
      <c r="B1444" s="69">
        <v>0.90478000000000003</v>
      </c>
    </row>
    <row r="1445" spans="1:2" x14ac:dyDescent="0.2">
      <c r="A1445" s="68">
        <v>43724</v>
      </c>
      <c r="B1445" s="69">
        <v>0.90283999999999998</v>
      </c>
    </row>
    <row r="1446" spans="1:2" x14ac:dyDescent="0.2">
      <c r="A1446" s="68">
        <v>43720</v>
      </c>
      <c r="B1446" s="69">
        <v>0.90415000000000001</v>
      </c>
    </row>
    <row r="1447" spans="1:2" x14ac:dyDescent="0.2">
      <c r="A1447" s="68">
        <v>43719</v>
      </c>
      <c r="B1447" s="69">
        <v>0.90344999999999998</v>
      </c>
    </row>
    <row r="1448" spans="1:2" x14ac:dyDescent="0.2">
      <c r="A1448" s="68">
        <v>43718</v>
      </c>
      <c r="B1448" s="69">
        <v>0.90378000000000003</v>
      </c>
    </row>
    <row r="1449" spans="1:2" x14ac:dyDescent="0.2">
      <c r="A1449" s="68">
        <v>43717</v>
      </c>
      <c r="B1449" s="69">
        <v>0.90356000000000003</v>
      </c>
    </row>
    <row r="1450" spans="1:2" x14ac:dyDescent="0.2">
      <c r="A1450" s="68">
        <v>43714</v>
      </c>
      <c r="B1450" s="69">
        <v>0.90403</v>
      </c>
    </row>
    <row r="1451" spans="1:2" x14ac:dyDescent="0.2">
      <c r="A1451" s="68">
        <v>43713</v>
      </c>
      <c r="B1451" s="69">
        <v>0.90381</v>
      </c>
    </row>
    <row r="1452" spans="1:2" x14ac:dyDescent="0.2">
      <c r="A1452" s="68">
        <v>43712</v>
      </c>
      <c r="B1452" s="69">
        <v>0.90349000000000002</v>
      </c>
    </row>
    <row r="1453" spans="1:2" x14ac:dyDescent="0.2">
      <c r="A1453" s="68">
        <v>43711</v>
      </c>
      <c r="B1453" s="69">
        <v>0.90375000000000005</v>
      </c>
    </row>
    <row r="1454" spans="1:2" x14ac:dyDescent="0.2">
      <c r="A1454" s="68">
        <v>43710</v>
      </c>
      <c r="B1454" s="69">
        <v>0.90403999999999995</v>
      </c>
    </row>
    <row r="1455" spans="1:2" x14ac:dyDescent="0.2">
      <c r="A1455" s="68">
        <v>43707</v>
      </c>
      <c r="B1455" s="69">
        <v>0.90332000000000001</v>
      </c>
    </row>
    <row r="1456" spans="1:2" x14ac:dyDescent="0.2">
      <c r="A1456" s="68">
        <v>43706</v>
      </c>
      <c r="B1456" s="69">
        <v>0.90337000000000001</v>
      </c>
    </row>
    <row r="1457" spans="1:2" x14ac:dyDescent="0.2">
      <c r="A1457" s="68">
        <v>43705</v>
      </c>
      <c r="B1457" s="69">
        <v>0.90281</v>
      </c>
    </row>
    <row r="1458" spans="1:2" x14ac:dyDescent="0.2">
      <c r="A1458" s="68">
        <v>43704</v>
      </c>
      <c r="B1458" s="69">
        <v>0.90259</v>
      </c>
    </row>
    <row r="1459" spans="1:2" x14ac:dyDescent="0.2">
      <c r="A1459" s="68">
        <v>43703</v>
      </c>
      <c r="B1459" s="69">
        <v>0.89983000000000002</v>
      </c>
    </row>
    <row r="1460" spans="1:2" x14ac:dyDescent="0.2">
      <c r="A1460" s="68">
        <v>43700</v>
      </c>
      <c r="B1460" s="69">
        <v>0.90044000000000002</v>
      </c>
    </row>
    <row r="1461" spans="1:2" x14ac:dyDescent="0.2">
      <c r="A1461" s="68">
        <v>43699</v>
      </c>
      <c r="B1461" s="69">
        <v>0.89888000000000001</v>
      </c>
    </row>
    <row r="1462" spans="1:2" x14ac:dyDescent="0.2">
      <c r="A1462" s="68">
        <v>43698</v>
      </c>
      <c r="B1462" s="69">
        <v>0.89809000000000005</v>
      </c>
    </row>
    <row r="1463" spans="1:2" x14ac:dyDescent="0.2">
      <c r="A1463" s="68">
        <v>43697</v>
      </c>
      <c r="B1463" s="69">
        <v>0.89810999999999996</v>
      </c>
    </row>
    <row r="1464" spans="1:2" x14ac:dyDescent="0.2">
      <c r="A1464" s="68">
        <v>43696</v>
      </c>
      <c r="B1464" s="69">
        <v>0.89712000000000003</v>
      </c>
    </row>
    <row r="1465" spans="1:2" x14ac:dyDescent="0.2">
      <c r="A1465" s="68">
        <v>43693</v>
      </c>
      <c r="B1465" s="69">
        <v>0.89681</v>
      </c>
    </row>
    <row r="1466" spans="1:2" x14ac:dyDescent="0.2">
      <c r="A1466" s="68">
        <v>43692</v>
      </c>
      <c r="B1466" s="69">
        <v>0.89656999999999998</v>
      </c>
    </row>
    <row r="1467" spans="1:2" x14ac:dyDescent="0.2">
      <c r="A1467" s="68">
        <v>43691</v>
      </c>
      <c r="B1467" s="69">
        <v>0.89615999999999996</v>
      </c>
    </row>
    <row r="1468" spans="1:2" x14ac:dyDescent="0.2">
      <c r="A1468" s="68">
        <v>43690</v>
      </c>
      <c r="B1468" s="69">
        <v>0.89637</v>
      </c>
    </row>
    <row r="1469" spans="1:2" x14ac:dyDescent="0.2">
      <c r="A1469" s="68">
        <v>43689</v>
      </c>
      <c r="B1469" s="69">
        <v>0.89539000000000002</v>
      </c>
    </row>
    <row r="1470" spans="1:2" x14ac:dyDescent="0.2">
      <c r="A1470" s="68">
        <v>43686</v>
      </c>
      <c r="B1470" s="69">
        <v>0.89432999999999996</v>
      </c>
    </row>
    <row r="1471" spans="1:2" x14ac:dyDescent="0.2">
      <c r="A1471" s="68">
        <v>43685</v>
      </c>
      <c r="B1471" s="69">
        <v>0.89322999999999997</v>
      </c>
    </row>
    <row r="1472" spans="1:2" x14ac:dyDescent="0.2">
      <c r="A1472" s="68">
        <v>43684</v>
      </c>
      <c r="B1472" s="69">
        <v>0.89307999999999998</v>
      </c>
    </row>
    <row r="1473" spans="1:2" x14ac:dyDescent="0.2">
      <c r="A1473" s="68">
        <v>43683</v>
      </c>
      <c r="B1473" s="69">
        <v>0.88836999999999999</v>
      </c>
    </row>
    <row r="1474" spans="1:2" x14ac:dyDescent="0.2">
      <c r="A1474" s="68">
        <v>43682</v>
      </c>
      <c r="B1474" s="69">
        <v>0.88443000000000005</v>
      </c>
    </row>
    <row r="1475" spans="1:2" x14ac:dyDescent="0.2">
      <c r="A1475" s="68">
        <v>43679</v>
      </c>
      <c r="B1475" s="69">
        <v>0.88219000000000003</v>
      </c>
    </row>
    <row r="1476" spans="1:2" x14ac:dyDescent="0.2">
      <c r="A1476" s="68">
        <v>43678</v>
      </c>
      <c r="B1476" s="69">
        <v>0.88066</v>
      </c>
    </row>
    <row r="1477" spans="1:2" x14ac:dyDescent="0.2">
      <c r="A1477" s="68">
        <v>43677</v>
      </c>
      <c r="B1477" s="69">
        <v>0.87983999999999996</v>
      </c>
    </row>
    <row r="1478" spans="1:2" x14ac:dyDescent="0.2">
      <c r="A1478" s="68">
        <v>43676</v>
      </c>
      <c r="B1478" s="69">
        <v>0.88051000000000001</v>
      </c>
    </row>
    <row r="1479" spans="1:2" x14ac:dyDescent="0.2">
      <c r="A1479" s="68">
        <v>43675</v>
      </c>
      <c r="B1479" s="69">
        <v>0.88029999999999997</v>
      </c>
    </row>
    <row r="1480" spans="1:2" x14ac:dyDescent="0.2">
      <c r="A1480" s="68">
        <v>43672</v>
      </c>
      <c r="B1480" s="69">
        <v>0.88024999999999998</v>
      </c>
    </row>
    <row r="1481" spans="1:2" x14ac:dyDescent="0.2">
      <c r="A1481" s="68">
        <v>43671</v>
      </c>
      <c r="B1481" s="69">
        <v>0.87961</v>
      </c>
    </row>
    <row r="1482" spans="1:2" x14ac:dyDescent="0.2">
      <c r="A1482" s="68">
        <v>43670</v>
      </c>
      <c r="B1482" s="69">
        <v>0.88158000000000003</v>
      </c>
    </row>
    <row r="1483" spans="1:2" x14ac:dyDescent="0.2">
      <c r="A1483" s="68">
        <v>43669</v>
      </c>
      <c r="B1483" s="69">
        <v>0.88110999999999995</v>
      </c>
    </row>
    <row r="1484" spans="1:2" x14ac:dyDescent="0.2">
      <c r="A1484" s="68">
        <v>43668</v>
      </c>
      <c r="B1484" s="69">
        <v>0.88131000000000004</v>
      </c>
    </row>
    <row r="1485" spans="1:2" x14ac:dyDescent="0.2">
      <c r="A1485" s="68">
        <v>43665</v>
      </c>
      <c r="B1485" s="69">
        <v>0.87844</v>
      </c>
    </row>
    <row r="1486" spans="1:2" x14ac:dyDescent="0.2">
      <c r="A1486" s="68">
        <v>43664</v>
      </c>
      <c r="B1486" s="69">
        <v>0.88024000000000002</v>
      </c>
    </row>
    <row r="1487" spans="1:2" x14ac:dyDescent="0.2">
      <c r="A1487" s="68">
        <v>43663</v>
      </c>
      <c r="B1487" s="69">
        <v>0.88070000000000004</v>
      </c>
    </row>
    <row r="1488" spans="1:2" x14ac:dyDescent="0.2">
      <c r="A1488" s="68">
        <v>43662</v>
      </c>
      <c r="B1488" s="69">
        <v>0.87783999999999995</v>
      </c>
    </row>
    <row r="1489" spans="1:2" x14ac:dyDescent="0.2">
      <c r="A1489" s="68">
        <v>43661</v>
      </c>
      <c r="B1489" s="69">
        <v>0.87726000000000004</v>
      </c>
    </row>
    <row r="1490" spans="1:2" x14ac:dyDescent="0.2">
      <c r="A1490" s="68">
        <v>43658</v>
      </c>
      <c r="B1490" s="69">
        <v>0.87778999999999996</v>
      </c>
    </row>
    <row r="1491" spans="1:2" x14ac:dyDescent="0.2">
      <c r="A1491" s="68">
        <v>43657</v>
      </c>
      <c r="B1491" s="69">
        <v>0.87834000000000001</v>
      </c>
    </row>
    <row r="1492" spans="1:2" x14ac:dyDescent="0.2">
      <c r="A1492" s="68">
        <v>43656</v>
      </c>
      <c r="B1492" s="69">
        <v>0.88158000000000003</v>
      </c>
    </row>
    <row r="1493" spans="1:2" x14ac:dyDescent="0.2">
      <c r="A1493" s="68">
        <v>43655</v>
      </c>
      <c r="B1493" s="69">
        <v>0.88243000000000005</v>
      </c>
    </row>
    <row r="1494" spans="1:2" x14ac:dyDescent="0.2">
      <c r="A1494" s="68">
        <v>43654</v>
      </c>
      <c r="B1494" s="69">
        <v>0.88334999999999997</v>
      </c>
    </row>
    <row r="1495" spans="1:2" x14ac:dyDescent="0.2">
      <c r="A1495" s="68">
        <v>43651</v>
      </c>
      <c r="B1495" s="69">
        <v>0.88214000000000004</v>
      </c>
    </row>
    <row r="1496" spans="1:2" x14ac:dyDescent="0.2">
      <c r="A1496" s="68">
        <v>43650</v>
      </c>
      <c r="B1496" s="69">
        <v>0.88151999999999997</v>
      </c>
    </row>
    <row r="1497" spans="1:2" x14ac:dyDescent="0.2">
      <c r="A1497" s="68">
        <v>43649</v>
      </c>
      <c r="B1497" s="69">
        <v>0.88034000000000001</v>
      </c>
    </row>
    <row r="1498" spans="1:2" x14ac:dyDescent="0.2">
      <c r="A1498" s="68">
        <v>43648</v>
      </c>
      <c r="B1498" s="69">
        <v>0.87692000000000003</v>
      </c>
    </row>
    <row r="1499" spans="1:2" x14ac:dyDescent="0.2">
      <c r="A1499" s="68">
        <v>43647</v>
      </c>
      <c r="B1499" s="69">
        <v>0.88</v>
      </c>
    </row>
    <row r="1500" spans="1:2" x14ac:dyDescent="0.2">
      <c r="A1500" s="68">
        <v>43644</v>
      </c>
      <c r="B1500" s="69">
        <v>0.87966</v>
      </c>
    </row>
    <row r="1501" spans="1:2" x14ac:dyDescent="0.2">
      <c r="A1501" s="68">
        <v>43643</v>
      </c>
      <c r="B1501" s="69">
        <v>0.88068999999999997</v>
      </c>
    </row>
    <row r="1502" spans="1:2" x14ac:dyDescent="0.2">
      <c r="A1502" s="68">
        <v>43642</v>
      </c>
      <c r="B1502" s="69">
        <v>0.87983</v>
      </c>
    </row>
    <row r="1503" spans="1:2" x14ac:dyDescent="0.2">
      <c r="A1503" s="68">
        <v>43641</v>
      </c>
      <c r="B1503" s="69">
        <v>0.87827</v>
      </c>
    </row>
    <row r="1504" spans="1:2" x14ac:dyDescent="0.2">
      <c r="A1504" s="68">
        <v>43640</v>
      </c>
      <c r="B1504" s="69">
        <v>0.87683</v>
      </c>
    </row>
    <row r="1505" spans="1:2" x14ac:dyDescent="0.2">
      <c r="A1505" s="68">
        <v>43637</v>
      </c>
      <c r="B1505" s="69">
        <v>0.87685000000000002</v>
      </c>
    </row>
    <row r="1506" spans="1:2" x14ac:dyDescent="0.2">
      <c r="A1506" s="68">
        <v>43636</v>
      </c>
      <c r="B1506" s="69">
        <v>0.88</v>
      </c>
    </row>
    <row r="1507" spans="1:2" x14ac:dyDescent="0.2">
      <c r="A1507" s="68">
        <v>43635</v>
      </c>
      <c r="B1507" s="69">
        <v>0.87966999999999995</v>
      </c>
    </row>
    <row r="1508" spans="1:2" x14ac:dyDescent="0.2">
      <c r="A1508" s="68">
        <v>43634</v>
      </c>
      <c r="B1508" s="69">
        <v>0.87997999999999998</v>
      </c>
    </row>
    <row r="1509" spans="1:2" x14ac:dyDescent="0.2">
      <c r="A1509" s="68">
        <v>43633</v>
      </c>
      <c r="B1509" s="69">
        <v>0.88046000000000002</v>
      </c>
    </row>
    <row r="1510" spans="1:2" x14ac:dyDescent="0.2">
      <c r="A1510" s="68">
        <v>43630</v>
      </c>
      <c r="B1510" s="69">
        <v>0.88014999999999999</v>
      </c>
    </row>
    <row r="1511" spans="1:2" x14ac:dyDescent="0.2">
      <c r="A1511" s="68">
        <v>43629</v>
      </c>
      <c r="B1511" s="69">
        <v>0.88161999999999996</v>
      </c>
    </row>
    <row r="1512" spans="1:2" x14ac:dyDescent="0.2">
      <c r="A1512" s="68">
        <v>43628</v>
      </c>
      <c r="B1512" s="69">
        <v>0.88027</v>
      </c>
    </row>
    <row r="1513" spans="1:2" x14ac:dyDescent="0.2">
      <c r="A1513" s="68">
        <v>43627</v>
      </c>
      <c r="B1513" s="69">
        <v>0.87895999999999996</v>
      </c>
    </row>
    <row r="1514" spans="1:2" x14ac:dyDescent="0.2">
      <c r="A1514" s="68">
        <v>43626</v>
      </c>
      <c r="B1514" s="69">
        <v>0.87885000000000002</v>
      </c>
    </row>
    <row r="1515" spans="1:2" x14ac:dyDescent="0.2">
      <c r="A1515" s="68">
        <v>43622</v>
      </c>
      <c r="B1515" s="69">
        <v>0.87929000000000002</v>
      </c>
    </row>
    <row r="1516" spans="1:2" x14ac:dyDescent="0.2">
      <c r="A1516" s="68">
        <v>43621</v>
      </c>
      <c r="B1516" s="69">
        <v>0.87873999999999997</v>
      </c>
    </row>
    <row r="1517" spans="1:2" x14ac:dyDescent="0.2">
      <c r="A1517" s="68">
        <v>43620</v>
      </c>
      <c r="B1517" s="69">
        <v>0.87787999999999999</v>
      </c>
    </row>
    <row r="1518" spans="1:2" x14ac:dyDescent="0.2">
      <c r="A1518" s="68">
        <v>43619</v>
      </c>
      <c r="B1518" s="69">
        <v>0.87877000000000005</v>
      </c>
    </row>
    <row r="1519" spans="1:2" x14ac:dyDescent="0.2">
      <c r="A1519" s="68">
        <v>43616</v>
      </c>
      <c r="B1519" s="69">
        <v>0.87912999999999997</v>
      </c>
    </row>
    <row r="1520" spans="1:2" x14ac:dyDescent="0.2">
      <c r="A1520" s="68">
        <v>43615</v>
      </c>
      <c r="B1520" s="69">
        <v>0.87895000000000001</v>
      </c>
    </row>
    <row r="1521" spans="1:2" x14ac:dyDescent="0.2">
      <c r="A1521" s="68">
        <v>43614</v>
      </c>
      <c r="B1521" s="69">
        <v>0.87890999999999997</v>
      </c>
    </row>
    <row r="1522" spans="1:2" x14ac:dyDescent="0.2">
      <c r="A1522" s="68">
        <v>43613</v>
      </c>
      <c r="B1522" s="69">
        <v>0.87878999999999996</v>
      </c>
    </row>
    <row r="1523" spans="1:2" x14ac:dyDescent="0.2">
      <c r="A1523" s="68">
        <v>43612</v>
      </c>
      <c r="B1523" s="69">
        <v>0.87819000000000003</v>
      </c>
    </row>
    <row r="1524" spans="1:2" x14ac:dyDescent="0.2">
      <c r="A1524" s="68">
        <v>43609</v>
      </c>
      <c r="B1524" s="69">
        <v>0.87909000000000004</v>
      </c>
    </row>
    <row r="1525" spans="1:2" x14ac:dyDescent="0.2">
      <c r="A1525" s="68">
        <v>43608</v>
      </c>
      <c r="B1525" s="69">
        <v>0.87899000000000005</v>
      </c>
    </row>
    <row r="1526" spans="1:2" x14ac:dyDescent="0.2">
      <c r="A1526" s="68">
        <v>43607</v>
      </c>
      <c r="B1526" s="69">
        <v>0.87895999999999996</v>
      </c>
    </row>
    <row r="1527" spans="1:2" x14ac:dyDescent="0.2">
      <c r="A1527" s="68">
        <v>43606</v>
      </c>
      <c r="B1527" s="69">
        <v>0.87894000000000005</v>
      </c>
    </row>
    <row r="1528" spans="1:2" x14ac:dyDescent="0.2">
      <c r="A1528" s="68">
        <v>43605</v>
      </c>
      <c r="B1528" s="69">
        <v>0.87890999999999997</v>
      </c>
    </row>
    <row r="1529" spans="1:2" x14ac:dyDescent="0.2">
      <c r="A1529" s="68">
        <v>43602</v>
      </c>
      <c r="B1529" s="69">
        <v>0.87724000000000002</v>
      </c>
    </row>
    <row r="1530" spans="1:2" x14ac:dyDescent="0.2">
      <c r="A1530" s="68">
        <v>43601</v>
      </c>
      <c r="B1530" s="69">
        <v>0.87507999999999997</v>
      </c>
    </row>
    <row r="1531" spans="1:2" x14ac:dyDescent="0.2">
      <c r="A1531" s="68">
        <v>43600</v>
      </c>
      <c r="B1531" s="69">
        <v>0.87460000000000004</v>
      </c>
    </row>
    <row r="1532" spans="1:2" x14ac:dyDescent="0.2">
      <c r="A1532" s="68">
        <v>43599</v>
      </c>
      <c r="B1532" s="69">
        <v>0.87100999999999995</v>
      </c>
    </row>
    <row r="1533" spans="1:2" x14ac:dyDescent="0.2">
      <c r="A1533" s="68">
        <v>43598</v>
      </c>
      <c r="B1533" s="69">
        <v>0.86584000000000005</v>
      </c>
    </row>
    <row r="1534" spans="1:2" x14ac:dyDescent="0.2">
      <c r="A1534" s="68">
        <v>43595</v>
      </c>
      <c r="B1534" s="69">
        <v>0.86534999999999995</v>
      </c>
    </row>
    <row r="1535" spans="1:2" x14ac:dyDescent="0.2">
      <c r="A1535" s="68">
        <v>43594</v>
      </c>
      <c r="B1535" s="69">
        <v>0.86224000000000001</v>
      </c>
    </row>
    <row r="1536" spans="1:2" x14ac:dyDescent="0.2">
      <c r="A1536" s="68">
        <v>43593</v>
      </c>
      <c r="B1536" s="69">
        <v>0.86124999999999996</v>
      </c>
    </row>
    <row r="1537" spans="1:2" x14ac:dyDescent="0.2">
      <c r="A1537" s="68">
        <v>43592</v>
      </c>
      <c r="B1537" s="69">
        <v>0.86175999999999997</v>
      </c>
    </row>
    <row r="1538" spans="1:2" x14ac:dyDescent="0.2">
      <c r="A1538" s="68">
        <v>43591</v>
      </c>
      <c r="B1538" s="69">
        <v>0.85848000000000002</v>
      </c>
    </row>
    <row r="1539" spans="1:2" x14ac:dyDescent="0.2">
      <c r="A1539" s="68">
        <v>43585</v>
      </c>
      <c r="B1539" s="69">
        <v>0.85784000000000005</v>
      </c>
    </row>
    <row r="1540" spans="1:2" x14ac:dyDescent="0.2">
      <c r="A1540" s="68">
        <v>43584</v>
      </c>
      <c r="B1540" s="69">
        <v>0.85812999999999995</v>
      </c>
    </row>
    <row r="1541" spans="1:2" x14ac:dyDescent="0.2">
      <c r="A1541" s="68">
        <v>43581</v>
      </c>
      <c r="B1541" s="69">
        <v>0.85802999999999996</v>
      </c>
    </row>
    <row r="1542" spans="1:2" x14ac:dyDescent="0.2">
      <c r="A1542" s="68">
        <v>43580</v>
      </c>
      <c r="B1542" s="69">
        <v>0.85843000000000003</v>
      </c>
    </row>
    <row r="1543" spans="1:2" x14ac:dyDescent="0.2">
      <c r="A1543" s="68">
        <v>43579</v>
      </c>
      <c r="B1543" s="69">
        <v>0.85707</v>
      </c>
    </row>
    <row r="1544" spans="1:2" x14ac:dyDescent="0.2">
      <c r="A1544" s="68">
        <v>43578</v>
      </c>
      <c r="B1544" s="69">
        <v>0.85507</v>
      </c>
    </row>
    <row r="1545" spans="1:2" x14ac:dyDescent="0.2">
      <c r="A1545" s="68">
        <v>43577</v>
      </c>
      <c r="B1545" s="69">
        <v>0.85441</v>
      </c>
    </row>
    <row r="1546" spans="1:2" x14ac:dyDescent="0.2">
      <c r="A1546" s="68">
        <v>43574</v>
      </c>
      <c r="B1546" s="69">
        <v>0.85458000000000001</v>
      </c>
    </row>
    <row r="1547" spans="1:2" x14ac:dyDescent="0.2">
      <c r="A1547" s="68">
        <v>43573</v>
      </c>
      <c r="B1547" s="69">
        <v>0.85279000000000005</v>
      </c>
    </row>
    <row r="1548" spans="1:2" x14ac:dyDescent="0.2">
      <c r="A1548" s="68">
        <v>43572</v>
      </c>
      <c r="B1548" s="69">
        <v>0.85553999999999997</v>
      </c>
    </row>
    <row r="1549" spans="1:2" x14ac:dyDescent="0.2">
      <c r="A1549" s="68">
        <v>43571</v>
      </c>
      <c r="B1549" s="69">
        <v>0.85606000000000004</v>
      </c>
    </row>
    <row r="1550" spans="1:2" x14ac:dyDescent="0.2">
      <c r="A1550" s="68">
        <v>43570</v>
      </c>
      <c r="B1550" s="69">
        <v>0.85567000000000004</v>
      </c>
    </row>
    <row r="1551" spans="1:2" x14ac:dyDescent="0.2">
      <c r="A1551" s="68">
        <v>43567</v>
      </c>
      <c r="B1551" s="69">
        <v>0.85687000000000002</v>
      </c>
    </row>
    <row r="1552" spans="1:2" x14ac:dyDescent="0.2">
      <c r="A1552" s="68">
        <v>43566</v>
      </c>
      <c r="B1552" s="69">
        <v>0.85592000000000001</v>
      </c>
    </row>
    <row r="1553" spans="1:2" x14ac:dyDescent="0.2">
      <c r="A1553" s="68">
        <v>43565</v>
      </c>
      <c r="B1553" s="69">
        <v>0.85616000000000003</v>
      </c>
    </row>
    <row r="1554" spans="1:2" x14ac:dyDescent="0.2">
      <c r="A1554" s="68">
        <v>43564</v>
      </c>
      <c r="B1554" s="69">
        <v>0.85587000000000002</v>
      </c>
    </row>
    <row r="1555" spans="1:2" x14ac:dyDescent="0.2">
      <c r="A1555" s="68">
        <v>43563</v>
      </c>
      <c r="B1555" s="69">
        <v>0.85612999999999995</v>
      </c>
    </row>
    <row r="1556" spans="1:2" x14ac:dyDescent="0.2">
      <c r="A1556" s="68">
        <v>43559</v>
      </c>
      <c r="B1556" s="69">
        <v>0.85428000000000004</v>
      </c>
    </row>
    <row r="1557" spans="1:2" x14ac:dyDescent="0.2">
      <c r="A1557" s="68">
        <v>43558</v>
      </c>
      <c r="B1557" s="69">
        <v>0.85604999999999998</v>
      </c>
    </row>
    <row r="1558" spans="1:2" x14ac:dyDescent="0.2">
      <c r="A1558" s="68">
        <v>43557</v>
      </c>
      <c r="B1558" s="69">
        <v>0.85562000000000005</v>
      </c>
    </row>
    <row r="1559" spans="1:2" x14ac:dyDescent="0.2">
      <c r="A1559" s="68">
        <v>43556</v>
      </c>
      <c r="B1559" s="69">
        <v>0.85599999999999998</v>
      </c>
    </row>
    <row r="1560" spans="1:2" x14ac:dyDescent="0.2">
      <c r="A1560" s="68">
        <v>43553</v>
      </c>
      <c r="B1560" s="69">
        <v>0.85779000000000005</v>
      </c>
    </row>
    <row r="1561" spans="1:2" x14ac:dyDescent="0.2">
      <c r="A1561" s="68">
        <v>43552</v>
      </c>
      <c r="B1561" s="69">
        <v>0.85689000000000004</v>
      </c>
    </row>
    <row r="1562" spans="1:2" x14ac:dyDescent="0.2">
      <c r="A1562" s="68">
        <v>43551</v>
      </c>
      <c r="B1562" s="69">
        <v>0.85541999999999996</v>
      </c>
    </row>
    <row r="1563" spans="1:2" x14ac:dyDescent="0.2">
      <c r="A1563" s="68">
        <v>43550</v>
      </c>
      <c r="B1563" s="69">
        <v>0.85419</v>
      </c>
    </row>
    <row r="1564" spans="1:2" x14ac:dyDescent="0.2">
      <c r="A1564" s="68">
        <v>43549</v>
      </c>
      <c r="B1564" s="69">
        <v>0.85514999999999997</v>
      </c>
    </row>
    <row r="1565" spans="1:2" x14ac:dyDescent="0.2">
      <c r="A1565" s="68">
        <v>43546</v>
      </c>
      <c r="B1565" s="69">
        <v>0.85318000000000005</v>
      </c>
    </row>
    <row r="1566" spans="1:2" x14ac:dyDescent="0.2">
      <c r="A1566" s="68">
        <v>43545</v>
      </c>
      <c r="B1566" s="69">
        <v>0.85168999999999995</v>
      </c>
    </row>
    <row r="1567" spans="1:2" x14ac:dyDescent="0.2">
      <c r="A1567" s="68">
        <v>43544</v>
      </c>
      <c r="B1567" s="69">
        <v>0.85480999999999996</v>
      </c>
    </row>
    <row r="1568" spans="1:2" x14ac:dyDescent="0.2">
      <c r="A1568" s="68">
        <v>43543</v>
      </c>
      <c r="B1568" s="69">
        <v>0.85433000000000003</v>
      </c>
    </row>
    <row r="1569" spans="1:2" x14ac:dyDescent="0.2">
      <c r="A1569" s="68">
        <v>43542</v>
      </c>
      <c r="B1569" s="69">
        <v>0.85467000000000004</v>
      </c>
    </row>
    <row r="1570" spans="1:2" x14ac:dyDescent="0.2">
      <c r="A1570" s="68">
        <v>43539</v>
      </c>
      <c r="B1570" s="69">
        <v>0.85565999999999998</v>
      </c>
    </row>
    <row r="1571" spans="1:2" x14ac:dyDescent="0.2">
      <c r="A1571" s="68">
        <v>43538</v>
      </c>
      <c r="B1571" s="69">
        <v>0.85365999999999997</v>
      </c>
    </row>
    <row r="1572" spans="1:2" x14ac:dyDescent="0.2">
      <c r="A1572" s="68">
        <v>43537</v>
      </c>
      <c r="B1572" s="69">
        <v>0.85497999999999996</v>
      </c>
    </row>
    <row r="1573" spans="1:2" x14ac:dyDescent="0.2">
      <c r="A1573" s="68">
        <v>43536</v>
      </c>
      <c r="B1573" s="69">
        <v>0.85516000000000003</v>
      </c>
    </row>
    <row r="1574" spans="1:2" x14ac:dyDescent="0.2">
      <c r="A1574" s="68">
        <v>43535</v>
      </c>
      <c r="B1574" s="69">
        <v>0.85609000000000002</v>
      </c>
    </row>
    <row r="1575" spans="1:2" x14ac:dyDescent="0.2">
      <c r="A1575" s="68">
        <v>43532</v>
      </c>
      <c r="B1575" s="69">
        <v>0.85651999999999995</v>
      </c>
    </row>
    <row r="1576" spans="1:2" x14ac:dyDescent="0.2">
      <c r="A1576" s="68">
        <v>43531</v>
      </c>
      <c r="B1576" s="69">
        <v>0.85494000000000003</v>
      </c>
    </row>
    <row r="1577" spans="1:2" x14ac:dyDescent="0.2">
      <c r="A1577" s="68">
        <v>43530</v>
      </c>
      <c r="B1577" s="69">
        <v>0.85421000000000002</v>
      </c>
    </row>
    <row r="1578" spans="1:2" x14ac:dyDescent="0.2">
      <c r="A1578" s="68">
        <v>43529</v>
      </c>
      <c r="B1578" s="69">
        <v>0.85353999999999997</v>
      </c>
    </row>
    <row r="1579" spans="1:2" x14ac:dyDescent="0.2">
      <c r="A1579" s="68">
        <v>43528</v>
      </c>
      <c r="B1579" s="69">
        <v>0.85426000000000002</v>
      </c>
    </row>
    <row r="1580" spans="1:2" x14ac:dyDescent="0.2">
      <c r="A1580" s="68">
        <v>43525</v>
      </c>
      <c r="B1580" s="69">
        <v>0.85297000000000001</v>
      </c>
    </row>
    <row r="1581" spans="1:2" x14ac:dyDescent="0.2">
      <c r="A1581" s="68">
        <v>43524</v>
      </c>
      <c r="B1581" s="69">
        <v>0.85231000000000001</v>
      </c>
    </row>
    <row r="1582" spans="1:2" x14ac:dyDescent="0.2">
      <c r="A1582" s="68">
        <v>43523</v>
      </c>
      <c r="B1582" s="69">
        <v>0.85177000000000003</v>
      </c>
    </row>
    <row r="1583" spans="1:2" x14ac:dyDescent="0.2">
      <c r="A1583" s="68">
        <v>43522</v>
      </c>
      <c r="B1583" s="69">
        <v>0.85302</v>
      </c>
    </row>
    <row r="1584" spans="1:2" x14ac:dyDescent="0.2">
      <c r="A1584" s="68">
        <v>43521</v>
      </c>
      <c r="B1584" s="69">
        <v>0.85536999999999996</v>
      </c>
    </row>
    <row r="1585" spans="1:2" x14ac:dyDescent="0.2">
      <c r="A1585" s="68">
        <v>43518</v>
      </c>
      <c r="B1585" s="69">
        <v>0.85572000000000004</v>
      </c>
    </row>
    <row r="1586" spans="1:2" x14ac:dyDescent="0.2">
      <c r="A1586" s="68">
        <v>43517</v>
      </c>
      <c r="B1586" s="69">
        <v>0.85648000000000002</v>
      </c>
    </row>
    <row r="1587" spans="1:2" x14ac:dyDescent="0.2">
      <c r="A1587" s="68">
        <v>43516</v>
      </c>
      <c r="B1587" s="69">
        <v>0.86073999999999995</v>
      </c>
    </row>
    <row r="1588" spans="1:2" x14ac:dyDescent="0.2">
      <c r="A1588" s="68">
        <v>43515</v>
      </c>
      <c r="B1588" s="69">
        <v>0.86192000000000002</v>
      </c>
    </row>
    <row r="1589" spans="1:2" x14ac:dyDescent="0.2">
      <c r="A1589" s="68">
        <v>43514</v>
      </c>
      <c r="B1589" s="69">
        <v>0.86211000000000004</v>
      </c>
    </row>
    <row r="1590" spans="1:2" x14ac:dyDescent="0.2">
      <c r="A1590" s="68">
        <v>43511</v>
      </c>
      <c r="B1590" s="69">
        <v>0.86173</v>
      </c>
    </row>
    <row r="1591" spans="1:2" x14ac:dyDescent="0.2">
      <c r="A1591" s="68">
        <v>43510</v>
      </c>
      <c r="B1591" s="69">
        <v>0.86319999999999997</v>
      </c>
    </row>
    <row r="1592" spans="1:2" x14ac:dyDescent="0.2">
      <c r="A1592" s="68">
        <v>43509</v>
      </c>
      <c r="B1592" s="69">
        <v>0.86231999999999998</v>
      </c>
    </row>
    <row r="1593" spans="1:2" x14ac:dyDescent="0.2">
      <c r="A1593" s="68">
        <v>43508</v>
      </c>
      <c r="B1593" s="69">
        <v>0.86353999999999997</v>
      </c>
    </row>
    <row r="1594" spans="1:2" x14ac:dyDescent="0.2">
      <c r="A1594" s="68">
        <v>43507</v>
      </c>
      <c r="B1594" s="69">
        <v>0.86019999999999996</v>
      </c>
    </row>
    <row r="1595" spans="1:2" x14ac:dyDescent="0.2">
      <c r="A1595" s="68">
        <v>43497</v>
      </c>
      <c r="B1595" s="69">
        <v>0.85511999999999999</v>
      </c>
    </row>
    <row r="1596" spans="1:2" x14ac:dyDescent="0.2">
      <c r="A1596" s="68">
        <v>43496</v>
      </c>
      <c r="B1596" s="69">
        <v>0.85457000000000005</v>
      </c>
    </row>
    <row r="1597" spans="1:2" x14ac:dyDescent="0.2">
      <c r="A1597" s="68">
        <v>43495</v>
      </c>
      <c r="B1597" s="69">
        <v>0.85857000000000006</v>
      </c>
    </row>
    <row r="1598" spans="1:2" x14ac:dyDescent="0.2">
      <c r="A1598" s="68">
        <v>43494</v>
      </c>
      <c r="B1598" s="69">
        <v>0.85846999999999996</v>
      </c>
    </row>
    <row r="1599" spans="1:2" x14ac:dyDescent="0.2">
      <c r="A1599" s="68">
        <v>43493</v>
      </c>
      <c r="B1599" s="69">
        <v>0.85994999999999999</v>
      </c>
    </row>
    <row r="1600" spans="1:2" x14ac:dyDescent="0.2">
      <c r="A1600" s="68">
        <v>43490</v>
      </c>
      <c r="B1600" s="69">
        <v>0.86587999999999998</v>
      </c>
    </row>
    <row r="1601" spans="1:2" x14ac:dyDescent="0.2">
      <c r="A1601" s="68">
        <v>43489</v>
      </c>
      <c r="B1601" s="69">
        <v>0.86428000000000005</v>
      </c>
    </row>
    <row r="1602" spans="1:2" x14ac:dyDescent="0.2">
      <c r="A1602" s="68">
        <v>43488</v>
      </c>
      <c r="B1602" s="69">
        <v>0.86621000000000004</v>
      </c>
    </row>
    <row r="1603" spans="1:2" x14ac:dyDescent="0.2">
      <c r="A1603" s="68">
        <v>43487</v>
      </c>
      <c r="B1603" s="69">
        <v>0.86485999999999996</v>
      </c>
    </row>
    <row r="1604" spans="1:2" x14ac:dyDescent="0.2">
      <c r="A1604" s="68">
        <v>43486</v>
      </c>
      <c r="B1604" s="69">
        <v>0.86404000000000003</v>
      </c>
    </row>
    <row r="1605" spans="1:2" x14ac:dyDescent="0.2">
      <c r="A1605" s="68">
        <v>43483</v>
      </c>
      <c r="B1605" s="69">
        <v>0.86268</v>
      </c>
    </row>
    <row r="1606" spans="1:2" x14ac:dyDescent="0.2">
      <c r="A1606" s="68">
        <v>43482</v>
      </c>
      <c r="B1606" s="69">
        <v>0.86184000000000005</v>
      </c>
    </row>
    <row r="1607" spans="1:2" x14ac:dyDescent="0.2">
      <c r="A1607" s="68">
        <v>43481</v>
      </c>
      <c r="B1607" s="69">
        <v>0.86206000000000005</v>
      </c>
    </row>
    <row r="1608" spans="1:2" x14ac:dyDescent="0.2">
      <c r="A1608" s="68">
        <v>43480</v>
      </c>
      <c r="B1608" s="69">
        <v>0.86116000000000004</v>
      </c>
    </row>
    <row r="1609" spans="1:2" x14ac:dyDescent="0.2">
      <c r="A1609" s="68">
        <v>43479</v>
      </c>
      <c r="B1609" s="69">
        <v>0.86168</v>
      </c>
    </row>
    <row r="1610" spans="1:2" x14ac:dyDescent="0.2">
      <c r="A1610" s="68">
        <v>43476</v>
      </c>
      <c r="B1610" s="69">
        <v>0.86634</v>
      </c>
    </row>
    <row r="1611" spans="1:2" x14ac:dyDescent="0.2">
      <c r="A1611" s="68">
        <v>43475</v>
      </c>
      <c r="B1611" s="69">
        <v>0.86958999999999997</v>
      </c>
    </row>
    <row r="1612" spans="1:2" x14ac:dyDescent="0.2">
      <c r="A1612" s="68">
        <v>43474</v>
      </c>
      <c r="B1612" s="69">
        <v>0.87419000000000002</v>
      </c>
    </row>
    <row r="1613" spans="1:2" x14ac:dyDescent="0.2">
      <c r="A1613" s="68">
        <v>43473</v>
      </c>
      <c r="B1613" s="69">
        <v>0.87282999999999999</v>
      </c>
    </row>
    <row r="1614" spans="1:2" x14ac:dyDescent="0.2">
      <c r="A1614" s="68">
        <v>43472</v>
      </c>
      <c r="B1614" s="69">
        <v>0.87463000000000002</v>
      </c>
    </row>
    <row r="1615" spans="1:2" x14ac:dyDescent="0.2">
      <c r="A1615" s="68">
        <v>43469</v>
      </c>
      <c r="B1615" s="69">
        <v>0.87604000000000004</v>
      </c>
    </row>
    <row r="1616" spans="1:2" x14ac:dyDescent="0.2">
      <c r="A1616" s="68">
        <v>43468</v>
      </c>
      <c r="B1616" s="69">
        <v>0.87600999999999996</v>
      </c>
    </row>
    <row r="1617" spans="1:2" x14ac:dyDescent="0.2">
      <c r="A1617" s="68">
        <v>43467</v>
      </c>
      <c r="B1617" s="69">
        <v>0.87414999999999998</v>
      </c>
    </row>
    <row r="1618" spans="1:2" x14ac:dyDescent="0.2">
      <c r="A1618" s="68">
        <v>43462</v>
      </c>
      <c r="B1618" s="69">
        <v>0.87619999999999998</v>
      </c>
    </row>
    <row r="1619" spans="1:2" x14ac:dyDescent="0.2">
      <c r="A1619" s="68">
        <v>43461</v>
      </c>
      <c r="B1619" s="69">
        <v>0.88002000000000002</v>
      </c>
    </row>
    <row r="1620" spans="1:2" x14ac:dyDescent="0.2">
      <c r="A1620" s="68">
        <v>43460</v>
      </c>
      <c r="B1620" s="69">
        <v>0.87899000000000005</v>
      </c>
    </row>
    <row r="1621" spans="1:2" x14ac:dyDescent="0.2">
      <c r="A1621" s="68">
        <v>43459</v>
      </c>
      <c r="B1621" s="69">
        <v>0.87983</v>
      </c>
    </row>
    <row r="1622" spans="1:2" x14ac:dyDescent="0.2">
      <c r="A1622" s="68">
        <v>43458</v>
      </c>
      <c r="B1622" s="69">
        <v>0.88099000000000005</v>
      </c>
    </row>
    <row r="1623" spans="1:2" x14ac:dyDescent="0.2">
      <c r="A1623" s="68">
        <v>43455</v>
      </c>
      <c r="B1623" s="69">
        <v>0.87931999999999999</v>
      </c>
    </row>
    <row r="1624" spans="1:2" x14ac:dyDescent="0.2">
      <c r="A1624" s="68">
        <v>43454</v>
      </c>
      <c r="B1624" s="69">
        <v>0.88068000000000002</v>
      </c>
    </row>
    <row r="1625" spans="1:2" x14ac:dyDescent="0.2">
      <c r="A1625" s="68">
        <v>43453</v>
      </c>
      <c r="B1625" s="69">
        <v>0.88053999999999999</v>
      </c>
    </row>
    <row r="1626" spans="1:2" x14ac:dyDescent="0.2">
      <c r="A1626" s="68">
        <v>43452</v>
      </c>
      <c r="B1626" s="69">
        <v>0.88110999999999995</v>
      </c>
    </row>
    <row r="1627" spans="1:2" x14ac:dyDescent="0.2">
      <c r="A1627" s="68">
        <v>43451</v>
      </c>
      <c r="B1627" s="69">
        <v>0.88193999999999995</v>
      </c>
    </row>
    <row r="1628" spans="1:2" x14ac:dyDescent="0.2">
      <c r="A1628" s="68">
        <v>43448</v>
      </c>
      <c r="B1628" s="69">
        <v>0.88024999999999998</v>
      </c>
    </row>
    <row r="1629" spans="1:2" x14ac:dyDescent="0.2">
      <c r="A1629" s="68">
        <v>43447</v>
      </c>
      <c r="B1629" s="69">
        <v>0.87997000000000003</v>
      </c>
    </row>
    <row r="1630" spans="1:2" x14ac:dyDescent="0.2">
      <c r="A1630" s="68">
        <v>43446</v>
      </c>
      <c r="B1630" s="69">
        <v>0.88351000000000002</v>
      </c>
    </row>
    <row r="1631" spans="1:2" x14ac:dyDescent="0.2">
      <c r="A1631" s="68">
        <v>43445</v>
      </c>
      <c r="B1631" s="69">
        <v>0.88295999999999997</v>
      </c>
    </row>
    <row r="1632" spans="1:2" x14ac:dyDescent="0.2">
      <c r="A1632" s="68">
        <v>43444</v>
      </c>
      <c r="B1632" s="69">
        <v>0.87895000000000001</v>
      </c>
    </row>
    <row r="1633" spans="1:2" x14ac:dyDescent="0.2">
      <c r="A1633" s="68">
        <v>43441</v>
      </c>
      <c r="B1633" s="69">
        <v>0.87931999999999999</v>
      </c>
    </row>
    <row r="1634" spans="1:2" x14ac:dyDescent="0.2">
      <c r="A1634" s="68">
        <v>43440</v>
      </c>
      <c r="B1634" s="69">
        <v>0.87792000000000003</v>
      </c>
    </row>
    <row r="1635" spans="1:2" x14ac:dyDescent="0.2">
      <c r="A1635" s="68">
        <v>43439</v>
      </c>
      <c r="B1635" s="69">
        <v>0.87709999999999999</v>
      </c>
    </row>
    <row r="1636" spans="1:2" x14ac:dyDescent="0.2">
      <c r="A1636" s="68">
        <v>43438</v>
      </c>
      <c r="B1636" s="69">
        <v>0.88197999999999999</v>
      </c>
    </row>
    <row r="1637" spans="1:2" x14ac:dyDescent="0.2">
      <c r="A1637" s="68">
        <v>43437</v>
      </c>
      <c r="B1637" s="69">
        <v>0.88763999999999998</v>
      </c>
    </row>
    <row r="1638" spans="1:2" x14ac:dyDescent="0.2">
      <c r="A1638" s="68">
        <v>43434</v>
      </c>
      <c r="B1638" s="69">
        <v>0.88682000000000005</v>
      </c>
    </row>
    <row r="1639" spans="1:2" x14ac:dyDescent="0.2">
      <c r="A1639" s="68">
        <v>43433</v>
      </c>
      <c r="B1639" s="69">
        <v>0.88615999999999995</v>
      </c>
    </row>
    <row r="1640" spans="1:2" x14ac:dyDescent="0.2">
      <c r="A1640" s="68">
        <v>43432</v>
      </c>
      <c r="B1640" s="69">
        <v>0.88802999999999999</v>
      </c>
    </row>
    <row r="1641" spans="1:2" x14ac:dyDescent="0.2">
      <c r="A1641" s="68">
        <v>43431</v>
      </c>
      <c r="B1641" s="69">
        <v>0.88807999999999998</v>
      </c>
    </row>
    <row r="1642" spans="1:2" x14ac:dyDescent="0.2">
      <c r="A1642" s="68">
        <v>43430</v>
      </c>
      <c r="B1642" s="69">
        <v>0.88737999999999995</v>
      </c>
    </row>
    <row r="1643" spans="1:2" x14ac:dyDescent="0.2">
      <c r="A1643" s="68">
        <v>43427</v>
      </c>
      <c r="B1643" s="69">
        <v>0.88532</v>
      </c>
    </row>
    <row r="1644" spans="1:2" x14ac:dyDescent="0.2">
      <c r="A1644" s="68">
        <v>43426</v>
      </c>
      <c r="B1644" s="69">
        <v>0.8861</v>
      </c>
    </row>
    <row r="1645" spans="1:2" x14ac:dyDescent="0.2">
      <c r="A1645" s="68">
        <v>43425</v>
      </c>
      <c r="B1645" s="69">
        <v>0.88670000000000004</v>
      </c>
    </row>
    <row r="1646" spans="1:2" x14ac:dyDescent="0.2">
      <c r="A1646" s="68">
        <v>43424</v>
      </c>
      <c r="B1646" s="69">
        <v>0.88449</v>
      </c>
    </row>
    <row r="1647" spans="1:2" x14ac:dyDescent="0.2">
      <c r="A1647" s="68">
        <v>43423</v>
      </c>
      <c r="B1647" s="69">
        <v>0.88422999999999996</v>
      </c>
    </row>
    <row r="1648" spans="1:2" x14ac:dyDescent="0.2">
      <c r="A1648" s="68">
        <v>43420</v>
      </c>
      <c r="B1648" s="69">
        <v>0.88580000000000003</v>
      </c>
    </row>
    <row r="1649" spans="1:2" x14ac:dyDescent="0.2">
      <c r="A1649" s="68">
        <v>43419</v>
      </c>
      <c r="B1649" s="69">
        <v>0.88632</v>
      </c>
    </row>
    <row r="1650" spans="1:2" x14ac:dyDescent="0.2">
      <c r="A1650" s="68">
        <v>43418</v>
      </c>
      <c r="B1650" s="69">
        <v>0.88612999999999997</v>
      </c>
    </row>
    <row r="1651" spans="1:2" x14ac:dyDescent="0.2">
      <c r="A1651" s="68">
        <v>43417</v>
      </c>
      <c r="B1651" s="69">
        <v>0.88873000000000002</v>
      </c>
    </row>
    <row r="1652" spans="1:2" x14ac:dyDescent="0.2">
      <c r="A1652" s="68">
        <v>43416</v>
      </c>
      <c r="B1652" s="69">
        <v>0.88707999999999998</v>
      </c>
    </row>
    <row r="1653" spans="1:2" x14ac:dyDescent="0.2">
      <c r="A1653" s="68">
        <v>43413</v>
      </c>
      <c r="B1653" s="69">
        <v>0.88546999999999998</v>
      </c>
    </row>
    <row r="1654" spans="1:2" x14ac:dyDescent="0.2">
      <c r="A1654" s="68">
        <v>43412</v>
      </c>
      <c r="B1654" s="69">
        <v>0.88334000000000001</v>
      </c>
    </row>
    <row r="1655" spans="1:2" x14ac:dyDescent="0.2">
      <c r="A1655" s="68">
        <v>43411</v>
      </c>
      <c r="B1655" s="69">
        <v>0.88180999999999998</v>
      </c>
    </row>
    <row r="1656" spans="1:2" x14ac:dyDescent="0.2">
      <c r="A1656" s="68">
        <v>43410</v>
      </c>
      <c r="B1656" s="69">
        <v>0.88182000000000005</v>
      </c>
    </row>
    <row r="1657" spans="1:2" x14ac:dyDescent="0.2">
      <c r="A1657" s="68">
        <v>43409</v>
      </c>
      <c r="B1657" s="69">
        <v>0.88144999999999996</v>
      </c>
    </row>
    <row r="1658" spans="1:2" x14ac:dyDescent="0.2">
      <c r="A1658" s="68">
        <v>43406</v>
      </c>
      <c r="B1658" s="69">
        <v>0.88532</v>
      </c>
    </row>
    <row r="1659" spans="1:2" x14ac:dyDescent="0.2">
      <c r="A1659" s="68">
        <v>43405</v>
      </c>
      <c r="B1659" s="69">
        <v>0.88826000000000005</v>
      </c>
    </row>
    <row r="1660" spans="1:2" x14ac:dyDescent="0.2">
      <c r="A1660" s="68">
        <v>43404</v>
      </c>
      <c r="B1660" s="69">
        <v>0.88771</v>
      </c>
    </row>
    <row r="1661" spans="1:2" x14ac:dyDescent="0.2">
      <c r="A1661" s="68">
        <v>43403</v>
      </c>
      <c r="B1661" s="69">
        <v>0.88705000000000001</v>
      </c>
    </row>
    <row r="1662" spans="1:2" x14ac:dyDescent="0.2">
      <c r="A1662" s="68">
        <v>43402</v>
      </c>
      <c r="B1662" s="69">
        <v>0.88487000000000005</v>
      </c>
    </row>
    <row r="1663" spans="1:2" x14ac:dyDescent="0.2">
      <c r="A1663" s="68">
        <v>43399</v>
      </c>
      <c r="B1663" s="69">
        <v>0.88658000000000003</v>
      </c>
    </row>
    <row r="1664" spans="1:2" x14ac:dyDescent="0.2">
      <c r="A1664" s="68">
        <v>43398</v>
      </c>
      <c r="B1664" s="69">
        <v>0.88529000000000002</v>
      </c>
    </row>
    <row r="1665" spans="1:2" x14ac:dyDescent="0.2">
      <c r="A1665" s="68">
        <v>43397</v>
      </c>
      <c r="B1665" s="69">
        <v>0.88476999999999995</v>
      </c>
    </row>
    <row r="1666" spans="1:2" x14ac:dyDescent="0.2">
      <c r="A1666" s="68">
        <v>43396</v>
      </c>
      <c r="B1666" s="69">
        <v>0.88446000000000002</v>
      </c>
    </row>
    <row r="1667" spans="1:2" x14ac:dyDescent="0.2">
      <c r="A1667" s="68">
        <v>43395</v>
      </c>
      <c r="B1667" s="69">
        <v>0.88299000000000005</v>
      </c>
    </row>
    <row r="1668" spans="1:2" x14ac:dyDescent="0.2">
      <c r="A1668" s="68">
        <v>43392</v>
      </c>
      <c r="B1668" s="69">
        <v>0.88512999999999997</v>
      </c>
    </row>
    <row r="1669" spans="1:2" x14ac:dyDescent="0.2">
      <c r="A1669" s="68">
        <v>43391</v>
      </c>
      <c r="B1669" s="69">
        <v>0.88376999999999994</v>
      </c>
    </row>
    <row r="1670" spans="1:2" x14ac:dyDescent="0.2">
      <c r="A1670" s="68">
        <v>43390</v>
      </c>
      <c r="B1670" s="69">
        <v>0.88178000000000001</v>
      </c>
    </row>
    <row r="1671" spans="1:2" x14ac:dyDescent="0.2">
      <c r="A1671" s="68">
        <v>43389</v>
      </c>
      <c r="B1671" s="69">
        <v>0.88199000000000005</v>
      </c>
    </row>
    <row r="1672" spans="1:2" x14ac:dyDescent="0.2">
      <c r="A1672" s="68">
        <v>43388</v>
      </c>
      <c r="B1672" s="69">
        <v>0.88253000000000004</v>
      </c>
    </row>
    <row r="1673" spans="1:2" x14ac:dyDescent="0.2">
      <c r="A1673" s="68">
        <v>43385</v>
      </c>
      <c r="B1673" s="69">
        <v>0.88219999999999998</v>
      </c>
    </row>
    <row r="1674" spans="1:2" x14ac:dyDescent="0.2">
      <c r="A1674" s="68">
        <v>43384</v>
      </c>
      <c r="B1674" s="69">
        <v>0.88170000000000004</v>
      </c>
    </row>
    <row r="1675" spans="1:2" x14ac:dyDescent="0.2">
      <c r="A1675" s="68">
        <v>43383</v>
      </c>
      <c r="B1675" s="69">
        <v>0.88171999999999995</v>
      </c>
    </row>
    <row r="1676" spans="1:2" x14ac:dyDescent="0.2">
      <c r="A1676" s="68">
        <v>43382</v>
      </c>
      <c r="B1676" s="69">
        <v>0.88166999999999995</v>
      </c>
    </row>
    <row r="1677" spans="1:2" x14ac:dyDescent="0.2">
      <c r="A1677" s="68">
        <v>43381</v>
      </c>
      <c r="B1677" s="69">
        <v>0.87999000000000005</v>
      </c>
    </row>
    <row r="1678" spans="1:2" x14ac:dyDescent="0.2">
      <c r="A1678" s="68">
        <v>43371</v>
      </c>
      <c r="B1678" s="69">
        <v>0.87995000000000001</v>
      </c>
    </row>
    <row r="1679" spans="1:2" x14ac:dyDescent="0.2">
      <c r="A1679" s="68">
        <v>43370</v>
      </c>
      <c r="B1679" s="69">
        <v>0.87914999999999999</v>
      </c>
    </row>
    <row r="1680" spans="1:2" x14ac:dyDescent="0.2">
      <c r="A1680" s="68">
        <v>43369</v>
      </c>
      <c r="B1680" s="69">
        <v>0.87756000000000001</v>
      </c>
    </row>
    <row r="1681" spans="1:2" x14ac:dyDescent="0.2">
      <c r="A1681" s="68">
        <v>43368</v>
      </c>
      <c r="B1681" s="69">
        <v>0.87597999999999998</v>
      </c>
    </row>
    <row r="1682" spans="1:2" x14ac:dyDescent="0.2">
      <c r="A1682" s="68">
        <v>43364</v>
      </c>
      <c r="B1682" s="69">
        <v>0.87163000000000002</v>
      </c>
    </row>
    <row r="1683" spans="1:2" x14ac:dyDescent="0.2">
      <c r="A1683" s="68">
        <v>43363</v>
      </c>
      <c r="B1683" s="69">
        <v>0.87370000000000003</v>
      </c>
    </row>
    <row r="1684" spans="1:2" x14ac:dyDescent="0.2">
      <c r="A1684" s="68">
        <v>43362</v>
      </c>
      <c r="B1684" s="69">
        <v>0.87397999999999998</v>
      </c>
    </row>
    <row r="1685" spans="1:2" x14ac:dyDescent="0.2">
      <c r="A1685" s="68">
        <v>43361</v>
      </c>
      <c r="B1685" s="69">
        <v>0.87387999999999999</v>
      </c>
    </row>
    <row r="1686" spans="1:2" x14ac:dyDescent="0.2">
      <c r="A1686" s="68">
        <v>43360</v>
      </c>
      <c r="B1686" s="69">
        <v>0.87297000000000002</v>
      </c>
    </row>
    <row r="1687" spans="1:2" x14ac:dyDescent="0.2">
      <c r="A1687" s="68">
        <v>43357</v>
      </c>
      <c r="B1687" s="69">
        <v>0.87104999999999999</v>
      </c>
    </row>
    <row r="1688" spans="1:2" x14ac:dyDescent="0.2">
      <c r="A1688" s="68">
        <v>43356</v>
      </c>
      <c r="B1688" s="69">
        <v>0.87265999999999999</v>
      </c>
    </row>
    <row r="1689" spans="1:2" x14ac:dyDescent="0.2">
      <c r="A1689" s="68">
        <v>43355</v>
      </c>
      <c r="B1689" s="69">
        <v>0.87326000000000004</v>
      </c>
    </row>
    <row r="1690" spans="1:2" x14ac:dyDescent="0.2">
      <c r="A1690" s="68">
        <v>43354</v>
      </c>
      <c r="B1690" s="69">
        <v>0.87248000000000003</v>
      </c>
    </row>
    <row r="1691" spans="1:2" x14ac:dyDescent="0.2">
      <c r="A1691" s="68">
        <v>43353</v>
      </c>
      <c r="B1691" s="69">
        <v>0.87124000000000001</v>
      </c>
    </row>
    <row r="1692" spans="1:2" x14ac:dyDescent="0.2">
      <c r="A1692" s="68">
        <v>43350</v>
      </c>
      <c r="B1692" s="69">
        <v>0.86897999999999997</v>
      </c>
    </row>
    <row r="1693" spans="1:2" x14ac:dyDescent="0.2">
      <c r="A1693" s="68">
        <v>43349</v>
      </c>
      <c r="B1693" s="69">
        <v>0.86912</v>
      </c>
    </row>
    <row r="1694" spans="1:2" x14ac:dyDescent="0.2">
      <c r="A1694" s="68">
        <v>43348</v>
      </c>
      <c r="B1694" s="69">
        <v>0.86973999999999996</v>
      </c>
    </row>
    <row r="1695" spans="1:2" x14ac:dyDescent="0.2">
      <c r="A1695" s="68">
        <v>43347</v>
      </c>
      <c r="B1695" s="69">
        <v>0.86865000000000003</v>
      </c>
    </row>
    <row r="1696" spans="1:2" x14ac:dyDescent="0.2">
      <c r="A1696" s="68">
        <v>43346</v>
      </c>
      <c r="B1696" s="69">
        <v>0.87078999999999995</v>
      </c>
    </row>
    <row r="1697" spans="1:2" x14ac:dyDescent="0.2">
      <c r="A1697" s="68">
        <v>43343</v>
      </c>
      <c r="B1697" s="69">
        <v>0.86948999999999999</v>
      </c>
    </row>
    <row r="1698" spans="1:2" x14ac:dyDescent="0.2">
      <c r="A1698" s="68">
        <v>43342</v>
      </c>
      <c r="B1698" s="69">
        <v>0.86783999999999994</v>
      </c>
    </row>
    <row r="1699" spans="1:2" x14ac:dyDescent="0.2">
      <c r="A1699" s="68">
        <v>43341</v>
      </c>
      <c r="B1699" s="69">
        <v>0.86724999999999997</v>
      </c>
    </row>
    <row r="1700" spans="1:2" x14ac:dyDescent="0.2">
      <c r="A1700" s="68">
        <v>43340</v>
      </c>
      <c r="B1700" s="69">
        <v>0.86692000000000002</v>
      </c>
    </row>
    <row r="1701" spans="1:2" x14ac:dyDescent="0.2">
      <c r="A1701" s="68">
        <v>43339</v>
      </c>
      <c r="B1701" s="69">
        <v>0.87273000000000001</v>
      </c>
    </row>
    <row r="1702" spans="1:2" x14ac:dyDescent="0.2">
      <c r="A1702" s="68">
        <v>43336</v>
      </c>
      <c r="B1702" s="69">
        <v>0.87529999999999997</v>
      </c>
    </row>
    <row r="1703" spans="1:2" x14ac:dyDescent="0.2">
      <c r="A1703" s="68">
        <v>43335</v>
      </c>
      <c r="B1703" s="69">
        <v>0.87095999999999996</v>
      </c>
    </row>
    <row r="1704" spans="1:2" x14ac:dyDescent="0.2">
      <c r="A1704" s="68">
        <v>43334</v>
      </c>
      <c r="B1704" s="69">
        <v>0.86973999999999996</v>
      </c>
    </row>
    <row r="1705" spans="1:2" x14ac:dyDescent="0.2">
      <c r="A1705" s="68">
        <v>43333</v>
      </c>
      <c r="B1705" s="69">
        <v>0.87087999999999999</v>
      </c>
    </row>
    <row r="1706" spans="1:2" x14ac:dyDescent="0.2">
      <c r="A1706" s="68">
        <v>43332</v>
      </c>
      <c r="B1706" s="69">
        <v>0.87543000000000004</v>
      </c>
    </row>
    <row r="1707" spans="1:2" x14ac:dyDescent="0.2">
      <c r="A1707" s="68">
        <v>43329</v>
      </c>
      <c r="B1707" s="69">
        <v>0.87766999999999995</v>
      </c>
    </row>
    <row r="1708" spans="1:2" x14ac:dyDescent="0.2">
      <c r="A1708" s="68">
        <v>43328</v>
      </c>
      <c r="B1708" s="69">
        <v>0.87836999999999998</v>
      </c>
    </row>
    <row r="1709" spans="1:2" x14ac:dyDescent="0.2">
      <c r="A1709" s="68">
        <v>43327</v>
      </c>
      <c r="B1709" s="69">
        <v>0.87716000000000005</v>
      </c>
    </row>
    <row r="1710" spans="1:2" x14ac:dyDescent="0.2">
      <c r="A1710" s="68">
        <v>43326</v>
      </c>
      <c r="B1710" s="69">
        <v>0.87512000000000001</v>
      </c>
    </row>
    <row r="1711" spans="1:2" x14ac:dyDescent="0.2">
      <c r="A1711" s="68">
        <v>43325</v>
      </c>
      <c r="B1711" s="69">
        <v>0.87427999999999995</v>
      </c>
    </row>
    <row r="1712" spans="1:2" x14ac:dyDescent="0.2">
      <c r="A1712" s="68">
        <v>43322</v>
      </c>
      <c r="B1712" s="69">
        <v>0.87131000000000003</v>
      </c>
    </row>
    <row r="1713" spans="1:2" x14ac:dyDescent="0.2">
      <c r="A1713" s="68">
        <v>43321</v>
      </c>
      <c r="B1713" s="69">
        <v>0.87036999999999998</v>
      </c>
    </row>
    <row r="1714" spans="1:2" x14ac:dyDescent="0.2">
      <c r="A1714" s="68">
        <v>43320</v>
      </c>
      <c r="B1714" s="69">
        <v>0.87029999999999996</v>
      </c>
    </row>
    <row r="1715" spans="1:2" x14ac:dyDescent="0.2">
      <c r="A1715" s="68">
        <v>43319</v>
      </c>
      <c r="B1715" s="69">
        <v>0.87182000000000004</v>
      </c>
    </row>
    <row r="1716" spans="1:2" x14ac:dyDescent="0.2">
      <c r="A1716" s="68">
        <v>43318</v>
      </c>
      <c r="B1716" s="69">
        <v>0.87295</v>
      </c>
    </row>
    <row r="1717" spans="1:2" x14ac:dyDescent="0.2">
      <c r="A1717" s="68">
        <v>43315</v>
      </c>
      <c r="B1717" s="69">
        <v>0.87041999999999997</v>
      </c>
    </row>
    <row r="1718" spans="1:2" x14ac:dyDescent="0.2">
      <c r="A1718" s="68">
        <v>43314</v>
      </c>
      <c r="B1718" s="69">
        <v>0.86565999999999999</v>
      </c>
    </row>
    <row r="1719" spans="1:2" x14ac:dyDescent="0.2">
      <c r="A1719" s="68">
        <v>43313</v>
      </c>
      <c r="B1719" s="69">
        <v>0.87009000000000003</v>
      </c>
    </row>
    <row r="1720" spans="1:2" x14ac:dyDescent="0.2">
      <c r="A1720" s="68">
        <v>43312</v>
      </c>
      <c r="B1720" s="69">
        <v>0.86851999999999996</v>
      </c>
    </row>
    <row r="1721" spans="1:2" x14ac:dyDescent="0.2">
      <c r="A1721" s="68">
        <v>43311</v>
      </c>
      <c r="B1721" s="69">
        <v>0.86812</v>
      </c>
    </row>
    <row r="1722" spans="1:2" x14ac:dyDescent="0.2">
      <c r="A1722" s="68">
        <v>43308</v>
      </c>
      <c r="B1722" s="69">
        <v>0.86577999999999999</v>
      </c>
    </row>
    <row r="1723" spans="1:2" x14ac:dyDescent="0.2">
      <c r="A1723" s="68">
        <v>43307</v>
      </c>
      <c r="B1723" s="69">
        <v>0.86248999999999998</v>
      </c>
    </row>
    <row r="1724" spans="1:2" x14ac:dyDescent="0.2">
      <c r="A1724" s="68">
        <v>43306</v>
      </c>
      <c r="B1724" s="69">
        <v>0.86724000000000001</v>
      </c>
    </row>
    <row r="1725" spans="1:2" x14ac:dyDescent="0.2">
      <c r="A1725" s="68">
        <v>43305</v>
      </c>
      <c r="B1725" s="69">
        <v>0.86512999999999995</v>
      </c>
    </row>
    <row r="1726" spans="1:2" x14ac:dyDescent="0.2">
      <c r="A1726" s="68">
        <v>43304</v>
      </c>
      <c r="B1726" s="69">
        <v>0.86114000000000002</v>
      </c>
    </row>
    <row r="1727" spans="1:2" x14ac:dyDescent="0.2">
      <c r="A1727" s="68">
        <v>43301</v>
      </c>
      <c r="B1727" s="69">
        <v>0.86212999999999995</v>
      </c>
    </row>
    <row r="1728" spans="1:2" x14ac:dyDescent="0.2">
      <c r="A1728" s="68">
        <v>43300</v>
      </c>
      <c r="B1728" s="69">
        <v>0.85446</v>
      </c>
    </row>
    <row r="1729" spans="1:2" x14ac:dyDescent="0.2">
      <c r="A1729" s="68">
        <v>43299</v>
      </c>
      <c r="B1729" s="69">
        <v>0.85253999999999996</v>
      </c>
    </row>
    <row r="1730" spans="1:2" x14ac:dyDescent="0.2">
      <c r="A1730" s="68">
        <v>43298</v>
      </c>
      <c r="B1730" s="69">
        <v>0.85140000000000005</v>
      </c>
    </row>
    <row r="1731" spans="1:2" x14ac:dyDescent="0.2">
      <c r="A1731" s="68">
        <v>43297</v>
      </c>
      <c r="B1731" s="69">
        <v>0.85058</v>
      </c>
    </row>
    <row r="1732" spans="1:2" x14ac:dyDescent="0.2">
      <c r="A1732" s="68">
        <v>43294</v>
      </c>
      <c r="B1732" s="69">
        <v>0.85021000000000002</v>
      </c>
    </row>
    <row r="1733" spans="1:2" x14ac:dyDescent="0.2">
      <c r="A1733" s="68">
        <v>43293</v>
      </c>
      <c r="B1733" s="69">
        <v>0.85018000000000005</v>
      </c>
    </row>
    <row r="1734" spans="1:2" x14ac:dyDescent="0.2">
      <c r="A1734" s="68">
        <v>43292</v>
      </c>
      <c r="B1734" s="69">
        <v>0.84389999999999998</v>
      </c>
    </row>
    <row r="1735" spans="1:2" x14ac:dyDescent="0.2">
      <c r="A1735" s="68">
        <v>43291</v>
      </c>
      <c r="B1735" s="69">
        <v>0.84419999999999995</v>
      </c>
    </row>
    <row r="1736" spans="1:2" x14ac:dyDescent="0.2">
      <c r="A1736" s="68">
        <v>43290</v>
      </c>
      <c r="B1736" s="69">
        <v>0.84591000000000005</v>
      </c>
    </row>
    <row r="1737" spans="1:2" x14ac:dyDescent="0.2">
      <c r="A1737" s="68">
        <v>43287</v>
      </c>
      <c r="B1737" s="69">
        <v>0.84524999999999995</v>
      </c>
    </row>
    <row r="1738" spans="1:2" x14ac:dyDescent="0.2">
      <c r="A1738" s="68">
        <v>43286</v>
      </c>
      <c r="B1738" s="69">
        <v>0.84370999999999996</v>
      </c>
    </row>
    <row r="1739" spans="1:2" x14ac:dyDescent="0.2">
      <c r="A1739" s="68">
        <v>43285</v>
      </c>
      <c r="B1739" s="69">
        <v>0.84899999999999998</v>
      </c>
    </row>
    <row r="1740" spans="1:2" x14ac:dyDescent="0.2">
      <c r="A1740" s="68">
        <v>43284</v>
      </c>
      <c r="B1740" s="69">
        <v>0.84753000000000001</v>
      </c>
    </row>
    <row r="1741" spans="1:2" x14ac:dyDescent="0.2">
      <c r="A1741" s="68">
        <v>43283</v>
      </c>
      <c r="B1741" s="69">
        <v>0.84309000000000001</v>
      </c>
    </row>
    <row r="1742" spans="1:2" x14ac:dyDescent="0.2">
      <c r="A1742" s="68">
        <v>43280</v>
      </c>
      <c r="B1742" s="69">
        <v>0.84309999999999996</v>
      </c>
    </row>
    <row r="1743" spans="1:2" x14ac:dyDescent="0.2">
      <c r="A1743" s="68">
        <v>43279</v>
      </c>
      <c r="B1743" s="69">
        <v>0.84043999999999996</v>
      </c>
    </row>
    <row r="1744" spans="1:2" x14ac:dyDescent="0.2">
      <c r="A1744" s="68">
        <v>43278</v>
      </c>
      <c r="B1744" s="69">
        <v>0.83538999999999997</v>
      </c>
    </row>
    <row r="1745" spans="1:2" x14ac:dyDescent="0.2">
      <c r="A1745" s="68">
        <v>43277</v>
      </c>
      <c r="B1745" s="69">
        <v>0.83057000000000003</v>
      </c>
    </row>
    <row r="1746" spans="1:2" x14ac:dyDescent="0.2">
      <c r="A1746" s="68">
        <v>43276</v>
      </c>
      <c r="B1746" s="69">
        <v>0.82706000000000002</v>
      </c>
    </row>
    <row r="1747" spans="1:2" x14ac:dyDescent="0.2">
      <c r="A1747" s="68">
        <v>43273</v>
      </c>
      <c r="B1747" s="69">
        <v>0.82613999999999999</v>
      </c>
    </row>
    <row r="1748" spans="1:2" x14ac:dyDescent="0.2">
      <c r="A1748" s="68">
        <v>43272</v>
      </c>
      <c r="B1748" s="69">
        <v>0.82487999999999995</v>
      </c>
    </row>
    <row r="1749" spans="1:2" x14ac:dyDescent="0.2">
      <c r="A1749" s="68">
        <v>43271</v>
      </c>
      <c r="B1749" s="69">
        <v>0.82282</v>
      </c>
    </row>
    <row r="1750" spans="1:2" x14ac:dyDescent="0.2">
      <c r="A1750" s="68">
        <v>43270</v>
      </c>
      <c r="B1750" s="69">
        <v>0.81835000000000002</v>
      </c>
    </row>
    <row r="1751" spans="1:2" x14ac:dyDescent="0.2">
      <c r="A1751" s="68">
        <v>43266</v>
      </c>
      <c r="B1751" s="69">
        <v>0.81928000000000001</v>
      </c>
    </row>
    <row r="1752" spans="1:2" x14ac:dyDescent="0.2">
      <c r="A1752" s="68">
        <v>43265</v>
      </c>
      <c r="B1752" s="69">
        <v>0.81508000000000003</v>
      </c>
    </row>
    <row r="1753" spans="1:2" x14ac:dyDescent="0.2">
      <c r="A1753" s="68">
        <v>43264</v>
      </c>
      <c r="B1753" s="69">
        <v>0.81757000000000002</v>
      </c>
    </row>
    <row r="1754" spans="1:2" x14ac:dyDescent="0.2">
      <c r="A1754" s="68">
        <v>43263</v>
      </c>
      <c r="B1754" s="69">
        <v>0.81718000000000002</v>
      </c>
    </row>
    <row r="1755" spans="1:2" x14ac:dyDescent="0.2">
      <c r="A1755" s="68">
        <v>43262</v>
      </c>
      <c r="B1755" s="69">
        <v>0.81647999999999998</v>
      </c>
    </row>
    <row r="1756" spans="1:2" x14ac:dyDescent="0.2">
      <c r="A1756" s="68">
        <v>43259</v>
      </c>
      <c r="B1756" s="69">
        <v>0.81577999999999995</v>
      </c>
    </row>
    <row r="1757" spans="1:2" x14ac:dyDescent="0.2">
      <c r="A1757" s="68">
        <v>43258</v>
      </c>
      <c r="B1757" s="69">
        <v>0.81459000000000004</v>
      </c>
    </row>
    <row r="1758" spans="1:2" x14ac:dyDescent="0.2">
      <c r="A1758" s="68">
        <v>43257</v>
      </c>
      <c r="B1758" s="69">
        <v>0.81606000000000001</v>
      </c>
    </row>
    <row r="1759" spans="1:2" x14ac:dyDescent="0.2">
      <c r="A1759" s="68">
        <v>43256</v>
      </c>
      <c r="B1759" s="69">
        <v>0.81762999999999997</v>
      </c>
    </row>
    <row r="1760" spans="1:2" x14ac:dyDescent="0.2">
      <c r="A1760" s="68">
        <v>43255</v>
      </c>
      <c r="B1760" s="69">
        <v>0.81838</v>
      </c>
    </row>
    <row r="1761" spans="1:2" x14ac:dyDescent="0.2">
      <c r="A1761" s="68">
        <v>43252</v>
      </c>
      <c r="B1761" s="69">
        <v>0.81672</v>
      </c>
    </row>
    <row r="1762" spans="1:2" x14ac:dyDescent="0.2">
      <c r="A1762" s="68">
        <v>43251</v>
      </c>
      <c r="B1762" s="69">
        <v>0.81754000000000004</v>
      </c>
    </row>
    <row r="1763" spans="1:2" x14ac:dyDescent="0.2">
      <c r="A1763" s="68">
        <v>43250</v>
      </c>
      <c r="B1763" s="69">
        <v>0.81838999999999995</v>
      </c>
    </row>
    <row r="1764" spans="1:2" x14ac:dyDescent="0.2">
      <c r="A1764" s="68">
        <v>43249</v>
      </c>
      <c r="B1764" s="69">
        <v>0.81605000000000005</v>
      </c>
    </row>
    <row r="1765" spans="1:2" x14ac:dyDescent="0.2">
      <c r="A1765" s="68">
        <v>43248</v>
      </c>
      <c r="B1765" s="69">
        <v>0.81530000000000002</v>
      </c>
    </row>
    <row r="1766" spans="1:2" x14ac:dyDescent="0.2">
      <c r="A1766" s="68">
        <v>43245</v>
      </c>
      <c r="B1766" s="69">
        <v>0.81386000000000003</v>
      </c>
    </row>
    <row r="1767" spans="1:2" x14ac:dyDescent="0.2">
      <c r="A1767" s="68">
        <v>43244</v>
      </c>
      <c r="B1767" s="69">
        <v>0.81315999999999999</v>
      </c>
    </row>
    <row r="1768" spans="1:2" x14ac:dyDescent="0.2">
      <c r="A1768" s="68">
        <v>43243</v>
      </c>
      <c r="B1768" s="69">
        <v>0.81242000000000003</v>
      </c>
    </row>
    <row r="1769" spans="1:2" x14ac:dyDescent="0.2">
      <c r="A1769" s="68">
        <v>43242</v>
      </c>
      <c r="B1769" s="69">
        <v>0.81288000000000005</v>
      </c>
    </row>
    <row r="1770" spans="1:2" x14ac:dyDescent="0.2">
      <c r="A1770" s="68">
        <v>43241</v>
      </c>
      <c r="B1770" s="69">
        <v>0.81342000000000003</v>
      </c>
    </row>
    <row r="1771" spans="1:2" x14ac:dyDescent="0.2">
      <c r="A1771" s="68">
        <v>43238</v>
      </c>
      <c r="B1771" s="69">
        <v>0.81228</v>
      </c>
    </row>
    <row r="1772" spans="1:2" x14ac:dyDescent="0.2">
      <c r="A1772" s="68">
        <v>43237</v>
      </c>
      <c r="B1772" s="69">
        <v>0.81123999999999996</v>
      </c>
    </row>
    <row r="1773" spans="1:2" x14ac:dyDescent="0.2">
      <c r="A1773" s="68">
        <v>43236</v>
      </c>
      <c r="B1773" s="69">
        <v>0.81206</v>
      </c>
    </row>
    <row r="1774" spans="1:2" x14ac:dyDescent="0.2">
      <c r="A1774" s="68">
        <v>43235</v>
      </c>
      <c r="B1774" s="69">
        <v>0.80876999999999999</v>
      </c>
    </row>
    <row r="1775" spans="1:2" x14ac:dyDescent="0.2">
      <c r="A1775" s="68">
        <v>43234</v>
      </c>
      <c r="B1775" s="69">
        <v>0.80694999999999995</v>
      </c>
    </row>
    <row r="1776" spans="1:2" x14ac:dyDescent="0.2">
      <c r="A1776" s="68">
        <v>43231</v>
      </c>
      <c r="B1776" s="69">
        <v>0.80925000000000002</v>
      </c>
    </row>
    <row r="1777" spans="1:2" x14ac:dyDescent="0.2">
      <c r="A1777" s="68">
        <v>43230</v>
      </c>
      <c r="B1777" s="69">
        <v>0.81237999999999999</v>
      </c>
    </row>
    <row r="1778" spans="1:2" x14ac:dyDescent="0.2">
      <c r="A1778" s="68">
        <v>43229</v>
      </c>
      <c r="B1778" s="69">
        <v>0.81191999999999998</v>
      </c>
    </row>
    <row r="1779" spans="1:2" x14ac:dyDescent="0.2">
      <c r="A1779" s="68">
        <v>43228</v>
      </c>
      <c r="B1779" s="69">
        <v>0.81115999999999999</v>
      </c>
    </row>
    <row r="1780" spans="1:2" x14ac:dyDescent="0.2">
      <c r="A1780" s="68">
        <v>43227</v>
      </c>
      <c r="B1780" s="69">
        <v>0.81005000000000005</v>
      </c>
    </row>
    <row r="1781" spans="1:2" x14ac:dyDescent="0.2">
      <c r="A1781" s="68">
        <v>43224</v>
      </c>
      <c r="B1781" s="69">
        <v>0.80923999999999996</v>
      </c>
    </row>
    <row r="1782" spans="1:2" x14ac:dyDescent="0.2">
      <c r="A1782" s="68">
        <v>43223</v>
      </c>
      <c r="B1782" s="69">
        <v>0.81198000000000004</v>
      </c>
    </row>
    <row r="1783" spans="1:2" x14ac:dyDescent="0.2">
      <c r="A1783" s="68">
        <v>43222</v>
      </c>
      <c r="B1783" s="69">
        <v>0.81113999999999997</v>
      </c>
    </row>
    <row r="1784" spans="1:2" x14ac:dyDescent="0.2">
      <c r="A1784" s="68">
        <v>43217</v>
      </c>
      <c r="B1784" s="69">
        <v>0.80784999999999996</v>
      </c>
    </row>
    <row r="1785" spans="1:2" x14ac:dyDescent="0.2">
      <c r="A1785" s="68">
        <v>43216</v>
      </c>
      <c r="B1785" s="69">
        <v>0.80647999999999997</v>
      </c>
    </row>
    <row r="1786" spans="1:2" x14ac:dyDescent="0.2">
      <c r="A1786" s="68">
        <v>43215</v>
      </c>
      <c r="B1786" s="69">
        <v>0.80371999999999999</v>
      </c>
    </row>
    <row r="1787" spans="1:2" x14ac:dyDescent="0.2">
      <c r="A1787" s="68">
        <v>43214</v>
      </c>
      <c r="B1787" s="69">
        <v>0.80615000000000003</v>
      </c>
    </row>
    <row r="1788" spans="1:2" x14ac:dyDescent="0.2">
      <c r="A1788" s="68">
        <v>43213</v>
      </c>
      <c r="B1788" s="69">
        <v>0.80349000000000004</v>
      </c>
    </row>
    <row r="1789" spans="1:2" x14ac:dyDescent="0.2">
      <c r="A1789" s="68">
        <v>43210</v>
      </c>
      <c r="B1789" s="69">
        <v>0.80142000000000002</v>
      </c>
    </row>
    <row r="1790" spans="1:2" x14ac:dyDescent="0.2">
      <c r="A1790" s="68">
        <v>43209</v>
      </c>
      <c r="B1790" s="69">
        <v>0.80047000000000001</v>
      </c>
    </row>
    <row r="1791" spans="1:2" x14ac:dyDescent="0.2">
      <c r="A1791" s="68">
        <v>43208</v>
      </c>
      <c r="B1791" s="69">
        <v>0.80023</v>
      </c>
    </row>
    <row r="1792" spans="1:2" x14ac:dyDescent="0.2">
      <c r="A1792" s="68">
        <v>43207</v>
      </c>
      <c r="B1792" s="69">
        <v>0.79964999999999997</v>
      </c>
    </row>
    <row r="1793" spans="1:2" x14ac:dyDescent="0.2">
      <c r="A1793" s="68">
        <v>43206</v>
      </c>
      <c r="B1793" s="69">
        <v>0.80106999999999995</v>
      </c>
    </row>
    <row r="1794" spans="1:2" x14ac:dyDescent="0.2">
      <c r="A1794" s="68">
        <v>43203</v>
      </c>
      <c r="B1794" s="69">
        <v>0.80125999999999997</v>
      </c>
    </row>
    <row r="1795" spans="1:2" x14ac:dyDescent="0.2">
      <c r="A1795" s="68">
        <v>43202</v>
      </c>
      <c r="B1795" s="69">
        <v>0.80047999999999997</v>
      </c>
    </row>
    <row r="1796" spans="1:2" x14ac:dyDescent="0.2">
      <c r="A1796" s="68">
        <v>43201</v>
      </c>
      <c r="B1796" s="69">
        <v>0.80145</v>
      </c>
    </row>
    <row r="1797" spans="1:2" x14ac:dyDescent="0.2">
      <c r="A1797" s="68">
        <v>43200</v>
      </c>
      <c r="B1797" s="69">
        <v>0.80352000000000001</v>
      </c>
    </row>
    <row r="1798" spans="1:2" x14ac:dyDescent="0.2">
      <c r="A1798" s="68">
        <v>43199</v>
      </c>
      <c r="B1798" s="69">
        <v>0.80413999999999997</v>
      </c>
    </row>
    <row r="1799" spans="1:2" x14ac:dyDescent="0.2">
      <c r="A1799" s="68">
        <v>43194</v>
      </c>
      <c r="B1799" s="69">
        <v>0.80174000000000001</v>
      </c>
    </row>
    <row r="1800" spans="1:2" x14ac:dyDescent="0.2">
      <c r="A1800" s="68">
        <v>43193</v>
      </c>
      <c r="B1800" s="69">
        <v>0.80057999999999996</v>
      </c>
    </row>
    <row r="1801" spans="1:2" x14ac:dyDescent="0.2">
      <c r="A1801" s="68">
        <v>43192</v>
      </c>
      <c r="B1801" s="69">
        <v>0.79969000000000001</v>
      </c>
    </row>
    <row r="1802" spans="1:2" x14ac:dyDescent="0.2">
      <c r="A1802" s="68">
        <v>43189</v>
      </c>
      <c r="B1802" s="69">
        <v>0.80125000000000002</v>
      </c>
    </row>
    <row r="1803" spans="1:2" x14ac:dyDescent="0.2">
      <c r="A1803" s="68">
        <v>43188</v>
      </c>
      <c r="B1803" s="69">
        <v>0.80349000000000004</v>
      </c>
    </row>
    <row r="1804" spans="1:2" x14ac:dyDescent="0.2">
      <c r="A1804" s="68">
        <v>43187</v>
      </c>
      <c r="B1804" s="69">
        <v>0.80018999999999996</v>
      </c>
    </row>
    <row r="1805" spans="1:2" x14ac:dyDescent="0.2">
      <c r="A1805" s="68">
        <v>43186</v>
      </c>
      <c r="B1805" s="69">
        <v>0.80047000000000001</v>
      </c>
    </row>
    <row r="1806" spans="1:2" x14ac:dyDescent="0.2">
      <c r="A1806" s="68">
        <v>43185</v>
      </c>
      <c r="B1806" s="69">
        <v>0.80520000000000003</v>
      </c>
    </row>
    <row r="1807" spans="1:2" x14ac:dyDescent="0.2">
      <c r="A1807" s="68">
        <v>43182</v>
      </c>
      <c r="B1807" s="69">
        <v>0.80620999999999998</v>
      </c>
    </row>
    <row r="1808" spans="1:2" x14ac:dyDescent="0.2">
      <c r="A1808" s="68">
        <v>43181</v>
      </c>
      <c r="B1808" s="69">
        <v>0.80508999999999997</v>
      </c>
    </row>
    <row r="1809" spans="1:2" x14ac:dyDescent="0.2">
      <c r="A1809" s="68">
        <v>43180</v>
      </c>
      <c r="B1809" s="69">
        <v>0.80808999999999997</v>
      </c>
    </row>
    <row r="1810" spans="1:2" x14ac:dyDescent="0.2">
      <c r="A1810" s="68">
        <v>43179</v>
      </c>
      <c r="B1810" s="69">
        <v>0.80635999999999997</v>
      </c>
    </row>
    <row r="1811" spans="1:2" x14ac:dyDescent="0.2">
      <c r="A1811" s="68">
        <v>43178</v>
      </c>
      <c r="B1811" s="69">
        <v>0.80730999999999997</v>
      </c>
    </row>
    <row r="1812" spans="1:2" x14ac:dyDescent="0.2">
      <c r="A1812" s="68">
        <v>43175</v>
      </c>
      <c r="B1812" s="69">
        <v>0.80771999999999999</v>
      </c>
    </row>
    <row r="1813" spans="1:2" x14ac:dyDescent="0.2">
      <c r="A1813" s="68">
        <v>43174</v>
      </c>
      <c r="B1813" s="69">
        <v>0.80532000000000004</v>
      </c>
    </row>
    <row r="1814" spans="1:2" x14ac:dyDescent="0.2">
      <c r="A1814" s="68">
        <v>43173</v>
      </c>
      <c r="B1814" s="69">
        <v>0.80610999999999999</v>
      </c>
    </row>
    <row r="1815" spans="1:2" x14ac:dyDescent="0.2">
      <c r="A1815" s="68">
        <v>43172</v>
      </c>
      <c r="B1815" s="69">
        <v>0.80635000000000001</v>
      </c>
    </row>
    <row r="1816" spans="1:2" x14ac:dyDescent="0.2">
      <c r="A1816" s="68">
        <v>43171</v>
      </c>
      <c r="B1816" s="69">
        <v>0.80794999999999995</v>
      </c>
    </row>
    <row r="1817" spans="1:2" x14ac:dyDescent="0.2">
      <c r="A1817" s="68">
        <v>43168</v>
      </c>
      <c r="B1817" s="69">
        <v>0.80923</v>
      </c>
    </row>
    <row r="1818" spans="1:2" x14ac:dyDescent="0.2">
      <c r="A1818" s="68">
        <v>43167</v>
      </c>
      <c r="B1818" s="69">
        <v>0.80718000000000001</v>
      </c>
    </row>
    <row r="1819" spans="1:2" x14ac:dyDescent="0.2">
      <c r="A1819" s="68">
        <v>43166</v>
      </c>
      <c r="B1819" s="69">
        <v>0.80801999999999996</v>
      </c>
    </row>
    <row r="1820" spans="1:2" x14ac:dyDescent="0.2">
      <c r="A1820" s="68">
        <v>43165</v>
      </c>
      <c r="B1820" s="69">
        <v>0.80933999999999995</v>
      </c>
    </row>
    <row r="1821" spans="1:2" x14ac:dyDescent="0.2">
      <c r="A1821" s="68">
        <v>43164</v>
      </c>
      <c r="B1821" s="69">
        <v>0.80991999999999997</v>
      </c>
    </row>
    <row r="1822" spans="1:2" x14ac:dyDescent="0.2">
      <c r="A1822" s="68">
        <v>43161</v>
      </c>
      <c r="B1822" s="69">
        <v>0.80913000000000002</v>
      </c>
    </row>
    <row r="1823" spans="1:2" x14ac:dyDescent="0.2">
      <c r="A1823" s="68">
        <v>43160</v>
      </c>
      <c r="B1823" s="69">
        <v>0.80939000000000005</v>
      </c>
    </row>
    <row r="1824" spans="1:2" x14ac:dyDescent="0.2">
      <c r="A1824" s="68">
        <v>43159</v>
      </c>
      <c r="B1824" s="69">
        <v>0.80857999999999997</v>
      </c>
    </row>
    <row r="1825" spans="1:2" x14ac:dyDescent="0.2">
      <c r="A1825" s="68">
        <v>43158</v>
      </c>
      <c r="B1825" s="69">
        <v>0.80713999999999997</v>
      </c>
    </row>
    <row r="1826" spans="1:2" x14ac:dyDescent="0.2">
      <c r="A1826" s="68">
        <v>43157</v>
      </c>
      <c r="B1826" s="69">
        <v>0.81008999999999998</v>
      </c>
    </row>
    <row r="1827" spans="1:2" x14ac:dyDescent="0.2">
      <c r="A1827" s="68">
        <v>43154</v>
      </c>
      <c r="B1827" s="69">
        <v>0.81138999999999994</v>
      </c>
    </row>
    <row r="1828" spans="1:2" x14ac:dyDescent="0.2">
      <c r="A1828" s="68">
        <v>43153</v>
      </c>
      <c r="B1828" s="69">
        <v>0.81189999999999996</v>
      </c>
    </row>
    <row r="1829" spans="1:2" x14ac:dyDescent="0.2">
      <c r="A1829" s="68">
        <v>43145</v>
      </c>
      <c r="B1829" s="69">
        <v>0.81093999999999999</v>
      </c>
    </row>
    <row r="1830" spans="1:2" x14ac:dyDescent="0.2">
      <c r="A1830" s="68">
        <v>43144</v>
      </c>
      <c r="B1830" s="69">
        <v>0.80876000000000003</v>
      </c>
    </row>
    <row r="1831" spans="1:2" x14ac:dyDescent="0.2">
      <c r="A1831" s="68">
        <v>43143</v>
      </c>
      <c r="B1831" s="69">
        <v>0.80569999999999997</v>
      </c>
    </row>
    <row r="1832" spans="1:2" x14ac:dyDescent="0.2">
      <c r="A1832" s="68">
        <v>43140</v>
      </c>
      <c r="B1832" s="69">
        <v>0.80815000000000003</v>
      </c>
    </row>
    <row r="1833" spans="1:2" x14ac:dyDescent="0.2">
      <c r="A1833" s="68">
        <v>43139</v>
      </c>
      <c r="B1833" s="69">
        <v>0.80359000000000003</v>
      </c>
    </row>
    <row r="1834" spans="1:2" x14ac:dyDescent="0.2">
      <c r="A1834" s="68">
        <v>43138</v>
      </c>
      <c r="B1834" s="69">
        <v>0.80418999999999996</v>
      </c>
    </row>
    <row r="1835" spans="1:2" x14ac:dyDescent="0.2">
      <c r="A1835" s="68">
        <v>43137</v>
      </c>
      <c r="B1835" s="69">
        <v>0.80649999999999999</v>
      </c>
    </row>
    <row r="1836" spans="1:2" x14ac:dyDescent="0.2">
      <c r="A1836" s="68">
        <v>43136</v>
      </c>
      <c r="B1836" s="69">
        <v>0.80571999999999999</v>
      </c>
    </row>
    <row r="1837" spans="1:2" x14ac:dyDescent="0.2">
      <c r="A1837" s="68">
        <v>43133</v>
      </c>
      <c r="B1837" s="69">
        <v>0.80413000000000001</v>
      </c>
    </row>
    <row r="1838" spans="1:2" x14ac:dyDescent="0.2">
      <c r="A1838" s="68">
        <v>43132</v>
      </c>
      <c r="B1838" s="69">
        <v>0.80600000000000005</v>
      </c>
    </row>
    <row r="1839" spans="1:2" x14ac:dyDescent="0.2">
      <c r="A1839" s="68">
        <v>43131</v>
      </c>
      <c r="B1839" s="69">
        <v>0.80993000000000004</v>
      </c>
    </row>
    <row r="1840" spans="1:2" x14ac:dyDescent="0.2">
      <c r="A1840" s="68">
        <v>43130</v>
      </c>
      <c r="B1840" s="69">
        <v>0.80986000000000002</v>
      </c>
    </row>
    <row r="1841" spans="1:2" x14ac:dyDescent="0.2">
      <c r="A1841" s="68">
        <v>43129</v>
      </c>
      <c r="B1841" s="69">
        <v>0.80923</v>
      </c>
    </row>
    <row r="1842" spans="1:2" x14ac:dyDescent="0.2">
      <c r="A1842" s="68">
        <v>43126</v>
      </c>
      <c r="B1842" s="69">
        <v>0.81145</v>
      </c>
    </row>
    <row r="1843" spans="1:2" x14ac:dyDescent="0.2">
      <c r="A1843" s="68">
        <v>43125</v>
      </c>
      <c r="B1843" s="69">
        <v>0.81513999999999998</v>
      </c>
    </row>
    <row r="1844" spans="1:2" x14ac:dyDescent="0.2">
      <c r="A1844" s="68">
        <v>43124</v>
      </c>
      <c r="B1844" s="69">
        <v>0.81749000000000005</v>
      </c>
    </row>
    <row r="1845" spans="1:2" x14ac:dyDescent="0.2">
      <c r="A1845" s="68">
        <v>43123</v>
      </c>
      <c r="B1845" s="69">
        <v>0.81860999999999995</v>
      </c>
    </row>
    <row r="1846" spans="1:2" x14ac:dyDescent="0.2">
      <c r="A1846" s="68">
        <v>43122</v>
      </c>
      <c r="B1846" s="69">
        <v>0.82013000000000003</v>
      </c>
    </row>
    <row r="1847" spans="1:2" x14ac:dyDescent="0.2">
      <c r="A1847" s="68">
        <v>43119</v>
      </c>
      <c r="B1847" s="69">
        <v>0.82067000000000001</v>
      </c>
    </row>
    <row r="1848" spans="1:2" x14ac:dyDescent="0.2">
      <c r="A1848" s="68">
        <v>43118</v>
      </c>
      <c r="B1848" s="69">
        <v>0.82399</v>
      </c>
    </row>
    <row r="1849" spans="1:2" x14ac:dyDescent="0.2">
      <c r="A1849" s="68">
        <v>43117</v>
      </c>
      <c r="B1849" s="69">
        <v>0.82225999999999999</v>
      </c>
    </row>
    <row r="1850" spans="1:2" x14ac:dyDescent="0.2">
      <c r="A1850" s="68">
        <v>43116</v>
      </c>
      <c r="B1850" s="69">
        <v>0.82272000000000001</v>
      </c>
    </row>
    <row r="1851" spans="1:2" x14ac:dyDescent="0.2">
      <c r="A1851" s="68">
        <v>43115</v>
      </c>
      <c r="B1851" s="69">
        <v>0.82543</v>
      </c>
    </row>
    <row r="1852" spans="1:2" x14ac:dyDescent="0.2">
      <c r="A1852" s="68">
        <v>43112</v>
      </c>
      <c r="B1852" s="69">
        <v>0.82996999999999999</v>
      </c>
    </row>
    <row r="1853" spans="1:2" x14ac:dyDescent="0.2">
      <c r="A1853" s="68">
        <v>43111</v>
      </c>
      <c r="B1853" s="69">
        <v>0.83274000000000004</v>
      </c>
    </row>
    <row r="1854" spans="1:2" x14ac:dyDescent="0.2">
      <c r="A1854" s="68">
        <v>43110</v>
      </c>
      <c r="B1854" s="69">
        <v>0.83377999999999997</v>
      </c>
    </row>
    <row r="1855" spans="1:2" x14ac:dyDescent="0.2">
      <c r="A1855" s="68">
        <v>43109</v>
      </c>
      <c r="B1855" s="69">
        <v>0.83053999999999994</v>
      </c>
    </row>
    <row r="1856" spans="1:2" x14ac:dyDescent="0.2">
      <c r="A1856" s="68">
        <v>43108</v>
      </c>
      <c r="B1856" s="69">
        <v>0.82913000000000003</v>
      </c>
    </row>
    <row r="1857" spans="1:2" x14ac:dyDescent="0.2">
      <c r="A1857" s="68">
        <v>43105</v>
      </c>
      <c r="B1857" s="69">
        <v>0.83030999999999999</v>
      </c>
    </row>
    <row r="1858" spans="1:2" x14ac:dyDescent="0.2">
      <c r="A1858" s="68">
        <v>43104</v>
      </c>
      <c r="B1858" s="69">
        <v>0.83199999999999996</v>
      </c>
    </row>
    <row r="1859" spans="1:2" x14ac:dyDescent="0.2">
      <c r="A1859" s="68">
        <v>43103</v>
      </c>
      <c r="B1859" s="69">
        <v>0.83057999999999998</v>
      </c>
    </row>
    <row r="1860" spans="1:2" x14ac:dyDescent="0.2">
      <c r="A1860" s="68">
        <v>43102</v>
      </c>
      <c r="B1860" s="69">
        <v>0.83230999999999999</v>
      </c>
    </row>
    <row r="1861" spans="1:2" x14ac:dyDescent="0.2">
      <c r="A1861" s="68">
        <v>43098</v>
      </c>
      <c r="B1861" s="69">
        <v>0.83591000000000004</v>
      </c>
    </row>
    <row r="1862" spans="1:2" x14ac:dyDescent="0.2">
      <c r="A1862" s="68">
        <v>43097</v>
      </c>
      <c r="B1862" s="69">
        <v>0.83733000000000002</v>
      </c>
    </row>
    <row r="1863" spans="1:2" x14ac:dyDescent="0.2">
      <c r="A1863" s="68">
        <v>43096</v>
      </c>
      <c r="B1863" s="69">
        <v>0.83733999999999997</v>
      </c>
    </row>
    <row r="1864" spans="1:2" x14ac:dyDescent="0.2">
      <c r="A1864" s="68">
        <v>43095</v>
      </c>
      <c r="B1864" s="69">
        <v>0.83745000000000003</v>
      </c>
    </row>
    <row r="1865" spans="1:2" x14ac:dyDescent="0.2">
      <c r="A1865" s="68">
        <v>43094</v>
      </c>
      <c r="B1865" s="69">
        <v>0.84001999999999999</v>
      </c>
    </row>
    <row r="1866" spans="1:2" x14ac:dyDescent="0.2">
      <c r="A1866" s="68">
        <v>43091</v>
      </c>
      <c r="B1866" s="69">
        <v>0.84150000000000003</v>
      </c>
    </row>
    <row r="1867" spans="1:2" x14ac:dyDescent="0.2">
      <c r="A1867" s="68">
        <v>43090</v>
      </c>
      <c r="B1867" s="69">
        <v>0.84116000000000002</v>
      </c>
    </row>
    <row r="1868" spans="1:2" x14ac:dyDescent="0.2">
      <c r="A1868" s="68">
        <v>43089</v>
      </c>
      <c r="B1868" s="69">
        <v>0.84501000000000004</v>
      </c>
    </row>
    <row r="1869" spans="1:2" x14ac:dyDescent="0.2">
      <c r="A1869" s="68">
        <v>43088</v>
      </c>
      <c r="B1869" s="69">
        <v>0.84558999999999995</v>
      </c>
    </row>
    <row r="1870" spans="1:2" x14ac:dyDescent="0.2">
      <c r="A1870" s="68">
        <v>43087</v>
      </c>
      <c r="B1870" s="69">
        <v>0.84691000000000005</v>
      </c>
    </row>
    <row r="1871" spans="1:2" x14ac:dyDescent="0.2">
      <c r="A1871" s="68">
        <v>43084</v>
      </c>
      <c r="B1871" s="69">
        <v>0.84648000000000001</v>
      </c>
    </row>
    <row r="1872" spans="1:2" x14ac:dyDescent="0.2">
      <c r="A1872" s="68">
        <v>43083</v>
      </c>
      <c r="B1872" s="69">
        <v>0.84608000000000005</v>
      </c>
    </row>
    <row r="1873" spans="1:2" x14ac:dyDescent="0.2">
      <c r="A1873" s="68">
        <v>43082</v>
      </c>
      <c r="B1873" s="69">
        <v>0.84865999999999997</v>
      </c>
    </row>
    <row r="1874" spans="1:2" x14ac:dyDescent="0.2">
      <c r="A1874" s="68">
        <v>43081</v>
      </c>
      <c r="B1874" s="69">
        <v>0.84733000000000003</v>
      </c>
    </row>
    <row r="1875" spans="1:2" x14ac:dyDescent="0.2">
      <c r="A1875" s="68">
        <v>43080</v>
      </c>
      <c r="B1875" s="69">
        <v>0.84721000000000002</v>
      </c>
    </row>
    <row r="1876" spans="1:2" x14ac:dyDescent="0.2">
      <c r="A1876" s="68">
        <v>43077</v>
      </c>
      <c r="B1876" s="69">
        <v>0.84799999999999998</v>
      </c>
    </row>
    <row r="1877" spans="1:2" x14ac:dyDescent="0.2">
      <c r="A1877" s="68">
        <v>43076</v>
      </c>
      <c r="B1877" s="69">
        <v>0.84726999999999997</v>
      </c>
    </row>
    <row r="1878" spans="1:2" x14ac:dyDescent="0.2">
      <c r="A1878" s="68">
        <v>43075</v>
      </c>
      <c r="B1878" s="69">
        <v>0.84665999999999997</v>
      </c>
    </row>
    <row r="1879" spans="1:2" x14ac:dyDescent="0.2">
      <c r="A1879" s="68">
        <v>43074</v>
      </c>
      <c r="B1879" s="69">
        <v>0.84570999999999996</v>
      </c>
    </row>
    <row r="1880" spans="1:2" x14ac:dyDescent="0.2">
      <c r="A1880" s="68">
        <v>43073</v>
      </c>
      <c r="B1880" s="69">
        <v>0.84616999999999998</v>
      </c>
    </row>
    <row r="1881" spans="1:2" x14ac:dyDescent="0.2">
      <c r="A1881" s="68">
        <v>43070</v>
      </c>
      <c r="B1881" s="69">
        <v>0.84587999999999997</v>
      </c>
    </row>
    <row r="1882" spans="1:2" x14ac:dyDescent="0.2">
      <c r="A1882" s="68">
        <v>43069</v>
      </c>
      <c r="B1882" s="69">
        <v>0.84577000000000002</v>
      </c>
    </row>
    <row r="1883" spans="1:2" x14ac:dyDescent="0.2">
      <c r="A1883" s="68">
        <v>43068</v>
      </c>
      <c r="B1883" s="69">
        <v>0.84599000000000002</v>
      </c>
    </row>
    <row r="1884" spans="1:2" x14ac:dyDescent="0.2">
      <c r="A1884" s="68">
        <v>43067</v>
      </c>
      <c r="B1884" s="69">
        <v>0.84524999999999995</v>
      </c>
    </row>
    <row r="1885" spans="1:2" x14ac:dyDescent="0.2">
      <c r="A1885" s="68">
        <v>43066</v>
      </c>
      <c r="B1885" s="69">
        <v>0.84377000000000002</v>
      </c>
    </row>
    <row r="1886" spans="1:2" x14ac:dyDescent="0.2">
      <c r="A1886" s="68">
        <v>43063</v>
      </c>
      <c r="B1886" s="69">
        <v>0.84265000000000001</v>
      </c>
    </row>
    <row r="1887" spans="1:2" x14ac:dyDescent="0.2">
      <c r="A1887" s="68">
        <v>43062</v>
      </c>
      <c r="B1887" s="69">
        <v>0.84519</v>
      </c>
    </row>
    <row r="1888" spans="1:2" x14ac:dyDescent="0.2">
      <c r="A1888" s="68">
        <v>43061</v>
      </c>
      <c r="B1888" s="69">
        <v>0.84867999999999999</v>
      </c>
    </row>
    <row r="1889" spans="1:2" x14ac:dyDescent="0.2">
      <c r="A1889" s="68">
        <v>43060</v>
      </c>
      <c r="B1889" s="69">
        <v>0.84950000000000003</v>
      </c>
    </row>
    <row r="1890" spans="1:2" x14ac:dyDescent="0.2">
      <c r="A1890" s="68">
        <v>43059</v>
      </c>
      <c r="B1890" s="69">
        <v>0.84831999999999996</v>
      </c>
    </row>
    <row r="1891" spans="1:2" x14ac:dyDescent="0.2">
      <c r="A1891" s="68">
        <v>43056</v>
      </c>
      <c r="B1891" s="69">
        <v>0.84867999999999999</v>
      </c>
    </row>
    <row r="1892" spans="1:2" x14ac:dyDescent="0.2">
      <c r="A1892" s="68">
        <v>43055</v>
      </c>
      <c r="B1892" s="69">
        <v>0.84902</v>
      </c>
    </row>
    <row r="1893" spans="1:2" x14ac:dyDescent="0.2">
      <c r="A1893" s="68">
        <v>43054</v>
      </c>
      <c r="B1893" s="69">
        <v>0.84914000000000001</v>
      </c>
    </row>
    <row r="1894" spans="1:2" x14ac:dyDescent="0.2">
      <c r="A1894" s="68">
        <v>43053</v>
      </c>
      <c r="B1894" s="69">
        <v>0.85116999999999998</v>
      </c>
    </row>
    <row r="1895" spans="1:2" x14ac:dyDescent="0.2">
      <c r="A1895" s="68">
        <v>43052</v>
      </c>
      <c r="B1895" s="69">
        <v>0.85031000000000001</v>
      </c>
    </row>
    <row r="1896" spans="1:2" x14ac:dyDescent="0.2">
      <c r="A1896" s="68">
        <v>43049</v>
      </c>
      <c r="B1896" s="69">
        <v>0.84985999999999995</v>
      </c>
    </row>
    <row r="1897" spans="1:2" x14ac:dyDescent="0.2">
      <c r="A1897" s="68">
        <v>43048</v>
      </c>
      <c r="B1897" s="69">
        <v>0.85082000000000002</v>
      </c>
    </row>
    <row r="1898" spans="1:2" x14ac:dyDescent="0.2">
      <c r="A1898" s="68">
        <v>43047</v>
      </c>
      <c r="B1898" s="69">
        <v>0.84931000000000001</v>
      </c>
    </row>
    <row r="1899" spans="1:2" x14ac:dyDescent="0.2">
      <c r="A1899" s="68">
        <v>43046</v>
      </c>
      <c r="B1899" s="69">
        <v>0.84872999999999998</v>
      </c>
    </row>
    <row r="1900" spans="1:2" x14ac:dyDescent="0.2">
      <c r="A1900" s="68">
        <v>43045</v>
      </c>
      <c r="B1900" s="69">
        <v>0.84902999999999995</v>
      </c>
    </row>
    <row r="1901" spans="1:2" x14ac:dyDescent="0.2">
      <c r="A1901" s="68">
        <v>43042</v>
      </c>
      <c r="B1901" s="69">
        <v>0.84687000000000001</v>
      </c>
    </row>
    <row r="1902" spans="1:2" x14ac:dyDescent="0.2">
      <c r="A1902" s="68">
        <v>43041</v>
      </c>
      <c r="B1902" s="69">
        <v>0.84850999999999999</v>
      </c>
    </row>
    <row r="1903" spans="1:2" x14ac:dyDescent="0.2">
      <c r="A1903" s="68">
        <v>43040</v>
      </c>
      <c r="B1903" s="69">
        <v>0.84984999999999999</v>
      </c>
    </row>
    <row r="1904" spans="1:2" x14ac:dyDescent="0.2">
      <c r="A1904" s="68">
        <v>43039</v>
      </c>
      <c r="B1904" s="69">
        <v>0.85128000000000004</v>
      </c>
    </row>
    <row r="1905" spans="1:2" x14ac:dyDescent="0.2">
      <c r="A1905" s="68">
        <v>43038</v>
      </c>
      <c r="B1905" s="69">
        <v>0.85199000000000003</v>
      </c>
    </row>
    <row r="1906" spans="1:2" x14ac:dyDescent="0.2">
      <c r="A1906" s="68">
        <v>43035</v>
      </c>
      <c r="B1906" s="69">
        <v>0.85189999999999999</v>
      </c>
    </row>
    <row r="1907" spans="1:2" x14ac:dyDescent="0.2">
      <c r="A1907" s="68">
        <v>43034</v>
      </c>
      <c r="B1907" s="69">
        <v>0.84950999999999999</v>
      </c>
    </row>
    <row r="1908" spans="1:2" x14ac:dyDescent="0.2">
      <c r="A1908" s="68">
        <v>43033</v>
      </c>
      <c r="B1908" s="69">
        <v>0.85009000000000001</v>
      </c>
    </row>
    <row r="1909" spans="1:2" x14ac:dyDescent="0.2">
      <c r="A1909" s="68">
        <v>43032</v>
      </c>
      <c r="B1909" s="69">
        <v>0.84960999999999998</v>
      </c>
    </row>
    <row r="1910" spans="1:2" x14ac:dyDescent="0.2">
      <c r="A1910" s="68">
        <v>43031</v>
      </c>
      <c r="B1910" s="69">
        <v>0.84855000000000003</v>
      </c>
    </row>
    <row r="1911" spans="1:2" x14ac:dyDescent="0.2">
      <c r="A1911" s="68">
        <v>43028</v>
      </c>
      <c r="B1911" s="69">
        <v>0.84724999999999995</v>
      </c>
    </row>
    <row r="1912" spans="1:2" x14ac:dyDescent="0.2">
      <c r="A1912" s="68">
        <v>43027</v>
      </c>
      <c r="B1912" s="69">
        <v>0.84640000000000004</v>
      </c>
    </row>
    <row r="1913" spans="1:2" x14ac:dyDescent="0.2">
      <c r="A1913" s="68">
        <v>43026</v>
      </c>
      <c r="B1913" s="69">
        <v>0.84519999999999995</v>
      </c>
    </row>
    <row r="1914" spans="1:2" x14ac:dyDescent="0.2">
      <c r="A1914" s="68">
        <v>43025</v>
      </c>
      <c r="B1914" s="69">
        <v>0.84375</v>
      </c>
    </row>
    <row r="1915" spans="1:2" x14ac:dyDescent="0.2">
      <c r="A1915" s="68">
        <v>43024</v>
      </c>
      <c r="B1915" s="69">
        <v>0.84343000000000001</v>
      </c>
    </row>
    <row r="1916" spans="1:2" x14ac:dyDescent="0.2">
      <c r="A1916" s="68">
        <v>43021</v>
      </c>
      <c r="B1916" s="69">
        <v>0.84365000000000001</v>
      </c>
    </row>
    <row r="1917" spans="1:2" x14ac:dyDescent="0.2">
      <c r="A1917" s="68">
        <v>43020</v>
      </c>
      <c r="B1917" s="69">
        <v>0.84309999999999996</v>
      </c>
    </row>
    <row r="1918" spans="1:2" x14ac:dyDescent="0.2">
      <c r="A1918" s="68">
        <v>43019</v>
      </c>
      <c r="B1918" s="69">
        <v>0.84374000000000005</v>
      </c>
    </row>
    <row r="1919" spans="1:2" x14ac:dyDescent="0.2">
      <c r="A1919" s="68">
        <v>43018</v>
      </c>
      <c r="B1919" s="69">
        <v>0.84911000000000003</v>
      </c>
    </row>
    <row r="1920" spans="1:2" x14ac:dyDescent="0.2">
      <c r="A1920" s="68">
        <v>43017</v>
      </c>
      <c r="B1920" s="69">
        <v>0.85184000000000004</v>
      </c>
    </row>
    <row r="1921" spans="1:2" x14ac:dyDescent="0.2">
      <c r="A1921" s="68">
        <v>43007</v>
      </c>
      <c r="B1921" s="69">
        <v>0.84965999999999997</v>
      </c>
    </row>
    <row r="1922" spans="1:2" x14ac:dyDescent="0.2">
      <c r="A1922" s="68">
        <v>43006</v>
      </c>
      <c r="B1922" s="69">
        <v>0.84889999999999999</v>
      </c>
    </row>
    <row r="1923" spans="1:2" x14ac:dyDescent="0.2">
      <c r="A1923" s="68">
        <v>43005</v>
      </c>
      <c r="B1923" s="69">
        <v>0.84726999999999997</v>
      </c>
    </row>
    <row r="1924" spans="1:2" x14ac:dyDescent="0.2">
      <c r="A1924" s="68">
        <v>43004</v>
      </c>
      <c r="B1924" s="69">
        <v>0.84562999999999999</v>
      </c>
    </row>
    <row r="1925" spans="1:2" x14ac:dyDescent="0.2">
      <c r="A1925" s="68">
        <v>43003</v>
      </c>
      <c r="B1925" s="69">
        <v>0.84448999999999996</v>
      </c>
    </row>
    <row r="1926" spans="1:2" x14ac:dyDescent="0.2">
      <c r="A1926" s="68">
        <v>43000</v>
      </c>
      <c r="B1926" s="69">
        <v>0.84370999999999996</v>
      </c>
    </row>
    <row r="1927" spans="1:2" x14ac:dyDescent="0.2">
      <c r="A1927" s="68">
        <v>42999</v>
      </c>
      <c r="B1927" s="69">
        <v>0.84428999999999998</v>
      </c>
    </row>
    <row r="1928" spans="1:2" x14ac:dyDescent="0.2">
      <c r="A1928" s="68">
        <v>42998</v>
      </c>
      <c r="B1928" s="69">
        <v>0.84143999999999997</v>
      </c>
    </row>
    <row r="1929" spans="1:2" x14ac:dyDescent="0.2">
      <c r="A1929" s="68">
        <v>42997</v>
      </c>
      <c r="B1929" s="69">
        <v>0.83838000000000001</v>
      </c>
    </row>
    <row r="1930" spans="1:2" x14ac:dyDescent="0.2">
      <c r="A1930" s="68">
        <v>42996</v>
      </c>
      <c r="B1930" s="69">
        <v>0.83679999999999999</v>
      </c>
    </row>
    <row r="1931" spans="1:2" x14ac:dyDescent="0.2">
      <c r="A1931" s="68">
        <v>42993</v>
      </c>
      <c r="B1931" s="69">
        <v>0.83740999999999999</v>
      </c>
    </row>
    <row r="1932" spans="1:2" x14ac:dyDescent="0.2">
      <c r="A1932" s="68">
        <v>42992</v>
      </c>
      <c r="B1932" s="69">
        <v>0.83791000000000004</v>
      </c>
    </row>
    <row r="1933" spans="1:2" x14ac:dyDescent="0.2">
      <c r="A1933" s="68">
        <v>42991</v>
      </c>
      <c r="B1933" s="69">
        <v>0.83687</v>
      </c>
    </row>
    <row r="1934" spans="1:2" x14ac:dyDescent="0.2">
      <c r="A1934" s="68">
        <v>42990</v>
      </c>
      <c r="B1934" s="69">
        <v>0.83545000000000003</v>
      </c>
    </row>
    <row r="1935" spans="1:2" x14ac:dyDescent="0.2">
      <c r="A1935" s="68">
        <v>42989</v>
      </c>
      <c r="B1935" s="69">
        <v>0.83182</v>
      </c>
    </row>
    <row r="1936" spans="1:2" x14ac:dyDescent="0.2">
      <c r="A1936" s="68">
        <v>42986</v>
      </c>
      <c r="B1936" s="69">
        <v>0.83337000000000006</v>
      </c>
    </row>
    <row r="1937" spans="1:2" x14ac:dyDescent="0.2">
      <c r="A1937" s="68">
        <v>42985</v>
      </c>
      <c r="B1937" s="69">
        <v>0.83413000000000004</v>
      </c>
    </row>
    <row r="1938" spans="1:2" x14ac:dyDescent="0.2">
      <c r="A1938" s="68">
        <v>42984</v>
      </c>
      <c r="B1938" s="69">
        <v>0.83460999999999996</v>
      </c>
    </row>
    <row r="1939" spans="1:2" x14ac:dyDescent="0.2">
      <c r="A1939" s="68">
        <v>42983</v>
      </c>
      <c r="B1939" s="69">
        <v>0.83540000000000003</v>
      </c>
    </row>
    <row r="1940" spans="1:2" x14ac:dyDescent="0.2">
      <c r="A1940" s="68">
        <v>42982</v>
      </c>
      <c r="B1940" s="69">
        <v>0.83919999999999995</v>
      </c>
    </row>
    <row r="1941" spans="1:2" x14ac:dyDescent="0.2">
      <c r="A1941" s="68">
        <v>42979</v>
      </c>
      <c r="B1941" s="69">
        <v>0.84226000000000001</v>
      </c>
    </row>
    <row r="1942" spans="1:2" x14ac:dyDescent="0.2">
      <c r="A1942" s="68">
        <v>42978</v>
      </c>
      <c r="B1942" s="69">
        <v>0.84358</v>
      </c>
    </row>
    <row r="1943" spans="1:2" x14ac:dyDescent="0.2">
      <c r="A1943" s="68">
        <v>42977</v>
      </c>
      <c r="B1943" s="69">
        <v>0.84474000000000005</v>
      </c>
    </row>
    <row r="1944" spans="1:2" x14ac:dyDescent="0.2">
      <c r="A1944" s="68">
        <v>42976</v>
      </c>
      <c r="B1944" s="69">
        <v>0.84735000000000005</v>
      </c>
    </row>
    <row r="1945" spans="1:2" x14ac:dyDescent="0.2">
      <c r="A1945" s="68">
        <v>42975</v>
      </c>
      <c r="B1945" s="69">
        <v>0.84823000000000004</v>
      </c>
    </row>
    <row r="1946" spans="1:2" x14ac:dyDescent="0.2">
      <c r="A1946" s="68">
        <v>42972</v>
      </c>
      <c r="B1946" s="69">
        <v>0.85092000000000001</v>
      </c>
    </row>
    <row r="1947" spans="1:2" x14ac:dyDescent="0.2">
      <c r="A1947" s="68">
        <v>42971</v>
      </c>
      <c r="B1947" s="69">
        <v>0.85014000000000001</v>
      </c>
    </row>
    <row r="1948" spans="1:2" x14ac:dyDescent="0.2">
      <c r="A1948" s="68">
        <v>42970</v>
      </c>
      <c r="B1948" s="69">
        <v>0.85138999999999998</v>
      </c>
    </row>
    <row r="1949" spans="1:2" x14ac:dyDescent="0.2">
      <c r="A1949" s="68">
        <v>42969</v>
      </c>
      <c r="B1949" s="69">
        <v>0.85116999999999998</v>
      </c>
    </row>
    <row r="1950" spans="1:2" x14ac:dyDescent="0.2">
      <c r="A1950" s="68">
        <v>42968</v>
      </c>
      <c r="B1950" s="69">
        <v>0.85275000000000001</v>
      </c>
    </row>
    <row r="1951" spans="1:2" x14ac:dyDescent="0.2">
      <c r="A1951" s="68">
        <v>42965</v>
      </c>
      <c r="B1951" s="69">
        <v>0.85314999999999996</v>
      </c>
    </row>
    <row r="1952" spans="1:2" x14ac:dyDescent="0.2">
      <c r="A1952" s="68">
        <v>42964</v>
      </c>
      <c r="B1952" s="69">
        <v>0.85292000000000001</v>
      </c>
    </row>
    <row r="1953" spans="1:2" x14ac:dyDescent="0.2">
      <c r="A1953" s="68">
        <v>42963</v>
      </c>
      <c r="B1953" s="69">
        <v>0.85358000000000001</v>
      </c>
    </row>
    <row r="1954" spans="1:2" x14ac:dyDescent="0.2">
      <c r="A1954" s="68">
        <v>42962</v>
      </c>
      <c r="B1954" s="69">
        <v>0.85267000000000004</v>
      </c>
    </row>
    <row r="1955" spans="1:2" x14ac:dyDescent="0.2">
      <c r="A1955" s="68">
        <v>42961</v>
      </c>
      <c r="B1955" s="69">
        <v>0.85180999999999996</v>
      </c>
    </row>
    <row r="1956" spans="1:2" x14ac:dyDescent="0.2">
      <c r="A1956" s="68">
        <v>42958</v>
      </c>
      <c r="B1956" s="69">
        <v>0.85236000000000001</v>
      </c>
    </row>
    <row r="1957" spans="1:2" x14ac:dyDescent="0.2">
      <c r="A1957" s="68">
        <v>42957</v>
      </c>
      <c r="B1957" s="69">
        <v>0.85440000000000005</v>
      </c>
    </row>
    <row r="1958" spans="1:2" x14ac:dyDescent="0.2">
      <c r="A1958" s="68">
        <v>42956</v>
      </c>
      <c r="B1958" s="69">
        <v>0.85719999999999996</v>
      </c>
    </row>
    <row r="1959" spans="1:2" x14ac:dyDescent="0.2">
      <c r="A1959" s="68">
        <v>42955</v>
      </c>
      <c r="B1959" s="69">
        <v>0.85899999999999999</v>
      </c>
    </row>
    <row r="1960" spans="1:2" x14ac:dyDescent="0.2">
      <c r="A1960" s="68">
        <v>42954</v>
      </c>
      <c r="B1960" s="69">
        <v>0.85982000000000003</v>
      </c>
    </row>
    <row r="1961" spans="1:2" x14ac:dyDescent="0.2">
      <c r="A1961" s="68">
        <v>42951</v>
      </c>
      <c r="B1961" s="69">
        <v>0.85868999999999995</v>
      </c>
    </row>
    <row r="1962" spans="1:2" x14ac:dyDescent="0.2">
      <c r="A1962" s="68">
        <v>42950</v>
      </c>
      <c r="B1962" s="69">
        <v>0.85985</v>
      </c>
    </row>
    <row r="1963" spans="1:2" x14ac:dyDescent="0.2">
      <c r="A1963" s="68">
        <v>42949</v>
      </c>
      <c r="B1963" s="69">
        <v>0.86009999999999998</v>
      </c>
    </row>
    <row r="1964" spans="1:2" x14ac:dyDescent="0.2">
      <c r="A1964" s="68">
        <v>42948</v>
      </c>
      <c r="B1964" s="69">
        <v>0.85973999999999995</v>
      </c>
    </row>
    <row r="1965" spans="1:2" x14ac:dyDescent="0.2">
      <c r="A1965" s="68">
        <v>42947</v>
      </c>
      <c r="B1965" s="69">
        <v>0.86158000000000001</v>
      </c>
    </row>
    <row r="1966" spans="1:2" x14ac:dyDescent="0.2">
      <c r="A1966" s="68">
        <v>42944</v>
      </c>
      <c r="B1966" s="69">
        <v>0.86278999999999995</v>
      </c>
    </row>
    <row r="1967" spans="1:2" x14ac:dyDescent="0.2">
      <c r="A1967" s="68">
        <v>42943</v>
      </c>
      <c r="B1967" s="69">
        <v>0.86189000000000004</v>
      </c>
    </row>
    <row r="1968" spans="1:2" x14ac:dyDescent="0.2">
      <c r="A1968" s="68">
        <v>42942</v>
      </c>
      <c r="B1968" s="69">
        <v>0.86478999999999995</v>
      </c>
    </row>
    <row r="1969" spans="1:2" x14ac:dyDescent="0.2">
      <c r="A1969" s="68">
        <v>42941</v>
      </c>
      <c r="B1969" s="69">
        <v>0.86441999999999997</v>
      </c>
    </row>
    <row r="1970" spans="1:2" x14ac:dyDescent="0.2">
      <c r="A1970" s="68">
        <v>42940</v>
      </c>
      <c r="B1970" s="69">
        <v>0.86326000000000003</v>
      </c>
    </row>
    <row r="1971" spans="1:2" x14ac:dyDescent="0.2">
      <c r="A1971" s="68">
        <v>42937</v>
      </c>
      <c r="B1971" s="69">
        <v>0.86316999999999999</v>
      </c>
    </row>
    <row r="1972" spans="1:2" x14ac:dyDescent="0.2">
      <c r="A1972" s="68">
        <v>42936</v>
      </c>
      <c r="B1972" s="69">
        <v>0.86406000000000005</v>
      </c>
    </row>
    <row r="1973" spans="1:2" x14ac:dyDescent="0.2">
      <c r="A1973" s="68">
        <v>42935</v>
      </c>
      <c r="B1973" s="69">
        <v>0.86424000000000001</v>
      </c>
    </row>
    <row r="1974" spans="1:2" x14ac:dyDescent="0.2">
      <c r="A1974" s="68">
        <v>42934</v>
      </c>
      <c r="B1974" s="69">
        <v>0.86643000000000003</v>
      </c>
    </row>
    <row r="1975" spans="1:2" x14ac:dyDescent="0.2">
      <c r="A1975" s="68">
        <v>42933</v>
      </c>
      <c r="B1975" s="69">
        <v>0.86556999999999995</v>
      </c>
    </row>
    <row r="1976" spans="1:2" x14ac:dyDescent="0.2">
      <c r="A1976" s="68">
        <v>42930</v>
      </c>
      <c r="B1976" s="69">
        <v>0.86787000000000003</v>
      </c>
    </row>
    <row r="1977" spans="1:2" x14ac:dyDescent="0.2">
      <c r="A1977" s="68">
        <v>42929</v>
      </c>
      <c r="B1977" s="69">
        <v>0.86819999999999997</v>
      </c>
    </row>
    <row r="1978" spans="1:2" x14ac:dyDescent="0.2">
      <c r="A1978" s="68">
        <v>42928</v>
      </c>
      <c r="B1978" s="69">
        <v>0.86873999999999996</v>
      </c>
    </row>
    <row r="1979" spans="1:2" x14ac:dyDescent="0.2">
      <c r="A1979" s="68">
        <v>42927</v>
      </c>
      <c r="B1979" s="69">
        <v>0.87014000000000002</v>
      </c>
    </row>
    <row r="1980" spans="1:2" x14ac:dyDescent="0.2">
      <c r="A1980" s="68">
        <v>42926</v>
      </c>
      <c r="B1980" s="69">
        <v>0.87007000000000001</v>
      </c>
    </row>
    <row r="1981" spans="1:2" x14ac:dyDescent="0.2">
      <c r="A1981" s="68">
        <v>42923</v>
      </c>
      <c r="B1981" s="69">
        <v>0.86948999999999999</v>
      </c>
    </row>
    <row r="1982" spans="1:2" x14ac:dyDescent="0.2">
      <c r="A1982" s="68">
        <v>42922</v>
      </c>
      <c r="B1982" s="69">
        <v>0.87043999999999999</v>
      </c>
    </row>
    <row r="1983" spans="1:2" x14ac:dyDescent="0.2">
      <c r="A1983" s="68">
        <v>42921</v>
      </c>
      <c r="B1983" s="69">
        <v>0.86994000000000005</v>
      </c>
    </row>
    <row r="1984" spans="1:2" x14ac:dyDescent="0.2">
      <c r="A1984" s="68">
        <v>42920</v>
      </c>
      <c r="B1984" s="69">
        <v>0.86894000000000005</v>
      </c>
    </row>
    <row r="1985" spans="1:2" x14ac:dyDescent="0.2">
      <c r="A1985" s="68">
        <v>42919</v>
      </c>
      <c r="B1985" s="69">
        <v>0.86812999999999996</v>
      </c>
    </row>
    <row r="1986" spans="1:2" x14ac:dyDescent="0.2">
      <c r="A1986" s="68">
        <v>42916</v>
      </c>
      <c r="B1986" s="69">
        <v>0.86792000000000002</v>
      </c>
    </row>
    <row r="1987" spans="1:2" x14ac:dyDescent="0.2">
      <c r="A1987" s="68">
        <v>42915</v>
      </c>
      <c r="B1987" s="69">
        <v>0.87065000000000003</v>
      </c>
    </row>
    <row r="1988" spans="1:2" x14ac:dyDescent="0.2">
      <c r="A1988" s="68">
        <v>42914</v>
      </c>
      <c r="B1988" s="69">
        <v>0.87243999999999999</v>
      </c>
    </row>
    <row r="1989" spans="1:2" x14ac:dyDescent="0.2">
      <c r="A1989" s="68">
        <v>42913</v>
      </c>
      <c r="B1989" s="69">
        <v>0.87565000000000004</v>
      </c>
    </row>
    <row r="1990" spans="1:2" x14ac:dyDescent="0.2">
      <c r="A1990" s="68">
        <v>42912</v>
      </c>
      <c r="B1990" s="69">
        <v>0.87472000000000005</v>
      </c>
    </row>
    <row r="1991" spans="1:2" x14ac:dyDescent="0.2">
      <c r="A1991" s="68">
        <v>42909</v>
      </c>
      <c r="B1991" s="69">
        <v>0.87495999999999996</v>
      </c>
    </row>
    <row r="1992" spans="1:2" x14ac:dyDescent="0.2">
      <c r="A1992" s="68">
        <v>42908</v>
      </c>
      <c r="B1992" s="69">
        <v>0.87429999999999997</v>
      </c>
    </row>
    <row r="1993" spans="1:2" x14ac:dyDescent="0.2">
      <c r="A1993" s="68">
        <v>42907</v>
      </c>
      <c r="B1993" s="69">
        <v>0.87422</v>
      </c>
    </row>
    <row r="1994" spans="1:2" x14ac:dyDescent="0.2">
      <c r="A1994" s="68">
        <v>42906</v>
      </c>
      <c r="B1994" s="69">
        <v>0.87314999999999998</v>
      </c>
    </row>
    <row r="1995" spans="1:2" x14ac:dyDescent="0.2">
      <c r="A1995" s="68">
        <v>42905</v>
      </c>
      <c r="B1995" s="69">
        <v>0.87148000000000003</v>
      </c>
    </row>
    <row r="1996" spans="1:2" x14ac:dyDescent="0.2">
      <c r="A1996" s="68">
        <v>42902</v>
      </c>
      <c r="B1996" s="69">
        <v>0.87151000000000001</v>
      </c>
    </row>
    <row r="1997" spans="1:2" x14ac:dyDescent="0.2">
      <c r="A1997" s="68">
        <v>42901</v>
      </c>
      <c r="B1997" s="69">
        <v>0.87009999999999998</v>
      </c>
    </row>
    <row r="1998" spans="1:2" x14ac:dyDescent="0.2">
      <c r="A1998" s="68">
        <v>42900</v>
      </c>
      <c r="B1998" s="69">
        <v>0.87119000000000002</v>
      </c>
    </row>
    <row r="1999" spans="1:2" x14ac:dyDescent="0.2">
      <c r="A1999" s="68">
        <v>42899</v>
      </c>
      <c r="B1999" s="69">
        <v>0.87129000000000001</v>
      </c>
    </row>
    <row r="2000" spans="1:2" x14ac:dyDescent="0.2">
      <c r="A2000" s="68">
        <v>42898</v>
      </c>
      <c r="B2000" s="69">
        <v>0.87150000000000005</v>
      </c>
    </row>
    <row r="2001" spans="1:2" x14ac:dyDescent="0.2">
      <c r="A2001" s="68">
        <v>42895</v>
      </c>
      <c r="B2001" s="69">
        <v>0.87172000000000005</v>
      </c>
    </row>
    <row r="2002" spans="1:2" x14ac:dyDescent="0.2">
      <c r="A2002" s="68">
        <v>42894</v>
      </c>
      <c r="B2002" s="69">
        <v>0.87141999999999997</v>
      </c>
    </row>
    <row r="2003" spans="1:2" x14ac:dyDescent="0.2">
      <c r="A2003" s="68">
        <v>42893</v>
      </c>
      <c r="B2003" s="69">
        <v>0.87058999999999997</v>
      </c>
    </row>
    <row r="2004" spans="1:2" x14ac:dyDescent="0.2">
      <c r="A2004" s="68">
        <v>42892</v>
      </c>
      <c r="B2004" s="69">
        <v>0.87178</v>
      </c>
    </row>
    <row r="2005" spans="1:2" x14ac:dyDescent="0.2">
      <c r="A2005" s="68">
        <v>42891</v>
      </c>
      <c r="B2005" s="69">
        <v>0.87207999999999997</v>
      </c>
    </row>
    <row r="2006" spans="1:2" x14ac:dyDescent="0.2">
      <c r="A2006" s="68">
        <v>42888</v>
      </c>
      <c r="B2006" s="69">
        <v>0.87365000000000004</v>
      </c>
    </row>
    <row r="2007" spans="1:2" x14ac:dyDescent="0.2">
      <c r="A2007" s="68">
        <v>42887</v>
      </c>
      <c r="B2007" s="69">
        <v>0.87390999999999996</v>
      </c>
    </row>
    <row r="2008" spans="1:2" x14ac:dyDescent="0.2">
      <c r="A2008" s="68">
        <v>42886</v>
      </c>
      <c r="B2008" s="69">
        <v>0.88075000000000003</v>
      </c>
    </row>
    <row r="2009" spans="1:2" x14ac:dyDescent="0.2">
      <c r="A2009" s="68">
        <v>42881</v>
      </c>
      <c r="B2009" s="69">
        <v>0.88170999999999999</v>
      </c>
    </row>
    <row r="2010" spans="1:2" x14ac:dyDescent="0.2">
      <c r="A2010" s="68">
        <v>42880</v>
      </c>
      <c r="B2010" s="69">
        <v>0.88202999999999998</v>
      </c>
    </row>
    <row r="2011" spans="1:2" x14ac:dyDescent="0.2">
      <c r="A2011" s="68">
        <v>42879</v>
      </c>
      <c r="B2011" s="69">
        <v>0.88290999999999997</v>
      </c>
    </row>
    <row r="2012" spans="1:2" x14ac:dyDescent="0.2">
      <c r="A2012" s="68">
        <v>42878</v>
      </c>
      <c r="B2012" s="69">
        <v>0.88190000000000002</v>
      </c>
    </row>
    <row r="2013" spans="1:2" x14ac:dyDescent="0.2">
      <c r="A2013" s="68">
        <v>42877</v>
      </c>
      <c r="B2013" s="69">
        <v>0.88224000000000002</v>
      </c>
    </row>
    <row r="2014" spans="1:2" x14ac:dyDescent="0.2">
      <c r="A2014" s="68">
        <v>42874</v>
      </c>
      <c r="B2014" s="69">
        <v>0.88378999999999996</v>
      </c>
    </row>
    <row r="2015" spans="1:2" x14ac:dyDescent="0.2">
      <c r="A2015" s="68">
        <v>42873</v>
      </c>
      <c r="B2015" s="69">
        <v>0.88129999999999997</v>
      </c>
    </row>
    <row r="2016" spans="1:2" x14ac:dyDescent="0.2">
      <c r="A2016" s="68">
        <v>42872</v>
      </c>
      <c r="B2016" s="69">
        <v>0.88127</v>
      </c>
    </row>
    <row r="2017" spans="1:2" x14ac:dyDescent="0.2">
      <c r="A2017" s="68">
        <v>42871</v>
      </c>
      <c r="B2017" s="69">
        <v>0.88329000000000002</v>
      </c>
    </row>
    <row r="2018" spans="1:2" x14ac:dyDescent="0.2">
      <c r="A2018" s="68">
        <v>42870</v>
      </c>
      <c r="B2018" s="69">
        <v>0.88338000000000005</v>
      </c>
    </row>
    <row r="2019" spans="1:2" x14ac:dyDescent="0.2">
      <c r="A2019" s="68">
        <v>42867</v>
      </c>
      <c r="B2019" s="69">
        <v>0.88507000000000002</v>
      </c>
    </row>
    <row r="2020" spans="1:2" x14ac:dyDescent="0.2">
      <c r="A2020" s="68">
        <v>42866</v>
      </c>
      <c r="B2020" s="69">
        <v>0.88675999999999999</v>
      </c>
    </row>
    <row r="2021" spans="1:2" x14ac:dyDescent="0.2">
      <c r="A2021" s="68">
        <v>42865</v>
      </c>
      <c r="B2021" s="69">
        <v>0.88726000000000005</v>
      </c>
    </row>
    <row r="2022" spans="1:2" x14ac:dyDescent="0.2">
      <c r="A2022" s="68">
        <v>42864</v>
      </c>
      <c r="B2022" s="69">
        <v>0.88680999999999999</v>
      </c>
    </row>
    <row r="2023" spans="1:2" x14ac:dyDescent="0.2">
      <c r="A2023" s="68">
        <v>42863</v>
      </c>
      <c r="B2023" s="69">
        <v>0.88582000000000005</v>
      </c>
    </row>
    <row r="2024" spans="1:2" x14ac:dyDescent="0.2">
      <c r="A2024" s="68">
        <v>42860</v>
      </c>
      <c r="B2024" s="69">
        <v>0.88507000000000002</v>
      </c>
    </row>
    <row r="2025" spans="1:2" x14ac:dyDescent="0.2">
      <c r="A2025" s="68">
        <v>42859</v>
      </c>
      <c r="B2025" s="69">
        <v>0.88621000000000005</v>
      </c>
    </row>
    <row r="2026" spans="1:2" x14ac:dyDescent="0.2">
      <c r="A2026" s="68">
        <v>42858</v>
      </c>
      <c r="B2026" s="69">
        <v>0.88537999999999994</v>
      </c>
    </row>
    <row r="2027" spans="1:2" x14ac:dyDescent="0.2">
      <c r="A2027" s="68">
        <v>42857</v>
      </c>
      <c r="B2027" s="69">
        <v>0.88653000000000004</v>
      </c>
    </row>
    <row r="2028" spans="1:2" x14ac:dyDescent="0.2">
      <c r="A2028" s="68">
        <v>42853</v>
      </c>
      <c r="B2028" s="69">
        <v>0.88583999999999996</v>
      </c>
    </row>
    <row r="2029" spans="1:2" x14ac:dyDescent="0.2">
      <c r="A2029" s="68">
        <v>42852</v>
      </c>
      <c r="B2029" s="69">
        <v>0.88546000000000002</v>
      </c>
    </row>
    <row r="2030" spans="1:2" x14ac:dyDescent="0.2">
      <c r="A2030" s="68">
        <v>42851</v>
      </c>
      <c r="B2030" s="69">
        <v>0.88476999999999995</v>
      </c>
    </row>
    <row r="2031" spans="1:2" x14ac:dyDescent="0.2">
      <c r="A2031" s="68">
        <v>42850</v>
      </c>
      <c r="B2031" s="69">
        <v>0.88478000000000001</v>
      </c>
    </row>
    <row r="2032" spans="1:2" x14ac:dyDescent="0.2">
      <c r="A2032" s="68">
        <v>42849</v>
      </c>
      <c r="B2032" s="69">
        <v>0.88315999999999995</v>
      </c>
    </row>
    <row r="2033" spans="1:2" x14ac:dyDescent="0.2">
      <c r="A2033" s="68">
        <v>42846</v>
      </c>
      <c r="B2033" s="69">
        <v>0.88517999999999997</v>
      </c>
    </row>
    <row r="2034" spans="1:2" x14ac:dyDescent="0.2">
      <c r="A2034" s="68">
        <v>42845</v>
      </c>
      <c r="B2034" s="69">
        <v>0.88485999999999998</v>
      </c>
    </row>
    <row r="2035" spans="1:2" x14ac:dyDescent="0.2">
      <c r="A2035" s="68">
        <v>42844</v>
      </c>
      <c r="B2035" s="69">
        <v>0.88326000000000005</v>
      </c>
    </row>
    <row r="2036" spans="1:2" x14ac:dyDescent="0.2">
      <c r="A2036" s="68">
        <v>42843</v>
      </c>
      <c r="B2036" s="69">
        <v>0.88575999999999999</v>
      </c>
    </row>
    <row r="2037" spans="1:2" x14ac:dyDescent="0.2">
      <c r="A2037" s="68">
        <v>42842</v>
      </c>
      <c r="B2037" s="69">
        <v>0.88485000000000003</v>
      </c>
    </row>
    <row r="2038" spans="1:2" x14ac:dyDescent="0.2">
      <c r="A2038" s="68">
        <v>42839</v>
      </c>
      <c r="B2038" s="69">
        <v>0.88424999999999998</v>
      </c>
    </row>
    <row r="2039" spans="1:2" x14ac:dyDescent="0.2">
      <c r="A2039" s="68">
        <v>42838</v>
      </c>
      <c r="B2039" s="69">
        <v>0.88339000000000001</v>
      </c>
    </row>
    <row r="2040" spans="1:2" x14ac:dyDescent="0.2">
      <c r="A2040" s="68">
        <v>42837</v>
      </c>
      <c r="B2040" s="69">
        <v>0.88717000000000001</v>
      </c>
    </row>
    <row r="2041" spans="1:2" x14ac:dyDescent="0.2">
      <c r="A2041" s="68">
        <v>42836</v>
      </c>
      <c r="B2041" s="69">
        <v>0.88744000000000001</v>
      </c>
    </row>
    <row r="2042" spans="1:2" x14ac:dyDescent="0.2">
      <c r="A2042" s="68">
        <v>42835</v>
      </c>
      <c r="B2042" s="69">
        <v>0.88870000000000005</v>
      </c>
    </row>
    <row r="2043" spans="1:2" x14ac:dyDescent="0.2">
      <c r="A2043" s="68">
        <v>42832</v>
      </c>
      <c r="B2043" s="69">
        <v>0.88739999999999997</v>
      </c>
    </row>
    <row r="2044" spans="1:2" x14ac:dyDescent="0.2">
      <c r="A2044" s="68">
        <v>42831</v>
      </c>
      <c r="B2044" s="69">
        <v>0.88722000000000001</v>
      </c>
    </row>
    <row r="2045" spans="1:2" x14ac:dyDescent="0.2">
      <c r="A2045" s="68">
        <v>42830</v>
      </c>
      <c r="B2045" s="69">
        <v>0.88671</v>
      </c>
    </row>
    <row r="2046" spans="1:2" x14ac:dyDescent="0.2">
      <c r="A2046" s="68">
        <v>42825</v>
      </c>
      <c r="B2046" s="69">
        <v>0.88778999999999997</v>
      </c>
    </row>
    <row r="2047" spans="1:2" x14ac:dyDescent="0.2">
      <c r="A2047" s="68">
        <v>42824</v>
      </c>
      <c r="B2047" s="69">
        <v>0.88668000000000002</v>
      </c>
    </row>
    <row r="2048" spans="1:2" x14ac:dyDescent="0.2">
      <c r="A2048" s="68">
        <v>42823</v>
      </c>
      <c r="B2048" s="69">
        <v>0.88717999999999997</v>
      </c>
    </row>
    <row r="2049" spans="1:2" x14ac:dyDescent="0.2">
      <c r="A2049" s="68">
        <v>42822</v>
      </c>
      <c r="B2049" s="69">
        <v>0.88548000000000004</v>
      </c>
    </row>
    <row r="2050" spans="1:2" x14ac:dyDescent="0.2">
      <c r="A2050" s="68">
        <v>42821</v>
      </c>
      <c r="B2050" s="69">
        <v>0.88456000000000001</v>
      </c>
    </row>
    <row r="2051" spans="1:2" x14ac:dyDescent="0.2">
      <c r="A2051" s="68">
        <v>42818</v>
      </c>
      <c r="B2051" s="69">
        <v>0.88632</v>
      </c>
    </row>
    <row r="2052" spans="1:2" x14ac:dyDescent="0.2">
      <c r="A2052" s="68">
        <v>42817</v>
      </c>
      <c r="B2052" s="69">
        <v>0.88649999999999995</v>
      </c>
    </row>
    <row r="2053" spans="1:2" x14ac:dyDescent="0.2">
      <c r="A2053" s="68">
        <v>42816</v>
      </c>
      <c r="B2053" s="69">
        <v>0.88704000000000005</v>
      </c>
    </row>
    <row r="2054" spans="1:2" x14ac:dyDescent="0.2">
      <c r="A2054" s="68">
        <v>42815</v>
      </c>
      <c r="B2054" s="69">
        <v>0.88941000000000003</v>
      </c>
    </row>
    <row r="2055" spans="1:2" x14ac:dyDescent="0.2">
      <c r="A2055" s="68">
        <v>42814</v>
      </c>
      <c r="B2055" s="69">
        <v>0.88883000000000001</v>
      </c>
    </row>
    <row r="2056" spans="1:2" x14ac:dyDescent="0.2">
      <c r="A2056" s="68">
        <v>42811</v>
      </c>
      <c r="B2056" s="69">
        <v>0.88736999999999999</v>
      </c>
    </row>
    <row r="2057" spans="1:2" x14ac:dyDescent="0.2">
      <c r="A2057" s="68">
        <v>42810</v>
      </c>
      <c r="B2057" s="69">
        <v>0.88668000000000002</v>
      </c>
    </row>
    <row r="2058" spans="1:2" x14ac:dyDescent="0.2">
      <c r="A2058" s="68">
        <v>42809</v>
      </c>
      <c r="B2058" s="69">
        <v>0.88968000000000003</v>
      </c>
    </row>
    <row r="2059" spans="1:2" x14ac:dyDescent="0.2">
      <c r="A2059" s="68">
        <v>42808</v>
      </c>
      <c r="B2059" s="69">
        <v>0.8901</v>
      </c>
    </row>
    <row r="2060" spans="1:2" x14ac:dyDescent="0.2">
      <c r="A2060" s="68">
        <v>42807</v>
      </c>
      <c r="B2060" s="69">
        <v>0.88851999999999998</v>
      </c>
    </row>
    <row r="2061" spans="1:2" x14ac:dyDescent="0.2">
      <c r="A2061" s="68">
        <v>42804</v>
      </c>
      <c r="B2061" s="69">
        <v>0.89010999999999996</v>
      </c>
    </row>
    <row r="2062" spans="1:2" x14ac:dyDescent="0.2">
      <c r="A2062" s="68">
        <v>42803</v>
      </c>
      <c r="B2062" s="69">
        <v>0.89000999999999997</v>
      </c>
    </row>
    <row r="2063" spans="1:2" x14ac:dyDescent="0.2">
      <c r="A2063" s="68">
        <v>42802</v>
      </c>
      <c r="B2063" s="69">
        <v>0.88907999999999998</v>
      </c>
    </row>
    <row r="2064" spans="1:2" x14ac:dyDescent="0.2">
      <c r="A2064" s="68">
        <v>42801</v>
      </c>
      <c r="B2064" s="69">
        <v>0.88812999999999998</v>
      </c>
    </row>
    <row r="2065" spans="1:2" x14ac:dyDescent="0.2">
      <c r="A2065" s="68">
        <v>42800</v>
      </c>
      <c r="B2065" s="69">
        <v>0.88602000000000003</v>
      </c>
    </row>
    <row r="2066" spans="1:2" x14ac:dyDescent="0.2">
      <c r="A2066" s="68">
        <v>42797</v>
      </c>
      <c r="B2066" s="69">
        <v>0.88758000000000004</v>
      </c>
    </row>
    <row r="2067" spans="1:2" x14ac:dyDescent="0.2">
      <c r="A2067" s="68">
        <v>42796</v>
      </c>
      <c r="B2067" s="69">
        <v>0.88637999999999995</v>
      </c>
    </row>
    <row r="2068" spans="1:2" x14ac:dyDescent="0.2">
      <c r="A2068" s="68">
        <v>42795</v>
      </c>
      <c r="B2068" s="69">
        <v>0.88629000000000002</v>
      </c>
    </row>
    <row r="2069" spans="1:2" x14ac:dyDescent="0.2">
      <c r="A2069" s="68">
        <v>42794</v>
      </c>
      <c r="B2069" s="69">
        <v>0.88580000000000003</v>
      </c>
    </row>
    <row r="2070" spans="1:2" x14ac:dyDescent="0.2">
      <c r="A2070" s="68">
        <v>42793</v>
      </c>
      <c r="B2070" s="69">
        <v>0.88668000000000002</v>
      </c>
    </row>
    <row r="2071" spans="1:2" x14ac:dyDescent="0.2">
      <c r="A2071" s="68">
        <v>42790</v>
      </c>
      <c r="B2071" s="69">
        <v>0.88480000000000003</v>
      </c>
    </row>
    <row r="2072" spans="1:2" x14ac:dyDescent="0.2">
      <c r="A2072" s="68">
        <v>42789</v>
      </c>
      <c r="B2072" s="69">
        <v>0.88514999999999999</v>
      </c>
    </row>
    <row r="2073" spans="1:2" x14ac:dyDescent="0.2">
      <c r="A2073" s="68">
        <v>42788</v>
      </c>
      <c r="B2073" s="69">
        <v>0.88685999999999998</v>
      </c>
    </row>
    <row r="2074" spans="1:2" x14ac:dyDescent="0.2">
      <c r="A2074" s="68">
        <v>42787</v>
      </c>
      <c r="B2074" s="69">
        <v>0.88634999999999997</v>
      </c>
    </row>
    <row r="2075" spans="1:2" x14ac:dyDescent="0.2">
      <c r="A2075" s="68">
        <v>42786</v>
      </c>
      <c r="B2075" s="69">
        <v>0.88573000000000002</v>
      </c>
    </row>
    <row r="2076" spans="1:2" x14ac:dyDescent="0.2">
      <c r="A2076" s="68">
        <v>42783</v>
      </c>
      <c r="B2076" s="69">
        <v>0.88219999999999998</v>
      </c>
    </row>
    <row r="2077" spans="1:2" x14ac:dyDescent="0.2">
      <c r="A2077" s="68">
        <v>42782</v>
      </c>
      <c r="B2077" s="69">
        <v>0.88431000000000004</v>
      </c>
    </row>
    <row r="2078" spans="1:2" x14ac:dyDescent="0.2">
      <c r="A2078" s="68">
        <v>42781</v>
      </c>
      <c r="B2078" s="69">
        <v>0.88451999999999997</v>
      </c>
    </row>
    <row r="2079" spans="1:2" x14ac:dyDescent="0.2">
      <c r="A2079" s="68">
        <v>42780</v>
      </c>
      <c r="B2079" s="69">
        <v>0.88670000000000004</v>
      </c>
    </row>
    <row r="2080" spans="1:2" x14ac:dyDescent="0.2">
      <c r="A2080" s="68">
        <v>42779</v>
      </c>
      <c r="B2080" s="69">
        <v>0.88805999999999996</v>
      </c>
    </row>
    <row r="2081" spans="1:2" x14ac:dyDescent="0.2">
      <c r="A2081" s="68">
        <v>42776</v>
      </c>
      <c r="B2081" s="69">
        <v>0.88707000000000003</v>
      </c>
    </row>
    <row r="2082" spans="1:2" x14ac:dyDescent="0.2">
      <c r="A2082" s="68">
        <v>42775</v>
      </c>
      <c r="B2082" s="69">
        <v>0.88551999999999997</v>
      </c>
    </row>
    <row r="2083" spans="1:2" x14ac:dyDescent="0.2">
      <c r="A2083" s="68">
        <v>42774</v>
      </c>
      <c r="B2083" s="69">
        <v>0.88737999999999995</v>
      </c>
    </row>
    <row r="2084" spans="1:2" x14ac:dyDescent="0.2">
      <c r="A2084" s="68">
        <v>42773</v>
      </c>
      <c r="B2084" s="69">
        <v>0.88434000000000001</v>
      </c>
    </row>
    <row r="2085" spans="1:2" x14ac:dyDescent="0.2">
      <c r="A2085" s="68">
        <v>42772</v>
      </c>
      <c r="B2085" s="69">
        <v>0.88432999999999995</v>
      </c>
    </row>
    <row r="2086" spans="1:2" x14ac:dyDescent="0.2">
      <c r="A2086" s="68">
        <v>42769</v>
      </c>
      <c r="B2086" s="69">
        <v>0.88353999999999999</v>
      </c>
    </row>
    <row r="2087" spans="1:2" x14ac:dyDescent="0.2">
      <c r="A2087" s="68">
        <v>42761</v>
      </c>
      <c r="B2087" s="69">
        <v>0.88414999999999999</v>
      </c>
    </row>
    <row r="2088" spans="1:2" x14ac:dyDescent="0.2">
      <c r="A2088" s="68">
        <v>42760</v>
      </c>
      <c r="B2088" s="69">
        <v>0.88429999999999997</v>
      </c>
    </row>
    <row r="2089" spans="1:2" x14ac:dyDescent="0.2">
      <c r="A2089" s="68">
        <v>42759</v>
      </c>
      <c r="B2089" s="69">
        <v>0.88092999999999999</v>
      </c>
    </row>
    <row r="2090" spans="1:2" x14ac:dyDescent="0.2">
      <c r="A2090" s="68">
        <v>42758</v>
      </c>
      <c r="B2090" s="69">
        <v>0.88390999999999997</v>
      </c>
    </row>
    <row r="2091" spans="1:2" x14ac:dyDescent="0.2">
      <c r="A2091" s="68">
        <v>42755</v>
      </c>
      <c r="B2091" s="69">
        <v>0.88551999999999997</v>
      </c>
    </row>
    <row r="2092" spans="1:2" x14ac:dyDescent="0.2">
      <c r="A2092" s="68">
        <v>42754</v>
      </c>
      <c r="B2092" s="69">
        <v>0.88402000000000003</v>
      </c>
    </row>
    <row r="2093" spans="1:2" x14ac:dyDescent="0.2">
      <c r="A2093" s="68">
        <v>42753</v>
      </c>
      <c r="B2093" s="69">
        <v>0.88356000000000001</v>
      </c>
    </row>
    <row r="2094" spans="1:2" x14ac:dyDescent="0.2">
      <c r="A2094" s="68">
        <v>42752</v>
      </c>
      <c r="B2094" s="69">
        <v>0.88961000000000001</v>
      </c>
    </row>
    <row r="2095" spans="1:2" x14ac:dyDescent="0.2">
      <c r="A2095" s="68">
        <v>42751</v>
      </c>
      <c r="B2095" s="69">
        <v>0.88812000000000002</v>
      </c>
    </row>
    <row r="2096" spans="1:2" x14ac:dyDescent="0.2">
      <c r="A2096" s="68">
        <v>42748</v>
      </c>
      <c r="B2096" s="69">
        <v>0.88859999999999995</v>
      </c>
    </row>
    <row r="2097" spans="1:2" x14ac:dyDescent="0.2">
      <c r="A2097" s="68">
        <v>42747</v>
      </c>
      <c r="B2097" s="69">
        <v>0.89158999999999999</v>
      </c>
    </row>
    <row r="2098" spans="1:2" x14ac:dyDescent="0.2">
      <c r="A2098" s="68">
        <v>42746</v>
      </c>
      <c r="B2098" s="69">
        <v>0.89280000000000004</v>
      </c>
    </row>
    <row r="2099" spans="1:2" x14ac:dyDescent="0.2">
      <c r="A2099" s="68">
        <v>42745</v>
      </c>
      <c r="B2099" s="69">
        <v>0.89268000000000003</v>
      </c>
    </row>
    <row r="2100" spans="1:2" x14ac:dyDescent="0.2">
      <c r="A2100" s="68">
        <v>42744</v>
      </c>
      <c r="B2100" s="69">
        <v>0.89307999999999998</v>
      </c>
    </row>
    <row r="2101" spans="1:2" x14ac:dyDescent="0.2">
      <c r="A2101" s="68">
        <v>42741</v>
      </c>
      <c r="B2101" s="69">
        <v>0.88551999999999997</v>
      </c>
    </row>
    <row r="2102" spans="1:2" x14ac:dyDescent="0.2">
      <c r="A2102" s="68">
        <v>42740</v>
      </c>
      <c r="B2102" s="69">
        <v>0.89375000000000004</v>
      </c>
    </row>
    <row r="2103" spans="1:2" x14ac:dyDescent="0.2">
      <c r="A2103" s="68">
        <v>42739</v>
      </c>
      <c r="B2103" s="69">
        <v>0.89637999999999995</v>
      </c>
    </row>
    <row r="2104" spans="1:2" x14ac:dyDescent="0.2">
      <c r="A2104" s="68">
        <v>42738</v>
      </c>
      <c r="B2104" s="69">
        <v>0.89585999999999999</v>
      </c>
    </row>
    <row r="2105" spans="1:2" x14ac:dyDescent="0.2">
      <c r="A2105" s="68">
        <v>42734</v>
      </c>
      <c r="B2105" s="69">
        <v>0.89451000000000003</v>
      </c>
    </row>
    <row r="2106" spans="1:2" x14ac:dyDescent="0.2">
      <c r="A2106" s="68">
        <v>42733</v>
      </c>
      <c r="B2106" s="69">
        <v>0.89583000000000002</v>
      </c>
    </row>
    <row r="2107" spans="1:2" x14ac:dyDescent="0.2">
      <c r="A2107" s="68">
        <v>42732</v>
      </c>
      <c r="B2107" s="69">
        <v>0.89559999999999995</v>
      </c>
    </row>
    <row r="2108" spans="1:2" x14ac:dyDescent="0.2">
      <c r="A2108" s="68">
        <v>42731</v>
      </c>
      <c r="B2108" s="69">
        <v>0.89512000000000003</v>
      </c>
    </row>
    <row r="2109" spans="1:2" x14ac:dyDescent="0.2">
      <c r="A2109" s="68">
        <v>42730</v>
      </c>
      <c r="B2109" s="69">
        <v>0.89512000000000003</v>
      </c>
    </row>
    <row r="2110" spans="1:2" x14ac:dyDescent="0.2">
      <c r="A2110" s="68">
        <v>42727</v>
      </c>
      <c r="B2110" s="69">
        <v>0.89495000000000002</v>
      </c>
    </row>
    <row r="2111" spans="1:2" x14ac:dyDescent="0.2">
      <c r="A2111" s="68">
        <v>42726</v>
      </c>
      <c r="B2111" s="69">
        <v>0.89471000000000001</v>
      </c>
    </row>
    <row r="2112" spans="1:2" x14ac:dyDescent="0.2">
      <c r="A2112" s="68">
        <v>42725</v>
      </c>
      <c r="B2112" s="69">
        <v>0.89476999999999995</v>
      </c>
    </row>
    <row r="2113" spans="1:2" x14ac:dyDescent="0.2">
      <c r="A2113" s="68">
        <v>42724</v>
      </c>
      <c r="B2113" s="69">
        <v>0.89441000000000004</v>
      </c>
    </row>
    <row r="2114" spans="1:2" x14ac:dyDescent="0.2">
      <c r="A2114" s="68">
        <v>42723</v>
      </c>
      <c r="B2114" s="69">
        <v>0.89256000000000002</v>
      </c>
    </row>
    <row r="2115" spans="1:2" x14ac:dyDescent="0.2">
      <c r="A2115" s="68">
        <v>42720</v>
      </c>
      <c r="B2115" s="69">
        <v>0.89576999999999996</v>
      </c>
    </row>
    <row r="2116" spans="1:2" x14ac:dyDescent="0.2">
      <c r="A2116" s="68">
        <v>42719</v>
      </c>
      <c r="B2116" s="69">
        <v>0.89315</v>
      </c>
    </row>
    <row r="2117" spans="1:2" x14ac:dyDescent="0.2">
      <c r="A2117" s="68">
        <v>42718</v>
      </c>
      <c r="B2117" s="69">
        <v>0.88988999999999996</v>
      </c>
    </row>
    <row r="2118" spans="1:2" x14ac:dyDescent="0.2">
      <c r="A2118" s="68">
        <v>42717</v>
      </c>
      <c r="B2118" s="69">
        <v>0.88851000000000002</v>
      </c>
    </row>
    <row r="2119" spans="1:2" x14ac:dyDescent="0.2">
      <c r="A2119" s="68">
        <v>42716</v>
      </c>
      <c r="B2119" s="69">
        <v>0.89032</v>
      </c>
    </row>
    <row r="2120" spans="1:2" x14ac:dyDescent="0.2">
      <c r="A2120" s="68">
        <v>42713</v>
      </c>
      <c r="B2120" s="69">
        <v>0.88922999999999996</v>
      </c>
    </row>
    <row r="2121" spans="1:2" x14ac:dyDescent="0.2">
      <c r="A2121" s="68">
        <v>42712</v>
      </c>
      <c r="B2121" s="69">
        <v>0.88612000000000002</v>
      </c>
    </row>
    <row r="2122" spans="1:2" x14ac:dyDescent="0.2">
      <c r="A2122" s="68">
        <v>42711</v>
      </c>
      <c r="B2122" s="69">
        <v>0.88722000000000001</v>
      </c>
    </row>
    <row r="2123" spans="1:2" x14ac:dyDescent="0.2">
      <c r="A2123" s="68">
        <v>42710</v>
      </c>
      <c r="B2123" s="69">
        <v>0.88424999999999998</v>
      </c>
    </row>
    <row r="2124" spans="1:2" x14ac:dyDescent="0.2">
      <c r="A2124" s="68">
        <v>42709</v>
      </c>
      <c r="B2124" s="69">
        <v>0.88798999999999995</v>
      </c>
    </row>
    <row r="2125" spans="1:2" x14ac:dyDescent="0.2">
      <c r="A2125" s="68">
        <v>42706</v>
      </c>
      <c r="B2125" s="69">
        <v>0.88700999999999997</v>
      </c>
    </row>
    <row r="2126" spans="1:2" x14ac:dyDescent="0.2">
      <c r="A2126" s="68">
        <v>42705</v>
      </c>
      <c r="B2126" s="69">
        <v>0.8891</v>
      </c>
    </row>
    <row r="2127" spans="1:2" x14ac:dyDescent="0.2">
      <c r="A2127" s="68">
        <v>42704</v>
      </c>
      <c r="B2127" s="69">
        <v>0.88793999999999995</v>
      </c>
    </row>
    <row r="2128" spans="1:2" x14ac:dyDescent="0.2">
      <c r="A2128" s="68">
        <v>42703</v>
      </c>
      <c r="B2128" s="69">
        <v>0.88822000000000001</v>
      </c>
    </row>
    <row r="2129" spans="1:2" x14ac:dyDescent="0.2">
      <c r="A2129" s="68">
        <v>42702</v>
      </c>
      <c r="B2129" s="69">
        <v>0.89015</v>
      </c>
    </row>
    <row r="2130" spans="1:2" x14ac:dyDescent="0.2">
      <c r="A2130" s="68">
        <v>42699</v>
      </c>
      <c r="B2130" s="69">
        <v>0.89178999999999997</v>
      </c>
    </row>
    <row r="2131" spans="1:2" x14ac:dyDescent="0.2">
      <c r="A2131" s="68">
        <v>42698</v>
      </c>
      <c r="B2131" s="69">
        <v>0.89070000000000005</v>
      </c>
    </row>
    <row r="2132" spans="1:2" x14ac:dyDescent="0.2">
      <c r="A2132" s="68">
        <v>42697</v>
      </c>
      <c r="B2132" s="69">
        <v>0.88843000000000005</v>
      </c>
    </row>
    <row r="2133" spans="1:2" x14ac:dyDescent="0.2">
      <c r="A2133" s="68">
        <v>42696</v>
      </c>
      <c r="B2133" s="69">
        <v>0.88680000000000003</v>
      </c>
    </row>
    <row r="2134" spans="1:2" x14ac:dyDescent="0.2">
      <c r="A2134" s="68">
        <v>42695</v>
      </c>
      <c r="B2134" s="69">
        <v>0.88932</v>
      </c>
    </row>
    <row r="2135" spans="1:2" x14ac:dyDescent="0.2">
      <c r="A2135" s="68">
        <v>42692</v>
      </c>
      <c r="B2135" s="69">
        <v>0.88688</v>
      </c>
    </row>
    <row r="2136" spans="1:2" x14ac:dyDescent="0.2">
      <c r="A2136" s="68">
        <v>42691</v>
      </c>
      <c r="B2136" s="69">
        <v>0.88549999999999995</v>
      </c>
    </row>
    <row r="2137" spans="1:2" x14ac:dyDescent="0.2">
      <c r="A2137" s="68">
        <v>42690</v>
      </c>
      <c r="B2137" s="69">
        <v>0.88426000000000005</v>
      </c>
    </row>
    <row r="2138" spans="1:2" x14ac:dyDescent="0.2">
      <c r="A2138" s="68">
        <v>42689</v>
      </c>
      <c r="B2138" s="69">
        <v>0.88297000000000003</v>
      </c>
    </row>
    <row r="2139" spans="1:2" x14ac:dyDescent="0.2">
      <c r="A2139" s="68">
        <v>42688</v>
      </c>
      <c r="B2139" s="69">
        <v>0.88019999999999998</v>
      </c>
    </row>
    <row r="2140" spans="1:2" x14ac:dyDescent="0.2">
      <c r="A2140" s="68">
        <v>42685</v>
      </c>
      <c r="B2140" s="69">
        <v>0.87821000000000005</v>
      </c>
    </row>
    <row r="2141" spans="1:2" x14ac:dyDescent="0.2">
      <c r="A2141" s="68">
        <v>42684</v>
      </c>
      <c r="B2141" s="69">
        <v>0.87534999999999996</v>
      </c>
    </row>
    <row r="2142" spans="1:2" x14ac:dyDescent="0.2">
      <c r="A2142" s="68">
        <v>42683</v>
      </c>
      <c r="B2142" s="69">
        <v>0.87470000000000003</v>
      </c>
    </row>
    <row r="2143" spans="1:2" x14ac:dyDescent="0.2">
      <c r="A2143" s="68">
        <v>42682</v>
      </c>
      <c r="B2143" s="69">
        <v>0.87443000000000004</v>
      </c>
    </row>
    <row r="2144" spans="1:2" x14ac:dyDescent="0.2">
      <c r="A2144" s="68">
        <v>42681</v>
      </c>
      <c r="B2144" s="69">
        <v>0.87317999999999996</v>
      </c>
    </row>
    <row r="2145" spans="1:2" x14ac:dyDescent="0.2">
      <c r="A2145" s="68">
        <v>42678</v>
      </c>
      <c r="B2145" s="69">
        <v>0.87056</v>
      </c>
    </row>
    <row r="2146" spans="1:2" x14ac:dyDescent="0.2">
      <c r="A2146" s="68">
        <v>42677</v>
      </c>
      <c r="B2146" s="69">
        <v>0.87028000000000005</v>
      </c>
    </row>
    <row r="2147" spans="1:2" x14ac:dyDescent="0.2">
      <c r="A2147" s="68">
        <v>42676</v>
      </c>
      <c r="B2147" s="69">
        <v>0.87112999999999996</v>
      </c>
    </row>
    <row r="2148" spans="1:2" x14ac:dyDescent="0.2">
      <c r="A2148" s="68">
        <v>42675</v>
      </c>
      <c r="B2148" s="69">
        <v>0.87343000000000004</v>
      </c>
    </row>
    <row r="2149" spans="1:2" x14ac:dyDescent="0.2">
      <c r="A2149" s="68">
        <v>42674</v>
      </c>
      <c r="B2149" s="69">
        <v>0.87224999999999997</v>
      </c>
    </row>
    <row r="2150" spans="1:2" x14ac:dyDescent="0.2">
      <c r="A2150" s="68">
        <v>42671</v>
      </c>
      <c r="B2150" s="69">
        <v>0.87505999999999995</v>
      </c>
    </row>
    <row r="2151" spans="1:2" x14ac:dyDescent="0.2">
      <c r="A2151" s="68">
        <v>42670</v>
      </c>
      <c r="B2151" s="69">
        <v>0.87326000000000004</v>
      </c>
    </row>
    <row r="2152" spans="1:2" x14ac:dyDescent="0.2">
      <c r="A2152" s="68">
        <v>42669</v>
      </c>
      <c r="B2152" s="69">
        <v>0.87289000000000005</v>
      </c>
    </row>
    <row r="2153" spans="1:2" x14ac:dyDescent="0.2">
      <c r="A2153" s="68">
        <v>42668</v>
      </c>
      <c r="B2153" s="69">
        <v>0.87329999999999997</v>
      </c>
    </row>
    <row r="2154" spans="1:2" x14ac:dyDescent="0.2">
      <c r="A2154" s="68">
        <v>42667</v>
      </c>
      <c r="B2154" s="69">
        <v>0.87253000000000003</v>
      </c>
    </row>
    <row r="2155" spans="1:2" x14ac:dyDescent="0.2">
      <c r="A2155" s="68">
        <v>42664</v>
      </c>
      <c r="B2155" s="69">
        <v>0.87077000000000004</v>
      </c>
    </row>
    <row r="2156" spans="1:2" x14ac:dyDescent="0.2">
      <c r="A2156" s="68">
        <v>42663</v>
      </c>
      <c r="B2156" s="69">
        <v>0.86763000000000001</v>
      </c>
    </row>
    <row r="2157" spans="1:2" x14ac:dyDescent="0.2">
      <c r="A2157" s="68">
        <v>42662</v>
      </c>
      <c r="B2157" s="69">
        <v>0.86770999999999998</v>
      </c>
    </row>
    <row r="2158" spans="1:2" x14ac:dyDescent="0.2">
      <c r="A2158" s="68">
        <v>42661</v>
      </c>
      <c r="B2158" s="69">
        <v>0.86748999999999998</v>
      </c>
    </row>
    <row r="2159" spans="1:2" x14ac:dyDescent="0.2">
      <c r="A2159" s="68">
        <v>42660</v>
      </c>
      <c r="B2159" s="69">
        <v>0.86846999999999996</v>
      </c>
    </row>
    <row r="2160" spans="1:2" x14ac:dyDescent="0.2">
      <c r="A2160" s="68">
        <v>42657</v>
      </c>
      <c r="B2160" s="69">
        <v>0.86573</v>
      </c>
    </row>
    <row r="2161" spans="1:2" x14ac:dyDescent="0.2">
      <c r="A2161" s="68">
        <v>42656</v>
      </c>
      <c r="B2161" s="69">
        <v>0.86746999999999996</v>
      </c>
    </row>
    <row r="2162" spans="1:2" x14ac:dyDescent="0.2">
      <c r="A2162" s="68">
        <v>42655</v>
      </c>
      <c r="B2162" s="69">
        <v>0.86687999999999998</v>
      </c>
    </row>
    <row r="2163" spans="1:2" x14ac:dyDescent="0.2">
      <c r="A2163" s="68">
        <v>42654</v>
      </c>
      <c r="B2163" s="69">
        <v>0.86482999999999999</v>
      </c>
    </row>
    <row r="2164" spans="1:2" x14ac:dyDescent="0.2">
      <c r="A2164" s="68">
        <v>42653</v>
      </c>
      <c r="B2164" s="69">
        <v>0.86372000000000004</v>
      </c>
    </row>
    <row r="2165" spans="1:2" x14ac:dyDescent="0.2">
      <c r="A2165" s="68">
        <v>42643</v>
      </c>
      <c r="B2165" s="69">
        <v>0.86097000000000001</v>
      </c>
    </row>
    <row r="2166" spans="1:2" x14ac:dyDescent="0.2">
      <c r="A2166" s="68">
        <v>42642</v>
      </c>
      <c r="B2166" s="69">
        <v>0.86023000000000005</v>
      </c>
    </row>
    <row r="2167" spans="1:2" x14ac:dyDescent="0.2">
      <c r="A2167" s="68">
        <v>42641</v>
      </c>
      <c r="B2167" s="69">
        <v>0.85987000000000002</v>
      </c>
    </row>
    <row r="2168" spans="1:2" x14ac:dyDescent="0.2">
      <c r="A2168" s="68">
        <v>42640</v>
      </c>
      <c r="B2168" s="69">
        <v>0.85933999999999999</v>
      </c>
    </row>
    <row r="2169" spans="1:2" x14ac:dyDescent="0.2">
      <c r="A2169" s="68">
        <v>42639</v>
      </c>
      <c r="B2169" s="69">
        <v>0.86053000000000002</v>
      </c>
    </row>
    <row r="2170" spans="1:2" x14ac:dyDescent="0.2">
      <c r="A2170" s="68">
        <v>42636</v>
      </c>
      <c r="B2170" s="69">
        <v>0.85962000000000005</v>
      </c>
    </row>
    <row r="2171" spans="1:2" x14ac:dyDescent="0.2">
      <c r="A2171" s="68">
        <v>42635</v>
      </c>
      <c r="B2171" s="69">
        <v>0.85765999999999998</v>
      </c>
    </row>
    <row r="2172" spans="1:2" x14ac:dyDescent="0.2">
      <c r="A2172" s="68">
        <v>42634</v>
      </c>
      <c r="B2172" s="69">
        <v>0.86034999999999995</v>
      </c>
    </row>
    <row r="2173" spans="1:2" x14ac:dyDescent="0.2">
      <c r="A2173" s="68">
        <v>42633</v>
      </c>
      <c r="B2173" s="69">
        <v>0.85843999999999998</v>
      </c>
    </row>
    <row r="2174" spans="1:2" x14ac:dyDescent="0.2">
      <c r="A2174" s="68">
        <v>42632</v>
      </c>
      <c r="B2174" s="69">
        <v>0.86082999999999998</v>
      </c>
    </row>
    <row r="2175" spans="1:2" x14ac:dyDescent="0.2">
      <c r="A2175" s="68">
        <v>42627</v>
      </c>
      <c r="B2175" s="69">
        <v>0.86223000000000005</v>
      </c>
    </row>
    <row r="2176" spans="1:2" x14ac:dyDescent="0.2">
      <c r="A2176" s="68">
        <v>42626</v>
      </c>
      <c r="B2176" s="69">
        <v>0.86009999999999998</v>
      </c>
    </row>
    <row r="2177" spans="1:2" x14ac:dyDescent="0.2">
      <c r="A2177" s="68">
        <v>42625</v>
      </c>
      <c r="B2177" s="69">
        <v>0.86255999999999999</v>
      </c>
    </row>
    <row r="2178" spans="1:2" x14ac:dyDescent="0.2">
      <c r="A2178" s="68">
        <v>42622</v>
      </c>
      <c r="B2178" s="69">
        <v>0.85963000000000001</v>
      </c>
    </row>
    <row r="2179" spans="1:2" x14ac:dyDescent="0.2">
      <c r="A2179" s="68">
        <v>42621</v>
      </c>
      <c r="B2179" s="69">
        <v>0.85899000000000003</v>
      </c>
    </row>
    <row r="2180" spans="1:2" x14ac:dyDescent="0.2">
      <c r="A2180" s="68">
        <v>42620</v>
      </c>
      <c r="B2180" s="69">
        <v>0.85823000000000005</v>
      </c>
    </row>
    <row r="2181" spans="1:2" x14ac:dyDescent="0.2">
      <c r="A2181" s="68">
        <v>42619</v>
      </c>
      <c r="B2181" s="69">
        <v>0.85980000000000001</v>
      </c>
    </row>
    <row r="2182" spans="1:2" x14ac:dyDescent="0.2">
      <c r="A2182" s="68">
        <v>42618</v>
      </c>
      <c r="B2182" s="69">
        <v>0.86224999999999996</v>
      </c>
    </row>
    <row r="2183" spans="1:2" x14ac:dyDescent="0.2">
      <c r="A2183" s="68">
        <v>42615</v>
      </c>
      <c r="B2183" s="69">
        <v>0.86019000000000001</v>
      </c>
    </row>
    <row r="2184" spans="1:2" x14ac:dyDescent="0.2">
      <c r="A2184" s="68">
        <v>42614</v>
      </c>
      <c r="B2184" s="69">
        <v>0.86097000000000001</v>
      </c>
    </row>
    <row r="2185" spans="1:2" x14ac:dyDescent="0.2">
      <c r="A2185" s="68">
        <v>42613</v>
      </c>
      <c r="B2185" s="69">
        <v>0.86250000000000004</v>
      </c>
    </row>
    <row r="2186" spans="1:2" x14ac:dyDescent="0.2">
      <c r="A2186" s="68">
        <v>42612</v>
      </c>
      <c r="B2186" s="69">
        <v>0.86146</v>
      </c>
    </row>
    <row r="2187" spans="1:2" x14ac:dyDescent="0.2">
      <c r="A2187" s="68">
        <v>42611</v>
      </c>
      <c r="B2187" s="69">
        <v>0.86190999999999995</v>
      </c>
    </row>
    <row r="2188" spans="1:2" x14ac:dyDescent="0.2">
      <c r="A2188" s="68">
        <v>42608</v>
      </c>
      <c r="B2188" s="69">
        <v>0.85736000000000001</v>
      </c>
    </row>
    <row r="2189" spans="1:2" x14ac:dyDescent="0.2">
      <c r="A2189" s="68">
        <v>42607</v>
      </c>
      <c r="B2189" s="69">
        <v>0.85894999999999999</v>
      </c>
    </row>
    <row r="2190" spans="1:2" x14ac:dyDescent="0.2">
      <c r="A2190" s="68">
        <v>42606</v>
      </c>
      <c r="B2190" s="69">
        <v>0.85665999999999998</v>
      </c>
    </row>
    <row r="2191" spans="1:2" x14ac:dyDescent="0.2">
      <c r="A2191" s="68">
        <v>42605</v>
      </c>
      <c r="B2191" s="69">
        <v>0.85877999999999999</v>
      </c>
    </row>
    <row r="2192" spans="1:2" x14ac:dyDescent="0.2">
      <c r="A2192" s="68">
        <v>42604</v>
      </c>
      <c r="B2192" s="69">
        <v>0.85962000000000005</v>
      </c>
    </row>
    <row r="2193" spans="1:2" x14ac:dyDescent="0.2">
      <c r="A2193" s="68">
        <v>42601</v>
      </c>
      <c r="B2193" s="69">
        <v>0.85397999999999996</v>
      </c>
    </row>
    <row r="2194" spans="1:2" x14ac:dyDescent="0.2">
      <c r="A2194" s="68">
        <v>42600</v>
      </c>
      <c r="B2194" s="69">
        <v>0.85465000000000002</v>
      </c>
    </row>
    <row r="2195" spans="1:2" x14ac:dyDescent="0.2">
      <c r="A2195" s="68">
        <v>42599</v>
      </c>
      <c r="B2195" s="69">
        <v>0.85185</v>
      </c>
    </row>
    <row r="2196" spans="1:2" x14ac:dyDescent="0.2">
      <c r="A2196" s="68">
        <v>42598</v>
      </c>
      <c r="B2196" s="69">
        <v>0.85485</v>
      </c>
    </row>
    <row r="2197" spans="1:2" x14ac:dyDescent="0.2">
      <c r="A2197" s="68">
        <v>42597</v>
      </c>
      <c r="B2197" s="69">
        <v>0.85653000000000001</v>
      </c>
    </row>
    <row r="2198" spans="1:2" x14ac:dyDescent="0.2">
      <c r="A2198" s="68">
        <v>42594</v>
      </c>
      <c r="B2198" s="69">
        <v>0.85792999999999997</v>
      </c>
    </row>
    <row r="2199" spans="1:2" x14ac:dyDescent="0.2">
      <c r="A2199" s="68">
        <v>42593</v>
      </c>
      <c r="B2199" s="69">
        <v>0.85418000000000005</v>
      </c>
    </row>
    <row r="2200" spans="1:2" x14ac:dyDescent="0.2">
      <c r="A2200" s="68">
        <v>42592</v>
      </c>
      <c r="B2200" s="69">
        <v>0.85770000000000002</v>
      </c>
    </row>
    <row r="2201" spans="1:2" x14ac:dyDescent="0.2">
      <c r="A2201" s="68">
        <v>42591</v>
      </c>
      <c r="B2201" s="69">
        <v>0.85851999999999995</v>
      </c>
    </row>
    <row r="2202" spans="1:2" x14ac:dyDescent="0.2">
      <c r="A2202" s="68">
        <v>42590</v>
      </c>
      <c r="B2202" s="69">
        <v>0.85897000000000001</v>
      </c>
    </row>
    <row r="2203" spans="1:2" x14ac:dyDescent="0.2">
      <c r="A2203" s="68">
        <v>42587</v>
      </c>
      <c r="B2203" s="69">
        <v>0.85618000000000005</v>
      </c>
    </row>
    <row r="2204" spans="1:2" x14ac:dyDescent="0.2">
      <c r="A2204" s="68">
        <v>42586</v>
      </c>
      <c r="B2204" s="69">
        <v>0.85634999999999994</v>
      </c>
    </row>
    <row r="2205" spans="1:2" x14ac:dyDescent="0.2">
      <c r="A2205" s="68">
        <v>42585</v>
      </c>
      <c r="B2205" s="69">
        <v>0.85299999999999998</v>
      </c>
    </row>
    <row r="2206" spans="1:2" x14ac:dyDescent="0.2">
      <c r="A2206" s="68">
        <v>42584</v>
      </c>
      <c r="B2206" s="69">
        <v>0.85629</v>
      </c>
    </row>
    <row r="2207" spans="1:2" x14ac:dyDescent="0.2">
      <c r="A2207" s="68">
        <v>42583</v>
      </c>
      <c r="B2207" s="69">
        <v>0.85431999999999997</v>
      </c>
    </row>
    <row r="2208" spans="1:2" x14ac:dyDescent="0.2">
      <c r="A2208" s="68">
        <v>42580</v>
      </c>
      <c r="B2208" s="69">
        <v>0.85750999999999999</v>
      </c>
    </row>
    <row r="2209" spans="1:2" x14ac:dyDescent="0.2">
      <c r="A2209" s="68">
        <v>42579</v>
      </c>
      <c r="B2209" s="69">
        <v>0.85860000000000003</v>
      </c>
    </row>
    <row r="2210" spans="1:2" x14ac:dyDescent="0.2">
      <c r="A2210" s="68">
        <v>42578</v>
      </c>
      <c r="B2210" s="69">
        <v>0.85951999999999995</v>
      </c>
    </row>
    <row r="2211" spans="1:2" x14ac:dyDescent="0.2">
      <c r="A2211" s="68">
        <v>42577</v>
      </c>
      <c r="B2211" s="69">
        <v>0.86087999999999998</v>
      </c>
    </row>
    <row r="2212" spans="1:2" x14ac:dyDescent="0.2">
      <c r="A2212" s="68">
        <v>42576</v>
      </c>
      <c r="B2212" s="69">
        <v>0.86192999999999997</v>
      </c>
    </row>
    <row r="2213" spans="1:2" x14ac:dyDescent="0.2">
      <c r="A2213" s="68">
        <v>42573</v>
      </c>
      <c r="B2213" s="69">
        <v>0.85958999999999997</v>
      </c>
    </row>
    <row r="2214" spans="1:2" x14ac:dyDescent="0.2">
      <c r="A2214" s="68">
        <v>42572</v>
      </c>
      <c r="B2214" s="69">
        <v>0.86221999999999999</v>
      </c>
    </row>
    <row r="2215" spans="1:2" x14ac:dyDescent="0.2">
      <c r="A2215" s="68">
        <v>42571</v>
      </c>
      <c r="B2215" s="69">
        <v>0.86319000000000001</v>
      </c>
    </row>
    <row r="2216" spans="1:2" x14ac:dyDescent="0.2">
      <c r="A2216" s="68">
        <v>42570</v>
      </c>
      <c r="B2216" s="69">
        <v>0.86360000000000003</v>
      </c>
    </row>
    <row r="2217" spans="1:2" x14ac:dyDescent="0.2">
      <c r="A2217" s="68">
        <v>42569</v>
      </c>
      <c r="B2217" s="69">
        <v>0.86353000000000002</v>
      </c>
    </row>
    <row r="2218" spans="1:2" x14ac:dyDescent="0.2">
      <c r="A2218" s="68">
        <v>42566</v>
      </c>
      <c r="B2218" s="69">
        <v>0.86155999999999999</v>
      </c>
    </row>
    <row r="2219" spans="1:2" x14ac:dyDescent="0.2">
      <c r="A2219" s="68">
        <v>42565</v>
      </c>
      <c r="B2219" s="69">
        <v>0.86182000000000003</v>
      </c>
    </row>
    <row r="2220" spans="1:2" x14ac:dyDescent="0.2">
      <c r="A2220" s="68">
        <v>42564</v>
      </c>
      <c r="B2220" s="69">
        <v>0.86219999999999997</v>
      </c>
    </row>
    <row r="2221" spans="1:2" x14ac:dyDescent="0.2">
      <c r="A2221" s="68">
        <v>42563</v>
      </c>
      <c r="B2221" s="69">
        <v>0.86294999999999999</v>
      </c>
    </row>
    <row r="2222" spans="1:2" x14ac:dyDescent="0.2">
      <c r="A2222" s="68">
        <v>42562</v>
      </c>
      <c r="B2222" s="69">
        <v>0.86160999999999999</v>
      </c>
    </row>
    <row r="2223" spans="1:2" x14ac:dyDescent="0.2">
      <c r="A2223" s="68">
        <v>42559</v>
      </c>
      <c r="B2223" s="69">
        <v>0.86170000000000002</v>
      </c>
    </row>
    <row r="2224" spans="1:2" x14ac:dyDescent="0.2">
      <c r="A2224" s="68">
        <v>42558</v>
      </c>
      <c r="B2224" s="69">
        <v>0.86131000000000002</v>
      </c>
    </row>
    <row r="2225" spans="1:2" x14ac:dyDescent="0.2">
      <c r="A2225" s="68">
        <v>42557</v>
      </c>
      <c r="B2225" s="69">
        <v>0.86168999999999996</v>
      </c>
    </row>
    <row r="2226" spans="1:2" x14ac:dyDescent="0.2">
      <c r="A2226" s="68">
        <v>42556</v>
      </c>
      <c r="B2226" s="69">
        <v>0.85836000000000001</v>
      </c>
    </row>
    <row r="2227" spans="1:2" x14ac:dyDescent="0.2">
      <c r="A2227" s="68">
        <v>42555</v>
      </c>
      <c r="B2227" s="69">
        <v>0.85682000000000003</v>
      </c>
    </row>
    <row r="2228" spans="1:2" x14ac:dyDescent="0.2">
      <c r="A2228" s="68">
        <v>42552</v>
      </c>
      <c r="B2228" s="69">
        <v>0.85699999999999998</v>
      </c>
    </row>
    <row r="2229" spans="1:2" x14ac:dyDescent="0.2">
      <c r="A2229" s="68">
        <v>42551</v>
      </c>
      <c r="B2229" s="69">
        <v>0.85467000000000004</v>
      </c>
    </row>
    <row r="2230" spans="1:2" x14ac:dyDescent="0.2">
      <c r="A2230" s="68">
        <v>42550</v>
      </c>
      <c r="B2230" s="69">
        <v>0.85482000000000002</v>
      </c>
    </row>
    <row r="2231" spans="1:2" x14ac:dyDescent="0.2">
      <c r="A2231" s="68">
        <v>42549</v>
      </c>
      <c r="B2231" s="69">
        <v>0.85736000000000001</v>
      </c>
    </row>
    <row r="2232" spans="1:2" x14ac:dyDescent="0.2">
      <c r="A2232" s="68">
        <v>42548</v>
      </c>
      <c r="B2232" s="69">
        <v>0.85521999999999998</v>
      </c>
    </row>
    <row r="2233" spans="1:2" x14ac:dyDescent="0.2">
      <c r="A2233" s="68">
        <v>42545</v>
      </c>
      <c r="B2233" s="69">
        <v>0.84791000000000005</v>
      </c>
    </row>
    <row r="2234" spans="1:2" x14ac:dyDescent="0.2">
      <c r="A2234" s="68">
        <v>42544</v>
      </c>
      <c r="B2234" s="69">
        <v>0.84636</v>
      </c>
    </row>
    <row r="2235" spans="1:2" x14ac:dyDescent="0.2">
      <c r="A2235" s="68">
        <v>42543</v>
      </c>
      <c r="B2235" s="69">
        <v>0.84980999999999995</v>
      </c>
    </row>
    <row r="2236" spans="1:2" x14ac:dyDescent="0.2">
      <c r="A2236" s="68">
        <v>42542</v>
      </c>
      <c r="B2236" s="69">
        <v>0.84606000000000003</v>
      </c>
    </row>
    <row r="2237" spans="1:2" x14ac:dyDescent="0.2">
      <c r="A2237" s="68">
        <v>42541</v>
      </c>
      <c r="B2237" s="69">
        <v>0.84679000000000004</v>
      </c>
    </row>
    <row r="2238" spans="1:2" x14ac:dyDescent="0.2">
      <c r="A2238" s="68">
        <v>42538</v>
      </c>
      <c r="B2238" s="69">
        <v>0.84799000000000002</v>
      </c>
    </row>
    <row r="2239" spans="1:2" x14ac:dyDescent="0.2">
      <c r="A2239" s="68">
        <v>42537</v>
      </c>
      <c r="B2239" s="69">
        <v>0.84714999999999996</v>
      </c>
    </row>
    <row r="2240" spans="1:2" x14ac:dyDescent="0.2">
      <c r="A2240" s="68">
        <v>42536</v>
      </c>
      <c r="B2240" s="69">
        <v>0.85036</v>
      </c>
    </row>
    <row r="2241" spans="1:2" x14ac:dyDescent="0.2">
      <c r="A2241" s="68">
        <v>42535</v>
      </c>
      <c r="B2241" s="69">
        <v>0.84750999999999999</v>
      </c>
    </row>
    <row r="2242" spans="1:2" x14ac:dyDescent="0.2">
      <c r="A2242" s="68">
        <v>42534</v>
      </c>
      <c r="B2242" s="69">
        <v>0.84767000000000003</v>
      </c>
    </row>
    <row r="2243" spans="1:2" x14ac:dyDescent="0.2">
      <c r="A2243" s="68">
        <v>42529</v>
      </c>
      <c r="B2243" s="69">
        <v>0.84458</v>
      </c>
    </row>
    <row r="2244" spans="1:2" x14ac:dyDescent="0.2">
      <c r="A2244" s="68">
        <v>42528</v>
      </c>
      <c r="B2244" s="69">
        <v>0.84475999999999996</v>
      </c>
    </row>
    <row r="2245" spans="1:2" x14ac:dyDescent="0.2">
      <c r="A2245" s="68">
        <v>42527</v>
      </c>
      <c r="B2245" s="69">
        <v>0.84316000000000002</v>
      </c>
    </row>
    <row r="2246" spans="1:2" x14ac:dyDescent="0.2">
      <c r="A2246" s="68">
        <v>42524</v>
      </c>
      <c r="B2246" s="69">
        <v>0.84677999999999998</v>
      </c>
    </row>
    <row r="2247" spans="1:2" x14ac:dyDescent="0.2">
      <c r="A2247" s="68">
        <v>42523</v>
      </c>
      <c r="B2247" s="69">
        <v>0.84545000000000003</v>
      </c>
    </row>
    <row r="2248" spans="1:2" x14ac:dyDescent="0.2">
      <c r="A2248" s="68">
        <v>42522</v>
      </c>
      <c r="B2248" s="69">
        <v>0.84789000000000003</v>
      </c>
    </row>
    <row r="2249" spans="1:2" x14ac:dyDescent="0.2">
      <c r="A2249" s="68">
        <v>42521</v>
      </c>
      <c r="B2249" s="69">
        <v>0.84684999999999999</v>
      </c>
    </row>
    <row r="2250" spans="1:2" x14ac:dyDescent="0.2">
      <c r="A2250" s="68">
        <v>42520</v>
      </c>
      <c r="B2250" s="69">
        <v>0.84699999999999998</v>
      </c>
    </row>
    <row r="2251" spans="1:2" x14ac:dyDescent="0.2">
      <c r="A2251" s="68">
        <v>42517</v>
      </c>
      <c r="B2251" s="69">
        <v>0.84331</v>
      </c>
    </row>
    <row r="2252" spans="1:2" x14ac:dyDescent="0.2">
      <c r="A2252" s="68">
        <v>42516</v>
      </c>
      <c r="B2252" s="69">
        <v>0.84431999999999996</v>
      </c>
    </row>
    <row r="2253" spans="1:2" x14ac:dyDescent="0.2">
      <c r="A2253" s="68">
        <v>42515</v>
      </c>
      <c r="B2253" s="69">
        <v>0.84577000000000002</v>
      </c>
    </row>
    <row r="2254" spans="1:2" x14ac:dyDescent="0.2">
      <c r="A2254" s="68">
        <v>42514</v>
      </c>
      <c r="B2254" s="69">
        <v>0.84291000000000005</v>
      </c>
    </row>
    <row r="2255" spans="1:2" x14ac:dyDescent="0.2">
      <c r="A2255" s="68">
        <v>42513</v>
      </c>
      <c r="B2255" s="69">
        <v>0.8427</v>
      </c>
    </row>
    <row r="2256" spans="1:2" x14ac:dyDescent="0.2">
      <c r="A2256" s="68">
        <v>42510</v>
      </c>
      <c r="B2256" s="69">
        <v>0.84347000000000005</v>
      </c>
    </row>
    <row r="2257" spans="1:2" x14ac:dyDescent="0.2">
      <c r="A2257" s="68">
        <v>42509</v>
      </c>
      <c r="B2257" s="69">
        <v>0.84372000000000003</v>
      </c>
    </row>
    <row r="2258" spans="1:2" x14ac:dyDescent="0.2">
      <c r="A2258" s="68">
        <v>42508</v>
      </c>
      <c r="B2258" s="69">
        <v>0.84013000000000004</v>
      </c>
    </row>
    <row r="2259" spans="1:2" x14ac:dyDescent="0.2">
      <c r="A2259" s="68">
        <v>42507</v>
      </c>
      <c r="B2259" s="69">
        <v>0.83991000000000005</v>
      </c>
    </row>
    <row r="2260" spans="1:2" x14ac:dyDescent="0.2">
      <c r="A2260" s="68">
        <v>42506</v>
      </c>
      <c r="B2260" s="69">
        <v>0.84157000000000004</v>
      </c>
    </row>
    <row r="2261" spans="1:2" x14ac:dyDescent="0.2">
      <c r="A2261" s="68">
        <v>42503</v>
      </c>
      <c r="B2261" s="69">
        <v>0.84072000000000002</v>
      </c>
    </row>
    <row r="2262" spans="1:2" x14ac:dyDescent="0.2">
      <c r="A2262" s="68">
        <v>42502</v>
      </c>
      <c r="B2262" s="69">
        <v>0.83708000000000005</v>
      </c>
    </row>
    <row r="2263" spans="1:2" x14ac:dyDescent="0.2">
      <c r="A2263" s="68">
        <v>42501</v>
      </c>
      <c r="B2263" s="69">
        <v>0.84021000000000001</v>
      </c>
    </row>
    <row r="2264" spans="1:2" x14ac:dyDescent="0.2">
      <c r="A2264" s="68">
        <v>42500</v>
      </c>
      <c r="B2264" s="69">
        <v>0.84026000000000001</v>
      </c>
    </row>
    <row r="2265" spans="1:2" x14ac:dyDescent="0.2">
      <c r="A2265" s="68">
        <v>42499</v>
      </c>
      <c r="B2265" s="69">
        <v>0.83899000000000001</v>
      </c>
    </row>
    <row r="2266" spans="1:2" x14ac:dyDescent="0.2">
      <c r="A2266" s="68">
        <v>42496</v>
      </c>
      <c r="B2266" s="69">
        <v>0.84011000000000002</v>
      </c>
    </row>
    <row r="2267" spans="1:2" x14ac:dyDescent="0.2">
      <c r="A2267" s="68">
        <v>42495</v>
      </c>
      <c r="B2267" s="69">
        <v>0.83904999999999996</v>
      </c>
    </row>
    <row r="2268" spans="1:2" x14ac:dyDescent="0.2">
      <c r="A2268" s="68">
        <v>42494</v>
      </c>
      <c r="B2268" s="69">
        <v>0.83672000000000002</v>
      </c>
    </row>
    <row r="2269" spans="1:2" x14ac:dyDescent="0.2">
      <c r="A2269" s="68">
        <v>42493</v>
      </c>
      <c r="B2269" s="69">
        <v>0.83209999999999995</v>
      </c>
    </row>
    <row r="2270" spans="1:2" x14ac:dyDescent="0.2">
      <c r="A2270" s="68">
        <v>42489</v>
      </c>
      <c r="B2270" s="69">
        <v>0.83257000000000003</v>
      </c>
    </row>
    <row r="2271" spans="1:2" x14ac:dyDescent="0.2">
      <c r="A2271" s="68">
        <v>42488</v>
      </c>
      <c r="B2271" s="69">
        <v>0.83738999999999997</v>
      </c>
    </row>
    <row r="2272" spans="1:2" x14ac:dyDescent="0.2">
      <c r="A2272" s="68">
        <v>42487</v>
      </c>
      <c r="B2272" s="69">
        <v>0.83599999999999997</v>
      </c>
    </row>
    <row r="2273" spans="1:2" x14ac:dyDescent="0.2">
      <c r="A2273" s="68">
        <v>42486</v>
      </c>
      <c r="B2273" s="69">
        <v>0.83648999999999996</v>
      </c>
    </row>
    <row r="2274" spans="1:2" x14ac:dyDescent="0.2">
      <c r="A2274" s="68">
        <v>42485</v>
      </c>
      <c r="B2274" s="69">
        <v>0.83953</v>
      </c>
    </row>
    <row r="2275" spans="1:2" x14ac:dyDescent="0.2">
      <c r="A2275" s="68">
        <v>42482</v>
      </c>
      <c r="B2275" s="69">
        <v>0.83653999999999995</v>
      </c>
    </row>
    <row r="2276" spans="1:2" x14ac:dyDescent="0.2">
      <c r="A2276" s="68">
        <v>42481</v>
      </c>
      <c r="B2276" s="69">
        <v>0.83550000000000002</v>
      </c>
    </row>
    <row r="2277" spans="1:2" x14ac:dyDescent="0.2">
      <c r="A2277" s="68">
        <v>42480</v>
      </c>
      <c r="B2277" s="69">
        <v>0.83269000000000004</v>
      </c>
    </row>
    <row r="2278" spans="1:2" x14ac:dyDescent="0.2">
      <c r="A2278" s="68">
        <v>42479</v>
      </c>
      <c r="B2278" s="69">
        <v>0.83428000000000002</v>
      </c>
    </row>
    <row r="2279" spans="1:2" x14ac:dyDescent="0.2">
      <c r="A2279" s="68">
        <v>42478</v>
      </c>
      <c r="B2279" s="69">
        <v>0.83540999999999999</v>
      </c>
    </row>
    <row r="2280" spans="1:2" x14ac:dyDescent="0.2">
      <c r="A2280" s="68">
        <v>42475</v>
      </c>
      <c r="B2280" s="69">
        <v>0.83679999999999999</v>
      </c>
    </row>
    <row r="2281" spans="1:2" x14ac:dyDescent="0.2">
      <c r="A2281" s="68">
        <v>42474</v>
      </c>
      <c r="B2281" s="69">
        <v>0.83650999999999998</v>
      </c>
    </row>
    <row r="2282" spans="1:2" x14ac:dyDescent="0.2">
      <c r="A2282" s="68">
        <v>42473</v>
      </c>
      <c r="B2282" s="69">
        <v>0.83291000000000004</v>
      </c>
    </row>
    <row r="2283" spans="1:2" x14ac:dyDescent="0.2">
      <c r="A2283" s="68">
        <v>42472</v>
      </c>
      <c r="B2283" s="69">
        <v>0.83320000000000005</v>
      </c>
    </row>
    <row r="2284" spans="1:2" x14ac:dyDescent="0.2">
      <c r="A2284" s="68">
        <v>42471</v>
      </c>
      <c r="B2284" s="69">
        <v>0.83331999999999995</v>
      </c>
    </row>
    <row r="2285" spans="1:2" x14ac:dyDescent="0.2">
      <c r="A2285" s="68">
        <v>42468</v>
      </c>
      <c r="B2285" s="69">
        <v>0.83423999999999998</v>
      </c>
    </row>
    <row r="2286" spans="1:2" x14ac:dyDescent="0.2">
      <c r="A2286" s="68">
        <v>42467</v>
      </c>
      <c r="B2286" s="69">
        <v>0.83435999999999999</v>
      </c>
    </row>
    <row r="2287" spans="1:2" x14ac:dyDescent="0.2">
      <c r="A2287" s="68">
        <v>42466</v>
      </c>
      <c r="B2287" s="69">
        <v>0.83487999999999996</v>
      </c>
    </row>
    <row r="2288" spans="1:2" x14ac:dyDescent="0.2">
      <c r="A2288" s="68">
        <v>42465</v>
      </c>
      <c r="B2288" s="69">
        <v>0.83386000000000005</v>
      </c>
    </row>
    <row r="2289" spans="1:2" x14ac:dyDescent="0.2">
      <c r="A2289" s="68">
        <v>42461</v>
      </c>
      <c r="B2289" s="69">
        <v>0.83279999999999998</v>
      </c>
    </row>
    <row r="2290" spans="1:2" x14ac:dyDescent="0.2">
      <c r="A2290" s="68">
        <v>42460</v>
      </c>
      <c r="B2290" s="69">
        <v>0.83325000000000005</v>
      </c>
    </row>
    <row r="2291" spans="1:2" x14ac:dyDescent="0.2">
      <c r="A2291" s="68">
        <v>42459</v>
      </c>
      <c r="B2291" s="69">
        <v>0.83601999999999999</v>
      </c>
    </row>
    <row r="2292" spans="1:2" x14ac:dyDescent="0.2">
      <c r="A2292" s="68">
        <v>42458</v>
      </c>
      <c r="B2292" s="69">
        <v>0.83865000000000001</v>
      </c>
    </row>
    <row r="2293" spans="1:2" x14ac:dyDescent="0.2">
      <c r="A2293" s="68">
        <v>42457</v>
      </c>
      <c r="B2293" s="69">
        <v>0.84080999999999995</v>
      </c>
    </row>
    <row r="2294" spans="1:2" x14ac:dyDescent="0.2">
      <c r="A2294" s="68">
        <v>42454</v>
      </c>
      <c r="B2294" s="69">
        <v>0.84050999999999998</v>
      </c>
    </row>
    <row r="2295" spans="1:2" x14ac:dyDescent="0.2">
      <c r="A2295" s="68">
        <v>42453</v>
      </c>
      <c r="B2295" s="69">
        <v>0.83967999999999998</v>
      </c>
    </row>
    <row r="2296" spans="1:2" x14ac:dyDescent="0.2">
      <c r="A2296" s="68">
        <v>42452</v>
      </c>
      <c r="B2296" s="69">
        <v>0.83748</v>
      </c>
    </row>
    <row r="2297" spans="1:2" x14ac:dyDescent="0.2">
      <c r="A2297" s="68">
        <v>42451</v>
      </c>
      <c r="B2297" s="69">
        <v>0.83792999999999995</v>
      </c>
    </row>
    <row r="2298" spans="1:2" x14ac:dyDescent="0.2">
      <c r="A2298" s="68">
        <v>42450</v>
      </c>
      <c r="B2298" s="69">
        <v>0.83594000000000002</v>
      </c>
    </row>
    <row r="2299" spans="1:2" x14ac:dyDescent="0.2">
      <c r="A2299" s="68">
        <v>42447</v>
      </c>
      <c r="B2299" s="69">
        <v>0.83330000000000004</v>
      </c>
    </row>
    <row r="2300" spans="1:2" x14ac:dyDescent="0.2">
      <c r="A2300" s="68">
        <v>42446</v>
      </c>
      <c r="B2300" s="69">
        <v>0.83735999999999999</v>
      </c>
    </row>
    <row r="2301" spans="1:2" x14ac:dyDescent="0.2">
      <c r="A2301" s="68">
        <v>42445</v>
      </c>
      <c r="B2301" s="69">
        <v>0.83984999999999999</v>
      </c>
    </row>
    <row r="2302" spans="1:2" x14ac:dyDescent="0.2">
      <c r="A2302" s="68">
        <v>42444</v>
      </c>
      <c r="B2302" s="69">
        <v>0.83872000000000002</v>
      </c>
    </row>
    <row r="2303" spans="1:2" x14ac:dyDescent="0.2">
      <c r="A2303" s="68">
        <v>42443</v>
      </c>
      <c r="B2303" s="69">
        <v>0.83648999999999996</v>
      </c>
    </row>
    <row r="2304" spans="1:2" x14ac:dyDescent="0.2">
      <c r="A2304" s="68">
        <v>42440</v>
      </c>
      <c r="B2304" s="69">
        <v>0.83601999999999999</v>
      </c>
    </row>
    <row r="2305" spans="1:2" x14ac:dyDescent="0.2">
      <c r="A2305" s="68">
        <v>42439</v>
      </c>
      <c r="B2305" s="69">
        <v>0.83870999999999996</v>
      </c>
    </row>
    <row r="2306" spans="1:2" x14ac:dyDescent="0.2">
      <c r="A2306" s="68">
        <v>42438</v>
      </c>
      <c r="B2306" s="69">
        <v>0.83826999999999996</v>
      </c>
    </row>
    <row r="2307" spans="1:2" x14ac:dyDescent="0.2">
      <c r="A2307" s="68">
        <v>42437</v>
      </c>
      <c r="B2307" s="69">
        <v>0.83752000000000004</v>
      </c>
    </row>
    <row r="2308" spans="1:2" x14ac:dyDescent="0.2">
      <c r="A2308" s="68">
        <v>42436</v>
      </c>
      <c r="B2308" s="69">
        <v>0.83857999999999999</v>
      </c>
    </row>
    <row r="2309" spans="1:2" x14ac:dyDescent="0.2">
      <c r="A2309" s="68">
        <v>42433</v>
      </c>
      <c r="B2309" s="69">
        <v>0.84028999999999998</v>
      </c>
    </row>
    <row r="2310" spans="1:2" x14ac:dyDescent="0.2">
      <c r="A2310" s="68">
        <v>42432</v>
      </c>
      <c r="B2310" s="69">
        <v>0.84155999999999997</v>
      </c>
    </row>
    <row r="2311" spans="1:2" x14ac:dyDescent="0.2">
      <c r="A2311" s="68">
        <v>42431</v>
      </c>
      <c r="B2311" s="69">
        <v>0.84240999999999999</v>
      </c>
    </row>
    <row r="2312" spans="1:2" x14ac:dyDescent="0.2">
      <c r="A2312" s="68">
        <v>42430</v>
      </c>
      <c r="B2312" s="69">
        <v>0.84114</v>
      </c>
    </row>
    <row r="2313" spans="1:2" x14ac:dyDescent="0.2">
      <c r="A2313" s="68">
        <v>42429</v>
      </c>
      <c r="B2313" s="69">
        <v>0.84186000000000005</v>
      </c>
    </row>
    <row r="2314" spans="1:2" x14ac:dyDescent="0.2">
      <c r="A2314" s="68">
        <v>42426</v>
      </c>
      <c r="B2314" s="69">
        <v>0.84101999999999999</v>
      </c>
    </row>
    <row r="2315" spans="1:2" x14ac:dyDescent="0.2">
      <c r="A2315" s="68">
        <v>42425</v>
      </c>
      <c r="B2315" s="69">
        <v>0.84089000000000003</v>
      </c>
    </row>
    <row r="2316" spans="1:2" x14ac:dyDescent="0.2">
      <c r="A2316" s="68">
        <v>42424</v>
      </c>
      <c r="B2316" s="69">
        <v>0.84057000000000004</v>
      </c>
    </row>
    <row r="2317" spans="1:2" x14ac:dyDescent="0.2">
      <c r="A2317" s="68">
        <v>42423</v>
      </c>
      <c r="B2317" s="69">
        <v>0.84014999999999995</v>
      </c>
    </row>
    <row r="2318" spans="1:2" x14ac:dyDescent="0.2">
      <c r="A2318" s="68">
        <v>42422</v>
      </c>
      <c r="B2318" s="69">
        <v>0.83862000000000003</v>
      </c>
    </row>
    <row r="2319" spans="1:2" x14ac:dyDescent="0.2">
      <c r="A2319" s="68">
        <v>42419</v>
      </c>
      <c r="B2319" s="69">
        <v>0.83804000000000001</v>
      </c>
    </row>
    <row r="2320" spans="1:2" x14ac:dyDescent="0.2">
      <c r="A2320" s="68">
        <v>42418</v>
      </c>
      <c r="B2320" s="69">
        <v>0.83679999999999999</v>
      </c>
    </row>
    <row r="2321" spans="1:2" x14ac:dyDescent="0.2">
      <c r="A2321" s="68">
        <v>42417</v>
      </c>
      <c r="B2321" s="69">
        <v>0.83721000000000001</v>
      </c>
    </row>
    <row r="2322" spans="1:2" x14ac:dyDescent="0.2">
      <c r="A2322" s="68">
        <v>42416</v>
      </c>
      <c r="B2322" s="69">
        <v>0.83674999999999999</v>
      </c>
    </row>
    <row r="2323" spans="1:2" x14ac:dyDescent="0.2">
      <c r="A2323" s="68">
        <v>42415</v>
      </c>
      <c r="B2323" s="69">
        <v>0.83611999999999997</v>
      </c>
    </row>
    <row r="2324" spans="1:2" x14ac:dyDescent="0.2">
      <c r="A2324" s="68">
        <v>42405</v>
      </c>
      <c r="B2324" s="69">
        <v>0.83889999999999998</v>
      </c>
    </row>
    <row r="2325" spans="1:2" x14ac:dyDescent="0.2">
      <c r="A2325" s="68">
        <v>42404</v>
      </c>
      <c r="B2325" s="69">
        <v>0.83979000000000004</v>
      </c>
    </row>
    <row r="2326" spans="1:2" x14ac:dyDescent="0.2">
      <c r="A2326" s="68">
        <v>42403</v>
      </c>
      <c r="B2326" s="69">
        <v>0.84006999999999998</v>
      </c>
    </row>
    <row r="2327" spans="1:2" x14ac:dyDescent="0.2">
      <c r="A2327" s="68">
        <v>42402</v>
      </c>
      <c r="B2327" s="69">
        <v>0.84221000000000001</v>
      </c>
    </row>
    <row r="2328" spans="1:2" x14ac:dyDescent="0.2">
      <c r="A2328" s="68">
        <v>42401</v>
      </c>
      <c r="B2328" s="69">
        <v>0.84206000000000003</v>
      </c>
    </row>
    <row r="2329" spans="1:2" x14ac:dyDescent="0.2">
      <c r="A2329" s="68">
        <v>42398</v>
      </c>
      <c r="B2329" s="69">
        <v>0.84091000000000005</v>
      </c>
    </row>
    <row r="2330" spans="1:2" x14ac:dyDescent="0.2">
      <c r="A2330" s="68">
        <v>42397</v>
      </c>
      <c r="B2330" s="69">
        <v>0.84106999999999998</v>
      </c>
    </row>
    <row r="2331" spans="1:2" x14ac:dyDescent="0.2">
      <c r="A2331" s="68">
        <v>42396</v>
      </c>
      <c r="B2331" s="69">
        <v>0.84131</v>
      </c>
    </row>
    <row r="2332" spans="1:2" x14ac:dyDescent="0.2">
      <c r="A2332" s="68">
        <v>42395</v>
      </c>
      <c r="B2332" s="69">
        <v>0.84075999999999995</v>
      </c>
    </row>
    <row r="2333" spans="1:2" x14ac:dyDescent="0.2">
      <c r="A2333" s="68">
        <v>42394</v>
      </c>
      <c r="B2333" s="69">
        <v>0.84077999999999997</v>
      </c>
    </row>
    <row r="2334" spans="1:2" x14ac:dyDescent="0.2">
      <c r="A2334" s="68">
        <v>42391</v>
      </c>
      <c r="B2334" s="69">
        <v>0.83964000000000005</v>
      </c>
    </row>
    <row r="2335" spans="1:2" x14ac:dyDescent="0.2">
      <c r="A2335" s="68">
        <v>42390</v>
      </c>
      <c r="B2335" s="69">
        <v>0.83918000000000004</v>
      </c>
    </row>
    <row r="2336" spans="1:2" x14ac:dyDescent="0.2">
      <c r="A2336" s="68">
        <v>42389</v>
      </c>
      <c r="B2336" s="69">
        <v>0.83865000000000001</v>
      </c>
    </row>
    <row r="2337" spans="1:2" x14ac:dyDescent="0.2">
      <c r="A2337" s="68">
        <v>42388</v>
      </c>
      <c r="B2337" s="69">
        <v>0.84067999999999998</v>
      </c>
    </row>
    <row r="2338" spans="1:2" x14ac:dyDescent="0.2">
      <c r="A2338" s="68">
        <v>42387</v>
      </c>
      <c r="B2338" s="69">
        <v>0.84103000000000006</v>
      </c>
    </row>
    <row r="2339" spans="1:2" x14ac:dyDescent="0.2">
      <c r="A2339" s="68">
        <v>42384</v>
      </c>
      <c r="B2339" s="69">
        <v>0.84404000000000001</v>
      </c>
    </row>
    <row r="2340" spans="1:2" x14ac:dyDescent="0.2">
      <c r="A2340" s="68">
        <v>42383</v>
      </c>
      <c r="B2340" s="69">
        <v>0.84545000000000003</v>
      </c>
    </row>
    <row r="2341" spans="1:2" x14ac:dyDescent="0.2">
      <c r="A2341" s="68">
        <v>42382</v>
      </c>
      <c r="B2341" s="69">
        <v>0.84582000000000002</v>
      </c>
    </row>
    <row r="2342" spans="1:2" x14ac:dyDescent="0.2">
      <c r="A2342" s="68">
        <v>42381</v>
      </c>
      <c r="B2342" s="69">
        <v>0.84567999999999999</v>
      </c>
    </row>
    <row r="2343" spans="1:2" x14ac:dyDescent="0.2">
      <c r="A2343" s="68">
        <v>42380</v>
      </c>
      <c r="B2343" s="69">
        <v>0.84540000000000004</v>
      </c>
    </row>
    <row r="2344" spans="1:2" x14ac:dyDescent="0.2">
      <c r="A2344" s="68">
        <v>42377</v>
      </c>
      <c r="B2344" s="69">
        <v>0.84641</v>
      </c>
    </row>
    <row r="2345" spans="1:2" x14ac:dyDescent="0.2">
      <c r="A2345" s="68">
        <v>42376</v>
      </c>
      <c r="B2345" s="69">
        <v>0.8468</v>
      </c>
    </row>
    <row r="2346" spans="1:2" x14ac:dyDescent="0.2">
      <c r="A2346" s="68">
        <v>42375</v>
      </c>
      <c r="B2346" s="69">
        <v>0.84262999999999999</v>
      </c>
    </row>
    <row r="2347" spans="1:2" x14ac:dyDescent="0.2">
      <c r="A2347" s="68">
        <v>42374</v>
      </c>
      <c r="B2347" s="69">
        <v>0.84079999999999999</v>
      </c>
    </row>
    <row r="2348" spans="1:2" x14ac:dyDescent="0.2">
      <c r="A2348" s="68">
        <v>42373</v>
      </c>
      <c r="B2348" s="69">
        <v>0.83906000000000003</v>
      </c>
    </row>
    <row r="2349" spans="1:2" x14ac:dyDescent="0.2">
      <c r="A2349" s="68">
        <v>42369</v>
      </c>
      <c r="B2349" s="69">
        <v>0.83777999999999997</v>
      </c>
    </row>
    <row r="2350" spans="1:2" x14ac:dyDescent="0.2">
      <c r="A2350" s="68">
        <v>42368</v>
      </c>
      <c r="B2350" s="69">
        <v>0.83733000000000002</v>
      </c>
    </row>
    <row r="2351" spans="1:2" x14ac:dyDescent="0.2">
      <c r="A2351" s="68">
        <v>42367</v>
      </c>
      <c r="B2351" s="69">
        <v>0.83689000000000002</v>
      </c>
    </row>
    <row r="2352" spans="1:2" x14ac:dyDescent="0.2">
      <c r="A2352" s="68">
        <v>42366</v>
      </c>
      <c r="B2352" s="69">
        <v>0.83538000000000001</v>
      </c>
    </row>
    <row r="2353" spans="1:2" x14ac:dyDescent="0.2">
      <c r="A2353" s="68">
        <v>42363</v>
      </c>
      <c r="B2353" s="69">
        <v>0.83486000000000005</v>
      </c>
    </row>
    <row r="2354" spans="1:2" x14ac:dyDescent="0.2">
      <c r="A2354" s="68">
        <v>42362</v>
      </c>
      <c r="B2354" s="69">
        <v>0.83548</v>
      </c>
    </row>
    <row r="2355" spans="1:2" x14ac:dyDescent="0.2">
      <c r="A2355" s="68">
        <v>42361</v>
      </c>
      <c r="B2355" s="69">
        <v>0.83496999999999999</v>
      </c>
    </row>
    <row r="2356" spans="1:2" x14ac:dyDescent="0.2">
      <c r="A2356" s="68">
        <v>42360</v>
      </c>
      <c r="B2356" s="69">
        <v>0.83518999999999999</v>
      </c>
    </row>
    <row r="2357" spans="1:2" x14ac:dyDescent="0.2">
      <c r="A2357" s="68">
        <v>42359</v>
      </c>
      <c r="B2357" s="69">
        <v>0.83528999999999998</v>
      </c>
    </row>
    <row r="2358" spans="1:2" x14ac:dyDescent="0.2">
      <c r="A2358" s="68">
        <v>42356</v>
      </c>
      <c r="B2358" s="69">
        <v>0.83604999999999996</v>
      </c>
    </row>
    <row r="2359" spans="1:2" x14ac:dyDescent="0.2">
      <c r="A2359" s="68">
        <v>42355</v>
      </c>
      <c r="B2359" s="69">
        <v>0.83552999999999999</v>
      </c>
    </row>
    <row r="2360" spans="1:2" x14ac:dyDescent="0.2">
      <c r="A2360" s="68">
        <v>42354</v>
      </c>
      <c r="B2360" s="69">
        <v>0.83384999999999998</v>
      </c>
    </row>
    <row r="2361" spans="1:2" x14ac:dyDescent="0.2">
      <c r="A2361" s="68">
        <v>42353</v>
      </c>
      <c r="B2361" s="69">
        <v>0.83299999999999996</v>
      </c>
    </row>
    <row r="2362" spans="1:2" x14ac:dyDescent="0.2">
      <c r="A2362" s="68">
        <v>42352</v>
      </c>
      <c r="B2362" s="69">
        <v>0.83206999999999998</v>
      </c>
    </row>
    <row r="2363" spans="1:2" x14ac:dyDescent="0.2">
      <c r="A2363" s="68">
        <v>42349</v>
      </c>
      <c r="B2363" s="69">
        <v>0.83040000000000003</v>
      </c>
    </row>
    <row r="2364" spans="1:2" x14ac:dyDescent="0.2">
      <c r="A2364" s="68">
        <v>42348</v>
      </c>
      <c r="B2364" s="69">
        <v>0.82882</v>
      </c>
    </row>
    <row r="2365" spans="1:2" x14ac:dyDescent="0.2">
      <c r="A2365" s="68">
        <v>42347</v>
      </c>
      <c r="B2365" s="69">
        <v>0.82757999999999998</v>
      </c>
    </row>
    <row r="2366" spans="1:2" x14ac:dyDescent="0.2">
      <c r="A2366" s="68">
        <v>42346</v>
      </c>
      <c r="B2366" s="69">
        <v>0.82674999999999998</v>
      </c>
    </row>
    <row r="2367" spans="1:2" x14ac:dyDescent="0.2">
      <c r="A2367" s="68">
        <v>42345</v>
      </c>
      <c r="B2367" s="69">
        <v>0.82560999999999996</v>
      </c>
    </row>
    <row r="2368" spans="1:2" x14ac:dyDescent="0.2">
      <c r="A2368" s="68">
        <v>42342</v>
      </c>
      <c r="B2368" s="69">
        <v>0.82386000000000004</v>
      </c>
    </row>
    <row r="2369" spans="1:2" x14ac:dyDescent="0.2">
      <c r="A2369" s="68">
        <v>42341</v>
      </c>
      <c r="B2369" s="69">
        <v>0.82552999999999999</v>
      </c>
    </row>
    <row r="2370" spans="1:2" x14ac:dyDescent="0.2">
      <c r="A2370" s="68">
        <v>42340</v>
      </c>
      <c r="B2370" s="69">
        <v>0.82508000000000004</v>
      </c>
    </row>
    <row r="2371" spans="1:2" x14ac:dyDescent="0.2">
      <c r="A2371" s="68">
        <v>42339</v>
      </c>
      <c r="B2371" s="69">
        <v>0.82533999999999996</v>
      </c>
    </row>
    <row r="2372" spans="1:2" x14ac:dyDescent="0.2">
      <c r="A2372" s="68">
        <v>42338</v>
      </c>
      <c r="B2372" s="69">
        <v>0.82528000000000001</v>
      </c>
    </row>
    <row r="2373" spans="1:2" x14ac:dyDescent="0.2">
      <c r="A2373" s="68">
        <v>42335</v>
      </c>
      <c r="B2373" s="69">
        <v>0.82467000000000001</v>
      </c>
    </row>
    <row r="2374" spans="1:2" x14ac:dyDescent="0.2">
      <c r="A2374" s="68">
        <v>42334</v>
      </c>
      <c r="B2374" s="69">
        <v>0.82443999999999995</v>
      </c>
    </row>
    <row r="2375" spans="1:2" x14ac:dyDescent="0.2">
      <c r="A2375" s="68">
        <v>42333</v>
      </c>
      <c r="B2375" s="69">
        <v>0.82421</v>
      </c>
    </row>
    <row r="2376" spans="1:2" x14ac:dyDescent="0.2">
      <c r="A2376" s="68">
        <v>42332</v>
      </c>
      <c r="B2376" s="69">
        <v>0.82435000000000003</v>
      </c>
    </row>
    <row r="2377" spans="1:2" x14ac:dyDescent="0.2">
      <c r="A2377" s="68">
        <v>42331</v>
      </c>
      <c r="B2377" s="69">
        <v>0.82406000000000001</v>
      </c>
    </row>
    <row r="2378" spans="1:2" x14ac:dyDescent="0.2">
      <c r="A2378" s="68">
        <v>42328</v>
      </c>
      <c r="B2378" s="69">
        <v>0.82296000000000002</v>
      </c>
    </row>
    <row r="2379" spans="1:2" x14ac:dyDescent="0.2">
      <c r="A2379" s="68">
        <v>42327</v>
      </c>
      <c r="B2379" s="69">
        <v>0.82306999999999997</v>
      </c>
    </row>
    <row r="2380" spans="1:2" x14ac:dyDescent="0.2">
      <c r="A2380" s="68">
        <v>42326</v>
      </c>
      <c r="B2380" s="69">
        <v>0.82308999999999999</v>
      </c>
    </row>
    <row r="2381" spans="1:2" x14ac:dyDescent="0.2">
      <c r="A2381" s="68">
        <v>42325</v>
      </c>
      <c r="B2381" s="69">
        <v>0.82238</v>
      </c>
    </row>
    <row r="2382" spans="1:2" x14ac:dyDescent="0.2">
      <c r="A2382" s="68">
        <v>42324</v>
      </c>
      <c r="B2382" s="69">
        <v>0.82250999999999996</v>
      </c>
    </row>
    <row r="2383" spans="1:2" x14ac:dyDescent="0.2">
      <c r="A2383" s="68">
        <v>42321</v>
      </c>
      <c r="B2383" s="69">
        <v>0.82133999999999996</v>
      </c>
    </row>
    <row r="2384" spans="1:2" x14ac:dyDescent="0.2">
      <c r="A2384" s="68">
        <v>42320</v>
      </c>
      <c r="B2384" s="69">
        <v>0.82094999999999996</v>
      </c>
    </row>
    <row r="2385" spans="1:2" x14ac:dyDescent="0.2">
      <c r="A2385" s="68">
        <v>42319</v>
      </c>
      <c r="B2385" s="69">
        <v>0.82064000000000004</v>
      </c>
    </row>
    <row r="2386" spans="1:2" x14ac:dyDescent="0.2">
      <c r="A2386" s="68">
        <v>42318</v>
      </c>
      <c r="B2386" s="69">
        <v>0.82047999999999999</v>
      </c>
    </row>
    <row r="2387" spans="1:2" x14ac:dyDescent="0.2">
      <c r="A2387" s="68">
        <v>42317</v>
      </c>
      <c r="B2387" s="69">
        <v>0.82023000000000001</v>
      </c>
    </row>
    <row r="2388" spans="1:2" x14ac:dyDescent="0.2">
      <c r="A2388" s="68">
        <v>42314</v>
      </c>
      <c r="B2388" s="69">
        <v>0.81874999999999998</v>
      </c>
    </row>
    <row r="2389" spans="1:2" x14ac:dyDescent="0.2">
      <c r="A2389" s="68">
        <v>42313</v>
      </c>
      <c r="B2389" s="69">
        <v>0.81777</v>
      </c>
    </row>
    <row r="2390" spans="1:2" x14ac:dyDescent="0.2">
      <c r="A2390" s="68">
        <v>42312</v>
      </c>
      <c r="B2390" s="69">
        <v>0.81728000000000001</v>
      </c>
    </row>
    <row r="2391" spans="1:2" x14ac:dyDescent="0.2">
      <c r="A2391" s="68">
        <v>42311</v>
      </c>
      <c r="B2391" s="69">
        <v>0.81689000000000001</v>
      </c>
    </row>
    <row r="2392" spans="1:2" x14ac:dyDescent="0.2">
      <c r="A2392" s="68">
        <v>42310</v>
      </c>
      <c r="B2392" s="69">
        <v>0.81489</v>
      </c>
    </row>
    <row r="2393" spans="1:2" x14ac:dyDescent="0.2">
      <c r="A2393" s="68">
        <v>42307</v>
      </c>
      <c r="B2393" s="69">
        <v>0.81928999999999996</v>
      </c>
    </row>
    <row r="2394" spans="1:2" x14ac:dyDescent="0.2">
      <c r="A2394" s="68">
        <v>42306</v>
      </c>
      <c r="B2394" s="69">
        <v>0.82059000000000004</v>
      </c>
    </row>
    <row r="2395" spans="1:2" x14ac:dyDescent="0.2">
      <c r="A2395" s="68">
        <v>42305</v>
      </c>
      <c r="B2395" s="69">
        <v>0.81981000000000004</v>
      </c>
    </row>
    <row r="2396" spans="1:2" x14ac:dyDescent="0.2">
      <c r="A2396" s="68">
        <v>42304</v>
      </c>
      <c r="B2396" s="69">
        <v>0.81927000000000005</v>
      </c>
    </row>
    <row r="2397" spans="1:2" x14ac:dyDescent="0.2">
      <c r="A2397" s="68">
        <v>42303</v>
      </c>
      <c r="B2397" s="69">
        <v>0.81998000000000004</v>
      </c>
    </row>
    <row r="2398" spans="1:2" x14ac:dyDescent="0.2">
      <c r="A2398" s="68">
        <v>42300</v>
      </c>
      <c r="B2398" s="69">
        <v>0.82057999999999998</v>
      </c>
    </row>
    <row r="2399" spans="1:2" x14ac:dyDescent="0.2">
      <c r="A2399" s="68">
        <v>42299</v>
      </c>
      <c r="B2399" s="69">
        <v>0.81930000000000003</v>
      </c>
    </row>
    <row r="2400" spans="1:2" x14ac:dyDescent="0.2">
      <c r="A2400" s="68">
        <v>42298</v>
      </c>
      <c r="B2400" s="69">
        <v>0.81899999999999995</v>
      </c>
    </row>
    <row r="2401" spans="1:2" x14ac:dyDescent="0.2">
      <c r="A2401" s="68">
        <v>42297</v>
      </c>
      <c r="B2401" s="69">
        <v>0.82081999999999999</v>
      </c>
    </row>
    <row r="2402" spans="1:2" x14ac:dyDescent="0.2">
      <c r="A2402" s="68">
        <v>42296</v>
      </c>
      <c r="B2402" s="69">
        <v>0.81969999999999998</v>
      </c>
    </row>
    <row r="2403" spans="1:2" x14ac:dyDescent="0.2">
      <c r="A2403" s="68">
        <v>42293</v>
      </c>
      <c r="B2403" s="69">
        <v>0.81852000000000003</v>
      </c>
    </row>
    <row r="2404" spans="1:2" x14ac:dyDescent="0.2">
      <c r="A2404" s="68">
        <v>42292</v>
      </c>
      <c r="B2404" s="69">
        <v>0.81808999999999998</v>
      </c>
    </row>
    <row r="2405" spans="1:2" x14ac:dyDescent="0.2">
      <c r="A2405" s="68">
        <v>42291</v>
      </c>
      <c r="B2405" s="69">
        <v>0.81816999999999995</v>
      </c>
    </row>
    <row r="2406" spans="1:2" x14ac:dyDescent="0.2">
      <c r="A2406" s="68">
        <v>42290</v>
      </c>
      <c r="B2406" s="69">
        <v>0.81586999999999998</v>
      </c>
    </row>
    <row r="2407" spans="1:2" x14ac:dyDescent="0.2">
      <c r="A2407" s="68">
        <v>42289</v>
      </c>
      <c r="B2407" s="69">
        <v>0.81813000000000002</v>
      </c>
    </row>
    <row r="2408" spans="1:2" x14ac:dyDescent="0.2">
      <c r="A2408" s="68">
        <v>42286</v>
      </c>
      <c r="B2408" s="69">
        <v>0.81925999999999999</v>
      </c>
    </row>
    <row r="2409" spans="1:2" x14ac:dyDescent="0.2">
      <c r="A2409" s="68">
        <v>42285</v>
      </c>
      <c r="B2409" s="69">
        <v>0.81942000000000004</v>
      </c>
    </row>
    <row r="2410" spans="1:2" x14ac:dyDescent="0.2">
      <c r="A2410" s="68">
        <v>42277</v>
      </c>
      <c r="B2410" s="69">
        <v>0.82081000000000004</v>
      </c>
    </row>
    <row r="2411" spans="1:2" x14ac:dyDescent="0.2">
      <c r="A2411" s="68">
        <v>42276</v>
      </c>
      <c r="B2411" s="69">
        <v>0.82140000000000002</v>
      </c>
    </row>
    <row r="2412" spans="1:2" x14ac:dyDescent="0.2">
      <c r="A2412" s="68">
        <v>42275</v>
      </c>
      <c r="B2412" s="69">
        <v>0.82226999999999995</v>
      </c>
    </row>
    <row r="2413" spans="1:2" x14ac:dyDescent="0.2">
      <c r="A2413" s="68">
        <v>42272</v>
      </c>
      <c r="B2413" s="69">
        <v>0.82299</v>
      </c>
    </row>
    <row r="2414" spans="1:2" x14ac:dyDescent="0.2">
      <c r="A2414" s="68">
        <v>42271</v>
      </c>
      <c r="B2414" s="69">
        <v>0.82310000000000005</v>
      </c>
    </row>
    <row r="2415" spans="1:2" x14ac:dyDescent="0.2">
      <c r="A2415" s="68">
        <v>42270</v>
      </c>
      <c r="B2415" s="69">
        <v>0.82287999999999994</v>
      </c>
    </row>
    <row r="2416" spans="1:2" x14ac:dyDescent="0.2">
      <c r="A2416" s="68">
        <v>42269</v>
      </c>
      <c r="B2416" s="69">
        <v>0.82221</v>
      </c>
    </row>
    <row r="2417" spans="1:2" x14ac:dyDescent="0.2">
      <c r="A2417" s="68">
        <v>42268</v>
      </c>
      <c r="B2417" s="69">
        <v>0.82162999999999997</v>
      </c>
    </row>
    <row r="2418" spans="1:2" x14ac:dyDescent="0.2">
      <c r="A2418" s="68">
        <v>42265</v>
      </c>
      <c r="B2418" s="69">
        <v>0.82072000000000001</v>
      </c>
    </row>
    <row r="2419" spans="1:2" x14ac:dyDescent="0.2">
      <c r="A2419" s="68">
        <v>42264</v>
      </c>
      <c r="B2419" s="69">
        <v>0.82150000000000001</v>
      </c>
    </row>
    <row r="2420" spans="1:2" x14ac:dyDescent="0.2">
      <c r="A2420" s="68">
        <v>42263</v>
      </c>
      <c r="B2420" s="69">
        <v>0.82208000000000003</v>
      </c>
    </row>
    <row r="2421" spans="1:2" x14ac:dyDescent="0.2">
      <c r="A2421" s="68">
        <v>42262</v>
      </c>
      <c r="B2421" s="69">
        <v>0.82147999999999999</v>
      </c>
    </row>
    <row r="2422" spans="1:2" x14ac:dyDescent="0.2">
      <c r="A2422" s="68">
        <v>42261</v>
      </c>
      <c r="B2422" s="69">
        <v>0.82203999999999999</v>
      </c>
    </row>
    <row r="2423" spans="1:2" x14ac:dyDescent="0.2">
      <c r="A2423" s="68">
        <v>42258</v>
      </c>
      <c r="B2423" s="69">
        <v>0.82218000000000002</v>
      </c>
    </row>
    <row r="2424" spans="1:2" x14ac:dyDescent="0.2">
      <c r="A2424" s="68">
        <v>42257</v>
      </c>
      <c r="B2424" s="69">
        <v>0.82272000000000001</v>
      </c>
    </row>
    <row r="2425" spans="1:2" x14ac:dyDescent="0.2">
      <c r="A2425" s="68">
        <v>42256</v>
      </c>
      <c r="B2425" s="69">
        <v>0.82096999999999998</v>
      </c>
    </row>
    <row r="2426" spans="1:2" x14ac:dyDescent="0.2">
      <c r="A2426" s="68">
        <v>42255</v>
      </c>
      <c r="B2426" s="69">
        <v>0.82113999999999998</v>
      </c>
    </row>
    <row r="2427" spans="1:2" x14ac:dyDescent="0.2">
      <c r="A2427" s="68">
        <v>42254</v>
      </c>
      <c r="B2427" s="69">
        <v>0.82040999999999997</v>
      </c>
    </row>
    <row r="2428" spans="1:2" x14ac:dyDescent="0.2">
      <c r="A2428" s="68">
        <v>42249</v>
      </c>
      <c r="B2428" s="69">
        <v>0.82089000000000001</v>
      </c>
    </row>
    <row r="2429" spans="1:2" x14ac:dyDescent="0.2">
      <c r="A2429" s="68">
        <v>42248</v>
      </c>
      <c r="B2429" s="69">
        <v>0.82259000000000004</v>
      </c>
    </row>
    <row r="2430" spans="1:2" x14ac:dyDescent="0.2">
      <c r="A2430" s="68">
        <v>42247</v>
      </c>
      <c r="B2430" s="69">
        <v>0.82442000000000004</v>
      </c>
    </row>
    <row r="2431" spans="1:2" x14ac:dyDescent="0.2">
      <c r="A2431" s="68">
        <v>42244</v>
      </c>
      <c r="B2431" s="69">
        <v>0.82562000000000002</v>
      </c>
    </row>
    <row r="2432" spans="1:2" x14ac:dyDescent="0.2">
      <c r="A2432" s="68">
        <v>42243</v>
      </c>
      <c r="B2432" s="69">
        <v>0.82679000000000002</v>
      </c>
    </row>
    <row r="2433" spans="1:2" x14ac:dyDescent="0.2">
      <c r="A2433" s="68">
        <v>42242</v>
      </c>
      <c r="B2433" s="69">
        <v>0.82623999999999997</v>
      </c>
    </row>
    <row r="2434" spans="1:2" x14ac:dyDescent="0.2">
      <c r="A2434" s="68">
        <v>42241</v>
      </c>
      <c r="B2434" s="69">
        <v>0.82542000000000004</v>
      </c>
    </row>
    <row r="2435" spans="1:2" x14ac:dyDescent="0.2">
      <c r="A2435" s="68">
        <v>42240</v>
      </c>
      <c r="B2435" s="69">
        <v>0.82374000000000003</v>
      </c>
    </row>
    <row r="2436" spans="1:2" x14ac:dyDescent="0.2">
      <c r="A2436" s="68">
        <v>42237</v>
      </c>
      <c r="B2436" s="69">
        <v>0.82386999999999999</v>
      </c>
    </row>
    <row r="2437" spans="1:2" x14ac:dyDescent="0.2">
      <c r="A2437" s="68">
        <v>42236</v>
      </c>
      <c r="B2437" s="69">
        <v>0.82443</v>
      </c>
    </row>
    <row r="2438" spans="1:2" x14ac:dyDescent="0.2">
      <c r="A2438" s="68">
        <v>42235</v>
      </c>
      <c r="B2438" s="69">
        <v>0.82484000000000002</v>
      </c>
    </row>
    <row r="2439" spans="1:2" x14ac:dyDescent="0.2">
      <c r="A2439" s="68">
        <v>42234</v>
      </c>
      <c r="B2439" s="69">
        <v>0.82491000000000003</v>
      </c>
    </row>
    <row r="2440" spans="1:2" x14ac:dyDescent="0.2">
      <c r="A2440" s="68">
        <v>42233</v>
      </c>
      <c r="B2440" s="69">
        <v>0.82481000000000004</v>
      </c>
    </row>
    <row r="2441" spans="1:2" x14ac:dyDescent="0.2">
      <c r="A2441" s="68">
        <v>42230</v>
      </c>
      <c r="B2441" s="69">
        <v>0.82521</v>
      </c>
    </row>
    <row r="2442" spans="1:2" x14ac:dyDescent="0.2">
      <c r="A2442" s="68">
        <v>42229</v>
      </c>
      <c r="B2442" s="69">
        <v>0.82552999999999999</v>
      </c>
    </row>
    <row r="2443" spans="1:2" x14ac:dyDescent="0.2">
      <c r="A2443" s="68">
        <v>42228</v>
      </c>
      <c r="B2443" s="69">
        <v>0.81583000000000006</v>
      </c>
    </row>
    <row r="2444" spans="1:2" x14ac:dyDescent="0.2">
      <c r="A2444" s="68">
        <v>42227</v>
      </c>
      <c r="B2444" s="69">
        <v>0.80359999999999998</v>
      </c>
    </row>
    <row r="2445" spans="1:2" x14ac:dyDescent="0.2">
      <c r="A2445" s="68">
        <v>42226</v>
      </c>
      <c r="B2445" s="69">
        <v>0.78893999999999997</v>
      </c>
    </row>
    <row r="2446" spans="1:2" x14ac:dyDescent="0.2">
      <c r="A2446" s="68">
        <v>42223</v>
      </c>
      <c r="B2446" s="69">
        <v>0.78920000000000001</v>
      </c>
    </row>
    <row r="2447" spans="1:2" x14ac:dyDescent="0.2">
      <c r="A2447" s="68">
        <v>42222</v>
      </c>
      <c r="B2447" s="69">
        <v>0.78922999999999999</v>
      </c>
    </row>
    <row r="2448" spans="1:2" x14ac:dyDescent="0.2">
      <c r="A2448" s="68">
        <v>42221</v>
      </c>
      <c r="B2448" s="69">
        <v>0.78910000000000002</v>
      </c>
    </row>
    <row r="2449" spans="1:2" x14ac:dyDescent="0.2">
      <c r="A2449" s="68">
        <v>42220</v>
      </c>
      <c r="B2449" s="69">
        <v>0.78910000000000002</v>
      </c>
    </row>
    <row r="2450" spans="1:2" x14ac:dyDescent="0.2">
      <c r="A2450" s="68">
        <v>42219</v>
      </c>
      <c r="B2450" s="69">
        <v>0.78902000000000005</v>
      </c>
    </row>
    <row r="2451" spans="1:2" x14ac:dyDescent="0.2">
      <c r="A2451" s="68">
        <v>42216</v>
      </c>
      <c r="B2451" s="69">
        <v>0.78908</v>
      </c>
    </row>
    <row r="2452" spans="1:2" x14ac:dyDescent="0.2">
      <c r="A2452" s="68">
        <v>42215</v>
      </c>
      <c r="B2452" s="69">
        <v>0.78913</v>
      </c>
    </row>
    <row r="2453" spans="1:2" x14ac:dyDescent="0.2">
      <c r="A2453" s="68">
        <v>42214</v>
      </c>
      <c r="B2453" s="69">
        <v>0.78893000000000002</v>
      </c>
    </row>
    <row r="2454" spans="1:2" x14ac:dyDescent="0.2">
      <c r="A2454" s="68">
        <v>42213</v>
      </c>
      <c r="B2454" s="69">
        <v>0.78900999999999999</v>
      </c>
    </row>
    <row r="2455" spans="1:2" x14ac:dyDescent="0.2">
      <c r="A2455" s="68">
        <v>42212</v>
      </c>
      <c r="B2455" s="69">
        <v>0.78925999999999996</v>
      </c>
    </row>
    <row r="2456" spans="1:2" x14ac:dyDescent="0.2">
      <c r="A2456" s="68">
        <v>42209</v>
      </c>
      <c r="B2456" s="69">
        <v>0.78917000000000004</v>
      </c>
    </row>
    <row r="2457" spans="1:2" x14ac:dyDescent="0.2">
      <c r="A2457" s="68">
        <v>42208</v>
      </c>
      <c r="B2457" s="69">
        <v>0.78927000000000003</v>
      </c>
    </row>
    <row r="2458" spans="1:2" x14ac:dyDescent="0.2">
      <c r="A2458" s="68">
        <v>42207</v>
      </c>
      <c r="B2458" s="69">
        <v>0.78918999999999995</v>
      </c>
    </row>
    <row r="2459" spans="1:2" x14ac:dyDescent="0.2">
      <c r="A2459" s="68">
        <v>42206</v>
      </c>
      <c r="B2459" s="69">
        <v>0.78956000000000004</v>
      </c>
    </row>
    <row r="2460" spans="1:2" x14ac:dyDescent="0.2">
      <c r="A2460" s="68">
        <v>42205</v>
      </c>
      <c r="B2460" s="69">
        <v>0.78959999999999997</v>
      </c>
    </row>
    <row r="2461" spans="1:2" x14ac:dyDescent="0.2">
      <c r="A2461" s="68">
        <v>42202</v>
      </c>
      <c r="B2461" s="69">
        <v>0.78947999999999996</v>
      </c>
    </row>
    <row r="2462" spans="1:2" x14ac:dyDescent="0.2">
      <c r="A2462" s="68">
        <v>42201</v>
      </c>
      <c r="B2462" s="69">
        <v>0.78924000000000005</v>
      </c>
    </row>
    <row r="2463" spans="1:2" x14ac:dyDescent="0.2">
      <c r="A2463" s="68">
        <v>42200</v>
      </c>
      <c r="B2463" s="69">
        <v>0.78891</v>
      </c>
    </row>
    <row r="2464" spans="1:2" x14ac:dyDescent="0.2">
      <c r="A2464" s="68">
        <v>42199</v>
      </c>
      <c r="B2464" s="69">
        <v>0.78905000000000003</v>
      </c>
    </row>
    <row r="2465" spans="1:2" x14ac:dyDescent="0.2">
      <c r="A2465" s="68">
        <v>42198</v>
      </c>
      <c r="B2465" s="69">
        <v>0.78868000000000005</v>
      </c>
    </row>
    <row r="2466" spans="1:2" x14ac:dyDescent="0.2">
      <c r="A2466" s="68">
        <v>42195</v>
      </c>
      <c r="B2466" s="69">
        <v>0.78888000000000003</v>
      </c>
    </row>
    <row r="2467" spans="1:2" x14ac:dyDescent="0.2">
      <c r="A2467" s="68">
        <v>42194</v>
      </c>
      <c r="B2467" s="69">
        <v>0.78876999999999997</v>
      </c>
    </row>
    <row r="2468" spans="1:2" x14ac:dyDescent="0.2">
      <c r="A2468" s="68">
        <v>42193</v>
      </c>
      <c r="B2468" s="69">
        <v>0.78883999999999999</v>
      </c>
    </row>
    <row r="2469" spans="1:2" x14ac:dyDescent="0.2">
      <c r="A2469" s="68">
        <v>42192</v>
      </c>
      <c r="B2469" s="69">
        <v>0.78895000000000004</v>
      </c>
    </row>
    <row r="2470" spans="1:2" x14ac:dyDescent="0.2">
      <c r="A2470" s="68">
        <v>42191</v>
      </c>
      <c r="B2470" s="69">
        <v>0.78905999999999998</v>
      </c>
    </row>
    <row r="2471" spans="1:2" x14ac:dyDescent="0.2">
      <c r="A2471" s="68">
        <v>42188</v>
      </c>
      <c r="B2471" s="69">
        <v>0.78895999999999999</v>
      </c>
    </row>
    <row r="2472" spans="1:2" x14ac:dyDescent="0.2">
      <c r="A2472" s="68">
        <v>42187</v>
      </c>
      <c r="B2472" s="69">
        <v>0.78905999999999998</v>
      </c>
    </row>
    <row r="2473" spans="1:2" x14ac:dyDescent="0.2">
      <c r="A2473" s="68">
        <v>42186</v>
      </c>
      <c r="B2473" s="69">
        <v>0.78881999999999997</v>
      </c>
    </row>
    <row r="2474" spans="1:2" x14ac:dyDescent="0.2">
      <c r="A2474" s="68">
        <v>42185</v>
      </c>
      <c r="B2474" s="69">
        <v>0.78861000000000003</v>
      </c>
    </row>
    <row r="2475" spans="1:2" x14ac:dyDescent="0.2">
      <c r="A2475" s="68">
        <v>42184</v>
      </c>
      <c r="B2475" s="69">
        <v>0.78900000000000003</v>
      </c>
    </row>
    <row r="2476" spans="1:2" x14ac:dyDescent="0.2">
      <c r="A2476" s="68">
        <v>42181</v>
      </c>
      <c r="B2476" s="69">
        <v>0.78871000000000002</v>
      </c>
    </row>
    <row r="2477" spans="1:2" x14ac:dyDescent="0.2">
      <c r="A2477" s="68">
        <v>42180</v>
      </c>
      <c r="B2477" s="69">
        <v>0.78874999999999995</v>
      </c>
    </row>
    <row r="2478" spans="1:2" x14ac:dyDescent="0.2">
      <c r="A2478" s="68">
        <v>42179</v>
      </c>
      <c r="B2478" s="69">
        <v>0.78861999999999999</v>
      </c>
    </row>
    <row r="2479" spans="1:2" x14ac:dyDescent="0.2">
      <c r="A2479" s="68">
        <v>42178</v>
      </c>
      <c r="B2479" s="69">
        <v>0.78851000000000004</v>
      </c>
    </row>
    <row r="2480" spans="1:2" x14ac:dyDescent="0.2">
      <c r="A2480" s="68">
        <v>42174</v>
      </c>
      <c r="B2480" s="69">
        <v>0.78817000000000004</v>
      </c>
    </row>
    <row r="2481" spans="1:2" x14ac:dyDescent="0.2">
      <c r="A2481" s="68">
        <v>42173</v>
      </c>
      <c r="B2481" s="69">
        <v>0.78849000000000002</v>
      </c>
    </row>
    <row r="2482" spans="1:2" x14ac:dyDescent="0.2">
      <c r="A2482" s="68">
        <v>42172</v>
      </c>
      <c r="B2482" s="69">
        <v>0.78890000000000005</v>
      </c>
    </row>
    <row r="2483" spans="1:2" x14ac:dyDescent="0.2">
      <c r="A2483" s="68">
        <v>42171</v>
      </c>
      <c r="B2483" s="69">
        <v>0.78883999999999999</v>
      </c>
    </row>
    <row r="2484" spans="1:2" x14ac:dyDescent="0.2">
      <c r="A2484" s="68">
        <v>42170</v>
      </c>
      <c r="B2484" s="69">
        <v>0.78895000000000004</v>
      </c>
    </row>
    <row r="2485" spans="1:2" x14ac:dyDescent="0.2">
      <c r="A2485" s="68">
        <v>42167</v>
      </c>
      <c r="B2485" s="69">
        <v>0.78898999999999997</v>
      </c>
    </row>
    <row r="2486" spans="1:2" x14ac:dyDescent="0.2">
      <c r="A2486" s="68">
        <v>42166</v>
      </c>
      <c r="B2486" s="69">
        <v>0.78876000000000002</v>
      </c>
    </row>
    <row r="2487" spans="1:2" x14ac:dyDescent="0.2">
      <c r="A2487" s="68">
        <v>42165</v>
      </c>
      <c r="B2487" s="69">
        <v>0.78900999999999999</v>
      </c>
    </row>
    <row r="2488" spans="1:2" x14ac:dyDescent="0.2">
      <c r="A2488" s="68">
        <v>42164</v>
      </c>
      <c r="B2488" s="69">
        <v>0.78917999999999999</v>
      </c>
    </row>
    <row r="2489" spans="1:2" x14ac:dyDescent="0.2">
      <c r="A2489" s="68">
        <v>42163</v>
      </c>
      <c r="B2489" s="69">
        <v>0.78947000000000001</v>
      </c>
    </row>
    <row r="2490" spans="1:2" x14ac:dyDescent="0.2">
      <c r="A2490" s="68">
        <v>42160</v>
      </c>
      <c r="B2490" s="69">
        <v>0.78924000000000005</v>
      </c>
    </row>
    <row r="2491" spans="1:2" x14ac:dyDescent="0.2">
      <c r="A2491" s="68">
        <v>42159</v>
      </c>
      <c r="B2491" s="69">
        <v>0.78888000000000003</v>
      </c>
    </row>
    <row r="2492" spans="1:2" x14ac:dyDescent="0.2">
      <c r="A2492" s="68">
        <v>42158</v>
      </c>
      <c r="B2492" s="69">
        <v>0.78881000000000001</v>
      </c>
    </row>
    <row r="2493" spans="1:2" x14ac:dyDescent="0.2">
      <c r="A2493" s="68">
        <v>42157</v>
      </c>
      <c r="B2493" s="69">
        <v>0.78952999999999995</v>
      </c>
    </row>
    <row r="2494" spans="1:2" x14ac:dyDescent="0.2">
      <c r="A2494" s="68">
        <v>42156</v>
      </c>
      <c r="B2494" s="69">
        <v>0.78947000000000001</v>
      </c>
    </row>
    <row r="2495" spans="1:2" x14ac:dyDescent="0.2">
      <c r="A2495" s="68">
        <v>42153</v>
      </c>
      <c r="B2495" s="69">
        <v>0.78927000000000003</v>
      </c>
    </row>
    <row r="2496" spans="1:2" x14ac:dyDescent="0.2">
      <c r="A2496" s="68">
        <v>42152</v>
      </c>
      <c r="B2496" s="69">
        <v>0.78912000000000004</v>
      </c>
    </row>
    <row r="2497" spans="1:2" x14ac:dyDescent="0.2">
      <c r="A2497" s="68">
        <v>42151</v>
      </c>
      <c r="B2497" s="69">
        <v>0.78940999999999995</v>
      </c>
    </row>
    <row r="2498" spans="1:2" x14ac:dyDescent="0.2">
      <c r="A2498" s="68">
        <v>42150</v>
      </c>
      <c r="B2498" s="69">
        <v>0.78908999999999996</v>
      </c>
    </row>
    <row r="2499" spans="1:2" x14ac:dyDescent="0.2">
      <c r="A2499" s="68">
        <v>42149</v>
      </c>
      <c r="B2499" s="69">
        <v>0.78895999999999999</v>
      </c>
    </row>
    <row r="2500" spans="1:2" x14ac:dyDescent="0.2">
      <c r="A2500" s="68">
        <v>42146</v>
      </c>
      <c r="B2500" s="69">
        <v>0.78846000000000005</v>
      </c>
    </row>
    <row r="2501" spans="1:2" x14ac:dyDescent="0.2">
      <c r="A2501" s="68">
        <v>42145</v>
      </c>
      <c r="B2501" s="69">
        <v>0.78863000000000005</v>
      </c>
    </row>
    <row r="2502" spans="1:2" x14ac:dyDescent="0.2">
      <c r="A2502" s="68">
        <v>42144</v>
      </c>
      <c r="B2502" s="69">
        <v>0.78847</v>
      </c>
    </row>
    <row r="2503" spans="1:2" x14ac:dyDescent="0.2">
      <c r="A2503" s="68">
        <v>42143</v>
      </c>
      <c r="B2503" s="69">
        <v>0.78824000000000005</v>
      </c>
    </row>
    <row r="2504" spans="1:2" x14ac:dyDescent="0.2">
      <c r="A2504" s="68">
        <v>42142</v>
      </c>
      <c r="B2504" s="69">
        <v>0.78802000000000005</v>
      </c>
    </row>
    <row r="2505" spans="1:2" x14ac:dyDescent="0.2">
      <c r="A2505" s="68">
        <v>42139</v>
      </c>
      <c r="B2505" s="69">
        <v>0.78810999999999998</v>
      </c>
    </row>
    <row r="2506" spans="1:2" x14ac:dyDescent="0.2">
      <c r="A2506" s="68">
        <v>42138</v>
      </c>
      <c r="B2506" s="69">
        <v>0.78812000000000004</v>
      </c>
    </row>
    <row r="2507" spans="1:2" x14ac:dyDescent="0.2">
      <c r="A2507" s="68">
        <v>42137</v>
      </c>
      <c r="B2507" s="69">
        <v>0.78849000000000002</v>
      </c>
    </row>
    <row r="2508" spans="1:2" x14ac:dyDescent="0.2">
      <c r="A2508" s="68">
        <v>42136</v>
      </c>
      <c r="B2508" s="69">
        <v>0.78885000000000005</v>
      </c>
    </row>
    <row r="2509" spans="1:2" x14ac:dyDescent="0.2">
      <c r="A2509" s="68">
        <v>42135</v>
      </c>
      <c r="B2509" s="69">
        <v>0.78841000000000006</v>
      </c>
    </row>
    <row r="2510" spans="1:2" x14ac:dyDescent="0.2">
      <c r="A2510" s="68">
        <v>42132</v>
      </c>
      <c r="B2510" s="69">
        <v>0.78863000000000005</v>
      </c>
    </row>
    <row r="2511" spans="1:2" x14ac:dyDescent="0.2">
      <c r="A2511" s="68">
        <v>42131</v>
      </c>
      <c r="B2511" s="69">
        <v>0.78835999999999995</v>
      </c>
    </row>
    <row r="2512" spans="1:2" x14ac:dyDescent="0.2">
      <c r="A2512" s="68">
        <v>42130</v>
      </c>
      <c r="B2512" s="69">
        <v>0.78896999999999995</v>
      </c>
    </row>
    <row r="2513" spans="1:2" x14ac:dyDescent="0.2">
      <c r="A2513" s="68">
        <v>42129</v>
      </c>
      <c r="B2513" s="69">
        <v>0.78912000000000004</v>
      </c>
    </row>
    <row r="2514" spans="1:2" x14ac:dyDescent="0.2">
      <c r="A2514" s="68">
        <v>42128</v>
      </c>
      <c r="B2514" s="69">
        <v>0.78910000000000002</v>
      </c>
    </row>
    <row r="2515" spans="1:2" x14ac:dyDescent="0.2">
      <c r="A2515" s="68">
        <v>42124</v>
      </c>
      <c r="B2515" s="69">
        <v>0.78881000000000001</v>
      </c>
    </row>
    <row r="2516" spans="1:2" x14ac:dyDescent="0.2">
      <c r="A2516" s="68">
        <v>42123</v>
      </c>
      <c r="B2516" s="69">
        <v>0.78924000000000005</v>
      </c>
    </row>
    <row r="2517" spans="1:2" x14ac:dyDescent="0.2">
      <c r="A2517" s="68">
        <v>42122</v>
      </c>
      <c r="B2517" s="69">
        <v>0.78974999999999995</v>
      </c>
    </row>
    <row r="2518" spans="1:2" x14ac:dyDescent="0.2">
      <c r="A2518" s="68">
        <v>42121</v>
      </c>
      <c r="B2518" s="69">
        <v>0.78993999999999998</v>
      </c>
    </row>
    <row r="2519" spans="1:2" x14ac:dyDescent="0.2">
      <c r="A2519" s="68">
        <v>42118</v>
      </c>
      <c r="B2519" s="69">
        <v>0.79020999999999997</v>
      </c>
    </row>
    <row r="2520" spans="1:2" x14ac:dyDescent="0.2">
      <c r="A2520" s="68">
        <v>42117</v>
      </c>
      <c r="B2520" s="69">
        <v>0.79071000000000002</v>
      </c>
    </row>
    <row r="2521" spans="1:2" x14ac:dyDescent="0.2">
      <c r="A2521" s="68">
        <v>42116</v>
      </c>
      <c r="B2521" s="69">
        <v>0.79083000000000003</v>
      </c>
    </row>
    <row r="2522" spans="1:2" x14ac:dyDescent="0.2">
      <c r="A2522" s="68">
        <v>42115</v>
      </c>
      <c r="B2522" s="69">
        <v>0.79069999999999996</v>
      </c>
    </row>
    <row r="2523" spans="1:2" x14ac:dyDescent="0.2">
      <c r="A2523" s="68">
        <v>42114</v>
      </c>
      <c r="B2523" s="69">
        <v>0.79030999999999996</v>
      </c>
    </row>
    <row r="2524" spans="1:2" x14ac:dyDescent="0.2">
      <c r="A2524" s="68">
        <v>42111</v>
      </c>
      <c r="B2524" s="69">
        <v>0.79040999999999995</v>
      </c>
    </row>
    <row r="2525" spans="1:2" x14ac:dyDescent="0.2">
      <c r="A2525" s="68">
        <v>42110</v>
      </c>
      <c r="B2525" s="69">
        <v>0.79093000000000002</v>
      </c>
    </row>
    <row r="2526" spans="1:2" x14ac:dyDescent="0.2">
      <c r="A2526" s="68">
        <v>42109</v>
      </c>
      <c r="B2526" s="69">
        <v>0.79137000000000002</v>
      </c>
    </row>
    <row r="2527" spans="1:2" x14ac:dyDescent="0.2">
      <c r="A2527" s="68">
        <v>42108</v>
      </c>
      <c r="B2527" s="69">
        <v>0.79232999999999998</v>
      </c>
    </row>
    <row r="2528" spans="1:2" x14ac:dyDescent="0.2">
      <c r="A2528" s="68">
        <v>42107</v>
      </c>
      <c r="B2528" s="69">
        <v>0.79218999999999995</v>
      </c>
    </row>
    <row r="2529" spans="1:2" x14ac:dyDescent="0.2">
      <c r="A2529" s="68">
        <v>42104</v>
      </c>
      <c r="B2529" s="69">
        <v>0.79186999999999996</v>
      </c>
    </row>
    <row r="2530" spans="1:2" x14ac:dyDescent="0.2">
      <c r="A2530" s="68">
        <v>42103</v>
      </c>
      <c r="B2530" s="69">
        <v>0.79142999999999997</v>
      </c>
    </row>
    <row r="2531" spans="1:2" x14ac:dyDescent="0.2">
      <c r="A2531" s="68">
        <v>42102</v>
      </c>
      <c r="B2531" s="69">
        <v>0.79127000000000003</v>
      </c>
    </row>
    <row r="2532" spans="1:2" x14ac:dyDescent="0.2">
      <c r="A2532" s="68">
        <v>42101</v>
      </c>
      <c r="B2532" s="69">
        <v>0.79079999999999995</v>
      </c>
    </row>
    <row r="2533" spans="1:2" x14ac:dyDescent="0.2">
      <c r="A2533" s="68">
        <v>42097</v>
      </c>
      <c r="B2533" s="69">
        <v>0.79130999999999996</v>
      </c>
    </row>
    <row r="2534" spans="1:2" x14ac:dyDescent="0.2">
      <c r="A2534" s="68">
        <v>42096</v>
      </c>
      <c r="B2534" s="69">
        <v>0.79191</v>
      </c>
    </row>
    <row r="2535" spans="1:2" x14ac:dyDescent="0.2">
      <c r="A2535" s="68">
        <v>42095</v>
      </c>
      <c r="B2535" s="69">
        <v>0.79225999999999996</v>
      </c>
    </row>
    <row r="2536" spans="1:2" x14ac:dyDescent="0.2">
      <c r="A2536" s="68">
        <v>42094</v>
      </c>
      <c r="B2536" s="69">
        <v>0.79208999999999996</v>
      </c>
    </row>
    <row r="2537" spans="1:2" x14ac:dyDescent="0.2">
      <c r="A2537" s="68">
        <v>42093</v>
      </c>
      <c r="B2537" s="69">
        <v>0.79186000000000001</v>
      </c>
    </row>
    <row r="2538" spans="1:2" x14ac:dyDescent="0.2">
      <c r="A2538" s="68">
        <v>42090</v>
      </c>
      <c r="B2538" s="69">
        <v>0.79178000000000004</v>
      </c>
    </row>
    <row r="2539" spans="1:2" x14ac:dyDescent="0.2">
      <c r="A2539" s="68">
        <v>42089</v>
      </c>
      <c r="B2539" s="69">
        <v>0.79144000000000003</v>
      </c>
    </row>
    <row r="2540" spans="1:2" x14ac:dyDescent="0.2">
      <c r="A2540" s="68">
        <v>42088</v>
      </c>
      <c r="B2540" s="69">
        <v>0.79183000000000003</v>
      </c>
    </row>
    <row r="2541" spans="1:2" x14ac:dyDescent="0.2">
      <c r="A2541" s="68">
        <v>42087</v>
      </c>
      <c r="B2541" s="69">
        <v>0.79157999999999995</v>
      </c>
    </row>
    <row r="2542" spans="1:2" x14ac:dyDescent="0.2">
      <c r="A2542" s="68">
        <v>42086</v>
      </c>
      <c r="B2542" s="69">
        <v>0.79220999999999997</v>
      </c>
    </row>
    <row r="2543" spans="1:2" x14ac:dyDescent="0.2">
      <c r="A2543" s="68">
        <v>42083</v>
      </c>
      <c r="B2543" s="69">
        <v>0.79259999999999997</v>
      </c>
    </row>
    <row r="2544" spans="1:2" x14ac:dyDescent="0.2">
      <c r="A2544" s="68">
        <v>42082</v>
      </c>
      <c r="B2544" s="69">
        <v>0.79230999999999996</v>
      </c>
    </row>
    <row r="2545" spans="1:2" x14ac:dyDescent="0.2">
      <c r="A2545" s="68">
        <v>42081</v>
      </c>
      <c r="B2545" s="69">
        <v>0.79298000000000002</v>
      </c>
    </row>
    <row r="2546" spans="1:2" x14ac:dyDescent="0.2">
      <c r="A2546" s="68">
        <v>42080</v>
      </c>
      <c r="B2546" s="69">
        <v>0.79315000000000002</v>
      </c>
    </row>
    <row r="2547" spans="1:2" x14ac:dyDescent="0.2">
      <c r="A2547" s="68">
        <v>42079</v>
      </c>
      <c r="B2547" s="69">
        <v>0.79346000000000005</v>
      </c>
    </row>
    <row r="2548" spans="1:2" x14ac:dyDescent="0.2">
      <c r="A2548" s="68">
        <v>42076</v>
      </c>
      <c r="B2548" s="69">
        <v>0.79312000000000005</v>
      </c>
    </row>
    <row r="2549" spans="1:2" x14ac:dyDescent="0.2">
      <c r="A2549" s="68">
        <v>42075</v>
      </c>
      <c r="B2549" s="69">
        <v>0.79339999999999999</v>
      </c>
    </row>
    <row r="2550" spans="1:2" x14ac:dyDescent="0.2">
      <c r="A2550" s="68">
        <v>42074</v>
      </c>
      <c r="B2550" s="69">
        <v>0.79376999999999998</v>
      </c>
    </row>
    <row r="2551" spans="1:2" x14ac:dyDescent="0.2">
      <c r="A2551" s="68">
        <v>42073</v>
      </c>
      <c r="B2551" s="69">
        <v>0.79347000000000001</v>
      </c>
    </row>
    <row r="2552" spans="1:2" x14ac:dyDescent="0.2">
      <c r="A2552" s="68">
        <v>42072</v>
      </c>
      <c r="B2552" s="69">
        <v>0.79357999999999995</v>
      </c>
    </row>
    <row r="2553" spans="1:2" x14ac:dyDescent="0.2">
      <c r="A2553" s="68">
        <v>42069</v>
      </c>
      <c r="B2553" s="69">
        <v>0.79337999999999997</v>
      </c>
    </row>
    <row r="2554" spans="1:2" x14ac:dyDescent="0.2">
      <c r="A2554" s="68">
        <v>42068</v>
      </c>
      <c r="B2554" s="69">
        <v>0.79337999999999997</v>
      </c>
    </row>
    <row r="2555" spans="1:2" x14ac:dyDescent="0.2">
      <c r="A2555" s="68">
        <v>42067</v>
      </c>
      <c r="B2555" s="69">
        <v>0.79332999999999998</v>
      </c>
    </row>
    <row r="2556" spans="1:2" x14ac:dyDescent="0.2">
      <c r="A2556" s="68">
        <v>42066</v>
      </c>
      <c r="B2556" s="69">
        <v>0.79357999999999995</v>
      </c>
    </row>
    <row r="2557" spans="1:2" x14ac:dyDescent="0.2">
      <c r="A2557" s="68">
        <v>42065</v>
      </c>
      <c r="B2557" s="69">
        <v>0.79325999999999997</v>
      </c>
    </row>
    <row r="2558" spans="1:2" x14ac:dyDescent="0.2">
      <c r="A2558" s="68">
        <v>42062</v>
      </c>
      <c r="B2558" s="69">
        <v>0.79264999999999997</v>
      </c>
    </row>
    <row r="2559" spans="1:2" x14ac:dyDescent="0.2">
      <c r="A2559" s="68">
        <v>42061</v>
      </c>
      <c r="B2559" s="69">
        <v>0.79135999999999995</v>
      </c>
    </row>
    <row r="2560" spans="1:2" x14ac:dyDescent="0.2">
      <c r="A2560" s="68">
        <v>42060</v>
      </c>
      <c r="B2560" s="69">
        <v>0.79144000000000003</v>
      </c>
    </row>
    <row r="2561" spans="1:2" x14ac:dyDescent="0.2">
      <c r="A2561" s="68">
        <v>42052</v>
      </c>
      <c r="B2561" s="69">
        <v>0.79044000000000003</v>
      </c>
    </row>
    <row r="2562" spans="1:2" x14ac:dyDescent="0.2">
      <c r="A2562" s="68">
        <v>42051</v>
      </c>
      <c r="B2562" s="69">
        <v>0.79005999999999998</v>
      </c>
    </row>
    <row r="2563" spans="1:2" x14ac:dyDescent="0.2">
      <c r="A2563" s="68">
        <v>42048</v>
      </c>
      <c r="B2563" s="69">
        <v>0.79037000000000002</v>
      </c>
    </row>
    <row r="2564" spans="1:2" x14ac:dyDescent="0.2">
      <c r="A2564" s="68">
        <v>42047</v>
      </c>
      <c r="B2564" s="69">
        <v>0.79093999999999998</v>
      </c>
    </row>
    <row r="2565" spans="1:2" x14ac:dyDescent="0.2">
      <c r="A2565" s="68">
        <v>42046</v>
      </c>
      <c r="B2565" s="69">
        <v>0.79078000000000004</v>
      </c>
    </row>
    <row r="2566" spans="1:2" x14ac:dyDescent="0.2">
      <c r="A2566" s="68">
        <v>42045</v>
      </c>
      <c r="B2566" s="69">
        <v>0.79056000000000004</v>
      </c>
    </row>
    <row r="2567" spans="1:2" x14ac:dyDescent="0.2">
      <c r="A2567" s="68">
        <v>42044</v>
      </c>
      <c r="B2567" s="69">
        <v>0.79085000000000005</v>
      </c>
    </row>
    <row r="2568" spans="1:2" x14ac:dyDescent="0.2">
      <c r="A2568" s="68">
        <v>42041</v>
      </c>
      <c r="B2568" s="69">
        <v>0.79020999999999997</v>
      </c>
    </row>
    <row r="2569" spans="1:2" x14ac:dyDescent="0.2">
      <c r="A2569" s="68">
        <v>42040</v>
      </c>
      <c r="B2569" s="69">
        <v>0.79154999999999998</v>
      </c>
    </row>
    <row r="2570" spans="1:2" x14ac:dyDescent="0.2">
      <c r="A2570" s="68">
        <v>42039</v>
      </c>
      <c r="B2570" s="69">
        <v>0.79081000000000001</v>
      </c>
    </row>
    <row r="2571" spans="1:2" x14ac:dyDescent="0.2">
      <c r="A2571" s="68">
        <v>42038</v>
      </c>
      <c r="B2571" s="69">
        <v>0.79149000000000003</v>
      </c>
    </row>
    <row r="2572" spans="1:2" x14ac:dyDescent="0.2">
      <c r="A2572" s="68">
        <v>42037</v>
      </c>
      <c r="B2572" s="69">
        <v>0.79179999999999995</v>
      </c>
    </row>
    <row r="2573" spans="1:2" x14ac:dyDescent="0.2">
      <c r="A2573" s="68">
        <v>42034</v>
      </c>
      <c r="B2573" s="69">
        <v>0.79164999999999996</v>
      </c>
    </row>
    <row r="2574" spans="1:2" x14ac:dyDescent="0.2">
      <c r="A2574" s="68">
        <v>42033</v>
      </c>
      <c r="B2574" s="69">
        <v>0.79117999999999999</v>
      </c>
    </row>
    <row r="2575" spans="1:2" x14ac:dyDescent="0.2">
      <c r="A2575" s="68">
        <v>42032</v>
      </c>
      <c r="B2575" s="69">
        <v>0.79051000000000005</v>
      </c>
    </row>
    <row r="2576" spans="1:2" x14ac:dyDescent="0.2">
      <c r="A2576" s="68">
        <v>42031</v>
      </c>
      <c r="B2576" s="69">
        <v>0.79152999999999996</v>
      </c>
    </row>
    <row r="2577" spans="1:2" x14ac:dyDescent="0.2">
      <c r="A2577" s="68">
        <v>42030</v>
      </c>
      <c r="B2577" s="69">
        <v>0.79181000000000001</v>
      </c>
    </row>
    <row r="2578" spans="1:2" x14ac:dyDescent="0.2">
      <c r="A2578" s="68">
        <v>42027</v>
      </c>
      <c r="B2578" s="69">
        <v>0.79122000000000003</v>
      </c>
    </row>
    <row r="2579" spans="1:2" x14ac:dyDescent="0.2">
      <c r="A2579" s="68">
        <v>42026</v>
      </c>
      <c r="B2579" s="69">
        <v>0.79010999999999998</v>
      </c>
    </row>
    <row r="2580" spans="1:2" x14ac:dyDescent="0.2">
      <c r="A2580" s="68">
        <v>42025</v>
      </c>
      <c r="B2580" s="69">
        <v>0.79030999999999996</v>
      </c>
    </row>
    <row r="2581" spans="1:2" x14ac:dyDescent="0.2">
      <c r="A2581" s="68">
        <v>42024</v>
      </c>
      <c r="B2581" s="69">
        <v>0.78974999999999995</v>
      </c>
    </row>
    <row r="2582" spans="1:2" x14ac:dyDescent="0.2">
      <c r="A2582" s="68">
        <v>42023</v>
      </c>
      <c r="B2582" s="69">
        <v>0.78996999999999995</v>
      </c>
    </row>
    <row r="2583" spans="1:2" x14ac:dyDescent="0.2">
      <c r="A2583" s="68">
        <v>42020</v>
      </c>
      <c r="B2583" s="69">
        <v>0.78934000000000004</v>
      </c>
    </row>
    <row r="2584" spans="1:2" x14ac:dyDescent="0.2">
      <c r="A2584" s="68">
        <v>42019</v>
      </c>
      <c r="B2584" s="69">
        <v>0.78917999999999999</v>
      </c>
    </row>
    <row r="2585" spans="1:2" x14ac:dyDescent="0.2">
      <c r="A2585" s="68">
        <v>42018</v>
      </c>
      <c r="B2585" s="69">
        <v>0.78939999999999999</v>
      </c>
    </row>
    <row r="2586" spans="1:2" x14ac:dyDescent="0.2">
      <c r="A2586" s="68">
        <v>42017</v>
      </c>
      <c r="B2586" s="69">
        <v>0.7893</v>
      </c>
    </row>
    <row r="2587" spans="1:2" x14ac:dyDescent="0.2">
      <c r="A2587" s="68">
        <v>42016</v>
      </c>
      <c r="B2587" s="69">
        <v>0.78978000000000004</v>
      </c>
    </row>
    <row r="2588" spans="1:2" x14ac:dyDescent="0.2">
      <c r="A2588" s="68">
        <v>42013</v>
      </c>
      <c r="B2588" s="69">
        <v>0.79044000000000003</v>
      </c>
    </row>
    <row r="2589" spans="1:2" x14ac:dyDescent="0.2">
      <c r="A2589" s="68">
        <v>42012</v>
      </c>
      <c r="B2589" s="69">
        <v>0.79052999999999995</v>
      </c>
    </row>
    <row r="2590" spans="1:2" x14ac:dyDescent="0.2">
      <c r="A2590" s="68">
        <v>42011</v>
      </c>
      <c r="B2590" s="69">
        <v>0.79012000000000004</v>
      </c>
    </row>
    <row r="2591" spans="1:2" x14ac:dyDescent="0.2">
      <c r="A2591" s="68">
        <v>42010</v>
      </c>
      <c r="B2591" s="69">
        <v>0.78985000000000005</v>
      </c>
    </row>
    <row r="2592" spans="1:2" x14ac:dyDescent="0.2">
      <c r="A2592" s="68">
        <v>42009</v>
      </c>
      <c r="B2592" s="69">
        <v>0.78964999999999996</v>
      </c>
    </row>
    <row r="2593" spans="1:2" x14ac:dyDescent="0.2">
      <c r="A2593" s="68">
        <v>42004</v>
      </c>
      <c r="B2593" s="69">
        <v>0.78886999999999996</v>
      </c>
    </row>
    <row r="2594" spans="1:2" x14ac:dyDescent="0.2">
      <c r="A2594" s="68">
        <v>42003</v>
      </c>
      <c r="B2594" s="69">
        <v>0.78917000000000004</v>
      </c>
    </row>
    <row r="2595" spans="1:2" x14ac:dyDescent="0.2">
      <c r="A2595" s="68">
        <v>42002</v>
      </c>
      <c r="B2595" s="69">
        <v>0.78861000000000003</v>
      </c>
    </row>
    <row r="2596" spans="1:2" x14ac:dyDescent="0.2">
      <c r="A2596" s="68">
        <v>41999</v>
      </c>
      <c r="B2596" s="69">
        <v>0.78847999999999996</v>
      </c>
    </row>
    <row r="2597" spans="1:2" x14ac:dyDescent="0.2">
      <c r="A2597" s="68">
        <v>41998</v>
      </c>
      <c r="B2597" s="69">
        <v>0.78869</v>
      </c>
    </row>
    <row r="2598" spans="1:2" x14ac:dyDescent="0.2">
      <c r="A2598" s="68">
        <v>41997</v>
      </c>
      <c r="B2598" s="69">
        <v>0.78949000000000003</v>
      </c>
    </row>
    <row r="2599" spans="1:2" x14ac:dyDescent="0.2">
      <c r="A2599" s="68">
        <v>41996</v>
      </c>
      <c r="B2599" s="69">
        <v>0.78939999999999999</v>
      </c>
    </row>
    <row r="2600" spans="1:2" x14ac:dyDescent="0.2">
      <c r="A2600" s="68">
        <v>41995</v>
      </c>
      <c r="B2600" s="69">
        <v>0.78951000000000005</v>
      </c>
    </row>
    <row r="2601" spans="1:2" x14ac:dyDescent="0.2">
      <c r="A2601" s="68">
        <v>41992</v>
      </c>
      <c r="B2601" s="69">
        <v>0.78920999999999997</v>
      </c>
    </row>
    <row r="2602" spans="1:2" x14ac:dyDescent="0.2">
      <c r="A2602" s="68">
        <v>41991</v>
      </c>
      <c r="B2602" s="69">
        <v>0.78910000000000002</v>
      </c>
    </row>
    <row r="2603" spans="1:2" x14ac:dyDescent="0.2">
      <c r="A2603" s="68">
        <v>41990</v>
      </c>
      <c r="B2603" s="69">
        <v>0.78844000000000003</v>
      </c>
    </row>
    <row r="2604" spans="1:2" x14ac:dyDescent="0.2">
      <c r="A2604" s="68">
        <v>41989</v>
      </c>
      <c r="B2604" s="69">
        <v>0.78913999999999995</v>
      </c>
    </row>
    <row r="2605" spans="1:2" x14ac:dyDescent="0.2">
      <c r="A2605" s="68">
        <v>41988</v>
      </c>
      <c r="B2605" s="69">
        <v>0.78883999999999999</v>
      </c>
    </row>
    <row r="2606" spans="1:2" x14ac:dyDescent="0.2">
      <c r="A2606" s="68">
        <v>41985</v>
      </c>
      <c r="B2606" s="69">
        <v>0.7893</v>
      </c>
    </row>
    <row r="2607" spans="1:2" x14ac:dyDescent="0.2">
      <c r="A2607" s="68">
        <v>41984</v>
      </c>
      <c r="B2607" s="69">
        <v>0.78890000000000005</v>
      </c>
    </row>
    <row r="2608" spans="1:2" x14ac:dyDescent="0.2">
      <c r="A2608" s="68">
        <v>41983</v>
      </c>
      <c r="B2608" s="69">
        <v>0.78932000000000002</v>
      </c>
    </row>
    <row r="2609" spans="1:2" x14ac:dyDescent="0.2">
      <c r="A2609" s="68">
        <v>41982</v>
      </c>
      <c r="B2609" s="69">
        <v>0.78996</v>
      </c>
    </row>
    <row r="2610" spans="1:2" x14ac:dyDescent="0.2">
      <c r="A2610" s="68">
        <v>41981</v>
      </c>
      <c r="B2610" s="69">
        <v>0.79061000000000003</v>
      </c>
    </row>
    <row r="2611" spans="1:2" x14ac:dyDescent="0.2">
      <c r="A2611" s="68">
        <v>41978</v>
      </c>
      <c r="B2611" s="69">
        <v>0.79174999999999995</v>
      </c>
    </row>
    <row r="2612" spans="1:2" x14ac:dyDescent="0.2">
      <c r="A2612" s="68">
        <v>41977</v>
      </c>
      <c r="B2612" s="69">
        <v>0.79205999999999999</v>
      </c>
    </row>
    <row r="2613" spans="1:2" x14ac:dyDescent="0.2">
      <c r="A2613" s="68">
        <v>41976</v>
      </c>
      <c r="B2613" s="69">
        <v>0.79144999999999999</v>
      </c>
    </row>
    <row r="2614" spans="1:2" x14ac:dyDescent="0.2">
      <c r="A2614" s="68">
        <v>41975</v>
      </c>
      <c r="B2614" s="69">
        <v>0.79076999999999997</v>
      </c>
    </row>
    <row r="2615" spans="1:2" x14ac:dyDescent="0.2">
      <c r="A2615" s="68">
        <v>41974</v>
      </c>
      <c r="B2615" s="69">
        <v>0.79139000000000004</v>
      </c>
    </row>
    <row r="2616" spans="1:2" x14ac:dyDescent="0.2">
      <c r="A2616" s="68">
        <v>41971</v>
      </c>
      <c r="B2616" s="69">
        <v>0.79125999999999996</v>
      </c>
    </row>
    <row r="2617" spans="1:2" x14ac:dyDescent="0.2">
      <c r="A2617" s="68">
        <v>41970</v>
      </c>
      <c r="B2617" s="69">
        <v>0.79079999999999995</v>
      </c>
    </row>
    <row r="2618" spans="1:2" x14ac:dyDescent="0.2">
      <c r="A2618" s="68">
        <v>41969</v>
      </c>
      <c r="B2618" s="69">
        <v>0.79113999999999995</v>
      </c>
    </row>
    <row r="2619" spans="1:2" x14ac:dyDescent="0.2">
      <c r="A2619" s="68">
        <v>41968</v>
      </c>
      <c r="B2619" s="69">
        <v>0.79149999999999998</v>
      </c>
    </row>
    <row r="2620" spans="1:2" x14ac:dyDescent="0.2">
      <c r="A2620" s="68">
        <v>41967</v>
      </c>
      <c r="B2620" s="69">
        <v>0.79176999999999997</v>
      </c>
    </row>
    <row r="2621" spans="1:2" x14ac:dyDescent="0.2">
      <c r="A2621" s="68">
        <v>41964</v>
      </c>
      <c r="B2621" s="69">
        <v>0.79147999999999996</v>
      </c>
    </row>
    <row r="2622" spans="1:2" x14ac:dyDescent="0.2">
      <c r="A2622" s="68">
        <v>41963</v>
      </c>
      <c r="B2622" s="69">
        <v>0.79193000000000002</v>
      </c>
    </row>
    <row r="2623" spans="1:2" x14ac:dyDescent="0.2">
      <c r="A2623" s="68">
        <v>41962</v>
      </c>
      <c r="B2623" s="69">
        <v>0.79169999999999996</v>
      </c>
    </row>
    <row r="2624" spans="1:2" x14ac:dyDescent="0.2">
      <c r="A2624" s="68">
        <v>41961</v>
      </c>
      <c r="B2624" s="69">
        <v>0.79213999999999996</v>
      </c>
    </row>
    <row r="2625" spans="1:2" x14ac:dyDescent="0.2">
      <c r="A2625" s="68">
        <v>41960</v>
      </c>
      <c r="B2625" s="69">
        <v>0.79191</v>
      </c>
    </row>
    <row r="2626" spans="1:2" x14ac:dyDescent="0.2">
      <c r="A2626" s="68">
        <v>41957</v>
      </c>
      <c r="B2626" s="69">
        <v>0.79173000000000004</v>
      </c>
    </row>
    <row r="2627" spans="1:2" x14ac:dyDescent="0.2">
      <c r="A2627" s="68">
        <v>41956</v>
      </c>
      <c r="B2627" s="69">
        <v>0.79207000000000005</v>
      </c>
    </row>
    <row r="2628" spans="1:2" x14ac:dyDescent="0.2">
      <c r="A2628" s="68">
        <v>41955</v>
      </c>
      <c r="B2628" s="69">
        <v>0.79220999999999997</v>
      </c>
    </row>
    <row r="2629" spans="1:2" x14ac:dyDescent="0.2">
      <c r="A2629" s="68">
        <v>41954</v>
      </c>
      <c r="B2629" s="69">
        <v>0.79200000000000004</v>
      </c>
    </row>
    <row r="2630" spans="1:2" x14ac:dyDescent="0.2">
      <c r="A2630" s="68">
        <v>41953</v>
      </c>
      <c r="B2630" s="69">
        <v>0.79169999999999996</v>
      </c>
    </row>
    <row r="2631" spans="1:2" x14ac:dyDescent="0.2">
      <c r="A2631" s="68">
        <v>41950</v>
      </c>
      <c r="B2631" s="69">
        <v>0.79454000000000002</v>
      </c>
    </row>
    <row r="2632" spans="1:2" x14ac:dyDescent="0.2">
      <c r="A2632" s="68">
        <v>41949</v>
      </c>
      <c r="B2632" s="69">
        <v>0.79417000000000004</v>
      </c>
    </row>
    <row r="2633" spans="1:2" x14ac:dyDescent="0.2">
      <c r="A2633" s="68">
        <v>41948</v>
      </c>
      <c r="B2633" s="69">
        <v>0.79339000000000004</v>
      </c>
    </row>
    <row r="2634" spans="1:2" x14ac:dyDescent="0.2">
      <c r="A2634" s="68">
        <v>41947</v>
      </c>
      <c r="B2634" s="69">
        <v>0.79376000000000002</v>
      </c>
    </row>
    <row r="2635" spans="1:2" x14ac:dyDescent="0.2">
      <c r="A2635" s="68">
        <v>41946</v>
      </c>
      <c r="B2635" s="69">
        <v>0.79330999999999996</v>
      </c>
    </row>
    <row r="2636" spans="1:2" x14ac:dyDescent="0.2">
      <c r="A2636" s="68">
        <v>41943</v>
      </c>
      <c r="B2636" s="69">
        <v>0.79252</v>
      </c>
    </row>
    <row r="2637" spans="1:2" x14ac:dyDescent="0.2">
      <c r="A2637" s="68">
        <v>41942</v>
      </c>
      <c r="B2637" s="69">
        <v>0.79252</v>
      </c>
    </row>
    <row r="2638" spans="1:2" x14ac:dyDescent="0.2">
      <c r="A2638" s="68">
        <v>41941</v>
      </c>
      <c r="B2638" s="69">
        <v>0.79157999999999995</v>
      </c>
    </row>
    <row r="2639" spans="1:2" x14ac:dyDescent="0.2">
      <c r="A2639" s="68">
        <v>41940</v>
      </c>
      <c r="B2639" s="69">
        <v>0.79178000000000004</v>
      </c>
    </row>
    <row r="2640" spans="1:2" x14ac:dyDescent="0.2">
      <c r="A2640" s="68">
        <v>41939</v>
      </c>
      <c r="B2640" s="69">
        <v>0.79210999999999998</v>
      </c>
    </row>
    <row r="2641" spans="1:2" x14ac:dyDescent="0.2">
      <c r="A2641" s="68">
        <v>41936</v>
      </c>
      <c r="B2641" s="69">
        <v>0.79240999999999995</v>
      </c>
    </row>
    <row r="2642" spans="1:2" x14ac:dyDescent="0.2">
      <c r="A2642" s="68">
        <v>41935</v>
      </c>
      <c r="B2642" s="69">
        <v>0.79235</v>
      </c>
    </row>
    <row r="2643" spans="1:2" x14ac:dyDescent="0.2">
      <c r="A2643" s="68">
        <v>41934</v>
      </c>
      <c r="B2643" s="69">
        <v>0.79210999999999998</v>
      </c>
    </row>
    <row r="2644" spans="1:2" x14ac:dyDescent="0.2">
      <c r="A2644" s="68">
        <v>41933</v>
      </c>
      <c r="B2644" s="69">
        <v>0.79154999999999998</v>
      </c>
    </row>
    <row r="2645" spans="1:2" x14ac:dyDescent="0.2">
      <c r="A2645" s="68">
        <v>41932</v>
      </c>
      <c r="B2645" s="69">
        <v>0.79191999999999996</v>
      </c>
    </row>
    <row r="2646" spans="1:2" x14ac:dyDescent="0.2">
      <c r="A2646" s="68">
        <v>41929</v>
      </c>
      <c r="B2646" s="69">
        <v>0.79159000000000002</v>
      </c>
    </row>
    <row r="2647" spans="1:2" x14ac:dyDescent="0.2">
      <c r="A2647" s="68">
        <v>41928</v>
      </c>
      <c r="B2647" s="69">
        <v>0.79149999999999998</v>
      </c>
    </row>
    <row r="2648" spans="1:2" x14ac:dyDescent="0.2">
      <c r="A2648" s="68">
        <v>41927</v>
      </c>
      <c r="B2648" s="69">
        <v>0.79224000000000006</v>
      </c>
    </row>
    <row r="2649" spans="1:2" x14ac:dyDescent="0.2">
      <c r="A2649" s="68">
        <v>41926</v>
      </c>
      <c r="B2649" s="69">
        <v>0.79154999999999998</v>
      </c>
    </row>
    <row r="2650" spans="1:2" x14ac:dyDescent="0.2">
      <c r="A2650" s="68">
        <v>41925</v>
      </c>
      <c r="B2650" s="69">
        <v>0.79208999999999996</v>
      </c>
    </row>
    <row r="2651" spans="1:2" x14ac:dyDescent="0.2">
      <c r="A2651" s="68">
        <v>41922</v>
      </c>
      <c r="B2651" s="69">
        <v>0.79249000000000003</v>
      </c>
    </row>
    <row r="2652" spans="1:2" x14ac:dyDescent="0.2">
      <c r="A2652" s="68">
        <v>41921</v>
      </c>
      <c r="B2652" s="69">
        <v>0.79242000000000001</v>
      </c>
    </row>
    <row r="2653" spans="1:2" x14ac:dyDescent="0.2">
      <c r="A2653" s="68">
        <v>41920</v>
      </c>
      <c r="B2653" s="69">
        <v>0.79296999999999995</v>
      </c>
    </row>
    <row r="2654" spans="1:2" x14ac:dyDescent="0.2">
      <c r="A2654" s="68">
        <v>41912</v>
      </c>
      <c r="B2654" s="69">
        <v>0.79246000000000005</v>
      </c>
    </row>
    <row r="2655" spans="1:2" x14ac:dyDescent="0.2">
      <c r="A2655" s="68">
        <v>41911</v>
      </c>
      <c r="B2655" s="69">
        <v>0.79286000000000001</v>
      </c>
    </row>
    <row r="2656" spans="1:2" x14ac:dyDescent="0.2">
      <c r="A2656" s="68">
        <v>41908</v>
      </c>
      <c r="B2656" s="69">
        <v>0.79322999999999999</v>
      </c>
    </row>
    <row r="2657" spans="1:2" x14ac:dyDescent="0.2">
      <c r="A2657" s="68">
        <v>41907</v>
      </c>
      <c r="B2657" s="69">
        <v>0.79332000000000003</v>
      </c>
    </row>
    <row r="2658" spans="1:2" x14ac:dyDescent="0.2">
      <c r="A2658" s="68">
        <v>41906</v>
      </c>
      <c r="B2658" s="69">
        <v>0.79288000000000003</v>
      </c>
    </row>
    <row r="2659" spans="1:2" x14ac:dyDescent="0.2">
      <c r="A2659" s="68">
        <v>41905</v>
      </c>
      <c r="B2659" s="69">
        <v>0.79303000000000001</v>
      </c>
    </row>
    <row r="2660" spans="1:2" x14ac:dyDescent="0.2">
      <c r="A2660" s="68">
        <v>41904</v>
      </c>
      <c r="B2660" s="69">
        <v>0.79322999999999999</v>
      </c>
    </row>
    <row r="2661" spans="1:2" x14ac:dyDescent="0.2">
      <c r="A2661" s="68">
        <v>41901</v>
      </c>
      <c r="B2661" s="69">
        <v>0.79286000000000001</v>
      </c>
    </row>
    <row r="2662" spans="1:2" x14ac:dyDescent="0.2">
      <c r="A2662" s="68">
        <v>41900</v>
      </c>
      <c r="B2662" s="69">
        <v>0.79330999999999996</v>
      </c>
    </row>
    <row r="2663" spans="1:2" x14ac:dyDescent="0.2">
      <c r="A2663" s="68">
        <v>41899</v>
      </c>
      <c r="B2663" s="69">
        <v>0.79279999999999995</v>
      </c>
    </row>
    <row r="2664" spans="1:2" x14ac:dyDescent="0.2">
      <c r="A2664" s="68">
        <v>41898</v>
      </c>
      <c r="B2664" s="69">
        <v>0.79296</v>
      </c>
    </row>
    <row r="2665" spans="1:2" x14ac:dyDescent="0.2">
      <c r="A2665" s="68">
        <v>41897</v>
      </c>
      <c r="B2665" s="69">
        <v>0.79286000000000001</v>
      </c>
    </row>
    <row r="2666" spans="1:2" x14ac:dyDescent="0.2">
      <c r="A2666" s="68">
        <v>41894</v>
      </c>
      <c r="B2666" s="69">
        <v>0.79310000000000003</v>
      </c>
    </row>
    <row r="2667" spans="1:2" x14ac:dyDescent="0.2">
      <c r="A2667" s="68">
        <v>41893</v>
      </c>
      <c r="B2667" s="69">
        <v>0.79291</v>
      </c>
    </row>
    <row r="2668" spans="1:2" x14ac:dyDescent="0.2">
      <c r="A2668" s="68">
        <v>41892</v>
      </c>
      <c r="B2668" s="69">
        <v>0.79254999999999998</v>
      </c>
    </row>
    <row r="2669" spans="1:2" x14ac:dyDescent="0.2">
      <c r="A2669" s="68">
        <v>41891</v>
      </c>
      <c r="B2669" s="69">
        <v>0.79379</v>
      </c>
    </row>
    <row r="2670" spans="1:2" x14ac:dyDescent="0.2">
      <c r="A2670" s="68">
        <v>41887</v>
      </c>
      <c r="B2670" s="69">
        <v>0.79618999999999995</v>
      </c>
    </row>
    <row r="2671" spans="1:2" x14ac:dyDescent="0.2">
      <c r="A2671" s="68">
        <v>41886</v>
      </c>
      <c r="B2671" s="69">
        <v>0.79566000000000003</v>
      </c>
    </row>
    <row r="2672" spans="1:2" x14ac:dyDescent="0.2">
      <c r="A2672" s="68">
        <v>41885</v>
      </c>
      <c r="B2672" s="69">
        <v>0.79605999999999999</v>
      </c>
    </row>
    <row r="2673" spans="1:2" x14ac:dyDescent="0.2">
      <c r="A2673" s="68">
        <v>41884</v>
      </c>
      <c r="B2673" s="69">
        <v>0.79591000000000001</v>
      </c>
    </row>
    <row r="2674" spans="1:2" x14ac:dyDescent="0.2">
      <c r="A2674" s="68">
        <v>41883</v>
      </c>
      <c r="B2674" s="69">
        <v>0.79583999999999999</v>
      </c>
    </row>
    <row r="2675" spans="1:2" x14ac:dyDescent="0.2">
      <c r="A2675" s="68">
        <v>41880</v>
      </c>
      <c r="B2675" s="69">
        <v>0.79542999999999997</v>
      </c>
    </row>
    <row r="2676" spans="1:2" x14ac:dyDescent="0.2">
      <c r="A2676" s="68">
        <v>41879</v>
      </c>
      <c r="B2676" s="69">
        <v>0.79532999999999998</v>
      </c>
    </row>
    <row r="2677" spans="1:2" x14ac:dyDescent="0.2">
      <c r="A2677" s="68">
        <v>41878</v>
      </c>
      <c r="B2677" s="69">
        <v>0.79554000000000002</v>
      </c>
    </row>
    <row r="2678" spans="1:2" x14ac:dyDescent="0.2">
      <c r="A2678" s="68">
        <v>41877</v>
      </c>
      <c r="B2678" s="69">
        <v>0.79562999999999995</v>
      </c>
    </row>
    <row r="2679" spans="1:2" x14ac:dyDescent="0.2">
      <c r="A2679" s="68">
        <v>41876</v>
      </c>
      <c r="B2679" s="69">
        <v>0.79549000000000003</v>
      </c>
    </row>
    <row r="2680" spans="1:2" x14ac:dyDescent="0.2">
      <c r="A2680" s="68">
        <v>41873</v>
      </c>
      <c r="B2680" s="69">
        <v>0.79505000000000003</v>
      </c>
    </row>
    <row r="2681" spans="1:2" x14ac:dyDescent="0.2">
      <c r="A2681" s="68">
        <v>41872</v>
      </c>
      <c r="B2681" s="69">
        <v>0.79518</v>
      </c>
    </row>
    <row r="2682" spans="1:2" x14ac:dyDescent="0.2">
      <c r="A2682" s="68">
        <v>41871</v>
      </c>
      <c r="B2682" s="69">
        <v>0.79452</v>
      </c>
    </row>
    <row r="2683" spans="1:2" x14ac:dyDescent="0.2">
      <c r="A2683" s="68">
        <v>41870</v>
      </c>
      <c r="B2683" s="69">
        <v>0.79412000000000005</v>
      </c>
    </row>
    <row r="2684" spans="1:2" x14ac:dyDescent="0.2">
      <c r="A2684" s="68">
        <v>41869</v>
      </c>
      <c r="B2684" s="69">
        <v>0.79386000000000001</v>
      </c>
    </row>
    <row r="2685" spans="1:2" x14ac:dyDescent="0.2">
      <c r="A2685" s="68">
        <v>41866</v>
      </c>
      <c r="B2685" s="69">
        <v>0.79393999999999998</v>
      </c>
    </row>
    <row r="2686" spans="1:2" x14ac:dyDescent="0.2">
      <c r="A2686" s="68">
        <v>41865</v>
      </c>
      <c r="B2686" s="69">
        <v>0.79403000000000001</v>
      </c>
    </row>
    <row r="2687" spans="1:2" x14ac:dyDescent="0.2">
      <c r="A2687" s="68">
        <v>41864</v>
      </c>
      <c r="B2687" s="69">
        <v>0.79384999999999994</v>
      </c>
    </row>
    <row r="2688" spans="1:2" x14ac:dyDescent="0.2">
      <c r="A2688" s="68">
        <v>41863</v>
      </c>
      <c r="B2688" s="69">
        <v>0.79366000000000003</v>
      </c>
    </row>
    <row r="2689" spans="1:2" x14ac:dyDescent="0.2">
      <c r="A2689" s="68">
        <v>41862</v>
      </c>
      <c r="B2689" s="69">
        <v>0.79369999999999996</v>
      </c>
    </row>
    <row r="2690" spans="1:2" x14ac:dyDescent="0.2">
      <c r="A2690" s="68">
        <v>41859</v>
      </c>
      <c r="B2690" s="69">
        <v>0.79423999999999995</v>
      </c>
    </row>
    <row r="2691" spans="1:2" x14ac:dyDescent="0.2">
      <c r="A2691" s="68">
        <v>41858</v>
      </c>
      <c r="B2691" s="69">
        <v>0.79569999999999996</v>
      </c>
    </row>
    <row r="2692" spans="1:2" x14ac:dyDescent="0.2">
      <c r="A2692" s="68">
        <v>41857</v>
      </c>
      <c r="B2692" s="69">
        <v>0.79586000000000001</v>
      </c>
    </row>
    <row r="2693" spans="1:2" x14ac:dyDescent="0.2">
      <c r="A2693" s="68">
        <v>41856</v>
      </c>
      <c r="B2693" s="69">
        <v>0.79554999999999998</v>
      </c>
    </row>
    <row r="2694" spans="1:2" x14ac:dyDescent="0.2">
      <c r="A2694" s="68">
        <v>41855</v>
      </c>
      <c r="B2694" s="69">
        <v>0.79561999999999999</v>
      </c>
    </row>
    <row r="2695" spans="1:2" x14ac:dyDescent="0.2">
      <c r="A2695" s="68">
        <v>41852</v>
      </c>
      <c r="B2695" s="69">
        <v>0.79588000000000003</v>
      </c>
    </row>
    <row r="2696" spans="1:2" x14ac:dyDescent="0.2">
      <c r="A2696" s="68">
        <v>41851</v>
      </c>
      <c r="B2696" s="69">
        <v>0.79581000000000002</v>
      </c>
    </row>
    <row r="2697" spans="1:2" x14ac:dyDescent="0.2">
      <c r="A2697" s="68">
        <v>41850</v>
      </c>
      <c r="B2697" s="69">
        <v>0.79542000000000002</v>
      </c>
    </row>
    <row r="2698" spans="1:2" x14ac:dyDescent="0.2">
      <c r="A2698" s="68">
        <v>41849</v>
      </c>
      <c r="B2698" s="69">
        <v>0.79501999999999995</v>
      </c>
    </row>
    <row r="2699" spans="1:2" x14ac:dyDescent="0.2">
      <c r="A2699" s="68">
        <v>41848</v>
      </c>
      <c r="B2699" s="69">
        <v>0.79512000000000005</v>
      </c>
    </row>
    <row r="2700" spans="1:2" x14ac:dyDescent="0.2">
      <c r="A2700" s="68">
        <v>41845</v>
      </c>
      <c r="B2700" s="69">
        <v>0.79476000000000002</v>
      </c>
    </row>
    <row r="2701" spans="1:2" x14ac:dyDescent="0.2">
      <c r="A2701" s="68">
        <v>41844</v>
      </c>
      <c r="B2701" s="69">
        <v>0.79449000000000003</v>
      </c>
    </row>
    <row r="2702" spans="1:2" x14ac:dyDescent="0.2">
      <c r="A2702" s="68">
        <v>41843</v>
      </c>
      <c r="B2702" s="69">
        <v>0.79432000000000003</v>
      </c>
    </row>
    <row r="2703" spans="1:2" x14ac:dyDescent="0.2">
      <c r="A2703" s="68">
        <v>41842</v>
      </c>
      <c r="B2703" s="69">
        <v>0.79395000000000004</v>
      </c>
    </row>
    <row r="2704" spans="1:2" x14ac:dyDescent="0.2">
      <c r="A2704" s="68">
        <v>41841</v>
      </c>
      <c r="B2704" s="69">
        <v>0.79403999999999997</v>
      </c>
    </row>
    <row r="2705" spans="1:2" x14ac:dyDescent="0.2">
      <c r="A2705" s="68">
        <v>41838</v>
      </c>
      <c r="B2705" s="69">
        <v>0.79434000000000005</v>
      </c>
    </row>
    <row r="2706" spans="1:2" x14ac:dyDescent="0.2">
      <c r="A2706" s="68">
        <v>41837</v>
      </c>
      <c r="B2706" s="69">
        <v>0.79430000000000001</v>
      </c>
    </row>
    <row r="2707" spans="1:2" x14ac:dyDescent="0.2">
      <c r="A2707" s="68">
        <v>41836</v>
      </c>
      <c r="B2707" s="69">
        <v>0.79398999999999997</v>
      </c>
    </row>
    <row r="2708" spans="1:2" x14ac:dyDescent="0.2">
      <c r="A2708" s="68">
        <v>41835</v>
      </c>
      <c r="B2708" s="69">
        <v>0.79342000000000001</v>
      </c>
    </row>
    <row r="2709" spans="1:2" x14ac:dyDescent="0.2">
      <c r="A2709" s="68">
        <v>41834</v>
      </c>
      <c r="B2709" s="69">
        <v>0.79335</v>
      </c>
    </row>
    <row r="2710" spans="1:2" x14ac:dyDescent="0.2">
      <c r="A2710" s="68">
        <v>41831</v>
      </c>
      <c r="B2710" s="69">
        <v>0.79315000000000002</v>
      </c>
    </row>
    <row r="2711" spans="1:2" x14ac:dyDescent="0.2">
      <c r="A2711" s="68">
        <v>41830</v>
      </c>
      <c r="B2711" s="69">
        <v>0.79281000000000001</v>
      </c>
    </row>
    <row r="2712" spans="1:2" x14ac:dyDescent="0.2">
      <c r="A2712" s="68">
        <v>41829</v>
      </c>
      <c r="B2712" s="69">
        <v>0.79437999999999998</v>
      </c>
    </row>
    <row r="2713" spans="1:2" x14ac:dyDescent="0.2">
      <c r="A2713" s="68">
        <v>41828</v>
      </c>
      <c r="B2713" s="69">
        <v>0.79513999999999996</v>
      </c>
    </row>
    <row r="2714" spans="1:2" x14ac:dyDescent="0.2">
      <c r="A2714" s="68">
        <v>41827</v>
      </c>
      <c r="B2714" s="69">
        <v>0.79554999999999998</v>
      </c>
    </row>
    <row r="2715" spans="1:2" x14ac:dyDescent="0.2">
      <c r="A2715" s="68">
        <v>41824</v>
      </c>
      <c r="B2715" s="69">
        <v>0.79532000000000003</v>
      </c>
    </row>
    <row r="2716" spans="1:2" x14ac:dyDescent="0.2">
      <c r="A2716" s="68">
        <v>41823</v>
      </c>
      <c r="B2716" s="69">
        <v>0.79457</v>
      </c>
    </row>
    <row r="2717" spans="1:2" x14ac:dyDescent="0.2">
      <c r="A2717" s="68">
        <v>41822</v>
      </c>
      <c r="B2717" s="69">
        <v>0.79410000000000003</v>
      </c>
    </row>
    <row r="2718" spans="1:2" x14ac:dyDescent="0.2">
      <c r="A2718" s="68">
        <v>41821</v>
      </c>
      <c r="B2718" s="69">
        <v>0.79381000000000002</v>
      </c>
    </row>
    <row r="2719" spans="1:2" x14ac:dyDescent="0.2">
      <c r="A2719" s="68">
        <v>41820</v>
      </c>
      <c r="B2719" s="69">
        <v>0.79374999999999996</v>
      </c>
    </row>
    <row r="2720" spans="1:2" x14ac:dyDescent="0.2">
      <c r="A2720" s="68">
        <v>41817</v>
      </c>
      <c r="B2720" s="69">
        <v>0.79393000000000002</v>
      </c>
    </row>
    <row r="2721" spans="1:2" x14ac:dyDescent="0.2">
      <c r="A2721" s="68">
        <v>41816</v>
      </c>
      <c r="B2721" s="69">
        <v>0.79388999999999998</v>
      </c>
    </row>
    <row r="2722" spans="1:2" x14ac:dyDescent="0.2">
      <c r="A2722" s="68">
        <v>41815</v>
      </c>
      <c r="B2722" s="69">
        <v>0.79408999999999996</v>
      </c>
    </row>
    <row r="2723" spans="1:2" x14ac:dyDescent="0.2">
      <c r="A2723" s="68">
        <v>41814</v>
      </c>
      <c r="B2723" s="69">
        <v>0.79400999999999999</v>
      </c>
    </row>
    <row r="2724" spans="1:2" x14ac:dyDescent="0.2">
      <c r="A2724" s="68">
        <v>41813</v>
      </c>
      <c r="B2724" s="69">
        <v>0.79415000000000002</v>
      </c>
    </row>
    <row r="2725" spans="1:2" x14ac:dyDescent="0.2">
      <c r="A2725" s="68">
        <v>41810</v>
      </c>
      <c r="B2725" s="69">
        <v>0.79379999999999995</v>
      </c>
    </row>
    <row r="2726" spans="1:2" x14ac:dyDescent="0.2">
      <c r="A2726" s="68">
        <v>41809</v>
      </c>
      <c r="B2726" s="69">
        <v>0.79383999999999999</v>
      </c>
    </row>
    <row r="2727" spans="1:2" x14ac:dyDescent="0.2">
      <c r="A2727" s="68">
        <v>41808</v>
      </c>
      <c r="B2727" s="69">
        <v>0.79415000000000002</v>
      </c>
    </row>
    <row r="2728" spans="1:2" x14ac:dyDescent="0.2">
      <c r="A2728" s="68">
        <v>41807</v>
      </c>
      <c r="B2728" s="69">
        <v>0.79379</v>
      </c>
    </row>
    <row r="2729" spans="1:2" x14ac:dyDescent="0.2">
      <c r="A2729" s="68">
        <v>41806</v>
      </c>
      <c r="B2729" s="69">
        <v>0.79386000000000001</v>
      </c>
    </row>
    <row r="2730" spans="1:2" x14ac:dyDescent="0.2">
      <c r="A2730" s="68">
        <v>41803</v>
      </c>
      <c r="B2730" s="69">
        <v>0.79342000000000001</v>
      </c>
    </row>
    <row r="2731" spans="1:2" x14ac:dyDescent="0.2">
      <c r="A2731" s="68">
        <v>41802</v>
      </c>
      <c r="B2731" s="69">
        <v>0.79357999999999995</v>
      </c>
    </row>
    <row r="2732" spans="1:2" x14ac:dyDescent="0.2">
      <c r="A2732" s="68">
        <v>41801</v>
      </c>
      <c r="B2732" s="69">
        <v>0.79346000000000005</v>
      </c>
    </row>
    <row r="2733" spans="1:2" x14ac:dyDescent="0.2">
      <c r="A2733" s="68">
        <v>41800</v>
      </c>
      <c r="B2733" s="69">
        <v>0.79274</v>
      </c>
    </row>
    <row r="2734" spans="1:2" x14ac:dyDescent="0.2">
      <c r="A2734" s="68">
        <v>41799</v>
      </c>
      <c r="B2734" s="69">
        <v>0.79310000000000003</v>
      </c>
    </row>
    <row r="2735" spans="1:2" x14ac:dyDescent="0.2">
      <c r="A2735" s="68">
        <v>41796</v>
      </c>
      <c r="B2735" s="69">
        <v>0.79486000000000001</v>
      </c>
    </row>
    <row r="2736" spans="1:2" x14ac:dyDescent="0.2">
      <c r="A2736" s="68">
        <v>41795</v>
      </c>
      <c r="B2736" s="69">
        <v>0.79593000000000003</v>
      </c>
    </row>
    <row r="2737" spans="1:2" x14ac:dyDescent="0.2">
      <c r="A2737" s="68">
        <v>41794</v>
      </c>
      <c r="B2737" s="69">
        <v>0.79574999999999996</v>
      </c>
    </row>
    <row r="2738" spans="1:2" x14ac:dyDescent="0.2">
      <c r="A2738" s="68">
        <v>41793</v>
      </c>
      <c r="B2738" s="69">
        <v>0.79588000000000003</v>
      </c>
    </row>
    <row r="2739" spans="1:2" x14ac:dyDescent="0.2">
      <c r="A2739" s="68">
        <v>41789</v>
      </c>
      <c r="B2739" s="69">
        <v>0.79578000000000004</v>
      </c>
    </row>
    <row r="2740" spans="1:2" x14ac:dyDescent="0.2">
      <c r="A2740" s="68">
        <v>41788</v>
      </c>
      <c r="B2740" s="69">
        <v>0.79586999999999997</v>
      </c>
    </row>
    <row r="2741" spans="1:2" x14ac:dyDescent="0.2">
      <c r="A2741" s="68">
        <v>41787</v>
      </c>
      <c r="B2741" s="69">
        <v>0.79576000000000002</v>
      </c>
    </row>
    <row r="2742" spans="1:2" x14ac:dyDescent="0.2">
      <c r="A2742" s="68">
        <v>41786</v>
      </c>
      <c r="B2742" s="69">
        <v>0.79559999999999997</v>
      </c>
    </row>
    <row r="2743" spans="1:2" x14ac:dyDescent="0.2">
      <c r="A2743" s="68">
        <v>41785</v>
      </c>
      <c r="B2743" s="69">
        <v>0.79574999999999996</v>
      </c>
    </row>
    <row r="2744" spans="1:2" x14ac:dyDescent="0.2">
      <c r="A2744" s="68">
        <v>41782</v>
      </c>
      <c r="B2744" s="69">
        <v>0.79549000000000003</v>
      </c>
    </row>
    <row r="2745" spans="1:2" x14ac:dyDescent="0.2">
      <c r="A2745" s="68">
        <v>41781</v>
      </c>
      <c r="B2745" s="69">
        <v>0.79527999999999999</v>
      </c>
    </row>
    <row r="2746" spans="1:2" x14ac:dyDescent="0.2">
      <c r="A2746" s="68">
        <v>41780</v>
      </c>
      <c r="B2746" s="69">
        <v>0.79515999999999998</v>
      </c>
    </row>
    <row r="2747" spans="1:2" x14ac:dyDescent="0.2">
      <c r="A2747" s="68">
        <v>41779</v>
      </c>
      <c r="B2747" s="69">
        <v>0.79495000000000005</v>
      </c>
    </row>
    <row r="2748" spans="1:2" x14ac:dyDescent="0.2">
      <c r="A2748" s="68">
        <v>41778</v>
      </c>
      <c r="B2748" s="69">
        <v>0.79508999999999996</v>
      </c>
    </row>
    <row r="2749" spans="1:2" x14ac:dyDescent="0.2">
      <c r="A2749" s="68">
        <v>41775</v>
      </c>
      <c r="B2749" s="69">
        <v>0.79500999999999999</v>
      </c>
    </row>
    <row r="2750" spans="1:2" x14ac:dyDescent="0.2">
      <c r="A2750" s="68">
        <v>41774</v>
      </c>
      <c r="B2750" s="69">
        <v>0.79518999999999995</v>
      </c>
    </row>
    <row r="2751" spans="1:2" x14ac:dyDescent="0.2">
      <c r="A2751" s="68">
        <v>41773</v>
      </c>
      <c r="B2751" s="69">
        <v>0.79535</v>
      </c>
    </row>
    <row r="2752" spans="1:2" x14ac:dyDescent="0.2">
      <c r="A2752" s="68">
        <v>41772</v>
      </c>
      <c r="B2752" s="69">
        <v>0.79513</v>
      </c>
    </row>
    <row r="2753" spans="1:2" x14ac:dyDescent="0.2">
      <c r="A2753" s="68">
        <v>41771</v>
      </c>
      <c r="B2753" s="69">
        <v>0.79498999999999997</v>
      </c>
    </row>
    <row r="2754" spans="1:2" x14ac:dyDescent="0.2">
      <c r="A2754" s="68">
        <v>41768</v>
      </c>
      <c r="B2754" s="69">
        <v>0.79442000000000002</v>
      </c>
    </row>
    <row r="2755" spans="1:2" x14ac:dyDescent="0.2">
      <c r="A2755" s="68">
        <v>41767</v>
      </c>
      <c r="B2755" s="69">
        <v>0.79403000000000001</v>
      </c>
    </row>
    <row r="2756" spans="1:2" x14ac:dyDescent="0.2">
      <c r="A2756" s="68">
        <v>41766</v>
      </c>
      <c r="B2756" s="69">
        <v>0.79388999999999998</v>
      </c>
    </row>
    <row r="2757" spans="1:2" x14ac:dyDescent="0.2">
      <c r="A2757" s="68">
        <v>41765</v>
      </c>
      <c r="B2757" s="69">
        <v>0.79415000000000002</v>
      </c>
    </row>
    <row r="2758" spans="1:2" x14ac:dyDescent="0.2">
      <c r="A2758" s="68">
        <v>41764</v>
      </c>
      <c r="B2758" s="69">
        <v>0.79403999999999997</v>
      </c>
    </row>
    <row r="2759" spans="1:2" x14ac:dyDescent="0.2">
      <c r="A2759" s="68">
        <v>41759</v>
      </c>
      <c r="B2759" s="69">
        <v>0.79425000000000001</v>
      </c>
    </row>
    <row r="2760" spans="1:2" x14ac:dyDescent="0.2">
      <c r="A2760" s="68">
        <v>41758</v>
      </c>
      <c r="B2760" s="69">
        <v>0.79396</v>
      </c>
    </row>
    <row r="2761" spans="1:2" x14ac:dyDescent="0.2">
      <c r="A2761" s="68">
        <v>41757</v>
      </c>
      <c r="B2761" s="69">
        <v>0.79403999999999997</v>
      </c>
    </row>
    <row r="2762" spans="1:2" x14ac:dyDescent="0.2">
      <c r="A2762" s="68">
        <v>41754</v>
      </c>
      <c r="B2762" s="69">
        <v>0.79418999999999995</v>
      </c>
    </row>
    <row r="2763" spans="1:2" x14ac:dyDescent="0.2">
      <c r="A2763" s="68">
        <v>41753</v>
      </c>
      <c r="B2763" s="69">
        <v>0.79437999999999998</v>
      </c>
    </row>
    <row r="2764" spans="1:2" x14ac:dyDescent="0.2">
      <c r="A2764" s="68">
        <v>41752</v>
      </c>
      <c r="B2764" s="69">
        <v>0.79457</v>
      </c>
    </row>
    <row r="2765" spans="1:2" x14ac:dyDescent="0.2">
      <c r="A2765" s="68">
        <v>41751</v>
      </c>
      <c r="B2765" s="69">
        <v>0.79456000000000004</v>
      </c>
    </row>
    <row r="2766" spans="1:2" x14ac:dyDescent="0.2">
      <c r="A2766" s="68">
        <v>41750</v>
      </c>
      <c r="B2766" s="69">
        <v>0.79429000000000005</v>
      </c>
    </row>
    <row r="2767" spans="1:2" x14ac:dyDescent="0.2">
      <c r="A2767" s="68">
        <v>41747</v>
      </c>
      <c r="B2767" s="69">
        <v>0.79420999999999997</v>
      </c>
    </row>
    <row r="2768" spans="1:2" x14ac:dyDescent="0.2">
      <c r="A2768" s="68">
        <v>41746</v>
      </c>
      <c r="B2768" s="69">
        <v>0.79408999999999996</v>
      </c>
    </row>
    <row r="2769" spans="1:2" x14ac:dyDescent="0.2">
      <c r="A2769" s="68">
        <v>41745</v>
      </c>
      <c r="B2769" s="69">
        <v>0.79425999999999997</v>
      </c>
    </row>
    <row r="2770" spans="1:2" x14ac:dyDescent="0.2">
      <c r="A2770" s="68">
        <v>41744</v>
      </c>
      <c r="B2770" s="69">
        <v>0.79408000000000001</v>
      </c>
    </row>
    <row r="2771" spans="1:2" x14ac:dyDescent="0.2">
      <c r="A2771" s="68">
        <v>41743</v>
      </c>
      <c r="B2771" s="69">
        <v>0.79357999999999995</v>
      </c>
    </row>
    <row r="2772" spans="1:2" x14ac:dyDescent="0.2">
      <c r="A2772" s="68">
        <v>41740</v>
      </c>
      <c r="B2772" s="69">
        <v>0.79310999999999998</v>
      </c>
    </row>
    <row r="2773" spans="1:2" x14ac:dyDescent="0.2">
      <c r="A2773" s="68">
        <v>41739</v>
      </c>
      <c r="B2773" s="69">
        <v>0.79332999999999998</v>
      </c>
    </row>
    <row r="2774" spans="1:2" x14ac:dyDescent="0.2">
      <c r="A2774" s="68">
        <v>41738</v>
      </c>
      <c r="B2774" s="69">
        <v>0.79301999999999995</v>
      </c>
    </row>
    <row r="2775" spans="1:2" x14ac:dyDescent="0.2">
      <c r="A2775" s="68">
        <v>41737</v>
      </c>
      <c r="B2775" s="69">
        <v>0.79334000000000005</v>
      </c>
    </row>
    <row r="2776" spans="1:2" x14ac:dyDescent="0.2">
      <c r="A2776" s="68">
        <v>41733</v>
      </c>
      <c r="B2776" s="69">
        <v>0.79352</v>
      </c>
    </row>
    <row r="2777" spans="1:2" x14ac:dyDescent="0.2">
      <c r="A2777" s="68">
        <v>41732</v>
      </c>
      <c r="B2777" s="69">
        <v>0.79310999999999998</v>
      </c>
    </row>
    <row r="2778" spans="1:2" x14ac:dyDescent="0.2">
      <c r="A2778" s="68">
        <v>41731</v>
      </c>
      <c r="B2778" s="69">
        <v>0.79271999999999998</v>
      </c>
    </row>
    <row r="2779" spans="1:2" x14ac:dyDescent="0.2">
      <c r="A2779" s="68">
        <v>41730</v>
      </c>
      <c r="B2779" s="69">
        <v>0.79285000000000005</v>
      </c>
    </row>
    <row r="2780" spans="1:2" x14ac:dyDescent="0.2">
      <c r="A2780" s="68">
        <v>41729</v>
      </c>
      <c r="B2780" s="69">
        <v>0.79305000000000003</v>
      </c>
    </row>
    <row r="2781" spans="1:2" x14ac:dyDescent="0.2">
      <c r="A2781" s="68">
        <v>41726</v>
      </c>
      <c r="B2781" s="69">
        <v>0.79257</v>
      </c>
    </row>
    <row r="2782" spans="1:2" x14ac:dyDescent="0.2">
      <c r="A2782" s="68">
        <v>41725</v>
      </c>
      <c r="B2782" s="69">
        <v>0.79218</v>
      </c>
    </row>
    <row r="2783" spans="1:2" x14ac:dyDescent="0.2">
      <c r="A2783" s="68">
        <v>41724</v>
      </c>
      <c r="B2783" s="69">
        <v>0.79210999999999998</v>
      </c>
    </row>
    <row r="2784" spans="1:2" x14ac:dyDescent="0.2">
      <c r="A2784" s="68">
        <v>41723</v>
      </c>
      <c r="B2784" s="69">
        <v>0.79179999999999995</v>
      </c>
    </row>
    <row r="2785" spans="1:2" x14ac:dyDescent="0.2">
      <c r="A2785" s="68">
        <v>41722</v>
      </c>
      <c r="B2785" s="69">
        <v>0.79207000000000005</v>
      </c>
    </row>
    <row r="2786" spans="1:2" x14ac:dyDescent="0.2">
      <c r="A2786" s="68">
        <v>41719</v>
      </c>
      <c r="B2786" s="69">
        <v>0.79176000000000002</v>
      </c>
    </row>
    <row r="2787" spans="1:2" x14ac:dyDescent="0.2">
      <c r="A2787" s="68">
        <v>41718</v>
      </c>
      <c r="B2787" s="69">
        <v>0.79144000000000003</v>
      </c>
    </row>
    <row r="2788" spans="1:2" x14ac:dyDescent="0.2">
      <c r="A2788" s="68">
        <v>41717</v>
      </c>
      <c r="B2788" s="69">
        <v>0.79003000000000001</v>
      </c>
    </row>
    <row r="2789" spans="1:2" x14ac:dyDescent="0.2">
      <c r="A2789" s="68">
        <v>41716</v>
      </c>
      <c r="B2789" s="69">
        <v>0.78988999999999998</v>
      </c>
    </row>
    <row r="2790" spans="1:2" x14ac:dyDescent="0.2">
      <c r="A2790" s="68">
        <v>41715</v>
      </c>
      <c r="B2790" s="69">
        <v>0.78954000000000002</v>
      </c>
    </row>
    <row r="2791" spans="1:2" x14ac:dyDescent="0.2">
      <c r="A2791" s="68">
        <v>41712</v>
      </c>
      <c r="B2791" s="69">
        <v>0.79</v>
      </c>
    </row>
    <row r="2792" spans="1:2" x14ac:dyDescent="0.2">
      <c r="A2792" s="68">
        <v>41711</v>
      </c>
      <c r="B2792" s="69">
        <v>0.78983999999999999</v>
      </c>
    </row>
    <row r="2793" spans="1:2" x14ac:dyDescent="0.2">
      <c r="A2793" s="68">
        <v>41710</v>
      </c>
      <c r="B2793" s="69">
        <v>0.79032999999999998</v>
      </c>
    </row>
    <row r="2794" spans="1:2" x14ac:dyDescent="0.2">
      <c r="A2794" s="68">
        <v>41709</v>
      </c>
      <c r="B2794" s="69">
        <v>0.79020999999999997</v>
      </c>
    </row>
    <row r="2795" spans="1:2" x14ac:dyDescent="0.2">
      <c r="A2795" s="68">
        <v>41708</v>
      </c>
      <c r="B2795" s="69">
        <v>0.79003999999999996</v>
      </c>
    </row>
    <row r="2796" spans="1:2" x14ac:dyDescent="0.2">
      <c r="A2796" s="68">
        <v>41705</v>
      </c>
      <c r="B2796" s="69">
        <v>0.78857999999999995</v>
      </c>
    </row>
    <row r="2797" spans="1:2" x14ac:dyDescent="0.2">
      <c r="A2797" s="68">
        <v>41704</v>
      </c>
      <c r="B2797" s="69">
        <v>0.78924000000000005</v>
      </c>
    </row>
    <row r="2798" spans="1:2" x14ac:dyDescent="0.2">
      <c r="A2798" s="68">
        <v>41703</v>
      </c>
      <c r="B2798" s="69">
        <v>0.78929000000000005</v>
      </c>
    </row>
    <row r="2799" spans="1:2" x14ac:dyDescent="0.2">
      <c r="A2799" s="68">
        <v>41702</v>
      </c>
      <c r="B2799" s="69">
        <v>0.78907000000000005</v>
      </c>
    </row>
    <row r="2800" spans="1:2" x14ac:dyDescent="0.2">
      <c r="A2800" s="68">
        <v>41701</v>
      </c>
      <c r="B2800" s="69">
        <v>0.78835999999999995</v>
      </c>
    </row>
    <row r="2801" spans="1:2" x14ac:dyDescent="0.2">
      <c r="A2801" s="68">
        <v>41698</v>
      </c>
      <c r="B2801" s="69">
        <v>0.78878000000000004</v>
      </c>
    </row>
    <row r="2802" spans="1:2" x14ac:dyDescent="0.2">
      <c r="A2802" s="68">
        <v>41697</v>
      </c>
      <c r="B2802" s="69">
        <v>0.78886999999999996</v>
      </c>
    </row>
    <row r="2803" spans="1:2" x14ac:dyDescent="0.2">
      <c r="A2803" s="68">
        <v>41696</v>
      </c>
      <c r="B2803" s="69">
        <v>0.78847999999999996</v>
      </c>
    </row>
    <row r="2804" spans="1:2" x14ac:dyDescent="0.2">
      <c r="A2804" s="68">
        <v>41695</v>
      </c>
      <c r="B2804" s="69">
        <v>0.78861999999999999</v>
      </c>
    </row>
    <row r="2805" spans="1:2" x14ac:dyDescent="0.2">
      <c r="A2805" s="68">
        <v>41694</v>
      </c>
      <c r="B2805" s="69">
        <v>0.78893000000000002</v>
      </c>
    </row>
    <row r="2806" spans="1:2" x14ac:dyDescent="0.2">
      <c r="A2806" s="68">
        <v>41691</v>
      </c>
      <c r="B2806" s="69">
        <v>0.78878999999999999</v>
      </c>
    </row>
    <row r="2807" spans="1:2" x14ac:dyDescent="0.2">
      <c r="A2807" s="68">
        <v>41690</v>
      </c>
      <c r="B2807" s="69">
        <v>0.78839999999999999</v>
      </c>
    </row>
    <row r="2808" spans="1:2" x14ac:dyDescent="0.2">
      <c r="A2808" s="68">
        <v>41689</v>
      </c>
      <c r="B2808" s="69">
        <v>0.78793999999999997</v>
      </c>
    </row>
    <row r="2809" spans="1:2" x14ac:dyDescent="0.2">
      <c r="A2809" s="68">
        <v>41688</v>
      </c>
      <c r="B2809" s="69">
        <v>0.78754999999999997</v>
      </c>
    </row>
    <row r="2810" spans="1:2" x14ac:dyDescent="0.2">
      <c r="A2810" s="68">
        <v>41687</v>
      </c>
      <c r="B2810" s="69">
        <v>0.78722000000000003</v>
      </c>
    </row>
    <row r="2811" spans="1:2" x14ac:dyDescent="0.2">
      <c r="A2811" s="68">
        <v>41684</v>
      </c>
      <c r="B2811" s="69">
        <v>0.78737999999999997</v>
      </c>
    </row>
    <row r="2812" spans="1:2" x14ac:dyDescent="0.2">
      <c r="A2812" s="68">
        <v>41683</v>
      </c>
      <c r="B2812" s="69">
        <v>0.78774999999999995</v>
      </c>
    </row>
    <row r="2813" spans="1:2" x14ac:dyDescent="0.2">
      <c r="A2813" s="68">
        <v>41682</v>
      </c>
      <c r="B2813" s="69">
        <v>0.78747</v>
      </c>
    </row>
    <row r="2814" spans="1:2" x14ac:dyDescent="0.2">
      <c r="A2814" s="68">
        <v>41681</v>
      </c>
      <c r="B2814" s="69">
        <v>0.78725000000000001</v>
      </c>
    </row>
    <row r="2815" spans="1:2" x14ac:dyDescent="0.2">
      <c r="A2815" s="68">
        <v>41680</v>
      </c>
      <c r="B2815" s="69">
        <v>0.78732999999999997</v>
      </c>
    </row>
    <row r="2816" spans="1:2" x14ac:dyDescent="0.2">
      <c r="A2816" s="68">
        <v>41677</v>
      </c>
      <c r="B2816" s="69">
        <v>0.78732999999999997</v>
      </c>
    </row>
    <row r="2817" spans="1:2" x14ac:dyDescent="0.2">
      <c r="A2817" s="68">
        <v>41669</v>
      </c>
      <c r="B2817" s="69">
        <v>0.78625</v>
      </c>
    </row>
    <row r="2818" spans="1:2" x14ac:dyDescent="0.2">
      <c r="A2818" s="68">
        <v>41668</v>
      </c>
      <c r="B2818" s="69">
        <v>0.78669999999999995</v>
      </c>
    </row>
    <row r="2819" spans="1:2" x14ac:dyDescent="0.2">
      <c r="A2819" s="68">
        <v>41667</v>
      </c>
      <c r="B2819" s="69">
        <v>0.78620000000000001</v>
      </c>
    </row>
    <row r="2820" spans="1:2" x14ac:dyDescent="0.2">
      <c r="A2820" s="68">
        <v>41666</v>
      </c>
      <c r="B2820" s="69">
        <v>0.78593999999999997</v>
      </c>
    </row>
    <row r="2821" spans="1:2" x14ac:dyDescent="0.2">
      <c r="A2821" s="68">
        <v>41663</v>
      </c>
      <c r="B2821" s="69">
        <v>0.78661000000000003</v>
      </c>
    </row>
    <row r="2822" spans="1:2" x14ac:dyDescent="0.2">
      <c r="A2822" s="68">
        <v>41662</v>
      </c>
      <c r="B2822" s="69">
        <v>0.78768000000000005</v>
      </c>
    </row>
    <row r="2823" spans="1:2" x14ac:dyDescent="0.2">
      <c r="A2823" s="68">
        <v>41661</v>
      </c>
      <c r="B2823" s="69">
        <v>0.78752</v>
      </c>
    </row>
    <row r="2824" spans="1:2" x14ac:dyDescent="0.2">
      <c r="A2824" s="68">
        <v>41660</v>
      </c>
      <c r="B2824" s="69">
        <v>0.78729000000000005</v>
      </c>
    </row>
    <row r="2825" spans="1:2" x14ac:dyDescent="0.2">
      <c r="A2825" s="68">
        <v>41659</v>
      </c>
      <c r="B2825" s="69">
        <v>0.78756999999999999</v>
      </c>
    </row>
    <row r="2826" spans="1:2" x14ac:dyDescent="0.2">
      <c r="A2826" s="68">
        <v>41656</v>
      </c>
      <c r="B2826" s="69">
        <v>0.78715999999999997</v>
      </c>
    </row>
    <row r="2827" spans="1:2" x14ac:dyDescent="0.2">
      <c r="A2827" s="68">
        <v>41655</v>
      </c>
      <c r="B2827" s="69">
        <v>0.78749000000000002</v>
      </c>
    </row>
    <row r="2828" spans="1:2" x14ac:dyDescent="0.2">
      <c r="A2828" s="68">
        <v>41654</v>
      </c>
      <c r="B2828" s="69">
        <v>0.78673000000000004</v>
      </c>
    </row>
    <row r="2829" spans="1:2" x14ac:dyDescent="0.2">
      <c r="A2829" s="68">
        <v>41653</v>
      </c>
      <c r="B2829" s="69">
        <v>0.78574999999999995</v>
      </c>
    </row>
    <row r="2830" spans="1:2" x14ac:dyDescent="0.2">
      <c r="A2830" s="68">
        <v>41652</v>
      </c>
      <c r="B2830" s="69">
        <v>0.78600999999999999</v>
      </c>
    </row>
    <row r="2831" spans="1:2" x14ac:dyDescent="0.2">
      <c r="A2831" s="68">
        <v>41649</v>
      </c>
      <c r="B2831" s="69">
        <v>0.78676000000000001</v>
      </c>
    </row>
    <row r="2832" spans="1:2" x14ac:dyDescent="0.2">
      <c r="A2832" s="68">
        <v>41648</v>
      </c>
      <c r="B2832" s="69">
        <v>0.78805999999999998</v>
      </c>
    </row>
    <row r="2833" spans="1:2" x14ac:dyDescent="0.2">
      <c r="A2833" s="68">
        <v>41647</v>
      </c>
      <c r="B2833" s="69">
        <v>0.78769</v>
      </c>
    </row>
    <row r="2834" spans="1:2" x14ac:dyDescent="0.2">
      <c r="A2834" s="68">
        <v>41646</v>
      </c>
      <c r="B2834" s="69">
        <v>0.78717000000000004</v>
      </c>
    </row>
    <row r="2835" spans="1:2" x14ac:dyDescent="0.2">
      <c r="A2835" s="68">
        <v>41645</v>
      </c>
      <c r="B2835" s="69">
        <v>0.78742000000000001</v>
      </c>
    </row>
    <row r="2836" spans="1:2" x14ac:dyDescent="0.2">
      <c r="A2836" s="68">
        <v>41642</v>
      </c>
      <c r="B2836" s="69">
        <v>0.78720000000000001</v>
      </c>
    </row>
    <row r="2837" spans="1:2" x14ac:dyDescent="0.2">
      <c r="A2837" s="68">
        <v>41641</v>
      </c>
      <c r="B2837" s="69">
        <v>0.78657999999999995</v>
      </c>
    </row>
    <row r="2838" spans="1:2" x14ac:dyDescent="0.2">
      <c r="A2838" s="68">
        <v>41639</v>
      </c>
      <c r="B2838" s="69">
        <v>0.78622999999999998</v>
      </c>
    </row>
    <row r="2839" spans="1:2" x14ac:dyDescent="0.2">
      <c r="A2839" s="68">
        <v>41638</v>
      </c>
      <c r="B2839" s="69">
        <v>0.78693000000000002</v>
      </c>
    </row>
    <row r="2840" spans="1:2" x14ac:dyDescent="0.2">
      <c r="A2840" s="68">
        <v>41635</v>
      </c>
      <c r="B2840" s="69">
        <v>0.78720999999999997</v>
      </c>
    </row>
    <row r="2841" spans="1:2" x14ac:dyDescent="0.2">
      <c r="A2841" s="68">
        <v>41634</v>
      </c>
      <c r="B2841" s="69">
        <v>0.78861999999999999</v>
      </c>
    </row>
    <row r="2842" spans="1:2" x14ac:dyDescent="0.2">
      <c r="A2842" s="68">
        <v>41633</v>
      </c>
      <c r="B2842" s="69">
        <v>0.78866999999999998</v>
      </c>
    </row>
    <row r="2843" spans="1:2" x14ac:dyDescent="0.2">
      <c r="A2843" s="68">
        <v>41632</v>
      </c>
      <c r="B2843" s="69">
        <v>0.78857999999999995</v>
      </c>
    </row>
    <row r="2844" spans="1:2" x14ac:dyDescent="0.2">
      <c r="A2844" s="68">
        <v>41631</v>
      </c>
      <c r="B2844" s="69">
        <v>0.78871999999999998</v>
      </c>
    </row>
    <row r="2845" spans="1:2" x14ac:dyDescent="0.2">
      <c r="A2845" s="68">
        <v>41628</v>
      </c>
      <c r="B2845" s="69">
        <v>0.78922999999999999</v>
      </c>
    </row>
    <row r="2846" spans="1:2" x14ac:dyDescent="0.2">
      <c r="A2846" s="68">
        <v>41627</v>
      </c>
      <c r="B2846" s="69">
        <v>0.78917999999999999</v>
      </c>
    </row>
    <row r="2847" spans="1:2" x14ac:dyDescent="0.2">
      <c r="A2847" s="68">
        <v>41626</v>
      </c>
      <c r="B2847" s="69">
        <v>0.78822999999999999</v>
      </c>
    </row>
    <row r="2848" spans="1:2" x14ac:dyDescent="0.2">
      <c r="A2848" s="68">
        <v>41625</v>
      </c>
      <c r="B2848" s="69">
        <v>0.78813</v>
      </c>
    </row>
    <row r="2849" spans="1:2" x14ac:dyDescent="0.2">
      <c r="A2849" s="68">
        <v>41624</v>
      </c>
      <c r="B2849" s="69">
        <v>0.78835999999999995</v>
      </c>
    </row>
    <row r="2850" spans="1:2" x14ac:dyDescent="0.2">
      <c r="A2850" s="68">
        <v>41621</v>
      </c>
      <c r="B2850" s="69">
        <v>0.78863000000000005</v>
      </c>
    </row>
    <row r="2851" spans="1:2" x14ac:dyDescent="0.2">
      <c r="A2851" s="68">
        <v>41620</v>
      </c>
      <c r="B2851" s="69">
        <v>0.78815999999999997</v>
      </c>
    </row>
    <row r="2852" spans="1:2" x14ac:dyDescent="0.2">
      <c r="A2852" s="68">
        <v>41619</v>
      </c>
      <c r="B2852" s="69">
        <v>0.78805000000000003</v>
      </c>
    </row>
    <row r="2853" spans="1:2" x14ac:dyDescent="0.2">
      <c r="A2853" s="68">
        <v>41618</v>
      </c>
      <c r="B2853" s="69">
        <v>0.78822999999999999</v>
      </c>
    </row>
    <row r="2854" spans="1:2" x14ac:dyDescent="0.2">
      <c r="A2854" s="68">
        <v>41617</v>
      </c>
      <c r="B2854" s="69">
        <v>0.78834000000000004</v>
      </c>
    </row>
    <row r="2855" spans="1:2" x14ac:dyDescent="0.2">
      <c r="A2855" s="68">
        <v>41614</v>
      </c>
      <c r="B2855" s="69">
        <v>0.78969</v>
      </c>
    </row>
    <row r="2856" spans="1:2" x14ac:dyDescent="0.2">
      <c r="A2856" s="68">
        <v>41613</v>
      </c>
      <c r="B2856" s="69">
        <v>0.79076999999999997</v>
      </c>
    </row>
    <row r="2857" spans="1:2" x14ac:dyDescent="0.2">
      <c r="A2857" s="68">
        <v>41612</v>
      </c>
      <c r="B2857" s="69">
        <v>0.79069</v>
      </c>
    </row>
    <row r="2858" spans="1:2" x14ac:dyDescent="0.2">
      <c r="A2858" s="68">
        <v>41611</v>
      </c>
      <c r="B2858" s="69">
        <v>0.79139999999999999</v>
      </c>
    </row>
    <row r="2859" spans="1:2" x14ac:dyDescent="0.2">
      <c r="A2859" s="68">
        <v>41610</v>
      </c>
      <c r="B2859" s="69">
        <v>0.79105999999999999</v>
      </c>
    </row>
    <row r="2860" spans="1:2" x14ac:dyDescent="0.2">
      <c r="A2860" s="68">
        <v>41607</v>
      </c>
      <c r="B2860" s="69">
        <v>0.79103000000000001</v>
      </c>
    </row>
    <row r="2861" spans="1:2" x14ac:dyDescent="0.2">
      <c r="A2861" s="68">
        <v>41606</v>
      </c>
      <c r="B2861" s="69">
        <v>0.79125000000000001</v>
      </c>
    </row>
    <row r="2862" spans="1:2" x14ac:dyDescent="0.2">
      <c r="A2862" s="68">
        <v>41605</v>
      </c>
      <c r="B2862" s="69">
        <v>0.79113</v>
      </c>
    </row>
    <row r="2863" spans="1:2" x14ac:dyDescent="0.2">
      <c r="A2863" s="68">
        <v>41604</v>
      </c>
      <c r="B2863" s="69">
        <v>0.79142000000000001</v>
      </c>
    </row>
    <row r="2864" spans="1:2" x14ac:dyDescent="0.2">
      <c r="A2864" s="68">
        <v>41603</v>
      </c>
      <c r="B2864" s="69">
        <v>0.79122999999999999</v>
      </c>
    </row>
    <row r="2865" spans="1:2" x14ac:dyDescent="0.2">
      <c r="A2865" s="68">
        <v>41600</v>
      </c>
      <c r="B2865" s="69">
        <v>0.79176999999999997</v>
      </c>
    </row>
    <row r="2866" spans="1:2" x14ac:dyDescent="0.2">
      <c r="A2866" s="68">
        <v>41599</v>
      </c>
      <c r="B2866" s="69">
        <v>0.79164000000000001</v>
      </c>
    </row>
    <row r="2867" spans="1:2" x14ac:dyDescent="0.2">
      <c r="A2867" s="68">
        <v>41598</v>
      </c>
      <c r="B2867" s="69">
        <v>0.79086000000000001</v>
      </c>
    </row>
    <row r="2868" spans="1:2" x14ac:dyDescent="0.2">
      <c r="A2868" s="68">
        <v>41597</v>
      </c>
      <c r="B2868" s="69">
        <v>0.79093000000000002</v>
      </c>
    </row>
    <row r="2869" spans="1:2" x14ac:dyDescent="0.2">
      <c r="A2869" s="68">
        <v>41596</v>
      </c>
      <c r="B2869" s="69">
        <v>0.79100000000000004</v>
      </c>
    </row>
    <row r="2870" spans="1:2" x14ac:dyDescent="0.2">
      <c r="A2870" s="68">
        <v>41593</v>
      </c>
      <c r="B2870" s="69">
        <v>0.79125999999999996</v>
      </c>
    </row>
    <row r="2871" spans="1:2" x14ac:dyDescent="0.2">
      <c r="A2871" s="68">
        <v>41592</v>
      </c>
      <c r="B2871" s="69">
        <v>0.79081999999999997</v>
      </c>
    </row>
    <row r="2872" spans="1:2" x14ac:dyDescent="0.2">
      <c r="A2872" s="68">
        <v>41591</v>
      </c>
      <c r="B2872" s="69">
        <v>0.79120000000000001</v>
      </c>
    </row>
    <row r="2873" spans="1:2" x14ac:dyDescent="0.2">
      <c r="A2873" s="68">
        <v>41590</v>
      </c>
      <c r="B2873" s="69">
        <v>0.79147000000000001</v>
      </c>
    </row>
    <row r="2874" spans="1:2" x14ac:dyDescent="0.2">
      <c r="A2874" s="68">
        <v>41589</v>
      </c>
      <c r="B2874" s="69">
        <v>0.79196</v>
      </c>
    </row>
    <row r="2875" spans="1:2" x14ac:dyDescent="0.2">
      <c r="A2875" s="68">
        <v>41586</v>
      </c>
      <c r="B2875" s="69">
        <v>0.79151000000000005</v>
      </c>
    </row>
    <row r="2876" spans="1:2" x14ac:dyDescent="0.2">
      <c r="A2876" s="68">
        <v>41585</v>
      </c>
      <c r="B2876" s="69">
        <v>0.79273000000000005</v>
      </c>
    </row>
    <row r="2877" spans="1:2" x14ac:dyDescent="0.2">
      <c r="A2877" s="68">
        <v>41584</v>
      </c>
      <c r="B2877" s="69">
        <v>0.79307000000000005</v>
      </c>
    </row>
    <row r="2878" spans="1:2" x14ac:dyDescent="0.2">
      <c r="A2878" s="68">
        <v>41583</v>
      </c>
      <c r="B2878" s="69">
        <v>0.79271000000000003</v>
      </c>
    </row>
    <row r="2879" spans="1:2" x14ac:dyDescent="0.2">
      <c r="A2879" s="68">
        <v>41582</v>
      </c>
      <c r="B2879" s="69">
        <v>0.79307000000000005</v>
      </c>
    </row>
    <row r="2880" spans="1:2" x14ac:dyDescent="0.2">
      <c r="A2880" s="68">
        <v>41579</v>
      </c>
      <c r="B2880" s="69">
        <v>0.79262999999999995</v>
      </c>
    </row>
    <row r="2881" spans="1:2" x14ac:dyDescent="0.2">
      <c r="A2881" s="68">
        <v>41578</v>
      </c>
      <c r="B2881" s="69">
        <v>0.79225999999999996</v>
      </c>
    </row>
    <row r="2882" spans="1:2" x14ac:dyDescent="0.2">
      <c r="A2882" s="68">
        <v>41577</v>
      </c>
      <c r="B2882" s="69">
        <v>0.79208000000000001</v>
      </c>
    </row>
    <row r="2883" spans="1:2" x14ac:dyDescent="0.2">
      <c r="A2883" s="68">
        <v>41576</v>
      </c>
      <c r="B2883" s="69">
        <v>0.79154999999999998</v>
      </c>
    </row>
    <row r="2884" spans="1:2" x14ac:dyDescent="0.2">
      <c r="A2884" s="68">
        <v>41575</v>
      </c>
      <c r="B2884" s="69">
        <v>0.79108000000000001</v>
      </c>
    </row>
    <row r="2885" spans="1:2" x14ac:dyDescent="0.2">
      <c r="A2885" s="68">
        <v>41572</v>
      </c>
      <c r="B2885" s="69">
        <v>0.79098999999999997</v>
      </c>
    </row>
    <row r="2886" spans="1:2" x14ac:dyDescent="0.2">
      <c r="A2886" s="68">
        <v>41571</v>
      </c>
      <c r="B2886" s="69">
        <v>0.79110999999999998</v>
      </c>
    </row>
    <row r="2887" spans="1:2" x14ac:dyDescent="0.2">
      <c r="A2887" s="68">
        <v>41570</v>
      </c>
      <c r="B2887" s="69">
        <v>0.79110000000000003</v>
      </c>
    </row>
    <row r="2888" spans="1:2" x14ac:dyDescent="0.2">
      <c r="A2888" s="68">
        <v>41569</v>
      </c>
      <c r="B2888" s="69">
        <v>0.79190000000000005</v>
      </c>
    </row>
    <row r="2889" spans="1:2" x14ac:dyDescent="0.2">
      <c r="A2889" s="68">
        <v>41568</v>
      </c>
      <c r="B2889" s="69">
        <v>0.79127999999999998</v>
      </c>
    </row>
    <row r="2890" spans="1:2" x14ac:dyDescent="0.2">
      <c r="A2890" s="68">
        <v>41565</v>
      </c>
      <c r="B2890" s="69">
        <v>0.79149000000000003</v>
      </c>
    </row>
    <row r="2891" spans="1:2" x14ac:dyDescent="0.2">
      <c r="A2891" s="68">
        <v>41564</v>
      </c>
      <c r="B2891" s="69">
        <v>0.79220000000000002</v>
      </c>
    </row>
    <row r="2892" spans="1:2" x14ac:dyDescent="0.2">
      <c r="A2892" s="68">
        <v>41563</v>
      </c>
      <c r="B2892" s="69">
        <v>0.79190000000000005</v>
      </c>
    </row>
    <row r="2893" spans="1:2" x14ac:dyDescent="0.2">
      <c r="A2893" s="68">
        <v>41562</v>
      </c>
      <c r="B2893" s="69">
        <v>0.79193999999999998</v>
      </c>
    </row>
    <row r="2894" spans="1:2" x14ac:dyDescent="0.2">
      <c r="A2894" s="68">
        <v>41561</v>
      </c>
      <c r="B2894" s="69">
        <v>0.79191</v>
      </c>
    </row>
    <row r="2895" spans="1:2" x14ac:dyDescent="0.2">
      <c r="A2895" s="68">
        <v>41558</v>
      </c>
      <c r="B2895" s="69">
        <v>0.79254000000000002</v>
      </c>
    </row>
    <row r="2896" spans="1:2" x14ac:dyDescent="0.2">
      <c r="A2896" s="68">
        <v>41557</v>
      </c>
      <c r="B2896" s="69">
        <v>0.79247999999999996</v>
      </c>
    </row>
    <row r="2897" spans="1:2" x14ac:dyDescent="0.2">
      <c r="A2897" s="68">
        <v>41556</v>
      </c>
      <c r="B2897" s="69">
        <v>0.79224000000000006</v>
      </c>
    </row>
    <row r="2898" spans="1:2" x14ac:dyDescent="0.2">
      <c r="A2898" s="68">
        <v>41555</v>
      </c>
      <c r="B2898" s="69">
        <v>0.79201999999999995</v>
      </c>
    </row>
    <row r="2899" spans="1:2" x14ac:dyDescent="0.2">
      <c r="A2899" s="68">
        <v>41547</v>
      </c>
      <c r="B2899" s="69">
        <v>0.79286999999999996</v>
      </c>
    </row>
    <row r="2900" spans="1:2" x14ac:dyDescent="0.2">
      <c r="A2900" s="68">
        <v>41544</v>
      </c>
      <c r="B2900" s="69">
        <v>0.79305000000000003</v>
      </c>
    </row>
    <row r="2901" spans="1:2" x14ac:dyDescent="0.2">
      <c r="A2901" s="68">
        <v>41543</v>
      </c>
      <c r="B2901" s="69">
        <v>0.79286000000000001</v>
      </c>
    </row>
    <row r="2902" spans="1:2" x14ac:dyDescent="0.2">
      <c r="A2902" s="68">
        <v>41542</v>
      </c>
      <c r="B2902" s="69">
        <v>0.79317000000000004</v>
      </c>
    </row>
    <row r="2903" spans="1:2" x14ac:dyDescent="0.2">
      <c r="A2903" s="68">
        <v>41541</v>
      </c>
      <c r="B2903" s="69">
        <v>0.79303000000000001</v>
      </c>
    </row>
    <row r="2904" spans="1:2" x14ac:dyDescent="0.2">
      <c r="A2904" s="68">
        <v>41540</v>
      </c>
      <c r="B2904" s="69">
        <v>0.79285000000000005</v>
      </c>
    </row>
    <row r="2905" spans="1:2" x14ac:dyDescent="0.2">
      <c r="A2905" s="68">
        <v>41535</v>
      </c>
      <c r="B2905" s="69">
        <v>0.79383999999999999</v>
      </c>
    </row>
    <row r="2906" spans="1:2" x14ac:dyDescent="0.2">
      <c r="A2906" s="68">
        <v>41534</v>
      </c>
      <c r="B2906" s="69">
        <v>0.79401999999999995</v>
      </c>
    </row>
    <row r="2907" spans="1:2" x14ac:dyDescent="0.2">
      <c r="A2907" s="68">
        <v>41533</v>
      </c>
      <c r="B2907" s="69">
        <v>0.79381000000000002</v>
      </c>
    </row>
    <row r="2908" spans="1:2" x14ac:dyDescent="0.2">
      <c r="A2908" s="68">
        <v>41530</v>
      </c>
      <c r="B2908" s="69">
        <v>0.79413</v>
      </c>
    </row>
    <row r="2909" spans="1:2" x14ac:dyDescent="0.2">
      <c r="A2909" s="68">
        <v>41529</v>
      </c>
      <c r="B2909" s="69">
        <v>0.79408000000000001</v>
      </c>
    </row>
    <row r="2910" spans="1:2" x14ac:dyDescent="0.2">
      <c r="A2910" s="68">
        <v>41528</v>
      </c>
      <c r="B2910" s="69">
        <v>0.79437000000000002</v>
      </c>
    </row>
    <row r="2911" spans="1:2" x14ac:dyDescent="0.2">
      <c r="A2911" s="68">
        <v>41527</v>
      </c>
      <c r="B2911" s="69">
        <v>0.79454999999999998</v>
      </c>
    </row>
    <row r="2912" spans="1:2" x14ac:dyDescent="0.2">
      <c r="A2912" s="68">
        <v>41526</v>
      </c>
      <c r="B2912" s="69">
        <v>0.79479</v>
      </c>
    </row>
    <row r="2913" spans="1:2" x14ac:dyDescent="0.2">
      <c r="A2913" s="68">
        <v>41523</v>
      </c>
      <c r="B2913" s="69">
        <v>0.79588000000000003</v>
      </c>
    </row>
    <row r="2914" spans="1:2" x14ac:dyDescent="0.2">
      <c r="A2914" s="68">
        <v>41522</v>
      </c>
      <c r="B2914" s="69">
        <v>0.79552999999999996</v>
      </c>
    </row>
    <row r="2915" spans="1:2" x14ac:dyDescent="0.2">
      <c r="A2915" s="68">
        <v>41521</v>
      </c>
      <c r="B2915" s="69">
        <v>0.79593000000000003</v>
      </c>
    </row>
    <row r="2916" spans="1:2" x14ac:dyDescent="0.2">
      <c r="A2916" s="68">
        <v>41520</v>
      </c>
      <c r="B2916" s="69">
        <v>0.79591999999999996</v>
      </c>
    </row>
    <row r="2917" spans="1:2" x14ac:dyDescent="0.2">
      <c r="A2917" s="68">
        <v>41519</v>
      </c>
      <c r="B2917" s="69">
        <v>0.79568000000000005</v>
      </c>
    </row>
    <row r="2918" spans="1:2" x14ac:dyDescent="0.2">
      <c r="A2918" s="68">
        <v>41516</v>
      </c>
      <c r="B2918" s="69">
        <v>0.79569000000000001</v>
      </c>
    </row>
    <row r="2919" spans="1:2" x14ac:dyDescent="0.2">
      <c r="A2919" s="68">
        <v>41515</v>
      </c>
      <c r="B2919" s="69">
        <v>0.79544999999999999</v>
      </c>
    </row>
    <row r="2920" spans="1:2" x14ac:dyDescent="0.2">
      <c r="A2920" s="68">
        <v>41514</v>
      </c>
      <c r="B2920" s="69">
        <v>0.79503999999999997</v>
      </c>
    </row>
    <row r="2921" spans="1:2" x14ac:dyDescent="0.2">
      <c r="A2921" s="68">
        <v>41513</v>
      </c>
      <c r="B2921" s="69">
        <v>0.7954</v>
      </c>
    </row>
    <row r="2922" spans="1:2" x14ac:dyDescent="0.2">
      <c r="A2922" s="68">
        <v>41512</v>
      </c>
      <c r="B2922" s="69">
        <v>0.79534000000000005</v>
      </c>
    </row>
    <row r="2923" spans="1:2" x14ac:dyDescent="0.2">
      <c r="A2923" s="68">
        <v>41509</v>
      </c>
      <c r="B2923" s="69">
        <v>0.79569000000000001</v>
      </c>
    </row>
    <row r="2924" spans="1:2" x14ac:dyDescent="0.2">
      <c r="A2924" s="68">
        <v>41508</v>
      </c>
      <c r="B2924" s="69">
        <v>0.79557999999999995</v>
      </c>
    </row>
    <row r="2925" spans="1:2" x14ac:dyDescent="0.2">
      <c r="A2925" s="68">
        <v>41507</v>
      </c>
      <c r="B2925" s="69">
        <v>0.79532000000000003</v>
      </c>
    </row>
    <row r="2926" spans="1:2" x14ac:dyDescent="0.2">
      <c r="A2926" s="68">
        <v>41506</v>
      </c>
      <c r="B2926" s="69">
        <v>0.79559999999999997</v>
      </c>
    </row>
    <row r="2927" spans="1:2" x14ac:dyDescent="0.2">
      <c r="A2927" s="68">
        <v>41505</v>
      </c>
      <c r="B2927" s="69">
        <v>0.79564999999999997</v>
      </c>
    </row>
    <row r="2928" spans="1:2" x14ac:dyDescent="0.2">
      <c r="A2928" s="68">
        <v>41502</v>
      </c>
      <c r="B2928" s="69">
        <v>0.79525999999999997</v>
      </c>
    </row>
    <row r="2929" spans="1:2" x14ac:dyDescent="0.2">
      <c r="A2929" s="68">
        <v>41501</v>
      </c>
      <c r="B2929" s="69">
        <v>0.79549000000000003</v>
      </c>
    </row>
    <row r="2930" spans="1:2" x14ac:dyDescent="0.2">
      <c r="A2930" s="68">
        <v>41500</v>
      </c>
      <c r="B2930" s="69">
        <v>0.79579</v>
      </c>
    </row>
    <row r="2931" spans="1:2" x14ac:dyDescent="0.2">
      <c r="A2931" s="68">
        <v>41499</v>
      </c>
      <c r="B2931" s="69">
        <v>0.79561999999999999</v>
      </c>
    </row>
    <row r="2932" spans="1:2" x14ac:dyDescent="0.2">
      <c r="A2932" s="68">
        <v>41498</v>
      </c>
      <c r="B2932" s="69">
        <v>0.79512000000000005</v>
      </c>
    </row>
    <row r="2933" spans="1:2" x14ac:dyDescent="0.2">
      <c r="A2933" s="68">
        <v>41495</v>
      </c>
      <c r="B2933" s="69">
        <v>0.79508999999999996</v>
      </c>
    </row>
    <row r="2934" spans="1:2" x14ac:dyDescent="0.2">
      <c r="A2934" s="68">
        <v>41494</v>
      </c>
      <c r="B2934" s="69">
        <v>0.79547000000000001</v>
      </c>
    </row>
    <row r="2935" spans="1:2" x14ac:dyDescent="0.2">
      <c r="A2935" s="68">
        <v>41493</v>
      </c>
      <c r="B2935" s="69">
        <v>0.79579999999999995</v>
      </c>
    </row>
    <row r="2936" spans="1:2" x14ac:dyDescent="0.2">
      <c r="A2936" s="68">
        <v>41492</v>
      </c>
      <c r="B2936" s="69">
        <v>0.79610000000000003</v>
      </c>
    </row>
    <row r="2937" spans="1:2" x14ac:dyDescent="0.2">
      <c r="A2937" s="68">
        <v>41491</v>
      </c>
      <c r="B2937" s="69">
        <v>0.79637000000000002</v>
      </c>
    </row>
    <row r="2938" spans="1:2" x14ac:dyDescent="0.2">
      <c r="A2938" s="68">
        <v>41488</v>
      </c>
      <c r="B2938" s="69">
        <v>0.79701</v>
      </c>
    </row>
    <row r="2939" spans="1:2" x14ac:dyDescent="0.2">
      <c r="A2939" s="68">
        <v>41487</v>
      </c>
      <c r="B2939" s="69">
        <v>0.79659000000000002</v>
      </c>
    </row>
    <row r="2940" spans="1:2" x14ac:dyDescent="0.2">
      <c r="A2940" s="68">
        <v>41486</v>
      </c>
      <c r="B2940" s="69">
        <v>0.79671999999999998</v>
      </c>
    </row>
    <row r="2941" spans="1:2" x14ac:dyDescent="0.2">
      <c r="A2941" s="68">
        <v>41485</v>
      </c>
      <c r="B2941" s="69">
        <v>0.79632000000000003</v>
      </c>
    </row>
    <row r="2942" spans="1:2" x14ac:dyDescent="0.2">
      <c r="A2942" s="68">
        <v>41484</v>
      </c>
      <c r="B2942" s="69">
        <v>0.79549999999999998</v>
      </c>
    </row>
    <row r="2943" spans="1:2" x14ac:dyDescent="0.2">
      <c r="A2943" s="68">
        <v>41481</v>
      </c>
      <c r="B2943" s="69">
        <v>0.79561999999999999</v>
      </c>
    </row>
    <row r="2944" spans="1:2" x14ac:dyDescent="0.2">
      <c r="A2944" s="68">
        <v>41480</v>
      </c>
      <c r="B2944" s="69">
        <v>0.79610999999999998</v>
      </c>
    </row>
    <row r="2945" spans="1:2" x14ac:dyDescent="0.2">
      <c r="A2945" s="68">
        <v>41479</v>
      </c>
      <c r="B2945" s="69">
        <v>0.79529000000000005</v>
      </c>
    </row>
    <row r="2946" spans="1:2" x14ac:dyDescent="0.2">
      <c r="A2946" s="68">
        <v>41478</v>
      </c>
      <c r="B2946" s="69">
        <v>0.79530000000000001</v>
      </c>
    </row>
    <row r="2947" spans="1:2" x14ac:dyDescent="0.2">
      <c r="A2947" s="68">
        <v>41477</v>
      </c>
      <c r="B2947" s="69">
        <v>0.79561999999999999</v>
      </c>
    </row>
    <row r="2948" spans="1:2" x14ac:dyDescent="0.2">
      <c r="A2948" s="68">
        <v>41474</v>
      </c>
      <c r="B2948" s="69">
        <v>0.79598000000000002</v>
      </c>
    </row>
    <row r="2949" spans="1:2" x14ac:dyDescent="0.2">
      <c r="A2949" s="68">
        <v>41473</v>
      </c>
      <c r="B2949" s="69">
        <v>0.79561999999999999</v>
      </c>
    </row>
    <row r="2950" spans="1:2" x14ac:dyDescent="0.2">
      <c r="A2950" s="68">
        <v>41472</v>
      </c>
      <c r="B2950" s="69">
        <v>0.79469999999999996</v>
      </c>
    </row>
    <row r="2951" spans="1:2" x14ac:dyDescent="0.2">
      <c r="A2951" s="68">
        <v>41471</v>
      </c>
      <c r="B2951" s="69">
        <v>0.79518</v>
      </c>
    </row>
    <row r="2952" spans="1:2" x14ac:dyDescent="0.2">
      <c r="A2952" s="68">
        <v>41470</v>
      </c>
      <c r="B2952" s="69">
        <v>0.79483999999999999</v>
      </c>
    </row>
    <row r="2953" spans="1:2" x14ac:dyDescent="0.2">
      <c r="A2953" s="68">
        <v>41467</v>
      </c>
      <c r="B2953" s="69">
        <v>0.79457999999999995</v>
      </c>
    </row>
    <row r="2954" spans="1:2" x14ac:dyDescent="0.2">
      <c r="A2954" s="68">
        <v>41466</v>
      </c>
      <c r="B2954" s="69">
        <v>0.79415999999999998</v>
      </c>
    </row>
    <row r="2955" spans="1:2" x14ac:dyDescent="0.2">
      <c r="A2955" s="68">
        <v>41465</v>
      </c>
      <c r="B2955" s="69">
        <v>0.79483999999999999</v>
      </c>
    </row>
    <row r="2956" spans="1:2" x14ac:dyDescent="0.2">
      <c r="A2956" s="68">
        <v>41464</v>
      </c>
      <c r="B2956" s="69">
        <v>0.79595000000000005</v>
      </c>
    </row>
    <row r="2957" spans="1:2" x14ac:dyDescent="0.2">
      <c r="A2957" s="68">
        <v>41463</v>
      </c>
      <c r="B2957" s="69">
        <v>0.79705000000000004</v>
      </c>
    </row>
    <row r="2958" spans="1:2" x14ac:dyDescent="0.2">
      <c r="A2958" s="68">
        <v>41460</v>
      </c>
      <c r="B2958" s="69">
        <v>0.79688999999999999</v>
      </c>
    </row>
    <row r="2959" spans="1:2" x14ac:dyDescent="0.2">
      <c r="A2959" s="68">
        <v>41459</v>
      </c>
      <c r="B2959" s="69">
        <v>0.79644000000000004</v>
      </c>
    </row>
    <row r="2960" spans="1:2" x14ac:dyDescent="0.2">
      <c r="A2960" s="68">
        <v>41458</v>
      </c>
      <c r="B2960" s="69">
        <v>0.79703999999999997</v>
      </c>
    </row>
    <row r="2961" spans="1:2" x14ac:dyDescent="0.2">
      <c r="A2961" s="68">
        <v>41457</v>
      </c>
      <c r="B2961" s="69">
        <v>0.79644999999999999</v>
      </c>
    </row>
    <row r="2962" spans="1:2" x14ac:dyDescent="0.2">
      <c r="A2962" s="68">
        <v>41456</v>
      </c>
      <c r="B2962" s="69">
        <v>0.79676000000000002</v>
      </c>
    </row>
    <row r="2963" spans="1:2" x14ac:dyDescent="0.2">
      <c r="A2963" s="68">
        <v>41453</v>
      </c>
      <c r="B2963" s="69">
        <v>0.79654999999999998</v>
      </c>
    </row>
    <row r="2964" spans="1:2" x14ac:dyDescent="0.2">
      <c r="A2964" s="68">
        <v>41452</v>
      </c>
      <c r="B2964" s="69">
        <v>0.79652000000000001</v>
      </c>
    </row>
    <row r="2965" spans="1:2" x14ac:dyDescent="0.2">
      <c r="A2965" s="68">
        <v>41451</v>
      </c>
      <c r="B2965" s="69">
        <v>0.79639000000000004</v>
      </c>
    </row>
    <row r="2966" spans="1:2" x14ac:dyDescent="0.2">
      <c r="A2966" s="68">
        <v>41450</v>
      </c>
      <c r="B2966" s="69">
        <v>0.79613999999999996</v>
      </c>
    </row>
    <row r="2967" spans="1:2" x14ac:dyDescent="0.2">
      <c r="A2967" s="68">
        <v>41449</v>
      </c>
      <c r="B2967" s="69">
        <v>0.79671000000000003</v>
      </c>
    </row>
    <row r="2968" spans="1:2" x14ac:dyDescent="0.2">
      <c r="A2968" s="68">
        <v>41446</v>
      </c>
      <c r="B2968" s="69">
        <v>0.79644999999999999</v>
      </c>
    </row>
    <row r="2969" spans="1:2" x14ac:dyDescent="0.2">
      <c r="A2969" s="68">
        <v>41445</v>
      </c>
      <c r="B2969" s="69">
        <v>0.79530000000000001</v>
      </c>
    </row>
    <row r="2970" spans="1:2" x14ac:dyDescent="0.2">
      <c r="A2970" s="68">
        <v>41444</v>
      </c>
      <c r="B2970" s="69">
        <v>0.79493000000000003</v>
      </c>
    </row>
    <row r="2971" spans="1:2" x14ac:dyDescent="0.2">
      <c r="A2971" s="68">
        <v>41443</v>
      </c>
      <c r="B2971" s="69">
        <v>0.79454000000000002</v>
      </c>
    </row>
    <row r="2972" spans="1:2" x14ac:dyDescent="0.2">
      <c r="A2972" s="68">
        <v>41442</v>
      </c>
      <c r="B2972" s="69">
        <v>0.79371000000000003</v>
      </c>
    </row>
    <row r="2973" spans="1:2" x14ac:dyDescent="0.2">
      <c r="A2973" s="68">
        <v>41439</v>
      </c>
      <c r="B2973" s="69">
        <v>0.79344999999999999</v>
      </c>
    </row>
    <row r="2974" spans="1:2" x14ac:dyDescent="0.2">
      <c r="A2974" s="68">
        <v>41438</v>
      </c>
      <c r="B2974" s="69">
        <v>0.79347000000000001</v>
      </c>
    </row>
    <row r="2975" spans="1:2" x14ac:dyDescent="0.2">
      <c r="A2975" s="68">
        <v>41432</v>
      </c>
      <c r="B2975" s="69">
        <v>0.79381000000000002</v>
      </c>
    </row>
    <row r="2976" spans="1:2" x14ac:dyDescent="0.2">
      <c r="A2976" s="68">
        <v>41431</v>
      </c>
      <c r="B2976" s="69">
        <v>0.79554999999999998</v>
      </c>
    </row>
    <row r="2977" spans="1:2" x14ac:dyDescent="0.2">
      <c r="A2977" s="68">
        <v>41430</v>
      </c>
      <c r="B2977" s="69">
        <v>0.79571999999999998</v>
      </c>
    </row>
    <row r="2978" spans="1:2" x14ac:dyDescent="0.2">
      <c r="A2978" s="68">
        <v>41429</v>
      </c>
      <c r="B2978" s="69">
        <v>0.79529000000000005</v>
      </c>
    </row>
    <row r="2979" spans="1:2" x14ac:dyDescent="0.2">
      <c r="A2979" s="68">
        <v>41428</v>
      </c>
      <c r="B2979" s="69">
        <v>0.79613999999999996</v>
      </c>
    </row>
    <row r="2980" spans="1:2" x14ac:dyDescent="0.2">
      <c r="A2980" s="68">
        <v>41425</v>
      </c>
      <c r="B2980" s="69">
        <v>0.79598999999999998</v>
      </c>
    </row>
    <row r="2981" spans="1:2" x14ac:dyDescent="0.2">
      <c r="A2981" s="68">
        <v>41424</v>
      </c>
      <c r="B2981" s="69">
        <v>0.79625999999999997</v>
      </c>
    </row>
    <row r="2982" spans="1:2" x14ac:dyDescent="0.2">
      <c r="A2982" s="68">
        <v>41423</v>
      </c>
      <c r="B2982" s="69">
        <v>0.79666999999999999</v>
      </c>
    </row>
    <row r="2983" spans="1:2" x14ac:dyDescent="0.2">
      <c r="A2983" s="68">
        <v>41422</v>
      </c>
      <c r="B2983" s="69">
        <v>0.79627000000000003</v>
      </c>
    </row>
    <row r="2984" spans="1:2" x14ac:dyDescent="0.2">
      <c r="A2984" s="68">
        <v>41421</v>
      </c>
      <c r="B2984" s="69">
        <v>0.79618999999999995</v>
      </c>
    </row>
    <row r="2985" spans="1:2" x14ac:dyDescent="0.2">
      <c r="A2985" s="68">
        <v>41418</v>
      </c>
      <c r="B2985" s="69">
        <v>0.79693999999999998</v>
      </c>
    </row>
    <row r="2986" spans="1:2" x14ac:dyDescent="0.2">
      <c r="A2986" s="68">
        <v>41417</v>
      </c>
      <c r="B2986" s="69">
        <v>0.79810999999999999</v>
      </c>
    </row>
    <row r="2987" spans="1:2" x14ac:dyDescent="0.2">
      <c r="A2987" s="68">
        <v>41416</v>
      </c>
      <c r="B2987" s="69">
        <v>0.79762999999999995</v>
      </c>
    </row>
    <row r="2988" spans="1:2" x14ac:dyDescent="0.2">
      <c r="A2988" s="68">
        <v>41415</v>
      </c>
      <c r="B2988" s="69">
        <v>0.79754000000000003</v>
      </c>
    </row>
    <row r="2989" spans="1:2" x14ac:dyDescent="0.2">
      <c r="A2989" s="68">
        <v>41414</v>
      </c>
      <c r="B2989" s="69">
        <v>0.79861000000000004</v>
      </c>
    </row>
    <row r="2990" spans="1:2" x14ac:dyDescent="0.2">
      <c r="A2990" s="68">
        <v>41411</v>
      </c>
      <c r="B2990" s="69">
        <v>0.79854999999999998</v>
      </c>
    </row>
    <row r="2991" spans="1:2" x14ac:dyDescent="0.2">
      <c r="A2991" s="68">
        <v>41410</v>
      </c>
      <c r="B2991" s="69">
        <v>0.80001999999999995</v>
      </c>
    </row>
    <row r="2992" spans="1:2" x14ac:dyDescent="0.2">
      <c r="A2992" s="68">
        <v>41409</v>
      </c>
      <c r="B2992" s="69">
        <v>0.79969999999999997</v>
      </c>
    </row>
    <row r="2993" spans="1:2" x14ac:dyDescent="0.2">
      <c r="A2993" s="68">
        <v>41408</v>
      </c>
      <c r="B2993" s="69">
        <v>0.79930000000000001</v>
      </c>
    </row>
    <row r="2994" spans="1:2" x14ac:dyDescent="0.2">
      <c r="A2994" s="68">
        <v>41407</v>
      </c>
      <c r="B2994" s="69">
        <v>0.79981999999999998</v>
      </c>
    </row>
    <row r="2995" spans="1:2" x14ac:dyDescent="0.2">
      <c r="A2995" s="68">
        <v>41404</v>
      </c>
      <c r="B2995" s="69">
        <v>0.79918</v>
      </c>
    </row>
    <row r="2996" spans="1:2" x14ac:dyDescent="0.2">
      <c r="A2996" s="68">
        <v>41403</v>
      </c>
      <c r="B2996" s="69">
        <v>0.79805999999999999</v>
      </c>
    </row>
    <row r="2997" spans="1:2" x14ac:dyDescent="0.2">
      <c r="A2997" s="68">
        <v>41402</v>
      </c>
      <c r="B2997" s="69">
        <v>0.79859000000000002</v>
      </c>
    </row>
    <row r="2998" spans="1:2" x14ac:dyDescent="0.2">
      <c r="A2998" s="68">
        <v>41401</v>
      </c>
      <c r="B2998" s="69">
        <v>0.80005000000000004</v>
      </c>
    </row>
    <row r="2999" spans="1:2" x14ac:dyDescent="0.2">
      <c r="A2999" s="68">
        <v>41400</v>
      </c>
      <c r="B2999" s="69">
        <v>0.80054999999999998</v>
      </c>
    </row>
    <row r="3000" spans="1:2" x14ac:dyDescent="0.2">
      <c r="A3000" s="68">
        <v>41397</v>
      </c>
      <c r="B3000" s="69">
        <v>0.80095000000000005</v>
      </c>
    </row>
    <row r="3001" spans="1:2" x14ac:dyDescent="0.2">
      <c r="A3001" s="68">
        <v>41396</v>
      </c>
      <c r="B3001" s="69">
        <v>0.80005000000000004</v>
      </c>
    </row>
    <row r="3002" spans="1:2" x14ac:dyDescent="0.2">
      <c r="A3002" s="68">
        <v>41390</v>
      </c>
      <c r="B3002" s="69">
        <v>0.80118999999999996</v>
      </c>
    </row>
    <row r="3003" spans="1:2" x14ac:dyDescent="0.2">
      <c r="A3003" s="68">
        <v>41389</v>
      </c>
      <c r="B3003" s="69">
        <v>0.8024</v>
      </c>
    </row>
    <row r="3004" spans="1:2" x14ac:dyDescent="0.2">
      <c r="A3004" s="68">
        <v>41388</v>
      </c>
      <c r="B3004" s="69">
        <v>0.80347000000000002</v>
      </c>
    </row>
    <row r="3005" spans="1:2" x14ac:dyDescent="0.2">
      <c r="A3005" s="68">
        <v>41387</v>
      </c>
      <c r="B3005" s="69">
        <v>0.80320000000000003</v>
      </c>
    </row>
    <row r="3006" spans="1:2" x14ac:dyDescent="0.2">
      <c r="A3006" s="68">
        <v>41386</v>
      </c>
      <c r="B3006" s="69">
        <v>0.80389999999999995</v>
      </c>
    </row>
    <row r="3007" spans="1:2" x14ac:dyDescent="0.2">
      <c r="A3007" s="68">
        <v>41383</v>
      </c>
      <c r="B3007" s="69">
        <v>0.80367</v>
      </c>
    </row>
    <row r="3008" spans="1:2" x14ac:dyDescent="0.2">
      <c r="A3008" s="68">
        <v>41382</v>
      </c>
      <c r="B3008" s="69">
        <v>0.80401999999999996</v>
      </c>
    </row>
    <row r="3009" spans="1:2" x14ac:dyDescent="0.2">
      <c r="A3009" s="68">
        <v>41381</v>
      </c>
      <c r="B3009" s="69">
        <v>0.80315999999999999</v>
      </c>
    </row>
    <row r="3010" spans="1:2" x14ac:dyDescent="0.2">
      <c r="A3010" s="68">
        <v>41380</v>
      </c>
      <c r="B3010" s="69">
        <v>0.80398999999999998</v>
      </c>
    </row>
    <row r="3011" spans="1:2" x14ac:dyDescent="0.2">
      <c r="A3011" s="68">
        <v>41379</v>
      </c>
      <c r="B3011" s="69">
        <v>0.80462</v>
      </c>
    </row>
    <row r="3012" spans="1:2" x14ac:dyDescent="0.2">
      <c r="A3012" s="68">
        <v>41376</v>
      </c>
      <c r="B3012" s="69">
        <v>0.80532999999999999</v>
      </c>
    </row>
    <row r="3013" spans="1:2" x14ac:dyDescent="0.2">
      <c r="A3013" s="68">
        <v>41375</v>
      </c>
      <c r="B3013" s="69">
        <v>0.80620999999999998</v>
      </c>
    </row>
    <row r="3014" spans="1:2" x14ac:dyDescent="0.2">
      <c r="A3014" s="68">
        <v>41374</v>
      </c>
      <c r="B3014" s="69">
        <v>0.80574000000000001</v>
      </c>
    </row>
    <row r="3015" spans="1:2" x14ac:dyDescent="0.2">
      <c r="A3015" s="68">
        <v>41373</v>
      </c>
      <c r="B3015" s="69">
        <v>0.80683000000000005</v>
      </c>
    </row>
    <row r="3016" spans="1:2" x14ac:dyDescent="0.2">
      <c r="A3016" s="68">
        <v>41372</v>
      </c>
      <c r="B3016" s="69">
        <v>0.80688000000000004</v>
      </c>
    </row>
    <row r="3017" spans="1:2" x14ac:dyDescent="0.2">
      <c r="A3017" s="68">
        <v>41367</v>
      </c>
      <c r="B3017" s="69">
        <v>0.80659000000000003</v>
      </c>
    </row>
    <row r="3018" spans="1:2" x14ac:dyDescent="0.2">
      <c r="A3018" s="68">
        <v>41366</v>
      </c>
      <c r="B3018" s="69">
        <v>0.80622000000000005</v>
      </c>
    </row>
    <row r="3019" spans="1:2" x14ac:dyDescent="0.2">
      <c r="A3019" s="68">
        <v>41365</v>
      </c>
      <c r="B3019" s="69">
        <v>0.80733999999999995</v>
      </c>
    </row>
    <row r="3020" spans="1:2" x14ac:dyDescent="0.2">
      <c r="A3020" s="68">
        <v>41362</v>
      </c>
      <c r="B3020" s="69">
        <v>0.80757000000000001</v>
      </c>
    </row>
    <row r="3021" spans="1:2" x14ac:dyDescent="0.2">
      <c r="A3021" s="68">
        <v>41361</v>
      </c>
      <c r="B3021" s="69">
        <v>0.80823999999999996</v>
      </c>
    </row>
    <row r="3022" spans="1:2" x14ac:dyDescent="0.2">
      <c r="A3022" s="68">
        <v>41360</v>
      </c>
      <c r="B3022" s="69">
        <v>0.80840999999999996</v>
      </c>
    </row>
    <row r="3023" spans="1:2" x14ac:dyDescent="0.2">
      <c r="A3023" s="68">
        <v>41359</v>
      </c>
      <c r="B3023" s="69">
        <v>0.80798999999999999</v>
      </c>
    </row>
    <row r="3024" spans="1:2" x14ac:dyDescent="0.2">
      <c r="A3024" s="68">
        <v>41358</v>
      </c>
      <c r="B3024" s="69">
        <v>0.80759999999999998</v>
      </c>
    </row>
    <row r="3025" spans="1:2" x14ac:dyDescent="0.2">
      <c r="A3025" s="68">
        <v>41355</v>
      </c>
      <c r="B3025" s="69">
        <v>0.80783000000000005</v>
      </c>
    </row>
    <row r="3026" spans="1:2" x14ac:dyDescent="0.2">
      <c r="A3026" s="68">
        <v>41354</v>
      </c>
      <c r="B3026" s="69">
        <v>0.80815000000000003</v>
      </c>
    </row>
    <row r="3027" spans="1:2" x14ac:dyDescent="0.2">
      <c r="A3027" s="68">
        <v>41353</v>
      </c>
      <c r="B3027" s="69">
        <v>0.80805000000000005</v>
      </c>
    </row>
    <row r="3028" spans="1:2" x14ac:dyDescent="0.2">
      <c r="A3028" s="68">
        <v>41352</v>
      </c>
      <c r="B3028" s="69">
        <v>0.80859000000000003</v>
      </c>
    </row>
    <row r="3029" spans="1:2" x14ac:dyDescent="0.2">
      <c r="A3029" s="68">
        <v>41351</v>
      </c>
      <c r="B3029" s="69">
        <v>0.80845</v>
      </c>
    </row>
    <row r="3030" spans="1:2" x14ac:dyDescent="0.2">
      <c r="A3030" s="68">
        <v>41348</v>
      </c>
      <c r="B3030" s="69">
        <v>0.80852000000000002</v>
      </c>
    </row>
    <row r="3031" spans="1:2" x14ac:dyDescent="0.2">
      <c r="A3031" s="68">
        <v>41347</v>
      </c>
      <c r="B3031" s="69">
        <v>0.80884</v>
      </c>
    </row>
    <row r="3032" spans="1:2" x14ac:dyDescent="0.2">
      <c r="A3032" s="68">
        <v>41346</v>
      </c>
      <c r="B3032" s="69">
        <v>0.80862999999999996</v>
      </c>
    </row>
    <row r="3033" spans="1:2" x14ac:dyDescent="0.2">
      <c r="A3033" s="68">
        <v>41345</v>
      </c>
      <c r="B3033" s="69">
        <v>0.80889999999999995</v>
      </c>
    </row>
    <row r="3034" spans="1:2" x14ac:dyDescent="0.2">
      <c r="A3034" s="68">
        <v>41344</v>
      </c>
      <c r="B3034" s="69">
        <v>0.80923</v>
      </c>
    </row>
    <row r="3035" spans="1:2" x14ac:dyDescent="0.2">
      <c r="A3035" s="68">
        <v>41341</v>
      </c>
      <c r="B3035" s="69">
        <v>0.80857000000000001</v>
      </c>
    </row>
    <row r="3036" spans="1:2" x14ac:dyDescent="0.2">
      <c r="A3036" s="68">
        <v>41340</v>
      </c>
      <c r="B3036" s="69">
        <v>0.80947999999999998</v>
      </c>
    </row>
    <row r="3037" spans="1:2" x14ac:dyDescent="0.2">
      <c r="A3037" s="68">
        <v>41339</v>
      </c>
      <c r="B3037" s="69">
        <v>0.80900000000000005</v>
      </c>
    </row>
    <row r="3038" spans="1:2" x14ac:dyDescent="0.2">
      <c r="A3038" s="68">
        <v>41338</v>
      </c>
      <c r="B3038" s="69">
        <v>0.80967999999999996</v>
      </c>
    </row>
    <row r="3039" spans="1:2" x14ac:dyDescent="0.2">
      <c r="A3039" s="68">
        <v>41337</v>
      </c>
      <c r="B3039" s="69">
        <v>0.81008999999999998</v>
      </c>
    </row>
    <row r="3040" spans="1:2" x14ac:dyDescent="0.2">
      <c r="A3040" s="68">
        <v>41334</v>
      </c>
      <c r="B3040" s="69">
        <v>0.80972</v>
      </c>
    </row>
    <row r="3041" spans="1:2" x14ac:dyDescent="0.2">
      <c r="A3041" s="68">
        <v>41333</v>
      </c>
      <c r="B3041" s="69">
        <v>0.80933999999999995</v>
      </c>
    </row>
    <row r="3042" spans="1:2" x14ac:dyDescent="0.2">
      <c r="A3042" s="68">
        <v>41332</v>
      </c>
      <c r="B3042" s="69">
        <v>0.80996000000000001</v>
      </c>
    </row>
    <row r="3043" spans="1:2" x14ac:dyDescent="0.2">
      <c r="A3043" s="68">
        <v>41331</v>
      </c>
      <c r="B3043" s="69">
        <v>0.81035999999999997</v>
      </c>
    </row>
    <row r="3044" spans="1:2" x14ac:dyDescent="0.2">
      <c r="A3044" s="68">
        <v>41330</v>
      </c>
      <c r="B3044" s="69">
        <v>0.81079999999999997</v>
      </c>
    </row>
    <row r="3045" spans="1:2" x14ac:dyDescent="0.2">
      <c r="A3045" s="68">
        <v>41327</v>
      </c>
      <c r="B3045" s="69">
        <v>0.81064999999999998</v>
      </c>
    </row>
    <row r="3046" spans="1:2" x14ac:dyDescent="0.2">
      <c r="A3046" s="68">
        <v>41326</v>
      </c>
      <c r="B3046" s="69">
        <v>0.81040999999999996</v>
      </c>
    </row>
    <row r="3047" spans="1:2" x14ac:dyDescent="0.2">
      <c r="A3047" s="68">
        <v>41325</v>
      </c>
      <c r="B3047" s="69">
        <v>0.80991000000000002</v>
      </c>
    </row>
    <row r="3048" spans="1:2" x14ac:dyDescent="0.2">
      <c r="A3048" s="68">
        <v>41324</v>
      </c>
      <c r="B3048" s="69">
        <v>0.81011</v>
      </c>
    </row>
    <row r="3049" spans="1:2" x14ac:dyDescent="0.2">
      <c r="A3049" s="68">
        <v>41323</v>
      </c>
      <c r="B3049" s="69">
        <v>0.81005000000000005</v>
      </c>
    </row>
    <row r="3050" spans="1:2" x14ac:dyDescent="0.2">
      <c r="A3050" s="68">
        <v>41313</v>
      </c>
      <c r="B3050" s="69">
        <v>0.80962000000000001</v>
      </c>
    </row>
    <row r="3051" spans="1:2" x14ac:dyDescent="0.2">
      <c r="A3051" s="68">
        <v>41312</v>
      </c>
      <c r="B3051" s="69">
        <v>0.81120000000000003</v>
      </c>
    </row>
    <row r="3052" spans="1:2" x14ac:dyDescent="0.2">
      <c r="A3052" s="68">
        <v>41311</v>
      </c>
      <c r="B3052" s="69">
        <v>0.81093999999999999</v>
      </c>
    </row>
    <row r="3053" spans="1:2" x14ac:dyDescent="0.2">
      <c r="A3053" s="68">
        <v>41310</v>
      </c>
      <c r="B3053" s="69">
        <v>0.81047999999999998</v>
      </c>
    </row>
    <row r="3054" spans="1:2" x14ac:dyDescent="0.2">
      <c r="A3054" s="68">
        <v>41309</v>
      </c>
      <c r="B3054" s="69">
        <v>0.81042999999999998</v>
      </c>
    </row>
    <row r="3055" spans="1:2" x14ac:dyDescent="0.2">
      <c r="A3055" s="68">
        <v>41306</v>
      </c>
      <c r="B3055" s="69">
        <v>0.81011</v>
      </c>
    </row>
    <row r="3056" spans="1:2" x14ac:dyDescent="0.2">
      <c r="A3056" s="68">
        <v>41305</v>
      </c>
      <c r="B3056" s="69">
        <v>0.80940999999999996</v>
      </c>
    </row>
    <row r="3057" spans="1:2" x14ac:dyDescent="0.2">
      <c r="A3057" s="68">
        <v>41304</v>
      </c>
      <c r="B3057" s="69">
        <v>0.80952000000000002</v>
      </c>
    </row>
    <row r="3058" spans="1:2" x14ac:dyDescent="0.2">
      <c r="A3058" s="68">
        <v>41303</v>
      </c>
      <c r="B3058" s="69">
        <v>0.81020000000000003</v>
      </c>
    </row>
    <row r="3059" spans="1:2" x14ac:dyDescent="0.2">
      <c r="A3059" s="68">
        <v>41302</v>
      </c>
      <c r="B3059" s="69">
        <v>0.81006999999999996</v>
      </c>
    </row>
    <row r="3060" spans="1:2" x14ac:dyDescent="0.2">
      <c r="A3060" s="68">
        <v>41299</v>
      </c>
      <c r="B3060" s="69">
        <v>0.81005000000000005</v>
      </c>
    </row>
    <row r="3061" spans="1:2" x14ac:dyDescent="0.2">
      <c r="A3061" s="68">
        <v>41298</v>
      </c>
      <c r="B3061" s="69">
        <v>0.80978000000000006</v>
      </c>
    </row>
    <row r="3062" spans="1:2" x14ac:dyDescent="0.2">
      <c r="A3062" s="68">
        <v>41297</v>
      </c>
      <c r="B3062" s="69">
        <v>0.80947999999999998</v>
      </c>
    </row>
    <row r="3063" spans="1:2" x14ac:dyDescent="0.2">
      <c r="A3063" s="68">
        <v>41296</v>
      </c>
      <c r="B3063" s="69">
        <v>0.80991000000000002</v>
      </c>
    </row>
    <row r="3064" spans="1:2" x14ac:dyDescent="0.2">
      <c r="A3064" s="68">
        <v>41295</v>
      </c>
      <c r="B3064" s="69">
        <v>0.80991000000000002</v>
      </c>
    </row>
    <row r="3065" spans="1:2" x14ac:dyDescent="0.2">
      <c r="A3065" s="68">
        <v>41292</v>
      </c>
      <c r="B3065" s="69">
        <v>0.80944000000000005</v>
      </c>
    </row>
    <row r="3066" spans="1:2" x14ac:dyDescent="0.2">
      <c r="A3066" s="68">
        <v>41291</v>
      </c>
      <c r="B3066" s="69">
        <v>0.80964000000000003</v>
      </c>
    </row>
    <row r="3067" spans="1:2" x14ac:dyDescent="0.2">
      <c r="A3067" s="68">
        <v>41290</v>
      </c>
      <c r="B3067" s="69">
        <v>0.80933999999999995</v>
      </c>
    </row>
    <row r="3068" spans="1:2" x14ac:dyDescent="0.2">
      <c r="A3068" s="68">
        <v>41289</v>
      </c>
      <c r="B3068" s="69">
        <v>0.80864000000000003</v>
      </c>
    </row>
    <row r="3069" spans="1:2" x14ac:dyDescent="0.2">
      <c r="A3069" s="68">
        <v>41288</v>
      </c>
      <c r="B3069" s="69">
        <v>0.80871000000000004</v>
      </c>
    </row>
    <row r="3070" spans="1:2" x14ac:dyDescent="0.2">
      <c r="A3070" s="68">
        <v>41285</v>
      </c>
      <c r="B3070" s="69">
        <v>0.80903999999999998</v>
      </c>
    </row>
    <row r="3071" spans="1:2" x14ac:dyDescent="0.2">
      <c r="A3071" s="68">
        <v>41284</v>
      </c>
      <c r="B3071" s="69">
        <v>0.81003999999999998</v>
      </c>
    </row>
    <row r="3072" spans="1:2" x14ac:dyDescent="0.2">
      <c r="A3072" s="68">
        <v>41283</v>
      </c>
      <c r="B3072" s="69">
        <v>0.81035999999999997</v>
      </c>
    </row>
    <row r="3073" spans="1:2" x14ac:dyDescent="0.2">
      <c r="A3073" s="68">
        <v>41282</v>
      </c>
      <c r="B3073" s="69">
        <v>0.81025000000000003</v>
      </c>
    </row>
    <row r="3074" spans="1:2" x14ac:dyDescent="0.2">
      <c r="A3074" s="68">
        <v>41281</v>
      </c>
      <c r="B3074" s="69">
        <v>0.81113999999999997</v>
      </c>
    </row>
    <row r="3075" spans="1:2" x14ac:dyDescent="0.2">
      <c r="A3075" s="68">
        <v>41278</v>
      </c>
      <c r="B3075" s="69">
        <v>0.81145</v>
      </c>
    </row>
    <row r="3076" spans="1:2" x14ac:dyDescent="0.2">
      <c r="A3076" s="68">
        <v>41274</v>
      </c>
      <c r="B3076" s="69">
        <v>0.81084999999999996</v>
      </c>
    </row>
    <row r="3077" spans="1:2" x14ac:dyDescent="0.2">
      <c r="A3077" s="68">
        <v>41271</v>
      </c>
      <c r="B3077" s="69">
        <v>0.81137000000000004</v>
      </c>
    </row>
    <row r="3078" spans="1:2" x14ac:dyDescent="0.2">
      <c r="A3078" s="68">
        <v>41270</v>
      </c>
      <c r="B3078" s="69">
        <v>0.81216999999999995</v>
      </c>
    </row>
    <row r="3079" spans="1:2" x14ac:dyDescent="0.2">
      <c r="A3079" s="68">
        <v>41269</v>
      </c>
      <c r="B3079" s="69">
        <v>0.81211999999999995</v>
      </c>
    </row>
    <row r="3080" spans="1:2" x14ac:dyDescent="0.2">
      <c r="A3080" s="68">
        <v>41268</v>
      </c>
      <c r="B3080" s="69">
        <v>0.81196999999999997</v>
      </c>
    </row>
    <row r="3081" spans="1:2" x14ac:dyDescent="0.2">
      <c r="A3081" s="68">
        <v>41267</v>
      </c>
      <c r="B3081" s="69">
        <v>0.81177999999999995</v>
      </c>
    </row>
    <row r="3082" spans="1:2" x14ac:dyDescent="0.2">
      <c r="A3082" s="68">
        <v>41264</v>
      </c>
      <c r="B3082" s="69">
        <v>0.81135999999999997</v>
      </c>
    </row>
    <row r="3083" spans="1:2" x14ac:dyDescent="0.2">
      <c r="A3083" s="68">
        <v>41263</v>
      </c>
      <c r="B3083" s="69">
        <v>0.81130999999999998</v>
      </c>
    </row>
    <row r="3084" spans="1:2" x14ac:dyDescent="0.2">
      <c r="A3084" s="68">
        <v>41262</v>
      </c>
      <c r="B3084" s="69">
        <v>0.81115999999999999</v>
      </c>
    </row>
    <row r="3085" spans="1:2" x14ac:dyDescent="0.2">
      <c r="A3085" s="68">
        <v>41261</v>
      </c>
      <c r="B3085" s="69">
        <v>0.81135000000000002</v>
      </c>
    </row>
    <row r="3086" spans="1:2" x14ac:dyDescent="0.2">
      <c r="A3086" s="68">
        <v>41260</v>
      </c>
      <c r="B3086" s="69">
        <v>0.8115</v>
      </c>
    </row>
    <row r="3087" spans="1:2" x14ac:dyDescent="0.2">
      <c r="A3087" s="68">
        <v>41257</v>
      </c>
      <c r="B3087" s="69">
        <v>0.81189999999999996</v>
      </c>
    </row>
    <row r="3088" spans="1:2" x14ac:dyDescent="0.2">
      <c r="A3088" s="68">
        <v>41256</v>
      </c>
      <c r="B3088" s="69">
        <v>0.81144000000000005</v>
      </c>
    </row>
    <row r="3089" spans="1:2" x14ac:dyDescent="0.2">
      <c r="A3089" s="68">
        <v>41255</v>
      </c>
      <c r="B3089" s="69">
        <v>0.81138999999999994</v>
      </c>
    </row>
    <row r="3090" spans="1:2" x14ac:dyDescent="0.2">
      <c r="A3090" s="68">
        <v>41254</v>
      </c>
      <c r="B3090" s="69">
        <v>0.81169000000000002</v>
      </c>
    </row>
    <row r="3091" spans="1:2" x14ac:dyDescent="0.2">
      <c r="A3091" s="68">
        <v>41253</v>
      </c>
      <c r="B3091" s="69">
        <v>0.81189</v>
      </c>
    </row>
    <row r="3092" spans="1:2" x14ac:dyDescent="0.2">
      <c r="A3092" s="68">
        <v>41250</v>
      </c>
      <c r="B3092" s="69">
        <v>0.81198999999999999</v>
      </c>
    </row>
    <row r="3093" spans="1:2" x14ac:dyDescent="0.2">
      <c r="A3093" s="68">
        <v>41249</v>
      </c>
      <c r="B3093" s="69">
        <v>0.81174999999999997</v>
      </c>
    </row>
    <row r="3094" spans="1:2" x14ac:dyDescent="0.2">
      <c r="A3094" s="68">
        <v>41248</v>
      </c>
      <c r="B3094" s="69">
        <v>0.81123000000000001</v>
      </c>
    </row>
    <row r="3095" spans="1:2" x14ac:dyDescent="0.2">
      <c r="A3095" s="68">
        <v>41247</v>
      </c>
      <c r="B3095" s="69">
        <v>0.80257999999999996</v>
      </c>
    </row>
    <row r="3096" spans="1:2" x14ac:dyDescent="0.2">
      <c r="A3096" s="68">
        <v>41246</v>
      </c>
      <c r="B3096" s="69">
        <v>0.81171000000000004</v>
      </c>
    </row>
    <row r="3097" spans="1:2" x14ac:dyDescent="0.2">
      <c r="A3097" s="68">
        <v>41243</v>
      </c>
      <c r="B3097" s="69">
        <v>0.8115</v>
      </c>
    </row>
    <row r="3098" spans="1:2" x14ac:dyDescent="0.2">
      <c r="A3098" s="68">
        <v>41242</v>
      </c>
      <c r="B3098" s="69">
        <v>0.81172999999999995</v>
      </c>
    </row>
    <row r="3099" spans="1:2" x14ac:dyDescent="0.2">
      <c r="A3099" s="68">
        <v>41241</v>
      </c>
      <c r="B3099" s="69">
        <v>0.81162000000000001</v>
      </c>
    </row>
    <row r="3100" spans="1:2" x14ac:dyDescent="0.2">
      <c r="A3100" s="68">
        <v>41240</v>
      </c>
      <c r="B3100" s="69">
        <v>0.81098000000000003</v>
      </c>
    </row>
    <row r="3101" spans="1:2" x14ac:dyDescent="0.2">
      <c r="A3101" s="68">
        <v>41239</v>
      </c>
      <c r="B3101" s="69">
        <v>0.81137000000000004</v>
      </c>
    </row>
    <row r="3102" spans="1:2" x14ac:dyDescent="0.2">
      <c r="A3102" s="68">
        <v>41236</v>
      </c>
      <c r="B3102" s="69">
        <v>0.81161000000000005</v>
      </c>
    </row>
    <row r="3103" spans="1:2" x14ac:dyDescent="0.2">
      <c r="A3103" s="68">
        <v>41235</v>
      </c>
      <c r="B3103" s="69">
        <v>0.81176000000000004</v>
      </c>
    </row>
    <row r="3104" spans="1:2" x14ac:dyDescent="0.2">
      <c r="A3104" s="68">
        <v>41234</v>
      </c>
      <c r="B3104" s="69">
        <v>0.81167</v>
      </c>
    </row>
    <row r="3105" spans="1:2" x14ac:dyDescent="0.2">
      <c r="A3105" s="68">
        <v>41233</v>
      </c>
      <c r="B3105" s="69">
        <v>0.81174000000000002</v>
      </c>
    </row>
    <row r="3106" spans="1:2" x14ac:dyDescent="0.2">
      <c r="A3106" s="68">
        <v>41232</v>
      </c>
      <c r="B3106" s="69">
        <v>0.81240999999999997</v>
      </c>
    </row>
    <row r="3107" spans="1:2" x14ac:dyDescent="0.2">
      <c r="A3107" s="68">
        <v>41229</v>
      </c>
      <c r="B3107" s="69">
        <v>0.81201000000000001</v>
      </c>
    </row>
    <row r="3108" spans="1:2" x14ac:dyDescent="0.2">
      <c r="A3108" s="68">
        <v>41228</v>
      </c>
      <c r="B3108" s="69">
        <v>0.81159999999999999</v>
      </c>
    </row>
    <row r="3109" spans="1:2" x14ac:dyDescent="0.2">
      <c r="A3109" s="68">
        <v>41227</v>
      </c>
      <c r="B3109" s="69">
        <v>0.81133</v>
      </c>
    </row>
    <row r="3110" spans="1:2" x14ac:dyDescent="0.2">
      <c r="A3110" s="68">
        <v>41226</v>
      </c>
      <c r="B3110" s="69">
        <v>0.81142999999999998</v>
      </c>
    </row>
    <row r="3111" spans="1:2" x14ac:dyDescent="0.2">
      <c r="A3111" s="68">
        <v>41225</v>
      </c>
      <c r="B3111" s="69">
        <v>0.81176999999999999</v>
      </c>
    </row>
    <row r="3112" spans="1:2" x14ac:dyDescent="0.2">
      <c r="A3112" s="68">
        <v>41222</v>
      </c>
      <c r="B3112" s="69">
        <v>0.81294</v>
      </c>
    </row>
    <row r="3113" spans="1:2" x14ac:dyDescent="0.2">
      <c r="A3113" s="68">
        <v>41221</v>
      </c>
      <c r="B3113" s="69">
        <v>0.81364000000000003</v>
      </c>
    </row>
    <row r="3114" spans="1:2" x14ac:dyDescent="0.2">
      <c r="A3114" s="68">
        <v>41220</v>
      </c>
      <c r="B3114" s="69">
        <v>0.81372</v>
      </c>
    </row>
    <row r="3115" spans="1:2" x14ac:dyDescent="0.2">
      <c r="A3115" s="68">
        <v>41219</v>
      </c>
      <c r="B3115" s="69">
        <v>0.81389</v>
      </c>
    </row>
    <row r="3116" spans="1:2" x14ac:dyDescent="0.2">
      <c r="A3116" s="68">
        <v>41218</v>
      </c>
      <c r="B3116" s="69">
        <v>0.81394999999999995</v>
      </c>
    </row>
    <row r="3117" spans="1:2" x14ac:dyDescent="0.2">
      <c r="A3117" s="68">
        <v>41215</v>
      </c>
      <c r="B3117" s="69">
        <v>0.81347000000000003</v>
      </c>
    </row>
    <row r="3118" spans="1:2" x14ac:dyDescent="0.2">
      <c r="A3118" s="68">
        <v>41214</v>
      </c>
      <c r="B3118" s="69">
        <v>0.81311</v>
      </c>
    </row>
    <row r="3119" spans="1:2" x14ac:dyDescent="0.2">
      <c r="A3119" s="68">
        <v>41213</v>
      </c>
      <c r="B3119" s="69">
        <v>0.81291000000000002</v>
      </c>
    </row>
    <row r="3120" spans="1:2" x14ac:dyDescent="0.2">
      <c r="A3120" s="68">
        <v>41212</v>
      </c>
      <c r="B3120" s="69">
        <v>0.81323000000000001</v>
      </c>
    </row>
    <row r="3121" spans="1:2" x14ac:dyDescent="0.2">
      <c r="A3121" s="68">
        <v>41211</v>
      </c>
      <c r="B3121" s="69">
        <v>0.81274999999999997</v>
      </c>
    </row>
    <row r="3122" spans="1:2" x14ac:dyDescent="0.2">
      <c r="A3122" s="68">
        <v>41208</v>
      </c>
      <c r="B3122" s="69">
        <v>0.81301000000000001</v>
      </c>
    </row>
    <row r="3123" spans="1:2" x14ac:dyDescent="0.2">
      <c r="A3123" s="68">
        <v>41207</v>
      </c>
      <c r="B3123" s="69">
        <v>0.81347000000000003</v>
      </c>
    </row>
    <row r="3124" spans="1:2" x14ac:dyDescent="0.2">
      <c r="A3124" s="68">
        <v>41206</v>
      </c>
      <c r="B3124" s="69">
        <v>0.81393000000000004</v>
      </c>
    </row>
    <row r="3125" spans="1:2" x14ac:dyDescent="0.2">
      <c r="A3125" s="68">
        <v>41205</v>
      </c>
      <c r="B3125" s="69">
        <v>0.81386000000000003</v>
      </c>
    </row>
    <row r="3126" spans="1:2" x14ac:dyDescent="0.2">
      <c r="A3126" s="68">
        <v>41204</v>
      </c>
      <c r="B3126" s="69">
        <v>0.81377999999999995</v>
      </c>
    </row>
    <row r="3127" spans="1:2" x14ac:dyDescent="0.2">
      <c r="A3127" s="68">
        <v>41201</v>
      </c>
      <c r="B3127" s="69">
        <v>0.81352000000000002</v>
      </c>
    </row>
    <row r="3128" spans="1:2" x14ac:dyDescent="0.2">
      <c r="A3128" s="68">
        <v>41200</v>
      </c>
      <c r="B3128" s="69">
        <v>0.81299999999999994</v>
      </c>
    </row>
    <row r="3129" spans="1:2" x14ac:dyDescent="0.2">
      <c r="A3129" s="68">
        <v>41199</v>
      </c>
      <c r="B3129" s="69">
        <v>0.81315000000000004</v>
      </c>
    </row>
    <row r="3130" spans="1:2" x14ac:dyDescent="0.2">
      <c r="A3130" s="68">
        <v>41198</v>
      </c>
      <c r="B3130" s="69">
        <v>0.81413999999999997</v>
      </c>
    </row>
    <row r="3131" spans="1:2" x14ac:dyDescent="0.2">
      <c r="A3131" s="68">
        <v>41197</v>
      </c>
      <c r="B3131" s="69">
        <v>0.81415000000000004</v>
      </c>
    </row>
    <row r="3132" spans="1:2" x14ac:dyDescent="0.2">
      <c r="A3132" s="68">
        <v>41194</v>
      </c>
      <c r="B3132" s="69">
        <v>0.81606000000000001</v>
      </c>
    </row>
    <row r="3133" spans="1:2" x14ac:dyDescent="0.2">
      <c r="A3133" s="68">
        <v>41193</v>
      </c>
      <c r="B3133" s="69">
        <v>0.81766000000000005</v>
      </c>
    </row>
    <row r="3134" spans="1:2" x14ac:dyDescent="0.2">
      <c r="A3134" s="68">
        <v>41192</v>
      </c>
      <c r="B3134" s="69">
        <v>0.81842999999999999</v>
      </c>
    </row>
    <row r="3135" spans="1:2" x14ac:dyDescent="0.2">
      <c r="A3135" s="68">
        <v>41191</v>
      </c>
      <c r="B3135" s="69">
        <v>0.81833</v>
      </c>
    </row>
    <row r="3136" spans="1:2" x14ac:dyDescent="0.2">
      <c r="A3136" s="68">
        <v>41190</v>
      </c>
      <c r="B3136" s="69">
        <v>0.81808000000000003</v>
      </c>
    </row>
    <row r="3137" spans="1:2" x14ac:dyDescent="0.2">
      <c r="A3137" s="68">
        <v>41180</v>
      </c>
      <c r="B3137" s="69">
        <v>0.81781999999999999</v>
      </c>
    </row>
    <row r="3138" spans="1:2" x14ac:dyDescent="0.2">
      <c r="A3138" s="68">
        <v>41179</v>
      </c>
      <c r="B3138" s="69">
        <v>0.81840999999999997</v>
      </c>
    </row>
    <row r="3139" spans="1:2" x14ac:dyDescent="0.2">
      <c r="A3139" s="68">
        <v>41178</v>
      </c>
      <c r="B3139" s="69">
        <v>0.81823999999999997</v>
      </c>
    </row>
    <row r="3140" spans="1:2" x14ac:dyDescent="0.2">
      <c r="A3140" s="68">
        <v>41177</v>
      </c>
      <c r="B3140" s="69">
        <v>0.81815000000000004</v>
      </c>
    </row>
    <row r="3141" spans="1:2" x14ac:dyDescent="0.2">
      <c r="A3141" s="68">
        <v>41176</v>
      </c>
      <c r="B3141" s="69">
        <v>0.81786000000000003</v>
      </c>
    </row>
    <row r="3142" spans="1:2" x14ac:dyDescent="0.2">
      <c r="A3142" s="68">
        <v>41173</v>
      </c>
      <c r="B3142" s="69">
        <v>0.81805000000000005</v>
      </c>
    </row>
    <row r="3143" spans="1:2" x14ac:dyDescent="0.2">
      <c r="A3143" s="68">
        <v>41172</v>
      </c>
      <c r="B3143" s="69">
        <v>0.8175</v>
      </c>
    </row>
    <row r="3144" spans="1:2" x14ac:dyDescent="0.2">
      <c r="A3144" s="68">
        <v>41171</v>
      </c>
      <c r="B3144" s="69">
        <v>0.81769000000000003</v>
      </c>
    </row>
    <row r="3145" spans="1:2" x14ac:dyDescent="0.2">
      <c r="A3145" s="68">
        <v>41170</v>
      </c>
      <c r="B3145" s="69">
        <v>0.81720999999999999</v>
      </c>
    </row>
    <row r="3146" spans="1:2" x14ac:dyDescent="0.2">
      <c r="A3146" s="68">
        <v>41169</v>
      </c>
      <c r="B3146" s="69">
        <v>0.81650999999999996</v>
      </c>
    </row>
    <row r="3147" spans="1:2" x14ac:dyDescent="0.2">
      <c r="A3147" s="68">
        <v>41166</v>
      </c>
      <c r="B3147" s="69">
        <v>0.81654000000000004</v>
      </c>
    </row>
    <row r="3148" spans="1:2" x14ac:dyDescent="0.2">
      <c r="A3148" s="68">
        <v>41165</v>
      </c>
      <c r="B3148" s="69">
        <v>0.81674999999999998</v>
      </c>
    </row>
    <row r="3149" spans="1:2" x14ac:dyDescent="0.2">
      <c r="A3149" s="68">
        <v>41164</v>
      </c>
      <c r="B3149" s="69">
        <v>0.81703000000000003</v>
      </c>
    </row>
    <row r="3150" spans="1:2" x14ac:dyDescent="0.2">
      <c r="A3150" s="68">
        <v>41163</v>
      </c>
      <c r="B3150" s="69">
        <v>0.81738999999999995</v>
      </c>
    </row>
    <row r="3151" spans="1:2" x14ac:dyDescent="0.2">
      <c r="A3151" s="68">
        <v>41162</v>
      </c>
      <c r="B3151" s="69">
        <v>0.81711</v>
      </c>
    </row>
    <row r="3152" spans="1:2" x14ac:dyDescent="0.2">
      <c r="A3152" s="68">
        <v>41159</v>
      </c>
      <c r="B3152" s="69">
        <v>0.81755</v>
      </c>
    </row>
    <row r="3153" spans="1:2" x14ac:dyDescent="0.2">
      <c r="A3153" s="68">
        <v>41158</v>
      </c>
      <c r="B3153" s="69">
        <v>0.81786000000000003</v>
      </c>
    </row>
    <row r="3154" spans="1:2" x14ac:dyDescent="0.2">
      <c r="A3154" s="68">
        <v>41157</v>
      </c>
      <c r="B3154" s="69">
        <v>0.81816</v>
      </c>
    </row>
    <row r="3155" spans="1:2" x14ac:dyDescent="0.2">
      <c r="A3155" s="68">
        <v>41156</v>
      </c>
      <c r="B3155" s="69">
        <v>0.81740000000000002</v>
      </c>
    </row>
    <row r="3156" spans="1:2" x14ac:dyDescent="0.2">
      <c r="A3156" s="68">
        <v>41155</v>
      </c>
      <c r="B3156" s="69">
        <v>0.81757999999999997</v>
      </c>
    </row>
    <row r="3157" spans="1:2" x14ac:dyDescent="0.2">
      <c r="A3157" s="68">
        <v>41152</v>
      </c>
      <c r="B3157" s="69">
        <v>0.81803000000000003</v>
      </c>
    </row>
    <row r="3158" spans="1:2" x14ac:dyDescent="0.2">
      <c r="A3158" s="68">
        <v>41151</v>
      </c>
      <c r="B3158" s="69">
        <v>0.81786000000000003</v>
      </c>
    </row>
    <row r="3159" spans="1:2" x14ac:dyDescent="0.2">
      <c r="A3159" s="68">
        <v>41150</v>
      </c>
      <c r="B3159" s="69">
        <v>0.81733</v>
      </c>
    </row>
    <row r="3160" spans="1:2" x14ac:dyDescent="0.2">
      <c r="A3160" s="68">
        <v>41149</v>
      </c>
      <c r="B3160" s="69">
        <v>0.81755999999999995</v>
      </c>
    </row>
    <row r="3161" spans="1:2" x14ac:dyDescent="0.2">
      <c r="A3161" s="68">
        <v>41148</v>
      </c>
      <c r="B3161" s="69">
        <v>0.81728999999999996</v>
      </c>
    </row>
    <row r="3162" spans="1:2" x14ac:dyDescent="0.2">
      <c r="A3162" s="68">
        <v>41145</v>
      </c>
      <c r="B3162" s="69">
        <v>0.81615000000000004</v>
      </c>
    </row>
    <row r="3163" spans="1:2" x14ac:dyDescent="0.2">
      <c r="A3163" s="68">
        <v>41144</v>
      </c>
      <c r="B3163" s="69">
        <v>0.81632000000000005</v>
      </c>
    </row>
    <row r="3164" spans="1:2" x14ac:dyDescent="0.2">
      <c r="A3164" s="68">
        <v>41143</v>
      </c>
      <c r="B3164" s="69">
        <v>0.81669999999999998</v>
      </c>
    </row>
    <row r="3165" spans="1:2" x14ac:dyDescent="0.2">
      <c r="A3165" s="68">
        <v>41142</v>
      </c>
      <c r="B3165" s="69">
        <v>0.81757999999999997</v>
      </c>
    </row>
    <row r="3166" spans="1:2" x14ac:dyDescent="0.2">
      <c r="A3166" s="68">
        <v>41141</v>
      </c>
      <c r="B3166" s="69">
        <v>0.81838</v>
      </c>
    </row>
    <row r="3167" spans="1:2" x14ac:dyDescent="0.2">
      <c r="A3167" s="68">
        <v>41138</v>
      </c>
      <c r="B3167" s="69">
        <v>0.81796999999999997</v>
      </c>
    </row>
    <row r="3168" spans="1:2" x14ac:dyDescent="0.2">
      <c r="A3168" s="68">
        <v>41137</v>
      </c>
      <c r="B3168" s="69">
        <v>0.81854000000000005</v>
      </c>
    </row>
    <row r="3169" spans="1:2" x14ac:dyDescent="0.2">
      <c r="A3169" s="68">
        <v>41136</v>
      </c>
      <c r="B3169" s="69">
        <v>0.81842000000000004</v>
      </c>
    </row>
    <row r="3170" spans="1:2" x14ac:dyDescent="0.2">
      <c r="A3170" s="68">
        <v>41135</v>
      </c>
      <c r="B3170" s="69">
        <v>0.81789999999999996</v>
      </c>
    </row>
    <row r="3171" spans="1:2" x14ac:dyDescent="0.2">
      <c r="A3171" s="68">
        <v>41134</v>
      </c>
      <c r="B3171" s="69">
        <v>0.81810000000000005</v>
      </c>
    </row>
    <row r="3172" spans="1:2" x14ac:dyDescent="0.2">
      <c r="A3172" s="68">
        <v>41131</v>
      </c>
      <c r="B3172" s="69">
        <v>0.81805000000000005</v>
      </c>
    </row>
    <row r="3173" spans="1:2" x14ac:dyDescent="0.2">
      <c r="A3173" s="68">
        <v>41130</v>
      </c>
      <c r="B3173" s="69">
        <v>0.81730000000000003</v>
      </c>
    </row>
    <row r="3174" spans="1:2" x14ac:dyDescent="0.2">
      <c r="A3174" s="68">
        <v>41129</v>
      </c>
      <c r="B3174" s="69">
        <v>0.81727000000000005</v>
      </c>
    </row>
    <row r="3175" spans="1:2" x14ac:dyDescent="0.2">
      <c r="A3175" s="68">
        <v>41128</v>
      </c>
      <c r="B3175" s="69">
        <v>0.81662999999999997</v>
      </c>
    </row>
    <row r="3176" spans="1:2" x14ac:dyDescent="0.2">
      <c r="A3176" s="68">
        <v>41127</v>
      </c>
      <c r="B3176" s="69">
        <v>0.81699999999999995</v>
      </c>
    </row>
    <row r="3177" spans="1:2" x14ac:dyDescent="0.2">
      <c r="A3177" s="68">
        <v>41124</v>
      </c>
      <c r="B3177" s="69">
        <v>0.81786000000000003</v>
      </c>
    </row>
    <row r="3178" spans="1:2" x14ac:dyDescent="0.2">
      <c r="A3178" s="68">
        <v>41123</v>
      </c>
      <c r="B3178" s="69">
        <v>0.81744000000000006</v>
      </c>
    </row>
    <row r="3179" spans="1:2" x14ac:dyDescent="0.2">
      <c r="A3179" s="68">
        <v>41122</v>
      </c>
      <c r="B3179" s="69">
        <v>0.81640999999999997</v>
      </c>
    </row>
    <row r="3180" spans="1:2" x14ac:dyDescent="0.2">
      <c r="A3180" s="68">
        <v>41121</v>
      </c>
      <c r="B3180" s="69">
        <v>0.81649000000000005</v>
      </c>
    </row>
    <row r="3181" spans="1:2" x14ac:dyDescent="0.2">
      <c r="A3181" s="68">
        <v>41120</v>
      </c>
      <c r="B3181" s="69">
        <v>0.81610000000000005</v>
      </c>
    </row>
    <row r="3182" spans="1:2" x14ac:dyDescent="0.2">
      <c r="A3182" s="68">
        <v>41117</v>
      </c>
      <c r="B3182" s="69">
        <v>0.81623999999999997</v>
      </c>
    </row>
    <row r="3183" spans="1:2" x14ac:dyDescent="0.2">
      <c r="A3183" s="68">
        <v>41116</v>
      </c>
      <c r="B3183" s="69">
        <v>0.81696999999999997</v>
      </c>
    </row>
    <row r="3184" spans="1:2" x14ac:dyDescent="0.2">
      <c r="A3184" s="68">
        <v>41115</v>
      </c>
      <c r="B3184" s="69">
        <v>0.81759000000000004</v>
      </c>
    </row>
    <row r="3185" spans="1:2" x14ac:dyDescent="0.2">
      <c r="A3185" s="68">
        <v>41114</v>
      </c>
      <c r="B3185" s="69">
        <v>0.81652000000000002</v>
      </c>
    </row>
    <row r="3186" spans="1:2" x14ac:dyDescent="0.2">
      <c r="A3186" s="68">
        <v>41113</v>
      </c>
      <c r="B3186" s="69">
        <v>0.81569000000000003</v>
      </c>
    </row>
    <row r="3187" spans="1:2" x14ac:dyDescent="0.2">
      <c r="A3187" s="68">
        <v>41110</v>
      </c>
      <c r="B3187" s="69">
        <v>0.81374000000000002</v>
      </c>
    </row>
    <row r="3188" spans="1:2" x14ac:dyDescent="0.2">
      <c r="A3188" s="68">
        <v>41109</v>
      </c>
      <c r="B3188" s="69">
        <v>0.81386000000000003</v>
      </c>
    </row>
    <row r="3189" spans="1:2" x14ac:dyDescent="0.2">
      <c r="A3189" s="68">
        <v>41108</v>
      </c>
      <c r="B3189" s="69">
        <v>0.81406000000000001</v>
      </c>
    </row>
    <row r="3190" spans="1:2" x14ac:dyDescent="0.2">
      <c r="A3190" s="68">
        <v>41107</v>
      </c>
      <c r="B3190" s="69">
        <v>0.81437000000000004</v>
      </c>
    </row>
    <row r="3191" spans="1:2" x14ac:dyDescent="0.2">
      <c r="A3191" s="68">
        <v>41106</v>
      </c>
      <c r="B3191" s="69">
        <v>0.81489</v>
      </c>
    </row>
    <row r="3192" spans="1:2" x14ac:dyDescent="0.2">
      <c r="A3192" s="68">
        <v>41103</v>
      </c>
      <c r="B3192" s="69">
        <v>0.81537000000000004</v>
      </c>
    </row>
    <row r="3193" spans="1:2" x14ac:dyDescent="0.2">
      <c r="A3193" s="68">
        <v>41102</v>
      </c>
      <c r="B3193" s="69">
        <v>0.81520000000000004</v>
      </c>
    </row>
    <row r="3194" spans="1:2" x14ac:dyDescent="0.2">
      <c r="A3194" s="68">
        <v>41101</v>
      </c>
      <c r="B3194" s="69">
        <v>0.81511999999999996</v>
      </c>
    </row>
    <row r="3195" spans="1:2" x14ac:dyDescent="0.2">
      <c r="A3195" s="68">
        <v>41100</v>
      </c>
      <c r="B3195" s="69">
        <v>0.81493000000000004</v>
      </c>
    </row>
    <row r="3196" spans="1:2" x14ac:dyDescent="0.2">
      <c r="A3196" s="68">
        <v>41099</v>
      </c>
      <c r="B3196" s="69">
        <v>0.81623999999999997</v>
      </c>
    </row>
    <row r="3197" spans="1:2" x14ac:dyDescent="0.2">
      <c r="A3197" s="68">
        <v>41096</v>
      </c>
      <c r="B3197" s="69">
        <v>0.81564000000000003</v>
      </c>
    </row>
    <row r="3198" spans="1:2" x14ac:dyDescent="0.2">
      <c r="A3198" s="68">
        <v>41095</v>
      </c>
      <c r="B3198" s="69">
        <v>0.81493000000000004</v>
      </c>
    </row>
    <row r="3199" spans="1:2" x14ac:dyDescent="0.2">
      <c r="A3199" s="68">
        <v>41094</v>
      </c>
      <c r="B3199" s="69">
        <v>0.81401000000000001</v>
      </c>
    </row>
    <row r="3200" spans="1:2" x14ac:dyDescent="0.2">
      <c r="A3200" s="68">
        <v>41093</v>
      </c>
      <c r="B3200" s="69">
        <v>0.81447000000000003</v>
      </c>
    </row>
    <row r="3201" spans="1:2" x14ac:dyDescent="0.2">
      <c r="A3201" s="68">
        <v>41092</v>
      </c>
      <c r="B3201" s="69">
        <v>0.81401000000000001</v>
      </c>
    </row>
    <row r="3202" spans="1:2" x14ac:dyDescent="0.2">
      <c r="A3202" s="68">
        <v>41089</v>
      </c>
      <c r="B3202" s="69">
        <v>0.81521999999999994</v>
      </c>
    </row>
    <row r="3203" spans="1:2" x14ac:dyDescent="0.2">
      <c r="A3203" s="68">
        <v>41088</v>
      </c>
      <c r="B3203" s="69">
        <v>0.81445000000000001</v>
      </c>
    </row>
    <row r="3204" spans="1:2" x14ac:dyDescent="0.2">
      <c r="A3204" s="68">
        <v>41087</v>
      </c>
      <c r="B3204" s="69">
        <v>0.81420999999999999</v>
      </c>
    </row>
    <row r="3205" spans="1:2" x14ac:dyDescent="0.2">
      <c r="A3205" s="68">
        <v>41086</v>
      </c>
      <c r="B3205" s="69">
        <v>0.81462000000000001</v>
      </c>
    </row>
    <row r="3206" spans="1:2" x14ac:dyDescent="0.2">
      <c r="A3206" s="68">
        <v>41085</v>
      </c>
      <c r="B3206" s="69">
        <v>0.81474999999999997</v>
      </c>
    </row>
    <row r="3207" spans="1:2" x14ac:dyDescent="0.2">
      <c r="A3207" s="68">
        <v>41081</v>
      </c>
      <c r="B3207" s="69">
        <v>0.81245000000000001</v>
      </c>
    </row>
    <row r="3208" spans="1:2" x14ac:dyDescent="0.2">
      <c r="A3208" s="68">
        <v>41080</v>
      </c>
      <c r="B3208" s="69">
        <v>0.81198999999999999</v>
      </c>
    </row>
    <row r="3209" spans="1:2" x14ac:dyDescent="0.2">
      <c r="A3209" s="68">
        <v>41079</v>
      </c>
      <c r="B3209" s="69">
        <v>0.81216999999999995</v>
      </c>
    </row>
    <row r="3210" spans="1:2" x14ac:dyDescent="0.2">
      <c r="A3210" s="68">
        <v>41078</v>
      </c>
      <c r="B3210" s="69">
        <v>0.81200000000000006</v>
      </c>
    </row>
    <row r="3211" spans="1:2" x14ac:dyDescent="0.2">
      <c r="A3211" s="68">
        <v>41075</v>
      </c>
      <c r="B3211" s="69">
        <v>0.81311999999999995</v>
      </c>
    </row>
    <row r="3212" spans="1:2" x14ac:dyDescent="0.2">
      <c r="A3212" s="68">
        <v>41074</v>
      </c>
      <c r="B3212" s="69">
        <v>0.81445999999999996</v>
      </c>
    </row>
    <row r="3213" spans="1:2" x14ac:dyDescent="0.2">
      <c r="A3213" s="68">
        <v>41073</v>
      </c>
      <c r="B3213" s="69">
        <v>0.81555999999999995</v>
      </c>
    </row>
    <row r="3214" spans="1:2" x14ac:dyDescent="0.2">
      <c r="A3214" s="68">
        <v>41072</v>
      </c>
      <c r="B3214" s="69">
        <v>0.81574000000000002</v>
      </c>
    </row>
    <row r="3215" spans="1:2" x14ac:dyDescent="0.2">
      <c r="A3215" s="68">
        <v>41071</v>
      </c>
      <c r="B3215" s="69">
        <v>0.81425999999999998</v>
      </c>
    </row>
    <row r="3216" spans="1:2" x14ac:dyDescent="0.2">
      <c r="A3216" s="68">
        <v>41068</v>
      </c>
      <c r="B3216" s="69">
        <v>0.81445999999999996</v>
      </c>
    </row>
    <row r="3217" spans="1:2" x14ac:dyDescent="0.2">
      <c r="A3217" s="68">
        <v>41067</v>
      </c>
      <c r="B3217" s="69">
        <v>0.81418999999999997</v>
      </c>
    </row>
    <row r="3218" spans="1:2" x14ac:dyDescent="0.2">
      <c r="A3218" s="68">
        <v>41066</v>
      </c>
      <c r="B3218" s="69">
        <v>0.81535000000000002</v>
      </c>
    </row>
    <row r="3219" spans="1:2" x14ac:dyDescent="0.2">
      <c r="A3219" s="68">
        <v>41065</v>
      </c>
      <c r="B3219" s="69">
        <v>0.81486999999999998</v>
      </c>
    </row>
    <row r="3220" spans="1:2" x14ac:dyDescent="0.2">
      <c r="A3220" s="68">
        <v>41064</v>
      </c>
      <c r="B3220" s="69">
        <v>0.81520000000000004</v>
      </c>
    </row>
    <row r="3221" spans="1:2" x14ac:dyDescent="0.2">
      <c r="A3221" s="68">
        <v>41061</v>
      </c>
      <c r="B3221" s="69">
        <v>0.81549000000000005</v>
      </c>
    </row>
    <row r="3222" spans="1:2" x14ac:dyDescent="0.2">
      <c r="A3222" s="68">
        <v>41060</v>
      </c>
      <c r="B3222" s="69">
        <v>0.81583000000000006</v>
      </c>
    </row>
    <row r="3223" spans="1:2" x14ac:dyDescent="0.2">
      <c r="A3223" s="68">
        <v>41059</v>
      </c>
      <c r="B3223" s="69">
        <v>0.81525999999999998</v>
      </c>
    </row>
    <row r="3224" spans="1:2" x14ac:dyDescent="0.2">
      <c r="A3224" s="68">
        <v>41058</v>
      </c>
      <c r="B3224" s="69">
        <v>0.81486999999999998</v>
      </c>
    </row>
    <row r="3225" spans="1:2" x14ac:dyDescent="0.2">
      <c r="A3225" s="68">
        <v>41057</v>
      </c>
      <c r="B3225" s="69">
        <v>0.81467999999999996</v>
      </c>
    </row>
    <row r="3226" spans="1:2" x14ac:dyDescent="0.2">
      <c r="A3226" s="68">
        <v>41054</v>
      </c>
      <c r="B3226" s="69">
        <v>0.81484000000000001</v>
      </c>
    </row>
    <row r="3227" spans="1:2" x14ac:dyDescent="0.2">
      <c r="A3227" s="68">
        <v>41053</v>
      </c>
      <c r="B3227" s="69">
        <v>0.81452999999999998</v>
      </c>
    </row>
    <row r="3228" spans="1:2" x14ac:dyDescent="0.2">
      <c r="A3228" s="68">
        <v>41052</v>
      </c>
      <c r="B3228" s="69">
        <v>0.81393000000000004</v>
      </c>
    </row>
    <row r="3229" spans="1:2" x14ac:dyDescent="0.2">
      <c r="A3229" s="68">
        <v>41051</v>
      </c>
      <c r="B3229" s="69">
        <v>0.81242000000000003</v>
      </c>
    </row>
    <row r="3230" spans="1:2" x14ac:dyDescent="0.2">
      <c r="A3230" s="68">
        <v>41050</v>
      </c>
      <c r="B3230" s="69">
        <v>0.81269000000000002</v>
      </c>
    </row>
    <row r="3231" spans="1:2" x14ac:dyDescent="0.2">
      <c r="A3231" s="68">
        <v>41047</v>
      </c>
      <c r="B3231" s="69">
        <v>0.81342999999999999</v>
      </c>
    </row>
    <row r="3232" spans="1:2" x14ac:dyDescent="0.2">
      <c r="A3232" s="68">
        <v>41046</v>
      </c>
      <c r="B3232" s="69">
        <v>0.81401000000000001</v>
      </c>
    </row>
    <row r="3233" spans="1:2" x14ac:dyDescent="0.2">
      <c r="A3233" s="68">
        <v>41045</v>
      </c>
      <c r="B3233" s="69">
        <v>0.81367</v>
      </c>
    </row>
    <row r="3234" spans="1:2" x14ac:dyDescent="0.2">
      <c r="A3234" s="68">
        <v>41044</v>
      </c>
      <c r="B3234" s="69">
        <v>0.81266000000000005</v>
      </c>
    </row>
    <row r="3235" spans="1:2" x14ac:dyDescent="0.2">
      <c r="A3235" s="68">
        <v>41043</v>
      </c>
      <c r="B3235" s="69">
        <v>0.81181999999999999</v>
      </c>
    </row>
    <row r="3236" spans="1:2" x14ac:dyDescent="0.2">
      <c r="A3236" s="68">
        <v>41040</v>
      </c>
      <c r="B3236" s="69">
        <v>0.81093000000000004</v>
      </c>
    </row>
    <row r="3237" spans="1:2" x14ac:dyDescent="0.2">
      <c r="A3237" s="68">
        <v>41039</v>
      </c>
      <c r="B3237" s="69">
        <v>0.81074999999999997</v>
      </c>
    </row>
    <row r="3238" spans="1:2" x14ac:dyDescent="0.2">
      <c r="A3238" s="68">
        <v>41038</v>
      </c>
      <c r="B3238" s="69">
        <v>0.80991000000000002</v>
      </c>
    </row>
    <row r="3239" spans="1:2" x14ac:dyDescent="0.2">
      <c r="A3239" s="68">
        <v>41037</v>
      </c>
      <c r="B3239" s="69">
        <v>0.80905000000000005</v>
      </c>
    </row>
    <row r="3240" spans="1:2" x14ac:dyDescent="0.2">
      <c r="A3240" s="68">
        <v>41036</v>
      </c>
      <c r="B3240" s="69">
        <v>0.80978000000000006</v>
      </c>
    </row>
    <row r="3241" spans="1:2" x14ac:dyDescent="0.2">
      <c r="A3241" s="68">
        <v>41033</v>
      </c>
      <c r="B3241" s="69">
        <v>0.80830999999999997</v>
      </c>
    </row>
    <row r="3242" spans="1:2" x14ac:dyDescent="0.2">
      <c r="A3242" s="68">
        <v>41032</v>
      </c>
      <c r="B3242" s="69">
        <v>0.80810999999999999</v>
      </c>
    </row>
    <row r="3243" spans="1:2" x14ac:dyDescent="0.2">
      <c r="A3243" s="68">
        <v>41031</v>
      </c>
      <c r="B3243" s="69">
        <v>0.80784</v>
      </c>
    </row>
    <row r="3244" spans="1:2" x14ac:dyDescent="0.2">
      <c r="A3244" s="68">
        <v>41026</v>
      </c>
      <c r="B3244" s="69">
        <v>0.80922000000000005</v>
      </c>
    </row>
    <row r="3245" spans="1:2" x14ac:dyDescent="0.2">
      <c r="A3245" s="68">
        <v>41025</v>
      </c>
      <c r="B3245" s="69">
        <v>0.80966000000000005</v>
      </c>
    </row>
    <row r="3246" spans="1:2" x14ac:dyDescent="0.2">
      <c r="A3246" s="68">
        <v>41024</v>
      </c>
      <c r="B3246" s="69">
        <v>0.81089</v>
      </c>
    </row>
    <row r="3247" spans="1:2" x14ac:dyDescent="0.2">
      <c r="A3247" s="68">
        <v>41023</v>
      </c>
      <c r="B3247" s="69">
        <v>0.81181000000000003</v>
      </c>
    </row>
    <row r="3248" spans="1:2" x14ac:dyDescent="0.2">
      <c r="A3248" s="68">
        <v>41022</v>
      </c>
      <c r="B3248" s="69">
        <v>0.81133999999999995</v>
      </c>
    </row>
    <row r="3249" spans="1:2" x14ac:dyDescent="0.2">
      <c r="A3249" s="68">
        <v>41019</v>
      </c>
      <c r="B3249" s="69">
        <v>0.81215999999999999</v>
      </c>
    </row>
    <row r="3250" spans="1:2" x14ac:dyDescent="0.2">
      <c r="A3250" s="68">
        <v>41018</v>
      </c>
      <c r="B3250" s="69">
        <v>0.81174000000000002</v>
      </c>
    </row>
    <row r="3251" spans="1:2" x14ac:dyDescent="0.2">
      <c r="A3251" s="68">
        <v>41017</v>
      </c>
      <c r="B3251" s="69">
        <v>0.81120000000000003</v>
      </c>
    </row>
    <row r="3252" spans="1:2" x14ac:dyDescent="0.2">
      <c r="A3252" s="68">
        <v>41016</v>
      </c>
      <c r="B3252" s="69">
        <v>0.81072</v>
      </c>
    </row>
    <row r="3253" spans="1:2" x14ac:dyDescent="0.2">
      <c r="A3253" s="68">
        <v>41015</v>
      </c>
      <c r="B3253" s="69">
        <v>0.81145999999999996</v>
      </c>
    </row>
    <row r="3254" spans="1:2" x14ac:dyDescent="0.2">
      <c r="A3254" s="68">
        <v>41012</v>
      </c>
      <c r="B3254" s="69">
        <v>0.80998999999999999</v>
      </c>
    </row>
    <row r="3255" spans="1:2" x14ac:dyDescent="0.2">
      <c r="A3255" s="68">
        <v>41011</v>
      </c>
      <c r="B3255" s="69">
        <v>0.81116999999999995</v>
      </c>
    </row>
    <row r="3256" spans="1:2" x14ac:dyDescent="0.2">
      <c r="A3256" s="68">
        <v>41010</v>
      </c>
      <c r="B3256" s="69">
        <v>0.81154999999999999</v>
      </c>
    </row>
    <row r="3257" spans="1:2" x14ac:dyDescent="0.2">
      <c r="A3257" s="68">
        <v>41009</v>
      </c>
      <c r="B3257" s="69">
        <v>0.81189999999999996</v>
      </c>
    </row>
    <row r="3258" spans="1:2" x14ac:dyDescent="0.2">
      <c r="A3258" s="68">
        <v>41008</v>
      </c>
      <c r="B3258" s="69">
        <v>0.81147999999999998</v>
      </c>
    </row>
    <row r="3259" spans="1:2" x14ac:dyDescent="0.2">
      <c r="A3259" s="68">
        <v>41005</v>
      </c>
      <c r="B3259" s="69">
        <v>0.81232000000000004</v>
      </c>
    </row>
    <row r="3260" spans="1:2" x14ac:dyDescent="0.2">
      <c r="A3260" s="68">
        <v>41004</v>
      </c>
      <c r="B3260" s="69">
        <v>0.81172999999999995</v>
      </c>
    </row>
    <row r="3261" spans="1:2" x14ac:dyDescent="0.2">
      <c r="A3261" s="68">
        <v>40998</v>
      </c>
      <c r="B3261" s="69">
        <v>0.81062999999999996</v>
      </c>
    </row>
    <row r="3262" spans="1:2" x14ac:dyDescent="0.2">
      <c r="A3262" s="68">
        <v>40997</v>
      </c>
      <c r="B3262" s="69">
        <v>0.81059000000000003</v>
      </c>
    </row>
    <row r="3263" spans="1:2" x14ac:dyDescent="0.2">
      <c r="A3263" s="68">
        <v>40996</v>
      </c>
      <c r="B3263" s="69">
        <v>0.81018999999999997</v>
      </c>
    </row>
    <row r="3264" spans="1:2" x14ac:dyDescent="0.2">
      <c r="A3264" s="68">
        <v>40995</v>
      </c>
      <c r="B3264" s="69">
        <v>0.80893000000000004</v>
      </c>
    </row>
    <row r="3265" spans="1:2" x14ac:dyDescent="0.2">
      <c r="A3265" s="68">
        <v>40994</v>
      </c>
      <c r="B3265" s="69">
        <v>0.80925000000000002</v>
      </c>
    </row>
    <row r="3266" spans="1:2" x14ac:dyDescent="0.2">
      <c r="A3266" s="68">
        <v>40991</v>
      </c>
      <c r="B3266" s="69">
        <v>0.80989</v>
      </c>
    </row>
    <row r="3267" spans="1:2" x14ac:dyDescent="0.2">
      <c r="A3267" s="68">
        <v>40990</v>
      </c>
      <c r="B3267" s="69">
        <v>0.81150999999999995</v>
      </c>
    </row>
    <row r="3268" spans="1:2" x14ac:dyDescent="0.2">
      <c r="A3268" s="68">
        <v>40989</v>
      </c>
      <c r="B3268" s="69">
        <v>0.81266000000000005</v>
      </c>
    </row>
    <row r="3269" spans="1:2" x14ac:dyDescent="0.2">
      <c r="A3269" s="68">
        <v>40988</v>
      </c>
      <c r="B3269" s="69">
        <v>0.81193000000000004</v>
      </c>
    </row>
    <row r="3270" spans="1:2" x14ac:dyDescent="0.2">
      <c r="A3270" s="68">
        <v>40987</v>
      </c>
      <c r="B3270" s="69">
        <v>0.81259999999999999</v>
      </c>
    </row>
    <row r="3271" spans="1:2" x14ac:dyDescent="0.2">
      <c r="A3271" s="68">
        <v>40984</v>
      </c>
      <c r="B3271" s="69">
        <v>0.81425000000000003</v>
      </c>
    </row>
    <row r="3272" spans="1:2" x14ac:dyDescent="0.2">
      <c r="A3272" s="68">
        <v>40983</v>
      </c>
      <c r="B3272" s="69">
        <v>0.81616</v>
      </c>
    </row>
    <row r="3273" spans="1:2" x14ac:dyDescent="0.2">
      <c r="A3273" s="68">
        <v>40982</v>
      </c>
      <c r="B3273" s="69">
        <v>0.81601000000000001</v>
      </c>
    </row>
    <row r="3274" spans="1:2" x14ac:dyDescent="0.2">
      <c r="A3274" s="68">
        <v>40981</v>
      </c>
      <c r="B3274" s="69">
        <v>0.81544000000000005</v>
      </c>
    </row>
    <row r="3275" spans="1:2" x14ac:dyDescent="0.2">
      <c r="A3275" s="68">
        <v>40980</v>
      </c>
      <c r="B3275" s="69">
        <v>0.81569000000000003</v>
      </c>
    </row>
    <row r="3276" spans="1:2" x14ac:dyDescent="0.2">
      <c r="A3276" s="68">
        <v>40977</v>
      </c>
      <c r="B3276" s="69">
        <v>0.81298000000000004</v>
      </c>
    </row>
    <row r="3277" spans="1:2" x14ac:dyDescent="0.2">
      <c r="A3277" s="68">
        <v>40976</v>
      </c>
      <c r="B3277" s="69">
        <v>0.81452000000000002</v>
      </c>
    </row>
    <row r="3278" spans="1:2" x14ac:dyDescent="0.2">
      <c r="A3278" s="68">
        <v>40975</v>
      </c>
      <c r="B3278" s="69">
        <v>0.81433999999999995</v>
      </c>
    </row>
    <row r="3279" spans="1:2" x14ac:dyDescent="0.2">
      <c r="A3279" s="68">
        <v>40974</v>
      </c>
      <c r="B3279" s="69">
        <v>0.81330999999999998</v>
      </c>
    </row>
    <row r="3280" spans="1:2" x14ac:dyDescent="0.2">
      <c r="A3280" s="68">
        <v>40973</v>
      </c>
      <c r="B3280" s="69">
        <v>0.81357000000000002</v>
      </c>
    </row>
    <row r="3281" spans="1:2" x14ac:dyDescent="0.2">
      <c r="A3281" s="68">
        <v>40970</v>
      </c>
      <c r="B3281" s="69">
        <v>0.81206999999999996</v>
      </c>
    </row>
    <row r="3282" spans="1:2" x14ac:dyDescent="0.2">
      <c r="A3282" s="68">
        <v>40969</v>
      </c>
      <c r="B3282" s="69">
        <v>0.81250999999999995</v>
      </c>
    </row>
    <row r="3283" spans="1:2" x14ac:dyDescent="0.2">
      <c r="A3283" s="68">
        <v>40968</v>
      </c>
      <c r="B3283" s="69">
        <v>0.81132000000000004</v>
      </c>
    </row>
    <row r="3284" spans="1:2" x14ac:dyDescent="0.2">
      <c r="A3284" s="68">
        <v>40967</v>
      </c>
      <c r="B3284" s="69">
        <v>0.81181999999999999</v>
      </c>
    </row>
    <row r="3285" spans="1:2" x14ac:dyDescent="0.2">
      <c r="A3285" s="68">
        <v>40966</v>
      </c>
      <c r="B3285" s="69">
        <v>0.81223000000000001</v>
      </c>
    </row>
    <row r="3286" spans="1:2" x14ac:dyDescent="0.2">
      <c r="A3286" s="68">
        <v>40963</v>
      </c>
      <c r="B3286" s="69">
        <v>0.81189</v>
      </c>
    </row>
    <row r="3287" spans="1:2" x14ac:dyDescent="0.2">
      <c r="A3287" s="68">
        <v>40962</v>
      </c>
      <c r="B3287" s="69">
        <v>0.81277999999999995</v>
      </c>
    </row>
    <row r="3288" spans="1:2" x14ac:dyDescent="0.2">
      <c r="A3288" s="68">
        <v>40961</v>
      </c>
      <c r="B3288" s="69">
        <v>0.81227000000000005</v>
      </c>
    </row>
    <row r="3289" spans="1:2" x14ac:dyDescent="0.2">
      <c r="A3289" s="68">
        <v>40960</v>
      </c>
      <c r="B3289" s="69">
        <v>0.81194</v>
      </c>
    </row>
    <row r="3290" spans="1:2" x14ac:dyDescent="0.2">
      <c r="A3290" s="68">
        <v>40959</v>
      </c>
      <c r="B3290" s="69">
        <v>0.81172</v>
      </c>
    </row>
    <row r="3291" spans="1:2" x14ac:dyDescent="0.2">
      <c r="A3291" s="68">
        <v>40956</v>
      </c>
      <c r="B3291" s="69">
        <v>0.81184000000000001</v>
      </c>
    </row>
    <row r="3292" spans="1:2" x14ac:dyDescent="0.2">
      <c r="A3292" s="68">
        <v>40955</v>
      </c>
      <c r="B3292" s="69">
        <v>0.81237000000000004</v>
      </c>
    </row>
    <row r="3293" spans="1:2" x14ac:dyDescent="0.2">
      <c r="A3293" s="68">
        <v>40954</v>
      </c>
      <c r="B3293" s="69">
        <v>0.81196999999999997</v>
      </c>
    </row>
    <row r="3294" spans="1:2" x14ac:dyDescent="0.2">
      <c r="A3294" s="68">
        <v>40953</v>
      </c>
      <c r="B3294" s="69">
        <v>0.81174000000000002</v>
      </c>
    </row>
    <row r="3295" spans="1:2" x14ac:dyDescent="0.2">
      <c r="A3295" s="68">
        <v>40952</v>
      </c>
      <c r="B3295" s="69">
        <v>0.81154000000000004</v>
      </c>
    </row>
    <row r="3296" spans="1:2" x14ac:dyDescent="0.2">
      <c r="A3296" s="68">
        <v>40949</v>
      </c>
      <c r="B3296" s="69">
        <v>0.8115</v>
      </c>
    </row>
    <row r="3297" spans="1:2" x14ac:dyDescent="0.2">
      <c r="A3297" s="68">
        <v>40948</v>
      </c>
      <c r="B3297" s="69">
        <v>0.81257000000000001</v>
      </c>
    </row>
    <row r="3298" spans="1:2" x14ac:dyDescent="0.2">
      <c r="A3298" s="68">
        <v>40947</v>
      </c>
      <c r="B3298" s="69">
        <v>0.81283000000000005</v>
      </c>
    </row>
    <row r="3299" spans="1:2" x14ac:dyDescent="0.2">
      <c r="A3299" s="68">
        <v>40946</v>
      </c>
      <c r="B3299" s="69">
        <v>0.81396999999999997</v>
      </c>
    </row>
    <row r="3300" spans="1:2" x14ac:dyDescent="0.2">
      <c r="A3300" s="68">
        <v>40945</v>
      </c>
      <c r="B3300" s="69">
        <v>0.81376000000000004</v>
      </c>
    </row>
    <row r="3301" spans="1:2" x14ac:dyDescent="0.2">
      <c r="A3301" s="68">
        <v>40942</v>
      </c>
      <c r="B3301" s="69">
        <v>0.81362999999999996</v>
      </c>
    </row>
    <row r="3302" spans="1:2" x14ac:dyDescent="0.2">
      <c r="A3302" s="68">
        <v>40941</v>
      </c>
      <c r="B3302" s="69">
        <v>0.81338999999999995</v>
      </c>
    </row>
    <row r="3303" spans="1:2" x14ac:dyDescent="0.2">
      <c r="A3303" s="68">
        <v>40940</v>
      </c>
      <c r="B3303" s="69">
        <v>0.81359000000000004</v>
      </c>
    </row>
    <row r="3304" spans="1:2" x14ac:dyDescent="0.2">
      <c r="A3304" s="68">
        <v>40939</v>
      </c>
      <c r="B3304" s="69">
        <v>0.81362999999999996</v>
      </c>
    </row>
    <row r="3305" spans="1:2" x14ac:dyDescent="0.2">
      <c r="A3305" s="68">
        <v>40938</v>
      </c>
      <c r="B3305" s="69">
        <v>0.81299999999999994</v>
      </c>
    </row>
    <row r="3306" spans="1:2" x14ac:dyDescent="0.2">
      <c r="A3306" s="68">
        <v>40928</v>
      </c>
      <c r="B3306" s="69">
        <v>0.81347000000000003</v>
      </c>
    </row>
    <row r="3307" spans="1:2" x14ac:dyDescent="0.2">
      <c r="A3307" s="68">
        <v>40927</v>
      </c>
      <c r="B3307" s="69">
        <v>0.81386000000000003</v>
      </c>
    </row>
    <row r="3308" spans="1:2" x14ac:dyDescent="0.2">
      <c r="A3308" s="68">
        <v>40926</v>
      </c>
      <c r="B3308" s="69">
        <v>0.81396000000000002</v>
      </c>
    </row>
    <row r="3309" spans="1:2" x14ac:dyDescent="0.2">
      <c r="A3309" s="68">
        <v>40925</v>
      </c>
      <c r="B3309" s="69">
        <v>0.81425999999999998</v>
      </c>
    </row>
    <row r="3310" spans="1:2" x14ac:dyDescent="0.2">
      <c r="A3310" s="68">
        <v>40924</v>
      </c>
      <c r="B3310" s="69">
        <v>0.81496999999999997</v>
      </c>
    </row>
    <row r="3311" spans="1:2" x14ac:dyDescent="0.2">
      <c r="A3311" s="68">
        <v>40921</v>
      </c>
      <c r="B3311" s="69">
        <v>0.81359000000000004</v>
      </c>
    </row>
    <row r="3312" spans="1:2" x14ac:dyDescent="0.2">
      <c r="A3312" s="68">
        <v>40920</v>
      </c>
      <c r="B3312" s="69">
        <v>0.81403000000000003</v>
      </c>
    </row>
    <row r="3313" spans="1:2" x14ac:dyDescent="0.2">
      <c r="A3313" s="68">
        <v>40919</v>
      </c>
      <c r="B3313" s="69">
        <v>0.81308000000000002</v>
      </c>
    </row>
    <row r="3314" spans="1:2" x14ac:dyDescent="0.2">
      <c r="A3314" s="68">
        <v>40918</v>
      </c>
      <c r="B3314" s="69">
        <v>0.81344000000000005</v>
      </c>
    </row>
    <row r="3315" spans="1:2" x14ac:dyDescent="0.2">
      <c r="A3315" s="68">
        <v>40917</v>
      </c>
      <c r="B3315" s="69">
        <v>0.81420999999999999</v>
      </c>
    </row>
    <row r="3316" spans="1:2" x14ac:dyDescent="0.2">
      <c r="A3316" s="68">
        <v>40914</v>
      </c>
      <c r="B3316" s="69">
        <v>0.81345999999999996</v>
      </c>
    </row>
    <row r="3317" spans="1:2" x14ac:dyDescent="0.2">
      <c r="A3317" s="68">
        <v>40913</v>
      </c>
      <c r="B3317" s="69">
        <v>0.81266000000000005</v>
      </c>
    </row>
    <row r="3318" spans="1:2" x14ac:dyDescent="0.2">
      <c r="A3318" s="68">
        <v>40912</v>
      </c>
      <c r="B3318" s="69">
        <v>0.81111999999999995</v>
      </c>
    </row>
    <row r="3319" spans="1:2" x14ac:dyDescent="0.2">
      <c r="A3319" s="68">
        <v>40907</v>
      </c>
      <c r="B3319" s="69">
        <v>0.81069999999999998</v>
      </c>
    </row>
    <row r="3320" spans="1:2" x14ac:dyDescent="0.2">
      <c r="A3320" s="68">
        <v>40906</v>
      </c>
      <c r="B3320" s="69">
        <v>0.81218999999999997</v>
      </c>
    </row>
    <row r="3321" spans="1:2" x14ac:dyDescent="0.2">
      <c r="A3321" s="68">
        <v>40905</v>
      </c>
      <c r="B3321" s="69">
        <v>0.81189999999999996</v>
      </c>
    </row>
    <row r="3322" spans="1:2" x14ac:dyDescent="0.2">
      <c r="A3322" s="68">
        <v>40904</v>
      </c>
      <c r="B3322" s="69">
        <v>0.81198999999999999</v>
      </c>
    </row>
    <row r="3323" spans="1:2" x14ac:dyDescent="0.2">
      <c r="A3323" s="68">
        <v>40903</v>
      </c>
      <c r="B3323" s="69">
        <v>0.81223000000000001</v>
      </c>
    </row>
    <row r="3324" spans="1:2" x14ac:dyDescent="0.2">
      <c r="A3324" s="68">
        <v>40900</v>
      </c>
      <c r="B3324" s="69">
        <v>0.81244000000000005</v>
      </c>
    </row>
    <row r="3325" spans="1:2" x14ac:dyDescent="0.2">
      <c r="A3325" s="68">
        <v>40899</v>
      </c>
      <c r="B3325" s="69">
        <v>0.81293000000000004</v>
      </c>
    </row>
    <row r="3326" spans="1:2" x14ac:dyDescent="0.2">
      <c r="A3326" s="68">
        <v>40898</v>
      </c>
      <c r="B3326" s="69">
        <v>0.81301000000000001</v>
      </c>
    </row>
    <row r="3327" spans="1:2" x14ac:dyDescent="0.2">
      <c r="A3327" s="68">
        <v>40897</v>
      </c>
      <c r="B3327" s="69">
        <v>0.81396000000000002</v>
      </c>
    </row>
    <row r="3328" spans="1:2" x14ac:dyDescent="0.2">
      <c r="A3328" s="68">
        <v>40896</v>
      </c>
      <c r="B3328" s="69">
        <v>0.81320999999999999</v>
      </c>
    </row>
    <row r="3329" spans="1:2" x14ac:dyDescent="0.2">
      <c r="A3329" s="68">
        <v>40893</v>
      </c>
      <c r="B3329" s="69">
        <v>0.81423000000000001</v>
      </c>
    </row>
    <row r="3330" spans="1:2" x14ac:dyDescent="0.2">
      <c r="A3330" s="68">
        <v>40892</v>
      </c>
      <c r="B3330" s="69">
        <v>0.81479000000000001</v>
      </c>
    </row>
    <row r="3331" spans="1:2" x14ac:dyDescent="0.2">
      <c r="A3331" s="68">
        <v>40891</v>
      </c>
      <c r="B3331" s="69">
        <v>0.81483000000000005</v>
      </c>
    </row>
    <row r="3332" spans="1:2" x14ac:dyDescent="0.2">
      <c r="A3332" s="68">
        <v>40890</v>
      </c>
      <c r="B3332" s="69">
        <v>0.81410000000000005</v>
      </c>
    </row>
    <row r="3333" spans="1:2" x14ac:dyDescent="0.2">
      <c r="A3333" s="68">
        <v>40889</v>
      </c>
      <c r="B3333" s="69">
        <v>0.81347999999999998</v>
      </c>
    </row>
    <row r="3334" spans="1:2" x14ac:dyDescent="0.2">
      <c r="A3334" s="68">
        <v>40886</v>
      </c>
      <c r="B3334" s="69">
        <v>0.81459000000000004</v>
      </c>
    </row>
    <row r="3335" spans="1:2" x14ac:dyDescent="0.2">
      <c r="A3335" s="68">
        <v>40885</v>
      </c>
      <c r="B3335" s="69">
        <v>0.81457000000000002</v>
      </c>
    </row>
    <row r="3336" spans="1:2" x14ac:dyDescent="0.2">
      <c r="A3336" s="68">
        <v>40884</v>
      </c>
      <c r="B3336" s="69">
        <v>0.81489999999999996</v>
      </c>
    </row>
    <row r="3337" spans="1:2" x14ac:dyDescent="0.2">
      <c r="A3337" s="68">
        <v>40883</v>
      </c>
      <c r="B3337" s="69">
        <v>0.81481000000000003</v>
      </c>
    </row>
    <row r="3338" spans="1:2" x14ac:dyDescent="0.2">
      <c r="A3338" s="68">
        <v>40882</v>
      </c>
      <c r="B3338" s="69">
        <v>0.81537000000000004</v>
      </c>
    </row>
    <row r="3339" spans="1:2" x14ac:dyDescent="0.2">
      <c r="A3339" s="68">
        <v>40879</v>
      </c>
      <c r="B3339" s="69">
        <v>0.81484000000000001</v>
      </c>
    </row>
    <row r="3340" spans="1:2" x14ac:dyDescent="0.2">
      <c r="A3340" s="68">
        <v>40878</v>
      </c>
      <c r="B3340" s="69">
        <v>0.81499999999999995</v>
      </c>
    </row>
    <row r="3341" spans="1:2" x14ac:dyDescent="0.2">
      <c r="A3341" s="68">
        <v>40877</v>
      </c>
      <c r="B3341" s="69">
        <v>0.81499999999999995</v>
      </c>
    </row>
    <row r="3342" spans="1:2" x14ac:dyDescent="0.2">
      <c r="A3342" s="68">
        <v>40876</v>
      </c>
      <c r="B3342" s="69">
        <v>0.81571000000000005</v>
      </c>
    </row>
    <row r="3343" spans="1:2" x14ac:dyDescent="0.2">
      <c r="A3343" s="68">
        <v>40875</v>
      </c>
      <c r="B3343" s="69">
        <v>0.81576000000000004</v>
      </c>
    </row>
    <row r="3344" spans="1:2" x14ac:dyDescent="0.2">
      <c r="A3344" s="68">
        <v>40872</v>
      </c>
      <c r="B3344" s="69">
        <v>0.81523999999999996</v>
      </c>
    </row>
    <row r="3345" spans="1:2" x14ac:dyDescent="0.2">
      <c r="A3345" s="68">
        <v>40871</v>
      </c>
      <c r="B3345" s="69">
        <v>0.81557000000000002</v>
      </c>
    </row>
    <row r="3346" spans="1:2" x14ac:dyDescent="0.2">
      <c r="A3346" s="68">
        <v>40870</v>
      </c>
      <c r="B3346" s="69">
        <v>0.81491999999999998</v>
      </c>
    </row>
    <row r="3347" spans="1:2" x14ac:dyDescent="0.2">
      <c r="A3347" s="68">
        <v>40869</v>
      </c>
      <c r="B3347" s="69">
        <v>0.81588000000000005</v>
      </c>
    </row>
    <row r="3348" spans="1:2" x14ac:dyDescent="0.2">
      <c r="A3348" s="68">
        <v>40868</v>
      </c>
      <c r="B3348" s="69">
        <v>0.81554000000000004</v>
      </c>
    </row>
    <row r="3349" spans="1:2" x14ac:dyDescent="0.2">
      <c r="A3349" s="68">
        <v>40865</v>
      </c>
      <c r="B3349" s="69">
        <v>0.81596000000000002</v>
      </c>
    </row>
    <row r="3350" spans="1:2" x14ac:dyDescent="0.2">
      <c r="A3350" s="68">
        <v>40864</v>
      </c>
      <c r="B3350" s="69">
        <v>0.81638999999999995</v>
      </c>
    </row>
    <row r="3351" spans="1:2" x14ac:dyDescent="0.2">
      <c r="A3351" s="68">
        <v>40863</v>
      </c>
      <c r="B3351" s="69">
        <v>0.81601000000000001</v>
      </c>
    </row>
    <row r="3352" spans="1:2" x14ac:dyDescent="0.2">
      <c r="A3352" s="68">
        <v>40862</v>
      </c>
      <c r="B3352" s="69">
        <v>0.81510000000000005</v>
      </c>
    </row>
    <row r="3353" spans="1:2" x14ac:dyDescent="0.2">
      <c r="A3353" s="68">
        <v>40861</v>
      </c>
      <c r="B3353" s="69">
        <v>0.81372</v>
      </c>
    </row>
    <row r="3354" spans="1:2" x14ac:dyDescent="0.2">
      <c r="A3354" s="68">
        <v>40858</v>
      </c>
      <c r="B3354" s="69">
        <v>0.81377999999999995</v>
      </c>
    </row>
    <row r="3355" spans="1:2" x14ac:dyDescent="0.2">
      <c r="A3355" s="68">
        <v>40857</v>
      </c>
      <c r="B3355" s="69">
        <v>0.81447999999999998</v>
      </c>
    </row>
    <row r="3356" spans="1:2" x14ac:dyDescent="0.2">
      <c r="A3356" s="68">
        <v>40856</v>
      </c>
      <c r="B3356" s="69">
        <v>0.81354000000000004</v>
      </c>
    </row>
    <row r="3357" spans="1:2" x14ac:dyDescent="0.2">
      <c r="A3357" s="68">
        <v>40855</v>
      </c>
      <c r="B3357" s="69">
        <v>0.81401999999999997</v>
      </c>
    </row>
    <row r="3358" spans="1:2" x14ac:dyDescent="0.2">
      <c r="A3358" s="68">
        <v>40854</v>
      </c>
      <c r="B3358" s="69">
        <v>0.81369999999999998</v>
      </c>
    </row>
    <row r="3359" spans="1:2" x14ac:dyDescent="0.2">
      <c r="A3359" s="68">
        <v>40851</v>
      </c>
      <c r="B3359" s="69">
        <v>0.81311999999999995</v>
      </c>
    </row>
    <row r="3360" spans="1:2" x14ac:dyDescent="0.2">
      <c r="A3360" s="68">
        <v>40850</v>
      </c>
      <c r="B3360" s="69">
        <v>0.81327000000000005</v>
      </c>
    </row>
    <row r="3361" spans="1:2" x14ac:dyDescent="0.2">
      <c r="A3361" s="68">
        <v>40849</v>
      </c>
      <c r="B3361" s="69">
        <v>0.8145</v>
      </c>
    </row>
    <row r="3362" spans="1:2" x14ac:dyDescent="0.2">
      <c r="A3362" s="68">
        <v>40848</v>
      </c>
      <c r="B3362" s="69">
        <v>0.81477999999999995</v>
      </c>
    </row>
    <row r="3363" spans="1:2" x14ac:dyDescent="0.2">
      <c r="A3363" s="68">
        <v>40847</v>
      </c>
      <c r="B3363" s="69">
        <v>0.81440999999999997</v>
      </c>
    </row>
    <row r="3364" spans="1:2" x14ac:dyDescent="0.2">
      <c r="A3364" s="68">
        <v>40844</v>
      </c>
      <c r="B3364" s="69">
        <v>0.81476000000000004</v>
      </c>
    </row>
    <row r="3365" spans="1:2" x14ac:dyDescent="0.2">
      <c r="A3365" s="68">
        <v>40843</v>
      </c>
      <c r="B3365" s="69">
        <v>0.81662000000000001</v>
      </c>
    </row>
    <row r="3366" spans="1:2" x14ac:dyDescent="0.2">
      <c r="A3366" s="68">
        <v>40842</v>
      </c>
      <c r="B3366" s="69">
        <v>0.81611</v>
      </c>
    </row>
    <row r="3367" spans="1:2" x14ac:dyDescent="0.2">
      <c r="A3367" s="68">
        <v>40841</v>
      </c>
      <c r="B3367" s="69">
        <v>0.81552999999999998</v>
      </c>
    </row>
    <row r="3368" spans="1:2" x14ac:dyDescent="0.2">
      <c r="A3368" s="68">
        <v>40840</v>
      </c>
      <c r="B3368" s="69">
        <v>0.81679999999999997</v>
      </c>
    </row>
    <row r="3369" spans="1:2" x14ac:dyDescent="0.2">
      <c r="A3369" s="68">
        <v>40837</v>
      </c>
      <c r="B3369" s="69">
        <v>0.81781000000000004</v>
      </c>
    </row>
    <row r="3370" spans="1:2" x14ac:dyDescent="0.2">
      <c r="A3370" s="68">
        <v>40836</v>
      </c>
      <c r="B3370" s="69">
        <v>0.81845000000000001</v>
      </c>
    </row>
    <row r="3371" spans="1:2" x14ac:dyDescent="0.2">
      <c r="A3371" s="68">
        <v>40835</v>
      </c>
      <c r="B3371" s="69">
        <v>0.81947000000000003</v>
      </c>
    </row>
    <row r="3372" spans="1:2" x14ac:dyDescent="0.2">
      <c r="A3372" s="68">
        <v>40834</v>
      </c>
      <c r="B3372" s="69">
        <v>0.81964999999999999</v>
      </c>
    </row>
    <row r="3373" spans="1:2" x14ac:dyDescent="0.2">
      <c r="A3373" s="68">
        <v>40833</v>
      </c>
      <c r="B3373" s="69">
        <v>0.81913000000000002</v>
      </c>
    </row>
    <row r="3374" spans="1:2" x14ac:dyDescent="0.2">
      <c r="A3374" s="68">
        <v>40830</v>
      </c>
      <c r="B3374" s="69">
        <v>0.81982999999999995</v>
      </c>
    </row>
    <row r="3375" spans="1:2" x14ac:dyDescent="0.2">
      <c r="A3375" s="68">
        <v>40829</v>
      </c>
      <c r="B3375" s="69">
        <v>0.81935000000000002</v>
      </c>
    </row>
    <row r="3376" spans="1:2" x14ac:dyDescent="0.2">
      <c r="A3376" s="68">
        <v>40828</v>
      </c>
      <c r="B3376" s="69">
        <v>0.81730000000000003</v>
      </c>
    </row>
    <row r="3377" spans="1:2" x14ac:dyDescent="0.2">
      <c r="A3377" s="68">
        <v>40827</v>
      </c>
      <c r="B3377" s="69">
        <v>0.81586000000000003</v>
      </c>
    </row>
    <row r="3378" spans="1:2" x14ac:dyDescent="0.2">
      <c r="A3378" s="68">
        <v>40826</v>
      </c>
      <c r="B3378" s="69">
        <v>0.81708000000000003</v>
      </c>
    </row>
    <row r="3379" spans="1:2" x14ac:dyDescent="0.2">
      <c r="A3379" s="68">
        <v>40816</v>
      </c>
      <c r="B3379" s="69">
        <v>0.81538999999999995</v>
      </c>
    </row>
    <row r="3380" spans="1:2" x14ac:dyDescent="0.2">
      <c r="A3380" s="68">
        <v>40815</v>
      </c>
      <c r="B3380" s="69">
        <v>0.81662000000000001</v>
      </c>
    </row>
    <row r="3381" spans="1:2" x14ac:dyDescent="0.2">
      <c r="A3381" s="68">
        <v>40814</v>
      </c>
      <c r="B3381" s="69">
        <v>0.81610000000000005</v>
      </c>
    </row>
    <row r="3382" spans="1:2" x14ac:dyDescent="0.2">
      <c r="A3382" s="68">
        <v>40813</v>
      </c>
      <c r="B3382" s="69">
        <v>0.81767000000000001</v>
      </c>
    </row>
    <row r="3383" spans="1:2" x14ac:dyDescent="0.2">
      <c r="A3383" s="68">
        <v>40812</v>
      </c>
      <c r="B3383" s="69">
        <v>0.81696999999999997</v>
      </c>
    </row>
    <row r="3384" spans="1:2" x14ac:dyDescent="0.2">
      <c r="A3384" s="68">
        <v>40809</v>
      </c>
      <c r="B3384" s="69">
        <v>0.81852999999999998</v>
      </c>
    </row>
    <row r="3385" spans="1:2" x14ac:dyDescent="0.2">
      <c r="A3385" s="68">
        <v>40808</v>
      </c>
      <c r="B3385" s="69">
        <v>0.81859999999999999</v>
      </c>
    </row>
    <row r="3386" spans="1:2" x14ac:dyDescent="0.2">
      <c r="A3386" s="68">
        <v>40807</v>
      </c>
      <c r="B3386" s="69">
        <v>0.81860999999999995</v>
      </c>
    </row>
    <row r="3387" spans="1:2" x14ac:dyDescent="0.2">
      <c r="A3387" s="68">
        <v>40806</v>
      </c>
      <c r="B3387" s="69">
        <v>0.81928999999999996</v>
      </c>
    </row>
    <row r="3388" spans="1:2" x14ac:dyDescent="0.2">
      <c r="A3388" s="68">
        <v>40805</v>
      </c>
      <c r="B3388" s="69">
        <v>0.81923999999999997</v>
      </c>
    </row>
    <row r="3389" spans="1:2" x14ac:dyDescent="0.2">
      <c r="A3389" s="68">
        <v>40802</v>
      </c>
      <c r="B3389" s="69">
        <v>0.81867999999999996</v>
      </c>
    </row>
    <row r="3390" spans="1:2" x14ac:dyDescent="0.2">
      <c r="A3390" s="68">
        <v>40801</v>
      </c>
      <c r="B3390" s="69">
        <v>0.81925999999999999</v>
      </c>
    </row>
    <row r="3391" spans="1:2" x14ac:dyDescent="0.2">
      <c r="A3391" s="68">
        <v>40800</v>
      </c>
      <c r="B3391" s="69">
        <v>0.81952000000000003</v>
      </c>
    </row>
    <row r="3392" spans="1:2" x14ac:dyDescent="0.2">
      <c r="A3392" s="68">
        <v>40799</v>
      </c>
      <c r="B3392" s="69">
        <v>0.82013000000000003</v>
      </c>
    </row>
    <row r="3393" spans="1:2" x14ac:dyDescent="0.2">
      <c r="A3393" s="68">
        <v>40795</v>
      </c>
      <c r="B3393" s="69">
        <v>0.82010000000000005</v>
      </c>
    </row>
    <row r="3394" spans="1:2" x14ac:dyDescent="0.2">
      <c r="A3394" s="68">
        <v>40794</v>
      </c>
      <c r="B3394" s="69">
        <v>0.81971000000000005</v>
      </c>
    </row>
    <row r="3395" spans="1:2" x14ac:dyDescent="0.2">
      <c r="A3395" s="68">
        <v>40793</v>
      </c>
      <c r="B3395" s="69">
        <v>0.82069000000000003</v>
      </c>
    </row>
    <row r="3396" spans="1:2" x14ac:dyDescent="0.2">
      <c r="A3396" s="68">
        <v>40792</v>
      </c>
      <c r="B3396" s="69">
        <v>0.82057000000000002</v>
      </c>
    </row>
    <row r="3397" spans="1:2" x14ac:dyDescent="0.2">
      <c r="A3397" s="68">
        <v>40791</v>
      </c>
      <c r="B3397" s="69">
        <v>0.82040999999999997</v>
      </c>
    </row>
    <row r="3398" spans="1:2" x14ac:dyDescent="0.2">
      <c r="A3398" s="68">
        <v>40788</v>
      </c>
      <c r="B3398" s="69">
        <v>0.82065999999999995</v>
      </c>
    </row>
    <row r="3399" spans="1:2" x14ac:dyDescent="0.2">
      <c r="A3399" s="68">
        <v>40787</v>
      </c>
      <c r="B3399" s="69">
        <v>0.81994999999999996</v>
      </c>
    </row>
    <row r="3400" spans="1:2" x14ac:dyDescent="0.2">
      <c r="A3400" s="68">
        <v>40786</v>
      </c>
      <c r="B3400" s="69">
        <v>0.81923000000000001</v>
      </c>
    </row>
    <row r="3401" spans="1:2" x14ac:dyDescent="0.2">
      <c r="A3401" s="68">
        <v>40785</v>
      </c>
      <c r="B3401" s="69">
        <v>0.81930000000000003</v>
      </c>
    </row>
    <row r="3402" spans="1:2" x14ac:dyDescent="0.2">
      <c r="A3402" s="68">
        <v>40784</v>
      </c>
      <c r="B3402" s="69">
        <v>0.81950000000000001</v>
      </c>
    </row>
    <row r="3403" spans="1:2" x14ac:dyDescent="0.2">
      <c r="A3403" s="68">
        <v>40781</v>
      </c>
      <c r="B3403" s="69">
        <v>0.82030000000000003</v>
      </c>
    </row>
    <row r="3404" spans="1:2" x14ac:dyDescent="0.2">
      <c r="A3404" s="68">
        <v>40780</v>
      </c>
      <c r="B3404" s="69">
        <v>0.82015000000000005</v>
      </c>
    </row>
    <row r="3405" spans="1:2" x14ac:dyDescent="0.2">
      <c r="A3405" s="68">
        <v>40779</v>
      </c>
      <c r="B3405" s="69">
        <v>0.81952999999999998</v>
      </c>
    </row>
    <row r="3406" spans="1:2" x14ac:dyDescent="0.2">
      <c r="A3406" s="68">
        <v>40778</v>
      </c>
      <c r="B3406" s="69">
        <v>0.82037000000000004</v>
      </c>
    </row>
    <row r="3407" spans="1:2" x14ac:dyDescent="0.2">
      <c r="A3407" s="68">
        <v>40777</v>
      </c>
      <c r="B3407" s="69">
        <v>0.82062000000000002</v>
      </c>
    </row>
    <row r="3408" spans="1:2" x14ac:dyDescent="0.2">
      <c r="A3408" s="68">
        <v>40774</v>
      </c>
      <c r="B3408" s="69">
        <v>0.82113000000000003</v>
      </c>
    </row>
    <row r="3409" spans="1:2" x14ac:dyDescent="0.2">
      <c r="A3409" s="68">
        <v>40773</v>
      </c>
      <c r="B3409" s="69">
        <v>0.82067999999999997</v>
      </c>
    </row>
    <row r="3410" spans="1:2" x14ac:dyDescent="0.2">
      <c r="A3410" s="68">
        <v>40772</v>
      </c>
      <c r="B3410" s="69">
        <v>0.82130000000000003</v>
      </c>
    </row>
    <row r="3411" spans="1:2" x14ac:dyDescent="0.2">
      <c r="A3411" s="68">
        <v>40771</v>
      </c>
      <c r="B3411" s="69">
        <v>0.82054000000000005</v>
      </c>
    </row>
    <row r="3412" spans="1:2" x14ac:dyDescent="0.2">
      <c r="A3412" s="68">
        <v>40770</v>
      </c>
      <c r="B3412" s="69">
        <v>0.82050000000000001</v>
      </c>
    </row>
    <row r="3413" spans="1:2" x14ac:dyDescent="0.2">
      <c r="A3413" s="68">
        <v>40767</v>
      </c>
      <c r="B3413" s="69">
        <v>0.82074000000000003</v>
      </c>
    </row>
    <row r="3414" spans="1:2" x14ac:dyDescent="0.2">
      <c r="A3414" s="68">
        <v>40766</v>
      </c>
      <c r="B3414" s="69">
        <v>0.81938999999999995</v>
      </c>
    </row>
    <row r="3415" spans="1:2" x14ac:dyDescent="0.2">
      <c r="A3415" s="68">
        <v>40765</v>
      </c>
      <c r="B3415" s="69">
        <v>0.82208999999999999</v>
      </c>
    </row>
    <row r="3416" spans="1:2" x14ac:dyDescent="0.2">
      <c r="A3416" s="68">
        <v>40764</v>
      </c>
      <c r="B3416" s="69">
        <v>0.82377</v>
      </c>
    </row>
    <row r="3417" spans="1:2" x14ac:dyDescent="0.2">
      <c r="A3417" s="68">
        <v>40763</v>
      </c>
      <c r="B3417" s="69">
        <v>0.82384999999999997</v>
      </c>
    </row>
    <row r="3418" spans="1:2" x14ac:dyDescent="0.2">
      <c r="A3418" s="68">
        <v>40760</v>
      </c>
      <c r="B3418" s="69">
        <v>0.82608000000000004</v>
      </c>
    </row>
    <row r="3419" spans="1:2" x14ac:dyDescent="0.2">
      <c r="A3419" s="68">
        <v>40759</v>
      </c>
      <c r="B3419" s="69">
        <v>0.82572000000000001</v>
      </c>
    </row>
    <row r="3420" spans="1:2" x14ac:dyDescent="0.2">
      <c r="A3420" s="68">
        <v>40758</v>
      </c>
      <c r="B3420" s="69">
        <v>0.82655999999999996</v>
      </c>
    </row>
    <row r="3421" spans="1:2" x14ac:dyDescent="0.2">
      <c r="A3421" s="68">
        <v>40757</v>
      </c>
      <c r="B3421" s="69">
        <v>0.82681000000000004</v>
      </c>
    </row>
    <row r="3422" spans="1:2" x14ac:dyDescent="0.2">
      <c r="A3422" s="68">
        <v>40756</v>
      </c>
      <c r="B3422" s="69">
        <v>0.82642000000000004</v>
      </c>
    </row>
    <row r="3423" spans="1:2" x14ac:dyDescent="0.2">
      <c r="A3423" s="68">
        <v>40753</v>
      </c>
      <c r="B3423" s="69">
        <v>0.82696000000000003</v>
      </c>
    </row>
    <row r="3424" spans="1:2" x14ac:dyDescent="0.2">
      <c r="A3424" s="68">
        <v>40752</v>
      </c>
      <c r="B3424" s="69">
        <v>0.82694000000000001</v>
      </c>
    </row>
    <row r="3425" spans="1:2" x14ac:dyDescent="0.2">
      <c r="A3425" s="68">
        <v>40751</v>
      </c>
      <c r="B3425" s="69">
        <v>0.82708999999999999</v>
      </c>
    </row>
    <row r="3426" spans="1:2" x14ac:dyDescent="0.2">
      <c r="A3426" s="68">
        <v>40750</v>
      </c>
      <c r="B3426" s="69">
        <v>0.82738999999999996</v>
      </c>
    </row>
    <row r="3427" spans="1:2" x14ac:dyDescent="0.2">
      <c r="A3427" s="68">
        <v>40749</v>
      </c>
      <c r="B3427" s="69">
        <v>0.82787999999999995</v>
      </c>
    </row>
    <row r="3428" spans="1:2" x14ac:dyDescent="0.2">
      <c r="A3428" s="68">
        <v>40746</v>
      </c>
      <c r="B3428" s="69">
        <v>0.82767000000000002</v>
      </c>
    </row>
    <row r="3429" spans="1:2" x14ac:dyDescent="0.2">
      <c r="A3429" s="68">
        <v>40745</v>
      </c>
      <c r="B3429" s="69">
        <v>0.82826999999999995</v>
      </c>
    </row>
    <row r="3430" spans="1:2" x14ac:dyDescent="0.2">
      <c r="A3430" s="68">
        <v>40744</v>
      </c>
      <c r="B3430" s="69">
        <v>0.82887999999999995</v>
      </c>
    </row>
    <row r="3431" spans="1:2" x14ac:dyDescent="0.2">
      <c r="A3431" s="68">
        <v>40743</v>
      </c>
      <c r="B3431" s="69">
        <v>0.82974000000000003</v>
      </c>
    </row>
    <row r="3432" spans="1:2" x14ac:dyDescent="0.2">
      <c r="A3432" s="68">
        <v>40742</v>
      </c>
      <c r="B3432" s="69">
        <v>0.82974000000000003</v>
      </c>
    </row>
    <row r="3433" spans="1:2" x14ac:dyDescent="0.2">
      <c r="A3433" s="68">
        <v>40739</v>
      </c>
      <c r="B3433" s="69">
        <v>0.83</v>
      </c>
    </row>
    <row r="3434" spans="1:2" x14ac:dyDescent="0.2">
      <c r="A3434" s="68">
        <v>40738</v>
      </c>
      <c r="B3434" s="69">
        <v>0.82991000000000004</v>
      </c>
    </row>
    <row r="3435" spans="1:2" x14ac:dyDescent="0.2">
      <c r="A3435" s="68">
        <v>40737</v>
      </c>
      <c r="B3435" s="69">
        <v>0.83062000000000002</v>
      </c>
    </row>
    <row r="3436" spans="1:2" x14ac:dyDescent="0.2">
      <c r="A3436" s="68">
        <v>40736</v>
      </c>
      <c r="B3436" s="69">
        <v>0.83126</v>
      </c>
    </row>
    <row r="3437" spans="1:2" x14ac:dyDescent="0.2">
      <c r="A3437" s="68">
        <v>40735</v>
      </c>
      <c r="B3437" s="69">
        <v>0.83145000000000002</v>
      </c>
    </row>
    <row r="3438" spans="1:2" x14ac:dyDescent="0.2">
      <c r="A3438" s="68">
        <v>40732</v>
      </c>
      <c r="B3438" s="69">
        <v>0.83138000000000001</v>
      </c>
    </row>
    <row r="3439" spans="1:2" x14ac:dyDescent="0.2">
      <c r="A3439" s="68">
        <v>40731</v>
      </c>
      <c r="B3439" s="69">
        <v>0.83169999999999999</v>
      </c>
    </row>
    <row r="3440" spans="1:2" x14ac:dyDescent="0.2">
      <c r="A3440" s="68">
        <v>40730</v>
      </c>
      <c r="B3440" s="69">
        <v>0.83167000000000002</v>
      </c>
    </row>
    <row r="3441" spans="1:2" x14ac:dyDescent="0.2">
      <c r="A3441" s="68">
        <v>40729</v>
      </c>
      <c r="B3441" s="69">
        <v>0.83099000000000001</v>
      </c>
    </row>
    <row r="3442" spans="1:2" x14ac:dyDescent="0.2">
      <c r="A3442" s="68">
        <v>40728</v>
      </c>
      <c r="B3442" s="69">
        <v>0.83099000000000001</v>
      </c>
    </row>
    <row r="3443" spans="1:2" x14ac:dyDescent="0.2">
      <c r="A3443" s="68">
        <v>40725</v>
      </c>
      <c r="B3443" s="69">
        <v>0.83104999999999996</v>
      </c>
    </row>
    <row r="3444" spans="1:2" x14ac:dyDescent="0.2">
      <c r="A3444" s="68">
        <v>40724</v>
      </c>
      <c r="B3444" s="69">
        <v>0.83162000000000003</v>
      </c>
    </row>
    <row r="3445" spans="1:2" x14ac:dyDescent="0.2">
      <c r="A3445" s="68">
        <v>40723</v>
      </c>
      <c r="B3445" s="69">
        <v>0.83133000000000001</v>
      </c>
    </row>
    <row r="3446" spans="1:2" x14ac:dyDescent="0.2">
      <c r="A3446" s="68">
        <v>40722</v>
      </c>
      <c r="B3446" s="69">
        <v>0.83109999999999995</v>
      </c>
    </row>
    <row r="3447" spans="1:2" x14ac:dyDescent="0.2">
      <c r="A3447" s="68">
        <v>40721</v>
      </c>
      <c r="B3447" s="69">
        <v>0.83116000000000001</v>
      </c>
    </row>
    <row r="3448" spans="1:2" x14ac:dyDescent="0.2">
      <c r="A3448" s="68">
        <v>40718</v>
      </c>
      <c r="B3448" s="69">
        <v>0.83111000000000002</v>
      </c>
    </row>
    <row r="3449" spans="1:2" x14ac:dyDescent="0.2">
      <c r="A3449" s="68">
        <v>40717</v>
      </c>
      <c r="B3449" s="69">
        <v>0.83113000000000004</v>
      </c>
    </row>
    <row r="3450" spans="1:2" x14ac:dyDescent="0.2">
      <c r="A3450" s="68">
        <v>40716</v>
      </c>
      <c r="B3450" s="69">
        <v>0.83045999999999998</v>
      </c>
    </row>
    <row r="3451" spans="1:2" x14ac:dyDescent="0.2">
      <c r="A3451" s="68">
        <v>40715</v>
      </c>
      <c r="B3451" s="69">
        <v>0.83023999999999998</v>
      </c>
    </row>
    <row r="3452" spans="1:2" x14ac:dyDescent="0.2">
      <c r="A3452" s="68">
        <v>40714</v>
      </c>
      <c r="B3452" s="69">
        <v>0.83013999999999999</v>
      </c>
    </row>
    <row r="3453" spans="1:2" x14ac:dyDescent="0.2">
      <c r="A3453" s="68">
        <v>40711</v>
      </c>
      <c r="B3453" s="69">
        <v>0.82942000000000005</v>
      </c>
    </row>
    <row r="3454" spans="1:2" x14ac:dyDescent="0.2">
      <c r="A3454" s="68">
        <v>40710</v>
      </c>
      <c r="B3454" s="69">
        <v>0.83179000000000003</v>
      </c>
    </row>
    <row r="3455" spans="1:2" x14ac:dyDescent="0.2">
      <c r="A3455" s="68">
        <v>40709</v>
      </c>
      <c r="B3455" s="69">
        <v>0.83243999999999996</v>
      </c>
    </row>
    <row r="3456" spans="1:2" x14ac:dyDescent="0.2">
      <c r="A3456" s="68">
        <v>40708</v>
      </c>
      <c r="B3456" s="69">
        <v>0.83267999999999998</v>
      </c>
    </row>
    <row r="3457" spans="1:2" x14ac:dyDescent="0.2">
      <c r="A3457" s="68">
        <v>40707</v>
      </c>
      <c r="B3457" s="69">
        <v>0.83372999999999997</v>
      </c>
    </row>
    <row r="3458" spans="1:2" x14ac:dyDescent="0.2">
      <c r="A3458" s="68">
        <v>40704</v>
      </c>
      <c r="B3458" s="69">
        <v>0.83335999999999999</v>
      </c>
    </row>
    <row r="3459" spans="1:2" x14ac:dyDescent="0.2">
      <c r="A3459" s="68">
        <v>40703</v>
      </c>
      <c r="B3459" s="69">
        <v>0.83308000000000004</v>
      </c>
    </row>
    <row r="3460" spans="1:2" x14ac:dyDescent="0.2">
      <c r="A3460" s="68">
        <v>40702</v>
      </c>
      <c r="B3460" s="69">
        <v>0.83291000000000004</v>
      </c>
    </row>
    <row r="3461" spans="1:2" x14ac:dyDescent="0.2">
      <c r="A3461" s="68">
        <v>40701</v>
      </c>
      <c r="B3461" s="69">
        <v>0.83318999999999999</v>
      </c>
    </row>
    <row r="3462" spans="1:2" x14ac:dyDescent="0.2">
      <c r="A3462" s="68">
        <v>40697</v>
      </c>
      <c r="B3462" s="69">
        <v>0.83372999999999997</v>
      </c>
    </row>
    <row r="3463" spans="1:2" x14ac:dyDescent="0.2">
      <c r="A3463" s="68">
        <v>40696</v>
      </c>
      <c r="B3463" s="69">
        <v>0.83398000000000005</v>
      </c>
    </row>
    <row r="3464" spans="1:2" x14ac:dyDescent="0.2">
      <c r="A3464" s="68">
        <v>40695</v>
      </c>
      <c r="B3464" s="69">
        <v>0.8337</v>
      </c>
    </row>
    <row r="3465" spans="1:2" x14ac:dyDescent="0.2">
      <c r="A3465" s="68">
        <v>40694</v>
      </c>
      <c r="B3465" s="69">
        <v>0.83367999999999998</v>
      </c>
    </row>
    <row r="3466" spans="1:2" x14ac:dyDescent="0.2">
      <c r="A3466" s="68">
        <v>40693</v>
      </c>
      <c r="B3466" s="69">
        <v>0.83352999999999999</v>
      </c>
    </row>
    <row r="3467" spans="1:2" x14ac:dyDescent="0.2">
      <c r="A3467" s="68">
        <v>40690</v>
      </c>
      <c r="B3467" s="69">
        <v>0.83381000000000005</v>
      </c>
    </row>
    <row r="3468" spans="1:2" x14ac:dyDescent="0.2">
      <c r="A3468" s="68">
        <v>40689</v>
      </c>
      <c r="B3468" s="69">
        <v>0.83413000000000004</v>
      </c>
    </row>
    <row r="3469" spans="1:2" x14ac:dyDescent="0.2">
      <c r="A3469" s="68">
        <v>40688</v>
      </c>
      <c r="B3469" s="69">
        <v>0.83511000000000002</v>
      </c>
    </row>
    <row r="3470" spans="1:2" x14ac:dyDescent="0.2">
      <c r="A3470" s="68">
        <v>40687</v>
      </c>
      <c r="B3470" s="69">
        <v>0.83620000000000005</v>
      </c>
    </row>
    <row r="3471" spans="1:2" x14ac:dyDescent="0.2">
      <c r="A3471" s="68">
        <v>40686</v>
      </c>
      <c r="B3471" s="69">
        <v>0.83604999999999996</v>
      </c>
    </row>
    <row r="3472" spans="1:2" x14ac:dyDescent="0.2">
      <c r="A3472" s="68">
        <v>40683</v>
      </c>
      <c r="B3472" s="69">
        <v>0.83592999999999995</v>
      </c>
    </row>
    <row r="3473" spans="1:2" x14ac:dyDescent="0.2">
      <c r="A3473" s="68">
        <v>40682</v>
      </c>
      <c r="B3473" s="69">
        <v>0.83670999999999995</v>
      </c>
    </row>
    <row r="3474" spans="1:2" x14ac:dyDescent="0.2">
      <c r="A3474" s="68">
        <v>40681</v>
      </c>
      <c r="B3474" s="69">
        <v>0.83701999999999999</v>
      </c>
    </row>
    <row r="3475" spans="1:2" x14ac:dyDescent="0.2">
      <c r="A3475" s="68">
        <v>40680</v>
      </c>
      <c r="B3475" s="69">
        <v>0.83718000000000004</v>
      </c>
    </row>
    <row r="3476" spans="1:2" x14ac:dyDescent="0.2">
      <c r="A3476" s="68">
        <v>40679</v>
      </c>
      <c r="B3476" s="69">
        <v>0.83738000000000001</v>
      </c>
    </row>
    <row r="3477" spans="1:2" x14ac:dyDescent="0.2">
      <c r="A3477" s="68">
        <v>40676</v>
      </c>
      <c r="B3477" s="69">
        <v>0.83650000000000002</v>
      </c>
    </row>
    <row r="3478" spans="1:2" x14ac:dyDescent="0.2">
      <c r="A3478" s="68">
        <v>40675</v>
      </c>
      <c r="B3478" s="69">
        <v>0.83631</v>
      </c>
    </row>
    <row r="3479" spans="1:2" x14ac:dyDescent="0.2">
      <c r="A3479" s="68">
        <v>40674</v>
      </c>
      <c r="B3479" s="69">
        <v>0.83570999999999995</v>
      </c>
    </row>
    <row r="3480" spans="1:2" x14ac:dyDescent="0.2">
      <c r="A3480" s="68">
        <v>40673</v>
      </c>
      <c r="B3480" s="69">
        <v>0.83562999999999998</v>
      </c>
    </row>
    <row r="3481" spans="1:2" x14ac:dyDescent="0.2">
      <c r="A3481" s="68">
        <v>40672</v>
      </c>
      <c r="B3481" s="69">
        <v>0.83626</v>
      </c>
    </row>
    <row r="3482" spans="1:2" x14ac:dyDescent="0.2">
      <c r="A3482" s="68">
        <v>40669</v>
      </c>
      <c r="B3482" s="69">
        <v>0.83630000000000004</v>
      </c>
    </row>
    <row r="3483" spans="1:2" x14ac:dyDescent="0.2">
      <c r="A3483" s="68">
        <v>40668</v>
      </c>
      <c r="B3483" s="69">
        <v>0.83670999999999995</v>
      </c>
    </row>
    <row r="3484" spans="1:2" x14ac:dyDescent="0.2">
      <c r="A3484" s="68">
        <v>40667</v>
      </c>
      <c r="B3484" s="69">
        <v>0.83696999999999999</v>
      </c>
    </row>
    <row r="3485" spans="1:2" x14ac:dyDescent="0.2">
      <c r="A3485" s="68">
        <v>40666</v>
      </c>
      <c r="B3485" s="69">
        <v>0.83677000000000001</v>
      </c>
    </row>
    <row r="3486" spans="1:2" x14ac:dyDescent="0.2">
      <c r="A3486" s="68">
        <v>40662</v>
      </c>
      <c r="B3486" s="69">
        <v>0.83638999999999997</v>
      </c>
    </row>
    <row r="3487" spans="1:2" x14ac:dyDescent="0.2">
      <c r="A3487" s="68">
        <v>40661</v>
      </c>
      <c r="B3487" s="69">
        <v>0.83725000000000005</v>
      </c>
    </row>
    <row r="3488" spans="1:2" x14ac:dyDescent="0.2">
      <c r="A3488" s="68">
        <v>40660</v>
      </c>
      <c r="B3488" s="69">
        <v>0.83757999999999999</v>
      </c>
    </row>
    <row r="3489" spans="1:2" x14ac:dyDescent="0.2">
      <c r="A3489" s="68">
        <v>40659</v>
      </c>
      <c r="B3489" s="69">
        <v>0.83855999999999997</v>
      </c>
    </row>
    <row r="3490" spans="1:2" x14ac:dyDescent="0.2">
      <c r="A3490" s="68">
        <v>40658</v>
      </c>
      <c r="B3490" s="69">
        <v>0.83860000000000001</v>
      </c>
    </row>
    <row r="3491" spans="1:2" x14ac:dyDescent="0.2">
      <c r="A3491" s="68">
        <v>40655</v>
      </c>
      <c r="B3491" s="69">
        <v>0.83880999999999994</v>
      </c>
    </row>
    <row r="3492" spans="1:2" x14ac:dyDescent="0.2">
      <c r="A3492" s="68">
        <v>40654</v>
      </c>
      <c r="B3492" s="69">
        <v>0.83935999999999999</v>
      </c>
    </row>
    <row r="3493" spans="1:2" x14ac:dyDescent="0.2">
      <c r="A3493" s="68">
        <v>40653</v>
      </c>
      <c r="B3493" s="69">
        <v>0.83957000000000004</v>
      </c>
    </row>
    <row r="3494" spans="1:2" x14ac:dyDescent="0.2">
      <c r="A3494" s="68">
        <v>40652</v>
      </c>
      <c r="B3494" s="69">
        <v>0.83984000000000003</v>
      </c>
    </row>
    <row r="3495" spans="1:2" x14ac:dyDescent="0.2">
      <c r="A3495" s="68">
        <v>40651</v>
      </c>
      <c r="B3495" s="69">
        <v>0.83994000000000002</v>
      </c>
    </row>
    <row r="3496" spans="1:2" x14ac:dyDescent="0.2">
      <c r="A3496" s="68">
        <v>40648</v>
      </c>
      <c r="B3496" s="69">
        <v>0.83984999999999999</v>
      </c>
    </row>
    <row r="3497" spans="1:2" x14ac:dyDescent="0.2">
      <c r="A3497" s="68">
        <v>40647</v>
      </c>
      <c r="B3497" s="69">
        <v>0.84018999999999999</v>
      </c>
    </row>
    <row r="3498" spans="1:2" x14ac:dyDescent="0.2">
      <c r="A3498" s="68">
        <v>40646</v>
      </c>
      <c r="B3498" s="69">
        <v>0.84080999999999995</v>
      </c>
    </row>
    <row r="3499" spans="1:2" x14ac:dyDescent="0.2">
      <c r="A3499" s="68">
        <v>40645</v>
      </c>
      <c r="B3499" s="69">
        <v>0.84191000000000005</v>
      </c>
    </row>
    <row r="3500" spans="1:2" x14ac:dyDescent="0.2">
      <c r="A3500" s="68">
        <v>40644</v>
      </c>
      <c r="B3500" s="69">
        <v>0.84184000000000003</v>
      </c>
    </row>
    <row r="3501" spans="1:2" x14ac:dyDescent="0.2">
      <c r="A3501" s="68">
        <v>40641</v>
      </c>
      <c r="B3501" s="69">
        <v>0.84179999999999999</v>
      </c>
    </row>
    <row r="3502" spans="1:2" x14ac:dyDescent="0.2">
      <c r="A3502" s="68">
        <v>40640</v>
      </c>
      <c r="B3502" s="69">
        <v>0.84189999999999998</v>
      </c>
    </row>
    <row r="3503" spans="1:2" x14ac:dyDescent="0.2">
      <c r="A3503" s="68">
        <v>40639</v>
      </c>
      <c r="B3503" s="69">
        <v>0.84267000000000003</v>
      </c>
    </row>
    <row r="3504" spans="1:2" x14ac:dyDescent="0.2">
      <c r="A3504" s="68">
        <v>40634</v>
      </c>
      <c r="B3504" s="69">
        <v>0.84236999999999995</v>
      </c>
    </row>
    <row r="3505" spans="1:2" x14ac:dyDescent="0.2">
      <c r="A3505" s="68">
        <v>40633</v>
      </c>
      <c r="B3505" s="69">
        <v>0.84225000000000005</v>
      </c>
    </row>
    <row r="3506" spans="1:2" x14ac:dyDescent="0.2">
      <c r="A3506" s="68">
        <v>40632</v>
      </c>
      <c r="B3506" s="69">
        <v>0.84153</v>
      </c>
    </row>
    <row r="3507" spans="1:2" x14ac:dyDescent="0.2">
      <c r="A3507" s="68">
        <v>40631</v>
      </c>
      <c r="B3507" s="69">
        <v>0.84148999999999996</v>
      </c>
    </row>
    <row r="3508" spans="1:2" x14ac:dyDescent="0.2">
      <c r="A3508" s="68">
        <v>40630</v>
      </c>
      <c r="B3508" s="69">
        <v>0.84175999999999995</v>
      </c>
    </row>
    <row r="3509" spans="1:2" x14ac:dyDescent="0.2">
      <c r="A3509" s="68">
        <v>40627</v>
      </c>
      <c r="B3509" s="69">
        <v>0.84128999999999998</v>
      </c>
    </row>
    <row r="3510" spans="1:2" x14ac:dyDescent="0.2">
      <c r="A3510" s="68">
        <v>40626</v>
      </c>
      <c r="B3510" s="69">
        <v>0.84197</v>
      </c>
    </row>
    <row r="3511" spans="1:2" x14ac:dyDescent="0.2">
      <c r="A3511" s="68">
        <v>40625</v>
      </c>
      <c r="B3511" s="69">
        <v>0.84153999999999995</v>
      </c>
    </row>
    <row r="3512" spans="1:2" x14ac:dyDescent="0.2">
      <c r="A3512" s="68">
        <v>40624</v>
      </c>
      <c r="B3512" s="69">
        <v>0.84123000000000003</v>
      </c>
    </row>
    <row r="3513" spans="1:2" x14ac:dyDescent="0.2">
      <c r="A3513" s="68">
        <v>40623</v>
      </c>
      <c r="B3513" s="69">
        <v>0.84150000000000003</v>
      </c>
    </row>
    <row r="3514" spans="1:2" x14ac:dyDescent="0.2">
      <c r="A3514" s="68">
        <v>40620</v>
      </c>
      <c r="B3514" s="69">
        <v>0.84174000000000004</v>
      </c>
    </row>
    <row r="3515" spans="1:2" x14ac:dyDescent="0.2">
      <c r="A3515" s="68">
        <v>40619</v>
      </c>
      <c r="B3515" s="69">
        <v>0.84189000000000003</v>
      </c>
    </row>
    <row r="3516" spans="1:2" x14ac:dyDescent="0.2">
      <c r="A3516" s="68">
        <v>40618</v>
      </c>
      <c r="B3516" s="69">
        <v>0.84313000000000005</v>
      </c>
    </row>
    <row r="3517" spans="1:2" x14ac:dyDescent="0.2">
      <c r="A3517" s="68">
        <v>40617</v>
      </c>
      <c r="B3517" s="69">
        <v>0.84294999999999998</v>
      </c>
    </row>
    <row r="3518" spans="1:2" x14ac:dyDescent="0.2">
      <c r="A3518" s="68">
        <v>40616</v>
      </c>
      <c r="B3518" s="69">
        <v>0.84340999999999999</v>
      </c>
    </row>
    <row r="3519" spans="1:2" x14ac:dyDescent="0.2">
      <c r="A3519" s="68">
        <v>40613</v>
      </c>
      <c r="B3519" s="69">
        <v>0.84404999999999997</v>
      </c>
    </row>
    <row r="3520" spans="1:2" x14ac:dyDescent="0.2">
      <c r="A3520" s="68">
        <v>40612</v>
      </c>
      <c r="B3520" s="69">
        <v>0.84377000000000002</v>
      </c>
    </row>
    <row r="3521" spans="1:2" x14ac:dyDescent="0.2">
      <c r="A3521" s="68">
        <v>40611</v>
      </c>
      <c r="B3521" s="69">
        <v>0.84401999999999999</v>
      </c>
    </row>
    <row r="3522" spans="1:2" x14ac:dyDescent="0.2">
      <c r="A3522" s="68">
        <v>40610</v>
      </c>
      <c r="B3522" s="69">
        <v>0.84348000000000001</v>
      </c>
    </row>
    <row r="3523" spans="1:2" x14ac:dyDescent="0.2">
      <c r="A3523" s="68">
        <v>40609</v>
      </c>
      <c r="B3523" s="69">
        <v>0.84297999999999995</v>
      </c>
    </row>
    <row r="3524" spans="1:2" x14ac:dyDescent="0.2">
      <c r="A3524" s="68">
        <v>40606</v>
      </c>
      <c r="B3524" s="69">
        <v>0.84321000000000002</v>
      </c>
    </row>
    <row r="3525" spans="1:2" x14ac:dyDescent="0.2">
      <c r="A3525" s="68">
        <v>40605</v>
      </c>
      <c r="B3525" s="69">
        <v>0.84318000000000004</v>
      </c>
    </row>
    <row r="3526" spans="1:2" x14ac:dyDescent="0.2">
      <c r="A3526" s="68">
        <v>40604</v>
      </c>
      <c r="B3526" s="69">
        <v>0.84372000000000003</v>
      </c>
    </row>
    <row r="3527" spans="1:2" x14ac:dyDescent="0.2">
      <c r="A3527" s="68">
        <v>40603</v>
      </c>
      <c r="B3527" s="69">
        <v>0.84365999999999997</v>
      </c>
    </row>
    <row r="3528" spans="1:2" x14ac:dyDescent="0.2">
      <c r="A3528" s="68">
        <v>40602</v>
      </c>
      <c r="B3528" s="69">
        <v>0.84362999999999999</v>
      </c>
    </row>
    <row r="3529" spans="1:2" x14ac:dyDescent="0.2">
      <c r="A3529" s="68">
        <v>40599</v>
      </c>
      <c r="B3529" s="69">
        <v>0.84363999999999995</v>
      </c>
    </row>
    <row r="3530" spans="1:2" x14ac:dyDescent="0.2">
      <c r="A3530" s="68">
        <v>40598</v>
      </c>
      <c r="B3530" s="69">
        <v>0.84406000000000003</v>
      </c>
    </row>
    <row r="3531" spans="1:2" x14ac:dyDescent="0.2">
      <c r="A3531" s="68">
        <v>40597</v>
      </c>
      <c r="B3531" s="69">
        <v>0.8448</v>
      </c>
    </row>
    <row r="3532" spans="1:2" x14ac:dyDescent="0.2">
      <c r="A3532" s="68">
        <v>40596</v>
      </c>
      <c r="B3532" s="69">
        <v>0.84475</v>
      </c>
    </row>
    <row r="3533" spans="1:2" x14ac:dyDescent="0.2">
      <c r="A3533" s="68">
        <v>40595</v>
      </c>
      <c r="B3533" s="69">
        <v>0.84409999999999996</v>
      </c>
    </row>
    <row r="3534" spans="1:2" x14ac:dyDescent="0.2">
      <c r="A3534" s="68">
        <v>40592</v>
      </c>
      <c r="B3534" s="69">
        <v>0.84472999999999998</v>
      </c>
    </row>
    <row r="3535" spans="1:2" x14ac:dyDescent="0.2">
      <c r="A3535" s="68">
        <v>40591</v>
      </c>
      <c r="B3535" s="69">
        <v>0.84487000000000001</v>
      </c>
    </row>
    <row r="3536" spans="1:2" x14ac:dyDescent="0.2">
      <c r="A3536" s="68">
        <v>40590</v>
      </c>
      <c r="B3536" s="69">
        <v>0.84497999999999995</v>
      </c>
    </row>
    <row r="3537" spans="1:2" x14ac:dyDescent="0.2">
      <c r="A3537" s="68">
        <v>40589</v>
      </c>
      <c r="B3537" s="69">
        <v>0.84591000000000005</v>
      </c>
    </row>
    <row r="3538" spans="1:2" x14ac:dyDescent="0.2">
      <c r="A3538" s="68">
        <v>40588</v>
      </c>
      <c r="B3538" s="69">
        <v>0.84662999999999999</v>
      </c>
    </row>
    <row r="3539" spans="1:2" x14ac:dyDescent="0.2">
      <c r="A3539" s="68">
        <v>40585</v>
      </c>
      <c r="B3539" s="69">
        <v>0.84665999999999997</v>
      </c>
    </row>
    <row r="3540" spans="1:2" x14ac:dyDescent="0.2">
      <c r="A3540" s="68">
        <v>40584</v>
      </c>
      <c r="B3540" s="69">
        <v>0.84570000000000001</v>
      </c>
    </row>
    <row r="3541" spans="1:2" x14ac:dyDescent="0.2">
      <c r="A3541" s="68">
        <v>40583</v>
      </c>
      <c r="B3541" s="69">
        <v>0.84594000000000003</v>
      </c>
    </row>
    <row r="3542" spans="1:2" x14ac:dyDescent="0.2">
      <c r="A3542" s="68">
        <v>40575</v>
      </c>
      <c r="B3542" s="69">
        <v>0.84482000000000002</v>
      </c>
    </row>
    <row r="3543" spans="1:2" x14ac:dyDescent="0.2">
      <c r="A3543" s="68">
        <v>40574</v>
      </c>
      <c r="B3543" s="69">
        <v>0.84560000000000002</v>
      </c>
    </row>
    <row r="3544" spans="1:2" x14ac:dyDescent="0.2">
      <c r="A3544" s="68">
        <v>40571</v>
      </c>
      <c r="B3544" s="69">
        <v>0.84646999999999994</v>
      </c>
    </row>
    <row r="3545" spans="1:2" x14ac:dyDescent="0.2">
      <c r="A3545" s="68">
        <v>40570</v>
      </c>
      <c r="B3545" s="69">
        <v>0.84636</v>
      </c>
    </row>
    <row r="3546" spans="1:2" x14ac:dyDescent="0.2">
      <c r="A3546" s="68">
        <v>40569</v>
      </c>
      <c r="B3546" s="69">
        <v>0.84562999999999999</v>
      </c>
    </row>
    <row r="3547" spans="1:2" x14ac:dyDescent="0.2">
      <c r="A3547" s="68">
        <v>40568</v>
      </c>
      <c r="B3547" s="69">
        <v>0.84506000000000003</v>
      </c>
    </row>
    <row r="3548" spans="1:2" x14ac:dyDescent="0.2">
      <c r="A3548" s="68">
        <v>40567</v>
      </c>
      <c r="B3548" s="69">
        <v>0.84565999999999997</v>
      </c>
    </row>
    <row r="3549" spans="1:2" x14ac:dyDescent="0.2">
      <c r="A3549" s="68">
        <v>40564</v>
      </c>
      <c r="B3549" s="69">
        <v>0.84636</v>
      </c>
    </row>
    <row r="3550" spans="1:2" x14ac:dyDescent="0.2">
      <c r="A3550" s="68">
        <v>40563</v>
      </c>
      <c r="B3550" s="69">
        <v>0.84699000000000002</v>
      </c>
    </row>
    <row r="3551" spans="1:2" x14ac:dyDescent="0.2">
      <c r="A3551" s="68">
        <v>40562</v>
      </c>
      <c r="B3551" s="69">
        <v>0.84713000000000005</v>
      </c>
    </row>
    <row r="3552" spans="1:2" x14ac:dyDescent="0.2">
      <c r="A3552" s="68">
        <v>40561</v>
      </c>
      <c r="B3552" s="69">
        <v>0.84733000000000003</v>
      </c>
    </row>
    <row r="3553" spans="1:2" x14ac:dyDescent="0.2">
      <c r="A3553" s="68">
        <v>40560</v>
      </c>
      <c r="B3553" s="69">
        <v>0.84757000000000005</v>
      </c>
    </row>
    <row r="3554" spans="1:2" x14ac:dyDescent="0.2">
      <c r="A3554" s="68">
        <v>40557</v>
      </c>
      <c r="B3554" s="69">
        <v>0.84753999999999996</v>
      </c>
    </row>
    <row r="3555" spans="1:2" x14ac:dyDescent="0.2">
      <c r="A3555" s="68">
        <v>40556</v>
      </c>
      <c r="B3555" s="69">
        <v>0.84906999999999999</v>
      </c>
    </row>
    <row r="3556" spans="1:2" x14ac:dyDescent="0.2">
      <c r="A3556" s="68">
        <v>40555</v>
      </c>
      <c r="B3556" s="69">
        <v>0.85040000000000004</v>
      </c>
    </row>
    <row r="3557" spans="1:2" x14ac:dyDescent="0.2">
      <c r="A3557" s="68">
        <v>40554</v>
      </c>
      <c r="B3557" s="69">
        <v>0.85148999999999997</v>
      </c>
    </row>
    <row r="3558" spans="1:2" x14ac:dyDescent="0.2">
      <c r="A3558" s="68">
        <v>40553</v>
      </c>
      <c r="B3558" s="69">
        <v>0.85353000000000001</v>
      </c>
    </row>
    <row r="3559" spans="1:2" x14ac:dyDescent="0.2">
      <c r="A3559" s="68">
        <v>40550</v>
      </c>
      <c r="B3559" s="69">
        <v>0.85336000000000001</v>
      </c>
    </row>
    <row r="3560" spans="1:2" x14ac:dyDescent="0.2">
      <c r="A3560" s="68">
        <v>40549</v>
      </c>
      <c r="B3560" s="69">
        <v>0.85338000000000003</v>
      </c>
    </row>
    <row r="3561" spans="1:2" x14ac:dyDescent="0.2">
      <c r="A3561" s="68">
        <v>40548</v>
      </c>
      <c r="B3561" s="69">
        <v>0.85331999999999997</v>
      </c>
    </row>
    <row r="3562" spans="1:2" x14ac:dyDescent="0.2">
      <c r="A3562" s="68">
        <v>40547</v>
      </c>
      <c r="B3562" s="69">
        <v>0.85213000000000005</v>
      </c>
    </row>
    <row r="3563" spans="1:2" x14ac:dyDescent="0.2">
      <c r="A3563" s="68">
        <v>40543</v>
      </c>
      <c r="B3563" s="69">
        <v>0.85092999999999996</v>
      </c>
    </row>
    <row r="3564" spans="1:2" x14ac:dyDescent="0.2">
      <c r="A3564" s="68">
        <v>40542</v>
      </c>
      <c r="B3564" s="69">
        <v>0.85102999999999995</v>
      </c>
    </row>
    <row r="3565" spans="1:2" x14ac:dyDescent="0.2">
      <c r="A3565" s="68">
        <v>40541</v>
      </c>
      <c r="B3565" s="69">
        <v>0.85133999999999999</v>
      </c>
    </row>
    <row r="3566" spans="1:2" x14ac:dyDescent="0.2">
      <c r="A3566" s="68">
        <v>40540</v>
      </c>
      <c r="B3566" s="69">
        <v>0.85143999999999997</v>
      </c>
    </row>
    <row r="3567" spans="1:2" x14ac:dyDescent="0.2">
      <c r="A3567" s="68">
        <v>40539</v>
      </c>
      <c r="B3567" s="69">
        <v>0.85213000000000005</v>
      </c>
    </row>
    <row r="3568" spans="1:2" x14ac:dyDescent="0.2">
      <c r="A3568" s="68">
        <v>40536</v>
      </c>
      <c r="B3568" s="69">
        <v>0.85328999999999999</v>
      </c>
    </row>
    <row r="3569" spans="1:2" x14ac:dyDescent="0.2">
      <c r="A3569" s="68">
        <v>40535</v>
      </c>
      <c r="B3569" s="69">
        <v>0.85446999999999995</v>
      </c>
    </row>
    <row r="3570" spans="1:2" x14ac:dyDescent="0.2">
      <c r="A3570" s="68">
        <v>40534</v>
      </c>
      <c r="B3570" s="69">
        <v>0.85599000000000003</v>
      </c>
    </row>
    <row r="3571" spans="1:2" x14ac:dyDescent="0.2">
      <c r="A3571" s="68">
        <v>40533</v>
      </c>
      <c r="B3571" s="69">
        <v>0.85629999999999995</v>
      </c>
    </row>
    <row r="3572" spans="1:2" x14ac:dyDescent="0.2">
      <c r="A3572" s="68">
        <v>40532</v>
      </c>
      <c r="B3572" s="69">
        <v>0.85660000000000003</v>
      </c>
    </row>
    <row r="3573" spans="1:2" x14ac:dyDescent="0.2">
      <c r="A3573" s="68">
        <v>40529</v>
      </c>
      <c r="B3573" s="69">
        <v>0.85633999999999999</v>
      </c>
    </row>
    <row r="3574" spans="1:2" x14ac:dyDescent="0.2">
      <c r="A3574" s="68">
        <v>40528</v>
      </c>
      <c r="B3574" s="69">
        <v>0.85692000000000002</v>
      </c>
    </row>
    <row r="3575" spans="1:2" x14ac:dyDescent="0.2">
      <c r="A3575" s="68">
        <v>40527</v>
      </c>
      <c r="B3575" s="69">
        <v>0.85619000000000001</v>
      </c>
    </row>
    <row r="3576" spans="1:2" x14ac:dyDescent="0.2">
      <c r="A3576" s="68">
        <v>40526</v>
      </c>
      <c r="B3576" s="69">
        <v>0.85536999999999996</v>
      </c>
    </row>
    <row r="3577" spans="1:2" x14ac:dyDescent="0.2">
      <c r="A3577" s="68">
        <v>40525</v>
      </c>
      <c r="B3577" s="69">
        <v>0.85682999999999998</v>
      </c>
    </row>
    <row r="3578" spans="1:2" x14ac:dyDescent="0.2">
      <c r="A3578" s="68">
        <v>40522</v>
      </c>
      <c r="B3578" s="69">
        <v>0.85711000000000004</v>
      </c>
    </row>
    <row r="3579" spans="1:2" x14ac:dyDescent="0.2">
      <c r="A3579" s="68">
        <v>40521</v>
      </c>
      <c r="B3579" s="69">
        <v>0.85807</v>
      </c>
    </row>
    <row r="3580" spans="1:2" x14ac:dyDescent="0.2">
      <c r="A3580" s="68">
        <v>40520</v>
      </c>
      <c r="B3580" s="69">
        <v>0.85792000000000002</v>
      </c>
    </row>
    <row r="3581" spans="1:2" x14ac:dyDescent="0.2">
      <c r="A3581" s="68">
        <v>40519</v>
      </c>
      <c r="B3581" s="69">
        <v>0.85753999999999997</v>
      </c>
    </row>
    <row r="3582" spans="1:2" x14ac:dyDescent="0.2">
      <c r="A3582" s="68">
        <v>40518</v>
      </c>
      <c r="B3582" s="69">
        <v>0.85670000000000002</v>
      </c>
    </row>
    <row r="3583" spans="1:2" x14ac:dyDescent="0.2">
      <c r="A3583" s="68">
        <v>40515</v>
      </c>
      <c r="B3583" s="69">
        <v>0.85750999999999999</v>
      </c>
    </row>
    <row r="3584" spans="1:2" x14ac:dyDescent="0.2">
      <c r="A3584" s="68">
        <v>40514</v>
      </c>
      <c r="B3584" s="69">
        <v>0.85868</v>
      </c>
    </row>
    <row r="3585" spans="1:2" x14ac:dyDescent="0.2">
      <c r="A3585" s="68">
        <v>40513</v>
      </c>
      <c r="B3585" s="69">
        <v>0.85992999999999997</v>
      </c>
    </row>
    <row r="3586" spans="1:2" x14ac:dyDescent="0.2">
      <c r="A3586" s="68">
        <v>40512</v>
      </c>
      <c r="B3586" s="69">
        <v>0.85979000000000005</v>
      </c>
    </row>
    <row r="3587" spans="1:2" x14ac:dyDescent="0.2">
      <c r="A3587" s="68">
        <v>40511</v>
      </c>
      <c r="B3587" s="69">
        <v>0.85907</v>
      </c>
    </row>
    <row r="3588" spans="1:2" x14ac:dyDescent="0.2">
      <c r="A3588" s="68">
        <v>40508</v>
      </c>
      <c r="B3588" s="69">
        <v>0.85765000000000002</v>
      </c>
    </row>
    <row r="3589" spans="1:2" x14ac:dyDescent="0.2">
      <c r="A3589" s="68">
        <v>40507</v>
      </c>
      <c r="B3589" s="69">
        <v>0.85787999999999998</v>
      </c>
    </row>
    <row r="3590" spans="1:2" x14ac:dyDescent="0.2">
      <c r="A3590" s="68">
        <v>40506</v>
      </c>
      <c r="B3590" s="69">
        <v>0.85829</v>
      </c>
    </row>
    <row r="3591" spans="1:2" x14ac:dyDescent="0.2">
      <c r="A3591" s="68">
        <v>40505</v>
      </c>
      <c r="B3591" s="69">
        <v>0.85692000000000002</v>
      </c>
    </row>
    <row r="3592" spans="1:2" x14ac:dyDescent="0.2">
      <c r="A3592" s="68">
        <v>40504</v>
      </c>
      <c r="B3592" s="69">
        <v>0.85614999999999997</v>
      </c>
    </row>
    <row r="3593" spans="1:2" x14ac:dyDescent="0.2">
      <c r="A3593" s="68">
        <v>40501</v>
      </c>
      <c r="B3593" s="69">
        <v>0.85646</v>
      </c>
    </row>
    <row r="3594" spans="1:2" x14ac:dyDescent="0.2">
      <c r="A3594" s="68">
        <v>40500</v>
      </c>
      <c r="B3594" s="69">
        <v>0.85687999999999998</v>
      </c>
    </row>
    <row r="3595" spans="1:2" x14ac:dyDescent="0.2">
      <c r="A3595" s="68">
        <v>40499</v>
      </c>
      <c r="B3595" s="69">
        <v>0.85726999999999998</v>
      </c>
    </row>
    <row r="3596" spans="1:2" x14ac:dyDescent="0.2">
      <c r="A3596" s="68">
        <v>40498</v>
      </c>
      <c r="B3596" s="69">
        <v>0.85701000000000005</v>
      </c>
    </row>
    <row r="3597" spans="1:2" x14ac:dyDescent="0.2">
      <c r="A3597" s="68">
        <v>40497</v>
      </c>
      <c r="B3597" s="69">
        <v>0.85536000000000001</v>
      </c>
    </row>
    <row r="3598" spans="1:2" x14ac:dyDescent="0.2">
      <c r="A3598" s="68">
        <v>40494</v>
      </c>
      <c r="B3598" s="69">
        <v>0.85450999999999999</v>
      </c>
    </row>
    <row r="3599" spans="1:2" x14ac:dyDescent="0.2">
      <c r="A3599" s="68">
        <v>40493</v>
      </c>
      <c r="B3599" s="69">
        <v>0.85455999999999999</v>
      </c>
    </row>
    <row r="3600" spans="1:2" x14ac:dyDescent="0.2">
      <c r="A3600" s="68">
        <v>40492</v>
      </c>
      <c r="B3600" s="69">
        <v>0.85719000000000001</v>
      </c>
    </row>
    <row r="3601" spans="1:2" x14ac:dyDescent="0.2">
      <c r="A3601" s="68">
        <v>40491</v>
      </c>
      <c r="B3601" s="69">
        <v>0.85890999999999995</v>
      </c>
    </row>
    <row r="3602" spans="1:2" x14ac:dyDescent="0.2">
      <c r="A3602" s="68">
        <v>40490</v>
      </c>
      <c r="B3602" s="69">
        <v>0.86041000000000001</v>
      </c>
    </row>
    <row r="3603" spans="1:2" x14ac:dyDescent="0.2">
      <c r="A3603" s="68">
        <v>40487</v>
      </c>
      <c r="B3603" s="69">
        <v>0.85936999999999997</v>
      </c>
    </row>
    <row r="3604" spans="1:2" x14ac:dyDescent="0.2">
      <c r="A3604" s="68">
        <v>40486</v>
      </c>
      <c r="B3604" s="69">
        <v>0.86063000000000001</v>
      </c>
    </row>
    <row r="3605" spans="1:2" x14ac:dyDescent="0.2">
      <c r="A3605" s="68">
        <v>40485</v>
      </c>
      <c r="B3605" s="69">
        <v>0.86197000000000001</v>
      </c>
    </row>
    <row r="3606" spans="1:2" x14ac:dyDescent="0.2">
      <c r="A3606" s="68">
        <v>40484</v>
      </c>
      <c r="B3606" s="69">
        <v>0.86329</v>
      </c>
    </row>
    <row r="3607" spans="1:2" x14ac:dyDescent="0.2">
      <c r="A3607" s="68">
        <v>40483</v>
      </c>
      <c r="B3607" s="69">
        <v>0.86277000000000004</v>
      </c>
    </row>
    <row r="3608" spans="1:2" x14ac:dyDescent="0.2">
      <c r="A3608" s="68">
        <v>40480</v>
      </c>
      <c r="B3608" s="69">
        <v>0.86255999999999999</v>
      </c>
    </row>
    <row r="3609" spans="1:2" x14ac:dyDescent="0.2">
      <c r="A3609" s="68">
        <v>40479</v>
      </c>
      <c r="B3609" s="69">
        <v>0.86341000000000001</v>
      </c>
    </row>
    <row r="3610" spans="1:2" x14ac:dyDescent="0.2">
      <c r="A3610" s="68">
        <v>40478</v>
      </c>
      <c r="B3610" s="69">
        <v>0.86228000000000005</v>
      </c>
    </row>
    <row r="3611" spans="1:2" x14ac:dyDescent="0.2">
      <c r="A3611" s="68">
        <v>40477</v>
      </c>
      <c r="B3611" s="69">
        <v>0.86055000000000004</v>
      </c>
    </row>
    <row r="3612" spans="1:2" x14ac:dyDescent="0.2">
      <c r="A3612" s="68">
        <v>40476</v>
      </c>
      <c r="B3612" s="69">
        <v>0.85962000000000005</v>
      </c>
    </row>
    <row r="3613" spans="1:2" x14ac:dyDescent="0.2">
      <c r="A3613" s="68">
        <v>40473</v>
      </c>
      <c r="B3613" s="69">
        <v>0.85984000000000005</v>
      </c>
    </row>
    <row r="3614" spans="1:2" x14ac:dyDescent="0.2">
      <c r="A3614" s="68">
        <v>40472</v>
      </c>
      <c r="B3614" s="69">
        <v>0.85895999999999995</v>
      </c>
    </row>
    <row r="3615" spans="1:2" x14ac:dyDescent="0.2">
      <c r="A3615" s="68">
        <v>40471</v>
      </c>
      <c r="B3615" s="69">
        <v>0.86021999999999998</v>
      </c>
    </row>
    <row r="3616" spans="1:2" x14ac:dyDescent="0.2">
      <c r="A3616" s="68">
        <v>40470</v>
      </c>
      <c r="B3616" s="69">
        <v>0.85792000000000002</v>
      </c>
    </row>
    <row r="3617" spans="1:2" x14ac:dyDescent="0.2">
      <c r="A3617" s="68">
        <v>40469</v>
      </c>
      <c r="B3617" s="69">
        <v>0.85763</v>
      </c>
    </row>
    <row r="3618" spans="1:2" x14ac:dyDescent="0.2">
      <c r="A3618" s="68">
        <v>40466</v>
      </c>
      <c r="B3618" s="69">
        <v>0.85701000000000005</v>
      </c>
    </row>
    <row r="3619" spans="1:2" x14ac:dyDescent="0.2">
      <c r="A3619" s="68">
        <v>40465</v>
      </c>
      <c r="B3619" s="69">
        <v>0.85799000000000003</v>
      </c>
    </row>
    <row r="3620" spans="1:2" x14ac:dyDescent="0.2">
      <c r="A3620" s="68">
        <v>40464</v>
      </c>
      <c r="B3620" s="69">
        <v>0.85956999999999995</v>
      </c>
    </row>
    <row r="3621" spans="1:2" x14ac:dyDescent="0.2">
      <c r="A3621" s="68">
        <v>40463</v>
      </c>
      <c r="B3621" s="69">
        <v>0.86055000000000004</v>
      </c>
    </row>
    <row r="3622" spans="1:2" x14ac:dyDescent="0.2">
      <c r="A3622" s="68">
        <v>40462</v>
      </c>
      <c r="B3622" s="69">
        <v>0.86029</v>
      </c>
    </row>
    <row r="3623" spans="1:2" x14ac:dyDescent="0.2">
      <c r="A3623" s="68">
        <v>40459</v>
      </c>
      <c r="B3623" s="69">
        <v>0.86165000000000003</v>
      </c>
    </row>
    <row r="3624" spans="1:2" x14ac:dyDescent="0.2">
      <c r="A3624" s="68">
        <v>40451</v>
      </c>
      <c r="B3624" s="69">
        <v>0.86348999999999998</v>
      </c>
    </row>
    <row r="3625" spans="1:2" x14ac:dyDescent="0.2">
      <c r="A3625" s="68">
        <v>40450</v>
      </c>
      <c r="B3625" s="69">
        <v>0.86284000000000005</v>
      </c>
    </row>
    <row r="3626" spans="1:2" x14ac:dyDescent="0.2">
      <c r="A3626" s="68">
        <v>40449</v>
      </c>
      <c r="B3626" s="69">
        <v>0.86421000000000003</v>
      </c>
    </row>
    <row r="3627" spans="1:2" x14ac:dyDescent="0.2">
      <c r="A3627" s="68">
        <v>40448</v>
      </c>
      <c r="B3627" s="69">
        <v>0.86497000000000002</v>
      </c>
    </row>
    <row r="3628" spans="1:2" x14ac:dyDescent="0.2">
      <c r="A3628" s="68">
        <v>40442</v>
      </c>
      <c r="B3628" s="69">
        <v>0.8629</v>
      </c>
    </row>
    <row r="3629" spans="1:2" x14ac:dyDescent="0.2">
      <c r="A3629" s="68">
        <v>40441</v>
      </c>
      <c r="B3629" s="69">
        <v>0.86421000000000003</v>
      </c>
    </row>
    <row r="3630" spans="1:2" x14ac:dyDescent="0.2">
      <c r="A3630" s="68">
        <v>40438</v>
      </c>
      <c r="B3630" s="69">
        <v>0.86492000000000002</v>
      </c>
    </row>
    <row r="3631" spans="1:2" x14ac:dyDescent="0.2">
      <c r="A3631" s="68">
        <v>40437</v>
      </c>
      <c r="B3631" s="69">
        <v>0.86492999999999998</v>
      </c>
    </row>
    <row r="3632" spans="1:2" x14ac:dyDescent="0.2">
      <c r="A3632" s="68">
        <v>40436</v>
      </c>
      <c r="B3632" s="69">
        <v>0.86594000000000004</v>
      </c>
    </row>
    <row r="3633" spans="1:2" x14ac:dyDescent="0.2">
      <c r="A3633" s="68">
        <v>40435</v>
      </c>
      <c r="B3633" s="69">
        <v>0.86734999999999995</v>
      </c>
    </row>
    <row r="3634" spans="1:2" x14ac:dyDescent="0.2">
      <c r="A3634" s="68">
        <v>40434</v>
      </c>
      <c r="B3634" s="69">
        <v>0.86914999999999998</v>
      </c>
    </row>
    <row r="3635" spans="1:2" x14ac:dyDescent="0.2">
      <c r="A3635" s="68">
        <v>40431</v>
      </c>
      <c r="B3635" s="69">
        <v>0.87039999999999995</v>
      </c>
    </row>
    <row r="3636" spans="1:2" x14ac:dyDescent="0.2">
      <c r="A3636" s="68">
        <v>40430</v>
      </c>
      <c r="B3636" s="69">
        <v>0.87273000000000001</v>
      </c>
    </row>
    <row r="3637" spans="1:2" x14ac:dyDescent="0.2">
      <c r="A3637" s="68">
        <v>40429</v>
      </c>
      <c r="B3637" s="69">
        <v>0.87385000000000002</v>
      </c>
    </row>
    <row r="3638" spans="1:2" x14ac:dyDescent="0.2">
      <c r="A3638" s="68">
        <v>40428</v>
      </c>
      <c r="B3638" s="69">
        <v>0.87285000000000001</v>
      </c>
    </row>
    <row r="3639" spans="1:2" x14ac:dyDescent="0.2">
      <c r="A3639" s="68">
        <v>40427</v>
      </c>
      <c r="B3639" s="69">
        <v>0.873</v>
      </c>
    </row>
    <row r="3640" spans="1:2" x14ac:dyDescent="0.2">
      <c r="A3640" s="68">
        <v>40424</v>
      </c>
      <c r="B3640" s="69">
        <v>0.87441000000000002</v>
      </c>
    </row>
    <row r="3641" spans="1:2" x14ac:dyDescent="0.2">
      <c r="A3641" s="68">
        <v>40423</v>
      </c>
      <c r="B3641" s="69">
        <v>0.87451000000000001</v>
      </c>
    </row>
    <row r="3642" spans="1:2" x14ac:dyDescent="0.2">
      <c r="A3642" s="68">
        <v>40422</v>
      </c>
      <c r="B3642" s="69">
        <v>0.87573999999999996</v>
      </c>
    </row>
    <row r="3643" spans="1:2" x14ac:dyDescent="0.2">
      <c r="A3643" s="68">
        <v>40421</v>
      </c>
      <c r="B3643" s="69">
        <v>0.87527999999999995</v>
      </c>
    </row>
    <row r="3644" spans="1:2" x14ac:dyDescent="0.2">
      <c r="A3644" s="68">
        <v>40420</v>
      </c>
      <c r="B3644" s="69">
        <v>0.87446999999999997</v>
      </c>
    </row>
    <row r="3645" spans="1:2" x14ac:dyDescent="0.2">
      <c r="A3645" s="68">
        <v>40417</v>
      </c>
      <c r="B3645" s="69">
        <v>0.87429999999999997</v>
      </c>
    </row>
    <row r="3646" spans="1:2" x14ac:dyDescent="0.2">
      <c r="A3646" s="68">
        <v>40416</v>
      </c>
      <c r="B3646" s="69">
        <v>0.87492999999999999</v>
      </c>
    </row>
    <row r="3647" spans="1:2" x14ac:dyDescent="0.2">
      <c r="A3647" s="68">
        <v>40415</v>
      </c>
      <c r="B3647" s="69">
        <v>0.87448000000000004</v>
      </c>
    </row>
    <row r="3648" spans="1:2" x14ac:dyDescent="0.2">
      <c r="A3648" s="68">
        <v>40414</v>
      </c>
      <c r="B3648" s="69">
        <v>0.87458000000000002</v>
      </c>
    </row>
    <row r="3649" spans="1:2" x14ac:dyDescent="0.2">
      <c r="A3649" s="68">
        <v>40413</v>
      </c>
      <c r="B3649" s="69">
        <v>0.87450000000000006</v>
      </c>
    </row>
    <row r="3650" spans="1:2" x14ac:dyDescent="0.2">
      <c r="A3650" s="68">
        <v>40410</v>
      </c>
      <c r="B3650" s="69">
        <v>0.87353999999999998</v>
      </c>
    </row>
    <row r="3651" spans="1:2" x14ac:dyDescent="0.2">
      <c r="A3651" s="68">
        <v>40409</v>
      </c>
      <c r="B3651" s="69">
        <v>0.87387000000000004</v>
      </c>
    </row>
    <row r="3652" spans="1:2" x14ac:dyDescent="0.2">
      <c r="A3652" s="68">
        <v>40408</v>
      </c>
      <c r="B3652" s="69">
        <v>0.87366999999999995</v>
      </c>
    </row>
    <row r="3653" spans="1:2" x14ac:dyDescent="0.2">
      <c r="A3653" s="68">
        <v>40407</v>
      </c>
      <c r="B3653" s="69">
        <v>0.87458000000000002</v>
      </c>
    </row>
    <row r="3654" spans="1:2" x14ac:dyDescent="0.2">
      <c r="A3654" s="68">
        <v>40406</v>
      </c>
      <c r="B3654" s="69">
        <v>0.87558000000000002</v>
      </c>
    </row>
    <row r="3655" spans="1:2" x14ac:dyDescent="0.2">
      <c r="A3655" s="68">
        <v>40403</v>
      </c>
      <c r="B3655" s="69">
        <v>0.87580999999999998</v>
      </c>
    </row>
    <row r="3656" spans="1:2" x14ac:dyDescent="0.2">
      <c r="A3656" s="68">
        <v>40402</v>
      </c>
      <c r="B3656" s="69">
        <v>0.87575000000000003</v>
      </c>
    </row>
    <row r="3657" spans="1:2" x14ac:dyDescent="0.2">
      <c r="A3657" s="68">
        <v>40401</v>
      </c>
      <c r="B3657" s="69">
        <v>0.87282000000000004</v>
      </c>
    </row>
    <row r="3658" spans="1:2" x14ac:dyDescent="0.2">
      <c r="A3658" s="68">
        <v>40400</v>
      </c>
      <c r="B3658" s="69">
        <v>0.87275999999999998</v>
      </c>
    </row>
    <row r="3659" spans="1:2" x14ac:dyDescent="0.2">
      <c r="A3659" s="68">
        <v>40399</v>
      </c>
      <c r="B3659" s="69">
        <v>0.87190999999999996</v>
      </c>
    </row>
    <row r="3660" spans="1:2" x14ac:dyDescent="0.2">
      <c r="A3660" s="68">
        <v>40396</v>
      </c>
      <c r="B3660" s="69">
        <v>0.87243999999999999</v>
      </c>
    </row>
    <row r="3661" spans="1:2" x14ac:dyDescent="0.2">
      <c r="A3661" s="68">
        <v>40395</v>
      </c>
      <c r="B3661" s="69">
        <v>0.87285999999999997</v>
      </c>
    </row>
    <row r="3662" spans="1:2" x14ac:dyDescent="0.2">
      <c r="A3662" s="68">
        <v>40394</v>
      </c>
      <c r="B3662" s="69">
        <v>0.87248000000000003</v>
      </c>
    </row>
    <row r="3663" spans="1:2" x14ac:dyDescent="0.2">
      <c r="A3663" s="68">
        <v>40393</v>
      </c>
      <c r="B3663" s="69">
        <v>0.87221000000000004</v>
      </c>
    </row>
    <row r="3664" spans="1:2" x14ac:dyDescent="0.2">
      <c r="A3664" s="68">
        <v>40392</v>
      </c>
      <c r="B3664" s="69">
        <v>0.87231999999999998</v>
      </c>
    </row>
    <row r="3665" spans="1:2" x14ac:dyDescent="0.2">
      <c r="A3665" s="68">
        <v>40389</v>
      </c>
      <c r="B3665" s="69">
        <v>0.87236000000000002</v>
      </c>
    </row>
    <row r="3666" spans="1:2" x14ac:dyDescent="0.2">
      <c r="A3666" s="68">
        <v>40388</v>
      </c>
      <c r="B3666" s="69">
        <v>0.87273999999999996</v>
      </c>
    </row>
    <row r="3667" spans="1:2" x14ac:dyDescent="0.2">
      <c r="A3667" s="68">
        <v>40387</v>
      </c>
      <c r="B3667" s="69">
        <v>0.87265999999999999</v>
      </c>
    </row>
    <row r="3668" spans="1:2" x14ac:dyDescent="0.2">
      <c r="A3668" s="68">
        <v>40386</v>
      </c>
      <c r="B3668" s="69">
        <v>0.87222</v>
      </c>
    </row>
    <row r="3669" spans="1:2" x14ac:dyDescent="0.2">
      <c r="A3669" s="68">
        <v>40385</v>
      </c>
      <c r="B3669" s="69">
        <v>0.87256</v>
      </c>
    </row>
    <row r="3670" spans="1:2" x14ac:dyDescent="0.2">
      <c r="A3670" s="68">
        <v>40382</v>
      </c>
      <c r="B3670" s="69">
        <v>0.87195</v>
      </c>
    </row>
    <row r="3671" spans="1:2" x14ac:dyDescent="0.2">
      <c r="A3671" s="68">
        <v>40381</v>
      </c>
      <c r="B3671" s="69">
        <v>0.87266999999999995</v>
      </c>
    </row>
    <row r="3672" spans="1:2" x14ac:dyDescent="0.2">
      <c r="A3672" s="68">
        <v>40380</v>
      </c>
      <c r="B3672" s="69">
        <v>0.87163000000000002</v>
      </c>
    </row>
    <row r="3673" spans="1:2" x14ac:dyDescent="0.2">
      <c r="A3673" s="68">
        <v>40379</v>
      </c>
      <c r="B3673" s="69">
        <v>0.87211000000000005</v>
      </c>
    </row>
    <row r="3674" spans="1:2" x14ac:dyDescent="0.2">
      <c r="A3674" s="68">
        <v>40378</v>
      </c>
      <c r="B3674" s="69">
        <v>0.87192999999999998</v>
      </c>
    </row>
    <row r="3675" spans="1:2" x14ac:dyDescent="0.2">
      <c r="A3675" s="68">
        <v>40375</v>
      </c>
      <c r="B3675" s="69">
        <v>0.87150000000000005</v>
      </c>
    </row>
    <row r="3676" spans="1:2" x14ac:dyDescent="0.2">
      <c r="A3676" s="68">
        <v>40374</v>
      </c>
      <c r="B3676" s="69">
        <v>0.87166999999999994</v>
      </c>
    </row>
    <row r="3677" spans="1:2" x14ac:dyDescent="0.2">
      <c r="A3677" s="68">
        <v>40373</v>
      </c>
      <c r="B3677" s="69">
        <v>0.87138000000000004</v>
      </c>
    </row>
    <row r="3678" spans="1:2" x14ac:dyDescent="0.2">
      <c r="A3678" s="68">
        <v>40372</v>
      </c>
      <c r="B3678" s="69">
        <v>0.87202000000000002</v>
      </c>
    </row>
    <row r="3679" spans="1:2" x14ac:dyDescent="0.2">
      <c r="A3679" s="68">
        <v>40371</v>
      </c>
      <c r="B3679" s="69">
        <v>0.87151000000000001</v>
      </c>
    </row>
    <row r="3680" spans="1:2" x14ac:dyDescent="0.2">
      <c r="A3680" s="68">
        <v>40368</v>
      </c>
      <c r="B3680" s="69">
        <v>0.87007999999999996</v>
      </c>
    </row>
    <row r="3681" spans="1:2" x14ac:dyDescent="0.2">
      <c r="A3681" s="68">
        <v>40367</v>
      </c>
      <c r="B3681" s="69">
        <v>0.87019999999999997</v>
      </c>
    </row>
    <row r="3682" spans="1:2" x14ac:dyDescent="0.2">
      <c r="A3682" s="68">
        <v>40366</v>
      </c>
      <c r="B3682" s="69">
        <v>0.87007000000000001</v>
      </c>
    </row>
    <row r="3683" spans="1:2" x14ac:dyDescent="0.2">
      <c r="A3683" s="68">
        <v>40365</v>
      </c>
      <c r="B3683" s="69">
        <v>0.87016000000000004</v>
      </c>
    </row>
    <row r="3684" spans="1:2" x14ac:dyDescent="0.2">
      <c r="A3684" s="68">
        <v>40364</v>
      </c>
      <c r="B3684" s="69">
        <v>0.86890000000000001</v>
      </c>
    </row>
    <row r="3685" spans="1:2" x14ac:dyDescent="0.2">
      <c r="A3685" s="68">
        <v>40361</v>
      </c>
      <c r="B3685" s="69">
        <v>0.86938000000000004</v>
      </c>
    </row>
    <row r="3686" spans="1:2" x14ac:dyDescent="0.2">
      <c r="A3686" s="68">
        <v>40360</v>
      </c>
      <c r="B3686" s="69">
        <v>0.87139</v>
      </c>
    </row>
    <row r="3687" spans="1:2" x14ac:dyDescent="0.2">
      <c r="A3687" s="68">
        <v>40359</v>
      </c>
      <c r="B3687" s="69">
        <v>0.87239</v>
      </c>
    </row>
    <row r="3688" spans="1:2" x14ac:dyDescent="0.2">
      <c r="A3688" s="68">
        <v>40358</v>
      </c>
      <c r="B3688" s="69">
        <v>0.87246999999999997</v>
      </c>
    </row>
    <row r="3689" spans="1:2" x14ac:dyDescent="0.2">
      <c r="A3689" s="68">
        <v>40357</v>
      </c>
      <c r="B3689" s="69">
        <v>0.87275999999999998</v>
      </c>
    </row>
    <row r="3690" spans="1:2" x14ac:dyDescent="0.2">
      <c r="A3690" s="68">
        <v>40354</v>
      </c>
      <c r="B3690" s="69">
        <v>0.87285999999999997</v>
      </c>
    </row>
    <row r="3691" spans="1:2" x14ac:dyDescent="0.2">
      <c r="A3691" s="68">
        <v>40353</v>
      </c>
      <c r="B3691" s="69">
        <v>0.87556999999999996</v>
      </c>
    </row>
    <row r="3692" spans="1:2" x14ac:dyDescent="0.2">
      <c r="A3692" s="68">
        <v>40352</v>
      </c>
      <c r="B3692" s="69">
        <v>0.87524999999999997</v>
      </c>
    </row>
    <row r="3693" spans="1:2" x14ac:dyDescent="0.2">
      <c r="A3693" s="68">
        <v>40351</v>
      </c>
      <c r="B3693" s="69">
        <v>0.87443000000000004</v>
      </c>
    </row>
    <row r="3694" spans="1:2" x14ac:dyDescent="0.2">
      <c r="A3694" s="68">
        <v>40350</v>
      </c>
      <c r="B3694" s="69">
        <v>0.87856000000000001</v>
      </c>
    </row>
    <row r="3695" spans="1:2" x14ac:dyDescent="0.2">
      <c r="A3695" s="68">
        <v>40347</v>
      </c>
      <c r="B3695" s="69">
        <v>0.87685999999999997</v>
      </c>
    </row>
    <row r="3696" spans="1:2" x14ac:dyDescent="0.2">
      <c r="A3696" s="68">
        <v>40346</v>
      </c>
      <c r="B3696" s="69">
        <v>0.87633000000000005</v>
      </c>
    </row>
    <row r="3697" spans="1:2" x14ac:dyDescent="0.2">
      <c r="A3697" s="68">
        <v>40340</v>
      </c>
      <c r="B3697" s="69">
        <v>0.87656999999999996</v>
      </c>
    </row>
    <row r="3698" spans="1:2" x14ac:dyDescent="0.2">
      <c r="A3698" s="68">
        <v>40339</v>
      </c>
      <c r="B3698" s="69">
        <v>0.87517999999999996</v>
      </c>
    </row>
    <row r="3699" spans="1:2" x14ac:dyDescent="0.2">
      <c r="A3699" s="68">
        <v>40338</v>
      </c>
      <c r="B3699" s="69">
        <v>0.87495999999999996</v>
      </c>
    </row>
    <row r="3700" spans="1:2" x14ac:dyDescent="0.2">
      <c r="A3700" s="68">
        <v>40337</v>
      </c>
      <c r="B3700" s="69">
        <v>0.87480999999999998</v>
      </c>
    </row>
    <row r="3701" spans="1:2" x14ac:dyDescent="0.2">
      <c r="A3701" s="68">
        <v>40336</v>
      </c>
      <c r="B3701" s="69">
        <v>0.87607000000000002</v>
      </c>
    </row>
    <row r="3702" spans="1:2" x14ac:dyDescent="0.2">
      <c r="A3702" s="68">
        <v>40333</v>
      </c>
      <c r="B3702" s="69">
        <v>0.87661</v>
      </c>
    </row>
    <row r="3703" spans="1:2" x14ac:dyDescent="0.2">
      <c r="A3703" s="68">
        <v>40332</v>
      </c>
      <c r="B3703" s="69">
        <v>0.87633000000000005</v>
      </c>
    </row>
    <row r="3704" spans="1:2" x14ac:dyDescent="0.2">
      <c r="A3704" s="68">
        <v>40331</v>
      </c>
      <c r="B3704" s="69">
        <v>0.87617</v>
      </c>
    </row>
    <row r="3705" spans="1:2" x14ac:dyDescent="0.2">
      <c r="A3705" s="68">
        <v>40330</v>
      </c>
      <c r="B3705" s="69">
        <v>0.87646999999999997</v>
      </c>
    </row>
    <row r="3706" spans="1:2" x14ac:dyDescent="0.2">
      <c r="A3706" s="68">
        <v>40329</v>
      </c>
      <c r="B3706" s="69">
        <v>0.87658999999999998</v>
      </c>
    </row>
    <row r="3707" spans="1:2" x14ac:dyDescent="0.2">
      <c r="A3707" s="68">
        <v>40326</v>
      </c>
      <c r="B3707" s="69">
        <v>0.87695999999999996</v>
      </c>
    </row>
    <row r="3708" spans="1:2" x14ac:dyDescent="0.2">
      <c r="A3708" s="68">
        <v>40325</v>
      </c>
      <c r="B3708" s="69">
        <v>0.87722</v>
      </c>
    </row>
    <row r="3709" spans="1:2" x14ac:dyDescent="0.2">
      <c r="A3709" s="68">
        <v>40324</v>
      </c>
      <c r="B3709" s="69">
        <v>0.87524999999999997</v>
      </c>
    </row>
    <row r="3710" spans="1:2" x14ac:dyDescent="0.2">
      <c r="A3710" s="68">
        <v>40323</v>
      </c>
      <c r="B3710" s="69">
        <v>0.87519999999999998</v>
      </c>
    </row>
    <row r="3711" spans="1:2" x14ac:dyDescent="0.2">
      <c r="A3711" s="68">
        <v>40322</v>
      </c>
      <c r="B3711" s="69">
        <v>0.87490000000000001</v>
      </c>
    </row>
    <row r="3712" spans="1:2" x14ac:dyDescent="0.2">
      <c r="A3712" s="68">
        <v>40319</v>
      </c>
      <c r="B3712" s="69">
        <v>0.87490999999999997</v>
      </c>
    </row>
    <row r="3713" spans="1:2" x14ac:dyDescent="0.2">
      <c r="A3713" s="68">
        <v>40318</v>
      </c>
      <c r="B3713" s="69">
        <v>0.87534999999999996</v>
      </c>
    </row>
    <row r="3714" spans="1:2" x14ac:dyDescent="0.2">
      <c r="A3714" s="68">
        <v>40317</v>
      </c>
      <c r="B3714" s="69">
        <v>0.87511000000000005</v>
      </c>
    </row>
    <row r="3715" spans="1:2" x14ac:dyDescent="0.2">
      <c r="A3715" s="68">
        <v>40316</v>
      </c>
      <c r="B3715" s="69">
        <v>0.87544</v>
      </c>
    </row>
    <row r="3716" spans="1:2" x14ac:dyDescent="0.2">
      <c r="A3716" s="68">
        <v>40315</v>
      </c>
      <c r="B3716" s="69">
        <v>0.87663999999999997</v>
      </c>
    </row>
    <row r="3717" spans="1:2" x14ac:dyDescent="0.2">
      <c r="A3717" s="68">
        <v>40312</v>
      </c>
      <c r="B3717" s="69">
        <v>0.87726999999999999</v>
      </c>
    </row>
    <row r="3718" spans="1:2" x14ac:dyDescent="0.2">
      <c r="A3718" s="68">
        <v>40311</v>
      </c>
      <c r="B3718" s="69">
        <v>0.87721000000000005</v>
      </c>
    </row>
    <row r="3719" spans="1:2" x14ac:dyDescent="0.2">
      <c r="A3719" s="68">
        <v>40310</v>
      </c>
      <c r="B3719" s="69">
        <v>0.87739</v>
      </c>
    </row>
    <row r="3720" spans="1:2" x14ac:dyDescent="0.2">
      <c r="A3720" s="68">
        <v>40309</v>
      </c>
      <c r="B3720" s="69">
        <v>0.87741999999999998</v>
      </c>
    </row>
    <row r="3721" spans="1:2" x14ac:dyDescent="0.2">
      <c r="A3721" s="68">
        <v>40308</v>
      </c>
      <c r="B3721" s="69">
        <v>0.87780000000000002</v>
      </c>
    </row>
    <row r="3722" spans="1:2" x14ac:dyDescent="0.2">
      <c r="A3722" s="68">
        <v>40305</v>
      </c>
      <c r="B3722" s="69">
        <v>0.87751000000000001</v>
      </c>
    </row>
    <row r="3723" spans="1:2" x14ac:dyDescent="0.2">
      <c r="A3723" s="68">
        <v>40304</v>
      </c>
      <c r="B3723" s="69">
        <v>0.87897999999999998</v>
      </c>
    </row>
    <row r="3724" spans="1:2" x14ac:dyDescent="0.2">
      <c r="A3724" s="68">
        <v>40303</v>
      </c>
      <c r="B3724" s="69">
        <v>0.87909000000000004</v>
      </c>
    </row>
    <row r="3725" spans="1:2" x14ac:dyDescent="0.2">
      <c r="A3725" s="68">
        <v>40302</v>
      </c>
      <c r="B3725" s="69">
        <v>0.87936999999999999</v>
      </c>
    </row>
    <row r="3726" spans="1:2" x14ac:dyDescent="0.2">
      <c r="A3726" s="68">
        <v>40298</v>
      </c>
      <c r="B3726" s="69">
        <v>0.87905</v>
      </c>
    </row>
    <row r="3727" spans="1:2" x14ac:dyDescent="0.2">
      <c r="A3727" s="68">
        <v>40297</v>
      </c>
      <c r="B3727" s="69">
        <v>0.87888999999999995</v>
      </c>
    </row>
    <row r="3728" spans="1:2" x14ac:dyDescent="0.2">
      <c r="A3728" s="68">
        <v>40296</v>
      </c>
      <c r="B3728" s="69">
        <v>0.87916000000000005</v>
      </c>
    </row>
    <row r="3729" spans="1:2" x14ac:dyDescent="0.2">
      <c r="A3729" s="68">
        <v>40295</v>
      </c>
      <c r="B3729" s="69">
        <v>0.87919000000000003</v>
      </c>
    </row>
    <row r="3730" spans="1:2" x14ac:dyDescent="0.2">
      <c r="A3730" s="68">
        <v>40294</v>
      </c>
      <c r="B3730" s="69">
        <v>0.87941999999999998</v>
      </c>
    </row>
    <row r="3731" spans="1:2" x14ac:dyDescent="0.2">
      <c r="A3731" s="68">
        <v>40291</v>
      </c>
      <c r="B3731" s="69">
        <v>0.87949999999999995</v>
      </c>
    </row>
    <row r="3732" spans="1:2" x14ac:dyDescent="0.2">
      <c r="A3732" s="68">
        <v>40290</v>
      </c>
      <c r="B3732" s="69">
        <v>0.87934000000000001</v>
      </c>
    </row>
    <row r="3733" spans="1:2" x14ac:dyDescent="0.2">
      <c r="A3733" s="68">
        <v>40289</v>
      </c>
      <c r="B3733" s="69">
        <v>0.87936000000000003</v>
      </c>
    </row>
    <row r="3734" spans="1:2" x14ac:dyDescent="0.2">
      <c r="A3734" s="68">
        <v>40288</v>
      </c>
      <c r="B3734" s="69">
        <v>0.87938000000000005</v>
      </c>
    </row>
    <row r="3735" spans="1:2" x14ac:dyDescent="0.2">
      <c r="A3735" s="68">
        <v>40287</v>
      </c>
      <c r="B3735" s="69">
        <v>0.87938000000000005</v>
      </c>
    </row>
    <row r="3736" spans="1:2" x14ac:dyDescent="0.2">
      <c r="A3736" s="68">
        <v>40284</v>
      </c>
      <c r="B3736" s="69">
        <v>0.87953000000000003</v>
      </c>
    </row>
    <row r="3737" spans="1:2" x14ac:dyDescent="0.2">
      <c r="A3737" s="68">
        <v>40283</v>
      </c>
      <c r="B3737" s="69">
        <v>0.87953000000000003</v>
      </c>
    </row>
    <row r="3738" spans="1:2" x14ac:dyDescent="0.2">
      <c r="A3738" s="68">
        <v>40282</v>
      </c>
      <c r="B3738" s="69">
        <v>0.87975000000000003</v>
      </c>
    </row>
    <row r="3739" spans="1:2" x14ac:dyDescent="0.2">
      <c r="A3739" s="68">
        <v>40281</v>
      </c>
      <c r="B3739" s="69">
        <v>0.87956999999999996</v>
      </c>
    </row>
    <row r="3740" spans="1:2" x14ac:dyDescent="0.2">
      <c r="A3740" s="68">
        <v>40280</v>
      </c>
      <c r="B3740" s="69">
        <v>0.88</v>
      </c>
    </row>
    <row r="3741" spans="1:2" x14ac:dyDescent="0.2">
      <c r="A3741" s="68">
        <v>40277</v>
      </c>
      <c r="B3741" s="69">
        <v>0.87973000000000001</v>
      </c>
    </row>
    <row r="3742" spans="1:2" x14ac:dyDescent="0.2">
      <c r="A3742" s="68">
        <v>40276</v>
      </c>
      <c r="B3742" s="69">
        <v>0.87946000000000002</v>
      </c>
    </row>
    <row r="3743" spans="1:2" x14ac:dyDescent="0.2">
      <c r="A3743" s="68">
        <v>40275</v>
      </c>
      <c r="B3743" s="69">
        <v>0.87916000000000005</v>
      </c>
    </row>
    <row r="3744" spans="1:2" x14ac:dyDescent="0.2">
      <c r="A3744" s="68">
        <v>40274</v>
      </c>
      <c r="B3744" s="69">
        <v>0.87897999999999998</v>
      </c>
    </row>
    <row r="3745" spans="1:2" x14ac:dyDescent="0.2">
      <c r="A3745" s="68">
        <v>40270</v>
      </c>
      <c r="B3745" s="69">
        <v>0.87883999999999995</v>
      </c>
    </row>
    <row r="3746" spans="1:2" x14ac:dyDescent="0.2">
      <c r="A3746" s="68">
        <v>40269</v>
      </c>
      <c r="B3746" s="69">
        <v>0.87916000000000005</v>
      </c>
    </row>
    <row r="3747" spans="1:2" x14ac:dyDescent="0.2">
      <c r="A3747" s="68">
        <v>40268</v>
      </c>
      <c r="B3747" s="69">
        <v>0.87922</v>
      </c>
    </row>
    <row r="3748" spans="1:2" x14ac:dyDescent="0.2">
      <c r="A3748" s="68">
        <v>40267</v>
      </c>
      <c r="B3748" s="69">
        <v>0.87926000000000004</v>
      </c>
    </row>
    <row r="3749" spans="1:2" x14ac:dyDescent="0.2">
      <c r="A3749" s="68">
        <v>40266</v>
      </c>
      <c r="B3749" s="69">
        <v>0.87927999999999995</v>
      </c>
    </row>
    <row r="3750" spans="1:2" x14ac:dyDescent="0.2">
      <c r="A3750" s="68">
        <v>40263</v>
      </c>
      <c r="B3750" s="69">
        <v>0.87958000000000003</v>
      </c>
    </row>
    <row r="3751" spans="1:2" x14ac:dyDescent="0.2">
      <c r="A3751" s="68">
        <v>40262</v>
      </c>
      <c r="B3751" s="69">
        <v>0.87956000000000001</v>
      </c>
    </row>
    <row r="3752" spans="1:2" x14ac:dyDescent="0.2">
      <c r="A3752" s="68">
        <v>40261</v>
      </c>
      <c r="B3752" s="69">
        <v>0.87944</v>
      </c>
    </row>
    <row r="3753" spans="1:2" x14ac:dyDescent="0.2">
      <c r="A3753" s="68">
        <v>40260</v>
      </c>
      <c r="B3753" s="69">
        <v>0.87956999999999996</v>
      </c>
    </row>
    <row r="3754" spans="1:2" x14ac:dyDescent="0.2">
      <c r="A3754" s="68">
        <v>40259</v>
      </c>
      <c r="B3754" s="69">
        <v>0.87971999999999995</v>
      </c>
    </row>
    <row r="3755" spans="1:2" x14ac:dyDescent="0.2">
      <c r="A3755" s="68">
        <v>40256</v>
      </c>
      <c r="B3755" s="69">
        <v>0.87961999999999996</v>
      </c>
    </row>
    <row r="3756" spans="1:2" x14ac:dyDescent="0.2">
      <c r="A3756" s="68">
        <v>40255</v>
      </c>
      <c r="B3756" s="69">
        <v>0.87949999999999995</v>
      </c>
    </row>
    <row r="3757" spans="1:2" x14ac:dyDescent="0.2">
      <c r="A3757" s="68">
        <v>40254</v>
      </c>
      <c r="B3757" s="69">
        <v>0.87961</v>
      </c>
    </row>
    <row r="3758" spans="1:2" x14ac:dyDescent="0.2">
      <c r="A3758" s="68">
        <v>40253</v>
      </c>
      <c r="B3758" s="69">
        <v>0.87980999999999998</v>
      </c>
    </row>
    <row r="3759" spans="1:2" x14ac:dyDescent="0.2">
      <c r="A3759" s="68">
        <v>40252</v>
      </c>
      <c r="B3759" s="69">
        <v>0.87990000000000002</v>
      </c>
    </row>
    <row r="3760" spans="1:2" x14ac:dyDescent="0.2">
      <c r="A3760" s="68">
        <v>40249</v>
      </c>
      <c r="B3760" s="69">
        <v>0.87970000000000004</v>
      </c>
    </row>
    <row r="3761" spans="1:2" x14ac:dyDescent="0.2">
      <c r="A3761" s="68">
        <v>40248</v>
      </c>
      <c r="B3761" s="69">
        <v>0.87983999999999996</v>
      </c>
    </row>
    <row r="3762" spans="1:2" x14ac:dyDescent="0.2">
      <c r="A3762" s="68">
        <v>40247</v>
      </c>
      <c r="B3762" s="69">
        <v>0.87970000000000004</v>
      </c>
    </row>
    <row r="3763" spans="1:2" x14ac:dyDescent="0.2">
      <c r="A3763" s="68">
        <v>40246</v>
      </c>
      <c r="B3763" s="69">
        <v>0.87985999999999998</v>
      </c>
    </row>
    <row r="3764" spans="1:2" x14ac:dyDescent="0.2">
      <c r="A3764" s="68">
        <v>40245</v>
      </c>
      <c r="B3764" s="69">
        <v>0.87949999999999995</v>
      </c>
    </row>
    <row r="3765" spans="1:2" x14ac:dyDescent="0.2">
      <c r="A3765" s="68">
        <v>40242</v>
      </c>
      <c r="B3765" s="69">
        <v>0.87934999999999997</v>
      </c>
    </row>
    <row r="3766" spans="1:2" x14ac:dyDescent="0.2">
      <c r="A3766" s="68">
        <v>40241</v>
      </c>
      <c r="B3766" s="69">
        <v>0.87939999999999996</v>
      </c>
    </row>
    <row r="3767" spans="1:2" x14ac:dyDescent="0.2">
      <c r="A3767" s="68">
        <v>40240</v>
      </c>
      <c r="B3767" s="69">
        <v>0.87939000000000001</v>
      </c>
    </row>
    <row r="3768" spans="1:2" x14ac:dyDescent="0.2">
      <c r="A3768" s="68">
        <v>40239</v>
      </c>
      <c r="B3768" s="69">
        <v>0.87919000000000003</v>
      </c>
    </row>
    <row r="3769" spans="1:2" x14ac:dyDescent="0.2">
      <c r="A3769" s="68">
        <v>40238</v>
      </c>
      <c r="B3769" s="69">
        <v>0.87948999999999999</v>
      </c>
    </row>
    <row r="3770" spans="1:2" x14ac:dyDescent="0.2">
      <c r="A3770" s="68">
        <v>40235</v>
      </c>
      <c r="B3770" s="69">
        <v>0.87929999999999997</v>
      </c>
    </row>
    <row r="3771" spans="1:2" x14ac:dyDescent="0.2">
      <c r="A3771" s="68">
        <v>40234</v>
      </c>
      <c r="B3771" s="69">
        <v>0.87924000000000002</v>
      </c>
    </row>
    <row r="3772" spans="1:2" x14ac:dyDescent="0.2">
      <c r="A3772" s="68">
        <v>40233</v>
      </c>
      <c r="B3772" s="69">
        <v>0.87941999999999998</v>
      </c>
    </row>
    <row r="3773" spans="1:2" x14ac:dyDescent="0.2">
      <c r="A3773" s="68">
        <v>40232</v>
      </c>
      <c r="B3773" s="69">
        <v>0.87941999999999998</v>
      </c>
    </row>
    <row r="3774" spans="1:2" x14ac:dyDescent="0.2">
      <c r="A3774" s="68">
        <v>40231</v>
      </c>
      <c r="B3774" s="69">
        <v>0.87914000000000003</v>
      </c>
    </row>
    <row r="3775" spans="1:2" x14ac:dyDescent="0.2">
      <c r="A3775" s="68">
        <v>40221</v>
      </c>
      <c r="B3775" s="69">
        <v>0.87873000000000001</v>
      </c>
    </row>
    <row r="3776" spans="1:2" x14ac:dyDescent="0.2">
      <c r="A3776" s="68">
        <v>40220</v>
      </c>
      <c r="B3776" s="69">
        <v>0.87866999999999995</v>
      </c>
    </row>
    <row r="3777" spans="1:2" x14ac:dyDescent="0.2">
      <c r="A3777" s="68">
        <v>40219</v>
      </c>
      <c r="B3777" s="69">
        <v>0.87875999999999999</v>
      </c>
    </row>
    <row r="3778" spans="1:2" x14ac:dyDescent="0.2">
      <c r="A3778" s="68">
        <v>40218</v>
      </c>
      <c r="B3778" s="69">
        <v>0.87853999999999999</v>
      </c>
    </row>
    <row r="3779" spans="1:2" x14ac:dyDescent="0.2">
      <c r="A3779" s="68">
        <v>40217</v>
      </c>
      <c r="B3779" s="69">
        <v>0.87853999999999999</v>
      </c>
    </row>
    <row r="3780" spans="1:2" x14ac:dyDescent="0.2">
      <c r="A3780" s="68">
        <v>40214</v>
      </c>
      <c r="B3780" s="69">
        <v>0.87860000000000005</v>
      </c>
    </row>
    <row r="3781" spans="1:2" x14ac:dyDescent="0.2">
      <c r="A3781" s="68">
        <v>40213</v>
      </c>
      <c r="B3781" s="69">
        <v>0.879</v>
      </c>
    </row>
    <row r="3782" spans="1:2" x14ac:dyDescent="0.2">
      <c r="A3782" s="68">
        <v>40212</v>
      </c>
      <c r="B3782" s="69">
        <v>0.87900999999999996</v>
      </c>
    </row>
    <row r="3783" spans="1:2" x14ac:dyDescent="0.2">
      <c r="A3783" s="68">
        <v>40211</v>
      </c>
      <c r="B3783" s="69">
        <v>0.87888999999999995</v>
      </c>
    </row>
    <row r="3784" spans="1:2" x14ac:dyDescent="0.2">
      <c r="A3784" s="68">
        <v>40210</v>
      </c>
      <c r="B3784" s="69">
        <v>0.87902000000000002</v>
      </c>
    </row>
    <row r="3785" spans="1:2" x14ac:dyDescent="0.2">
      <c r="A3785" s="68">
        <v>40207</v>
      </c>
      <c r="B3785" s="69">
        <v>0.87834000000000001</v>
      </c>
    </row>
    <row r="3786" spans="1:2" x14ac:dyDescent="0.2">
      <c r="A3786" s="68">
        <v>40206</v>
      </c>
      <c r="B3786" s="69">
        <v>0.87799000000000005</v>
      </c>
    </row>
    <row r="3787" spans="1:2" x14ac:dyDescent="0.2">
      <c r="A3787" s="68">
        <v>40205</v>
      </c>
      <c r="B3787" s="69">
        <v>0.87799000000000005</v>
      </c>
    </row>
    <row r="3788" spans="1:2" x14ac:dyDescent="0.2">
      <c r="A3788" s="68">
        <v>40204</v>
      </c>
      <c r="B3788" s="69">
        <v>0.87887000000000004</v>
      </c>
    </row>
    <row r="3789" spans="1:2" x14ac:dyDescent="0.2">
      <c r="A3789" s="68">
        <v>40203</v>
      </c>
      <c r="B3789" s="69">
        <v>0.87833000000000006</v>
      </c>
    </row>
    <row r="3790" spans="1:2" x14ac:dyDescent="0.2">
      <c r="A3790" s="68">
        <v>40200</v>
      </c>
      <c r="B3790" s="69">
        <v>0.87844999999999995</v>
      </c>
    </row>
    <row r="3791" spans="1:2" x14ac:dyDescent="0.2">
      <c r="A3791" s="68">
        <v>40199</v>
      </c>
      <c r="B3791" s="69">
        <v>0.87890000000000001</v>
      </c>
    </row>
    <row r="3792" spans="1:2" x14ac:dyDescent="0.2">
      <c r="A3792" s="68">
        <v>40198</v>
      </c>
      <c r="B3792" s="69">
        <v>0.87951000000000001</v>
      </c>
    </row>
    <row r="3793" spans="1:2" x14ac:dyDescent="0.2">
      <c r="A3793" s="68">
        <v>40197</v>
      </c>
      <c r="B3793" s="69">
        <v>0.87939000000000001</v>
      </c>
    </row>
    <row r="3794" spans="1:2" x14ac:dyDescent="0.2">
      <c r="A3794" s="68">
        <v>40196</v>
      </c>
      <c r="B3794" s="69">
        <v>0.87975000000000003</v>
      </c>
    </row>
    <row r="3795" spans="1:2" x14ac:dyDescent="0.2">
      <c r="A3795" s="68">
        <v>40193</v>
      </c>
      <c r="B3795" s="69">
        <v>0.87994000000000006</v>
      </c>
    </row>
    <row r="3796" spans="1:2" x14ac:dyDescent="0.2">
      <c r="A3796" s="68">
        <v>40192</v>
      </c>
      <c r="B3796" s="69">
        <v>0.88027999999999995</v>
      </c>
    </row>
    <row r="3797" spans="1:2" x14ac:dyDescent="0.2">
      <c r="A3797" s="68">
        <v>40191</v>
      </c>
      <c r="B3797" s="69">
        <v>0.88036999999999999</v>
      </c>
    </row>
    <row r="3798" spans="1:2" x14ac:dyDescent="0.2">
      <c r="A3798" s="68">
        <v>40190</v>
      </c>
      <c r="B3798" s="69">
        <v>0.88039999999999996</v>
      </c>
    </row>
    <row r="3799" spans="1:2" x14ac:dyDescent="0.2">
      <c r="A3799" s="68">
        <v>40189</v>
      </c>
      <c r="B3799" s="69">
        <v>0.88034999999999997</v>
      </c>
    </row>
    <row r="3800" spans="1:2" x14ac:dyDescent="0.2">
      <c r="A3800" s="68">
        <v>40186</v>
      </c>
      <c r="B3800" s="69">
        <v>0.88036000000000003</v>
      </c>
    </row>
    <row r="3801" spans="1:2" x14ac:dyDescent="0.2">
      <c r="A3801" s="68">
        <v>40185</v>
      </c>
      <c r="B3801" s="69">
        <v>0.88046999999999997</v>
      </c>
    </row>
    <row r="3802" spans="1:2" x14ac:dyDescent="0.2">
      <c r="A3802" s="68">
        <v>40184</v>
      </c>
      <c r="B3802" s="69">
        <v>0.88026000000000004</v>
      </c>
    </row>
    <row r="3803" spans="1:2" x14ac:dyDescent="0.2">
      <c r="A3803" s="68">
        <v>40183</v>
      </c>
      <c r="B3803" s="69">
        <v>0.88029000000000002</v>
      </c>
    </row>
    <row r="3804" spans="1:2" x14ac:dyDescent="0.2">
      <c r="A3804" s="68">
        <v>40182</v>
      </c>
      <c r="B3804" s="69">
        <v>0.88039000000000001</v>
      </c>
    </row>
    <row r="3805" spans="1:2" x14ac:dyDescent="0.2">
      <c r="A3805" s="68">
        <v>40178</v>
      </c>
      <c r="B3805" s="69">
        <v>0.88048000000000004</v>
      </c>
    </row>
    <row r="3806" spans="1:2" x14ac:dyDescent="0.2">
      <c r="A3806" s="68">
        <v>40177</v>
      </c>
      <c r="B3806" s="69">
        <v>0.88046000000000002</v>
      </c>
    </row>
    <row r="3807" spans="1:2" x14ac:dyDescent="0.2">
      <c r="A3807" s="68">
        <v>40176</v>
      </c>
      <c r="B3807" s="69">
        <v>0.88029999999999997</v>
      </c>
    </row>
    <row r="3808" spans="1:2" x14ac:dyDescent="0.2">
      <c r="A3808" s="68">
        <v>40175</v>
      </c>
      <c r="B3808" s="69">
        <v>0.88049999999999995</v>
      </c>
    </row>
    <row r="3809" spans="1:2" x14ac:dyDescent="0.2">
      <c r="A3809" s="68">
        <v>40172</v>
      </c>
      <c r="B3809" s="69">
        <v>0.88039000000000001</v>
      </c>
    </row>
    <row r="3810" spans="1:2" x14ac:dyDescent="0.2">
      <c r="A3810" s="68">
        <v>40171</v>
      </c>
      <c r="B3810" s="69">
        <v>0.88068000000000002</v>
      </c>
    </row>
    <row r="3811" spans="1:2" x14ac:dyDescent="0.2">
      <c r="A3811" s="68">
        <v>40170</v>
      </c>
      <c r="B3811" s="69">
        <v>0.88053999999999999</v>
      </c>
    </row>
    <row r="3812" spans="1:2" x14ac:dyDescent="0.2">
      <c r="A3812" s="68">
        <v>40169</v>
      </c>
      <c r="B3812" s="69">
        <v>0.88048999999999999</v>
      </c>
    </row>
    <row r="3813" spans="1:2" x14ac:dyDescent="0.2">
      <c r="A3813" s="68">
        <v>40168</v>
      </c>
      <c r="B3813" s="69">
        <v>0.88029999999999997</v>
      </c>
    </row>
    <row r="3814" spans="1:2" x14ac:dyDescent="0.2">
      <c r="A3814" s="68">
        <v>40165</v>
      </c>
      <c r="B3814" s="69">
        <v>0.88034999999999997</v>
      </c>
    </row>
    <row r="3815" spans="1:2" x14ac:dyDescent="0.2">
      <c r="A3815" s="68">
        <v>40164</v>
      </c>
      <c r="B3815" s="69">
        <v>0.88065000000000004</v>
      </c>
    </row>
    <row r="3816" spans="1:2" x14ac:dyDescent="0.2">
      <c r="A3816" s="68">
        <v>40163</v>
      </c>
      <c r="B3816" s="69">
        <v>0.88058000000000003</v>
      </c>
    </row>
    <row r="3817" spans="1:2" x14ac:dyDescent="0.2">
      <c r="A3817" s="68">
        <v>40162</v>
      </c>
      <c r="B3817" s="69">
        <v>0.88078000000000001</v>
      </c>
    </row>
    <row r="3818" spans="1:2" x14ac:dyDescent="0.2">
      <c r="A3818" s="68">
        <v>40161</v>
      </c>
      <c r="B3818" s="69">
        <v>0.88092999999999999</v>
      </c>
    </row>
    <row r="3819" spans="1:2" x14ac:dyDescent="0.2">
      <c r="A3819" s="68">
        <v>40158</v>
      </c>
      <c r="B3819" s="69">
        <v>0.88092999999999999</v>
      </c>
    </row>
    <row r="3820" spans="1:2" x14ac:dyDescent="0.2">
      <c r="A3820" s="68">
        <v>40157</v>
      </c>
      <c r="B3820" s="69">
        <v>0.88092999999999999</v>
      </c>
    </row>
    <row r="3821" spans="1:2" x14ac:dyDescent="0.2">
      <c r="A3821" s="68">
        <v>40156</v>
      </c>
      <c r="B3821" s="69">
        <v>0.88095000000000001</v>
      </c>
    </row>
    <row r="3822" spans="1:2" x14ac:dyDescent="0.2">
      <c r="A3822" s="68">
        <v>40155</v>
      </c>
      <c r="B3822" s="69">
        <v>0.88097999999999999</v>
      </c>
    </row>
    <row r="3823" spans="1:2" x14ac:dyDescent="0.2">
      <c r="A3823" s="68">
        <v>40154</v>
      </c>
      <c r="B3823" s="69">
        <v>0.88097999999999999</v>
      </c>
    </row>
    <row r="3824" spans="1:2" x14ac:dyDescent="0.2">
      <c r="A3824" s="68">
        <v>40151</v>
      </c>
      <c r="B3824" s="69">
        <v>0.88092000000000004</v>
      </c>
    </row>
    <row r="3825" spans="1:2" x14ac:dyDescent="0.2">
      <c r="A3825" s="68">
        <v>40150</v>
      </c>
      <c r="B3825" s="69">
        <v>0.88090000000000002</v>
      </c>
    </row>
    <row r="3826" spans="1:2" x14ac:dyDescent="0.2">
      <c r="A3826" s="68">
        <v>40149</v>
      </c>
      <c r="B3826" s="69">
        <v>0.88085999999999998</v>
      </c>
    </row>
    <row r="3827" spans="1:2" x14ac:dyDescent="0.2">
      <c r="A3827" s="68">
        <v>40148</v>
      </c>
      <c r="B3827" s="69">
        <v>0.88088999999999995</v>
      </c>
    </row>
    <row r="3828" spans="1:2" x14ac:dyDescent="0.2">
      <c r="A3828" s="68">
        <v>40147</v>
      </c>
      <c r="B3828" s="69">
        <v>0.88090999999999997</v>
      </c>
    </row>
    <row r="3829" spans="1:2" x14ac:dyDescent="0.2">
      <c r="A3829" s="68">
        <v>40144</v>
      </c>
      <c r="B3829" s="69">
        <v>0.88085999999999998</v>
      </c>
    </row>
    <row r="3830" spans="1:2" x14ac:dyDescent="0.2">
      <c r="A3830" s="68">
        <v>40143</v>
      </c>
      <c r="B3830" s="69">
        <v>0.88087000000000004</v>
      </c>
    </row>
    <row r="3831" spans="1:2" x14ac:dyDescent="0.2">
      <c r="A3831" s="68">
        <v>40142</v>
      </c>
      <c r="B3831" s="69">
        <v>0.88095999999999997</v>
      </c>
    </row>
    <row r="3832" spans="1:2" x14ac:dyDescent="0.2">
      <c r="A3832" s="68">
        <v>40141</v>
      </c>
      <c r="B3832" s="69">
        <v>0.88097000000000003</v>
      </c>
    </row>
    <row r="3833" spans="1:2" x14ac:dyDescent="0.2">
      <c r="A3833" s="68">
        <v>40140</v>
      </c>
      <c r="B3833" s="69">
        <v>0.88099000000000005</v>
      </c>
    </row>
    <row r="3834" spans="1:2" x14ac:dyDescent="0.2">
      <c r="A3834" s="68">
        <v>40137</v>
      </c>
      <c r="B3834" s="69">
        <v>0.88100000000000001</v>
      </c>
    </row>
    <row r="3835" spans="1:2" x14ac:dyDescent="0.2">
      <c r="A3835" s="68">
        <v>40136</v>
      </c>
      <c r="B3835" s="69">
        <v>0.88095000000000001</v>
      </c>
    </row>
    <row r="3836" spans="1:2" x14ac:dyDescent="0.2">
      <c r="A3836" s="68">
        <v>40135</v>
      </c>
      <c r="B3836" s="69">
        <v>0.88095999999999997</v>
      </c>
    </row>
    <row r="3837" spans="1:2" x14ac:dyDescent="0.2">
      <c r="A3837" s="68">
        <v>40134</v>
      </c>
      <c r="B3837" s="69">
        <v>0.88090999999999997</v>
      </c>
    </row>
    <row r="3838" spans="1:2" x14ac:dyDescent="0.2">
      <c r="A3838" s="68">
        <v>40133</v>
      </c>
      <c r="B3838" s="69">
        <v>0.88092000000000004</v>
      </c>
    </row>
    <row r="3839" spans="1:2" x14ac:dyDescent="0.2">
      <c r="A3839" s="68">
        <v>40130</v>
      </c>
      <c r="B3839" s="69">
        <v>0.88093999999999995</v>
      </c>
    </row>
    <row r="3840" spans="1:2" x14ac:dyDescent="0.2">
      <c r="A3840" s="68">
        <v>40129</v>
      </c>
      <c r="B3840" s="69">
        <v>0.88087000000000004</v>
      </c>
    </row>
    <row r="3841" spans="1:2" x14ac:dyDescent="0.2">
      <c r="A3841" s="68">
        <v>40128</v>
      </c>
      <c r="B3841" s="69">
        <v>0.88085999999999998</v>
      </c>
    </row>
    <row r="3842" spans="1:2" x14ac:dyDescent="0.2">
      <c r="A3842" s="68">
        <v>40127</v>
      </c>
      <c r="B3842" s="69">
        <v>0.88087000000000004</v>
      </c>
    </row>
    <row r="3843" spans="1:2" x14ac:dyDescent="0.2">
      <c r="A3843" s="68">
        <v>40126</v>
      </c>
      <c r="B3843" s="69">
        <v>0.88093999999999995</v>
      </c>
    </row>
    <row r="3844" spans="1:2" x14ac:dyDescent="0.2">
      <c r="A3844" s="68">
        <v>40123</v>
      </c>
      <c r="B3844" s="69">
        <v>0.88097000000000003</v>
      </c>
    </row>
    <row r="3845" spans="1:2" x14ac:dyDescent="0.2">
      <c r="A3845" s="68">
        <v>40122</v>
      </c>
      <c r="B3845" s="69">
        <v>0.88099000000000005</v>
      </c>
    </row>
    <row r="3846" spans="1:2" x14ac:dyDescent="0.2">
      <c r="A3846" s="68">
        <v>40121</v>
      </c>
      <c r="B3846" s="69">
        <v>0.88100000000000001</v>
      </c>
    </row>
    <row r="3847" spans="1:2" x14ac:dyDescent="0.2">
      <c r="A3847" s="68">
        <v>40120</v>
      </c>
      <c r="B3847" s="69">
        <v>0.88100000000000001</v>
      </c>
    </row>
    <row r="3848" spans="1:2" x14ac:dyDescent="0.2">
      <c r="A3848" s="68">
        <v>40119</v>
      </c>
      <c r="B3848" s="69">
        <v>0.88104000000000005</v>
      </c>
    </row>
    <row r="3849" spans="1:2" x14ac:dyDescent="0.2">
      <c r="A3849" s="68">
        <v>40116</v>
      </c>
      <c r="B3849" s="69">
        <v>0.88102000000000003</v>
      </c>
    </row>
    <row r="3850" spans="1:2" x14ac:dyDescent="0.2">
      <c r="A3850" s="68">
        <v>40115</v>
      </c>
      <c r="B3850" s="69">
        <v>0.88109000000000004</v>
      </c>
    </row>
    <row r="3851" spans="1:2" x14ac:dyDescent="0.2">
      <c r="A3851" s="68">
        <v>40114</v>
      </c>
      <c r="B3851" s="69">
        <v>0.88105</v>
      </c>
    </row>
    <row r="3852" spans="1:2" x14ac:dyDescent="0.2">
      <c r="A3852" s="68">
        <v>40113</v>
      </c>
      <c r="B3852" s="69">
        <v>0.88107999999999997</v>
      </c>
    </row>
    <row r="3853" spans="1:2" x14ac:dyDescent="0.2">
      <c r="A3853" s="68">
        <v>40112</v>
      </c>
      <c r="B3853" s="69">
        <v>0.88102999999999998</v>
      </c>
    </row>
    <row r="3854" spans="1:2" x14ac:dyDescent="0.2">
      <c r="A3854" s="68">
        <v>40109</v>
      </c>
      <c r="B3854" s="69">
        <v>0.88095999999999997</v>
      </c>
    </row>
    <row r="3855" spans="1:2" x14ac:dyDescent="0.2">
      <c r="A3855" s="68">
        <v>40108</v>
      </c>
      <c r="B3855" s="69">
        <v>0.88092000000000004</v>
      </c>
    </row>
    <row r="3856" spans="1:2" x14ac:dyDescent="0.2">
      <c r="A3856" s="68">
        <v>40107</v>
      </c>
      <c r="B3856" s="69">
        <v>0.88100000000000001</v>
      </c>
    </row>
    <row r="3857" spans="1:2" x14ac:dyDescent="0.2">
      <c r="A3857" s="68">
        <v>40106</v>
      </c>
      <c r="B3857" s="69">
        <v>0.88093999999999995</v>
      </c>
    </row>
    <row r="3858" spans="1:2" x14ac:dyDescent="0.2">
      <c r="A3858" s="68">
        <v>40105</v>
      </c>
      <c r="B3858" s="69">
        <v>0.88095000000000001</v>
      </c>
    </row>
    <row r="3859" spans="1:2" x14ac:dyDescent="0.2">
      <c r="A3859" s="68">
        <v>40102</v>
      </c>
      <c r="B3859" s="69">
        <v>0.88090000000000002</v>
      </c>
    </row>
    <row r="3860" spans="1:2" x14ac:dyDescent="0.2">
      <c r="A3860" s="68">
        <v>40101</v>
      </c>
      <c r="B3860" s="69">
        <v>0.88085999999999998</v>
      </c>
    </row>
    <row r="3861" spans="1:2" x14ac:dyDescent="0.2">
      <c r="A3861" s="68">
        <v>40100</v>
      </c>
      <c r="B3861" s="69">
        <v>0.88088</v>
      </c>
    </row>
    <row r="3862" spans="1:2" x14ac:dyDescent="0.2">
      <c r="A3862" s="68">
        <v>40099</v>
      </c>
      <c r="B3862" s="69">
        <v>0.88088999999999995</v>
      </c>
    </row>
    <row r="3863" spans="1:2" x14ac:dyDescent="0.2">
      <c r="A3863" s="68">
        <v>40098</v>
      </c>
      <c r="B3863" s="69">
        <v>0.88095000000000001</v>
      </c>
    </row>
    <row r="3864" spans="1:2" x14ac:dyDescent="0.2">
      <c r="A3864" s="68">
        <v>40095</v>
      </c>
      <c r="B3864" s="69">
        <v>0.88088999999999995</v>
      </c>
    </row>
    <row r="3865" spans="1:2" x14ac:dyDescent="0.2">
      <c r="A3865" s="68">
        <v>40086</v>
      </c>
      <c r="B3865" s="69">
        <v>0.88114000000000003</v>
      </c>
    </row>
    <row r="3866" spans="1:2" x14ac:dyDescent="0.2">
      <c r="A3866" s="68">
        <v>40085</v>
      </c>
      <c r="B3866" s="69">
        <v>0.88112000000000001</v>
      </c>
    </row>
    <row r="3867" spans="1:2" x14ac:dyDescent="0.2">
      <c r="A3867" s="68">
        <v>40084</v>
      </c>
      <c r="B3867" s="69">
        <v>0.88095999999999997</v>
      </c>
    </row>
    <row r="3868" spans="1:2" x14ac:dyDescent="0.2">
      <c r="A3868" s="68">
        <v>40081</v>
      </c>
      <c r="B3868" s="69">
        <v>0.88107000000000002</v>
      </c>
    </row>
    <row r="3869" spans="1:2" x14ac:dyDescent="0.2">
      <c r="A3869" s="68">
        <v>40080</v>
      </c>
      <c r="B3869" s="69">
        <v>0.88095999999999997</v>
      </c>
    </row>
    <row r="3870" spans="1:2" x14ac:dyDescent="0.2">
      <c r="A3870" s="68">
        <v>40079</v>
      </c>
      <c r="B3870" s="69">
        <v>0.88087000000000004</v>
      </c>
    </row>
    <row r="3871" spans="1:2" x14ac:dyDescent="0.2">
      <c r="A3871" s="68">
        <v>40078</v>
      </c>
      <c r="B3871" s="69">
        <v>0.88109000000000004</v>
      </c>
    </row>
    <row r="3872" spans="1:2" x14ac:dyDescent="0.2">
      <c r="A3872" s="68">
        <v>40077</v>
      </c>
      <c r="B3872" s="69">
        <v>0.88095999999999997</v>
      </c>
    </row>
    <row r="3873" spans="1:2" x14ac:dyDescent="0.2">
      <c r="A3873" s="68">
        <v>40074</v>
      </c>
      <c r="B3873" s="69">
        <v>0.88088</v>
      </c>
    </row>
    <row r="3874" spans="1:2" x14ac:dyDescent="0.2">
      <c r="A3874" s="68">
        <v>40073</v>
      </c>
      <c r="B3874" s="69">
        <v>0.88092000000000004</v>
      </c>
    </row>
    <row r="3875" spans="1:2" x14ac:dyDescent="0.2">
      <c r="A3875" s="68">
        <v>40072</v>
      </c>
      <c r="B3875" s="69">
        <v>0.88104000000000005</v>
      </c>
    </row>
    <row r="3876" spans="1:2" x14ac:dyDescent="0.2">
      <c r="A3876" s="68">
        <v>40071</v>
      </c>
      <c r="B3876" s="69">
        <v>0.88107000000000002</v>
      </c>
    </row>
    <row r="3877" spans="1:2" x14ac:dyDescent="0.2">
      <c r="A3877" s="68">
        <v>40070</v>
      </c>
      <c r="B3877" s="69">
        <v>0.88102000000000003</v>
      </c>
    </row>
    <row r="3878" spans="1:2" x14ac:dyDescent="0.2">
      <c r="A3878" s="68">
        <v>40067</v>
      </c>
      <c r="B3878" s="69">
        <v>0.88100999999999996</v>
      </c>
    </row>
    <row r="3879" spans="1:2" x14ac:dyDescent="0.2">
      <c r="A3879" s="68">
        <v>40066</v>
      </c>
      <c r="B3879" s="69">
        <v>0.88109999999999999</v>
      </c>
    </row>
    <row r="3880" spans="1:2" x14ac:dyDescent="0.2">
      <c r="A3880" s="68">
        <v>40065</v>
      </c>
      <c r="B3880" s="69">
        <v>0.88116000000000005</v>
      </c>
    </row>
    <row r="3881" spans="1:2" x14ac:dyDescent="0.2">
      <c r="A3881" s="68">
        <v>40064</v>
      </c>
      <c r="B3881" s="69">
        <v>0.88124999999999998</v>
      </c>
    </row>
    <row r="3882" spans="1:2" x14ac:dyDescent="0.2">
      <c r="A3882" s="68">
        <v>40063</v>
      </c>
      <c r="B3882" s="69">
        <v>0.88129999999999997</v>
      </c>
    </row>
    <row r="3883" spans="1:2" x14ac:dyDescent="0.2">
      <c r="A3883" s="68">
        <v>40060</v>
      </c>
      <c r="B3883" s="69">
        <v>0.88131999999999999</v>
      </c>
    </row>
    <row r="3884" spans="1:2" x14ac:dyDescent="0.2">
      <c r="A3884" s="68">
        <v>40059</v>
      </c>
      <c r="B3884" s="69">
        <v>0.88124000000000002</v>
      </c>
    </row>
    <row r="3885" spans="1:2" x14ac:dyDescent="0.2">
      <c r="A3885" s="68">
        <v>40058</v>
      </c>
      <c r="B3885" s="69">
        <v>0.88138000000000005</v>
      </c>
    </row>
    <row r="3886" spans="1:2" x14ac:dyDescent="0.2">
      <c r="A3886" s="68">
        <v>40057</v>
      </c>
      <c r="B3886" s="69">
        <v>0.88129999999999997</v>
      </c>
    </row>
    <row r="3887" spans="1:2" x14ac:dyDescent="0.2">
      <c r="A3887" s="68">
        <v>40056</v>
      </c>
      <c r="B3887" s="69">
        <v>0.88132999999999995</v>
      </c>
    </row>
    <row r="3888" spans="1:2" x14ac:dyDescent="0.2">
      <c r="A3888" s="68">
        <v>40053</v>
      </c>
      <c r="B3888" s="69">
        <v>0.88127999999999995</v>
      </c>
    </row>
    <row r="3889" spans="1:2" x14ac:dyDescent="0.2">
      <c r="A3889" s="68">
        <v>40052</v>
      </c>
      <c r="B3889" s="69">
        <v>0.88144999999999996</v>
      </c>
    </row>
    <row r="3890" spans="1:2" x14ac:dyDescent="0.2">
      <c r="A3890" s="68">
        <v>40051</v>
      </c>
      <c r="B3890" s="69">
        <v>0.88141999999999998</v>
      </c>
    </row>
    <row r="3891" spans="1:2" x14ac:dyDescent="0.2">
      <c r="A3891" s="68">
        <v>40050</v>
      </c>
      <c r="B3891" s="69">
        <v>0.88139999999999996</v>
      </c>
    </row>
    <row r="3892" spans="1:2" x14ac:dyDescent="0.2">
      <c r="A3892" s="68">
        <v>40049</v>
      </c>
      <c r="B3892" s="69">
        <v>0.88127999999999995</v>
      </c>
    </row>
    <row r="3893" spans="1:2" x14ac:dyDescent="0.2">
      <c r="A3893" s="68">
        <v>40046</v>
      </c>
      <c r="B3893" s="69">
        <v>0.88129999999999997</v>
      </c>
    </row>
    <row r="3894" spans="1:2" x14ac:dyDescent="0.2">
      <c r="A3894" s="68">
        <v>40045</v>
      </c>
      <c r="B3894" s="69">
        <v>0.88134000000000001</v>
      </c>
    </row>
    <row r="3895" spans="1:2" x14ac:dyDescent="0.2">
      <c r="A3895" s="68">
        <v>40044</v>
      </c>
      <c r="B3895" s="69">
        <v>0.88144</v>
      </c>
    </row>
    <row r="3896" spans="1:2" x14ac:dyDescent="0.2">
      <c r="A3896" s="68">
        <v>40043</v>
      </c>
      <c r="B3896" s="69">
        <v>0.88170999999999999</v>
      </c>
    </row>
    <row r="3897" spans="1:2" x14ac:dyDescent="0.2">
      <c r="A3897" s="68">
        <v>40042</v>
      </c>
      <c r="B3897" s="69">
        <v>0.88168000000000002</v>
      </c>
    </row>
    <row r="3898" spans="1:2" x14ac:dyDescent="0.2">
      <c r="A3898" s="68">
        <v>40039</v>
      </c>
      <c r="B3898" s="69">
        <v>0.88158000000000003</v>
      </c>
    </row>
    <row r="3899" spans="1:2" x14ac:dyDescent="0.2">
      <c r="A3899" s="68">
        <v>40038</v>
      </c>
      <c r="B3899" s="69">
        <v>0.88177000000000005</v>
      </c>
    </row>
    <row r="3900" spans="1:2" x14ac:dyDescent="0.2">
      <c r="A3900" s="68">
        <v>40037</v>
      </c>
      <c r="B3900" s="69">
        <v>0.88188999999999995</v>
      </c>
    </row>
    <row r="3901" spans="1:2" x14ac:dyDescent="0.2">
      <c r="A3901" s="68">
        <v>40036</v>
      </c>
      <c r="B3901" s="69">
        <v>0.88192999999999999</v>
      </c>
    </row>
    <row r="3902" spans="1:2" x14ac:dyDescent="0.2">
      <c r="A3902" s="68">
        <v>40035</v>
      </c>
      <c r="B3902" s="69">
        <v>0.88183</v>
      </c>
    </row>
    <row r="3903" spans="1:2" x14ac:dyDescent="0.2">
      <c r="A3903" s="68">
        <v>40032</v>
      </c>
      <c r="B3903" s="69">
        <v>0.88146000000000002</v>
      </c>
    </row>
    <row r="3904" spans="1:2" x14ac:dyDescent="0.2">
      <c r="A3904" s="68">
        <v>40031</v>
      </c>
      <c r="B3904" s="69">
        <v>0.88134000000000001</v>
      </c>
    </row>
    <row r="3905" spans="1:2" x14ac:dyDescent="0.2">
      <c r="A3905" s="68">
        <v>40030</v>
      </c>
      <c r="B3905" s="69">
        <v>0.88136000000000003</v>
      </c>
    </row>
    <row r="3906" spans="1:2" x14ac:dyDescent="0.2">
      <c r="A3906" s="68">
        <v>40029</v>
      </c>
      <c r="B3906" s="69">
        <v>0.88131999999999999</v>
      </c>
    </row>
    <row r="3907" spans="1:2" x14ac:dyDescent="0.2">
      <c r="A3907" s="68">
        <v>40028</v>
      </c>
      <c r="B3907" s="69">
        <v>0.88141000000000003</v>
      </c>
    </row>
    <row r="3908" spans="1:2" x14ac:dyDescent="0.2">
      <c r="A3908" s="68">
        <v>40025</v>
      </c>
      <c r="B3908" s="69">
        <v>0.88158000000000003</v>
      </c>
    </row>
    <row r="3909" spans="1:2" x14ac:dyDescent="0.2">
      <c r="A3909" s="68">
        <v>40024</v>
      </c>
      <c r="B3909" s="69">
        <v>0.88173999999999997</v>
      </c>
    </row>
    <row r="3910" spans="1:2" x14ac:dyDescent="0.2">
      <c r="A3910" s="68">
        <v>40023</v>
      </c>
      <c r="B3910" s="69">
        <v>0.88146999999999998</v>
      </c>
    </row>
    <row r="3911" spans="1:2" x14ac:dyDescent="0.2">
      <c r="A3911" s="68">
        <v>40022</v>
      </c>
      <c r="B3911" s="69">
        <v>0.88139999999999996</v>
      </c>
    </row>
    <row r="3912" spans="1:2" x14ac:dyDescent="0.2">
      <c r="A3912" s="68">
        <v>40021</v>
      </c>
      <c r="B3912" s="69">
        <v>0.88148000000000004</v>
      </c>
    </row>
    <row r="3913" spans="1:2" x14ac:dyDescent="0.2">
      <c r="A3913" s="68">
        <v>40018</v>
      </c>
      <c r="B3913" s="69">
        <v>0.88151999999999997</v>
      </c>
    </row>
    <row r="3914" spans="1:2" x14ac:dyDescent="0.2">
      <c r="A3914" s="68">
        <v>40017</v>
      </c>
      <c r="B3914" s="69">
        <v>0.88138000000000005</v>
      </c>
    </row>
    <row r="3915" spans="1:2" x14ac:dyDescent="0.2">
      <c r="A3915" s="68">
        <v>40016</v>
      </c>
      <c r="B3915" s="69">
        <v>0.88139999999999996</v>
      </c>
    </row>
    <row r="3916" spans="1:2" x14ac:dyDescent="0.2">
      <c r="A3916" s="68">
        <v>40015</v>
      </c>
      <c r="B3916" s="69">
        <v>0.88141999999999998</v>
      </c>
    </row>
    <row r="3917" spans="1:2" x14ac:dyDescent="0.2">
      <c r="A3917" s="68">
        <v>40014</v>
      </c>
      <c r="B3917" s="69">
        <v>0.88153999999999999</v>
      </c>
    </row>
    <row r="3918" spans="1:2" x14ac:dyDescent="0.2">
      <c r="A3918" s="68">
        <v>40011</v>
      </c>
      <c r="B3918" s="69">
        <v>0.88141000000000003</v>
      </c>
    </row>
    <row r="3919" spans="1:2" x14ac:dyDescent="0.2">
      <c r="A3919" s="68">
        <v>40010</v>
      </c>
      <c r="B3919" s="69">
        <v>0.88146000000000002</v>
      </c>
    </row>
    <row r="3920" spans="1:2" x14ac:dyDescent="0.2">
      <c r="A3920" s="68">
        <v>40009</v>
      </c>
      <c r="B3920" s="69">
        <v>0.88161999999999996</v>
      </c>
    </row>
    <row r="3921" spans="1:2" x14ac:dyDescent="0.2">
      <c r="A3921" s="68">
        <v>40008</v>
      </c>
      <c r="B3921" s="69">
        <v>0.88166</v>
      </c>
    </row>
    <row r="3922" spans="1:2" x14ac:dyDescent="0.2">
      <c r="A3922" s="68">
        <v>40007</v>
      </c>
      <c r="B3922" s="69">
        <v>0.88149999999999995</v>
      </c>
    </row>
    <row r="3923" spans="1:2" x14ac:dyDescent="0.2">
      <c r="A3923" s="68">
        <v>40004</v>
      </c>
      <c r="B3923" s="69">
        <v>0.88141000000000003</v>
      </c>
    </row>
    <row r="3924" spans="1:2" x14ac:dyDescent="0.2">
      <c r="A3924" s="68">
        <v>40003</v>
      </c>
      <c r="B3924" s="69">
        <v>0.88153999999999999</v>
      </c>
    </row>
    <row r="3925" spans="1:2" x14ac:dyDescent="0.2">
      <c r="A3925" s="68">
        <v>40002</v>
      </c>
      <c r="B3925" s="69">
        <v>0.88173999999999997</v>
      </c>
    </row>
    <row r="3926" spans="1:2" x14ac:dyDescent="0.2">
      <c r="A3926" s="68">
        <v>40001</v>
      </c>
      <c r="B3926" s="69">
        <v>0.88161</v>
      </c>
    </row>
    <row r="3927" spans="1:2" x14ac:dyDescent="0.2">
      <c r="A3927" s="68">
        <v>40000</v>
      </c>
      <c r="B3927" s="69">
        <v>0.88163999999999998</v>
      </c>
    </row>
    <row r="3928" spans="1:2" x14ac:dyDescent="0.2">
      <c r="A3928" s="68">
        <v>39997</v>
      </c>
      <c r="B3928" s="69">
        <v>0.88168999999999997</v>
      </c>
    </row>
    <row r="3929" spans="1:2" x14ac:dyDescent="0.2">
      <c r="A3929" s="68">
        <v>39996</v>
      </c>
      <c r="B3929" s="69">
        <v>0.88138000000000005</v>
      </c>
    </row>
    <row r="3930" spans="1:2" x14ac:dyDescent="0.2">
      <c r="A3930" s="68">
        <v>39995</v>
      </c>
      <c r="B3930" s="69">
        <v>0.88160000000000005</v>
      </c>
    </row>
    <row r="3931" spans="1:2" x14ac:dyDescent="0.2">
      <c r="A3931" s="68">
        <v>39994</v>
      </c>
      <c r="B3931" s="69">
        <v>0.88153000000000004</v>
      </c>
    </row>
    <row r="3932" spans="1:2" x14ac:dyDescent="0.2">
      <c r="A3932" s="68">
        <v>39993</v>
      </c>
      <c r="B3932" s="69">
        <v>0.88149</v>
      </c>
    </row>
    <row r="3933" spans="1:2" x14ac:dyDescent="0.2">
      <c r="A3933" s="68">
        <v>39990</v>
      </c>
      <c r="B3933" s="69">
        <v>0.88163999999999998</v>
      </c>
    </row>
    <row r="3934" spans="1:2" x14ac:dyDescent="0.2">
      <c r="A3934" s="68">
        <v>39989</v>
      </c>
      <c r="B3934" s="69">
        <v>0.88166999999999995</v>
      </c>
    </row>
    <row r="3935" spans="1:2" x14ac:dyDescent="0.2">
      <c r="A3935" s="68">
        <v>39988</v>
      </c>
      <c r="B3935" s="69">
        <v>0.88146999999999998</v>
      </c>
    </row>
    <row r="3936" spans="1:2" x14ac:dyDescent="0.2">
      <c r="A3936" s="68">
        <v>39987</v>
      </c>
      <c r="B3936" s="69">
        <v>0.88170999999999999</v>
      </c>
    </row>
    <row r="3937" spans="1:2" x14ac:dyDescent="0.2">
      <c r="A3937" s="68">
        <v>39986</v>
      </c>
      <c r="B3937" s="69">
        <v>0.88161999999999996</v>
      </c>
    </row>
    <row r="3938" spans="1:2" x14ac:dyDescent="0.2">
      <c r="A3938" s="68">
        <v>39983</v>
      </c>
      <c r="B3938" s="69">
        <v>0.88173999999999997</v>
      </c>
    </row>
    <row r="3939" spans="1:2" x14ac:dyDescent="0.2">
      <c r="A3939" s="68">
        <v>39982</v>
      </c>
      <c r="B3939" s="69">
        <v>0.88153000000000004</v>
      </c>
    </row>
    <row r="3940" spans="1:2" x14ac:dyDescent="0.2">
      <c r="A3940" s="68">
        <v>39981</v>
      </c>
      <c r="B3940" s="69">
        <v>0.88178999999999996</v>
      </c>
    </row>
    <row r="3941" spans="1:2" x14ac:dyDescent="0.2">
      <c r="A3941" s="68">
        <v>39980</v>
      </c>
      <c r="B3941" s="69">
        <v>0.88209000000000004</v>
      </c>
    </row>
    <row r="3942" spans="1:2" x14ac:dyDescent="0.2">
      <c r="A3942" s="68">
        <v>39979</v>
      </c>
      <c r="B3942" s="69">
        <v>0.88182000000000005</v>
      </c>
    </row>
    <row r="3943" spans="1:2" x14ac:dyDescent="0.2">
      <c r="A3943" s="68">
        <v>39976</v>
      </c>
      <c r="B3943" s="69">
        <v>0.88149999999999995</v>
      </c>
    </row>
    <row r="3944" spans="1:2" x14ac:dyDescent="0.2">
      <c r="A3944" s="68">
        <v>39975</v>
      </c>
      <c r="B3944" s="69">
        <v>0.88173000000000001</v>
      </c>
    </row>
    <row r="3945" spans="1:2" x14ac:dyDescent="0.2">
      <c r="A3945" s="68">
        <v>39974</v>
      </c>
      <c r="B3945" s="69">
        <v>0.88156000000000001</v>
      </c>
    </row>
    <row r="3946" spans="1:2" x14ac:dyDescent="0.2">
      <c r="A3946" s="68">
        <v>39973</v>
      </c>
      <c r="B3946" s="69">
        <v>0.88185999999999998</v>
      </c>
    </row>
    <row r="3947" spans="1:2" x14ac:dyDescent="0.2">
      <c r="A3947" s="68">
        <v>39972</v>
      </c>
      <c r="B3947" s="69">
        <v>0.88187000000000004</v>
      </c>
    </row>
    <row r="3948" spans="1:2" x14ac:dyDescent="0.2">
      <c r="A3948" s="68">
        <v>39969</v>
      </c>
      <c r="B3948" s="69">
        <v>0.88153999999999999</v>
      </c>
    </row>
    <row r="3949" spans="1:2" x14ac:dyDescent="0.2">
      <c r="A3949" s="68">
        <v>39968</v>
      </c>
      <c r="B3949" s="69">
        <v>0.88139999999999996</v>
      </c>
    </row>
    <row r="3950" spans="1:2" x14ac:dyDescent="0.2">
      <c r="A3950" s="68">
        <v>39967</v>
      </c>
      <c r="B3950" s="69">
        <v>0.88110999999999995</v>
      </c>
    </row>
    <row r="3951" spans="1:2" x14ac:dyDescent="0.2">
      <c r="A3951" s="68">
        <v>39966</v>
      </c>
      <c r="B3951" s="69">
        <v>0.88124000000000002</v>
      </c>
    </row>
    <row r="3952" spans="1:2" x14ac:dyDescent="0.2">
      <c r="A3952" s="68">
        <v>39965</v>
      </c>
      <c r="B3952" s="69">
        <v>0.88134999999999997</v>
      </c>
    </row>
    <row r="3953" spans="1:2" x14ac:dyDescent="0.2">
      <c r="A3953" s="68">
        <v>39960</v>
      </c>
      <c r="B3953" s="69">
        <v>0.88129999999999997</v>
      </c>
    </row>
    <row r="3954" spans="1:2" x14ac:dyDescent="0.2">
      <c r="A3954" s="68">
        <v>39959</v>
      </c>
      <c r="B3954" s="69">
        <v>0.88095999999999997</v>
      </c>
    </row>
    <row r="3955" spans="1:2" x14ac:dyDescent="0.2">
      <c r="A3955" s="68">
        <v>39958</v>
      </c>
      <c r="B3955" s="69">
        <v>0.88022999999999996</v>
      </c>
    </row>
    <row r="3956" spans="1:2" x14ac:dyDescent="0.2">
      <c r="A3956" s="68">
        <v>39955</v>
      </c>
      <c r="B3956" s="69">
        <v>0.88024000000000002</v>
      </c>
    </row>
    <row r="3957" spans="1:2" x14ac:dyDescent="0.2">
      <c r="A3957" s="68">
        <v>39954</v>
      </c>
      <c r="B3957" s="69">
        <v>0.88032999999999995</v>
      </c>
    </row>
    <row r="3958" spans="1:2" x14ac:dyDescent="0.2">
      <c r="A3958" s="68">
        <v>39953</v>
      </c>
      <c r="B3958" s="69">
        <v>0.88046000000000002</v>
      </c>
    </row>
    <row r="3959" spans="1:2" x14ac:dyDescent="0.2">
      <c r="A3959" s="68">
        <v>39952</v>
      </c>
      <c r="B3959" s="69">
        <v>0.88044</v>
      </c>
    </row>
    <row r="3960" spans="1:2" x14ac:dyDescent="0.2">
      <c r="A3960" s="68">
        <v>39951</v>
      </c>
      <c r="B3960" s="69">
        <v>0.88073000000000001</v>
      </c>
    </row>
    <row r="3961" spans="1:2" x14ac:dyDescent="0.2">
      <c r="A3961" s="68">
        <v>39948</v>
      </c>
      <c r="B3961" s="69">
        <v>0.88058000000000003</v>
      </c>
    </row>
    <row r="3962" spans="1:2" x14ac:dyDescent="0.2">
      <c r="A3962" s="68">
        <v>39947</v>
      </c>
      <c r="B3962" s="69">
        <v>0.88058999999999998</v>
      </c>
    </row>
    <row r="3963" spans="1:2" x14ac:dyDescent="0.2">
      <c r="A3963" s="68">
        <v>39946</v>
      </c>
      <c r="B3963" s="69">
        <v>0.88043000000000005</v>
      </c>
    </row>
    <row r="3964" spans="1:2" x14ac:dyDescent="0.2">
      <c r="A3964" s="68">
        <v>39945</v>
      </c>
      <c r="B3964" s="69">
        <v>0.88051999999999997</v>
      </c>
    </row>
    <row r="3965" spans="1:2" x14ac:dyDescent="0.2">
      <c r="A3965" s="68">
        <v>39944</v>
      </c>
      <c r="B3965" s="69">
        <v>0.88024999999999998</v>
      </c>
    </row>
    <row r="3966" spans="1:2" x14ac:dyDescent="0.2">
      <c r="A3966" s="68">
        <v>39941</v>
      </c>
      <c r="B3966" s="69">
        <v>0.88024999999999998</v>
      </c>
    </row>
    <row r="3967" spans="1:2" x14ac:dyDescent="0.2">
      <c r="A3967" s="68">
        <v>39940</v>
      </c>
      <c r="B3967" s="69">
        <v>0.88036999999999999</v>
      </c>
    </row>
    <row r="3968" spans="1:2" x14ac:dyDescent="0.2">
      <c r="A3968" s="68">
        <v>39939</v>
      </c>
      <c r="B3968" s="69">
        <v>0.88038000000000005</v>
      </c>
    </row>
    <row r="3969" spans="1:2" x14ac:dyDescent="0.2">
      <c r="A3969" s="68">
        <v>39938</v>
      </c>
      <c r="B3969" s="69">
        <v>0.88</v>
      </c>
    </row>
    <row r="3970" spans="1:2" x14ac:dyDescent="0.2">
      <c r="A3970" s="68">
        <v>39937</v>
      </c>
      <c r="B3970" s="69">
        <v>0.88029999999999997</v>
      </c>
    </row>
    <row r="3971" spans="1:2" x14ac:dyDescent="0.2">
      <c r="A3971" s="68">
        <v>39933</v>
      </c>
      <c r="B3971" s="69">
        <v>0.88061</v>
      </c>
    </row>
    <row r="3972" spans="1:2" x14ac:dyDescent="0.2">
      <c r="A3972" s="68">
        <v>39932</v>
      </c>
      <c r="B3972" s="69">
        <v>0.88077000000000005</v>
      </c>
    </row>
    <row r="3973" spans="1:2" x14ac:dyDescent="0.2">
      <c r="A3973" s="68">
        <v>39931</v>
      </c>
      <c r="B3973" s="69">
        <v>0.88093999999999995</v>
      </c>
    </row>
    <row r="3974" spans="1:2" x14ac:dyDescent="0.2">
      <c r="A3974" s="68">
        <v>39930</v>
      </c>
      <c r="B3974" s="69">
        <v>0.88065000000000004</v>
      </c>
    </row>
    <row r="3975" spans="1:2" x14ac:dyDescent="0.2">
      <c r="A3975" s="68">
        <v>39927</v>
      </c>
      <c r="B3975" s="69">
        <v>0.88092999999999999</v>
      </c>
    </row>
    <row r="3976" spans="1:2" x14ac:dyDescent="0.2">
      <c r="A3976" s="68">
        <v>39926</v>
      </c>
      <c r="B3976" s="69">
        <v>0.88119999999999998</v>
      </c>
    </row>
    <row r="3977" spans="1:2" x14ac:dyDescent="0.2">
      <c r="A3977" s="68">
        <v>39925</v>
      </c>
      <c r="B3977" s="69">
        <v>0.88134000000000001</v>
      </c>
    </row>
    <row r="3978" spans="1:2" x14ac:dyDescent="0.2">
      <c r="A3978" s="68">
        <v>39924</v>
      </c>
      <c r="B3978" s="69">
        <v>0.88180000000000003</v>
      </c>
    </row>
    <row r="3979" spans="1:2" x14ac:dyDescent="0.2">
      <c r="A3979" s="68">
        <v>39923</v>
      </c>
      <c r="B3979" s="69">
        <v>0.88166</v>
      </c>
    </row>
    <row r="3980" spans="1:2" x14ac:dyDescent="0.2">
      <c r="A3980" s="68">
        <v>39920</v>
      </c>
      <c r="B3980" s="69">
        <v>0.88139999999999996</v>
      </c>
    </row>
    <row r="3981" spans="1:2" x14ac:dyDescent="0.2">
      <c r="A3981" s="68">
        <v>39919</v>
      </c>
      <c r="B3981" s="69">
        <v>0.88127999999999995</v>
      </c>
    </row>
    <row r="3982" spans="1:2" x14ac:dyDescent="0.2">
      <c r="A3982" s="68">
        <v>39918</v>
      </c>
      <c r="B3982" s="69">
        <v>0.88117000000000001</v>
      </c>
    </row>
    <row r="3983" spans="1:2" x14ac:dyDescent="0.2">
      <c r="A3983" s="68">
        <v>39917</v>
      </c>
      <c r="B3983" s="69">
        <v>0.88116000000000005</v>
      </c>
    </row>
    <row r="3984" spans="1:2" x14ac:dyDescent="0.2">
      <c r="A3984" s="68">
        <v>39916</v>
      </c>
      <c r="B3984" s="69">
        <v>0.88161999999999996</v>
      </c>
    </row>
    <row r="3985" spans="1:2" x14ac:dyDescent="0.2">
      <c r="A3985" s="68">
        <v>39913</v>
      </c>
      <c r="B3985" s="69">
        <v>0.88185999999999998</v>
      </c>
    </row>
    <row r="3986" spans="1:2" x14ac:dyDescent="0.2">
      <c r="A3986" s="68">
        <v>39912</v>
      </c>
      <c r="B3986" s="69">
        <v>0.88199000000000005</v>
      </c>
    </row>
    <row r="3987" spans="1:2" x14ac:dyDescent="0.2">
      <c r="A3987" s="68">
        <v>39911</v>
      </c>
      <c r="B3987" s="69">
        <v>0.88210999999999995</v>
      </c>
    </row>
    <row r="3988" spans="1:2" x14ac:dyDescent="0.2">
      <c r="A3988" s="68">
        <v>39910</v>
      </c>
      <c r="B3988" s="69">
        <v>0.88170000000000004</v>
      </c>
    </row>
    <row r="3989" spans="1:2" x14ac:dyDescent="0.2">
      <c r="A3989" s="68">
        <v>39906</v>
      </c>
      <c r="B3989" s="69">
        <v>0.88151999999999997</v>
      </c>
    </row>
    <row r="3990" spans="1:2" x14ac:dyDescent="0.2">
      <c r="A3990" s="68">
        <v>39905</v>
      </c>
      <c r="B3990" s="69">
        <v>0.88178999999999996</v>
      </c>
    </row>
    <row r="3991" spans="1:2" x14ac:dyDescent="0.2">
      <c r="A3991" s="68">
        <v>39904</v>
      </c>
      <c r="B3991" s="69">
        <v>0.88183999999999996</v>
      </c>
    </row>
    <row r="3992" spans="1:2" x14ac:dyDescent="0.2">
      <c r="A3992" s="68">
        <v>39903</v>
      </c>
      <c r="B3992" s="69">
        <v>0.88202999999999998</v>
      </c>
    </row>
    <row r="3993" spans="1:2" x14ac:dyDescent="0.2">
      <c r="A3993" s="68">
        <v>39902</v>
      </c>
      <c r="B3993" s="69">
        <v>0.88178999999999996</v>
      </c>
    </row>
    <row r="3994" spans="1:2" x14ac:dyDescent="0.2">
      <c r="A3994" s="68">
        <v>39899</v>
      </c>
      <c r="B3994" s="69">
        <v>0.88149999999999995</v>
      </c>
    </row>
    <row r="3995" spans="1:2" x14ac:dyDescent="0.2">
      <c r="A3995" s="68">
        <v>39898</v>
      </c>
      <c r="B3995" s="69">
        <v>0.88154999999999994</v>
      </c>
    </row>
    <row r="3996" spans="1:2" x14ac:dyDescent="0.2">
      <c r="A3996" s="68">
        <v>39897</v>
      </c>
      <c r="B3996" s="69">
        <v>0.88163000000000002</v>
      </c>
    </row>
    <row r="3997" spans="1:2" x14ac:dyDescent="0.2">
      <c r="A3997" s="68">
        <v>39896</v>
      </c>
      <c r="B3997" s="69">
        <v>0.88127999999999995</v>
      </c>
    </row>
    <row r="3998" spans="1:2" x14ac:dyDescent="0.2">
      <c r="A3998" s="68">
        <v>39895</v>
      </c>
      <c r="B3998" s="69">
        <v>0.88131999999999999</v>
      </c>
    </row>
    <row r="3999" spans="1:2" x14ac:dyDescent="0.2">
      <c r="A3999" s="68">
        <v>39892</v>
      </c>
      <c r="B3999" s="69">
        <v>0.88102000000000003</v>
      </c>
    </row>
    <row r="4000" spans="1:2" x14ac:dyDescent="0.2">
      <c r="A4000" s="68">
        <v>39891</v>
      </c>
      <c r="B4000" s="69">
        <v>0.88107000000000002</v>
      </c>
    </row>
    <row r="4001" spans="1:2" x14ac:dyDescent="0.2">
      <c r="A4001" s="68">
        <v>39890</v>
      </c>
      <c r="B4001" s="69">
        <v>0.88126000000000004</v>
      </c>
    </row>
    <row r="4002" spans="1:2" x14ac:dyDescent="0.2">
      <c r="A4002" s="68">
        <v>39889</v>
      </c>
      <c r="B4002" s="69">
        <v>0.88134000000000001</v>
      </c>
    </row>
    <row r="4003" spans="1:2" x14ac:dyDescent="0.2">
      <c r="A4003" s="68">
        <v>39888</v>
      </c>
      <c r="B4003" s="69">
        <v>0.88161</v>
      </c>
    </row>
    <row r="4004" spans="1:2" x14ac:dyDescent="0.2">
      <c r="A4004" s="68">
        <v>39885</v>
      </c>
      <c r="B4004" s="69">
        <v>0.88127999999999995</v>
      </c>
    </row>
    <row r="4005" spans="1:2" x14ac:dyDescent="0.2">
      <c r="A4005" s="68">
        <v>39884</v>
      </c>
      <c r="B4005" s="69">
        <v>0.88116000000000005</v>
      </c>
    </row>
    <row r="4006" spans="1:2" x14ac:dyDescent="0.2">
      <c r="A4006" s="68">
        <v>39883</v>
      </c>
      <c r="B4006" s="69">
        <v>0.88119000000000003</v>
      </c>
    </row>
    <row r="4007" spans="1:2" x14ac:dyDescent="0.2">
      <c r="A4007" s="68">
        <v>39882</v>
      </c>
      <c r="B4007" s="69">
        <v>0.88131999999999999</v>
      </c>
    </row>
    <row r="4008" spans="1:2" x14ac:dyDescent="0.2">
      <c r="A4008" s="68">
        <v>39881</v>
      </c>
      <c r="B4008" s="69">
        <v>0.88132999999999995</v>
      </c>
    </row>
    <row r="4009" spans="1:2" x14ac:dyDescent="0.2">
      <c r="A4009" s="68">
        <v>39878</v>
      </c>
      <c r="B4009" s="69">
        <v>0.88132999999999995</v>
      </c>
    </row>
    <row r="4010" spans="1:2" x14ac:dyDescent="0.2">
      <c r="A4010" s="68">
        <v>39877</v>
      </c>
      <c r="B4010" s="69">
        <v>0.88107999999999997</v>
      </c>
    </row>
    <row r="4011" spans="1:2" x14ac:dyDescent="0.2">
      <c r="A4011" s="68">
        <v>39876</v>
      </c>
      <c r="B4011" s="69">
        <v>0.88156999999999996</v>
      </c>
    </row>
    <row r="4012" spans="1:2" x14ac:dyDescent="0.2">
      <c r="A4012" s="68">
        <v>39875</v>
      </c>
      <c r="B4012" s="69">
        <v>0.88161</v>
      </c>
    </row>
    <row r="4013" spans="1:2" x14ac:dyDescent="0.2">
      <c r="A4013" s="68">
        <v>39874</v>
      </c>
      <c r="B4013" s="69">
        <v>0.88161</v>
      </c>
    </row>
    <row r="4014" spans="1:2" x14ac:dyDescent="0.2">
      <c r="A4014" s="68">
        <v>39871</v>
      </c>
      <c r="B4014" s="69">
        <v>0.88182000000000005</v>
      </c>
    </row>
    <row r="4015" spans="1:2" x14ac:dyDescent="0.2">
      <c r="A4015" s="68">
        <v>39870</v>
      </c>
      <c r="B4015" s="69">
        <v>0.88173000000000001</v>
      </c>
    </row>
    <row r="4016" spans="1:2" x14ac:dyDescent="0.2">
      <c r="A4016" s="68">
        <v>39869</v>
      </c>
      <c r="B4016" s="69">
        <v>0.88170999999999999</v>
      </c>
    </row>
    <row r="4017" spans="1:2" x14ac:dyDescent="0.2">
      <c r="A4017" s="68">
        <v>39868</v>
      </c>
      <c r="B4017" s="69">
        <v>0.88166999999999995</v>
      </c>
    </row>
    <row r="4018" spans="1:2" x14ac:dyDescent="0.2">
      <c r="A4018" s="68">
        <v>39867</v>
      </c>
      <c r="B4018" s="69">
        <v>0.88132999999999995</v>
      </c>
    </row>
    <row r="4019" spans="1:2" x14ac:dyDescent="0.2">
      <c r="A4019" s="68">
        <v>39864</v>
      </c>
      <c r="B4019" s="69">
        <v>0.88151000000000002</v>
      </c>
    </row>
    <row r="4020" spans="1:2" x14ac:dyDescent="0.2">
      <c r="A4020" s="68">
        <v>39863</v>
      </c>
      <c r="B4020" s="69">
        <v>0.88153999999999999</v>
      </c>
    </row>
    <row r="4021" spans="1:2" x14ac:dyDescent="0.2">
      <c r="A4021" s="68">
        <v>39862</v>
      </c>
      <c r="B4021" s="69">
        <v>0.88156000000000001</v>
      </c>
    </row>
    <row r="4022" spans="1:2" x14ac:dyDescent="0.2">
      <c r="A4022" s="68">
        <v>39861</v>
      </c>
      <c r="B4022" s="69">
        <v>0.88149</v>
      </c>
    </row>
    <row r="4023" spans="1:2" x14ac:dyDescent="0.2">
      <c r="A4023" s="68">
        <v>39860</v>
      </c>
      <c r="B4023" s="69">
        <v>0.88148000000000004</v>
      </c>
    </row>
    <row r="4024" spans="1:2" x14ac:dyDescent="0.2">
      <c r="A4024" s="68">
        <v>39857</v>
      </c>
      <c r="B4024" s="69">
        <v>0.88148000000000004</v>
      </c>
    </row>
    <row r="4025" spans="1:2" x14ac:dyDescent="0.2">
      <c r="A4025" s="68">
        <v>39856</v>
      </c>
      <c r="B4025" s="69">
        <v>0.88144999999999996</v>
      </c>
    </row>
    <row r="4026" spans="1:2" x14ac:dyDescent="0.2">
      <c r="A4026" s="68">
        <v>39855</v>
      </c>
      <c r="B4026" s="69">
        <v>0.88149999999999995</v>
      </c>
    </row>
    <row r="4027" spans="1:2" x14ac:dyDescent="0.2">
      <c r="A4027" s="68">
        <v>39854</v>
      </c>
      <c r="B4027" s="69">
        <v>0.88139000000000001</v>
      </c>
    </row>
    <row r="4028" spans="1:2" x14ac:dyDescent="0.2">
      <c r="A4028" s="68">
        <v>39853</v>
      </c>
      <c r="B4028" s="69">
        <v>0.88144</v>
      </c>
    </row>
    <row r="4029" spans="1:2" x14ac:dyDescent="0.2">
      <c r="A4029" s="68">
        <v>39850</v>
      </c>
      <c r="B4029" s="69">
        <v>0.88171999999999995</v>
      </c>
    </row>
    <row r="4030" spans="1:2" x14ac:dyDescent="0.2">
      <c r="A4030" s="68">
        <v>39849</v>
      </c>
      <c r="B4030" s="69">
        <v>0.88158000000000003</v>
      </c>
    </row>
    <row r="4031" spans="1:2" x14ac:dyDescent="0.2">
      <c r="A4031" s="68">
        <v>39848</v>
      </c>
      <c r="B4031" s="69">
        <v>0.88148000000000004</v>
      </c>
    </row>
    <row r="4032" spans="1:2" x14ac:dyDescent="0.2">
      <c r="A4032" s="68">
        <v>39847</v>
      </c>
      <c r="B4032" s="69">
        <v>0.88205</v>
      </c>
    </row>
    <row r="4033" spans="1:2" x14ac:dyDescent="0.2">
      <c r="A4033" s="68">
        <v>39846</v>
      </c>
      <c r="B4033" s="69">
        <v>0.88197000000000003</v>
      </c>
    </row>
    <row r="4034" spans="1:2" x14ac:dyDescent="0.2">
      <c r="A4034" s="68">
        <v>39836</v>
      </c>
      <c r="B4034" s="69">
        <v>0.88127</v>
      </c>
    </row>
    <row r="4035" spans="1:2" x14ac:dyDescent="0.2">
      <c r="A4035" s="68">
        <v>39835</v>
      </c>
      <c r="B4035" s="69">
        <v>0.88119999999999998</v>
      </c>
    </row>
    <row r="4036" spans="1:2" x14ac:dyDescent="0.2">
      <c r="A4036" s="68">
        <v>39834</v>
      </c>
      <c r="B4036" s="69">
        <v>0.88151999999999997</v>
      </c>
    </row>
    <row r="4037" spans="1:2" x14ac:dyDescent="0.2">
      <c r="A4037" s="68">
        <v>39833</v>
      </c>
      <c r="B4037" s="69">
        <v>0.88146999999999998</v>
      </c>
    </row>
    <row r="4038" spans="1:2" x14ac:dyDescent="0.2">
      <c r="A4038" s="68">
        <v>39832</v>
      </c>
      <c r="B4038" s="69">
        <v>0.88097999999999999</v>
      </c>
    </row>
    <row r="4039" spans="1:2" x14ac:dyDescent="0.2">
      <c r="A4039" s="68">
        <v>39829</v>
      </c>
      <c r="B4039" s="69">
        <v>0.88129999999999997</v>
      </c>
    </row>
    <row r="4040" spans="1:2" x14ac:dyDescent="0.2">
      <c r="A4040" s="68">
        <v>39828</v>
      </c>
      <c r="B4040" s="69">
        <v>0.88158000000000003</v>
      </c>
    </row>
    <row r="4041" spans="1:2" x14ac:dyDescent="0.2">
      <c r="A4041" s="68">
        <v>39827</v>
      </c>
      <c r="B4041" s="69">
        <v>0.88177000000000005</v>
      </c>
    </row>
    <row r="4042" spans="1:2" x14ac:dyDescent="0.2">
      <c r="A4042" s="68">
        <v>39826</v>
      </c>
      <c r="B4042" s="69">
        <v>0.88192999999999999</v>
      </c>
    </row>
    <row r="4043" spans="1:2" x14ac:dyDescent="0.2">
      <c r="A4043" s="68">
        <v>39825</v>
      </c>
      <c r="B4043" s="69">
        <v>0.88146000000000002</v>
      </c>
    </row>
    <row r="4044" spans="1:2" x14ac:dyDescent="0.2">
      <c r="A4044" s="68">
        <v>39822</v>
      </c>
      <c r="B4044" s="69">
        <v>0.88127</v>
      </c>
    </row>
    <row r="4045" spans="1:2" x14ac:dyDescent="0.2">
      <c r="A4045" s="68">
        <v>39821</v>
      </c>
      <c r="B4045" s="69">
        <v>0.88197000000000003</v>
      </c>
    </row>
    <row r="4046" spans="1:2" x14ac:dyDescent="0.2">
      <c r="A4046" s="68">
        <v>39820</v>
      </c>
      <c r="B4046" s="69">
        <v>0.88200999999999996</v>
      </c>
    </row>
    <row r="4047" spans="1:2" x14ac:dyDescent="0.2">
      <c r="A4047" s="68">
        <v>39819</v>
      </c>
      <c r="B4047" s="69">
        <v>0.88195999999999997</v>
      </c>
    </row>
    <row r="4048" spans="1:2" x14ac:dyDescent="0.2">
      <c r="A4048" s="68">
        <v>39818</v>
      </c>
      <c r="B4048" s="69">
        <v>0.88205</v>
      </c>
    </row>
    <row r="4049" spans="1:2" x14ac:dyDescent="0.2">
      <c r="A4049" s="68">
        <v>39813</v>
      </c>
      <c r="B4049" s="69">
        <v>0.88188999999999995</v>
      </c>
    </row>
    <row r="4050" spans="1:2" x14ac:dyDescent="0.2">
      <c r="A4050" s="68">
        <v>39812</v>
      </c>
      <c r="B4050" s="69">
        <v>0.88195000000000001</v>
      </c>
    </row>
    <row r="4051" spans="1:2" x14ac:dyDescent="0.2">
      <c r="A4051" s="68">
        <v>39811</v>
      </c>
      <c r="B4051" s="69">
        <v>0.88197000000000003</v>
      </c>
    </row>
    <row r="4052" spans="1:2" x14ac:dyDescent="0.2">
      <c r="A4052" s="68">
        <v>39808</v>
      </c>
      <c r="B4052" s="69">
        <v>0.88204000000000005</v>
      </c>
    </row>
    <row r="4053" spans="1:2" x14ac:dyDescent="0.2">
      <c r="A4053" s="68">
        <v>39807</v>
      </c>
      <c r="B4053" s="69">
        <v>0.88210999999999995</v>
      </c>
    </row>
    <row r="4054" spans="1:2" x14ac:dyDescent="0.2">
      <c r="A4054" s="68">
        <v>39806</v>
      </c>
      <c r="B4054" s="69">
        <v>0.88253000000000004</v>
      </c>
    </row>
    <row r="4055" spans="1:2" x14ac:dyDescent="0.2">
      <c r="A4055" s="68">
        <v>39805</v>
      </c>
      <c r="B4055" s="69">
        <v>0.88241000000000003</v>
      </c>
    </row>
    <row r="4056" spans="1:2" x14ac:dyDescent="0.2">
      <c r="A4056" s="68">
        <v>39804</v>
      </c>
      <c r="B4056" s="69">
        <v>0.88224999999999998</v>
      </c>
    </row>
    <row r="4057" spans="1:2" x14ac:dyDescent="0.2">
      <c r="A4057" s="68">
        <v>39801</v>
      </c>
      <c r="B4057" s="69">
        <v>0.88200999999999996</v>
      </c>
    </row>
    <row r="4058" spans="1:2" x14ac:dyDescent="0.2">
      <c r="A4058" s="68">
        <v>39800</v>
      </c>
      <c r="B4058" s="69">
        <v>0.88156999999999996</v>
      </c>
    </row>
    <row r="4059" spans="1:2" x14ac:dyDescent="0.2">
      <c r="A4059" s="68">
        <v>39799</v>
      </c>
      <c r="B4059" s="69">
        <v>0.88195000000000001</v>
      </c>
    </row>
    <row r="4060" spans="1:2" x14ac:dyDescent="0.2">
      <c r="A4060" s="68">
        <v>39798</v>
      </c>
      <c r="B4060" s="69">
        <v>0.88297999999999999</v>
      </c>
    </row>
    <row r="4061" spans="1:2" x14ac:dyDescent="0.2">
      <c r="A4061" s="68">
        <v>39797</v>
      </c>
      <c r="B4061" s="69">
        <v>0.8831</v>
      </c>
    </row>
    <row r="4062" spans="1:2" x14ac:dyDescent="0.2">
      <c r="A4062" s="68">
        <v>39794</v>
      </c>
      <c r="B4062" s="69">
        <v>0.88321000000000005</v>
      </c>
    </row>
    <row r="4063" spans="1:2" x14ac:dyDescent="0.2">
      <c r="A4063" s="68">
        <v>39793</v>
      </c>
      <c r="B4063" s="69">
        <v>0.88346999999999998</v>
      </c>
    </row>
    <row r="4064" spans="1:2" x14ac:dyDescent="0.2">
      <c r="A4064" s="68">
        <v>39792</v>
      </c>
      <c r="B4064" s="69">
        <v>0.88349</v>
      </c>
    </row>
    <row r="4065" spans="1:2" x14ac:dyDescent="0.2">
      <c r="A4065" s="68">
        <v>39791</v>
      </c>
      <c r="B4065" s="69">
        <v>0.88349999999999995</v>
      </c>
    </row>
    <row r="4066" spans="1:2" x14ac:dyDescent="0.2">
      <c r="A4066" s="68">
        <v>39790</v>
      </c>
      <c r="B4066" s="69">
        <v>0.88385999999999998</v>
      </c>
    </row>
    <row r="4067" spans="1:2" x14ac:dyDescent="0.2">
      <c r="A4067" s="68">
        <v>39787</v>
      </c>
      <c r="B4067" s="69">
        <v>0.88344999999999996</v>
      </c>
    </row>
    <row r="4068" spans="1:2" x14ac:dyDescent="0.2">
      <c r="A4068" s="68">
        <v>39786</v>
      </c>
      <c r="B4068" s="69">
        <v>0.88368999999999998</v>
      </c>
    </row>
    <row r="4069" spans="1:2" x14ac:dyDescent="0.2">
      <c r="A4069" s="68">
        <v>39785</v>
      </c>
      <c r="B4069" s="69">
        <v>0.88363999999999998</v>
      </c>
    </row>
    <row r="4070" spans="1:2" x14ac:dyDescent="0.2">
      <c r="A4070" s="68">
        <v>39784</v>
      </c>
      <c r="B4070" s="69">
        <v>0.88412999999999997</v>
      </c>
    </row>
    <row r="4071" spans="1:2" x14ac:dyDescent="0.2">
      <c r="A4071" s="68">
        <v>39783</v>
      </c>
      <c r="B4071" s="69">
        <v>0.88390000000000002</v>
      </c>
    </row>
    <row r="4072" spans="1:2" x14ac:dyDescent="0.2">
      <c r="A4072" s="68">
        <v>39780</v>
      </c>
      <c r="B4072" s="69">
        <v>0.88158999999999998</v>
      </c>
    </row>
    <row r="4073" spans="1:2" x14ac:dyDescent="0.2">
      <c r="A4073" s="68">
        <v>39779</v>
      </c>
      <c r="B4073" s="69">
        <v>0.88068999999999997</v>
      </c>
    </row>
    <row r="4074" spans="1:2" x14ac:dyDescent="0.2">
      <c r="A4074" s="68">
        <v>39778</v>
      </c>
      <c r="B4074" s="69">
        <v>0.88019000000000003</v>
      </c>
    </row>
    <row r="4075" spans="1:2" x14ac:dyDescent="0.2">
      <c r="A4075" s="68">
        <v>39777</v>
      </c>
      <c r="B4075" s="69">
        <v>0.88073999999999997</v>
      </c>
    </row>
    <row r="4076" spans="1:2" x14ac:dyDescent="0.2">
      <c r="A4076" s="68">
        <v>39776</v>
      </c>
      <c r="B4076" s="69">
        <v>0.88119000000000003</v>
      </c>
    </row>
    <row r="4077" spans="1:2" x14ac:dyDescent="0.2">
      <c r="A4077" s="68">
        <v>39773</v>
      </c>
      <c r="B4077" s="69">
        <v>0.88149999999999995</v>
      </c>
    </row>
    <row r="4078" spans="1:2" x14ac:dyDescent="0.2">
      <c r="A4078" s="68">
        <v>39772</v>
      </c>
      <c r="B4078" s="69">
        <v>0.88136000000000003</v>
      </c>
    </row>
    <row r="4079" spans="1:2" x14ac:dyDescent="0.2">
      <c r="A4079" s="68">
        <v>39771</v>
      </c>
      <c r="B4079" s="69">
        <v>0.88117999999999996</v>
      </c>
    </row>
    <row r="4080" spans="1:2" x14ac:dyDescent="0.2">
      <c r="A4080" s="68">
        <v>39770</v>
      </c>
      <c r="B4080" s="69">
        <v>0.88100000000000001</v>
      </c>
    </row>
    <row r="4081" spans="1:2" x14ac:dyDescent="0.2">
      <c r="A4081" s="68">
        <v>39769</v>
      </c>
      <c r="B4081" s="69">
        <v>0.88129000000000002</v>
      </c>
    </row>
    <row r="4082" spans="1:2" x14ac:dyDescent="0.2">
      <c r="A4082" s="68">
        <v>39766</v>
      </c>
      <c r="B4082" s="69">
        <v>0.88109000000000004</v>
      </c>
    </row>
    <row r="4083" spans="1:2" x14ac:dyDescent="0.2">
      <c r="A4083" s="68">
        <v>39765</v>
      </c>
      <c r="B4083" s="69">
        <v>0.88114999999999999</v>
      </c>
    </row>
    <row r="4084" spans="1:2" x14ac:dyDescent="0.2">
      <c r="A4084" s="68">
        <v>39764</v>
      </c>
      <c r="B4084" s="69">
        <v>0.88112999999999997</v>
      </c>
    </row>
    <row r="4085" spans="1:2" x14ac:dyDescent="0.2">
      <c r="A4085" s="68">
        <v>39763</v>
      </c>
      <c r="B4085" s="69">
        <v>0.88082000000000005</v>
      </c>
    </row>
    <row r="4086" spans="1:2" x14ac:dyDescent="0.2">
      <c r="A4086" s="68">
        <v>39762</v>
      </c>
      <c r="B4086" s="69">
        <v>0.88063999999999998</v>
      </c>
    </row>
    <row r="4087" spans="1:2" x14ac:dyDescent="0.2">
      <c r="A4087" s="68">
        <v>39759</v>
      </c>
      <c r="B4087" s="69">
        <v>0.88095000000000001</v>
      </c>
    </row>
    <row r="4088" spans="1:2" x14ac:dyDescent="0.2">
      <c r="A4088" s="68">
        <v>39758</v>
      </c>
      <c r="B4088" s="69">
        <v>0.88061</v>
      </c>
    </row>
    <row r="4089" spans="1:2" x14ac:dyDescent="0.2">
      <c r="A4089" s="68">
        <v>39757</v>
      </c>
      <c r="B4089" s="69">
        <v>0.88039000000000001</v>
      </c>
    </row>
    <row r="4090" spans="1:2" x14ac:dyDescent="0.2">
      <c r="A4090" s="68">
        <v>39756</v>
      </c>
      <c r="B4090" s="69">
        <v>0.88071999999999995</v>
      </c>
    </row>
    <row r="4091" spans="1:2" x14ac:dyDescent="0.2">
      <c r="A4091" s="68">
        <v>39755</v>
      </c>
      <c r="B4091" s="69">
        <v>0.88095000000000001</v>
      </c>
    </row>
    <row r="4092" spans="1:2" x14ac:dyDescent="0.2">
      <c r="A4092" s="68">
        <v>39752</v>
      </c>
      <c r="B4092" s="69">
        <v>0.88055000000000005</v>
      </c>
    </row>
    <row r="4093" spans="1:2" x14ac:dyDescent="0.2">
      <c r="A4093" s="68">
        <v>39751</v>
      </c>
      <c r="B4093" s="69">
        <v>0.88065000000000004</v>
      </c>
    </row>
    <row r="4094" spans="1:2" x14ac:dyDescent="0.2">
      <c r="A4094" s="68">
        <v>39750</v>
      </c>
      <c r="B4094" s="69">
        <v>0.88112000000000001</v>
      </c>
    </row>
    <row r="4095" spans="1:2" x14ac:dyDescent="0.2">
      <c r="A4095" s="68">
        <v>39749</v>
      </c>
      <c r="B4095" s="69">
        <v>0.88192999999999999</v>
      </c>
    </row>
    <row r="4096" spans="1:2" x14ac:dyDescent="0.2">
      <c r="A4096" s="68">
        <v>39748</v>
      </c>
      <c r="B4096" s="69">
        <v>0.88177000000000005</v>
      </c>
    </row>
    <row r="4097" spans="1:2" x14ac:dyDescent="0.2">
      <c r="A4097" s="68">
        <v>39745</v>
      </c>
      <c r="B4097" s="69">
        <v>0.88146999999999998</v>
      </c>
    </row>
    <row r="4098" spans="1:2" x14ac:dyDescent="0.2">
      <c r="A4098" s="68">
        <v>39744</v>
      </c>
      <c r="B4098" s="69">
        <v>0.88173000000000001</v>
      </c>
    </row>
    <row r="4099" spans="1:2" x14ac:dyDescent="0.2">
      <c r="A4099" s="68">
        <v>39743</v>
      </c>
      <c r="B4099" s="69">
        <v>0.88126000000000004</v>
      </c>
    </row>
    <row r="4100" spans="1:2" x14ac:dyDescent="0.2">
      <c r="A4100" s="68">
        <v>39742</v>
      </c>
      <c r="B4100" s="69">
        <v>0.88061999999999996</v>
      </c>
    </row>
    <row r="4101" spans="1:2" x14ac:dyDescent="0.2">
      <c r="A4101" s="68">
        <v>39741</v>
      </c>
      <c r="B4101" s="69">
        <v>0.88048000000000004</v>
      </c>
    </row>
    <row r="4102" spans="1:2" x14ac:dyDescent="0.2">
      <c r="A4102" s="68">
        <v>39738</v>
      </c>
      <c r="B4102" s="69">
        <v>0.88061999999999996</v>
      </c>
    </row>
    <row r="4103" spans="1:2" x14ac:dyDescent="0.2">
      <c r="A4103" s="68">
        <v>39737</v>
      </c>
      <c r="B4103" s="69">
        <v>0.88034999999999997</v>
      </c>
    </row>
    <row r="4104" spans="1:2" x14ac:dyDescent="0.2">
      <c r="A4104" s="68">
        <v>39736</v>
      </c>
      <c r="B4104" s="69">
        <v>0.87978999999999996</v>
      </c>
    </row>
    <row r="4105" spans="1:2" x14ac:dyDescent="0.2">
      <c r="A4105" s="68">
        <v>39735</v>
      </c>
      <c r="B4105" s="69">
        <v>0.87956999999999996</v>
      </c>
    </row>
    <row r="4106" spans="1:2" x14ac:dyDescent="0.2">
      <c r="A4106" s="68">
        <v>39734</v>
      </c>
      <c r="B4106" s="69">
        <v>0.87983</v>
      </c>
    </row>
    <row r="4107" spans="1:2" x14ac:dyDescent="0.2">
      <c r="A4107" s="68">
        <v>39731</v>
      </c>
      <c r="B4107" s="69">
        <v>0.88005999999999995</v>
      </c>
    </row>
    <row r="4108" spans="1:2" x14ac:dyDescent="0.2">
      <c r="A4108" s="68">
        <v>39730</v>
      </c>
      <c r="B4108" s="69">
        <v>0.87958999999999998</v>
      </c>
    </row>
    <row r="4109" spans="1:2" x14ac:dyDescent="0.2">
      <c r="A4109" s="68">
        <v>39729</v>
      </c>
      <c r="B4109" s="69">
        <v>0.87900999999999996</v>
      </c>
    </row>
    <row r="4110" spans="1:2" x14ac:dyDescent="0.2">
      <c r="A4110" s="68">
        <v>39728</v>
      </c>
      <c r="B4110" s="69">
        <v>0.87944999999999995</v>
      </c>
    </row>
    <row r="4111" spans="1:2" x14ac:dyDescent="0.2">
      <c r="A4111" s="68">
        <v>39727</v>
      </c>
      <c r="B4111" s="69">
        <v>0.87902999999999998</v>
      </c>
    </row>
    <row r="4112" spans="1:2" x14ac:dyDescent="0.2">
      <c r="A4112" s="68">
        <v>39717</v>
      </c>
      <c r="B4112" s="69">
        <v>0.87653999999999999</v>
      </c>
    </row>
    <row r="4113" spans="1:2" x14ac:dyDescent="0.2">
      <c r="A4113" s="68">
        <v>39716</v>
      </c>
      <c r="B4113" s="69">
        <v>0.87804000000000004</v>
      </c>
    </row>
    <row r="4114" spans="1:2" x14ac:dyDescent="0.2">
      <c r="A4114" s="68">
        <v>39715</v>
      </c>
      <c r="B4114" s="69">
        <v>0.87756000000000001</v>
      </c>
    </row>
    <row r="4115" spans="1:2" x14ac:dyDescent="0.2">
      <c r="A4115" s="68">
        <v>39714</v>
      </c>
      <c r="B4115" s="69">
        <v>0.87561999999999995</v>
      </c>
    </row>
    <row r="4116" spans="1:2" x14ac:dyDescent="0.2">
      <c r="A4116" s="68">
        <v>39713</v>
      </c>
      <c r="B4116" s="69">
        <v>0.87727999999999995</v>
      </c>
    </row>
    <row r="4117" spans="1:2" x14ac:dyDescent="0.2">
      <c r="A4117" s="68">
        <v>39710</v>
      </c>
      <c r="B4117" s="69">
        <v>0.87722999999999995</v>
      </c>
    </row>
    <row r="4118" spans="1:2" x14ac:dyDescent="0.2">
      <c r="A4118" s="68">
        <v>39709</v>
      </c>
      <c r="B4118" s="69">
        <v>0.87651999999999997</v>
      </c>
    </row>
    <row r="4119" spans="1:2" x14ac:dyDescent="0.2">
      <c r="A4119" s="68">
        <v>39708</v>
      </c>
      <c r="B4119" s="69">
        <v>0.87756000000000001</v>
      </c>
    </row>
    <row r="4120" spans="1:2" x14ac:dyDescent="0.2">
      <c r="A4120" s="68">
        <v>39707</v>
      </c>
      <c r="B4120" s="69">
        <v>0.87553000000000003</v>
      </c>
    </row>
    <row r="4121" spans="1:2" x14ac:dyDescent="0.2">
      <c r="A4121" s="68">
        <v>39703</v>
      </c>
      <c r="B4121" s="69">
        <v>0.87788999999999995</v>
      </c>
    </row>
    <row r="4122" spans="1:2" x14ac:dyDescent="0.2">
      <c r="A4122" s="68">
        <v>39702</v>
      </c>
      <c r="B4122" s="69">
        <v>0.87773000000000001</v>
      </c>
    </row>
    <row r="4123" spans="1:2" x14ac:dyDescent="0.2">
      <c r="A4123" s="68">
        <v>39701</v>
      </c>
      <c r="B4123" s="69">
        <v>0.87697999999999998</v>
      </c>
    </row>
    <row r="4124" spans="1:2" x14ac:dyDescent="0.2">
      <c r="A4124" s="68">
        <v>39700</v>
      </c>
      <c r="B4124" s="69">
        <v>0.87673000000000001</v>
      </c>
    </row>
    <row r="4125" spans="1:2" x14ac:dyDescent="0.2">
      <c r="A4125" s="68">
        <v>39699</v>
      </c>
      <c r="B4125" s="69">
        <v>0.87680999999999998</v>
      </c>
    </row>
    <row r="4126" spans="1:2" x14ac:dyDescent="0.2">
      <c r="A4126" s="68">
        <v>39696</v>
      </c>
      <c r="B4126" s="69">
        <v>0.87661</v>
      </c>
    </row>
    <row r="4127" spans="1:2" x14ac:dyDescent="0.2">
      <c r="A4127" s="68">
        <v>39695</v>
      </c>
      <c r="B4127" s="69">
        <v>0.87614999999999998</v>
      </c>
    </row>
    <row r="4128" spans="1:2" x14ac:dyDescent="0.2">
      <c r="A4128" s="68">
        <v>39694</v>
      </c>
      <c r="B4128" s="69">
        <v>0.87595000000000001</v>
      </c>
    </row>
    <row r="4129" spans="1:2" x14ac:dyDescent="0.2">
      <c r="A4129" s="68">
        <v>39693</v>
      </c>
      <c r="B4129" s="69">
        <v>0.87577000000000005</v>
      </c>
    </row>
    <row r="4130" spans="1:2" x14ac:dyDescent="0.2">
      <c r="A4130" s="68">
        <v>39692</v>
      </c>
      <c r="B4130" s="69">
        <v>0.87529000000000001</v>
      </c>
    </row>
    <row r="4131" spans="1:2" x14ac:dyDescent="0.2">
      <c r="A4131" s="68">
        <v>39689</v>
      </c>
      <c r="B4131" s="69">
        <v>0.87531999999999999</v>
      </c>
    </row>
    <row r="4132" spans="1:2" x14ac:dyDescent="0.2">
      <c r="A4132" s="68">
        <v>39688</v>
      </c>
      <c r="B4132" s="69">
        <v>0.87514000000000003</v>
      </c>
    </row>
    <row r="4133" spans="1:2" x14ac:dyDescent="0.2">
      <c r="A4133" s="68">
        <v>39687</v>
      </c>
      <c r="B4133" s="69">
        <v>0.87627999999999995</v>
      </c>
    </row>
    <row r="4134" spans="1:2" x14ac:dyDescent="0.2">
      <c r="A4134" s="68">
        <v>39686</v>
      </c>
      <c r="B4134" s="69">
        <v>0.87597999999999998</v>
      </c>
    </row>
    <row r="4135" spans="1:2" x14ac:dyDescent="0.2">
      <c r="A4135" s="68">
        <v>39685</v>
      </c>
      <c r="B4135" s="69">
        <v>0.87602000000000002</v>
      </c>
    </row>
    <row r="4136" spans="1:2" x14ac:dyDescent="0.2">
      <c r="A4136" s="68">
        <v>39682</v>
      </c>
      <c r="B4136" s="69">
        <v>0.87551999999999996</v>
      </c>
    </row>
    <row r="4137" spans="1:2" x14ac:dyDescent="0.2">
      <c r="A4137" s="68">
        <v>39681</v>
      </c>
      <c r="B4137" s="69">
        <v>0.87734000000000001</v>
      </c>
    </row>
    <row r="4138" spans="1:2" x14ac:dyDescent="0.2">
      <c r="A4138" s="68">
        <v>39680</v>
      </c>
      <c r="B4138" s="69">
        <v>0.87734000000000001</v>
      </c>
    </row>
    <row r="4139" spans="1:2" x14ac:dyDescent="0.2">
      <c r="A4139" s="68">
        <v>39679</v>
      </c>
      <c r="B4139" s="69">
        <v>0.87800999999999996</v>
      </c>
    </row>
    <row r="4140" spans="1:2" x14ac:dyDescent="0.2">
      <c r="A4140" s="68">
        <v>39678</v>
      </c>
      <c r="B4140" s="69">
        <v>0.87882000000000005</v>
      </c>
    </row>
    <row r="4141" spans="1:2" x14ac:dyDescent="0.2">
      <c r="A4141" s="68">
        <v>39675</v>
      </c>
      <c r="B4141" s="69">
        <v>0.87875000000000003</v>
      </c>
    </row>
    <row r="4142" spans="1:2" x14ac:dyDescent="0.2">
      <c r="A4142" s="68">
        <v>39674</v>
      </c>
      <c r="B4142" s="69">
        <v>0.87894000000000005</v>
      </c>
    </row>
    <row r="4143" spans="1:2" x14ac:dyDescent="0.2">
      <c r="A4143" s="68">
        <v>39673</v>
      </c>
      <c r="B4143" s="69">
        <v>0.87904000000000004</v>
      </c>
    </row>
    <row r="4144" spans="1:2" x14ac:dyDescent="0.2">
      <c r="A4144" s="68">
        <v>39672</v>
      </c>
      <c r="B4144" s="69">
        <v>0.87907999999999997</v>
      </c>
    </row>
    <row r="4145" spans="1:2" x14ac:dyDescent="0.2">
      <c r="A4145" s="68">
        <v>39671</v>
      </c>
      <c r="B4145" s="69">
        <v>0.87851999999999997</v>
      </c>
    </row>
    <row r="4146" spans="1:2" x14ac:dyDescent="0.2">
      <c r="A4146" s="68">
        <v>39668</v>
      </c>
      <c r="B4146" s="69">
        <v>0.87868000000000002</v>
      </c>
    </row>
    <row r="4147" spans="1:2" x14ac:dyDescent="0.2">
      <c r="A4147" s="68">
        <v>39667</v>
      </c>
      <c r="B4147" s="69">
        <v>0.87838000000000005</v>
      </c>
    </row>
    <row r="4148" spans="1:2" x14ac:dyDescent="0.2">
      <c r="A4148" s="68">
        <v>39666</v>
      </c>
      <c r="B4148" s="69">
        <v>0.87802000000000002</v>
      </c>
    </row>
    <row r="4149" spans="1:2" x14ac:dyDescent="0.2">
      <c r="A4149" s="68">
        <v>39665</v>
      </c>
      <c r="B4149" s="69">
        <v>0.87775999999999998</v>
      </c>
    </row>
    <row r="4150" spans="1:2" x14ac:dyDescent="0.2">
      <c r="A4150" s="68">
        <v>39664</v>
      </c>
      <c r="B4150" s="69">
        <v>0.87741000000000002</v>
      </c>
    </row>
    <row r="4151" spans="1:2" x14ac:dyDescent="0.2">
      <c r="A4151" s="68">
        <v>39661</v>
      </c>
      <c r="B4151" s="69">
        <v>0.87695000000000001</v>
      </c>
    </row>
    <row r="4152" spans="1:2" x14ac:dyDescent="0.2">
      <c r="A4152" s="68">
        <v>39660</v>
      </c>
      <c r="B4152" s="69">
        <v>0.87646999999999997</v>
      </c>
    </row>
    <row r="4153" spans="1:2" x14ac:dyDescent="0.2">
      <c r="A4153" s="68">
        <v>39659</v>
      </c>
      <c r="B4153" s="69">
        <v>0.87605</v>
      </c>
    </row>
    <row r="4154" spans="1:2" x14ac:dyDescent="0.2">
      <c r="A4154" s="68">
        <v>39658</v>
      </c>
      <c r="B4154" s="69">
        <v>0.87439</v>
      </c>
    </row>
    <row r="4155" spans="1:2" x14ac:dyDescent="0.2">
      <c r="A4155" s="68">
        <v>39657</v>
      </c>
      <c r="B4155" s="69">
        <v>0.87544999999999995</v>
      </c>
    </row>
    <row r="4156" spans="1:2" x14ac:dyDescent="0.2">
      <c r="A4156" s="68">
        <v>39654</v>
      </c>
      <c r="B4156" s="69">
        <v>0.87511000000000005</v>
      </c>
    </row>
    <row r="4157" spans="1:2" x14ac:dyDescent="0.2">
      <c r="A4157" s="68">
        <v>39653</v>
      </c>
      <c r="B4157" s="69">
        <v>0.87551999999999996</v>
      </c>
    </row>
    <row r="4158" spans="1:2" x14ac:dyDescent="0.2">
      <c r="A4158" s="68">
        <v>39652</v>
      </c>
      <c r="B4158" s="69">
        <v>0.87565999999999999</v>
      </c>
    </row>
    <row r="4159" spans="1:2" x14ac:dyDescent="0.2">
      <c r="A4159" s="68">
        <v>39651</v>
      </c>
      <c r="B4159" s="69">
        <v>0.87483999999999995</v>
      </c>
    </row>
    <row r="4160" spans="1:2" x14ac:dyDescent="0.2">
      <c r="A4160" s="68">
        <v>39650</v>
      </c>
      <c r="B4160" s="69">
        <v>0.87548999999999999</v>
      </c>
    </row>
    <row r="4161" spans="1:2" x14ac:dyDescent="0.2">
      <c r="A4161" s="68">
        <v>39647</v>
      </c>
      <c r="B4161" s="69">
        <v>0.87504999999999999</v>
      </c>
    </row>
    <row r="4162" spans="1:2" x14ac:dyDescent="0.2">
      <c r="A4162" s="68">
        <v>39646</v>
      </c>
      <c r="B4162" s="69">
        <v>0.87434000000000001</v>
      </c>
    </row>
    <row r="4163" spans="1:2" x14ac:dyDescent="0.2">
      <c r="A4163" s="68">
        <v>39645</v>
      </c>
      <c r="B4163" s="69">
        <v>0.87358000000000002</v>
      </c>
    </row>
    <row r="4164" spans="1:2" x14ac:dyDescent="0.2">
      <c r="A4164" s="68">
        <v>39644</v>
      </c>
      <c r="B4164" s="69">
        <v>0.87453000000000003</v>
      </c>
    </row>
    <row r="4165" spans="1:2" x14ac:dyDescent="0.2">
      <c r="A4165" s="68">
        <v>39643</v>
      </c>
      <c r="B4165" s="69">
        <v>0.87480000000000002</v>
      </c>
    </row>
    <row r="4166" spans="1:2" x14ac:dyDescent="0.2">
      <c r="A4166" s="68">
        <v>39640</v>
      </c>
      <c r="B4166" s="69">
        <v>0.87658999999999998</v>
      </c>
    </row>
    <row r="4167" spans="1:2" x14ac:dyDescent="0.2">
      <c r="A4167" s="68">
        <v>39639</v>
      </c>
      <c r="B4167" s="69">
        <v>0.87787000000000004</v>
      </c>
    </row>
    <row r="4168" spans="1:2" x14ac:dyDescent="0.2">
      <c r="A4168" s="68">
        <v>39638</v>
      </c>
      <c r="B4168" s="69">
        <v>0.87963999999999998</v>
      </c>
    </row>
    <row r="4169" spans="1:2" x14ac:dyDescent="0.2">
      <c r="A4169" s="68">
        <v>39637</v>
      </c>
      <c r="B4169" s="69">
        <v>0.87905</v>
      </c>
    </row>
    <row r="4170" spans="1:2" x14ac:dyDescent="0.2">
      <c r="A4170" s="68">
        <v>39636</v>
      </c>
      <c r="B4170" s="69">
        <v>0.87927999999999995</v>
      </c>
    </row>
    <row r="4171" spans="1:2" x14ac:dyDescent="0.2">
      <c r="A4171" s="68">
        <v>39633</v>
      </c>
      <c r="B4171" s="69">
        <v>0.88009000000000004</v>
      </c>
    </row>
    <row r="4172" spans="1:2" x14ac:dyDescent="0.2">
      <c r="A4172" s="68">
        <v>39632</v>
      </c>
      <c r="B4172" s="69">
        <v>0.87870999999999999</v>
      </c>
    </row>
    <row r="4173" spans="1:2" x14ac:dyDescent="0.2">
      <c r="A4173" s="68">
        <v>39631</v>
      </c>
      <c r="B4173" s="69">
        <v>0.87995000000000001</v>
      </c>
    </row>
    <row r="4174" spans="1:2" x14ac:dyDescent="0.2">
      <c r="A4174" s="68">
        <v>39630</v>
      </c>
      <c r="B4174" s="69">
        <v>0.87978000000000001</v>
      </c>
    </row>
    <row r="4175" spans="1:2" x14ac:dyDescent="0.2">
      <c r="A4175" s="68">
        <v>39629</v>
      </c>
      <c r="B4175" s="69">
        <v>0.87917000000000001</v>
      </c>
    </row>
    <row r="4176" spans="1:2" x14ac:dyDescent="0.2">
      <c r="A4176" s="68">
        <v>39626</v>
      </c>
      <c r="B4176" s="69">
        <v>0.87939999999999996</v>
      </c>
    </row>
    <row r="4177" spans="1:2" x14ac:dyDescent="0.2">
      <c r="A4177" s="68">
        <v>39625</v>
      </c>
      <c r="B4177" s="69">
        <v>0.87917000000000001</v>
      </c>
    </row>
    <row r="4178" spans="1:2" x14ac:dyDescent="0.2">
      <c r="A4178" s="68">
        <v>39624</v>
      </c>
      <c r="B4178" s="69">
        <v>0.87963999999999998</v>
      </c>
    </row>
    <row r="4179" spans="1:2" x14ac:dyDescent="0.2">
      <c r="A4179" s="68">
        <v>39623</v>
      </c>
      <c r="B4179" s="69">
        <v>0.88041000000000003</v>
      </c>
    </row>
    <row r="4180" spans="1:2" x14ac:dyDescent="0.2">
      <c r="A4180" s="68">
        <v>39622</v>
      </c>
      <c r="B4180" s="69">
        <v>0.87988999999999995</v>
      </c>
    </row>
    <row r="4181" spans="1:2" x14ac:dyDescent="0.2">
      <c r="A4181" s="68">
        <v>39619</v>
      </c>
      <c r="B4181" s="69">
        <v>0.88158999999999998</v>
      </c>
    </row>
    <row r="4182" spans="1:2" x14ac:dyDescent="0.2">
      <c r="A4182" s="68">
        <v>39618</v>
      </c>
      <c r="B4182" s="69">
        <v>0.88151000000000002</v>
      </c>
    </row>
    <row r="4183" spans="1:2" x14ac:dyDescent="0.2">
      <c r="A4183" s="68">
        <v>39617</v>
      </c>
      <c r="B4183" s="69">
        <v>0.88129999999999997</v>
      </c>
    </row>
    <row r="4184" spans="1:2" x14ac:dyDescent="0.2">
      <c r="A4184" s="68">
        <v>39616</v>
      </c>
      <c r="B4184" s="69">
        <v>0.88244999999999996</v>
      </c>
    </row>
    <row r="4185" spans="1:2" x14ac:dyDescent="0.2">
      <c r="A4185" s="68">
        <v>39615</v>
      </c>
      <c r="B4185" s="69">
        <v>0.88349</v>
      </c>
    </row>
    <row r="4186" spans="1:2" x14ac:dyDescent="0.2">
      <c r="A4186" s="68">
        <v>39612</v>
      </c>
      <c r="B4186" s="69">
        <v>0.88344</v>
      </c>
    </row>
    <row r="4187" spans="1:2" x14ac:dyDescent="0.2">
      <c r="A4187" s="68">
        <v>39611</v>
      </c>
      <c r="B4187" s="69">
        <v>0.88378000000000001</v>
      </c>
    </row>
    <row r="4188" spans="1:2" x14ac:dyDescent="0.2">
      <c r="A4188" s="68">
        <v>39610</v>
      </c>
      <c r="B4188" s="69">
        <v>0.88617000000000001</v>
      </c>
    </row>
    <row r="4189" spans="1:2" x14ac:dyDescent="0.2">
      <c r="A4189" s="68">
        <v>39609</v>
      </c>
      <c r="B4189" s="69">
        <v>0.88607000000000002</v>
      </c>
    </row>
    <row r="4190" spans="1:2" x14ac:dyDescent="0.2">
      <c r="A4190" s="68">
        <v>39605</v>
      </c>
      <c r="B4190" s="69">
        <v>0.88675999999999999</v>
      </c>
    </row>
    <row r="4191" spans="1:2" x14ac:dyDescent="0.2">
      <c r="A4191" s="68">
        <v>39604</v>
      </c>
      <c r="B4191" s="69">
        <v>0.88876999999999995</v>
      </c>
    </row>
    <row r="4192" spans="1:2" x14ac:dyDescent="0.2">
      <c r="A4192" s="68">
        <v>39603</v>
      </c>
      <c r="B4192" s="69">
        <v>0.88859999999999995</v>
      </c>
    </row>
    <row r="4193" spans="1:2" x14ac:dyDescent="0.2">
      <c r="A4193" s="68">
        <v>39602</v>
      </c>
      <c r="B4193" s="69">
        <v>0.88793</v>
      </c>
    </row>
    <row r="4194" spans="1:2" x14ac:dyDescent="0.2">
      <c r="A4194" s="68">
        <v>39601</v>
      </c>
      <c r="B4194" s="69">
        <v>0.88880999999999999</v>
      </c>
    </row>
    <row r="4195" spans="1:2" x14ac:dyDescent="0.2">
      <c r="A4195" s="68">
        <v>39598</v>
      </c>
      <c r="B4195" s="69">
        <v>0.89026000000000005</v>
      </c>
    </row>
    <row r="4196" spans="1:2" x14ac:dyDescent="0.2">
      <c r="A4196" s="68">
        <v>39597</v>
      </c>
      <c r="B4196" s="69">
        <v>0.88929000000000002</v>
      </c>
    </row>
    <row r="4197" spans="1:2" x14ac:dyDescent="0.2">
      <c r="A4197" s="68">
        <v>39596</v>
      </c>
      <c r="B4197" s="69">
        <v>0.88920999999999994</v>
      </c>
    </row>
    <row r="4198" spans="1:2" x14ac:dyDescent="0.2">
      <c r="A4198" s="68">
        <v>39595</v>
      </c>
      <c r="B4198" s="69">
        <v>0.88971</v>
      </c>
    </row>
    <row r="4199" spans="1:2" x14ac:dyDescent="0.2">
      <c r="A4199" s="68">
        <v>39594</v>
      </c>
      <c r="B4199" s="69">
        <v>0.88946999999999998</v>
      </c>
    </row>
    <row r="4200" spans="1:2" x14ac:dyDescent="0.2">
      <c r="A4200" s="68">
        <v>39591</v>
      </c>
      <c r="B4200" s="69">
        <v>0.89093999999999995</v>
      </c>
    </row>
    <row r="4201" spans="1:2" x14ac:dyDescent="0.2">
      <c r="A4201" s="68">
        <v>39590</v>
      </c>
      <c r="B4201" s="69">
        <v>0.89012999999999998</v>
      </c>
    </row>
    <row r="4202" spans="1:2" x14ac:dyDescent="0.2">
      <c r="A4202" s="68">
        <v>39589</v>
      </c>
      <c r="B4202" s="69">
        <v>0.89217999999999997</v>
      </c>
    </row>
    <row r="4203" spans="1:2" x14ac:dyDescent="0.2">
      <c r="A4203" s="68">
        <v>39588</v>
      </c>
      <c r="B4203" s="69">
        <v>0.89459999999999995</v>
      </c>
    </row>
    <row r="4204" spans="1:2" x14ac:dyDescent="0.2">
      <c r="A4204" s="68">
        <v>39587</v>
      </c>
      <c r="B4204" s="69">
        <v>0.89381999999999995</v>
      </c>
    </row>
    <row r="4205" spans="1:2" x14ac:dyDescent="0.2">
      <c r="A4205" s="68">
        <v>39584</v>
      </c>
      <c r="B4205" s="69">
        <v>0.89609000000000005</v>
      </c>
    </row>
    <row r="4206" spans="1:2" x14ac:dyDescent="0.2">
      <c r="A4206" s="68">
        <v>39583</v>
      </c>
      <c r="B4206" s="69">
        <v>0.89732999999999996</v>
      </c>
    </row>
    <row r="4207" spans="1:2" x14ac:dyDescent="0.2">
      <c r="A4207" s="68">
        <v>39582</v>
      </c>
      <c r="B4207" s="69">
        <v>0.89756999999999998</v>
      </c>
    </row>
    <row r="4208" spans="1:2" x14ac:dyDescent="0.2">
      <c r="A4208" s="68">
        <v>39581</v>
      </c>
      <c r="B4208" s="69">
        <v>0.89639999999999997</v>
      </c>
    </row>
    <row r="4209" spans="1:2" x14ac:dyDescent="0.2">
      <c r="A4209" s="68">
        <v>39580</v>
      </c>
      <c r="B4209" s="69">
        <v>0.89551000000000003</v>
      </c>
    </row>
    <row r="4210" spans="1:2" x14ac:dyDescent="0.2">
      <c r="A4210" s="68">
        <v>39577</v>
      </c>
      <c r="B4210" s="69">
        <v>0.89805000000000001</v>
      </c>
    </row>
    <row r="4211" spans="1:2" x14ac:dyDescent="0.2">
      <c r="A4211" s="68">
        <v>39576</v>
      </c>
      <c r="B4211" s="69">
        <v>0.89825999999999995</v>
      </c>
    </row>
    <row r="4212" spans="1:2" x14ac:dyDescent="0.2">
      <c r="A4212" s="68">
        <v>39575</v>
      </c>
      <c r="B4212" s="69">
        <v>0.89624000000000004</v>
      </c>
    </row>
    <row r="4213" spans="1:2" x14ac:dyDescent="0.2">
      <c r="A4213" s="68">
        <v>39574</v>
      </c>
      <c r="B4213" s="69">
        <v>0.89668000000000003</v>
      </c>
    </row>
    <row r="4214" spans="1:2" x14ac:dyDescent="0.2">
      <c r="A4214" s="68">
        <v>39573</v>
      </c>
      <c r="B4214" s="69">
        <v>0.89814000000000005</v>
      </c>
    </row>
    <row r="4215" spans="1:2" x14ac:dyDescent="0.2">
      <c r="A4215" s="68">
        <v>39568</v>
      </c>
      <c r="B4215" s="69">
        <v>0.89832999999999996</v>
      </c>
    </row>
    <row r="4216" spans="1:2" x14ac:dyDescent="0.2">
      <c r="A4216" s="68">
        <v>39567</v>
      </c>
      <c r="B4216" s="69">
        <v>0.89715999999999996</v>
      </c>
    </row>
    <row r="4217" spans="1:2" x14ac:dyDescent="0.2">
      <c r="A4217" s="68">
        <v>39566</v>
      </c>
      <c r="B4217" s="69">
        <v>0.89803999999999995</v>
      </c>
    </row>
    <row r="4218" spans="1:2" x14ac:dyDescent="0.2">
      <c r="A4218" s="68">
        <v>39563</v>
      </c>
      <c r="B4218" s="69">
        <v>0.89786999999999995</v>
      </c>
    </row>
    <row r="4219" spans="1:2" x14ac:dyDescent="0.2">
      <c r="A4219" s="68">
        <v>39562</v>
      </c>
      <c r="B4219" s="69">
        <v>0.89668999999999999</v>
      </c>
    </row>
    <row r="4220" spans="1:2" x14ac:dyDescent="0.2">
      <c r="A4220" s="68">
        <v>39561</v>
      </c>
      <c r="B4220" s="69">
        <v>0.89587000000000006</v>
      </c>
    </row>
    <row r="4221" spans="1:2" x14ac:dyDescent="0.2">
      <c r="A4221" s="68">
        <v>39560</v>
      </c>
      <c r="B4221" s="69">
        <v>0.89678000000000002</v>
      </c>
    </row>
    <row r="4222" spans="1:2" x14ac:dyDescent="0.2">
      <c r="A4222" s="68">
        <v>39559</v>
      </c>
      <c r="B4222" s="69">
        <v>0.89910999999999996</v>
      </c>
    </row>
    <row r="4223" spans="1:2" x14ac:dyDescent="0.2">
      <c r="A4223" s="68">
        <v>39556</v>
      </c>
      <c r="B4223" s="69">
        <v>0.89831000000000005</v>
      </c>
    </row>
    <row r="4224" spans="1:2" x14ac:dyDescent="0.2">
      <c r="A4224" s="68">
        <v>39555</v>
      </c>
      <c r="B4224" s="69">
        <v>0.89698</v>
      </c>
    </row>
    <row r="4225" spans="1:2" x14ac:dyDescent="0.2">
      <c r="A4225" s="68">
        <v>39554</v>
      </c>
      <c r="B4225" s="69">
        <v>0.89873999999999998</v>
      </c>
    </row>
    <row r="4226" spans="1:2" x14ac:dyDescent="0.2">
      <c r="A4226" s="68">
        <v>39553</v>
      </c>
      <c r="B4226" s="69">
        <v>0.89778000000000002</v>
      </c>
    </row>
    <row r="4227" spans="1:2" x14ac:dyDescent="0.2">
      <c r="A4227" s="68">
        <v>39552</v>
      </c>
      <c r="B4227" s="69">
        <v>0.89832000000000001</v>
      </c>
    </row>
    <row r="4228" spans="1:2" x14ac:dyDescent="0.2">
      <c r="A4228" s="68">
        <v>39549</v>
      </c>
      <c r="B4228" s="69">
        <v>0.89905999999999997</v>
      </c>
    </row>
    <row r="4229" spans="1:2" x14ac:dyDescent="0.2">
      <c r="A4229" s="68">
        <v>39548</v>
      </c>
      <c r="B4229" s="69">
        <v>0.89788000000000001</v>
      </c>
    </row>
    <row r="4230" spans="1:2" x14ac:dyDescent="0.2">
      <c r="A4230" s="68">
        <v>39547</v>
      </c>
      <c r="B4230" s="69">
        <v>0.89895999999999998</v>
      </c>
    </row>
    <row r="4231" spans="1:2" x14ac:dyDescent="0.2">
      <c r="A4231" s="68">
        <v>39546</v>
      </c>
      <c r="B4231" s="69">
        <v>0.89888000000000001</v>
      </c>
    </row>
    <row r="4232" spans="1:2" x14ac:dyDescent="0.2">
      <c r="A4232" s="68">
        <v>39545</v>
      </c>
      <c r="B4232" s="69">
        <v>0.89883999999999997</v>
      </c>
    </row>
    <row r="4233" spans="1:2" x14ac:dyDescent="0.2">
      <c r="A4233" s="68">
        <v>39541</v>
      </c>
      <c r="B4233" s="69">
        <v>0.90112999999999999</v>
      </c>
    </row>
    <row r="4234" spans="1:2" x14ac:dyDescent="0.2">
      <c r="A4234" s="68">
        <v>39540</v>
      </c>
      <c r="B4234" s="69">
        <v>0.90261999999999998</v>
      </c>
    </row>
    <row r="4235" spans="1:2" x14ac:dyDescent="0.2">
      <c r="A4235" s="68">
        <v>39539</v>
      </c>
      <c r="B4235" s="69">
        <v>0.90185000000000004</v>
      </c>
    </row>
    <row r="4236" spans="1:2" x14ac:dyDescent="0.2">
      <c r="A4236" s="68">
        <v>39538</v>
      </c>
      <c r="B4236" s="69">
        <v>0.90193999999999996</v>
      </c>
    </row>
    <row r="4237" spans="1:2" x14ac:dyDescent="0.2">
      <c r="A4237" s="68">
        <v>39535</v>
      </c>
      <c r="B4237" s="69">
        <v>0.90146000000000004</v>
      </c>
    </row>
    <row r="4238" spans="1:2" x14ac:dyDescent="0.2">
      <c r="A4238" s="68">
        <v>39534</v>
      </c>
      <c r="B4238" s="69">
        <v>0.90132999999999996</v>
      </c>
    </row>
    <row r="4239" spans="1:2" x14ac:dyDescent="0.2">
      <c r="A4239" s="68">
        <v>39533</v>
      </c>
      <c r="B4239" s="69">
        <v>0.90276999999999996</v>
      </c>
    </row>
    <row r="4240" spans="1:2" x14ac:dyDescent="0.2">
      <c r="A4240" s="68">
        <v>39532</v>
      </c>
      <c r="B4240" s="69">
        <v>0.90502000000000005</v>
      </c>
    </row>
    <row r="4241" spans="1:2" x14ac:dyDescent="0.2">
      <c r="A4241" s="68">
        <v>39531</v>
      </c>
      <c r="B4241" s="69">
        <v>0.90659999999999996</v>
      </c>
    </row>
    <row r="4242" spans="1:2" x14ac:dyDescent="0.2">
      <c r="A4242" s="68">
        <v>39528</v>
      </c>
      <c r="B4242" s="69">
        <v>0.90761000000000003</v>
      </c>
    </row>
    <row r="4243" spans="1:2" x14ac:dyDescent="0.2">
      <c r="A4243" s="68">
        <v>39527</v>
      </c>
      <c r="B4243" s="69">
        <v>0.90705000000000002</v>
      </c>
    </row>
    <row r="4244" spans="1:2" x14ac:dyDescent="0.2">
      <c r="A4244" s="68">
        <v>39526</v>
      </c>
      <c r="B4244" s="69">
        <v>0.90883999999999998</v>
      </c>
    </row>
    <row r="4245" spans="1:2" x14ac:dyDescent="0.2">
      <c r="A4245" s="68">
        <v>39525</v>
      </c>
      <c r="B4245" s="69">
        <v>0.91278999999999999</v>
      </c>
    </row>
    <row r="4246" spans="1:2" x14ac:dyDescent="0.2">
      <c r="A4246" s="68">
        <v>39524</v>
      </c>
      <c r="B4246" s="69">
        <v>0.91108999999999996</v>
      </c>
    </row>
    <row r="4247" spans="1:2" x14ac:dyDescent="0.2">
      <c r="A4247" s="68">
        <v>39521</v>
      </c>
      <c r="B4247" s="69">
        <v>0.91037999999999997</v>
      </c>
    </row>
    <row r="4248" spans="1:2" x14ac:dyDescent="0.2">
      <c r="A4248" s="68">
        <v>39520</v>
      </c>
      <c r="B4248" s="69">
        <v>0.91108999999999996</v>
      </c>
    </row>
    <row r="4249" spans="1:2" x14ac:dyDescent="0.2">
      <c r="A4249" s="68">
        <v>39519</v>
      </c>
      <c r="B4249" s="69">
        <v>0.91252999999999995</v>
      </c>
    </row>
    <row r="4250" spans="1:2" x14ac:dyDescent="0.2">
      <c r="A4250" s="68">
        <v>39518</v>
      </c>
      <c r="B4250" s="69">
        <v>0.91173999999999999</v>
      </c>
    </row>
    <row r="4251" spans="1:2" x14ac:dyDescent="0.2">
      <c r="A4251" s="68">
        <v>39517</v>
      </c>
      <c r="B4251" s="69">
        <v>0.91308</v>
      </c>
    </row>
    <row r="4252" spans="1:2" x14ac:dyDescent="0.2">
      <c r="A4252" s="68">
        <v>39514</v>
      </c>
      <c r="B4252" s="69">
        <v>0.91286999999999996</v>
      </c>
    </row>
    <row r="4253" spans="1:2" x14ac:dyDescent="0.2">
      <c r="A4253" s="68">
        <v>39513</v>
      </c>
      <c r="B4253" s="69">
        <v>0.91396999999999995</v>
      </c>
    </row>
    <row r="4254" spans="1:2" x14ac:dyDescent="0.2">
      <c r="A4254" s="68">
        <v>39512</v>
      </c>
      <c r="B4254" s="69">
        <v>0.91439999999999999</v>
      </c>
    </row>
    <row r="4255" spans="1:2" x14ac:dyDescent="0.2">
      <c r="A4255" s="68">
        <v>39511</v>
      </c>
      <c r="B4255" s="69">
        <v>0.91454000000000002</v>
      </c>
    </row>
    <row r="4256" spans="1:2" x14ac:dyDescent="0.2">
      <c r="A4256" s="68">
        <v>39510</v>
      </c>
      <c r="B4256" s="69">
        <v>0.91335</v>
      </c>
    </row>
    <row r="4257" spans="1:2" x14ac:dyDescent="0.2">
      <c r="A4257" s="68">
        <v>39507</v>
      </c>
      <c r="B4257" s="69">
        <v>0.91352999999999995</v>
      </c>
    </row>
    <row r="4258" spans="1:2" x14ac:dyDescent="0.2">
      <c r="A4258" s="68">
        <v>39506</v>
      </c>
      <c r="B4258" s="69">
        <v>0.91486999999999996</v>
      </c>
    </row>
    <row r="4259" spans="1:2" x14ac:dyDescent="0.2">
      <c r="A4259" s="68">
        <v>39505</v>
      </c>
      <c r="B4259" s="69">
        <v>0.91700000000000004</v>
      </c>
    </row>
    <row r="4260" spans="1:2" x14ac:dyDescent="0.2">
      <c r="A4260" s="68">
        <v>39504</v>
      </c>
      <c r="B4260" s="69">
        <v>0.91720999999999997</v>
      </c>
    </row>
    <row r="4261" spans="1:2" x14ac:dyDescent="0.2">
      <c r="A4261" s="68">
        <v>39503</v>
      </c>
      <c r="B4261" s="69">
        <v>0.91661999999999999</v>
      </c>
    </row>
    <row r="4262" spans="1:2" x14ac:dyDescent="0.2">
      <c r="A4262" s="68">
        <v>39500</v>
      </c>
      <c r="B4262" s="69">
        <v>0.91630999999999996</v>
      </c>
    </row>
    <row r="4263" spans="1:2" x14ac:dyDescent="0.2">
      <c r="A4263" s="68">
        <v>39499</v>
      </c>
      <c r="B4263" s="69">
        <v>0.91662999999999994</v>
      </c>
    </row>
    <row r="4264" spans="1:2" x14ac:dyDescent="0.2">
      <c r="A4264" s="68">
        <v>39498</v>
      </c>
      <c r="B4264" s="69">
        <v>0.91581999999999997</v>
      </c>
    </row>
    <row r="4265" spans="1:2" x14ac:dyDescent="0.2">
      <c r="A4265" s="68">
        <v>39497</v>
      </c>
      <c r="B4265" s="69">
        <v>0.91762999999999995</v>
      </c>
    </row>
    <row r="4266" spans="1:2" x14ac:dyDescent="0.2">
      <c r="A4266" s="68">
        <v>39496</v>
      </c>
      <c r="B4266" s="69">
        <v>0.91886999999999996</v>
      </c>
    </row>
    <row r="4267" spans="1:2" x14ac:dyDescent="0.2">
      <c r="A4267" s="68">
        <v>39493</v>
      </c>
      <c r="B4267" s="69">
        <v>0.92</v>
      </c>
    </row>
    <row r="4268" spans="1:2" x14ac:dyDescent="0.2">
      <c r="A4268" s="68">
        <v>39492</v>
      </c>
      <c r="B4268" s="69">
        <v>0.92181000000000002</v>
      </c>
    </row>
    <row r="4269" spans="1:2" x14ac:dyDescent="0.2">
      <c r="A4269" s="68">
        <v>39491</v>
      </c>
      <c r="B4269" s="69">
        <v>0.92249000000000003</v>
      </c>
    </row>
    <row r="4270" spans="1:2" x14ac:dyDescent="0.2">
      <c r="A4270" s="68">
        <v>39483</v>
      </c>
      <c r="B4270" s="69">
        <v>0.92118</v>
      </c>
    </row>
    <row r="4271" spans="1:2" x14ac:dyDescent="0.2">
      <c r="A4271" s="68">
        <v>39482</v>
      </c>
      <c r="B4271" s="69">
        <v>0.92227000000000003</v>
      </c>
    </row>
    <row r="4272" spans="1:2" x14ac:dyDescent="0.2">
      <c r="A4272" s="68">
        <v>39479</v>
      </c>
      <c r="B4272" s="69">
        <v>0.9224</v>
      </c>
    </row>
    <row r="4273" spans="1:2" x14ac:dyDescent="0.2">
      <c r="A4273" s="68">
        <v>39478</v>
      </c>
      <c r="B4273" s="69">
        <v>0.92101999999999995</v>
      </c>
    </row>
    <row r="4274" spans="1:2" x14ac:dyDescent="0.2">
      <c r="A4274" s="68">
        <v>39477</v>
      </c>
      <c r="B4274" s="69">
        <v>0.92266000000000004</v>
      </c>
    </row>
    <row r="4275" spans="1:2" x14ac:dyDescent="0.2">
      <c r="A4275" s="68">
        <v>39476</v>
      </c>
      <c r="B4275" s="69">
        <v>0.92256000000000005</v>
      </c>
    </row>
    <row r="4276" spans="1:2" x14ac:dyDescent="0.2">
      <c r="A4276" s="68">
        <v>39475</v>
      </c>
      <c r="B4276" s="69">
        <v>0.92205999999999999</v>
      </c>
    </row>
    <row r="4277" spans="1:2" x14ac:dyDescent="0.2">
      <c r="A4277" s="68">
        <v>39472</v>
      </c>
      <c r="B4277" s="69">
        <v>0.92293000000000003</v>
      </c>
    </row>
    <row r="4278" spans="1:2" x14ac:dyDescent="0.2">
      <c r="A4278" s="68">
        <v>39471</v>
      </c>
      <c r="B4278" s="69">
        <v>0.92620000000000002</v>
      </c>
    </row>
    <row r="4279" spans="1:2" x14ac:dyDescent="0.2">
      <c r="A4279" s="68">
        <v>39470</v>
      </c>
      <c r="B4279" s="69">
        <v>0.92689999999999995</v>
      </c>
    </row>
    <row r="4280" spans="1:2" x14ac:dyDescent="0.2">
      <c r="A4280" s="68">
        <v>39469</v>
      </c>
      <c r="B4280" s="69">
        <v>0.92849000000000004</v>
      </c>
    </row>
    <row r="4281" spans="1:2" x14ac:dyDescent="0.2">
      <c r="A4281" s="68">
        <v>39468</v>
      </c>
      <c r="B4281" s="69">
        <v>0.92996000000000001</v>
      </c>
    </row>
    <row r="4282" spans="1:2" x14ac:dyDescent="0.2">
      <c r="A4282" s="68">
        <v>39465</v>
      </c>
      <c r="B4282" s="69">
        <v>0.92966000000000004</v>
      </c>
    </row>
    <row r="4283" spans="1:2" x14ac:dyDescent="0.2">
      <c r="A4283" s="68">
        <v>39464</v>
      </c>
      <c r="B4283" s="69">
        <v>0.93030000000000002</v>
      </c>
    </row>
    <row r="4284" spans="1:2" x14ac:dyDescent="0.2">
      <c r="A4284" s="68">
        <v>39463</v>
      </c>
      <c r="B4284" s="69">
        <v>0.92874999999999996</v>
      </c>
    </row>
    <row r="4285" spans="1:2" x14ac:dyDescent="0.2">
      <c r="A4285" s="68">
        <v>39462</v>
      </c>
      <c r="B4285" s="69">
        <v>0.92847000000000002</v>
      </c>
    </row>
    <row r="4286" spans="1:2" x14ac:dyDescent="0.2">
      <c r="A4286" s="68">
        <v>39461</v>
      </c>
      <c r="B4286" s="69">
        <v>0.92966000000000004</v>
      </c>
    </row>
    <row r="4287" spans="1:2" x14ac:dyDescent="0.2">
      <c r="A4287" s="68">
        <v>39458</v>
      </c>
      <c r="B4287" s="69">
        <v>0.93142999999999998</v>
      </c>
    </row>
    <row r="4288" spans="1:2" x14ac:dyDescent="0.2">
      <c r="A4288" s="68">
        <v>39457</v>
      </c>
      <c r="B4288" s="69">
        <v>0.93284999999999996</v>
      </c>
    </row>
    <row r="4289" spans="1:2" x14ac:dyDescent="0.2">
      <c r="A4289" s="68">
        <v>39456</v>
      </c>
      <c r="B4289" s="69">
        <v>0.93206999999999995</v>
      </c>
    </row>
    <row r="4290" spans="1:2" x14ac:dyDescent="0.2">
      <c r="A4290" s="68">
        <v>39455</v>
      </c>
      <c r="B4290" s="69">
        <v>0.93325000000000002</v>
      </c>
    </row>
    <row r="4291" spans="1:2" x14ac:dyDescent="0.2">
      <c r="A4291" s="68">
        <v>39454</v>
      </c>
      <c r="B4291" s="69">
        <v>0.93203999999999998</v>
      </c>
    </row>
    <row r="4292" spans="1:2" x14ac:dyDescent="0.2">
      <c r="A4292" s="68">
        <v>39451</v>
      </c>
      <c r="B4292" s="69">
        <v>0.93330999999999997</v>
      </c>
    </row>
    <row r="4293" spans="1:2" x14ac:dyDescent="0.2">
      <c r="A4293" s="68">
        <v>39450</v>
      </c>
      <c r="B4293" s="69">
        <v>0.93150999999999995</v>
      </c>
    </row>
    <row r="4294" spans="1:2" x14ac:dyDescent="0.2">
      <c r="A4294" s="68">
        <v>39449</v>
      </c>
      <c r="B4294" s="69">
        <v>0.93533999999999995</v>
      </c>
    </row>
    <row r="4295" spans="1:2" x14ac:dyDescent="0.2">
      <c r="A4295" s="68">
        <v>39444</v>
      </c>
      <c r="B4295" s="69">
        <v>0.93637999999999999</v>
      </c>
    </row>
    <row r="4296" spans="1:2" x14ac:dyDescent="0.2">
      <c r="A4296" s="68">
        <v>39443</v>
      </c>
      <c r="B4296" s="69">
        <v>0.93616999999999995</v>
      </c>
    </row>
    <row r="4297" spans="1:2" x14ac:dyDescent="0.2">
      <c r="A4297" s="68">
        <v>39442</v>
      </c>
      <c r="B4297" s="69">
        <v>0.93903000000000003</v>
      </c>
    </row>
    <row r="4298" spans="1:2" x14ac:dyDescent="0.2">
      <c r="A4298" s="68">
        <v>39441</v>
      </c>
      <c r="B4298" s="69">
        <v>0.93857999999999997</v>
      </c>
    </row>
    <row r="4299" spans="1:2" x14ac:dyDescent="0.2">
      <c r="A4299" s="68">
        <v>39440</v>
      </c>
      <c r="B4299" s="69">
        <v>0.93966000000000005</v>
      </c>
    </row>
    <row r="4300" spans="1:2" x14ac:dyDescent="0.2">
      <c r="A4300" s="68">
        <v>39437</v>
      </c>
      <c r="B4300" s="69">
        <v>0.94305000000000005</v>
      </c>
    </row>
    <row r="4301" spans="1:2" x14ac:dyDescent="0.2">
      <c r="A4301" s="68">
        <v>39436</v>
      </c>
      <c r="B4301" s="69">
        <v>0.94413999999999998</v>
      </c>
    </row>
    <row r="4302" spans="1:2" x14ac:dyDescent="0.2">
      <c r="A4302" s="68">
        <v>39435</v>
      </c>
      <c r="B4302" s="69">
        <v>0.94464999999999999</v>
      </c>
    </row>
    <row r="4303" spans="1:2" x14ac:dyDescent="0.2">
      <c r="A4303" s="68">
        <v>39434</v>
      </c>
      <c r="B4303" s="69">
        <v>0.94586999999999999</v>
      </c>
    </row>
    <row r="4304" spans="1:2" x14ac:dyDescent="0.2">
      <c r="A4304" s="68">
        <v>39433</v>
      </c>
      <c r="B4304" s="69">
        <v>0.94618000000000002</v>
      </c>
    </row>
    <row r="4305" spans="1:2" x14ac:dyDescent="0.2">
      <c r="A4305" s="68">
        <v>39430</v>
      </c>
      <c r="B4305" s="69">
        <v>0.94384999999999997</v>
      </c>
    </row>
    <row r="4306" spans="1:2" x14ac:dyDescent="0.2">
      <c r="A4306" s="68">
        <v>39429</v>
      </c>
      <c r="B4306" s="69">
        <v>0.94332000000000005</v>
      </c>
    </row>
    <row r="4307" spans="1:2" x14ac:dyDescent="0.2">
      <c r="A4307" s="68">
        <v>39428</v>
      </c>
      <c r="B4307" s="69">
        <v>0.94438</v>
      </c>
    </row>
    <row r="4308" spans="1:2" x14ac:dyDescent="0.2">
      <c r="A4308" s="68">
        <v>39427</v>
      </c>
      <c r="B4308" s="69">
        <v>0.94645999999999997</v>
      </c>
    </row>
    <row r="4309" spans="1:2" x14ac:dyDescent="0.2">
      <c r="A4309" s="68">
        <v>39426</v>
      </c>
      <c r="B4309" s="69">
        <v>0.94860999999999995</v>
      </c>
    </row>
    <row r="4310" spans="1:2" x14ac:dyDescent="0.2">
      <c r="A4310" s="68">
        <v>39423</v>
      </c>
      <c r="B4310" s="69">
        <v>0.95043</v>
      </c>
    </row>
    <row r="4311" spans="1:2" x14ac:dyDescent="0.2">
      <c r="A4311" s="68">
        <v>39422</v>
      </c>
      <c r="B4311" s="69">
        <v>0.95179999999999998</v>
      </c>
    </row>
    <row r="4312" spans="1:2" x14ac:dyDescent="0.2">
      <c r="A4312" s="68">
        <v>39421</v>
      </c>
      <c r="B4312" s="69">
        <v>0.94947999999999999</v>
      </c>
    </row>
    <row r="4313" spans="1:2" x14ac:dyDescent="0.2">
      <c r="A4313" s="68">
        <v>39420</v>
      </c>
      <c r="B4313" s="69">
        <v>0.95125999999999999</v>
      </c>
    </row>
    <row r="4314" spans="1:2" x14ac:dyDescent="0.2">
      <c r="A4314" s="68">
        <v>39419</v>
      </c>
      <c r="B4314" s="69">
        <v>0.95213999999999999</v>
      </c>
    </row>
    <row r="4315" spans="1:2" x14ac:dyDescent="0.2">
      <c r="A4315" s="68">
        <v>39416</v>
      </c>
      <c r="B4315" s="69">
        <v>0.95008999999999999</v>
      </c>
    </row>
    <row r="4316" spans="1:2" x14ac:dyDescent="0.2">
      <c r="A4316" s="68">
        <v>39415</v>
      </c>
      <c r="B4316" s="69">
        <v>0.95028999999999997</v>
      </c>
    </row>
    <row r="4317" spans="1:2" x14ac:dyDescent="0.2">
      <c r="A4317" s="68">
        <v>39414</v>
      </c>
      <c r="B4317" s="69">
        <v>0.94928999999999997</v>
      </c>
    </row>
    <row r="4318" spans="1:2" x14ac:dyDescent="0.2">
      <c r="A4318" s="68">
        <v>39413</v>
      </c>
      <c r="B4318" s="69">
        <v>0.94930000000000003</v>
      </c>
    </row>
    <row r="4319" spans="1:2" x14ac:dyDescent="0.2">
      <c r="A4319" s="68">
        <v>39412</v>
      </c>
      <c r="B4319" s="69">
        <v>0.95101000000000002</v>
      </c>
    </row>
    <row r="4320" spans="1:2" x14ac:dyDescent="0.2">
      <c r="A4320" s="68">
        <v>39409</v>
      </c>
      <c r="B4320" s="69">
        <v>0.95128000000000001</v>
      </c>
    </row>
    <row r="4321" spans="1:2" x14ac:dyDescent="0.2">
      <c r="A4321" s="68">
        <v>39408</v>
      </c>
      <c r="B4321" s="69">
        <v>0.95265999999999995</v>
      </c>
    </row>
    <row r="4322" spans="1:2" x14ac:dyDescent="0.2">
      <c r="A4322" s="68">
        <v>39407</v>
      </c>
      <c r="B4322" s="69">
        <v>0.95260999999999996</v>
      </c>
    </row>
    <row r="4323" spans="1:2" x14ac:dyDescent="0.2">
      <c r="A4323" s="68">
        <v>39406</v>
      </c>
      <c r="B4323" s="69">
        <v>0.95452999999999999</v>
      </c>
    </row>
    <row r="4324" spans="1:2" x14ac:dyDescent="0.2">
      <c r="A4324" s="68">
        <v>39405</v>
      </c>
      <c r="B4324" s="69">
        <v>0.95448999999999995</v>
      </c>
    </row>
    <row r="4325" spans="1:2" x14ac:dyDescent="0.2">
      <c r="A4325" s="68">
        <v>39402</v>
      </c>
      <c r="B4325" s="69">
        <v>0.95550999999999997</v>
      </c>
    </row>
    <row r="4326" spans="1:2" x14ac:dyDescent="0.2">
      <c r="A4326" s="68">
        <v>39401</v>
      </c>
      <c r="B4326" s="69">
        <v>0.95428999999999997</v>
      </c>
    </row>
    <row r="4327" spans="1:2" x14ac:dyDescent="0.2">
      <c r="A4327" s="68">
        <v>39400</v>
      </c>
      <c r="B4327" s="69">
        <v>0.95459000000000005</v>
      </c>
    </row>
    <row r="4328" spans="1:2" x14ac:dyDescent="0.2">
      <c r="A4328" s="68">
        <v>39399</v>
      </c>
      <c r="B4328" s="69">
        <v>0.95404</v>
      </c>
    </row>
    <row r="4329" spans="1:2" x14ac:dyDescent="0.2">
      <c r="A4329" s="68">
        <v>39398</v>
      </c>
      <c r="B4329" s="69">
        <v>0.95242000000000004</v>
      </c>
    </row>
    <row r="4330" spans="1:2" x14ac:dyDescent="0.2">
      <c r="A4330" s="68">
        <v>39395</v>
      </c>
      <c r="B4330" s="69">
        <v>0.95425000000000004</v>
      </c>
    </row>
    <row r="4331" spans="1:2" x14ac:dyDescent="0.2">
      <c r="A4331" s="68">
        <v>39394</v>
      </c>
      <c r="B4331" s="69">
        <v>0.95621999999999996</v>
      </c>
    </row>
    <row r="4332" spans="1:2" x14ac:dyDescent="0.2">
      <c r="A4332" s="68">
        <v>39393</v>
      </c>
      <c r="B4332" s="69">
        <v>0.95923999999999998</v>
      </c>
    </row>
    <row r="4333" spans="1:2" x14ac:dyDescent="0.2">
      <c r="A4333" s="68">
        <v>39392</v>
      </c>
      <c r="B4333" s="69">
        <v>0.96048</v>
      </c>
    </row>
    <row r="4334" spans="1:2" x14ac:dyDescent="0.2">
      <c r="A4334" s="68">
        <v>39391</v>
      </c>
      <c r="B4334" s="69">
        <v>0.96035000000000004</v>
      </c>
    </row>
    <row r="4335" spans="1:2" x14ac:dyDescent="0.2">
      <c r="A4335" s="68">
        <v>39388</v>
      </c>
      <c r="B4335" s="69">
        <v>0.96172999999999997</v>
      </c>
    </row>
    <row r="4336" spans="1:2" x14ac:dyDescent="0.2">
      <c r="A4336" s="68">
        <v>39387</v>
      </c>
      <c r="B4336" s="69">
        <v>0.96189000000000002</v>
      </c>
    </row>
    <row r="4337" spans="1:2" x14ac:dyDescent="0.2">
      <c r="A4337" s="68">
        <v>39386</v>
      </c>
      <c r="B4337" s="69">
        <v>0.96375</v>
      </c>
    </row>
    <row r="4338" spans="1:2" x14ac:dyDescent="0.2">
      <c r="A4338" s="68">
        <v>39385</v>
      </c>
      <c r="B4338" s="69">
        <v>0.96409999999999996</v>
      </c>
    </row>
    <row r="4339" spans="1:2" x14ac:dyDescent="0.2">
      <c r="A4339" s="68">
        <v>39384</v>
      </c>
      <c r="B4339" s="69">
        <v>0.96403000000000005</v>
      </c>
    </row>
    <row r="4340" spans="1:2" x14ac:dyDescent="0.2">
      <c r="A4340" s="68">
        <v>39381</v>
      </c>
      <c r="B4340" s="69">
        <v>0.96523000000000003</v>
      </c>
    </row>
    <row r="4341" spans="1:2" x14ac:dyDescent="0.2">
      <c r="A4341" s="68">
        <v>39380</v>
      </c>
      <c r="B4341" s="69">
        <v>0.96587999999999996</v>
      </c>
    </row>
    <row r="4342" spans="1:2" x14ac:dyDescent="0.2">
      <c r="A4342" s="68">
        <v>39379</v>
      </c>
      <c r="B4342" s="69">
        <v>0.96679000000000004</v>
      </c>
    </row>
    <row r="4343" spans="1:2" x14ac:dyDescent="0.2">
      <c r="A4343" s="68">
        <v>39378</v>
      </c>
      <c r="B4343" s="69">
        <v>0.96782000000000001</v>
      </c>
    </row>
    <row r="4344" spans="1:2" x14ac:dyDescent="0.2">
      <c r="A4344" s="68">
        <v>39377</v>
      </c>
      <c r="B4344" s="69">
        <v>0.96830000000000005</v>
      </c>
    </row>
    <row r="4345" spans="1:2" x14ac:dyDescent="0.2">
      <c r="A4345" s="68">
        <v>39374</v>
      </c>
      <c r="B4345" s="69">
        <v>0.96860000000000002</v>
      </c>
    </row>
    <row r="4346" spans="1:2" x14ac:dyDescent="0.2">
      <c r="A4346" s="68">
        <v>39373</v>
      </c>
      <c r="B4346" s="69">
        <v>0.96887000000000001</v>
      </c>
    </row>
    <row r="4347" spans="1:2" x14ac:dyDescent="0.2">
      <c r="A4347" s="68">
        <v>39372</v>
      </c>
      <c r="B4347" s="69">
        <v>0.96928000000000003</v>
      </c>
    </row>
    <row r="4348" spans="1:2" x14ac:dyDescent="0.2">
      <c r="A4348" s="68">
        <v>39371</v>
      </c>
      <c r="B4348" s="69">
        <v>0.96904000000000001</v>
      </c>
    </row>
    <row r="4349" spans="1:2" x14ac:dyDescent="0.2">
      <c r="A4349" s="68">
        <v>39370</v>
      </c>
      <c r="B4349" s="69">
        <v>0.96921999999999997</v>
      </c>
    </row>
    <row r="4350" spans="1:2" x14ac:dyDescent="0.2">
      <c r="A4350" s="68">
        <v>39367</v>
      </c>
      <c r="B4350" s="69">
        <v>0.96875</v>
      </c>
    </row>
    <row r="4351" spans="1:2" x14ac:dyDescent="0.2">
      <c r="A4351" s="68">
        <v>39366</v>
      </c>
      <c r="B4351" s="69">
        <v>0.96892999999999996</v>
      </c>
    </row>
    <row r="4352" spans="1:2" x14ac:dyDescent="0.2">
      <c r="A4352" s="68">
        <v>39365</v>
      </c>
      <c r="B4352" s="69">
        <v>0.96860999999999997</v>
      </c>
    </row>
    <row r="4353" spans="1:2" x14ac:dyDescent="0.2">
      <c r="A4353" s="68">
        <v>39364</v>
      </c>
      <c r="B4353" s="69">
        <v>0.96952000000000005</v>
      </c>
    </row>
    <row r="4354" spans="1:2" x14ac:dyDescent="0.2">
      <c r="A4354" s="68">
        <v>39363</v>
      </c>
      <c r="B4354" s="69">
        <v>0.96835000000000004</v>
      </c>
    </row>
    <row r="4355" spans="1:2" x14ac:dyDescent="0.2">
      <c r="A4355" s="68">
        <v>39353</v>
      </c>
      <c r="B4355" s="69">
        <v>0.96833999999999998</v>
      </c>
    </row>
    <row r="4356" spans="1:2" x14ac:dyDescent="0.2">
      <c r="A4356" s="68">
        <v>39352</v>
      </c>
      <c r="B4356" s="69">
        <v>0.96769000000000005</v>
      </c>
    </row>
    <row r="4357" spans="1:2" x14ac:dyDescent="0.2">
      <c r="A4357" s="68">
        <v>39351</v>
      </c>
      <c r="B4357" s="69">
        <v>0.96684000000000003</v>
      </c>
    </row>
    <row r="4358" spans="1:2" x14ac:dyDescent="0.2">
      <c r="A4358" s="68">
        <v>39350</v>
      </c>
      <c r="B4358" s="69">
        <v>0.96618000000000004</v>
      </c>
    </row>
    <row r="4359" spans="1:2" x14ac:dyDescent="0.2">
      <c r="A4359" s="68">
        <v>39349</v>
      </c>
      <c r="B4359" s="69">
        <v>0.96504999999999996</v>
      </c>
    </row>
    <row r="4360" spans="1:2" x14ac:dyDescent="0.2">
      <c r="A4360" s="68">
        <v>39346</v>
      </c>
      <c r="B4360" s="69">
        <v>0.96394000000000002</v>
      </c>
    </row>
    <row r="4361" spans="1:2" x14ac:dyDescent="0.2">
      <c r="A4361" s="68">
        <v>39345</v>
      </c>
      <c r="B4361" s="69">
        <v>0.96582000000000001</v>
      </c>
    </row>
    <row r="4362" spans="1:2" x14ac:dyDescent="0.2">
      <c r="A4362" s="68">
        <v>39344</v>
      </c>
      <c r="B4362" s="69">
        <v>0.96518000000000004</v>
      </c>
    </row>
    <row r="4363" spans="1:2" x14ac:dyDescent="0.2">
      <c r="A4363" s="68">
        <v>39343</v>
      </c>
      <c r="B4363" s="69">
        <v>0.96623000000000003</v>
      </c>
    </row>
    <row r="4364" spans="1:2" x14ac:dyDescent="0.2">
      <c r="A4364" s="68">
        <v>39342</v>
      </c>
      <c r="B4364" s="69">
        <v>0.96603000000000006</v>
      </c>
    </row>
    <row r="4365" spans="1:2" x14ac:dyDescent="0.2">
      <c r="A4365" s="68">
        <v>39339</v>
      </c>
      <c r="B4365" s="69">
        <v>0.96577000000000002</v>
      </c>
    </row>
    <row r="4366" spans="1:2" x14ac:dyDescent="0.2">
      <c r="A4366" s="68">
        <v>39338</v>
      </c>
      <c r="B4366" s="69">
        <v>0.96489000000000003</v>
      </c>
    </row>
    <row r="4367" spans="1:2" x14ac:dyDescent="0.2">
      <c r="A4367" s="68">
        <v>39337</v>
      </c>
      <c r="B4367" s="69">
        <v>0.9667</v>
      </c>
    </row>
    <row r="4368" spans="1:2" x14ac:dyDescent="0.2">
      <c r="A4368" s="68">
        <v>39336</v>
      </c>
      <c r="B4368" s="69">
        <v>0.96811000000000003</v>
      </c>
    </row>
    <row r="4369" spans="1:2" x14ac:dyDescent="0.2">
      <c r="A4369" s="68">
        <v>39335</v>
      </c>
      <c r="B4369" s="69">
        <v>0.96721999999999997</v>
      </c>
    </row>
    <row r="4370" spans="1:2" x14ac:dyDescent="0.2">
      <c r="A4370" s="68">
        <v>39332</v>
      </c>
      <c r="B4370" s="69">
        <v>0.96833000000000002</v>
      </c>
    </row>
    <row r="4371" spans="1:2" x14ac:dyDescent="0.2">
      <c r="A4371" s="68">
        <v>39331</v>
      </c>
      <c r="B4371" s="69">
        <v>0.96777999999999997</v>
      </c>
    </row>
    <row r="4372" spans="1:2" x14ac:dyDescent="0.2">
      <c r="A4372" s="68">
        <v>39330</v>
      </c>
      <c r="B4372" s="69">
        <v>0.96919999999999995</v>
      </c>
    </row>
    <row r="4373" spans="1:2" x14ac:dyDescent="0.2">
      <c r="A4373" s="68">
        <v>39329</v>
      </c>
      <c r="B4373" s="69">
        <v>0.96938999999999997</v>
      </c>
    </row>
    <row r="4374" spans="1:2" x14ac:dyDescent="0.2">
      <c r="A4374" s="68">
        <v>39328</v>
      </c>
      <c r="B4374" s="69">
        <v>0.96877000000000002</v>
      </c>
    </row>
    <row r="4375" spans="1:2" x14ac:dyDescent="0.2">
      <c r="A4375" s="68">
        <v>39325</v>
      </c>
      <c r="B4375" s="69">
        <v>0.96984999999999999</v>
      </c>
    </row>
    <row r="4376" spans="1:2" x14ac:dyDescent="0.2">
      <c r="A4376" s="68">
        <v>39324</v>
      </c>
      <c r="B4376" s="69">
        <v>0.96862999999999999</v>
      </c>
    </row>
    <row r="4377" spans="1:2" x14ac:dyDescent="0.2">
      <c r="A4377" s="68">
        <v>39323</v>
      </c>
      <c r="B4377" s="69">
        <v>0.96826999999999996</v>
      </c>
    </row>
    <row r="4378" spans="1:2" x14ac:dyDescent="0.2">
      <c r="A4378" s="68">
        <v>39322</v>
      </c>
      <c r="B4378" s="69">
        <v>0.96823000000000004</v>
      </c>
    </row>
    <row r="4379" spans="1:2" x14ac:dyDescent="0.2">
      <c r="A4379" s="68">
        <v>39321</v>
      </c>
      <c r="B4379" s="69">
        <v>0.96921999999999997</v>
      </c>
    </row>
    <row r="4380" spans="1:2" x14ac:dyDescent="0.2">
      <c r="A4380" s="68">
        <v>39318</v>
      </c>
      <c r="B4380" s="69">
        <v>0.96921000000000002</v>
      </c>
    </row>
    <row r="4381" spans="1:2" x14ac:dyDescent="0.2">
      <c r="A4381" s="68">
        <v>39317</v>
      </c>
      <c r="B4381" s="69">
        <v>0.97091000000000005</v>
      </c>
    </row>
    <row r="4382" spans="1:2" x14ac:dyDescent="0.2">
      <c r="A4382" s="68">
        <v>39316</v>
      </c>
      <c r="B4382" s="69">
        <v>0.97316000000000003</v>
      </c>
    </row>
    <row r="4383" spans="1:2" x14ac:dyDescent="0.2">
      <c r="A4383" s="68">
        <v>39315</v>
      </c>
      <c r="B4383" s="69">
        <v>0.97184999999999999</v>
      </c>
    </row>
    <row r="4384" spans="1:2" x14ac:dyDescent="0.2">
      <c r="A4384" s="68">
        <v>39314</v>
      </c>
      <c r="B4384" s="69">
        <v>0.97231999999999996</v>
      </c>
    </row>
    <row r="4385" spans="1:2" x14ac:dyDescent="0.2">
      <c r="A4385" s="68">
        <v>39311</v>
      </c>
      <c r="B4385" s="69">
        <v>0.97206000000000004</v>
      </c>
    </row>
    <row r="4386" spans="1:2" x14ac:dyDescent="0.2">
      <c r="A4386" s="68">
        <v>39310</v>
      </c>
      <c r="B4386" s="69">
        <v>0.97216000000000002</v>
      </c>
    </row>
    <row r="4387" spans="1:2" x14ac:dyDescent="0.2">
      <c r="A4387" s="68">
        <v>39309</v>
      </c>
      <c r="B4387" s="69">
        <v>0.97070000000000001</v>
      </c>
    </row>
    <row r="4388" spans="1:2" x14ac:dyDescent="0.2">
      <c r="A4388" s="68">
        <v>39308</v>
      </c>
      <c r="B4388" s="69">
        <v>0.96958999999999995</v>
      </c>
    </row>
    <row r="4389" spans="1:2" x14ac:dyDescent="0.2">
      <c r="A4389" s="68">
        <v>39307</v>
      </c>
      <c r="B4389" s="69">
        <v>0.96909999999999996</v>
      </c>
    </row>
    <row r="4390" spans="1:2" x14ac:dyDescent="0.2">
      <c r="A4390" s="68">
        <v>39304</v>
      </c>
      <c r="B4390" s="69">
        <v>0.96775</v>
      </c>
    </row>
    <row r="4391" spans="1:2" x14ac:dyDescent="0.2">
      <c r="A4391" s="68">
        <v>39303</v>
      </c>
      <c r="B4391" s="69">
        <v>0.96645000000000003</v>
      </c>
    </row>
    <row r="4392" spans="1:2" x14ac:dyDescent="0.2">
      <c r="A4392" s="68">
        <v>39302</v>
      </c>
      <c r="B4392" s="69">
        <v>0.96767000000000003</v>
      </c>
    </row>
    <row r="4393" spans="1:2" x14ac:dyDescent="0.2">
      <c r="A4393" s="68">
        <v>39301</v>
      </c>
      <c r="B4393" s="69">
        <v>0.96682000000000001</v>
      </c>
    </row>
    <row r="4394" spans="1:2" x14ac:dyDescent="0.2">
      <c r="A4394" s="68">
        <v>39300</v>
      </c>
      <c r="B4394" s="69">
        <v>0.96557000000000004</v>
      </c>
    </row>
    <row r="4395" spans="1:2" x14ac:dyDescent="0.2">
      <c r="A4395" s="68">
        <v>39297</v>
      </c>
      <c r="B4395" s="69">
        <v>0.96684999999999999</v>
      </c>
    </row>
    <row r="4396" spans="1:2" x14ac:dyDescent="0.2">
      <c r="A4396" s="68">
        <v>39296</v>
      </c>
      <c r="B4396" s="69">
        <v>0.96725000000000005</v>
      </c>
    </row>
    <row r="4397" spans="1:2" x14ac:dyDescent="0.2">
      <c r="A4397" s="68">
        <v>39295</v>
      </c>
      <c r="B4397" s="69">
        <v>0.9667</v>
      </c>
    </row>
    <row r="4398" spans="1:2" x14ac:dyDescent="0.2">
      <c r="A4398" s="68">
        <v>39294</v>
      </c>
      <c r="B4398" s="69">
        <v>0.96804999999999997</v>
      </c>
    </row>
    <row r="4399" spans="1:2" x14ac:dyDescent="0.2">
      <c r="A4399" s="68">
        <v>39293</v>
      </c>
      <c r="B4399" s="69">
        <v>0.96911000000000003</v>
      </c>
    </row>
    <row r="4400" spans="1:2" x14ac:dyDescent="0.2">
      <c r="A4400" s="68">
        <v>39290</v>
      </c>
      <c r="B4400" s="69">
        <v>0.96770999999999996</v>
      </c>
    </row>
    <row r="4401" spans="1:2" x14ac:dyDescent="0.2">
      <c r="A4401" s="68">
        <v>39289</v>
      </c>
      <c r="B4401" s="69">
        <v>0.96875</v>
      </c>
    </row>
    <row r="4402" spans="1:2" x14ac:dyDescent="0.2">
      <c r="A4402" s="68">
        <v>39288</v>
      </c>
      <c r="B4402" s="69">
        <v>0.96636999999999995</v>
      </c>
    </row>
    <row r="4403" spans="1:2" x14ac:dyDescent="0.2">
      <c r="A4403" s="68">
        <v>39287</v>
      </c>
      <c r="B4403" s="69">
        <v>0.96816999999999998</v>
      </c>
    </row>
    <row r="4404" spans="1:2" x14ac:dyDescent="0.2">
      <c r="A4404" s="68">
        <v>39286</v>
      </c>
      <c r="B4404" s="69">
        <v>0.96740999999999999</v>
      </c>
    </row>
    <row r="4405" spans="1:2" x14ac:dyDescent="0.2">
      <c r="A4405" s="68">
        <v>39283</v>
      </c>
      <c r="B4405" s="69">
        <v>0.96797999999999995</v>
      </c>
    </row>
    <row r="4406" spans="1:2" x14ac:dyDescent="0.2">
      <c r="A4406" s="68">
        <v>39282</v>
      </c>
      <c r="B4406" s="69">
        <v>0.96716000000000002</v>
      </c>
    </row>
    <row r="4407" spans="1:2" x14ac:dyDescent="0.2">
      <c r="A4407" s="68">
        <v>39281</v>
      </c>
      <c r="B4407" s="69">
        <v>0.96738999999999997</v>
      </c>
    </row>
    <row r="4408" spans="1:2" x14ac:dyDescent="0.2">
      <c r="A4408" s="68">
        <v>39280</v>
      </c>
      <c r="B4408" s="69">
        <v>0.96733999999999998</v>
      </c>
    </row>
    <row r="4409" spans="1:2" x14ac:dyDescent="0.2">
      <c r="A4409" s="68">
        <v>39279</v>
      </c>
      <c r="B4409" s="69">
        <v>0.96765999999999996</v>
      </c>
    </row>
    <row r="4410" spans="1:2" x14ac:dyDescent="0.2">
      <c r="A4410" s="68">
        <v>39276</v>
      </c>
      <c r="B4410" s="69">
        <v>0.96879999999999999</v>
      </c>
    </row>
    <row r="4411" spans="1:2" x14ac:dyDescent="0.2">
      <c r="A4411" s="68">
        <v>39275</v>
      </c>
      <c r="B4411" s="69">
        <v>0.96931</v>
      </c>
    </row>
    <row r="4412" spans="1:2" x14ac:dyDescent="0.2">
      <c r="A4412" s="68">
        <v>39274</v>
      </c>
      <c r="B4412" s="69">
        <v>0.96853999999999996</v>
      </c>
    </row>
    <row r="4413" spans="1:2" x14ac:dyDescent="0.2">
      <c r="A4413" s="68">
        <v>39273</v>
      </c>
      <c r="B4413" s="69">
        <v>0.97036</v>
      </c>
    </row>
    <row r="4414" spans="1:2" x14ac:dyDescent="0.2">
      <c r="A4414" s="68">
        <v>39272</v>
      </c>
      <c r="B4414" s="69">
        <v>0.97328000000000003</v>
      </c>
    </row>
    <row r="4415" spans="1:2" x14ac:dyDescent="0.2">
      <c r="A4415" s="68">
        <v>39269</v>
      </c>
      <c r="B4415" s="69">
        <v>0.97402999999999995</v>
      </c>
    </row>
    <row r="4416" spans="1:2" x14ac:dyDescent="0.2">
      <c r="A4416" s="68">
        <v>39268</v>
      </c>
      <c r="B4416" s="69">
        <v>0.97336999999999996</v>
      </c>
    </row>
    <row r="4417" spans="1:2" x14ac:dyDescent="0.2">
      <c r="A4417" s="68">
        <v>39267</v>
      </c>
      <c r="B4417" s="69">
        <v>0.97304999999999997</v>
      </c>
    </row>
    <row r="4418" spans="1:2" x14ac:dyDescent="0.2">
      <c r="A4418" s="68">
        <v>39266</v>
      </c>
      <c r="B4418" s="69">
        <v>0.97163999999999995</v>
      </c>
    </row>
    <row r="4419" spans="1:2" x14ac:dyDescent="0.2">
      <c r="A4419" s="68">
        <v>39265</v>
      </c>
      <c r="B4419" s="69">
        <v>0.97304000000000002</v>
      </c>
    </row>
    <row r="4420" spans="1:2" x14ac:dyDescent="0.2">
      <c r="A4420" s="68">
        <v>39262</v>
      </c>
      <c r="B4420" s="69">
        <v>0.97436</v>
      </c>
    </row>
    <row r="4421" spans="1:2" x14ac:dyDescent="0.2">
      <c r="A4421" s="68">
        <v>39261</v>
      </c>
      <c r="B4421" s="69">
        <v>0.97479000000000005</v>
      </c>
    </row>
    <row r="4422" spans="1:2" x14ac:dyDescent="0.2">
      <c r="A4422" s="68">
        <v>39260</v>
      </c>
      <c r="B4422" s="69">
        <v>0.97482999999999997</v>
      </c>
    </row>
    <row r="4423" spans="1:2" x14ac:dyDescent="0.2">
      <c r="A4423" s="68">
        <v>39259</v>
      </c>
      <c r="B4423" s="69">
        <v>0.97514000000000001</v>
      </c>
    </row>
    <row r="4424" spans="1:2" x14ac:dyDescent="0.2">
      <c r="A4424" s="68">
        <v>39258</v>
      </c>
      <c r="B4424" s="69">
        <v>0.97504999999999997</v>
      </c>
    </row>
    <row r="4425" spans="1:2" x14ac:dyDescent="0.2">
      <c r="A4425" s="68">
        <v>39255</v>
      </c>
      <c r="B4425" s="69">
        <v>0.97563999999999995</v>
      </c>
    </row>
    <row r="4426" spans="1:2" x14ac:dyDescent="0.2">
      <c r="A4426" s="68">
        <v>39254</v>
      </c>
      <c r="B4426" s="69">
        <v>0.97511999999999999</v>
      </c>
    </row>
    <row r="4427" spans="1:2" x14ac:dyDescent="0.2">
      <c r="A4427" s="68">
        <v>39253</v>
      </c>
      <c r="B4427" s="69">
        <v>0.97458999999999996</v>
      </c>
    </row>
    <row r="4428" spans="1:2" x14ac:dyDescent="0.2">
      <c r="A4428" s="68">
        <v>39252</v>
      </c>
      <c r="B4428" s="69">
        <v>0.97460999999999998</v>
      </c>
    </row>
    <row r="4429" spans="1:2" x14ac:dyDescent="0.2">
      <c r="A4429" s="68">
        <v>39251</v>
      </c>
      <c r="B4429" s="69">
        <v>0.97482000000000002</v>
      </c>
    </row>
    <row r="4430" spans="1:2" x14ac:dyDescent="0.2">
      <c r="A4430" s="68">
        <v>39248</v>
      </c>
      <c r="B4430" s="69">
        <v>0.97524</v>
      </c>
    </row>
    <row r="4431" spans="1:2" x14ac:dyDescent="0.2">
      <c r="A4431" s="68">
        <v>39247</v>
      </c>
      <c r="B4431" s="69">
        <v>0.97572000000000003</v>
      </c>
    </row>
    <row r="4432" spans="1:2" x14ac:dyDescent="0.2">
      <c r="A4432" s="68">
        <v>39246</v>
      </c>
      <c r="B4432" s="69">
        <v>0.97589000000000004</v>
      </c>
    </row>
    <row r="4433" spans="1:2" x14ac:dyDescent="0.2">
      <c r="A4433" s="68">
        <v>39245</v>
      </c>
      <c r="B4433" s="69">
        <v>0.97863999999999995</v>
      </c>
    </row>
    <row r="4434" spans="1:2" x14ac:dyDescent="0.2">
      <c r="A4434" s="68">
        <v>39244</v>
      </c>
      <c r="B4434" s="69">
        <v>0.98262000000000005</v>
      </c>
    </row>
    <row r="4435" spans="1:2" x14ac:dyDescent="0.2">
      <c r="A4435" s="68">
        <v>39241</v>
      </c>
      <c r="B4435" s="69">
        <v>0.98089000000000004</v>
      </c>
    </row>
    <row r="4436" spans="1:2" x14ac:dyDescent="0.2">
      <c r="A4436" s="68">
        <v>39240</v>
      </c>
      <c r="B4436" s="69">
        <v>0.97943000000000002</v>
      </c>
    </row>
    <row r="4437" spans="1:2" x14ac:dyDescent="0.2">
      <c r="A4437" s="68">
        <v>39239</v>
      </c>
      <c r="B4437" s="69">
        <v>0.97843000000000002</v>
      </c>
    </row>
    <row r="4438" spans="1:2" x14ac:dyDescent="0.2">
      <c r="A4438" s="68">
        <v>39238</v>
      </c>
      <c r="B4438" s="69">
        <v>0.97899000000000003</v>
      </c>
    </row>
    <row r="4439" spans="1:2" x14ac:dyDescent="0.2">
      <c r="A4439" s="68">
        <v>39237</v>
      </c>
      <c r="B4439" s="69">
        <v>0.97970000000000002</v>
      </c>
    </row>
    <row r="4440" spans="1:2" x14ac:dyDescent="0.2">
      <c r="A4440" s="68">
        <v>39234</v>
      </c>
      <c r="B4440" s="69">
        <v>0.97929999999999995</v>
      </c>
    </row>
    <row r="4441" spans="1:2" x14ac:dyDescent="0.2">
      <c r="A4441" s="68">
        <v>39233</v>
      </c>
      <c r="B4441" s="69">
        <v>0.97997000000000001</v>
      </c>
    </row>
    <row r="4442" spans="1:2" x14ac:dyDescent="0.2">
      <c r="A4442" s="68">
        <v>39232</v>
      </c>
      <c r="B4442" s="69">
        <v>0.97826000000000002</v>
      </c>
    </row>
    <row r="4443" spans="1:2" x14ac:dyDescent="0.2">
      <c r="A4443" s="68">
        <v>39231</v>
      </c>
      <c r="B4443" s="69">
        <v>0.97877999999999998</v>
      </c>
    </row>
    <row r="4444" spans="1:2" x14ac:dyDescent="0.2">
      <c r="A4444" s="68">
        <v>39230</v>
      </c>
      <c r="B4444" s="69">
        <v>0.97794000000000003</v>
      </c>
    </row>
    <row r="4445" spans="1:2" x14ac:dyDescent="0.2">
      <c r="A4445" s="68">
        <v>39227</v>
      </c>
      <c r="B4445" s="69">
        <v>0.9778</v>
      </c>
    </row>
    <row r="4446" spans="1:2" x14ac:dyDescent="0.2">
      <c r="A4446" s="68">
        <v>39226</v>
      </c>
      <c r="B4446" s="69">
        <v>0.97816000000000003</v>
      </c>
    </row>
    <row r="4447" spans="1:2" x14ac:dyDescent="0.2">
      <c r="A4447" s="68">
        <v>39225</v>
      </c>
      <c r="B4447" s="69">
        <v>0.97838000000000003</v>
      </c>
    </row>
    <row r="4448" spans="1:2" x14ac:dyDescent="0.2">
      <c r="A4448" s="68">
        <v>39224</v>
      </c>
      <c r="B4448" s="69">
        <v>0.97870999999999997</v>
      </c>
    </row>
    <row r="4449" spans="1:2" x14ac:dyDescent="0.2">
      <c r="A4449" s="68">
        <v>39223</v>
      </c>
      <c r="B4449" s="69">
        <v>0.98026999999999997</v>
      </c>
    </row>
    <row r="4450" spans="1:2" x14ac:dyDescent="0.2">
      <c r="A4450" s="68">
        <v>39220</v>
      </c>
      <c r="B4450" s="69">
        <v>0.98206000000000004</v>
      </c>
    </row>
    <row r="4451" spans="1:2" x14ac:dyDescent="0.2">
      <c r="A4451" s="68">
        <v>39219</v>
      </c>
      <c r="B4451" s="69">
        <v>0.98218000000000005</v>
      </c>
    </row>
    <row r="4452" spans="1:2" x14ac:dyDescent="0.2">
      <c r="A4452" s="68">
        <v>39218</v>
      </c>
      <c r="B4452" s="69">
        <v>0.98338999999999999</v>
      </c>
    </row>
    <row r="4453" spans="1:2" x14ac:dyDescent="0.2">
      <c r="A4453" s="68">
        <v>39217</v>
      </c>
      <c r="B4453" s="69">
        <v>0.98524</v>
      </c>
    </row>
    <row r="4454" spans="1:2" x14ac:dyDescent="0.2">
      <c r="A4454" s="68">
        <v>39216</v>
      </c>
      <c r="B4454" s="69">
        <v>0.98160999999999998</v>
      </c>
    </row>
    <row r="4455" spans="1:2" x14ac:dyDescent="0.2">
      <c r="A4455" s="68">
        <v>39213</v>
      </c>
      <c r="B4455" s="69">
        <v>0.98224999999999996</v>
      </c>
    </row>
    <row r="4456" spans="1:2" x14ac:dyDescent="0.2">
      <c r="A4456" s="68">
        <v>39212</v>
      </c>
      <c r="B4456" s="69">
        <v>0.98424</v>
      </c>
    </row>
    <row r="4457" spans="1:2" x14ac:dyDescent="0.2">
      <c r="A4457" s="68">
        <v>39211</v>
      </c>
      <c r="B4457" s="69">
        <v>0.98443000000000003</v>
      </c>
    </row>
    <row r="4458" spans="1:2" x14ac:dyDescent="0.2">
      <c r="A4458" s="68">
        <v>39210</v>
      </c>
      <c r="B4458" s="69">
        <v>0.98416999999999999</v>
      </c>
    </row>
    <row r="4459" spans="1:2" x14ac:dyDescent="0.2">
      <c r="A4459" s="68">
        <v>39202</v>
      </c>
      <c r="B4459" s="69">
        <v>0.98517999999999994</v>
      </c>
    </row>
    <row r="4460" spans="1:2" x14ac:dyDescent="0.2">
      <c r="A4460" s="68">
        <v>39199</v>
      </c>
      <c r="B4460" s="69">
        <v>0.98624999999999996</v>
      </c>
    </row>
    <row r="4461" spans="1:2" x14ac:dyDescent="0.2">
      <c r="A4461" s="68">
        <v>39198</v>
      </c>
      <c r="B4461" s="69">
        <v>0.98733000000000004</v>
      </c>
    </row>
    <row r="4462" spans="1:2" x14ac:dyDescent="0.2">
      <c r="A4462" s="68">
        <v>39197</v>
      </c>
      <c r="B4462" s="69">
        <v>0.98768999999999996</v>
      </c>
    </row>
    <row r="4463" spans="1:2" x14ac:dyDescent="0.2">
      <c r="A4463" s="68">
        <v>39196</v>
      </c>
      <c r="B4463" s="69">
        <v>0.98895</v>
      </c>
    </row>
    <row r="4464" spans="1:2" x14ac:dyDescent="0.2">
      <c r="A4464" s="68">
        <v>39195</v>
      </c>
      <c r="B4464" s="69">
        <v>0.98904000000000003</v>
      </c>
    </row>
    <row r="4465" spans="1:2" x14ac:dyDescent="0.2">
      <c r="A4465" s="68">
        <v>39192</v>
      </c>
      <c r="B4465" s="69">
        <v>0.98829999999999996</v>
      </c>
    </row>
    <row r="4466" spans="1:2" x14ac:dyDescent="0.2">
      <c r="A4466" s="68">
        <v>39191</v>
      </c>
      <c r="B4466" s="69">
        <v>0.98823000000000005</v>
      </c>
    </row>
    <row r="4467" spans="1:2" x14ac:dyDescent="0.2">
      <c r="A4467" s="68">
        <v>39190</v>
      </c>
      <c r="B4467" s="69">
        <v>0.98887000000000003</v>
      </c>
    </row>
    <row r="4468" spans="1:2" x14ac:dyDescent="0.2">
      <c r="A4468" s="68">
        <v>39189</v>
      </c>
      <c r="B4468" s="69">
        <v>0.98963999999999996</v>
      </c>
    </row>
    <row r="4469" spans="1:2" x14ac:dyDescent="0.2">
      <c r="A4469" s="68">
        <v>39188</v>
      </c>
      <c r="B4469" s="69">
        <v>0.98833000000000004</v>
      </c>
    </row>
    <row r="4470" spans="1:2" x14ac:dyDescent="0.2">
      <c r="A4470" s="68">
        <v>39185</v>
      </c>
      <c r="B4470" s="69">
        <v>0.98836999999999997</v>
      </c>
    </row>
    <row r="4471" spans="1:2" x14ac:dyDescent="0.2">
      <c r="A4471" s="68">
        <v>39184</v>
      </c>
      <c r="B4471" s="69">
        <v>0.98885000000000001</v>
      </c>
    </row>
    <row r="4472" spans="1:2" x14ac:dyDescent="0.2">
      <c r="A4472" s="68">
        <v>39183</v>
      </c>
      <c r="B4472" s="69">
        <v>0.98909000000000002</v>
      </c>
    </row>
    <row r="4473" spans="1:2" x14ac:dyDescent="0.2">
      <c r="A4473" s="68">
        <v>39182</v>
      </c>
      <c r="B4473" s="69">
        <v>0.98892999999999998</v>
      </c>
    </row>
    <row r="4474" spans="1:2" x14ac:dyDescent="0.2">
      <c r="A4474" s="68">
        <v>39181</v>
      </c>
      <c r="B4474" s="69">
        <v>0.98873999999999995</v>
      </c>
    </row>
    <row r="4475" spans="1:2" x14ac:dyDescent="0.2">
      <c r="A4475" s="68">
        <v>39178</v>
      </c>
      <c r="B4475" s="69">
        <v>0.98831000000000002</v>
      </c>
    </row>
    <row r="4476" spans="1:2" x14ac:dyDescent="0.2">
      <c r="A4476" s="68">
        <v>39177</v>
      </c>
      <c r="B4476" s="69">
        <v>0.98850000000000005</v>
      </c>
    </row>
    <row r="4477" spans="1:2" x14ac:dyDescent="0.2">
      <c r="A4477" s="68">
        <v>39176</v>
      </c>
      <c r="B4477" s="69">
        <v>0.98955000000000004</v>
      </c>
    </row>
    <row r="4478" spans="1:2" x14ac:dyDescent="0.2">
      <c r="A4478" s="68">
        <v>39175</v>
      </c>
      <c r="B4478" s="69">
        <v>0.98892000000000002</v>
      </c>
    </row>
    <row r="4479" spans="1:2" x14ac:dyDescent="0.2">
      <c r="A4479" s="68">
        <v>39174</v>
      </c>
      <c r="B4479" s="69">
        <v>0.98924999999999996</v>
      </c>
    </row>
    <row r="4480" spans="1:2" x14ac:dyDescent="0.2">
      <c r="A4480" s="68">
        <v>39171</v>
      </c>
      <c r="B4480" s="69">
        <v>0.98992999999999998</v>
      </c>
    </row>
    <row r="4481" spans="1:2" x14ac:dyDescent="0.2">
      <c r="A4481" s="68">
        <v>39170</v>
      </c>
      <c r="B4481" s="69">
        <v>0.98941999999999997</v>
      </c>
    </row>
    <row r="4482" spans="1:2" x14ac:dyDescent="0.2">
      <c r="A4482" s="68">
        <v>39169</v>
      </c>
      <c r="B4482" s="69">
        <v>0.98972000000000004</v>
      </c>
    </row>
    <row r="4483" spans="1:2" x14ac:dyDescent="0.2">
      <c r="A4483" s="68">
        <v>39168</v>
      </c>
      <c r="B4483" s="69">
        <v>0.98985999999999996</v>
      </c>
    </row>
    <row r="4484" spans="1:2" x14ac:dyDescent="0.2">
      <c r="A4484" s="68">
        <v>39167</v>
      </c>
      <c r="B4484" s="69">
        <v>0.99063000000000001</v>
      </c>
    </row>
    <row r="4485" spans="1:2" x14ac:dyDescent="0.2">
      <c r="A4485" s="68">
        <v>39164</v>
      </c>
      <c r="B4485" s="69">
        <v>0.99043999999999999</v>
      </c>
    </row>
    <row r="4486" spans="1:2" x14ac:dyDescent="0.2">
      <c r="A4486" s="68">
        <v>39163</v>
      </c>
      <c r="B4486" s="69">
        <v>0.98975999999999997</v>
      </c>
    </row>
    <row r="4487" spans="1:2" x14ac:dyDescent="0.2">
      <c r="A4487" s="68">
        <v>39162</v>
      </c>
      <c r="B4487" s="69">
        <v>0.99014000000000002</v>
      </c>
    </row>
    <row r="4488" spans="1:2" x14ac:dyDescent="0.2">
      <c r="A4488" s="68">
        <v>39161</v>
      </c>
      <c r="B4488" s="69">
        <v>0.99053999999999998</v>
      </c>
    </row>
    <row r="4489" spans="1:2" x14ac:dyDescent="0.2">
      <c r="A4489" s="68">
        <v>39160</v>
      </c>
      <c r="B4489" s="69">
        <v>0.99021000000000003</v>
      </c>
    </row>
    <row r="4490" spans="1:2" x14ac:dyDescent="0.2">
      <c r="A4490" s="68">
        <v>39157</v>
      </c>
      <c r="B4490" s="69">
        <v>0.99073</v>
      </c>
    </row>
    <row r="4491" spans="1:2" x14ac:dyDescent="0.2">
      <c r="A4491" s="68">
        <v>39156</v>
      </c>
      <c r="B4491" s="69">
        <v>0.99080000000000001</v>
      </c>
    </row>
    <row r="4492" spans="1:2" x14ac:dyDescent="0.2">
      <c r="A4492" s="68">
        <v>39155</v>
      </c>
      <c r="B4492" s="69">
        <v>0.99016999999999999</v>
      </c>
    </row>
    <row r="4493" spans="1:2" x14ac:dyDescent="0.2">
      <c r="A4493" s="68">
        <v>39154</v>
      </c>
      <c r="B4493" s="69">
        <v>0.99043000000000003</v>
      </c>
    </row>
    <row r="4494" spans="1:2" x14ac:dyDescent="0.2">
      <c r="A4494" s="68">
        <v>39153</v>
      </c>
      <c r="B4494" s="69">
        <v>0.99143000000000003</v>
      </c>
    </row>
    <row r="4495" spans="1:2" x14ac:dyDescent="0.2">
      <c r="A4495" s="68">
        <v>39150</v>
      </c>
      <c r="B4495" s="69">
        <v>0.99124000000000001</v>
      </c>
    </row>
    <row r="4496" spans="1:2" x14ac:dyDescent="0.2">
      <c r="A4496" s="68">
        <v>39149</v>
      </c>
      <c r="B4496" s="69">
        <v>0.99</v>
      </c>
    </row>
    <row r="4497" spans="1:2" x14ac:dyDescent="0.2">
      <c r="A4497" s="68">
        <v>39148</v>
      </c>
      <c r="B4497" s="69">
        <v>0.99075999999999997</v>
      </c>
    </row>
    <row r="4498" spans="1:2" x14ac:dyDescent="0.2">
      <c r="A4498" s="68">
        <v>39147</v>
      </c>
      <c r="B4498" s="69">
        <v>0.99121999999999999</v>
      </c>
    </row>
    <row r="4499" spans="1:2" x14ac:dyDescent="0.2">
      <c r="A4499" s="68">
        <v>39146</v>
      </c>
      <c r="B4499" s="69">
        <v>0.99060999999999999</v>
      </c>
    </row>
    <row r="4500" spans="1:2" x14ac:dyDescent="0.2">
      <c r="A4500" s="68">
        <v>39143</v>
      </c>
      <c r="B4500" s="69">
        <v>0.99150000000000005</v>
      </c>
    </row>
    <row r="4501" spans="1:2" x14ac:dyDescent="0.2">
      <c r="A4501" s="68">
        <v>39142</v>
      </c>
      <c r="B4501" s="69">
        <v>0.99173999999999995</v>
      </c>
    </row>
    <row r="4502" spans="1:2" x14ac:dyDescent="0.2">
      <c r="A4502" s="68">
        <v>39141</v>
      </c>
      <c r="B4502" s="69">
        <v>0.99072000000000005</v>
      </c>
    </row>
    <row r="4503" spans="1:2" x14ac:dyDescent="0.2">
      <c r="A4503" s="68">
        <v>39140</v>
      </c>
      <c r="B4503" s="69">
        <v>0.99170000000000003</v>
      </c>
    </row>
    <row r="4504" spans="1:2" x14ac:dyDescent="0.2">
      <c r="A4504" s="68">
        <v>39139</v>
      </c>
      <c r="B4504" s="69">
        <v>0.99253000000000002</v>
      </c>
    </row>
    <row r="4505" spans="1:2" x14ac:dyDescent="0.2">
      <c r="A4505" s="68">
        <v>39129</v>
      </c>
      <c r="B4505" s="69">
        <v>0.99131999999999998</v>
      </c>
    </row>
    <row r="4506" spans="1:2" x14ac:dyDescent="0.2">
      <c r="A4506" s="68">
        <v>39128</v>
      </c>
      <c r="B4506" s="69">
        <v>0.99248000000000003</v>
      </c>
    </row>
    <row r="4507" spans="1:2" x14ac:dyDescent="0.2">
      <c r="A4507" s="68">
        <v>39127</v>
      </c>
      <c r="B4507" s="69">
        <v>0.99241000000000001</v>
      </c>
    </row>
    <row r="4508" spans="1:2" x14ac:dyDescent="0.2">
      <c r="A4508" s="68">
        <v>39126</v>
      </c>
      <c r="B4508" s="69">
        <v>0.99392999999999998</v>
      </c>
    </row>
    <row r="4509" spans="1:2" x14ac:dyDescent="0.2">
      <c r="A4509" s="68">
        <v>39125</v>
      </c>
      <c r="B4509" s="69">
        <v>0.99348999999999998</v>
      </c>
    </row>
    <row r="4510" spans="1:2" x14ac:dyDescent="0.2">
      <c r="A4510" s="68">
        <v>39122</v>
      </c>
      <c r="B4510" s="69">
        <v>0.99268000000000001</v>
      </c>
    </row>
    <row r="4511" spans="1:2" x14ac:dyDescent="0.2">
      <c r="A4511" s="68">
        <v>39121</v>
      </c>
      <c r="B4511" s="69">
        <v>0.99209000000000003</v>
      </c>
    </row>
    <row r="4512" spans="1:2" x14ac:dyDescent="0.2">
      <c r="A4512" s="68">
        <v>39120</v>
      </c>
      <c r="B4512" s="69">
        <v>0.99246000000000001</v>
      </c>
    </row>
    <row r="4513" spans="1:2" x14ac:dyDescent="0.2">
      <c r="A4513" s="68">
        <v>39119</v>
      </c>
      <c r="B4513" s="69">
        <v>0.99382999999999999</v>
      </c>
    </row>
    <row r="4514" spans="1:2" x14ac:dyDescent="0.2">
      <c r="A4514" s="68">
        <v>39118</v>
      </c>
      <c r="B4514" s="69">
        <v>0.99434</v>
      </c>
    </row>
    <row r="4515" spans="1:2" x14ac:dyDescent="0.2">
      <c r="A4515" s="68">
        <v>39115</v>
      </c>
      <c r="B4515" s="69">
        <v>0.99443999999999999</v>
      </c>
    </row>
    <row r="4516" spans="1:2" x14ac:dyDescent="0.2">
      <c r="A4516" s="68">
        <v>39114</v>
      </c>
      <c r="B4516" s="69">
        <v>0.99431000000000003</v>
      </c>
    </row>
    <row r="4517" spans="1:2" x14ac:dyDescent="0.2">
      <c r="A4517" s="68">
        <v>39113</v>
      </c>
      <c r="B4517" s="69">
        <v>0.99619999999999997</v>
      </c>
    </row>
    <row r="4518" spans="1:2" x14ac:dyDescent="0.2">
      <c r="A4518" s="68">
        <v>39112</v>
      </c>
      <c r="B4518" s="69">
        <v>0.99587000000000003</v>
      </c>
    </row>
    <row r="4519" spans="1:2" x14ac:dyDescent="0.2">
      <c r="A4519" s="68">
        <v>39111</v>
      </c>
      <c r="B4519" s="69">
        <v>0.99656</v>
      </c>
    </row>
    <row r="4520" spans="1:2" x14ac:dyDescent="0.2">
      <c r="A4520" s="68">
        <v>39108</v>
      </c>
      <c r="B4520" s="69">
        <v>0.99651999999999996</v>
      </c>
    </row>
    <row r="4521" spans="1:2" x14ac:dyDescent="0.2">
      <c r="A4521" s="68">
        <v>39107</v>
      </c>
      <c r="B4521" s="69">
        <v>0.99599000000000004</v>
      </c>
    </row>
    <row r="4522" spans="1:2" x14ac:dyDescent="0.2">
      <c r="A4522" s="68">
        <v>39106</v>
      </c>
      <c r="B4522" s="69">
        <v>0.99687000000000003</v>
      </c>
    </row>
    <row r="4523" spans="1:2" x14ac:dyDescent="0.2">
      <c r="A4523" s="68">
        <v>39105</v>
      </c>
      <c r="B4523" s="69">
        <v>0.99792000000000003</v>
      </c>
    </row>
    <row r="4524" spans="1:2" x14ac:dyDescent="0.2">
      <c r="A4524" s="68">
        <v>39104</v>
      </c>
      <c r="B4524" s="69">
        <v>0.99639</v>
      </c>
    </row>
    <row r="4525" spans="1:2" x14ac:dyDescent="0.2">
      <c r="A4525" s="68">
        <v>39101</v>
      </c>
      <c r="B4525" s="69">
        <v>0.99573999999999996</v>
      </c>
    </row>
    <row r="4526" spans="1:2" x14ac:dyDescent="0.2">
      <c r="A4526" s="68">
        <v>39100</v>
      </c>
      <c r="B4526" s="69">
        <v>0.99634</v>
      </c>
    </row>
    <row r="4527" spans="1:2" x14ac:dyDescent="0.2">
      <c r="A4527" s="68">
        <v>39099</v>
      </c>
      <c r="B4527" s="69">
        <v>0.99697999999999998</v>
      </c>
    </row>
    <row r="4528" spans="1:2" x14ac:dyDescent="0.2">
      <c r="A4528" s="68">
        <v>39098</v>
      </c>
      <c r="B4528" s="69">
        <v>0.99885999999999997</v>
      </c>
    </row>
    <row r="4529" spans="1:2" x14ac:dyDescent="0.2">
      <c r="A4529" s="68">
        <v>39097</v>
      </c>
      <c r="B4529" s="69">
        <v>0.99944999999999995</v>
      </c>
    </row>
    <row r="4530" spans="1:2" x14ac:dyDescent="0.2">
      <c r="A4530" s="68">
        <v>39094</v>
      </c>
      <c r="B4530" s="69">
        <v>1.00037</v>
      </c>
    </row>
    <row r="4531" spans="1:2" x14ac:dyDescent="0.2">
      <c r="A4531" s="68">
        <v>39093</v>
      </c>
      <c r="B4531" s="69">
        <v>1.00004</v>
      </c>
    </row>
    <row r="4532" spans="1:2" x14ac:dyDescent="0.2">
      <c r="A4532" s="68">
        <v>39092</v>
      </c>
      <c r="B4532" s="69">
        <v>1.00122</v>
      </c>
    </row>
    <row r="4533" spans="1:2" x14ac:dyDescent="0.2">
      <c r="A4533" s="68">
        <v>39091</v>
      </c>
      <c r="B4533" s="69">
        <v>1.0015099999999999</v>
      </c>
    </row>
    <row r="4534" spans="1:2" x14ac:dyDescent="0.2">
      <c r="A4534" s="68">
        <v>39090</v>
      </c>
      <c r="B4534" s="69">
        <v>1.00281</v>
      </c>
    </row>
    <row r="4535" spans="1:2" x14ac:dyDescent="0.2">
      <c r="A4535" s="68">
        <v>39087</v>
      </c>
      <c r="B4535" s="69">
        <v>1.00268</v>
      </c>
    </row>
    <row r="4536" spans="1:2" x14ac:dyDescent="0.2">
      <c r="A4536" s="68">
        <v>39086</v>
      </c>
      <c r="B4536" s="69">
        <v>1.0023899999999999</v>
      </c>
    </row>
    <row r="4537" spans="1:2" x14ac:dyDescent="0.2">
      <c r="A4537" s="68">
        <v>39080</v>
      </c>
      <c r="B4537" s="69">
        <v>1.00467</v>
      </c>
    </row>
    <row r="4538" spans="1:2" x14ac:dyDescent="0.2">
      <c r="A4538" s="68">
        <v>39079</v>
      </c>
      <c r="B4538" s="69">
        <v>1.0050699999999999</v>
      </c>
    </row>
    <row r="4539" spans="1:2" x14ac:dyDescent="0.2">
      <c r="A4539" s="68">
        <v>39078</v>
      </c>
      <c r="B4539" s="69">
        <v>1.0055799999999999</v>
      </c>
    </row>
    <row r="4540" spans="1:2" x14ac:dyDescent="0.2">
      <c r="A4540" s="68">
        <v>39077</v>
      </c>
      <c r="B4540" s="69">
        <v>1.0053000000000001</v>
      </c>
    </row>
    <row r="4541" spans="1:2" x14ac:dyDescent="0.2">
      <c r="A4541" s="68">
        <v>39076</v>
      </c>
      <c r="B4541" s="69">
        <v>1.0059800000000001</v>
      </c>
    </row>
    <row r="4542" spans="1:2" x14ac:dyDescent="0.2">
      <c r="A4542" s="68">
        <v>39073</v>
      </c>
      <c r="B4542" s="69">
        <v>1.0056700000000001</v>
      </c>
    </row>
    <row r="4543" spans="1:2" x14ac:dyDescent="0.2">
      <c r="A4543" s="68">
        <v>39072</v>
      </c>
      <c r="B4543" s="69">
        <v>1.00576</v>
      </c>
    </row>
    <row r="4544" spans="1:2" x14ac:dyDescent="0.2">
      <c r="A4544" s="68">
        <v>39071</v>
      </c>
      <c r="B4544" s="69">
        <v>1.0057</v>
      </c>
    </row>
    <row r="4545" spans="1:2" x14ac:dyDescent="0.2">
      <c r="A4545" s="68">
        <v>39070</v>
      </c>
      <c r="B4545" s="69">
        <v>1.0067999999999999</v>
      </c>
    </row>
    <row r="4546" spans="1:2" x14ac:dyDescent="0.2">
      <c r="A4546" s="68">
        <v>39069</v>
      </c>
      <c r="B4546" s="69">
        <v>1.0066600000000001</v>
      </c>
    </row>
    <row r="4547" spans="1:2" x14ac:dyDescent="0.2">
      <c r="A4547" s="68">
        <v>39066</v>
      </c>
      <c r="B4547" s="69">
        <v>1.0060199999999999</v>
      </c>
    </row>
    <row r="4548" spans="1:2" x14ac:dyDescent="0.2">
      <c r="A4548" s="68">
        <v>39065</v>
      </c>
      <c r="B4548" s="69">
        <v>1.00627</v>
      </c>
    </row>
    <row r="4549" spans="1:2" x14ac:dyDescent="0.2">
      <c r="A4549" s="68">
        <v>39064</v>
      </c>
      <c r="B4549" s="69">
        <v>1.0067900000000001</v>
      </c>
    </row>
    <row r="4550" spans="1:2" x14ac:dyDescent="0.2">
      <c r="A4550" s="68">
        <v>39063</v>
      </c>
      <c r="B4550" s="69">
        <v>1.00756</v>
      </c>
    </row>
    <row r="4551" spans="1:2" x14ac:dyDescent="0.2">
      <c r="A4551" s="68">
        <v>39062</v>
      </c>
      <c r="B4551" s="69">
        <v>1.00834</v>
      </c>
    </row>
    <row r="4552" spans="1:2" x14ac:dyDescent="0.2">
      <c r="A4552" s="68">
        <v>39059</v>
      </c>
      <c r="B4552" s="69">
        <v>1.0076000000000001</v>
      </c>
    </row>
    <row r="4553" spans="1:2" x14ac:dyDescent="0.2">
      <c r="A4553" s="68">
        <v>39058</v>
      </c>
      <c r="B4553" s="69">
        <v>1.0078800000000001</v>
      </c>
    </row>
    <row r="4554" spans="1:2" x14ac:dyDescent="0.2">
      <c r="A4554" s="68">
        <v>39057</v>
      </c>
      <c r="B4554" s="69">
        <v>1.0066900000000001</v>
      </c>
    </row>
    <row r="4555" spans="1:2" x14ac:dyDescent="0.2">
      <c r="A4555" s="68">
        <v>39056</v>
      </c>
      <c r="B4555" s="69">
        <v>1.00709</v>
      </c>
    </row>
    <row r="4556" spans="1:2" x14ac:dyDescent="0.2">
      <c r="A4556" s="68">
        <v>39055</v>
      </c>
      <c r="B4556" s="69">
        <v>1.0064299999999999</v>
      </c>
    </row>
    <row r="4557" spans="1:2" x14ac:dyDescent="0.2">
      <c r="A4557" s="68">
        <v>39052</v>
      </c>
      <c r="B4557" s="69">
        <v>1.00715</v>
      </c>
    </row>
    <row r="4558" spans="1:2" x14ac:dyDescent="0.2">
      <c r="A4558" s="68">
        <v>39051</v>
      </c>
      <c r="B4558" s="69">
        <v>1.0087200000000001</v>
      </c>
    </row>
    <row r="4559" spans="1:2" x14ac:dyDescent="0.2">
      <c r="A4559" s="68">
        <v>39050</v>
      </c>
      <c r="B4559" s="69">
        <v>1.00823</v>
      </c>
    </row>
    <row r="4560" spans="1:2" x14ac:dyDescent="0.2">
      <c r="A4560" s="68">
        <v>39049</v>
      </c>
      <c r="B4560" s="69">
        <v>1.00932</v>
      </c>
    </row>
    <row r="4561" spans="1:2" x14ac:dyDescent="0.2">
      <c r="A4561" s="68">
        <v>39048</v>
      </c>
      <c r="B4561" s="69">
        <v>1.00797</v>
      </c>
    </row>
    <row r="4562" spans="1:2" x14ac:dyDescent="0.2">
      <c r="A4562" s="68">
        <v>39045</v>
      </c>
      <c r="B4562" s="69">
        <v>1.0089699999999999</v>
      </c>
    </row>
    <row r="4563" spans="1:2" x14ac:dyDescent="0.2">
      <c r="A4563" s="68">
        <v>39044</v>
      </c>
      <c r="B4563" s="69">
        <v>1.00966</v>
      </c>
    </row>
    <row r="4564" spans="1:2" x14ac:dyDescent="0.2">
      <c r="A4564" s="68">
        <v>39043</v>
      </c>
      <c r="B4564" s="69">
        <v>1.01007</v>
      </c>
    </row>
    <row r="4565" spans="1:2" x14ac:dyDescent="0.2">
      <c r="A4565" s="68">
        <v>39042</v>
      </c>
      <c r="B4565" s="69">
        <v>1.0105900000000001</v>
      </c>
    </row>
    <row r="4566" spans="1:2" x14ac:dyDescent="0.2">
      <c r="A4566" s="68">
        <v>39041</v>
      </c>
      <c r="B4566" s="69">
        <v>1.0104299999999999</v>
      </c>
    </row>
    <row r="4567" spans="1:2" x14ac:dyDescent="0.2">
      <c r="A4567" s="68">
        <v>39038</v>
      </c>
      <c r="B4567" s="69">
        <v>1.0113099999999999</v>
      </c>
    </row>
    <row r="4568" spans="1:2" x14ac:dyDescent="0.2">
      <c r="A4568" s="68">
        <v>39037</v>
      </c>
      <c r="B4568" s="69">
        <v>1.01112</v>
      </c>
    </row>
    <row r="4569" spans="1:2" x14ac:dyDescent="0.2">
      <c r="A4569" s="68">
        <v>39036</v>
      </c>
      <c r="B4569" s="69">
        <v>1.01105</v>
      </c>
    </row>
    <row r="4570" spans="1:2" x14ac:dyDescent="0.2">
      <c r="A4570" s="68">
        <v>39035</v>
      </c>
      <c r="B4570" s="69">
        <v>1.01098</v>
      </c>
    </row>
    <row r="4571" spans="1:2" x14ac:dyDescent="0.2">
      <c r="A4571" s="68">
        <v>39034</v>
      </c>
      <c r="B4571" s="69">
        <v>1.0104200000000001</v>
      </c>
    </row>
    <row r="4572" spans="1:2" x14ac:dyDescent="0.2">
      <c r="A4572" s="68">
        <v>39031</v>
      </c>
      <c r="B4572" s="69">
        <v>1.0105999999999999</v>
      </c>
    </row>
    <row r="4573" spans="1:2" x14ac:dyDescent="0.2">
      <c r="A4573" s="68">
        <v>39030</v>
      </c>
      <c r="B4573" s="69">
        <v>1.01102</v>
      </c>
    </row>
    <row r="4574" spans="1:2" x14ac:dyDescent="0.2">
      <c r="A4574" s="68">
        <v>39029</v>
      </c>
      <c r="B4574" s="69">
        <v>1.01102</v>
      </c>
    </row>
    <row r="4575" spans="1:2" x14ac:dyDescent="0.2">
      <c r="A4575" s="68">
        <v>39028</v>
      </c>
      <c r="B4575" s="69">
        <v>1.0126500000000001</v>
      </c>
    </row>
    <row r="4576" spans="1:2" x14ac:dyDescent="0.2">
      <c r="A4576" s="68">
        <v>39027</v>
      </c>
      <c r="B4576" s="69">
        <v>1.0130999999999999</v>
      </c>
    </row>
    <row r="4577" spans="1:2" x14ac:dyDescent="0.2">
      <c r="A4577" s="68">
        <v>39024</v>
      </c>
      <c r="B4577" s="69">
        <v>1.0122899999999999</v>
      </c>
    </row>
    <row r="4578" spans="1:2" x14ac:dyDescent="0.2">
      <c r="A4578" s="68">
        <v>39023</v>
      </c>
      <c r="B4578" s="69">
        <v>1.01261</v>
      </c>
    </row>
    <row r="4579" spans="1:2" x14ac:dyDescent="0.2">
      <c r="A4579" s="68">
        <v>39022</v>
      </c>
      <c r="B4579" s="69">
        <v>1.01223</v>
      </c>
    </row>
    <row r="4580" spans="1:2" x14ac:dyDescent="0.2">
      <c r="A4580" s="68">
        <v>39021</v>
      </c>
      <c r="B4580" s="69">
        <v>1.01335</v>
      </c>
    </row>
    <row r="4581" spans="1:2" x14ac:dyDescent="0.2">
      <c r="A4581" s="68">
        <v>39020</v>
      </c>
      <c r="B4581" s="69">
        <v>1.0132300000000001</v>
      </c>
    </row>
    <row r="4582" spans="1:2" x14ac:dyDescent="0.2">
      <c r="A4582" s="68">
        <v>39017</v>
      </c>
      <c r="B4582" s="69">
        <v>1.0134000000000001</v>
      </c>
    </row>
    <row r="4583" spans="1:2" x14ac:dyDescent="0.2">
      <c r="A4583" s="68">
        <v>39016</v>
      </c>
      <c r="B4583" s="69">
        <v>1.0143500000000001</v>
      </c>
    </row>
    <row r="4584" spans="1:2" x14ac:dyDescent="0.2">
      <c r="A4584" s="68">
        <v>39015</v>
      </c>
      <c r="B4584" s="69">
        <v>1.0148999999999999</v>
      </c>
    </row>
    <row r="4585" spans="1:2" x14ac:dyDescent="0.2">
      <c r="A4585" s="68">
        <v>39014</v>
      </c>
      <c r="B4585" s="69">
        <v>1.01573</v>
      </c>
    </row>
    <row r="4586" spans="1:2" x14ac:dyDescent="0.2">
      <c r="A4586" s="68">
        <v>39013</v>
      </c>
      <c r="B4586" s="69">
        <v>1.01495</v>
      </c>
    </row>
    <row r="4587" spans="1:2" x14ac:dyDescent="0.2">
      <c r="A4587" s="68">
        <v>39010</v>
      </c>
      <c r="B4587" s="69">
        <v>1.0142599999999999</v>
      </c>
    </row>
    <row r="4588" spans="1:2" x14ac:dyDescent="0.2">
      <c r="A4588" s="68">
        <v>39009</v>
      </c>
      <c r="B4588" s="69">
        <v>1.0159400000000001</v>
      </c>
    </row>
    <row r="4589" spans="1:2" x14ac:dyDescent="0.2">
      <c r="A4589" s="68">
        <v>39008</v>
      </c>
      <c r="B4589" s="69">
        <v>1.0162599999999999</v>
      </c>
    </row>
    <row r="4590" spans="1:2" x14ac:dyDescent="0.2">
      <c r="A4590" s="68">
        <v>39007</v>
      </c>
      <c r="B4590" s="69">
        <v>1.0165999999999999</v>
      </c>
    </row>
    <row r="4591" spans="1:2" x14ac:dyDescent="0.2">
      <c r="A4591" s="68">
        <v>39006</v>
      </c>
      <c r="B4591" s="69">
        <v>1.01631</v>
      </c>
    </row>
    <row r="4592" spans="1:2" x14ac:dyDescent="0.2">
      <c r="A4592" s="68">
        <v>39003</v>
      </c>
      <c r="B4592" s="69">
        <v>1.01579</v>
      </c>
    </row>
    <row r="4593" spans="1:2" x14ac:dyDescent="0.2">
      <c r="A4593" s="68">
        <v>39002</v>
      </c>
      <c r="B4593" s="69">
        <v>1.01613</v>
      </c>
    </row>
    <row r="4594" spans="1:2" x14ac:dyDescent="0.2">
      <c r="A4594" s="68">
        <v>39001</v>
      </c>
      <c r="B4594" s="69">
        <v>1.0156000000000001</v>
      </c>
    </row>
    <row r="4595" spans="1:2" x14ac:dyDescent="0.2">
      <c r="A4595" s="68">
        <v>39000</v>
      </c>
      <c r="B4595" s="69">
        <v>1.01586</v>
      </c>
    </row>
    <row r="4596" spans="1:2" x14ac:dyDescent="0.2">
      <c r="A4596" s="68">
        <v>38999</v>
      </c>
      <c r="B4596" s="69">
        <v>1.01589</v>
      </c>
    </row>
    <row r="4597" spans="1:2" x14ac:dyDescent="0.2">
      <c r="A4597" s="68">
        <v>38989</v>
      </c>
      <c r="B4597" s="69">
        <v>1.0154099999999999</v>
      </c>
    </row>
    <row r="4598" spans="1:2" x14ac:dyDescent="0.2">
      <c r="A4598" s="68">
        <v>38988</v>
      </c>
      <c r="B4598" s="69">
        <v>1.0142599999999999</v>
      </c>
    </row>
    <row r="4599" spans="1:2" x14ac:dyDescent="0.2">
      <c r="A4599" s="68">
        <v>38987</v>
      </c>
      <c r="B4599" s="69">
        <v>1.01529</v>
      </c>
    </row>
    <row r="4600" spans="1:2" x14ac:dyDescent="0.2">
      <c r="A4600" s="68">
        <v>38986</v>
      </c>
      <c r="B4600" s="69">
        <v>1.01684</v>
      </c>
    </row>
    <row r="4601" spans="1:2" x14ac:dyDescent="0.2">
      <c r="A4601" s="68">
        <v>38985</v>
      </c>
      <c r="B4601" s="69">
        <v>1.0174700000000001</v>
      </c>
    </row>
    <row r="4602" spans="1:2" x14ac:dyDescent="0.2">
      <c r="A4602" s="68">
        <v>38982</v>
      </c>
      <c r="B4602" s="69">
        <v>1.01766</v>
      </c>
    </row>
    <row r="4603" spans="1:2" x14ac:dyDescent="0.2">
      <c r="A4603" s="68">
        <v>38981</v>
      </c>
      <c r="B4603" s="69">
        <v>1.01823</v>
      </c>
    </row>
    <row r="4604" spans="1:2" x14ac:dyDescent="0.2">
      <c r="A4604" s="68">
        <v>38980</v>
      </c>
      <c r="B4604" s="69">
        <v>1.0183899999999999</v>
      </c>
    </row>
    <row r="4605" spans="1:2" x14ac:dyDescent="0.2">
      <c r="A4605" s="68">
        <v>38979</v>
      </c>
      <c r="B4605" s="69">
        <v>1.01919</v>
      </c>
    </row>
    <row r="4606" spans="1:2" x14ac:dyDescent="0.2">
      <c r="A4606" s="68">
        <v>38978</v>
      </c>
      <c r="B4606" s="69">
        <v>1.02047</v>
      </c>
    </row>
    <row r="4607" spans="1:2" x14ac:dyDescent="0.2">
      <c r="A4607" s="68">
        <v>38975</v>
      </c>
      <c r="B4607" s="69">
        <v>1.0209699999999999</v>
      </c>
    </row>
    <row r="4608" spans="1:2" x14ac:dyDescent="0.2">
      <c r="A4608" s="68">
        <v>38974</v>
      </c>
      <c r="B4608" s="69">
        <v>1.02132</v>
      </c>
    </row>
    <row r="4609" spans="1:2" x14ac:dyDescent="0.2">
      <c r="A4609" s="68">
        <v>38973</v>
      </c>
      <c r="B4609" s="69">
        <v>1.02261</v>
      </c>
    </row>
    <row r="4610" spans="1:2" x14ac:dyDescent="0.2">
      <c r="A4610" s="68">
        <v>38972</v>
      </c>
      <c r="B4610" s="69">
        <v>1.02264</v>
      </c>
    </row>
    <row r="4611" spans="1:2" x14ac:dyDescent="0.2">
      <c r="A4611" s="68">
        <v>38971</v>
      </c>
      <c r="B4611" s="69">
        <v>1.0235300000000001</v>
      </c>
    </row>
    <row r="4612" spans="1:2" x14ac:dyDescent="0.2">
      <c r="A4612" s="68">
        <v>38968</v>
      </c>
      <c r="B4612" s="69">
        <v>1.02319</v>
      </c>
    </row>
    <row r="4613" spans="1:2" x14ac:dyDescent="0.2">
      <c r="A4613" s="68">
        <v>38967</v>
      </c>
      <c r="B4613" s="69">
        <v>1.02241</v>
      </c>
    </row>
    <row r="4614" spans="1:2" x14ac:dyDescent="0.2">
      <c r="A4614" s="68">
        <v>38966</v>
      </c>
      <c r="B4614" s="69">
        <v>1.0218499999999999</v>
      </c>
    </row>
    <row r="4615" spans="1:2" x14ac:dyDescent="0.2">
      <c r="A4615" s="68">
        <v>38965</v>
      </c>
      <c r="B4615" s="69">
        <v>1.02125</v>
      </c>
    </row>
    <row r="4616" spans="1:2" x14ac:dyDescent="0.2">
      <c r="A4616" s="68">
        <v>38964</v>
      </c>
      <c r="B4616" s="69">
        <v>1.02217</v>
      </c>
    </row>
    <row r="4617" spans="1:2" x14ac:dyDescent="0.2">
      <c r="A4617" s="68">
        <v>38961</v>
      </c>
      <c r="B4617" s="69">
        <v>1.02328</v>
      </c>
    </row>
    <row r="4618" spans="1:2" x14ac:dyDescent="0.2">
      <c r="A4618" s="68">
        <v>38960</v>
      </c>
      <c r="B4618" s="69">
        <v>1.0233399999999999</v>
      </c>
    </row>
    <row r="4619" spans="1:2" x14ac:dyDescent="0.2">
      <c r="A4619" s="68">
        <v>38959</v>
      </c>
      <c r="B4619" s="69">
        <v>1.0234000000000001</v>
      </c>
    </row>
    <row r="4620" spans="1:2" x14ac:dyDescent="0.2">
      <c r="A4620" s="68">
        <v>38958</v>
      </c>
      <c r="B4620" s="69">
        <v>1.0243800000000001</v>
      </c>
    </row>
    <row r="4621" spans="1:2" x14ac:dyDescent="0.2">
      <c r="A4621" s="68">
        <v>38957</v>
      </c>
      <c r="B4621" s="69">
        <v>1.02471</v>
      </c>
    </row>
    <row r="4622" spans="1:2" x14ac:dyDescent="0.2">
      <c r="A4622" s="68">
        <v>38954</v>
      </c>
      <c r="B4622" s="69">
        <v>1.02505</v>
      </c>
    </row>
    <row r="4623" spans="1:2" x14ac:dyDescent="0.2">
      <c r="A4623" s="68">
        <v>38953</v>
      </c>
      <c r="B4623" s="69">
        <v>1.0249600000000001</v>
      </c>
    </row>
    <row r="4624" spans="1:2" x14ac:dyDescent="0.2">
      <c r="A4624" s="68">
        <v>38952</v>
      </c>
      <c r="B4624" s="69">
        <v>1.0248299999999999</v>
      </c>
    </row>
    <row r="4625" spans="1:2" x14ac:dyDescent="0.2">
      <c r="A4625" s="68">
        <v>38951</v>
      </c>
      <c r="B4625" s="69">
        <v>1.0245599999999999</v>
      </c>
    </row>
    <row r="4626" spans="1:2" x14ac:dyDescent="0.2">
      <c r="A4626" s="68">
        <v>38950</v>
      </c>
      <c r="B4626" s="69">
        <v>1.0252300000000001</v>
      </c>
    </row>
    <row r="4627" spans="1:2" x14ac:dyDescent="0.2">
      <c r="A4627" s="68">
        <v>38947</v>
      </c>
      <c r="B4627" s="69">
        <v>1.0254399999999999</v>
      </c>
    </row>
    <row r="4628" spans="1:2" x14ac:dyDescent="0.2">
      <c r="A4628" s="68">
        <v>38946</v>
      </c>
      <c r="B4628" s="69">
        <v>1.0255000000000001</v>
      </c>
    </row>
    <row r="4629" spans="1:2" x14ac:dyDescent="0.2">
      <c r="A4629" s="68">
        <v>38945</v>
      </c>
      <c r="B4629" s="69">
        <v>1.0261199999999999</v>
      </c>
    </row>
    <row r="4630" spans="1:2" x14ac:dyDescent="0.2">
      <c r="A4630" s="68">
        <v>38944</v>
      </c>
      <c r="B4630" s="69">
        <v>1.02765</v>
      </c>
    </row>
    <row r="4631" spans="1:2" x14ac:dyDescent="0.2">
      <c r="A4631" s="68">
        <v>38943</v>
      </c>
      <c r="B4631" s="69">
        <v>1.0277400000000001</v>
      </c>
    </row>
    <row r="4632" spans="1:2" x14ac:dyDescent="0.2">
      <c r="A4632" s="68">
        <v>38940</v>
      </c>
      <c r="B4632" s="69">
        <v>1.02515</v>
      </c>
    </row>
    <row r="4633" spans="1:2" x14ac:dyDescent="0.2">
      <c r="A4633" s="68">
        <v>38939</v>
      </c>
      <c r="B4633" s="69">
        <v>1.02474</v>
      </c>
    </row>
    <row r="4634" spans="1:2" x14ac:dyDescent="0.2">
      <c r="A4634" s="68">
        <v>38938</v>
      </c>
      <c r="B4634" s="69">
        <v>1.0257499999999999</v>
      </c>
    </row>
    <row r="4635" spans="1:2" x14ac:dyDescent="0.2">
      <c r="A4635" s="68">
        <v>38937</v>
      </c>
      <c r="B4635" s="69">
        <v>1.02542</v>
      </c>
    </row>
    <row r="4636" spans="1:2" x14ac:dyDescent="0.2">
      <c r="A4636" s="68">
        <v>38936</v>
      </c>
      <c r="B4636" s="69">
        <v>1.0253399999999999</v>
      </c>
    </row>
    <row r="4637" spans="1:2" x14ac:dyDescent="0.2">
      <c r="A4637" s="68">
        <v>38933</v>
      </c>
      <c r="B4637" s="69">
        <v>1.0262199999999999</v>
      </c>
    </row>
    <row r="4638" spans="1:2" x14ac:dyDescent="0.2">
      <c r="A4638" s="68">
        <v>38932</v>
      </c>
      <c r="B4638" s="69">
        <v>1.0261899999999999</v>
      </c>
    </row>
    <row r="4639" spans="1:2" x14ac:dyDescent="0.2">
      <c r="A4639" s="68">
        <v>38931</v>
      </c>
      <c r="B4639" s="69">
        <v>1.0254399999999999</v>
      </c>
    </row>
    <row r="4640" spans="1:2" x14ac:dyDescent="0.2">
      <c r="A4640" s="68">
        <v>38930</v>
      </c>
      <c r="B4640" s="69">
        <v>1.0260100000000001</v>
      </c>
    </row>
    <row r="4641" spans="1:2" x14ac:dyDescent="0.2">
      <c r="A4641" s="68">
        <v>38929</v>
      </c>
      <c r="B4641" s="69">
        <v>1.0259</v>
      </c>
    </row>
    <row r="4642" spans="1:2" x14ac:dyDescent="0.2">
      <c r="A4642" s="68">
        <v>38926</v>
      </c>
      <c r="B4642" s="69">
        <v>1.0268999999999999</v>
      </c>
    </row>
    <row r="4643" spans="1:2" x14ac:dyDescent="0.2">
      <c r="A4643" s="68">
        <v>38925</v>
      </c>
      <c r="B4643" s="69">
        <v>1.02623</v>
      </c>
    </row>
    <row r="4644" spans="1:2" x14ac:dyDescent="0.2">
      <c r="A4644" s="68">
        <v>38924</v>
      </c>
      <c r="B4644" s="69">
        <v>1.0269200000000001</v>
      </c>
    </row>
    <row r="4645" spans="1:2" x14ac:dyDescent="0.2">
      <c r="A4645" s="68">
        <v>38923</v>
      </c>
      <c r="B4645" s="69">
        <v>1.02691</v>
      </c>
    </row>
    <row r="4646" spans="1:2" x14ac:dyDescent="0.2">
      <c r="A4646" s="68">
        <v>38922</v>
      </c>
      <c r="B4646" s="69">
        <v>1.0267599999999999</v>
      </c>
    </row>
    <row r="4647" spans="1:2" x14ac:dyDescent="0.2">
      <c r="A4647" s="68">
        <v>38919</v>
      </c>
      <c r="B4647" s="69">
        <v>1.0274700000000001</v>
      </c>
    </row>
    <row r="4648" spans="1:2" x14ac:dyDescent="0.2">
      <c r="A4648" s="68">
        <v>38918</v>
      </c>
      <c r="B4648" s="69">
        <v>1.0279499999999999</v>
      </c>
    </row>
    <row r="4649" spans="1:2" x14ac:dyDescent="0.2">
      <c r="A4649" s="68">
        <v>38917</v>
      </c>
      <c r="B4649" s="69">
        <v>1.02925</v>
      </c>
    </row>
    <row r="4650" spans="1:2" x14ac:dyDescent="0.2">
      <c r="A4650" s="68">
        <v>38916</v>
      </c>
      <c r="B4650" s="69">
        <v>1.0291699999999999</v>
      </c>
    </row>
    <row r="4651" spans="1:2" x14ac:dyDescent="0.2">
      <c r="A4651" s="68">
        <v>38915</v>
      </c>
      <c r="B4651" s="69">
        <v>1.02847</v>
      </c>
    </row>
    <row r="4652" spans="1:2" x14ac:dyDescent="0.2">
      <c r="A4652" s="68">
        <v>38912</v>
      </c>
      <c r="B4652" s="69">
        <v>1.02807</v>
      </c>
    </row>
    <row r="4653" spans="1:2" x14ac:dyDescent="0.2">
      <c r="A4653" s="68">
        <v>38911</v>
      </c>
      <c r="B4653" s="69">
        <v>1.0282</v>
      </c>
    </row>
    <row r="4654" spans="1:2" x14ac:dyDescent="0.2">
      <c r="A4654" s="68">
        <v>38910</v>
      </c>
      <c r="B4654" s="69">
        <v>1.0279</v>
      </c>
    </row>
    <row r="4655" spans="1:2" x14ac:dyDescent="0.2">
      <c r="A4655" s="68">
        <v>38909</v>
      </c>
      <c r="B4655" s="69">
        <v>1.0283800000000001</v>
      </c>
    </row>
    <row r="4656" spans="1:2" x14ac:dyDescent="0.2">
      <c r="A4656" s="68">
        <v>38908</v>
      </c>
      <c r="B4656" s="69">
        <v>1.02868</v>
      </c>
    </row>
    <row r="4657" spans="1:2" x14ac:dyDescent="0.2">
      <c r="A4657" s="68">
        <v>38905</v>
      </c>
      <c r="B4657" s="69">
        <v>1.0287200000000001</v>
      </c>
    </row>
    <row r="4658" spans="1:2" x14ac:dyDescent="0.2">
      <c r="A4658" s="68">
        <v>38904</v>
      </c>
      <c r="B4658" s="69">
        <v>1.0289299999999999</v>
      </c>
    </row>
    <row r="4659" spans="1:2" x14ac:dyDescent="0.2">
      <c r="A4659" s="68">
        <v>38903</v>
      </c>
      <c r="B4659" s="69">
        <v>1.02905</v>
      </c>
    </row>
    <row r="4660" spans="1:2" x14ac:dyDescent="0.2">
      <c r="A4660" s="68">
        <v>38902</v>
      </c>
      <c r="B4660" s="69">
        <v>1.0289900000000001</v>
      </c>
    </row>
    <row r="4661" spans="1:2" x14ac:dyDescent="0.2">
      <c r="A4661" s="68">
        <v>38901</v>
      </c>
      <c r="B4661" s="69">
        <v>1.0290600000000001</v>
      </c>
    </row>
    <row r="4662" spans="1:2" x14ac:dyDescent="0.2">
      <c r="A4662" s="68">
        <v>38898</v>
      </c>
      <c r="B4662" s="69">
        <v>1.02942</v>
      </c>
    </row>
    <row r="4663" spans="1:2" x14ac:dyDescent="0.2">
      <c r="A4663" s="68">
        <v>38897</v>
      </c>
      <c r="B4663" s="69">
        <v>1.0300400000000001</v>
      </c>
    </row>
    <row r="4664" spans="1:2" x14ac:dyDescent="0.2">
      <c r="A4664" s="68">
        <v>38896</v>
      </c>
      <c r="B4664" s="69">
        <v>1.02999</v>
      </c>
    </row>
    <row r="4665" spans="1:2" x14ac:dyDescent="0.2">
      <c r="A4665" s="68">
        <v>38895</v>
      </c>
      <c r="B4665" s="69">
        <v>1.0302500000000001</v>
      </c>
    </row>
    <row r="4666" spans="1:2" x14ac:dyDescent="0.2">
      <c r="A4666" s="68">
        <v>38894</v>
      </c>
      <c r="B4666" s="69">
        <v>1.03026</v>
      </c>
    </row>
    <row r="4667" spans="1:2" x14ac:dyDescent="0.2">
      <c r="A4667" s="68">
        <v>38891</v>
      </c>
      <c r="B4667" s="69">
        <v>1.03037</v>
      </c>
    </row>
    <row r="4668" spans="1:2" x14ac:dyDescent="0.2">
      <c r="A4668" s="68">
        <v>38890</v>
      </c>
      <c r="B4668" s="69">
        <v>1.0298499999999999</v>
      </c>
    </row>
    <row r="4669" spans="1:2" x14ac:dyDescent="0.2">
      <c r="A4669" s="68">
        <v>38889</v>
      </c>
      <c r="B4669" s="69">
        <v>1.02976</v>
      </c>
    </row>
    <row r="4670" spans="1:2" x14ac:dyDescent="0.2">
      <c r="A4670" s="68">
        <v>38888</v>
      </c>
      <c r="B4670" s="69">
        <v>1.03054</v>
      </c>
    </row>
    <row r="4671" spans="1:2" x14ac:dyDescent="0.2">
      <c r="A4671" s="68">
        <v>38887</v>
      </c>
      <c r="B4671" s="69">
        <v>1.0305899999999999</v>
      </c>
    </row>
    <row r="4672" spans="1:2" x14ac:dyDescent="0.2">
      <c r="A4672" s="68">
        <v>38884</v>
      </c>
      <c r="B4672" s="69">
        <v>1.0304500000000001</v>
      </c>
    </row>
    <row r="4673" spans="1:2" x14ac:dyDescent="0.2">
      <c r="A4673" s="68">
        <v>38883</v>
      </c>
      <c r="B4673" s="69">
        <v>1.03074</v>
      </c>
    </row>
    <row r="4674" spans="1:2" x14ac:dyDescent="0.2">
      <c r="A4674" s="68">
        <v>38882</v>
      </c>
      <c r="B4674" s="69">
        <v>1.0311699999999999</v>
      </c>
    </row>
    <row r="4675" spans="1:2" x14ac:dyDescent="0.2">
      <c r="A4675" s="68">
        <v>38881</v>
      </c>
      <c r="B4675" s="69">
        <v>1.0316399999999999</v>
      </c>
    </row>
    <row r="4676" spans="1:2" x14ac:dyDescent="0.2">
      <c r="A4676" s="68">
        <v>38880</v>
      </c>
      <c r="B4676" s="69">
        <v>1.03284</v>
      </c>
    </row>
    <row r="4677" spans="1:2" x14ac:dyDescent="0.2">
      <c r="A4677" s="68">
        <v>38877</v>
      </c>
      <c r="B4677" s="69">
        <v>1.0329699999999999</v>
      </c>
    </row>
    <row r="4678" spans="1:2" x14ac:dyDescent="0.2">
      <c r="A4678" s="68">
        <v>38876</v>
      </c>
      <c r="B4678" s="69">
        <v>1.0329699999999999</v>
      </c>
    </row>
    <row r="4679" spans="1:2" x14ac:dyDescent="0.2">
      <c r="A4679" s="68">
        <v>38875</v>
      </c>
      <c r="B4679" s="69">
        <v>1.0344</v>
      </c>
    </row>
    <row r="4680" spans="1:2" x14ac:dyDescent="0.2">
      <c r="A4680" s="68">
        <v>38874</v>
      </c>
      <c r="B4680" s="69">
        <v>1.03301</v>
      </c>
    </row>
    <row r="4681" spans="1:2" x14ac:dyDescent="0.2">
      <c r="A4681" s="68">
        <v>38873</v>
      </c>
      <c r="B4681" s="69">
        <v>1.0324199999999999</v>
      </c>
    </row>
    <row r="4682" spans="1:2" x14ac:dyDescent="0.2">
      <c r="A4682" s="68">
        <v>38870</v>
      </c>
      <c r="B4682" s="69">
        <v>1.0339799999999999</v>
      </c>
    </row>
    <row r="4683" spans="1:2" x14ac:dyDescent="0.2">
      <c r="A4683" s="68">
        <v>38869</v>
      </c>
      <c r="B4683" s="69">
        <v>1.0339</v>
      </c>
    </row>
    <row r="4684" spans="1:2" x14ac:dyDescent="0.2">
      <c r="A4684" s="68">
        <v>38868</v>
      </c>
      <c r="B4684" s="69">
        <v>1.0336399999999999</v>
      </c>
    </row>
    <row r="4685" spans="1:2" x14ac:dyDescent="0.2">
      <c r="A4685" s="68">
        <v>38867</v>
      </c>
      <c r="B4685" s="69">
        <v>1.0350299999999999</v>
      </c>
    </row>
    <row r="4686" spans="1:2" x14ac:dyDescent="0.2">
      <c r="A4686" s="68">
        <v>38866</v>
      </c>
      <c r="B4686" s="69">
        <v>1.0350600000000001</v>
      </c>
    </row>
    <row r="4687" spans="1:2" x14ac:dyDescent="0.2">
      <c r="A4687" s="68">
        <v>38863</v>
      </c>
      <c r="B4687" s="69">
        <v>1.0342199999999999</v>
      </c>
    </row>
    <row r="4688" spans="1:2" x14ac:dyDescent="0.2">
      <c r="A4688" s="68">
        <v>38862</v>
      </c>
      <c r="B4688" s="69">
        <v>1.0348299999999999</v>
      </c>
    </row>
    <row r="4689" spans="1:2" x14ac:dyDescent="0.2">
      <c r="A4689" s="68">
        <v>38861</v>
      </c>
      <c r="B4689" s="69">
        <v>1.03444</v>
      </c>
    </row>
    <row r="4690" spans="1:2" x14ac:dyDescent="0.2">
      <c r="A4690" s="68">
        <v>38860</v>
      </c>
      <c r="B4690" s="69">
        <v>1.0339</v>
      </c>
    </row>
    <row r="4691" spans="1:2" x14ac:dyDescent="0.2">
      <c r="A4691" s="68">
        <v>38859</v>
      </c>
      <c r="B4691" s="69">
        <v>1.0345500000000001</v>
      </c>
    </row>
    <row r="4692" spans="1:2" x14ac:dyDescent="0.2">
      <c r="A4692" s="68">
        <v>38856</v>
      </c>
      <c r="B4692" s="69">
        <v>1.03365</v>
      </c>
    </row>
    <row r="4693" spans="1:2" x14ac:dyDescent="0.2">
      <c r="A4693" s="68">
        <v>38855</v>
      </c>
      <c r="B4693" s="69">
        <v>1.03409</v>
      </c>
    </row>
    <row r="4694" spans="1:2" x14ac:dyDescent="0.2">
      <c r="A4694" s="68">
        <v>38854</v>
      </c>
      <c r="B4694" s="69">
        <v>1.03261</v>
      </c>
    </row>
    <row r="4695" spans="1:2" x14ac:dyDescent="0.2">
      <c r="A4695" s="68">
        <v>38853</v>
      </c>
      <c r="B4695" s="69">
        <v>1.0337700000000001</v>
      </c>
    </row>
    <row r="4696" spans="1:2" x14ac:dyDescent="0.2">
      <c r="A4696" s="68">
        <v>38852</v>
      </c>
      <c r="B4696" s="69">
        <v>1.03159</v>
      </c>
    </row>
    <row r="4697" spans="1:2" x14ac:dyDescent="0.2">
      <c r="A4697" s="68">
        <v>38849</v>
      </c>
      <c r="B4697" s="69">
        <v>1.0329600000000001</v>
      </c>
    </row>
    <row r="4698" spans="1:2" x14ac:dyDescent="0.2">
      <c r="A4698" s="68">
        <v>38848</v>
      </c>
      <c r="B4698" s="69">
        <v>1.03278</v>
      </c>
    </row>
    <row r="4699" spans="1:2" x14ac:dyDescent="0.2">
      <c r="A4699" s="68">
        <v>38847</v>
      </c>
      <c r="B4699" s="69">
        <v>1.03257</v>
      </c>
    </row>
    <row r="4700" spans="1:2" x14ac:dyDescent="0.2">
      <c r="A4700" s="68">
        <v>38846</v>
      </c>
      <c r="B4700" s="69">
        <v>1.0328999999999999</v>
      </c>
    </row>
    <row r="4701" spans="1:2" x14ac:dyDescent="0.2">
      <c r="A4701" s="68">
        <v>38845</v>
      </c>
      <c r="B4701" s="69">
        <v>1.0331300000000001</v>
      </c>
    </row>
    <row r="4702" spans="1:2" x14ac:dyDescent="0.2">
      <c r="A4702" s="68">
        <v>38835</v>
      </c>
      <c r="B4702" s="69">
        <v>1.0338700000000001</v>
      </c>
    </row>
    <row r="4703" spans="1:2" x14ac:dyDescent="0.2">
      <c r="A4703" s="68">
        <v>38834</v>
      </c>
      <c r="B4703" s="69">
        <v>1.0342899999999999</v>
      </c>
    </row>
    <row r="4704" spans="1:2" x14ac:dyDescent="0.2">
      <c r="A4704" s="68">
        <v>38833</v>
      </c>
      <c r="B4704" s="69">
        <v>1.0345</v>
      </c>
    </row>
    <row r="4705" spans="1:2" x14ac:dyDescent="0.2">
      <c r="A4705" s="68">
        <v>38832</v>
      </c>
      <c r="B4705" s="69">
        <v>1.0338799999999999</v>
      </c>
    </row>
    <row r="4706" spans="1:2" x14ac:dyDescent="0.2">
      <c r="A4706" s="68">
        <v>38831</v>
      </c>
      <c r="B4706" s="69">
        <v>1.0341199999999999</v>
      </c>
    </row>
    <row r="4707" spans="1:2" x14ac:dyDescent="0.2">
      <c r="A4707" s="68">
        <v>38828</v>
      </c>
      <c r="B4707" s="69">
        <v>1.03426</v>
      </c>
    </row>
    <row r="4708" spans="1:2" x14ac:dyDescent="0.2">
      <c r="A4708" s="68">
        <v>38827</v>
      </c>
      <c r="B4708" s="69">
        <v>1.03331</v>
      </c>
    </row>
    <row r="4709" spans="1:2" x14ac:dyDescent="0.2">
      <c r="A4709" s="68">
        <v>38826</v>
      </c>
      <c r="B4709" s="69">
        <v>1.0330699999999999</v>
      </c>
    </row>
    <row r="4710" spans="1:2" x14ac:dyDescent="0.2">
      <c r="A4710" s="68">
        <v>38825</v>
      </c>
      <c r="B4710" s="69">
        <v>1.03302</v>
      </c>
    </row>
    <row r="4711" spans="1:2" x14ac:dyDescent="0.2">
      <c r="A4711" s="68">
        <v>38824</v>
      </c>
      <c r="B4711" s="69">
        <v>1.0332699999999999</v>
      </c>
    </row>
    <row r="4712" spans="1:2" x14ac:dyDescent="0.2">
      <c r="A4712" s="68">
        <v>38821</v>
      </c>
      <c r="B4712" s="69">
        <v>1.0334000000000001</v>
      </c>
    </row>
    <row r="4713" spans="1:2" x14ac:dyDescent="0.2">
      <c r="A4713" s="68">
        <v>38820</v>
      </c>
      <c r="B4713" s="69">
        <v>1.0343599999999999</v>
      </c>
    </row>
    <row r="4714" spans="1:2" x14ac:dyDescent="0.2">
      <c r="A4714" s="68">
        <v>38819</v>
      </c>
      <c r="B4714" s="69">
        <v>1.0327500000000001</v>
      </c>
    </row>
    <row r="4715" spans="1:2" x14ac:dyDescent="0.2">
      <c r="A4715" s="68">
        <v>38818</v>
      </c>
      <c r="B4715" s="69">
        <v>1.0327599999999999</v>
      </c>
    </row>
    <row r="4716" spans="1:2" x14ac:dyDescent="0.2">
      <c r="A4716" s="68">
        <v>38817</v>
      </c>
      <c r="B4716" s="69">
        <v>1.0318700000000001</v>
      </c>
    </row>
    <row r="4717" spans="1:2" x14ac:dyDescent="0.2">
      <c r="A4717" s="68">
        <v>38814</v>
      </c>
      <c r="B4717" s="69">
        <v>1.0327900000000001</v>
      </c>
    </row>
    <row r="4718" spans="1:2" x14ac:dyDescent="0.2">
      <c r="A4718" s="68">
        <v>38813</v>
      </c>
      <c r="B4718" s="69">
        <v>1.0323</v>
      </c>
    </row>
    <row r="4719" spans="1:2" x14ac:dyDescent="0.2">
      <c r="A4719" s="68">
        <v>38812</v>
      </c>
      <c r="B4719" s="69">
        <v>1.0325200000000001</v>
      </c>
    </row>
    <row r="4720" spans="1:2" x14ac:dyDescent="0.2">
      <c r="A4720" s="68">
        <v>38811</v>
      </c>
      <c r="B4720" s="69">
        <v>1.03349</v>
      </c>
    </row>
    <row r="4721" spans="1:2" x14ac:dyDescent="0.2">
      <c r="A4721" s="68">
        <v>38810</v>
      </c>
      <c r="B4721" s="69">
        <v>1.03366</v>
      </c>
    </row>
    <row r="4722" spans="1:2" x14ac:dyDescent="0.2">
      <c r="A4722" s="68">
        <v>38807</v>
      </c>
      <c r="B4722" s="69">
        <v>1.0330999999999999</v>
      </c>
    </row>
    <row r="4723" spans="1:2" x14ac:dyDescent="0.2">
      <c r="A4723" s="68">
        <v>38806</v>
      </c>
      <c r="B4723" s="69">
        <v>1.0343</v>
      </c>
    </row>
    <row r="4724" spans="1:2" x14ac:dyDescent="0.2">
      <c r="A4724" s="68">
        <v>38805</v>
      </c>
      <c r="B4724" s="69">
        <v>1.0345</v>
      </c>
    </row>
    <row r="4725" spans="1:2" x14ac:dyDescent="0.2">
      <c r="A4725" s="68">
        <v>38804</v>
      </c>
      <c r="B4725" s="69">
        <v>1.0337000000000001</v>
      </c>
    </row>
    <row r="4726" spans="1:2" x14ac:dyDescent="0.2">
      <c r="A4726" s="68">
        <v>38803</v>
      </c>
      <c r="B4726" s="69">
        <v>1.0341</v>
      </c>
    </row>
    <row r="4727" spans="1:2" x14ac:dyDescent="0.2">
      <c r="A4727" s="68">
        <v>38800</v>
      </c>
      <c r="B4727" s="69">
        <v>1.0353000000000001</v>
      </c>
    </row>
    <row r="4728" spans="1:2" x14ac:dyDescent="0.2">
      <c r="A4728" s="68">
        <v>38799</v>
      </c>
      <c r="B4728" s="69">
        <v>1.0347999999999999</v>
      </c>
    </row>
    <row r="4729" spans="1:2" x14ac:dyDescent="0.2">
      <c r="A4729" s="68">
        <v>38798</v>
      </c>
      <c r="B4729" s="69">
        <v>1.0348999999999999</v>
      </c>
    </row>
    <row r="4730" spans="1:2" x14ac:dyDescent="0.2">
      <c r="A4730" s="68">
        <v>38797</v>
      </c>
      <c r="B4730" s="69">
        <v>1.0346</v>
      </c>
    </row>
    <row r="4731" spans="1:2" x14ac:dyDescent="0.2">
      <c r="A4731" s="68">
        <v>38796</v>
      </c>
      <c r="B4731" s="69">
        <v>1.0344</v>
      </c>
    </row>
    <row r="4732" spans="1:2" x14ac:dyDescent="0.2">
      <c r="A4732" s="68">
        <v>38793</v>
      </c>
      <c r="B4732" s="69">
        <v>1.0348999999999999</v>
      </c>
    </row>
    <row r="4733" spans="1:2" x14ac:dyDescent="0.2">
      <c r="A4733" s="68">
        <v>38792</v>
      </c>
      <c r="B4733" s="69">
        <v>1.0355000000000001</v>
      </c>
    </row>
    <row r="4734" spans="1:2" x14ac:dyDescent="0.2">
      <c r="A4734" s="68">
        <v>38791</v>
      </c>
      <c r="B4734" s="69">
        <v>1.0361</v>
      </c>
    </row>
    <row r="4735" spans="1:2" x14ac:dyDescent="0.2">
      <c r="A4735" s="68">
        <v>38790</v>
      </c>
      <c r="B4735" s="69">
        <v>1.0370999999999999</v>
      </c>
    </row>
    <row r="4736" spans="1:2" x14ac:dyDescent="0.2">
      <c r="A4736" s="68">
        <v>38789</v>
      </c>
      <c r="B4736" s="69">
        <v>1.0370999999999999</v>
      </c>
    </row>
    <row r="4737" spans="1:2" x14ac:dyDescent="0.2">
      <c r="A4737" s="68">
        <v>38786</v>
      </c>
      <c r="B4737" s="69">
        <v>1.0369999999999999</v>
      </c>
    </row>
    <row r="4738" spans="1:2" x14ac:dyDescent="0.2">
      <c r="A4738" s="68">
        <v>38785</v>
      </c>
      <c r="B4738" s="69">
        <v>1.0368999999999999</v>
      </c>
    </row>
    <row r="4739" spans="1:2" x14ac:dyDescent="0.2">
      <c r="A4739" s="68">
        <v>38784</v>
      </c>
      <c r="B4739" s="69">
        <v>1.0368999999999999</v>
      </c>
    </row>
    <row r="4740" spans="1:2" x14ac:dyDescent="0.2">
      <c r="A4740" s="68">
        <v>38783</v>
      </c>
      <c r="B4740" s="69">
        <v>1.0365</v>
      </c>
    </row>
    <row r="4741" spans="1:2" x14ac:dyDescent="0.2">
      <c r="A4741" s="68">
        <v>38782</v>
      </c>
      <c r="B4741" s="69">
        <v>1.036</v>
      </c>
    </row>
    <row r="4742" spans="1:2" x14ac:dyDescent="0.2">
      <c r="A4742" s="68">
        <v>38779</v>
      </c>
      <c r="B4742" s="69">
        <v>1.0361</v>
      </c>
    </row>
    <row r="4743" spans="1:2" x14ac:dyDescent="0.2">
      <c r="A4743" s="68">
        <v>38778</v>
      </c>
      <c r="B4743" s="69">
        <v>1.0363</v>
      </c>
    </row>
    <row r="4744" spans="1:2" x14ac:dyDescent="0.2">
      <c r="A4744" s="68">
        <v>38777</v>
      </c>
      <c r="B4744" s="69">
        <v>1.0363</v>
      </c>
    </row>
    <row r="4745" spans="1:2" x14ac:dyDescent="0.2">
      <c r="A4745" s="68">
        <v>38776</v>
      </c>
      <c r="B4745" s="69">
        <v>1.0365</v>
      </c>
    </row>
    <row r="4746" spans="1:2" x14ac:dyDescent="0.2">
      <c r="A4746" s="68">
        <v>38775</v>
      </c>
      <c r="B4746" s="69">
        <v>1.0365</v>
      </c>
    </row>
    <row r="4747" spans="1:2" x14ac:dyDescent="0.2">
      <c r="A4747" s="68">
        <v>38772</v>
      </c>
      <c r="B4747" s="69">
        <v>1.0367</v>
      </c>
    </row>
    <row r="4748" spans="1:2" x14ac:dyDescent="0.2">
      <c r="A4748" s="68">
        <v>38771</v>
      </c>
      <c r="B4748" s="69">
        <v>1.0370999999999999</v>
      </c>
    </row>
    <row r="4749" spans="1:2" x14ac:dyDescent="0.2">
      <c r="A4749" s="68">
        <v>38770</v>
      </c>
      <c r="B4749" s="69">
        <v>1.0370999999999999</v>
      </c>
    </row>
    <row r="4750" spans="1:2" x14ac:dyDescent="0.2">
      <c r="A4750" s="68">
        <v>38769</v>
      </c>
      <c r="B4750" s="69">
        <v>1.0369999999999999</v>
      </c>
    </row>
    <row r="4751" spans="1:2" x14ac:dyDescent="0.2">
      <c r="A4751" s="68">
        <v>38768</v>
      </c>
      <c r="B4751" s="69">
        <v>1.0370999999999999</v>
      </c>
    </row>
    <row r="4752" spans="1:2" x14ac:dyDescent="0.2">
      <c r="A4752" s="68">
        <v>38765</v>
      </c>
      <c r="B4752" s="69">
        <v>1.0371999999999999</v>
      </c>
    </row>
    <row r="4753" spans="1:2" x14ac:dyDescent="0.2">
      <c r="A4753" s="68">
        <v>38764</v>
      </c>
      <c r="B4753" s="69">
        <v>1.0370999999999999</v>
      </c>
    </row>
    <row r="4754" spans="1:2" x14ac:dyDescent="0.2">
      <c r="A4754" s="68">
        <v>38763</v>
      </c>
      <c r="B4754" s="69">
        <v>1.0368999999999999</v>
      </c>
    </row>
    <row r="4755" spans="1:2" x14ac:dyDescent="0.2">
      <c r="A4755" s="68">
        <v>38762</v>
      </c>
      <c r="B4755" s="69">
        <v>1.0369999999999999</v>
      </c>
    </row>
    <row r="4756" spans="1:2" x14ac:dyDescent="0.2">
      <c r="A4756" s="68">
        <v>38761</v>
      </c>
      <c r="B4756" s="69">
        <v>1.0370999999999999</v>
      </c>
    </row>
    <row r="4757" spans="1:2" x14ac:dyDescent="0.2">
      <c r="A4757" s="68">
        <v>38758</v>
      </c>
      <c r="B4757" s="69">
        <v>1.0373000000000001</v>
      </c>
    </row>
    <row r="4758" spans="1:2" x14ac:dyDescent="0.2">
      <c r="A4758" s="68">
        <v>38757</v>
      </c>
      <c r="B4758" s="69">
        <v>1.0378000000000001</v>
      </c>
    </row>
    <row r="4759" spans="1:2" x14ac:dyDescent="0.2">
      <c r="A4759" s="68">
        <v>38756</v>
      </c>
      <c r="B4759" s="69">
        <v>1.038</v>
      </c>
    </row>
    <row r="4760" spans="1:2" x14ac:dyDescent="0.2">
      <c r="A4760" s="68">
        <v>38755</v>
      </c>
      <c r="B4760" s="69">
        <v>1.0384</v>
      </c>
    </row>
    <row r="4761" spans="1:2" x14ac:dyDescent="0.2">
      <c r="A4761" s="68">
        <v>38754</v>
      </c>
      <c r="B4761" s="69">
        <v>1.0385</v>
      </c>
    </row>
    <row r="4762" spans="1:2" x14ac:dyDescent="0.2">
      <c r="A4762" s="68">
        <v>38744</v>
      </c>
      <c r="B4762" s="69">
        <v>1.0394000000000001</v>
      </c>
    </row>
    <row r="4763" spans="1:2" x14ac:dyDescent="0.2">
      <c r="A4763" s="68">
        <v>38743</v>
      </c>
      <c r="B4763" s="69">
        <v>1.0395000000000001</v>
      </c>
    </row>
    <row r="4764" spans="1:2" x14ac:dyDescent="0.2">
      <c r="A4764" s="68">
        <v>38742</v>
      </c>
      <c r="B4764" s="69">
        <v>1.0395000000000001</v>
      </c>
    </row>
    <row r="4765" spans="1:2" x14ac:dyDescent="0.2">
      <c r="A4765" s="68">
        <v>38741</v>
      </c>
      <c r="B4765" s="69">
        <v>1.0397000000000001</v>
      </c>
    </row>
    <row r="4766" spans="1:2" x14ac:dyDescent="0.2">
      <c r="A4766" s="68">
        <v>38740</v>
      </c>
      <c r="B4766" s="69">
        <v>1.0399</v>
      </c>
    </row>
    <row r="4767" spans="1:2" x14ac:dyDescent="0.2">
      <c r="A4767" s="68">
        <v>38737</v>
      </c>
      <c r="B4767" s="69">
        <v>1.0399</v>
      </c>
    </row>
    <row r="4768" spans="1:2" x14ac:dyDescent="0.2">
      <c r="A4768" s="68">
        <v>38736</v>
      </c>
      <c r="B4768" s="69">
        <v>1.0406</v>
      </c>
    </row>
    <row r="4769" spans="1:2" x14ac:dyDescent="0.2">
      <c r="A4769" s="68">
        <v>38735</v>
      </c>
      <c r="B4769" s="69">
        <v>1.0407999999999999</v>
      </c>
    </row>
    <row r="4770" spans="1:2" x14ac:dyDescent="0.2">
      <c r="A4770" s="68">
        <v>38734</v>
      </c>
      <c r="B4770" s="69">
        <v>1.0405</v>
      </c>
    </row>
    <row r="4771" spans="1:2" x14ac:dyDescent="0.2">
      <c r="A4771" s="68">
        <v>38733</v>
      </c>
      <c r="B4771" s="69">
        <v>1.0407</v>
      </c>
    </row>
    <row r="4772" spans="1:2" x14ac:dyDescent="0.2">
      <c r="A4772" s="68">
        <v>38730</v>
      </c>
      <c r="B4772" s="69">
        <v>1.0410999999999999</v>
      </c>
    </row>
    <row r="4773" spans="1:2" x14ac:dyDescent="0.2">
      <c r="A4773" s="68">
        <v>38729</v>
      </c>
      <c r="B4773" s="69">
        <v>1.0408999999999999</v>
      </c>
    </row>
    <row r="4774" spans="1:2" x14ac:dyDescent="0.2">
      <c r="A4774" s="68">
        <v>38728</v>
      </c>
      <c r="B4774" s="69">
        <v>1.0410999999999999</v>
      </c>
    </row>
    <row r="4775" spans="1:2" x14ac:dyDescent="0.2">
      <c r="A4775" s="68">
        <v>38727</v>
      </c>
      <c r="B4775" s="69">
        <v>1.0408999999999999</v>
      </c>
    </row>
    <row r="4776" spans="1:2" x14ac:dyDescent="0.2">
      <c r="A4776" s="68">
        <v>38726</v>
      </c>
      <c r="B4776" s="69">
        <v>1.0404</v>
      </c>
    </row>
    <row r="4777" spans="1:2" x14ac:dyDescent="0.2">
      <c r="A4777" s="68">
        <v>38723</v>
      </c>
      <c r="B4777" s="69">
        <v>1.0404</v>
      </c>
    </row>
    <row r="4778" spans="1:2" x14ac:dyDescent="0.2">
      <c r="A4778" s="68">
        <v>38722</v>
      </c>
      <c r="B4778" s="69">
        <v>1.0405</v>
      </c>
    </row>
    <row r="4779" spans="1:2" x14ac:dyDescent="0.2">
      <c r="A4779" s="68">
        <v>38721</v>
      </c>
      <c r="B4779" s="69">
        <v>1.0407999999999999</v>
      </c>
    </row>
    <row r="4780" spans="1:2" x14ac:dyDescent="0.2">
      <c r="A4780" s="68">
        <v>38717</v>
      </c>
      <c r="B4780" s="69">
        <v>1.0403</v>
      </c>
    </row>
    <row r="4781" spans="1:2" x14ac:dyDescent="0.2">
      <c r="A4781" s="68">
        <v>38716</v>
      </c>
      <c r="B4781" s="69">
        <v>1.0405</v>
      </c>
    </row>
    <row r="4782" spans="1:2" x14ac:dyDescent="0.2">
      <c r="A4782" s="68">
        <v>38715</v>
      </c>
      <c r="B4782" s="69">
        <v>1.0407</v>
      </c>
    </row>
    <row r="4783" spans="1:2" x14ac:dyDescent="0.2">
      <c r="A4783" s="68">
        <v>38714</v>
      </c>
      <c r="B4783" s="69">
        <v>1.0407</v>
      </c>
    </row>
    <row r="4784" spans="1:2" x14ac:dyDescent="0.2">
      <c r="A4784" s="68">
        <v>38713</v>
      </c>
      <c r="B4784" s="69">
        <v>1.0408999999999999</v>
      </c>
    </row>
    <row r="4785" spans="1:2" x14ac:dyDescent="0.2">
      <c r="A4785" s="68">
        <v>38712</v>
      </c>
      <c r="B4785" s="69">
        <v>1.0411999999999999</v>
      </c>
    </row>
    <row r="4786" spans="1:2" x14ac:dyDescent="0.2">
      <c r="A4786" s="68">
        <v>38709</v>
      </c>
      <c r="B4786" s="69">
        <v>1.0414000000000001</v>
      </c>
    </row>
    <row r="4787" spans="1:2" x14ac:dyDescent="0.2">
      <c r="A4787" s="68">
        <v>38708</v>
      </c>
      <c r="B4787" s="69">
        <v>1.0411999999999999</v>
      </c>
    </row>
    <row r="4788" spans="1:2" x14ac:dyDescent="0.2">
      <c r="A4788" s="68">
        <v>38707</v>
      </c>
      <c r="B4788" s="69">
        <v>1.0411999999999999</v>
      </c>
    </row>
    <row r="4789" spans="1:2" x14ac:dyDescent="0.2">
      <c r="A4789" s="68">
        <v>38706</v>
      </c>
      <c r="B4789" s="69">
        <v>1.0408999999999999</v>
      </c>
    </row>
    <row r="4790" spans="1:2" x14ac:dyDescent="0.2">
      <c r="A4790" s="68">
        <v>38705</v>
      </c>
      <c r="B4790" s="69">
        <v>1.0407999999999999</v>
      </c>
    </row>
    <row r="4791" spans="1:2" x14ac:dyDescent="0.2">
      <c r="A4791" s="68">
        <v>38702</v>
      </c>
      <c r="B4791" s="69">
        <v>1.0407999999999999</v>
      </c>
    </row>
    <row r="4792" spans="1:2" x14ac:dyDescent="0.2">
      <c r="A4792" s="68">
        <v>38701</v>
      </c>
      <c r="B4792" s="69">
        <v>1.0411999999999999</v>
      </c>
    </row>
    <row r="4793" spans="1:2" x14ac:dyDescent="0.2">
      <c r="A4793" s="68">
        <v>38700</v>
      </c>
      <c r="B4793" s="69">
        <v>1.0409999999999999</v>
      </c>
    </row>
    <row r="4794" spans="1:2" x14ac:dyDescent="0.2">
      <c r="A4794" s="68">
        <v>38699</v>
      </c>
      <c r="B4794" s="69">
        <v>1.0415000000000001</v>
      </c>
    </row>
    <row r="4795" spans="1:2" x14ac:dyDescent="0.2">
      <c r="A4795" s="68">
        <v>38698</v>
      </c>
      <c r="B4795" s="69">
        <v>1.0415000000000001</v>
      </c>
    </row>
    <row r="4796" spans="1:2" x14ac:dyDescent="0.2">
      <c r="A4796" s="68">
        <v>38695</v>
      </c>
      <c r="B4796" s="69">
        <v>1.0415000000000001</v>
      </c>
    </row>
    <row r="4797" spans="1:2" x14ac:dyDescent="0.2">
      <c r="A4797" s="68">
        <v>38694</v>
      </c>
      <c r="B4797" s="69">
        <v>1.0415000000000001</v>
      </c>
    </row>
    <row r="4798" spans="1:2" x14ac:dyDescent="0.2">
      <c r="A4798" s="68">
        <v>38693</v>
      </c>
      <c r="B4798" s="69">
        <v>1.0411999999999999</v>
      </c>
    </row>
    <row r="4799" spans="1:2" x14ac:dyDescent="0.2">
      <c r="A4799" s="68">
        <v>38692</v>
      </c>
      <c r="B4799" s="69">
        <v>1.0415000000000001</v>
      </c>
    </row>
    <row r="4800" spans="1:2" x14ac:dyDescent="0.2">
      <c r="A4800" s="68">
        <v>38691</v>
      </c>
      <c r="B4800" s="69">
        <v>1.0416000000000001</v>
      </c>
    </row>
    <row r="4801" spans="1:2" x14ac:dyDescent="0.2">
      <c r="A4801" s="68">
        <v>38688</v>
      </c>
      <c r="B4801" s="69">
        <v>1.0415000000000001</v>
      </c>
    </row>
    <row r="4802" spans="1:2" x14ac:dyDescent="0.2">
      <c r="A4802" s="68">
        <v>38687</v>
      </c>
      <c r="B4802" s="69">
        <v>1.0417000000000001</v>
      </c>
    </row>
    <row r="4803" spans="1:2" x14ac:dyDescent="0.2">
      <c r="A4803" s="68">
        <v>38686</v>
      </c>
      <c r="B4803" s="69">
        <v>1.0416000000000001</v>
      </c>
    </row>
    <row r="4804" spans="1:2" x14ac:dyDescent="0.2">
      <c r="A4804" s="68">
        <v>38685</v>
      </c>
      <c r="B4804" s="69">
        <v>1.0419</v>
      </c>
    </row>
    <row r="4805" spans="1:2" x14ac:dyDescent="0.2">
      <c r="A4805" s="68">
        <v>38684</v>
      </c>
      <c r="B4805" s="69">
        <v>1.0417000000000001</v>
      </c>
    </row>
    <row r="4806" spans="1:2" x14ac:dyDescent="0.2">
      <c r="A4806" s="68">
        <v>38681</v>
      </c>
      <c r="B4806" s="69">
        <v>1.0418000000000001</v>
      </c>
    </row>
    <row r="4807" spans="1:2" x14ac:dyDescent="0.2">
      <c r="A4807" s="68">
        <v>38680</v>
      </c>
      <c r="B4807" s="69">
        <v>1.0419</v>
      </c>
    </row>
    <row r="4808" spans="1:2" x14ac:dyDescent="0.2">
      <c r="A4808" s="68">
        <v>38679</v>
      </c>
      <c r="B4808" s="69">
        <v>1.0421</v>
      </c>
    </row>
    <row r="4809" spans="1:2" x14ac:dyDescent="0.2">
      <c r="A4809" s="68">
        <v>38678</v>
      </c>
      <c r="B4809" s="69">
        <v>1.0423</v>
      </c>
    </row>
    <row r="4810" spans="1:2" x14ac:dyDescent="0.2">
      <c r="A4810" s="68">
        <v>38677</v>
      </c>
      <c r="B4810" s="69">
        <v>1.0421</v>
      </c>
    </row>
    <row r="4811" spans="1:2" x14ac:dyDescent="0.2">
      <c r="A4811" s="68">
        <v>38674</v>
      </c>
      <c r="B4811" s="69">
        <v>1.0421</v>
      </c>
    </row>
    <row r="4812" spans="1:2" x14ac:dyDescent="0.2">
      <c r="A4812" s="68">
        <v>38673</v>
      </c>
      <c r="B4812" s="69">
        <v>1.0417000000000001</v>
      </c>
    </row>
    <row r="4813" spans="1:2" x14ac:dyDescent="0.2">
      <c r="A4813" s="68">
        <v>38672</v>
      </c>
      <c r="B4813" s="69">
        <v>1.0417000000000001</v>
      </c>
    </row>
    <row r="4814" spans="1:2" x14ac:dyDescent="0.2">
      <c r="A4814" s="68">
        <v>38671</v>
      </c>
      <c r="B4814" s="69">
        <v>1.0417000000000001</v>
      </c>
    </row>
    <row r="4815" spans="1:2" x14ac:dyDescent="0.2">
      <c r="A4815" s="68">
        <v>38670</v>
      </c>
      <c r="B4815" s="69">
        <v>1.0424</v>
      </c>
    </row>
    <row r="4816" spans="1:2" x14ac:dyDescent="0.2">
      <c r="A4816" s="68">
        <v>38667</v>
      </c>
      <c r="B4816" s="69">
        <v>1.0417000000000001</v>
      </c>
    </row>
    <row r="4817" spans="1:2" x14ac:dyDescent="0.2">
      <c r="A4817" s="68">
        <v>38666</v>
      </c>
      <c r="B4817" s="69">
        <v>1.042</v>
      </c>
    </row>
    <row r="4818" spans="1:2" x14ac:dyDescent="0.2">
      <c r="A4818" s="68">
        <v>38665</v>
      </c>
      <c r="B4818" s="69">
        <v>1.0425</v>
      </c>
    </row>
    <row r="4819" spans="1:2" x14ac:dyDescent="0.2">
      <c r="A4819" s="68">
        <v>38664</v>
      </c>
      <c r="B4819" s="69">
        <v>1.0427999999999999</v>
      </c>
    </row>
    <row r="4820" spans="1:2" x14ac:dyDescent="0.2">
      <c r="A4820" s="68">
        <v>38663</v>
      </c>
      <c r="B4820" s="69">
        <v>1.0425</v>
      </c>
    </row>
    <row r="4821" spans="1:2" x14ac:dyDescent="0.2">
      <c r="A4821" s="68">
        <v>38660</v>
      </c>
      <c r="B4821" s="69">
        <v>1.0422</v>
      </c>
    </row>
    <row r="4822" spans="1:2" x14ac:dyDescent="0.2">
      <c r="A4822" s="68">
        <v>38659</v>
      </c>
      <c r="B4822" s="69">
        <v>1.0425</v>
      </c>
    </row>
    <row r="4823" spans="1:2" x14ac:dyDescent="0.2">
      <c r="A4823" s="68">
        <v>38658</v>
      </c>
      <c r="B4823" s="69">
        <v>1.0427</v>
      </c>
    </row>
    <row r="4824" spans="1:2" x14ac:dyDescent="0.2">
      <c r="A4824" s="68">
        <v>38657</v>
      </c>
      <c r="B4824" s="69">
        <v>1.0425</v>
      </c>
    </row>
    <row r="4825" spans="1:2" x14ac:dyDescent="0.2">
      <c r="A4825" s="68">
        <v>38656</v>
      </c>
      <c r="B4825" s="69">
        <v>1.0425</v>
      </c>
    </row>
    <row r="4826" spans="1:2" x14ac:dyDescent="0.2">
      <c r="A4826" s="68">
        <v>38653</v>
      </c>
      <c r="B4826" s="69">
        <v>1.0426</v>
      </c>
    </row>
    <row r="4827" spans="1:2" x14ac:dyDescent="0.2">
      <c r="A4827" s="68">
        <v>38652</v>
      </c>
      <c r="B4827" s="69">
        <v>1.0426</v>
      </c>
    </row>
    <row r="4828" spans="1:2" x14ac:dyDescent="0.2">
      <c r="A4828" s="68">
        <v>38651</v>
      </c>
      <c r="B4828" s="69">
        <v>1.0429999999999999</v>
      </c>
    </row>
    <row r="4829" spans="1:2" x14ac:dyDescent="0.2">
      <c r="A4829" s="68">
        <v>38650</v>
      </c>
      <c r="B4829" s="69">
        <v>1.0429999999999999</v>
      </c>
    </row>
    <row r="4830" spans="1:2" x14ac:dyDescent="0.2">
      <c r="A4830" s="68">
        <v>38649</v>
      </c>
      <c r="B4830" s="69">
        <v>1.0424</v>
      </c>
    </row>
    <row r="4831" spans="1:2" x14ac:dyDescent="0.2">
      <c r="A4831" s="68">
        <v>38646</v>
      </c>
      <c r="B4831" s="69">
        <v>1.0423</v>
      </c>
    </row>
    <row r="4832" spans="1:2" x14ac:dyDescent="0.2">
      <c r="A4832" s="68">
        <v>38645</v>
      </c>
      <c r="B4832" s="69">
        <v>1.0424</v>
      </c>
    </row>
    <row r="4833" spans="1:2" x14ac:dyDescent="0.2">
      <c r="A4833" s="68">
        <v>38644</v>
      </c>
      <c r="B4833" s="69">
        <v>1.0427</v>
      </c>
    </row>
    <row r="4834" spans="1:2" x14ac:dyDescent="0.2">
      <c r="A4834" s="68">
        <v>38643</v>
      </c>
      <c r="B4834" s="69">
        <v>1.0424</v>
      </c>
    </row>
    <row r="4835" spans="1:2" x14ac:dyDescent="0.2">
      <c r="A4835" s="68">
        <v>38642</v>
      </c>
      <c r="B4835" s="69">
        <v>1.0424</v>
      </c>
    </row>
    <row r="4836" spans="1:2" x14ac:dyDescent="0.2">
      <c r="A4836" s="68">
        <v>38639</v>
      </c>
      <c r="B4836" s="69">
        <v>1.0423</v>
      </c>
    </row>
    <row r="4837" spans="1:2" x14ac:dyDescent="0.2">
      <c r="A4837" s="68">
        <v>38638</v>
      </c>
      <c r="B4837" s="69">
        <v>1.0425</v>
      </c>
    </row>
    <row r="4838" spans="1:2" x14ac:dyDescent="0.2">
      <c r="A4838" s="68">
        <v>38637</v>
      </c>
      <c r="B4838" s="69">
        <v>1.0425</v>
      </c>
    </row>
    <row r="4839" spans="1:2" x14ac:dyDescent="0.2">
      <c r="A4839" s="68">
        <v>38636</v>
      </c>
      <c r="B4839" s="69">
        <v>1.042</v>
      </c>
    </row>
    <row r="4840" spans="1:2" x14ac:dyDescent="0.2">
      <c r="A4840" s="68">
        <v>38635</v>
      </c>
      <c r="B4840" s="69">
        <v>1.042</v>
      </c>
    </row>
    <row r="4841" spans="1:2" x14ac:dyDescent="0.2">
      <c r="A4841" s="68">
        <v>38625</v>
      </c>
      <c r="B4841" s="69">
        <v>1.0429999999999999</v>
      </c>
    </row>
    <row r="4842" spans="1:2" x14ac:dyDescent="0.2">
      <c r="A4842" s="68">
        <v>38624</v>
      </c>
      <c r="B4842" s="69">
        <v>1.0429999999999999</v>
      </c>
    </row>
    <row r="4843" spans="1:2" x14ac:dyDescent="0.2">
      <c r="A4843" s="68">
        <v>38623</v>
      </c>
      <c r="B4843" s="69">
        <v>1.0429999999999999</v>
      </c>
    </row>
    <row r="4844" spans="1:2" x14ac:dyDescent="0.2">
      <c r="A4844" s="68">
        <v>38622</v>
      </c>
      <c r="B4844" s="69">
        <v>1.0427999999999999</v>
      </c>
    </row>
    <row r="4845" spans="1:2" x14ac:dyDescent="0.2">
      <c r="A4845" s="68">
        <v>38621</v>
      </c>
      <c r="B4845" s="69">
        <v>1.0427999999999999</v>
      </c>
    </row>
    <row r="4846" spans="1:2" x14ac:dyDescent="0.2">
      <c r="A4846" s="68">
        <v>38618</v>
      </c>
      <c r="B4846" s="69">
        <v>1.0421</v>
      </c>
    </row>
    <row r="4847" spans="1:2" x14ac:dyDescent="0.2">
      <c r="A4847" s="68">
        <v>38617</v>
      </c>
      <c r="B4847" s="69">
        <v>1.042</v>
      </c>
    </row>
    <row r="4848" spans="1:2" x14ac:dyDescent="0.2">
      <c r="A4848" s="68">
        <v>38616</v>
      </c>
      <c r="B4848" s="69">
        <v>1.042</v>
      </c>
    </row>
    <row r="4849" spans="1:2" x14ac:dyDescent="0.2">
      <c r="A4849" s="68">
        <v>38615</v>
      </c>
      <c r="B4849" s="69">
        <v>1.042</v>
      </c>
    </row>
    <row r="4850" spans="1:2" x14ac:dyDescent="0.2">
      <c r="A4850" s="68">
        <v>38614</v>
      </c>
      <c r="B4850" s="69">
        <v>1.042</v>
      </c>
    </row>
    <row r="4851" spans="1:2" x14ac:dyDescent="0.2">
      <c r="A4851" s="68">
        <v>38611</v>
      </c>
      <c r="B4851" s="69">
        <v>1.0421</v>
      </c>
    </row>
    <row r="4852" spans="1:2" x14ac:dyDescent="0.2">
      <c r="A4852" s="68">
        <v>38610</v>
      </c>
      <c r="B4852" s="69">
        <v>1.0424</v>
      </c>
    </row>
    <row r="4853" spans="1:2" x14ac:dyDescent="0.2">
      <c r="A4853" s="68">
        <v>38609</v>
      </c>
      <c r="B4853" s="69">
        <v>1.0422</v>
      </c>
    </row>
    <row r="4854" spans="1:2" x14ac:dyDescent="0.2">
      <c r="A4854" s="68">
        <v>38608</v>
      </c>
      <c r="B4854" s="69">
        <v>1.0425</v>
      </c>
    </row>
    <row r="4855" spans="1:2" x14ac:dyDescent="0.2">
      <c r="A4855" s="68">
        <v>38607</v>
      </c>
      <c r="B4855" s="69">
        <v>1.0426</v>
      </c>
    </row>
    <row r="4856" spans="1:2" x14ac:dyDescent="0.2">
      <c r="A4856" s="68">
        <v>38604</v>
      </c>
      <c r="B4856" s="69">
        <v>1.0416000000000001</v>
      </c>
    </row>
    <row r="4857" spans="1:2" x14ac:dyDescent="0.2">
      <c r="A4857" s="68">
        <v>38603</v>
      </c>
      <c r="B4857" s="69">
        <v>1.0415000000000001</v>
      </c>
    </row>
    <row r="4858" spans="1:2" x14ac:dyDescent="0.2">
      <c r="A4858" s="68">
        <v>38602</v>
      </c>
      <c r="B4858" s="69">
        <v>1.0412999999999999</v>
      </c>
    </row>
    <row r="4859" spans="1:2" x14ac:dyDescent="0.2">
      <c r="A4859" s="68">
        <v>38601</v>
      </c>
      <c r="B4859" s="69">
        <v>1.0414000000000001</v>
      </c>
    </row>
    <row r="4860" spans="1:2" x14ac:dyDescent="0.2">
      <c r="A4860" s="68">
        <v>38600</v>
      </c>
      <c r="B4860" s="69">
        <v>1.0414000000000001</v>
      </c>
    </row>
    <row r="4861" spans="1:2" x14ac:dyDescent="0.2">
      <c r="A4861" s="68">
        <v>38597</v>
      </c>
      <c r="B4861" s="69">
        <v>1.0411999999999999</v>
      </c>
    </row>
    <row r="4862" spans="1:2" x14ac:dyDescent="0.2">
      <c r="A4862" s="68">
        <v>38596</v>
      </c>
      <c r="B4862" s="69">
        <v>1.0417000000000001</v>
      </c>
    </row>
    <row r="4863" spans="1:2" x14ac:dyDescent="0.2">
      <c r="A4863" s="68">
        <v>38595</v>
      </c>
      <c r="B4863" s="69">
        <v>1.0418000000000001</v>
      </c>
    </row>
    <row r="4864" spans="1:2" x14ac:dyDescent="0.2">
      <c r="A4864" s="68">
        <v>38594</v>
      </c>
      <c r="B4864" s="69">
        <v>1.0416000000000001</v>
      </c>
    </row>
    <row r="4865" spans="1:2" x14ac:dyDescent="0.2">
      <c r="A4865" s="68">
        <v>38593</v>
      </c>
      <c r="B4865" s="69">
        <v>1.0417000000000001</v>
      </c>
    </row>
    <row r="4866" spans="1:2" x14ac:dyDescent="0.2">
      <c r="A4866" s="68">
        <v>38590</v>
      </c>
      <c r="B4866" s="69">
        <v>1.042</v>
      </c>
    </row>
    <row r="4867" spans="1:2" x14ac:dyDescent="0.2">
      <c r="A4867" s="68">
        <v>38589</v>
      </c>
      <c r="B4867" s="69">
        <v>1.0418000000000001</v>
      </c>
    </row>
    <row r="4868" spans="1:2" x14ac:dyDescent="0.2">
      <c r="A4868" s="68">
        <v>38588</v>
      </c>
      <c r="B4868" s="69">
        <v>1.0418000000000001</v>
      </c>
    </row>
    <row r="4869" spans="1:2" x14ac:dyDescent="0.2">
      <c r="A4869" s="68">
        <v>38587</v>
      </c>
      <c r="B4869" s="69">
        <v>1.0426</v>
      </c>
    </row>
    <row r="4870" spans="1:2" x14ac:dyDescent="0.2">
      <c r="A4870" s="68">
        <v>38586</v>
      </c>
      <c r="B4870" s="69">
        <v>1.0423</v>
      </c>
    </row>
    <row r="4871" spans="1:2" x14ac:dyDescent="0.2">
      <c r="A4871" s="68">
        <v>38583</v>
      </c>
      <c r="B4871" s="69">
        <v>1.0421</v>
      </c>
    </row>
    <row r="4872" spans="1:2" x14ac:dyDescent="0.2">
      <c r="A4872" s="68">
        <v>38582</v>
      </c>
      <c r="B4872" s="69">
        <v>1.0419</v>
      </c>
    </row>
    <row r="4873" spans="1:2" x14ac:dyDescent="0.2">
      <c r="A4873" s="68">
        <v>38581</v>
      </c>
      <c r="B4873" s="69">
        <v>1.0422</v>
      </c>
    </row>
    <row r="4874" spans="1:2" x14ac:dyDescent="0.2">
      <c r="A4874" s="68">
        <v>38580</v>
      </c>
      <c r="B4874" s="69">
        <v>1.042</v>
      </c>
    </row>
    <row r="4875" spans="1:2" x14ac:dyDescent="0.2">
      <c r="A4875" s="68">
        <v>38579</v>
      </c>
      <c r="B4875" s="69">
        <v>1.0421</v>
      </c>
    </row>
    <row r="4876" spans="1:2" x14ac:dyDescent="0.2">
      <c r="A4876" s="68">
        <v>38576</v>
      </c>
      <c r="B4876" s="69">
        <v>1.042</v>
      </c>
    </row>
    <row r="4877" spans="1:2" x14ac:dyDescent="0.2">
      <c r="A4877" s="68">
        <v>38575</v>
      </c>
      <c r="B4877" s="69">
        <v>1.0428999999999999</v>
      </c>
    </row>
    <row r="4878" spans="1:2" x14ac:dyDescent="0.2">
      <c r="A4878" s="68">
        <v>38574</v>
      </c>
      <c r="B4878" s="69">
        <v>1.0432999999999999</v>
      </c>
    </row>
    <row r="4879" spans="1:2" x14ac:dyDescent="0.2">
      <c r="A4879" s="68">
        <v>38573</v>
      </c>
      <c r="B4879" s="69">
        <v>1.0430999999999999</v>
      </c>
    </row>
    <row r="4880" spans="1:2" x14ac:dyDescent="0.2">
      <c r="A4880" s="68">
        <v>38572</v>
      </c>
      <c r="B4880" s="69">
        <v>1.0422</v>
      </c>
    </row>
    <row r="4881" spans="1:2" x14ac:dyDescent="0.2">
      <c r="A4881" s="68">
        <v>38569</v>
      </c>
      <c r="B4881" s="69">
        <v>1.0421</v>
      </c>
    </row>
    <row r="4882" spans="1:2" x14ac:dyDescent="0.2">
      <c r="A4882" s="68">
        <v>38568</v>
      </c>
      <c r="B4882" s="69">
        <v>1.0423</v>
      </c>
    </row>
    <row r="4883" spans="1:2" x14ac:dyDescent="0.2">
      <c r="A4883" s="68">
        <v>38567</v>
      </c>
      <c r="B4883" s="69">
        <v>1.0422</v>
      </c>
    </row>
    <row r="4884" spans="1:2" x14ac:dyDescent="0.2">
      <c r="A4884" s="68">
        <v>38566</v>
      </c>
      <c r="B4884" s="69">
        <v>1.0422</v>
      </c>
    </row>
    <row r="4885" spans="1:2" x14ac:dyDescent="0.2">
      <c r="A4885" s="68">
        <v>38565</v>
      </c>
      <c r="B4885" s="69">
        <v>1.0423</v>
      </c>
    </row>
    <row r="4886" spans="1:2" x14ac:dyDescent="0.2">
      <c r="A4886" s="68">
        <v>38562</v>
      </c>
      <c r="B4886" s="69">
        <v>1.0422</v>
      </c>
    </row>
    <row r="4887" spans="1:2" x14ac:dyDescent="0.2">
      <c r="A4887" s="68">
        <v>38561</v>
      </c>
      <c r="B4887" s="69">
        <v>1.0423</v>
      </c>
    </row>
    <row r="4888" spans="1:2" x14ac:dyDescent="0.2">
      <c r="A4888" s="68">
        <v>38560</v>
      </c>
      <c r="B4888" s="69">
        <v>1.0425</v>
      </c>
    </row>
    <row r="4889" spans="1:2" x14ac:dyDescent="0.2">
      <c r="A4889" s="68">
        <v>38559</v>
      </c>
      <c r="B4889" s="69">
        <v>1.0425</v>
      </c>
    </row>
    <row r="4890" spans="1:2" x14ac:dyDescent="0.2">
      <c r="A4890" s="68">
        <v>38558</v>
      </c>
      <c r="B4890" s="69">
        <v>1.0478000000000001</v>
      </c>
    </row>
    <row r="4891" spans="1:2" x14ac:dyDescent="0.2">
      <c r="A4891" s="68">
        <v>38555</v>
      </c>
      <c r="B4891" s="69">
        <v>1.0638000000000001</v>
      </c>
    </row>
    <row r="4892" spans="1:2" x14ac:dyDescent="0.2">
      <c r="A4892" s="68">
        <v>38554</v>
      </c>
      <c r="B4892" s="69">
        <v>1.0637000000000001</v>
      </c>
    </row>
    <row r="4893" spans="1:2" x14ac:dyDescent="0.2">
      <c r="A4893" s="68">
        <v>38553</v>
      </c>
      <c r="B4893" s="69">
        <v>1.0640000000000001</v>
      </c>
    </row>
    <row r="4894" spans="1:2" x14ac:dyDescent="0.2">
      <c r="A4894" s="68">
        <v>38552</v>
      </c>
      <c r="B4894" s="69">
        <v>1.0638000000000001</v>
      </c>
    </row>
    <row r="4895" spans="1:2" x14ac:dyDescent="0.2">
      <c r="A4895" s="68">
        <v>38551</v>
      </c>
      <c r="B4895" s="69">
        <v>1.0640000000000001</v>
      </c>
    </row>
    <row r="4896" spans="1:2" x14ac:dyDescent="0.2">
      <c r="A4896" s="68">
        <v>38548</v>
      </c>
      <c r="B4896" s="69">
        <v>1.0637000000000001</v>
      </c>
    </row>
    <row r="4897" spans="1:2" x14ac:dyDescent="0.2">
      <c r="A4897" s="68">
        <v>38547</v>
      </c>
      <c r="B4897" s="69">
        <v>1.0638000000000001</v>
      </c>
    </row>
    <row r="4898" spans="1:2" x14ac:dyDescent="0.2">
      <c r="A4898" s="68">
        <v>38546</v>
      </c>
      <c r="B4898" s="69">
        <v>1.0634999999999999</v>
      </c>
    </row>
    <row r="4899" spans="1:2" x14ac:dyDescent="0.2">
      <c r="A4899" s="68">
        <v>38545</v>
      </c>
      <c r="B4899" s="69">
        <v>1.0641</v>
      </c>
    </row>
    <row r="4900" spans="1:2" x14ac:dyDescent="0.2">
      <c r="A4900" s="68">
        <v>38544</v>
      </c>
      <c r="B4900" s="69">
        <v>1.0643</v>
      </c>
    </row>
    <row r="4901" spans="1:2" x14ac:dyDescent="0.2">
      <c r="A4901" s="68">
        <v>38541</v>
      </c>
      <c r="B4901" s="69">
        <v>1.0642</v>
      </c>
    </row>
    <row r="4902" spans="1:2" x14ac:dyDescent="0.2">
      <c r="A4902" s="68">
        <v>38540</v>
      </c>
      <c r="B4902" s="69">
        <v>1.0642</v>
      </c>
    </row>
    <row r="4903" spans="1:2" x14ac:dyDescent="0.2">
      <c r="A4903" s="68">
        <v>38539</v>
      </c>
      <c r="B4903" s="69">
        <v>1.0644</v>
      </c>
    </row>
    <row r="4904" spans="1:2" x14ac:dyDescent="0.2">
      <c r="A4904" s="68">
        <v>38538</v>
      </c>
      <c r="B4904" s="69">
        <v>1.0643</v>
      </c>
    </row>
    <row r="4905" spans="1:2" x14ac:dyDescent="0.2">
      <c r="A4905" s="68">
        <v>38537</v>
      </c>
      <c r="B4905" s="69">
        <v>1.0640000000000001</v>
      </c>
    </row>
    <row r="4906" spans="1:2" x14ac:dyDescent="0.2">
      <c r="A4906" s="68">
        <v>38534</v>
      </c>
      <c r="B4906" s="69">
        <v>1.0645</v>
      </c>
    </row>
    <row r="4907" spans="1:2" x14ac:dyDescent="0.2">
      <c r="A4907" s="68">
        <v>38533</v>
      </c>
      <c r="B4907" s="69">
        <v>1.0649</v>
      </c>
    </row>
    <row r="4908" spans="1:2" x14ac:dyDescent="0.2">
      <c r="A4908" s="68">
        <v>38532</v>
      </c>
      <c r="B4908" s="69">
        <v>1.0648</v>
      </c>
    </row>
    <row r="4909" spans="1:2" x14ac:dyDescent="0.2">
      <c r="A4909" s="68">
        <v>38531</v>
      </c>
      <c r="B4909" s="69">
        <v>1.0645</v>
      </c>
    </row>
    <row r="4910" spans="1:2" x14ac:dyDescent="0.2">
      <c r="A4910" s="68">
        <v>38530</v>
      </c>
      <c r="B4910" s="69">
        <v>1.0648</v>
      </c>
    </row>
    <row r="4911" spans="1:2" x14ac:dyDescent="0.2">
      <c r="A4911" s="68">
        <v>38527</v>
      </c>
      <c r="B4911" s="69">
        <v>1.0651999999999999</v>
      </c>
    </row>
    <row r="4912" spans="1:2" x14ac:dyDescent="0.2">
      <c r="A4912" s="68">
        <v>38526</v>
      </c>
      <c r="B4912" s="69">
        <v>1.0649</v>
      </c>
    </row>
    <row r="4913" spans="1:2" x14ac:dyDescent="0.2">
      <c r="A4913" s="68">
        <v>38525</v>
      </c>
      <c r="B4913" s="69">
        <v>1.0644</v>
      </c>
    </row>
    <row r="4914" spans="1:2" x14ac:dyDescent="0.2">
      <c r="A4914" s="68">
        <v>38524</v>
      </c>
      <c r="B4914" s="69">
        <v>1.0643</v>
      </c>
    </row>
    <row r="4915" spans="1:2" x14ac:dyDescent="0.2">
      <c r="A4915" s="68">
        <v>38523</v>
      </c>
      <c r="B4915" s="69">
        <v>1.0645</v>
      </c>
    </row>
    <row r="4916" spans="1:2" x14ac:dyDescent="0.2">
      <c r="A4916" s="68">
        <v>38520</v>
      </c>
      <c r="B4916" s="69">
        <v>1.0647</v>
      </c>
    </row>
    <row r="4917" spans="1:2" x14ac:dyDescent="0.2">
      <c r="A4917" s="68">
        <v>38519</v>
      </c>
      <c r="B4917" s="69">
        <v>1.0645</v>
      </c>
    </row>
    <row r="4918" spans="1:2" x14ac:dyDescent="0.2">
      <c r="A4918" s="68">
        <v>38518</v>
      </c>
      <c r="B4918" s="69">
        <v>1.0641</v>
      </c>
    </row>
    <row r="4919" spans="1:2" x14ac:dyDescent="0.2">
      <c r="A4919" s="68">
        <v>38517</v>
      </c>
      <c r="B4919" s="69">
        <v>1.0637000000000001</v>
      </c>
    </row>
    <row r="4920" spans="1:2" x14ac:dyDescent="0.2">
      <c r="A4920" s="68">
        <v>38516</v>
      </c>
      <c r="B4920" s="69">
        <v>1.0634999999999999</v>
      </c>
    </row>
    <row r="4921" spans="1:2" x14ac:dyDescent="0.2">
      <c r="A4921" s="68">
        <v>38513</v>
      </c>
      <c r="B4921" s="69">
        <v>1.0631999999999999</v>
      </c>
    </row>
    <row r="4922" spans="1:2" x14ac:dyDescent="0.2">
      <c r="A4922" s="68">
        <v>38512</v>
      </c>
      <c r="B4922" s="69">
        <v>1.0632999999999999</v>
      </c>
    </row>
    <row r="4923" spans="1:2" x14ac:dyDescent="0.2">
      <c r="A4923" s="68">
        <v>38511</v>
      </c>
      <c r="B4923" s="69">
        <v>1.0631999999999999</v>
      </c>
    </row>
    <row r="4924" spans="1:2" x14ac:dyDescent="0.2">
      <c r="A4924" s="68">
        <v>38510</v>
      </c>
      <c r="B4924" s="69">
        <v>1.0631999999999999</v>
      </c>
    </row>
    <row r="4925" spans="1:2" x14ac:dyDescent="0.2">
      <c r="A4925" s="68">
        <v>38509</v>
      </c>
      <c r="B4925" s="69">
        <v>1.0631999999999999</v>
      </c>
    </row>
    <row r="4926" spans="1:2" x14ac:dyDescent="0.2">
      <c r="A4926" s="68">
        <v>38506</v>
      </c>
      <c r="B4926" s="69">
        <v>1.0629</v>
      </c>
    </row>
    <row r="4927" spans="1:2" x14ac:dyDescent="0.2">
      <c r="A4927" s="68">
        <v>38505</v>
      </c>
      <c r="B4927" s="69">
        <v>1.0630999999999999</v>
      </c>
    </row>
    <row r="4928" spans="1:2" x14ac:dyDescent="0.2">
      <c r="A4928" s="68">
        <v>38504</v>
      </c>
      <c r="B4928" s="69">
        <v>1.0637000000000001</v>
      </c>
    </row>
    <row r="4929" spans="1:2" x14ac:dyDescent="0.2">
      <c r="A4929" s="68">
        <v>38503</v>
      </c>
      <c r="B4929" s="69">
        <v>1.0636000000000001</v>
      </c>
    </row>
    <row r="4930" spans="1:2" x14ac:dyDescent="0.2">
      <c r="A4930" s="68">
        <v>38502</v>
      </c>
      <c r="B4930" s="69">
        <v>1.0634999999999999</v>
      </c>
    </row>
    <row r="4931" spans="1:2" x14ac:dyDescent="0.2">
      <c r="A4931" s="68">
        <v>38499</v>
      </c>
      <c r="B4931" s="69">
        <v>1.0636000000000001</v>
      </c>
    </row>
    <row r="4932" spans="1:2" x14ac:dyDescent="0.2">
      <c r="A4932" s="68">
        <v>38498</v>
      </c>
      <c r="B4932" s="69">
        <v>1.0638000000000001</v>
      </c>
    </row>
    <row r="4933" spans="1:2" x14ac:dyDescent="0.2">
      <c r="A4933" s="68">
        <v>38497</v>
      </c>
      <c r="B4933" s="69">
        <v>1.0629</v>
      </c>
    </row>
    <row r="4934" spans="1:2" x14ac:dyDescent="0.2">
      <c r="A4934" s="68">
        <v>38496</v>
      </c>
      <c r="B4934" s="69">
        <v>1.0623</v>
      </c>
    </row>
    <row r="4935" spans="1:2" x14ac:dyDescent="0.2">
      <c r="A4935" s="68">
        <v>38495</v>
      </c>
      <c r="B4935" s="69">
        <v>1.0618000000000001</v>
      </c>
    </row>
    <row r="4936" spans="1:2" x14ac:dyDescent="0.2">
      <c r="A4936" s="68">
        <v>38492</v>
      </c>
      <c r="B4936" s="69">
        <v>1.0616000000000001</v>
      </c>
    </row>
    <row r="4937" spans="1:2" x14ac:dyDescent="0.2">
      <c r="A4937" s="68">
        <v>38491</v>
      </c>
      <c r="B4937" s="69">
        <v>1.0609</v>
      </c>
    </row>
    <row r="4938" spans="1:2" x14ac:dyDescent="0.2">
      <c r="A4938" s="68">
        <v>38490</v>
      </c>
      <c r="B4938" s="69">
        <v>1.0608</v>
      </c>
    </row>
    <row r="4939" spans="1:2" x14ac:dyDescent="0.2">
      <c r="A4939" s="68">
        <v>38489</v>
      </c>
      <c r="B4939" s="69">
        <v>1.0608</v>
      </c>
    </row>
    <row r="4940" spans="1:2" x14ac:dyDescent="0.2">
      <c r="A4940" s="68">
        <v>38488</v>
      </c>
      <c r="B4940" s="69">
        <v>1.0609</v>
      </c>
    </row>
    <row r="4941" spans="1:2" x14ac:dyDescent="0.2">
      <c r="A4941" s="68">
        <v>38485</v>
      </c>
      <c r="B4941" s="69">
        <v>1.0609999999999999</v>
      </c>
    </row>
    <row r="4942" spans="1:2" x14ac:dyDescent="0.2">
      <c r="A4942" s="68">
        <v>38484</v>
      </c>
      <c r="B4942" s="69">
        <v>1.0609</v>
      </c>
    </row>
    <row r="4943" spans="1:2" x14ac:dyDescent="0.2">
      <c r="A4943" s="68">
        <v>38483</v>
      </c>
      <c r="B4943" s="69">
        <v>1.0609</v>
      </c>
    </row>
    <row r="4944" spans="1:2" x14ac:dyDescent="0.2">
      <c r="A4944" s="68">
        <v>38482</v>
      </c>
      <c r="B4944" s="69">
        <v>1.0613999999999999</v>
      </c>
    </row>
    <row r="4945" spans="1:2" x14ac:dyDescent="0.2">
      <c r="A4945" s="68">
        <v>38481</v>
      </c>
      <c r="B4945" s="69">
        <v>1.0609</v>
      </c>
    </row>
    <row r="4946" spans="1:2" x14ac:dyDescent="0.2">
      <c r="A4946" s="68">
        <v>38471</v>
      </c>
      <c r="B4946" s="69">
        <v>1.0609</v>
      </c>
    </row>
    <row r="4947" spans="1:2" x14ac:dyDescent="0.2">
      <c r="A4947" s="68">
        <v>38470</v>
      </c>
      <c r="B4947" s="69">
        <v>1.0608</v>
      </c>
    </row>
    <row r="4948" spans="1:2" x14ac:dyDescent="0.2">
      <c r="A4948" s="68">
        <v>38469</v>
      </c>
      <c r="B4948" s="69">
        <v>1.0610999999999999</v>
      </c>
    </row>
    <row r="4949" spans="1:2" x14ac:dyDescent="0.2">
      <c r="A4949" s="68">
        <v>38468</v>
      </c>
      <c r="B4949" s="69">
        <v>1.0610999999999999</v>
      </c>
    </row>
    <row r="4950" spans="1:2" x14ac:dyDescent="0.2">
      <c r="A4950" s="68">
        <v>38467</v>
      </c>
      <c r="B4950" s="69">
        <v>1.0608</v>
      </c>
    </row>
    <row r="4951" spans="1:2" x14ac:dyDescent="0.2">
      <c r="A4951" s="68">
        <v>38464</v>
      </c>
      <c r="B4951" s="69">
        <v>1.0607</v>
      </c>
    </row>
    <row r="4952" spans="1:2" x14ac:dyDescent="0.2">
      <c r="A4952" s="68">
        <v>38463</v>
      </c>
      <c r="B4952" s="69">
        <v>1.0608</v>
      </c>
    </row>
    <row r="4953" spans="1:2" x14ac:dyDescent="0.2">
      <c r="A4953" s="68">
        <v>38462</v>
      </c>
      <c r="B4953" s="69">
        <v>1.0609</v>
      </c>
    </row>
    <row r="4954" spans="1:2" x14ac:dyDescent="0.2">
      <c r="A4954" s="68">
        <v>38461</v>
      </c>
      <c r="B4954" s="69">
        <v>1.0609</v>
      </c>
    </row>
    <row r="4955" spans="1:2" x14ac:dyDescent="0.2">
      <c r="A4955" s="68">
        <v>38460</v>
      </c>
      <c r="B4955" s="69">
        <v>1.0609</v>
      </c>
    </row>
    <row r="4956" spans="1:2" x14ac:dyDescent="0.2">
      <c r="A4956" s="68">
        <v>38457</v>
      </c>
      <c r="B4956" s="69">
        <v>1.0608</v>
      </c>
    </row>
    <row r="4957" spans="1:2" x14ac:dyDescent="0.2">
      <c r="A4957" s="68">
        <v>38456</v>
      </c>
      <c r="B4957" s="69">
        <v>1.0608</v>
      </c>
    </row>
    <row r="4958" spans="1:2" x14ac:dyDescent="0.2">
      <c r="A4958" s="68">
        <v>38455</v>
      </c>
      <c r="B4958" s="69">
        <v>1.0608</v>
      </c>
    </row>
    <row r="4959" spans="1:2" x14ac:dyDescent="0.2">
      <c r="A4959" s="68">
        <v>38454</v>
      </c>
      <c r="B4959" s="69">
        <v>1.0608</v>
      </c>
    </row>
    <row r="4960" spans="1:2" x14ac:dyDescent="0.2">
      <c r="A4960" s="68">
        <v>38453</v>
      </c>
      <c r="B4960" s="69">
        <v>1.0608</v>
      </c>
    </row>
    <row r="4961" spans="1:2" x14ac:dyDescent="0.2">
      <c r="A4961" s="68">
        <v>38450</v>
      </c>
      <c r="B4961" s="69">
        <v>1.0609999999999999</v>
      </c>
    </row>
    <row r="4962" spans="1:2" x14ac:dyDescent="0.2">
      <c r="A4962" s="68">
        <v>38449</v>
      </c>
      <c r="B4962" s="69">
        <v>1.0609</v>
      </c>
    </row>
    <row r="4963" spans="1:2" x14ac:dyDescent="0.2">
      <c r="A4963" s="68">
        <v>38448</v>
      </c>
      <c r="B4963" s="69">
        <v>1.0607</v>
      </c>
    </row>
    <row r="4964" spans="1:2" x14ac:dyDescent="0.2">
      <c r="A4964" s="68">
        <v>38447</v>
      </c>
      <c r="B4964" s="69">
        <v>1.0608</v>
      </c>
    </row>
    <row r="4965" spans="1:2" x14ac:dyDescent="0.2">
      <c r="A4965" s="68">
        <v>38446</v>
      </c>
      <c r="B4965" s="69">
        <v>1.0608</v>
      </c>
    </row>
    <row r="4966" spans="1:2" x14ac:dyDescent="0.2">
      <c r="A4966" s="68">
        <v>38443</v>
      </c>
      <c r="B4966" s="69">
        <v>1.0608</v>
      </c>
    </row>
    <row r="4967" spans="1:2" x14ac:dyDescent="0.2">
      <c r="A4967" s="68">
        <v>38442</v>
      </c>
      <c r="B4967" s="69">
        <v>1.0608</v>
      </c>
    </row>
    <row r="4968" spans="1:2" x14ac:dyDescent="0.2">
      <c r="A4968" s="68">
        <v>38441</v>
      </c>
      <c r="B4968" s="69">
        <v>1.0607</v>
      </c>
    </row>
    <row r="4969" spans="1:2" x14ac:dyDescent="0.2">
      <c r="A4969" s="68">
        <v>38440</v>
      </c>
      <c r="B4969" s="69">
        <v>1.0607</v>
      </c>
    </row>
    <row r="4970" spans="1:2" x14ac:dyDescent="0.2">
      <c r="A4970" s="68">
        <v>38439</v>
      </c>
      <c r="B4970" s="69">
        <v>1.0607</v>
      </c>
    </row>
    <row r="4971" spans="1:2" x14ac:dyDescent="0.2">
      <c r="A4971" s="68">
        <v>38436</v>
      </c>
      <c r="B4971" s="69">
        <v>1.0607</v>
      </c>
    </row>
    <row r="4972" spans="1:2" x14ac:dyDescent="0.2">
      <c r="A4972" s="68">
        <v>38435</v>
      </c>
      <c r="B4972" s="69">
        <v>1.0607</v>
      </c>
    </row>
    <row r="4973" spans="1:2" x14ac:dyDescent="0.2">
      <c r="A4973" s="68">
        <v>38434</v>
      </c>
      <c r="B4973" s="69">
        <v>1.0608</v>
      </c>
    </row>
    <row r="4974" spans="1:2" x14ac:dyDescent="0.2">
      <c r="A4974" s="68">
        <v>38433</v>
      </c>
      <c r="B4974" s="69">
        <v>1.0609</v>
      </c>
    </row>
    <row r="4975" spans="1:2" x14ac:dyDescent="0.2">
      <c r="A4975" s="68">
        <v>38432</v>
      </c>
      <c r="B4975" s="69">
        <v>1.0608</v>
      </c>
    </row>
    <row r="4976" spans="1:2" x14ac:dyDescent="0.2">
      <c r="A4976" s="68">
        <v>38429</v>
      </c>
      <c r="B4976" s="69">
        <v>1.0607</v>
      </c>
    </row>
    <row r="4977" spans="1:2" x14ac:dyDescent="0.2">
      <c r="A4977" s="68">
        <v>38428</v>
      </c>
      <c r="B4977" s="69">
        <v>1.0607</v>
      </c>
    </row>
    <row r="4978" spans="1:2" x14ac:dyDescent="0.2">
      <c r="A4978" s="68">
        <v>38427</v>
      </c>
      <c r="B4978" s="69">
        <v>1.0607</v>
      </c>
    </row>
    <row r="4979" spans="1:2" x14ac:dyDescent="0.2">
      <c r="A4979" s="68">
        <v>38426</v>
      </c>
      <c r="B4979" s="69">
        <v>1.0608</v>
      </c>
    </row>
    <row r="4980" spans="1:2" x14ac:dyDescent="0.2">
      <c r="A4980" s="68">
        <v>38425</v>
      </c>
      <c r="B4980" s="69">
        <v>1.0607</v>
      </c>
    </row>
    <row r="4981" spans="1:2" x14ac:dyDescent="0.2">
      <c r="A4981" s="68">
        <v>38422</v>
      </c>
      <c r="B4981" s="69">
        <v>1.0608</v>
      </c>
    </row>
    <row r="4982" spans="1:2" x14ac:dyDescent="0.2">
      <c r="A4982" s="68">
        <v>38421</v>
      </c>
      <c r="B4982" s="69">
        <v>1.0607</v>
      </c>
    </row>
    <row r="4983" spans="1:2" x14ac:dyDescent="0.2">
      <c r="A4983" s="68">
        <v>38420</v>
      </c>
      <c r="B4983" s="69">
        <v>1.0607</v>
      </c>
    </row>
    <row r="4984" spans="1:2" x14ac:dyDescent="0.2">
      <c r="A4984" s="68">
        <v>38419</v>
      </c>
      <c r="B4984" s="69">
        <v>1.0607</v>
      </c>
    </row>
    <row r="4985" spans="1:2" x14ac:dyDescent="0.2">
      <c r="A4985" s="68">
        <v>38418</v>
      </c>
      <c r="B4985" s="69">
        <v>1.0608</v>
      </c>
    </row>
    <row r="4986" spans="1:2" x14ac:dyDescent="0.2">
      <c r="A4986" s="68">
        <v>38415</v>
      </c>
      <c r="B4986" s="69">
        <v>1.0608</v>
      </c>
    </row>
    <row r="4987" spans="1:2" x14ac:dyDescent="0.2">
      <c r="A4987" s="68">
        <v>38414</v>
      </c>
      <c r="B4987" s="69">
        <v>1.0608</v>
      </c>
    </row>
    <row r="4988" spans="1:2" x14ac:dyDescent="0.2">
      <c r="A4988" s="68">
        <v>38413</v>
      </c>
      <c r="B4988" s="69">
        <v>1.0608</v>
      </c>
    </row>
    <row r="4989" spans="1:2" x14ac:dyDescent="0.2">
      <c r="A4989" s="68">
        <v>38412</v>
      </c>
      <c r="B4989" s="69">
        <v>1.0608</v>
      </c>
    </row>
    <row r="4990" spans="1:2" x14ac:dyDescent="0.2">
      <c r="A4990" s="68">
        <v>38411</v>
      </c>
      <c r="B4990" s="69">
        <v>1.0607</v>
      </c>
    </row>
    <row r="4991" spans="1:2" x14ac:dyDescent="0.2">
      <c r="A4991" s="68">
        <v>38408</v>
      </c>
      <c r="B4991" s="69">
        <v>1.0607</v>
      </c>
    </row>
    <row r="4992" spans="1:2" x14ac:dyDescent="0.2">
      <c r="A4992" s="68">
        <v>38407</v>
      </c>
      <c r="B4992" s="69">
        <v>1.0607</v>
      </c>
    </row>
    <row r="4993" spans="1:2" x14ac:dyDescent="0.2">
      <c r="A4993" s="68">
        <v>38406</v>
      </c>
      <c r="B4993" s="69">
        <v>1.0607</v>
      </c>
    </row>
    <row r="4994" spans="1:2" x14ac:dyDescent="0.2">
      <c r="A4994" s="68">
        <v>38405</v>
      </c>
      <c r="B4994" s="69">
        <v>1.0607</v>
      </c>
    </row>
    <row r="4995" spans="1:2" x14ac:dyDescent="0.2">
      <c r="A4995" s="68">
        <v>38404</v>
      </c>
      <c r="B4995" s="69">
        <v>1.0607</v>
      </c>
    </row>
    <row r="4996" spans="1:2" x14ac:dyDescent="0.2">
      <c r="A4996" s="68">
        <v>38401</v>
      </c>
      <c r="B4996" s="69">
        <v>1.0606</v>
      </c>
    </row>
    <row r="4997" spans="1:2" x14ac:dyDescent="0.2">
      <c r="A4997" s="68">
        <v>38400</v>
      </c>
      <c r="B4997" s="69">
        <v>1.0608</v>
      </c>
    </row>
    <row r="4998" spans="1:2" x14ac:dyDescent="0.2">
      <c r="A4998" s="68">
        <v>38399</v>
      </c>
      <c r="B4998" s="69">
        <v>1.0608</v>
      </c>
    </row>
    <row r="4999" spans="1:2" x14ac:dyDescent="0.2">
      <c r="A4999" s="68">
        <v>38387</v>
      </c>
      <c r="B4999" s="69">
        <v>1.0606</v>
      </c>
    </row>
    <row r="5000" spans="1:2" x14ac:dyDescent="0.2">
      <c r="A5000" s="68">
        <v>38386</v>
      </c>
      <c r="B5000" s="69">
        <v>1.0608</v>
      </c>
    </row>
    <row r="5001" spans="1:2" x14ac:dyDescent="0.2">
      <c r="A5001" s="68">
        <v>38385</v>
      </c>
      <c r="B5001" s="69">
        <v>1.0607</v>
      </c>
    </row>
    <row r="5002" spans="1:2" x14ac:dyDescent="0.2">
      <c r="A5002" s="68">
        <v>38384</v>
      </c>
      <c r="B5002" s="69">
        <v>1.0607</v>
      </c>
    </row>
    <row r="5003" spans="1:2" x14ac:dyDescent="0.2">
      <c r="A5003" s="68">
        <v>38383</v>
      </c>
      <c r="B5003" s="69">
        <v>1.0609</v>
      </c>
    </row>
    <row r="5004" spans="1:2" x14ac:dyDescent="0.2">
      <c r="A5004" s="68">
        <v>38380</v>
      </c>
      <c r="B5004" s="69">
        <v>1.0607</v>
      </c>
    </row>
    <row r="5005" spans="1:2" x14ac:dyDescent="0.2">
      <c r="A5005" s="68">
        <v>38379</v>
      </c>
      <c r="B5005" s="69">
        <v>1.0608</v>
      </c>
    </row>
    <row r="5006" spans="1:2" x14ac:dyDescent="0.2">
      <c r="A5006" s="68">
        <v>38378</v>
      </c>
      <c r="B5006" s="69">
        <v>1.0607</v>
      </c>
    </row>
    <row r="5007" spans="1:2" x14ac:dyDescent="0.2">
      <c r="A5007" s="68">
        <v>38377</v>
      </c>
      <c r="B5007" s="69">
        <v>1.0609</v>
      </c>
    </row>
    <row r="5008" spans="1:2" x14ac:dyDescent="0.2">
      <c r="A5008" s="68">
        <v>38376</v>
      </c>
      <c r="B5008" s="69">
        <v>1.0609</v>
      </c>
    </row>
    <row r="5009" spans="1:2" x14ac:dyDescent="0.2">
      <c r="A5009" s="68">
        <v>38373</v>
      </c>
      <c r="B5009" s="69">
        <v>1.0609999999999999</v>
      </c>
    </row>
    <row r="5010" spans="1:2" x14ac:dyDescent="0.2">
      <c r="A5010" s="68">
        <v>38372</v>
      </c>
      <c r="B5010" s="69">
        <v>1.0609</v>
      </c>
    </row>
    <row r="5011" spans="1:2" x14ac:dyDescent="0.2">
      <c r="A5011" s="68">
        <v>38371</v>
      </c>
      <c r="B5011" s="69">
        <v>1.0610999999999999</v>
      </c>
    </row>
    <row r="5012" spans="1:2" x14ac:dyDescent="0.2">
      <c r="A5012" s="68">
        <v>38370</v>
      </c>
      <c r="B5012" s="69">
        <v>1.0611999999999999</v>
      </c>
    </row>
    <row r="5013" spans="1:2" x14ac:dyDescent="0.2">
      <c r="A5013" s="68">
        <v>38369</v>
      </c>
      <c r="B5013" s="69">
        <v>1.0610999999999999</v>
      </c>
    </row>
    <row r="5014" spans="1:2" x14ac:dyDescent="0.2">
      <c r="A5014" s="68">
        <v>38366</v>
      </c>
      <c r="B5014" s="69">
        <v>1.0617000000000001</v>
      </c>
    </row>
    <row r="5015" spans="1:2" x14ac:dyDescent="0.2">
      <c r="A5015" s="68">
        <v>38365</v>
      </c>
      <c r="B5015" s="69">
        <v>1.0612999999999999</v>
      </c>
    </row>
    <row r="5016" spans="1:2" x14ac:dyDescent="0.2">
      <c r="A5016" s="68">
        <v>38364</v>
      </c>
      <c r="B5016" s="69">
        <v>1.0615000000000001</v>
      </c>
    </row>
    <row r="5017" spans="1:2" x14ac:dyDescent="0.2">
      <c r="A5017" s="68">
        <v>38363</v>
      </c>
      <c r="B5017" s="69">
        <v>1.0615000000000001</v>
      </c>
    </row>
    <row r="5018" spans="1:2" x14ac:dyDescent="0.2">
      <c r="A5018" s="68">
        <v>38362</v>
      </c>
      <c r="B5018" s="69">
        <v>1.0617000000000001</v>
      </c>
    </row>
    <row r="5019" spans="1:2" x14ac:dyDescent="0.2">
      <c r="A5019" s="68">
        <v>38359</v>
      </c>
      <c r="B5019" s="69">
        <v>1.0622</v>
      </c>
    </row>
    <row r="5020" spans="1:2" x14ac:dyDescent="0.2">
      <c r="A5020" s="68">
        <v>38358</v>
      </c>
      <c r="B5020" s="69">
        <v>1.0622</v>
      </c>
    </row>
    <row r="5021" spans="1:2" x14ac:dyDescent="0.2">
      <c r="A5021" s="68">
        <v>38357</v>
      </c>
      <c r="B5021" s="69">
        <v>1.0630999999999999</v>
      </c>
    </row>
    <row r="5022" spans="1:2" x14ac:dyDescent="0.2">
      <c r="A5022" s="68">
        <v>38356</v>
      </c>
      <c r="B5022" s="69">
        <v>1.0641</v>
      </c>
    </row>
    <row r="5023" spans="1:2" x14ac:dyDescent="0.2">
      <c r="A5023" s="68">
        <v>38352</v>
      </c>
      <c r="B5023" s="69">
        <v>1.0637000000000001</v>
      </c>
    </row>
    <row r="5024" spans="1:2" x14ac:dyDescent="0.2">
      <c r="A5024" s="68">
        <v>38351</v>
      </c>
      <c r="B5024" s="69">
        <v>1.0640000000000001</v>
      </c>
    </row>
    <row r="5025" spans="1:2" x14ac:dyDescent="0.2">
      <c r="A5025" s="68">
        <v>38350</v>
      </c>
      <c r="B5025" s="69">
        <v>1.0629999999999999</v>
      </c>
    </row>
    <row r="5026" spans="1:2" x14ac:dyDescent="0.2">
      <c r="A5026" s="68">
        <v>38349</v>
      </c>
      <c r="B5026" s="69">
        <v>1.0630999999999999</v>
      </c>
    </row>
    <row r="5027" spans="1:2" x14ac:dyDescent="0.2">
      <c r="A5027" s="68">
        <v>38348</v>
      </c>
      <c r="B5027" s="69">
        <v>1.0629999999999999</v>
      </c>
    </row>
    <row r="5028" spans="1:2" x14ac:dyDescent="0.2">
      <c r="A5028" s="68">
        <v>38345</v>
      </c>
      <c r="B5028" s="69">
        <v>1.0629999999999999</v>
      </c>
    </row>
    <row r="5029" spans="1:2" x14ac:dyDescent="0.2">
      <c r="A5029" s="68">
        <v>38344</v>
      </c>
      <c r="B5029" s="69">
        <v>1.0632999999999999</v>
      </c>
    </row>
    <row r="5030" spans="1:2" x14ac:dyDescent="0.2">
      <c r="A5030" s="68">
        <v>38343</v>
      </c>
      <c r="B5030" s="69">
        <v>1.0632999999999999</v>
      </c>
    </row>
    <row r="5031" spans="1:2" x14ac:dyDescent="0.2">
      <c r="A5031" s="68">
        <v>38342</v>
      </c>
      <c r="B5031" s="69">
        <v>1.0633999999999999</v>
      </c>
    </row>
    <row r="5032" spans="1:2" x14ac:dyDescent="0.2">
      <c r="A5032" s="68">
        <v>38341</v>
      </c>
      <c r="B5032" s="69">
        <v>1.0637000000000001</v>
      </c>
    </row>
    <row r="5033" spans="1:2" x14ac:dyDescent="0.2">
      <c r="A5033" s="68">
        <v>38338</v>
      </c>
      <c r="B5033" s="69">
        <v>1.0641</v>
      </c>
    </row>
    <row r="5034" spans="1:2" x14ac:dyDescent="0.2">
      <c r="A5034" s="68">
        <v>38337</v>
      </c>
      <c r="B5034" s="69">
        <v>1.0640000000000001</v>
      </c>
    </row>
    <row r="5035" spans="1:2" x14ac:dyDescent="0.2">
      <c r="A5035" s="68">
        <v>38336</v>
      </c>
      <c r="B5035" s="69">
        <v>1.0639000000000001</v>
      </c>
    </row>
    <row r="5036" spans="1:2" x14ac:dyDescent="0.2">
      <c r="A5036" s="68">
        <v>38335</v>
      </c>
      <c r="B5036" s="69">
        <v>1.0640000000000001</v>
      </c>
    </row>
    <row r="5037" spans="1:2" x14ac:dyDescent="0.2">
      <c r="A5037" s="68">
        <v>38334</v>
      </c>
      <c r="B5037" s="69">
        <v>1.0647</v>
      </c>
    </row>
    <row r="5038" spans="1:2" x14ac:dyDescent="0.2">
      <c r="A5038" s="68">
        <v>38331</v>
      </c>
      <c r="B5038" s="69">
        <v>1.0647</v>
      </c>
    </row>
    <row r="5039" spans="1:2" x14ac:dyDescent="0.2">
      <c r="A5039" s="68">
        <v>38330</v>
      </c>
      <c r="B5039" s="69">
        <v>1.0647</v>
      </c>
    </row>
    <row r="5040" spans="1:2" x14ac:dyDescent="0.2">
      <c r="A5040" s="68">
        <v>38329</v>
      </c>
      <c r="B5040" s="69">
        <v>1.0646</v>
      </c>
    </row>
    <row r="5041" spans="1:2" x14ac:dyDescent="0.2">
      <c r="A5041" s="68">
        <v>38328</v>
      </c>
      <c r="B5041" s="69">
        <v>1.0646</v>
      </c>
    </row>
    <row r="5042" spans="1:2" x14ac:dyDescent="0.2">
      <c r="A5042" s="68">
        <v>38327</v>
      </c>
      <c r="B5042" s="69">
        <v>1.0643</v>
      </c>
    </row>
    <row r="5043" spans="1:2" x14ac:dyDescent="0.2">
      <c r="A5043" s="68">
        <v>38324</v>
      </c>
      <c r="B5043" s="69">
        <v>1.0645</v>
      </c>
    </row>
    <row r="5044" spans="1:2" x14ac:dyDescent="0.2">
      <c r="A5044" s="68">
        <v>38323</v>
      </c>
      <c r="B5044" s="69">
        <v>1.0642</v>
      </c>
    </row>
    <row r="5045" spans="1:2" x14ac:dyDescent="0.2">
      <c r="A5045" s="68">
        <v>38322</v>
      </c>
      <c r="B5045" s="69">
        <v>1.0639000000000001</v>
      </c>
    </row>
    <row r="5046" spans="1:2" x14ac:dyDescent="0.2">
      <c r="A5046" s="68">
        <v>38321</v>
      </c>
      <c r="B5046" s="69">
        <v>1.0640000000000001</v>
      </c>
    </row>
    <row r="5047" spans="1:2" x14ac:dyDescent="0.2">
      <c r="A5047" s="68">
        <v>38320</v>
      </c>
      <c r="B5047" s="69">
        <v>1.0644</v>
      </c>
    </row>
    <row r="5048" spans="1:2" x14ac:dyDescent="0.2">
      <c r="A5048" s="68">
        <v>38317</v>
      </c>
      <c r="B5048" s="69">
        <v>1.0645</v>
      </c>
    </row>
    <row r="5049" spans="1:2" x14ac:dyDescent="0.2">
      <c r="A5049" s="68">
        <v>38316</v>
      </c>
      <c r="B5049" s="69">
        <v>1.0640000000000001</v>
      </c>
    </row>
    <row r="5050" spans="1:2" x14ac:dyDescent="0.2">
      <c r="A5050" s="68">
        <v>38315</v>
      </c>
      <c r="B5050" s="69">
        <v>1.0638000000000001</v>
      </c>
    </row>
    <row r="5051" spans="1:2" x14ac:dyDescent="0.2">
      <c r="A5051" s="68">
        <v>38314</v>
      </c>
      <c r="B5051" s="69">
        <v>1.0642</v>
      </c>
    </row>
    <row r="5052" spans="1:2" x14ac:dyDescent="0.2">
      <c r="A5052" s="68">
        <v>38313</v>
      </c>
      <c r="B5052" s="69">
        <v>1.0637000000000001</v>
      </c>
    </row>
    <row r="5053" spans="1:2" x14ac:dyDescent="0.2">
      <c r="A5053" s="68">
        <v>38310</v>
      </c>
      <c r="B5053" s="69">
        <v>1.0643</v>
      </c>
    </row>
    <row r="5054" spans="1:2" x14ac:dyDescent="0.2">
      <c r="A5054" s="68">
        <v>38309</v>
      </c>
      <c r="B5054" s="69">
        <v>1.0640000000000001</v>
      </c>
    </row>
    <row r="5055" spans="1:2" x14ac:dyDescent="0.2">
      <c r="A5055" s="68">
        <v>38308</v>
      </c>
      <c r="B5055" s="69">
        <v>1.0639000000000001</v>
      </c>
    </row>
    <row r="5056" spans="1:2" x14ac:dyDescent="0.2">
      <c r="A5056" s="68">
        <v>38307</v>
      </c>
      <c r="B5056" s="69">
        <v>1.0640000000000001</v>
      </c>
    </row>
    <row r="5057" spans="1:2" x14ac:dyDescent="0.2">
      <c r="A5057" s="68">
        <v>38306</v>
      </c>
      <c r="B5057" s="69">
        <v>1.0636000000000001</v>
      </c>
    </row>
    <row r="5058" spans="1:2" x14ac:dyDescent="0.2">
      <c r="A5058" s="68">
        <v>38303</v>
      </c>
      <c r="B5058" s="69">
        <v>1.0629999999999999</v>
      </c>
    </row>
    <row r="5059" spans="1:2" x14ac:dyDescent="0.2">
      <c r="A5059" s="68">
        <v>38302</v>
      </c>
      <c r="B5059" s="69">
        <v>1.0636000000000001</v>
      </c>
    </row>
    <row r="5060" spans="1:2" x14ac:dyDescent="0.2">
      <c r="A5060" s="68">
        <v>38301</v>
      </c>
      <c r="B5060" s="69">
        <v>1.0637000000000001</v>
      </c>
    </row>
    <row r="5061" spans="1:2" x14ac:dyDescent="0.2">
      <c r="A5061" s="68">
        <v>38300</v>
      </c>
      <c r="B5061" s="69">
        <v>1.0646</v>
      </c>
    </row>
    <row r="5062" spans="1:2" x14ac:dyDescent="0.2">
      <c r="A5062" s="68">
        <v>38299</v>
      </c>
      <c r="B5062" s="69">
        <v>1.0645</v>
      </c>
    </row>
    <row r="5063" spans="1:2" x14ac:dyDescent="0.2">
      <c r="A5063" s="68">
        <v>38296</v>
      </c>
      <c r="B5063" s="69">
        <v>1.0633999999999999</v>
      </c>
    </row>
    <row r="5064" spans="1:2" x14ac:dyDescent="0.2">
      <c r="A5064" s="68">
        <v>38295</v>
      </c>
      <c r="B5064" s="69">
        <v>1.0630999999999999</v>
      </c>
    </row>
    <row r="5065" spans="1:2" x14ac:dyDescent="0.2">
      <c r="A5065" s="68">
        <v>38294</v>
      </c>
      <c r="B5065" s="69">
        <v>1.0634999999999999</v>
      </c>
    </row>
    <row r="5066" spans="1:2" x14ac:dyDescent="0.2">
      <c r="A5066" s="68">
        <v>38293</v>
      </c>
      <c r="B5066" s="69">
        <v>1.0633999999999999</v>
      </c>
    </row>
    <row r="5067" spans="1:2" x14ac:dyDescent="0.2">
      <c r="A5067" s="68">
        <v>38292</v>
      </c>
      <c r="B5067" s="69">
        <v>1.0636000000000001</v>
      </c>
    </row>
    <row r="5068" spans="1:2" x14ac:dyDescent="0.2">
      <c r="A5068" s="68">
        <v>38289</v>
      </c>
      <c r="B5068" s="69">
        <v>1.0638000000000001</v>
      </c>
    </row>
    <row r="5069" spans="1:2" x14ac:dyDescent="0.2">
      <c r="A5069" s="68">
        <v>38288</v>
      </c>
      <c r="B5069" s="69">
        <v>1.0632999999999999</v>
      </c>
    </row>
    <row r="5070" spans="1:2" x14ac:dyDescent="0.2">
      <c r="A5070" s="68">
        <v>38287</v>
      </c>
      <c r="B5070" s="69">
        <v>1.0638000000000001</v>
      </c>
    </row>
    <row r="5071" spans="1:2" x14ac:dyDescent="0.2">
      <c r="A5071" s="68">
        <v>38286</v>
      </c>
      <c r="B5071" s="69">
        <v>1.0626</v>
      </c>
    </row>
    <row r="5072" spans="1:2" x14ac:dyDescent="0.2">
      <c r="A5072" s="68">
        <v>38282</v>
      </c>
      <c r="B5072" s="69">
        <v>1.0626</v>
      </c>
    </row>
    <row r="5073" spans="1:2" x14ac:dyDescent="0.2">
      <c r="A5073" s="68">
        <v>38281</v>
      </c>
      <c r="B5073" s="69">
        <v>1.0624</v>
      </c>
    </row>
    <row r="5074" spans="1:2" x14ac:dyDescent="0.2">
      <c r="A5074" s="68">
        <v>38280</v>
      </c>
      <c r="B5074" s="69">
        <v>1.0618000000000001</v>
      </c>
    </row>
    <row r="5075" spans="1:2" x14ac:dyDescent="0.2">
      <c r="A5075" s="68">
        <v>38279</v>
      </c>
      <c r="B5075" s="69">
        <v>1.0624</v>
      </c>
    </row>
    <row r="5076" spans="1:2" x14ac:dyDescent="0.2">
      <c r="A5076" s="68">
        <v>38278</v>
      </c>
      <c r="B5076" s="69">
        <v>1.0623</v>
      </c>
    </row>
    <row r="5077" spans="1:2" x14ac:dyDescent="0.2">
      <c r="A5077" s="68">
        <v>38275</v>
      </c>
      <c r="B5077" s="69">
        <v>1.0616000000000001</v>
      </c>
    </row>
    <row r="5078" spans="1:2" x14ac:dyDescent="0.2">
      <c r="A5078" s="68">
        <v>38274</v>
      </c>
      <c r="B5078" s="69">
        <v>1.0616000000000001</v>
      </c>
    </row>
    <row r="5079" spans="1:2" x14ac:dyDescent="0.2">
      <c r="A5079" s="68">
        <v>38273</v>
      </c>
      <c r="B5079" s="69">
        <v>1.0619000000000001</v>
      </c>
    </row>
    <row r="5080" spans="1:2" x14ac:dyDescent="0.2">
      <c r="A5080" s="68">
        <v>38272</v>
      </c>
      <c r="B5080" s="69">
        <v>1.0620000000000001</v>
      </c>
    </row>
    <row r="5081" spans="1:2" x14ac:dyDescent="0.2">
      <c r="A5081" s="68">
        <v>38271</v>
      </c>
      <c r="B5081" s="69">
        <v>1.0611999999999999</v>
      </c>
    </row>
    <row r="5082" spans="1:2" x14ac:dyDescent="0.2">
      <c r="A5082" s="68">
        <v>38268</v>
      </c>
      <c r="B5082" s="69">
        <v>1.0611999999999999</v>
      </c>
    </row>
    <row r="5083" spans="1:2" x14ac:dyDescent="0.2">
      <c r="A5083" s="68">
        <v>38260</v>
      </c>
      <c r="B5083" s="69">
        <v>1.0610999999999999</v>
      </c>
    </row>
    <row r="5084" spans="1:2" x14ac:dyDescent="0.2">
      <c r="A5084" s="68">
        <v>38259</v>
      </c>
      <c r="B5084" s="69">
        <v>1.0607</v>
      </c>
    </row>
    <row r="5085" spans="1:2" x14ac:dyDescent="0.2">
      <c r="A5085" s="68">
        <v>38258</v>
      </c>
      <c r="B5085" s="69">
        <v>1.0608</v>
      </c>
    </row>
    <row r="5086" spans="1:2" x14ac:dyDescent="0.2">
      <c r="A5086" s="68">
        <v>38257</v>
      </c>
      <c r="B5086" s="69">
        <v>1.0609</v>
      </c>
    </row>
    <row r="5087" spans="1:2" x14ac:dyDescent="0.2">
      <c r="A5087" s="68">
        <v>38254</v>
      </c>
      <c r="B5087" s="69">
        <v>1.0608</v>
      </c>
    </row>
    <row r="5088" spans="1:2" x14ac:dyDescent="0.2">
      <c r="A5088" s="68">
        <v>38253</v>
      </c>
      <c r="B5088" s="69">
        <v>1.0608</v>
      </c>
    </row>
    <row r="5089" spans="1:2" x14ac:dyDescent="0.2">
      <c r="A5089" s="68">
        <v>38252</v>
      </c>
      <c r="B5089" s="69">
        <v>1.0607</v>
      </c>
    </row>
    <row r="5090" spans="1:2" x14ac:dyDescent="0.2">
      <c r="A5090" s="68">
        <v>38250</v>
      </c>
      <c r="B5090" s="69">
        <v>1.0607</v>
      </c>
    </row>
    <row r="5091" spans="1:2" x14ac:dyDescent="0.2">
      <c r="A5091" s="68">
        <v>38247</v>
      </c>
      <c r="B5091" s="69">
        <v>1.0607</v>
      </c>
    </row>
    <row r="5092" spans="1:2" x14ac:dyDescent="0.2">
      <c r="A5092" s="68">
        <v>38246</v>
      </c>
      <c r="B5092" s="69">
        <v>1.0609</v>
      </c>
    </row>
    <row r="5093" spans="1:2" x14ac:dyDescent="0.2">
      <c r="A5093" s="68">
        <v>38245</v>
      </c>
      <c r="B5093" s="69">
        <v>1.0608</v>
      </c>
    </row>
    <row r="5094" spans="1:2" x14ac:dyDescent="0.2">
      <c r="A5094" s="68">
        <v>38244</v>
      </c>
      <c r="B5094" s="69">
        <v>1.0608</v>
      </c>
    </row>
    <row r="5095" spans="1:2" x14ac:dyDescent="0.2">
      <c r="A5095" s="68">
        <v>38243</v>
      </c>
      <c r="B5095" s="69">
        <v>1.0607</v>
      </c>
    </row>
    <row r="5096" spans="1:2" x14ac:dyDescent="0.2">
      <c r="A5096" s="68">
        <v>38240</v>
      </c>
      <c r="B5096" s="69">
        <v>1.0607</v>
      </c>
    </row>
    <row r="5097" spans="1:2" x14ac:dyDescent="0.2">
      <c r="A5097" s="68">
        <v>38239</v>
      </c>
      <c r="B5097" s="69">
        <v>1.0607</v>
      </c>
    </row>
    <row r="5098" spans="1:2" x14ac:dyDescent="0.2">
      <c r="A5098" s="68">
        <v>38238</v>
      </c>
      <c r="B5098" s="69">
        <v>1.0607</v>
      </c>
    </row>
    <row r="5099" spans="1:2" x14ac:dyDescent="0.2">
      <c r="A5099" s="68">
        <v>38237</v>
      </c>
      <c r="B5099" s="69">
        <v>1.0607</v>
      </c>
    </row>
    <row r="5100" spans="1:2" x14ac:dyDescent="0.2">
      <c r="A5100" s="68">
        <v>38236</v>
      </c>
      <c r="B5100" s="69">
        <v>1.0608</v>
      </c>
    </row>
    <row r="5101" spans="1:2" x14ac:dyDescent="0.2">
      <c r="A5101" s="68">
        <v>38233</v>
      </c>
      <c r="B5101" s="69">
        <v>1.0607</v>
      </c>
    </row>
    <row r="5102" spans="1:2" x14ac:dyDescent="0.2">
      <c r="A5102" s="68">
        <v>38232</v>
      </c>
      <c r="B5102" s="69">
        <v>1.0608</v>
      </c>
    </row>
    <row r="5103" spans="1:2" x14ac:dyDescent="0.2">
      <c r="A5103" s="68">
        <v>38231</v>
      </c>
      <c r="B5103" s="69">
        <v>1.0607</v>
      </c>
    </row>
    <row r="5104" spans="1:2" x14ac:dyDescent="0.2">
      <c r="A5104" s="68">
        <v>38230</v>
      </c>
      <c r="B5104" s="69">
        <v>1.0607</v>
      </c>
    </row>
    <row r="5105" spans="1:2" x14ac:dyDescent="0.2">
      <c r="A5105" s="68">
        <v>38229</v>
      </c>
      <c r="B5105" s="69">
        <v>1.0608</v>
      </c>
    </row>
    <row r="5106" spans="1:2" x14ac:dyDescent="0.2">
      <c r="A5106" s="68">
        <v>38226</v>
      </c>
      <c r="B5106" s="69">
        <v>1.0607</v>
      </c>
    </row>
    <row r="5107" spans="1:2" x14ac:dyDescent="0.2">
      <c r="A5107" s="68">
        <v>38225</v>
      </c>
      <c r="B5107" s="69">
        <v>1.0607</v>
      </c>
    </row>
    <row r="5108" spans="1:2" x14ac:dyDescent="0.2">
      <c r="A5108" s="68">
        <v>38224</v>
      </c>
      <c r="B5108" s="69">
        <v>1.0607</v>
      </c>
    </row>
    <row r="5109" spans="1:2" x14ac:dyDescent="0.2">
      <c r="A5109" s="68">
        <v>38223</v>
      </c>
      <c r="B5109" s="69">
        <v>1.0608</v>
      </c>
    </row>
    <row r="5110" spans="1:2" x14ac:dyDescent="0.2">
      <c r="A5110" s="68">
        <v>38222</v>
      </c>
      <c r="B5110" s="69">
        <v>1.0608</v>
      </c>
    </row>
    <row r="5111" spans="1:2" x14ac:dyDescent="0.2">
      <c r="A5111" s="68">
        <v>38219</v>
      </c>
      <c r="B5111" s="69">
        <v>1.0607</v>
      </c>
    </row>
    <row r="5112" spans="1:2" x14ac:dyDescent="0.2">
      <c r="A5112" s="68">
        <v>38218</v>
      </c>
      <c r="B5112" s="69">
        <v>1.0608</v>
      </c>
    </row>
    <row r="5113" spans="1:2" x14ac:dyDescent="0.2">
      <c r="A5113" s="68">
        <v>38217</v>
      </c>
      <c r="B5113" s="69">
        <v>1.0608</v>
      </c>
    </row>
    <row r="5114" spans="1:2" x14ac:dyDescent="0.2">
      <c r="A5114" s="68">
        <v>38216</v>
      </c>
      <c r="B5114" s="69">
        <v>1.0608</v>
      </c>
    </row>
    <row r="5115" spans="1:2" x14ac:dyDescent="0.2">
      <c r="A5115" s="68">
        <v>38215</v>
      </c>
      <c r="B5115" s="69">
        <v>1.0608</v>
      </c>
    </row>
    <row r="5116" spans="1:2" x14ac:dyDescent="0.2">
      <c r="A5116" s="68">
        <v>38212</v>
      </c>
      <c r="B5116" s="69">
        <v>1.0609999999999999</v>
      </c>
    </row>
    <row r="5117" spans="1:2" x14ac:dyDescent="0.2">
      <c r="A5117" s="68">
        <v>38211</v>
      </c>
      <c r="B5117" s="69">
        <v>1.0609</v>
      </c>
    </row>
    <row r="5118" spans="1:2" x14ac:dyDescent="0.2">
      <c r="A5118" s="68">
        <v>38210</v>
      </c>
      <c r="B5118" s="69">
        <v>1.0609</v>
      </c>
    </row>
    <row r="5119" spans="1:2" x14ac:dyDescent="0.2">
      <c r="A5119" s="68">
        <v>38209</v>
      </c>
      <c r="B5119" s="69">
        <v>1.0609999999999999</v>
      </c>
    </row>
    <row r="5120" spans="1:2" x14ac:dyDescent="0.2">
      <c r="A5120" s="68">
        <v>38208</v>
      </c>
      <c r="B5120" s="69">
        <v>1.0608</v>
      </c>
    </row>
    <row r="5121" spans="1:2" x14ac:dyDescent="0.2">
      <c r="A5121" s="68">
        <v>38205</v>
      </c>
      <c r="B5121" s="69">
        <v>1.0607</v>
      </c>
    </row>
    <row r="5122" spans="1:2" x14ac:dyDescent="0.2">
      <c r="A5122" s="68">
        <v>38204</v>
      </c>
      <c r="B5122" s="69">
        <v>1.0608</v>
      </c>
    </row>
    <row r="5123" spans="1:2" x14ac:dyDescent="0.2">
      <c r="A5123" s="68">
        <v>38203</v>
      </c>
      <c r="B5123" s="69">
        <v>1.0609</v>
      </c>
    </row>
    <row r="5124" spans="1:2" x14ac:dyDescent="0.2">
      <c r="A5124" s="68">
        <v>38202</v>
      </c>
      <c r="B5124" s="69">
        <v>1.0609</v>
      </c>
    </row>
    <row r="5125" spans="1:2" x14ac:dyDescent="0.2">
      <c r="A5125" s="68">
        <v>38201</v>
      </c>
      <c r="B5125" s="69">
        <v>1.0609999999999999</v>
      </c>
    </row>
    <row r="5126" spans="1:2" x14ac:dyDescent="0.2">
      <c r="A5126" s="68">
        <v>38198</v>
      </c>
      <c r="B5126" s="69">
        <v>1.0608</v>
      </c>
    </row>
    <row r="5127" spans="1:2" x14ac:dyDescent="0.2">
      <c r="A5127" s="68">
        <v>38197</v>
      </c>
      <c r="B5127" s="69">
        <v>1.0608</v>
      </c>
    </row>
    <row r="5128" spans="1:2" x14ac:dyDescent="0.2">
      <c r="A5128" s="68">
        <v>38196</v>
      </c>
      <c r="B5128" s="69">
        <v>1.0607</v>
      </c>
    </row>
    <row r="5129" spans="1:2" x14ac:dyDescent="0.2">
      <c r="A5129" s="68">
        <v>38195</v>
      </c>
      <c r="B5129" s="69">
        <v>1.0607</v>
      </c>
    </row>
    <row r="5130" spans="1:2" x14ac:dyDescent="0.2">
      <c r="A5130" s="68">
        <v>38194</v>
      </c>
      <c r="B5130" s="69">
        <v>1.0609</v>
      </c>
    </row>
    <row r="5131" spans="1:2" x14ac:dyDescent="0.2">
      <c r="A5131" s="68">
        <v>38191</v>
      </c>
      <c r="B5131" s="69">
        <v>1.0607</v>
      </c>
    </row>
    <row r="5132" spans="1:2" x14ac:dyDescent="0.2">
      <c r="A5132" s="68">
        <v>38190</v>
      </c>
      <c r="B5132" s="69">
        <v>1.0607</v>
      </c>
    </row>
    <row r="5133" spans="1:2" x14ac:dyDescent="0.2">
      <c r="A5133" s="68">
        <v>38189</v>
      </c>
      <c r="B5133" s="69">
        <v>1.0608</v>
      </c>
    </row>
    <row r="5134" spans="1:2" x14ac:dyDescent="0.2">
      <c r="A5134" s="68">
        <v>38188</v>
      </c>
      <c r="B5134" s="69">
        <v>1.0608</v>
      </c>
    </row>
    <row r="5135" spans="1:2" x14ac:dyDescent="0.2">
      <c r="A5135" s="68">
        <v>38187</v>
      </c>
      <c r="B5135" s="69">
        <v>1.0608</v>
      </c>
    </row>
    <row r="5136" spans="1:2" x14ac:dyDescent="0.2">
      <c r="A5136" s="68">
        <v>38184</v>
      </c>
      <c r="B5136" s="69">
        <v>1.0608</v>
      </c>
    </row>
    <row r="5137" spans="1:2" x14ac:dyDescent="0.2">
      <c r="A5137" s="68">
        <v>38183</v>
      </c>
      <c r="B5137" s="69">
        <v>1.0607</v>
      </c>
    </row>
    <row r="5138" spans="1:2" x14ac:dyDescent="0.2">
      <c r="A5138" s="68">
        <v>38182</v>
      </c>
      <c r="B5138" s="69">
        <v>1.0609</v>
      </c>
    </row>
    <row r="5139" spans="1:2" x14ac:dyDescent="0.2">
      <c r="A5139" s="68">
        <v>38181</v>
      </c>
      <c r="B5139" s="69">
        <v>1.0608</v>
      </c>
    </row>
    <row r="5140" spans="1:2" x14ac:dyDescent="0.2">
      <c r="A5140" s="68">
        <v>38180</v>
      </c>
      <c r="B5140" s="69">
        <v>1.0609</v>
      </c>
    </row>
    <row r="5141" spans="1:2" x14ac:dyDescent="0.2">
      <c r="A5141" s="68">
        <v>38177</v>
      </c>
      <c r="B5141" s="69">
        <v>1.0608</v>
      </c>
    </row>
    <row r="5142" spans="1:2" x14ac:dyDescent="0.2">
      <c r="A5142" s="68">
        <v>38176</v>
      </c>
      <c r="B5142" s="69">
        <v>1.0607</v>
      </c>
    </row>
    <row r="5143" spans="1:2" x14ac:dyDescent="0.2">
      <c r="A5143" s="68">
        <v>38175</v>
      </c>
      <c r="B5143" s="69">
        <v>1.0609</v>
      </c>
    </row>
    <row r="5144" spans="1:2" x14ac:dyDescent="0.2">
      <c r="A5144" s="68">
        <v>38174</v>
      </c>
      <c r="B5144" s="69">
        <v>1.0608</v>
      </c>
    </row>
    <row r="5145" spans="1:2" x14ac:dyDescent="0.2">
      <c r="A5145" s="68">
        <v>38173</v>
      </c>
      <c r="B5145" s="69">
        <v>1.0607</v>
      </c>
    </row>
    <row r="5146" spans="1:2" x14ac:dyDescent="0.2">
      <c r="A5146" s="68">
        <v>38170</v>
      </c>
      <c r="B5146" s="69">
        <v>1.0606</v>
      </c>
    </row>
    <row r="5147" spans="1:2" x14ac:dyDescent="0.2">
      <c r="A5147" s="68">
        <v>38169</v>
      </c>
      <c r="B5147" s="69">
        <v>1.0607</v>
      </c>
    </row>
    <row r="5148" spans="1:2" x14ac:dyDescent="0.2">
      <c r="A5148" s="68">
        <v>38168</v>
      </c>
      <c r="B5148" s="69">
        <v>1.0609</v>
      </c>
    </row>
    <row r="5149" spans="1:2" x14ac:dyDescent="0.2">
      <c r="A5149" s="68">
        <v>38167</v>
      </c>
      <c r="B5149" s="69">
        <v>1.0611999999999999</v>
      </c>
    </row>
    <row r="5150" spans="1:2" x14ac:dyDescent="0.2">
      <c r="A5150" s="68">
        <v>38166</v>
      </c>
      <c r="B5150" s="69">
        <v>1.0611999999999999</v>
      </c>
    </row>
    <row r="5151" spans="1:2" x14ac:dyDescent="0.2">
      <c r="A5151" s="68">
        <v>38163</v>
      </c>
      <c r="B5151" s="69">
        <v>1.0608</v>
      </c>
    </row>
    <row r="5152" spans="1:2" x14ac:dyDescent="0.2">
      <c r="A5152" s="68">
        <v>38162</v>
      </c>
      <c r="B5152" s="69">
        <v>1.0608</v>
      </c>
    </row>
    <row r="5153" spans="1:2" x14ac:dyDescent="0.2">
      <c r="A5153" s="68">
        <v>38161</v>
      </c>
      <c r="B5153" s="69">
        <v>1.0608</v>
      </c>
    </row>
    <row r="5154" spans="1:2" x14ac:dyDescent="0.2">
      <c r="A5154" s="68">
        <v>38160</v>
      </c>
      <c r="B5154" s="69">
        <v>1.0610999999999999</v>
      </c>
    </row>
    <row r="5155" spans="1:2" x14ac:dyDescent="0.2">
      <c r="A5155" s="68">
        <v>38159</v>
      </c>
      <c r="B5155" s="69">
        <v>1.0609999999999999</v>
      </c>
    </row>
    <row r="5156" spans="1:2" x14ac:dyDescent="0.2">
      <c r="A5156" s="68">
        <v>38156</v>
      </c>
      <c r="B5156" s="69">
        <v>1.0609</v>
      </c>
    </row>
    <row r="5157" spans="1:2" x14ac:dyDescent="0.2">
      <c r="A5157" s="68">
        <v>38155</v>
      </c>
      <c r="B5157" s="69">
        <v>1.0609999999999999</v>
      </c>
    </row>
    <row r="5158" spans="1:2" x14ac:dyDescent="0.2">
      <c r="A5158" s="68">
        <v>38154</v>
      </c>
      <c r="B5158" s="69">
        <v>1.0609999999999999</v>
      </c>
    </row>
    <row r="5159" spans="1:2" x14ac:dyDescent="0.2">
      <c r="A5159" s="68">
        <v>38153</v>
      </c>
      <c r="B5159" s="69">
        <v>1.0611999999999999</v>
      </c>
    </row>
    <row r="5160" spans="1:2" x14ac:dyDescent="0.2">
      <c r="A5160" s="68">
        <v>38152</v>
      </c>
      <c r="B5160" s="69">
        <v>1.0609999999999999</v>
      </c>
    </row>
    <row r="5161" spans="1:2" x14ac:dyDescent="0.2">
      <c r="A5161" s="68">
        <v>38149</v>
      </c>
      <c r="B5161" s="69">
        <v>1.0610999999999999</v>
      </c>
    </row>
    <row r="5162" spans="1:2" x14ac:dyDescent="0.2">
      <c r="A5162" s="68">
        <v>38148</v>
      </c>
      <c r="B5162" s="69">
        <v>1.0613999999999999</v>
      </c>
    </row>
    <row r="5163" spans="1:2" x14ac:dyDescent="0.2">
      <c r="A5163" s="68">
        <v>38147</v>
      </c>
      <c r="B5163" s="69">
        <v>1.0613999999999999</v>
      </c>
    </row>
    <row r="5164" spans="1:2" x14ac:dyDescent="0.2">
      <c r="A5164" s="68">
        <v>38146</v>
      </c>
      <c r="B5164" s="69">
        <v>1.0613999999999999</v>
      </c>
    </row>
    <row r="5165" spans="1:2" x14ac:dyDescent="0.2">
      <c r="A5165" s="68">
        <v>38145</v>
      </c>
      <c r="B5165" s="69">
        <v>1.0612999999999999</v>
      </c>
    </row>
    <row r="5166" spans="1:2" x14ac:dyDescent="0.2">
      <c r="A5166" s="68">
        <v>38142</v>
      </c>
      <c r="B5166" s="69">
        <v>1.0613999999999999</v>
      </c>
    </row>
    <row r="5167" spans="1:2" x14ac:dyDescent="0.2">
      <c r="A5167" s="68">
        <v>38141</v>
      </c>
      <c r="B5167" s="69">
        <v>1.0612999999999999</v>
      </c>
    </row>
    <row r="5168" spans="1:2" x14ac:dyDescent="0.2">
      <c r="A5168" s="68">
        <v>38140</v>
      </c>
      <c r="B5168" s="69">
        <v>1.0615000000000001</v>
      </c>
    </row>
    <row r="5169" spans="1:2" x14ac:dyDescent="0.2">
      <c r="A5169" s="68">
        <v>38139</v>
      </c>
      <c r="B5169" s="69">
        <v>1.0617000000000001</v>
      </c>
    </row>
    <row r="5170" spans="1:2" x14ac:dyDescent="0.2">
      <c r="A5170" s="68">
        <v>38138</v>
      </c>
      <c r="B5170" s="69">
        <v>1.0616000000000001</v>
      </c>
    </row>
    <row r="5171" spans="1:2" x14ac:dyDescent="0.2">
      <c r="A5171" s="68">
        <v>38135</v>
      </c>
      <c r="B5171" s="69">
        <v>1.0615000000000001</v>
      </c>
    </row>
    <row r="5172" spans="1:2" x14ac:dyDescent="0.2">
      <c r="A5172" s="68">
        <v>38134</v>
      </c>
      <c r="B5172" s="69">
        <v>1.0616000000000001</v>
      </c>
    </row>
    <row r="5173" spans="1:2" x14ac:dyDescent="0.2">
      <c r="A5173" s="68">
        <v>38133</v>
      </c>
      <c r="B5173" s="69">
        <v>1.0616000000000001</v>
      </c>
    </row>
    <row r="5174" spans="1:2" x14ac:dyDescent="0.2">
      <c r="A5174" s="68">
        <v>38132</v>
      </c>
      <c r="B5174" s="69">
        <v>1.0627</v>
      </c>
    </row>
    <row r="5175" spans="1:2" x14ac:dyDescent="0.2">
      <c r="A5175" s="68">
        <v>38131</v>
      </c>
      <c r="B5175" s="69">
        <v>1.0627</v>
      </c>
    </row>
    <row r="5176" spans="1:2" x14ac:dyDescent="0.2">
      <c r="A5176" s="68">
        <v>38128</v>
      </c>
      <c r="B5176" s="69">
        <v>1.0615000000000001</v>
      </c>
    </row>
    <row r="5177" spans="1:2" x14ac:dyDescent="0.2">
      <c r="A5177" s="68">
        <v>38127</v>
      </c>
      <c r="B5177" s="69">
        <v>1.0609999999999999</v>
      </c>
    </row>
    <row r="5178" spans="1:2" x14ac:dyDescent="0.2">
      <c r="A5178" s="68">
        <v>38126</v>
      </c>
      <c r="B5178" s="69">
        <v>1.0609999999999999</v>
      </c>
    </row>
    <row r="5179" spans="1:2" x14ac:dyDescent="0.2">
      <c r="A5179" s="68">
        <v>38125</v>
      </c>
      <c r="B5179" s="69">
        <v>1.0609</v>
      </c>
    </row>
    <row r="5180" spans="1:2" x14ac:dyDescent="0.2">
      <c r="A5180" s="68">
        <v>38124</v>
      </c>
      <c r="B5180" s="69">
        <v>1.0609</v>
      </c>
    </row>
    <row r="5181" spans="1:2" x14ac:dyDescent="0.2">
      <c r="A5181" s="68">
        <v>38121</v>
      </c>
      <c r="B5181" s="69">
        <v>1.0607</v>
      </c>
    </row>
    <row r="5182" spans="1:2" x14ac:dyDescent="0.2">
      <c r="A5182" s="68">
        <v>38120</v>
      </c>
      <c r="B5182" s="69">
        <v>1.0608</v>
      </c>
    </row>
    <row r="5183" spans="1:2" x14ac:dyDescent="0.2">
      <c r="A5183" s="68">
        <v>38119</v>
      </c>
      <c r="B5183" s="69">
        <v>1.0609</v>
      </c>
    </row>
    <row r="5184" spans="1:2" x14ac:dyDescent="0.2">
      <c r="A5184" s="68">
        <v>38118</v>
      </c>
      <c r="B5184" s="69">
        <v>1.0608</v>
      </c>
    </row>
    <row r="5185" spans="1:2" x14ac:dyDescent="0.2">
      <c r="A5185" s="68">
        <v>38117</v>
      </c>
      <c r="B5185" s="69">
        <v>1.0605</v>
      </c>
    </row>
    <row r="5186" spans="1:2" x14ac:dyDescent="0.2">
      <c r="A5186" s="68">
        <v>38116</v>
      </c>
      <c r="B5186" s="69">
        <v>1.0606</v>
      </c>
    </row>
    <row r="5187" spans="1:2" x14ac:dyDescent="0.2">
      <c r="A5187" s="68">
        <v>38115</v>
      </c>
      <c r="B5187" s="69">
        <v>1.0609</v>
      </c>
    </row>
    <row r="5188" spans="1:2" x14ac:dyDescent="0.2">
      <c r="A5188" s="68">
        <v>38107</v>
      </c>
      <c r="B5188" s="69">
        <v>1.0608</v>
      </c>
    </row>
    <row r="5189" spans="1:2" x14ac:dyDescent="0.2">
      <c r="A5189" s="68">
        <v>38106</v>
      </c>
      <c r="B5189" s="69">
        <v>1.0609</v>
      </c>
    </row>
    <row r="5190" spans="1:2" x14ac:dyDescent="0.2">
      <c r="A5190" s="68">
        <v>38105</v>
      </c>
      <c r="B5190" s="69">
        <v>1.0609</v>
      </c>
    </row>
    <row r="5191" spans="1:2" x14ac:dyDescent="0.2">
      <c r="A5191" s="68">
        <v>38104</v>
      </c>
      <c r="B5191" s="69">
        <v>1.0609</v>
      </c>
    </row>
    <row r="5192" spans="1:2" x14ac:dyDescent="0.2">
      <c r="A5192" s="68">
        <v>38103</v>
      </c>
      <c r="B5192" s="69">
        <v>1.0607</v>
      </c>
    </row>
    <row r="5193" spans="1:2" x14ac:dyDescent="0.2">
      <c r="A5193" s="68">
        <v>38100</v>
      </c>
      <c r="B5193" s="69">
        <v>1.0607</v>
      </c>
    </row>
    <row r="5194" spans="1:2" x14ac:dyDescent="0.2">
      <c r="A5194" s="68">
        <v>38099</v>
      </c>
      <c r="B5194" s="69">
        <v>1.0608</v>
      </c>
    </row>
    <row r="5195" spans="1:2" x14ac:dyDescent="0.2">
      <c r="A5195" s="68">
        <v>38098</v>
      </c>
      <c r="B5195" s="69">
        <v>1.0609</v>
      </c>
    </row>
    <row r="5196" spans="1:2" x14ac:dyDescent="0.2">
      <c r="A5196" s="68">
        <v>38097</v>
      </c>
      <c r="B5196" s="69">
        <v>1.0609999999999999</v>
      </c>
    </row>
    <row r="5197" spans="1:2" x14ac:dyDescent="0.2">
      <c r="A5197" s="68">
        <v>38096</v>
      </c>
      <c r="B5197" s="69">
        <v>1.0609999999999999</v>
      </c>
    </row>
    <row r="5198" spans="1:2" x14ac:dyDescent="0.2">
      <c r="A5198" s="68">
        <v>38093</v>
      </c>
      <c r="B5198" s="69">
        <v>1.0609999999999999</v>
      </c>
    </row>
    <row r="5199" spans="1:2" x14ac:dyDescent="0.2">
      <c r="A5199" s="68">
        <v>38092</v>
      </c>
      <c r="B5199" s="69">
        <v>1.0612999999999999</v>
      </c>
    </row>
    <row r="5200" spans="1:2" x14ac:dyDescent="0.2">
      <c r="A5200" s="68">
        <v>38091</v>
      </c>
      <c r="B5200" s="69">
        <v>1.0616000000000001</v>
      </c>
    </row>
    <row r="5201" spans="1:2" x14ac:dyDescent="0.2">
      <c r="A5201" s="68">
        <v>38090</v>
      </c>
      <c r="B5201" s="69">
        <v>1.0612999999999999</v>
      </c>
    </row>
    <row r="5202" spans="1:2" x14ac:dyDescent="0.2">
      <c r="A5202" s="68">
        <v>38089</v>
      </c>
      <c r="B5202" s="69">
        <v>1.0611999999999999</v>
      </c>
    </row>
    <row r="5203" spans="1:2" x14ac:dyDescent="0.2">
      <c r="A5203" s="68">
        <v>38086</v>
      </c>
      <c r="B5203" s="69">
        <v>1.0612999999999999</v>
      </c>
    </row>
    <row r="5204" spans="1:2" x14ac:dyDescent="0.2">
      <c r="A5204" s="68">
        <v>38085</v>
      </c>
      <c r="B5204" s="69">
        <v>1.0615000000000001</v>
      </c>
    </row>
    <row r="5205" spans="1:2" x14ac:dyDescent="0.2">
      <c r="A5205" s="68">
        <v>38084</v>
      </c>
      <c r="B5205" s="69">
        <v>1.0618000000000001</v>
      </c>
    </row>
    <row r="5206" spans="1:2" x14ac:dyDescent="0.2">
      <c r="A5206" s="68">
        <v>38083</v>
      </c>
      <c r="B5206" s="69">
        <v>1.0624</v>
      </c>
    </row>
    <row r="5207" spans="1:2" x14ac:dyDescent="0.2">
      <c r="A5207" s="68">
        <v>38082</v>
      </c>
      <c r="B5207" s="69">
        <v>1.0624</v>
      </c>
    </row>
    <row r="5208" spans="1:2" x14ac:dyDescent="0.2">
      <c r="A5208" s="68">
        <v>38079</v>
      </c>
      <c r="B5208" s="69">
        <v>1.0618000000000001</v>
      </c>
    </row>
    <row r="5209" spans="1:2" x14ac:dyDescent="0.2">
      <c r="A5209" s="68">
        <v>38078</v>
      </c>
      <c r="B5209" s="69">
        <v>1.0613999999999999</v>
      </c>
    </row>
    <row r="5210" spans="1:2" x14ac:dyDescent="0.2">
      <c r="A5210" s="68">
        <v>38077</v>
      </c>
      <c r="B5210" s="69">
        <v>1.0613999999999999</v>
      </c>
    </row>
    <row r="5211" spans="1:2" x14ac:dyDescent="0.2">
      <c r="A5211" s="68">
        <v>38076</v>
      </c>
      <c r="B5211" s="69">
        <v>1.0612999999999999</v>
      </c>
    </row>
    <row r="5212" spans="1:2" x14ac:dyDescent="0.2">
      <c r="A5212" s="68">
        <v>38075</v>
      </c>
      <c r="B5212" s="69">
        <v>1.0611999999999999</v>
      </c>
    </row>
    <row r="5213" spans="1:2" x14ac:dyDescent="0.2">
      <c r="A5213" s="68">
        <v>38072</v>
      </c>
      <c r="B5213" s="69">
        <v>1.0612999999999999</v>
      </c>
    </row>
    <row r="5214" spans="1:2" x14ac:dyDescent="0.2">
      <c r="A5214" s="68">
        <v>38071</v>
      </c>
      <c r="B5214" s="69">
        <v>1.0616000000000001</v>
      </c>
    </row>
    <row r="5215" spans="1:2" x14ac:dyDescent="0.2">
      <c r="A5215" s="68">
        <v>38070</v>
      </c>
      <c r="B5215" s="69">
        <v>1.0617000000000001</v>
      </c>
    </row>
    <row r="5216" spans="1:2" x14ac:dyDescent="0.2">
      <c r="A5216" s="68">
        <v>38069</v>
      </c>
      <c r="B5216" s="69">
        <v>1.0619000000000001</v>
      </c>
    </row>
    <row r="5217" spans="1:2" x14ac:dyDescent="0.2">
      <c r="A5217" s="68">
        <v>38068</v>
      </c>
      <c r="B5217" s="69">
        <v>1.0619000000000001</v>
      </c>
    </row>
    <row r="5218" spans="1:2" x14ac:dyDescent="0.2">
      <c r="A5218" s="68">
        <v>38065</v>
      </c>
      <c r="B5218" s="69">
        <v>1.0620000000000001</v>
      </c>
    </row>
    <row r="5219" spans="1:2" x14ac:dyDescent="0.2">
      <c r="A5219" s="68">
        <v>38064</v>
      </c>
      <c r="B5219" s="69">
        <v>1.0620000000000001</v>
      </c>
    </row>
    <row r="5220" spans="1:2" x14ac:dyDescent="0.2">
      <c r="A5220" s="68">
        <v>38063</v>
      </c>
      <c r="B5220" s="69">
        <v>1.0618000000000001</v>
      </c>
    </row>
    <row r="5221" spans="1:2" x14ac:dyDescent="0.2">
      <c r="A5221" s="68">
        <v>38062</v>
      </c>
      <c r="B5221" s="69">
        <v>1.0618000000000001</v>
      </c>
    </row>
    <row r="5222" spans="1:2" x14ac:dyDescent="0.2">
      <c r="A5222" s="68">
        <v>38061</v>
      </c>
      <c r="B5222" s="69">
        <v>1.0615000000000001</v>
      </c>
    </row>
    <row r="5223" spans="1:2" x14ac:dyDescent="0.2">
      <c r="A5223" s="68">
        <v>38058</v>
      </c>
      <c r="B5223" s="69">
        <v>1.0616000000000001</v>
      </c>
    </row>
    <row r="5224" spans="1:2" x14ac:dyDescent="0.2">
      <c r="A5224" s="68">
        <v>38057</v>
      </c>
      <c r="B5224" s="69">
        <v>1.0619000000000001</v>
      </c>
    </row>
    <row r="5225" spans="1:2" x14ac:dyDescent="0.2">
      <c r="A5225" s="68">
        <v>38056</v>
      </c>
      <c r="B5225" s="69">
        <v>1.0620000000000001</v>
      </c>
    </row>
    <row r="5226" spans="1:2" x14ac:dyDescent="0.2">
      <c r="A5226" s="68">
        <v>38055</v>
      </c>
      <c r="B5226" s="69">
        <v>1.0623</v>
      </c>
    </row>
    <row r="5227" spans="1:2" x14ac:dyDescent="0.2">
      <c r="A5227" s="68">
        <v>38054</v>
      </c>
      <c r="B5227" s="69">
        <v>1.0618000000000001</v>
      </c>
    </row>
    <row r="5228" spans="1:2" x14ac:dyDescent="0.2">
      <c r="A5228" s="68">
        <v>38051</v>
      </c>
      <c r="B5228" s="69">
        <v>1.0618000000000001</v>
      </c>
    </row>
    <row r="5229" spans="1:2" x14ac:dyDescent="0.2">
      <c r="A5229" s="68">
        <v>38050</v>
      </c>
      <c r="B5229" s="69">
        <v>1.0622</v>
      </c>
    </row>
    <row r="5230" spans="1:2" x14ac:dyDescent="0.2">
      <c r="A5230" s="68">
        <v>38049</v>
      </c>
      <c r="B5230" s="69">
        <v>1.0629999999999999</v>
      </c>
    </row>
    <row r="5231" spans="1:2" x14ac:dyDescent="0.2">
      <c r="A5231" s="68">
        <v>38048</v>
      </c>
      <c r="B5231" s="69">
        <v>1.0629999999999999</v>
      </c>
    </row>
    <row r="5232" spans="1:2" x14ac:dyDescent="0.2">
      <c r="A5232" s="68">
        <v>38047</v>
      </c>
      <c r="B5232" s="69">
        <v>1.0630999999999999</v>
      </c>
    </row>
    <row r="5233" spans="1:2" x14ac:dyDescent="0.2">
      <c r="A5233" s="68">
        <v>38044</v>
      </c>
      <c r="B5233" s="69">
        <v>1.0633999999999999</v>
      </c>
    </row>
    <row r="5234" spans="1:2" x14ac:dyDescent="0.2">
      <c r="A5234" s="68">
        <v>38043</v>
      </c>
      <c r="B5234" s="69">
        <v>1.0639000000000001</v>
      </c>
    </row>
    <row r="5235" spans="1:2" x14ac:dyDescent="0.2">
      <c r="A5235" s="68">
        <v>38042</v>
      </c>
      <c r="B5235" s="69">
        <v>1.0642</v>
      </c>
    </row>
    <row r="5236" spans="1:2" x14ac:dyDescent="0.2">
      <c r="A5236" s="68">
        <v>38041</v>
      </c>
      <c r="B5236" s="69">
        <v>1.0641</v>
      </c>
    </row>
    <row r="5237" spans="1:2" x14ac:dyDescent="0.2">
      <c r="A5237" s="68">
        <v>38040</v>
      </c>
      <c r="B5237" s="69">
        <v>1.0644</v>
      </c>
    </row>
    <row r="5238" spans="1:2" x14ac:dyDescent="0.2">
      <c r="A5238" s="68">
        <v>38037</v>
      </c>
      <c r="B5238" s="69">
        <v>1.0646</v>
      </c>
    </row>
    <row r="5239" spans="1:2" x14ac:dyDescent="0.2">
      <c r="A5239" s="68">
        <v>38036</v>
      </c>
      <c r="B5239" s="69">
        <v>1.0647</v>
      </c>
    </row>
    <row r="5240" spans="1:2" x14ac:dyDescent="0.2">
      <c r="A5240" s="68">
        <v>38035</v>
      </c>
      <c r="B5240" s="69">
        <v>1.0653999999999999</v>
      </c>
    </row>
    <row r="5241" spans="1:2" x14ac:dyDescent="0.2">
      <c r="A5241" s="68">
        <v>38034</v>
      </c>
      <c r="B5241" s="69">
        <v>1.0649999999999999</v>
      </c>
    </row>
    <row r="5242" spans="1:2" x14ac:dyDescent="0.2">
      <c r="A5242" s="68">
        <v>38033</v>
      </c>
      <c r="B5242" s="69">
        <v>1.0649</v>
      </c>
    </row>
    <row r="5243" spans="1:2" x14ac:dyDescent="0.2">
      <c r="A5243" s="68">
        <v>38030</v>
      </c>
      <c r="B5243" s="69">
        <v>1.0649</v>
      </c>
    </row>
    <row r="5244" spans="1:2" x14ac:dyDescent="0.2">
      <c r="A5244" s="68">
        <v>38029</v>
      </c>
      <c r="B5244" s="69">
        <v>1.0649</v>
      </c>
    </row>
    <row r="5245" spans="1:2" x14ac:dyDescent="0.2">
      <c r="A5245" s="68">
        <v>38028</v>
      </c>
      <c r="B5245" s="69">
        <v>1.0649999999999999</v>
      </c>
    </row>
    <row r="5246" spans="1:2" x14ac:dyDescent="0.2">
      <c r="A5246" s="68">
        <v>38027</v>
      </c>
      <c r="B5246" s="69">
        <v>1.0648</v>
      </c>
    </row>
    <row r="5247" spans="1:2" x14ac:dyDescent="0.2">
      <c r="A5247" s="68">
        <v>38026</v>
      </c>
      <c r="B5247" s="69">
        <v>1.0643</v>
      </c>
    </row>
    <row r="5248" spans="1:2" x14ac:dyDescent="0.2">
      <c r="A5248" s="68">
        <v>38023</v>
      </c>
      <c r="B5248" s="69">
        <v>1.0642</v>
      </c>
    </row>
    <row r="5249" spans="1:2" x14ac:dyDescent="0.2">
      <c r="A5249" s="68">
        <v>38022</v>
      </c>
      <c r="B5249" s="69">
        <v>1.0641</v>
      </c>
    </row>
    <row r="5250" spans="1:2" x14ac:dyDescent="0.2">
      <c r="A5250" s="68">
        <v>38021</v>
      </c>
      <c r="B5250" s="69">
        <v>1.0640000000000001</v>
      </c>
    </row>
    <row r="5251" spans="1:2" x14ac:dyDescent="0.2">
      <c r="A5251" s="68">
        <v>38020</v>
      </c>
      <c r="B5251" s="69">
        <v>1.0641</v>
      </c>
    </row>
    <row r="5252" spans="1:2" x14ac:dyDescent="0.2">
      <c r="A5252" s="68">
        <v>38019</v>
      </c>
      <c r="B5252" s="69">
        <v>1.0642</v>
      </c>
    </row>
    <row r="5253" spans="1:2" x14ac:dyDescent="0.2">
      <c r="A5253" s="68">
        <v>38016</v>
      </c>
      <c r="B5253" s="69">
        <v>1.0649</v>
      </c>
    </row>
    <row r="5254" spans="1:2" x14ac:dyDescent="0.2">
      <c r="A5254" s="68">
        <v>38015</v>
      </c>
      <c r="B5254" s="69">
        <v>1.0650999999999999</v>
      </c>
    </row>
    <row r="5255" spans="1:2" x14ac:dyDescent="0.2">
      <c r="A5255" s="68">
        <v>38002</v>
      </c>
      <c r="B5255" s="69">
        <v>1.0656000000000001</v>
      </c>
    </row>
    <row r="5256" spans="1:2" x14ac:dyDescent="0.2">
      <c r="A5256" s="68">
        <v>38001</v>
      </c>
      <c r="B5256" s="69">
        <v>1.0656000000000001</v>
      </c>
    </row>
    <row r="5257" spans="1:2" x14ac:dyDescent="0.2">
      <c r="A5257" s="68">
        <v>38000</v>
      </c>
      <c r="B5257" s="69">
        <v>1.0658000000000001</v>
      </c>
    </row>
    <row r="5258" spans="1:2" x14ac:dyDescent="0.2">
      <c r="A5258" s="68">
        <v>37999</v>
      </c>
      <c r="B5258" s="69">
        <v>1.0658000000000001</v>
      </c>
    </row>
    <row r="5259" spans="1:2" x14ac:dyDescent="0.2">
      <c r="A5259" s="68">
        <v>37998</v>
      </c>
      <c r="B5259" s="69">
        <v>1.0658000000000001</v>
      </c>
    </row>
    <row r="5260" spans="1:2" x14ac:dyDescent="0.2">
      <c r="A5260" s="68">
        <v>37995</v>
      </c>
      <c r="B5260" s="69">
        <v>1.0658000000000001</v>
      </c>
    </row>
    <row r="5261" spans="1:2" x14ac:dyDescent="0.2">
      <c r="A5261" s="68">
        <v>37994</v>
      </c>
      <c r="B5261" s="69">
        <v>1.0658000000000001</v>
      </c>
    </row>
    <row r="5262" spans="1:2" x14ac:dyDescent="0.2">
      <c r="A5262" s="68">
        <v>37993</v>
      </c>
      <c r="B5262" s="69">
        <v>1.0658000000000001</v>
      </c>
    </row>
    <row r="5263" spans="1:2" x14ac:dyDescent="0.2">
      <c r="A5263" s="68">
        <v>37992</v>
      </c>
      <c r="B5263" s="69">
        <v>1.0656000000000001</v>
      </c>
    </row>
    <row r="5264" spans="1:2" x14ac:dyDescent="0.2">
      <c r="A5264" s="68">
        <v>37991</v>
      </c>
      <c r="B5264" s="69">
        <v>1.0656000000000001</v>
      </c>
    </row>
    <row r="5265" spans="1:2" x14ac:dyDescent="0.2">
      <c r="A5265" s="68">
        <v>37988</v>
      </c>
      <c r="B5265" s="69">
        <v>1.0657000000000001</v>
      </c>
    </row>
    <row r="5266" spans="1:2" x14ac:dyDescent="0.2">
      <c r="A5266" s="68">
        <v>37986</v>
      </c>
      <c r="B5266" s="69">
        <v>1.0657000000000001</v>
      </c>
    </row>
    <row r="5267" spans="1:2" x14ac:dyDescent="0.2">
      <c r="A5267" s="68">
        <v>37985</v>
      </c>
      <c r="B5267" s="69">
        <v>1.0654999999999999</v>
      </c>
    </row>
    <row r="5268" spans="1:2" x14ac:dyDescent="0.2">
      <c r="A5268" s="68">
        <v>37984</v>
      </c>
      <c r="B5268" s="69">
        <v>1.0652999999999999</v>
      </c>
    </row>
    <row r="5269" spans="1:2" x14ac:dyDescent="0.2">
      <c r="A5269" s="68">
        <v>37981</v>
      </c>
      <c r="B5269" s="69">
        <v>1.0652999999999999</v>
      </c>
    </row>
    <row r="5270" spans="1:2" x14ac:dyDescent="0.2">
      <c r="A5270" s="68">
        <v>37980</v>
      </c>
      <c r="B5270" s="69">
        <v>1.0654999999999999</v>
      </c>
    </row>
    <row r="5271" spans="1:2" x14ac:dyDescent="0.2">
      <c r="A5271" s="68">
        <v>37979</v>
      </c>
      <c r="B5271" s="69">
        <v>1.0654999999999999</v>
      </c>
    </row>
    <row r="5272" spans="1:2" x14ac:dyDescent="0.2">
      <c r="A5272" s="68">
        <v>37978</v>
      </c>
      <c r="B5272" s="69">
        <v>1.0654999999999999</v>
      </c>
    </row>
    <row r="5273" spans="1:2" x14ac:dyDescent="0.2">
      <c r="A5273" s="68">
        <v>37977</v>
      </c>
      <c r="B5273" s="69">
        <v>1.0653999999999999</v>
      </c>
    </row>
    <row r="5274" spans="1:2" x14ac:dyDescent="0.2">
      <c r="A5274" s="68">
        <v>37974</v>
      </c>
      <c r="B5274" s="69">
        <v>1.0656000000000001</v>
      </c>
    </row>
    <row r="5275" spans="1:2" x14ac:dyDescent="0.2">
      <c r="A5275" s="68">
        <v>37972</v>
      </c>
      <c r="B5275" s="69">
        <v>1.0661</v>
      </c>
    </row>
    <row r="5276" spans="1:2" x14ac:dyDescent="0.2">
      <c r="A5276" s="68">
        <v>37971</v>
      </c>
      <c r="B5276" s="69">
        <v>1.0661</v>
      </c>
    </row>
    <row r="5277" spans="1:2" x14ac:dyDescent="0.2">
      <c r="A5277" s="68">
        <v>37970</v>
      </c>
      <c r="B5277" s="69">
        <v>1.0657000000000001</v>
      </c>
    </row>
    <row r="5278" spans="1:2" x14ac:dyDescent="0.2">
      <c r="A5278" s="68">
        <v>37967</v>
      </c>
      <c r="B5278" s="69">
        <v>1.0657000000000001</v>
      </c>
    </row>
    <row r="5279" spans="1:2" x14ac:dyDescent="0.2">
      <c r="A5279" s="68">
        <v>37966</v>
      </c>
      <c r="B5279" s="69">
        <v>1.0659000000000001</v>
      </c>
    </row>
    <row r="5280" spans="1:2" x14ac:dyDescent="0.2">
      <c r="A5280" s="68">
        <v>37965</v>
      </c>
      <c r="B5280" s="69">
        <v>1.0654999999999999</v>
      </c>
    </row>
    <row r="5281" spans="1:2" x14ac:dyDescent="0.2">
      <c r="A5281" s="68">
        <v>37964</v>
      </c>
      <c r="B5281" s="69">
        <v>1.0657000000000001</v>
      </c>
    </row>
    <row r="5282" spans="1:2" x14ac:dyDescent="0.2">
      <c r="A5282" s="68">
        <v>37963</v>
      </c>
      <c r="B5282" s="69">
        <v>1.0651999999999999</v>
      </c>
    </row>
    <row r="5283" spans="1:2" x14ac:dyDescent="0.2">
      <c r="A5283" s="68">
        <v>37960</v>
      </c>
      <c r="B5283" s="69">
        <v>1.0656000000000001</v>
      </c>
    </row>
    <row r="5284" spans="1:2" x14ac:dyDescent="0.2">
      <c r="A5284" s="68">
        <v>37959</v>
      </c>
      <c r="B5284" s="69">
        <v>1.0659000000000001</v>
      </c>
    </row>
    <row r="5285" spans="1:2" x14ac:dyDescent="0.2">
      <c r="A5285" s="68">
        <v>37958</v>
      </c>
      <c r="B5285" s="69">
        <v>1.0658000000000001</v>
      </c>
    </row>
    <row r="5286" spans="1:2" x14ac:dyDescent="0.2">
      <c r="A5286" s="68">
        <v>37957</v>
      </c>
      <c r="B5286" s="69">
        <v>1.0657000000000001</v>
      </c>
    </row>
    <row r="5287" spans="1:2" x14ac:dyDescent="0.2">
      <c r="A5287" s="68">
        <v>37956</v>
      </c>
      <c r="B5287" s="69">
        <v>1.0652999999999999</v>
      </c>
    </row>
    <row r="5288" spans="1:2" x14ac:dyDescent="0.2">
      <c r="A5288" s="68">
        <v>37953</v>
      </c>
      <c r="B5288" s="69">
        <v>1.0650999999999999</v>
      </c>
    </row>
    <row r="5289" spans="1:2" x14ac:dyDescent="0.2">
      <c r="A5289" s="68">
        <v>37951</v>
      </c>
      <c r="B5289" s="69">
        <v>1.0650999999999999</v>
      </c>
    </row>
    <row r="5290" spans="1:2" x14ac:dyDescent="0.2">
      <c r="A5290" s="68">
        <v>37950</v>
      </c>
      <c r="B5290" s="69">
        <v>1.0659000000000001</v>
      </c>
    </row>
    <row r="5291" spans="1:2" x14ac:dyDescent="0.2">
      <c r="A5291" s="68">
        <v>37949</v>
      </c>
      <c r="B5291" s="69">
        <v>1.0660000000000001</v>
      </c>
    </row>
    <row r="5292" spans="1:2" x14ac:dyDescent="0.2">
      <c r="A5292" s="68">
        <v>37946</v>
      </c>
      <c r="B5292" s="69">
        <v>1.0665</v>
      </c>
    </row>
    <row r="5293" spans="1:2" x14ac:dyDescent="0.2">
      <c r="A5293" s="68">
        <v>37945</v>
      </c>
      <c r="B5293" s="69">
        <v>1.0659000000000001</v>
      </c>
    </row>
    <row r="5294" spans="1:2" x14ac:dyDescent="0.2">
      <c r="A5294" s="68">
        <v>37944</v>
      </c>
      <c r="B5294" s="69">
        <v>1.0659000000000001</v>
      </c>
    </row>
    <row r="5295" spans="1:2" x14ac:dyDescent="0.2">
      <c r="A5295" s="68">
        <v>37943</v>
      </c>
      <c r="B5295" s="69">
        <v>1.0664</v>
      </c>
    </row>
    <row r="5296" spans="1:2" x14ac:dyDescent="0.2">
      <c r="A5296" s="68">
        <v>37942</v>
      </c>
      <c r="B5296" s="69">
        <v>1.0657000000000001</v>
      </c>
    </row>
    <row r="5297" spans="1:2" x14ac:dyDescent="0.2">
      <c r="A5297" s="68">
        <v>37939</v>
      </c>
      <c r="B5297" s="69">
        <v>1.0652999999999999</v>
      </c>
    </row>
    <row r="5298" spans="1:2" x14ac:dyDescent="0.2">
      <c r="A5298" s="68">
        <v>37938</v>
      </c>
      <c r="B5298" s="69">
        <v>1.0662</v>
      </c>
    </row>
    <row r="5299" spans="1:2" x14ac:dyDescent="0.2">
      <c r="A5299" s="68">
        <v>37937</v>
      </c>
      <c r="B5299" s="69">
        <v>1.0678000000000001</v>
      </c>
    </row>
    <row r="5300" spans="1:2" x14ac:dyDescent="0.2">
      <c r="A5300" s="68">
        <v>37936</v>
      </c>
      <c r="B5300" s="69">
        <v>1.0648</v>
      </c>
    </row>
    <row r="5301" spans="1:2" x14ac:dyDescent="0.2">
      <c r="A5301" s="68">
        <v>37935</v>
      </c>
      <c r="B5301" s="69">
        <v>1.0649</v>
      </c>
    </row>
    <row r="5302" spans="1:2" x14ac:dyDescent="0.2">
      <c r="A5302" s="68">
        <v>37932</v>
      </c>
      <c r="B5302" s="69">
        <v>1.0650999999999999</v>
      </c>
    </row>
    <row r="5303" spans="1:2" x14ac:dyDescent="0.2">
      <c r="A5303" s="68">
        <v>37931</v>
      </c>
      <c r="B5303" s="69">
        <v>1.0650999999999999</v>
      </c>
    </row>
    <row r="5304" spans="1:2" x14ac:dyDescent="0.2">
      <c r="A5304" s="68">
        <v>37930</v>
      </c>
      <c r="B5304" s="69">
        <v>1.0652999999999999</v>
      </c>
    </row>
    <row r="5305" spans="1:2" x14ac:dyDescent="0.2">
      <c r="A5305" s="68">
        <v>37929</v>
      </c>
      <c r="B5305" s="69">
        <v>1.0653999999999999</v>
      </c>
    </row>
    <row r="5306" spans="1:2" x14ac:dyDescent="0.2">
      <c r="A5306" s="68">
        <v>37928</v>
      </c>
      <c r="B5306" s="69">
        <v>1.0654999999999999</v>
      </c>
    </row>
    <row r="5307" spans="1:2" x14ac:dyDescent="0.2">
      <c r="A5307" s="68">
        <v>37925</v>
      </c>
      <c r="B5307" s="69">
        <v>1.0661</v>
      </c>
    </row>
    <row r="5308" spans="1:2" x14ac:dyDescent="0.2">
      <c r="A5308" s="68">
        <v>37924</v>
      </c>
      <c r="B5308" s="69">
        <v>1.0661</v>
      </c>
    </row>
    <row r="5309" spans="1:2" x14ac:dyDescent="0.2">
      <c r="A5309" s="68">
        <v>37923</v>
      </c>
      <c r="B5309" s="69">
        <v>1.0666</v>
      </c>
    </row>
    <row r="5310" spans="1:2" x14ac:dyDescent="0.2">
      <c r="A5310" s="68">
        <v>37922</v>
      </c>
      <c r="B5310" s="69">
        <v>1.0668</v>
      </c>
    </row>
    <row r="5311" spans="1:2" x14ac:dyDescent="0.2">
      <c r="A5311" s="68">
        <v>37921</v>
      </c>
      <c r="B5311" s="69">
        <v>1.0670999999999999</v>
      </c>
    </row>
    <row r="5312" spans="1:2" x14ac:dyDescent="0.2">
      <c r="A5312" s="68">
        <v>37918</v>
      </c>
      <c r="B5312" s="69">
        <v>1.0670999999999999</v>
      </c>
    </row>
    <row r="5313" spans="1:2" x14ac:dyDescent="0.2">
      <c r="A5313" s="68">
        <v>37917</v>
      </c>
      <c r="B5313" s="69">
        <v>1.0670999999999999</v>
      </c>
    </row>
    <row r="5314" spans="1:2" x14ac:dyDescent="0.2">
      <c r="A5314" s="68">
        <v>37916</v>
      </c>
      <c r="B5314" s="69">
        <v>1.0669999999999999</v>
      </c>
    </row>
    <row r="5315" spans="1:2" x14ac:dyDescent="0.2">
      <c r="A5315" s="68">
        <v>37915</v>
      </c>
      <c r="B5315" s="69">
        <v>1.0674999999999999</v>
      </c>
    </row>
    <row r="5316" spans="1:2" x14ac:dyDescent="0.2">
      <c r="A5316" s="68">
        <v>37914</v>
      </c>
      <c r="B5316" s="69">
        <v>1.0683</v>
      </c>
    </row>
    <row r="5317" spans="1:2" x14ac:dyDescent="0.2">
      <c r="A5317" s="68">
        <v>37911</v>
      </c>
      <c r="B5317" s="69">
        <v>1.0683</v>
      </c>
    </row>
    <row r="5318" spans="1:2" x14ac:dyDescent="0.2">
      <c r="A5318" s="68">
        <v>37910</v>
      </c>
      <c r="B5318" s="69">
        <v>1.0687</v>
      </c>
    </row>
    <row r="5319" spans="1:2" x14ac:dyDescent="0.2">
      <c r="A5319" s="68">
        <v>37909</v>
      </c>
      <c r="B5319" s="69">
        <v>1.0681</v>
      </c>
    </row>
    <row r="5320" spans="1:2" x14ac:dyDescent="0.2">
      <c r="A5320" s="68">
        <v>37908</v>
      </c>
      <c r="B5320" s="69">
        <v>1.0696000000000001</v>
      </c>
    </row>
    <row r="5321" spans="1:2" x14ac:dyDescent="0.2">
      <c r="A5321" s="68">
        <v>37907</v>
      </c>
      <c r="B5321" s="69">
        <v>1.0704</v>
      </c>
    </row>
    <row r="5322" spans="1:2" x14ac:dyDescent="0.2">
      <c r="A5322" s="68">
        <v>37904</v>
      </c>
      <c r="B5322" s="69">
        <v>1.0713999999999999</v>
      </c>
    </row>
    <row r="5323" spans="1:2" x14ac:dyDescent="0.2">
      <c r="A5323" s="68">
        <v>37903</v>
      </c>
      <c r="B5323" s="69">
        <v>1.0713999999999999</v>
      </c>
    </row>
    <row r="5324" spans="1:2" x14ac:dyDescent="0.2">
      <c r="A5324" s="68">
        <v>37902</v>
      </c>
      <c r="B5324" s="69">
        <v>1.0682</v>
      </c>
    </row>
    <row r="5325" spans="1:2" x14ac:dyDescent="0.2">
      <c r="A5325" s="68">
        <v>37894</v>
      </c>
      <c r="B5325" s="69">
        <v>1.0683</v>
      </c>
    </row>
    <row r="5326" spans="1:2" x14ac:dyDescent="0.2">
      <c r="A5326" s="68">
        <v>37893</v>
      </c>
      <c r="B5326" s="69">
        <v>1.0686</v>
      </c>
    </row>
    <row r="5327" spans="1:2" x14ac:dyDescent="0.2">
      <c r="A5327" s="68">
        <v>37890</v>
      </c>
      <c r="B5327" s="69">
        <v>1.0654999999999999</v>
      </c>
    </row>
    <row r="5328" spans="1:2" x14ac:dyDescent="0.2">
      <c r="A5328" s="68">
        <v>37889</v>
      </c>
      <c r="B5328" s="69">
        <v>1.0671999999999999</v>
      </c>
    </row>
    <row r="5329" spans="1:2" x14ac:dyDescent="0.2">
      <c r="A5329" s="68">
        <v>37888</v>
      </c>
      <c r="B5329" s="69">
        <v>1.0647</v>
      </c>
    </row>
    <row r="5330" spans="1:2" x14ac:dyDescent="0.2">
      <c r="A5330" s="68">
        <v>37887</v>
      </c>
      <c r="B5330" s="69">
        <v>1.0610999999999999</v>
      </c>
    </row>
    <row r="5331" spans="1:2" x14ac:dyDescent="0.2">
      <c r="A5331" s="68">
        <v>37886</v>
      </c>
      <c r="B5331" s="69">
        <v>1.0609999999999999</v>
      </c>
    </row>
    <row r="5332" spans="1:2" x14ac:dyDescent="0.2">
      <c r="A5332" s="68">
        <v>37883</v>
      </c>
      <c r="B5332" s="69">
        <v>1.0609</v>
      </c>
    </row>
    <row r="5333" spans="1:2" x14ac:dyDescent="0.2">
      <c r="A5333" s="68">
        <v>37882</v>
      </c>
      <c r="B5333" s="69">
        <v>1.0609</v>
      </c>
    </row>
    <row r="5334" spans="1:2" x14ac:dyDescent="0.2">
      <c r="A5334" s="68">
        <v>37881</v>
      </c>
      <c r="B5334" s="69">
        <v>1.0609</v>
      </c>
    </row>
    <row r="5335" spans="1:2" x14ac:dyDescent="0.2">
      <c r="A5335" s="68">
        <v>37880</v>
      </c>
      <c r="B5335" s="69">
        <v>1.0609</v>
      </c>
    </row>
    <row r="5336" spans="1:2" x14ac:dyDescent="0.2">
      <c r="A5336" s="68">
        <v>37879</v>
      </c>
      <c r="B5336" s="69">
        <v>1.0608</v>
      </c>
    </row>
    <row r="5337" spans="1:2" x14ac:dyDescent="0.2">
      <c r="A5337" s="68">
        <v>37876</v>
      </c>
      <c r="B5337" s="69">
        <v>1.0608</v>
      </c>
    </row>
    <row r="5338" spans="1:2" x14ac:dyDescent="0.2">
      <c r="A5338" s="68">
        <v>37875</v>
      </c>
      <c r="B5338" s="69">
        <v>1.0608</v>
      </c>
    </row>
    <row r="5339" spans="1:2" x14ac:dyDescent="0.2">
      <c r="A5339" s="68">
        <v>37874</v>
      </c>
      <c r="B5339" s="69">
        <v>1.0609</v>
      </c>
    </row>
    <row r="5340" spans="1:2" x14ac:dyDescent="0.2">
      <c r="A5340" s="68">
        <v>37873</v>
      </c>
      <c r="B5340" s="69">
        <v>1.0609999999999999</v>
      </c>
    </row>
    <row r="5341" spans="1:2" x14ac:dyDescent="0.2">
      <c r="A5341" s="68">
        <v>37872</v>
      </c>
      <c r="B5341" s="69">
        <v>1.0609</v>
      </c>
    </row>
    <row r="5342" spans="1:2" x14ac:dyDescent="0.2">
      <c r="A5342" s="68">
        <v>37869</v>
      </c>
      <c r="B5342" s="69">
        <v>1.0608</v>
      </c>
    </row>
    <row r="5343" spans="1:2" x14ac:dyDescent="0.2">
      <c r="A5343" s="68">
        <v>37868</v>
      </c>
      <c r="B5343" s="69">
        <v>1.0608</v>
      </c>
    </row>
    <row r="5344" spans="1:2" x14ac:dyDescent="0.2">
      <c r="A5344" s="68">
        <v>37867</v>
      </c>
      <c r="B5344" s="69">
        <v>1.0609</v>
      </c>
    </row>
    <row r="5345" spans="1:2" x14ac:dyDescent="0.2">
      <c r="A5345" s="68">
        <v>37866</v>
      </c>
      <c r="B5345" s="69">
        <v>1.0609</v>
      </c>
    </row>
    <row r="5346" spans="1:2" x14ac:dyDescent="0.2">
      <c r="A5346" s="68">
        <v>37865</v>
      </c>
      <c r="B5346" s="69">
        <v>1.0608</v>
      </c>
    </row>
    <row r="5347" spans="1:2" x14ac:dyDescent="0.2">
      <c r="A5347" s="68">
        <v>37862</v>
      </c>
      <c r="B5347" s="69">
        <v>1.0611999999999999</v>
      </c>
    </row>
    <row r="5348" spans="1:2" x14ac:dyDescent="0.2">
      <c r="A5348" s="68">
        <v>37861</v>
      </c>
      <c r="B5348" s="69">
        <v>1.0611999999999999</v>
      </c>
    </row>
    <row r="5349" spans="1:2" x14ac:dyDescent="0.2">
      <c r="A5349" s="68">
        <v>37860</v>
      </c>
      <c r="B5349" s="69">
        <v>1.0610999999999999</v>
      </c>
    </row>
    <row r="5350" spans="1:2" x14ac:dyDescent="0.2">
      <c r="A5350" s="68">
        <v>37859</v>
      </c>
      <c r="B5350" s="69">
        <v>1.0609999999999999</v>
      </c>
    </row>
    <row r="5351" spans="1:2" x14ac:dyDescent="0.2">
      <c r="A5351" s="68">
        <v>37858</v>
      </c>
      <c r="B5351" s="69">
        <v>1.0609999999999999</v>
      </c>
    </row>
    <row r="5352" spans="1:2" x14ac:dyDescent="0.2">
      <c r="A5352" s="68">
        <v>37855</v>
      </c>
      <c r="B5352" s="69">
        <v>1.0609999999999999</v>
      </c>
    </row>
    <row r="5353" spans="1:2" x14ac:dyDescent="0.2">
      <c r="A5353" s="68">
        <v>37854</v>
      </c>
      <c r="B5353" s="69">
        <v>1.0609</v>
      </c>
    </row>
    <row r="5354" spans="1:2" x14ac:dyDescent="0.2">
      <c r="A5354" s="68">
        <v>37853</v>
      </c>
      <c r="B5354" s="69">
        <v>1.0609</v>
      </c>
    </row>
    <row r="5355" spans="1:2" x14ac:dyDescent="0.2">
      <c r="A5355" s="68">
        <v>37852</v>
      </c>
      <c r="B5355" s="69">
        <v>1.0609999999999999</v>
      </c>
    </row>
    <row r="5356" spans="1:2" x14ac:dyDescent="0.2">
      <c r="A5356" s="68">
        <v>37851</v>
      </c>
      <c r="B5356" s="69">
        <v>1.0609</v>
      </c>
    </row>
    <row r="5357" spans="1:2" x14ac:dyDescent="0.2">
      <c r="A5357" s="68">
        <v>37848</v>
      </c>
      <c r="B5357" s="69">
        <v>1.0609</v>
      </c>
    </row>
    <row r="5358" spans="1:2" x14ac:dyDescent="0.2">
      <c r="A5358" s="68">
        <v>37847</v>
      </c>
      <c r="B5358" s="69">
        <v>1.0609</v>
      </c>
    </row>
    <row r="5359" spans="1:2" x14ac:dyDescent="0.2">
      <c r="A5359" s="68">
        <v>37846</v>
      </c>
      <c r="B5359" s="69">
        <v>1.0609</v>
      </c>
    </row>
    <row r="5360" spans="1:2" x14ac:dyDescent="0.2">
      <c r="A5360" s="68">
        <v>37845</v>
      </c>
      <c r="B5360" s="69">
        <v>1.0609999999999999</v>
      </c>
    </row>
    <row r="5361" spans="1:2" x14ac:dyDescent="0.2">
      <c r="A5361" s="68">
        <v>37844</v>
      </c>
      <c r="B5361" s="69">
        <v>1.0609</v>
      </c>
    </row>
    <row r="5362" spans="1:2" x14ac:dyDescent="0.2">
      <c r="A5362" s="68">
        <v>37841</v>
      </c>
      <c r="B5362" s="69">
        <v>1.0609999999999999</v>
      </c>
    </row>
    <row r="5363" spans="1:2" x14ac:dyDescent="0.2">
      <c r="A5363" s="68">
        <v>37840</v>
      </c>
      <c r="B5363" s="69">
        <v>1.0609</v>
      </c>
    </row>
    <row r="5364" spans="1:2" x14ac:dyDescent="0.2">
      <c r="A5364" s="68">
        <v>37839</v>
      </c>
      <c r="B5364" s="69">
        <v>1.0609999999999999</v>
      </c>
    </row>
    <row r="5365" spans="1:2" x14ac:dyDescent="0.2">
      <c r="A5365" s="68">
        <v>37838</v>
      </c>
      <c r="B5365" s="69">
        <v>1.0610999999999999</v>
      </c>
    </row>
    <row r="5366" spans="1:2" x14ac:dyDescent="0.2">
      <c r="A5366" s="68">
        <v>37837</v>
      </c>
      <c r="B5366" s="69">
        <v>1.0609</v>
      </c>
    </row>
    <row r="5367" spans="1:2" x14ac:dyDescent="0.2">
      <c r="A5367" s="68">
        <v>37834</v>
      </c>
      <c r="B5367" s="69">
        <v>1.0609</v>
      </c>
    </row>
    <row r="5368" spans="1:2" x14ac:dyDescent="0.2">
      <c r="A5368" s="68">
        <v>37833</v>
      </c>
      <c r="B5368" s="69">
        <v>1.0609999999999999</v>
      </c>
    </row>
    <row r="5369" spans="1:2" x14ac:dyDescent="0.2">
      <c r="A5369" s="68">
        <v>37832</v>
      </c>
      <c r="B5369" s="69">
        <v>1.0611999999999999</v>
      </c>
    </row>
    <row r="5370" spans="1:2" x14ac:dyDescent="0.2">
      <c r="A5370" s="68">
        <v>37831</v>
      </c>
      <c r="B5370" s="69">
        <v>1.0610999999999999</v>
      </c>
    </row>
    <row r="5371" spans="1:2" x14ac:dyDescent="0.2">
      <c r="A5371" s="68">
        <v>37830</v>
      </c>
      <c r="B5371" s="69">
        <v>1.0610999999999999</v>
      </c>
    </row>
    <row r="5372" spans="1:2" x14ac:dyDescent="0.2">
      <c r="A5372" s="68">
        <v>37827</v>
      </c>
      <c r="B5372" s="69">
        <v>1.0610999999999999</v>
      </c>
    </row>
    <row r="5373" spans="1:2" x14ac:dyDescent="0.2">
      <c r="A5373" s="68">
        <v>37826</v>
      </c>
      <c r="B5373" s="69">
        <v>1.0609</v>
      </c>
    </row>
    <row r="5374" spans="1:2" x14ac:dyDescent="0.2">
      <c r="A5374" s="68">
        <v>37825</v>
      </c>
      <c r="B5374" s="69">
        <v>1.0611999999999999</v>
      </c>
    </row>
    <row r="5375" spans="1:2" x14ac:dyDescent="0.2">
      <c r="A5375" s="68">
        <v>37824</v>
      </c>
      <c r="B5375" s="69">
        <v>1.0609999999999999</v>
      </c>
    </row>
    <row r="5376" spans="1:2" x14ac:dyDescent="0.2">
      <c r="A5376" s="68">
        <v>37823</v>
      </c>
      <c r="B5376" s="69">
        <v>1.0608</v>
      </c>
    </row>
    <row r="5377" spans="1:2" x14ac:dyDescent="0.2">
      <c r="A5377" s="68">
        <v>37820</v>
      </c>
      <c r="B5377" s="69">
        <v>1.0609</v>
      </c>
    </row>
    <row r="5378" spans="1:2" x14ac:dyDescent="0.2">
      <c r="A5378" s="68">
        <v>37819</v>
      </c>
      <c r="B5378" s="69">
        <v>1.0608</v>
      </c>
    </row>
    <row r="5379" spans="1:2" x14ac:dyDescent="0.2">
      <c r="A5379" s="68">
        <v>37818</v>
      </c>
      <c r="B5379" s="69">
        <v>1.0609</v>
      </c>
    </row>
    <row r="5380" spans="1:2" x14ac:dyDescent="0.2">
      <c r="A5380" s="68">
        <v>37817</v>
      </c>
      <c r="B5380" s="69">
        <v>1.0609</v>
      </c>
    </row>
    <row r="5381" spans="1:2" x14ac:dyDescent="0.2">
      <c r="A5381" s="68">
        <v>37816</v>
      </c>
      <c r="B5381" s="69">
        <v>1.0609</v>
      </c>
    </row>
    <row r="5382" spans="1:2" x14ac:dyDescent="0.2">
      <c r="A5382" s="68">
        <v>37813</v>
      </c>
      <c r="B5382" s="69">
        <v>1.0609999999999999</v>
      </c>
    </row>
    <row r="5383" spans="1:2" x14ac:dyDescent="0.2">
      <c r="A5383" s="68">
        <v>37812</v>
      </c>
      <c r="B5383" s="69">
        <v>1.0609999999999999</v>
      </c>
    </row>
    <row r="5384" spans="1:2" x14ac:dyDescent="0.2">
      <c r="A5384" s="68">
        <v>37811</v>
      </c>
      <c r="B5384" s="69">
        <v>1.0609999999999999</v>
      </c>
    </row>
    <row r="5385" spans="1:2" x14ac:dyDescent="0.2">
      <c r="A5385" s="68">
        <v>37810</v>
      </c>
      <c r="B5385" s="69">
        <v>1.0609999999999999</v>
      </c>
    </row>
    <row r="5386" spans="1:2" x14ac:dyDescent="0.2">
      <c r="A5386" s="68">
        <v>37809</v>
      </c>
      <c r="B5386" s="69">
        <v>1.0610999999999999</v>
      </c>
    </row>
    <row r="5387" spans="1:2" x14ac:dyDescent="0.2">
      <c r="A5387" s="68">
        <v>37806</v>
      </c>
      <c r="B5387" s="69">
        <v>1.0609</v>
      </c>
    </row>
    <row r="5388" spans="1:2" x14ac:dyDescent="0.2">
      <c r="A5388" s="68">
        <v>37805</v>
      </c>
      <c r="B5388" s="69">
        <v>1.0610999999999999</v>
      </c>
    </row>
    <row r="5389" spans="1:2" x14ac:dyDescent="0.2">
      <c r="A5389" s="68">
        <v>37804</v>
      </c>
      <c r="B5389" s="69">
        <v>1.0610999999999999</v>
      </c>
    </row>
    <row r="5390" spans="1:2" x14ac:dyDescent="0.2">
      <c r="A5390" s="68">
        <v>37803</v>
      </c>
      <c r="B5390" s="69">
        <v>1.0611999999999999</v>
      </c>
    </row>
    <row r="5391" spans="1:2" x14ac:dyDescent="0.2">
      <c r="A5391" s="68">
        <v>37802</v>
      </c>
      <c r="B5391" s="69">
        <v>1.0611999999999999</v>
      </c>
    </row>
    <row r="5392" spans="1:2" x14ac:dyDescent="0.2">
      <c r="A5392" s="68">
        <v>37799</v>
      </c>
      <c r="B5392" s="69">
        <v>1.0610999999999999</v>
      </c>
    </row>
    <row r="5393" spans="1:2" x14ac:dyDescent="0.2">
      <c r="A5393" s="68">
        <v>37798</v>
      </c>
      <c r="B5393" s="69">
        <v>1.0609999999999999</v>
      </c>
    </row>
    <row r="5394" spans="1:2" x14ac:dyDescent="0.2">
      <c r="A5394" s="68">
        <v>37797</v>
      </c>
      <c r="B5394" s="69">
        <v>1.0610999999999999</v>
      </c>
    </row>
    <row r="5395" spans="1:2" x14ac:dyDescent="0.2">
      <c r="A5395" s="68">
        <v>37796</v>
      </c>
      <c r="B5395" s="69">
        <v>1.0609999999999999</v>
      </c>
    </row>
    <row r="5396" spans="1:2" x14ac:dyDescent="0.2">
      <c r="A5396" s="68">
        <v>37795</v>
      </c>
      <c r="B5396" s="69">
        <v>1.0609</v>
      </c>
    </row>
    <row r="5397" spans="1:2" x14ac:dyDescent="0.2">
      <c r="A5397" s="68">
        <v>37792</v>
      </c>
      <c r="B5397" s="69">
        <v>1.0609999999999999</v>
      </c>
    </row>
    <row r="5398" spans="1:2" x14ac:dyDescent="0.2">
      <c r="A5398" s="68">
        <v>37791</v>
      </c>
      <c r="B5398" s="69">
        <v>1.0610999999999999</v>
      </c>
    </row>
    <row r="5399" spans="1:2" x14ac:dyDescent="0.2">
      <c r="A5399" s="68">
        <v>37790</v>
      </c>
      <c r="B5399" s="69">
        <v>1.0609999999999999</v>
      </c>
    </row>
    <row r="5400" spans="1:2" x14ac:dyDescent="0.2">
      <c r="A5400" s="68">
        <v>37789</v>
      </c>
      <c r="B5400" s="69">
        <v>1.0609999999999999</v>
      </c>
    </row>
    <row r="5401" spans="1:2" x14ac:dyDescent="0.2">
      <c r="A5401" s="68">
        <v>37788</v>
      </c>
      <c r="B5401" s="69">
        <v>1.0609</v>
      </c>
    </row>
    <row r="5402" spans="1:2" x14ac:dyDescent="0.2">
      <c r="A5402" s="68">
        <v>37785</v>
      </c>
      <c r="B5402" s="69">
        <v>1.0609</v>
      </c>
    </row>
    <row r="5403" spans="1:2" x14ac:dyDescent="0.2">
      <c r="A5403" s="68">
        <v>37784</v>
      </c>
      <c r="B5403" s="69">
        <v>1.0610999999999999</v>
      </c>
    </row>
    <row r="5404" spans="1:2" x14ac:dyDescent="0.2">
      <c r="A5404" s="68">
        <v>37783</v>
      </c>
      <c r="B5404" s="69">
        <v>1.0610999999999999</v>
      </c>
    </row>
    <row r="5405" spans="1:2" x14ac:dyDescent="0.2">
      <c r="A5405" s="68">
        <v>37782</v>
      </c>
      <c r="B5405" s="69">
        <v>1.0611999999999999</v>
      </c>
    </row>
    <row r="5406" spans="1:2" x14ac:dyDescent="0.2">
      <c r="A5406" s="68">
        <v>37781</v>
      </c>
      <c r="B5406" s="69">
        <v>1.0611999999999999</v>
      </c>
    </row>
    <row r="5407" spans="1:2" x14ac:dyDescent="0.2">
      <c r="A5407" s="68">
        <v>37778</v>
      </c>
      <c r="B5407" s="69">
        <v>1.0611999999999999</v>
      </c>
    </row>
    <row r="5408" spans="1:2" x14ac:dyDescent="0.2">
      <c r="A5408" s="68">
        <v>37777</v>
      </c>
      <c r="B5408" s="69">
        <v>1.0610999999999999</v>
      </c>
    </row>
    <row r="5409" spans="1:2" x14ac:dyDescent="0.2">
      <c r="A5409" s="68">
        <v>37776</v>
      </c>
      <c r="B5409" s="69">
        <v>1.0610999999999999</v>
      </c>
    </row>
    <row r="5410" spans="1:2" x14ac:dyDescent="0.2">
      <c r="A5410" s="68">
        <v>37775</v>
      </c>
      <c r="B5410" s="69">
        <v>1.0609999999999999</v>
      </c>
    </row>
    <row r="5411" spans="1:2" x14ac:dyDescent="0.2">
      <c r="A5411" s="68">
        <v>37774</v>
      </c>
      <c r="B5411" s="69">
        <v>1.0610999999999999</v>
      </c>
    </row>
    <row r="5412" spans="1:2" x14ac:dyDescent="0.2">
      <c r="A5412" s="68">
        <v>37771</v>
      </c>
      <c r="B5412" s="69">
        <v>1.0610999999999999</v>
      </c>
    </row>
    <row r="5413" spans="1:2" x14ac:dyDescent="0.2">
      <c r="A5413" s="68">
        <v>37770</v>
      </c>
      <c r="B5413" s="69">
        <v>1.0609</v>
      </c>
    </row>
    <row r="5414" spans="1:2" x14ac:dyDescent="0.2">
      <c r="A5414" s="68">
        <v>37769</v>
      </c>
      <c r="B5414" s="69">
        <v>1.0609999999999999</v>
      </c>
    </row>
    <row r="5415" spans="1:2" x14ac:dyDescent="0.2">
      <c r="A5415" s="68">
        <v>37768</v>
      </c>
      <c r="B5415" s="69">
        <v>1.0608</v>
      </c>
    </row>
    <row r="5416" spans="1:2" x14ac:dyDescent="0.2">
      <c r="A5416" s="68">
        <v>37767</v>
      </c>
      <c r="B5416" s="69">
        <v>1.0608</v>
      </c>
    </row>
    <row r="5417" spans="1:2" x14ac:dyDescent="0.2">
      <c r="A5417" s="68">
        <v>37764</v>
      </c>
      <c r="B5417" s="69">
        <v>1.0609</v>
      </c>
    </row>
    <row r="5418" spans="1:2" x14ac:dyDescent="0.2">
      <c r="A5418" s="68">
        <v>37763</v>
      </c>
      <c r="B5418" s="69">
        <v>1.0609999999999999</v>
      </c>
    </row>
    <row r="5419" spans="1:2" x14ac:dyDescent="0.2">
      <c r="A5419" s="68">
        <v>37762</v>
      </c>
      <c r="B5419" s="69">
        <v>1.0609999999999999</v>
      </c>
    </row>
    <row r="5420" spans="1:2" x14ac:dyDescent="0.2">
      <c r="A5420" s="68">
        <v>37761</v>
      </c>
      <c r="B5420" s="69">
        <v>1.0609999999999999</v>
      </c>
    </row>
    <row r="5421" spans="1:2" x14ac:dyDescent="0.2">
      <c r="A5421" s="68">
        <v>37760</v>
      </c>
      <c r="B5421" s="69">
        <v>1.0609</v>
      </c>
    </row>
    <row r="5422" spans="1:2" x14ac:dyDescent="0.2">
      <c r="A5422" s="68">
        <v>37757</v>
      </c>
      <c r="B5422" s="69">
        <v>1.0609</v>
      </c>
    </row>
    <row r="5423" spans="1:2" x14ac:dyDescent="0.2">
      <c r="A5423" s="68">
        <v>37756</v>
      </c>
      <c r="B5423" s="69">
        <v>1.0609</v>
      </c>
    </row>
    <row r="5424" spans="1:2" x14ac:dyDescent="0.2">
      <c r="A5424" s="68">
        <v>37755</v>
      </c>
      <c r="B5424" s="69">
        <v>1.0609</v>
      </c>
    </row>
    <row r="5425" spans="1:2" x14ac:dyDescent="0.2">
      <c r="A5425" s="68">
        <v>37754</v>
      </c>
      <c r="B5425" s="69">
        <v>1.0609</v>
      </c>
    </row>
    <row r="5426" spans="1:2" x14ac:dyDescent="0.2">
      <c r="A5426" s="68">
        <v>37753</v>
      </c>
      <c r="B5426" s="69">
        <v>1.0609999999999999</v>
      </c>
    </row>
    <row r="5427" spans="1:2" x14ac:dyDescent="0.2">
      <c r="A5427" s="68">
        <v>37741</v>
      </c>
      <c r="B5427" s="69">
        <v>1.0610999999999999</v>
      </c>
    </row>
    <row r="5428" spans="1:2" x14ac:dyDescent="0.2">
      <c r="A5428" s="68">
        <v>37740</v>
      </c>
      <c r="B5428" s="69">
        <v>1.0609999999999999</v>
      </c>
    </row>
    <row r="5429" spans="1:2" x14ac:dyDescent="0.2">
      <c r="A5429" s="68">
        <v>37739</v>
      </c>
      <c r="B5429" s="69">
        <v>1.0609</v>
      </c>
    </row>
    <row r="5430" spans="1:2" x14ac:dyDescent="0.2">
      <c r="A5430" s="68">
        <v>37736</v>
      </c>
      <c r="B5430" s="69">
        <v>1.0609</v>
      </c>
    </row>
    <row r="5431" spans="1:2" x14ac:dyDescent="0.2">
      <c r="A5431" s="68">
        <v>37735</v>
      </c>
      <c r="B5431" s="69">
        <v>1.0609999999999999</v>
      </c>
    </row>
    <row r="5432" spans="1:2" x14ac:dyDescent="0.2">
      <c r="A5432" s="68">
        <v>37734</v>
      </c>
      <c r="B5432" s="69">
        <v>1.0609999999999999</v>
      </c>
    </row>
    <row r="5433" spans="1:2" x14ac:dyDescent="0.2">
      <c r="A5433" s="68">
        <v>37733</v>
      </c>
      <c r="B5433" s="69">
        <v>1.0609</v>
      </c>
    </row>
    <row r="5434" spans="1:2" x14ac:dyDescent="0.2">
      <c r="A5434" s="68">
        <v>37732</v>
      </c>
      <c r="B5434" s="69">
        <v>1.0607</v>
      </c>
    </row>
    <row r="5435" spans="1:2" x14ac:dyDescent="0.2">
      <c r="A5435" s="68">
        <v>37729</v>
      </c>
      <c r="B5435" s="69">
        <v>1.0609</v>
      </c>
    </row>
    <row r="5436" spans="1:2" x14ac:dyDescent="0.2">
      <c r="A5436" s="68">
        <v>37728</v>
      </c>
      <c r="B5436" s="69">
        <v>1.0609</v>
      </c>
    </row>
    <row r="5437" spans="1:2" x14ac:dyDescent="0.2">
      <c r="A5437" s="68">
        <v>37727</v>
      </c>
      <c r="B5437" s="69">
        <v>1.0609</v>
      </c>
    </row>
    <row r="5438" spans="1:2" x14ac:dyDescent="0.2">
      <c r="A5438" s="68">
        <v>37726</v>
      </c>
      <c r="B5438" s="69">
        <v>1.0609999999999999</v>
      </c>
    </row>
    <row r="5439" spans="1:2" x14ac:dyDescent="0.2">
      <c r="A5439" s="68">
        <v>37725</v>
      </c>
      <c r="B5439" s="69">
        <v>1.0609</v>
      </c>
    </row>
    <row r="5440" spans="1:2" x14ac:dyDescent="0.2">
      <c r="A5440" s="68">
        <v>37722</v>
      </c>
      <c r="B5440" s="69">
        <v>1.0609</v>
      </c>
    </row>
    <row r="5441" spans="1:2" x14ac:dyDescent="0.2">
      <c r="A5441" s="68">
        <v>37721</v>
      </c>
      <c r="B5441" s="69">
        <v>1.0609999999999999</v>
      </c>
    </row>
    <row r="5442" spans="1:2" x14ac:dyDescent="0.2">
      <c r="A5442" s="68">
        <v>37720</v>
      </c>
      <c r="B5442" s="69">
        <v>1.0609</v>
      </c>
    </row>
    <row r="5443" spans="1:2" x14ac:dyDescent="0.2">
      <c r="A5443" s="68">
        <v>37719</v>
      </c>
      <c r="B5443" s="69">
        <v>1.0608</v>
      </c>
    </row>
    <row r="5444" spans="1:2" x14ac:dyDescent="0.2">
      <c r="A5444" s="68">
        <v>37718</v>
      </c>
      <c r="B5444" s="69">
        <v>1.0609</v>
      </c>
    </row>
    <row r="5445" spans="1:2" x14ac:dyDescent="0.2">
      <c r="A5445" s="68">
        <v>37715</v>
      </c>
      <c r="B5445" s="69">
        <v>1.0609</v>
      </c>
    </row>
    <row r="5446" spans="1:2" x14ac:dyDescent="0.2">
      <c r="A5446" s="68">
        <v>37714</v>
      </c>
      <c r="B5446" s="69">
        <v>1.0609</v>
      </c>
    </row>
    <row r="5447" spans="1:2" x14ac:dyDescent="0.2">
      <c r="A5447" s="68">
        <v>37713</v>
      </c>
      <c r="B5447" s="69">
        <v>1.0609999999999999</v>
      </c>
    </row>
    <row r="5448" spans="1:2" x14ac:dyDescent="0.2">
      <c r="A5448" s="68">
        <v>37712</v>
      </c>
      <c r="B5448" s="69">
        <v>1.0609999999999999</v>
      </c>
    </row>
    <row r="5449" spans="1:2" x14ac:dyDescent="0.2">
      <c r="A5449" s="68">
        <v>37711</v>
      </c>
      <c r="B5449" s="69">
        <v>1.0610999999999999</v>
      </c>
    </row>
    <row r="5450" spans="1:2" x14ac:dyDescent="0.2">
      <c r="A5450" s="68">
        <v>37708</v>
      </c>
      <c r="B5450" s="69">
        <v>1.0610999999999999</v>
      </c>
    </row>
    <row r="5451" spans="1:2" x14ac:dyDescent="0.2">
      <c r="A5451" s="68">
        <v>37707</v>
      </c>
      <c r="B5451" s="69">
        <v>1.0610999999999999</v>
      </c>
    </row>
    <row r="5452" spans="1:2" x14ac:dyDescent="0.2">
      <c r="A5452" s="68">
        <v>37706</v>
      </c>
      <c r="B5452" s="69">
        <v>1.0612999999999999</v>
      </c>
    </row>
    <row r="5453" spans="1:2" x14ac:dyDescent="0.2">
      <c r="A5453" s="68">
        <v>37705</v>
      </c>
      <c r="B5453" s="69">
        <v>1.0611999999999999</v>
      </c>
    </row>
    <row r="5454" spans="1:2" x14ac:dyDescent="0.2">
      <c r="A5454" s="68">
        <v>37704</v>
      </c>
      <c r="B5454" s="69">
        <v>1.0611999999999999</v>
      </c>
    </row>
    <row r="5455" spans="1:2" x14ac:dyDescent="0.2">
      <c r="A5455" s="68">
        <v>37701</v>
      </c>
      <c r="B5455" s="69">
        <v>1.0609</v>
      </c>
    </row>
    <row r="5456" spans="1:2" x14ac:dyDescent="0.2">
      <c r="A5456" s="68">
        <v>37700</v>
      </c>
      <c r="B5456" s="69">
        <v>1.0609999999999999</v>
      </c>
    </row>
    <row r="5457" spans="1:2" x14ac:dyDescent="0.2">
      <c r="A5457" s="68">
        <v>37699</v>
      </c>
      <c r="B5457" s="69">
        <v>1.0609</v>
      </c>
    </row>
    <row r="5458" spans="1:2" x14ac:dyDescent="0.2">
      <c r="A5458" s="68">
        <v>37698</v>
      </c>
      <c r="B5458" s="69">
        <v>1.0609</v>
      </c>
    </row>
    <row r="5459" spans="1:2" x14ac:dyDescent="0.2">
      <c r="A5459" s="68">
        <v>37697</v>
      </c>
      <c r="B5459" s="69">
        <v>1.0609999999999999</v>
      </c>
    </row>
    <row r="5460" spans="1:2" x14ac:dyDescent="0.2">
      <c r="A5460" s="68">
        <v>37694</v>
      </c>
      <c r="B5460" s="69">
        <v>1.0609</v>
      </c>
    </row>
    <row r="5461" spans="1:2" x14ac:dyDescent="0.2">
      <c r="A5461" s="68">
        <v>37693</v>
      </c>
      <c r="B5461" s="69">
        <v>1.0609</v>
      </c>
    </row>
    <row r="5462" spans="1:2" x14ac:dyDescent="0.2">
      <c r="A5462" s="68">
        <v>37692</v>
      </c>
      <c r="B5462" s="69">
        <v>1.0609</v>
      </c>
    </row>
    <row r="5463" spans="1:2" x14ac:dyDescent="0.2">
      <c r="A5463" s="68">
        <v>37691</v>
      </c>
      <c r="B5463" s="69">
        <v>1.0609999999999999</v>
      </c>
    </row>
    <row r="5464" spans="1:2" x14ac:dyDescent="0.2">
      <c r="A5464" s="68">
        <v>37690</v>
      </c>
      <c r="B5464" s="69">
        <v>1.0609999999999999</v>
      </c>
    </row>
    <row r="5465" spans="1:2" x14ac:dyDescent="0.2">
      <c r="A5465" s="68">
        <v>37687</v>
      </c>
      <c r="B5465" s="69">
        <v>1.0609999999999999</v>
      </c>
    </row>
    <row r="5466" spans="1:2" x14ac:dyDescent="0.2">
      <c r="A5466" s="68">
        <v>37686</v>
      </c>
      <c r="B5466" s="69">
        <v>1.0609</v>
      </c>
    </row>
    <row r="5467" spans="1:2" x14ac:dyDescent="0.2">
      <c r="A5467" s="68">
        <v>37685</v>
      </c>
      <c r="B5467" s="69">
        <v>1.0609999999999999</v>
      </c>
    </row>
    <row r="5468" spans="1:2" x14ac:dyDescent="0.2">
      <c r="A5468" s="68">
        <v>37684</v>
      </c>
      <c r="B5468" s="69">
        <v>1.0610999999999999</v>
      </c>
    </row>
    <row r="5469" spans="1:2" x14ac:dyDescent="0.2">
      <c r="A5469" s="68">
        <v>37683</v>
      </c>
      <c r="B5469" s="69">
        <v>1.0610999999999999</v>
      </c>
    </row>
    <row r="5470" spans="1:2" x14ac:dyDescent="0.2">
      <c r="A5470" s="68">
        <v>37680</v>
      </c>
      <c r="B5470" s="69">
        <v>1.0610999999999999</v>
      </c>
    </row>
    <row r="5471" spans="1:2" x14ac:dyDescent="0.2">
      <c r="A5471" s="68">
        <v>37679</v>
      </c>
      <c r="B5471" s="69">
        <v>1.0610999999999999</v>
      </c>
    </row>
    <row r="5472" spans="1:2" x14ac:dyDescent="0.2">
      <c r="A5472" s="68">
        <v>37678</v>
      </c>
      <c r="B5472" s="69">
        <v>1.0610999999999999</v>
      </c>
    </row>
    <row r="5473" spans="1:2" x14ac:dyDescent="0.2">
      <c r="A5473" s="68">
        <v>37677</v>
      </c>
      <c r="B5473" s="69">
        <v>1.0609999999999999</v>
      </c>
    </row>
    <row r="5474" spans="1:2" x14ac:dyDescent="0.2">
      <c r="A5474" s="68">
        <v>37676</v>
      </c>
      <c r="B5474" s="69">
        <v>1.0609</v>
      </c>
    </row>
    <row r="5475" spans="1:2" x14ac:dyDescent="0.2">
      <c r="A5475" s="68">
        <v>37673</v>
      </c>
      <c r="B5475" s="69">
        <v>1.0609</v>
      </c>
    </row>
    <row r="5476" spans="1:2" x14ac:dyDescent="0.2">
      <c r="A5476" s="68">
        <v>37672</v>
      </c>
      <c r="B5476" s="69">
        <v>1.0609</v>
      </c>
    </row>
    <row r="5477" spans="1:2" x14ac:dyDescent="0.2">
      <c r="A5477" s="68">
        <v>37671</v>
      </c>
      <c r="B5477" s="69">
        <v>1.0608</v>
      </c>
    </row>
    <row r="5478" spans="1:2" x14ac:dyDescent="0.2">
      <c r="A5478" s="68">
        <v>37670</v>
      </c>
      <c r="B5478" s="69">
        <v>1.0610999999999999</v>
      </c>
    </row>
    <row r="5479" spans="1:2" x14ac:dyDescent="0.2">
      <c r="A5479" s="68">
        <v>37669</v>
      </c>
      <c r="B5479" s="69">
        <v>1.0608</v>
      </c>
    </row>
    <row r="5480" spans="1:2" x14ac:dyDescent="0.2">
      <c r="A5480" s="68">
        <v>37666</v>
      </c>
      <c r="B5480" s="69">
        <v>1.0609</v>
      </c>
    </row>
    <row r="5481" spans="1:2" x14ac:dyDescent="0.2">
      <c r="A5481" s="68">
        <v>37665</v>
      </c>
      <c r="B5481" s="69">
        <v>1.0609999999999999</v>
      </c>
    </row>
    <row r="5482" spans="1:2" x14ac:dyDescent="0.2">
      <c r="A5482" s="68">
        <v>37664</v>
      </c>
      <c r="B5482" s="69">
        <v>1.0612999999999999</v>
      </c>
    </row>
    <row r="5483" spans="1:2" x14ac:dyDescent="0.2">
      <c r="A5483" s="68">
        <v>37663</v>
      </c>
      <c r="B5483" s="69">
        <v>1.0612999999999999</v>
      </c>
    </row>
    <row r="5484" spans="1:2" x14ac:dyDescent="0.2">
      <c r="A5484" s="68">
        <v>37662</v>
      </c>
      <c r="B5484" s="69">
        <v>1.0609</v>
      </c>
    </row>
    <row r="5485" spans="1:2" x14ac:dyDescent="0.2">
      <c r="A5485" s="68">
        <v>37650</v>
      </c>
      <c r="B5485" s="69">
        <v>1.0609</v>
      </c>
    </row>
    <row r="5486" spans="1:2" x14ac:dyDescent="0.2">
      <c r="A5486" s="68">
        <v>37649</v>
      </c>
      <c r="B5486" s="69">
        <v>1.0609</v>
      </c>
    </row>
    <row r="5487" spans="1:2" x14ac:dyDescent="0.2">
      <c r="A5487" s="68">
        <v>37648</v>
      </c>
      <c r="B5487" s="69">
        <v>1.0609</v>
      </c>
    </row>
    <row r="5488" spans="1:2" x14ac:dyDescent="0.2">
      <c r="A5488" s="68">
        <v>37645</v>
      </c>
      <c r="B5488" s="69">
        <v>1.0606</v>
      </c>
    </row>
    <row r="5489" spans="1:2" x14ac:dyDescent="0.2">
      <c r="A5489" s="68">
        <v>37644</v>
      </c>
      <c r="B5489" s="69">
        <v>1.0609</v>
      </c>
    </row>
    <row r="5490" spans="1:2" x14ac:dyDescent="0.2">
      <c r="A5490" s="68">
        <v>37643</v>
      </c>
      <c r="B5490" s="69">
        <v>1.0610999999999999</v>
      </c>
    </row>
    <row r="5491" spans="1:2" x14ac:dyDescent="0.2">
      <c r="A5491" s="68">
        <v>37642</v>
      </c>
      <c r="B5491" s="69">
        <v>1.0609</v>
      </c>
    </row>
    <row r="5492" spans="1:2" x14ac:dyDescent="0.2">
      <c r="A5492" s="68">
        <v>37641</v>
      </c>
      <c r="B5492" s="69">
        <v>1.0609</v>
      </c>
    </row>
    <row r="5493" spans="1:2" x14ac:dyDescent="0.2">
      <c r="A5493" s="68">
        <v>37638</v>
      </c>
      <c r="B5493" s="69">
        <v>1.0608</v>
      </c>
    </row>
    <row r="5494" spans="1:2" x14ac:dyDescent="0.2">
      <c r="A5494" s="68">
        <v>37637</v>
      </c>
      <c r="B5494" s="69">
        <v>1.0609</v>
      </c>
    </row>
    <row r="5495" spans="1:2" x14ac:dyDescent="0.2">
      <c r="A5495" s="68">
        <v>37636</v>
      </c>
      <c r="B5495" s="69">
        <v>1.0608</v>
      </c>
    </row>
    <row r="5496" spans="1:2" x14ac:dyDescent="0.2">
      <c r="A5496" s="68">
        <v>37635</v>
      </c>
      <c r="B5496" s="69">
        <v>1.0608</v>
      </c>
    </row>
    <row r="5497" spans="1:2" x14ac:dyDescent="0.2">
      <c r="A5497" s="68">
        <v>37634</v>
      </c>
      <c r="B5497" s="69">
        <v>1.0609</v>
      </c>
    </row>
    <row r="5498" spans="1:2" x14ac:dyDescent="0.2">
      <c r="A5498" s="68">
        <v>37631</v>
      </c>
      <c r="B5498" s="69">
        <v>1.0609999999999999</v>
      </c>
    </row>
    <row r="5499" spans="1:2" x14ac:dyDescent="0.2">
      <c r="A5499" s="68">
        <v>37630</v>
      </c>
      <c r="B5499" s="69">
        <v>1.0609</v>
      </c>
    </row>
    <row r="5500" spans="1:2" x14ac:dyDescent="0.2">
      <c r="A5500" s="68">
        <v>37629</v>
      </c>
      <c r="B5500" s="69">
        <v>1.0609</v>
      </c>
    </row>
    <row r="5501" spans="1:2" x14ac:dyDescent="0.2">
      <c r="A5501" s="68">
        <v>37628</v>
      </c>
      <c r="B5501" s="69">
        <v>1.0609</v>
      </c>
    </row>
    <row r="5502" spans="1:2" x14ac:dyDescent="0.2">
      <c r="A5502" s="68">
        <v>37627</v>
      </c>
      <c r="B5502" s="69">
        <v>1.0609999999999999</v>
      </c>
    </row>
    <row r="5503" spans="1:2" x14ac:dyDescent="0.2">
      <c r="A5503" s="68">
        <v>37624</v>
      </c>
      <c r="B5503" s="69">
        <v>1.0609999999999999</v>
      </c>
    </row>
    <row r="5504" spans="1:2" x14ac:dyDescent="0.2">
      <c r="A5504" s="68">
        <v>37623</v>
      </c>
      <c r="B5504" s="69">
        <v>1.0609</v>
      </c>
    </row>
    <row r="5505" spans="1:2" x14ac:dyDescent="0.2">
      <c r="A5505" s="68">
        <v>37621</v>
      </c>
      <c r="B5505" s="69">
        <v>1.0610999999999999</v>
      </c>
    </row>
    <row r="5506" spans="1:2" x14ac:dyDescent="0.2">
      <c r="A5506" s="68">
        <v>37620</v>
      </c>
      <c r="B5506" s="69">
        <v>1.0611999999999999</v>
      </c>
    </row>
    <row r="5507" spans="1:2" x14ac:dyDescent="0.2">
      <c r="A5507" s="68">
        <v>37617</v>
      </c>
      <c r="B5507" s="69">
        <v>1.0609</v>
      </c>
    </row>
    <row r="5508" spans="1:2" x14ac:dyDescent="0.2">
      <c r="A5508" s="68">
        <v>37616</v>
      </c>
      <c r="B5508" s="69">
        <v>1.0609</v>
      </c>
    </row>
    <row r="5509" spans="1:2" x14ac:dyDescent="0.2">
      <c r="A5509" s="68">
        <v>37615</v>
      </c>
      <c r="B5509" s="69">
        <v>1.0609999999999999</v>
      </c>
    </row>
    <row r="5510" spans="1:2" x14ac:dyDescent="0.2">
      <c r="A5510" s="68">
        <v>37614</v>
      </c>
      <c r="B5510" s="69">
        <v>1.0611999999999999</v>
      </c>
    </row>
    <row r="5511" spans="1:2" x14ac:dyDescent="0.2">
      <c r="A5511" s="68">
        <v>37613</v>
      </c>
      <c r="B5511" s="69">
        <v>1.0611999999999999</v>
      </c>
    </row>
    <row r="5512" spans="1:2" x14ac:dyDescent="0.2">
      <c r="A5512" s="68">
        <v>37610</v>
      </c>
      <c r="B5512" s="69">
        <v>1.0610999999999999</v>
      </c>
    </row>
    <row r="5513" spans="1:2" x14ac:dyDescent="0.2">
      <c r="A5513" s="68">
        <v>37609</v>
      </c>
      <c r="B5513" s="69">
        <v>1.0609999999999999</v>
      </c>
    </row>
    <row r="5514" spans="1:2" x14ac:dyDescent="0.2">
      <c r="A5514" s="68">
        <v>37608</v>
      </c>
      <c r="B5514" s="69">
        <v>1.0609999999999999</v>
      </c>
    </row>
    <row r="5515" spans="1:2" x14ac:dyDescent="0.2">
      <c r="A5515" s="68">
        <v>37607</v>
      </c>
      <c r="B5515" s="69">
        <v>1.0610999999999999</v>
      </c>
    </row>
    <row r="5516" spans="1:2" x14ac:dyDescent="0.2">
      <c r="A5516" s="68">
        <v>37606</v>
      </c>
      <c r="B5516" s="69">
        <v>1.0609</v>
      </c>
    </row>
    <row r="5517" spans="1:2" x14ac:dyDescent="0.2">
      <c r="A5517" s="68">
        <v>37603</v>
      </c>
      <c r="B5517" s="69">
        <v>1.0609999999999999</v>
      </c>
    </row>
    <row r="5518" spans="1:2" x14ac:dyDescent="0.2">
      <c r="A5518" s="68">
        <v>37602</v>
      </c>
      <c r="B5518" s="69">
        <v>1.0609999999999999</v>
      </c>
    </row>
    <row r="5519" spans="1:2" x14ac:dyDescent="0.2">
      <c r="A5519" s="68">
        <v>37601</v>
      </c>
      <c r="B5519" s="69">
        <v>1.0609999999999999</v>
      </c>
    </row>
    <row r="5520" spans="1:2" x14ac:dyDescent="0.2">
      <c r="A5520" s="68">
        <v>37600</v>
      </c>
      <c r="B5520" s="69">
        <v>1.0610999999999999</v>
      </c>
    </row>
    <row r="5521" spans="1:2" x14ac:dyDescent="0.2">
      <c r="A5521" s="68">
        <v>37599</v>
      </c>
      <c r="B5521" s="69">
        <v>1.0609999999999999</v>
      </c>
    </row>
    <row r="5522" spans="1:2" x14ac:dyDescent="0.2">
      <c r="A5522" s="68">
        <v>37596</v>
      </c>
      <c r="B5522" s="69">
        <v>1.0609999999999999</v>
      </c>
    </row>
    <row r="5523" spans="1:2" x14ac:dyDescent="0.2">
      <c r="A5523" s="68">
        <v>37595</v>
      </c>
      <c r="B5523" s="69">
        <v>1.0609999999999999</v>
      </c>
    </row>
    <row r="5524" spans="1:2" x14ac:dyDescent="0.2">
      <c r="A5524" s="68">
        <v>37594</v>
      </c>
      <c r="B5524" s="69">
        <v>1.0609999999999999</v>
      </c>
    </row>
    <row r="5525" spans="1:2" x14ac:dyDescent="0.2">
      <c r="A5525" s="68">
        <v>37593</v>
      </c>
      <c r="B5525" s="69">
        <v>1.0610999999999999</v>
      </c>
    </row>
    <row r="5526" spans="1:2" x14ac:dyDescent="0.2">
      <c r="A5526" s="68">
        <v>37592</v>
      </c>
      <c r="B5526" s="69">
        <v>1.0609</v>
      </c>
    </row>
    <row r="5527" spans="1:2" x14ac:dyDescent="0.2">
      <c r="A5527" s="68">
        <v>37589</v>
      </c>
      <c r="B5527" s="69">
        <v>1.0609999999999999</v>
      </c>
    </row>
    <row r="5528" spans="1:2" x14ac:dyDescent="0.2">
      <c r="A5528" s="68">
        <v>37588</v>
      </c>
      <c r="B5528" s="69">
        <v>1.0609</v>
      </c>
    </row>
    <row r="5529" spans="1:2" x14ac:dyDescent="0.2">
      <c r="A5529" s="68">
        <v>37587</v>
      </c>
      <c r="B5529" s="69">
        <v>1.0609999999999999</v>
      </c>
    </row>
    <row r="5530" spans="1:2" x14ac:dyDescent="0.2">
      <c r="A5530" s="68">
        <v>37586</v>
      </c>
      <c r="B5530" s="69">
        <v>1.0609999999999999</v>
      </c>
    </row>
    <row r="5531" spans="1:2" x14ac:dyDescent="0.2">
      <c r="A5531" s="68">
        <v>37585</v>
      </c>
      <c r="B5531" s="69">
        <v>1.0609</v>
      </c>
    </row>
    <row r="5532" spans="1:2" x14ac:dyDescent="0.2">
      <c r="A5532" s="68">
        <v>37582</v>
      </c>
      <c r="B5532" s="69">
        <v>1.0609</v>
      </c>
    </row>
    <row r="5533" spans="1:2" x14ac:dyDescent="0.2">
      <c r="A5533" s="68">
        <v>37581</v>
      </c>
      <c r="B5533" s="69">
        <v>1.0608</v>
      </c>
    </row>
    <row r="5534" spans="1:2" x14ac:dyDescent="0.2">
      <c r="A5534" s="68">
        <v>37580</v>
      </c>
      <c r="B5534" s="69">
        <v>1.0608</v>
      </c>
    </row>
    <row r="5535" spans="1:2" x14ac:dyDescent="0.2">
      <c r="A5535" s="68">
        <v>37579</v>
      </c>
      <c r="B5535" s="69">
        <v>1.0608</v>
      </c>
    </row>
    <row r="5536" spans="1:2" x14ac:dyDescent="0.2">
      <c r="A5536" s="68">
        <v>37578</v>
      </c>
      <c r="B5536" s="69">
        <v>1.0608</v>
      </c>
    </row>
    <row r="5537" spans="1:2" x14ac:dyDescent="0.2">
      <c r="A5537" s="68">
        <v>37575</v>
      </c>
      <c r="B5537" s="69">
        <v>1.0608</v>
      </c>
    </row>
    <row r="5538" spans="1:2" x14ac:dyDescent="0.2">
      <c r="A5538" s="68">
        <v>37574</v>
      </c>
      <c r="B5538" s="69">
        <v>1.0609</v>
      </c>
    </row>
    <row r="5539" spans="1:2" x14ac:dyDescent="0.2">
      <c r="A5539" s="68">
        <v>37573</v>
      </c>
      <c r="B5539" s="69">
        <v>1.0608</v>
      </c>
    </row>
    <row r="5540" spans="1:2" x14ac:dyDescent="0.2">
      <c r="A5540" s="68">
        <v>37572</v>
      </c>
      <c r="B5540" s="69">
        <v>1.0609</v>
      </c>
    </row>
    <row r="5541" spans="1:2" x14ac:dyDescent="0.2">
      <c r="A5541" s="68">
        <v>37571</v>
      </c>
      <c r="B5541" s="69">
        <v>1.0603</v>
      </c>
    </row>
    <row r="5542" spans="1:2" x14ac:dyDescent="0.2">
      <c r="A5542" s="68">
        <v>37568</v>
      </c>
      <c r="B5542" s="69">
        <v>1.0609</v>
      </c>
    </row>
    <row r="5543" spans="1:2" x14ac:dyDescent="0.2">
      <c r="A5543" s="68">
        <v>37567</v>
      </c>
      <c r="B5543" s="69">
        <v>1.0608</v>
      </c>
    </row>
    <row r="5544" spans="1:2" x14ac:dyDescent="0.2">
      <c r="A5544" s="68">
        <v>37566</v>
      </c>
      <c r="B5544" s="69">
        <v>1.0609999999999999</v>
      </c>
    </row>
    <row r="5545" spans="1:2" x14ac:dyDescent="0.2">
      <c r="A5545" s="68">
        <v>37565</v>
      </c>
      <c r="B5545" s="69">
        <v>1.0609999999999999</v>
      </c>
    </row>
    <row r="5546" spans="1:2" x14ac:dyDescent="0.2">
      <c r="A5546" s="68">
        <v>37564</v>
      </c>
      <c r="B5546" s="69">
        <v>1.0610999999999999</v>
      </c>
    </row>
    <row r="5547" spans="1:2" x14ac:dyDescent="0.2">
      <c r="A5547" s="68">
        <v>37561</v>
      </c>
      <c r="B5547" s="69">
        <v>1.0611999999999999</v>
      </c>
    </row>
    <row r="5548" spans="1:2" x14ac:dyDescent="0.2">
      <c r="A5548" s="68">
        <v>37560</v>
      </c>
      <c r="B5548" s="69">
        <v>1.0610999999999999</v>
      </c>
    </row>
    <row r="5549" spans="1:2" x14ac:dyDescent="0.2">
      <c r="A5549" s="68">
        <v>37559</v>
      </c>
      <c r="B5549" s="69">
        <v>1.0609999999999999</v>
      </c>
    </row>
    <row r="5550" spans="1:2" x14ac:dyDescent="0.2">
      <c r="A5550" s="68">
        <v>37558</v>
      </c>
      <c r="B5550" s="69">
        <v>1.0609999999999999</v>
      </c>
    </row>
    <row r="5551" spans="1:2" x14ac:dyDescent="0.2">
      <c r="A5551" s="68">
        <v>37557</v>
      </c>
      <c r="B5551" s="69">
        <v>1.0609</v>
      </c>
    </row>
    <row r="5552" spans="1:2" x14ac:dyDescent="0.2">
      <c r="A5552" s="68">
        <v>37554</v>
      </c>
      <c r="B5552" s="69">
        <v>1.0609</v>
      </c>
    </row>
    <row r="5553" spans="1:2" x14ac:dyDescent="0.2">
      <c r="A5553" s="68">
        <v>37553</v>
      </c>
      <c r="B5553" s="69">
        <v>1.0609999999999999</v>
      </c>
    </row>
    <row r="5554" spans="1:2" x14ac:dyDescent="0.2">
      <c r="A5554" s="68">
        <v>37552</v>
      </c>
      <c r="B5554" s="69">
        <v>1.0610999999999999</v>
      </c>
    </row>
    <row r="5555" spans="1:2" x14ac:dyDescent="0.2">
      <c r="A5555" s="68">
        <v>37551</v>
      </c>
      <c r="B5555" s="69">
        <v>1.0609</v>
      </c>
    </row>
    <row r="5556" spans="1:2" x14ac:dyDescent="0.2">
      <c r="A5556" s="68">
        <v>37550</v>
      </c>
      <c r="B5556" s="69">
        <v>1.0609</v>
      </c>
    </row>
    <row r="5557" spans="1:2" x14ac:dyDescent="0.2">
      <c r="A5557" s="68">
        <v>37547</v>
      </c>
      <c r="B5557" s="69">
        <v>1.0608</v>
      </c>
    </row>
    <row r="5558" spans="1:2" x14ac:dyDescent="0.2">
      <c r="A5558" s="68">
        <v>37546</v>
      </c>
      <c r="B5558" s="69">
        <v>1.0608</v>
      </c>
    </row>
    <row r="5559" spans="1:2" x14ac:dyDescent="0.2">
      <c r="A5559" s="68">
        <v>37545</v>
      </c>
      <c r="B5559" s="69">
        <v>1.0608</v>
      </c>
    </row>
    <row r="5560" spans="1:2" x14ac:dyDescent="0.2">
      <c r="A5560" s="68">
        <v>37544</v>
      </c>
      <c r="B5560" s="69">
        <v>1.0608</v>
      </c>
    </row>
    <row r="5561" spans="1:2" x14ac:dyDescent="0.2">
      <c r="A5561" s="68">
        <v>37543</v>
      </c>
      <c r="B5561" s="69">
        <v>1.0608</v>
      </c>
    </row>
    <row r="5562" spans="1:2" x14ac:dyDescent="0.2">
      <c r="A5562" s="68">
        <v>37540</v>
      </c>
      <c r="B5562" s="69">
        <v>1.0608</v>
      </c>
    </row>
    <row r="5563" spans="1:2" x14ac:dyDescent="0.2">
      <c r="A5563" s="68">
        <v>37539</v>
      </c>
      <c r="B5563" s="69">
        <v>1.0608</v>
      </c>
    </row>
    <row r="5564" spans="1:2" x14ac:dyDescent="0.2">
      <c r="A5564" s="68">
        <v>37538</v>
      </c>
      <c r="B5564" s="69">
        <v>1.0607</v>
      </c>
    </row>
    <row r="5565" spans="1:2" x14ac:dyDescent="0.2">
      <c r="A5565" s="68">
        <v>37537</v>
      </c>
      <c r="B5565" s="69">
        <v>1.0608</v>
      </c>
    </row>
    <row r="5566" spans="1:2" x14ac:dyDescent="0.2">
      <c r="A5566" s="68">
        <v>37529</v>
      </c>
      <c r="B5566" s="69">
        <v>1.0607</v>
      </c>
    </row>
    <row r="5567" spans="1:2" x14ac:dyDescent="0.2">
      <c r="A5567" s="68">
        <v>37526</v>
      </c>
      <c r="B5567" s="69">
        <v>1.0608</v>
      </c>
    </row>
    <row r="5568" spans="1:2" x14ac:dyDescent="0.2">
      <c r="A5568" s="68">
        <v>37525</v>
      </c>
      <c r="B5568" s="69">
        <v>1.0607</v>
      </c>
    </row>
    <row r="5569" spans="1:2" x14ac:dyDescent="0.2">
      <c r="A5569" s="68">
        <v>37524</v>
      </c>
      <c r="B5569" s="69">
        <v>1.0607</v>
      </c>
    </row>
    <row r="5570" spans="1:2" x14ac:dyDescent="0.2">
      <c r="A5570" s="68">
        <v>37523</v>
      </c>
      <c r="B5570" s="69">
        <v>1.0608</v>
      </c>
    </row>
    <row r="5571" spans="1:2" x14ac:dyDescent="0.2">
      <c r="A5571" s="68">
        <v>37522</v>
      </c>
      <c r="B5571" s="69">
        <v>1.0608</v>
      </c>
    </row>
    <row r="5572" spans="1:2" x14ac:dyDescent="0.2">
      <c r="A5572" s="68">
        <v>37519</v>
      </c>
      <c r="B5572" s="69">
        <v>1.0607</v>
      </c>
    </row>
    <row r="5573" spans="1:2" x14ac:dyDescent="0.2">
      <c r="A5573" s="68">
        <v>37518</v>
      </c>
      <c r="B5573" s="69">
        <v>1.0608</v>
      </c>
    </row>
    <row r="5574" spans="1:2" x14ac:dyDescent="0.2">
      <c r="A5574" s="68">
        <v>37517</v>
      </c>
      <c r="B5574" s="69">
        <v>1.0608</v>
      </c>
    </row>
    <row r="5575" spans="1:2" x14ac:dyDescent="0.2">
      <c r="A5575" s="68">
        <v>37516</v>
      </c>
      <c r="B5575" s="69">
        <v>1.0609</v>
      </c>
    </row>
    <row r="5576" spans="1:2" x14ac:dyDescent="0.2">
      <c r="A5576" s="68">
        <v>37515</v>
      </c>
      <c r="B5576" s="69">
        <v>1.0608</v>
      </c>
    </row>
    <row r="5577" spans="1:2" x14ac:dyDescent="0.2">
      <c r="A5577" s="68">
        <v>37512</v>
      </c>
      <c r="B5577" s="69">
        <v>1.0607</v>
      </c>
    </row>
    <row r="5578" spans="1:2" x14ac:dyDescent="0.2">
      <c r="A5578" s="68">
        <v>37511</v>
      </c>
      <c r="B5578" s="69">
        <v>1.0607</v>
      </c>
    </row>
    <row r="5579" spans="1:2" x14ac:dyDescent="0.2">
      <c r="A5579" s="68">
        <v>37510</v>
      </c>
      <c r="B5579" s="69">
        <v>1.0609</v>
      </c>
    </row>
    <row r="5580" spans="1:2" x14ac:dyDescent="0.2">
      <c r="A5580" s="68">
        <v>37509</v>
      </c>
      <c r="B5580" s="69">
        <v>1.0608</v>
      </c>
    </row>
    <row r="5581" spans="1:2" x14ac:dyDescent="0.2">
      <c r="A5581" s="68">
        <v>37508</v>
      </c>
      <c r="B5581" s="69">
        <v>1.0607</v>
      </c>
    </row>
    <row r="5582" spans="1:2" x14ac:dyDescent="0.2">
      <c r="A5582" s="68">
        <v>37505</v>
      </c>
      <c r="B5582" s="69">
        <v>1.0608</v>
      </c>
    </row>
    <row r="5583" spans="1:2" x14ac:dyDescent="0.2">
      <c r="A5583" s="68">
        <v>37504</v>
      </c>
      <c r="B5583" s="69">
        <v>1.0608</v>
      </c>
    </row>
    <row r="5584" spans="1:2" x14ac:dyDescent="0.2">
      <c r="A5584" s="68">
        <v>37503</v>
      </c>
      <c r="B5584" s="69">
        <v>1.0608</v>
      </c>
    </row>
    <row r="5585" spans="1:2" x14ac:dyDescent="0.2">
      <c r="A5585" s="68">
        <v>37502</v>
      </c>
      <c r="B5585" s="69">
        <v>1.0608</v>
      </c>
    </row>
    <row r="5586" spans="1:2" x14ac:dyDescent="0.2">
      <c r="A5586" s="68">
        <v>37501</v>
      </c>
      <c r="B5586" s="69">
        <v>1.0607</v>
      </c>
    </row>
    <row r="5587" spans="1:2" x14ac:dyDescent="0.2">
      <c r="A5587" s="68">
        <v>37498</v>
      </c>
      <c r="B5587" s="69">
        <v>1.0608</v>
      </c>
    </row>
    <row r="5588" spans="1:2" x14ac:dyDescent="0.2">
      <c r="A5588" s="68">
        <v>37497</v>
      </c>
      <c r="B5588" s="69">
        <v>1.0609</v>
      </c>
    </row>
    <row r="5589" spans="1:2" x14ac:dyDescent="0.2">
      <c r="A5589" s="68">
        <v>37496</v>
      </c>
      <c r="B5589" s="69">
        <v>1.0607</v>
      </c>
    </row>
    <row r="5590" spans="1:2" x14ac:dyDescent="0.2">
      <c r="A5590" s="68">
        <v>37495</v>
      </c>
      <c r="B5590" s="69">
        <v>1.0607</v>
      </c>
    </row>
    <row r="5591" spans="1:2" x14ac:dyDescent="0.2">
      <c r="A5591" s="68">
        <v>37494</v>
      </c>
      <c r="B5591" s="69">
        <v>1.0608</v>
      </c>
    </row>
    <row r="5592" spans="1:2" x14ac:dyDescent="0.2">
      <c r="A5592" s="68">
        <v>37491</v>
      </c>
      <c r="B5592" s="69">
        <v>1.0607</v>
      </c>
    </row>
    <row r="5593" spans="1:2" x14ac:dyDescent="0.2">
      <c r="A5593" s="68">
        <v>37490</v>
      </c>
      <c r="B5593" s="69">
        <v>1.0608</v>
      </c>
    </row>
    <row r="5594" spans="1:2" x14ac:dyDescent="0.2">
      <c r="A5594" s="68">
        <v>37489</v>
      </c>
      <c r="B5594" s="69">
        <v>1.0607</v>
      </c>
    </row>
    <row r="5595" spans="1:2" x14ac:dyDescent="0.2">
      <c r="A5595" s="68">
        <v>37488</v>
      </c>
      <c r="B5595" s="69">
        <v>1.0607</v>
      </c>
    </row>
    <row r="5596" spans="1:2" x14ac:dyDescent="0.2">
      <c r="A5596" s="68">
        <v>37487</v>
      </c>
      <c r="B5596" s="69">
        <v>1.0608</v>
      </c>
    </row>
    <row r="5597" spans="1:2" x14ac:dyDescent="0.2">
      <c r="A5597" s="68">
        <v>37484</v>
      </c>
      <c r="B5597" s="69">
        <v>1.0608</v>
      </c>
    </row>
    <row r="5598" spans="1:2" x14ac:dyDescent="0.2">
      <c r="A5598" s="68">
        <v>37483</v>
      </c>
      <c r="B5598" s="69">
        <v>1.0608</v>
      </c>
    </row>
    <row r="5599" spans="1:2" x14ac:dyDescent="0.2">
      <c r="A5599" s="68">
        <v>37482</v>
      </c>
      <c r="B5599" s="69">
        <v>1.0607</v>
      </c>
    </row>
    <row r="5600" spans="1:2" x14ac:dyDescent="0.2">
      <c r="A5600" s="68">
        <v>37481</v>
      </c>
      <c r="B5600" s="69">
        <v>1.0609</v>
      </c>
    </row>
    <row r="5601" spans="1:2" x14ac:dyDescent="0.2">
      <c r="A5601" s="68">
        <v>37480</v>
      </c>
      <c r="B5601" s="69">
        <v>1.0609</v>
      </c>
    </row>
    <row r="5602" spans="1:2" x14ac:dyDescent="0.2">
      <c r="A5602" s="68">
        <v>37477</v>
      </c>
      <c r="B5602" s="69">
        <v>1.0607</v>
      </c>
    </row>
    <row r="5603" spans="1:2" x14ac:dyDescent="0.2">
      <c r="A5603" s="68">
        <v>37476</v>
      </c>
      <c r="B5603" s="69">
        <v>1.0607</v>
      </c>
    </row>
    <row r="5604" spans="1:2" x14ac:dyDescent="0.2">
      <c r="A5604" s="68">
        <v>37475</v>
      </c>
      <c r="B5604" s="69">
        <v>1.0627</v>
      </c>
    </row>
    <row r="5605" spans="1:2" x14ac:dyDescent="0.2">
      <c r="A5605" s="68">
        <v>37474</v>
      </c>
      <c r="B5605" s="69">
        <v>1.0608</v>
      </c>
    </row>
    <row r="5606" spans="1:2" x14ac:dyDescent="0.2">
      <c r="A5606" s="68">
        <v>37473</v>
      </c>
      <c r="B5606" s="69">
        <v>1.0608</v>
      </c>
    </row>
    <row r="5607" spans="1:2" x14ac:dyDescent="0.2">
      <c r="A5607" s="68">
        <v>37470</v>
      </c>
      <c r="B5607" s="69">
        <v>1.0607</v>
      </c>
    </row>
    <row r="5608" spans="1:2" x14ac:dyDescent="0.2">
      <c r="A5608" s="68">
        <v>37469</v>
      </c>
      <c r="B5608" s="69">
        <v>1.0608</v>
      </c>
    </row>
    <row r="5609" spans="1:2" x14ac:dyDescent="0.2">
      <c r="A5609" s="68">
        <v>37468</v>
      </c>
      <c r="B5609" s="69">
        <v>1.0608</v>
      </c>
    </row>
    <row r="5610" spans="1:2" x14ac:dyDescent="0.2">
      <c r="A5610" s="68">
        <v>37467</v>
      </c>
      <c r="B5610" s="69">
        <v>1.0608</v>
      </c>
    </row>
    <row r="5611" spans="1:2" x14ac:dyDescent="0.2">
      <c r="A5611" s="68">
        <v>37466</v>
      </c>
      <c r="B5611" s="69">
        <v>1.0607</v>
      </c>
    </row>
    <row r="5612" spans="1:2" x14ac:dyDescent="0.2">
      <c r="A5612" s="68">
        <v>37463</v>
      </c>
      <c r="B5612" s="69">
        <v>1.0608</v>
      </c>
    </row>
    <row r="5613" spans="1:2" x14ac:dyDescent="0.2">
      <c r="A5613" s="68">
        <v>37462</v>
      </c>
      <c r="B5613" s="69">
        <v>1.0608</v>
      </c>
    </row>
    <row r="5614" spans="1:2" x14ac:dyDescent="0.2">
      <c r="A5614" s="68">
        <v>37461</v>
      </c>
      <c r="B5614" s="69">
        <v>1.0608</v>
      </c>
    </row>
    <row r="5615" spans="1:2" x14ac:dyDescent="0.2">
      <c r="A5615" s="68">
        <v>37460</v>
      </c>
      <c r="B5615" s="69">
        <v>1.0608</v>
      </c>
    </row>
    <row r="5616" spans="1:2" x14ac:dyDescent="0.2">
      <c r="A5616" s="68">
        <v>37459</v>
      </c>
      <c r="B5616" s="69">
        <v>1.0608</v>
      </c>
    </row>
    <row r="5617" spans="1:2" x14ac:dyDescent="0.2">
      <c r="A5617" s="68">
        <v>37456</v>
      </c>
      <c r="B5617" s="69">
        <v>1.0607</v>
      </c>
    </row>
    <row r="5618" spans="1:2" x14ac:dyDescent="0.2">
      <c r="A5618" s="68">
        <v>37455</v>
      </c>
      <c r="B5618" s="69">
        <v>1.0606</v>
      </c>
    </row>
    <row r="5619" spans="1:2" x14ac:dyDescent="0.2">
      <c r="A5619" s="68">
        <v>37454</v>
      </c>
      <c r="B5619" s="69">
        <v>1.0605</v>
      </c>
    </row>
    <row r="5620" spans="1:2" x14ac:dyDescent="0.2">
      <c r="A5620" s="68">
        <v>37453</v>
      </c>
      <c r="B5620" s="69">
        <v>1.0606</v>
      </c>
    </row>
    <row r="5621" spans="1:2" x14ac:dyDescent="0.2">
      <c r="A5621" s="68">
        <v>37452</v>
      </c>
      <c r="B5621" s="69">
        <v>1.0605</v>
      </c>
    </row>
    <row r="5622" spans="1:2" x14ac:dyDescent="0.2">
      <c r="A5622" s="68">
        <v>37449</v>
      </c>
      <c r="B5622" s="69">
        <v>1.0605</v>
      </c>
    </row>
    <row r="5623" spans="1:2" x14ac:dyDescent="0.2">
      <c r="A5623" s="68">
        <v>37448</v>
      </c>
      <c r="B5623" s="69">
        <v>1.0605</v>
      </c>
    </row>
    <row r="5624" spans="1:2" x14ac:dyDescent="0.2">
      <c r="A5624" s="68">
        <v>37447</v>
      </c>
      <c r="B5624" s="69">
        <v>1.0605</v>
      </c>
    </row>
    <row r="5625" spans="1:2" x14ac:dyDescent="0.2">
      <c r="A5625" s="68">
        <v>37446</v>
      </c>
      <c r="B5625" s="69">
        <v>1.0605</v>
      </c>
    </row>
    <row r="5626" spans="1:2" x14ac:dyDescent="0.2">
      <c r="A5626" s="68">
        <v>37445</v>
      </c>
      <c r="B5626" s="69">
        <v>1.0605</v>
      </c>
    </row>
    <row r="5627" spans="1:2" x14ac:dyDescent="0.2">
      <c r="A5627" s="68">
        <v>37442</v>
      </c>
      <c r="B5627" s="69">
        <v>1.0605</v>
      </c>
    </row>
    <row r="5628" spans="1:2" x14ac:dyDescent="0.2">
      <c r="A5628" s="68">
        <v>37441</v>
      </c>
      <c r="B5628" s="69">
        <v>1.0605</v>
      </c>
    </row>
    <row r="5629" spans="1:2" x14ac:dyDescent="0.2">
      <c r="A5629" s="68">
        <v>37440</v>
      </c>
      <c r="B5629" s="69">
        <v>1.0606</v>
      </c>
    </row>
    <row r="5630" spans="1:2" x14ac:dyDescent="0.2">
      <c r="A5630" s="68">
        <v>37439</v>
      </c>
      <c r="B5630" s="69">
        <v>1.0606</v>
      </c>
    </row>
    <row r="5631" spans="1:2" x14ac:dyDescent="0.2">
      <c r="A5631" s="68">
        <v>37438</v>
      </c>
      <c r="B5631" s="69">
        <v>1.0606</v>
      </c>
    </row>
    <row r="5632" spans="1:2" x14ac:dyDescent="0.2">
      <c r="A5632" s="68">
        <v>37435</v>
      </c>
      <c r="B5632" s="69">
        <v>1.0606</v>
      </c>
    </row>
    <row r="5633" spans="1:2" x14ac:dyDescent="0.2">
      <c r="A5633" s="68">
        <v>37434</v>
      </c>
      <c r="B5633" s="69">
        <v>1.0606</v>
      </c>
    </row>
    <row r="5634" spans="1:2" x14ac:dyDescent="0.2">
      <c r="A5634" s="68">
        <v>37433</v>
      </c>
      <c r="B5634" s="69">
        <v>1.0606</v>
      </c>
    </row>
    <row r="5635" spans="1:2" x14ac:dyDescent="0.2">
      <c r="A5635" s="68">
        <v>37432</v>
      </c>
      <c r="B5635" s="69">
        <v>1.0605</v>
      </c>
    </row>
    <row r="5636" spans="1:2" x14ac:dyDescent="0.2">
      <c r="A5636" s="68">
        <v>37431</v>
      </c>
      <c r="B5636" s="69">
        <v>1.0605</v>
      </c>
    </row>
    <row r="5637" spans="1:2" x14ac:dyDescent="0.2">
      <c r="A5637" s="68">
        <v>37428</v>
      </c>
      <c r="B5637" s="69">
        <v>1.0607</v>
      </c>
    </row>
    <row r="5638" spans="1:2" x14ac:dyDescent="0.2">
      <c r="A5638" s="68">
        <v>37427</v>
      </c>
      <c r="B5638" s="69">
        <v>1.0606</v>
      </c>
    </row>
    <row r="5639" spans="1:2" x14ac:dyDescent="0.2">
      <c r="A5639" s="68">
        <v>37426</v>
      </c>
      <c r="B5639" s="69">
        <v>1.0606</v>
      </c>
    </row>
    <row r="5640" spans="1:2" x14ac:dyDescent="0.2">
      <c r="A5640" s="68">
        <v>37425</v>
      </c>
      <c r="B5640" s="69">
        <v>1.0607</v>
      </c>
    </row>
    <row r="5641" spans="1:2" x14ac:dyDescent="0.2">
      <c r="A5641" s="68">
        <v>37424</v>
      </c>
      <c r="B5641" s="69">
        <v>1.0607</v>
      </c>
    </row>
    <row r="5642" spans="1:2" x14ac:dyDescent="0.2">
      <c r="A5642" s="68">
        <v>37421</v>
      </c>
      <c r="B5642" s="69">
        <v>1.0607</v>
      </c>
    </row>
    <row r="5643" spans="1:2" x14ac:dyDescent="0.2">
      <c r="A5643" s="68">
        <v>37420</v>
      </c>
      <c r="B5643" s="69">
        <v>1.0606</v>
      </c>
    </row>
    <row r="5644" spans="1:2" x14ac:dyDescent="0.2">
      <c r="A5644" s="68">
        <v>37419</v>
      </c>
      <c r="B5644" s="69">
        <v>1.0605</v>
      </c>
    </row>
    <row r="5645" spans="1:2" x14ac:dyDescent="0.2">
      <c r="A5645" s="68">
        <v>37418</v>
      </c>
      <c r="B5645" s="69">
        <v>1.0605</v>
      </c>
    </row>
    <row r="5646" spans="1:2" x14ac:dyDescent="0.2">
      <c r="A5646" s="68">
        <v>37417</v>
      </c>
      <c r="B5646" s="69">
        <v>1.0607</v>
      </c>
    </row>
    <row r="5647" spans="1:2" x14ac:dyDescent="0.2">
      <c r="A5647" s="68">
        <v>37414</v>
      </c>
      <c r="B5647" s="69">
        <v>1.0605</v>
      </c>
    </row>
    <row r="5648" spans="1:2" x14ac:dyDescent="0.2">
      <c r="A5648" s="68">
        <v>37413</v>
      </c>
      <c r="B5648" s="69">
        <v>1.0606</v>
      </c>
    </row>
    <row r="5649" spans="1:2" x14ac:dyDescent="0.2">
      <c r="A5649" s="68">
        <v>37412</v>
      </c>
      <c r="B5649" s="69">
        <v>1.0606</v>
      </c>
    </row>
    <row r="5650" spans="1:2" x14ac:dyDescent="0.2">
      <c r="A5650" s="68">
        <v>37411</v>
      </c>
      <c r="B5650" s="69">
        <v>1.0605</v>
      </c>
    </row>
    <row r="5651" spans="1:2" x14ac:dyDescent="0.2">
      <c r="A5651" s="68">
        <v>37410</v>
      </c>
      <c r="B5651" s="69">
        <v>1.0604</v>
      </c>
    </row>
    <row r="5652" spans="1:2" x14ac:dyDescent="0.2">
      <c r="A5652" s="68">
        <v>37407</v>
      </c>
      <c r="B5652" s="69">
        <v>1.0605</v>
      </c>
    </row>
    <row r="5653" spans="1:2" x14ac:dyDescent="0.2">
      <c r="A5653" s="68">
        <v>37406</v>
      </c>
      <c r="B5653" s="69">
        <v>1.0605</v>
      </c>
    </row>
    <row r="5654" spans="1:2" x14ac:dyDescent="0.2">
      <c r="A5654" s="68">
        <v>37405</v>
      </c>
      <c r="B5654" s="69">
        <v>1.0605</v>
      </c>
    </row>
    <row r="5655" spans="1:2" x14ac:dyDescent="0.2">
      <c r="A5655" s="68">
        <v>37404</v>
      </c>
      <c r="B5655" s="69">
        <v>1.0606</v>
      </c>
    </row>
    <row r="5656" spans="1:2" x14ac:dyDescent="0.2">
      <c r="A5656" s="68">
        <v>37403</v>
      </c>
      <c r="B5656" s="69">
        <v>1.0605</v>
      </c>
    </row>
    <row r="5657" spans="1:2" x14ac:dyDescent="0.2">
      <c r="A5657" s="68">
        <v>37400</v>
      </c>
      <c r="B5657" s="69">
        <v>1.0605</v>
      </c>
    </row>
    <row r="5658" spans="1:2" x14ac:dyDescent="0.2">
      <c r="A5658" s="68">
        <v>37399</v>
      </c>
      <c r="B5658" s="69">
        <v>1.0606</v>
      </c>
    </row>
    <row r="5659" spans="1:2" x14ac:dyDescent="0.2">
      <c r="A5659" s="68">
        <v>37398</v>
      </c>
      <c r="B5659" s="69">
        <v>1.0607</v>
      </c>
    </row>
    <row r="5660" spans="1:2" x14ac:dyDescent="0.2">
      <c r="A5660" s="68">
        <v>37397</v>
      </c>
      <c r="B5660" s="69">
        <v>1.0606</v>
      </c>
    </row>
    <row r="5661" spans="1:2" x14ac:dyDescent="0.2">
      <c r="A5661" s="68">
        <v>37396</v>
      </c>
      <c r="B5661" s="69">
        <v>1.0606</v>
      </c>
    </row>
    <row r="5662" spans="1:2" x14ac:dyDescent="0.2">
      <c r="A5662" s="68">
        <v>37393</v>
      </c>
      <c r="B5662" s="69">
        <v>1.0606</v>
      </c>
    </row>
    <row r="5663" spans="1:2" x14ac:dyDescent="0.2">
      <c r="A5663" s="68">
        <v>37392</v>
      </c>
      <c r="B5663" s="69">
        <v>1.0606</v>
      </c>
    </row>
    <row r="5664" spans="1:2" x14ac:dyDescent="0.2">
      <c r="A5664" s="68">
        <v>37391</v>
      </c>
      <c r="B5664" s="69">
        <v>1.0607</v>
      </c>
    </row>
    <row r="5665" spans="1:2" x14ac:dyDescent="0.2">
      <c r="A5665" s="68">
        <v>37390</v>
      </c>
      <c r="B5665" s="69">
        <v>1.0607</v>
      </c>
    </row>
    <row r="5666" spans="1:2" x14ac:dyDescent="0.2">
      <c r="A5666" s="68">
        <v>37389</v>
      </c>
      <c r="B5666" s="69">
        <v>1.0606</v>
      </c>
    </row>
    <row r="5667" spans="1:2" x14ac:dyDescent="0.2">
      <c r="A5667" s="68">
        <v>37386</v>
      </c>
      <c r="B5667" s="69">
        <v>1.0606</v>
      </c>
    </row>
    <row r="5668" spans="1:2" x14ac:dyDescent="0.2">
      <c r="A5668" s="68">
        <v>37385</v>
      </c>
      <c r="B5668" s="69">
        <v>1.0606</v>
      </c>
    </row>
    <row r="5669" spans="1:2" x14ac:dyDescent="0.2">
      <c r="A5669" s="68">
        <v>37384</v>
      </c>
      <c r="B5669" s="69">
        <v>1.0606</v>
      </c>
    </row>
    <row r="5670" spans="1:2" x14ac:dyDescent="0.2">
      <c r="A5670" s="68">
        <v>37376</v>
      </c>
      <c r="B5670" s="69">
        <v>1.0606</v>
      </c>
    </row>
    <row r="5671" spans="1:2" x14ac:dyDescent="0.2">
      <c r="A5671" s="68">
        <v>37375</v>
      </c>
      <c r="B5671" s="69">
        <v>1.0606</v>
      </c>
    </row>
    <row r="5672" spans="1:2" x14ac:dyDescent="0.2">
      <c r="A5672" s="68">
        <v>37372</v>
      </c>
      <c r="B5672" s="69">
        <v>1.0606</v>
      </c>
    </row>
    <row r="5673" spans="1:2" x14ac:dyDescent="0.2">
      <c r="A5673" s="68">
        <v>37371</v>
      </c>
      <c r="B5673" s="69">
        <v>1.0606</v>
      </c>
    </row>
    <row r="5674" spans="1:2" x14ac:dyDescent="0.2">
      <c r="A5674" s="68">
        <v>37370</v>
      </c>
      <c r="B5674" s="69">
        <v>1.0606</v>
      </c>
    </row>
    <row r="5675" spans="1:2" x14ac:dyDescent="0.2">
      <c r="A5675" s="68">
        <v>37369</v>
      </c>
      <c r="B5675" s="69">
        <v>1.0606</v>
      </c>
    </row>
    <row r="5676" spans="1:2" x14ac:dyDescent="0.2">
      <c r="A5676" s="68">
        <v>37368</v>
      </c>
      <c r="B5676" s="69">
        <v>1.0607</v>
      </c>
    </row>
    <row r="5677" spans="1:2" x14ac:dyDescent="0.2">
      <c r="A5677" s="68">
        <v>37365</v>
      </c>
      <c r="B5677" s="69">
        <v>1.0605</v>
      </c>
    </row>
    <row r="5678" spans="1:2" x14ac:dyDescent="0.2">
      <c r="A5678" s="68">
        <v>37364</v>
      </c>
      <c r="B5678" s="69">
        <v>1.0606</v>
      </c>
    </row>
    <row r="5679" spans="1:2" x14ac:dyDescent="0.2">
      <c r="A5679" s="68">
        <v>37363</v>
      </c>
      <c r="B5679" s="69">
        <v>1.0605</v>
      </c>
    </row>
    <row r="5680" spans="1:2" x14ac:dyDescent="0.2">
      <c r="A5680" s="68">
        <v>37362</v>
      </c>
      <c r="B5680" s="69">
        <v>1.0605</v>
      </c>
    </row>
    <row r="5681" spans="1:2" x14ac:dyDescent="0.2">
      <c r="A5681" s="68">
        <v>37361</v>
      </c>
      <c r="B5681" s="69">
        <v>1.0605</v>
      </c>
    </row>
    <row r="5682" spans="1:2" x14ac:dyDescent="0.2">
      <c r="A5682" s="68">
        <v>37358</v>
      </c>
      <c r="B5682" s="69">
        <v>1.0605</v>
      </c>
    </row>
    <row r="5683" spans="1:2" x14ac:dyDescent="0.2">
      <c r="A5683" s="68">
        <v>37357</v>
      </c>
      <c r="B5683" s="69">
        <v>1.0605</v>
      </c>
    </row>
    <row r="5684" spans="1:2" x14ac:dyDescent="0.2">
      <c r="A5684" s="68">
        <v>37356</v>
      </c>
      <c r="B5684" s="69">
        <v>1.0606</v>
      </c>
    </row>
    <row r="5685" spans="1:2" x14ac:dyDescent="0.2">
      <c r="A5685" s="68">
        <v>37355</v>
      </c>
      <c r="B5685" s="69">
        <v>1.0606</v>
      </c>
    </row>
    <row r="5686" spans="1:2" x14ac:dyDescent="0.2">
      <c r="A5686" s="68">
        <v>37354</v>
      </c>
      <c r="B5686" s="69">
        <v>1.0606</v>
      </c>
    </row>
    <row r="5687" spans="1:2" x14ac:dyDescent="0.2">
      <c r="A5687" s="68">
        <v>37351</v>
      </c>
      <c r="B5687" s="69">
        <v>1.0606</v>
      </c>
    </row>
    <row r="5688" spans="1:2" x14ac:dyDescent="0.2">
      <c r="A5688" s="68">
        <v>37350</v>
      </c>
      <c r="B5688" s="69">
        <v>1.0607</v>
      </c>
    </row>
    <row r="5689" spans="1:2" x14ac:dyDescent="0.2">
      <c r="A5689" s="68">
        <v>37349</v>
      </c>
      <c r="B5689" s="69">
        <v>1.0607</v>
      </c>
    </row>
    <row r="5690" spans="1:2" x14ac:dyDescent="0.2">
      <c r="A5690" s="68">
        <v>37348</v>
      </c>
      <c r="B5690" s="69">
        <v>1.0608</v>
      </c>
    </row>
    <row r="5691" spans="1:2" x14ac:dyDescent="0.2">
      <c r="A5691" s="68">
        <v>37347</v>
      </c>
      <c r="B5691" s="69">
        <v>1.0607</v>
      </c>
    </row>
    <row r="5692" spans="1:2" x14ac:dyDescent="0.2">
      <c r="A5692" s="68">
        <v>37344</v>
      </c>
      <c r="B5692" s="69">
        <v>1.0609999999999999</v>
      </c>
    </row>
    <row r="5693" spans="1:2" x14ac:dyDescent="0.2">
      <c r="A5693" s="68">
        <v>37343</v>
      </c>
      <c r="B5693" s="69">
        <v>1.0607</v>
      </c>
    </row>
    <row r="5694" spans="1:2" x14ac:dyDescent="0.2">
      <c r="A5694" s="68">
        <v>37342</v>
      </c>
      <c r="B5694" s="69">
        <v>1.0606</v>
      </c>
    </row>
    <row r="5695" spans="1:2" x14ac:dyDescent="0.2">
      <c r="A5695" s="68">
        <v>37341</v>
      </c>
      <c r="B5695" s="69">
        <v>1.0609999999999999</v>
      </c>
    </row>
    <row r="5696" spans="1:2" x14ac:dyDescent="0.2">
      <c r="A5696" s="68">
        <v>37340</v>
      </c>
      <c r="B5696" s="69">
        <v>1.0609</v>
      </c>
    </row>
    <row r="5697" spans="1:2" x14ac:dyDescent="0.2">
      <c r="A5697" s="68">
        <v>37337</v>
      </c>
      <c r="B5697" s="69">
        <v>1.0609</v>
      </c>
    </row>
    <row r="5698" spans="1:2" x14ac:dyDescent="0.2">
      <c r="A5698" s="68">
        <v>37336</v>
      </c>
      <c r="B5698" s="69">
        <v>1.0609</v>
      </c>
    </row>
    <row r="5699" spans="1:2" x14ac:dyDescent="0.2">
      <c r="A5699" s="68">
        <v>37335</v>
      </c>
      <c r="B5699" s="69">
        <v>1.0609</v>
      </c>
    </row>
    <row r="5700" spans="1:2" x14ac:dyDescent="0.2">
      <c r="A5700" s="68">
        <v>37334</v>
      </c>
      <c r="B5700" s="69">
        <v>1.0607</v>
      </c>
    </row>
    <row r="5701" spans="1:2" x14ac:dyDescent="0.2">
      <c r="A5701" s="68">
        <v>37333</v>
      </c>
      <c r="B5701" s="69">
        <v>1.0609999999999999</v>
      </c>
    </row>
    <row r="5702" spans="1:2" x14ac:dyDescent="0.2">
      <c r="A5702" s="68">
        <v>37330</v>
      </c>
      <c r="B5702" s="69">
        <v>1.0607</v>
      </c>
    </row>
    <row r="5703" spans="1:2" x14ac:dyDescent="0.2">
      <c r="A5703" s="68">
        <v>37329</v>
      </c>
      <c r="B5703" s="69">
        <v>1.0608</v>
      </c>
    </row>
    <row r="5704" spans="1:2" x14ac:dyDescent="0.2">
      <c r="A5704" s="68">
        <v>37328</v>
      </c>
      <c r="B5704" s="69">
        <v>1.0609</v>
      </c>
    </row>
    <row r="5705" spans="1:2" x14ac:dyDescent="0.2">
      <c r="A5705" s="68">
        <v>37327</v>
      </c>
      <c r="B5705" s="69">
        <v>1.0608</v>
      </c>
    </row>
    <row r="5706" spans="1:2" x14ac:dyDescent="0.2">
      <c r="A5706" s="68">
        <v>37326</v>
      </c>
      <c r="B5706" s="69">
        <v>1.0608</v>
      </c>
    </row>
    <row r="5707" spans="1:2" x14ac:dyDescent="0.2">
      <c r="A5707" s="68">
        <v>37323</v>
      </c>
      <c r="B5707" s="69">
        <v>1.0609</v>
      </c>
    </row>
    <row r="5708" spans="1:2" x14ac:dyDescent="0.2">
      <c r="A5708" s="68">
        <v>37322</v>
      </c>
      <c r="B5708" s="69">
        <v>1.0608</v>
      </c>
    </row>
    <row r="5709" spans="1:2" x14ac:dyDescent="0.2">
      <c r="A5709" s="68">
        <v>37321</v>
      </c>
      <c r="B5709" s="69">
        <v>1.0606</v>
      </c>
    </row>
    <row r="5710" spans="1:2" x14ac:dyDescent="0.2">
      <c r="A5710" s="68">
        <v>37320</v>
      </c>
      <c r="B5710" s="69">
        <v>1.0606</v>
      </c>
    </row>
    <row r="5711" spans="1:2" x14ac:dyDescent="0.2">
      <c r="A5711" s="68">
        <v>37319</v>
      </c>
      <c r="B5711" s="69">
        <v>1.0606</v>
      </c>
    </row>
    <row r="5712" spans="1:2" x14ac:dyDescent="0.2">
      <c r="A5712" s="68">
        <v>37316</v>
      </c>
      <c r="B5712" s="69">
        <v>1.0607</v>
      </c>
    </row>
    <row r="5713" spans="1:2" x14ac:dyDescent="0.2">
      <c r="A5713" s="68">
        <v>37315</v>
      </c>
      <c r="B5713" s="69">
        <v>1.0607</v>
      </c>
    </row>
    <row r="5714" spans="1:2" x14ac:dyDescent="0.2">
      <c r="A5714" s="68">
        <v>37314</v>
      </c>
      <c r="B5714" s="69">
        <v>1.0607</v>
      </c>
    </row>
    <row r="5715" spans="1:2" x14ac:dyDescent="0.2">
      <c r="A5715" s="68">
        <v>37313</v>
      </c>
      <c r="B5715" s="69">
        <v>1.0606</v>
      </c>
    </row>
    <row r="5716" spans="1:2" x14ac:dyDescent="0.2">
      <c r="A5716" s="68">
        <v>37312</v>
      </c>
      <c r="B5716" s="69">
        <v>1.0609</v>
      </c>
    </row>
    <row r="5717" spans="1:2" x14ac:dyDescent="0.2">
      <c r="A5717" s="68">
        <v>37308</v>
      </c>
      <c r="B5717" s="69">
        <v>1.0608</v>
      </c>
    </row>
    <row r="5718" spans="1:2" x14ac:dyDescent="0.2">
      <c r="A5718" s="68">
        <v>37306</v>
      </c>
      <c r="B5718" s="69">
        <v>1.0605</v>
      </c>
    </row>
    <row r="5719" spans="1:2" x14ac:dyDescent="0.2">
      <c r="A5719" s="68">
        <v>37295</v>
      </c>
      <c r="B5719" s="69">
        <v>1.0609</v>
      </c>
    </row>
    <row r="5720" spans="1:2" x14ac:dyDescent="0.2">
      <c r="A5720" s="68">
        <v>37294</v>
      </c>
      <c r="B5720" s="69">
        <v>1.0605</v>
      </c>
    </row>
    <row r="5721" spans="1:2" x14ac:dyDescent="0.2">
      <c r="A5721" s="68">
        <v>37293</v>
      </c>
      <c r="B5721" s="69">
        <v>1.0605</v>
      </c>
    </row>
    <row r="5722" spans="1:2" x14ac:dyDescent="0.2">
      <c r="A5722" s="68">
        <v>37292</v>
      </c>
      <c r="B5722" s="69">
        <v>1.0604</v>
      </c>
    </row>
    <row r="5723" spans="1:2" x14ac:dyDescent="0.2">
      <c r="A5723" s="68">
        <v>37291</v>
      </c>
      <c r="B5723" s="69">
        <v>1.0607</v>
      </c>
    </row>
    <row r="5724" spans="1:2" x14ac:dyDescent="0.2">
      <c r="A5724" s="68">
        <v>37288</v>
      </c>
      <c r="B5724" s="69">
        <v>1.0609</v>
      </c>
    </row>
    <row r="5725" spans="1:2" x14ac:dyDescent="0.2">
      <c r="A5725" s="68">
        <v>37287</v>
      </c>
      <c r="B5725" s="69">
        <v>1.0608</v>
      </c>
    </row>
    <row r="5726" spans="1:2" x14ac:dyDescent="0.2">
      <c r="A5726" s="68">
        <v>37286</v>
      </c>
      <c r="B5726" s="69">
        <v>1.0609999999999999</v>
      </c>
    </row>
    <row r="5727" spans="1:2" x14ac:dyDescent="0.2">
      <c r="A5727" s="68">
        <v>37285</v>
      </c>
      <c r="B5727" s="69">
        <v>1.0606</v>
      </c>
    </row>
    <row r="5728" spans="1:2" x14ac:dyDescent="0.2">
      <c r="A5728" s="68">
        <v>37284</v>
      </c>
      <c r="B5728" s="69">
        <v>1.0608</v>
      </c>
    </row>
    <row r="5729" spans="1:2" x14ac:dyDescent="0.2">
      <c r="A5729" s="68">
        <v>37281</v>
      </c>
      <c r="B5729" s="69">
        <v>1.0607</v>
      </c>
    </row>
    <row r="5730" spans="1:2" x14ac:dyDescent="0.2">
      <c r="A5730" s="68">
        <v>37280</v>
      </c>
      <c r="B5730" s="69">
        <v>1.0606</v>
      </c>
    </row>
    <row r="5731" spans="1:2" x14ac:dyDescent="0.2">
      <c r="A5731" s="68">
        <v>37279</v>
      </c>
      <c r="B5731" s="69">
        <v>1.0606</v>
      </c>
    </row>
    <row r="5732" spans="1:2" x14ac:dyDescent="0.2">
      <c r="A5732" s="68">
        <v>37278</v>
      </c>
      <c r="B5732" s="69">
        <v>1.0609</v>
      </c>
    </row>
    <row r="5733" spans="1:2" x14ac:dyDescent="0.2">
      <c r="A5733" s="68">
        <v>37277</v>
      </c>
      <c r="B5733" s="69">
        <v>1.0605</v>
      </c>
    </row>
    <row r="5734" spans="1:2" x14ac:dyDescent="0.2">
      <c r="A5734" s="68">
        <v>37274</v>
      </c>
      <c r="B5734" s="69">
        <v>1.0607</v>
      </c>
    </row>
    <row r="5735" spans="1:2" x14ac:dyDescent="0.2">
      <c r="A5735" s="68">
        <v>37273</v>
      </c>
      <c r="B5735" s="69">
        <v>1.0606</v>
      </c>
    </row>
    <row r="5736" spans="1:2" x14ac:dyDescent="0.2">
      <c r="A5736" s="68">
        <v>37272</v>
      </c>
      <c r="B5736" s="69">
        <v>1.0606</v>
      </c>
    </row>
    <row r="5737" spans="1:2" x14ac:dyDescent="0.2">
      <c r="A5737" s="68">
        <v>37271</v>
      </c>
      <c r="B5737" s="69">
        <v>1.0606</v>
      </c>
    </row>
    <row r="5738" spans="1:2" x14ac:dyDescent="0.2">
      <c r="A5738" s="68">
        <v>37270</v>
      </c>
      <c r="B5738" s="69">
        <v>1.0606</v>
      </c>
    </row>
    <row r="5739" spans="1:2" x14ac:dyDescent="0.2">
      <c r="A5739" s="68">
        <v>37267</v>
      </c>
      <c r="B5739" s="69">
        <v>1.0606</v>
      </c>
    </row>
    <row r="5740" spans="1:2" x14ac:dyDescent="0.2">
      <c r="A5740" s="68">
        <v>37266</v>
      </c>
      <c r="B5740" s="69">
        <v>1.0605</v>
      </c>
    </row>
    <row r="5741" spans="1:2" x14ac:dyDescent="0.2">
      <c r="A5741" s="68">
        <v>37265</v>
      </c>
      <c r="B5741" s="69">
        <v>1.0605</v>
      </c>
    </row>
    <row r="5742" spans="1:2" x14ac:dyDescent="0.2">
      <c r="A5742" s="68">
        <v>37264</v>
      </c>
      <c r="B5742" s="69">
        <v>1.0606</v>
      </c>
    </row>
    <row r="5743" spans="1:2" x14ac:dyDescent="0.2">
      <c r="A5743" s="68">
        <v>37263</v>
      </c>
      <c r="B5743" s="69">
        <v>1.0605</v>
      </c>
    </row>
    <row r="5744" spans="1:2" x14ac:dyDescent="0.2">
      <c r="A5744" s="68">
        <v>37260</v>
      </c>
      <c r="B5744" s="69">
        <v>1.0605</v>
      </c>
    </row>
    <row r="5745" spans="1:2" x14ac:dyDescent="0.2">
      <c r="A5745" s="68">
        <v>37258</v>
      </c>
      <c r="B5745" s="69">
        <v>1.0606</v>
      </c>
    </row>
    <row r="5746" spans="1:2" x14ac:dyDescent="0.2">
      <c r="A5746" s="68">
        <v>37257</v>
      </c>
      <c r="B5746" s="69">
        <v>1.0606</v>
      </c>
    </row>
    <row r="5747" spans="1:2" x14ac:dyDescent="0.2">
      <c r="A5747" s="68">
        <v>37256</v>
      </c>
      <c r="B5747" s="69">
        <v>1.0606</v>
      </c>
    </row>
    <row r="5748" spans="1:2" x14ac:dyDescent="0.2">
      <c r="A5748" s="68">
        <v>37255</v>
      </c>
      <c r="B5748" s="69">
        <v>1.0605</v>
      </c>
    </row>
    <row r="5749" spans="1:2" x14ac:dyDescent="0.2">
      <c r="A5749" s="68">
        <v>37254</v>
      </c>
      <c r="B5749" s="69">
        <v>1.0610999999999999</v>
      </c>
    </row>
    <row r="5750" spans="1:2" x14ac:dyDescent="0.2">
      <c r="A5750" s="68">
        <v>37253</v>
      </c>
      <c r="B5750" s="69">
        <v>1.0610999999999999</v>
      </c>
    </row>
    <row r="5751" spans="1:2" x14ac:dyDescent="0.2">
      <c r="A5751" s="68">
        <v>37252</v>
      </c>
      <c r="B5751" s="69">
        <v>1.0608</v>
      </c>
    </row>
    <row r="5752" spans="1:2" x14ac:dyDescent="0.2">
      <c r="A5752" s="68">
        <v>37251</v>
      </c>
      <c r="B5752" s="69">
        <v>1.0607</v>
      </c>
    </row>
    <row r="5753" spans="1:2" x14ac:dyDescent="0.2">
      <c r="A5753" s="68">
        <v>37250</v>
      </c>
      <c r="B5753" s="69">
        <v>1.0608</v>
      </c>
    </row>
    <row r="5754" spans="1:2" x14ac:dyDescent="0.2">
      <c r="A5754" s="68">
        <v>37249</v>
      </c>
      <c r="B5754" s="69">
        <v>1.0605</v>
      </c>
    </row>
    <row r="5755" spans="1:2" x14ac:dyDescent="0.2">
      <c r="A5755" s="68">
        <v>37246</v>
      </c>
      <c r="B5755" s="69">
        <v>1.0607</v>
      </c>
    </row>
    <row r="5756" spans="1:2" x14ac:dyDescent="0.2">
      <c r="A5756" s="68">
        <v>37245</v>
      </c>
      <c r="B5756" s="69">
        <v>1.0607</v>
      </c>
    </row>
    <row r="5757" spans="1:2" x14ac:dyDescent="0.2">
      <c r="A5757" s="68">
        <v>37244</v>
      </c>
      <c r="B5757" s="69">
        <v>1.0606</v>
      </c>
    </row>
    <row r="5758" spans="1:2" x14ac:dyDescent="0.2">
      <c r="A5758" s="68">
        <v>37243</v>
      </c>
      <c r="B5758" s="69">
        <v>1.0604</v>
      </c>
    </row>
    <row r="5759" spans="1:2" x14ac:dyDescent="0.2">
      <c r="A5759" s="68">
        <v>37242</v>
      </c>
      <c r="B5759" s="69">
        <v>1.0604</v>
      </c>
    </row>
    <row r="5760" spans="1:2" x14ac:dyDescent="0.2">
      <c r="A5760" s="68">
        <v>37239</v>
      </c>
      <c r="B5760" s="69">
        <v>1.0608</v>
      </c>
    </row>
    <row r="5761" spans="1:2" x14ac:dyDescent="0.2">
      <c r="A5761" s="68">
        <v>37238</v>
      </c>
      <c r="B5761" s="69">
        <v>1.0605</v>
      </c>
    </row>
    <row r="5762" spans="1:2" x14ac:dyDescent="0.2">
      <c r="A5762" s="68">
        <v>37237</v>
      </c>
      <c r="B5762" s="69">
        <v>1.0606</v>
      </c>
    </row>
    <row r="5763" spans="1:2" x14ac:dyDescent="0.2">
      <c r="A5763" s="68">
        <v>37236</v>
      </c>
      <c r="B5763" s="69">
        <v>1.0606</v>
      </c>
    </row>
    <row r="5764" spans="1:2" x14ac:dyDescent="0.2">
      <c r="A5764" s="68">
        <v>37235</v>
      </c>
      <c r="B5764" s="69">
        <v>1.0609</v>
      </c>
    </row>
    <row r="5765" spans="1:2" x14ac:dyDescent="0.2">
      <c r="A5765" s="68">
        <v>37232</v>
      </c>
      <c r="B5765" s="69">
        <v>1.0608</v>
      </c>
    </row>
    <row r="5766" spans="1:2" x14ac:dyDescent="0.2">
      <c r="A5766" s="68">
        <v>37231</v>
      </c>
      <c r="B5766" s="69">
        <v>1.0608</v>
      </c>
    </row>
    <row r="5767" spans="1:2" x14ac:dyDescent="0.2">
      <c r="A5767" s="68">
        <v>37230</v>
      </c>
      <c r="B5767" s="69">
        <v>1.0607</v>
      </c>
    </row>
    <row r="5768" spans="1:2" x14ac:dyDescent="0.2">
      <c r="A5768" s="68">
        <v>37229</v>
      </c>
      <c r="B5768" s="69">
        <v>1.0610999999999999</v>
      </c>
    </row>
    <row r="5769" spans="1:2" x14ac:dyDescent="0.2">
      <c r="A5769" s="68">
        <v>37228</v>
      </c>
      <c r="B5769" s="69">
        <v>1.0611999999999999</v>
      </c>
    </row>
    <row r="5770" spans="1:2" x14ac:dyDescent="0.2">
      <c r="A5770" s="68">
        <v>37225</v>
      </c>
      <c r="B5770" s="69">
        <v>1.0611999999999999</v>
      </c>
    </row>
    <row r="5771" spans="1:2" x14ac:dyDescent="0.2">
      <c r="A5771" s="68">
        <v>37224</v>
      </c>
      <c r="B5771" s="69">
        <v>1.0610999999999999</v>
      </c>
    </row>
    <row r="5772" spans="1:2" x14ac:dyDescent="0.2">
      <c r="A5772" s="68">
        <v>37223</v>
      </c>
      <c r="B5772" s="69">
        <v>1.0611999999999999</v>
      </c>
    </row>
    <row r="5773" spans="1:2" x14ac:dyDescent="0.2">
      <c r="A5773" s="68">
        <v>37222</v>
      </c>
      <c r="B5773" s="69">
        <v>1.0608</v>
      </c>
    </row>
    <row r="5774" spans="1:2" x14ac:dyDescent="0.2">
      <c r="A5774" s="68">
        <v>37221</v>
      </c>
      <c r="B5774" s="69">
        <v>1.0607</v>
      </c>
    </row>
    <row r="5775" spans="1:2" x14ac:dyDescent="0.2">
      <c r="A5775" s="68">
        <v>37218</v>
      </c>
      <c r="B5775" s="69">
        <v>1.0606</v>
      </c>
    </row>
    <row r="5776" spans="1:2" x14ac:dyDescent="0.2">
      <c r="A5776" s="68">
        <v>37217</v>
      </c>
      <c r="B5776" s="69">
        <v>1.0603</v>
      </c>
    </row>
    <row r="5777" spans="1:2" x14ac:dyDescent="0.2">
      <c r="A5777" s="68">
        <v>37216</v>
      </c>
      <c r="B5777" s="69">
        <v>1.0605</v>
      </c>
    </row>
    <row r="5778" spans="1:2" x14ac:dyDescent="0.2">
      <c r="A5778" s="68">
        <v>37215</v>
      </c>
      <c r="B5778" s="69">
        <v>1.0607</v>
      </c>
    </row>
    <row r="5779" spans="1:2" x14ac:dyDescent="0.2">
      <c r="A5779" s="68">
        <v>37214</v>
      </c>
      <c r="B5779" s="69">
        <v>1.0608</v>
      </c>
    </row>
    <row r="5780" spans="1:2" x14ac:dyDescent="0.2">
      <c r="A5780" s="68">
        <v>37211</v>
      </c>
      <c r="B5780" s="69">
        <v>1.0605</v>
      </c>
    </row>
    <row r="5781" spans="1:2" x14ac:dyDescent="0.2">
      <c r="A5781" s="68">
        <v>37210</v>
      </c>
      <c r="B5781" s="69">
        <v>1.0604</v>
      </c>
    </row>
    <row r="5782" spans="1:2" x14ac:dyDescent="0.2">
      <c r="A5782" s="68">
        <v>37209</v>
      </c>
      <c r="B5782" s="69">
        <v>1.0604</v>
      </c>
    </row>
    <row r="5783" spans="1:2" x14ac:dyDescent="0.2">
      <c r="A5783" s="68">
        <v>37208</v>
      </c>
      <c r="B5783" s="69">
        <v>1.0605</v>
      </c>
    </row>
    <row r="5784" spans="1:2" x14ac:dyDescent="0.2">
      <c r="A5784" s="68">
        <v>37207</v>
      </c>
      <c r="B5784" s="69">
        <v>1.0605</v>
      </c>
    </row>
    <row r="5785" spans="1:2" x14ac:dyDescent="0.2">
      <c r="A5785" s="68">
        <v>37204</v>
      </c>
      <c r="B5785" s="69">
        <v>1.0605</v>
      </c>
    </row>
    <row r="5786" spans="1:2" x14ac:dyDescent="0.2">
      <c r="A5786" s="68">
        <v>37203</v>
      </c>
      <c r="B5786" s="69">
        <v>1.0604</v>
      </c>
    </row>
    <row r="5787" spans="1:2" x14ac:dyDescent="0.2">
      <c r="A5787" s="68">
        <v>37202</v>
      </c>
      <c r="B5787" s="69">
        <v>1.0605</v>
      </c>
    </row>
    <row r="5788" spans="1:2" x14ac:dyDescent="0.2">
      <c r="A5788" s="68">
        <v>37201</v>
      </c>
      <c r="B5788" s="69">
        <v>1.0605</v>
      </c>
    </row>
    <row r="5789" spans="1:2" x14ac:dyDescent="0.2">
      <c r="A5789" s="68">
        <v>37200</v>
      </c>
      <c r="B5789" s="69">
        <v>1.0606</v>
      </c>
    </row>
    <row r="5790" spans="1:2" x14ac:dyDescent="0.2">
      <c r="A5790" s="68">
        <v>37197</v>
      </c>
      <c r="B5790" s="69">
        <v>1.0605</v>
      </c>
    </row>
    <row r="5791" spans="1:2" x14ac:dyDescent="0.2">
      <c r="A5791" s="68">
        <v>37196</v>
      </c>
      <c r="B5791" s="69">
        <v>1.0606</v>
      </c>
    </row>
    <row r="5792" spans="1:2" x14ac:dyDescent="0.2">
      <c r="A5792" s="68">
        <v>37195</v>
      </c>
      <c r="B5792" s="69">
        <v>1.0606</v>
      </c>
    </row>
    <row r="5793" spans="1:2" x14ac:dyDescent="0.2">
      <c r="A5793" s="68">
        <v>37194</v>
      </c>
      <c r="B5793" s="69">
        <v>1.0605</v>
      </c>
    </row>
    <row r="5794" spans="1:2" x14ac:dyDescent="0.2">
      <c r="A5794" s="68">
        <v>37193</v>
      </c>
      <c r="B5794" s="69">
        <v>1.0606</v>
      </c>
    </row>
    <row r="5795" spans="1:2" x14ac:dyDescent="0.2">
      <c r="A5795" s="68">
        <v>37190</v>
      </c>
      <c r="B5795" s="69">
        <v>1.0606</v>
      </c>
    </row>
    <row r="5796" spans="1:2" x14ac:dyDescent="0.2">
      <c r="A5796" s="68">
        <v>37189</v>
      </c>
      <c r="B5796" s="69">
        <v>1.0607</v>
      </c>
    </row>
    <row r="5797" spans="1:2" x14ac:dyDescent="0.2">
      <c r="A5797" s="68">
        <v>37188</v>
      </c>
      <c r="B5797" s="69">
        <v>1.0607</v>
      </c>
    </row>
    <row r="5798" spans="1:2" x14ac:dyDescent="0.2">
      <c r="A5798" s="68">
        <v>37187</v>
      </c>
      <c r="B5798" s="69">
        <v>1.0605</v>
      </c>
    </row>
    <row r="5799" spans="1:2" x14ac:dyDescent="0.2">
      <c r="A5799" s="68">
        <v>37186</v>
      </c>
      <c r="B5799" s="69">
        <v>1.0606</v>
      </c>
    </row>
    <row r="5800" spans="1:2" x14ac:dyDescent="0.2">
      <c r="A5800" s="68">
        <v>37183</v>
      </c>
      <c r="B5800" s="69">
        <v>1.0605</v>
      </c>
    </row>
    <row r="5801" spans="1:2" x14ac:dyDescent="0.2">
      <c r="A5801" s="68">
        <v>37182</v>
      </c>
      <c r="B5801" s="69">
        <v>1.0606</v>
      </c>
    </row>
    <row r="5802" spans="1:2" x14ac:dyDescent="0.2">
      <c r="A5802" s="68">
        <v>37181</v>
      </c>
      <c r="B5802" s="69">
        <v>1.0607</v>
      </c>
    </row>
    <row r="5803" spans="1:2" x14ac:dyDescent="0.2">
      <c r="A5803" s="68">
        <v>37180</v>
      </c>
      <c r="B5803" s="69">
        <v>1.0606</v>
      </c>
    </row>
    <row r="5804" spans="1:2" x14ac:dyDescent="0.2">
      <c r="A5804" s="68">
        <v>37179</v>
      </c>
      <c r="B5804" s="69">
        <v>1.0605</v>
      </c>
    </row>
    <row r="5805" spans="1:2" x14ac:dyDescent="0.2">
      <c r="A5805" s="68">
        <v>37176</v>
      </c>
      <c r="B5805" s="69">
        <v>1.0606</v>
      </c>
    </row>
    <row r="5806" spans="1:2" x14ac:dyDescent="0.2">
      <c r="A5806" s="68">
        <v>37175</v>
      </c>
      <c r="B5806" s="69">
        <v>1.0607</v>
      </c>
    </row>
    <row r="5807" spans="1:2" x14ac:dyDescent="0.2">
      <c r="A5807" s="68">
        <v>37174</v>
      </c>
      <c r="B5807" s="69">
        <v>1.0606</v>
      </c>
    </row>
    <row r="5808" spans="1:2" x14ac:dyDescent="0.2">
      <c r="A5808" s="68">
        <v>37173</v>
      </c>
      <c r="B5808" s="69">
        <v>1.0607</v>
      </c>
    </row>
    <row r="5809" spans="1:2" x14ac:dyDescent="0.2">
      <c r="A5809" s="68">
        <v>37172</v>
      </c>
      <c r="B5809" s="69">
        <v>1.0593999999999999</v>
      </c>
    </row>
    <row r="5810" spans="1:2" x14ac:dyDescent="0.2">
      <c r="A5810" s="68">
        <v>37164</v>
      </c>
      <c r="B5810" s="69">
        <v>1.0599000000000001</v>
      </c>
    </row>
    <row r="5811" spans="1:2" x14ac:dyDescent="0.2">
      <c r="A5811" s="68">
        <v>37163</v>
      </c>
      <c r="B5811" s="69">
        <v>1.0604</v>
      </c>
    </row>
    <row r="5812" spans="1:2" x14ac:dyDescent="0.2">
      <c r="A5812" s="68">
        <v>37162</v>
      </c>
      <c r="B5812" s="69">
        <v>1.0610999999999999</v>
      </c>
    </row>
    <row r="5813" spans="1:2" x14ac:dyDescent="0.2">
      <c r="A5813" s="68">
        <v>37161</v>
      </c>
      <c r="B5813" s="69">
        <v>1.0611999999999999</v>
      </c>
    </row>
    <row r="5814" spans="1:2" x14ac:dyDescent="0.2">
      <c r="A5814" s="68">
        <v>37160</v>
      </c>
      <c r="B5814" s="69">
        <v>1.0607</v>
      </c>
    </row>
    <row r="5815" spans="1:2" x14ac:dyDescent="0.2">
      <c r="A5815" s="68">
        <v>37159</v>
      </c>
      <c r="B5815" s="69">
        <v>1.0607</v>
      </c>
    </row>
    <row r="5816" spans="1:2" x14ac:dyDescent="0.2">
      <c r="A5816" s="68">
        <v>37158</v>
      </c>
      <c r="B5816" s="69">
        <v>1.0606</v>
      </c>
    </row>
    <row r="5817" spans="1:2" x14ac:dyDescent="0.2">
      <c r="A5817" s="68">
        <v>37155</v>
      </c>
      <c r="B5817" s="69">
        <v>1.0606</v>
      </c>
    </row>
    <row r="5818" spans="1:2" x14ac:dyDescent="0.2">
      <c r="A5818" s="68">
        <v>37154</v>
      </c>
      <c r="B5818" s="69">
        <v>1.0606</v>
      </c>
    </row>
    <row r="5819" spans="1:2" x14ac:dyDescent="0.2">
      <c r="A5819" s="68">
        <v>37153</v>
      </c>
      <c r="B5819" s="69">
        <v>1.0606</v>
      </c>
    </row>
    <row r="5820" spans="1:2" x14ac:dyDescent="0.2">
      <c r="A5820" s="68">
        <v>37152</v>
      </c>
      <c r="B5820" s="69">
        <v>1.0607</v>
      </c>
    </row>
    <row r="5821" spans="1:2" x14ac:dyDescent="0.2">
      <c r="A5821" s="68">
        <v>37151</v>
      </c>
      <c r="B5821" s="69">
        <v>1.0609</v>
      </c>
    </row>
    <row r="5822" spans="1:2" x14ac:dyDescent="0.2">
      <c r="A5822" s="68">
        <v>37148</v>
      </c>
      <c r="B5822" s="69">
        <v>1.0605</v>
      </c>
    </row>
    <row r="5823" spans="1:2" x14ac:dyDescent="0.2">
      <c r="A5823" s="68">
        <v>37147</v>
      </c>
      <c r="B5823" s="69">
        <v>1.0605</v>
      </c>
    </row>
    <row r="5824" spans="1:2" x14ac:dyDescent="0.2">
      <c r="A5824" s="68">
        <v>37146</v>
      </c>
      <c r="B5824" s="69">
        <v>1.0606</v>
      </c>
    </row>
    <row r="5825" spans="1:2" x14ac:dyDescent="0.2">
      <c r="A5825" s="68">
        <v>37145</v>
      </c>
      <c r="B5825" s="69">
        <v>1.0606</v>
      </c>
    </row>
    <row r="5826" spans="1:2" x14ac:dyDescent="0.2">
      <c r="A5826" s="68">
        <v>37144</v>
      </c>
      <c r="B5826" s="69">
        <v>1.0606</v>
      </c>
    </row>
    <row r="5827" spans="1:2" x14ac:dyDescent="0.2">
      <c r="A5827" s="68">
        <v>37141</v>
      </c>
      <c r="B5827" s="69">
        <v>1.0606</v>
      </c>
    </row>
    <row r="5828" spans="1:2" x14ac:dyDescent="0.2">
      <c r="A5828" s="68">
        <v>37140</v>
      </c>
      <c r="B5828" s="69">
        <v>1.0609999999999999</v>
      </c>
    </row>
    <row r="5829" spans="1:2" x14ac:dyDescent="0.2">
      <c r="A5829" s="68">
        <v>37139</v>
      </c>
      <c r="B5829" s="69">
        <v>1.0608</v>
      </c>
    </row>
    <row r="5830" spans="1:2" x14ac:dyDescent="0.2">
      <c r="A5830" s="68">
        <v>37138</v>
      </c>
      <c r="B5830" s="69">
        <v>1.0606</v>
      </c>
    </row>
    <row r="5831" spans="1:2" x14ac:dyDescent="0.2">
      <c r="A5831" s="68">
        <v>37137</v>
      </c>
      <c r="B5831" s="69">
        <v>1.0608</v>
      </c>
    </row>
    <row r="5832" spans="1:2" x14ac:dyDescent="0.2">
      <c r="A5832" s="68">
        <v>37134</v>
      </c>
      <c r="B5832" s="69">
        <v>1.0611999999999999</v>
      </c>
    </row>
    <row r="5833" spans="1:2" x14ac:dyDescent="0.2">
      <c r="A5833" s="68">
        <v>37133</v>
      </c>
      <c r="B5833" s="69">
        <v>1.0609</v>
      </c>
    </row>
    <row r="5834" spans="1:2" x14ac:dyDescent="0.2">
      <c r="A5834" s="68">
        <v>37132</v>
      </c>
      <c r="B5834" s="69">
        <v>1.0610999999999999</v>
      </c>
    </row>
    <row r="5835" spans="1:2" x14ac:dyDescent="0.2">
      <c r="A5835" s="68">
        <v>37131</v>
      </c>
      <c r="B5835" s="69">
        <v>1.0607</v>
      </c>
    </row>
    <row r="5836" spans="1:2" x14ac:dyDescent="0.2">
      <c r="A5836" s="68">
        <v>37130</v>
      </c>
      <c r="B5836" s="69">
        <v>1.0613999999999999</v>
      </c>
    </row>
    <row r="5837" spans="1:2" x14ac:dyDescent="0.2">
      <c r="A5837" s="68">
        <v>37127</v>
      </c>
      <c r="B5837" s="69">
        <v>1.0606</v>
      </c>
    </row>
    <row r="5838" spans="1:2" x14ac:dyDescent="0.2">
      <c r="A5838" s="68">
        <v>37126</v>
      </c>
      <c r="B5838" s="69">
        <v>1.0608</v>
      </c>
    </row>
    <row r="5839" spans="1:2" x14ac:dyDescent="0.2">
      <c r="A5839" s="68">
        <v>37125</v>
      </c>
      <c r="B5839" s="69">
        <v>1.0607</v>
      </c>
    </row>
    <row r="5840" spans="1:2" x14ac:dyDescent="0.2">
      <c r="A5840" s="68">
        <v>37124</v>
      </c>
      <c r="B5840" s="69">
        <v>1.0606</v>
      </c>
    </row>
    <row r="5841" spans="1:2" x14ac:dyDescent="0.2">
      <c r="A5841" s="68">
        <v>37123</v>
      </c>
      <c r="B5841" s="69">
        <v>1.0606</v>
      </c>
    </row>
    <row r="5842" spans="1:2" x14ac:dyDescent="0.2">
      <c r="A5842" s="68">
        <v>37120</v>
      </c>
      <c r="B5842" s="69">
        <v>1.0607</v>
      </c>
    </row>
    <row r="5843" spans="1:2" x14ac:dyDescent="0.2">
      <c r="A5843" s="68">
        <v>37119</v>
      </c>
      <c r="B5843" s="69">
        <v>1.0609</v>
      </c>
    </row>
    <row r="5844" spans="1:2" x14ac:dyDescent="0.2">
      <c r="A5844" s="68">
        <v>37118</v>
      </c>
      <c r="B5844" s="69">
        <v>1.0608</v>
      </c>
    </row>
    <row r="5845" spans="1:2" x14ac:dyDescent="0.2">
      <c r="A5845" s="68">
        <v>37117</v>
      </c>
      <c r="B5845" s="69">
        <v>1.0605</v>
      </c>
    </row>
    <row r="5846" spans="1:2" x14ac:dyDescent="0.2">
      <c r="A5846" s="68">
        <v>37116</v>
      </c>
      <c r="B5846" s="69">
        <v>1.0606</v>
      </c>
    </row>
    <row r="5847" spans="1:2" x14ac:dyDescent="0.2">
      <c r="A5847" s="68">
        <v>37113</v>
      </c>
      <c r="B5847" s="69">
        <v>1.0607</v>
      </c>
    </row>
    <row r="5848" spans="1:2" x14ac:dyDescent="0.2">
      <c r="A5848" s="68">
        <v>37112</v>
      </c>
      <c r="B5848" s="69">
        <v>1.0606</v>
      </c>
    </row>
    <row r="5849" spans="1:2" x14ac:dyDescent="0.2">
      <c r="A5849" s="68">
        <v>37111</v>
      </c>
      <c r="B5849" s="69">
        <v>1.0609999999999999</v>
      </c>
    </row>
    <row r="5850" spans="1:2" x14ac:dyDescent="0.2">
      <c r="A5850" s="68">
        <v>37110</v>
      </c>
      <c r="B5850" s="69">
        <v>1.0605</v>
      </c>
    </row>
    <row r="5851" spans="1:2" x14ac:dyDescent="0.2">
      <c r="A5851" s="68">
        <v>37109</v>
      </c>
      <c r="B5851" s="69">
        <v>1.0604</v>
      </c>
    </row>
    <row r="5852" spans="1:2" x14ac:dyDescent="0.2">
      <c r="A5852" s="68">
        <v>37106</v>
      </c>
      <c r="B5852" s="69">
        <v>1.0605</v>
      </c>
    </row>
    <row r="5853" spans="1:2" x14ac:dyDescent="0.2">
      <c r="A5853" s="68">
        <v>37105</v>
      </c>
      <c r="B5853" s="69">
        <v>1.0605</v>
      </c>
    </row>
    <row r="5854" spans="1:2" x14ac:dyDescent="0.2">
      <c r="A5854" s="68">
        <v>37104</v>
      </c>
      <c r="B5854" s="69">
        <v>1.0605</v>
      </c>
    </row>
    <row r="5855" spans="1:2" x14ac:dyDescent="0.2">
      <c r="A5855" s="68">
        <v>37103</v>
      </c>
      <c r="B5855" s="69">
        <v>1.0604</v>
      </c>
    </row>
    <row r="5856" spans="1:2" x14ac:dyDescent="0.2">
      <c r="A5856" s="68">
        <v>37102</v>
      </c>
      <c r="B5856" s="69">
        <v>1.0606</v>
      </c>
    </row>
    <row r="5857" spans="1:2" x14ac:dyDescent="0.2">
      <c r="A5857" s="68">
        <v>37099</v>
      </c>
      <c r="B5857" s="69">
        <v>1.0608</v>
      </c>
    </row>
    <row r="5858" spans="1:2" x14ac:dyDescent="0.2">
      <c r="A5858" s="68">
        <v>37098</v>
      </c>
      <c r="B5858" s="69">
        <v>1.0605</v>
      </c>
    </row>
    <row r="5859" spans="1:2" x14ac:dyDescent="0.2">
      <c r="A5859" s="68">
        <v>37097</v>
      </c>
      <c r="B5859" s="69">
        <v>1.0606</v>
      </c>
    </row>
    <row r="5860" spans="1:2" x14ac:dyDescent="0.2">
      <c r="A5860" s="68">
        <v>37096</v>
      </c>
      <c r="B5860" s="69">
        <v>1.0605</v>
      </c>
    </row>
    <row r="5861" spans="1:2" x14ac:dyDescent="0.2">
      <c r="A5861" s="68">
        <v>37095</v>
      </c>
      <c r="B5861" s="69">
        <v>1.0609999999999999</v>
      </c>
    </row>
    <row r="5862" spans="1:2" x14ac:dyDescent="0.2">
      <c r="A5862" s="68">
        <v>37092</v>
      </c>
      <c r="B5862" s="69">
        <v>1.0609</v>
      </c>
    </row>
    <row r="5863" spans="1:2" x14ac:dyDescent="0.2">
      <c r="A5863" s="68">
        <v>37091</v>
      </c>
      <c r="B5863" s="69">
        <v>1.0605</v>
      </c>
    </row>
    <row r="5864" spans="1:2" x14ac:dyDescent="0.2">
      <c r="A5864" s="68">
        <v>37090</v>
      </c>
      <c r="B5864" s="69">
        <v>1.0604</v>
      </c>
    </row>
    <row r="5865" spans="1:2" x14ac:dyDescent="0.2">
      <c r="A5865" s="68">
        <v>37089</v>
      </c>
      <c r="B5865" s="69">
        <v>1.0605</v>
      </c>
    </row>
    <row r="5866" spans="1:2" x14ac:dyDescent="0.2">
      <c r="A5866" s="68">
        <v>37088</v>
      </c>
      <c r="B5866" s="69">
        <v>1.0607</v>
      </c>
    </row>
    <row r="5867" spans="1:2" x14ac:dyDescent="0.2">
      <c r="A5867" s="68">
        <v>37085</v>
      </c>
      <c r="B5867" s="69">
        <v>1.0609</v>
      </c>
    </row>
    <row r="5868" spans="1:2" x14ac:dyDescent="0.2">
      <c r="A5868" s="68">
        <v>37084</v>
      </c>
      <c r="B5868" s="69">
        <v>1.0607</v>
      </c>
    </row>
    <row r="5869" spans="1:2" x14ac:dyDescent="0.2">
      <c r="A5869" s="68">
        <v>37083</v>
      </c>
      <c r="B5869" s="69">
        <v>1.0607</v>
      </c>
    </row>
    <row r="5870" spans="1:2" x14ac:dyDescent="0.2">
      <c r="A5870" s="68">
        <v>37082</v>
      </c>
      <c r="B5870" s="69">
        <v>1.0606</v>
      </c>
    </row>
    <row r="5871" spans="1:2" x14ac:dyDescent="0.2">
      <c r="A5871" s="68">
        <v>37081</v>
      </c>
      <c r="B5871" s="69">
        <v>1.0607</v>
      </c>
    </row>
    <row r="5872" spans="1:2" x14ac:dyDescent="0.2">
      <c r="A5872" s="68">
        <v>37078</v>
      </c>
      <c r="B5872" s="69">
        <v>1.0606</v>
      </c>
    </row>
    <row r="5873" spans="1:2" x14ac:dyDescent="0.2">
      <c r="A5873" s="68">
        <v>37077</v>
      </c>
      <c r="B5873" s="69">
        <v>1.0607</v>
      </c>
    </row>
    <row r="5874" spans="1:2" x14ac:dyDescent="0.2">
      <c r="A5874" s="68">
        <v>37076</v>
      </c>
      <c r="B5874" s="69">
        <v>1.0604</v>
      </c>
    </row>
    <row r="5875" spans="1:2" x14ac:dyDescent="0.2">
      <c r="A5875" s="68">
        <v>37075</v>
      </c>
      <c r="B5875" s="69">
        <v>1.0607</v>
      </c>
    </row>
    <row r="5876" spans="1:2" x14ac:dyDescent="0.2">
      <c r="A5876" s="68">
        <v>37074</v>
      </c>
      <c r="B5876" s="69">
        <v>1.0611999999999999</v>
      </c>
    </row>
    <row r="5877" spans="1:2" x14ac:dyDescent="0.2">
      <c r="A5877" s="68">
        <v>37071</v>
      </c>
      <c r="B5877" s="69">
        <v>1.0611999999999999</v>
      </c>
    </row>
    <row r="5878" spans="1:2" x14ac:dyDescent="0.2">
      <c r="A5878" s="68">
        <v>37070</v>
      </c>
      <c r="B5878" s="69">
        <v>1.0608</v>
      </c>
    </row>
    <row r="5879" spans="1:2" x14ac:dyDescent="0.2">
      <c r="A5879" s="68">
        <v>37069</v>
      </c>
      <c r="B5879" s="69">
        <v>1.0608</v>
      </c>
    </row>
    <row r="5880" spans="1:2" x14ac:dyDescent="0.2">
      <c r="A5880" s="68">
        <v>37068</v>
      </c>
      <c r="B5880" s="69">
        <v>1.0608</v>
      </c>
    </row>
    <row r="5881" spans="1:2" x14ac:dyDescent="0.2">
      <c r="A5881" s="68">
        <v>37067</v>
      </c>
      <c r="B5881" s="69">
        <v>1.0609999999999999</v>
      </c>
    </row>
    <row r="5882" spans="1:2" x14ac:dyDescent="0.2">
      <c r="A5882" s="68">
        <v>37064</v>
      </c>
      <c r="B5882" s="69">
        <v>1.0609999999999999</v>
      </c>
    </row>
    <row r="5883" spans="1:2" x14ac:dyDescent="0.2">
      <c r="A5883" s="68">
        <v>37063</v>
      </c>
      <c r="B5883" s="69">
        <v>1.0608</v>
      </c>
    </row>
    <row r="5884" spans="1:2" x14ac:dyDescent="0.2">
      <c r="A5884" s="68">
        <v>37062</v>
      </c>
      <c r="B5884" s="69">
        <v>1.0609999999999999</v>
      </c>
    </row>
    <row r="5885" spans="1:2" x14ac:dyDescent="0.2">
      <c r="A5885" s="68">
        <v>37061</v>
      </c>
      <c r="B5885" s="69">
        <v>1.0615000000000001</v>
      </c>
    </row>
    <row r="5886" spans="1:2" x14ac:dyDescent="0.2">
      <c r="A5886" s="68">
        <v>37060</v>
      </c>
      <c r="B5886" s="69">
        <v>1.0615000000000001</v>
      </c>
    </row>
    <row r="5887" spans="1:2" x14ac:dyDescent="0.2">
      <c r="A5887" s="68">
        <v>37057</v>
      </c>
      <c r="B5887" s="69">
        <v>1.0609999999999999</v>
      </c>
    </row>
    <row r="5888" spans="1:2" x14ac:dyDescent="0.2">
      <c r="A5888" s="68">
        <v>37056</v>
      </c>
      <c r="B5888" s="69">
        <v>1.0618000000000001</v>
      </c>
    </row>
    <row r="5889" spans="1:2" x14ac:dyDescent="0.2">
      <c r="A5889" s="68">
        <v>37055</v>
      </c>
      <c r="B5889" s="69">
        <v>1.0608</v>
      </c>
    </row>
    <row r="5890" spans="1:2" x14ac:dyDescent="0.2">
      <c r="A5890" s="68">
        <v>37054</v>
      </c>
      <c r="B5890" s="69">
        <v>1.0607</v>
      </c>
    </row>
    <row r="5891" spans="1:2" x14ac:dyDescent="0.2">
      <c r="A5891" s="68">
        <v>37053</v>
      </c>
      <c r="B5891" s="69">
        <v>1.0608</v>
      </c>
    </row>
    <row r="5892" spans="1:2" x14ac:dyDescent="0.2">
      <c r="A5892" s="68">
        <v>37050</v>
      </c>
      <c r="B5892" s="69">
        <v>1.0608</v>
      </c>
    </row>
    <row r="5893" spans="1:2" x14ac:dyDescent="0.2">
      <c r="A5893" s="68">
        <v>37049</v>
      </c>
      <c r="B5893" s="69">
        <v>1.0607</v>
      </c>
    </row>
    <row r="5894" spans="1:2" x14ac:dyDescent="0.2">
      <c r="A5894" s="68">
        <v>37048</v>
      </c>
      <c r="B5894" s="69">
        <v>1.0604</v>
      </c>
    </row>
    <row r="5895" spans="1:2" x14ac:dyDescent="0.2">
      <c r="A5895" s="68">
        <v>37047</v>
      </c>
      <c r="B5895" s="69">
        <v>1.0605</v>
      </c>
    </row>
    <row r="5896" spans="1:2" x14ac:dyDescent="0.2">
      <c r="A5896" s="68">
        <v>37046</v>
      </c>
      <c r="B5896" s="69">
        <v>1.0606</v>
      </c>
    </row>
    <row r="5897" spans="1:2" x14ac:dyDescent="0.2">
      <c r="A5897" s="68">
        <v>37043</v>
      </c>
      <c r="B5897" s="69">
        <v>1.0608</v>
      </c>
    </row>
    <row r="5898" spans="1:2" x14ac:dyDescent="0.2">
      <c r="A5898" s="68">
        <v>37042</v>
      </c>
      <c r="B5898" s="69">
        <v>1.0611999999999999</v>
      </c>
    </row>
    <row r="5899" spans="1:2" x14ac:dyDescent="0.2">
      <c r="A5899" s="68">
        <v>37041</v>
      </c>
      <c r="B5899" s="69">
        <v>1.0609999999999999</v>
      </c>
    </row>
    <row r="5900" spans="1:2" x14ac:dyDescent="0.2">
      <c r="A5900" s="68">
        <v>37040</v>
      </c>
      <c r="B5900" s="69">
        <v>1.0608</v>
      </c>
    </row>
    <row r="5901" spans="1:2" x14ac:dyDescent="0.2">
      <c r="A5901" s="68">
        <v>37039</v>
      </c>
      <c r="B5901" s="69">
        <v>1.0609999999999999</v>
      </c>
    </row>
    <row r="5902" spans="1:2" x14ac:dyDescent="0.2">
      <c r="A5902" s="68">
        <v>37036</v>
      </c>
      <c r="B5902" s="69">
        <v>1.0609999999999999</v>
      </c>
    </row>
    <row r="5903" spans="1:2" x14ac:dyDescent="0.2">
      <c r="A5903" s="68">
        <v>37035</v>
      </c>
      <c r="B5903" s="69">
        <v>1.0606</v>
      </c>
    </row>
    <row r="5904" spans="1:2" x14ac:dyDescent="0.2">
      <c r="A5904" s="68">
        <v>37034</v>
      </c>
      <c r="B5904" s="69">
        <v>1.0604</v>
      </c>
    </row>
    <row r="5905" spans="1:2" x14ac:dyDescent="0.2">
      <c r="A5905" s="68">
        <v>37033</v>
      </c>
      <c r="B5905" s="69">
        <v>1.0612999999999999</v>
      </c>
    </row>
    <row r="5906" spans="1:2" x14ac:dyDescent="0.2">
      <c r="A5906" s="68">
        <v>37032</v>
      </c>
      <c r="B5906" s="69">
        <v>1.0611999999999999</v>
      </c>
    </row>
    <row r="5907" spans="1:2" x14ac:dyDescent="0.2">
      <c r="A5907" s="68">
        <v>37029</v>
      </c>
      <c r="B5907" s="69">
        <v>1.0609999999999999</v>
      </c>
    </row>
    <row r="5908" spans="1:2" x14ac:dyDescent="0.2">
      <c r="A5908" s="68">
        <v>37028</v>
      </c>
      <c r="B5908" s="69">
        <v>1.0606</v>
      </c>
    </row>
    <row r="5909" spans="1:2" x14ac:dyDescent="0.2">
      <c r="A5909" s="68">
        <v>37027</v>
      </c>
      <c r="B5909" s="69">
        <v>1.0605</v>
      </c>
    </row>
    <row r="5910" spans="1:2" x14ac:dyDescent="0.2">
      <c r="A5910" s="68">
        <v>37026</v>
      </c>
      <c r="B5910" s="69">
        <v>1.0609999999999999</v>
      </c>
    </row>
    <row r="5911" spans="1:2" x14ac:dyDescent="0.2">
      <c r="A5911" s="68">
        <v>37025</v>
      </c>
      <c r="B5911" s="69">
        <v>1.0609999999999999</v>
      </c>
    </row>
    <row r="5912" spans="1:2" x14ac:dyDescent="0.2">
      <c r="A5912" s="68">
        <v>37022</v>
      </c>
      <c r="B5912" s="69">
        <v>1.0609999999999999</v>
      </c>
    </row>
    <row r="5913" spans="1:2" x14ac:dyDescent="0.2">
      <c r="A5913" s="68">
        <v>37021</v>
      </c>
      <c r="B5913" s="69">
        <v>1.0610999999999999</v>
      </c>
    </row>
    <row r="5914" spans="1:2" x14ac:dyDescent="0.2">
      <c r="A5914" s="68">
        <v>37020</v>
      </c>
      <c r="B5914" s="69">
        <v>1.0612999999999999</v>
      </c>
    </row>
    <row r="5915" spans="1:2" x14ac:dyDescent="0.2">
      <c r="A5915" s="68">
        <v>37019</v>
      </c>
      <c r="B5915" s="69">
        <v>1.0609999999999999</v>
      </c>
    </row>
    <row r="5916" spans="1:2" x14ac:dyDescent="0.2">
      <c r="A5916" s="68">
        <v>37011</v>
      </c>
      <c r="B5916" s="69">
        <v>1.0615000000000001</v>
      </c>
    </row>
    <row r="5917" spans="1:2" x14ac:dyDescent="0.2">
      <c r="A5917" s="68">
        <v>37010</v>
      </c>
      <c r="B5917" s="69">
        <v>1.0610999999999999</v>
      </c>
    </row>
    <row r="5918" spans="1:2" x14ac:dyDescent="0.2">
      <c r="A5918" s="68">
        <v>37009</v>
      </c>
      <c r="B5918" s="69">
        <v>1.0610999999999999</v>
      </c>
    </row>
    <row r="5919" spans="1:2" x14ac:dyDescent="0.2">
      <c r="A5919" s="68">
        <v>37008</v>
      </c>
      <c r="B5919" s="69">
        <v>1.0610999999999999</v>
      </c>
    </row>
    <row r="5920" spans="1:2" x14ac:dyDescent="0.2">
      <c r="A5920" s="68">
        <v>37007</v>
      </c>
      <c r="B5920" s="69">
        <v>1.0612999999999999</v>
      </c>
    </row>
    <row r="5921" spans="1:2" x14ac:dyDescent="0.2">
      <c r="A5921" s="68">
        <v>37006</v>
      </c>
      <c r="B5921" s="69">
        <v>1.0611999999999999</v>
      </c>
    </row>
    <row r="5922" spans="1:2" x14ac:dyDescent="0.2">
      <c r="A5922" s="68">
        <v>37005</v>
      </c>
      <c r="B5922" s="69">
        <v>1.0607</v>
      </c>
    </row>
    <row r="5923" spans="1:2" x14ac:dyDescent="0.2">
      <c r="A5923" s="68">
        <v>37004</v>
      </c>
      <c r="B5923" s="69">
        <v>1.0617000000000001</v>
      </c>
    </row>
    <row r="5924" spans="1:2" x14ac:dyDescent="0.2">
      <c r="A5924" s="68">
        <v>37001</v>
      </c>
      <c r="B5924" s="69">
        <v>1.0616000000000001</v>
      </c>
    </row>
    <row r="5925" spans="1:2" x14ac:dyDescent="0.2">
      <c r="A5925" s="68">
        <v>37000</v>
      </c>
      <c r="B5925" s="69">
        <v>1.0613999999999999</v>
      </c>
    </row>
    <row r="5926" spans="1:2" x14ac:dyDescent="0.2">
      <c r="A5926" s="68">
        <v>36999</v>
      </c>
      <c r="B5926" s="69">
        <v>1.0613999999999999</v>
      </c>
    </row>
    <row r="5927" spans="1:2" x14ac:dyDescent="0.2">
      <c r="A5927" s="68">
        <v>36998</v>
      </c>
      <c r="B5927" s="69">
        <v>1.0606</v>
      </c>
    </row>
    <row r="5928" spans="1:2" x14ac:dyDescent="0.2">
      <c r="A5928" s="68">
        <v>36997</v>
      </c>
      <c r="B5928" s="69">
        <v>1.0606</v>
      </c>
    </row>
    <row r="5929" spans="1:2" x14ac:dyDescent="0.2">
      <c r="A5929" s="68">
        <v>36994</v>
      </c>
      <c r="B5929" s="69">
        <v>1.0607</v>
      </c>
    </row>
    <row r="5930" spans="1:2" x14ac:dyDescent="0.2">
      <c r="A5930" s="68">
        <v>36993</v>
      </c>
      <c r="B5930" s="69">
        <v>1.0611999999999999</v>
      </c>
    </row>
    <row r="5931" spans="1:2" x14ac:dyDescent="0.2">
      <c r="A5931" s="68">
        <v>36992</v>
      </c>
      <c r="B5931" s="69">
        <v>1.0608</v>
      </c>
    </row>
    <row r="5932" spans="1:2" x14ac:dyDescent="0.2">
      <c r="A5932" s="68">
        <v>36991</v>
      </c>
      <c r="B5932" s="69">
        <v>1.0608</v>
      </c>
    </row>
    <row r="5933" spans="1:2" x14ac:dyDescent="0.2">
      <c r="A5933" s="68">
        <v>36990</v>
      </c>
      <c r="B5933" s="69">
        <v>1.0609999999999999</v>
      </c>
    </row>
    <row r="5934" spans="1:2" x14ac:dyDescent="0.2">
      <c r="A5934" s="68">
        <v>36987</v>
      </c>
      <c r="B5934" s="69">
        <v>1.0610999999999999</v>
      </c>
    </row>
    <row r="5935" spans="1:2" x14ac:dyDescent="0.2">
      <c r="A5935" s="68">
        <v>36986</v>
      </c>
      <c r="B5935" s="69">
        <v>1.0610999999999999</v>
      </c>
    </row>
    <row r="5936" spans="1:2" x14ac:dyDescent="0.2">
      <c r="A5936" s="68">
        <v>36985</v>
      </c>
      <c r="B5936" s="69">
        <v>1.0612999999999999</v>
      </c>
    </row>
    <row r="5937" spans="1:2" x14ac:dyDescent="0.2">
      <c r="A5937" s="68">
        <v>36984</v>
      </c>
      <c r="B5937" s="69">
        <v>1.0609999999999999</v>
      </c>
    </row>
    <row r="5938" spans="1:2" x14ac:dyDescent="0.2">
      <c r="A5938" s="68">
        <v>36983</v>
      </c>
      <c r="B5938" s="69">
        <v>1.0613999999999999</v>
      </c>
    </row>
    <row r="5939" spans="1:2" x14ac:dyDescent="0.2">
      <c r="A5939" s="68">
        <v>36980</v>
      </c>
      <c r="B5939" s="69">
        <v>1.0613999999999999</v>
      </c>
    </row>
    <row r="5940" spans="1:2" x14ac:dyDescent="0.2">
      <c r="A5940" s="68">
        <v>36979</v>
      </c>
      <c r="B5940" s="69">
        <v>1.0615000000000001</v>
      </c>
    </row>
    <row r="5941" spans="1:2" x14ac:dyDescent="0.2">
      <c r="A5941" s="68">
        <v>36978</v>
      </c>
      <c r="B5941" s="69">
        <v>1.0612999999999999</v>
      </c>
    </row>
    <row r="5942" spans="1:2" x14ac:dyDescent="0.2">
      <c r="A5942" s="68">
        <v>36977</v>
      </c>
      <c r="B5942" s="69">
        <v>1.0610999999999999</v>
      </c>
    </row>
    <row r="5943" spans="1:2" x14ac:dyDescent="0.2">
      <c r="A5943" s="68">
        <v>36976</v>
      </c>
      <c r="B5943" s="69">
        <v>1.0613999999999999</v>
      </c>
    </row>
    <row r="5944" spans="1:2" x14ac:dyDescent="0.2">
      <c r="A5944" s="68">
        <v>36973</v>
      </c>
      <c r="B5944" s="69">
        <v>1.0615000000000001</v>
      </c>
    </row>
    <row r="5945" spans="1:2" x14ac:dyDescent="0.2">
      <c r="A5945" s="68">
        <v>36972</v>
      </c>
      <c r="B5945" s="69">
        <v>1.0611999999999999</v>
      </c>
    </row>
    <row r="5946" spans="1:2" x14ac:dyDescent="0.2">
      <c r="A5946" s="68">
        <v>36971</v>
      </c>
      <c r="B5946" s="69">
        <v>1.0612999999999999</v>
      </c>
    </row>
    <row r="5947" spans="1:2" x14ac:dyDescent="0.2">
      <c r="A5947" s="68">
        <v>36970</v>
      </c>
      <c r="B5947" s="69">
        <v>1.0612999999999999</v>
      </c>
    </row>
    <row r="5948" spans="1:2" x14ac:dyDescent="0.2">
      <c r="A5948" s="68">
        <v>36969</v>
      </c>
      <c r="B5948" s="69">
        <v>1.0611999999999999</v>
      </c>
    </row>
    <row r="5949" spans="1:2" x14ac:dyDescent="0.2">
      <c r="A5949" s="68">
        <v>36966</v>
      </c>
      <c r="B5949" s="69">
        <v>1.0615000000000001</v>
      </c>
    </row>
    <row r="5950" spans="1:2" x14ac:dyDescent="0.2">
      <c r="A5950" s="68">
        <v>36965</v>
      </c>
      <c r="B5950" s="69">
        <v>1.0609</v>
      </c>
    </row>
    <row r="5951" spans="1:2" x14ac:dyDescent="0.2">
      <c r="A5951" s="68">
        <v>36964</v>
      </c>
      <c r="B5951" s="69">
        <v>1.0612999999999999</v>
      </c>
    </row>
    <row r="5952" spans="1:2" x14ac:dyDescent="0.2">
      <c r="A5952" s="68">
        <v>36963</v>
      </c>
      <c r="B5952" s="69">
        <v>1.0612999999999999</v>
      </c>
    </row>
    <row r="5953" spans="1:2" x14ac:dyDescent="0.2">
      <c r="A5953" s="68">
        <v>36962</v>
      </c>
      <c r="B5953" s="69">
        <v>1.0615000000000001</v>
      </c>
    </row>
    <row r="5954" spans="1:2" x14ac:dyDescent="0.2">
      <c r="A5954" s="68">
        <v>36959</v>
      </c>
      <c r="B5954" s="69">
        <v>1.0609999999999999</v>
      </c>
    </row>
    <row r="5955" spans="1:2" x14ac:dyDescent="0.2">
      <c r="A5955" s="68">
        <v>36958</v>
      </c>
      <c r="B5955" s="69">
        <v>1.0611999999999999</v>
      </c>
    </row>
    <row r="5956" spans="1:2" x14ac:dyDescent="0.2">
      <c r="A5956" s="68">
        <v>36957</v>
      </c>
      <c r="B5956" s="69">
        <v>1.0613999999999999</v>
      </c>
    </row>
    <row r="5957" spans="1:2" x14ac:dyDescent="0.2">
      <c r="A5957" s="68">
        <v>36956</v>
      </c>
      <c r="B5957" s="69">
        <v>1.0611999999999999</v>
      </c>
    </row>
    <row r="5958" spans="1:2" x14ac:dyDescent="0.2">
      <c r="A5958" s="68">
        <v>36955</v>
      </c>
      <c r="B5958" s="69">
        <v>1.0612999999999999</v>
      </c>
    </row>
    <row r="5959" spans="1:2" x14ac:dyDescent="0.2">
      <c r="A5959" s="68">
        <v>36952</v>
      </c>
      <c r="B5959" s="69">
        <v>1.0609999999999999</v>
      </c>
    </row>
    <row r="5960" spans="1:2" x14ac:dyDescent="0.2">
      <c r="A5960" s="68">
        <v>36951</v>
      </c>
      <c r="B5960" s="69">
        <v>1.0611999999999999</v>
      </c>
    </row>
    <row r="5961" spans="1:2" x14ac:dyDescent="0.2">
      <c r="A5961" s="68">
        <v>36950</v>
      </c>
      <c r="B5961" s="69">
        <v>1.0612999999999999</v>
      </c>
    </row>
    <row r="5962" spans="1:2" x14ac:dyDescent="0.2">
      <c r="A5962" s="68">
        <v>36949</v>
      </c>
      <c r="B5962" s="69">
        <v>1.0607</v>
      </c>
    </row>
    <row r="5963" spans="1:2" x14ac:dyDescent="0.2">
      <c r="A5963" s="68">
        <v>36948</v>
      </c>
      <c r="B5963" s="69">
        <v>1.0609</v>
      </c>
    </row>
    <row r="5964" spans="1:2" x14ac:dyDescent="0.2">
      <c r="A5964" s="68">
        <v>36945</v>
      </c>
      <c r="B5964" s="69">
        <v>1.0608</v>
      </c>
    </row>
    <row r="5965" spans="1:2" x14ac:dyDescent="0.2">
      <c r="A5965" s="68">
        <v>36944</v>
      </c>
      <c r="B5965" s="69">
        <v>1.0616000000000001</v>
      </c>
    </row>
    <row r="5966" spans="1:2" x14ac:dyDescent="0.2">
      <c r="A5966" s="68">
        <v>36943</v>
      </c>
      <c r="B5966" s="69">
        <v>1.0626</v>
      </c>
    </row>
    <row r="5967" spans="1:2" x14ac:dyDescent="0.2">
      <c r="A5967" s="68">
        <v>36942</v>
      </c>
      <c r="B5967" s="69">
        <v>1.0608</v>
      </c>
    </row>
    <row r="5968" spans="1:2" x14ac:dyDescent="0.2">
      <c r="A5968" s="68">
        <v>36941</v>
      </c>
      <c r="B5968" s="69">
        <v>1.0610999999999999</v>
      </c>
    </row>
    <row r="5969" spans="1:2" x14ac:dyDescent="0.2">
      <c r="A5969" s="68">
        <v>36938</v>
      </c>
      <c r="B5969" s="69">
        <v>1.0610999999999999</v>
      </c>
    </row>
    <row r="5970" spans="1:2" x14ac:dyDescent="0.2">
      <c r="A5970" s="68">
        <v>36937</v>
      </c>
      <c r="B5970" s="69">
        <v>1.0607</v>
      </c>
    </row>
    <row r="5971" spans="1:2" x14ac:dyDescent="0.2">
      <c r="A5971" s="68">
        <v>36936</v>
      </c>
      <c r="B5971" s="69">
        <v>1.0609</v>
      </c>
    </row>
    <row r="5972" spans="1:2" x14ac:dyDescent="0.2">
      <c r="A5972" s="68">
        <v>36935</v>
      </c>
      <c r="B5972" s="69">
        <v>1.0606</v>
      </c>
    </row>
    <row r="5973" spans="1:2" x14ac:dyDescent="0.2">
      <c r="A5973" s="68">
        <v>36934</v>
      </c>
      <c r="B5973" s="69">
        <v>1.0606</v>
      </c>
    </row>
    <row r="5974" spans="1:2" x14ac:dyDescent="0.2">
      <c r="A5974" s="68">
        <v>36931</v>
      </c>
      <c r="B5974" s="69">
        <v>1.0605</v>
      </c>
    </row>
    <row r="5975" spans="1:2" x14ac:dyDescent="0.2">
      <c r="A5975" s="68">
        <v>36930</v>
      </c>
      <c r="B5975" s="69">
        <v>1.0604</v>
      </c>
    </row>
    <row r="5976" spans="1:2" x14ac:dyDescent="0.2">
      <c r="A5976" s="68">
        <v>36929</v>
      </c>
      <c r="B5976" s="69">
        <v>1.0606</v>
      </c>
    </row>
    <row r="5977" spans="1:2" x14ac:dyDescent="0.2">
      <c r="A5977" s="68">
        <v>36928</v>
      </c>
      <c r="B5977" s="69">
        <v>1.0606</v>
      </c>
    </row>
    <row r="5978" spans="1:2" x14ac:dyDescent="0.2">
      <c r="A5978" s="68">
        <v>36927</v>
      </c>
      <c r="B5978" s="69">
        <v>1.0606</v>
      </c>
    </row>
    <row r="5979" spans="1:2" x14ac:dyDescent="0.2">
      <c r="A5979" s="68">
        <v>36924</v>
      </c>
      <c r="B5979" s="69">
        <v>1.0611999999999999</v>
      </c>
    </row>
    <row r="5980" spans="1:2" x14ac:dyDescent="0.2">
      <c r="A5980" s="68">
        <v>36923</v>
      </c>
      <c r="B5980" s="69">
        <v>1.0605</v>
      </c>
    </row>
    <row r="5981" spans="1:2" x14ac:dyDescent="0.2">
      <c r="A5981" s="68">
        <v>36922</v>
      </c>
      <c r="B5981" s="69">
        <v>1.0604</v>
      </c>
    </row>
    <row r="5982" spans="1:2" x14ac:dyDescent="0.2">
      <c r="A5982" s="68">
        <v>36914</v>
      </c>
      <c r="B5982" s="69">
        <v>1.0604</v>
      </c>
    </row>
    <row r="5983" spans="1:2" x14ac:dyDescent="0.2">
      <c r="A5983" s="68">
        <v>36913</v>
      </c>
      <c r="B5983" s="69">
        <v>1.0604</v>
      </c>
    </row>
    <row r="5984" spans="1:2" x14ac:dyDescent="0.2">
      <c r="A5984" s="68">
        <v>36912</v>
      </c>
      <c r="B5984" s="69">
        <v>1.0604</v>
      </c>
    </row>
    <row r="5985" spans="1:2" x14ac:dyDescent="0.2">
      <c r="A5985" s="68">
        <v>36911</v>
      </c>
      <c r="B5985" s="69">
        <v>1.0603</v>
      </c>
    </row>
    <row r="5986" spans="1:2" x14ac:dyDescent="0.2">
      <c r="A5986" s="68">
        <v>36910</v>
      </c>
      <c r="B5986" s="69">
        <v>1.0607</v>
      </c>
    </row>
    <row r="5987" spans="1:2" x14ac:dyDescent="0.2">
      <c r="A5987" s="68">
        <v>36909</v>
      </c>
      <c r="B5987" s="69">
        <v>1.0608</v>
      </c>
    </row>
    <row r="5988" spans="1:2" x14ac:dyDescent="0.2">
      <c r="A5988" s="68">
        <v>36908</v>
      </c>
      <c r="B5988" s="69">
        <v>1.0608</v>
      </c>
    </row>
    <row r="5989" spans="1:2" x14ac:dyDescent="0.2">
      <c r="A5989" s="68">
        <v>36907</v>
      </c>
      <c r="B5989" s="69">
        <v>1.0607</v>
      </c>
    </row>
    <row r="5990" spans="1:2" x14ac:dyDescent="0.2">
      <c r="A5990" s="68">
        <v>36906</v>
      </c>
      <c r="B5990" s="69">
        <v>1.0606</v>
      </c>
    </row>
    <row r="5991" spans="1:2" x14ac:dyDescent="0.2">
      <c r="A5991" s="68">
        <v>36903</v>
      </c>
      <c r="B5991" s="69">
        <v>1.0605</v>
      </c>
    </row>
    <row r="5992" spans="1:2" x14ac:dyDescent="0.2">
      <c r="A5992" s="68">
        <v>36902</v>
      </c>
      <c r="B5992" s="69">
        <v>1.0608</v>
      </c>
    </row>
    <row r="5993" spans="1:2" x14ac:dyDescent="0.2">
      <c r="A5993" s="68">
        <v>36901</v>
      </c>
      <c r="B5993" s="69">
        <v>1.0610999999999999</v>
      </c>
    </row>
    <row r="5994" spans="1:2" x14ac:dyDescent="0.2">
      <c r="A5994" s="68">
        <v>36900</v>
      </c>
      <c r="B5994" s="69">
        <v>1.0609999999999999</v>
      </c>
    </row>
    <row r="5995" spans="1:2" x14ac:dyDescent="0.2">
      <c r="A5995" s="68">
        <v>36899</v>
      </c>
      <c r="B5995" s="69">
        <v>1.0609999999999999</v>
      </c>
    </row>
    <row r="5996" spans="1:2" x14ac:dyDescent="0.2">
      <c r="A5996" s="68">
        <v>36896</v>
      </c>
      <c r="B5996" s="69">
        <v>1.0610999999999999</v>
      </c>
    </row>
    <row r="5997" spans="1:2" x14ac:dyDescent="0.2">
      <c r="A5997" s="68">
        <v>36895</v>
      </c>
      <c r="B5997" s="69">
        <v>1.0606</v>
      </c>
    </row>
    <row r="5998" spans="1:2" x14ac:dyDescent="0.2">
      <c r="A5998" s="68">
        <v>36894</v>
      </c>
      <c r="B5998" s="69">
        <v>1.0606</v>
      </c>
    </row>
    <row r="5999" spans="1:2" x14ac:dyDescent="0.2">
      <c r="A5999" s="68">
        <v>36893</v>
      </c>
      <c r="B5999" s="69">
        <v>1.0606</v>
      </c>
    </row>
    <row r="6000" spans="1:2" x14ac:dyDescent="0.2">
      <c r="A6000" s="68">
        <v>36889</v>
      </c>
      <c r="B6000" s="69">
        <v>1.0606</v>
      </c>
    </row>
    <row r="6001" spans="1:2" x14ac:dyDescent="0.2">
      <c r="A6001" s="68">
        <v>36888</v>
      </c>
      <c r="B6001" s="69">
        <v>1.0606</v>
      </c>
    </row>
    <row r="6002" spans="1:2" x14ac:dyDescent="0.2">
      <c r="A6002" s="68">
        <v>36887</v>
      </c>
      <c r="B6002" s="69">
        <v>1.0605</v>
      </c>
    </row>
    <row r="6003" spans="1:2" x14ac:dyDescent="0.2">
      <c r="A6003" s="68">
        <v>36886</v>
      </c>
      <c r="B6003" s="69">
        <v>1.0605</v>
      </c>
    </row>
    <row r="6004" spans="1:2" x14ac:dyDescent="0.2">
      <c r="A6004" s="68">
        <v>36885</v>
      </c>
      <c r="B6004" s="69">
        <v>1.0606</v>
      </c>
    </row>
    <row r="6005" spans="1:2" x14ac:dyDescent="0.2">
      <c r="A6005" s="68">
        <v>36882</v>
      </c>
      <c r="B6005" s="69">
        <v>1.0606</v>
      </c>
    </row>
    <row r="6006" spans="1:2" x14ac:dyDescent="0.2">
      <c r="A6006" s="68">
        <v>36881</v>
      </c>
      <c r="B6006" s="69">
        <v>1.0607</v>
      </c>
    </row>
    <row r="6007" spans="1:2" x14ac:dyDescent="0.2">
      <c r="A6007" s="68">
        <v>36880</v>
      </c>
      <c r="B6007" s="69">
        <v>1.0607</v>
      </c>
    </row>
    <row r="6008" spans="1:2" x14ac:dyDescent="0.2">
      <c r="A6008" s="68">
        <v>36879</v>
      </c>
      <c r="B6008" s="69">
        <v>1.0609</v>
      </c>
    </row>
    <row r="6009" spans="1:2" x14ac:dyDescent="0.2">
      <c r="A6009" s="68">
        <v>36878</v>
      </c>
      <c r="B6009" s="69">
        <v>1.0609</v>
      </c>
    </row>
    <row r="6010" spans="1:2" x14ac:dyDescent="0.2">
      <c r="A6010" s="68">
        <v>36875</v>
      </c>
      <c r="B6010" s="69">
        <v>1.0609</v>
      </c>
    </row>
    <row r="6011" spans="1:2" x14ac:dyDescent="0.2">
      <c r="A6011" s="68">
        <v>36874</v>
      </c>
      <c r="B6011" s="69">
        <v>1.0608</v>
      </c>
    </row>
    <row r="6012" spans="1:2" x14ac:dyDescent="0.2">
      <c r="A6012" s="68">
        <v>36873</v>
      </c>
      <c r="B6012" s="69">
        <v>1.0609</v>
      </c>
    </row>
    <row r="6013" spans="1:2" x14ac:dyDescent="0.2">
      <c r="A6013" s="68">
        <v>36872</v>
      </c>
      <c r="B6013" s="69">
        <v>1.0608</v>
      </c>
    </row>
    <row r="6014" spans="1:2" x14ac:dyDescent="0.2">
      <c r="A6014" s="68">
        <v>36871</v>
      </c>
      <c r="B6014" s="69">
        <v>1.0607</v>
      </c>
    </row>
    <row r="6015" spans="1:2" x14ac:dyDescent="0.2">
      <c r="A6015" s="68">
        <v>36868</v>
      </c>
      <c r="B6015" s="69">
        <v>1.0608</v>
      </c>
    </row>
    <row r="6016" spans="1:2" x14ac:dyDescent="0.2">
      <c r="A6016" s="68">
        <v>36867</v>
      </c>
      <c r="B6016" s="69">
        <v>1.0607</v>
      </c>
    </row>
    <row r="6017" spans="1:2" x14ac:dyDescent="0.2">
      <c r="A6017" s="68">
        <v>36866</v>
      </c>
      <c r="B6017" s="69">
        <v>1.0609</v>
      </c>
    </row>
    <row r="6018" spans="1:2" x14ac:dyDescent="0.2">
      <c r="A6018" s="68">
        <v>36865</v>
      </c>
      <c r="B6018" s="69">
        <v>1.0609999999999999</v>
      </c>
    </row>
    <row r="6019" spans="1:2" x14ac:dyDescent="0.2">
      <c r="A6019" s="68">
        <v>36864</v>
      </c>
      <c r="B6019" s="69">
        <v>1.0609999999999999</v>
      </c>
    </row>
    <row r="6020" spans="1:2" x14ac:dyDescent="0.2">
      <c r="A6020" s="68">
        <v>36861</v>
      </c>
      <c r="B6020" s="69">
        <v>1.0609999999999999</v>
      </c>
    </row>
    <row r="6021" spans="1:2" x14ac:dyDescent="0.2">
      <c r="A6021" s="68">
        <v>36860</v>
      </c>
      <c r="B6021" s="69">
        <v>1.0610999999999999</v>
      </c>
    </row>
    <row r="6022" spans="1:2" x14ac:dyDescent="0.2">
      <c r="A6022" s="68">
        <v>36859</v>
      </c>
      <c r="B6022" s="69">
        <v>1.0608</v>
      </c>
    </row>
    <row r="6023" spans="1:2" x14ac:dyDescent="0.2">
      <c r="A6023" s="68">
        <v>36858</v>
      </c>
      <c r="B6023" s="69">
        <v>1.0608</v>
      </c>
    </row>
    <row r="6024" spans="1:2" x14ac:dyDescent="0.2">
      <c r="A6024" s="68">
        <v>36857</v>
      </c>
      <c r="B6024" s="69">
        <v>1.0607</v>
      </c>
    </row>
    <row r="6025" spans="1:2" x14ac:dyDescent="0.2">
      <c r="A6025" s="68">
        <v>36854</v>
      </c>
      <c r="B6025" s="69">
        <v>1.0608</v>
      </c>
    </row>
    <row r="6026" spans="1:2" x14ac:dyDescent="0.2">
      <c r="A6026" s="68">
        <v>36853</v>
      </c>
      <c r="B6026" s="69">
        <v>1.0607</v>
      </c>
    </row>
    <row r="6027" spans="1:2" x14ac:dyDescent="0.2">
      <c r="A6027" s="68">
        <v>36852</v>
      </c>
      <c r="B6027" s="69">
        <v>1.0608</v>
      </c>
    </row>
    <row r="6028" spans="1:2" x14ac:dyDescent="0.2">
      <c r="A6028" s="68">
        <v>36851</v>
      </c>
      <c r="B6028" s="69">
        <v>1.0607</v>
      </c>
    </row>
    <row r="6029" spans="1:2" x14ac:dyDescent="0.2">
      <c r="A6029" s="68">
        <v>36850</v>
      </c>
      <c r="B6029" s="69">
        <v>1.0606</v>
      </c>
    </row>
    <row r="6030" spans="1:2" x14ac:dyDescent="0.2">
      <c r="A6030" s="68">
        <v>36847</v>
      </c>
      <c r="B6030" s="69">
        <v>1.0606</v>
      </c>
    </row>
    <row r="6031" spans="1:2" x14ac:dyDescent="0.2">
      <c r="A6031" s="68">
        <v>36846</v>
      </c>
      <c r="B6031" s="69">
        <v>1.0608</v>
      </c>
    </row>
    <row r="6032" spans="1:2" x14ac:dyDescent="0.2">
      <c r="A6032" s="68">
        <v>36845</v>
      </c>
      <c r="B6032" s="69">
        <v>1.0610999999999999</v>
      </c>
    </row>
    <row r="6033" spans="1:2" x14ac:dyDescent="0.2">
      <c r="A6033" s="68">
        <v>36844</v>
      </c>
      <c r="B6033" s="69">
        <v>1.0607</v>
      </c>
    </row>
    <row r="6034" spans="1:2" x14ac:dyDescent="0.2">
      <c r="A6034" s="68">
        <v>36843</v>
      </c>
      <c r="B6034" s="69">
        <v>1.0604</v>
      </c>
    </row>
    <row r="6035" spans="1:2" x14ac:dyDescent="0.2">
      <c r="A6035" s="68">
        <v>36840</v>
      </c>
      <c r="B6035" s="69">
        <v>1.0604</v>
      </c>
    </row>
    <row r="6036" spans="1:2" x14ac:dyDescent="0.2">
      <c r="A6036" s="68">
        <v>36839</v>
      </c>
      <c r="B6036" s="69">
        <v>1.0613999999999999</v>
      </c>
    </row>
    <row r="6037" spans="1:2" x14ac:dyDescent="0.2">
      <c r="A6037" s="68">
        <v>36838</v>
      </c>
      <c r="B6037" s="69">
        <v>1.0605</v>
      </c>
    </row>
    <row r="6038" spans="1:2" x14ac:dyDescent="0.2">
      <c r="A6038" s="68">
        <v>36837</v>
      </c>
      <c r="B6038" s="69">
        <v>1.0609999999999999</v>
      </c>
    </row>
    <row r="6039" spans="1:2" x14ac:dyDescent="0.2">
      <c r="A6039" s="68">
        <v>36836</v>
      </c>
      <c r="B6039" s="69">
        <v>1.0609999999999999</v>
      </c>
    </row>
    <row r="6040" spans="1:2" x14ac:dyDescent="0.2">
      <c r="A6040" s="68">
        <v>36833</v>
      </c>
      <c r="B6040" s="69">
        <v>1.0609</v>
      </c>
    </row>
    <row r="6041" spans="1:2" x14ac:dyDescent="0.2">
      <c r="A6041" s="68">
        <v>36832</v>
      </c>
      <c r="B6041" s="69">
        <v>1.0609999999999999</v>
      </c>
    </row>
    <row r="6042" spans="1:2" x14ac:dyDescent="0.2">
      <c r="A6042" s="68">
        <v>36831</v>
      </c>
      <c r="B6042" s="69">
        <v>1.0609</v>
      </c>
    </row>
    <row r="6043" spans="1:2" x14ac:dyDescent="0.2">
      <c r="A6043" s="68">
        <v>36830</v>
      </c>
      <c r="B6043" s="69">
        <v>1.0607</v>
      </c>
    </row>
    <row r="6044" spans="1:2" x14ac:dyDescent="0.2">
      <c r="A6044" s="68">
        <v>36829</v>
      </c>
      <c r="B6044" s="69">
        <v>1.0610999999999999</v>
      </c>
    </row>
    <row r="6045" spans="1:2" x14ac:dyDescent="0.2">
      <c r="A6045" s="68">
        <v>36826</v>
      </c>
      <c r="B6045" s="69">
        <v>1.0611999999999999</v>
      </c>
    </row>
    <row r="6046" spans="1:2" x14ac:dyDescent="0.2">
      <c r="A6046" s="68">
        <v>36825</v>
      </c>
      <c r="B6046" s="69">
        <v>1.0611999999999999</v>
      </c>
    </row>
    <row r="6047" spans="1:2" x14ac:dyDescent="0.2">
      <c r="A6047" s="68">
        <v>36824</v>
      </c>
      <c r="B6047" s="69">
        <v>1.0610999999999999</v>
      </c>
    </row>
    <row r="6048" spans="1:2" x14ac:dyDescent="0.2">
      <c r="A6048" s="68">
        <v>36823</v>
      </c>
      <c r="B6048" s="69">
        <v>1.0609999999999999</v>
      </c>
    </row>
    <row r="6049" spans="1:2" x14ac:dyDescent="0.2">
      <c r="A6049" s="68">
        <v>36822</v>
      </c>
      <c r="B6049" s="69">
        <v>1.0609999999999999</v>
      </c>
    </row>
    <row r="6050" spans="1:2" x14ac:dyDescent="0.2">
      <c r="A6050" s="68">
        <v>36819</v>
      </c>
      <c r="B6050" s="69">
        <v>1.0616000000000001</v>
      </c>
    </row>
    <row r="6051" spans="1:2" x14ac:dyDescent="0.2">
      <c r="A6051" s="68">
        <v>36818</v>
      </c>
      <c r="B6051" s="69">
        <v>1.0610999999999999</v>
      </c>
    </row>
    <row r="6052" spans="1:2" x14ac:dyDescent="0.2">
      <c r="A6052" s="68">
        <v>36817</v>
      </c>
      <c r="B6052" s="69">
        <v>1.0609999999999999</v>
      </c>
    </row>
    <row r="6053" spans="1:2" x14ac:dyDescent="0.2">
      <c r="A6053" s="68">
        <v>36816</v>
      </c>
      <c r="B6053" s="69">
        <v>1.0611999999999999</v>
      </c>
    </row>
    <row r="6054" spans="1:2" x14ac:dyDescent="0.2">
      <c r="A6054" s="68">
        <v>36815</v>
      </c>
      <c r="B6054" s="69">
        <v>1.0611999999999999</v>
      </c>
    </row>
    <row r="6055" spans="1:2" x14ac:dyDescent="0.2">
      <c r="A6055" s="68">
        <v>36812</v>
      </c>
      <c r="B6055" s="69">
        <v>1.0610999999999999</v>
      </c>
    </row>
    <row r="6056" spans="1:2" x14ac:dyDescent="0.2">
      <c r="A6056" s="68">
        <v>36811</v>
      </c>
      <c r="B6056" s="69">
        <v>1.0609999999999999</v>
      </c>
    </row>
    <row r="6057" spans="1:2" x14ac:dyDescent="0.2">
      <c r="A6057" s="68">
        <v>36810</v>
      </c>
      <c r="B6057" s="69">
        <v>1.0610999999999999</v>
      </c>
    </row>
    <row r="6058" spans="1:2" x14ac:dyDescent="0.2">
      <c r="A6058" s="68">
        <v>36809</v>
      </c>
      <c r="B6058" s="69">
        <v>1.0611999999999999</v>
      </c>
    </row>
    <row r="6059" spans="1:2" x14ac:dyDescent="0.2">
      <c r="A6059" s="68">
        <v>36808</v>
      </c>
      <c r="B6059" s="69">
        <v>1.0607</v>
      </c>
    </row>
    <row r="6060" spans="1:2" x14ac:dyDescent="0.2">
      <c r="A6060" s="68">
        <v>36807</v>
      </c>
      <c r="B6060" s="69">
        <v>1.0609999999999999</v>
      </c>
    </row>
    <row r="6061" spans="1:2" x14ac:dyDescent="0.2">
      <c r="A6061" s="68">
        <v>36799</v>
      </c>
      <c r="B6061" s="69">
        <v>1.0613999999999999</v>
      </c>
    </row>
    <row r="6062" spans="1:2" x14ac:dyDescent="0.2">
      <c r="A6062" s="68">
        <v>36798</v>
      </c>
      <c r="B6062" s="69">
        <v>1.0615000000000001</v>
      </c>
    </row>
    <row r="6063" spans="1:2" x14ac:dyDescent="0.2">
      <c r="A6063" s="68">
        <v>36797</v>
      </c>
      <c r="B6063" s="69">
        <v>1.0613999999999999</v>
      </c>
    </row>
    <row r="6064" spans="1:2" x14ac:dyDescent="0.2">
      <c r="A6064" s="68">
        <v>36796</v>
      </c>
      <c r="B6064" s="69">
        <v>1.0615000000000001</v>
      </c>
    </row>
    <row r="6065" spans="1:2" x14ac:dyDescent="0.2">
      <c r="A6065" s="68">
        <v>36795</v>
      </c>
      <c r="B6065" s="69">
        <v>1.0609999999999999</v>
      </c>
    </row>
    <row r="6066" spans="1:2" x14ac:dyDescent="0.2">
      <c r="A6066" s="68">
        <v>36794</v>
      </c>
      <c r="B6066" s="69">
        <v>1.0617000000000001</v>
      </c>
    </row>
    <row r="6067" spans="1:2" x14ac:dyDescent="0.2">
      <c r="A6067" s="68">
        <v>36791</v>
      </c>
      <c r="B6067" s="69">
        <v>1.0613999999999999</v>
      </c>
    </row>
    <row r="6068" spans="1:2" x14ac:dyDescent="0.2">
      <c r="A6068" s="68">
        <v>36790</v>
      </c>
      <c r="B6068" s="69">
        <v>1.0610999999999999</v>
      </c>
    </row>
    <row r="6069" spans="1:2" x14ac:dyDescent="0.2">
      <c r="A6069" s="68">
        <v>36789</v>
      </c>
      <c r="B6069" s="69">
        <v>1.0608</v>
      </c>
    </row>
    <row r="6070" spans="1:2" x14ac:dyDescent="0.2">
      <c r="A6070" s="68">
        <v>36788</v>
      </c>
      <c r="B6070" s="69">
        <v>1.0605</v>
      </c>
    </row>
    <row r="6071" spans="1:2" x14ac:dyDescent="0.2">
      <c r="A6071" s="68">
        <v>36787</v>
      </c>
      <c r="B6071" s="69">
        <v>1.0604</v>
      </c>
    </row>
    <row r="6072" spans="1:2" x14ac:dyDescent="0.2">
      <c r="A6072" s="68">
        <v>36784</v>
      </c>
      <c r="B6072" s="69">
        <v>1.0609</v>
      </c>
    </row>
    <row r="6073" spans="1:2" x14ac:dyDescent="0.2">
      <c r="A6073" s="68">
        <v>36783</v>
      </c>
      <c r="B6073" s="69">
        <v>1.0610999999999999</v>
      </c>
    </row>
    <row r="6074" spans="1:2" x14ac:dyDescent="0.2">
      <c r="A6074" s="68">
        <v>36782</v>
      </c>
      <c r="B6074" s="69">
        <v>1.0607</v>
      </c>
    </row>
    <row r="6075" spans="1:2" x14ac:dyDescent="0.2">
      <c r="A6075" s="68">
        <v>36781</v>
      </c>
      <c r="B6075" s="69">
        <v>1.0608</v>
      </c>
    </row>
    <row r="6076" spans="1:2" x14ac:dyDescent="0.2">
      <c r="A6076" s="68">
        <v>36780</v>
      </c>
      <c r="B6076" s="69">
        <v>1.0609999999999999</v>
      </c>
    </row>
    <row r="6077" spans="1:2" x14ac:dyDescent="0.2">
      <c r="A6077" s="68">
        <v>36777</v>
      </c>
      <c r="B6077" s="69">
        <v>1.0610999999999999</v>
      </c>
    </row>
    <row r="6078" spans="1:2" x14ac:dyDescent="0.2">
      <c r="A6078" s="68">
        <v>36776</v>
      </c>
      <c r="B6078" s="69">
        <v>1.0610999999999999</v>
      </c>
    </row>
    <row r="6079" spans="1:2" x14ac:dyDescent="0.2">
      <c r="A6079" s="68">
        <v>36775</v>
      </c>
      <c r="B6079" s="69">
        <v>1.0611999999999999</v>
      </c>
    </row>
    <row r="6080" spans="1:2" x14ac:dyDescent="0.2">
      <c r="A6080" s="68">
        <v>36774</v>
      </c>
      <c r="B6080" s="69">
        <v>1.0611999999999999</v>
      </c>
    </row>
    <row r="6081" spans="1:2" x14ac:dyDescent="0.2">
      <c r="A6081" s="68">
        <v>36773</v>
      </c>
      <c r="B6081" s="69">
        <v>1.0609999999999999</v>
      </c>
    </row>
    <row r="6082" spans="1:2" x14ac:dyDescent="0.2">
      <c r="A6082" s="68">
        <v>36770</v>
      </c>
      <c r="B6082" s="69">
        <v>1.0609999999999999</v>
      </c>
    </row>
    <row r="6083" spans="1:2" x14ac:dyDescent="0.2">
      <c r="A6083" s="68">
        <v>36769</v>
      </c>
      <c r="B6083" s="69">
        <v>1.0609</v>
      </c>
    </row>
    <row r="6084" spans="1:2" x14ac:dyDescent="0.2">
      <c r="A6084" s="68">
        <v>36768</v>
      </c>
      <c r="B6084" s="69">
        <v>1.0609999999999999</v>
      </c>
    </row>
    <row r="6085" spans="1:2" x14ac:dyDescent="0.2">
      <c r="A6085" s="68">
        <v>36767</v>
      </c>
      <c r="B6085" s="69">
        <v>1.0609999999999999</v>
      </c>
    </row>
    <row r="6086" spans="1:2" x14ac:dyDescent="0.2">
      <c r="A6086" s="68">
        <v>36766</v>
      </c>
      <c r="B6086" s="69">
        <v>1.0616000000000001</v>
      </c>
    </row>
    <row r="6087" spans="1:2" x14ac:dyDescent="0.2">
      <c r="A6087" s="68">
        <v>36763</v>
      </c>
      <c r="B6087" s="69">
        <v>1.0616000000000001</v>
      </c>
    </row>
    <row r="6088" spans="1:2" x14ac:dyDescent="0.2">
      <c r="A6088" s="68">
        <v>36762</v>
      </c>
      <c r="B6088" s="69">
        <v>1.0611999999999999</v>
      </c>
    </row>
    <row r="6089" spans="1:2" x14ac:dyDescent="0.2">
      <c r="A6089" s="68">
        <v>36761</v>
      </c>
      <c r="B6089" s="69">
        <v>1.0617000000000001</v>
      </c>
    </row>
    <row r="6090" spans="1:2" x14ac:dyDescent="0.2">
      <c r="A6090" s="68">
        <v>36760</v>
      </c>
      <c r="B6090" s="69">
        <v>1.0613999999999999</v>
      </c>
    </row>
    <row r="6091" spans="1:2" x14ac:dyDescent="0.2">
      <c r="A6091" s="68">
        <v>36759</v>
      </c>
      <c r="B6091" s="69">
        <v>1.0616000000000001</v>
      </c>
    </row>
    <row r="6092" spans="1:2" x14ac:dyDescent="0.2">
      <c r="A6092" s="68">
        <v>36756</v>
      </c>
      <c r="B6092" s="69">
        <v>1.0610999999999999</v>
      </c>
    </row>
    <row r="6093" spans="1:2" x14ac:dyDescent="0.2">
      <c r="A6093" s="68">
        <v>36755</v>
      </c>
      <c r="B6093" s="69">
        <v>1.0613999999999999</v>
      </c>
    </row>
    <row r="6094" spans="1:2" x14ac:dyDescent="0.2">
      <c r="A6094" s="68">
        <v>36754</v>
      </c>
      <c r="B6094" s="69">
        <v>1.0609999999999999</v>
      </c>
    </row>
    <row r="6095" spans="1:2" x14ac:dyDescent="0.2">
      <c r="A6095" s="68">
        <v>36753</v>
      </c>
      <c r="B6095" s="69">
        <v>1.0609</v>
      </c>
    </row>
    <row r="6096" spans="1:2" x14ac:dyDescent="0.2">
      <c r="A6096" s="68">
        <v>36752</v>
      </c>
      <c r="B6096" s="69">
        <v>1.0610999999999999</v>
      </c>
    </row>
    <row r="6097" spans="1:2" x14ac:dyDescent="0.2">
      <c r="A6097" s="68">
        <v>36749</v>
      </c>
      <c r="B6097" s="69">
        <v>1.0613999999999999</v>
      </c>
    </row>
    <row r="6098" spans="1:2" x14ac:dyDescent="0.2">
      <c r="A6098" s="68">
        <v>36748</v>
      </c>
      <c r="B6098" s="69">
        <v>1.0607</v>
      </c>
    </row>
    <row r="6099" spans="1:2" x14ac:dyDescent="0.2">
      <c r="A6099" s="68">
        <v>36747</v>
      </c>
      <c r="B6099" s="69">
        <v>1.0610999999999999</v>
      </c>
    </row>
    <row r="6100" spans="1:2" x14ac:dyDescent="0.2">
      <c r="A6100" s="68">
        <v>36746</v>
      </c>
      <c r="B6100" s="69">
        <v>1.0610999999999999</v>
      </c>
    </row>
    <row r="6101" spans="1:2" x14ac:dyDescent="0.2">
      <c r="A6101" s="68">
        <v>36745</v>
      </c>
      <c r="B6101" s="69">
        <v>1.0613999999999999</v>
      </c>
    </row>
    <row r="6102" spans="1:2" x14ac:dyDescent="0.2">
      <c r="A6102" s="68">
        <v>36742</v>
      </c>
      <c r="B6102" s="69">
        <v>1.0611999999999999</v>
      </c>
    </row>
    <row r="6103" spans="1:2" x14ac:dyDescent="0.2">
      <c r="A6103" s="68">
        <v>36741</v>
      </c>
      <c r="B6103" s="69">
        <v>1.0610999999999999</v>
      </c>
    </row>
    <row r="6104" spans="1:2" x14ac:dyDescent="0.2">
      <c r="A6104" s="68">
        <v>36740</v>
      </c>
      <c r="B6104" s="69">
        <v>1.0611999999999999</v>
      </c>
    </row>
    <row r="6105" spans="1:2" x14ac:dyDescent="0.2">
      <c r="A6105" s="68">
        <v>36739</v>
      </c>
      <c r="B6105" s="69">
        <v>1.0616000000000001</v>
      </c>
    </row>
    <row r="6106" spans="1:2" x14ac:dyDescent="0.2">
      <c r="A6106" s="68">
        <v>36738</v>
      </c>
      <c r="B6106" s="69">
        <v>1.0616000000000001</v>
      </c>
    </row>
    <row r="6107" spans="1:2" x14ac:dyDescent="0.2">
      <c r="A6107" s="68">
        <v>36735</v>
      </c>
      <c r="B6107" s="69">
        <v>1.0616000000000001</v>
      </c>
    </row>
    <row r="6108" spans="1:2" x14ac:dyDescent="0.2">
      <c r="A6108" s="68">
        <v>36734</v>
      </c>
      <c r="B6108" s="69">
        <v>1.0619000000000001</v>
      </c>
    </row>
    <row r="6109" spans="1:2" x14ac:dyDescent="0.2">
      <c r="A6109" s="68">
        <v>36733</v>
      </c>
      <c r="B6109" s="69">
        <v>1.0618000000000001</v>
      </c>
    </row>
    <row r="6110" spans="1:2" x14ac:dyDescent="0.2">
      <c r="A6110" s="68">
        <v>36732</v>
      </c>
      <c r="B6110" s="69">
        <v>1.0619000000000001</v>
      </c>
    </row>
    <row r="6111" spans="1:2" x14ac:dyDescent="0.2">
      <c r="A6111" s="68">
        <v>36731</v>
      </c>
      <c r="B6111" s="69">
        <v>1.0619000000000001</v>
      </c>
    </row>
    <row r="6112" spans="1:2" x14ac:dyDescent="0.2">
      <c r="A6112" s="68">
        <v>36728</v>
      </c>
      <c r="B6112" s="69">
        <v>1.0618000000000001</v>
      </c>
    </row>
    <row r="6113" spans="1:2" x14ac:dyDescent="0.2">
      <c r="A6113" s="68">
        <v>36727</v>
      </c>
      <c r="B6113" s="69">
        <v>1.0622</v>
      </c>
    </row>
    <row r="6114" spans="1:2" x14ac:dyDescent="0.2">
      <c r="A6114" s="68">
        <v>36726</v>
      </c>
      <c r="B6114" s="69">
        <v>1.0612999999999999</v>
      </c>
    </row>
    <row r="6115" spans="1:2" x14ac:dyDescent="0.2">
      <c r="A6115" s="68">
        <v>36725</v>
      </c>
      <c r="B6115" s="69">
        <v>1.0620000000000001</v>
      </c>
    </row>
    <row r="6116" spans="1:2" x14ac:dyDescent="0.2">
      <c r="A6116" s="68">
        <v>36724</v>
      </c>
      <c r="B6116" s="69">
        <v>1.0615000000000001</v>
      </c>
    </row>
    <row r="6117" spans="1:2" x14ac:dyDescent="0.2">
      <c r="A6117" s="68">
        <v>36721</v>
      </c>
      <c r="B6117" s="69">
        <v>1.0617000000000001</v>
      </c>
    </row>
    <row r="6118" spans="1:2" x14ac:dyDescent="0.2">
      <c r="A6118" s="68">
        <v>36720</v>
      </c>
      <c r="B6118" s="69">
        <v>1.0620000000000001</v>
      </c>
    </row>
    <row r="6119" spans="1:2" x14ac:dyDescent="0.2">
      <c r="A6119" s="68">
        <v>36719</v>
      </c>
      <c r="B6119" s="69">
        <v>1.0620000000000001</v>
      </c>
    </row>
    <row r="6120" spans="1:2" x14ac:dyDescent="0.2">
      <c r="A6120" s="68">
        <v>36718</v>
      </c>
      <c r="B6120" s="69">
        <v>1.0613999999999999</v>
      </c>
    </row>
    <row r="6121" spans="1:2" x14ac:dyDescent="0.2">
      <c r="A6121" s="68">
        <v>36717</v>
      </c>
      <c r="B6121" s="69">
        <v>1.0619000000000001</v>
      </c>
    </row>
    <row r="6122" spans="1:2" x14ac:dyDescent="0.2">
      <c r="A6122" s="68">
        <v>36714</v>
      </c>
      <c r="B6122" s="69">
        <v>1.0615000000000001</v>
      </c>
    </row>
    <row r="6123" spans="1:2" x14ac:dyDescent="0.2">
      <c r="A6123" s="68">
        <v>36713</v>
      </c>
      <c r="B6123" s="69">
        <v>1.0611999999999999</v>
      </c>
    </row>
    <row r="6124" spans="1:2" x14ac:dyDescent="0.2">
      <c r="A6124" s="68">
        <v>36712</v>
      </c>
      <c r="B6124" s="69">
        <v>1.0611999999999999</v>
      </c>
    </row>
    <row r="6125" spans="1:2" x14ac:dyDescent="0.2">
      <c r="A6125" s="68">
        <v>36711</v>
      </c>
      <c r="B6125" s="69">
        <v>1.0612999999999999</v>
      </c>
    </row>
    <row r="6126" spans="1:2" x14ac:dyDescent="0.2">
      <c r="A6126" s="68">
        <v>36710</v>
      </c>
      <c r="B6126" s="69">
        <v>1.0613999999999999</v>
      </c>
    </row>
    <row r="6127" spans="1:2" x14ac:dyDescent="0.2">
      <c r="A6127" s="68">
        <v>36707</v>
      </c>
      <c r="B6127" s="69">
        <v>1.0624</v>
      </c>
    </row>
    <row r="6128" spans="1:2" x14ac:dyDescent="0.2">
      <c r="A6128" s="68">
        <v>36706</v>
      </c>
      <c r="B6128" s="69">
        <v>1.0624</v>
      </c>
    </row>
    <row r="6129" spans="1:2" x14ac:dyDescent="0.2">
      <c r="A6129" s="68">
        <v>36705</v>
      </c>
      <c r="B6129" s="69">
        <v>1.0611999999999999</v>
      </c>
    </row>
    <row r="6130" spans="1:2" x14ac:dyDescent="0.2">
      <c r="A6130" s="68">
        <v>36704</v>
      </c>
      <c r="B6130" s="69">
        <v>1.0615000000000001</v>
      </c>
    </row>
    <row r="6131" spans="1:2" x14ac:dyDescent="0.2">
      <c r="A6131" s="68">
        <v>36703</v>
      </c>
      <c r="B6131" s="69">
        <v>1.0613999999999999</v>
      </c>
    </row>
    <row r="6132" spans="1:2" x14ac:dyDescent="0.2">
      <c r="A6132" s="68">
        <v>36700</v>
      </c>
      <c r="B6132" s="69">
        <v>1.0613999999999999</v>
      </c>
    </row>
    <row r="6133" spans="1:2" x14ac:dyDescent="0.2">
      <c r="A6133" s="68">
        <v>36699</v>
      </c>
      <c r="B6133" s="69">
        <v>1.0615000000000001</v>
      </c>
    </row>
    <row r="6134" spans="1:2" x14ac:dyDescent="0.2">
      <c r="A6134" s="68">
        <v>36698</v>
      </c>
      <c r="B6134" s="69">
        <v>1.0611999999999999</v>
      </c>
    </row>
    <row r="6135" spans="1:2" x14ac:dyDescent="0.2">
      <c r="A6135" s="68">
        <v>36697</v>
      </c>
      <c r="B6135" s="69">
        <v>1.0615000000000001</v>
      </c>
    </row>
    <row r="6136" spans="1:2" x14ac:dyDescent="0.2">
      <c r="A6136" s="68">
        <v>36696</v>
      </c>
      <c r="B6136" s="69">
        <v>1.0613999999999999</v>
      </c>
    </row>
    <row r="6137" spans="1:2" x14ac:dyDescent="0.2">
      <c r="A6137" s="68">
        <v>36693</v>
      </c>
      <c r="B6137" s="69">
        <v>1.0613999999999999</v>
      </c>
    </row>
    <row r="6138" spans="1:2" x14ac:dyDescent="0.2">
      <c r="A6138" s="68">
        <v>36692</v>
      </c>
      <c r="B6138" s="69">
        <v>1.0622</v>
      </c>
    </row>
    <row r="6139" spans="1:2" x14ac:dyDescent="0.2">
      <c r="A6139" s="68">
        <v>36691</v>
      </c>
      <c r="B6139" s="69">
        <v>1.0616000000000001</v>
      </c>
    </row>
    <row r="6140" spans="1:2" x14ac:dyDescent="0.2">
      <c r="A6140" s="68">
        <v>36690</v>
      </c>
      <c r="B6140" s="69">
        <v>1.0615000000000001</v>
      </c>
    </row>
    <row r="6141" spans="1:2" x14ac:dyDescent="0.2">
      <c r="A6141" s="68">
        <v>36689</v>
      </c>
      <c r="B6141" s="69">
        <v>1.0626</v>
      </c>
    </row>
    <row r="6142" spans="1:2" x14ac:dyDescent="0.2">
      <c r="A6142" s="68">
        <v>36686</v>
      </c>
      <c r="B6142" s="69">
        <v>1.0624</v>
      </c>
    </row>
    <row r="6143" spans="1:2" x14ac:dyDescent="0.2">
      <c r="A6143" s="68">
        <v>36685</v>
      </c>
      <c r="B6143" s="69">
        <v>1.0613999999999999</v>
      </c>
    </row>
    <row r="6144" spans="1:2" x14ac:dyDescent="0.2">
      <c r="A6144" s="68">
        <v>36684</v>
      </c>
      <c r="B6144" s="69">
        <v>1.0613999999999999</v>
      </c>
    </row>
    <row r="6145" spans="1:2" x14ac:dyDescent="0.2">
      <c r="A6145" s="68">
        <v>36683</v>
      </c>
      <c r="B6145" s="69">
        <v>1.0615000000000001</v>
      </c>
    </row>
    <row r="6146" spans="1:2" x14ac:dyDescent="0.2">
      <c r="A6146" s="68">
        <v>36682</v>
      </c>
      <c r="B6146" s="69">
        <v>1.0617000000000001</v>
      </c>
    </row>
    <row r="6147" spans="1:2" x14ac:dyDescent="0.2">
      <c r="A6147" s="68">
        <v>36679</v>
      </c>
      <c r="B6147" s="69">
        <v>1.0615000000000001</v>
      </c>
    </row>
    <row r="6148" spans="1:2" x14ac:dyDescent="0.2">
      <c r="A6148" s="68">
        <v>36678</v>
      </c>
      <c r="B6148" s="69">
        <v>1.0613999999999999</v>
      </c>
    </row>
    <row r="6149" spans="1:2" x14ac:dyDescent="0.2">
      <c r="A6149" s="68">
        <v>36677</v>
      </c>
      <c r="B6149" s="69">
        <v>1.0615000000000001</v>
      </c>
    </row>
    <row r="6150" spans="1:2" x14ac:dyDescent="0.2">
      <c r="A6150" s="68">
        <v>36676</v>
      </c>
      <c r="B6150" s="69">
        <v>1.0613999999999999</v>
      </c>
    </row>
    <row r="6151" spans="1:2" x14ac:dyDescent="0.2">
      <c r="A6151" s="68">
        <v>36675</v>
      </c>
      <c r="B6151" s="69">
        <v>1.0612999999999999</v>
      </c>
    </row>
    <row r="6152" spans="1:2" x14ac:dyDescent="0.2">
      <c r="A6152" s="68">
        <v>36672</v>
      </c>
      <c r="B6152" s="69">
        <v>1.0612999999999999</v>
      </c>
    </row>
    <row r="6153" spans="1:2" x14ac:dyDescent="0.2">
      <c r="A6153" s="68">
        <v>36671</v>
      </c>
      <c r="B6153" s="69">
        <v>1.0616000000000001</v>
      </c>
    </row>
    <row r="6154" spans="1:2" x14ac:dyDescent="0.2">
      <c r="A6154" s="68">
        <v>36670</v>
      </c>
      <c r="B6154" s="69">
        <v>1.0616000000000001</v>
      </c>
    </row>
    <row r="6155" spans="1:2" x14ac:dyDescent="0.2">
      <c r="A6155" s="68">
        <v>36669</v>
      </c>
      <c r="B6155" s="69">
        <v>1.0624</v>
      </c>
    </row>
    <row r="6156" spans="1:2" x14ac:dyDescent="0.2">
      <c r="A6156" s="68">
        <v>36668</v>
      </c>
      <c r="B6156" s="69">
        <v>1.0618000000000001</v>
      </c>
    </row>
    <row r="6157" spans="1:2" x14ac:dyDescent="0.2">
      <c r="A6157" s="68">
        <v>36665</v>
      </c>
      <c r="B6157" s="69">
        <v>1.0616000000000001</v>
      </c>
    </row>
    <row r="6158" spans="1:2" x14ac:dyDescent="0.2">
      <c r="A6158" s="68">
        <v>36664</v>
      </c>
      <c r="B6158" s="69">
        <v>1.0618000000000001</v>
      </c>
    </row>
    <row r="6159" spans="1:2" x14ac:dyDescent="0.2">
      <c r="A6159" s="68">
        <v>36663</v>
      </c>
      <c r="B6159" s="69">
        <v>1.0620000000000001</v>
      </c>
    </row>
    <row r="6160" spans="1:2" x14ac:dyDescent="0.2">
      <c r="A6160" s="68">
        <v>36662</v>
      </c>
      <c r="B6160" s="69">
        <v>1.0620000000000001</v>
      </c>
    </row>
    <row r="6161" spans="1:2" x14ac:dyDescent="0.2">
      <c r="A6161" s="68">
        <v>36661</v>
      </c>
      <c r="B6161" s="69">
        <v>1.0621</v>
      </c>
    </row>
    <row r="6162" spans="1:2" x14ac:dyDescent="0.2">
      <c r="A6162" s="68">
        <v>36658</v>
      </c>
      <c r="B6162" s="69">
        <v>1.0620000000000001</v>
      </c>
    </row>
    <row r="6163" spans="1:2" x14ac:dyDescent="0.2">
      <c r="A6163" s="68">
        <v>36657</v>
      </c>
      <c r="B6163" s="69">
        <v>1.0619000000000001</v>
      </c>
    </row>
    <row r="6164" spans="1:2" x14ac:dyDescent="0.2">
      <c r="A6164" s="68">
        <v>36656</v>
      </c>
      <c r="B6164" s="69">
        <v>1.0621</v>
      </c>
    </row>
    <row r="6165" spans="1:2" x14ac:dyDescent="0.2">
      <c r="A6165" s="68">
        <v>36655</v>
      </c>
      <c r="B6165" s="69">
        <v>1.0621</v>
      </c>
    </row>
    <row r="6166" spans="1:2" x14ac:dyDescent="0.2">
      <c r="A6166" s="68">
        <v>36654</v>
      </c>
      <c r="B6166" s="69">
        <v>1.0627</v>
      </c>
    </row>
    <row r="6167" spans="1:2" x14ac:dyDescent="0.2">
      <c r="A6167" s="68">
        <v>36646</v>
      </c>
      <c r="B6167" s="69">
        <v>1.0626</v>
      </c>
    </row>
    <row r="6168" spans="1:2" x14ac:dyDescent="0.2">
      <c r="A6168" s="68">
        <v>36645</v>
      </c>
      <c r="B6168" s="69">
        <v>1.0626</v>
      </c>
    </row>
    <row r="6169" spans="1:2" x14ac:dyDescent="0.2">
      <c r="A6169" s="68">
        <v>36644</v>
      </c>
      <c r="B6169" s="69">
        <v>1.0627</v>
      </c>
    </row>
    <row r="6170" spans="1:2" x14ac:dyDescent="0.2">
      <c r="A6170" s="68">
        <v>36643</v>
      </c>
      <c r="B6170" s="69">
        <v>1.0627</v>
      </c>
    </row>
    <row r="6171" spans="1:2" x14ac:dyDescent="0.2">
      <c r="A6171" s="68">
        <v>36642</v>
      </c>
      <c r="B6171" s="69">
        <v>1.0627</v>
      </c>
    </row>
    <row r="6172" spans="1:2" x14ac:dyDescent="0.2">
      <c r="A6172" s="68">
        <v>36641</v>
      </c>
      <c r="B6172" s="69">
        <v>1.0620000000000001</v>
      </c>
    </row>
    <row r="6173" spans="1:2" x14ac:dyDescent="0.2">
      <c r="A6173" s="68">
        <v>36640</v>
      </c>
      <c r="B6173" s="69">
        <v>1.0621</v>
      </c>
    </row>
    <row r="6174" spans="1:2" x14ac:dyDescent="0.2">
      <c r="A6174" s="68">
        <v>36637</v>
      </c>
      <c r="B6174" s="69">
        <v>1.0631999999999999</v>
      </c>
    </row>
    <row r="6175" spans="1:2" x14ac:dyDescent="0.2">
      <c r="A6175" s="68">
        <v>36636</v>
      </c>
      <c r="B6175" s="69">
        <v>1.0629</v>
      </c>
    </row>
    <row r="6176" spans="1:2" x14ac:dyDescent="0.2">
      <c r="A6176" s="68">
        <v>36635</v>
      </c>
      <c r="B6176" s="69">
        <v>1.0628</v>
      </c>
    </row>
    <row r="6177" spans="1:2" x14ac:dyDescent="0.2">
      <c r="A6177" s="68">
        <v>36634</v>
      </c>
      <c r="B6177" s="69">
        <v>1.0625</v>
      </c>
    </row>
    <row r="6178" spans="1:2" x14ac:dyDescent="0.2">
      <c r="A6178" s="68">
        <v>36633</v>
      </c>
      <c r="B6178" s="69">
        <v>1.0628</v>
      </c>
    </row>
    <row r="6179" spans="1:2" x14ac:dyDescent="0.2">
      <c r="A6179" s="68">
        <v>36630</v>
      </c>
      <c r="B6179" s="69">
        <v>1.0628</v>
      </c>
    </row>
    <row r="6180" spans="1:2" x14ac:dyDescent="0.2">
      <c r="A6180" s="68">
        <v>36629</v>
      </c>
      <c r="B6180" s="69">
        <v>1.0627</v>
      </c>
    </row>
    <row r="6181" spans="1:2" x14ac:dyDescent="0.2">
      <c r="A6181" s="68">
        <v>36628</v>
      </c>
      <c r="B6181" s="69">
        <v>1.0627</v>
      </c>
    </row>
    <row r="6182" spans="1:2" x14ac:dyDescent="0.2">
      <c r="A6182" s="68">
        <v>36627</v>
      </c>
      <c r="B6182" s="69">
        <v>1.0629</v>
      </c>
    </row>
    <row r="6183" spans="1:2" x14ac:dyDescent="0.2">
      <c r="A6183" s="68">
        <v>36626</v>
      </c>
      <c r="B6183" s="69">
        <v>1.0628</v>
      </c>
    </row>
    <row r="6184" spans="1:2" x14ac:dyDescent="0.2">
      <c r="A6184" s="68">
        <v>36623</v>
      </c>
      <c r="B6184" s="69">
        <v>1.0626</v>
      </c>
    </row>
    <row r="6185" spans="1:2" x14ac:dyDescent="0.2">
      <c r="A6185" s="68">
        <v>36622</v>
      </c>
      <c r="B6185" s="69">
        <v>1.0631999999999999</v>
      </c>
    </row>
    <row r="6186" spans="1:2" x14ac:dyDescent="0.2">
      <c r="A6186" s="68">
        <v>36621</v>
      </c>
      <c r="B6186" s="69">
        <v>1.0633999999999999</v>
      </c>
    </row>
    <row r="6187" spans="1:2" x14ac:dyDescent="0.2">
      <c r="A6187" s="68">
        <v>36620</v>
      </c>
      <c r="B6187" s="69">
        <v>1.0627</v>
      </c>
    </row>
    <row r="6188" spans="1:2" x14ac:dyDescent="0.2">
      <c r="A6188" s="68">
        <v>36619</v>
      </c>
      <c r="B6188" s="69">
        <v>1.0630999999999999</v>
      </c>
    </row>
    <row r="6189" spans="1:2" x14ac:dyDescent="0.2">
      <c r="A6189" s="68">
        <v>36616</v>
      </c>
      <c r="B6189" s="69">
        <v>1.0637000000000001</v>
      </c>
    </row>
    <row r="6190" spans="1:2" x14ac:dyDescent="0.2">
      <c r="A6190" s="68">
        <v>36615</v>
      </c>
      <c r="B6190" s="69">
        <v>1.0630999999999999</v>
      </c>
    </row>
    <row r="6191" spans="1:2" x14ac:dyDescent="0.2">
      <c r="A6191" s="68">
        <v>36614</v>
      </c>
      <c r="B6191" s="69">
        <v>1.0633999999999999</v>
      </c>
    </row>
    <row r="6192" spans="1:2" x14ac:dyDescent="0.2">
      <c r="A6192" s="68">
        <v>36613</v>
      </c>
      <c r="B6192" s="69">
        <v>1.0604</v>
      </c>
    </row>
    <row r="6193" spans="1:2" x14ac:dyDescent="0.2">
      <c r="A6193" s="68">
        <v>36612</v>
      </c>
      <c r="B6193" s="69">
        <v>1.0632999999999999</v>
      </c>
    </row>
    <row r="6194" spans="1:2" x14ac:dyDescent="0.2">
      <c r="A6194" s="68">
        <v>36609</v>
      </c>
      <c r="B6194" s="69">
        <v>1.0631999999999999</v>
      </c>
    </row>
    <row r="6195" spans="1:2" x14ac:dyDescent="0.2">
      <c r="A6195" s="68">
        <v>36608</v>
      </c>
      <c r="B6195" s="69">
        <v>1.0628</v>
      </c>
    </row>
    <row r="6196" spans="1:2" x14ac:dyDescent="0.2">
      <c r="A6196" s="68">
        <v>36607</v>
      </c>
      <c r="B6196" s="69">
        <v>1.0627</v>
      </c>
    </row>
    <row r="6197" spans="1:2" x14ac:dyDescent="0.2">
      <c r="A6197" s="68">
        <v>36606</v>
      </c>
      <c r="B6197" s="69">
        <v>1.0627</v>
      </c>
    </row>
    <row r="6198" spans="1:2" x14ac:dyDescent="0.2">
      <c r="A6198" s="68">
        <v>36605</v>
      </c>
      <c r="B6198" s="69">
        <v>1.0627</v>
      </c>
    </row>
    <row r="6199" spans="1:2" x14ac:dyDescent="0.2">
      <c r="A6199" s="68">
        <v>36602</v>
      </c>
      <c r="B6199" s="69">
        <v>1.0625</v>
      </c>
    </row>
    <row r="6200" spans="1:2" x14ac:dyDescent="0.2">
      <c r="A6200" s="68">
        <v>36601</v>
      </c>
      <c r="B6200" s="69">
        <v>1.0630999999999999</v>
      </c>
    </row>
    <row r="6201" spans="1:2" x14ac:dyDescent="0.2">
      <c r="A6201" s="68">
        <v>36600</v>
      </c>
      <c r="B6201" s="69">
        <v>1.0631999999999999</v>
      </c>
    </row>
    <row r="6202" spans="1:2" x14ac:dyDescent="0.2">
      <c r="A6202" s="68">
        <v>36599</v>
      </c>
      <c r="B6202" s="69">
        <v>1.0629</v>
      </c>
    </row>
    <row r="6203" spans="1:2" x14ac:dyDescent="0.2">
      <c r="A6203" s="68">
        <v>36598</v>
      </c>
      <c r="B6203" s="69">
        <v>1.0630999999999999</v>
      </c>
    </row>
    <row r="6204" spans="1:2" x14ac:dyDescent="0.2">
      <c r="A6204" s="68">
        <v>36595</v>
      </c>
      <c r="B6204" s="69">
        <v>1.0634999999999999</v>
      </c>
    </row>
    <row r="6205" spans="1:2" x14ac:dyDescent="0.2">
      <c r="A6205" s="68">
        <v>36594</v>
      </c>
      <c r="B6205" s="69">
        <v>1.0631999999999999</v>
      </c>
    </row>
    <row r="6206" spans="1:2" x14ac:dyDescent="0.2">
      <c r="A6206" s="68">
        <v>36593</v>
      </c>
      <c r="B6206" s="69">
        <v>1.0631999999999999</v>
      </c>
    </row>
    <row r="6207" spans="1:2" x14ac:dyDescent="0.2">
      <c r="A6207" s="68">
        <v>36592</v>
      </c>
      <c r="B6207" s="69">
        <v>1.0637000000000001</v>
      </c>
    </row>
    <row r="6208" spans="1:2" x14ac:dyDescent="0.2">
      <c r="A6208" s="68">
        <v>36591</v>
      </c>
      <c r="B6208" s="69">
        <v>1.0631999999999999</v>
      </c>
    </row>
    <row r="6209" spans="1:2" x14ac:dyDescent="0.2">
      <c r="A6209" s="68">
        <v>36588</v>
      </c>
      <c r="B6209" s="69">
        <v>1.0631999999999999</v>
      </c>
    </row>
    <row r="6210" spans="1:2" x14ac:dyDescent="0.2">
      <c r="A6210" s="68">
        <v>36587</v>
      </c>
      <c r="B6210" s="69">
        <v>1.0631999999999999</v>
      </c>
    </row>
    <row r="6211" spans="1:2" x14ac:dyDescent="0.2">
      <c r="A6211" s="68">
        <v>36586</v>
      </c>
      <c r="B6211" s="69">
        <v>1.0631999999999999</v>
      </c>
    </row>
    <row r="6212" spans="1:2" x14ac:dyDescent="0.2">
      <c r="A6212" s="68">
        <v>36585</v>
      </c>
      <c r="B6212" s="69">
        <v>1.0638000000000001</v>
      </c>
    </row>
    <row r="6213" spans="1:2" x14ac:dyDescent="0.2">
      <c r="A6213" s="68">
        <v>36584</v>
      </c>
      <c r="B6213" s="69">
        <v>1.0632999999999999</v>
      </c>
    </row>
    <row r="6214" spans="1:2" x14ac:dyDescent="0.2">
      <c r="A6214" s="68">
        <v>36581</v>
      </c>
      <c r="B6214" s="69">
        <v>1.0639000000000001</v>
      </c>
    </row>
    <row r="6215" spans="1:2" x14ac:dyDescent="0.2">
      <c r="A6215" s="68">
        <v>36580</v>
      </c>
      <c r="B6215" s="69">
        <v>1.0632999999999999</v>
      </c>
    </row>
    <row r="6216" spans="1:2" x14ac:dyDescent="0.2">
      <c r="A6216" s="68">
        <v>36579</v>
      </c>
      <c r="B6216" s="69">
        <v>1.0633999999999999</v>
      </c>
    </row>
    <row r="6217" spans="1:2" x14ac:dyDescent="0.2">
      <c r="A6217" s="68">
        <v>36578</v>
      </c>
      <c r="B6217" s="69">
        <v>1.0633999999999999</v>
      </c>
    </row>
    <row r="6218" spans="1:2" x14ac:dyDescent="0.2">
      <c r="A6218" s="68">
        <v>36577</v>
      </c>
      <c r="B6218" s="69">
        <v>1.0632999999999999</v>
      </c>
    </row>
    <row r="6219" spans="1:2" x14ac:dyDescent="0.2">
      <c r="A6219" s="68">
        <v>36574</v>
      </c>
      <c r="B6219" s="69">
        <v>1.0630999999999999</v>
      </c>
    </row>
    <row r="6220" spans="1:2" x14ac:dyDescent="0.2">
      <c r="A6220" s="68">
        <v>36573</v>
      </c>
      <c r="B6220" s="69">
        <v>1.0632999999999999</v>
      </c>
    </row>
    <row r="6221" spans="1:2" x14ac:dyDescent="0.2">
      <c r="A6221" s="68">
        <v>36572</v>
      </c>
      <c r="B6221" s="69">
        <v>1.0630999999999999</v>
      </c>
    </row>
    <row r="6222" spans="1:2" x14ac:dyDescent="0.2">
      <c r="A6222" s="68">
        <v>36571</v>
      </c>
      <c r="B6222" s="69">
        <v>1.0630999999999999</v>
      </c>
    </row>
    <row r="6223" spans="1:2" x14ac:dyDescent="0.2">
      <c r="A6223" s="68">
        <v>36570</v>
      </c>
      <c r="B6223" s="69">
        <v>1.0618000000000001</v>
      </c>
    </row>
    <row r="6224" spans="1:2" x14ac:dyDescent="0.2">
      <c r="A6224" s="68">
        <v>36569</v>
      </c>
      <c r="B6224" s="69">
        <v>1.0618000000000001</v>
      </c>
    </row>
    <row r="6225" spans="1:2" x14ac:dyDescent="0.2">
      <c r="A6225" s="68">
        <v>36568</v>
      </c>
      <c r="B6225" s="69">
        <v>1.0529999999999999</v>
      </c>
    </row>
    <row r="6226" spans="1:2" x14ac:dyDescent="0.2">
      <c r="A6226" s="68">
        <v>36560</v>
      </c>
      <c r="B6226" s="69">
        <v>1.0529999999999999</v>
      </c>
    </row>
    <row r="6227" spans="1:2" x14ac:dyDescent="0.2">
      <c r="A6227" s="68">
        <v>36559</v>
      </c>
      <c r="B6227" s="69">
        <v>1.0631999999999999</v>
      </c>
    </row>
    <row r="6228" spans="1:2" x14ac:dyDescent="0.2">
      <c r="A6228" s="68">
        <v>36558</v>
      </c>
      <c r="B6228" s="69">
        <v>1.0637000000000001</v>
      </c>
    </row>
    <row r="6229" spans="1:2" x14ac:dyDescent="0.2">
      <c r="A6229" s="68">
        <v>36557</v>
      </c>
      <c r="B6229" s="69">
        <v>1.0641</v>
      </c>
    </row>
    <row r="6230" spans="1:2" x14ac:dyDescent="0.2">
      <c r="A6230" s="68">
        <v>36556</v>
      </c>
      <c r="B6230" s="69">
        <v>1.0634999999999999</v>
      </c>
    </row>
    <row r="6231" spans="1:2" x14ac:dyDescent="0.2">
      <c r="A6231" s="68">
        <v>36553</v>
      </c>
      <c r="B6231" s="69">
        <v>1.0636000000000001</v>
      </c>
    </row>
    <row r="6232" spans="1:2" x14ac:dyDescent="0.2">
      <c r="A6232" s="68">
        <v>36552</v>
      </c>
      <c r="B6232" s="69">
        <v>1.0642</v>
      </c>
    </row>
    <row r="6233" spans="1:2" x14ac:dyDescent="0.2">
      <c r="A6233" s="68">
        <v>36551</v>
      </c>
      <c r="B6233" s="69">
        <v>1.0643</v>
      </c>
    </row>
    <row r="6234" spans="1:2" x14ac:dyDescent="0.2">
      <c r="A6234" s="68">
        <v>36550</v>
      </c>
      <c r="B6234" s="69">
        <v>1.0638000000000001</v>
      </c>
    </row>
    <row r="6235" spans="1:2" x14ac:dyDescent="0.2">
      <c r="A6235" s="68">
        <v>36549</v>
      </c>
      <c r="B6235" s="69">
        <v>1.0645</v>
      </c>
    </row>
    <row r="6236" spans="1:2" x14ac:dyDescent="0.2">
      <c r="A6236" s="68">
        <v>36546</v>
      </c>
      <c r="B6236" s="69">
        <v>1.0649</v>
      </c>
    </row>
    <row r="6237" spans="1:2" x14ac:dyDescent="0.2">
      <c r="A6237" s="68">
        <v>36545</v>
      </c>
      <c r="B6237" s="69">
        <v>1.0645</v>
      </c>
    </row>
    <row r="6238" spans="1:2" x14ac:dyDescent="0.2">
      <c r="A6238" s="68">
        <v>36544</v>
      </c>
      <c r="B6238" s="69">
        <v>1.0647</v>
      </c>
    </row>
    <row r="6239" spans="1:2" x14ac:dyDescent="0.2">
      <c r="A6239" s="68">
        <v>36543</v>
      </c>
      <c r="B6239" s="69">
        <v>1.0639000000000001</v>
      </c>
    </row>
    <row r="6240" spans="1:2" x14ac:dyDescent="0.2">
      <c r="A6240" s="68">
        <v>36542</v>
      </c>
      <c r="B6240" s="69">
        <v>1.0640000000000001</v>
      </c>
    </row>
    <row r="6241" spans="1:2" x14ac:dyDescent="0.2">
      <c r="A6241" s="68">
        <v>36539</v>
      </c>
      <c r="B6241" s="69">
        <v>1.0639000000000001</v>
      </c>
    </row>
    <row r="6242" spans="1:2" x14ac:dyDescent="0.2">
      <c r="A6242" s="68">
        <v>36538</v>
      </c>
      <c r="B6242" s="69">
        <v>1.0638000000000001</v>
      </c>
    </row>
    <row r="6243" spans="1:2" x14ac:dyDescent="0.2">
      <c r="A6243" s="68">
        <v>36537</v>
      </c>
      <c r="B6243" s="69">
        <v>1.0640000000000001</v>
      </c>
    </row>
    <row r="6244" spans="1:2" x14ac:dyDescent="0.2">
      <c r="A6244" s="68">
        <v>36536</v>
      </c>
      <c r="B6244" s="69">
        <v>1.0640000000000001</v>
      </c>
    </row>
    <row r="6245" spans="1:2" x14ac:dyDescent="0.2">
      <c r="A6245" s="68">
        <v>36535</v>
      </c>
      <c r="B6245" s="69">
        <v>1.0641</v>
      </c>
    </row>
    <row r="6246" spans="1:2" x14ac:dyDescent="0.2">
      <c r="A6246" s="68">
        <v>36532</v>
      </c>
      <c r="B6246" s="69">
        <v>1.0644</v>
      </c>
    </row>
    <row r="6247" spans="1:2" x14ac:dyDescent="0.2">
      <c r="A6247" s="68">
        <v>36531</v>
      </c>
      <c r="B6247" s="69">
        <v>1.0649999999999999</v>
      </c>
    </row>
    <row r="6248" spans="1:2" x14ac:dyDescent="0.2">
      <c r="A6248" s="68">
        <v>36530</v>
      </c>
      <c r="B6248" s="69">
        <v>1.0644</v>
      </c>
    </row>
    <row r="6249" spans="1:2" x14ac:dyDescent="0.2">
      <c r="A6249" s="68">
        <v>36529</v>
      </c>
      <c r="B6249" s="69">
        <v>1.0647</v>
      </c>
    </row>
    <row r="6250" spans="1:2" x14ac:dyDescent="0.2">
      <c r="A6250" s="68">
        <v>36528</v>
      </c>
      <c r="B6250" s="69">
        <v>1.0649</v>
      </c>
    </row>
    <row r="6251" spans="1:2" x14ac:dyDescent="0.2">
      <c r="A6251" s="68">
        <v>36524</v>
      </c>
      <c r="B6251" s="69">
        <v>1.0650999999999999</v>
      </c>
    </row>
    <row r="6252" spans="1:2" x14ac:dyDescent="0.2">
      <c r="A6252" s="68">
        <v>36523</v>
      </c>
      <c r="B6252" s="69">
        <v>1.0649999999999999</v>
      </c>
    </row>
    <row r="6253" spans="1:2" x14ac:dyDescent="0.2">
      <c r="A6253" s="68">
        <v>36522</v>
      </c>
      <c r="B6253" s="69">
        <v>1.0662</v>
      </c>
    </row>
    <row r="6254" spans="1:2" x14ac:dyDescent="0.2">
      <c r="A6254" s="68">
        <v>36521</v>
      </c>
      <c r="B6254" s="69">
        <v>1.0651999999999999</v>
      </c>
    </row>
    <row r="6255" spans="1:2" x14ac:dyDescent="0.2">
      <c r="A6255" s="68">
        <v>36518</v>
      </c>
      <c r="B6255" s="69">
        <v>1.0652999999999999</v>
      </c>
    </row>
    <row r="6256" spans="1:2" x14ac:dyDescent="0.2">
      <c r="A6256" s="68">
        <v>36517</v>
      </c>
      <c r="B6256" s="69">
        <v>1.0649999999999999</v>
      </c>
    </row>
    <row r="6257" spans="1:2" x14ac:dyDescent="0.2">
      <c r="A6257" s="68">
        <v>36516</v>
      </c>
      <c r="B6257" s="69">
        <v>1.0652999999999999</v>
      </c>
    </row>
    <row r="6258" spans="1:2" x14ac:dyDescent="0.2">
      <c r="A6258" s="68">
        <v>36515</v>
      </c>
      <c r="B6258" s="69">
        <v>1.0644</v>
      </c>
    </row>
    <row r="6259" spans="1:2" x14ac:dyDescent="0.2">
      <c r="A6259" s="68">
        <v>36511</v>
      </c>
      <c r="B6259" s="69">
        <v>1.0645</v>
      </c>
    </row>
    <row r="6260" spans="1:2" x14ac:dyDescent="0.2">
      <c r="A6260" s="68">
        <v>36510</v>
      </c>
      <c r="B6260" s="69">
        <v>1.0644</v>
      </c>
    </row>
    <row r="6261" spans="1:2" x14ac:dyDescent="0.2">
      <c r="A6261" s="68">
        <v>36509</v>
      </c>
      <c r="B6261" s="69">
        <v>1.0643</v>
      </c>
    </row>
    <row r="6262" spans="1:2" x14ac:dyDescent="0.2">
      <c r="A6262" s="68">
        <v>36508</v>
      </c>
      <c r="B6262" s="69">
        <v>1.0647</v>
      </c>
    </row>
    <row r="6263" spans="1:2" x14ac:dyDescent="0.2">
      <c r="A6263" s="68">
        <v>36507</v>
      </c>
      <c r="B6263" s="69">
        <v>1.0644</v>
      </c>
    </row>
    <row r="6264" spans="1:2" x14ac:dyDescent="0.2">
      <c r="A6264" s="68">
        <v>36504</v>
      </c>
      <c r="B6264" s="69">
        <v>1.0648</v>
      </c>
    </row>
    <row r="6265" spans="1:2" x14ac:dyDescent="0.2">
      <c r="A6265" s="68">
        <v>36503</v>
      </c>
      <c r="B6265" s="69">
        <v>1.0644</v>
      </c>
    </row>
    <row r="6266" spans="1:2" x14ac:dyDescent="0.2">
      <c r="A6266" s="68">
        <v>36502</v>
      </c>
      <c r="B6266" s="69">
        <v>1.0643</v>
      </c>
    </row>
    <row r="6267" spans="1:2" x14ac:dyDescent="0.2">
      <c r="A6267" s="68">
        <v>36501</v>
      </c>
      <c r="B6267" s="69">
        <v>1.0643</v>
      </c>
    </row>
    <row r="6268" spans="1:2" x14ac:dyDescent="0.2">
      <c r="A6268" s="68">
        <v>36500</v>
      </c>
      <c r="B6268" s="69">
        <v>1.0649</v>
      </c>
    </row>
    <row r="6269" spans="1:2" x14ac:dyDescent="0.2">
      <c r="A6269" s="68">
        <v>36497</v>
      </c>
      <c r="B6269" s="69">
        <v>1.0649999999999999</v>
      </c>
    </row>
    <row r="6270" spans="1:2" x14ac:dyDescent="0.2">
      <c r="A6270" s="68">
        <v>36496</v>
      </c>
      <c r="B6270" s="69">
        <v>1.0649999999999999</v>
      </c>
    </row>
    <row r="6271" spans="1:2" x14ac:dyDescent="0.2">
      <c r="A6271" s="68">
        <v>36495</v>
      </c>
      <c r="B6271" s="69">
        <v>1.0656000000000001</v>
      </c>
    </row>
    <row r="6272" spans="1:2" x14ac:dyDescent="0.2">
      <c r="A6272" s="68">
        <v>36494</v>
      </c>
      <c r="B6272" s="69">
        <v>1.0650999999999999</v>
      </c>
    </row>
    <row r="6273" spans="1:2" x14ac:dyDescent="0.2">
      <c r="A6273" s="68">
        <v>36493</v>
      </c>
      <c r="B6273" s="69">
        <v>1.0649</v>
      </c>
    </row>
    <row r="6274" spans="1:2" x14ac:dyDescent="0.2">
      <c r="A6274" s="68">
        <v>36490</v>
      </c>
      <c r="B6274" s="69">
        <v>1.0653999999999999</v>
      </c>
    </row>
    <row r="6275" spans="1:2" x14ac:dyDescent="0.2">
      <c r="A6275" s="68">
        <v>36489</v>
      </c>
      <c r="B6275" s="69">
        <v>1.0648</v>
      </c>
    </row>
    <row r="6276" spans="1:2" x14ac:dyDescent="0.2">
      <c r="A6276" s="68">
        <v>36488</v>
      </c>
      <c r="B6276" s="69">
        <v>1.0646</v>
      </c>
    </row>
    <row r="6277" spans="1:2" x14ac:dyDescent="0.2">
      <c r="A6277" s="68">
        <v>36487</v>
      </c>
      <c r="B6277" s="69">
        <v>1.0645</v>
      </c>
    </row>
    <row r="6278" spans="1:2" x14ac:dyDescent="0.2">
      <c r="A6278" s="68">
        <v>36486</v>
      </c>
      <c r="B6278" s="69">
        <v>1.0649</v>
      </c>
    </row>
    <row r="6279" spans="1:2" x14ac:dyDescent="0.2">
      <c r="A6279" s="68">
        <v>36483</v>
      </c>
      <c r="B6279" s="69">
        <v>1.0646</v>
      </c>
    </row>
    <row r="6280" spans="1:2" x14ac:dyDescent="0.2">
      <c r="A6280" s="68">
        <v>36482</v>
      </c>
      <c r="B6280" s="69">
        <v>1.0651999999999999</v>
      </c>
    </row>
    <row r="6281" spans="1:2" x14ac:dyDescent="0.2">
      <c r="A6281" s="68">
        <v>36481</v>
      </c>
      <c r="B6281" s="69">
        <v>1.0645</v>
      </c>
    </row>
    <row r="6282" spans="1:2" x14ac:dyDescent="0.2">
      <c r="A6282" s="68">
        <v>36480</v>
      </c>
      <c r="B6282" s="69">
        <v>1.0646</v>
      </c>
    </row>
    <row r="6283" spans="1:2" x14ac:dyDescent="0.2">
      <c r="A6283" s="68">
        <v>36479</v>
      </c>
      <c r="B6283" s="69">
        <v>1.0652999999999999</v>
      </c>
    </row>
    <row r="6284" spans="1:2" x14ac:dyDescent="0.2">
      <c r="A6284" s="68">
        <v>36476</v>
      </c>
      <c r="B6284" s="69">
        <v>1.0651999999999999</v>
      </c>
    </row>
    <row r="6285" spans="1:2" x14ac:dyDescent="0.2">
      <c r="A6285" s="68">
        <v>36475</v>
      </c>
      <c r="B6285" s="69">
        <v>1.0651999999999999</v>
      </c>
    </row>
    <row r="6286" spans="1:2" x14ac:dyDescent="0.2">
      <c r="A6286" s="68">
        <v>36474</v>
      </c>
      <c r="B6286" s="69">
        <v>1.0648</v>
      </c>
    </row>
    <row r="6287" spans="1:2" x14ac:dyDescent="0.2">
      <c r="A6287" s="68">
        <v>36473</v>
      </c>
      <c r="B6287" s="69">
        <v>1.0648</v>
      </c>
    </row>
    <row r="6288" spans="1:2" x14ac:dyDescent="0.2">
      <c r="A6288" s="68">
        <v>36472</v>
      </c>
      <c r="B6288" s="69">
        <v>1.0645</v>
      </c>
    </row>
    <row r="6289" spans="1:2" x14ac:dyDescent="0.2">
      <c r="A6289" s="68">
        <v>36469</v>
      </c>
      <c r="B6289" s="69">
        <v>1.0657000000000001</v>
      </c>
    </row>
    <row r="6290" spans="1:2" x14ac:dyDescent="0.2">
      <c r="A6290" s="68">
        <v>36468</v>
      </c>
      <c r="B6290" s="69">
        <v>1.0653999999999999</v>
      </c>
    </row>
    <row r="6291" spans="1:2" x14ac:dyDescent="0.2">
      <c r="A6291" s="68">
        <v>36467</v>
      </c>
      <c r="B6291" s="69">
        <v>1.0650999999999999</v>
      </c>
    </row>
    <row r="6292" spans="1:2" x14ac:dyDescent="0.2">
      <c r="A6292" s="68">
        <v>36466</v>
      </c>
      <c r="B6292" s="69">
        <v>1.0651999999999999</v>
      </c>
    </row>
    <row r="6293" spans="1:2" x14ac:dyDescent="0.2">
      <c r="A6293" s="68">
        <v>36465</v>
      </c>
      <c r="B6293" s="69">
        <v>1.0652999999999999</v>
      </c>
    </row>
    <row r="6294" spans="1:2" x14ac:dyDescent="0.2">
      <c r="A6294" s="68">
        <v>36462</v>
      </c>
      <c r="B6294" s="69">
        <v>1.0656000000000001</v>
      </c>
    </row>
    <row r="6295" spans="1:2" x14ac:dyDescent="0.2">
      <c r="A6295" s="68">
        <v>36461</v>
      </c>
      <c r="B6295" s="69">
        <v>1.0651999999999999</v>
      </c>
    </row>
    <row r="6296" spans="1:2" x14ac:dyDescent="0.2">
      <c r="A6296" s="68">
        <v>36460</v>
      </c>
      <c r="B6296" s="69">
        <v>1.0650999999999999</v>
      </c>
    </row>
    <row r="6297" spans="1:2" x14ac:dyDescent="0.2">
      <c r="A6297" s="68">
        <v>36459</v>
      </c>
      <c r="B6297" s="69">
        <v>1.0647</v>
      </c>
    </row>
    <row r="6298" spans="1:2" x14ac:dyDescent="0.2">
      <c r="A6298" s="68">
        <v>36458</v>
      </c>
      <c r="B6298" s="69">
        <v>1.0652999999999999</v>
      </c>
    </row>
    <row r="6299" spans="1:2" x14ac:dyDescent="0.2">
      <c r="A6299" s="68">
        <v>36455</v>
      </c>
      <c r="B6299" s="69">
        <v>1.0648</v>
      </c>
    </row>
    <row r="6300" spans="1:2" x14ac:dyDescent="0.2">
      <c r="A6300" s="68">
        <v>36454</v>
      </c>
      <c r="B6300" s="69">
        <v>1.0648</v>
      </c>
    </row>
    <row r="6301" spans="1:2" x14ac:dyDescent="0.2">
      <c r="A6301" s="68">
        <v>36453</v>
      </c>
      <c r="B6301" s="69">
        <v>1.0648</v>
      </c>
    </row>
    <row r="6302" spans="1:2" x14ac:dyDescent="0.2">
      <c r="A6302" s="68">
        <v>36452</v>
      </c>
      <c r="B6302" s="69">
        <v>1.0649</v>
      </c>
    </row>
    <row r="6303" spans="1:2" x14ac:dyDescent="0.2">
      <c r="A6303" s="68">
        <v>36451</v>
      </c>
      <c r="B6303" s="69">
        <v>1.0649</v>
      </c>
    </row>
    <row r="6304" spans="1:2" x14ac:dyDescent="0.2">
      <c r="A6304" s="68">
        <v>36448</v>
      </c>
      <c r="B6304" s="69">
        <v>1.0649</v>
      </c>
    </row>
    <row r="6305" spans="1:2" x14ac:dyDescent="0.2">
      <c r="A6305" s="68">
        <v>36447</v>
      </c>
      <c r="B6305" s="69">
        <v>1.0649999999999999</v>
      </c>
    </row>
    <row r="6306" spans="1:2" x14ac:dyDescent="0.2">
      <c r="A6306" s="68">
        <v>36446</v>
      </c>
      <c r="B6306" s="69">
        <v>1.0654999999999999</v>
      </c>
    </row>
    <row r="6307" spans="1:2" x14ac:dyDescent="0.2">
      <c r="A6307" s="68">
        <v>36445</v>
      </c>
      <c r="B6307" s="69">
        <v>1.0651999999999999</v>
      </c>
    </row>
    <row r="6308" spans="1:2" x14ac:dyDescent="0.2">
      <c r="A6308" s="68">
        <v>36444</v>
      </c>
      <c r="B6308" s="69">
        <v>1.0650999999999999</v>
      </c>
    </row>
    <row r="6309" spans="1:2" x14ac:dyDescent="0.2">
      <c r="A6309" s="68">
        <v>36443</v>
      </c>
      <c r="B6309" s="69">
        <v>1.0650999999999999</v>
      </c>
    </row>
    <row r="6310" spans="1:2" x14ac:dyDescent="0.2">
      <c r="A6310" s="68">
        <v>36442</v>
      </c>
      <c r="B6310" s="69">
        <v>1.0651999999999999</v>
      </c>
    </row>
    <row r="6311" spans="1:2" x14ac:dyDescent="0.2">
      <c r="A6311" s="68">
        <v>36441</v>
      </c>
      <c r="B6311" s="69">
        <v>1.0652999999999999</v>
      </c>
    </row>
    <row r="6312" spans="1:2" x14ac:dyDescent="0.2">
      <c r="A6312" s="68">
        <v>36433</v>
      </c>
      <c r="B6312" s="69">
        <v>1.0653999999999999</v>
      </c>
    </row>
    <row r="6313" spans="1:2" x14ac:dyDescent="0.2">
      <c r="A6313" s="68">
        <v>36432</v>
      </c>
      <c r="B6313" s="69">
        <v>1.0658000000000001</v>
      </c>
    </row>
    <row r="6314" spans="1:2" x14ac:dyDescent="0.2">
      <c r="A6314" s="68">
        <v>36431</v>
      </c>
      <c r="B6314" s="69">
        <v>1.0659000000000001</v>
      </c>
    </row>
    <row r="6315" spans="1:2" x14ac:dyDescent="0.2">
      <c r="A6315" s="68">
        <v>36427</v>
      </c>
      <c r="B6315" s="69">
        <v>1.0651999999999999</v>
      </c>
    </row>
    <row r="6316" spans="1:2" x14ac:dyDescent="0.2">
      <c r="A6316" s="68">
        <v>36426</v>
      </c>
      <c r="B6316" s="69">
        <v>1.0649999999999999</v>
      </c>
    </row>
    <row r="6317" spans="1:2" x14ac:dyDescent="0.2">
      <c r="A6317" s="68">
        <v>36425</v>
      </c>
      <c r="B6317" s="69">
        <v>1.0659000000000001</v>
      </c>
    </row>
    <row r="6318" spans="1:2" x14ac:dyDescent="0.2">
      <c r="A6318" s="68">
        <v>36424</v>
      </c>
      <c r="B6318" s="69">
        <v>1.0656000000000001</v>
      </c>
    </row>
    <row r="6319" spans="1:2" x14ac:dyDescent="0.2">
      <c r="A6319" s="68">
        <v>36423</v>
      </c>
      <c r="B6319" s="69">
        <v>1.0656000000000001</v>
      </c>
    </row>
    <row r="6320" spans="1:2" x14ac:dyDescent="0.2">
      <c r="A6320" s="68">
        <v>36420</v>
      </c>
      <c r="B6320" s="69">
        <v>1.0654999999999999</v>
      </c>
    </row>
    <row r="6321" spans="1:2" x14ac:dyDescent="0.2">
      <c r="A6321" s="68">
        <v>36419</v>
      </c>
      <c r="B6321" s="69">
        <v>1.0653999999999999</v>
      </c>
    </row>
    <row r="6322" spans="1:2" x14ac:dyDescent="0.2">
      <c r="A6322" s="68">
        <v>36418</v>
      </c>
      <c r="B6322" s="69">
        <v>1.0652999999999999</v>
      </c>
    </row>
    <row r="6323" spans="1:2" x14ac:dyDescent="0.2">
      <c r="A6323" s="68">
        <v>36417</v>
      </c>
      <c r="B6323" s="69">
        <v>1.0653999999999999</v>
      </c>
    </row>
    <row r="6324" spans="1:2" x14ac:dyDescent="0.2">
      <c r="A6324" s="68">
        <v>36416</v>
      </c>
      <c r="B6324" s="69">
        <v>1.0664</v>
      </c>
    </row>
    <row r="6325" spans="1:2" x14ac:dyDescent="0.2">
      <c r="A6325" s="68">
        <v>36413</v>
      </c>
      <c r="B6325" s="69">
        <v>1.0652999999999999</v>
      </c>
    </row>
    <row r="6326" spans="1:2" x14ac:dyDescent="0.2">
      <c r="A6326" s="68">
        <v>36412</v>
      </c>
      <c r="B6326" s="69">
        <v>1.0652999999999999</v>
      </c>
    </row>
    <row r="6327" spans="1:2" x14ac:dyDescent="0.2">
      <c r="A6327" s="68">
        <v>36411</v>
      </c>
      <c r="B6327" s="69">
        <v>1.0653999999999999</v>
      </c>
    </row>
    <row r="6328" spans="1:2" x14ac:dyDescent="0.2">
      <c r="A6328" s="68">
        <v>36410</v>
      </c>
      <c r="B6328" s="69">
        <v>1.0653999999999999</v>
      </c>
    </row>
    <row r="6329" spans="1:2" x14ac:dyDescent="0.2">
      <c r="A6329" s="68">
        <v>36409</v>
      </c>
      <c r="B6329" s="69">
        <v>1.0653999999999999</v>
      </c>
    </row>
    <row r="6330" spans="1:2" x14ac:dyDescent="0.2">
      <c r="A6330" s="68">
        <v>36406</v>
      </c>
      <c r="B6330" s="69">
        <v>1.0656000000000001</v>
      </c>
    </row>
    <row r="6331" spans="1:2" x14ac:dyDescent="0.2">
      <c r="A6331" s="68">
        <v>36405</v>
      </c>
      <c r="B6331" s="69">
        <v>1.0657000000000001</v>
      </c>
    </row>
    <row r="6332" spans="1:2" x14ac:dyDescent="0.2">
      <c r="A6332" s="68">
        <v>36404</v>
      </c>
      <c r="B6332" s="69">
        <v>1.0659000000000001</v>
      </c>
    </row>
    <row r="6333" spans="1:2" x14ac:dyDescent="0.2">
      <c r="A6333" s="68">
        <v>36403</v>
      </c>
      <c r="B6333" s="69">
        <v>1.0654999999999999</v>
      </c>
    </row>
    <row r="6334" spans="1:2" x14ac:dyDescent="0.2">
      <c r="A6334" s="68">
        <v>36402</v>
      </c>
      <c r="B6334" s="69">
        <v>1.0654999999999999</v>
      </c>
    </row>
    <row r="6335" spans="1:2" x14ac:dyDescent="0.2">
      <c r="A6335" s="68">
        <v>36399</v>
      </c>
      <c r="B6335" s="69">
        <v>1.0656000000000001</v>
      </c>
    </row>
    <row r="6336" spans="1:2" x14ac:dyDescent="0.2">
      <c r="A6336" s="68">
        <v>36398</v>
      </c>
      <c r="B6336" s="69">
        <v>1.0656000000000001</v>
      </c>
    </row>
    <row r="6337" spans="1:2" x14ac:dyDescent="0.2">
      <c r="A6337" s="68">
        <v>36397</v>
      </c>
      <c r="B6337" s="69">
        <v>1.0660000000000001</v>
      </c>
    </row>
    <row r="6338" spans="1:2" x14ac:dyDescent="0.2">
      <c r="A6338" s="68">
        <v>36396</v>
      </c>
      <c r="B6338" s="69">
        <v>1.0661</v>
      </c>
    </row>
    <row r="6339" spans="1:2" x14ac:dyDescent="0.2">
      <c r="A6339" s="68">
        <v>36395</v>
      </c>
      <c r="B6339" s="69">
        <v>1.0654999999999999</v>
      </c>
    </row>
    <row r="6340" spans="1:2" x14ac:dyDescent="0.2">
      <c r="A6340" s="68">
        <v>36392</v>
      </c>
      <c r="B6340" s="69">
        <v>1.0657000000000001</v>
      </c>
    </row>
    <row r="6341" spans="1:2" x14ac:dyDescent="0.2">
      <c r="A6341" s="68">
        <v>36391</v>
      </c>
      <c r="B6341" s="69">
        <v>1.0662</v>
      </c>
    </row>
    <row r="6342" spans="1:2" x14ac:dyDescent="0.2">
      <c r="A6342" s="68">
        <v>36390</v>
      </c>
      <c r="B6342" s="69">
        <v>1.0662</v>
      </c>
    </row>
    <row r="6343" spans="1:2" x14ac:dyDescent="0.2">
      <c r="A6343" s="68">
        <v>36389</v>
      </c>
      <c r="B6343" s="69">
        <v>1.0654999999999999</v>
      </c>
    </row>
    <row r="6344" spans="1:2" x14ac:dyDescent="0.2">
      <c r="A6344" s="68">
        <v>36388</v>
      </c>
      <c r="B6344" s="69">
        <v>1.0657000000000001</v>
      </c>
    </row>
    <row r="6345" spans="1:2" x14ac:dyDescent="0.2">
      <c r="A6345" s="68">
        <v>36385</v>
      </c>
      <c r="B6345" s="69">
        <v>1.0656000000000001</v>
      </c>
    </row>
    <row r="6346" spans="1:2" x14ac:dyDescent="0.2">
      <c r="A6346" s="68">
        <v>36384</v>
      </c>
      <c r="B6346" s="69">
        <v>1.0657000000000001</v>
      </c>
    </row>
    <row r="6347" spans="1:2" x14ac:dyDescent="0.2">
      <c r="A6347" s="68">
        <v>36383</v>
      </c>
      <c r="B6347" s="69">
        <v>1.0657000000000001</v>
      </c>
    </row>
    <row r="6348" spans="1:2" x14ac:dyDescent="0.2">
      <c r="A6348" s="68">
        <v>36382</v>
      </c>
      <c r="B6348" s="69">
        <v>1.0660000000000001</v>
      </c>
    </row>
    <row r="6349" spans="1:2" x14ac:dyDescent="0.2">
      <c r="A6349" s="68">
        <v>36381</v>
      </c>
      <c r="B6349" s="69">
        <v>1.0658000000000001</v>
      </c>
    </row>
    <row r="6350" spans="1:2" x14ac:dyDescent="0.2">
      <c r="A6350" s="68">
        <v>36378</v>
      </c>
      <c r="B6350" s="69">
        <v>1.0658000000000001</v>
      </c>
    </row>
    <row r="6351" spans="1:2" x14ac:dyDescent="0.2">
      <c r="A6351" s="68">
        <v>36377</v>
      </c>
      <c r="B6351" s="69">
        <v>1.0658000000000001</v>
      </c>
    </row>
    <row r="6352" spans="1:2" x14ac:dyDescent="0.2">
      <c r="A6352" s="68">
        <v>36376</v>
      </c>
      <c r="B6352" s="69">
        <v>1.0659000000000001</v>
      </c>
    </row>
    <row r="6353" spans="1:2" x14ac:dyDescent="0.2">
      <c r="A6353" s="68">
        <v>36375</v>
      </c>
      <c r="B6353" s="69">
        <v>1.0659000000000001</v>
      </c>
    </row>
    <row r="6354" spans="1:2" x14ac:dyDescent="0.2">
      <c r="A6354" s="68">
        <v>36374</v>
      </c>
      <c r="B6354" s="69">
        <v>1.0658000000000001</v>
      </c>
    </row>
    <row r="6355" spans="1:2" x14ac:dyDescent="0.2">
      <c r="A6355" s="68">
        <v>36371</v>
      </c>
      <c r="B6355" s="69">
        <v>1.0658000000000001</v>
      </c>
    </row>
    <row r="6356" spans="1:2" x14ac:dyDescent="0.2">
      <c r="A6356" s="68">
        <v>36370</v>
      </c>
      <c r="B6356" s="69">
        <v>1.0659000000000001</v>
      </c>
    </row>
    <row r="6357" spans="1:2" x14ac:dyDescent="0.2">
      <c r="A6357" s="68">
        <v>36369</v>
      </c>
      <c r="B6357" s="69">
        <v>1.0659000000000001</v>
      </c>
    </row>
    <row r="6358" spans="1:2" x14ac:dyDescent="0.2">
      <c r="A6358" s="68">
        <v>36368</v>
      </c>
      <c r="B6358" s="69">
        <v>1.0661</v>
      </c>
    </row>
    <row r="6359" spans="1:2" x14ac:dyDescent="0.2">
      <c r="A6359" s="68">
        <v>36367</v>
      </c>
      <c r="B6359" s="69">
        <v>1.0667</v>
      </c>
    </row>
    <row r="6360" spans="1:2" x14ac:dyDescent="0.2">
      <c r="A6360" s="68">
        <v>36364</v>
      </c>
      <c r="B6360" s="69">
        <v>1.0665</v>
      </c>
    </row>
    <row r="6361" spans="1:2" x14ac:dyDescent="0.2">
      <c r="A6361" s="68">
        <v>36363</v>
      </c>
      <c r="B6361" s="69">
        <v>1.0661</v>
      </c>
    </row>
    <row r="6362" spans="1:2" x14ac:dyDescent="0.2">
      <c r="A6362" s="68">
        <v>36362</v>
      </c>
      <c r="B6362" s="69">
        <v>1.0662</v>
      </c>
    </row>
    <row r="6363" spans="1:2" x14ac:dyDescent="0.2">
      <c r="A6363" s="68">
        <v>36361</v>
      </c>
      <c r="B6363" s="69">
        <v>1.0662</v>
      </c>
    </row>
    <row r="6364" spans="1:2" x14ac:dyDescent="0.2">
      <c r="A6364" s="68">
        <v>36360</v>
      </c>
      <c r="B6364" s="69">
        <v>1.0662</v>
      </c>
    </row>
    <row r="6365" spans="1:2" x14ac:dyDescent="0.2">
      <c r="A6365" s="68">
        <v>36357</v>
      </c>
      <c r="B6365" s="69">
        <v>1.0663</v>
      </c>
    </row>
    <row r="6366" spans="1:2" x14ac:dyDescent="0.2">
      <c r="A6366" s="68">
        <v>36356</v>
      </c>
      <c r="B6366" s="69">
        <v>1.0664</v>
      </c>
    </row>
    <row r="6367" spans="1:2" x14ac:dyDescent="0.2">
      <c r="A6367" s="68">
        <v>36355</v>
      </c>
      <c r="B6367" s="69">
        <v>1.0662</v>
      </c>
    </row>
    <row r="6368" spans="1:2" x14ac:dyDescent="0.2">
      <c r="A6368" s="68">
        <v>36354</v>
      </c>
      <c r="B6368" s="69">
        <v>1.0665</v>
      </c>
    </row>
    <row r="6369" spans="1:2" x14ac:dyDescent="0.2">
      <c r="A6369" s="68">
        <v>36353</v>
      </c>
      <c r="B6369" s="69">
        <v>1.0664</v>
      </c>
    </row>
    <row r="6370" spans="1:2" x14ac:dyDescent="0.2">
      <c r="A6370" s="68">
        <v>36350</v>
      </c>
      <c r="B6370" s="69">
        <v>1.0667</v>
      </c>
    </row>
    <row r="6371" spans="1:2" x14ac:dyDescent="0.2">
      <c r="A6371" s="68">
        <v>36349</v>
      </c>
      <c r="B6371" s="69">
        <v>1.0666</v>
      </c>
    </row>
    <row r="6372" spans="1:2" x14ac:dyDescent="0.2">
      <c r="A6372" s="68">
        <v>36348</v>
      </c>
      <c r="B6372" s="69">
        <v>1.0665</v>
      </c>
    </row>
    <row r="6373" spans="1:2" x14ac:dyDescent="0.2">
      <c r="A6373" s="68">
        <v>36347</v>
      </c>
      <c r="B6373" s="69">
        <v>1.0664</v>
      </c>
    </row>
    <row r="6374" spans="1:2" x14ac:dyDescent="0.2">
      <c r="A6374" s="68">
        <v>36346</v>
      </c>
      <c r="B6374" s="69">
        <v>1.0666</v>
      </c>
    </row>
    <row r="6375" spans="1:2" x14ac:dyDescent="0.2">
      <c r="A6375" s="68">
        <v>36343</v>
      </c>
      <c r="B6375" s="69">
        <v>1.0665</v>
      </c>
    </row>
    <row r="6376" spans="1:2" x14ac:dyDescent="0.2">
      <c r="A6376" s="68">
        <v>36342</v>
      </c>
      <c r="B6376" s="69">
        <v>1.0664</v>
      </c>
    </row>
    <row r="6377" spans="1:2" x14ac:dyDescent="0.2">
      <c r="A6377" s="68">
        <v>36341</v>
      </c>
      <c r="B6377" s="69">
        <v>1.0666</v>
      </c>
    </row>
    <row r="6378" spans="1:2" x14ac:dyDescent="0.2">
      <c r="A6378" s="68">
        <v>36340</v>
      </c>
      <c r="B6378" s="69">
        <v>1.0666</v>
      </c>
    </row>
    <row r="6379" spans="1:2" x14ac:dyDescent="0.2">
      <c r="A6379" s="68">
        <v>36339</v>
      </c>
      <c r="B6379" s="69">
        <v>1.0676000000000001</v>
      </c>
    </row>
    <row r="6380" spans="1:2" x14ac:dyDescent="0.2">
      <c r="A6380" s="68">
        <v>36336</v>
      </c>
      <c r="B6380" s="69">
        <v>1.0667</v>
      </c>
    </row>
    <row r="6381" spans="1:2" x14ac:dyDescent="0.2">
      <c r="A6381" s="68">
        <v>36335</v>
      </c>
      <c r="B6381" s="69">
        <v>1.0666</v>
      </c>
    </row>
    <row r="6382" spans="1:2" x14ac:dyDescent="0.2">
      <c r="A6382" s="68">
        <v>36334</v>
      </c>
      <c r="B6382" s="69">
        <v>1.0666</v>
      </c>
    </row>
    <row r="6383" spans="1:2" x14ac:dyDescent="0.2">
      <c r="A6383" s="68">
        <v>36333</v>
      </c>
      <c r="B6383" s="69">
        <v>1.0665</v>
      </c>
    </row>
    <row r="6384" spans="1:2" x14ac:dyDescent="0.2">
      <c r="A6384" s="68">
        <v>36332</v>
      </c>
      <c r="B6384" s="69">
        <v>1.0666</v>
      </c>
    </row>
    <row r="6385" spans="1:2" x14ac:dyDescent="0.2">
      <c r="A6385" s="68">
        <v>36329</v>
      </c>
      <c r="B6385" s="69">
        <v>1.0669</v>
      </c>
    </row>
    <row r="6386" spans="1:2" x14ac:dyDescent="0.2">
      <c r="A6386" s="68">
        <v>36328</v>
      </c>
      <c r="B6386" s="69">
        <v>1.0669999999999999</v>
      </c>
    </row>
    <row r="6387" spans="1:2" x14ac:dyDescent="0.2">
      <c r="A6387" s="68">
        <v>36327</v>
      </c>
      <c r="B6387" s="69">
        <v>1.0671999999999999</v>
      </c>
    </row>
    <row r="6388" spans="1:2" x14ac:dyDescent="0.2">
      <c r="A6388" s="68">
        <v>36326</v>
      </c>
      <c r="B6388" s="69">
        <v>1.0679000000000001</v>
      </c>
    </row>
    <row r="6389" spans="1:2" x14ac:dyDescent="0.2">
      <c r="A6389" s="68">
        <v>36325</v>
      </c>
      <c r="B6389" s="69">
        <v>1.0669</v>
      </c>
    </row>
    <row r="6390" spans="1:2" x14ac:dyDescent="0.2">
      <c r="A6390" s="68">
        <v>36322</v>
      </c>
      <c r="B6390" s="69">
        <v>1.0669999999999999</v>
      </c>
    </row>
    <row r="6391" spans="1:2" x14ac:dyDescent="0.2">
      <c r="A6391" s="68">
        <v>36321</v>
      </c>
      <c r="B6391" s="69">
        <v>1.0666</v>
      </c>
    </row>
    <row r="6392" spans="1:2" x14ac:dyDescent="0.2">
      <c r="A6392" s="68">
        <v>36320</v>
      </c>
      <c r="B6392" s="69">
        <v>1.0666</v>
      </c>
    </row>
    <row r="6393" spans="1:2" x14ac:dyDescent="0.2">
      <c r="A6393" s="68">
        <v>36319</v>
      </c>
      <c r="B6393" s="69">
        <v>1.0664</v>
      </c>
    </row>
    <row r="6394" spans="1:2" x14ac:dyDescent="0.2">
      <c r="A6394" s="68">
        <v>36318</v>
      </c>
      <c r="B6394" s="69">
        <v>1.0668</v>
      </c>
    </row>
    <row r="6395" spans="1:2" x14ac:dyDescent="0.2">
      <c r="A6395" s="68">
        <v>36315</v>
      </c>
      <c r="B6395" s="69">
        <v>1.0668</v>
      </c>
    </row>
    <row r="6396" spans="1:2" x14ac:dyDescent="0.2">
      <c r="A6396" s="68">
        <v>36314</v>
      </c>
      <c r="B6396" s="69">
        <v>1.0669</v>
      </c>
    </row>
    <row r="6397" spans="1:2" x14ac:dyDescent="0.2">
      <c r="A6397" s="68">
        <v>36313</v>
      </c>
      <c r="B6397" s="69">
        <v>1.0679000000000001</v>
      </c>
    </row>
    <row r="6398" spans="1:2" x14ac:dyDescent="0.2">
      <c r="A6398" s="68">
        <v>36312</v>
      </c>
      <c r="B6398" s="69">
        <v>1.0676000000000001</v>
      </c>
    </row>
    <row r="6399" spans="1:2" x14ac:dyDescent="0.2">
      <c r="A6399" s="68">
        <v>36311</v>
      </c>
      <c r="B6399" s="69">
        <v>1.0672999999999999</v>
      </c>
    </row>
    <row r="6400" spans="1:2" x14ac:dyDescent="0.2">
      <c r="A6400" s="68">
        <v>36308</v>
      </c>
      <c r="B6400" s="69">
        <v>1.0672999999999999</v>
      </c>
    </row>
    <row r="6401" spans="1:2" x14ac:dyDescent="0.2">
      <c r="A6401" s="68">
        <v>36307</v>
      </c>
      <c r="B6401" s="69">
        <v>1.0674999999999999</v>
      </c>
    </row>
    <row r="6402" spans="1:2" x14ac:dyDescent="0.2">
      <c r="A6402" s="68">
        <v>36306</v>
      </c>
      <c r="B6402" s="69">
        <v>1.0674999999999999</v>
      </c>
    </row>
    <row r="6403" spans="1:2" x14ac:dyDescent="0.2">
      <c r="A6403" s="68">
        <v>36305</v>
      </c>
      <c r="B6403" s="69">
        <v>1.0676000000000001</v>
      </c>
    </row>
    <row r="6404" spans="1:2" x14ac:dyDescent="0.2">
      <c r="A6404" s="68">
        <v>36304</v>
      </c>
      <c r="B6404" s="69">
        <v>1.0672999999999999</v>
      </c>
    </row>
    <row r="6405" spans="1:2" x14ac:dyDescent="0.2">
      <c r="A6405" s="68">
        <v>36301</v>
      </c>
      <c r="B6405" s="69">
        <v>1.0670999999999999</v>
      </c>
    </row>
    <row r="6406" spans="1:2" x14ac:dyDescent="0.2">
      <c r="A6406" s="68">
        <v>36300</v>
      </c>
      <c r="B6406" s="69">
        <v>1.0673999999999999</v>
      </c>
    </row>
    <row r="6407" spans="1:2" x14ac:dyDescent="0.2">
      <c r="A6407" s="68">
        <v>36299</v>
      </c>
      <c r="B6407" s="69">
        <v>1.0673999999999999</v>
      </c>
    </row>
    <row r="6408" spans="1:2" x14ac:dyDescent="0.2">
      <c r="A6408" s="68">
        <v>36298</v>
      </c>
      <c r="B6408" s="69">
        <v>1.0673999999999999</v>
      </c>
    </row>
    <row r="6409" spans="1:2" x14ac:dyDescent="0.2">
      <c r="A6409" s="68">
        <v>36297</v>
      </c>
      <c r="B6409" s="69">
        <v>1.0680000000000001</v>
      </c>
    </row>
    <row r="6410" spans="1:2" x14ac:dyDescent="0.2">
      <c r="A6410" s="68">
        <v>36294</v>
      </c>
      <c r="B6410" s="69">
        <v>1.0672999999999999</v>
      </c>
    </row>
    <row r="6411" spans="1:2" x14ac:dyDescent="0.2">
      <c r="A6411" s="68">
        <v>36293</v>
      </c>
      <c r="B6411" s="69">
        <v>1.0672999999999999</v>
      </c>
    </row>
    <row r="6412" spans="1:2" x14ac:dyDescent="0.2">
      <c r="A6412" s="68">
        <v>36292</v>
      </c>
      <c r="B6412" s="69">
        <v>1.0674999999999999</v>
      </c>
    </row>
    <row r="6413" spans="1:2" x14ac:dyDescent="0.2">
      <c r="A6413" s="68">
        <v>36291</v>
      </c>
      <c r="B6413" s="69">
        <v>1.0672999999999999</v>
      </c>
    </row>
    <row r="6414" spans="1:2" x14ac:dyDescent="0.2">
      <c r="A6414" s="68">
        <v>36290</v>
      </c>
      <c r="B6414" s="69">
        <v>1.0679000000000001</v>
      </c>
    </row>
    <row r="6415" spans="1:2" x14ac:dyDescent="0.2">
      <c r="A6415" s="68">
        <v>36287</v>
      </c>
      <c r="B6415" s="69">
        <v>1.0676000000000001</v>
      </c>
    </row>
    <row r="6416" spans="1:2" x14ac:dyDescent="0.2">
      <c r="A6416" s="68">
        <v>36286</v>
      </c>
      <c r="B6416" s="69">
        <v>1.0674999999999999</v>
      </c>
    </row>
    <row r="6417" spans="1:2" x14ac:dyDescent="0.2">
      <c r="A6417" s="68">
        <v>36285</v>
      </c>
      <c r="B6417" s="69">
        <v>1.0676000000000001</v>
      </c>
    </row>
    <row r="6418" spans="1:2" x14ac:dyDescent="0.2">
      <c r="A6418" s="68">
        <v>36284</v>
      </c>
      <c r="B6418" s="69">
        <v>1.0682</v>
      </c>
    </row>
    <row r="6419" spans="1:2" x14ac:dyDescent="0.2">
      <c r="A6419" s="68">
        <v>36280</v>
      </c>
      <c r="B6419" s="69">
        <v>1.0683</v>
      </c>
    </row>
    <row r="6420" spans="1:2" x14ac:dyDescent="0.2">
      <c r="A6420" s="68">
        <v>36279</v>
      </c>
      <c r="B6420" s="69">
        <v>1.0684</v>
      </c>
    </row>
    <row r="6421" spans="1:2" x14ac:dyDescent="0.2">
      <c r="A6421" s="68">
        <v>36278</v>
      </c>
      <c r="B6421" s="69">
        <v>1.0686</v>
      </c>
    </row>
    <row r="6422" spans="1:2" x14ac:dyDescent="0.2">
      <c r="A6422" s="68">
        <v>36277</v>
      </c>
      <c r="B6422" s="69">
        <v>1.0686</v>
      </c>
    </row>
    <row r="6423" spans="1:2" x14ac:dyDescent="0.2">
      <c r="A6423" s="68">
        <v>36276</v>
      </c>
      <c r="B6423" s="69">
        <v>1.0683</v>
      </c>
    </row>
    <row r="6424" spans="1:2" x14ac:dyDescent="0.2">
      <c r="A6424" s="68">
        <v>36273</v>
      </c>
      <c r="B6424" s="69">
        <v>1.0680000000000001</v>
      </c>
    </row>
    <row r="6425" spans="1:2" x14ac:dyDescent="0.2">
      <c r="A6425" s="68">
        <v>36272</v>
      </c>
      <c r="B6425" s="69">
        <v>1.0683</v>
      </c>
    </row>
    <row r="6426" spans="1:2" x14ac:dyDescent="0.2">
      <c r="A6426" s="68">
        <v>36271</v>
      </c>
      <c r="B6426" s="69">
        <v>1.0684</v>
      </c>
    </row>
    <row r="6427" spans="1:2" x14ac:dyDescent="0.2">
      <c r="A6427" s="68">
        <v>36270</v>
      </c>
      <c r="B6427" s="69">
        <v>1.0679000000000001</v>
      </c>
    </row>
    <row r="6428" spans="1:2" x14ac:dyDescent="0.2">
      <c r="A6428" s="68">
        <v>36269</v>
      </c>
      <c r="B6428" s="69">
        <v>1.0676000000000001</v>
      </c>
    </row>
    <row r="6429" spans="1:2" x14ac:dyDescent="0.2">
      <c r="A6429" s="68">
        <v>36266</v>
      </c>
      <c r="B6429" s="69">
        <v>1.0683</v>
      </c>
    </row>
    <row r="6430" spans="1:2" x14ac:dyDescent="0.2">
      <c r="A6430" s="68">
        <v>36265</v>
      </c>
      <c r="B6430" s="69">
        <v>1.0676000000000001</v>
      </c>
    </row>
    <row r="6431" spans="1:2" x14ac:dyDescent="0.2">
      <c r="A6431" s="68">
        <v>36264</v>
      </c>
      <c r="B6431" s="69">
        <v>1.0683</v>
      </c>
    </row>
    <row r="6432" spans="1:2" x14ac:dyDescent="0.2">
      <c r="A6432" s="68">
        <v>36263</v>
      </c>
      <c r="B6432" s="69">
        <v>1.0680000000000001</v>
      </c>
    </row>
    <row r="6433" spans="1:2" x14ac:dyDescent="0.2">
      <c r="A6433" s="68">
        <v>36262</v>
      </c>
      <c r="B6433" s="69">
        <v>1.0687</v>
      </c>
    </row>
    <row r="6434" spans="1:2" x14ac:dyDescent="0.2">
      <c r="A6434" s="68">
        <v>36259</v>
      </c>
      <c r="B6434" s="69">
        <v>1.0681</v>
      </c>
    </row>
    <row r="6435" spans="1:2" x14ac:dyDescent="0.2">
      <c r="A6435" s="68">
        <v>36258</v>
      </c>
      <c r="B6435" s="69">
        <v>1.0683</v>
      </c>
    </row>
    <row r="6436" spans="1:2" x14ac:dyDescent="0.2">
      <c r="A6436" s="68">
        <v>36257</v>
      </c>
      <c r="B6436" s="69">
        <v>1.0682</v>
      </c>
    </row>
    <row r="6437" spans="1:2" x14ac:dyDescent="0.2">
      <c r="A6437" s="68">
        <v>36256</v>
      </c>
      <c r="B6437" s="69">
        <v>1.0681</v>
      </c>
    </row>
    <row r="6438" spans="1:2" x14ac:dyDescent="0.2">
      <c r="A6438" s="68">
        <v>36255</v>
      </c>
      <c r="B6438" s="69">
        <v>1.0680000000000001</v>
      </c>
    </row>
    <row r="6439" spans="1:2" x14ac:dyDescent="0.2">
      <c r="A6439" s="68">
        <v>36252</v>
      </c>
      <c r="B6439" s="69">
        <v>1.0680000000000001</v>
      </c>
    </row>
    <row r="6440" spans="1:2" x14ac:dyDescent="0.2">
      <c r="A6440" s="68">
        <v>36251</v>
      </c>
      <c r="B6440" s="69">
        <v>1.0679000000000001</v>
      </c>
    </row>
    <row r="6441" spans="1:2" x14ac:dyDescent="0.2">
      <c r="A6441" s="68">
        <v>36250</v>
      </c>
      <c r="B6441" s="69">
        <v>1.0685</v>
      </c>
    </row>
    <row r="6442" spans="1:2" x14ac:dyDescent="0.2">
      <c r="A6442" s="68">
        <v>36249</v>
      </c>
      <c r="B6442" s="69">
        <v>1.0679000000000001</v>
      </c>
    </row>
    <row r="6443" spans="1:2" x14ac:dyDescent="0.2">
      <c r="A6443" s="68">
        <v>36248</v>
      </c>
      <c r="B6443" s="69">
        <v>1.0679000000000001</v>
      </c>
    </row>
    <row r="6444" spans="1:2" x14ac:dyDescent="0.2">
      <c r="A6444" s="68">
        <v>36245</v>
      </c>
      <c r="B6444" s="69">
        <v>1.0680000000000001</v>
      </c>
    </row>
    <row r="6445" spans="1:2" x14ac:dyDescent="0.2">
      <c r="A6445" s="68">
        <v>36244</v>
      </c>
      <c r="B6445" s="69">
        <v>1.0678000000000001</v>
      </c>
    </row>
    <row r="6446" spans="1:2" x14ac:dyDescent="0.2">
      <c r="A6446" s="68">
        <v>36243</v>
      </c>
      <c r="B6446" s="69">
        <v>1.0676000000000001</v>
      </c>
    </row>
    <row r="6447" spans="1:2" x14ac:dyDescent="0.2">
      <c r="A6447" s="68">
        <v>36242</v>
      </c>
      <c r="B6447" s="69">
        <v>1.0677000000000001</v>
      </c>
    </row>
    <row r="6448" spans="1:2" x14ac:dyDescent="0.2">
      <c r="A6448" s="68">
        <v>36241</v>
      </c>
      <c r="B6448" s="69">
        <v>1.0679000000000001</v>
      </c>
    </row>
    <row r="6449" spans="1:2" x14ac:dyDescent="0.2">
      <c r="A6449" s="68">
        <v>36238</v>
      </c>
      <c r="B6449" s="69">
        <v>1.0680000000000001</v>
      </c>
    </row>
    <row r="6450" spans="1:2" x14ac:dyDescent="0.2">
      <c r="A6450" s="68">
        <v>36237</v>
      </c>
      <c r="B6450" s="69">
        <v>1.0686</v>
      </c>
    </row>
    <row r="6451" spans="1:2" x14ac:dyDescent="0.2">
      <c r="A6451" s="68">
        <v>36236</v>
      </c>
      <c r="B6451" s="69">
        <v>1.0685</v>
      </c>
    </row>
    <row r="6452" spans="1:2" x14ac:dyDescent="0.2">
      <c r="A6452" s="68">
        <v>36235</v>
      </c>
      <c r="B6452" s="69">
        <v>1.0683</v>
      </c>
    </row>
    <row r="6453" spans="1:2" x14ac:dyDescent="0.2">
      <c r="A6453" s="68">
        <v>36234</v>
      </c>
      <c r="B6453" s="69">
        <v>1.0685</v>
      </c>
    </row>
    <row r="6454" spans="1:2" x14ac:dyDescent="0.2">
      <c r="A6454" s="68">
        <v>36231</v>
      </c>
      <c r="B6454" s="69">
        <v>1.0682</v>
      </c>
    </row>
    <row r="6455" spans="1:2" x14ac:dyDescent="0.2">
      <c r="A6455" s="68">
        <v>36230</v>
      </c>
      <c r="B6455" s="69">
        <v>1.0684</v>
      </c>
    </row>
    <row r="6456" spans="1:2" x14ac:dyDescent="0.2">
      <c r="A6456" s="68">
        <v>36229</v>
      </c>
      <c r="B6456" s="69">
        <v>1.0679000000000001</v>
      </c>
    </row>
    <row r="6457" spans="1:2" x14ac:dyDescent="0.2">
      <c r="A6457" s="68">
        <v>36228</v>
      </c>
      <c r="B6457" s="69">
        <v>1.0689</v>
      </c>
    </row>
    <row r="6458" spans="1:2" x14ac:dyDescent="0.2">
      <c r="A6458" s="68">
        <v>36227</v>
      </c>
      <c r="B6458" s="69">
        <v>1.0677000000000001</v>
      </c>
    </row>
    <row r="6459" spans="1:2" x14ac:dyDescent="0.2">
      <c r="A6459" s="68">
        <v>36224</v>
      </c>
      <c r="B6459" s="69">
        <v>1.0677000000000001</v>
      </c>
    </row>
    <row r="6460" spans="1:2" x14ac:dyDescent="0.2">
      <c r="A6460" s="68">
        <v>36223</v>
      </c>
      <c r="B6460" s="69">
        <v>1.0689</v>
      </c>
    </row>
    <row r="6461" spans="1:2" x14ac:dyDescent="0.2">
      <c r="A6461" s="68">
        <v>36222</v>
      </c>
      <c r="B6461" s="69">
        <v>1.0689</v>
      </c>
    </row>
    <row r="6462" spans="1:2" x14ac:dyDescent="0.2">
      <c r="A6462" s="68">
        <v>36221</v>
      </c>
      <c r="B6462" s="69">
        <v>1.0691999999999999</v>
      </c>
    </row>
    <row r="6463" spans="1:2" x14ac:dyDescent="0.2">
      <c r="A6463" s="68">
        <v>36220</v>
      </c>
      <c r="B6463" s="69">
        <v>1.0673999999999999</v>
      </c>
    </row>
    <row r="6464" spans="1:2" x14ac:dyDescent="0.2">
      <c r="A6464" s="68">
        <v>36217</v>
      </c>
      <c r="B6464" s="69">
        <v>1.0692999999999999</v>
      </c>
    </row>
    <row r="6465" spans="1:2" x14ac:dyDescent="0.2">
      <c r="A6465" s="68">
        <v>36216</v>
      </c>
      <c r="B6465" s="69">
        <v>1.0683</v>
      </c>
    </row>
    <row r="6466" spans="1:2" x14ac:dyDescent="0.2">
      <c r="A6466" s="68">
        <v>36215</v>
      </c>
      <c r="B6466" s="69">
        <v>1.0683</v>
      </c>
    </row>
    <row r="6467" spans="1:2" x14ac:dyDescent="0.2">
      <c r="A6467" s="68">
        <v>36214</v>
      </c>
      <c r="B6467" s="69">
        <v>1.0691999999999999</v>
      </c>
    </row>
    <row r="6468" spans="1:2" x14ac:dyDescent="0.2">
      <c r="A6468" s="68">
        <v>36206</v>
      </c>
      <c r="B6468" s="69">
        <v>1.0686</v>
      </c>
    </row>
    <row r="6469" spans="1:2" x14ac:dyDescent="0.2">
      <c r="A6469" s="68">
        <v>36205</v>
      </c>
      <c r="B6469" s="69">
        <v>1.0685</v>
      </c>
    </row>
    <row r="6470" spans="1:2" x14ac:dyDescent="0.2">
      <c r="A6470" s="68">
        <v>36204</v>
      </c>
      <c r="B6470" s="69">
        <v>1.0681</v>
      </c>
    </row>
    <row r="6471" spans="1:2" x14ac:dyDescent="0.2">
      <c r="A6471" s="68">
        <v>36203</v>
      </c>
      <c r="B6471" s="69">
        <v>1.0686</v>
      </c>
    </row>
    <row r="6472" spans="1:2" x14ac:dyDescent="0.2">
      <c r="A6472" s="68">
        <v>36202</v>
      </c>
      <c r="B6472" s="69">
        <v>1.0673999999999999</v>
      </c>
    </row>
    <row r="6473" spans="1:2" x14ac:dyDescent="0.2">
      <c r="A6473" s="68">
        <v>36201</v>
      </c>
      <c r="B6473" s="69">
        <v>1.0672999999999999</v>
      </c>
    </row>
    <row r="6474" spans="1:2" x14ac:dyDescent="0.2">
      <c r="A6474" s="68">
        <v>36200</v>
      </c>
      <c r="B6474" s="69">
        <v>1.0673999999999999</v>
      </c>
    </row>
    <row r="6475" spans="1:2" x14ac:dyDescent="0.2">
      <c r="A6475" s="68">
        <v>36199</v>
      </c>
      <c r="B6475" s="69">
        <v>1.0673999999999999</v>
      </c>
    </row>
    <row r="6476" spans="1:2" x14ac:dyDescent="0.2">
      <c r="A6476" s="68">
        <v>36196</v>
      </c>
      <c r="B6476" s="69">
        <v>1.0674999999999999</v>
      </c>
    </row>
    <row r="6477" spans="1:2" x14ac:dyDescent="0.2">
      <c r="A6477" s="68">
        <v>36195</v>
      </c>
      <c r="B6477" s="69">
        <v>1.0673999999999999</v>
      </c>
    </row>
    <row r="6478" spans="1:2" x14ac:dyDescent="0.2">
      <c r="A6478" s="68">
        <v>36194</v>
      </c>
      <c r="B6478" s="69">
        <v>1.0674999999999999</v>
      </c>
    </row>
    <row r="6479" spans="1:2" x14ac:dyDescent="0.2">
      <c r="A6479" s="68">
        <v>36193</v>
      </c>
      <c r="B6479" s="69">
        <v>1.0676000000000001</v>
      </c>
    </row>
    <row r="6480" spans="1:2" x14ac:dyDescent="0.2">
      <c r="A6480" s="68">
        <v>36192</v>
      </c>
      <c r="B6480" s="69">
        <v>1.0674999999999999</v>
      </c>
    </row>
    <row r="6481" spans="1:2" x14ac:dyDescent="0.2">
      <c r="A6481" s="68">
        <v>36189</v>
      </c>
      <c r="B6481" s="69">
        <v>1.0676000000000001</v>
      </c>
    </row>
    <row r="6482" spans="1:2" x14ac:dyDescent="0.2">
      <c r="A6482" s="68">
        <v>36188</v>
      </c>
      <c r="B6482" s="69">
        <v>1.0677000000000001</v>
      </c>
    </row>
    <row r="6483" spans="1:2" x14ac:dyDescent="0.2">
      <c r="A6483" s="68">
        <v>36187</v>
      </c>
      <c r="B6483" s="69">
        <v>1.0678000000000001</v>
      </c>
    </row>
    <row r="6484" spans="1:2" x14ac:dyDescent="0.2">
      <c r="A6484" s="68">
        <v>36186</v>
      </c>
      <c r="B6484" s="69">
        <v>1.0688</v>
      </c>
    </row>
    <row r="6485" spans="1:2" x14ac:dyDescent="0.2">
      <c r="A6485" s="68">
        <v>36185</v>
      </c>
      <c r="B6485" s="69">
        <v>1.0677000000000001</v>
      </c>
    </row>
    <row r="6486" spans="1:2" x14ac:dyDescent="0.2">
      <c r="A6486" s="68">
        <v>36182</v>
      </c>
      <c r="B6486" s="69">
        <v>1.0684</v>
      </c>
    </row>
    <row r="6487" spans="1:2" x14ac:dyDescent="0.2">
      <c r="A6487" s="68">
        <v>36181</v>
      </c>
      <c r="B6487" s="69">
        <v>1.0679000000000001</v>
      </c>
    </row>
    <row r="6488" spans="1:2" x14ac:dyDescent="0.2">
      <c r="A6488" s="68">
        <v>36180</v>
      </c>
      <c r="B6488" s="69">
        <v>1.0680000000000001</v>
      </c>
    </row>
    <row r="6489" spans="1:2" x14ac:dyDescent="0.2">
      <c r="A6489" s="68">
        <v>36179</v>
      </c>
      <c r="B6489" s="69">
        <v>1.0678000000000001</v>
      </c>
    </row>
    <row r="6490" spans="1:2" x14ac:dyDescent="0.2">
      <c r="A6490" s="68">
        <v>36178</v>
      </c>
      <c r="B6490" s="69">
        <v>1.0683</v>
      </c>
    </row>
    <row r="6491" spans="1:2" x14ac:dyDescent="0.2">
      <c r="A6491" s="68">
        <v>36175</v>
      </c>
      <c r="B6491" s="69">
        <v>1.0681</v>
      </c>
    </row>
    <row r="6492" spans="1:2" x14ac:dyDescent="0.2">
      <c r="A6492" s="68">
        <v>36174</v>
      </c>
      <c r="B6492" s="69">
        <v>1.0683</v>
      </c>
    </row>
    <row r="6493" spans="1:2" x14ac:dyDescent="0.2">
      <c r="A6493" s="68">
        <v>36173</v>
      </c>
      <c r="B6493" s="69">
        <v>1.0686</v>
      </c>
    </row>
    <row r="6494" spans="1:2" x14ac:dyDescent="0.2">
      <c r="A6494" s="68">
        <v>36172</v>
      </c>
      <c r="B6494" s="69">
        <v>1.0685</v>
      </c>
    </row>
    <row r="6495" spans="1:2" x14ac:dyDescent="0.2">
      <c r="A6495" s="68">
        <v>36171</v>
      </c>
      <c r="B6495" s="69">
        <v>1.0684</v>
      </c>
    </row>
    <row r="6496" spans="1:2" x14ac:dyDescent="0.2">
      <c r="A6496" s="68">
        <v>36168</v>
      </c>
      <c r="B6496" s="69">
        <v>1.0689</v>
      </c>
    </row>
    <row r="6497" spans="1:2" x14ac:dyDescent="0.2">
      <c r="A6497" s="68">
        <v>36167</v>
      </c>
      <c r="B6497" s="69">
        <v>1.0682</v>
      </c>
    </row>
    <row r="6498" spans="1:2" x14ac:dyDescent="0.2">
      <c r="A6498" s="68">
        <v>36166</v>
      </c>
      <c r="B6498" s="69">
        <v>1.0681</v>
      </c>
    </row>
    <row r="6499" spans="1:2" x14ac:dyDescent="0.2">
      <c r="A6499" s="68">
        <v>36165</v>
      </c>
      <c r="B6499" s="69">
        <v>1.0681</v>
      </c>
    </row>
    <row r="6500" spans="1:2" x14ac:dyDescent="0.2">
      <c r="A6500" s="68">
        <v>36164</v>
      </c>
      <c r="B6500" s="69">
        <v>1.0681</v>
      </c>
    </row>
    <row r="6501" spans="1:2" x14ac:dyDescent="0.2">
      <c r="A6501" s="68">
        <v>36160</v>
      </c>
      <c r="B6501" s="69">
        <v>1.0678000000000001</v>
      </c>
    </row>
    <row r="6502" spans="1:2" x14ac:dyDescent="0.2">
      <c r="A6502" s="68">
        <v>36159</v>
      </c>
      <c r="B6502" s="69">
        <v>1.0685</v>
      </c>
    </row>
    <row r="6503" spans="1:2" x14ac:dyDescent="0.2">
      <c r="A6503" s="68">
        <v>36158</v>
      </c>
      <c r="B6503" s="69">
        <v>1.0680000000000001</v>
      </c>
    </row>
    <row r="6504" spans="1:2" x14ac:dyDescent="0.2">
      <c r="A6504" s="68">
        <v>36157</v>
      </c>
      <c r="B6504" s="69">
        <v>1.0674999999999999</v>
      </c>
    </row>
    <row r="6505" spans="1:2" x14ac:dyDescent="0.2">
      <c r="A6505" s="68">
        <v>36154</v>
      </c>
      <c r="B6505" s="69">
        <v>1.0679000000000001</v>
      </c>
    </row>
    <row r="6506" spans="1:2" x14ac:dyDescent="0.2">
      <c r="A6506" s="68">
        <v>36153</v>
      </c>
      <c r="B6506" s="69">
        <v>1.0680000000000001</v>
      </c>
    </row>
    <row r="6507" spans="1:2" x14ac:dyDescent="0.2">
      <c r="A6507" s="68">
        <v>36152</v>
      </c>
      <c r="B6507" s="69">
        <v>1.0678000000000001</v>
      </c>
    </row>
    <row r="6508" spans="1:2" x14ac:dyDescent="0.2">
      <c r="A6508" s="68">
        <v>36151</v>
      </c>
      <c r="B6508" s="69">
        <v>1.0678000000000001</v>
      </c>
    </row>
    <row r="6509" spans="1:2" x14ac:dyDescent="0.2">
      <c r="A6509" s="68">
        <v>36150</v>
      </c>
      <c r="B6509" s="69">
        <v>1.0705</v>
      </c>
    </row>
    <row r="6510" spans="1:2" x14ac:dyDescent="0.2">
      <c r="A6510" s="68">
        <v>36147</v>
      </c>
      <c r="B6510" s="69">
        <v>1.0678000000000001</v>
      </c>
    </row>
    <row r="6511" spans="1:2" x14ac:dyDescent="0.2">
      <c r="A6511" s="68">
        <v>36146</v>
      </c>
      <c r="B6511" s="69">
        <v>1.0676000000000001</v>
      </c>
    </row>
    <row r="6512" spans="1:2" x14ac:dyDescent="0.2">
      <c r="A6512" s="68">
        <v>36145</v>
      </c>
      <c r="B6512" s="69">
        <v>1.0676000000000001</v>
      </c>
    </row>
    <row r="6513" spans="1:2" x14ac:dyDescent="0.2">
      <c r="A6513" s="68">
        <v>36144</v>
      </c>
      <c r="B6513" s="69">
        <v>1.0677000000000001</v>
      </c>
    </row>
    <row r="6514" spans="1:2" x14ac:dyDescent="0.2">
      <c r="A6514" s="68">
        <v>36143</v>
      </c>
      <c r="B6514" s="69">
        <v>1.0676000000000001</v>
      </c>
    </row>
    <row r="6515" spans="1:2" x14ac:dyDescent="0.2">
      <c r="A6515" s="68">
        <v>36140</v>
      </c>
      <c r="B6515" s="69">
        <v>1.0676000000000001</v>
      </c>
    </row>
    <row r="6516" spans="1:2" x14ac:dyDescent="0.2">
      <c r="A6516" s="68">
        <v>36139</v>
      </c>
      <c r="B6516" s="69">
        <v>1.0676000000000001</v>
      </c>
    </row>
    <row r="6517" spans="1:2" x14ac:dyDescent="0.2">
      <c r="A6517" s="68">
        <v>36138</v>
      </c>
      <c r="B6517" s="69">
        <v>1.0676000000000001</v>
      </c>
    </row>
    <row r="6518" spans="1:2" x14ac:dyDescent="0.2">
      <c r="A6518" s="68">
        <v>36137</v>
      </c>
      <c r="B6518" s="69">
        <v>1.0677000000000001</v>
      </c>
    </row>
    <row r="6519" spans="1:2" x14ac:dyDescent="0.2">
      <c r="A6519" s="68">
        <v>36136</v>
      </c>
      <c r="B6519" s="69">
        <v>1.0679000000000001</v>
      </c>
    </row>
    <row r="6520" spans="1:2" x14ac:dyDescent="0.2">
      <c r="A6520" s="68">
        <v>36133</v>
      </c>
      <c r="B6520" s="69">
        <v>1.0679000000000001</v>
      </c>
    </row>
    <row r="6521" spans="1:2" x14ac:dyDescent="0.2">
      <c r="A6521" s="68">
        <v>36132</v>
      </c>
      <c r="B6521" s="69">
        <v>1.0680000000000001</v>
      </c>
    </row>
    <row r="6522" spans="1:2" x14ac:dyDescent="0.2">
      <c r="A6522" s="68">
        <v>36131</v>
      </c>
      <c r="B6522" s="69">
        <v>1.0683</v>
      </c>
    </row>
    <row r="6523" spans="1:2" x14ac:dyDescent="0.2">
      <c r="A6523" s="68">
        <v>36130</v>
      </c>
      <c r="B6523" s="69">
        <v>1.0682</v>
      </c>
    </row>
    <row r="6524" spans="1:2" x14ac:dyDescent="0.2">
      <c r="A6524" s="68">
        <v>36129</v>
      </c>
      <c r="B6524" s="69">
        <v>1.0681</v>
      </c>
    </row>
    <row r="6525" spans="1:2" x14ac:dyDescent="0.2">
      <c r="A6525" s="68">
        <v>36126</v>
      </c>
      <c r="B6525" s="69">
        <v>1.0681</v>
      </c>
    </row>
    <row r="6526" spans="1:2" x14ac:dyDescent="0.2">
      <c r="A6526" s="68">
        <v>36125</v>
      </c>
      <c r="B6526" s="69">
        <v>1.0680000000000001</v>
      </c>
    </row>
    <row r="6527" spans="1:2" x14ac:dyDescent="0.2">
      <c r="A6527" s="68">
        <v>36124</v>
      </c>
      <c r="B6527" s="69">
        <v>1.0681</v>
      </c>
    </row>
    <row r="6528" spans="1:2" x14ac:dyDescent="0.2">
      <c r="A6528" s="68">
        <v>36123</v>
      </c>
      <c r="B6528" s="69">
        <v>1.0682</v>
      </c>
    </row>
    <row r="6529" spans="1:2" x14ac:dyDescent="0.2">
      <c r="A6529" s="68">
        <v>36122</v>
      </c>
      <c r="B6529" s="69">
        <v>1.0681</v>
      </c>
    </row>
    <row r="6530" spans="1:2" x14ac:dyDescent="0.2">
      <c r="A6530" s="68">
        <v>36119</v>
      </c>
      <c r="B6530" s="69">
        <v>1.0680000000000001</v>
      </c>
    </row>
    <row r="6531" spans="1:2" x14ac:dyDescent="0.2">
      <c r="A6531" s="68">
        <v>36118</v>
      </c>
      <c r="B6531" s="69">
        <v>1.0681</v>
      </c>
    </row>
    <row r="6532" spans="1:2" x14ac:dyDescent="0.2">
      <c r="A6532" s="68">
        <v>36117</v>
      </c>
      <c r="B6532" s="69">
        <v>1.0681</v>
      </c>
    </row>
    <row r="6533" spans="1:2" x14ac:dyDescent="0.2">
      <c r="A6533" s="68">
        <v>36116</v>
      </c>
      <c r="B6533" s="69">
        <v>1.0681</v>
      </c>
    </row>
    <row r="6534" spans="1:2" x14ac:dyDescent="0.2">
      <c r="A6534" s="68">
        <v>36112</v>
      </c>
      <c r="B6534" s="69">
        <v>1.0678000000000001</v>
      </c>
    </row>
    <row r="6535" spans="1:2" x14ac:dyDescent="0.2">
      <c r="A6535" s="68">
        <v>36111</v>
      </c>
      <c r="B6535" s="69">
        <v>1.0688</v>
      </c>
    </row>
    <row r="6536" spans="1:2" x14ac:dyDescent="0.2">
      <c r="A6536" s="68">
        <v>36110</v>
      </c>
      <c r="B6536" s="69">
        <v>1.0686</v>
      </c>
    </row>
    <row r="6537" spans="1:2" x14ac:dyDescent="0.2">
      <c r="A6537" s="68">
        <v>36109</v>
      </c>
      <c r="B6537" s="69">
        <v>1.0680000000000001</v>
      </c>
    </row>
    <row r="6538" spans="1:2" x14ac:dyDescent="0.2">
      <c r="A6538" s="68">
        <v>36108</v>
      </c>
      <c r="B6538" s="69">
        <v>1.0681</v>
      </c>
    </row>
    <row r="6539" spans="1:2" x14ac:dyDescent="0.2">
      <c r="A6539" s="68">
        <v>36105</v>
      </c>
      <c r="B6539" s="69">
        <v>1.0683</v>
      </c>
    </row>
    <row r="6540" spans="1:2" x14ac:dyDescent="0.2">
      <c r="A6540" s="68">
        <v>36104</v>
      </c>
      <c r="B6540" s="69">
        <v>1.0681</v>
      </c>
    </row>
    <row r="6541" spans="1:2" x14ac:dyDescent="0.2">
      <c r="A6541" s="68">
        <v>36103</v>
      </c>
      <c r="B6541" s="69">
        <v>1.0679000000000001</v>
      </c>
    </row>
    <row r="6542" spans="1:2" x14ac:dyDescent="0.2">
      <c r="A6542" s="68">
        <v>36102</v>
      </c>
      <c r="B6542" s="69">
        <v>1.0672999999999999</v>
      </c>
    </row>
    <row r="6543" spans="1:2" x14ac:dyDescent="0.2">
      <c r="A6543" s="68">
        <v>36101</v>
      </c>
      <c r="B6543" s="69">
        <v>1.0672999999999999</v>
      </c>
    </row>
    <row r="6544" spans="1:2" x14ac:dyDescent="0.2">
      <c r="A6544" s="68">
        <v>36098</v>
      </c>
      <c r="B6544" s="69">
        <v>1.0672999999999999</v>
      </c>
    </row>
    <row r="6545" spans="1:2" x14ac:dyDescent="0.2">
      <c r="A6545" s="68">
        <v>36097</v>
      </c>
      <c r="B6545" s="69">
        <v>1.0670999999999999</v>
      </c>
    </row>
    <row r="6546" spans="1:2" x14ac:dyDescent="0.2">
      <c r="A6546" s="68">
        <v>36096</v>
      </c>
      <c r="B6546" s="69">
        <v>1.0670999999999999</v>
      </c>
    </row>
    <row r="6547" spans="1:2" x14ac:dyDescent="0.2">
      <c r="A6547" s="68">
        <v>36095</v>
      </c>
      <c r="B6547" s="69">
        <v>1.0670999999999999</v>
      </c>
    </row>
    <row r="6548" spans="1:2" x14ac:dyDescent="0.2">
      <c r="A6548" s="68">
        <v>36094</v>
      </c>
      <c r="B6548" s="69">
        <v>1.0669999999999999</v>
      </c>
    </row>
    <row r="6549" spans="1:2" x14ac:dyDescent="0.2">
      <c r="A6549" s="68">
        <v>36091</v>
      </c>
      <c r="B6549" s="69">
        <v>1.0670999999999999</v>
      </c>
    </row>
    <row r="6550" spans="1:2" x14ac:dyDescent="0.2">
      <c r="A6550" s="68">
        <v>36090</v>
      </c>
      <c r="B6550" s="69">
        <v>1.0672999999999999</v>
      </c>
    </row>
    <row r="6551" spans="1:2" x14ac:dyDescent="0.2">
      <c r="A6551" s="68">
        <v>36089</v>
      </c>
      <c r="B6551" s="69">
        <v>1.0671999999999999</v>
      </c>
    </row>
    <row r="6552" spans="1:2" x14ac:dyDescent="0.2">
      <c r="A6552" s="68">
        <v>36088</v>
      </c>
      <c r="B6552" s="69">
        <v>1.0669</v>
      </c>
    </row>
    <row r="6553" spans="1:2" x14ac:dyDescent="0.2">
      <c r="A6553" s="68">
        <v>36087</v>
      </c>
      <c r="B6553" s="69">
        <v>1.0671999999999999</v>
      </c>
    </row>
    <row r="6554" spans="1:2" x14ac:dyDescent="0.2">
      <c r="A6554" s="68">
        <v>36084</v>
      </c>
      <c r="B6554" s="69">
        <v>1.0666</v>
      </c>
    </row>
    <row r="6555" spans="1:2" x14ac:dyDescent="0.2">
      <c r="A6555" s="68">
        <v>36083</v>
      </c>
      <c r="B6555" s="69">
        <v>1.0672999999999999</v>
      </c>
    </row>
    <row r="6556" spans="1:2" x14ac:dyDescent="0.2">
      <c r="A6556" s="68">
        <v>36082</v>
      </c>
      <c r="B6556" s="69">
        <v>1.0682</v>
      </c>
    </row>
    <row r="6557" spans="1:2" x14ac:dyDescent="0.2">
      <c r="A6557" s="68">
        <v>36081</v>
      </c>
      <c r="B6557" s="69">
        <v>1.0672999999999999</v>
      </c>
    </row>
    <row r="6558" spans="1:2" x14ac:dyDescent="0.2">
      <c r="A6558" s="68">
        <v>36080</v>
      </c>
      <c r="B6558" s="69">
        <v>1.0671999999999999</v>
      </c>
    </row>
    <row r="6559" spans="1:2" x14ac:dyDescent="0.2">
      <c r="A6559" s="68">
        <v>36077</v>
      </c>
      <c r="B6559" s="69">
        <v>1.0672999999999999</v>
      </c>
    </row>
    <row r="6560" spans="1:2" x14ac:dyDescent="0.2">
      <c r="A6560" s="68">
        <v>36076</v>
      </c>
      <c r="B6560" s="69">
        <v>1.0671999999999999</v>
      </c>
    </row>
    <row r="6561" spans="1:2" x14ac:dyDescent="0.2">
      <c r="A6561" s="68">
        <v>36075</v>
      </c>
      <c r="B6561" s="69">
        <v>1.0672999999999999</v>
      </c>
    </row>
    <row r="6562" spans="1:2" x14ac:dyDescent="0.2">
      <c r="A6562" s="68">
        <v>36074</v>
      </c>
      <c r="B6562" s="69">
        <v>1.0677000000000001</v>
      </c>
    </row>
    <row r="6563" spans="1:2" x14ac:dyDescent="0.2">
      <c r="A6563" s="68">
        <v>36073</v>
      </c>
      <c r="B6563" s="69">
        <v>1.0671999999999999</v>
      </c>
    </row>
    <row r="6564" spans="1:2" x14ac:dyDescent="0.2">
      <c r="A6564" s="68">
        <v>36068</v>
      </c>
      <c r="B6564" s="69">
        <v>1.0672999999999999</v>
      </c>
    </row>
    <row r="6565" spans="1:2" x14ac:dyDescent="0.2">
      <c r="A6565" s="68">
        <v>36067</v>
      </c>
      <c r="B6565" s="69">
        <v>1.0671999999999999</v>
      </c>
    </row>
    <row r="6566" spans="1:2" x14ac:dyDescent="0.2">
      <c r="A6566" s="68">
        <v>36066</v>
      </c>
      <c r="B6566" s="69">
        <v>1.0673999999999999</v>
      </c>
    </row>
    <row r="6567" spans="1:2" x14ac:dyDescent="0.2">
      <c r="A6567" s="68">
        <v>36063</v>
      </c>
      <c r="B6567" s="69">
        <v>1.0670999999999999</v>
      </c>
    </row>
    <row r="6568" spans="1:2" x14ac:dyDescent="0.2">
      <c r="A6568" s="68">
        <v>36062</v>
      </c>
      <c r="B6568" s="69">
        <v>1.0671999999999999</v>
      </c>
    </row>
    <row r="6569" spans="1:2" x14ac:dyDescent="0.2">
      <c r="A6569" s="68">
        <v>36061</v>
      </c>
      <c r="B6569" s="69">
        <v>1.0673999999999999</v>
      </c>
    </row>
    <row r="6570" spans="1:2" x14ac:dyDescent="0.2">
      <c r="A6570" s="68">
        <v>36060</v>
      </c>
      <c r="B6570" s="69">
        <v>1.0674999999999999</v>
      </c>
    </row>
    <row r="6571" spans="1:2" x14ac:dyDescent="0.2">
      <c r="A6571" s="68">
        <v>36059</v>
      </c>
      <c r="B6571" s="69">
        <v>1.0676000000000001</v>
      </c>
    </row>
    <row r="6572" spans="1:2" x14ac:dyDescent="0.2">
      <c r="A6572" s="68">
        <v>36056</v>
      </c>
      <c r="B6572" s="69">
        <v>1.0674999999999999</v>
      </c>
    </row>
    <row r="6573" spans="1:2" x14ac:dyDescent="0.2">
      <c r="A6573" s="68">
        <v>36055</v>
      </c>
      <c r="B6573" s="69">
        <v>1.0679000000000001</v>
      </c>
    </row>
    <row r="6574" spans="1:2" x14ac:dyDescent="0.2">
      <c r="A6574" s="68">
        <v>36054</v>
      </c>
      <c r="B6574" s="69">
        <v>1.0679000000000001</v>
      </c>
    </row>
    <row r="6575" spans="1:2" x14ac:dyDescent="0.2">
      <c r="A6575" s="68">
        <v>36053</v>
      </c>
      <c r="B6575" s="69">
        <v>1.0673999999999999</v>
      </c>
    </row>
    <row r="6576" spans="1:2" x14ac:dyDescent="0.2">
      <c r="A6576" s="68">
        <v>36052</v>
      </c>
      <c r="B6576" s="69">
        <v>1.0672999999999999</v>
      </c>
    </row>
    <row r="6577" spans="1:2" x14ac:dyDescent="0.2">
      <c r="A6577" s="68">
        <v>36049</v>
      </c>
      <c r="B6577" s="69">
        <v>1.0677000000000001</v>
      </c>
    </row>
    <row r="6578" spans="1:2" x14ac:dyDescent="0.2">
      <c r="A6578" s="68">
        <v>36048</v>
      </c>
      <c r="B6578" s="69">
        <v>1.0677000000000001</v>
      </c>
    </row>
    <row r="6579" spans="1:2" x14ac:dyDescent="0.2">
      <c r="A6579" s="68">
        <v>36047</v>
      </c>
      <c r="B6579" s="69">
        <v>1.0678000000000001</v>
      </c>
    </row>
    <row r="6580" spans="1:2" x14ac:dyDescent="0.2">
      <c r="A6580" s="68">
        <v>36046</v>
      </c>
      <c r="B6580" s="69">
        <v>1.0680000000000001</v>
      </c>
    </row>
    <row r="6581" spans="1:2" x14ac:dyDescent="0.2">
      <c r="A6581" s="68">
        <v>36045</v>
      </c>
      <c r="B6581" s="69">
        <v>1.0683</v>
      </c>
    </row>
    <row r="6582" spans="1:2" x14ac:dyDescent="0.2">
      <c r="A6582" s="68">
        <v>36042</v>
      </c>
      <c r="B6582" s="69">
        <v>1.0688</v>
      </c>
    </row>
    <row r="6583" spans="1:2" x14ac:dyDescent="0.2">
      <c r="A6583" s="68">
        <v>36041</v>
      </c>
      <c r="B6583" s="69">
        <v>1.0687</v>
      </c>
    </row>
    <row r="6584" spans="1:2" x14ac:dyDescent="0.2">
      <c r="A6584" s="68">
        <v>36040</v>
      </c>
      <c r="B6584" s="69">
        <v>1.0683</v>
      </c>
    </row>
    <row r="6585" spans="1:2" x14ac:dyDescent="0.2">
      <c r="A6585" s="68">
        <v>36039</v>
      </c>
      <c r="B6585" s="69">
        <v>1.0687</v>
      </c>
    </row>
    <row r="6586" spans="1:2" x14ac:dyDescent="0.2">
      <c r="A6586" s="68">
        <v>36038</v>
      </c>
      <c r="B6586" s="69">
        <v>1.0691999999999999</v>
      </c>
    </row>
    <row r="6587" spans="1:2" x14ac:dyDescent="0.2">
      <c r="A6587" s="68">
        <v>36035</v>
      </c>
      <c r="B6587" s="69">
        <v>1.0690999999999999</v>
      </c>
    </row>
    <row r="6588" spans="1:2" x14ac:dyDescent="0.2">
      <c r="A6588" s="68">
        <v>36034</v>
      </c>
      <c r="B6588" s="69">
        <v>1.0692999999999999</v>
      </c>
    </row>
    <row r="6589" spans="1:2" x14ac:dyDescent="0.2">
      <c r="A6589" s="68">
        <v>36033</v>
      </c>
      <c r="B6589" s="69">
        <v>1.0687</v>
      </c>
    </row>
    <row r="6590" spans="1:2" x14ac:dyDescent="0.2">
      <c r="A6590" s="68">
        <v>36032</v>
      </c>
      <c r="B6590" s="69">
        <v>1.0688</v>
      </c>
    </row>
    <row r="6591" spans="1:2" x14ac:dyDescent="0.2">
      <c r="A6591" s="68">
        <v>36031</v>
      </c>
      <c r="B6591" s="69">
        <v>1.069</v>
      </c>
    </row>
    <row r="6592" spans="1:2" x14ac:dyDescent="0.2">
      <c r="A6592" s="68">
        <v>36028</v>
      </c>
      <c r="B6592" s="69">
        <v>1.0686</v>
      </c>
    </row>
    <row r="6593" spans="1:2" x14ac:dyDescent="0.2">
      <c r="A6593" s="68">
        <v>36027</v>
      </c>
      <c r="B6593" s="69">
        <v>1.0684</v>
      </c>
    </row>
    <row r="6594" spans="1:2" x14ac:dyDescent="0.2">
      <c r="A6594" s="68">
        <v>36026</v>
      </c>
      <c r="B6594" s="69">
        <v>1.0681</v>
      </c>
    </row>
    <row r="6595" spans="1:2" x14ac:dyDescent="0.2">
      <c r="A6595" s="68">
        <v>36025</v>
      </c>
      <c r="B6595" s="69">
        <v>1.0682</v>
      </c>
    </row>
    <row r="6596" spans="1:2" x14ac:dyDescent="0.2">
      <c r="A6596" s="68">
        <v>36024</v>
      </c>
      <c r="B6596" s="69">
        <v>1.0682</v>
      </c>
    </row>
    <row r="6597" spans="1:2" x14ac:dyDescent="0.2">
      <c r="A6597" s="68">
        <v>36021</v>
      </c>
      <c r="B6597" s="69">
        <v>1.0685</v>
      </c>
    </row>
    <row r="6598" spans="1:2" x14ac:dyDescent="0.2">
      <c r="A6598" s="68">
        <v>36020</v>
      </c>
      <c r="B6598" s="69">
        <v>1.069</v>
      </c>
    </row>
    <row r="6599" spans="1:2" x14ac:dyDescent="0.2">
      <c r="A6599" s="68">
        <v>36019</v>
      </c>
      <c r="B6599" s="69">
        <v>1.0685</v>
      </c>
    </row>
    <row r="6600" spans="1:2" x14ac:dyDescent="0.2">
      <c r="A6600" s="68">
        <v>36018</v>
      </c>
      <c r="B6600" s="69">
        <v>1.069</v>
      </c>
    </row>
    <row r="6601" spans="1:2" x14ac:dyDescent="0.2">
      <c r="A6601" s="68">
        <v>36017</v>
      </c>
      <c r="B6601" s="69">
        <v>1.0682</v>
      </c>
    </row>
    <row r="6602" spans="1:2" x14ac:dyDescent="0.2">
      <c r="A6602" s="68">
        <v>36014</v>
      </c>
      <c r="B6602" s="69">
        <v>1.0682</v>
      </c>
    </row>
    <row r="6603" spans="1:2" x14ac:dyDescent="0.2">
      <c r="A6603" s="68">
        <v>36013</v>
      </c>
      <c r="B6603" s="69">
        <v>1.0682</v>
      </c>
    </row>
    <row r="6604" spans="1:2" x14ac:dyDescent="0.2">
      <c r="A6604" s="68">
        <v>36012</v>
      </c>
      <c r="B6604" s="69">
        <v>1.0681</v>
      </c>
    </row>
    <row r="6605" spans="1:2" x14ac:dyDescent="0.2">
      <c r="A6605" s="68">
        <v>36011</v>
      </c>
      <c r="B6605" s="69">
        <v>1.0682</v>
      </c>
    </row>
    <row r="6606" spans="1:2" x14ac:dyDescent="0.2">
      <c r="A6606" s="68">
        <v>36010</v>
      </c>
      <c r="B6606" s="69">
        <v>1.0681</v>
      </c>
    </row>
    <row r="6607" spans="1:2" x14ac:dyDescent="0.2">
      <c r="A6607" s="68">
        <v>36007</v>
      </c>
      <c r="B6607" s="69">
        <v>1.0681</v>
      </c>
    </row>
    <row r="6608" spans="1:2" x14ac:dyDescent="0.2">
      <c r="A6608" s="68">
        <v>36006</v>
      </c>
      <c r="B6608" s="69">
        <v>1.0683</v>
      </c>
    </row>
    <row r="6609" spans="1:2" x14ac:dyDescent="0.2">
      <c r="A6609" s="68">
        <v>36005</v>
      </c>
      <c r="B6609" s="69">
        <v>1.0686</v>
      </c>
    </row>
    <row r="6610" spans="1:2" x14ac:dyDescent="0.2">
      <c r="A6610" s="68">
        <v>36004</v>
      </c>
      <c r="B6610" s="69">
        <v>1.0681</v>
      </c>
    </row>
    <row r="6611" spans="1:2" x14ac:dyDescent="0.2">
      <c r="A6611" s="68">
        <v>36003</v>
      </c>
      <c r="B6611" s="69">
        <v>1.0682</v>
      </c>
    </row>
    <row r="6612" spans="1:2" x14ac:dyDescent="0.2">
      <c r="A6612" s="68">
        <v>36000</v>
      </c>
      <c r="B6612" s="69">
        <v>1.0684</v>
      </c>
    </row>
    <row r="6613" spans="1:2" x14ac:dyDescent="0.2">
      <c r="A6613" s="68">
        <v>35999</v>
      </c>
      <c r="B6613" s="69">
        <v>1.0686</v>
      </c>
    </row>
    <row r="6614" spans="1:2" x14ac:dyDescent="0.2">
      <c r="A6614" s="68">
        <v>35998</v>
      </c>
      <c r="B6614" s="69">
        <v>1.0687</v>
      </c>
    </row>
    <row r="6615" spans="1:2" x14ac:dyDescent="0.2">
      <c r="A6615" s="68">
        <v>35997</v>
      </c>
      <c r="B6615" s="69">
        <v>1.0681</v>
      </c>
    </row>
    <row r="6616" spans="1:2" x14ac:dyDescent="0.2">
      <c r="A6616" s="68">
        <v>35996</v>
      </c>
      <c r="B6616" s="69">
        <v>1.0680000000000001</v>
      </c>
    </row>
    <row r="6617" spans="1:2" x14ac:dyDescent="0.2">
      <c r="A6617" s="68">
        <v>35993</v>
      </c>
      <c r="B6617" s="69">
        <v>1.0679000000000001</v>
      </c>
    </row>
    <row r="6618" spans="1:2" x14ac:dyDescent="0.2">
      <c r="A6618" s="68">
        <v>35992</v>
      </c>
      <c r="B6618" s="69">
        <v>1.0678000000000001</v>
      </c>
    </row>
    <row r="6619" spans="1:2" x14ac:dyDescent="0.2">
      <c r="A6619" s="68">
        <v>35991</v>
      </c>
      <c r="B6619" s="69">
        <v>1.0680000000000001</v>
      </c>
    </row>
    <row r="6620" spans="1:2" x14ac:dyDescent="0.2">
      <c r="A6620" s="68">
        <v>35990</v>
      </c>
      <c r="B6620" s="69">
        <v>1.0691999999999999</v>
      </c>
    </row>
    <row r="6621" spans="1:2" x14ac:dyDescent="0.2">
      <c r="A6621" s="68">
        <v>35989</v>
      </c>
      <c r="B6621" s="69">
        <v>1.0691999999999999</v>
      </c>
    </row>
    <row r="6622" spans="1:2" x14ac:dyDescent="0.2">
      <c r="A6622" s="68">
        <v>35986</v>
      </c>
      <c r="B6622" s="69">
        <v>1.069</v>
      </c>
    </row>
    <row r="6623" spans="1:2" x14ac:dyDescent="0.2">
      <c r="A6623" s="68">
        <v>35985</v>
      </c>
      <c r="B6623" s="69">
        <v>1.069</v>
      </c>
    </row>
    <row r="6624" spans="1:2" x14ac:dyDescent="0.2">
      <c r="A6624" s="68">
        <v>35984</v>
      </c>
      <c r="B6624" s="69">
        <v>1.0692999999999999</v>
      </c>
    </row>
    <row r="6625" spans="1:2" x14ac:dyDescent="0.2">
      <c r="A6625" s="68">
        <v>35983</v>
      </c>
      <c r="B6625" s="69">
        <v>1.0693999999999999</v>
      </c>
    </row>
    <row r="6626" spans="1:2" x14ac:dyDescent="0.2">
      <c r="A6626" s="68">
        <v>35982</v>
      </c>
      <c r="B6626" s="69">
        <v>1.0691999999999999</v>
      </c>
    </row>
    <row r="6627" spans="1:2" x14ac:dyDescent="0.2">
      <c r="A6627" s="68">
        <v>35979</v>
      </c>
      <c r="B6627" s="69">
        <v>1.0682</v>
      </c>
    </row>
    <row r="6628" spans="1:2" x14ac:dyDescent="0.2">
      <c r="A6628" s="68">
        <v>35978</v>
      </c>
      <c r="B6628" s="69">
        <v>1.0683</v>
      </c>
    </row>
    <row r="6629" spans="1:2" x14ac:dyDescent="0.2">
      <c r="A6629" s="68">
        <v>35977</v>
      </c>
      <c r="B6629" s="69">
        <v>1.0683</v>
      </c>
    </row>
    <row r="6630" spans="1:2" x14ac:dyDescent="0.2">
      <c r="A6630" s="68">
        <v>35976</v>
      </c>
      <c r="B6630" s="69">
        <v>1.0689</v>
      </c>
    </row>
    <row r="6631" spans="1:2" x14ac:dyDescent="0.2">
      <c r="A6631" s="68">
        <v>35975</v>
      </c>
      <c r="B6631" s="69">
        <v>1.0693999999999999</v>
      </c>
    </row>
    <row r="6632" spans="1:2" x14ac:dyDescent="0.2">
      <c r="A6632" s="68">
        <v>35972</v>
      </c>
      <c r="B6632" s="69">
        <v>1.0693999999999999</v>
      </c>
    </row>
    <row r="6633" spans="1:2" x14ac:dyDescent="0.2">
      <c r="A6633" s="68">
        <v>35971</v>
      </c>
      <c r="B6633" s="69">
        <v>1.0698000000000001</v>
      </c>
    </row>
    <row r="6634" spans="1:2" x14ac:dyDescent="0.2">
      <c r="A6634" s="68">
        <v>35970</v>
      </c>
      <c r="B6634" s="69">
        <v>1.0701000000000001</v>
      </c>
    </row>
    <row r="6635" spans="1:2" x14ac:dyDescent="0.2">
      <c r="A6635" s="68">
        <v>35969</v>
      </c>
      <c r="B6635" s="69">
        <v>1.07</v>
      </c>
    </row>
    <row r="6636" spans="1:2" x14ac:dyDescent="0.2">
      <c r="A6636" s="68">
        <v>35968</v>
      </c>
      <c r="B6636" s="69">
        <v>1.0699000000000001</v>
      </c>
    </row>
    <row r="6637" spans="1:2" x14ac:dyDescent="0.2">
      <c r="A6637" s="68">
        <v>35965</v>
      </c>
      <c r="B6637" s="69">
        <v>1.0699000000000001</v>
      </c>
    </row>
    <row r="6638" spans="1:2" x14ac:dyDescent="0.2">
      <c r="A6638" s="68">
        <v>35964</v>
      </c>
      <c r="B6638" s="69">
        <v>1.0702</v>
      </c>
    </row>
    <row r="6639" spans="1:2" x14ac:dyDescent="0.2">
      <c r="A6639" s="68">
        <v>35963</v>
      </c>
      <c r="B6639" s="69">
        <v>1.07</v>
      </c>
    </row>
    <row r="6640" spans="1:2" x14ac:dyDescent="0.2">
      <c r="A6640" s="68">
        <v>35962</v>
      </c>
      <c r="B6640" s="69">
        <v>1.07</v>
      </c>
    </row>
    <row r="6641" spans="1:2" x14ac:dyDescent="0.2">
      <c r="A6641" s="68">
        <v>35961</v>
      </c>
      <c r="B6641" s="69">
        <v>1.0696000000000001</v>
      </c>
    </row>
    <row r="6642" spans="1:2" x14ac:dyDescent="0.2">
      <c r="A6642" s="68">
        <v>35958</v>
      </c>
      <c r="B6642" s="69">
        <v>1.0702</v>
      </c>
    </row>
    <row r="6643" spans="1:2" x14ac:dyDescent="0.2">
      <c r="A6643" s="68">
        <v>35957</v>
      </c>
      <c r="B6643" s="69">
        <v>1.0690999999999999</v>
      </c>
    </row>
    <row r="6644" spans="1:2" x14ac:dyDescent="0.2">
      <c r="A6644" s="68">
        <v>35956</v>
      </c>
      <c r="B6644" s="69">
        <v>1.0691999999999999</v>
      </c>
    </row>
    <row r="6645" spans="1:2" x14ac:dyDescent="0.2">
      <c r="A6645" s="68">
        <v>35955</v>
      </c>
      <c r="B6645" s="69">
        <v>1.069</v>
      </c>
    </row>
    <row r="6646" spans="1:2" x14ac:dyDescent="0.2">
      <c r="A6646" s="68">
        <v>35954</v>
      </c>
      <c r="B6646" s="69">
        <v>1.0688</v>
      </c>
    </row>
    <row r="6647" spans="1:2" x14ac:dyDescent="0.2">
      <c r="A6647" s="68">
        <v>35951</v>
      </c>
      <c r="B6647" s="69">
        <v>1.0686</v>
      </c>
    </row>
    <row r="6648" spans="1:2" x14ac:dyDescent="0.2">
      <c r="A6648" s="68">
        <v>35950</v>
      </c>
      <c r="B6648" s="69">
        <v>1.0690999999999999</v>
      </c>
    </row>
    <row r="6649" spans="1:2" x14ac:dyDescent="0.2">
      <c r="A6649" s="68">
        <v>35949</v>
      </c>
      <c r="B6649" s="69">
        <v>1.0692999999999999</v>
      </c>
    </row>
    <row r="6650" spans="1:2" x14ac:dyDescent="0.2">
      <c r="A6650" s="68">
        <v>35948</v>
      </c>
      <c r="B6650" s="69">
        <v>1.0692999999999999</v>
      </c>
    </row>
    <row r="6651" spans="1:2" x14ac:dyDescent="0.2">
      <c r="A6651" s="68">
        <v>35947</v>
      </c>
      <c r="B6651" s="69">
        <v>1.0691999999999999</v>
      </c>
    </row>
    <row r="6652" spans="1:2" x14ac:dyDescent="0.2">
      <c r="A6652" s="68">
        <v>35944</v>
      </c>
      <c r="B6652" s="69">
        <v>1.0693999999999999</v>
      </c>
    </row>
    <row r="6653" spans="1:2" x14ac:dyDescent="0.2">
      <c r="A6653" s="68">
        <v>35943</v>
      </c>
      <c r="B6653" s="69">
        <v>1.0692999999999999</v>
      </c>
    </row>
    <row r="6654" spans="1:2" x14ac:dyDescent="0.2">
      <c r="A6654" s="68">
        <v>35942</v>
      </c>
      <c r="B6654" s="69">
        <v>1.0692999999999999</v>
      </c>
    </row>
    <row r="6655" spans="1:2" x14ac:dyDescent="0.2">
      <c r="A6655" s="68">
        <v>35941</v>
      </c>
      <c r="B6655" s="69">
        <v>1.0692999999999999</v>
      </c>
    </row>
    <row r="6656" spans="1:2" x14ac:dyDescent="0.2">
      <c r="A6656" s="68">
        <v>35940</v>
      </c>
      <c r="B6656" s="69">
        <v>1.0687</v>
      </c>
    </row>
    <row r="6657" spans="1:2" x14ac:dyDescent="0.2">
      <c r="A6657" s="68">
        <v>35937</v>
      </c>
      <c r="B6657" s="69">
        <v>1.0687</v>
      </c>
    </row>
    <row r="6658" spans="1:2" x14ac:dyDescent="0.2">
      <c r="A6658" s="68">
        <v>35936</v>
      </c>
      <c r="B6658" s="69">
        <v>1.0690999999999999</v>
      </c>
    </row>
    <row r="6659" spans="1:2" x14ac:dyDescent="0.2">
      <c r="A6659" s="68">
        <v>35935</v>
      </c>
      <c r="B6659" s="69">
        <v>1.0690999999999999</v>
      </c>
    </row>
    <row r="6660" spans="1:2" x14ac:dyDescent="0.2">
      <c r="A6660" s="68">
        <v>35934</v>
      </c>
      <c r="B6660" s="69">
        <v>1.0690999999999999</v>
      </c>
    </row>
    <row r="6661" spans="1:2" x14ac:dyDescent="0.2">
      <c r="A6661" s="68">
        <v>35933</v>
      </c>
      <c r="B6661" s="69">
        <v>1.0693999999999999</v>
      </c>
    </row>
    <row r="6662" spans="1:2" x14ac:dyDescent="0.2">
      <c r="A6662" s="68">
        <v>35930</v>
      </c>
      <c r="B6662" s="69">
        <v>1.0692999999999999</v>
      </c>
    </row>
    <row r="6663" spans="1:2" x14ac:dyDescent="0.2">
      <c r="A6663" s="68">
        <v>35929</v>
      </c>
      <c r="B6663" s="69">
        <v>1.0692999999999999</v>
      </c>
    </row>
    <row r="6664" spans="1:2" x14ac:dyDescent="0.2">
      <c r="A6664" s="68">
        <v>35928</v>
      </c>
      <c r="B6664" s="69">
        <v>1.0688</v>
      </c>
    </row>
    <row r="6665" spans="1:2" x14ac:dyDescent="0.2">
      <c r="A6665" s="68">
        <v>35927</v>
      </c>
      <c r="B6665" s="69">
        <v>1.0688</v>
      </c>
    </row>
    <row r="6666" spans="1:2" x14ac:dyDescent="0.2">
      <c r="A6666" s="68">
        <v>35926</v>
      </c>
      <c r="B6666" s="69">
        <v>1.069</v>
      </c>
    </row>
    <row r="6667" spans="1:2" x14ac:dyDescent="0.2">
      <c r="A6667" s="68">
        <v>35923</v>
      </c>
      <c r="B6667" s="69">
        <v>1.069</v>
      </c>
    </row>
    <row r="6668" spans="1:2" x14ac:dyDescent="0.2">
      <c r="A6668" s="68">
        <v>35922</v>
      </c>
      <c r="B6668" s="69">
        <v>1.0689</v>
      </c>
    </row>
    <row r="6669" spans="1:2" x14ac:dyDescent="0.2">
      <c r="A6669" s="68">
        <v>35921</v>
      </c>
      <c r="B6669" s="69">
        <v>1.069</v>
      </c>
    </row>
    <row r="6670" spans="1:2" x14ac:dyDescent="0.2">
      <c r="A6670" s="68">
        <v>35920</v>
      </c>
      <c r="B6670" s="69">
        <v>1.0687</v>
      </c>
    </row>
    <row r="6671" spans="1:2" x14ac:dyDescent="0.2">
      <c r="A6671" s="68">
        <v>35919</v>
      </c>
      <c r="B6671" s="69">
        <v>1.0687</v>
      </c>
    </row>
    <row r="6672" spans="1:2" x14ac:dyDescent="0.2">
      <c r="A6672" s="68">
        <v>35915</v>
      </c>
      <c r="B6672" s="69">
        <v>1.0683</v>
      </c>
    </row>
    <row r="6673" spans="1:2" x14ac:dyDescent="0.2">
      <c r="A6673" s="68">
        <v>35914</v>
      </c>
      <c r="B6673" s="69">
        <v>1.0688</v>
      </c>
    </row>
    <row r="6674" spans="1:2" x14ac:dyDescent="0.2">
      <c r="A6674" s="68">
        <v>35913</v>
      </c>
      <c r="B6674" s="69">
        <v>1.0689</v>
      </c>
    </row>
    <row r="6675" spans="1:2" x14ac:dyDescent="0.2">
      <c r="A6675" s="68">
        <v>35912</v>
      </c>
      <c r="B6675" s="69">
        <v>1.0688</v>
      </c>
    </row>
    <row r="6676" spans="1:2" x14ac:dyDescent="0.2">
      <c r="A6676" s="68">
        <v>35909</v>
      </c>
      <c r="B6676" s="69">
        <v>1.0689</v>
      </c>
    </row>
    <row r="6677" spans="1:2" x14ac:dyDescent="0.2">
      <c r="A6677" s="68">
        <v>35908</v>
      </c>
      <c r="B6677" s="69">
        <v>1.0689</v>
      </c>
    </row>
    <row r="6678" spans="1:2" x14ac:dyDescent="0.2">
      <c r="A6678" s="68">
        <v>35907</v>
      </c>
      <c r="B6678" s="69">
        <v>1.0690999999999999</v>
      </c>
    </row>
    <row r="6679" spans="1:2" x14ac:dyDescent="0.2">
      <c r="A6679" s="68">
        <v>35906</v>
      </c>
      <c r="B6679" s="69">
        <v>1.0692999999999999</v>
      </c>
    </row>
    <row r="6680" spans="1:2" x14ac:dyDescent="0.2">
      <c r="A6680" s="68">
        <v>35905</v>
      </c>
      <c r="B6680" s="69">
        <v>1.0687</v>
      </c>
    </row>
    <row r="6681" spans="1:2" x14ac:dyDescent="0.2">
      <c r="A6681" s="68">
        <v>35902</v>
      </c>
      <c r="B6681" s="69">
        <v>1.0688</v>
      </c>
    </row>
    <row r="6682" spans="1:2" x14ac:dyDescent="0.2">
      <c r="A6682" s="68">
        <v>35901</v>
      </c>
      <c r="B6682" s="69">
        <v>1.0685</v>
      </c>
    </row>
    <row r="6683" spans="1:2" x14ac:dyDescent="0.2">
      <c r="A6683" s="68">
        <v>35900</v>
      </c>
      <c r="B6683" s="69">
        <v>1.0678000000000001</v>
      </c>
    </row>
    <row r="6684" spans="1:2" x14ac:dyDescent="0.2">
      <c r="A6684" s="68">
        <v>35899</v>
      </c>
      <c r="B6684" s="69">
        <v>1.0686</v>
      </c>
    </row>
    <row r="6685" spans="1:2" x14ac:dyDescent="0.2">
      <c r="A6685" s="68">
        <v>35898</v>
      </c>
      <c r="B6685" s="69">
        <v>1.0685</v>
      </c>
    </row>
    <row r="6686" spans="1:2" x14ac:dyDescent="0.2">
      <c r="A6686" s="68">
        <v>35895</v>
      </c>
      <c r="B6686" s="69">
        <v>1.0685</v>
      </c>
    </row>
    <row r="6687" spans="1:2" x14ac:dyDescent="0.2">
      <c r="A6687" s="68">
        <v>35894</v>
      </c>
      <c r="B6687" s="69">
        <v>1.0690999999999999</v>
      </c>
    </row>
    <row r="6688" spans="1:2" x14ac:dyDescent="0.2">
      <c r="A6688" s="68">
        <v>35893</v>
      </c>
      <c r="B6688" s="69">
        <v>1.0691999999999999</v>
      </c>
    </row>
    <row r="6689" spans="1:2" x14ac:dyDescent="0.2">
      <c r="A6689" s="68">
        <v>35892</v>
      </c>
      <c r="B6689" s="69">
        <v>1.069</v>
      </c>
    </row>
    <row r="6690" spans="1:2" x14ac:dyDescent="0.2">
      <c r="A6690" s="68">
        <v>35891</v>
      </c>
      <c r="B6690" s="69">
        <v>1.0691999999999999</v>
      </c>
    </row>
    <row r="6691" spans="1:2" x14ac:dyDescent="0.2">
      <c r="A6691" s="68">
        <v>35888</v>
      </c>
      <c r="B6691" s="69">
        <v>1.0691999999999999</v>
      </c>
    </row>
    <row r="6692" spans="1:2" x14ac:dyDescent="0.2">
      <c r="A6692" s="68">
        <v>35887</v>
      </c>
      <c r="B6692" s="69">
        <v>1.0690999999999999</v>
      </c>
    </row>
    <row r="6693" spans="1:2" x14ac:dyDescent="0.2">
      <c r="A6693" s="68">
        <v>35886</v>
      </c>
      <c r="B6693" s="69">
        <v>1.0689</v>
      </c>
    </row>
    <row r="6694" spans="1:2" x14ac:dyDescent="0.2">
      <c r="A6694" s="68">
        <v>35885</v>
      </c>
      <c r="B6694" s="69">
        <v>1.0691999999999999</v>
      </c>
    </row>
    <row r="6695" spans="1:2" x14ac:dyDescent="0.2">
      <c r="A6695" s="68">
        <v>35884</v>
      </c>
      <c r="B6695" s="69">
        <v>1.0691999999999999</v>
      </c>
    </row>
    <row r="6696" spans="1:2" x14ac:dyDescent="0.2">
      <c r="A6696" s="68">
        <v>35881</v>
      </c>
      <c r="B6696" s="69">
        <v>1.0692999999999999</v>
      </c>
    </row>
    <row r="6697" spans="1:2" x14ac:dyDescent="0.2">
      <c r="A6697" s="68">
        <v>35880</v>
      </c>
      <c r="B6697" s="69">
        <v>1.0692999999999999</v>
      </c>
    </row>
    <row r="6698" spans="1:2" x14ac:dyDescent="0.2">
      <c r="A6698" s="68">
        <v>35879</v>
      </c>
      <c r="B6698" s="69">
        <v>1.0691999999999999</v>
      </c>
    </row>
    <row r="6699" spans="1:2" x14ac:dyDescent="0.2">
      <c r="A6699" s="68">
        <v>35878</v>
      </c>
      <c r="B6699" s="69">
        <v>1.0692999999999999</v>
      </c>
    </row>
    <row r="6700" spans="1:2" x14ac:dyDescent="0.2">
      <c r="A6700" s="68">
        <v>35877</v>
      </c>
      <c r="B6700" s="69">
        <v>1.069</v>
      </c>
    </row>
    <row r="6701" spans="1:2" x14ac:dyDescent="0.2">
      <c r="A6701" s="68">
        <v>35874</v>
      </c>
      <c r="B6701" s="69">
        <v>1.0692999999999999</v>
      </c>
    </row>
    <row r="6702" spans="1:2" x14ac:dyDescent="0.2">
      <c r="A6702" s="68">
        <v>35873</v>
      </c>
      <c r="B6702" s="69">
        <v>1.0693999999999999</v>
      </c>
    </row>
    <row r="6703" spans="1:2" x14ac:dyDescent="0.2">
      <c r="A6703" s="68">
        <v>35872</v>
      </c>
      <c r="B6703" s="69">
        <v>1.0694999999999999</v>
      </c>
    </row>
    <row r="6704" spans="1:2" x14ac:dyDescent="0.2">
      <c r="A6704" s="68">
        <v>35871</v>
      </c>
      <c r="B6704" s="69">
        <v>1.0699000000000001</v>
      </c>
    </row>
    <row r="6705" spans="1:2" x14ac:dyDescent="0.2">
      <c r="A6705" s="68">
        <v>35870</v>
      </c>
      <c r="B6705" s="69">
        <v>1.0697000000000001</v>
      </c>
    </row>
    <row r="6706" spans="1:2" x14ac:dyDescent="0.2">
      <c r="A6706" s="68">
        <v>35867</v>
      </c>
      <c r="B6706" s="69">
        <v>1.0697000000000001</v>
      </c>
    </row>
    <row r="6707" spans="1:2" x14ac:dyDescent="0.2">
      <c r="A6707" s="68">
        <v>35866</v>
      </c>
      <c r="B6707" s="69">
        <v>1.0698000000000001</v>
      </c>
    </row>
    <row r="6708" spans="1:2" x14ac:dyDescent="0.2">
      <c r="A6708" s="68">
        <v>35865</v>
      </c>
      <c r="B6708" s="69">
        <v>1.0699000000000001</v>
      </c>
    </row>
    <row r="6709" spans="1:2" x14ac:dyDescent="0.2">
      <c r="A6709" s="68">
        <v>35864</v>
      </c>
      <c r="B6709" s="69">
        <v>1.0698000000000001</v>
      </c>
    </row>
    <row r="6710" spans="1:2" x14ac:dyDescent="0.2">
      <c r="A6710" s="68">
        <v>35863</v>
      </c>
      <c r="B6710" s="69">
        <v>1.0697000000000001</v>
      </c>
    </row>
    <row r="6711" spans="1:2" x14ac:dyDescent="0.2">
      <c r="A6711" s="68">
        <v>35860</v>
      </c>
      <c r="B6711" s="69">
        <v>1.0699000000000001</v>
      </c>
    </row>
    <row r="6712" spans="1:2" x14ac:dyDescent="0.2">
      <c r="A6712" s="68">
        <v>35859</v>
      </c>
      <c r="B6712" s="69">
        <v>1.0699000000000001</v>
      </c>
    </row>
    <row r="6713" spans="1:2" x14ac:dyDescent="0.2">
      <c r="A6713" s="68">
        <v>35858</v>
      </c>
      <c r="B6713" s="69">
        <v>1.0701000000000001</v>
      </c>
    </row>
    <row r="6714" spans="1:2" x14ac:dyDescent="0.2">
      <c r="A6714" s="68">
        <v>35857</v>
      </c>
      <c r="B6714" s="69">
        <v>1.0698000000000001</v>
      </c>
    </row>
    <row r="6715" spans="1:2" x14ac:dyDescent="0.2">
      <c r="A6715" s="68">
        <v>35856</v>
      </c>
      <c r="B6715" s="69">
        <v>1.0699000000000001</v>
      </c>
    </row>
    <row r="6716" spans="1:2" x14ac:dyDescent="0.2">
      <c r="A6716" s="68">
        <v>35853</v>
      </c>
      <c r="B6716" s="69">
        <v>1.0698000000000001</v>
      </c>
    </row>
    <row r="6717" spans="1:2" x14ac:dyDescent="0.2">
      <c r="A6717" s="68">
        <v>35852</v>
      </c>
      <c r="B6717" s="69">
        <v>1.0694999999999999</v>
      </c>
    </row>
    <row r="6718" spans="1:2" x14ac:dyDescent="0.2">
      <c r="A6718" s="68">
        <v>35851</v>
      </c>
      <c r="B6718" s="69">
        <v>1.0693999999999999</v>
      </c>
    </row>
    <row r="6719" spans="1:2" x14ac:dyDescent="0.2">
      <c r="A6719" s="68">
        <v>35850</v>
      </c>
      <c r="B6719" s="69">
        <v>1.0696000000000001</v>
      </c>
    </row>
    <row r="6720" spans="1:2" x14ac:dyDescent="0.2">
      <c r="A6720" s="68">
        <v>35849</v>
      </c>
      <c r="B6720" s="69">
        <v>1.0699000000000001</v>
      </c>
    </row>
    <row r="6721" spans="1:2" x14ac:dyDescent="0.2">
      <c r="A6721" s="68">
        <v>35846</v>
      </c>
      <c r="B6721" s="69">
        <v>1.0697000000000001</v>
      </c>
    </row>
    <row r="6722" spans="1:2" x14ac:dyDescent="0.2">
      <c r="A6722" s="68">
        <v>35845</v>
      </c>
      <c r="B6722" s="69">
        <v>1.0702</v>
      </c>
    </row>
    <row r="6723" spans="1:2" x14ac:dyDescent="0.2">
      <c r="A6723" s="68">
        <v>35844</v>
      </c>
      <c r="B6723" s="69">
        <v>1.0704</v>
      </c>
    </row>
    <row r="6724" spans="1:2" x14ac:dyDescent="0.2">
      <c r="A6724" s="68">
        <v>35843</v>
      </c>
      <c r="B6724" s="69">
        <v>1.0704</v>
      </c>
    </row>
    <row r="6725" spans="1:2" x14ac:dyDescent="0.2">
      <c r="A6725" s="68">
        <v>35842</v>
      </c>
      <c r="B6725" s="69">
        <v>1.0705</v>
      </c>
    </row>
    <row r="6726" spans="1:2" x14ac:dyDescent="0.2">
      <c r="A6726" s="68">
        <v>35839</v>
      </c>
      <c r="B6726" s="69">
        <v>1.0705</v>
      </c>
    </row>
    <row r="6727" spans="1:2" x14ac:dyDescent="0.2">
      <c r="A6727" s="68">
        <v>35838</v>
      </c>
      <c r="B6727" s="69">
        <v>1.0709</v>
      </c>
    </row>
    <row r="6728" spans="1:2" x14ac:dyDescent="0.2">
      <c r="A6728" s="68">
        <v>35837</v>
      </c>
      <c r="B6728" s="69">
        <v>1.0706</v>
      </c>
    </row>
    <row r="6729" spans="1:2" x14ac:dyDescent="0.2">
      <c r="A6729" s="68">
        <v>35836</v>
      </c>
      <c r="B6729" s="69">
        <v>1.0706</v>
      </c>
    </row>
    <row r="6730" spans="1:2" x14ac:dyDescent="0.2">
      <c r="A6730" s="68">
        <v>35835</v>
      </c>
      <c r="B6730" s="69">
        <v>1.071</v>
      </c>
    </row>
    <row r="6731" spans="1:2" x14ac:dyDescent="0.2">
      <c r="A6731" s="68">
        <v>35832</v>
      </c>
      <c r="B6731" s="69">
        <v>1.0707</v>
      </c>
    </row>
    <row r="6732" spans="1:2" x14ac:dyDescent="0.2">
      <c r="A6732" s="68">
        <v>35831</v>
      </c>
      <c r="B6732" s="69">
        <v>1.0708</v>
      </c>
    </row>
    <row r="6733" spans="1:2" x14ac:dyDescent="0.2">
      <c r="A6733" s="68">
        <v>35830</v>
      </c>
      <c r="B6733" s="69">
        <v>1.0704</v>
      </c>
    </row>
    <row r="6734" spans="1:2" x14ac:dyDescent="0.2">
      <c r="A6734" s="68">
        <v>35822</v>
      </c>
      <c r="B6734" s="69">
        <v>1.0704</v>
      </c>
    </row>
    <row r="6735" spans="1:2" x14ac:dyDescent="0.2">
      <c r="A6735" s="68">
        <v>35821</v>
      </c>
      <c r="B6735" s="69">
        <v>1.0707</v>
      </c>
    </row>
    <row r="6736" spans="1:2" x14ac:dyDescent="0.2">
      <c r="A6736" s="68">
        <v>35820</v>
      </c>
      <c r="B6736" s="69">
        <v>1.0705</v>
      </c>
    </row>
    <row r="6737" spans="1:2" x14ac:dyDescent="0.2">
      <c r="A6737" s="68">
        <v>35819</v>
      </c>
      <c r="B6737" s="69">
        <v>1.0701000000000001</v>
      </c>
    </row>
    <row r="6738" spans="1:2" x14ac:dyDescent="0.2">
      <c r="A6738" s="68">
        <v>35818</v>
      </c>
      <c r="B6738" s="69">
        <v>1.0705</v>
      </c>
    </row>
    <row r="6739" spans="1:2" x14ac:dyDescent="0.2">
      <c r="A6739" s="68">
        <v>35817</v>
      </c>
      <c r="B6739" s="69">
        <v>1.0703</v>
      </c>
    </row>
    <row r="6740" spans="1:2" x14ac:dyDescent="0.2">
      <c r="A6740" s="68">
        <v>35816</v>
      </c>
      <c r="B6740" s="69">
        <v>1.0704</v>
      </c>
    </row>
    <row r="6741" spans="1:2" x14ac:dyDescent="0.2">
      <c r="A6741" s="68">
        <v>35815</v>
      </c>
      <c r="B6741" s="69">
        <v>1.0706</v>
      </c>
    </row>
    <row r="6742" spans="1:2" x14ac:dyDescent="0.2">
      <c r="A6742" s="68">
        <v>35814</v>
      </c>
      <c r="B6742" s="69">
        <v>1.0708</v>
      </c>
    </row>
    <row r="6743" spans="1:2" x14ac:dyDescent="0.2">
      <c r="A6743" s="68">
        <v>35811</v>
      </c>
      <c r="B6743" s="69">
        <v>1.0701000000000001</v>
      </c>
    </row>
    <row r="6744" spans="1:2" x14ac:dyDescent="0.2">
      <c r="A6744" s="68">
        <v>35810</v>
      </c>
      <c r="B6744" s="69">
        <v>1.07</v>
      </c>
    </row>
    <row r="6745" spans="1:2" x14ac:dyDescent="0.2">
      <c r="A6745" s="68">
        <v>35809</v>
      </c>
      <c r="B6745" s="69">
        <v>1.07</v>
      </c>
    </row>
    <row r="6746" spans="1:2" x14ac:dyDescent="0.2">
      <c r="A6746" s="68">
        <v>35808</v>
      </c>
      <c r="B6746" s="69">
        <v>1.0706</v>
      </c>
    </row>
    <row r="6747" spans="1:2" x14ac:dyDescent="0.2">
      <c r="A6747" s="68">
        <v>35807</v>
      </c>
      <c r="B6747" s="69">
        <v>1.0701000000000001</v>
      </c>
    </row>
    <row r="6748" spans="1:2" x14ac:dyDescent="0.2">
      <c r="A6748" s="68">
        <v>35804</v>
      </c>
      <c r="B6748" s="69">
        <v>1.0699000000000001</v>
      </c>
    </row>
    <row r="6749" spans="1:2" x14ac:dyDescent="0.2">
      <c r="A6749" s="68">
        <v>35803</v>
      </c>
      <c r="B6749" s="69">
        <v>1.0693999999999999</v>
      </c>
    </row>
    <row r="6750" spans="1:2" x14ac:dyDescent="0.2">
      <c r="A6750" s="68">
        <v>35802</v>
      </c>
      <c r="B6750" s="69">
        <v>1.0685</v>
      </c>
    </row>
    <row r="6751" spans="1:2" x14ac:dyDescent="0.2">
      <c r="A6751" s="68">
        <v>35801</v>
      </c>
      <c r="B6751" s="69">
        <v>1.0684</v>
      </c>
    </row>
    <row r="6752" spans="1:2" x14ac:dyDescent="0.2">
      <c r="A6752" s="68">
        <v>35800</v>
      </c>
      <c r="B6752" s="69">
        <v>1.0693999999999999</v>
      </c>
    </row>
    <row r="6753" spans="1:2" x14ac:dyDescent="0.2">
      <c r="A6753" s="68">
        <v>35799</v>
      </c>
      <c r="B6753" s="69">
        <v>1.0699000000000001</v>
      </c>
    </row>
    <row r="6754" spans="1:2" x14ac:dyDescent="0.2">
      <c r="A6754" s="68">
        <v>35795</v>
      </c>
      <c r="B6754" s="69">
        <v>1.0681</v>
      </c>
    </row>
    <row r="6755" spans="1:2" x14ac:dyDescent="0.2">
      <c r="A6755" s="68">
        <v>35794</v>
      </c>
      <c r="B6755" s="69">
        <v>1.0684</v>
      </c>
    </row>
    <row r="6756" spans="1:2" x14ac:dyDescent="0.2">
      <c r="A6756" s="68">
        <v>35793</v>
      </c>
      <c r="B6756" s="69">
        <v>1.0692999999999999</v>
      </c>
    </row>
    <row r="6757" spans="1:2" x14ac:dyDescent="0.2">
      <c r="A6757" s="68">
        <v>35790</v>
      </c>
      <c r="B6757" s="69">
        <v>1.069</v>
      </c>
    </row>
    <row r="6758" spans="1:2" x14ac:dyDescent="0.2">
      <c r="A6758" s="68">
        <v>35789</v>
      </c>
      <c r="B6758" s="69">
        <v>1.0687</v>
      </c>
    </row>
    <row r="6759" spans="1:2" x14ac:dyDescent="0.2">
      <c r="A6759" s="68">
        <v>35788</v>
      </c>
      <c r="B6759" s="69">
        <v>1.0687</v>
      </c>
    </row>
    <row r="6760" spans="1:2" x14ac:dyDescent="0.2">
      <c r="A6760" s="68">
        <v>35787</v>
      </c>
      <c r="B6760" s="69">
        <v>1.0689</v>
      </c>
    </row>
    <row r="6761" spans="1:2" x14ac:dyDescent="0.2">
      <c r="A6761" s="68">
        <v>35786</v>
      </c>
      <c r="B6761" s="69">
        <v>1.0686</v>
      </c>
    </row>
    <row r="6762" spans="1:2" x14ac:dyDescent="0.2">
      <c r="A6762" s="68">
        <v>35783</v>
      </c>
      <c r="B6762" s="69">
        <v>1.0688</v>
      </c>
    </row>
    <row r="6763" spans="1:2" x14ac:dyDescent="0.2">
      <c r="A6763" s="68">
        <v>35782</v>
      </c>
      <c r="B6763" s="69">
        <v>1.0689</v>
      </c>
    </row>
    <row r="6764" spans="1:2" x14ac:dyDescent="0.2">
      <c r="A6764" s="68">
        <v>35781</v>
      </c>
      <c r="B6764" s="69">
        <v>1.0689</v>
      </c>
    </row>
    <row r="6765" spans="1:2" x14ac:dyDescent="0.2">
      <c r="A6765" s="68">
        <v>35780</v>
      </c>
      <c r="B6765" s="69">
        <v>1.069</v>
      </c>
    </row>
    <row r="6766" spans="1:2" x14ac:dyDescent="0.2">
      <c r="A6766" s="68">
        <v>35779</v>
      </c>
      <c r="B6766" s="69">
        <v>1.0691999999999999</v>
      </c>
    </row>
    <row r="6767" spans="1:2" x14ac:dyDescent="0.2">
      <c r="A6767" s="68">
        <v>35776</v>
      </c>
      <c r="B6767" s="69">
        <v>1.07</v>
      </c>
    </row>
    <row r="6768" spans="1:2" x14ac:dyDescent="0.2">
      <c r="A6768" s="68">
        <v>35775</v>
      </c>
      <c r="B6768" s="69">
        <v>1.0705</v>
      </c>
    </row>
    <row r="6769" spans="1:2" x14ac:dyDescent="0.2">
      <c r="A6769" s="68">
        <v>35774</v>
      </c>
      <c r="B6769" s="69">
        <v>1.0708</v>
      </c>
    </row>
    <row r="6770" spans="1:2" x14ac:dyDescent="0.2">
      <c r="A6770" s="68">
        <v>35773</v>
      </c>
      <c r="B6770" s="69">
        <v>1.0709</v>
      </c>
    </row>
    <row r="6771" spans="1:2" x14ac:dyDescent="0.2">
      <c r="A6771" s="68">
        <v>35772</v>
      </c>
      <c r="B6771" s="69">
        <v>1.071</v>
      </c>
    </row>
    <row r="6772" spans="1:2" x14ac:dyDescent="0.2">
      <c r="A6772" s="68">
        <v>35769</v>
      </c>
      <c r="B6772" s="69">
        <v>1.0709</v>
      </c>
    </row>
    <row r="6773" spans="1:2" x14ac:dyDescent="0.2">
      <c r="A6773" s="68">
        <v>35768</v>
      </c>
      <c r="B6773" s="69">
        <v>1.071</v>
      </c>
    </row>
    <row r="6774" spans="1:2" x14ac:dyDescent="0.2">
      <c r="A6774" s="68">
        <v>35767</v>
      </c>
      <c r="B6774" s="69">
        <v>1.0711999999999999</v>
      </c>
    </row>
    <row r="6775" spans="1:2" x14ac:dyDescent="0.2">
      <c r="A6775" s="68">
        <v>35766</v>
      </c>
      <c r="B6775" s="69">
        <v>1.0711999999999999</v>
      </c>
    </row>
    <row r="6776" spans="1:2" x14ac:dyDescent="0.2">
      <c r="A6776" s="68">
        <v>35765</v>
      </c>
      <c r="B6776" s="69">
        <v>1.0714999999999999</v>
      </c>
    </row>
    <row r="6777" spans="1:2" x14ac:dyDescent="0.2">
      <c r="A6777" s="68">
        <v>35762</v>
      </c>
      <c r="B6777" s="69">
        <v>1.0716000000000001</v>
      </c>
    </row>
    <row r="6778" spans="1:2" x14ac:dyDescent="0.2">
      <c r="A6778" s="68">
        <v>35761</v>
      </c>
      <c r="B6778" s="69">
        <v>1.0717000000000001</v>
      </c>
    </row>
    <row r="6779" spans="1:2" x14ac:dyDescent="0.2">
      <c r="A6779" s="68">
        <v>35760</v>
      </c>
      <c r="B6779" s="69">
        <v>1.0716000000000001</v>
      </c>
    </row>
    <row r="6780" spans="1:2" x14ac:dyDescent="0.2">
      <c r="A6780" s="68">
        <v>35759</v>
      </c>
      <c r="B6780" s="69">
        <v>1.0717000000000001</v>
      </c>
    </row>
    <row r="6781" spans="1:2" x14ac:dyDescent="0.2">
      <c r="A6781" s="68">
        <v>35758</v>
      </c>
      <c r="B6781" s="69">
        <v>1.0717000000000001</v>
      </c>
    </row>
    <row r="6782" spans="1:2" x14ac:dyDescent="0.2">
      <c r="A6782" s="68">
        <v>35755</v>
      </c>
      <c r="B6782" s="69">
        <v>1.0716000000000001</v>
      </c>
    </row>
    <row r="6783" spans="1:2" x14ac:dyDescent="0.2">
      <c r="A6783" s="68">
        <v>35754</v>
      </c>
      <c r="B6783" s="69">
        <v>1.0712999999999999</v>
      </c>
    </row>
    <row r="6784" spans="1:2" x14ac:dyDescent="0.2">
      <c r="A6784" s="68">
        <v>35753</v>
      </c>
      <c r="B6784" s="69">
        <v>1.0718000000000001</v>
      </c>
    </row>
    <row r="6785" spans="1:2" x14ac:dyDescent="0.2">
      <c r="A6785" s="68">
        <v>35752</v>
      </c>
      <c r="B6785" s="69">
        <v>1.0720000000000001</v>
      </c>
    </row>
    <row r="6786" spans="1:2" x14ac:dyDescent="0.2">
      <c r="A6786" s="68">
        <v>35751</v>
      </c>
      <c r="B6786" s="69">
        <v>1.0716000000000001</v>
      </c>
    </row>
    <row r="6787" spans="1:2" x14ac:dyDescent="0.2">
      <c r="A6787" s="68">
        <v>35748</v>
      </c>
      <c r="B6787" s="69">
        <v>1.0712999999999999</v>
      </c>
    </row>
    <row r="6788" spans="1:2" x14ac:dyDescent="0.2">
      <c r="A6788" s="68">
        <v>35747</v>
      </c>
      <c r="B6788" s="69">
        <v>1.0713999999999999</v>
      </c>
    </row>
    <row r="6789" spans="1:2" x14ac:dyDescent="0.2">
      <c r="A6789" s="68">
        <v>35746</v>
      </c>
      <c r="B6789" s="69">
        <v>1.0713999999999999</v>
      </c>
    </row>
    <row r="6790" spans="1:2" x14ac:dyDescent="0.2">
      <c r="A6790" s="68">
        <v>35745</v>
      </c>
      <c r="B6790" s="69">
        <v>1.0721000000000001</v>
      </c>
    </row>
    <row r="6791" spans="1:2" x14ac:dyDescent="0.2">
      <c r="A6791" s="68">
        <v>35744</v>
      </c>
      <c r="B6791" s="69">
        <v>1.0717000000000001</v>
      </c>
    </row>
    <row r="6792" spans="1:2" x14ac:dyDescent="0.2">
      <c r="A6792" s="68">
        <v>35741</v>
      </c>
      <c r="B6792" s="69">
        <v>1.0714999999999999</v>
      </c>
    </row>
    <row r="6793" spans="1:2" x14ac:dyDescent="0.2">
      <c r="A6793" s="68">
        <v>35740</v>
      </c>
      <c r="B6793" s="69">
        <v>1.0713999999999999</v>
      </c>
    </row>
    <row r="6794" spans="1:2" x14ac:dyDescent="0.2">
      <c r="A6794" s="68">
        <v>35739</v>
      </c>
      <c r="B6794" s="69">
        <v>1.0710999999999999</v>
      </c>
    </row>
    <row r="6795" spans="1:2" x14ac:dyDescent="0.2">
      <c r="A6795" s="68">
        <v>35738</v>
      </c>
      <c r="B6795" s="69">
        <v>1.0716000000000001</v>
      </c>
    </row>
    <row r="6796" spans="1:2" x14ac:dyDescent="0.2">
      <c r="A6796" s="68">
        <v>35737</v>
      </c>
      <c r="B6796" s="69">
        <v>1.0723</v>
      </c>
    </row>
    <row r="6797" spans="1:2" x14ac:dyDescent="0.2">
      <c r="A6797" s="68">
        <v>35734</v>
      </c>
      <c r="B6797" s="69">
        <v>1.0721000000000001</v>
      </c>
    </row>
    <row r="6798" spans="1:2" x14ac:dyDescent="0.2">
      <c r="A6798" s="68">
        <v>35733</v>
      </c>
      <c r="B6798" s="69">
        <v>1.071</v>
      </c>
    </row>
    <row r="6799" spans="1:2" x14ac:dyDescent="0.2">
      <c r="A6799" s="68">
        <v>35732</v>
      </c>
      <c r="B6799" s="69">
        <v>1.0719000000000001</v>
      </c>
    </row>
    <row r="6800" spans="1:2" x14ac:dyDescent="0.2">
      <c r="A6800" s="68">
        <v>35731</v>
      </c>
      <c r="B6800" s="69">
        <v>1.0719000000000001</v>
      </c>
    </row>
    <row r="6801" spans="1:2" x14ac:dyDescent="0.2">
      <c r="A6801" s="68">
        <v>35730</v>
      </c>
      <c r="B6801" s="69">
        <v>1.0747</v>
      </c>
    </row>
    <row r="6802" spans="1:2" x14ac:dyDescent="0.2">
      <c r="A6802" s="68">
        <v>35727</v>
      </c>
      <c r="B6802" s="69">
        <v>1.0702</v>
      </c>
    </row>
    <row r="6803" spans="1:2" x14ac:dyDescent="0.2">
      <c r="A6803" s="68">
        <v>35726</v>
      </c>
      <c r="B6803" s="69">
        <v>1.0698000000000001</v>
      </c>
    </row>
    <row r="6804" spans="1:2" x14ac:dyDescent="0.2">
      <c r="A6804" s="68">
        <v>35725</v>
      </c>
      <c r="B6804" s="69">
        <v>1.07</v>
      </c>
    </row>
    <row r="6805" spans="1:2" x14ac:dyDescent="0.2">
      <c r="A6805" s="68">
        <v>35724</v>
      </c>
      <c r="B6805" s="69">
        <v>1.0703</v>
      </c>
    </row>
    <row r="6806" spans="1:2" x14ac:dyDescent="0.2">
      <c r="A6806" s="68">
        <v>35723</v>
      </c>
      <c r="B6806" s="69">
        <v>1.0705</v>
      </c>
    </row>
    <row r="6807" spans="1:2" x14ac:dyDescent="0.2">
      <c r="A6807" s="68">
        <v>35720</v>
      </c>
      <c r="B6807" s="69">
        <v>1.0708</v>
      </c>
    </row>
    <row r="6808" spans="1:2" x14ac:dyDescent="0.2">
      <c r="A6808" s="68">
        <v>35719</v>
      </c>
      <c r="B6808" s="69">
        <v>1.071</v>
      </c>
    </row>
    <row r="6809" spans="1:2" x14ac:dyDescent="0.2">
      <c r="A6809" s="68">
        <v>35718</v>
      </c>
      <c r="B6809" s="69">
        <v>1.0711999999999999</v>
      </c>
    </row>
    <row r="6810" spans="1:2" x14ac:dyDescent="0.2">
      <c r="A6810" s="68">
        <v>35717</v>
      </c>
      <c r="B6810" s="69">
        <v>1.0708</v>
      </c>
    </row>
    <row r="6811" spans="1:2" x14ac:dyDescent="0.2">
      <c r="A6811" s="68">
        <v>35716</v>
      </c>
      <c r="B6811" s="69">
        <v>1.0705</v>
      </c>
    </row>
    <row r="6812" spans="1:2" x14ac:dyDescent="0.2">
      <c r="A6812" s="68">
        <v>35713</v>
      </c>
      <c r="B6812" s="69">
        <v>1.0706</v>
      </c>
    </row>
    <row r="6813" spans="1:2" x14ac:dyDescent="0.2">
      <c r="A6813" s="68">
        <v>35712</v>
      </c>
      <c r="B6813" s="69">
        <v>1.0704</v>
      </c>
    </row>
    <row r="6814" spans="1:2" x14ac:dyDescent="0.2">
      <c r="A6814" s="68">
        <v>35711</v>
      </c>
      <c r="B6814" s="69">
        <v>1.0706</v>
      </c>
    </row>
    <row r="6815" spans="1:2" x14ac:dyDescent="0.2">
      <c r="A6815" s="68">
        <v>35710</v>
      </c>
      <c r="B6815" s="69">
        <v>1.0704</v>
      </c>
    </row>
    <row r="6816" spans="1:2" x14ac:dyDescent="0.2">
      <c r="A6816" s="68">
        <v>35709</v>
      </c>
      <c r="B6816" s="69">
        <v>1.0704</v>
      </c>
    </row>
    <row r="6817" spans="1:2" x14ac:dyDescent="0.2">
      <c r="A6817" s="68">
        <v>35708</v>
      </c>
      <c r="B6817" s="69">
        <v>1.0704</v>
      </c>
    </row>
    <row r="6818" spans="1:2" x14ac:dyDescent="0.2">
      <c r="A6818" s="68">
        <v>35703</v>
      </c>
      <c r="B6818" s="69">
        <v>1.0701000000000001</v>
      </c>
    </row>
    <row r="6819" spans="1:2" x14ac:dyDescent="0.2">
      <c r="A6819" s="68">
        <v>35702</v>
      </c>
      <c r="B6819" s="69">
        <v>1.0701000000000001</v>
      </c>
    </row>
    <row r="6820" spans="1:2" x14ac:dyDescent="0.2">
      <c r="A6820" s="68">
        <v>35699</v>
      </c>
      <c r="B6820" s="69">
        <v>1.0701000000000001</v>
      </c>
    </row>
    <row r="6821" spans="1:2" x14ac:dyDescent="0.2">
      <c r="A6821" s="68">
        <v>35698</v>
      </c>
      <c r="B6821" s="69">
        <v>1.07</v>
      </c>
    </row>
    <row r="6822" spans="1:2" x14ac:dyDescent="0.2">
      <c r="A6822" s="68">
        <v>35697</v>
      </c>
      <c r="B6822" s="69">
        <v>1.07</v>
      </c>
    </row>
    <row r="6823" spans="1:2" x14ac:dyDescent="0.2">
      <c r="A6823" s="68">
        <v>35696</v>
      </c>
      <c r="B6823" s="69">
        <v>1.0699000000000001</v>
      </c>
    </row>
    <row r="6824" spans="1:2" x14ac:dyDescent="0.2">
      <c r="A6824" s="68">
        <v>35695</v>
      </c>
      <c r="B6824" s="69">
        <v>1.07</v>
      </c>
    </row>
    <row r="6825" spans="1:2" x14ac:dyDescent="0.2">
      <c r="A6825" s="68">
        <v>35692</v>
      </c>
      <c r="B6825" s="69">
        <v>1.0698000000000001</v>
      </c>
    </row>
    <row r="6826" spans="1:2" x14ac:dyDescent="0.2">
      <c r="A6826" s="68">
        <v>35691</v>
      </c>
      <c r="B6826" s="69">
        <v>1.0698000000000001</v>
      </c>
    </row>
    <row r="6827" spans="1:2" x14ac:dyDescent="0.2">
      <c r="A6827" s="68">
        <v>35690</v>
      </c>
      <c r="B6827" s="69">
        <v>1.0698000000000001</v>
      </c>
    </row>
    <row r="6828" spans="1:2" x14ac:dyDescent="0.2">
      <c r="A6828" s="68">
        <v>35689</v>
      </c>
      <c r="B6828" s="69">
        <v>1.0716000000000001</v>
      </c>
    </row>
    <row r="6829" spans="1:2" x14ac:dyDescent="0.2">
      <c r="A6829" s="68">
        <v>35688</v>
      </c>
      <c r="B6829" s="69">
        <v>1.07</v>
      </c>
    </row>
    <row r="6830" spans="1:2" x14ac:dyDescent="0.2">
      <c r="A6830" s="68">
        <v>35685</v>
      </c>
      <c r="B6830" s="69">
        <v>1.07</v>
      </c>
    </row>
    <row r="6831" spans="1:2" x14ac:dyDescent="0.2">
      <c r="A6831" s="68">
        <v>35684</v>
      </c>
      <c r="B6831" s="69">
        <v>1.0702</v>
      </c>
    </row>
    <row r="6832" spans="1:2" x14ac:dyDescent="0.2">
      <c r="A6832" s="68">
        <v>35683</v>
      </c>
      <c r="B6832" s="69">
        <v>1.0693999999999999</v>
      </c>
    </row>
    <row r="6833" spans="1:2" x14ac:dyDescent="0.2">
      <c r="A6833" s="68">
        <v>35682</v>
      </c>
      <c r="B6833" s="69">
        <v>1.0694999999999999</v>
      </c>
    </row>
    <row r="6834" spans="1:2" x14ac:dyDescent="0.2">
      <c r="A6834" s="68">
        <v>35681</v>
      </c>
      <c r="B6834" s="69">
        <v>1.0698000000000001</v>
      </c>
    </row>
    <row r="6835" spans="1:2" x14ac:dyDescent="0.2">
      <c r="A6835" s="68">
        <v>35678</v>
      </c>
      <c r="B6835" s="69">
        <v>1.0703</v>
      </c>
    </row>
    <row r="6836" spans="1:2" x14ac:dyDescent="0.2">
      <c r="A6836" s="68">
        <v>35677</v>
      </c>
      <c r="B6836" s="69">
        <v>1.0691999999999999</v>
      </c>
    </row>
    <row r="6837" spans="1:2" x14ac:dyDescent="0.2">
      <c r="A6837" s="68">
        <v>35676</v>
      </c>
      <c r="B6837" s="69">
        <v>1.0698000000000001</v>
      </c>
    </row>
    <row r="6838" spans="1:2" x14ac:dyDescent="0.2">
      <c r="A6838" s="68">
        <v>35675</v>
      </c>
      <c r="B6838" s="69">
        <v>1.0699000000000001</v>
      </c>
    </row>
    <row r="6839" spans="1:2" x14ac:dyDescent="0.2">
      <c r="A6839" s="68">
        <v>35674</v>
      </c>
      <c r="B6839" s="69">
        <v>1.0702</v>
      </c>
    </row>
    <row r="6840" spans="1:2" x14ac:dyDescent="0.2">
      <c r="A6840" s="68">
        <v>35671</v>
      </c>
      <c r="B6840" s="69">
        <v>1.0705</v>
      </c>
    </row>
    <row r="6841" spans="1:2" x14ac:dyDescent="0.2">
      <c r="A6841" s="68">
        <v>35670</v>
      </c>
      <c r="B6841" s="69">
        <v>1.0707</v>
      </c>
    </row>
    <row r="6842" spans="1:2" x14ac:dyDescent="0.2">
      <c r="A6842" s="68">
        <v>35669</v>
      </c>
      <c r="B6842" s="69">
        <v>1.0708</v>
      </c>
    </row>
    <row r="6843" spans="1:2" x14ac:dyDescent="0.2">
      <c r="A6843" s="68">
        <v>35668</v>
      </c>
      <c r="B6843" s="69">
        <v>1.0708</v>
      </c>
    </row>
    <row r="6844" spans="1:2" x14ac:dyDescent="0.2">
      <c r="A6844" s="68">
        <v>35667</v>
      </c>
      <c r="B6844" s="69">
        <v>1.0706</v>
      </c>
    </row>
    <row r="6845" spans="1:2" x14ac:dyDescent="0.2">
      <c r="A6845" s="68">
        <v>35664</v>
      </c>
      <c r="B6845" s="69">
        <v>1.0706</v>
      </c>
    </row>
    <row r="6846" spans="1:2" x14ac:dyDescent="0.2">
      <c r="A6846" s="68">
        <v>35663</v>
      </c>
      <c r="B6846" s="69">
        <v>1.0707</v>
      </c>
    </row>
    <row r="6847" spans="1:2" x14ac:dyDescent="0.2">
      <c r="A6847" s="68">
        <v>35662</v>
      </c>
      <c r="B6847" s="69">
        <v>1.0705</v>
      </c>
    </row>
    <row r="6848" spans="1:2" x14ac:dyDescent="0.2">
      <c r="A6848" s="68">
        <v>35661</v>
      </c>
      <c r="B6848" s="69">
        <v>1.0697000000000001</v>
      </c>
    </row>
    <row r="6849" spans="1:2" x14ac:dyDescent="0.2">
      <c r="A6849" s="68">
        <v>35660</v>
      </c>
      <c r="B6849" s="69">
        <v>1.0701000000000001</v>
      </c>
    </row>
    <row r="6850" spans="1:2" x14ac:dyDescent="0.2">
      <c r="A6850" s="68">
        <v>35657</v>
      </c>
      <c r="B6850" s="69">
        <v>1.0699000000000001</v>
      </c>
    </row>
    <row r="6851" spans="1:2" x14ac:dyDescent="0.2">
      <c r="A6851" s="68">
        <v>35656</v>
      </c>
      <c r="B6851" s="69">
        <v>1.0699000000000001</v>
      </c>
    </row>
    <row r="6852" spans="1:2" x14ac:dyDescent="0.2">
      <c r="A6852" s="68">
        <v>35655</v>
      </c>
      <c r="B6852" s="69">
        <v>1.0696000000000001</v>
      </c>
    </row>
    <row r="6853" spans="1:2" x14ac:dyDescent="0.2">
      <c r="A6853" s="68">
        <v>35654</v>
      </c>
      <c r="B6853" s="69">
        <v>1.0699000000000001</v>
      </c>
    </row>
    <row r="6854" spans="1:2" x14ac:dyDescent="0.2">
      <c r="A6854" s="68">
        <v>35653</v>
      </c>
      <c r="B6854" s="69">
        <v>1.0701000000000001</v>
      </c>
    </row>
    <row r="6855" spans="1:2" x14ac:dyDescent="0.2">
      <c r="A6855" s="68">
        <v>35650</v>
      </c>
      <c r="B6855" s="69">
        <v>1.0704</v>
      </c>
    </row>
    <row r="6856" spans="1:2" x14ac:dyDescent="0.2">
      <c r="A6856" s="68">
        <v>35649</v>
      </c>
      <c r="B6856" s="69">
        <v>1.0701000000000001</v>
      </c>
    </row>
    <row r="6857" spans="1:2" x14ac:dyDescent="0.2">
      <c r="A6857" s="68">
        <v>35648</v>
      </c>
      <c r="B6857" s="69">
        <v>1.0702</v>
      </c>
    </row>
    <row r="6858" spans="1:2" x14ac:dyDescent="0.2">
      <c r="A6858" s="68">
        <v>35647</v>
      </c>
      <c r="B6858" s="69">
        <v>1.0703</v>
      </c>
    </row>
    <row r="6859" spans="1:2" x14ac:dyDescent="0.2">
      <c r="A6859" s="68">
        <v>35646</v>
      </c>
      <c r="B6859" s="69">
        <v>1.0701000000000001</v>
      </c>
    </row>
    <row r="6860" spans="1:2" x14ac:dyDescent="0.2">
      <c r="A6860" s="68">
        <v>35643</v>
      </c>
      <c r="B6860" s="69">
        <v>1.0699000000000001</v>
      </c>
    </row>
    <row r="6861" spans="1:2" x14ac:dyDescent="0.2">
      <c r="A6861" s="68">
        <v>35642</v>
      </c>
      <c r="B6861" s="69">
        <v>1.0701000000000001</v>
      </c>
    </row>
    <row r="6862" spans="1:2" x14ac:dyDescent="0.2">
      <c r="A6862" s="68">
        <v>35641</v>
      </c>
      <c r="B6862" s="69">
        <v>1.0701000000000001</v>
      </c>
    </row>
    <row r="6863" spans="1:2" x14ac:dyDescent="0.2">
      <c r="A6863" s="68">
        <v>35640</v>
      </c>
      <c r="B6863" s="69">
        <v>1.0701000000000001</v>
      </c>
    </row>
    <row r="6864" spans="1:2" x14ac:dyDescent="0.2">
      <c r="A6864" s="68">
        <v>35639</v>
      </c>
      <c r="B6864" s="69">
        <v>1.0702</v>
      </c>
    </row>
    <row r="6865" spans="1:2" x14ac:dyDescent="0.2">
      <c r="A6865" s="68">
        <v>35636</v>
      </c>
      <c r="B6865" s="69">
        <v>1.0698000000000001</v>
      </c>
    </row>
    <row r="6866" spans="1:2" x14ac:dyDescent="0.2">
      <c r="A6866" s="68">
        <v>35635</v>
      </c>
      <c r="B6866" s="69">
        <v>1.0699000000000001</v>
      </c>
    </row>
    <row r="6867" spans="1:2" x14ac:dyDescent="0.2">
      <c r="A6867" s="68">
        <v>35634</v>
      </c>
      <c r="B6867" s="69">
        <v>1.0697000000000001</v>
      </c>
    </row>
    <row r="6868" spans="1:2" x14ac:dyDescent="0.2">
      <c r="A6868" s="68">
        <v>35633</v>
      </c>
      <c r="B6868" s="69">
        <v>1.0698000000000001</v>
      </c>
    </row>
    <row r="6869" spans="1:2" x14ac:dyDescent="0.2">
      <c r="A6869" s="68">
        <v>35632</v>
      </c>
      <c r="B6869" s="69">
        <v>1.07</v>
      </c>
    </row>
    <row r="6870" spans="1:2" x14ac:dyDescent="0.2">
      <c r="A6870" s="68">
        <v>35629</v>
      </c>
      <c r="B6870" s="69">
        <v>1.0707</v>
      </c>
    </row>
    <row r="6871" spans="1:2" x14ac:dyDescent="0.2">
      <c r="A6871" s="68">
        <v>35628</v>
      </c>
      <c r="B6871" s="69">
        <v>1.0704</v>
      </c>
    </row>
    <row r="6872" spans="1:2" x14ac:dyDescent="0.2">
      <c r="A6872" s="68">
        <v>35627</v>
      </c>
      <c r="B6872" s="69">
        <v>1.07</v>
      </c>
    </row>
    <row r="6873" spans="1:2" x14ac:dyDescent="0.2">
      <c r="A6873" s="68">
        <v>35626</v>
      </c>
      <c r="B6873" s="69">
        <v>1.0699000000000001</v>
      </c>
    </row>
    <row r="6874" spans="1:2" x14ac:dyDescent="0.2">
      <c r="A6874" s="68">
        <v>35625</v>
      </c>
      <c r="B6874" s="69">
        <v>1.0702</v>
      </c>
    </row>
    <row r="6875" spans="1:2" x14ac:dyDescent="0.2">
      <c r="A6875" s="68">
        <v>35622</v>
      </c>
      <c r="B6875" s="69">
        <v>1.0710999999999999</v>
      </c>
    </row>
    <row r="6876" spans="1:2" x14ac:dyDescent="0.2">
      <c r="A6876" s="68">
        <v>35621</v>
      </c>
      <c r="B6876" s="69">
        <v>1.0712999999999999</v>
      </c>
    </row>
    <row r="6877" spans="1:2" x14ac:dyDescent="0.2">
      <c r="A6877" s="68">
        <v>35620</v>
      </c>
      <c r="B6877" s="69">
        <v>1.0712999999999999</v>
      </c>
    </row>
    <row r="6878" spans="1:2" x14ac:dyDescent="0.2">
      <c r="A6878" s="68">
        <v>35619</v>
      </c>
      <c r="B6878" s="69">
        <v>1.0708</v>
      </c>
    </row>
    <row r="6879" spans="1:2" x14ac:dyDescent="0.2">
      <c r="A6879" s="68">
        <v>35618</v>
      </c>
      <c r="B6879" s="69">
        <v>1.0703</v>
      </c>
    </row>
    <row r="6880" spans="1:2" x14ac:dyDescent="0.2">
      <c r="A6880" s="68">
        <v>35615</v>
      </c>
      <c r="B6880" s="69">
        <v>1.0697000000000001</v>
      </c>
    </row>
    <row r="6881" spans="1:2" x14ac:dyDescent="0.2">
      <c r="A6881" s="68">
        <v>35614</v>
      </c>
      <c r="B6881" s="69">
        <v>1.0690999999999999</v>
      </c>
    </row>
    <row r="6882" spans="1:2" x14ac:dyDescent="0.2">
      <c r="A6882" s="68">
        <v>35613</v>
      </c>
      <c r="B6882" s="69">
        <v>1.0690999999999999</v>
      </c>
    </row>
    <row r="6883" spans="1:2" x14ac:dyDescent="0.2">
      <c r="A6883" s="68">
        <v>35609</v>
      </c>
      <c r="B6883" s="69">
        <v>1.0693999999999999</v>
      </c>
    </row>
    <row r="6884" spans="1:2" x14ac:dyDescent="0.2">
      <c r="A6884" s="68">
        <v>35608</v>
      </c>
      <c r="B6884" s="69">
        <v>1.0696000000000001</v>
      </c>
    </row>
    <row r="6885" spans="1:2" x14ac:dyDescent="0.2">
      <c r="A6885" s="68">
        <v>35607</v>
      </c>
      <c r="B6885" s="69">
        <v>1.0696000000000001</v>
      </c>
    </row>
    <row r="6886" spans="1:2" x14ac:dyDescent="0.2">
      <c r="A6886" s="68">
        <v>35606</v>
      </c>
      <c r="B6886" s="69">
        <v>1.0703</v>
      </c>
    </row>
    <row r="6887" spans="1:2" x14ac:dyDescent="0.2">
      <c r="A6887" s="68">
        <v>35605</v>
      </c>
      <c r="B6887" s="69">
        <v>1.0703</v>
      </c>
    </row>
    <row r="6888" spans="1:2" x14ac:dyDescent="0.2">
      <c r="A6888" s="68">
        <v>35604</v>
      </c>
      <c r="B6888" s="69">
        <v>1.0709</v>
      </c>
    </row>
    <row r="6889" spans="1:2" x14ac:dyDescent="0.2">
      <c r="A6889" s="68">
        <v>35601</v>
      </c>
      <c r="B6889" s="69">
        <v>1.0717000000000001</v>
      </c>
    </row>
    <row r="6890" spans="1:2" x14ac:dyDescent="0.2">
      <c r="A6890" s="68">
        <v>35600</v>
      </c>
      <c r="B6890" s="69">
        <v>1.0718000000000001</v>
      </c>
    </row>
    <row r="6891" spans="1:2" x14ac:dyDescent="0.2">
      <c r="A6891" s="68">
        <v>35599</v>
      </c>
      <c r="B6891" s="69">
        <v>1.0714999999999999</v>
      </c>
    </row>
    <row r="6892" spans="1:2" x14ac:dyDescent="0.2">
      <c r="A6892" s="68">
        <v>35598</v>
      </c>
      <c r="B6892" s="69">
        <v>1.071</v>
      </c>
    </row>
    <row r="6893" spans="1:2" x14ac:dyDescent="0.2">
      <c r="A6893" s="68">
        <v>35597</v>
      </c>
      <c r="B6893" s="69">
        <v>1.071</v>
      </c>
    </row>
    <row r="6894" spans="1:2" x14ac:dyDescent="0.2">
      <c r="A6894" s="68">
        <v>35594</v>
      </c>
      <c r="B6894" s="69">
        <v>1.0707</v>
      </c>
    </row>
    <row r="6895" spans="1:2" x14ac:dyDescent="0.2">
      <c r="A6895" s="68">
        <v>35593</v>
      </c>
      <c r="B6895" s="69">
        <v>1.0707</v>
      </c>
    </row>
    <row r="6896" spans="1:2" x14ac:dyDescent="0.2">
      <c r="A6896" s="68">
        <v>35592</v>
      </c>
      <c r="B6896" s="69">
        <v>1.0704</v>
      </c>
    </row>
    <row r="6897" spans="1:2" x14ac:dyDescent="0.2">
      <c r="A6897" s="68">
        <v>35591</v>
      </c>
      <c r="B6897" s="69">
        <v>1.07</v>
      </c>
    </row>
    <row r="6898" spans="1:2" x14ac:dyDescent="0.2">
      <c r="A6898" s="68">
        <v>35590</v>
      </c>
      <c r="B6898" s="69">
        <v>1.0704</v>
      </c>
    </row>
    <row r="6899" spans="1:2" x14ac:dyDescent="0.2">
      <c r="A6899" s="68">
        <v>35587</v>
      </c>
      <c r="B6899" s="69">
        <v>1.0706</v>
      </c>
    </row>
    <row r="6900" spans="1:2" x14ac:dyDescent="0.2">
      <c r="A6900" s="68">
        <v>35586</v>
      </c>
      <c r="B6900" s="69">
        <v>1.0709</v>
      </c>
    </row>
    <row r="6901" spans="1:2" x14ac:dyDescent="0.2">
      <c r="A6901" s="68">
        <v>35585</v>
      </c>
      <c r="B6901" s="69">
        <v>1.0707</v>
      </c>
    </row>
    <row r="6902" spans="1:2" x14ac:dyDescent="0.2">
      <c r="A6902" s="68">
        <v>35584</v>
      </c>
      <c r="B6902" s="69">
        <v>1.0707</v>
      </c>
    </row>
    <row r="6903" spans="1:2" x14ac:dyDescent="0.2">
      <c r="A6903" s="68">
        <v>35583</v>
      </c>
      <c r="B6903" s="69">
        <v>1.0708</v>
      </c>
    </row>
    <row r="6904" spans="1:2" x14ac:dyDescent="0.2">
      <c r="A6904" s="68">
        <v>35580</v>
      </c>
      <c r="B6904" s="69">
        <v>1.071</v>
      </c>
    </row>
    <row r="6905" spans="1:2" x14ac:dyDescent="0.2">
      <c r="A6905" s="68">
        <v>35579</v>
      </c>
      <c r="B6905" s="69">
        <v>1.0712999999999999</v>
      </c>
    </row>
    <row r="6906" spans="1:2" x14ac:dyDescent="0.2">
      <c r="A6906" s="68">
        <v>35578</v>
      </c>
      <c r="B6906" s="69">
        <v>1.0717000000000001</v>
      </c>
    </row>
    <row r="6907" spans="1:2" x14ac:dyDescent="0.2">
      <c r="A6907" s="68">
        <v>35577</v>
      </c>
      <c r="B6907" s="69">
        <v>1.0720000000000001</v>
      </c>
    </row>
    <row r="6908" spans="1:2" x14ac:dyDescent="0.2">
      <c r="A6908" s="68">
        <v>35576</v>
      </c>
      <c r="B6908" s="69">
        <v>1.0717000000000001</v>
      </c>
    </row>
    <row r="6909" spans="1:2" x14ac:dyDescent="0.2">
      <c r="A6909" s="68">
        <v>35573</v>
      </c>
      <c r="B6909" s="69">
        <v>1.0724</v>
      </c>
    </row>
    <row r="6910" spans="1:2" x14ac:dyDescent="0.2">
      <c r="A6910" s="68">
        <v>35572</v>
      </c>
      <c r="B6910" s="69">
        <v>1.0721000000000001</v>
      </c>
    </row>
    <row r="6911" spans="1:2" x14ac:dyDescent="0.2">
      <c r="A6911" s="68">
        <v>35571</v>
      </c>
      <c r="B6911" s="69">
        <v>1.0718000000000001</v>
      </c>
    </row>
    <row r="6912" spans="1:2" x14ac:dyDescent="0.2">
      <c r="A6912" s="68">
        <v>35570</v>
      </c>
      <c r="B6912" s="69">
        <v>1.0717000000000001</v>
      </c>
    </row>
    <row r="6913" spans="1:2" x14ac:dyDescent="0.2">
      <c r="A6913" s="68">
        <v>35569</v>
      </c>
      <c r="B6913" s="69">
        <v>1.0721000000000001</v>
      </c>
    </row>
    <row r="6914" spans="1:2" x14ac:dyDescent="0.2">
      <c r="A6914" s="68">
        <v>35566</v>
      </c>
      <c r="B6914" s="69">
        <v>1.0719000000000001</v>
      </c>
    </row>
    <row r="6915" spans="1:2" x14ac:dyDescent="0.2">
      <c r="A6915" s="68">
        <v>35565</v>
      </c>
      <c r="B6915" s="69">
        <v>1.0719000000000001</v>
      </c>
    </row>
    <row r="6916" spans="1:2" x14ac:dyDescent="0.2">
      <c r="A6916" s="68">
        <v>35564</v>
      </c>
      <c r="B6916" s="69">
        <v>1.0712999999999999</v>
      </c>
    </row>
    <row r="6917" spans="1:2" x14ac:dyDescent="0.2">
      <c r="A6917" s="68">
        <v>35563</v>
      </c>
      <c r="B6917" s="69">
        <v>1.0712999999999999</v>
      </c>
    </row>
    <row r="6918" spans="1:2" x14ac:dyDescent="0.2">
      <c r="A6918" s="68">
        <v>35562</v>
      </c>
      <c r="B6918" s="69">
        <v>1.0712999999999999</v>
      </c>
    </row>
    <row r="6919" spans="1:2" x14ac:dyDescent="0.2">
      <c r="A6919" s="68">
        <v>35559</v>
      </c>
      <c r="B6919" s="69">
        <v>1.0709</v>
      </c>
    </row>
    <row r="6920" spans="1:2" x14ac:dyDescent="0.2">
      <c r="A6920" s="68">
        <v>35558</v>
      </c>
      <c r="B6920" s="69">
        <v>1.0710999999999999</v>
      </c>
    </row>
    <row r="6921" spans="1:2" x14ac:dyDescent="0.2">
      <c r="A6921" s="68">
        <v>35557</v>
      </c>
      <c r="B6921" s="69">
        <v>1.0709</v>
      </c>
    </row>
    <row r="6922" spans="1:2" x14ac:dyDescent="0.2">
      <c r="A6922" s="68">
        <v>35556</v>
      </c>
      <c r="B6922" s="69">
        <v>1.0710999999999999</v>
      </c>
    </row>
    <row r="6923" spans="1:2" x14ac:dyDescent="0.2">
      <c r="A6923" s="68">
        <v>35555</v>
      </c>
      <c r="B6923" s="69">
        <v>1.0713999999999999</v>
      </c>
    </row>
    <row r="6924" spans="1:2" x14ac:dyDescent="0.2">
      <c r="A6924" s="68">
        <v>35550</v>
      </c>
      <c r="B6924" s="69">
        <v>1.0709</v>
      </c>
    </row>
    <row r="6925" spans="1:2" x14ac:dyDescent="0.2">
      <c r="A6925" s="68">
        <v>35549</v>
      </c>
      <c r="B6925" s="69">
        <v>1.0710999999999999</v>
      </c>
    </row>
    <row r="6926" spans="1:2" x14ac:dyDescent="0.2">
      <c r="A6926" s="68">
        <v>35548</v>
      </c>
      <c r="B6926" s="69">
        <v>1.0708</v>
      </c>
    </row>
    <row r="6927" spans="1:2" x14ac:dyDescent="0.2">
      <c r="A6927" s="68">
        <v>35545</v>
      </c>
      <c r="B6927" s="69">
        <v>1.0708</v>
      </c>
    </row>
    <row r="6928" spans="1:2" x14ac:dyDescent="0.2">
      <c r="A6928" s="68">
        <v>35544</v>
      </c>
      <c r="B6928" s="69">
        <v>1.0707</v>
      </c>
    </row>
    <row r="6929" spans="1:2" x14ac:dyDescent="0.2">
      <c r="A6929" s="68">
        <v>35543</v>
      </c>
      <c r="B6929" s="69">
        <v>1.0705</v>
      </c>
    </row>
    <row r="6930" spans="1:2" x14ac:dyDescent="0.2">
      <c r="A6930" s="68">
        <v>35542</v>
      </c>
      <c r="B6930" s="69">
        <v>1.0711999999999999</v>
      </c>
    </row>
    <row r="6931" spans="1:2" x14ac:dyDescent="0.2">
      <c r="A6931" s="68">
        <v>35541</v>
      </c>
      <c r="B6931" s="69">
        <v>1.071</v>
      </c>
    </row>
    <row r="6932" spans="1:2" x14ac:dyDescent="0.2">
      <c r="A6932" s="68">
        <v>35538</v>
      </c>
      <c r="B6932" s="69">
        <v>1.0710999999999999</v>
      </c>
    </row>
    <row r="6933" spans="1:2" x14ac:dyDescent="0.2">
      <c r="A6933" s="68">
        <v>35537</v>
      </c>
      <c r="B6933" s="69">
        <v>1.0713999999999999</v>
      </c>
    </row>
    <row r="6934" spans="1:2" x14ac:dyDescent="0.2">
      <c r="A6934" s="68">
        <v>35536</v>
      </c>
      <c r="B6934" s="69">
        <v>1.0712999999999999</v>
      </c>
    </row>
    <row r="6935" spans="1:2" x14ac:dyDescent="0.2">
      <c r="A6935" s="68">
        <v>35535</v>
      </c>
      <c r="B6935" s="69">
        <v>1.0716000000000001</v>
      </c>
    </row>
    <row r="6936" spans="1:2" x14ac:dyDescent="0.2">
      <c r="A6936" s="68">
        <v>35534</v>
      </c>
      <c r="B6936" s="69">
        <v>1.0714999999999999</v>
      </c>
    </row>
    <row r="6937" spans="1:2" x14ac:dyDescent="0.2">
      <c r="A6937" s="68">
        <v>35531</v>
      </c>
      <c r="B6937" s="69">
        <v>1.0717000000000001</v>
      </c>
    </row>
    <row r="6938" spans="1:2" x14ac:dyDescent="0.2">
      <c r="A6938" s="68">
        <v>35530</v>
      </c>
      <c r="B6938" s="69">
        <v>1.0716000000000001</v>
      </c>
    </row>
    <row r="6939" spans="1:2" x14ac:dyDescent="0.2">
      <c r="A6939" s="68">
        <v>35529</v>
      </c>
      <c r="B6939" s="69">
        <v>1.0716000000000001</v>
      </c>
    </row>
    <row r="6940" spans="1:2" x14ac:dyDescent="0.2">
      <c r="A6940" s="68">
        <v>35528</v>
      </c>
      <c r="B6940" s="69">
        <v>1.0717000000000001</v>
      </c>
    </row>
    <row r="6941" spans="1:2" x14ac:dyDescent="0.2">
      <c r="A6941" s="68">
        <v>35527</v>
      </c>
      <c r="B6941" s="69">
        <v>1.0718000000000001</v>
      </c>
    </row>
    <row r="6942" spans="1:2" x14ac:dyDescent="0.2">
      <c r="A6942" s="68">
        <v>35524</v>
      </c>
      <c r="B6942" s="69">
        <v>1.0716000000000001</v>
      </c>
    </row>
    <row r="6943" spans="1:2" x14ac:dyDescent="0.2">
      <c r="A6943" s="68">
        <v>35523</v>
      </c>
      <c r="B6943" s="69">
        <v>1.0709</v>
      </c>
    </row>
    <row r="6944" spans="1:2" x14ac:dyDescent="0.2">
      <c r="A6944" s="68">
        <v>35522</v>
      </c>
      <c r="B6944" s="69">
        <v>1.0708</v>
      </c>
    </row>
    <row r="6945" spans="1:2" x14ac:dyDescent="0.2">
      <c r="A6945" s="68">
        <v>35521</v>
      </c>
      <c r="B6945" s="69">
        <v>1.071</v>
      </c>
    </row>
    <row r="6946" spans="1:2" x14ac:dyDescent="0.2">
      <c r="A6946" s="68">
        <v>35520</v>
      </c>
      <c r="B6946" s="69">
        <v>1.0707</v>
      </c>
    </row>
    <row r="6947" spans="1:2" x14ac:dyDescent="0.2">
      <c r="A6947" s="68">
        <v>35517</v>
      </c>
      <c r="B6947" s="69">
        <v>1.0713999999999999</v>
      </c>
    </row>
    <row r="6948" spans="1:2" x14ac:dyDescent="0.2">
      <c r="A6948" s="68">
        <v>35516</v>
      </c>
      <c r="B6948" s="69">
        <v>1.071</v>
      </c>
    </row>
    <row r="6949" spans="1:2" x14ac:dyDescent="0.2">
      <c r="A6949" s="68">
        <v>35515</v>
      </c>
      <c r="B6949" s="69">
        <v>1.071</v>
      </c>
    </row>
    <row r="6950" spans="1:2" x14ac:dyDescent="0.2">
      <c r="A6950" s="68">
        <v>35514</v>
      </c>
      <c r="B6950" s="69">
        <v>1.0710999999999999</v>
      </c>
    </row>
    <row r="6951" spans="1:2" x14ac:dyDescent="0.2">
      <c r="A6951" s="68">
        <v>35513</v>
      </c>
      <c r="B6951" s="69">
        <v>1.0711999999999999</v>
      </c>
    </row>
    <row r="6952" spans="1:2" x14ac:dyDescent="0.2">
      <c r="A6952" s="68">
        <v>35510</v>
      </c>
      <c r="B6952" s="69">
        <v>1.0717000000000001</v>
      </c>
    </row>
    <row r="6953" spans="1:2" x14ac:dyDescent="0.2">
      <c r="A6953" s="68">
        <v>35509</v>
      </c>
      <c r="B6953" s="69">
        <v>1.0712999999999999</v>
      </c>
    </row>
    <row r="6954" spans="1:2" x14ac:dyDescent="0.2">
      <c r="A6954" s="68">
        <v>35508</v>
      </c>
      <c r="B6954" s="69">
        <v>1.0716000000000001</v>
      </c>
    </row>
    <row r="6955" spans="1:2" x14ac:dyDescent="0.2">
      <c r="A6955" s="68">
        <v>35507</v>
      </c>
      <c r="B6955" s="69">
        <v>1.0717000000000001</v>
      </c>
    </row>
    <row r="6956" spans="1:2" x14ac:dyDescent="0.2">
      <c r="A6956" s="68">
        <v>35506</v>
      </c>
      <c r="B6956" s="69">
        <v>1.0718000000000001</v>
      </c>
    </row>
    <row r="6957" spans="1:2" x14ac:dyDescent="0.2">
      <c r="A6957" s="68">
        <v>35503</v>
      </c>
      <c r="B6957" s="69">
        <v>1.0720000000000001</v>
      </c>
    </row>
    <row r="6958" spans="1:2" x14ac:dyDescent="0.2">
      <c r="A6958" s="68">
        <v>35502</v>
      </c>
      <c r="B6958" s="69">
        <v>1.0719000000000001</v>
      </c>
    </row>
    <row r="6959" spans="1:2" x14ac:dyDescent="0.2">
      <c r="A6959" s="68">
        <v>35501</v>
      </c>
      <c r="B6959" s="69">
        <v>1.0717000000000001</v>
      </c>
    </row>
    <row r="6960" spans="1:2" x14ac:dyDescent="0.2">
      <c r="A6960" s="68">
        <v>35500</v>
      </c>
      <c r="B6960" s="69">
        <v>1.0716000000000001</v>
      </c>
    </row>
    <row r="6961" spans="1:2" x14ac:dyDescent="0.2">
      <c r="A6961" s="68">
        <v>35499</v>
      </c>
      <c r="B6961" s="69">
        <v>1.0716000000000001</v>
      </c>
    </row>
    <row r="6962" spans="1:2" x14ac:dyDescent="0.2">
      <c r="A6962" s="68">
        <v>35496</v>
      </c>
      <c r="B6962" s="69">
        <v>1.0717000000000001</v>
      </c>
    </row>
    <row r="6963" spans="1:2" x14ac:dyDescent="0.2">
      <c r="A6963" s="68">
        <v>35495</v>
      </c>
      <c r="B6963" s="69">
        <v>1.0717000000000001</v>
      </c>
    </row>
    <row r="6964" spans="1:2" x14ac:dyDescent="0.2">
      <c r="A6964" s="68">
        <v>35494</v>
      </c>
      <c r="B6964" s="69">
        <v>1.0719000000000001</v>
      </c>
    </row>
    <row r="6965" spans="1:2" x14ac:dyDescent="0.2">
      <c r="A6965" s="68">
        <v>35493</v>
      </c>
      <c r="B6965" s="69">
        <v>1.0718000000000001</v>
      </c>
    </row>
    <row r="6966" spans="1:2" x14ac:dyDescent="0.2">
      <c r="A6966" s="68">
        <v>35492</v>
      </c>
      <c r="B6966" s="69">
        <v>1.0719000000000001</v>
      </c>
    </row>
    <row r="6967" spans="1:2" x14ac:dyDescent="0.2">
      <c r="A6967" s="68">
        <v>35489</v>
      </c>
      <c r="B6967" s="69">
        <v>1.0717000000000001</v>
      </c>
    </row>
    <row r="6968" spans="1:2" x14ac:dyDescent="0.2">
      <c r="A6968" s="68">
        <v>35488</v>
      </c>
      <c r="B6968" s="69">
        <v>1.0720000000000001</v>
      </c>
    </row>
    <row r="6969" spans="1:2" x14ac:dyDescent="0.2">
      <c r="A6969" s="68">
        <v>35487</v>
      </c>
      <c r="B6969" s="69">
        <v>1.0721000000000001</v>
      </c>
    </row>
    <row r="6970" spans="1:2" x14ac:dyDescent="0.2">
      <c r="A6970" s="68">
        <v>35486</v>
      </c>
      <c r="B6970" s="69">
        <v>1.0716000000000001</v>
      </c>
    </row>
    <row r="6971" spans="1:2" x14ac:dyDescent="0.2">
      <c r="A6971" s="68">
        <v>35485</v>
      </c>
      <c r="B6971" s="69">
        <v>1.0712999999999999</v>
      </c>
    </row>
    <row r="6972" spans="1:2" x14ac:dyDescent="0.2">
      <c r="A6972" s="68">
        <v>35482</v>
      </c>
      <c r="B6972" s="69">
        <v>1.0711999999999999</v>
      </c>
    </row>
    <row r="6973" spans="1:2" x14ac:dyDescent="0.2">
      <c r="A6973" s="68">
        <v>35481</v>
      </c>
      <c r="B6973" s="69">
        <v>1.071</v>
      </c>
    </row>
    <row r="6974" spans="1:2" x14ac:dyDescent="0.2">
      <c r="A6974" s="68">
        <v>35480</v>
      </c>
      <c r="B6974" s="69">
        <v>1.0703</v>
      </c>
    </row>
    <row r="6975" spans="1:2" x14ac:dyDescent="0.2">
      <c r="A6975" s="68">
        <v>35479</v>
      </c>
      <c r="B6975" s="69">
        <v>1.07</v>
      </c>
    </row>
    <row r="6976" spans="1:2" x14ac:dyDescent="0.2">
      <c r="A6976" s="68">
        <v>35478</v>
      </c>
      <c r="B6976" s="69">
        <v>1.0706</v>
      </c>
    </row>
    <row r="6977" spans="1:2" x14ac:dyDescent="0.2">
      <c r="A6977" s="68">
        <v>35475</v>
      </c>
      <c r="B6977" s="69">
        <v>1.0704</v>
      </c>
    </row>
    <row r="6978" spans="1:2" x14ac:dyDescent="0.2">
      <c r="A6978" s="68">
        <v>35474</v>
      </c>
      <c r="B6978" s="69">
        <v>1.0703</v>
      </c>
    </row>
    <row r="6979" spans="1:2" x14ac:dyDescent="0.2">
      <c r="A6979" s="68">
        <v>35473</v>
      </c>
      <c r="B6979" s="69">
        <v>1.0680000000000001</v>
      </c>
    </row>
    <row r="6980" spans="1:2" x14ac:dyDescent="0.2">
      <c r="A6980" s="68">
        <v>35467</v>
      </c>
      <c r="B6980" s="69">
        <v>1.069</v>
      </c>
    </row>
    <row r="6981" spans="1:2" x14ac:dyDescent="0.2">
      <c r="A6981" s="68">
        <v>35466</v>
      </c>
      <c r="B6981" s="69">
        <v>1.0697000000000001</v>
      </c>
    </row>
    <row r="6982" spans="1:2" x14ac:dyDescent="0.2">
      <c r="A6982" s="68">
        <v>35465</v>
      </c>
      <c r="B6982" s="69">
        <v>1.0699000000000001</v>
      </c>
    </row>
    <row r="6983" spans="1:2" x14ac:dyDescent="0.2">
      <c r="A6983" s="68">
        <v>35464</v>
      </c>
      <c r="B6983" s="69">
        <v>1.0704</v>
      </c>
    </row>
    <row r="6984" spans="1:2" x14ac:dyDescent="0.2">
      <c r="A6984" s="68">
        <v>35461</v>
      </c>
      <c r="B6984" s="69">
        <v>1.0708</v>
      </c>
    </row>
    <row r="6985" spans="1:2" x14ac:dyDescent="0.2">
      <c r="A6985" s="68">
        <v>35460</v>
      </c>
      <c r="B6985" s="69">
        <v>1.0709</v>
      </c>
    </row>
    <row r="6986" spans="1:2" x14ac:dyDescent="0.2">
      <c r="A6986" s="68">
        <v>35459</v>
      </c>
      <c r="B6986" s="69">
        <v>1.0712999999999999</v>
      </c>
    </row>
    <row r="6987" spans="1:2" x14ac:dyDescent="0.2">
      <c r="A6987" s="68">
        <v>35458</v>
      </c>
      <c r="B6987" s="69">
        <v>1.0718000000000001</v>
      </c>
    </row>
    <row r="6988" spans="1:2" x14ac:dyDescent="0.2">
      <c r="A6988" s="68">
        <v>35457</v>
      </c>
      <c r="B6988" s="69">
        <v>1.0722</v>
      </c>
    </row>
    <row r="6989" spans="1:2" x14ac:dyDescent="0.2">
      <c r="A6989" s="68">
        <v>35454</v>
      </c>
      <c r="B6989" s="69">
        <v>1.0725</v>
      </c>
    </row>
    <row r="6990" spans="1:2" x14ac:dyDescent="0.2">
      <c r="A6990" s="68">
        <v>35453</v>
      </c>
      <c r="B6990" s="69">
        <v>1.0724</v>
      </c>
    </row>
    <row r="6991" spans="1:2" x14ac:dyDescent="0.2">
      <c r="A6991" s="68">
        <v>35452</v>
      </c>
      <c r="B6991" s="69">
        <v>1.0722</v>
      </c>
    </row>
    <row r="6992" spans="1:2" x14ac:dyDescent="0.2">
      <c r="A6992" s="68">
        <v>35451</v>
      </c>
      <c r="B6992" s="69">
        <v>1.0728</v>
      </c>
    </row>
    <row r="6993" spans="1:2" x14ac:dyDescent="0.2">
      <c r="A6993" s="68">
        <v>35450</v>
      </c>
      <c r="B6993" s="69">
        <v>1.0722</v>
      </c>
    </row>
    <row r="6994" spans="1:2" x14ac:dyDescent="0.2">
      <c r="A6994" s="68">
        <v>35447</v>
      </c>
      <c r="B6994" s="69">
        <v>1.0724</v>
      </c>
    </row>
    <row r="6995" spans="1:2" x14ac:dyDescent="0.2">
      <c r="A6995" s="68">
        <v>35446</v>
      </c>
      <c r="B6995" s="69">
        <v>1.0725</v>
      </c>
    </row>
    <row r="6996" spans="1:2" x14ac:dyDescent="0.2">
      <c r="A6996" s="68">
        <v>35445</v>
      </c>
      <c r="B6996" s="69">
        <v>1.0727</v>
      </c>
    </row>
    <row r="6997" spans="1:2" x14ac:dyDescent="0.2">
      <c r="A6997" s="68">
        <v>35444</v>
      </c>
      <c r="B6997" s="69">
        <v>1.0723</v>
      </c>
    </row>
    <row r="6998" spans="1:2" x14ac:dyDescent="0.2">
      <c r="A6998" s="68">
        <v>35443</v>
      </c>
      <c r="B6998" s="69">
        <v>1.0722</v>
      </c>
    </row>
    <row r="6999" spans="1:2" x14ac:dyDescent="0.2">
      <c r="A6999" s="68">
        <v>35440</v>
      </c>
      <c r="B6999" s="69">
        <v>1.0726</v>
      </c>
    </row>
    <row r="7000" spans="1:2" x14ac:dyDescent="0.2">
      <c r="A7000" s="68">
        <v>35439</v>
      </c>
      <c r="B7000" s="69">
        <v>1.0726</v>
      </c>
    </row>
    <row r="7001" spans="1:2" x14ac:dyDescent="0.2">
      <c r="A7001" s="68">
        <v>35438</v>
      </c>
      <c r="B7001" s="69">
        <v>1.0733999999999999</v>
      </c>
    </row>
    <row r="7002" spans="1:2" x14ac:dyDescent="0.2">
      <c r="A7002" s="68">
        <v>35437</v>
      </c>
      <c r="B7002" s="69">
        <v>1.0724</v>
      </c>
    </row>
    <row r="7003" spans="1:2" x14ac:dyDescent="0.2">
      <c r="A7003" s="68">
        <v>35436</v>
      </c>
      <c r="B7003" s="69">
        <v>1.0721000000000001</v>
      </c>
    </row>
    <row r="7004" spans="1:2" x14ac:dyDescent="0.2">
      <c r="A7004" s="68">
        <v>35433</v>
      </c>
      <c r="B7004" s="69">
        <v>1.0728</v>
      </c>
    </row>
    <row r="7005" spans="1:2" x14ac:dyDescent="0.2">
      <c r="A7005" s="68">
        <v>35432</v>
      </c>
      <c r="B7005" s="69">
        <v>1.0724</v>
      </c>
    </row>
    <row r="7006" spans="1:2" x14ac:dyDescent="0.2">
      <c r="A7006" s="68">
        <v>35431</v>
      </c>
      <c r="B7006" s="69">
        <v>1.0719000000000001</v>
      </c>
    </row>
    <row r="7007" spans="1:2" x14ac:dyDescent="0.2">
      <c r="A7007" s="68">
        <v>35430</v>
      </c>
      <c r="B7007" s="69">
        <v>1.0719000000000001</v>
      </c>
    </row>
    <row r="7008" spans="1:2" x14ac:dyDescent="0.2">
      <c r="A7008" s="68">
        <v>35429</v>
      </c>
      <c r="B7008" s="69">
        <v>1.0718000000000001</v>
      </c>
    </row>
    <row r="7009" spans="1:2" x14ac:dyDescent="0.2">
      <c r="A7009" s="68">
        <v>35426</v>
      </c>
      <c r="B7009" s="69">
        <v>1.0713999999999999</v>
      </c>
    </row>
    <row r="7010" spans="1:2" x14ac:dyDescent="0.2">
      <c r="A7010" s="68">
        <v>35425</v>
      </c>
      <c r="B7010" s="69">
        <v>1.0716000000000001</v>
      </c>
    </row>
    <row r="7011" spans="1:2" x14ac:dyDescent="0.2">
      <c r="A7011" s="68">
        <v>35424</v>
      </c>
      <c r="B7011" s="69">
        <v>1.0714999999999999</v>
      </c>
    </row>
    <row r="7012" spans="1:2" x14ac:dyDescent="0.2">
      <c r="A7012" s="68">
        <v>35423</v>
      </c>
      <c r="B7012" s="69">
        <v>1.0721000000000001</v>
      </c>
    </row>
    <row r="7013" spans="1:2" x14ac:dyDescent="0.2">
      <c r="A7013" s="68">
        <v>35422</v>
      </c>
      <c r="B7013" s="69">
        <v>1.0723</v>
      </c>
    </row>
    <row r="7014" spans="1:2" x14ac:dyDescent="0.2">
      <c r="A7014" s="68">
        <v>35419</v>
      </c>
      <c r="B7014" s="69">
        <v>1.0723</v>
      </c>
    </row>
    <row r="7015" spans="1:2" x14ac:dyDescent="0.2">
      <c r="A7015" s="68">
        <v>35418</v>
      </c>
      <c r="B7015" s="69">
        <v>1.0728</v>
      </c>
    </row>
    <row r="7016" spans="1:2" x14ac:dyDescent="0.2">
      <c r="A7016" s="68">
        <v>35417</v>
      </c>
      <c r="B7016" s="69">
        <v>1.0724</v>
      </c>
    </row>
    <row r="7017" spans="1:2" x14ac:dyDescent="0.2">
      <c r="A7017" s="68">
        <v>35416</v>
      </c>
      <c r="B7017" s="69">
        <v>1.0727</v>
      </c>
    </row>
    <row r="7018" spans="1:2" x14ac:dyDescent="0.2">
      <c r="A7018" s="68">
        <v>35415</v>
      </c>
      <c r="B7018" s="69">
        <v>1.073</v>
      </c>
    </row>
    <row r="7019" spans="1:2" x14ac:dyDescent="0.2">
      <c r="A7019" s="68">
        <v>35412</v>
      </c>
      <c r="B7019" s="69">
        <v>1.0736000000000001</v>
      </c>
    </row>
    <row r="7020" spans="1:2" x14ac:dyDescent="0.2">
      <c r="A7020" s="68">
        <v>35411</v>
      </c>
      <c r="B7020" s="69">
        <v>1.0737000000000001</v>
      </c>
    </row>
    <row r="7021" spans="1:2" x14ac:dyDescent="0.2">
      <c r="A7021" s="68">
        <v>35410</v>
      </c>
      <c r="B7021" s="69">
        <v>1.0738000000000001</v>
      </c>
    </row>
    <row r="7022" spans="1:2" x14ac:dyDescent="0.2">
      <c r="A7022" s="68">
        <v>35409</v>
      </c>
      <c r="B7022" s="69">
        <v>1.0737000000000001</v>
      </c>
    </row>
    <row r="7023" spans="1:2" x14ac:dyDescent="0.2">
      <c r="A7023" s="68">
        <v>35408</v>
      </c>
      <c r="B7023" s="69">
        <v>1.0737000000000001</v>
      </c>
    </row>
    <row r="7024" spans="1:2" x14ac:dyDescent="0.2">
      <c r="A7024" s="68">
        <v>35405</v>
      </c>
      <c r="B7024" s="69">
        <v>1.0743</v>
      </c>
    </row>
    <row r="7025" spans="1:2" x14ac:dyDescent="0.2">
      <c r="A7025" s="68">
        <v>35404</v>
      </c>
      <c r="B7025" s="69">
        <v>1.0737000000000001</v>
      </c>
    </row>
    <row r="7026" spans="1:2" x14ac:dyDescent="0.2">
      <c r="A7026" s="68">
        <v>35403</v>
      </c>
      <c r="B7026" s="69">
        <v>1.0738000000000001</v>
      </c>
    </row>
    <row r="7027" spans="1:2" x14ac:dyDescent="0.2">
      <c r="A7027" s="68">
        <v>35402</v>
      </c>
      <c r="B7027" s="69">
        <v>1.0733999999999999</v>
      </c>
    </row>
    <row r="7028" spans="1:2" x14ac:dyDescent="0.2">
      <c r="A7028" s="68">
        <v>35401</v>
      </c>
      <c r="B7028" s="69">
        <v>1.0733999999999999</v>
      </c>
    </row>
    <row r="7029" spans="1:2" x14ac:dyDescent="0.2">
      <c r="A7029" s="68">
        <v>35398</v>
      </c>
      <c r="B7029" s="69">
        <v>1.0733999999999999</v>
      </c>
    </row>
    <row r="7030" spans="1:2" x14ac:dyDescent="0.2">
      <c r="A7030" s="68">
        <v>35397</v>
      </c>
      <c r="B7030" s="69">
        <v>1.0736000000000001</v>
      </c>
    </row>
    <row r="7031" spans="1:2" x14ac:dyDescent="0.2">
      <c r="A7031" s="68">
        <v>35396</v>
      </c>
      <c r="B7031" s="69">
        <v>1.0732999999999999</v>
      </c>
    </row>
    <row r="7032" spans="1:2" x14ac:dyDescent="0.2">
      <c r="A7032" s="68">
        <v>35394</v>
      </c>
      <c r="B7032" s="69">
        <v>1.0732999999999999</v>
      </c>
    </row>
    <row r="7033" spans="1:2" x14ac:dyDescent="0.2">
      <c r="A7033" s="68">
        <v>35391</v>
      </c>
      <c r="B7033" s="69">
        <v>1.0732999999999999</v>
      </c>
    </row>
    <row r="7034" spans="1:2" x14ac:dyDescent="0.2">
      <c r="A7034" s="68">
        <v>35390</v>
      </c>
      <c r="B7034" s="69">
        <v>1.0736000000000001</v>
      </c>
    </row>
    <row r="7035" spans="1:2" x14ac:dyDescent="0.2">
      <c r="A7035" s="68">
        <v>35389</v>
      </c>
      <c r="B7035" s="69">
        <v>1.0733999999999999</v>
      </c>
    </row>
    <row r="7036" spans="1:2" x14ac:dyDescent="0.2">
      <c r="A7036" s="68">
        <v>35388</v>
      </c>
      <c r="B7036" s="69">
        <v>1.0736000000000001</v>
      </c>
    </row>
    <row r="7037" spans="1:2" x14ac:dyDescent="0.2">
      <c r="A7037" s="68">
        <v>35387</v>
      </c>
      <c r="B7037" s="69">
        <v>1.0739000000000001</v>
      </c>
    </row>
    <row r="7038" spans="1:2" x14ac:dyDescent="0.2">
      <c r="A7038" s="68">
        <v>35384</v>
      </c>
      <c r="B7038" s="69">
        <v>1.0739000000000001</v>
      </c>
    </row>
    <row r="7039" spans="1:2" x14ac:dyDescent="0.2">
      <c r="A7039" s="68">
        <v>35383</v>
      </c>
      <c r="B7039" s="69">
        <v>1.0730999999999999</v>
      </c>
    </row>
    <row r="7040" spans="1:2" x14ac:dyDescent="0.2">
      <c r="A7040" s="68">
        <v>35382</v>
      </c>
      <c r="B7040" s="69">
        <v>1.0733999999999999</v>
      </c>
    </row>
    <row r="7041" spans="1:2" x14ac:dyDescent="0.2">
      <c r="A7041" s="68">
        <v>35381</v>
      </c>
      <c r="B7041" s="69">
        <v>1.0734999999999999</v>
      </c>
    </row>
    <row r="7042" spans="1:2" x14ac:dyDescent="0.2">
      <c r="A7042" s="68">
        <v>35380</v>
      </c>
      <c r="B7042" s="69">
        <v>1.0738000000000001</v>
      </c>
    </row>
    <row r="7043" spans="1:2" x14ac:dyDescent="0.2">
      <c r="A7043" s="68">
        <v>35377</v>
      </c>
      <c r="B7043" s="69">
        <v>1.0738000000000001</v>
      </c>
    </row>
    <row r="7044" spans="1:2" x14ac:dyDescent="0.2">
      <c r="A7044" s="68">
        <v>35376</v>
      </c>
      <c r="B7044" s="69">
        <v>1.0736000000000001</v>
      </c>
    </row>
    <row r="7045" spans="1:2" x14ac:dyDescent="0.2">
      <c r="A7045" s="68">
        <v>35375</v>
      </c>
      <c r="B7045" s="69">
        <v>1.0738000000000001</v>
      </c>
    </row>
    <row r="7046" spans="1:2" x14ac:dyDescent="0.2">
      <c r="A7046" s="68">
        <v>35374</v>
      </c>
      <c r="B7046" s="69">
        <v>1.0738000000000001</v>
      </c>
    </row>
    <row r="7047" spans="1:2" x14ac:dyDescent="0.2">
      <c r="A7047" s="68">
        <v>35373</v>
      </c>
      <c r="B7047" s="69">
        <v>1.0733999999999999</v>
      </c>
    </row>
    <row r="7048" spans="1:2" x14ac:dyDescent="0.2">
      <c r="A7048" s="68">
        <v>35370</v>
      </c>
      <c r="B7048" s="69">
        <v>1.0737000000000001</v>
      </c>
    </row>
    <row r="7049" spans="1:2" x14ac:dyDescent="0.2">
      <c r="A7049" s="68">
        <v>35369</v>
      </c>
      <c r="B7049" s="69">
        <v>1.0731999999999999</v>
      </c>
    </row>
    <row r="7050" spans="1:2" x14ac:dyDescent="0.2">
      <c r="A7050" s="68">
        <v>35368</v>
      </c>
      <c r="B7050" s="69">
        <v>1.0732999999999999</v>
      </c>
    </row>
    <row r="7051" spans="1:2" x14ac:dyDescent="0.2">
      <c r="A7051" s="68">
        <v>35367</v>
      </c>
      <c r="B7051" s="69">
        <v>1.0736000000000001</v>
      </c>
    </row>
    <row r="7052" spans="1:2" x14ac:dyDescent="0.2">
      <c r="A7052" s="68">
        <v>35366</v>
      </c>
      <c r="B7052" s="69">
        <v>1.0740000000000001</v>
      </c>
    </row>
    <row r="7053" spans="1:2" x14ac:dyDescent="0.2">
      <c r="A7053" s="68">
        <v>35363</v>
      </c>
      <c r="B7053" s="69">
        <v>1.0745</v>
      </c>
    </row>
    <row r="7054" spans="1:2" x14ac:dyDescent="0.2">
      <c r="A7054" s="68">
        <v>35362</v>
      </c>
      <c r="B7054" s="69">
        <v>1.0739000000000001</v>
      </c>
    </row>
    <row r="7055" spans="1:2" x14ac:dyDescent="0.2">
      <c r="A7055" s="68">
        <v>35361</v>
      </c>
      <c r="B7055" s="69">
        <v>1.0736000000000001</v>
      </c>
    </row>
    <row r="7056" spans="1:2" x14ac:dyDescent="0.2">
      <c r="A7056" s="68">
        <v>35360</v>
      </c>
      <c r="B7056" s="69">
        <v>1.0734999999999999</v>
      </c>
    </row>
    <row r="7057" spans="1:2" x14ac:dyDescent="0.2">
      <c r="A7057" s="68">
        <v>35359</v>
      </c>
      <c r="B7057" s="69">
        <v>1.0734999999999999</v>
      </c>
    </row>
    <row r="7058" spans="1:2" x14ac:dyDescent="0.2">
      <c r="A7058" s="68">
        <v>35356</v>
      </c>
      <c r="B7058" s="69">
        <v>1.073</v>
      </c>
    </row>
    <row r="7059" spans="1:2" x14ac:dyDescent="0.2">
      <c r="A7059" s="68">
        <v>35355</v>
      </c>
      <c r="B7059" s="69">
        <v>1.073</v>
      </c>
    </row>
    <row r="7060" spans="1:2" x14ac:dyDescent="0.2">
      <c r="A7060" s="68">
        <v>35354</v>
      </c>
      <c r="B7060" s="69">
        <v>1.0730999999999999</v>
      </c>
    </row>
    <row r="7061" spans="1:2" x14ac:dyDescent="0.2">
      <c r="A7061" s="68">
        <v>35353</v>
      </c>
      <c r="B7061" s="69">
        <v>1.0736000000000001</v>
      </c>
    </row>
    <row r="7062" spans="1:2" x14ac:dyDescent="0.2">
      <c r="A7062" s="68">
        <v>35352</v>
      </c>
      <c r="B7062" s="69">
        <v>1.0731999999999999</v>
      </c>
    </row>
    <row r="7063" spans="1:2" x14ac:dyDescent="0.2">
      <c r="A7063" s="68">
        <v>35349</v>
      </c>
      <c r="B7063" s="69">
        <v>1.0736000000000001</v>
      </c>
    </row>
    <row r="7064" spans="1:2" x14ac:dyDescent="0.2">
      <c r="A7064" s="68">
        <v>35348</v>
      </c>
      <c r="B7064" s="69">
        <v>1.0737000000000001</v>
      </c>
    </row>
    <row r="7065" spans="1:2" x14ac:dyDescent="0.2">
      <c r="A7065" s="68">
        <v>35347</v>
      </c>
      <c r="B7065" s="69">
        <v>1.0737000000000001</v>
      </c>
    </row>
    <row r="7066" spans="1:2" x14ac:dyDescent="0.2">
      <c r="A7066" s="68">
        <v>35346</v>
      </c>
      <c r="B7066" s="69">
        <v>1.0739000000000001</v>
      </c>
    </row>
    <row r="7067" spans="1:2" x14ac:dyDescent="0.2">
      <c r="A7067" s="68">
        <v>35345</v>
      </c>
      <c r="B7067" s="69">
        <v>1.0728</v>
      </c>
    </row>
    <row r="7068" spans="1:2" x14ac:dyDescent="0.2">
      <c r="A7068" s="68">
        <v>35342</v>
      </c>
      <c r="B7068" s="69">
        <v>1.0731999999999999</v>
      </c>
    </row>
    <row r="7069" spans="1:2" x14ac:dyDescent="0.2">
      <c r="A7069" s="68">
        <v>35341</v>
      </c>
      <c r="B7069" s="69">
        <v>1.0725</v>
      </c>
    </row>
    <row r="7070" spans="1:2" x14ac:dyDescent="0.2">
      <c r="A7070" s="68">
        <v>35340</v>
      </c>
      <c r="B7070" s="69">
        <v>1.0727</v>
      </c>
    </row>
    <row r="7071" spans="1:2" x14ac:dyDescent="0.2">
      <c r="A7071" s="68">
        <v>35335</v>
      </c>
      <c r="B7071" s="69">
        <v>1.073</v>
      </c>
    </row>
    <row r="7072" spans="1:2" x14ac:dyDescent="0.2">
      <c r="A7072" s="68">
        <v>35334</v>
      </c>
      <c r="B7072" s="69">
        <v>1.0730999999999999</v>
      </c>
    </row>
    <row r="7073" spans="1:2" x14ac:dyDescent="0.2">
      <c r="A7073" s="68">
        <v>35333</v>
      </c>
      <c r="B7073" s="69">
        <v>1.0737000000000001</v>
      </c>
    </row>
    <row r="7074" spans="1:2" x14ac:dyDescent="0.2">
      <c r="A7074" s="68">
        <v>35332</v>
      </c>
      <c r="B7074" s="69">
        <v>1.0730999999999999</v>
      </c>
    </row>
    <row r="7075" spans="1:2" x14ac:dyDescent="0.2">
      <c r="A7075" s="68">
        <v>35331</v>
      </c>
      <c r="B7075" s="69">
        <v>1.0736000000000001</v>
      </c>
    </row>
    <row r="7076" spans="1:2" x14ac:dyDescent="0.2">
      <c r="A7076" s="68">
        <v>35328</v>
      </c>
      <c r="B7076" s="69">
        <v>1.0738000000000001</v>
      </c>
    </row>
    <row r="7077" spans="1:2" x14ac:dyDescent="0.2">
      <c r="A7077" s="68">
        <v>35327</v>
      </c>
      <c r="B7077" s="69">
        <v>1.0737000000000001</v>
      </c>
    </row>
    <row r="7078" spans="1:2" x14ac:dyDescent="0.2">
      <c r="A7078" s="68">
        <v>35326</v>
      </c>
      <c r="B7078" s="69">
        <v>1.0737000000000001</v>
      </c>
    </row>
    <row r="7079" spans="1:2" x14ac:dyDescent="0.2">
      <c r="A7079" s="68">
        <v>35325</v>
      </c>
      <c r="B7079" s="69">
        <v>1.0741000000000001</v>
      </c>
    </row>
    <row r="7080" spans="1:2" x14ac:dyDescent="0.2">
      <c r="A7080" s="68">
        <v>35324</v>
      </c>
      <c r="B7080" s="69">
        <v>1.0737000000000001</v>
      </c>
    </row>
    <row r="7081" spans="1:2" x14ac:dyDescent="0.2">
      <c r="A7081" s="68">
        <v>35321</v>
      </c>
      <c r="B7081" s="69">
        <v>1.0742</v>
      </c>
    </row>
    <row r="7082" spans="1:2" x14ac:dyDescent="0.2">
      <c r="A7082" s="68">
        <v>35320</v>
      </c>
      <c r="B7082" s="69">
        <v>1.0743</v>
      </c>
    </row>
    <row r="7083" spans="1:2" x14ac:dyDescent="0.2">
      <c r="A7083" s="68">
        <v>35319</v>
      </c>
      <c r="B7083" s="69">
        <v>1.0743</v>
      </c>
    </row>
    <row r="7084" spans="1:2" x14ac:dyDescent="0.2">
      <c r="A7084" s="68">
        <v>35318</v>
      </c>
      <c r="B7084" s="69">
        <v>1.0739000000000001</v>
      </c>
    </row>
    <row r="7085" spans="1:2" x14ac:dyDescent="0.2">
      <c r="A7085" s="68">
        <v>35317</v>
      </c>
      <c r="B7085" s="69">
        <v>1.0742</v>
      </c>
    </row>
    <row r="7086" spans="1:2" x14ac:dyDescent="0.2">
      <c r="A7086" s="68">
        <v>35314</v>
      </c>
      <c r="B7086" s="69">
        <v>1.0736000000000001</v>
      </c>
    </row>
    <row r="7087" spans="1:2" x14ac:dyDescent="0.2">
      <c r="A7087" s="68">
        <v>35313</v>
      </c>
      <c r="B7087" s="69">
        <v>1.0734999999999999</v>
      </c>
    </row>
    <row r="7088" spans="1:2" x14ac:dyDescent="0.2">
      <c r="A7088" s="68">
        <v>35312</v>
      </c>
      <c r="B7088" s="69">
        <v>1.0740000000000001</v>
      </c>
    </row>
    <row r="7089" spans="1:2" x14ac:dyDescent="0.2">
      <c r="A7089" s="68">
        <v>35311</v>
      </c>
      <c r="B7089" s="69">
        <v>1.0745</v>
      </c>
    </row>
    <row r="7090" spans="1:2" x14ac:dyDescent="0.2">
      <c r="A7090" s="68">
        <v>35310</v>
      </c>
      <c r="B7090" s="69">
        <v>1.0746</v>
      </c>
    </row>
    <row r="7091" spans="1:2" x14ac:dyDescent="0.2">
      <c r="A7091" s="68">
        <v>35307</v>
      </c>
      <c r="B7091" s="69">
        <v>1.0751999999999999</v>
      </c>
    </row>
    <row r="7092" spans="1:2" x14ac:dyDescent="0.2">
      <c r="A7092" s="68">
        <v>35306</v>
      </c>
      <c r="B7092" s="69">
        <v>1.0734999999999999</v>
      </c>
    </row>
    <row r="7093" spans="1:2" x14ac:dyDescent="0.2">
      <c r="A7093" s="68">
        <v>35305</v>
      </c>
      <c r="B7093" s="69">
        <v>1.0738000000000001</v>
      </c>
    </row>
    <row r="7094" spans="1:2" x14ac:dyDescent="0.2">
      <c r="A7094" s="68">
        <v>35304</v>
      </c>
      <c r="B7094" s="69">
        <v>1.0740000000000001</v>
      </c>
    </row>
    <row r="7095" spans="1:2" x14ac:dyDescent="0.2">
      <c r="A7095" s="68">
        <v>35303</v>
      </c>
      <c r="B7095" s="69">
        <v>1.0744</v>
      </c>
    </row>
    <row r="7096" spans="1:2" x14ac:dyDescent="0.2">
      <c r="A7096" s="68">
        <v>35300</v>
      </c>
      <c r="B7096" s="69">
        <v>1.0738000000000001</v>
      </c>
    </row>
    <row r="7097" spans="1:2" x14ac:dyDescent="0.2">
      <c r="A7097" s="68">
        <v>35299</v>
      </c>
      <c r="B7097" s="69">
        <v>1.0740000000000001</v>
      </c>
    </row>
    <row r="7098" spans="1:2" x14ac:dyDescent="0.2">
      <c r="A7098" s="68">
        <v>35298</v>
      </c>
      <c r="B7098" s="69">
        <v>1.0734999999999999</v>
      </c>
    </row>
    <row r="7099" spans="1:2" x14ac:dyDescent="0.2">
      <c r="A7099" s="68">
        <v>35297</v>
      </c>
      <c r="B7099" s="69">
        <v>1.0739000000000001</v>
      </c>
    </row>
    <row r="7100" spans="1:2" x14ac:dyDescent="0.2">
      <c r="A7100" s="68">
        <v>35296</v>
      </c>
      <c r="B7100" s="69">
        <v>1.0740000000000001</v>
      </c>
    </row>
    <row r="7101" spans="1:2" x14ac:dyDescent="0.2">
      <c r="A7101" s="68">
        <v>35293</v>
      </c>
      <c r="B7101" s="69">
        <v>1.0734999999999999</v>
      </c>
    </row>
    <row r="7102" spans="1:2" x14ac:dyDescent="0.2">
      <c r="A7102" s="68">
        <v>35292</v>
      </c>
      <c r="B7102" s="69">
        <v>1.0732999999999999</v>
      </c>
    </row>
    <row r="7103" spans="1:2" x14ac:dyDescent="0.2">
      <c r="A7103" s="68">
        <v>35291</v>
      </c>
      <c r="B7103" s="69">
        <v>1.073</v>
      </c>
    </row>
    <row r="7104" spans="1:2" x14ac:dyDescent="0.2">
      <c r="A7104" s="68">
        <v>35290</v>
      </c>
      <c r="B7104" s="69">
        <v>1.0732999999999999</v>
      </c>
    </row>
    <row r="7105" spans="1:2" x14ac:dyDescent="0.2">
      <c r="A7105" s="68">
        <v>35289</v>
      </c>
      <c r="B7105" s="69">
        <v>1.073</v>
      </c>
    </row>
    <row r="7106" spans="1:2" x14ac:dyDescent="0.2">
      <c r="A7106" s="68">
        <v>35286</v>
      </c>
      <c r="B7106" s="69">
        <v>1.0731999999999999</v>
      </c>
    </row>
    <row r="7107" spans="1:2" x14ac:dyDescent="0.2">
      <c r="A7107" s="68">
        <v>35285</v>
      </c>
      <c r="B7107" s="69">
        <v>1.0733999999999999</v>
      </c>
    </row>
    <row r="7108" spans="1:2" x14ac:dyDescent="0.2">
      <c r="A7108" s="68">
        <v>35284</v>
      </c>
      <c r="B7108" s="69">
        <v>1.0743</v>
      </c>
    </row>
    <row r="7109" spans="1:2" x14ac:dyDescent="0.2">
      <c r="A7109" s="68">
        <v>35283</v>
      </c>
      <c r="B7109" s="69">
        <v>1.0742</v>
      </c>
    </row>
    <row r="7110" spans="1:2" x14ac:dyDescent="0.2">
      <c r="A7110" s="68">
        <v>35282</v>
      </c>
      <c r="B7110" s="69">
        <v>1.0738000000000001</v>
      </c>
    </row>
    <row r="7111" spans="1:2" x14ac:dyDescent="0.2">
      <c r="A7111" s="68">
        <v>35279</v>
      </c>
      <c r="B7111" s="69">
        <v>1.0738000000000001</v>
      </c>
    </row>
    <row r="7112" spans="1:2" x14ac:dyDescent="0.2">
      <c r="A7112" s="68">
        <v>35278</v>
      </c>
      <c r="B7112" s="69">
        <v>1.0737000000000001</v>
      </c>
    </row>
    <row r="7113" spans="1:2" x14ac:dyDescent="0.2">
      <c r="A7113" s="68">
        <v>35277</v>
      </c>
      <c r="B7113" s="69">
        <v>1.0744</v>
      </c>
    </row>
    <row r="7114" spans="1:2" x14ac:dyDescent="0.2">
      <c r="A7114" s="68">
        <v>35276</v>
      </c>
      <c r="B7114" s="69">
        <v>1.0749</v>
      </c>
    </row>
    <row r="7115" spans="1:2" x14ac:dyDescent="0.2">
      <c r="A7115" s="68">
        <v>35275</v>
      </c>
      <c r="B7115" s="69">
        <v>1.0747</v>
      </c>
    </row>
    <row r="7116" spans="1:2" x14ac:dyDescent="0.2">
      <c r="A7116" s="68">
        <v>35272</v>
      </c>
      <c r="B7116" s="69">
        <v>1.0741000000000001</v>
      </c>
    </row>
    <row r="7117" spans="1:2" x14ac:dyDescent="0.2">
      <c r="A7117" s="68">
        <v>35271</v>
      </c>
      <c r="B7117" s="69">
        <v>1.0737000000000001</v>
      </c>
    </row>
    <row r="7118" spans="1:2" x14ac:dyDescent="0.2">
      <c r="A7118" s="68">
        <v>35270</v>
      </c>
      <c r="B7118" s="69">
        <v>1.0739000000000001</v>
      </c>
    </row>
    <row r="7119" spans="1:2" x14ac:dyDescent="0.2">
      <c r="A7119" s="68">
        <v>35269</v>
      </c>
      <c r="B7119" s="69">
        <v>1.0745</v>
      </c>
    </row>
    <row r="7120" spans="1:2" x14ac:dyDescent="0.2">
      <c r="A7120" s="68">
        <v>35268</v>
      </c>
      <c r="B7120" s="69">
        <v>1.075</v>
      </c>
    </row>
    <row r="7121" spans="1:2" x14ac:dyDescent="0.2">
      <c r="A7121" s="68">
        <v>35265</v>
      </c>
      <c r="B7121" s="69">
        <v>1.0738000000000001</v>
      </c>
    </row>
    <row r="7122" spans="1:2" x14ac:dyDescent="0.2">
      <c r="A7122" s="68">
        <v>35264</v>
      </c>
      <c r="B7122" s="69">
        <v>1.0738000000000001</v>
      </c>
    </row>
    <row r="7123" spans="1:2" x14ac:dyDescent="0.2">
      <c r="A7123" s="68">
        <v>35263</v>
      </c>
      <c r="B7123" s="69">
        <v>1.0739000000000001</v>
      </c>
    </row>
    <row r="7124" spans="1:2" x14ac:dyDescent="0.2">
      <c r="A7124" s="68">
        <v>35262</v>
      </c>
      <c r="B7124" s="69">
        <v>1.0744</v>
      </c>
    </row>
    <row r="7125" spans="1:2" x14ac:dyDescent="0.2">
      <c r="A7125" s="68">
        <v>35261</v>
      </c>
      <c r="B7125" s="69">
        <v>1.0745</v>
      </c>
    </row>
    <row r="7126" spans="1:2" x14ac:dyDescent="0.2">
      <c r="A7126" s="68">
        <v>35258</v>
      </c>
      <c r="B7126" s="69">
        <v>1.0744</v>
      </c>
    </row>
    <row r="7127" spans="1:2" x14ac:dyDescent="0.2">
      <c r="A7127" s="68">
        <v>35257</v>
      </c>
      <c r="B7127" s="69">
        <v>1.0743</v>
      </c>
    </row>
    <row r="7128" spans="1:2" x14ac:dyDescent="0.2">
      <c r="A7128" s="68">
        <v>35256</v>
      </c>
      <c r="B7128" s="69">
        <v>1.0748</v>
      </c>
    </row>
    <row r="7129" spans="1:2" x14ac:dyDescent="0.2">
      <c r="A7129" s="68">
        <v>35255</v>
      </c>
      <c r="B7129" s="69">
        <v>1.0743</v>
      </c>
    </row>
    <row r="7130" spans="1:2" x14ac:dyDescent="0.2">
      <c r="A7130" s="68">
        <v>35254</v>
      </c>
      <c r="B7130" s="69">
        <v>1.0740000000000001</v>
      </c>
    </row>
    <row r="7131" spans="1:2" x14ac:dyDescent="0.2">
      <c r="A7131" s="68">
        <v>35251</v>
      </c>
      <c r="B7131" s="69">
        <v>1.0738000000000001</v>
      </c>
    </row>
    <row r="7132" spans="1:2" x14ac:dyDescent="0.2">
      <c r="A7132" s="68">
        <v>35250</v>
      </c>
      <c r="B7132" s="69">
        <v>1.0744</v>
      </c>
    </row>
    <row r="7133" spans="1:2" x14ac:dyDescent="0.2">
      <c r="A7133" s="68">
        <v>35249</v>
      </c>
      <c r="B7133" s="69">
        <v>1.0745</v>
      </c>
    </row>
    <row r="7134" spans="1:2" x14ac:dyDescent="0.2">
      <c r="A7134" s="68">
        <v>35248</v>
      </c>
      <c r="B7134" s="69">
        <v>1.0749</v>
      </c>
    </row>
    <row r="7135" spans="1:2" x14ac:dyDescent="0.2">
      <c r="A7135" s="68">
        <v>35247</v>
      </c>
      <c r="B7135" s="69">
        <v>1.0752999999999999</v>
      </c>
    </row>
    <row r="7136" spans="1:2" x14ac:dyDescent="0.2">
      <c r="A7136" s="68">
        <v>35244</v>
      </c>
      <c r="B7136" s="69">
        <v>1.0751999999999999</v>
      </c>
    </row>
    <row r="7137" spans="1:2" x14ac:dyDescent="0.2">
      <c r="A7137" s="68">
        <v>35243</v>
      </c>
      <c r="B7137" s="69">
        <v>1.0749</v>
      </c>
    </row>
    <row r="7138" spans="1:2" x14ac:dyDescent="0.2">
      <c r="A7138" s="68">
        <v>35242</v>
      </c>
      <c r="B7138" s="69">
        <v>1.0743</v>
      </c>
    </row>
    <row r="7139" spans="1:2" x14ac:dyDescent="0.2">
      <c r="A7139" s="68">
        <v>35241</v>
      </c>
      <c r="B7139" s="69">
        <v>1.0743</v>
      </c>
    </row>
    <row r="7140" spans="1:2" x14ac:dyDescent="0.2">
      <c r="A7140" s="68">
        <v>35240</v>
      </c>
      <c r="B7140" s="69">
        <v>1.0748</v>
      </c>
    </row>
    <row r="7141" spans="1:2" x14ac:dyDescent="0.2">
      <c r="A7141" s="68">
        <v>35237</v>
      </c>
      <c r="B7141" s="69">
        <v>1.0753999999999999</v>
      </c>
    </row>
    <row r="7142" spans="1:2" x14ac:dyDescent="0.2">
      <c r="A7142" s="68">
        <v>35236</v>
      </c>
      <c r="B7142" s="69">
        <v>1.0757000000000001</v>
      </c>
    </row>
    <row r="7143" spans="1:2" x14ac:dyDescent="0.2">
      <c r="A7143" s="68">
        <v>35235</v>
      </c>
      <c r="B7143" s="69">
        <v>1.0755999999999999</v>
      </c>
    </row>
    <row r="7144" spans="1:2" x14ac:dyDescent="0.2">
      <c r="A7144" s="68">
        <v>35233</v>
      </c>
      <c r="B7144" s="69">
        <v>1.0752999999999999</v>
      </c>
    </row>
    <row r="7145" spans="1:2" x14ac:dyDescent="0.2">
      <c r="A7145" s="68">
        <v>35229</v>
      </c>
      <c r="B7145" s="69">
        <v>1.0759000000000001</v>
      </c>
    </row>
    <row r="7146" spans="1:2" x14ac:dyDescent="0.2">
      <c r="A7146" s="68">
        <v>35228</v>
      </c>
      <c r="B7146" s="69">
        <v>1.0759000000000001</v>
      </c>
    </row>
    <row r="7147" spans="1:2" x14ac:dyDescent="0.2">
      <c r="A7147" s="68">
        <v>35227</v>
      </c>
      <c r="B7147" s="69">
        <v>1.0759000000000001</v>
      </c>
    </row>
    <row r="7148" spans="1:2" x14ac:dyDescent="0.2">
      <c r="A7148" s="68">
        <v>35226</v>
      </c>
      <c r="B7148" s="69">
        <v>1.0763</v>
      </c>
    </row>
    <row r="7149" spans="1:2" x14ac:dyDescent="0.2">
      <c r="A7149" s="68">
        <v>35223</v>
      </c>
      <c r="B7149" s="69">
        <v>1.0765</v>
      </c>
    </row>
    <row r="7150" spans="1:2" x14ac:dyDescent="0.2">
      <c r="A7150" s="68">
        <v>35222</v>
      </c>
      <c r="B7150" s="69">
        <v>1.0764</v>
      </c>
    </row>
    <row r="7151" spans="1:2" x14ac:dyDescent="0.2">
      <c r="A7151" s="68">
        <v>35221</v>
      </c>
      <c r="B7151" s="69">
        <v>1.0768</v>
      </c>
    </row>
    <row r="7152" spans="1:2" x14ac:dyDescent="0.2">
      <c r="A7152" s="68">
        <v>35220</v>
      </c>
      <c r="B7152" s="69">
        <v>1.0759000000000001</v>
      </c>
    </row>
    <row r="7153" spans="1:2" x14ac:dyDescent="0.2">
      <c r="A7153" s="68">
        <v>35219</v>
      </c>
      <c r="B7153" s="69">
        <v>1.0766</v>
      </c>
    </row>
    <row r="7154" spans="1:2" x14ac:dyDescent="0.2">
      <c r="A7154" s="68">
        <v>35216</v>
      </c>
      <c r="B7154" s="69">
        <v>1.0769</v>
      </c>
    </row>
    <row r="7155" spans="1:2" x14ac:dyDescent="0.2">
      <c r="A7155" s="68">
        <v>35215</v>
      </c>
      <c r="B7155" s="69">
        <v>1.077</v>
      </c>
    </row>
    <row r="7156" spans="1:2" x14ac:dyDescent="0.2">
      <c r="A7156" s="68">
        <v>35214</v>
      </c>
      <c r="B7156" s="69">
        <v>1.0753999999999999</v>
      </c>
    </row>
    <row r="7157" spans="1:2" x14ac:dyDescent="0.2">
      <c r="A7157" s="68">
        <v>35213</v>
      </c>
      <c r="B7157" s="69">
        <v>1.0759000000000001</v>
      </c>
    </row>
    <row r="7158" spans="1:2" x14ac:dyDescent="0.2">
      <c r="A7158" s="68">
        <v>35212</v>
      </c>
      <c r="B7158" s="69">
        <v>1.0754999999999999</v>
      </c>
    </row>
    <row r="7159" spans="1:2" x14ac:dyDescent="0.2">
      <c r="A7159" s="68">
        <v>35209</v>
      </c>
      <c r="B7159" s="69">
        <v>1.0754999999999999</v>
      </c>
    </row>
    <row r="7160" spans="1:2" x14ac:dyDescent="0.2">
      <c r="A7160" s="68">
        <v>35208</v>
      </c>
      <c r="B7160" s="69">
        <v>1.0764</v>
      </c>
    </row>
    <row r="7161" spans="1:2" x14ac:dyDescent="0.2">
      <c r="A7161" s="68">
        <v>35207</v>
      </c>
      <c r="B7161" s="69">
        <v>1.0762</v>
      </c>
    </row>
    <row r="7162" spans="1:2" x14ac:dyDescent="0.2">
      <c r="A7162" s="68">
        <v>35206</v>
      </c>
      <c r="B7162" s="69">
        <v>1.0760000000000001</v>
      </c>
    </row>
    <row r="7163" spans="1:2" x14ac:dyDescent="0.2">
      <c r="A7163" s="68">
        <v>35205</v>
      </c>
      <c r="B7163" s="69">
        <v>1.0759000000000001</v>
      </c>
    </row>
    <row r="7164" spans="1:2" x14ac:dyDescent="0.2">
      <c r="A7164" s="68">
        <v>35202</v>
      </c>
      <c r="B7164" s="69">
        <v>1.0769</v>
      </c>
    </row>
    <row r="7165" spans="1:2" x14ac:dyDescent="0.2">
      <c r="A7165" s="68">
        <v>35201</v>
      </c>
      <c r="B7165" s="69">
        <v>1.0768</v>
      </c>
    </row>
    <row r="7166" spans="1:2" x14ac:dyDescent="0.2">
      <c r="A7166" s="68">
        <v>35200</v>
      </c>
      <c r="B7166" s="69">
        <v>1.0771999999999999</v>
      </c>
    </row>
    <row r="7167" spans="1:2" x14ac:dyDescent="0.2">
      <c r="A7167" s="68">
        <v>35199</v>
      </c>
      <c r="B7167" s="69">
        <v>1.0767</v>
      </c>
    </row>
    <row r="7168" spans="1:2" x14ac:dyDescent="0.2">
      <c r="A7168" s="68">
        <v>35198</v>
      </c>
      <c r="B7168" s="69">
        <v>1.0773999999999999</v>
      </c>
    </row>
    <row r="7169" spans="1:2" x14ac:dyDescent="0.2">
      <c r="A7169" s="68">
        <v>35195</v>
      </c>
      <c r="B7169" s="69">
        <v>1.0768</v>
      </c>
    </row>
    <row r="7170" spans="1:2" x14ac:dyDescent="0.2">
      <c r="A7170" s="68">
        <v>35194</v>
      </c>
      <c r="B7170" s="69">
        <v>1.0767</v>
      </c>
    </row>
    <row r="7171" spans="1:2" x14ac:dyDescent="0.2">
      <c r="A7171" s="68">
        <v>35193</v>
      </c>
      <c r="B7171" s="69">
        <v>1.0773999999999999</v>
      </c>
    </row>
    <row r="7172" spans="1:2" x14ac:dyDescent="0.2">
      <c r="A7172" s="68">
        <v>35192</v>
      </c>
      <c r="B7172" s="69">
        <v>1.0774999999999999</v>
      </c>
    </row>
    <row r="7173" spans="1:2" x14ac:dyDescent="0.2">
      <c r="A7173" s="68">
        <v>35191</v>
      </c>
      <c r="B7173" s="69">
        <v>1.0774999999999999</v>
      </c>
    </row>
    <row r="7174" spans="1:2" x14ac:dyDescent="0.2">
      <c r="A7174" s="68">
        <v>35188</v>
      </c>
      <c r="B7174" s="69">
        <v>1.0769</v>
      </c>
    </row>
    <row r="7175" spans="1:2" x14ac:dyDescent="0.2">
      <c r="A7175" s="68">
        <v>35187</v>
      </c>
      <c r="B7175" s="69">
        <v>1.0774999999999999</v>
      </c>
    </row>
    <row r="7176" spans="1:2" x14ac:dyDescent="0.2">
      <c r="A7176" s="68">
        <v>35185</v>
      </c>
      <c r="B7176" s="69">
        <v>1.077</v>
      </c>
    </row>
    <row r="7177" spans="1:2" x14ac:dyDescent="0.2">
      <c r="A7177" s="68">
        <v>35184</v>
      </c>
      <c r="B7177" s="69">
        <v>1.0773999999999999</v>
      </c>
    </row>
    <row r="7178" spans="1:2" x14ac:dyDescent="0.2">
      <c r="A7178" s="68">
        <v>35181</v>
      </c>
      <c r="B7178" s="69">
        <v>1.0765</v>
      </c>
    </row>
    <row r="7179" spans="1:2" x14ac:dyDescent="0.2">
      <c r="A7179" s="68">
        <v>35180</v>
      </c>
      <c r="B7179" s="69">
        <v>1.0765</v>
      </c>
    </row>
    <row r="7180" spans="1:2" x14ac:dyDescent="0.2">
      <c r="A7180" s="68">
        <v>35179</v>
      </c>
      <c r="B7180" s="69">
        <v>1.0772999999999999</v>
      </c>
    </row>
    <row r="7181" spans="1:2" x14ac:dyDescent="0.2">
      <c r="A7181" s="68">
        <v>35178</v>
      </c>
      <c r="B7181" s="69">
        <v>1.077</v>
      </c>
    </row>
    <row r="7182" spans="1:2" x14ac:dyDescent="0.2">
      <c r="A7182" s="68">
        <v>35177</v>
      </c>
      <c r="B7182" s="69">
        <v>1.0769</v>
      </c>
    </row>
    <row r="7183" spans="1:2" x14ac:dyDescent="0.2">
      <c r="A7183" s="68">
        <v>35174</v>
      </c>
      <c r="B7183" s="69">
        <v>1.0771999999999999</v>
      </c>
    </row>
    <row r="7184" spans="1:2" x14ac:dyDescent="0.2">
      <c r="A7184" s="68">
        <v>35173</v>
      </c>
      <c r="B7184" s="69">
        <v>1.0775999999999999</v>
      </c>
    </row>
    <row r="7185" spans="1:2" x14ac:dyDescent="0.2">
      <c r="A7185" s="68">
        <v>35172</v>
      </c>
      <c r="B7185" s="69">
        <v>1.0771999999999999</v>
      </c>
    </row>
    <row r="7186" spans="1:2" x14ac:dyDescent="0.2">
      <c r="A7186" s="68">
        <v>35171</v>
      </c>
      <c r="B7186" s="69">
        <v>1.0774999999999999</v>
      </c>
    </row>
    <row r="7187" spans="1:2" x14ac:dyDescent="0.2">
      <c r="A7187" s="68">
        <v>35170</v>
      </c>
      <c r="B7187" s="69">
        <v>1.0780000000000001</v>
      </c>
    </row>
    <row r="7188" spans="1:2" x14ac:dyDescent="0.2">
      <c r="A7188" s="68">
        <v>35167</v>
      </c>
      <c r="B7188" s="69">
        <v>1.0780000000000001</v>
      </c>
    </row>
    <row r="7189" spans="1:2" x14ac:dyDescent="0.2">
      <c r="A7189" s="68">
        <v>35166</v>
      </c>
      <c r="B7189" s="69">
        <v>1.0774999999999999</v>
      </c>
    </row>
    <row r="7190" spans="1:2" x14ac:dyDescent="0.2">
      <c r="A7190" s="68">
        <v>35165</v>
      </c>
      <c r="B7190" s="69">
        <v>1.0774999999999999</v>
      </c>
    </row>
    <row r="7191" spans="1:2" x14ac:dyDescent="0.2">
      <c r="A7191" s="68">
        <v>35164</v>
      </c>
      <c r="B7191" s="69">
        <v>1.0773999999999999</v>
      </c>
    </row>
    <row r="7192" spans="1:2" x14ac:dyDescent="0.2">
      <c r="A7192" s="68">
        <v>35163</v>
      </c>
      <c r="B7192" s="69">
        <v>1.0764</v>
      </c>
    </row>
    <row r="7193" spans="1:2" x14ac:dyDescent="0.2">
      <c r="A7193" s="68">
        <v>35160</v>
      </c>
      <c r="B7193" s="69">
        <v>1.0778000000000001</v>
      </c>
    </row>
    <row r="7194" spans="1:2" x14ac:dyDescent="0.2">
      <c r="A7194" s="68">
        <v>35159</v>
      </c>
      <c r="B7194" s="69">
        <v>1.0779000000000001</v>
      </c>
    </row>
    <row r="7195" spans="1:2" x14ac:dyDescent="0.2">
      <c r="A7195" s="68">
        <v>35158</v>
      </c>
      <c r="B7195" s="69">
        <v>1.0784</v>
      </c>
    </row>
    <row r="7196" spans="1:2" x14ac:dyDescent="0.2">
      <c r="A7196" s="68">
        <v>35157</v>
      </c>
      <c r="B7196" s="69">
        <v>1.0784</v>
      </c>
    </row>
    <row r="7197" spans="1:2" x14ac:dyDescent="0.2">
      <c r="A7197" s="68">
        <v>35156</v>
      </c>
      <c r="B7197" s="69">
        <v>1.0781000000000001</v>
      </c>
    </row>
    <row r="7198" spans="1:2" x14ac:dyDescent="0.2">
      <c r="A7198" s="68">
        <v>35153</v>
      </c>
      <c r="B7198" s="69">
        <v>1.0788</v>
      </c>
    </row>
    <row r="7199" spans="1:2" x14ac:dyDescent="0.2">
      <c r="A7199" s="68">
        <v>35152</v>
      </c>
      <c r="B7199" s="69">
        <v>1.0787</v>
      </c>
    </row>
    <row r="7200" spans="1:2" x14ac:dyDescent="0.2">
      <c r="A7200" s="68">
        <v>35151</v>
      </c>
      <c r="B7200" s="69">
        <v>1.0783</v>
      </c>
    </row>
    <row r="7201" spans="1:2" x14ac:dyDescent="0.2">
      <c r="A7201" s="68">
        <v>35150</v>
      </c>
      <c r="B7201" s="69">
        <v>1.0787</v>
      </c>
    </row>
    <row r="7202" spans="1:2" x14ac:dyDescent="0.2">
      <c r="A7202" s="68">
        <v>35149</v>
      </c>
      <c r="B7202" s="69">
        <v>1.0787</v>
      </c>
    </row>
    <row r="7203" spans="1:2" x14ac:dyDescent="0.2">
      <c r="A7203" s="68">
        <v>35146</v>
      </c>
      <c r="B7203" s="69">
        <v>1.0780000000000001</v>
      </c>
    </row>
    <row r="7204" spans="1:2" x14ac:dyDescent="0.2">
      <c r="A7204" s="68">
        <v>35145</v>
      </c>
      <c r="B7204" s="69">
        <v>1.0780000000000001</v>
      </c>
    </row>
    <row r="7205" spans="1:2" x14ac:dyDescent="0.2">
      <c r="A7205" s="68">
        <v>35144</v>
      </c>
      <c r="B7205" s="69">
        <v>1.0784</v>
      </c>
    </row>
    <row r="7206" spans="1:2" x14ac:dyDescent="0.2">
      <c r="A7206" s="68">
        <v>35143</v>
      </c>
      <c r="B7206" s="69">
        <v>1.0785</v>
      </c>
    </row>
    <row r="7207" spans="1:2" x14ac:dyDescent="0.2">
      <c r="A7207" s="68">
        <v>35142</v>
      </c>
      <c r="B7207" s="69">
        <v>1.0780000000000001</v>
      </c>
    </row>
    <row r="7208" spans="1:2" x14ac:dyDescent="0.2">
      <c r="A7208" s="68">
        <v>35139</v>
      </c>
      <c r="B7208" s="69">
        <v>1.0784</v>
      </c>
    </row>
    <row r="7209" spans="1:2" x14ac:dyDescent="0.2">
      <c r="A7209" s="68">
        <v>35138</v>
      </c>
      <c r="B7209" s="69">
        <v>1.0789</v>
      </c>
    </row>
    <row r="7210" spans="1:2" x14ac:dyDescent="0.2">
      <c r="A7210" s="68">
        <v>35137</v>
      </c>
      <c r="B7210" s="69">
        <v>1.0781000000000001</v>
      </c>
    </row>
    <row r="7211" spans="1:2" x14ac:dyDescent="0.2">
      <c r="A7211" s="68">
        <v>35136</v>
      </c>
      <c r="B7211" s="69">
        <v>1.0772999999999999</v>
      </c>
    </row>
    <row r="7212" spans="1:2" x14ac:dyDescent="0.2">
      <c r="A7212" s="68">
        <v>35135</v>
      </c>
      <c r="B7212" s="69">
        <v>1.0771999999999999</v>
      </c>
    </row>
    <row r="7213" spans="1:2" x14ac:dyDescent="0.2">
      <c r="A7213" s="68">
        <v>35132</v>
      </c>
      <c r="B7213" s="69">
        <v>1.0771999999999999</v>
      </c>
    </row>
    <row r="7214" spans="1:2" x14ac:dyDescent="0.2">
      <c r="A7214" s="68">
        <v>35131</v>
      </c>
      <c r="B7214" s="69">
        <v>1.0771999999999999</v>
      </c>
    </row>
    <row r="7215" spans="1:2" x14ac:dyDescent="0.2">
      <c r="A7215" s="68">
        <v>35130</v>
      </c>
      <c r="B7215" s="69">
        <v>1.0771999999999999</v>
      </c>
    </row>
    <row r="7216" spans="1:2" x14ac:dyDescent="0.2">
      <c r="A7216" s="68">
        <v>35129</v>
      </c>
      <c r="B7216" s="69">
        <v>1.0771999999999999</v>
      </c>
    </row>
    <row r="7217" spans="1:2" x14ac:dyDescent="0.2">
      <c r="A7217" s="68">
        <v>35128</v>
      </c>
      <c r="B7217" s="69">
        <v>1.0772999999999999</v>
      </c>
    </row>
    <row r="7218" spans="1:2" x14ac:dyDescent="0.2">
      <c r="A7218" s="68">
        <v>35125</v>
      </c>
      <c r="B7218" s="69">
        <v>1.0772999999999999</v>
      </c>
    </row>
    <row r="7219" spans="1:2" x14ac:dyDescent="0.2">
      <c r="A7219" s="68">
        <v>35124</v>
      </c>
      <c r="B7219" s="69">
        <v>1.0771999999999999</v>
      </c>
    </row>
    <row r="7220" spans="1:2" x14ac:dyDescent="0.2">
      <c r="A7220" s="68">
        <v>35123</v>
      </c>
      <c r="B7220" s="69">
        <v>1.0748</v>
      </c>
    </row>
    <row r="7221" spans="1:2" x14ac:dyDescent="0.2">
      <c r="A7221" s="68">
        <v>35122</v>
      </c>
      <c r="B7221" s="69">
        <v>1.0740000000000001</v>
      </c>
    </row>
    <row r="7222" spans="1:2" x14ac:dyDescent="0.2">
      <c r="A7222" s="68">
        <v>35121</v>
      </c>
      <c r="B7222" s="69">
        <v>1.0732999999999999</v>
      </c>
    </row>
    <row r="7223" spans="1:2" x14ac:dyDescent="0.2">
      <c r="A7223" s="68">
        <v>35113</v>
      </c>
      <c r="B7223" s="69">
        <v>1.0746</v>
      </c>
    </row>
    <row r="7224" spans="1:2" x14ac:dyDescent="0.2">
      <c r="A7224" s="68">
        <v>35112</v>
      </c>
      <c r="B7224" s="69">
        <v>1.0750999999999999</v>
      </c>
    </row>
    <row r="7225" spans="1:2" x14ac:dyDescent="0.2">
      <c r="A7225" s="68">
        <v>35111</v>
      </c>
      <c r="B7225" s="69">
        <v>1.0739000000000001</v>
      </c>
    </row>
    <row r="7226" spans="1:2" x14ac:dyDescent="0.2">
      <c r="A7226" s="68">
        <v>35110</v>
      </c>
      <c r="B7226" s="69">
        <v>1.0741000000000001</v>
      </c>
    </row>
    <row r="7227" spans="1:2" x14ac:dyDescent="0.2">
      <c r="A7227" s="68">
        <v>35109</v>
      </c>
      <c r="B7227" s="69">
        <v>1.0746</v>
      </c>
    </row>
    <row r="7228" spans="1:2" x14ac:dyDescent="0.2">
      <c r="A7228" s="68">
        <v>35108</v>
      </c>
      <c r="B7228" s="69">
        <v>1.0751999999999999</v>
      </c>
    </row>
    <row r="7229" spans="1:2" x14ac:dyDescent="0.2">
      <c r="A7229" s="68">
        <v>35107</v>
      </c>
      <c r="B7229" s="69">
        <v>1.0746</v>
      </c>
    </row>
    <row r="7230" spans="1:2" x14ac:dyDescent="0.2">
      <c r="A7230" s="68">
        <v>35104</v>
      </c>
      <c r="B7230" s="69">
        <v>1.0748</v>
      </c>
    </row>
    <row r="7231" spans="1:2" x14ac:dyDescent="0.2">
      <c r="A7231" s="68">
        <v>35103</v>
      </c>
      <c r="B7231" s="69">
        <v>1.0750999999999999</v>
      </c>
    </row>
    <row r="7232" spans="1:2" x14ac:dyDescent="0.2">
      <c r="A7232" s="68">
        <v>35102</v>
      </c>
      <c r="B7232" s="69">
        <v>1.0755999999999999</v>
      </c>
    </row>
    <row r="7233" spans="1:2" x14ac:dyDescent="0.2">
      <c r="A7233" s="68">
        <v>35101</v>
      </c>
      <c r="B7233" s="69">
        <v>1.0761000000000001</v>
      </c>
    </row>
    <row r="7234" spans="1:2" x14ac:dyDescent="0.2">
      <c r="A7234" s="68">
        <v>35100</v>
      </c>
      <c r="B7234" s="69">
        <v>1.0760000000000001</v>
      </c>
    </row>
    <row r="7235" spans="1:2" x14ac:dyDescent="0.2">
      <c r="A7235" s="68">
        <v>35097</v>
      </c>
      <c r="B7235" s="69">
        <v>1.0754999999999999</v>
      </c>
    </row>
    <row r="7236" spans="1:2" x14ac:dyDescent="0.2">
      <c r="A7236" s="68">
        <v>35096</v>
      </c>
      <c r="B7236" s="69">
        <v>1.0754999999999999</v>
      </c>
    </row>
    <row r="7237" spans="1:2" x14ac:dyDescent="0.2">
      <c r="A7237" s="68">
        <v>35095</v>
      </c>
      <c r="B7237" s="69">
        <v>1.0755999999999999</v>
      </c>
    </row>
    <row r="7238" spans="1:2" x14ac:dyDescent="0.2">
      <c r="A7238" s="68">
        <v>35094</v>
      </c>
      <c r="B7238" s="69">
        <v>1.075</v>
      </c>
    </row>
    <row r="7239" spans="1:2" x14ac:dyDescent="0.2">
      <c r="A7239" s="68">
        <v>35093</v>
      </c>
      <c r="B7239" s="69">
        <v>1.0754999999999999</v>
      </c>
    </row>
    <row r="7240" spans="1:2" x14ac:dyDescent="0.2">
      <c r="A7240" s="68">
        <v>35090</v>
      </c>
      <c r="B7240" s="69">
        <v>1.0761000000000001</v>
      </c>
    </row>
    <row r="7241" spans="1:2" x14ac:dyDescent="0.2">
      <c r="A7241" s="68">
        <v>35089</v>
      </c>
      <c r="B7241" s="69">
        <v>1.0767</v>
      </c>
    </row>
    <row r="7242" spans="1:2" x14ac:dyDescent="0.2">
      <c r="A7242" s="68">
        <v>35088</v>
      </c>
      <c r="B7242" s="69">
        <v>1.0766</v>
      </c>
    </row>
    <row r="7243" spans="1:2" x14ac:dyDescent="0.2">
      <c r="A7243" s="68">
        <v>35087</v>
      </c>
      <c r="B7243" s="69">
        <v>1.0767</v>
      </c>
    </row>
    <row r="7244" spans="1:2" x14ac:dyDescent="0.2">
      <c r="A7244" s="68">
        <v>35086</v>
      </c>
      <c r="B7244" s="69">
        <v>1.0762</v>
      </c>
    </row>
    <row r="7245" spans="1:2" x14ac:dyDescent="0.2">
      <c r="A7245" s="68">
        <v>35083</v>
      </c>
      <c r="B7245" s="69">
        <v>1.0764</v>
      </c>
    </row>
    <row r="7246" spans="1:2" x14ac:dyDescent="0.2">
      <c r="A7246" s="68">
        <v>35082</v>
      </c>
      <c r="B7246" s="69">
        <v>1.0766</v>
      </c>
    </row>
    <row r="7247" spans="1:2" x14ac:dyDescent="0.2">
      <c r="A7247" s="68">
        <v>35081</v>
      </c>
      <c r="B7247" s="69">
        <v>1.0768</v>
      </c>
    </row>
    <row r="7248" spans="1:2" x14ac:dyDescent="0.2">
      <c r="A7248" s="68">
        <v>35080</v>
      </c>
      <c r="B7248" s="69">
        <v>1.0764</v>
      </c>
    </row>
    <row r="7249" spans="1:2" x14ac:dyDescent="0.2">
      <c r="A7249" s="68">
        <v>35079</v>
      </c>
      <c r="B7249" s="69">
        <v>1.0764</v>
      </c>
    </row>
    <row r="7250" spans="1:2" x14ac:dyDescent="0.2">
      <c r="A7250" s="68">
        <v>35076</v>
      </c>
      <c r="B7250" s="69">
        <v>1.0763</v>
      </c>
    </row>
    <row r="7251" spans="1:2" x14ac:dyDescent="0.2">
      <c r="A7251" s="68">
        <v>35075</v>
      </c>
      <c r="B7251" s="69">
        <v>1.0762</v>
      </c>
    </row>
    <row r="7252" spans="1:2" x14ac:dyDescent="0.2">
      <c r="A7252" s="68">
        <v>35074</v>
      </c>
      <c r="B7252" s="69">
        <v>1.0764</v>
      </c>
    </row>
    <row r="7253" spans="1:2" x14ac:dyDescent="0.2">
      <c r="A7253" s="68">
        <v>35073</v>
      </c>
      <c r="B7253" s="69">
        <v>1.0765</v>
      </c>
    </row>
    <row r="7254" spans="1:2" x14ac:dyDescent="0.2">
      <c r="A7254" s="68">
        <v>35072</v>
      </c>
      <c r="B7254" s="69">
        <v>1.0764</v>
      </c>
    </row>
    <row r="7255" spans="1:2" x14ac:dyDescent="0.2">
      <c r="A7255" s="68">
        <v>35069</v>
      </c>
      <c r="B7255" s="69">
        <v>1.0764</v>
      </c>
    </row>
    <row r="7256" spans="1:2" x14ac:dyDescent="0.2">
      <c r="A7256" s="68">
        <v>35068</v>
      </c>
      <c r="B7256" s="69">
        <v>1.0762</v>
      </c>
    </row>
    <row r="7257" spans="1:2" x14ac:dyDescent="0.2">
      <c r="A7257" s="68">
        <v>35067</v>
      </c>
      <c r="B7257" s="69">
        <v>1.0760000000000001</v>
      </c>
    </row>
    <row r="7258" spans="1:2" x14ac:dyDescent="0.2">
      <c r="A7258" s="68">
        <v>35066</v>
      </c>
      <c r="B7258" s="69">
        <v>1.0755999999999999</v>
      </c>
    </row>
    <row r="7259" spans="1:2" x14ac:dyDescent="0.2">
      <c r="A7259" s="68">
        <v>35065</v>
      </c>
      <c r="B7259" s="69">
        <v>1.0758000000000001</v>
      </c>
    </row>
    <row r="7260" spans="1:2" x14ac:dyDescent="0.2">
      <c r="A7260" s="68">
        <v>35064</v>
      </c>
      <c r="B7260" s="69">
        <v>1.0758000000000001</v>
      </c>
    </row>
    <row r="7261" spans="1:2" x14ac:dyDescent="0.2">
      <c r="A7261" s="68">
        <v>35062</v>
      </c>
      <c r="B7261" s="69">
        <v>1.0760000000000001</v>
      </c>
    </row>
    <row r="7262" spans="1:2" x14ac:dyDescent="0.2">
      <c r="A7262" s="68">
        <v>35061</v>
      </c>
      <c r="B7262" s="69">
        <v>1.0758000000000001</v>
      </c>
    </row>
    <row r="7263" spans="1:2" x14ac:dyDescent="0.2">
      <c r="A7263" s="68">
        <v>35060</v>
      </c>
      <c r="B7263" s="69">
        <v>1.0755999999999999</v>
      </c>
    </row>
    <row r="7264" spans="1:2" x14ac:dyDescent="0.2">
      <c r="A7264" s="68">
        <v>35059</v>
      </c>
      <c r="B7264" s="69">
        <v>1.0755999999999999</v>
      </c>
    </row>
    <row r="7265" spans="1:2" x14ac:dyDescent="0.2">
      <c r="A7265" s="68">
        <v>35058</v>
      </c>
      <c r="B7265" s="69">
        <v>1.0757000000000001</v>
      </c>
    </row>
    <row r="7266" spans="1:2" x14ac:dyDescent="0.2">
      <c r="A7266" s="68">
        <v>35055</v>
      </c>
      <c r="B7266" s="69">
        <v>1.0753999999999999</v>
      </c>
    </row>
    <row r="7267" spans="1:2" x14ac:dyDescent="0.2">
      <c r="A7267" s="68">
        <v>35054</v>
      </c>
      <c r="B7267" s="69">
        <v>1.0752999999999999</v>
      </c>
    </row>
    <row r="7268" spans="1:2" x14ac:dyDescent="0.2">
      <c r="A7268" s="68">
        <v>35053</v>
      </c>
      <c r="B7268" s="69">
        <v>1.0751999999999999</v>
      </c>
    </row>
    <row r="7269" spans="1:2" x14ac:dyDescent="0.2">
      <c r="A7269" s="68">
        <v>35052</v>
      </c>
      <c r="B7269" s="69">
        <v>1.0751999999999999</v>
      </c>
    </row>
    <row r="7270" spans="1:2" x14ac:dyDescent="0.2">
      <c r="A7270" s="68">
        <v>35051</v>
      </c>
      <c r="B7270" s="69">
        <v>1.0759000000000001</v>
      </c>
    </row>
    <row r="7271" spans="1:2" x14ac:dyDescent="0.2">
      <c r="A7271" s="68">
        <v>35048</v>
      </c>
      <c r="B7271" s="69">
        <v>1.0753999999999999</v>
      </c>
    </row>
    <row r="7272" spans="1:2" x14ac:dyDescent="0.2">
      <c r="A7272" s="68">
        <v>35047</v>
      </c>
      <c r="B7272" s="69">
        <v>1.0751999999999999</v>
      </c>
    </row>
    <row r="7273" spans="1:2" x14ac:dyDescent="0.2">
      <c r="A7273" s="68">
        <v>35046</v>
      </c>
      <c r="B7273" s="69">
        <v>1.0754999999999999</v>
      </c>
    </row>
    <row r="7274" spans="1:2" x14ac:dyDescent="0.2">
      <c r="A7274" s="68">
        <v>35045</v>
      </c>
      <c r="B7274" s="69">
        <v>1.0754999999999999</v>
      </c>
    </row>
    <row r="7275" spans="1:2" x14ac:dyDescent="0.2">
      <c r="A7275" s="68">
        <v>35044</v>
      </c>
      <c r="B7275" s="69">
        <v>1.0752999999999999</v>
      </c>
    </row>
    <row r="7276" spans="1:2" x14ac:dyDescent="0.2">
      <c r="A7276" s="68">
        <v>35041</v>
      </c>
      <c r="B7276" s="69">
        <v>1.0751999999999999</v>
      </c>
    </row>
    <row r="7277" spans="1:2" x14ac:dyDescent="0.2">
      <c r="A7277" s="68">
        <v>35040</v>
      </c>
      <c r="B7277" s="69">
        <v>1.0751999999999999</v>
      </c>
    </row>
    <row r="7278" spans="1:2" x14ac:dyDescent="0.2">
      <c r="A7278" s="68">
        <v>35039</v>
      </c>
      <c r="B7278" s="69">
        <v>1.0751999999999999</v>
      </c>
    </row>
    <row r="7279" spans="1:2" x14ac:dyDescent="0.2">
      <c r="A7279" s="68">
        <v>35038</v>
      </c>
      <c r="B7279" s="69">
        <v>1.0752999999999999</v>
      </c>
    </row>
    <row r="7280" spans="1:2" x14ac:dyDescent="0.2">
      <c r="A7280" s="68">
        <v>35037</v>
      </c>
      <c r="B7280" s="69">
        <v>1.0751999999999999</v>
      </c>
    </row>
    <row r="7281" spans="1:2" x14ac:dyDescent="0.2">
      <c r="A7281" s="68">
        <v>35034</v>
      </c>
      <c r="B7281" s="69">
        <v>1.0751999999999999</v>
      </c>
    </row>
    <row r="7282" spans="1:2" x14ac:dyDescent="0.2">
      <c r="A7282" s="68">
        <v>35033</v>
      </c>
      <c r="B7282" s="69">
        <v>1.0747</v>
      </c>
    </row>
    <row r="7283" spans="1:2" x14ac:dyDescent="0.2">
      <c r="A7283" s="68">
        <v>35032</v>
      </c>
      <c r="B7283" s="69">
        <v>1.0747</v>
      </c>
    </row>
    <row r="7284" spans="1:2" x14ac:dyDescent="0.2">
      <c r="A7284" s="68">
        <v>35031</v>
      </c>
      <c r="B7284" s="69">
        <v>1.0749</v>
      </c>
    </row>
    <row r="7285" spans="1:2" x14ac:dyDescent="0.2">
      <c r="A7285" s="68">
        <v>35030</v>
      </c>
      <c r="B7285" s="69">
        <v>1.0748</v>
      </c>
    </row>
    <row r="7286" spans="1:2" x14ac:dyDescent="0.2">
      <c r="A7286" s="68">
        <v>35027</v>
      </c>
      <c r="B7286" s="69">
        <v>1.075</v>
      </c>
    </row>
    <row r="7287" spans="1:2" x14ac:dyDescent="0.2">
      <c r="A7287" s="68">
        <v>35026</v>
      </c>
      <c r="B7287" s="69">
        <v>1.0750999999999999</v>
      </c>
    </row>
    <row r="7288" spans="1:2" x14ac:dyDescent="0.2">
      <c r="A7288" s="68">
        <v>35025</v>
      </c>
      <c r="B7288" s="69">
        <v>1.0752999999999999</v>
      </c>
    </row>
    <row r="7289" spans="1:2" x14ac:dyDescent="0.2">
      <c r="A7289" s="68">
        <v>35024</v>
      </c>
      <c r="B7289" s="69">
        <v>1.0753999999999999</v>
      </c>
    </row>
    <row r="7290" spans="1:2" x14ac:dyDescent="0.2">
      <c r="A7290" s="68">
        <v>35023</v>
      </c>
      <c r="B7290" s="69">
        <v>1.0752999999999999</v>
      </c>
    </row>
    <row r="7291" spans="1:2" x14ac:dyDescent="0.2">
      <c r="A7291" s="68">
        <v>35020</v>
      </c>
      <c r="B7291" s="69">
        <v>1.0752999999999999</v>
      </c>
    </row>
    <row r="7292" spans="1:2" x14ac:dyDescent="0.2">
      <c r="A7292" s="68">
        <v>35019</v>
      </c>
      <c r="B7292" s="69">
        <v>1.0749</v>
      </c>
    </row>
    <row r="7293" spans="1:2" x14ac:dyDescent="0.2">
      <c r="A7293" s="68">
        <v>35018</v>
      </c>
      <c r="B7293" s="69">
        <v>1.0751999999999999</v>
      </c>
    </row>
    <row r="7294" spans="1:2" x14ac:dyDescent="0.2">
      <c r="A7294" s="68">
        <v>35017</v>
      </c>
      <c r="B7294" s="69">
        <v>1.075</v>
      </c>
    </row>
    <row r="7295" spans="1:2" x14ac:dyDescent="0.2">
      <c r="A7295" s="68">
        <v>35016</v>
      </c>
      <c r="B7295" s="69">
        <v>1.0751999999999999</v>
      </c>
    </row>
    <row r="7296" spans="1:2" x14ac:dyDescent="0.2">
      <c r="A7296" s="68">
        <v>35013</v>
      </c>
      <c r="B7296" s="69">
        <v>1.0753999999999999</v>
      </c>
    </row>
    <row r="7297" spans="1:2" x14ac:dyDescent="0.2">
      <c r="A7297" s="68">
        <v>35012</v>
      </c>
      <c r="B7297" s="69">
        <v>1.0751999999999999</v>
      </c>
    </row>
    <row r="7298" spans="1:2" x14ac:dyDescent="0.2">
      <c r="A7298" s="68">
        <v>35011</v>
      </c>
      <c r="B7298" s="69">
        <v>1.0753999999999999</v>
      </c>
    </row>
    <row r="7299" spans="1:2" x14ac:dyDescent="0.2">
      <c r="A7299" s="68">
        <v>35010</v>
      </c>
      <c r="B7299" s="69">
        <v>1.0751999999999999</v>
      </c>
    </row>
    <row r="7300" spans="1:2" x14ac:dyDescent="0.2">
      <c r="A7300" s="68">
        <v>35009</v>
      </c>
      <c r="B7300" s="69">
        <v>1.0754999999999999</v>
      </c>
    </row>
    <row r="7301" spans="1:2" x14ac:dyDescent="0.2">
      <c r="A7301" s="68">
        <v>35006</v>
      </c>
      <c r="B7301" s="69">
        <v>1.0753999999999999</v>
      </c>
    </row>
    <row r="7302" spans="1:2" x14ac:dyDescent="0.2">
      <c r="A7302" s="68">
        <v>35005</v>
      </c>
      <c r="B7302" s="69">
        <v>1.075</v>
      </c>
    </row>
    <row r="7303" spans="1:2" x14ac:dyDescent="0.2">
      <c r="A7303" s="68">
        <v>35004</v>
      </c>
      <c r="B7303" s="69">
        <v>1.0754999999999999</v>
      </c>
    </row>
    <row r="7304" spans="1:2" x14ac:dyDescent="0.2">
      <c r="A7304" s="68">
        <v>35003</v>
      </c>
      <c r="B7304" s="69">
        <v>1.0754999999999999</v>
      </c>
    </row>
    <row r="7305" spans="1:2" x14ac:dyDescent="0.2">
      <c r="A7305" s="68">
        <v>35002</v>
      </c>
      <c r="B7305" s="69">
        <v>1.0754999999999999</v>
      </c>
    </row>
    <row r="7306" spans="1:2" x14ac:dyDescent="0.2">
      <c r="A7306" s="68">
        <v>34999</v>
      </c>
      <c r="B7306" s="69">
        <v>1.0753999999999999</v>
      </c>
    </row>
    <row r="7307" spans="1:2" x14ac:dyDescent="0.2">
      <c r="A7307" s="68">
        <v>34998</v>
      </c>
      <c r="B7307" s="69">
        <v>1.0752999999999999</v>
      </c>
    </row>
    <row r="7308" spans="1:2" x14ac:dyDescent="0.2">
      <c r="A7308" s="68">
        <v>34997</v>
      </c>
      <c r="B7308" s="69">
        <v>1.0753999999999999</v>
      </c>
    </row>
    <row r="7309" spans="1:2" x14ac:dyDescent="0.2">
      <c r="A7309" s="68">
        <v>34996</v>
      </c>
      <c r="B7309" s="69">
        <v>1.0753999999999999</v>
      </c>
    </row>
    <row r="7310" spans="1:2" x14ac:dyDescent="0.2">
      <c r="A7310" s="68">
        <v>34995</v>
      </c>
      <c r="B7310" s="69">
        <v>1.0754999999999999</v>
      </c>
    </row>
    <row r="7311" spans="1:2" x14ac:dyDescent="0.2">
      <c r="A7311" s="68">
        <v>34992</v>
      </c>
      <c r="B7311" s="69">
        <v>1.0753999999999999</v>
      </c>
    </row>
    <row r="7312" spans="1:2" x14ac:dyDescent="0.2">
      <c r="A7312" s="68">
        <v>34991</v>
      </c>
      <c r="B7312" s="69">
        <v>1.0754999999999999</v>
      </c>
    </row>
    <row r="7313" spans="1:2" x14ac:dyDescent="0.2">
      <c r="A7313" s="68">
        <v>34990</v>
      </c>
      <c r="B7313" s="69">
        <v>1.0757000000000001</v>
      </c>
    </row>
    <row r="7314" spans="1:2" x14ac:dyDescent="0.2">
      <c r="A7314" s="68">
        <v>34989</v>
      </c>
      <c r="B7314" s="69">
        <v>1.0758000000000001</v>
      </c>
    </row>
    <row r="7315" spans="1:2" x14ac:dyDescent="0.2">
      <c r="A7315" s="68">
        <v>34988</v>
      </c>
      <c r="B7315" s="69">
        <v>1.0757000000000001</v>
      </c>
    </row>
    <row r="7316" spans="1:2" x14ac:dyDescent="0.2">
      <c r="A7316" s="68">
        <v>34985</v>
      </c>
      <c r="B7316" s="69">
        <v>1.0757000000000001</v>
      </c>
    </row>
    <row r="7317" spans="1:2" x14ac:dyDescent="0.2">
      <c r="A7317" s="68">
        <v>34984</v>
      </c>
      <c r="B7317" s="69">
        <v>1.0757000000000001</v>
      </c>
    </row>
    <row r="7318" spans="1:2" x14ac:dyDescent="0.2">
      <c r="A7318" s="68">
        <v>34983</v>
      </c>
      <c r="B7318" s="69">
        <v>1.0759000000000001</v>
      </c>
    </row>
    <row r="7319" spans="1:2" x14ac:dyDescent="0.2">
      <c r="A7319" s="68">
        <v>34982</v>
      </c>
      <c r="B7319" s="69">
        <v>1.0754999999999999</v>
      </c>
    </row>
    <row r="7320" spans="1:2" x14ac:dyDescent="0.2">
      <c r="A7320" s="68">
        <v>34981</v>
      </c>
      <c r="B7320" s="69">
        <v>1.0764</v>
      </c>
    </row>
    <row r="7321" spans="1:2" x14ac:dyDescent="0.2">
      <c r="A7321" s="68">
        <v>34978</v>
      </c>
      <c r="B7321" s="69">
        <v>1.0761000000000001</v>
      </c>
    </row>
    <row r="7322" spans="1:2" x14ac:dyDescent="0.2">
      <c r="A7322" s="68">
        <v>34977</v>
      </c>
      <c r="B7322" s="69">
        <v>1.0760000000000001</v>
      </c>
    </row>
    <row r="7323" spans="1:2" x14ac:dyDescent="0.2">
      <c r="A7323" s="68">
        <v>34976</v>
      </c>
      <c r="B7323" s="69">
        <v>1.0764</v>
      </c>
    </row>
    <row r="7324" spans="1:2" x14ac:dyDescent="0.2">
      <c r="A7324" s="68">
        <v>34971</v>
      </c>
      <c r="B7324" s="69">
        <v>1.0761000000000001</v>
      </c>
    </row>
    <row r="7325" spans="1:2" x14ac:dyDescent="0.2">
      <c r="A7325" s="68">
        <v>34970</v>
      </c>
      <c r="B7325" s="69">
        <v>1.0769</v>
      </c>
    </row>
    <row r="7326" spans="1:2" x14ac:dyDescent="0.2">
      <c r="A7326" s="68">
        <v>34969</v>
      </c>
      <c r="B7326" s="69">
        <v>1.0763</v>
      </c>
    </row>
    <row r="7327" spans="1:2" x14ac:dyDescent="0.2">
      <c r="A7327" s="68">
        <v>34968</v>
      </c>
      <c r="B7327" s="69">
        <v>1.0764</v>
      </c>
    </row>
    <row r="7328" spans="1:2" x14ac:dyDescent="0.2">
      <c r="A7328" s="68">
        <v>34967</v>
      </c>
      <c r="B7328" s="69">
        <v>1.0759000000000001</v>
      </c>
    </row>
    <row r="7329" spans="1:2" x14ac:dyDescent="0.2">
      <c r="A7329" s="68">
        <v>34964</v>
      </c>
      <c r="B7329" s="69">
        <v>1.0749</v>
      </c>
    </row>
    <row r="7330" spans="1:2" x14ac:dyDescent="0.2">
      <c r="A7330" s="68">
        <v>34963</v>
      </c>
      <c r="B7330" s="69">
        <v>1.0750999999999999</v>
      </c>
    </row>
    <row r="7331" spans="1:2" x14ac:dyDescent="0.2">
      <c r="A7331" s="68">
        <v>34962</v>
      </c>
      <c r="B7331" s="69">
        <v>1.075</v>
      </c>
    </row>
    <row r="7332" spans="1:2" x14ac:dyDescent="0.2">
      <c r="A7332" s="68">
        <v>34961</v>
      </c>
      <c r="B7332" s="69">
        <v>1.0750999999999999</v>
      </c>
    </row>
    <row r="7333" spans="1:2" x14ac:dyDescent="0.2">
      <c r="A7333" s="68">
        <v>34960</v>
      </c>
      <c r="B7333" s="69">
        <v>1.0749</v>
      </c>
    </row>
    <row r="7334" spans="1:2" x14ac:dyDescent="0.2">
      <c r="A7334" s="68">
        <v>34957</v>
      </c>
      <c r="B7334" s="69">
        <v>1.0749</v>
      </c>
    </row>
    <row r="7335" spans="1:2" x14ac:dyDescent="0.2">
      <c r="A7335" s="68">
        <v>34956</v>
      </c>
      <c r="B7335" s="69">
        <v>1.0745</v>
      </c>
    </row>
    <row r="7336" spans="1:2" x14ac:dyDescent="0.2">
      <c r="A7336" s="68">
        <v>34955</v>
      </c>
      <c r="B7336" s="69">
        <v>1.0741000000000001</v>
      </c>
    </row>
    <row r="7337" spans="1:2" x14ac:dyDescent="0.2">
      <c r="A7337" s="68">
        <v>34954</v>
      </c>
      <c r="B7337" s="69">
        <v>1.0746</v>
      </c>
    </row>
    <row r="7338" spans="1:2" x14ac:dyDescent="0.2">
      <c r="A7338" s="68">
        <v>34953</v>
      </c>
      <c r="B7338" s="69">
        <v>1.0738000000000001</v>
      </c>
    </row>
    <row r="7339" spans="1:2" x14ac:dyDescent="0.2">
      <c r="A7339" s="68">
        <v>34950</v>
      </c>
      <c r="B7339" s="69">
        <v>1.0733999999999999</v>
      </c>
    </row>
    <row r="7340" spans="1:2" x14ac:dyDescent="0.2">
      <c r="A7340" s="68">
        <v>34949</v>
      </c>
      <c r="B7340" s="69">
        <v>1.0736000000000001</v>
      </c>
    </row>
    <row r="7341" spans="1:2" x14ac:dyDescent="0.2">
      <c r="A7341" s="68">
        <v>34948</v>
      </c>
      <c r="B7341" s="69">
        <v>1.0739000000000001</v>
      </c>
    </row>
    <row r="7342" spans="1:2" x14ac:dyDescent="0.2">
      <c r="A7342" s="68">
        <v>34947</v>
      </c>
      <c r="B7342" s="69">
        <v>1.0744</v>
      </c>
    </row>
    <row r="7343" spans="1:2" x14ac:dyDescent="0.2">
      <c r="A7343" s="68">
        <v>34946</v>
      </c>
      <c r="B7343" s="69">
        <v>1.0744</v>
      </c>
    </row>
    <row r="7344" spans="1:2" x14ac:dyDescent="0.2">
      <c r="A7344" s="68">
        <v>34943</v>
      </c>
      <c r="B7344" s="69">
        <v>1.0742</v>
      </c>
    </row>
    <row r="7345" spans="1:2" x14ac:dyDescent="0.2">
      <c r="A7345" s="68">
        <v>34942</v>
      </c>
      <c r="B7345" s="69">
        <v>1.0740000000000001</v>
      </c>
    </row>
    <row r="7346" spans="1:2" x14ac:dyDescent="0.2">
      <c r="A7346" s="68">
        <v>34941</v>
      </c>
      <c r="B7346" s="69">
        <v>1.0736000000000001</v>
      </c>
    </row>
    <row r="7347" spans="1:2" x14ac:dyDescent="0.2">
      <c r="A7347" s="68">
        <v>34940</v>
      </c>
      <c r="B7347" s="69">
        <v>1.0734999999999999</v>
      </c>
    </row>
    <row r="7348" spans="1:2" x14ac:dyDescent="0.2">
      <c r="A7348" s="68">
        <v>34939</v>
      </c>
      <c r="B7348" s="69">
        <v>1.0730999999999999</v>
      </c>
    </row>
    <row r="7349" spans="1:2" x14ac:dyDescent="0.2">
      <c r="A7349" s="68">
        <v>34936</v>
      </c>
      <c r="B7349" s="69">
        <v>1.0730999999999999</v>
      </c>
    </row>
    <row r="7350" spans="1:2" x14ac:dyDescent="0.2">
      <c r="A7350" s="68">
        <v>34935</v>
      </c>
      <c r="B7350" s="69">
        <v>1.0729</v>
      </c>
    </row>
    <row r="7351" spans="1:2" x14ac:dyDescent="0.2">
      <c r="A7351" s="68">
        <v>34934</v>
      </c>
      <c r="B7351" s="69">
        <v>1.0729</v>
      </c>
    </row>
    <row r="7352" spans="1:2" x14ac:dyDescent="0.2">
      <c r="A7352" s="68">
        <v>34933</v>
      </c>
      <c r="B7352" s="69">
        <v>1.073</v>
      </c>
    </row>
    <row r="7353" spans="1:2" x14ac:dyDescent="0.2">
      <c r="A7353" s="68">
        <v>34932</v>
      </c>
      <c r="B7353" s="69">
        <v>1.0730999999999999</v>
      </c>
    </row>
    <row r="7354" spans="1:2" x14ac:dyDescent="0.2">
      <c r="A7354" s="68">
        <v>34929</v>
      </c>
      <c r="B7354" s="69">
        <v>1.0728</v>
      </c>
    </row>
    <row r="7355" spans="1:2" x14ac:dyDescent="0.2">
      <c r="A7355" s="68">
        <v>34928</v>
      </c>
      <c r="B7355" s="69">
        <v>1.0724</v>
      </c>
    </row>
    <row r="7356" spans="1:2" x14ac:dyDescent="0.2">
      <c r="A7356" s="68">
        <v>34927</v>
      </c>
      <c r="B7356" s="69">
        <v>1.0724</v>
      </c>
    </row>
    <row r="7357" spans="1:2" x14ac:dyDescent="0.2">
      <c r="A7357" s="68">
        <v>34926</v>
      </c>
      <c r="B7357" s="69">
        <v>1.0723</v>
      </c>
    </row>
    <row r="7358" spans="1:2" x14ac:dyDescent="0.2">
      <c r="A7358" s="68">
        <v>34925</v>
      </c>
      <c r="B7358" s="69">
        <v>1.0717000000000001</v>
      </c>
    </row>
    <row r="7359" spans="1:2" x14ac:dyDescent="0.2">
      <c r="A7359" s="68">
        <v>34922</v>
      </c>
      <c r="B7359" s="69">
        <v>1.0719000000000001</v>
      </c>
    </row>
    <row r="7360" spans="1:2" x14ac:dyDescent="0.2">
      <c r="A7360" s="68">
        <v>34921</v>
      </c>
      <c r="B7360" s="69">
        <v>1.0719000000000001</v>
      </c>
    </row>
    <row r="7361" spans="1:2" x14ac:dyDescent="0.2">
      <c r="A7361" s="68">
        <v>34920</v>
      </c>
      <c r="B7361" s="69">
        <v>1.0717000000000001</v>
      </c>
    </row>
    <row r="7362" spans="1:2" x14ac:dyDescent="0.2">
      <c r="A7362" s="68">
        <v>34919</v>
      </c>
      <c r="B7362" s="69">
        <v>1.0717000000000001</v>
      </c>
    </row>
    <row r="7363" spans="1:2" x14ac:dyDescent="0.2">
      <c r="A7363" s="68">
        <v>34918</v>
      </c>
      <c r="B7363" s="69">
        <v>1.0718000000000001</v>
      </c>
    </row>
    <row r="7364" spans="1:2" x14ac:dyDescent="0.2">
      <c r="A7364" s="68">
        <v>34915</v>
      </c>
      <c r="B7364" s="69">
        <v>1.0719000000000001</v>
      </c>
    </row>
    <row r="7365" spans="1:2" x14ac:dyDescent="0.2">
      <c r="A7365" s="68">
        <v>34914</v>
      </c>
      <c r="B7365" s="69">
        <v>1.0714999999999999</v>
      </c>
    </row>
    <row r="7366" spans="1:2" x14ac:dyDescent="0.2">
      <c r="A7366" s="68">
        <v>34913</v>
      </c>
      <c r="B7366" s="69">
        <v>1.0718000000000001</v>
      </c>
    </row>
    <row r="7367" spans="1:2" x14ac:dyDescent="0.2">
      <c r="A7367" s="68">
        <v>34912</v>
      </c>
      <c r="B7367" s="69">
        <v>1.0717000000000001</v>
      </c>
    </row>
    <row r="7368" spans="1:2" x14ac:dyDescent="0.2">
      <c r="A7368" s="68">
        <v>34911</v>
      </c>
      <c r="B7368" s="69">
        <v>1.0714999999999999</v>
      </c>
    </row>
    <row r="7369" spans="1:2" x14ac:dyDescent="0.2">
      <c r="A7369" s="68">
        <v>34908</v>
      </c>
      <c r="B7369" s="69">
        <v>1.0718000000000001</v>
      </c>
    </row>
    <row r="7370" spans="1:2" x14ac:dyDescent="0.2">
      <c r="A7370" s="68">
        <v>34907</v>
      </c>
      <c r="B7370" s="69">
        <v>1.0713999999999999</v>
      </c>
    </row>
    <row r="7371" spans="1:2" x14ac:dyDescent="0.2">
      <c r="A7371" s="68">
        <v>34906</v>
      </c>
      <c r="B7371" s="69">
        <v>1.0713999999999999</v>
      </c>
    </row>
    <row r="7372" spans="1:2" x14ac:dyDescent="0.2">
      <c r="A7372" s="68">
        <v>34905</v>
      </c>
      <c r="B7372" s="69">
        <v>1.0716000000000001</v>
      </c>
    </row>
    <row r="7373" spans="1:2" x14ac:dyDescent="0.2">
      <c r="A7373" s="68">
        <v>34904</v>
      </c>
      <c r="B7373" s="69">
        <v>1.0713999999999999</v>
      </c>
    </row>
    <row r="7374" spans="1:2" x14ac:dyDescent="0.2">
      <c r="A7374" s="68">
        <v>34901</v>
      </c>
      <c r="B7374" s="69">
        <v>1.0713999999999999</v>
      </c>
    </row>
    <row r="7375" spans="1:2" x14ac:dyDescent="0.2">
      <c r="A7375" s="68">
        <v>34900</v>
      </c>
      <c r="B7375" s="69">
        <v>1.0716000000000001</v>
      </c>
    </row>
    <row r="7376" spans="1:2" x14ac:dyDescent="0.2">
      <c r="A7376" s="68">
        <v>34899</v>
      </c>
      <c r="B7376" s="69">
        <v>1.0717000000000001</v>
      </c>
    </row>
    <row r="7377" spans="1:2" x14ac:dyDescent="0.2">
      <c r="A7377" s="68">
        <v>34898</v>
      </c>
      <c r="B7377" s="69">
        <v>1.0713999999999999</v>
      </c>
    </row>
    <row r="7378" spans="1:2" x14ac:dyDescent="0.2">
      <c r="A7378" s="68">
        <v>34897</v>
      </c>
      <c r="B7378" s="69">
        <v>1.0720000000000001</v>
      </c>
    </row>
    <row r="7379" spans="1:2" x14ac:dyDescent="0.2">
      <c r="A7379" s="68">
        <v>34894</v>
      </c>
      <c r="B7379" s="69">
        <v>1.0711999999999999</v>
      </c>
    </row>
    <row r="7380" spans="1:2" x14ac:dyDescent="0.2">
      <c r="A7380" s="68">
        <v>34893</v>
      </c>
      <c r="B7380" s="69">
        <v>1.0721000000000001</v>
      </c>
    </row>
    <row r="7381" spans="1:2" x14ac:dyDescent="0.2">
      <c r="A7381" s="68">
        <v>34892</v>
      </c>
      <c r="B7381" s="69">
        <v>1.0724</v>
      </c>
    </row>
    <row r="7382" spans="1:2" x14ac:dyDescent="0.2">
      <c r="A7382" s="68">
        <v>34891</v>
      </c>
      <c r="B7382" s="69">
        <v>1.0736000000000001</v>
      </c>
    </row>
    <row r="7383" spans="1:2" x14ac:dyDescent="0.2">
      <c r="A7383" s="68">
        <v>34890</v>
      </c>
      <c r="B7383" s="69">
        <v>1.0734999999999999</v>
      </c>
    </row>
    <row r="7384" spans="1:2" x14ac:dyDescent="0.2">
      <c r="A7384" s="68">
        <v>34887</v>
      </c>
      <c r="B7384" s="69">
        <v>1.0733999999999999</v>
      </c>
    </row>
    <row r="7385" spans="1:2" x14ac:dyDescent="0.2">
      <c r="A7385" s="68">
        <v>34886</v>
      </c>
      <c r="B7385" s="69">
        <v>1.0737000000000001</v>
      </c>
    </row>
    <row r="7386" spans="1:2" x14ac:dyDescent="0.2">
      <c r="A7386" s="68">
        <v>34885</v>
      </c>
      <c r="B7386" s="69">
        <v>1.0733999999999999</v>
      </c>
    </row>
    <row r="7387" spans="1:2" x14ac:dyDescent="0.2">
      <c r="A7387" s="68">
        <v>34884</v>
      </c>
      <c r="B7387" s="69">
        <v>1.0720000000000001</v>
      </c>
    </row>
    <row r="7388" spans="1:2" x14ac:dyDescent="0.2">
      <c r="A7388" s="68">
        <v>34883</v>
      </c>
      <c r="B7388" s="69">
        <v>1.0725</v>
      </c>
    </row>
    <row r="7389" spans="1:2" x14ac:dyDescent="0.2">
      <c r="A7389" s="68">
        <v>34880</v>
      </c>
      <c r="B7389" s="69">
        <v>1.073</v>
      </c>
    </row>
    <row r="7390" spans="1:2" x14ac:dyDescent="0.2">
      <c r="A7390" s="68">
        <v>34879</v>
      </c>
      <c r="B7390" s="69">
        <v>1.0721000000000001</v>
      </c>
    </row>
    <row r="7391" spans="1:2" x14ac:dyDescent="0.2">
      <c r="A7391" s="68">
        <v>34878</v>
      </c>
      <c r="B7391" s="69">
        <v>1.073</v>
      </c>
    </row>
    <row r="7392" spans="1:2" x14ac:dyDescent="0.2">
      <c r="A7392" s="68">
        <v>34877</v>
      </c>
      <c r="B7392" s="69">
        <v>1.0733999999999999</v>
      </c>
    </row>
    <row r="7393" spans="1:2" x14ac:dyDescent="0.2">
      <c r="A7393" s="68">
        <v>34876</v>
      </c>
      <c r="B7393" s="69">
        <v>1.0731999999999999</v>
      </c>
    </row>
    <row r="7394" spans="1:2" x14ac:dyDescent="0.2">
      <c r="A7394" s="68">
        <v>34873</v>
      </c>
      <c r="B7394" s="69">
        <v>1.0739000000000001</v>
      </c>
    </row>
    <row r="7395" spans="1:2" x14ac:dyDescent="0.2">
      <c r="A7395" s="68">
        <v>34872</v>
      </c>
      <c r="B7395" s="69">
        <v>1.0737000000000001</v>
      </c>
    </row>
    <row r="7396" spans="1:2" x14ac:dyDescent="0.2">
      <c r="A7396" s="68">
        <v>34871</v>
      </c>
      <c r="B7396" s="69">
        <v>1.0738000000000001</v>
      </c>
    </row>
    <row r="7397" spans="1:2" x14ac:dyDescent="0.2">
      <c r="A7397" s="68">
        <v>34870</v>
      </c>
      <c r="B7397" s="69">
        <v>1.0738000000000001</v>
      </c>
    </row>
    <row r="7398" spans="1:2" x14ac:dyDescent="0.2">
      <c r="A7398" s="68">
        <v>34869</v>
      </c>
      <c r="B7398" s="69">
        <v>1.0740000000000001</v>
      </c>
    </row>
    <row r="7399" spans="1:2" x14ac:dyDescent="0.2">
      <c r="A7399" s="68">
        <v>34866</v>
      </c>
      <c r="B7399" s="69">
        <v>1.0741000000000001</v>
      </c>
    </row>
    <row r="7400" spans="1:2" x14ac:dyDescent="0.2">
      <c r="A7400" s="68">
        <v>34865</v>
      </c>
      <c r="B7400" s="69">
        <v>1.0738000000000001</v>
      </c>
    </row>
    <row r="7401" spans="1:2" x14ac:dyDescent="0.2">
      <c r="A7401" s="68">
        <v>34864</v>
      </c>
      <c r="B7401" s="69">
        <v>1.0734999999999999</v>
      </c>
    </row>
    <row r="7402" spans="1:2" x14ac:dyDescent="0.2">
      <c r="A7402" s="68">
        <v>34863</v>
      </c>
      <c r="B7402" s="69">
        <v>1.0734999999999999</v>
      </c>
    </row>
    <row r="7403" spans="1:2" x14ac:dyDescent="0.2">
      <c r="A7403" s="68">
        <v>34862</v>
      </c>
      <c r="B7403" s="69">
        <v>1.0732999999999999</v>
      </c>
    </row>
    <row r="7404" spans="1:2" x14ac:dyDescent="0.2">
      <c r="A7404" s="68">
        <v>34859</v>
      </c>
      <c r="B7404" s="69">
        <v>1.0729</v>
      </c>
    </row>
    <row r="7405" spans="1:2" x14ac:dyDescent="0.2">
      <c r="A7405" s="68">
        <v>34858</v>
      </c>
      <c r="B7405" s="69">
        <v>1.0739000000000001</v>
      </c>
    </row>
    <row r="7406" spans="1:2" x14ac:dyDescent="0.2">
      <c r="A7406" s="68">
        <v>34857</v>
      </c>
      <c r="B7406" s="69">
        <v>1.0744</v>
      </c>
    </row>
    <row r="7407" spans="1:2" x14ac:dyDescent="0.2">
      <c r="A7407" s="68">
        <v>34856</v>
      </c>
      <c r="B7407" s="69">
        <v>1.0724</v>
      </c>
    </row>
    <row r="7408" spans="1:2" x14ac:dyDescent="0.2">
      <c r="A7408" s="68">
        <v>34855</v>
      </c>
      <c r="B7408" s="69">
        <v>1.0736000000000001</v>
      </c>
    </row>
    <row r="7409" spans="1:2" x14ac:dyDescent="0.2">
      <c r="A7409" s="68">
        <v>34852</v>
      </c>
      <c r="B7409" s="69">
        <v>1.0743</v>
      </c>
    </row>
    <row r="7410" spans="1:2" x14ac:dyDescent="0.2">
      <c r="A7410" s="68">
        <v>34851</v>
      </c>
      <c r="B7410" s="69">
        <v>1.0747</v>
      </c>
    </row>
    <row r="7411" spans="1:2" x14ac:dyDescent="0.2">
      <c r="A7411" s="68">
        <v>34850</v>
      </c>
      <c r="B7411" s="69">
        <v>1.0753999999999999</v>
      </c>
    </row>
    <row r="7412" spans="1:2" x14ac:dyDescent="0.2">
      <c r="A7412" s="68">
        <v>34849</v>
      </c>
      <c r="B7412" s="69">
        <v>1.0748</v>
      </c>
    </row>
    <row r="7413" spans="1:2" x14ac:dyDescent="0.2">
      <c r="A7413" s="68">
        <v>34848</v>
      </c>
      <c r="B7413" s="69">
        <v>1.0743</v>
      </c>
    </row>
    <row r="7414" spans="1:2" x14ac:dyDescent="0.2">
      <c r="A7414" s="68">
        <v>34845</v>
      </c>
      <c r="B7414" s="69">
        <v>1.0738000000000001</v>
      </c>
    </row>
    <row r="7415" spans="1:2" x14ac:dyDescent="0.2">
      <c r="A7415" s="68">
        <v>34844</v>
      </c>
      <c r="B7415" s="69">
        <v>1.0740000000000001</v>
      </c>
    </row>
    <row r="7416" spans="1:2" x14ac:dyDescent="0.2">
      <c r="A7416" s="68">
        <v>34843</v>
      </c>
      <c r="B7416" s="69">
        <v>1.0740000000000001</v>
      </c>
    </row>
    <row r="7417" spans="1:2" x14ac:dyDescent="0.2">
      <c r="A7417" s="68">
        <v>34842</v>
      </c>
      <c r="B7417" s="69">
        <v>1.0734999999999999</v>
      </c>
    </row>
    <row r="7418" spans="1:2" x14ac:dyDescent="0.2">
      <c r="A7418" s="68">
        <v>34841</v>
      </c>
      <c r="B7418" s="69">
        <v>1.0734999999999999</v>
      </c>
    </row>
    <row r="7419" spans="1:2" x14ac:dyDescent="0.2">
      <c r="A7419" s="68">
        <v>34838</v>
      </c>
      <c r="B7419" s="69">
        <v>1.0721000000000001</v>
      </c>
    </row>
    <row r="7420" spans="1:2" x14ac:dyDescent="0.2">
      <c r="A7420" s="68">
        <v>34837</v>
      </c>
      <c r="B7420" s="69">
        <v>1.0718000000000001</v>
      </c>
    </row>
    <row r="7421" spans="1:2" x14ac:dyDescent="0.2">
      <c r="A7421" s="68">
        <v>34836</v>
      </c>
      <c r="B7421" s="69">
        <v>1.0705</v>
      </c>
    </row>
    <row r="7422" spans="1:2" x14ac:dyDescent="0.2">
      <c r="A7422" s="68">
        <v>34835</v>
      </c>
      <c r="B7422" s="69">
        <v>1.0705</v>
      </c>
    </row>
    <row r="7423" spans="1:2" x14ac:dyDescent="0.2">
      <c r="A7423" s="68">
        <v>34834</v>
      </c>
      <c r="B7423" s="69">
        <v>1.0717000000000001</v>
      </c>
    </row>
    <row r="7424" spans="1:2" x14ac:dyDescent="0.2">
      <c r="A7424" s="68">
        <v>34831</v>
      </c>
      <c r="B7424" s="69">
        <v>1.0727</v>
      </c>
    </row>
    <row r="7425" spans="1:2" x14ac:dyDescent="0.2">
      <c r="A7425" s="68">
        <v>34830</v>
      </c>
      <c r="B7425" s="69">
        <v>1.0753999999999999</v>
      </c>
    </row>
    <row r="7426" spans="1:2" x14ac:dyDescent="0.2">
      <c r="A7426" s="68">
        <v>34829</v>
      </c>
      <c r="B7426" s="69">
        <v>1.0755999999999999</v>
      </c>
    </row>
    <row r="7427" spans="1:2" x14ac:dyDescent="0.2">
      <c r="A7427" s="68">
        <v>34828</v>
      </c>
      <c r="B7427" s="69">
        <v>1.0780000000000001</v>
      </c>
    </row>
    <row r="7428" spans="1:2" x14ac:dyDescent="0.2">
      <c r="A7428" s="68">
        <v>34827</v>
      </c>
      <c r="B7428" s="69">
        <v>1.0795999999999999</v>
      </c>
    </row>
    <row r="7429" spans="1:2" x14ac:dyDescent="0.2">
      <c r="A7429" s="68">
        <v>34824</v>
      </c>
      <c r="B7429" s="69">
        <v>1.0820000000000001</v>
      </c>
    </row>
    <row r="7430" spans="1:2" x14ac:dyDescent="0.2">
      <c r="A7430" s="68">
        <v>34823</v>
      </c>
      <c r="B7430" s="69">
        <v>1.0812999999999999</v>
      </c>
    </row>
    <row r="7431" spans="1:2" x14ac:dyDescent="0.2">
      <c r="A7431" s="68">
        <v>34822</v>
      </c>
      <c r="B7431" s="69">
        <v>1.0847</v>
      </c>
    </row>
    <row r="7432" spans="1:2" x14ac:dyDescent="0.2">
      <c r="A7432" s="68">
        <v>34821</v>
      </c>
      <c r="B7432" s="69">
        <v>1.0867</v>
      </c>
    </row>
    <row r="7433" spans="1:2" x14ac:dyDescent="0.2">
      <c r="A7433" s="68">
        <v>34817</v>
      </c>
      <c r="B7433" s="69">
        <v>1.0872999999999999</v>
      </c>
    </row>
    <row r="7434" spans="1:2" x14ac:dyDescent="0.2">
      <c r="A7434" s="68">
        <v>34816</v>
      </c>
      <c r="B7434" s="69">
        <v>1.0881000000000001</v>
      </c>
    </row>
    <row r="7435" spans="1:2" x14ac:dyDescent="0.2">
      <c r="A7435" s="68">
        <v>34815</v>
      </c>
      <c r="B7435" s="69">
        <v>1.0894999999999999</v>
      </c>
    </row>
    <row r="7436" spans="1:2" x14ac:dyDescent="0.2">
      <c r="A7436" s="68">
        <v>34814</v>
      </c>
      <c r="B7436" s="69">
        <v>1.0895999999999999</v>
      </c>
    </row>
    <row r="7437" spans="1:2" x14ac:dyDescent="0.2">
      <c r="A7437" s="68">
        <v>34813</v>
      </c>
      <c r="B7437" s="69">
        <v>1.0895999999999999</v>
      </c>
    </row>
    <row r="7438" spans="1:2" x14ac:dyDescent="0.2">
      <c r="A7438" s="68">
        <v>34811</v>
      </c>
      <c r="B7438" s="69">
        <v>1.0894999999999999</v>
      </c>
    </row>
    <row r="7439" spans="1:2" x14ac:dyDescent="0.2">
      <c r="A7439" s="68">
        <v>34810</v>
      </c>
      <c r="B7439" s="69">
        <v>1.0894999999999999</v>
      </c>
    </row>
    <row r="7440" spans="1:2" x14ac:dyDescent="0.2">
      <c r="A7440" s="68">
        <v>34809</v>
      </c>
      <c r="B7440" s="69">
        <v>1.0895999999999999</v>
      </c>
    </row>
    <row r="7441" spans="1:2" x14ac:dyDescent="0.2">
      <c r="A7441" s="68">
        <v>34808</v>
      </c>
      <c r="B7441" s="69">
        <v>1.0893999999999999</v>
      </c>
    </row>
    <row r="7442" spans="1:2" x14ac:dyDescent="0.2">
      <c r="A7442" s="68">
        <v>34807</v>
      </c>
      <c r="B7442" s="69">
        <v>1.0892999999999999</v>
      </c>
    </row>
    <row r="7443" spans="1:2" x14ac:dyDescent="0.2">
      <c r="A7443" s="68">
        <v>34806</v>
      </c>
      <c r="B7443" s="69">
        <v>1.0894999999999999</v>
      </c>
    </row>
    <row r="7444" spans="1:2" x14ac:dyDescent="0.2">
      <c r="A7444" s="68">
        <v>34803</v>
      </c>
      <c r="B7444" s="69">
        <v>1.0895999999999999</v>
      </c>
    </row>
    <row r="7445" spans="1:2" x14ac:dyDescent="0.2">
      <c r="A7445" s="68">
        <v>34802</v>
      </c>
      <c r="B7445" s="69">
        <v>1.0892999999999999</v>
      </c>
    </row>
    <row r="7446" spans="1:2" x14ac:dyDescent="0.2">
      <c r="A7446" s="68">
        <v>34801</v>
      </c>
      <c r="B7446" s="69">
        <v>1.0895999999999999</v>
      </c>
    </row>
    <row r="7447" spans="1:2" x14ac:dyDescent="0.2">
      <c r="A7447" s="68">
        <v>34800</v>
      </c>
      <c r="B7447" s="69">
        <v>1.0896999999999999</v>
      </c>
    </row>
    <row r="7448" spans="1:2" x14ac:dyDescent="0.2">
      <c r="A7448" s="68">
        <v>34799</v>
      </c>
      <c r="B7448" s="69">
        <v>1.0895999999999999</v>
      </c>
    </row>
    <row r="7449" spans="1:2" x14ac:dyDescent="0.2">
      <c r="A7449" s="68">
        <v>34797</v>
      </c>
      <c r="B7449" s="69">
        <v>1.0895999999999999</v>
      </c>
    </row>
    <row r="7450" spans="1:2" x14ac:dyDescent="0.2">
      <c r="A7450" s="68">
        <v>34796</v>
      </c>
      <c r="B7450" s="69">
        <v>1.0896999999999999</v>
      </c>
    </row>
    <row r="7451" spans="1:2" x14ac:dyDescent="0.2">
      <c r="A7451" s="68">
        <v>34795</v>
      </c>
      <c r="B7451" s="69">
        <v>1.0896999999999999</v>
      </c>
    </row>
    <row r="7452" spans="1:2" x14ac:dyDescent="0.2">
      <c r="A7452" s="68">
        <v>34794</v>
      </c>
      <c r="B7452" s="69">
        <v>1.0896999999999999</v>
      </c>
    </row>
    <row r="7453" spans="1:2" x14ac:dyDescent="0.2">
      <c r="A7453" s="68">
        <v>34793</v>
      </c>
      <c r="B7453" s="69">
        <v>1.0896999999999999</v>
      </c>
    </row>
    <row r="7454" spans="1:2" x14ac:dyDescent="0.2">
      <c r="A7454" s="68">
        <v>34792</v>
      </c>
      <c r="B7454" s="69">
        <v>1.0896999999999999</v>
      </c>
    </row>
    <row r="7455" spans="1:2" x14ac:dyDescent="0.2">
      <c r="A7455" s="68">
        <v>34789</v>
      </c>
      <c r="B7455" s="69">
        <v>1.0896999999999999</v>
      </c>
    </row>
    <row r="7456" spans="1:2" x14ac:dyDescent="0.2">
      <c r="A7456" s="68">
        <v>34788</v>
      </c>
      <c r="B7456" s="69">
        <v>1.0898000000000001</v>
      </c>
    </row>
    <row r="7457" spans="1:2" x14ac:dyDescent="0.2">
      <c r="A7457" s="68">
        <v>34787</v>
      </c>
      <c r="B7457" s="69">
        <v>1.0898000000000001</v>
      </c>
    </row>
    <row r="7458" spans="1:2" x14ac:dyDescent="0.2">
      <c r="A7458" s="68">
        <v>34786</v>
      </c>
      <c r="B7458" s="69">
        <v>1.0899000000000001</v>
      </c>
    </row>
    <row r="7459" spans="1:2" x14ac:dyDescent="0.2">
      <c r="A7459" s="68">
        <v>34783</v>
      </c>
      <c r="B7459" s="69">
        <v>1.0900000000000001</v>
      </c>
    </row>
    <row r="7460" spans="1:2" x14ac:dyDescent="0.2">
      <c r="A7460" s="68">
        <v>34782</v>
      </c>
      <c r="B7460" s="69">
        <v>1.0899000000000001</v>
      </c>
    </row>
    <row r="7461" spans="1:2" x14ac:dyDescent="0.2">
      <c r="A7461" s="68">
        <v>34781</v>
      </c>
      <c r="B7461" s="69">
        <v>1.0899000000000001</v>
      </c>
    </row>
    <row r="7462" spans="1:2" x14ac:dyDescent="0.2">
      <c r="A7462" s="68">
        <v>34780</v>
      </c>
      <c r="B7462" s="69">
        <v>1.0899000000000001</v>
      </c>
    </row>
    <row r="7463" spans="1:2" x14ac:dyDescent="0.2">
      <c r="A7463" s="68">
        <v>34779</v>
      </c>
      <c r="B7463" s="69">
        <v>1.0898000000000001</v>
      </c>
    </row>
    <row r="7464" spans="1:2" x14ac:dyDescent="0.2">
      <c r="A7464" s="68">
        <v>34776</v>
      </c>
      <c r="B7464" s="69">
        <v>1.0900000000000001</v>
      </c>
    </row>
    <row r="7465" spans="1:2" x14ac:dyDescent="0.2">
      <c r="A7465" s="68">
        <v>34775</v>
      </c>
      <c r="B7465" s="69">
        <v>1.0900000000000001</v>
      </c>
    </row>
    <row r="7466" spans="1:2" x14ac:dyDescent="0.2">
      <c r="A7466" s="68">
        <v>34774</v>
      </c>
      <c r="B7466" s="69">
        <v>1.0899000000000001</v>
      </c>
    </row>
    <row r="7467" spans="1:2" x14ac:dyDescent="0.2">
      <c r="A7467" s="68">
        <v>34773</v>
      </c>
      <c r="B7467" s="69">
        <v>1.0899000000000001</v>
      </c>
    </row>
    <row r="7468" spans="1:2" x14ac:dyDescent="0.2">
      <c r="A7468" s="68">
        <v>34772</v>
      </c>
      <c r="B7468" s="69">
        <v>1.0899000000000001</v>
      </c>
    </row>
    <row r="7469" spans="1:2" x14ac:dyDescent="0.2">
      <c r="A7469" s="68">
        <v>34769</v>
      </c>
      <c r="B7469" s="69">
        <v>1.0899000000000001</v>
      </c>
    </row>
    <row r="7470" spans="1:2" x14ac:dyDescent="0.2">
      <c r="A7470" s="68">
        <v>34768</v>
      </c>
      <c r="B7470" s="69">
        <v>1.0899000000000001</v>
      </c>
    </row>
    <row r="7471" spans="1:2" x14ac:dyDescent="0.2">
      <c r="A7471" s="68">
        <v>34767</v>
      </c>
      <c r="B7471" s="69">
        <v>1.0899000000000001</v>
      </c>
    </row>
    <row r="7472" spans="1:2" x14ac:dyDescent="0.2">
      <c r="A7472" s="68">
        <v>34766</v>
      </c>
      <c r="B7472" s="69">
        <v>1.0900000000000001</v>
      </c>
    </row>
    <row r="7473" spans="1:2" x14ac:dyDescent="0.2">
      <c r="A7473" s="68">
        <v>34765</v>
      </c>
      <c r="B7473" s="69">
        <v>1.0901000000000001</v>
      </c>
    </row>
    <row r="7474" spans="1:2" x14ac:dyDescent="0.2">
      <c r="A7474" s="68">
        <v>34764</v>
      </c>
      <c r="B7474" s="69">
        <v>1.0902000000000001</v>
      </c>
    </row>
    <row r="7475" spans="1:2" x14ac:dyDescent="0.2">
      <c r="A7475" s="68">
        <v>34762</v>
      </c>
      <c r="B7475" s="69">
        <v>1.0902000000000001</v>
      </c>
    </row>
    <row r="7476" spans="1:2" x14ac:dyDescent="0.2">
      <c r="A7476" s="68">
        <v>34761</v>
      </c>
      <c r="B7476" s="69">
        <v>1.0903</v>
      </c>
    </row>
    <row r="7477" spans="1:2" x14ac:dyDescent="0.2">
      <c r="A7477" s="68">
        <v>34760</v>
      </c>
      <c r="B7477" s="69">
        <v>1.0903</v>
      </c>
    </row>
    <row r="7478" spans="1:2" x14ac:dyDescent="0.2">
      <c r="A7478" s="68">
        <v>34759</v>
      </c>
      <c r="B7478" s="69">
        <v>1.0905</v>
      </c>
    </row>
    <row r="7479" spans="1:2" x14ac:dyDescent="0.2">
      <c r="A7479" s="68">
        <v>34758</v>
      </c>
      <c r="B7479" s="69">
        <v>1.0906</v>
      </c>
    </row>
    <row r="7480" spans="1:2" x14ac:dyDescent="0.2">
      <c r="A7480" s="68">
        <v>34755</v>
      </c>
      <c r="B7480" s="69">
        <v>1.0907</v>
      </c>
    </row>
    <row r="7481" spans="1:2" x14ac:dyDescent="0.2">
      <c r="A7481" s="68">
        <v>34754</v>
      </c>
      <c r="B7481" s="69">
        <v>1.0908</v>
      </c>
    </row>
    <row r="7482" spans="1:2" x14ac:dyDescent="0.2">
      <c r="A7482" s="68">
        <v>34753</v>
      </c>
      <c r="B7482" s="69">
        <v>1.0908</v>
      </c>
    </row>
    <row r="7483" spans="1:2" x14ac:dyDescent="0.2">
      <c r="A7483" s="68">
        <v>34752</v>
      </c>
      <c r="B7483" s="69">
        <v>1.0909</v>
      </c>
    </row>
    <row r="7484" spans="1:2" x14ac:dyDescent="0.2">
      <c r="A7484" s="68">
        <v>34751</v>
      </c>
      <c r="B7484" s="69">
        <v>1.091</v>
      </c>
    </row>
    <row r="7485" spans="1:2" x14ac:dyDescent="0.2">
      <c r="A7485" s="68">
        <v>34748</v>
      </c>
      <c r="B7485" s="69">
        <v>1.0911</v>
      </c>
    </row>
    <row r="7486" spans="1:2" x14ac:dyDescent="0.2">
      <c r="A7486" s="68">
        <v>34747</v>
      </c>
      <c r="B7486" s="69">
        <v>1.0911</v>
      </c>
    </row>
    <row r="7487" spans="1:2" x14ac:dyDescent="0.2">
      <c r="A7487" s="68">
        <v>34746</v>
      </c>
      <c r="B7487" s="69">
        <v>1.0911</v>
      </c>
    </row>
    <row r="7488" spans="1:2" x14ac:dyDescent="0.2">
      <c r="A7488" s="68">
        <v>34745</v>
      </c>
      <c r="B7488" s="69">
        <v>1.0911</v>
      </c>
    </row>
    <row r="7489" spans="1:2" x14ac:dyDescent="0.2">
      <c r="A7489" s="68">
        <v>34744</v>
      </c>
      <c r="B7489" s="69">
        <v>1.0908</v>
      </c>
    </row>
    <row r="7490" spans="1:2" x14ac:dyDescent="0.2">
      <c r="A7490" s="68">
        <v>34741</v>
      </c>
      <c r="B7490" s="69">
        <v>1.0911</v>
      </c>
    </row>
    <row r="7491" spans="1:2" x14ac:dyDescent="0.2">
      <c r="A7491" s="68">
        <v>34740</v>
      </c>
      <c r="B7491" s="69">
        <v>1.0911</v>
      </c>
    </row>
    <row r="7492" spans="1:2" x14ac:dyDescent="0.2">
      <c r="A7492" s="68">
        <v>34739</v>
      </c>
      <c r="B7492" s="69">
        <v>1.0911</v>
      </c>
    </row>
    <row r="7493" spans="1:2" x14ac:dyDescent="0.2">
      <c r="A7493" s="68">
        <v>34738</v>
      </c>
      <c r="B7493" s="69">
        <v>1.0912999999999999</v>
      </c>
    </row>
    <row r="7494" spans="1:2" x14ac:dyDescent="0.2">
      <c r="A7494" s="68">
        <v>34737</v>
      </c>
      <c r="B7494" s="69">
        <v>1.09121</v>
      </c>
    </row>
    <row r="7495" spans="1:2" x14ac:dyDescent="0.2">
      <c r="A7495" s="68">
        <v>34736</v>
      </c>
      <c r="B7495" s="69">
        <v>1.09151</v>
      </c>
    </row>
    <row r="7496" spans="1:2" x14ac:dyDescent="0.2">
      <c r="A7496" s="68">
        <v>34726</v>
      </c>
      <c r="B7496" s="69">
        <v>1.0912999999999999</v>
      </c>
    </row>
    <row r="7497" spans="1:2" x14ac:dyDescent="0.2">
      <c r="A7497" s="68">
        <v>34725</v>
      </c>
      <c r="B7497" s="69">
        <v>1.0911999999999999</v>
      </c>
    </row>
    <row r="7498" spans="1:2" x14ac:dyDescent="0.2">
      <c r="A7498" s="68">
        <v>34724</v>
      </c>
      <c r="B7498" s="69">
        <v>1.0909</v>
      </c>
    </row>
    <row r="7499" spans="1:2" x14ac:dyDescent="0.2">
      <c r="A7499" s="68">
        <v>34723</v>
      </c>
      <c r="B7499" s="69">
        <v>1.0911999999999999</v>
      </c>
    </row>
    <row r="7500" spans="1:2" x14ac:dyDescent="0.2">
      <c r="A7500" s="68">
        <v>34720</v>
      </c>
      <c r="B7500" s="69">
        <v>1.0896999999999999</v>
      </c>
    </row>
    <row r="7501" spans="1:2" x14ac:dyDescent="0.2">
      <c r="A7501" s="68">
        <v>34719</v>
      </c>
      <c r="B7501" s="69">
        <v>1.0905</v>
      </c>
    </row>
    <row r="7502" spans="1:2" x14ac:dyDescent="0.2">
      <c r="A7502" s="68">
        <v>34718</v>
      </c>
      <c r="B7502" s="69">
        <v>1.0902000000000001</v>
      </c>
    </row>
    <row r="7503" spans="1:2" x14ac:dyDescent="0.2">
      <c r="A7503" s="68">
        <v>34717</v>
      </c>
      <c r="B7503" s="69">
        <v>1.0900000000000001</v>
      </c>
    </row>
    <row r="7504" spans="1:2" x14ac:dyDescent="0.2">
      <c r="A7504" s="68">
        <v>34716</v>
      </c>
      <c r="B7504" s="69">
        <v>1.0894999999999999</v>
      </c>
    </row>
    <row r="7505" spans="1:2" x14ac:dyDescent="0.2">
      <c r="A7505" s="68">
        <v>34713</v>
      </c>
      <c r="B7505" s="69">
        <v>1.0889</v>
      </c>
    </row>
    <row r="7506" spans="1:2" x14ac:dyDescent="0.2">
      <c r="A7506" s="68">
        <v>34712</v>
      </c>
      <c r="B7506" s="69">
        <v>1.0869</v>
      </c>
    </row>
    <row r="7507" spans="1:2" x14ac:dyDescent="0.2">
      <c r="A7507" s="68">
        <v>34711</v>
      </c>
      <c r="B7507" s="69">
        <v>1.0874999999999999</v>
      </c>
    </row>
    <row r="7508" spans="1:2" x14ac:dyDescent="0.2">
      <c r="A7508" s="68">
        <v>34710</v>
      </c>
      <c r="B7508" s="69">
        <v>1.0886</v>
      </c>
    </row>
    <row r="7509" spans="1:2" x14ac:dyDescent="0.2">
      <c r="A7509" s="68">
        <v>34709</v>
      </c>
      <c r="B7509" s="69">
        <v>1.0886</v>
      </c>
    </row>
    <row r="7510" spans="1:2" x14ac:dyDescent="0.2">
      <c r="A7510" s="68">
        <v>34706</v>
      </c>
      <c r="B7510" s="69">
        <v>1.0902000000000001</v>
      </c>
    </row>
    <row r="7511" spans="1:2" x14ac:dyDescent="0.2">
      <c r="A7511" s="68">
        <v>34705</v>
      </c>
      <c r="B7511" s="69">
        <v>1.0907</v>
      </c>
    </row>
    <row r="7512" spans="1:2" x14ac:dyDescent="0.2">
      <c r="A7512" s="68">
        <v>34704</v>
      </c>
      <c r="B7512" s="69">
        <v>1.0911999999999999</v>
      </c>
    </row>
    <row r="7513" spans="1:2" x14ac:dyDescent="0.2">
      <c r="A7513" s="68">
        <v>34703</v>
      </c>
      <c r="B7513" s="69">
        <v>1.0914999999999999</v>
      </c>
    </row>
    <row r="7514" spans="1:2" x14ac:dyDescent="0.2">
      <c r="A7514" s="68">
        <v>34699</v>
      </c>
      <c r="B7514" s="69">
        <v>1.0913999999999999</v>
      </c>
    </row>
    <row r="7515" spans="1:2" x14ac:dyDescent="0.2">
      <c r="A7515" s="68">
        <v>34698</v>
      </c>
      <c r="B7515" s="69">
        <v>1.0918000000000001</v>
      </c>
    </row>
    <row r="7516" spans="1:2" x14ac:dyDescent="0.2">
      <c r="A7516" s="68">
        <v>34697</v>
      </c>
      <c r="B7516" s="69">
        <v>1.0921000000000001</v>
      </c>
    </row>
    <row r="7517" spans="1:2" x14ac:dyDescent="0.2">
      <c r="A7517" s="68">
        <v>34696</v>
      </c>
      <c r="B7517" s="69">
        <v>1.0925</v>
      </c>
    </row>
    <row r="7518" spans="1:2" x14ac:dyDescent="0.2">
      <c r="A7518" s="68">
        <v>34695</v>
      </c>
      <c r="B7518" s="69">
        <v>1.0932999999999999</v>
      </c>
    </row>
    <row r="7519" spans="1:2" x14ac:dyDescent="0.2">
      <c r="A7519" s="68">
        <v>34692</v>
      </c>
      <c r="B7519" s="69">
        <v>1.0935999999999999</v>
      </c>
    </row>
    <row r="7520" spans="1:2" x14ac:dyDescent="0.2">
      <c r="A7520" s="68">
        <v>34691</v>
      </c>
      <c r="B7520" s="69">
        <v>1.0943000000000001</v>
      </c>
    </row>
    <row r="7521" spans="1:2" x14ac:dyDescent="0.2">
      <c r="A7521" s="68">
        <v>34690</v>
      </c>
      <c r="B7521" s="69">
        <v>1.0949</v>
      </c>
    </row>
    <row r="7522" spans="1:2" x14ac:dyDescent="0.2">
      <c r="A7522" s="68">
        <v>34689</v>
      </c>
      <c r="B7522" s="69">
        <v>1.0952</v>
      </c>
    </row>
    <row r="7523" spans="1:2" x14ac:dyDescent="0.2">
      <c r="A7523" s="68">
        <v>34688</v>
      </c>
      <c r="B7523" s="69">
        <v>1.0960000000000001</v>
      </c>
    </row>
    <row r="7524" spans="1:2" x14ac:dyDescent="0.2">
      <c r="A7524" s="68">
        <v>34685</v>
      </c>
      <c r="B7524" s="69">
        <v>1.0963000000000001</v>
      </c>
    </row>
    <row r="7525" spans="1:2" x14ac:dyDescent="0.2">
      <c r="A7525" s="68">
        <v>34684</v>
      </c>
      <c r="B7525" s="69">
        <v>1.0967</v>
      </c>
    </row>
    <row r="7526" spans="1:2" x14ac:dyDescent="0.2">
      <c r="A7526" s="68">
        <v>34683</v>
      </c>
      <c r="B7526" s="69">
        <v>1.0969</v>
      </c>
    </row>
    <row r="7527" spans="1:2" x14ac:dyDescent="0.2">
      <c r="A7527" s="68">
        <v>34682</v>
      </c>
      <c r="B7527" s="69">
        <v>1.0974999999999999</v>
      </c>
    </row>
    <row r="7528" spans="1:2" x14ac:dyDescent="0.2">
      <c r="A7528" s="68">
        <v>34681</v>
      </c>
      <c r="B7528" s="69">
        <v>1.0980000000000001</v>
      </c>
    </row>
    <row r="7529" spans="1:2" x14ac:dyDescent="0.2">
      <c r="A7529" s="68">
        <v>34678</v>
      </c>
      <c r="B7529" s="69">
        <v>1.0984</v>
      </c>
    </row>
    <row r="7530" spans="1:2" x14ac:dyDescent="0.2">
      <c r="A7530" s="68">
        <v>34677</v>
      </c>
      <c r="B7530" s="69">
        <v>1.0989</v>
      </c>
    </row>
    <row r="7531" spans="1:2" x14ac:dyDescent="0.2">
      <c r="A7531" s="68">
        <v>34676</v>
      </c>
      <c r="B7531" s="69">
        <v>1.0992999999999999</v>
      </c>
    </row>
    <row r="7532" spans="1:2" x14ac:dyDescent="0.2">
      <c r="A7532" s="68">
        <v>34675</v>
      </c>
      <c r="B7532" s="69">
        <v>1.1000000000000001</v>
      </c>
    </row>
    <row r="7533" spans="1:2" x14ac:dyDescent="0.2">
      <c r="A7533" s="68">
        <v>34674</v>
      </c>
      <c r="B7533" s="69">
        <v>1.0996999999999999</v>
      </c>
    </row>
    <row r="7534" spans="1:2" x14ac:dyDescent="0.2">
      <c r="A7534" s="68">
        <v>34671</v>
      </c>
      <c r="B7534" s="69">
        <v>1.0999000000000001</v>
      </c>
    </row>
    <row r="7535" spans="1:2" x14ac:dyDescent="0.2">
      <c r="A7535" s="68">
        <v>34670</v>
      </c>
      <c r="B7535" s="69">
        <v>1.1002000000000001</v>
      </c>
    </row>
    <row r="7536" spans="1:2" x14ac:dyDescent="0.2">
      <c r="A7536" s="68">
        <v>34669</v>
      </c>
      <c r="B7536" s="69">
        <v>1.1003000000000001</v>
      </c>
    </row>
    <row r="7537" spans="1:2" x14ac:dyDescent="0.2">
      <c r="A7537" s="68">
        <v>34668</v>
      </c>
      <c r="B7537" s="69">
        <v>1.1005</v>
      </c>
    </row>
    <row r="7538" spans="1:2" x14ac:dyDescent="0.2">
      <c r="A7538" s="68">
        <v>34667</v>
      </c>
      <c r="B7538" s="69">
        <v>1.1007</v>
      </c>
    </row>
    <row r="7539" spans="1:2" x14ac:dyDescent="0.2">
      <c r="A7539" s="68">
        <v>34664</v>
      </c>
      <c r="B7539" s="69">
        <v>1.1007</v>
      </c>
    </row>
    <row r="7540" spans="1:2" x14ac:dyDescent="0.2">
      <c r="A7540" s="68">
        <v>34663</v>
      </c>
      <c r="B7540" s="69">
        <v>1.1008</v>
      </c>
    </row>
    <row r="7541" spans="1:2" x14ac:dyDescent="0.2">
      <c r="A7541" s="68">
        <v>34662</v>
      </c>
      <c r="B7541" s="69">
        <v>1.1008</v>
      </c>
    </row>
    <row r="7542" spans="1:2" x14ac:dyDescent="0.2">
      <c r="A7542" s="68">
        <v>34661</v>
      </c>
      <c r="B7542" s="69">
        <v>1.101</v>
      </c>
    </row>
    <row r="7543" spans="1:2" x14ac:dyDescent="0.2">
      <c r="A7543" s="68">
        <v>34660</v>
      </c>
      <c r="B7543" s="69">
        <v>1.1011</v>
      </c>
    </row>
    <row r="7544" spans="1:2" x14ac:dyDescent="0.2">
      <c r="A7544" s="68">
        <v>34657</v>
      </c>
      <c r="B7544" s="69">
        <v>1.101</v>
      </c>
    </row>
    <row r="7545" spans="1:2" x14ac:dyDescent="0.2">
      <c r="A7545" s="68">
        <v>34656</v>
      </c>
      <c r="B7545" s="69">
        <v>1.1014999999999999</v>
      </c>
    </row>
    <row r="7546" spans="1:2" x14ac:dyDescent="0.2">
      <c r="A7546" s="68">
        <v>34655</v>
      </c>
      <c r="B7546" s="69">
        <v>1.1016999999999999</v>
      </c>
    </row>
    <row r="7547" spans="1:2" x14ac:dyDescent="0.2">
      <c r="A7547" s="68">
        <v>34654</v>
      </c>
      <c r="B7547" s="69">
        <v>1.1019000000000001</v>
      </c>
    </row>
    <row r="7548" spans="1:2" x14ac:dyDescent="0.2">
      <c r="A7548" s="68">
        <v>34653</v>
      </c>
      <c r="B7548" s="69">
        <v>1.1021000000000001</v>
      </c>
    </row>
    <row r="7549" spans="1:2" x14ac:dyDescent="0.2">
      <c r="A7549" s="68">
        <v>34650</v>
      </c>
      <c r="B7549" s="69">
        <v>1.1022000000000001</v>
      </c>
    </row>
    <row r="7550" spans="1:2" x14ac:dyDescent="0.2">
      <c r="A7550" s="68">
        <v>34649</v>
      </c>
      <c r="B7550" s="69">
        <v>1.1023000000000001</v>
      </c>
    </row>
    <row r="7551" spans="1:2" x14ac:dyDescent="0.2">
      <c r="A7551" s="68">
        <v>34648</v>
      </c>
      <c r="B7551" s="69">
        <v>1.1024</v>
      </c>
    </row>
    <row r="7552" spans="1:2" x14ac:dyDescent="0.2">
      <c r="A7552" s="68">
        <v>34647</v>
      </c>
      <c r="B7552" s="69">
        <v>1.1025</v>
      </c>
    </row>
    <row r="7553" spans="1:2" x14ac:dyDescent="0.2">
      <c r="A7553" s="68">
        <v>34646</v>
      </c>
      <c r="B7553" s="69">
        <v>1.1025</v>
      </c>
    </row>
    <row r="7554" spans="1:2" x14ac:dyDescent="0.2">
      <c r="A7554" s="68">
        <v>34643</v>
      </c>
      <c r="B7554" s="69">
        <v>1.1025</v>
      </c>
    </row>
    <row r="7555" spans="1:2" x14ac:dyDescent="0.2">
      <c r="A7555" s="68">
        <v>34642</v>
      </c>
      <c r="B7555" s="69">
        <v>1.103</v>
      </c>
    </row>
    <row r="7556" spans="1:2" x14ac:dyDescent="0.2">
      <c r="A7556" s="68">
        <v>34641</v>
      </c>
      <c r="B7556" s="69">
        <v>1.1032</v>
      </c>
    </row>
    <row r="7557" spans="1:2" x14ac:dyDescent="0.2">
      <c r="A7557" s="68">
        <v>34640</v>
      </c>
      <c r="B7557" s="69">
        <v>1.1032999999999999</v>
      </c>
    </row>
    <row r="7558" spans="1:2" x14ac:dyDescent="0.2">
      <c r="A7558" s="68">
        <v>34639</v>
      </c>
      <c r="B7558" s="69">
        <v>1.1032999999999999</v>
      </c>
    </row>
    <row r="7559" spans="1:2" x14ac:dyDescent="0.2">
      <c r="A7559" s="68">
        <v>34636</v>
      </c>
      <c r="B7559" s="69">
        <v>1.1033999999999999</v>
      </c>
    </row>
    <row r="7560" spans="1:2" x14ac:dyDescent="0.2">
      <c r="A7560" s="68">
        <v>34635</v>
      </c>
      <c r="B7560" s="69">
        <v>1.1034999999999999</v>
      </c>
    </row>
    <row r="7561" spans="1:2" x14ac:dyDescent="0.2">
      <c r="A7561" s="68">
        <v>34634</v>
      </c>
      <c r="B7561" s="69">
        <v>1.1035999999999999</v>
      </c>
    </row>
    <row r="7562" spans="1:2" x14ac:dyDescent="0.2">
      <c r="A7562" s="68">
        <v>34633</v>
      </c>
      <c r="B7562" s="69">
        <v>1.1036999999999999</v>
      </c>
    </row>
    <row r="7563" spans="1:2" x14ac:dyDescent="0.2">
      <c r="A7563" s="68">
        <v>34632</v>
      </c>
      <c r="B7563" s="69">
        <v>1.1036999999999999</v>
      </c>
    </row>
    <row r="7564" spans="1:2" x14ac:dyDescent="0.2">
      <c r="A7564" s="68">
        <v>34629</v>
      </c>
      <c r="B7564" s="69">
        <v>1.1039000000000001</v>
      </c>
    </row>
    <row r="7565" spans="1:2" x14ac:dyDescent="0.2">
      <c r="A7565" s="68">
        <v>34628</v>
      </c>
      <c r="B7565" s="69">
        <v>1.1039000000000001</v>
      </c>
    </row>
    <row r="7566" spans="1:2" x14ac:dyDescent="0.2">
      <c r="A7566" s="68">
        <v>34627</v>
      </c>
      <c r="B7566" s="69">
        <v>1.1037999999999999</v>
      </c>
    </row>
    <row r="7567" spans="1:2" x14ac:dyDescent="0.2">
      <c r="A7567" s="68">
        <v>34626</v>
      </c>
      <c r="B7567" s="69">
        <v>1.1039000000000001</v>
      </c>
    </row>
    <row r="7568" spans="1:2" x14ac:dyDescent="0.2">
      <c r="A7568" s="68">
        <v>34625</v>
      </c>
      <c r="B7568" s="69">
        <v>1.1037999999999999</v>
      </c>
    </row>
    <row r="7569" spans="1:2" x14ac:dyDescent="0.2">
      <c r="A7569" s="68">
        <v>34622</v>
      </c>
      <c r="B7569" s="69">
        <v>1.1037999999999999</v>
      </c>
    </row>
    <row r="7570" spans="1:2" x14ac:dyDescent="0.2">
      <c r="A7570" s="68">
        <v>34621</v>
      </c>
      <c r="B7570" s="69">
        <v>1.1037999999999999</v>
      </c>
    </row>
    <row r="7571" spans="1:2" x14ac:dyDescent="0.2">
      <c r="A7571" s="68">
        <v>34620</v>
      </c>
      <c r="B7571" s="69">
        <v>1.1036999999999999</v>
      </c>
    </row>
    <row r="7572" spans="1:2" x14ac:dyDescent="0.2">
      <c r="A7572" s="68">
        <v>34619</v>
      </c>
      <c r="B7572" s="69">
        <v>1.1037999999999999</v>
      </c>
    </row>
    <row r="7573" spans="1:2" x14ac:dyDescent="0.2">
      <c r="A7573" s="68">
        <v>34618</v>
      </c>
      <c r="B7573" s="69">
        <v>1.1037999999999999</v>
      </c>
    </row>
    <row r="7574" spans="1:2" x14ac:dyDescent="0.2">
      <c r="A7574" s="68">
        <v>34615</v>
      </c>
      <c r="B7574" s="69">
        <v>1.1037999999999999</v>
      </c>
    </row>
    <row r="7575" spans="1:2" x14ac:dyDescent="0.2">
      <c r="A7575" s="68">
        <v>34614</v>
      </c>
      <c r="B7575" s="69">
        <v>1.1037999999999999</v>
      </c>
    </row>
    <row r="7576" spans="1:2" x14ac:dyDescent="0.2">
      <c r="A7576" s="68">
        <v>34613</v>
      </c>
      <c r="B7576" s="69">
        <v>1.1037999999999999</v>
      </c>
    </row>
    <row r="7577" spans="1:2" x14ac:dyDescent="0.2">
      <c r="A7577" s="68">
        <v>34608</v>
      </c>
      <c r="B7577" s="69">
        <v>1.1037999999999999</v>
      </c>
    </row>
    <row r="7578" spans="1:2" x14ac:dyDescent="0.2">
      <c r="A7578" s="68">
        <v>34607</v>
      </c>
      <c r="B7578" s="69">
        <v>1.1039000000000001</v>
      </c>
    </row>
    <row r="7579" spans="1:2" x14ac:dyDescent="0.2">
      <c r="A7579" s="68">
        <v>34606</v>
      </c>
      <c r="B7579" s="69">
        <v>1.1039000000000001</v>
      </c>
    </row>
    <row r="7580" spans="1:2" x14ac:dyDescent="0.2">
      <c r="A7580" s="68">
        <v>34605</v>
      </c>
      <c r="B7580" s="69">
        <v>1.1039000000000001</v>
      </c>
    </row>
    <row r="7581" spans="1:2" x14ac:dyDescent="0.2">
      <c r="A7581" s="68">
        <v>34604</v>
      </c>
      <c r="B7581" s="69">
        <v>1.1040000000000001</v>
      </c>
    </row>
    <row r="7582" spans="1:2" x14ac:dyDescent="0.2">
      <c r="A7582" s="68">
        <v>34601</v>
      </c>
      <c r="B7582" s="69">
        <v>1.1041000000000001</v>
      </c>
    </row>
    <row r="7583" spans="1:2" x14ac:dyDescent="0.2">
      <c r="A7583" s="68">
        <v>34600</v>
      </c>
      <c r="B7583" s="69">
        <v>1.1042000000000001</v>
      </c>
    </row>
    <row r="7584" spans="1:2" x14ac:dyDescent="0.2">
      <c r="A7584" s="68">
        <v>34599</v>
      </c>
      <c r="B7584" s="69">
        <v>1.1043000000000001</v>
      </c>
    </row>
    <row r="7585" spans="1:2" x14ac:dyDescent="0.2">
      <c r="A7585" s="68">
        <v>34598</v>
      </c>
      <c r="B7585" s="69">
        <v>1.1043000000000001</v>
      </c>
    </row>
    <row r="7586" spans="1:2" x14ac:dyDescent="0.2">
      <c r="A7586" s="68">
        <v>34597</v>
      </c>
      <c r="B7586" s="69">
        <v>1.1044</v>
      </c>
    </row>
    <row r="7587" spans="1:2" x14ac:dyDescent="0.2">
      <c r="A7587" s="68">
        <v>34594</v>
      </c>
      <c r="B7587" s="69">
        <v>1.1046</v>
      </c>
    </row>
    <row r="7588" spans="1:2" x14ac:dyDescent="0.2">
      <c r="A7588" s="68">
        <v>34593</v>
      </c>
      <c r="B7588" s="69">
        <v>1.1048</v>
      </c>
    </row>
    <row r="7589" spans="1:2" x14ac:dyDescent="0.2">
      <c r="A7589" s="68">
        <v>34592</v>
      </c>
      <c r="B7589" s="69">
        <v>1.105</v>
      </c>
    </row>
    <row r="7590" spans="1:2" x14ac:dyDescent="0.2">
      <c r="A7590" s="68">
        <v>34591</v>
      </c>
      <c r="B7590" s="69">
        <v>1.1051</v>
      </c>
    </row>
    <row r="7591" spans="1:2" x14ac:dyDescent="0.2">
      <c r="A7591" s="68">
        <v>34590</v>
      </c>
      <c r="B7591" s="69">
        <v>1.1052999999999999</v>
      </c>
    </row>
    <row r="7592" spans="1:2" x14ac:dyDescent="0.2">
      <c r="A7592" s="68">
        <v>34587</v>
      </c>
      <c r="B7592" s="69">
        <v>1.1053999999999999</v>
      </c>
    </row>
    <row r="7593" spans="1:2" x14ac:dyDescent="0.2">
      <c r="A7593" s="68">
        <v>34586</v>
      </c>
      <c r="B7593" s="69">
        <v>1.1056999999999999</v>
      </c>
    </row>
    <row r="7594" spans="1:2" x14ac:dyDescent="0.2">
      <c r="A7594" s="68">
        <v>34585</v>
      </c>
      <c r="B7594" s="69">
        <v>1.1060000000000001</v>
      </c>
    </row>
    <row r="7595" spans="1:2" x14ac:dyDescent="0.2">
      <c r="A7595" s="68">
        <v>34584</v>
      </c>
      <c r="B7595" s="69">
        <v>1.1065</v>
      </c>
    </row>
    <row r="7596" spans="1:2" x14ac:dyDescent="0.2">
      <c r="A7596" s="68">
        <v>34583</v>
      </c>
      <c r="B7596" s="69">
        <v>1.1067</v>
      </c>
    </row>
    <row r="7597" spans="1:2" x14ac:dyDescent="0.2">
      <c r="A7597" s="68">
        <v>34582</v>
      </c>
      <c r="B7597" s="69">
        <v>1.1069</v>
      </c>
    </row>
    <row r="7598" spans="1:2" x14ac:dyDescent="0.2">
      <c r="A7598" s="68">
        <v>34579</v>
      </c>
      <c r="B7598" s="69">
        <v>1.1072</v>
      </c>
    </row>
    <row r="7599" spans="1:2" x14ac:dyDescent="0.2">
      <c r="A7599" s="68">
        <v>34578</v>
      </c>
      <c r="B7599" s="69">
        <v>1.1074999999999999</v>
      </c>
    </row>
    <row r="7600" spans="1:2" x14ac:dyDescent="0.2">
      <c r="A7600" s="68">
        <v>34577</v>
      </c>
      <c r="B7600" s="69">
        <v>1.1076999999999999</v>
      </c>
    </row>
    <row r="7601" spans="1:2" x14ac:dyDescent="0.2">
      <c r="A7601" s="68">
        <v>34576</v>
      </c>
      <c r="B7601" s="69">
        <v>1.1076999999999999</v>
      </c>
    </row>
    <row r="7602" spans="1:2" x14ac:dyDescent="0.2">
      <c r="A7602" s="68">
        <v>34575</v>
      </c>
      <c r="B7602" s="69">
        <v>1.1083000000000001</v>
      </c>
    </row>
    <row r="7603" spans="1:2" x14ac:dyDescent="0.2">
      <c r="A7603" s="68">
        <v>34572</v>
      </c>
      <c r="B7603" s="69">
        <v>1.109</v>
      </c>
    </row>
    <row r="7604" spans="1:2" x14ac:dyDescent="0.2">
      <c r="A7604" s="68">
        <v>34571</v>
      </c>
      <c r="B7604" s="69">
        <v>1.1092</v>
      </c>
    </row>
    <row r="7605" spans="1:2" x14ac:dyDescent="0.2">
      <c r="A7605" s="68">
        <v>34570</v>
      </c>
      <c r="B7605" s="69">
        <v>1.1097999999999999</v>
      </c>
    </row>
    <row r="7606" spans="1:2" x14ac:dyDescent="0.2">
      <c r="A7606" s="68">
        <v>34569</v>
      </c>
      <c r="B7606" s="69">
        <v>1.1097999999999999</v>
      </c>
    </row>
    <row r="7607" spans="1:2" x14ac:dyDescent="0.2">
      <c r="A7607" s="68">
        <v>34568</v>
      </c>
      <c r="B7607" s="69">
        <v>1.1103000000000001</v>
      </c>
    </row>
    <row r="7608" spans="1:2" x14ac:dyDescent="0.2">
      <c r="A7608" s="68">
        <v>34565</v>
      </c>
      <c r="B7608" s="69">
        <v>1.1108</v>
      </c>
    </row>
    <row r="7609" spans="1:2" x14ac:dyDescent="0.2">
      <c r="A7609" s="68">
        <v>34564</v>
      </c>
      <c r="B7609" s="69">
        <v>1.1112</v>
      </c>
    </row>
    <row r="7610" spans="1:2" x14ac:dyDescent="0.2">
      <c r="A7610" s="68">
        <v>34563</v>
      </c>
      <c r="B7610" s="69">
        <v>1.1114999999999999</v>
      </c>
    </row>
    <row r="7611" spans="1:2" x14ac:dyDescent="0.2">
      <c r="A7611" s="68">
        <v>34562</v>
      </c>
      <c r="B7611" s="69">
        <v>1.1119000000000001</v>
      </c>
    </row>
    <row r="7612" spans="1:2" x14ac:dyDescent="0.2">
      <c r="A7612" s="68">
        <v>34561</v>
      </c>
      <c r="B7612" s="69">
        <v>1.1124000000000001</v>
      </c>
    </row>
    <row r="7613" spans="1:2" x14ac:dyDescent="0.2">
      <c r="A7613" s="68">
        <v>34558</v>
      </c>
      <c r="B7613" s="69">
        <v>1.1127</v>
      </c>
    </row>
    <row r="7614" spans="1:2" x14ac:dyDescent="0.2">
      <c r="A7614" s="68">
        <v>34557</v>
      </c>
      <c r="B7614" s="69">
        <v>1.1128</v>
      </c>
    </row>
    <row r="7615" spans="1:2" x14ac:dyDescent="0.2">
      <c r="A7615" s="68">
        <v>34556</v>
      </c>
      <c r="B7615" s="69">
        <v>1.1132</v>
      </c>
    </row>
    <row r="7616" spans="1:2" x14ac:dyDescent="0.2">
      <c r="A7616" s="68">
        <v>34555</v>
      </c>
      <c r="B7616" s="69">
        <v>1.1135999999999999</v>
      </c>
    </row>
    <row r="7617" spans="1:2" x14ac:dyDescent="0.2">
      <c r="A7617" s="68">
        <v>34554</v>
      </c>
      <c r="B7617" s="69">
        <v>1.1138999999999999</v>
      </c>
    </row>
    <row r="7618" spans="1:2" x14ac:dyDescent="0.2">
      <c r="A7618" s="68">
        <v>34551</v>
      </c>
      <c r="B7618" s="69">
        <v>1.1141000000000001</v>
      </c>
    </row>
    <row r="7619" spans="1:2" x14ac:dyDescent="0.2">
      <c r="A7619" s="68">
        <v>34550</v>
      </c>
      <c r="B7619" s="69">
        <v>1.1145</v>
      </c>
    </row>
    <row r="7620" spans="1:2" x14ac:dyDescent="0.2">
      <c r="A7620" s="68">
        <v>34549</v>
      </c>
      <c r="B7620" s="69">
        <v>1.115</v>
      </c>
    </row>
    <row r="7621" spans="1:2" x14ac:dyDescent="0.2">
      <c r="A7621" s="68">
        <v>34548</v>
      </c>
      <c r="B7621" s="69">
        <v>1.1153</v>
      </c>
    </row>
    <row r="7622" spans="1:2" x14ac:dyDescent="0.2">
      <c r="A7622" s="68">
        <v>34547</v>
      </c>
      <c r="B7622" s="69">
        <v>1.1157999999999999</v>
      </c>
    </row>
    <row r="7623" spans="1:2" x14ac:dyDescent="0.2">
      <c r="A7623" s="68">
        <v>34544</v>
      </c>
      <c r="B7623" s="69">
        <v>1.1163000000000001</v>
      </c>
    </row>
    <row r="7624" spans="1:2" x14ac:dyDescent="0.2">
      <c r="A7624" s="68">
        <v>34543</v>
      </c>
      <c r="B7624" s="69">
        <v>1.1162000000000001</v>
      </c>
    </row>
    <row r="7625" spans="1:2" x14ac:dyDescent="0.2">
      <c r="A7625" s="68">
        <v>34542</v>
      </c>
      <c r="B7625" s="69">
        <v>1.1167</v>
      </c>
    </row>
    <row r="7626" spans="1:2" x14ac:dyDescent="0.2">
      <c r="A7626" s="68">
        <v>34541</v>
      </c>
      <c r="B7626" s="69">
        <v>1.1171</v>
      </c>
    </row>
    <row r="7627" spans="1:2" x14ac:dyDescent="0.2">
      <c r="A7627" s="68">
        <v>34540</v>
      </c>
      <c r="B7627" s="69">
        <v>1.1176999999999999</v>
      </c>
    </row>
    <row r="7628" spans="1:2" x14ac:dyDescent="0.2">
      <c r="A7628" s="68">
        <v>34537</v>
      </c>
      <c r="B7628" s="69">
        <v>1.1180000000000001</v>
      </c>
    </row>
    <row r="7629" spans="1:2" x14ac:dyDescent="0.2">
      <c r="A7629" s="68">
        <v>34536</v>
      </c>
      <c r="B7629" s="69">
        <v>1.1181000000000001</v>
      </c>
    </row>
    <row r="7630" spans="1:2" x14ac:dyDescent="0.2">
      <c r="A7630" s="68">
        <v>34535</v>
      </c>
      <c r="B7630" s="69">
        <v>1.1185</v>
      </c>
    </row>
    <row r="7631" spans="1:2" x14ac:dyDescent="0.2">
      <c r="A7631" s="68">
        <v>34534</v>
      </c>
      <c r="B7631" s="69">
        <v>1.1184000000000001</v>
      </c>
    </row>
    <row r="7632" spans="1:2" x14ac:dyDescent="0.2">
      <c r="A7632" s="68">
        <v>34533</v>
      </c>
      <c r="B7632" s="69">
        <v>1.1183000000000001</v>
      </c>
    </row>
    <row r="7633" spans="1:2" x14ac:dyDescent="0.2">
      <c r="A7633" s="68">
        <v>34530</v>
      </c>
      <c r="B7633" s="69">
        <v>1.1184000000000001</v>
      </c>
    </row>
    <row r="7634" spans="1:2" x14ac:dyDescent="0.2">
      <c r="A7634" s="68">
        <v>34529</v>
      </c>
      <c r="B7634" s="69">
        <v>1.1185</v>
      </c>
    </row>
    <row r="7635" spans="1:2" x14ac:dyDescent="0.2">
      <c r="A7635" s="68">
        <v>34528</v>
      </c>
      <c r="B7635" s="69">
        <v>1.1188</v>
      </c>
    </row>
    <row r="7636" spans="1:2" x14ac:dyDescent="0.2">
      <c r="A7636" s="68">
        <v>34527</v>
      </c>
      <c r="B7636" s="69">
        <v>1.1189</v>
      </c>
    </row>
    <row r="7637" spans="1:2" x14ac:dyDescent="0.2">
      <c r="A7637" s="68">
        <v>34526</v>
      </c>
      <c r="B7637" s="69">
        <v>1.1191</v>
      </c>
    </row>
    <row r="7638" spans="1:2" x14ac:dyDescent="0.2">
      <c r="A7638" s="68">
        <v>34523</v>
      </c>
      <c r="B7638" s="69">
        <v>1.1192</v>
      </c>
    </row>
    <row r="7639" spans="1:2" x14ac:dyDescent="0.2">
      <c r="A7639" s="68">
        <v>34522</v>
      </c>
      <c r="B7639" s="69">
        <v>1.1193</v>
      </c>
    </row>
    <row r="7640" spans="1:2" x14ac:dyDescent="0.2">
      <c r="A7640" s="68">
        <v>34521</v>
      </c>
      <c r="B7640" s="69">
        <v>1.1193</v>
      </c>
    </row>
    <row r="7641" spans="1:2" x14ac:dyDescent="0.2">
      <c r="A7641" s="68">
        <v>34520</v>
      </c>
      <c r="B7641" s="69">
        <v>1.1194</v>
      </c>
    </row>
    <row r="7642" spans="1:2" x14ac:dyDescent="0.2">
      <c r="A7642" s="68">
        <v>34519</v>
      </c>
      <c r="B7642" s="69">
        <v>1.1194999999999999</v>
      </c>
    </row>
    <row r="7643" spans="1:2" x14ac:dyDescent="0.2">
      <c r="A7643" s="68">
        <v>34516</v>
      </c>
      <c r="B7643" s="69">
        <v>1.1195999999999999</v>
      </c>
    </row>
    <row r="7644" spans="1:2" x14ac:dyDescent="0.2">
      <c r="A7644" s="68">
        <v>34502</v>
      </c>
      <c r="B7644" s="69">
        <v>1.1193</v>
      </c>
    </row>
    <row r="7645" spans="1:2" x14ac:dyDescent="0.2">
      <c r="A7645" s="68">
        <v>34501</v>
      </c>
      <c r="B7645" s="69">
        <v>1.1197999999999999</v>
      </c>
    </row>
    <row r="7646" spans="1:2" x14ac:dyDescent="0.2">
      <c r="A7646" s="68">
        <v>34500</v>
      </c>
      <c r="B7646" s="69">
        <v>1.1198999999999999</v>
      </c>
    </row>
    <row r="7647" spans="1:2" x14ac:dyDescent="0.2">
      <c r="A7647" s="68">
        <v>34499</v>
      </c>
      <c r="B7647" s="69">
        <v>1.1202000000000001</v>
      </c>
    </row>
    <row r="7648" spans="1:2" x14ac:dyDescent="0.2">
      <c r="A7648" s="68">
        <v>34498</v>
      </c>
      <c r="B7648" s="69">
        <v>1.1202000000000001</v>
      </c>
    </row>
    <row r="7649" spans="1:2" x14ac:dyDescent="0.2">
      <c r="A7649" s="68">
        <v>34495</v>
      </c>
      <c r="B7649" s="69">
        <v>1.1203000000000001</v>
      </c>
    </row>
    <row r="7650" spans="1:2" x14ac:dyDescent="0.2">
      <c r="A7650" s="68">
        <v>34494</v>
      </c>
      <c r="B7650" s="69">
        <v>1.1204000000000001</v>
      </c>
    </row>
    <row r="7651" spans="1:2" x14ac:dyDescent="0.2">
      <c r="A7651" s="68">
        <v>34493</v>
      </c>
      <c r="B7651" s="69">
        <v>1.1205000000000001</v>
      </c>
    </row>
    <row r="7652" spans="1:2" x14ac:dyDescent="0.2">
      <c r="A7652" s="68">
        <v>34492</v>
      </c>
      <c r="B7652" s="69">
        <v>1.1205000000000001</v>
      </c>
    </row>
    <row r="7653" spans="1:2" x14ac:dyDescent="0.2">
      <c r="A7653" s="68">
        <v>34491</v>
      </c>
      <c r="B7653" s="69">
        <v>1.1207</v>
      </c>
    </row>
    <row r="7654" spans="1:2" x14ac:dyDescent="0.2">
      <c r="A7654" s="68">
        <v>34488</v>
      </c>
      <c r="B7654" s="69">
        <v>1.1204000000000001</v>
      </c>
    </row>
    <row r="7655" spans="1:2" x14ac:dyDescent="0.2">
      <c r="A7655" s="68">
        <v>34487</v>
      </c>
      <c r="B7655" s="69">
        <v>1.1207</v>
      </c>
    </row>
    <row r="7656" spans="1:2" x14ac:dyDescent="0.2">
      <c r="A7656" s="68">
        <v>34486</v>
      </c>
      <c r="B7656" s="69">
        <v>1.1208</v>
      </c>
    </row>
    <row r="7657" spans="1:2" x14ac:dyDescent="0.2">
      <c r="A7657" s="68">
        <v>34485</v>
      </c>
      <c r="B7657" s="69">
        <v>1.1206</v>
      </c>
    </row>
    <row r="7658" spans="1:2" x14ac:dyDescent="0.2">
      <c r="A7658" s="68">
        <v>34484</v>
      </c>
      <c r="B7658" s="69">
        <v>1.1209</v>
      </c>
    </row>
    <row r="7659" spans="1:2" x14ac:dyDescent="0.2">
      <c r="A7659" s="68">
        <v>34481</v>
      </c>
      <c r="B7659" s="69">
        <v>1.121</v>
      </c>
    </row>
    <row r="7660" spans="1:2" x14ac:dyDescent="0.2">
      <c r="A7660" s="68">
        <v>34480</v>
      </c>
      <c r="B7660" s="69">
        <v>1.121</v>
      </c>
    </row>
    <row r="7661" spans="1:2" x14ac:dyDescent="0.2">
      <c r="A7661" s="68">
        <v>34479</v>
      </c>
      <c r="B7661" s="69">
        <v>1.1211</v>
      </c>
    </row>
    <row r="7662" spans="1:2" x14ac:dyDescent="0.2">
      <c r="A7662" s="68">
        <v>34478</v>
      </c>
      <c r="B7662" s="69">
        <v>1.121</v>
      </c>
    </row>
    <row r="7663" spans="1:2" x14ac:dyDescent="0.2">
      <c r="A7663" s="68">
        <v>34477</v>
      </c>
      <c r="B7663" s="69">
        <v>1.121</v>
      </c>
    </row>
    <row r="7664" spans="1:2" x14ac:dyDescent="0.2">
      <c r="A7664" s="68">
        <v>34474</v>
      </c>
      <c r="B7664" s="69">
        <v>1.121</v>
      </c>
    </row>
    <row r="7665" spans="1:2" x14ac:dyDescent="0.2">
      <c r="A7665" s="68">
        <v>34473</v>
      </c>
      <c r="B7665" s="69">
        <v>1.1209</v>
      </c>
    </row>
    <row r="7666" spans="1:2" x14ac:dyDescent="0.2">
      <c r="A7666" s="68">
        <v>34472</v>
      </c>
      <c r="B7666" s="69">
        <v>1.121</v>
      </c>
    </row>
    <row r="7667" spans="1:2" x14ac:dyDescent="0.2">
      <c r="A7667" s="68">
        <v>34471</v>
      </c>
      <c r="B7667" s="69">
        <v>1.121</v>
      </c>
    </row>
    <row r="7668" spans="1:2" x14ac:dyDescent="0.2">
      <c r="A7668" s="68">
        <v>34470</v>
      </c>
      <c r="B7668" s="69">
        <v>1.1212</v>
      </c>
    </row>
    <row r="7669" spans="1:2" x14ac:dyDescent="0.2">
      <c r="A7669" s="68">
        <v>34467</v>
      </c>
      <c r="B7669" s="69">
        <v>1.121</v>
      </c>
    </row>
    <row r="7670" spans="1:2" x14ac:dyDescent="0.2">
      <c r="A7670" s="68">
        <v>34466</v>
      </c>
      <c r="B7670" s="69">
        <v>1.1211</v>
      </c>
    </row>
    <row r="7671" spans="1:2" x14ac:dyDescent="0.2">
      <c r="A7671" s="68">
        <v>34465</v>
      </c>
      <c r="B7671" s="69">
        <v>1.1211</v>
      </c>
    </row>
    <row r="7672" spans="1:2" x14ac:dyDescent="0.2">
      <c r="A7672" s="68">
        <v>34464</v>
      </c>
      <c r="B7672" s="69">
        <v>1.1215999999999999</v>
      </c>
    </row>
    <row r="7673" spans="1:2" x14ac:dyDescent="0.2">
      <c r="A7673" s="68">
        <v>34463</v>
      </c>
      <c r="B7673" s="69">
        <v>1.1214999999999999</v>
      </c>
    </row>
    <row r="7674" spans="1:2" x14ac:dyDescent="0.2">
      <c r="A7674" s="68">
        <v>34460</v>
      </c>
      <c r="B7674" s="69">
        <v>1.1225000000000001</v>
      </c>
    </row>
    <row r="7675" spans="1:2" x14ac:dyDescent="0.2">
      <c r="A7675" s="68">
        <v>34459</v>
      </c>
      <c r="B7675" s="69">
        <v>1.1227</v>
      </c>
    </row>
    <row r="7676" spans="1:2" x14ac:dyDescent="0.2">
      <c r="A7676" s="68">
        <v>34458</v>
      </c>
      <c r="B7676" s="69">
        <v>1.1222000000000001</v>
      </c>
    </row>
    <row r="7677" spans="1:2" x14ac:dyDescent="0.2">
      <c r="A7677" s="68">
        <v>34457</v>
      </c>
      <c r="B7677" s="69">
        <v>1.1243000000000001</v>
      </c>
    </row>
    <row r="7678" spans="1:2" x14ac:dyDescent="0.2">
      <c r="A7678" s="68">
        <v>34453</v>
      </c>
      <c r="B7678" s="69">
        <v>1.1249</v>
      </c>
    </row>
    <row r="7679" spans="1:2" x14ac:dyDescent="0.2">
      <c r="A7679" s="68">
        <v>34452</v>
      </c>
      <c r="B7679" s="69">
        <v>1.125</v>
      </c>
    </row>
    <row r="7680" spans="1:2" x14ac:dyDescent="0.2">
      <c r="A7680" s="68">
        <v>34451</v>
      </c>
      <c r="B7680" s="69">
        <v>1.125</v>
      </c>
    </row>
    <row r="7681" spans="1:2" x14ac:dyDescent="0.2">
      <c r="A7681" s="68">
        <v>34450</v>
      </c>
      <c r="B7681" s="69">
        <v>1.1251</v>
      </c>
    </row>
    <row r="7682" spans="1:2" x14ac:dyDescent="0.2">
      <c r="A7682" s="68">
        <v>34449</v>
      </c>
      <c r="B7682" s="69">
        <v>1.1254999999999999</v>
      </c>
    </row>
    <row r="7683" spans="1:2" x14ac:dyDescent="0.2">
      <c r="A7683" s="68">
        <v>34446</v>
      </c>
      <c r="B7683" s="69">
        <v>1.1254999999999999</v>
      </c>
    </row>
    <row r="7684" spans="1:2" x14ac:dyDescent="0.2">
      <c r="A7684" s="68">
        <v>34445</v>
      </c>
      <c r="B7684" s="69">
        <v>1.1254</v>
      </c>
    </row>
    <row r="7685" spans="1:2" x14ac:dyDescent="0.2">
      <c r="A7685" s="68">
        <v>34444</v>
      </c>
      <c r="B7685" s="69">
        <v>1.1254</v>
      </c>
    </row>
    <row r="7686" spans="1:2" x14ac:dyDescent="0.2">
      <c r="A7686" s="68">
        <v>34443</v>
      </c>
      <c r="B7686" s="69">
        <v>1.1255999999999999</v>
      </c>
    </row>
    <row r="7687" spans="1:2" x14ac:dyDescent="0.2">
      <c r="A7687" s="68">
        <v>34442</v>
      </c>
      <c r="B7687" s="69">
        <v>1.1255999999999999</v>
      </c>
    </row>
    <row r="7688" spans="1:2" x14ac:dyDescent="0.2">
      <c r="A7688" s="68">
        <v>34439</v>
      </c>
      <c r="B7688" s="69">
        <v>1.1254999999999999</v>
      </c>
    </row>
    <row r="7689" spans="1:2" x14ac:dyDescent="0.2">
      <c r="A7689" s="68">
        <v>34438</v>
      </c>
      <c r="B7689" s="69">
        <v>1.1257999999999999</v>
      </c>
    </row>
    <row r="7690" spans="1:2" x14ac:dyDescent="0.2">
      <c r="A7690" s="68">
        <v>34437</v>
      </c>
      <c r="B7690" s="69">
        <v>1.1257999999999999</v>
      </c>
    </row>
    <row r="7691" spans="1:2" x14ac:dyDescent="0.2">
      <c r="A7691" s="68">
        <v>34436</v>
      </c>
      <c r="B7691" s="69">
        <v>1.1257999999999999</v>
      </c>
    </row>
    <row r="7692" spans="1:2" x14ac:dyDescent="0.2">
      <c r="A7692" s="68">
        <v>34435</v>
      </c>
      <c r="B7692" s="69">
        <v>1.1257999999999999</v>
      </c>
    </row>
    <row r="7693" spans="1:2" x14ac:dyDescent="0.2">
      <c r="A7693" s="68">
        <v>34432</v>
      </c>
      <c r="B7693" s="69">
        <v>1.1255999999999999</v>
      </c>
    </row>
    <row r="7694" spans="1:2" x14ac:dyDescent="0.2">
      <c r="A7694" s="68">
        <v>34431</v>
      </c>
      <c r="B7694" s="69">
        <v>1.1257999999999999</v>
      </c>
    </row>
    <row r="7695" spans="1:2" x14ac:dyDescent="0.2">
      <c r="A7695" s="68">
        <v>34430</v>
      </c>
      <c r="B7695" s="69">
        <v>1.1274999999999999</v>
      </c>
    </row>
    <row r="7696" spans="1:2" x14ac:dyDescent="0.2">
      <c r="A7696" s="68">
        <v>34429</v>
      </c>
      <c r="B7696" s="69">
        <v>1.1255999999999999</v>
      </c>
    </row>
    <row r="7697" spans="1:2" x14ac:dyDescent="0.2">
      <c r="A7697" s="68">
        <v>34428</v>
      </c>
      <c r="B7697" s="69">
        <v>1.1257999999999999</v>
      </c>
    </row>
    <row r="7698" spans="1:2" x14ac:dyDescent="0.2">
      <c r="A7698" s="68">
        <v>34425</v>
      </c>
      <c r="B7698" s="69">
        <v>1.1258999999999999</v>
      </c>
    </row>
    <row r="7699" spans="1:2" x14ac:dyDescent="0.2">
      <c r="A7699" s="68">
        <v>34424</v>
      </c>
      <c r="B7699" s="69">
        <v>1.1271</v>
      </c>
    </row>
    <row r="7700" spans="1:2" x14ac:dyDescent="0.2">
      <c r="A7700" s="68">
        <v>34423</v>
      </c>
      <c r="B7700" s="69">
        <v>1.1262000000000001</v>
      </c>
    </row>
    <row r="7701" spans="1:2" x14ac:dyDescent="0.2">
      <c r="A7701" s="68">
        <v>34422</v>
      </c>
      <c r="B7701" s="69">
        <v>1.1265000000000001</v>
      </c>
    </row>
    <row r="7702" spans="1:2" x14ac:dyDescent="0.2">
      <c r="A7702" s="68">
        <v>34421</v>
      </c>
      <c r="B7702" s="69">
        <v>1.1265000000000001</v>
      </c>
    </row>
    <row r="7703" spans="1:2" x14ac:dyDescent="0.2">
      <c r="A7703" s="68">
        <v>34419</v>
      </c>
      <c r="B7703" s="69">
        <v>1.1265000000000001</v>
      </c>
    </row>
    <row r="7704" spans="1:2" x14ac:dyDescent="0.2">
      <c r="A7704" s="68">
        <v>34418</v>
      </c>
      <c r="B7704" s="69">
        <v>1.1264000000000001</v>
      </c>
    </row>
    <row r="7705" spans="1:2" x14ac:dyDescent="0.2">
      <c r="A7705" s="68">
        <v>34417</v>
      </c>
      <c r="B7705" s="69">
        <v>1.1269</v>
      </c>
    </row>
    <row r="7706" spans="1:2" x14ac:dyDescent="0.2">
      <c r="A7706" s="68">
        <v>34416</v>
      </c>
      <c r="B7706" s="69">
        <v>1.1257999999999999</v>
      </c>
    </row>
    <row r="7707" spans="1:2" x14ac:dyDescent="0.2">
      <c r="A7707" s="68">
        <v>34415</v>
      </c>
      <c r="B7707" s="69">
        <v>1.1254</v>
      </c>
    </row>
    <row r="7708" spans="1:2" x14ac:dyDescent="0.2">
      <c r="A7708" s="68">
        <v>34414</v>
      </c>
      <c r="B7708" s="69">
        <v>1.1259999999999999</v>
      </c>
    </row>
    <row r="7709" spans="1:2" x14ac:dyDescent="0.2">
      <c r="A7709" s="68">
        <v>34412</v>
      </c>
      <c r="B7709" s="69">
        <v>1.1259999999999999</v>
      </c>
    </row>
    <row r="7710" spans="1:2" x14ac:dyDescent="0.2">
      <c r="A7710" s="68">
        <v>34411</v>
      </c>
      <c r="B7710" s="69">
        <v>1.1259999999999999</v>
      </c>
    </row>
    <row r="7711" spans="1:2" x14ac:dyDescent="0.2">
      <c r="A7711" s="68">
        <v>34410</v>
      </c>
      <c r="B7711" s="69">
        <v>1.1262000000000001</v>
      </c>
    </row>
    <row r="7712" spans="1:2" x14ac:dyDescent="0.2">
      <c r="A7712" s="68">
        <v>34409</v>
      </c>
      <c r="B7712" s="69">
        <v>1.1262000000000001</v>
      </c>
    </row>
    <row r="7713" spans="1:2" x14ac:dyDescent="0.2">
      <c r="A7713" s="68">
        <v>34408</v>
      </c>
      <c r="B7713" s="69">
        <v>1.1259999999999999</v>
      </c>
    </row>
    <row r="7714" spans="1:2" x14ac:dyDescent="0.2">
      <c r="A7714" s="68">
        <v>34407</v>
      </c>
      <c r="B7714" s="69">
        <v>1.1259999999999999</v>
      </c>
    </row>
    <row r="7715" spans="1:2" x14ac:dyDescent="0.2">
      <c r="A7715" s="68">
        <v>34405</v>
      </c>
      <c r="B7715" s="69">
        <v>1.1259999999999999</v>
      </c>
    </row>
    <row r="7716" spans="1:2" x14ac:dyDescent="0.2">
      <c r="A7716" s="68">
        <v>34404</v>
      </c>
      <c r="B7716" s="69">
        <v>1.1265000000000001</v>
      </c>
    </row>
    <row r="7717" spans="1:2" x14ac:dyDescent="0.2">
      <c r="A7717" s="68">
        <v>34403</v>
      </c>
      <c r="B7717" s="69">
        <v>1.1258999999999999</v>
      </c>
    </row>
    <row r="7718" spans="1:2" x14ac:dyDescent="0.2">
      <c r="A7718" s="68">
        <v>34402</v>
      </c>
      <c r="B7718" s="69">
        <v>1.1263000000000001</v>
      </c>
    </row>
    <row r="7719" spans="1:2" x14ac:dyDescent="0.2">
      <c r="A7719" s="68">
        <v>34401</v>
      </c>
      <c r="B7719" s="69">
        <v>1.1265000000000001</v>
      </c>
    </row>
    <row r="7720" spans="1:2" x14ac:dyDescent="0.2">
      <c r="A7720" s="68">
        <v>34400</v>
      </c>
      <c r="B7720" s="69">
        <v>1.1267</v>
      </c>
    </row>
    <row r="7721" spans="1:2" x14ac:dyDescent="0.2">
      <c r="A7721" s="68">
        <v>34398</v>
      </c>
      <c r="B7721" s="69">
        <v>1.1267</v>
      </c>
    </row>
    <row r="7722" spans="1:2" x14ac:dyDescent="0.2">
      <c r="A7722" s="68">
        <v>34397</v>
      </c>
      <c r="B7722" s="69">
        <v>1.1266</v>
      </c>
    </row>
    <row r="7723" spans="1:2" x14ac:dyDescent="0.2">
      <c r="A7723" s="68">
        <v>34396</v>
      </c>
      <c r="B7723" s="69">
        <v>1.1266</v>
      </c>
    </row>
    <row r="7724" spans="1:2" x14ac:dyDescent="0.2">
      <c r="A7724" s="68">
        <v>34395</v>
      </c>
      <c r="B7724" s="69">
        <v>1.1265000000000001</v>
      </c>
    </row>
    <row r="7725" spans="1:2" x14ac:dyDescent="0.2">
      <c r="A7725" s="68">
        <v>34394</v>
      </c>
      <c r="B7725" s="69">
        <v>1.1259999999999999</v>
      </c>
    </row>
    <row r="7726" spans="1:2" x14ac:dyDescent="0.2">
      <c r="A7726" s="68">
        <v>34393</v>
      </c>
      <c r="B7726" s="69">
        <v>1.1256999999999999</v>
      </c>
    </row>
    <row r="7727" spans="1:2" x14ac:dyDescent="0.2">
      <c r="A7727" s="68">
        <v>34391</v>
      </c>
      <c r="B7727" s="69">
        <v>1.1256999999999999</v>
      </c>
    </row>
    <row r="7728" spans="1:2" x14ac:dyDescent="0.2">
      <c r="A7728" s="68">
        <v>34390</v>
      </c>
      <c r="B7728" s="69">
        <v>1.125</v>
      </c>
    </row>
    <row r="7729" spans="1:2" x14ac:dyDescent="0.2">
      <c r="A7729" s="68">
        <v>34389</v>
      </c>
      <c r="B7729" s="69">
        <v>1.1257999999999999</v>
      </c>
    </row>
    <row r="7730" spans="1:2" x14ac:dyDescent="0.2">
      <c r="A7730" s="68">
        <v>34388</v>
      </c>
      <c r="B7730" s="69">
        <v>1.1253</v>
      </c>
    </row>
    <row r="7731" spans="1:2" x14ac:dyDescent="0.2">
      <c r="A7731" s="68">
        <v>34387</v>
      </c>
      <c r="B7731" s="69">
        <v>1.1249</v>
      </c>
    </row>
    <row r="7732" spans="1:2" x14ac:dyDescent="0.2">
      <c r="A7732" s="68">
        <v>34386</v>
      </c>
      <c r="B7732" s="69">
        <v>1.1249</v>
      </c>
    </row>
    <row r="7733" spans="1:2" x14ac:dyDescent="0.2">
      <c r="A7733" s="68">
        <v>34384</v>
      </c>
      <c r="B7733" s="69">
        <v>1.1248</v>
      </c>
    </row>
    <row r="7734" spans="1:2" x14ac:dyDescent="0.2">
      <c r="A7734" s="68">
        <v>34383</v>
      </c>
      <c r="B7734" s="69">
        <v>1.1252</v>
      </c>
    </row>
    <row r="7735" spans="1:2" x14ac:dyDescent="0.2">
      <c r="A7735" s="68">
        <v>34382</v>
      </c>
      <c r="B7735" s="69">
        <v>1.1257999999999999</v>
      </c>
    </row>
    <row r="7736" spans="1:2" x14ac:dyDescent="0.2">
      <c r="A7736" s="68">
        <v>34381</v>
      </c>
      <c r="B7736" s="69">
        <v>1.1253</v>
      </c>
    </row>
    <row r="7737" spans="1:2" x14ac:dyDescent="0.2">
      <c r="A7737" s="68">
        <v>34380</v>
      </c>
      <c r="B7737" s="69">
        <v>1.1264000000000001</v>
      </c>
    </row>
    <row r="7738" spans="1:2" x14ac:dyDescent="0.2">
      <c r="A7738" s="68">
        <v>34374</v>
      </c>
      <c r="B7738" s="69">
        <v>1.1264000000000001</v>
      </c>
    </row>
    <row r="7739" spans="1:2" x14ac:dyDescent="0.2">
      <c r="A7739" s="68">
        <v>34373</v>
      </c>
      <c r="B7739" s="69">
        <v>1.1264000000000001</v>
      </c>
    </row>
    <row r="7740" spans="1:2" x14ac:dyDescent="0.2">
      <c r="A7740" s="68">
        <v>34372</v>
      </c>
      <c r="B7740" s="69">
        <v>1.1264000000000001</v>
      </c>
    </row>
    <row r="7741" spans="1:2" x14ac:dyDescent="0.2">
      <c r="A7741" s="68">
        <v>34370</v>
      </c>
      <c r="B7741" s="69">
        <v>1.1264000000000001</v>
      </c>
    </row>
    <row r="7742" spans="1:2" x14ac:dyDescent="0.2">
      <c r="A7742" s="68">
        <v>34369</v>
      </c>
      <c r="B7742" s="69">
        <v>1.1263000000000001</v>
      </c>
    </row>
    <row r="7743" spans="1:2" x14ac:dyDescent="0.2">
      <c r="A7743" s="68">
        <v>34368</v>
      </c>
      <c r="B7743" s="69">
        <v>1.1266</v>
      </c>
    </row>
    <row r="7744" spans="1:2" x14ac:dyDescent="0.2">
      <c r="A7744" s="68">
        <v>34367</v>
      </c>
      <c r="B7744" s="69">
        <v>1.1266</v>
      </c>
    </row>
    <row r="7745" spans="1:2" x14ac:dyDescent="0.2">
      <c r="A7745" s="68">
        <v>34366</v>
      </c>
      <c r="B7745" s="69">
        <v>1.1266</v>
      </c>
    </row>
    <row r="7746" spans="1:2" x14ac:dyDescent="0.2">
      <c r="A7746" s="68">
        <v>34365</v>
      </c>
      <c r="B7746" s="69">
        <v>1.1266</v>
      </c>
    </row>
    <row r="7747" spans="1:2" x14ac:dyDescent="0.2">
      <c r="A7747" s="68">
        <v>34363</v>
      </c>
      <c r="B7747" s="69">
        <v>1.1266</v>
      </c>
    </row>
    <row r="7748" spans="1:2" x14ac:dyDescent="0.2">
      <c r="A7748" s="68">
        <v>34362</v>
      </c>
      <c r="B7748" s="69">
        <v>1.1266</v>
      </c>
    </row>
    <row r="7749" spans="1:2" x14ac:dyDescent="0.2">
      <c r="A7749" s="68">
        <v>34361</v>
      </c>
      <c r="B7749" s="69">
        <v>1.1266</v>
      </c>
    </row>
    <row r="7750" spans="1:2" x14ac:dyDescent="0.2">
      <c r="A7750" s="68">
        <v>34360</v>
      </c>
      <c r="B7750" s="69">
        <v>1.1266</v>
      </c>
    </row>
    <row r="7751" spans="1:2" x14ac:dyDescent="0.2">
      <c r="A7751" s="68">
        <v>34359</v>
      </c>
      <c r="B7751" s="69">
        <v>1.1266</v>
      </c>
    </row>
    <row r="7752" spans="1:2" x14ac:dyDescent="0.2">
      <c r="A7752" s="68">
        <v>34358</v>
      </c>
      <c r="B7752" s="69">
        <v>1.1266</v>
      </c>
    </row>
    <row r="7753" spans="1:2" x14ac:dyDescent="0.2">
      <c r="A7753" s="68">
        <v>34356</v>
      </c>
      <c r="B7753" s="69">
        <v>1.1266</v>
      </c>
    </row>
    <row r="7754" spans="1:2" x14ac:dyDescent="0.2">
      <c r="A7754" s="68">
        <v>34355</v>
      </c>
      <c r="B7754" s="69">
        <v>1.1266</v>
      </c>
    </row>
    <row r="7755" spans="1:2" x14ac:dyDescent="0.2">
      <c r="A7755" s="68">
        <v>34354</v>
      </c>
      <c r="B7755" s="69">
        <v>1.1266</v>
      </c>
    </row>
    <row r="7756" spans="1:2" x14ac:dyDescent="0.2">
      <c r="A7756" s="68">
        <v>34353</v>
      </c>
      <c r="B7756" s="69">
        <v>1.1266</v>
      </c>
    </row>
    <row r="7757" spans="1:2" x14ac:dyDescent="0.2">
      <c r="A7757" s="68">
        <v>34352</v>
      </c>
      <c r="B7757" s="69">
        <v>1.1266</v>
      </c>
    </row>
    <row r="7758" spans="1:2" x14ac:dyDescent="0.2">
      <c r="A7758" s="68">
        <v>34351</v>
      </c>
      <c r="B7758" s="69">
        <v>1.1266</v>
      </c>
    </row>
    <row r="7759" spans="1:2" x14ac:dyDescent="0.2">
      <c r="A7759" s="68">
        <v>34349</v>
      </c>
      <c r="B7759" s="69">
        <v>1.1266</v>
      </c>
    </row>
    <row r="7760" spans="1:2" x14ac:dyDescent="0.2">
      <c r="A7760" s="68">
        <v>34348</v>
      </c>
      <c r="B7760" s="69">
        <v>1.1266</v>
      </c>
    </row>
    <row r="7761" spans="1:2" x14ac:dyDescent="0.2">
      <c r="A7761" s="68">
        <v>34347</v>
      </c>
      <c r="B7761" s="69">
        <v>1.1266</v>
      </c>
    </row>
    <row r="7762" spans="1:2" x14ac:dyDescent="0.2">
      <c r="A7762" s="68">
        <v>34346</v>
      </c>
      <c r="B7762" s="69">
        <v>1.1266</v>
      </c>
    </row>
    <row r="7763" spans="1:2" x14ac:dyDescent="0.2">
      <c r="A7763" s="68">
        <v>34345</v>
      </c>
      <c r="B7763" s="69">
        <v>1.1266</v>
      </c>
    </row>
    <row r="7764" spans="1:2" x14ac:dyDescent="0.2">
      <c r="A7764" s="68">
        <v>34344</v>
      </c>
      <c r="B7764" s="69">
        <v>1.1266</v>
      </c>
    </row>
    <row r="7765" spans="1:2" x14ac:dyDescent="0.2">
      <c r="A7765" s="68">
        <v>34342</v>
      </c>
      <c r="B7765" s="69">
        <v>1.1266</v>
      </c>
    </row>
    <row r="7766" spans="1:2" x14ac:dyDescent="0.2">
      <c r="A7766" s="68">
        <v>34341</v>
      </c>
      <c r="B7766" s="69">
        <v>1.1266</v>
      </c>
    </row>
    <row r="7767" spans="1:2" x14ac:dyDescent="0.2">
      <c r="A7767" s="68">
        <v>34340</v>
      </c>
      <c r="B7767" s="69">
        <v>1.1266</v>
      </c>
    </row>
    <row r="7768" spans="1:2" x14ac:dyDescent="0.2">
      <c r="A7768" s="68">
        <v>34339</v>
      </c>
      <c r="B7768" s="69">
        <v>1.1266</v>
      </c>
    </row>
    <row r="7769" spans="1:2" x14ac:dyDescent="0.2">
      <c r="A7769" s="68">
        <v>34338</v>
      </c>
      <c r="B7769" s="69">
        <v>1.1266</v>
      </c>
    </row>
    <row r="7770" spans="1:2" x14ac:dyDescent="0.2">
      <c r="A7770" s="68">
        <v>34337</v>
      </c>
      <c r="B7770" s="69">
        <v>1.1266</v>
      </c>
    </row>
    <row r="7771" spans="1:2" x14ac:dyDescent="0.2">
      <c r="A7771" s="68">
        <v>34335</v>
      </c>
      <c r="B7771" s="69">
        <v>1.1266</v>
      </c>
    </row>
    <row r="7772" spans="1:2" x14ac:dyDescent="0.2">
      <c r="A7772" s="68">
        <v>36971</v>
      </c>
      <c r="B7772" s="69">
        <v>1.0612999999999999</v>
      </c>
    </row>
    <row r="7773" spans="1:2" x14ac:dyDescent="0.2">
      <c r="A7773" s="68">
        <v>36970</v>
      </c>
      <c r="B7773" s="69">
        <v>1.0612999999999999</v>
      </c>
    </row>
    <row r="7774" spans="1:2" x14ac:dyDescent="0.2">
      <c r="A7774" s="68">
        <v>36969</v>
      </c>
      <c r="B7774" s="69">
        <v>1.0611999999999999</v>
      </c>
    </row>
    <row r="7775" spans="1:2" x14ac:dyDescent="0.2">
      <c r="A7775" s="68">
        <v>36968</v>
      </c>
      <c r="B7775" s="69"/>
    </row>
    <row r="7776" spans="1:2" x14ac:dyDescent="0.2">
      <c r="A7776" s="68">
        <v>36967</v>
      </c>
      <c r="B7776" s="69"/>
    </row>
    <row r="7777" spans="1:2" x14ac:dyDescent="0.2">
      <c r="A7777" s="68">
        <v>36966</v>
      </c>
      <c r="B7777" s="69">
        <v>1.0615000000000001</v>
      </c>
    </row>
    <row r="7778" spans="1:2" x14ac:dyDescent="0.2">
      <c r="A7778" s="68">
        <v>36965</v>
      </c>
      <c r="B7778" s="69">
        <v>1.0609</v>
      </c>
    </row>
    <row r="7779" spans="1:2" x14ac:dyDescent="0.2">
      <c r="A7779" s="68">
        <v>36964</v>
      </c>
      <c r="B7779" s="69">
        <v>1.0612999999999999</v>
      </c>
    </row>
    <row r="7780" spans="1:2" x14ac:dyDescent="0.2">
      <c r="A7780" s="68">
        <v>36963</v>
      </c>
      <c r="B7780" s="69">
        <v>1.0612999999999999</v>
      </c>
    </row>
    <row r="7781" spans="1:2" x14ac:dyDescent="0.2">
      <c r="A7781" s="68">
        <v>36962</v>
      </c>
      <c r="B7781" s="69">
        <v>1.0615000000000001</v>
      </c>
    </row>
    <row r="7782" spans="1:2" x14ac:dyDescent="0.2">
      <c r="A7782" s="68">
        <v>36961</v>
      </c>
      <c r="B7782" s="69"/>
    </row>
    <row r="7783" spans="1:2" x14ac:dyDescent="0.2">
      <c r="A7783" s="68">
        <v>36960</v>
      </c>
      <c r="B7783" s="69"/>
    </row>
    <row r="7784" spans="1:2" x14ac:dyDescent="0.2">
      <c r="A7784" s="68">
        <v>36959</v>
      </c>
      <c r="B7784" s="69">
        <v>1.0609999999999999</v>
      </c>
    </row>
    <row r="7785" spans="1:2" x14ac:dyDescent="0.2">
      <c r="A7785" s="68">
        <v>36958</v>
      </c>
      <c r="B7785" s="69">
        <v>1.0611999999999999</v>
      </c>
    </row>
    <row r="7786" spans="1:2" x14ac:dyDescent="0.2">
      <c r="A7786" s="68">
        <v>36957</v>
      </c>
      <c r="B7786" s="69">
        <v>1.0613999999999999</v>
      </c>
    </row>
    <row r="7787" spans="1:2" x14ac:dyDescent="0.2">
      <c r="A7787" s="68">
        <v>36956</v>
      </c>
      <c r="B7787" s="69">
        <v>1.0611999999999999</v>
      </c>
    </row>
    <row r="7788" spans="1:2" x14ac:dyDescent="0.2">
      <c r="A7788" s="68">
        <v>36955</v>
      </c>
      <c r="B7788" s="69">
        <v>1.0612999999999999</v>
      </c>
    </row>
    <row r="7789" spans="1:2" x14ac:dyDescent="0.2">
      <c r="A7789" s="68">
        <v>36954</v>
      </c>
      <c r="B7789" s="69"/>
    </row>
    <row r="7790" spans="1:2" x14ac:dyDescent="0.2">
      <c r="A7790" s="68">
        <v>36953</v>
      </c>
      <c r="B7790" s="69"/>
    </row>
    <row r="7791" spans="1:2" x14ac:dyDescent="0.2">
      <c r="A7791" s="68">
        <v>36952</v>
      </c>
      <c r="B7791" s="69">
        <v>1.0609999999999999</v>
      </c>
    </row>
    <row r="7792" spans="1:2" x14ac:dyDescent="0.2">
      <c r="A7792" s="68">
        <v>36951</v>
      </c>
      <c r="B7792" s="69">
        <v>1.0611999999999999</v>
      </c>
    </row>
    <row r="7793" spans="1:2" x14ac:dyDescent="0.2">
      <c r="A7793" s="68">
        <v>36950</v>
      </c>
      <c r="B7793" s="69">
        <v>1.0612999999999999</v>
      </c>
    </row>
    <row r="7794" spans="1:2" x14ac:dyDescent="0.2">
      <c r="A7794" s="68">
        <v>36949</v>
      </c>
      <c r="B7794" s="69">
        <v>1.0607</v>
      </c>
    </row>
    <row r="7795" spans="1:2" x14ac:dyDescent="0.2">
      <c r="A7795" s="68">
        <v>36948</v>
      </c>
      <c r="B7795" s="69">
        <v>1.0609</v>
      </c>
    </row>
    <row r="7796" spans="1:2" x14ac:dyDescent="0.2">
      <c r="A7796" s="68">
        <v>36947</v>
      </c>
      <c r="B7796" s="69"/>
    </row>
    <row r="7797" spans="1:2" x14ac:dyDescent="0.2">
      <c r="A7797" s="68">
        <v>36946</v>
      </c>
      <c r="B7797" s="69"/>
    </row>
    <row r="7798" spans="1:2" x14ac:dyDescent="0.2">
      <c r="A7798" s="68">
        <v>36945</v>
      </c>
      <c r="B7798" s="69">
        <v>1.0608</v>
      </c>
    </row>
    <row r="7799" spans="1:2" x14ac:dyDescent="0.2">
      <c r="A7799" s="68">
        <v>36944</v>
      </c>
      <c r="B7799" s="69">
        <v>1.0616000000000001</v>
      </c>
    </row>
    <row r="7800" spans="1:2" x14ac:dyDescent="0.2">
      <c r="A7800" s="68">
        <v>36943</v>
      </c>
      <c r="B7800" s="69">
        <v>1.0626</v>
      </c>
    </row>
    <row r="7801" spans="1:2" x14ac:dyDescent="0.2">
      <c r="A7801" s="68">
        <v>36942</v>
      </c>
      <c r="B7801" s="69">
        <v>1.0608</v>
      </c>
    </row>
    <row r="7802" spans="1:2" x14ac:dyDescent="0.2">
      <c r="A7802" s="68">
        <v>36941</v>
      </c>
      <c r="B7802" s="69">
        <v>1.0610999999999999</v>
      </c>
    </row>
    <row r="7803" spans="1:2" x14ac:dyDescent="0.2">
      <c r="A7803" s="68">
        <v>36940</v>
      </c>
      <c r="B7803" s="69"/>
    </row>
    <row r="7804" spans="1:2" x14ac:dyDescent="0.2">
      <c r="A7804" s="68">
        <v>36939</v>
      </c>
      <c r="B7804" s="69"/>
    </row>
    <row r="7805" spans="1:2" x14ac:dyDescent="0.2">
      <c r="A7805" s="68">
        <v>36938</v>
      </c>
      <c r="B7805" s="69">
        <v>1.0610999999999999</v>
      </c>
    </row>
    <row r="7806" spans="1:2" x14ac:dyDescent="0.2">
      <c r="A7806" s="68">
        <v>36937</v>
      </c>
      <c r="B7806" s="69">
        <v>1.0607</v>
      </c>
    </row>
    <row r="7807" spans="1:2" x14ac:dyDescent="0.2">
      <c r="A7807" s="68">
        <v>36936</v>
      </c>
      <c r="B7807" s="69">
        <v>1.0609</v>
      </c>
    </row>
    <row r="7808" spans="1:2" x14ac:dyDescent="0.2">
      <c r="A7808" s="68">
        <v>36935</v>
      </c>
      <c r="B7808" s="69">
        <v>1.0606</v>
      </c>
    </row>
    <row r="7809" spans="1:2" x14ac:dyDescent="0.2">
      <c r="A7809" s="68">
        <v>36934</v>
      </c>
      <c r="B7809" s="69">
        <v>1.0606</v>
      </c>
    </row>
    <row r="7810" spans="1:2" x14ac:dyDescent="0.2">
      <c r="A7810" s="68">
        <v>36933</v>
      </c>
      <c r="B7810" s="69"/>
    </row>
    <row r="7811" spans="1:2" x14ac:dyDescent="0.2">
      <c r="A7811" s="68">
        <v>36932</v>
      </c>
      <c r="B7811" s="69"/>
    </row>
    <row r="7812" spans="1:2" x14ac:dyDescent="0.2">
      <c r="A7812" s="68">
        <v>36931</v>
      </c>
      <c r="B7812" s="69">
        <v>1.0605</v>
      </c>
    </row>
    <row r="7813" spans="1:2" x14ac:dyDescent="0.2">
      <c r="A7813" s="68">
        <v>36930</v>
      </c>
      <c r="B7813" s="69">
        <v>1.0604</v>
      </c>
    </row>
    <row r="7814" spans="1:2" x14ac:dyDescent="0.2">
      <c r="A7814" s="68">
        <v>36929</v>
      </c>
      <c r="B7814" s="69">
        <v>1.0606</v>
      </c>
    </row>
    <row r="7815" spans="1:2" x14ac:dyDescent="0.2">
      <c r="A7815" s="68">
        <v>36928</v>
      </c>
      <c r="B7815" s="69">
        <v>1.0606</v>
      </c>
    </row>
    <row r="7816" spans="1:2" x14ac:dyDescent="0.2">
      <c r="A7816" s="68">
        <v>36927</v>
      </c>
      <c r="B7816" s="69">
        <v>1.0606</v>
      </c>
    </row>
    <row r="7817" spans="1:2" x14ac:dyDescent="0.2">
      <c r="A7817" s="68">
        <v>36926</v>
      </c>
      <c r="B7817" s="69"/>
    </row>
    <row r="7818" spans="1:2" x14ac:dyDescent="0.2">
      <c r="A7818" s="68">
        <v>36925</v>
      </c>
      <c r="B7818" s="69"/>
    </row>
    <row r="7819" spans="1:2" x14ac:dyDescent="0.2">
      <c r="A7819" s="68">
        <v>36924</v>
      </c>
      <c r="B7819" s="69">
        <v>1.0611999999999999</v>
      </c>
    </row>
    <row r="7820" spans="1:2" x14ac:dyDescent="0.2">
      <c r="A7820" s="68">
        <v>36923</v>
      </c>
      <c r="B7820" s="69">
        <v>1.0605</v>
      </c>
    </row>
    <row r="7821" spans="1:2" x14ac:dyDescent="0.2">
      <c r="A7821" s="68">
        <v>36922</v>
      </c>
      <c r="B7821" s="69">
        <v>1.0604</v>
      </c>
    </row>
    <row r="7822" spans="1:2" x14ac:dyDescent="0.2">
      <c r="A7822" s="68">
        <v>36921</v>
      </c>
      <c r="B7822" s="69"/>
    </row>
    <row r="7823" spans="1:2" x14ac:dyDescent="0.2">
      <c r="A7823" s="68">
        <v>36920</v>
      </c>
      <c r="B7823" s="69"/>
    </row>
    <row r="7824" spans="1:2" x14ac:dyDescent="0.2">
      <c r="A7824" s="68">
        <v>36919</v>
      </c>
      <c r="B7824" s="69"/>
    </row>
    <row r="7825" spans="1:2" x14ac:dyDescent="0.2">
      <c r="A7825" s="68">
        <v>36918</v>
      </c>
      <c r="B7825" s="69"/>
    </row>
    <row r="7826" spans="1:2" x14ac:dyDescent="0.2">
      <c r="A7826" s="68">
        <v>36917</v>
      </c>
      <c r="B7826" s="69"/>
    </row>
    <row r="7827" spans="1:2" x14ac:dyDescent="0.2">
      <c r="A7827" s="68">
        <v>36916</v>
      </c>
      <c r="B7827" s="69"/>
    </row>
    <row r="7828" spans="1:2" x14ac:dyDescent="0.2">
      <c r="A7828" s="68">
        <v>36915</v>
      </c>
      <c r="B7828" s="69"/>
    </row>
    <row r="7829" spans="1:2" x14ac:dyDescent="0.2">
      <c r="A7829" s="68">
        <v>36914</v>
      </c>
      <c r="B7829" s="69">
        <v>1.0604</v>
      </c>
    </row>
    <row r="7830" spans="1:2" x14ac:dyDescent="0.2">
      <c r="A7830" s="68">
        <v>36913</v>
      </c>
      <c r="B7830" s="69">
        <v>1.0604</v>
      </c>
    </row>
    <row r="7831" spans="1:2" x14ac:dyDescent="0.2">
      <c r="A7831" s="68">
        <v>36912</v>
      </c>
      <c r="B7831" s="69">
        <v>1.0604</v>
      </c>
    </row>
    <row r="7832" spans="1:2" x14ac:dyDescent="0.2">
      <c r="A7832" s="68">
        <v>36911</v>
      </c>
      <c r="B7832" s="69">
        <v>1.0603</v>
      </c>
    </row>
    <row r="7833" spans="1:2" x14ac:dyDescent="0.2">
      <c r="A7833" s="68">
        <v>36910</v>
      </c>
      <c r="B7833" s="69">
        <v>1.0607</v>
      </c>
    </row>
    <row r="7834" spans="1:2" x14ac:dyDescent="0.2">
      <c r="A7834" s="68">
        <v>36909</v>
      </c>
      <c r="B7834" s="69">
        <v>1.0608</v>
      </c>
    </row>
    <row r="7835" spans="1:2" x14ac:dyDescent="0.2">
      <c r="A7835" s="68">
        <v>36908</v>
      </c>
      <c r="B7835" s="69">
        <v>1.0608</v>
      </c>
    </row>
    <row r="7836" spans="1:2" x14ac:dyDescent="0.2">
      <c r="A7836" s="68">
        <v>36907</v>
      </c>
      <c r="B7836" s="69">
        <v>1.0607</v>
      </c>
    </row>
    <row r="7837" spans="1:2" x14ac:dyDescent="0.2">
      <c r="A7837" s="68">
        <v>36906</v>
      </c>
      <c r="B7837" s="69">
        <v>1.0606</v>
      </c>
    </row>
    <row r="7838" spans="1:2" x14ac:dyDescent="0.2">
      <c r="A7838" s="68">
        <v>36905</v>
      </c>
      <c r="B7838" s="69"/>
    </row>
    <row r="7839" spans="1:2" x14ac:dyDescent="0.2">
      <c r="A7839" s="68">
        <v>36904</v>
      </c>
      <c r="B7839" s="69"/>
    </row>
    <row r="7840" spans="1:2" x14ac:dyDescent="0.2">
      <c r="A7840" s="68">
        <v>36903</v>
      </c>
      <c r="B7840" s="69">
        <v>1.0605</v>
      </c>
    </row>
    <row r="7841" spans="1:2" x14ac:dyDescent="0.2">
      <c r="A7841" s="68">
        <v>36902</v>
      </c>
      <c r="B7841" s="69">
        <v>1.0608</v>
      </c>
    </row>
    <row r="7842" spans="1:2" x14ac:dyDescent="0.2">
      <c r="A7842" s="68">
        <v>36901</v>
      </c>
      <c r="B7842" s="69">
        <v>1.0610999999999999</v>
      </c>
    </row>
    <row r="7843" spans="1:2" x14ac:dyDescent="0.2">
      <c r="A7843" s="68">
        <v>36900</v>
      </c>
      <c r="B7843" s="69">
        <v>1.0609999999999999</v>
      </c>
    </row>
    <row r="7844" spans="1:2" x14ac:dyDescent="0.2">
      <c r="A7844" s="68">
        <v>36899</v>
      </c>
      <c r="B7844" s="69">
        <v>1.0609999999999999</v>
      </c>
    </row>
    <row r="7845" spans="1:2" x14ac:dyDescent="0.2">
      <c r="A7845" s="68">
        <v>36898</v>
      </c>
      <c r="B7845" s="69"/>
    </row>
    <row r="7846" spans="1:2" x14ac:dyDescent="0.2">
      <c r="A7846" s="68">
        <v>36897</v>
      </c>
      <c r="B7846" s="69"/>
    </row>
    <row r="7847" spans="1:2" x14ac:dyDescent="0.2">
      <c r="A7847" s="68">
        <v>36896</v>
      </c>
      <c r="B7847" s="69">
        <v>1.0610999999999999</v>
      </c>
    </row>
    <row r="7848" spans="1:2" x14ac:dyDescent="0.2">
      <c r="A7848" s="68">
        <v>36895</v>
      </c>
      <c r="B7848" s="69">
        <v>1.0606</v>
      </c>
    </row>
    <row r="7849" spans="1:2" x14ac:dyDescent="0.2">
      <c r="A7849" s="68">
        <v>36894</v>
      </c>
      <c r="B7849" s="69">
        <v>1.0606</v>
      </c>
    </row>
    <row r="7850" spans="1:2" x14ac:dyDescent="0.2">
      <c r="A7850" s="68">
        <v>36893</v>
      </c>
      <c r="B7850" s="69">
        <v>1.0606</v>
      </c>
    </row>
    <row r="7851" spans="1:2" x14ac:dyDescent="0.2">
      <c r="A7851" s="68">
        <v>36892</v>
      </c>
      <c r="B7851" s="69"/>
    </row>
    <row r="7852" spans="1:2" x14ac:dyDescent="0.2">
      <c r="A7852" s="68">
        <v>36891</v>
      </c>
      <c r="B7852" s="69"/>
    </row>
    <row r="7853" spans="1:2" x14ac:dyDescent="0.2">
      <c r="A7853" s="68">
        <v>36890</v>
      </c>
      <c r="B7853" s="69"/>
    </row>
    <row r="7854" spans="1:2" x14ac:dyDescent="0.2">
      <c r="A7854" s="68">
        <v>36889</v>
      </c>
      <c r="B7854" s="69">
        <v>1.0606</v>
      </c>
    </row>
    <row r="7855" spans="1:2" x14ac:dyDescent="0.2">
      <c r="A7855" s="68">
        <v>36888</v>
      </c>
      <c r="B7855" s="69">
        <v>1.0606</v>
      </c>
    </row>
    <row r="7856" spans="1:2" x14ac:dyDescent="0.2">
      <c r="A7856" s="68">
        <v>36887</v>
      </c>
      <c r="B7856" s="69">
        <v>1.0605</v>
      </c>
    </row>
    <row r="7857" spans="1:2" x14ac:dyDescent="0.2">
      <c r="A7857" s="68">
        <v>36886</v>
      </c>
      <c r="B7857" s="69">
        <v>1.0605</v>
      </c>
    </row>
    <row r="7858" spans="1:2" x14ac:dyDescent="0.2">
      <c r="A7858" s="68">
        <v>36885</v>
      </c>
      <c r="B7858" s="69">
        <v>1.0606</v>
      </c>
    </row>
    <row r="7859" spans="1:2" x14ac:dyDescent="0.2">
      <c r="A7859" s="68">
        <v>36884</v>
      </c>
      <c r="B7859" s="69"/>
    </row>
    <row r="7860" spans="1:2" x14ac:dyDescent="0.2">
      <c r="A7860" s="68">
        <v>36883</v>
      </c>
      <c r="B7860" s="69"/>
    </row>
    <row r="7861" spans="1:2" x14ac:dyDescent="0.2">
      <c r="A7861" s="68">
        <v>36882</v>
      </c>
      <c r="B7861" s="69">
        <v>1.0606</v>
      </c>
    </row>
    <row r="7862" spans="1:2" x14ac:dyDescent="0.2">
      <c r="A7862" s="68">
        <v>36881</v>
      </c>
      <c r="B7862" s="69">
        <v>1.0607</v>
      </c>
    </row>
    <row r="7863" spans="1:2" x14ac:dyDescent="0.2">
      <c r="A7863" s="68">
        <v>36880</v>
      </c>
      <c r="B7863" s="69">
        <v>1.0607</v>
      </c>
    </row>
    <row r="7864" spans="1:2" x14ac:dyDescent="0.2">
      <c r="A7864" s="68">
        <v>36879</v>
      </c>
      <c r="B7864" s="69">
        <v>1.0609</v>
      </c>
    </row>
    <row r="7865" spans="1:2" x14ac:dyDescent="0.2">
      <c r="A7865" s="68">
        <v>36878</v>
      </c>
      <c r="B7865" s="69">
        <v>1.0609</v>
      </c>
    </row>
    <row r="7866" spans="1:2" x14ac:dyDescent="0.2">
      <c r="A7866" s="68">
        <v>36877</v>
      </c>
      <c r="B7866" s="69"/>
    </row>
    <row r="7867" spans="1:2" x14ac:dyDescent="0.2">
      <c r="A7867" s="68">
        <v>36876</v>
      </c>
      <c r="B7867" s="69"/>
    </row>
    <row r="7868" spans="1:2" x14ac:dyDescent="0.2">
      <c r="A7868" s="68">
        <v>36875</v>
      </c>
      <c r="B7868" s="69">
        <v>1.0609</v>
      </c>
    </row>
    <row r="7869" spans="1:2" x14ac:dyDescent="0.2">
      <c r="A7869" s="68">
        <v>36874</v>
      </c>
      <c r="B7869" s="69">
        <v>1.0608</v>
      </c>
    </row>
    <row r="7870" spans="1:2" x14ac:dyDescent="0.2">
      <c r="A7870" s="68">
        <v>36873</v>
      </c>
      <c r="B7870" s="69">
        <v>1.0609</v>
      </c>
    </row>
    <row r="7871" spans="1:2" x14ac:dyDescent="0.2">
      <c r="A7871" s="68">
        <v>36872</v>
      </c>
      <c r="B7871" s="69">
        <v>1.0608</v>
      </c>
    </row>
    <row r="7872" spans="1:2" x14ac:dyDescent="0.2">
      <c r="A7872" s="68">
        <v>36871</v>
      </c>
      <c r="B7872" s="69">
        <v>1.0607</v>
      </c>
    </row>
    <row r="7873" spans="1:2" x14ac:dyDescent="0.2">
      <c r="A7873" s="68">
        <v>36870</v>
      </c>
      <c r="B7873" s="69"/>
    </row>
    <row r="7874" spans="1:2" x14ac:dyDescent="0.2">
      <c r="A7874" s="68">
        <v>36869</v>
      </c>
      <c r="B7874" s="69"/>
    </row>
    <row r="7875" spans="1:2" x14ac:dyDescent="0.2">
      <c r="A7875" s="68">
        <v>36868</v>
      </c>
      <c r="B7875" s="69">
        <v>1.0608</v>
      </c>
    </row>
    <row r="7876" spans="1:2" x14ac:dyDescent="0.2">
      <c r="A7876" s="68">
        <v>36867</v>
      </c>
      <c r="B7876" s="69">
        <v>1.0607</v>
      </c>
    </row>
    <row r="7877" spans="1:2" x14ac:dyDescent="0.2">
      <c r="A7877" s="68">
        <v>36866</v>
      </c>
      <c r="B7877" s="69">
        <v>1.0609</v>
      </c>
    </row>
    <row r="7878" spans="1:2" x14ac:dyDescent="0.2">
      <c r="A7878" s="68">
        <v>36865</v>
      </c>
      <c r="B7878" s="69">
        <v>1.0609999999999999</v>
      </c>
    </row>
    <row r="7879" spans="1:2" x14ac:dyDescent="0.2">
      <c r="A7879" s="68">
        <v>36864</v>
      </c>
      <c r="B7879" s="69">
        <v>1.0609999999999999</v>
      </c>
    </row>
    <row r="7880" spans="1:2" x14ac:dyDescent="0.2">
      <c r="A7880" s="68">
        <v>36863</v>
      </c>
      <c r="B7880" s="69"/>
    </row>
    <row r="7881" spans="1:2" x14ac:dyDescent="0.2">
      <c r="A7881" s="68">
        <v>36862</v>
      </c>
      <c r="B7881" s="69"/>
    </row>
    <row r="7882" spans="1:2" x14ac:dyDescent="0.2">
      <c r="A7882" s="68">
        <v>36861</v>
      </c>
      <c r="B7882" s="69">
        <v>1.0609999999999999</v>
      </c>
    </row>
    <row r="7883" spans="1:2" x14ac:dyDescent="0.2">
      <c r="A7883" s="68">
        <v>36860</v>
      </c>
      <c r="B7883" s="69">
        <v>1.0610999999999999</v>
      </c>
    </row>
    <row r="7884" spans="1:2" x14ac:dyDescent="0.2">
      <c r="A7884" s="68">
        <v>36859</v>
      </c>
      <c r="B7884" s="69">
        <v>1.0608</v>
      </c>
    </row>
    <row r="7885" spans="1:2" x14ac:dyDescent="0.2">
      <c r="A7885" s="68">
        <v>36858</v>
      </c>
      <c r="B7885" s="69">
        <v>1.0608</v>
      </c>
    </row>
    <row r="7886" spans="1:2" x14ac:dyDescent="0.2">
      <c r="A7886" s="68">
        <v>36857</v>
      </c>
      <c r="B7886" s="69">
        <v>1.0607</v>
      </c>
    </row>
    <row r="7887" spans="1:2" x14ac:dyDescent="0.2">
      <c r="A7887" s="68">
        <v>36856</v>
      </c>
      <c r="B7887" s="69"/>
    </row>
    <row r="7888" spans="1:2" x14ac:dyDescent="0.2">
      <c r="A7888" s="68">
        <v>36855</v>
      </c>
      <c r="B7888" s="69"/>
    </row>
    <row r="7889" spans="1:2" x14ac:dyDescent="0.2">
      <c r="A7889" s="68">
        <v>36854</v>
      </c>
      <c r="B7889" s="69">
        <v>1.0608</v>
      </c>
    </row>
    <row r="7890" spans="1:2" x14ac:dyDescent="0.2">
      <c r="A7890" s="68">
        <v>36853</v>
      </c>
      <c r="B7890" s="69">
        <v>1.0607</v>
      </c>
    </row>
    <row r="7891" spans="1:2" x14ac:dyDescent="0.2">
      <c r="A7891" s="68">
        <v>36852</v>
      </c>
      <c r="B7891" s="69">
        <v>1.0608</v>
      </c>
    </row>
    <row r="7892" spans="1:2" x14ac:dyDescent="0.2">
      <c r="A7892" s="68">
        <v>36851</v>
      </c>
      <c r="B7892" s="69">
        <v>1.0607</v>
      </c>
    </row>
    <row r="7893" spans="1:2" x14ac:dyDescent="0.2">
      <c r="A7893" s="68">
        <v>36850</v>
      </c>
      <c r="B7893" s="69">
        <v>1.0606</v>
      </c>
    </row>
    <row r="7894" spans="1:2" x14ac:dyDescent="0.2">
      <c r="A7894" s="68">
        <v>36849</v>
      </c>
      <c r="B7894" s="69"/>
    </row>
    <row r="7895" spans="1:2" x14ac:dyDescent="0.2">
      <c r="A7895" s="68">
        <v>36848</v>
      </c>
      <c r="B7895" s="69"/>
    </row>
    <row r="7896" spans="1:2" x14ac:dyDescent="0.2">
      <c r="A7896" s="68">
        <v>36847</v>
      </c>
      <c r="B7896" s="69">
        <v>1.0606</v>
      </c>
    </row>
    <row r="7897" spans="1:2" x14ac:dyDescent="0.2">
      <c r="A7897" s="68">
        <v>36846</v>
      </c>
      <c r="B7897" s="69">
        <v>1.0608</v>
      </c>
    </row>
    <row r="7898" spans="1:2" x14ac:dyDescent="0.2">
      <c r="A7898" s="68">
        <v>36845</v>
      </c>
      <c r="B7898" s="69">
        <v>1.0610999999999999</v>
      </c>
    </row>
    <row r="7899" spans="1:2" x14ac:dyDescent="0.2">
      <c r="A7899" s="68">
        <v>36844</v>
      </c>
      <c r="B7899" s="69">
        <v>1.0607</v>
      </c>
    </row>
    <row r="7900" spans="1:2" x14ac:dyDescent="0.2">
      <c r="A7900" s="68">
        <v>36843</v>
      </c>
      <c r="B7900" s="69">
        <v>1.0604</v>
      </c>
    </row>
    <row r="7901" spans="1:2" x14ac:dyDescent="0.2">
      <c r="A7901" s="68">
        <v>36842</v>
      </c>
      <c r="B7901" s="69"/>
    </row>
    <row r="7902" spans="1:2" x14ac:dyDescent="0.2">
      <c r="A7902" s="68">
        <v>36841</v>
      </c>
      <c r="B7902" s="69"/>
    </row>
    <row r="7903" spans="1:2" x14ac:dyDescent="0.2">
      <c r="A7903" s="68">
        <v>36840</v>
      </c>
      <c r="B7903" s="69">
        <v>1.0604</v>
      </c>
    </row>
    <row r="7904" spans="1:2" x14ac:dyDescent="0.2">
      <c r="A7904" s="68">
        <v>36839</v>
      </c>
      <c r="B7904" s="69">
        <v>1.0613999999999999</v>
      </c>
    </row>
    <row r="7905" spans="1:2" x14ac:dyDescent="0.2">
      <c r="A7905" s="68">
        <v>36838</v>
      </c>
      <c r="B7905" s="69">
        <v>1.0605</v>
      </c>
    </row>
    <row r="7906" spans="1:2" x14ac:dyDescent="0.2">
      <c r="A7906" s="68">
        <v>36837</v>
      </c>
      <c r="B7906" s="69">
        <v>1.0609999999999999</v>
      </c>
    </row>
    <row r="7907" spans="1:2" x14ac:dyDescent="0.2">
      <c r="A7907" s="68">
        <v>36836</v>
      </c>
      <c r="B7907" s="69">
        <v>1.0609999999999999</v>
      </c>
    </row>
    <row r="7908" spans="1:2" x14ac:dyDescent="0.2">
      <c r="A7908" s="68">
        <v>36835</v>
      </c>
      <c r="B7908" s="69"/>
    </row>
    <row r="7909" spans="1:2" x14ac:dyDescent="0.2">
      <c r="A7909" s="68">
        <v>36834</v>
      </c>
      <c r="B7909" s="69"/>
    </row>
    <row r="7910" spans="1:2" x14ac:dyDescent="0.2">
      <c r="A7910" s="68">
        <v>36833</v>
      </c>
      <c r="B7910" s="69">
        <v>1.0609</v>
      </c>
    </row>
    <row r="7911" spans="1:2" x14ac:dyDescent="0.2">
      <c r="A7911" s="68">
        <v>36832</v>
      </c>
      <c r="B7911" s="69">
        <v>1.0609999999999999</v>
      </c>
    </row>
    <row r="7912" spans="1:2" x14ac:dyDescent="0.2">
      <c r="A7912" s="68">
        <v>36831</v>
      </c>
      <c r="B7912" s="69">
        <v>1.0609</v>
      </c>
    </row>
    <row r="7913" spans="1:2" x14ac:dyDescent="0.2">
      <c r="A7913" s="68">
        <v>36830</v>
      </c>
      <c r="B7913" s="69">
        <v>1.0607</v>
      </c>
    </row>
    <row r="7914" spans="1:2" x14ac:dyDescent="0.2">
      <c r="A7914" s="68">
        <v>36829</v>
      </c>
      <c r="B7914" s="69">
        <v>1.0610999999999999</v>
      </c>
    </row>
    <row r="7915" spans="1:2" x14ac:dyDescent="0.2">
      <c r="A7915" s="68">
        <v>36828</v>
      </c>
      <c r="B7915" s="69"/>
    </row>
    <row r="7916" spans="1:2" x14ac:dyDescent="0.2">
      <c r="A7916" s="68">
        <v>36827</v>
      </c>
      <c r="B7916" s="69"/>
    </row>
    <row r="7917" spans="1:2" x14ac:dyDescent="0.2">
      <c r="A7917" s="68">
        <v>36826</v>
      </c>
      <c r="B7917" s="69">
        <v>1.0611999999999999</v>
      </c>
    </row>
    <row r="7918" spans="1:2" x14ac:dyDescent="0.2">
      <c r="A7918" s="68">
        <v>36825</v>
      </c>
      <c r="B7918" s="69">
        <v>1.0611999999999999</v>
      </c>
    </row>
    <row r="7919" spans="1:2" x14ac:dyDescent="0.2">
      <c r="A7919" s="68">
        <v>36824</v>
      </c>
      <c r="B7919" s="69">
        <v>1.0610999999999999</v>
      </c>
    </row>
    <row r="7920" spans="1:2" x14ac:dyDescent="0.2">
      <c r="A7920" s="68">
        <v>36823</v>
      </c>
      <c r="B7920" s="69">
        <v>1.0609999999999999</v>
      </c>
    </row>
    <row r="7921" spans="1:2" x14ac:dyDescent="0.2">
      <c r="A7921" s="68">
        <v>36822</v>
      </c>
      <c r="B7921" s="69">
        <v>1.0609999999999999</v>
      </c>
    </row>
    <row r="7922" spans="1:2" x14ac:dyDescent="0.2">
      <c r="A7922" s="68">
        <v>36821</v>
      </c>
      <c r="B7922" s="69"/>
    </row>
    <row r="7923" spans="1:2" x14ac:dyDescent="0.2">
      <c r="A7923" s="68">
        <v>36820</v>
      </c>
      <c r="B7923" s="69"/>
    </row>
    <row r="7924" spans="1:2" x14ac:dyDescent="0.2">
      <c r="A7924" s="68">
        <v>36819</v>
      </c>
      <c r="B7924" s="69">
        <v>1.0616000000000001</v>
      </c>
    </row>
    <row r="7925" spans="1:2" x14ac:dyDescent="0.2">
      <c r="A7925" s="68">
        <v>36818</v>
      </c>
      <c r="B7925" s="69">
        <v>1.0610999999999999</v>
      </c>
    </row>
    <row r="7926" spans="1:2" x14ac:dyDescent="0.2">
      <c r="A7926" s="68">
        <v>36817</v>
      </c>
      <c r="B7926" s="69">
        <v>1.0609999999999999</v>
      </c>
    </row>
    <row r="7927" spans="1:2" x14ac:dyDescent="0.2">
      <c r="A7927" s="68">
        <v>36816</v>
      </c>
      <c r="B7927" s="69">
        <v>1.0611999999999999</v>
      </c>
    </row>
    <row r="7928" spans="1:2" x14ac:dyDescent="0.2">
      <c r="A7928" s="68">
        <v>36815</v>
      </c>
      <c r="B7928" s="69">
        <v>1.0611999999999999</v>
      </c>
    </row>
    <row r="7929" spans="1:2" x14ac:dyDescent="0.2">
      <c r="A7929" s="68">
        <v>36814</v>
      </c>
      <c r="B7929" s="69"/>
    </row>
    <row r="7930" spans="1:2" x14ac:dyDescent="0.2">
      <c r="A7930" s="68">
        <v>36813</v>
      </c>
      <c r="B7930" s="69"/>
    </row>
    <row r="7931" spans="1:2" x14ac:dyDescent="0.2">
      <c r="A7931" s="68">
        <v>36812</v>
      </c>
      <c r="B7931" s="69">
        <v>1.0610999999999999</v>
      </c>
    </row>
    <row r="7932" spans="1:2" x14ac:dyDescent="0.2">
      <c r="A7932" s="68">
        <v>36811</v>
      </c>
      <c r="B7932" s="69">
        <v>1.0609999999999999</v>
      </c>
    </row>
    <row r="7933" spans="1:2" x14ac:dyDescent="0.2">
      <c r="A7933" s="68">
        <v>36810</v>
      </c>
      <c r="B7933" s="69">
        <v>1.0610999999999999</v>
      </c>
    </row>
    <row r="7934" spans="1:2" x14ac:dyDescent="0.2">
      <c r="A7934" s="68">
        <v>36809</v>
      </c>
      <c r="B7934" s="69">
        <v>1.0611999999999999</v>
      </c>
    </row>
    <row r="7935" spans="1:2" x14ac:dyDescent="0.2">
      <c r="A7935" s="68">
        <v>36808</v>
      </c>
      <c r="B7935" s="69">
        <v>1.0607</v>
      </c>
    </row>
    <row r="7936" spans="1:2" x14ac:dyDescent="0.2">
      <c r="A7936" s="68">
        <v>36807</v>
      </c>
      <c r="B7936" s="69">
        <v>1.0609999999999999</v>
      </c>
    </row>
    <row r="7937" spans="1:2" x14ac:dyDescent="0.2">
      <c r="A7937" s="68">
        <v>36806</v>
      </c>
      <c r="B7937" s="69"/>
    </row>
    <row r="7938" spans="1:2" x14ac:dyDescent="0.2">
      <c r="A7938" s="68">
        <v>36805</v>
      </c>
      <c r="B7938" s="69"/>
    </row>
    <row r="7939" spans="1:2" x14ac:dyDescent="0.2">
      <c r="A7939" s="68">
        <v>36804</v>
      </c>
      <c r="B7939" s="69"/>
    </row>
    <row r="7940" spans="1:2" x14ac:dyDescent="0.2">
      <c r="A7940" s="68">
        <v>36803</v>
      </c>
      <c r="B7940" s="69"/>
    </row>
    <row r="7941" spans="1:2" x14ac:dyDescent="0.2">
      <c r="A7941" s="68">
        <v>36802</v>
      </c>
      <c r="B7941" s="69"/>
    </row>
    <row r="7942" spans="1:2" x14ac:dyDescent="0.2">
      <c r="A7942" s="68">
        <v>36801</v>
      </c>
      <c r="B7942" s="69"/>
    </row>
    <row r="7943" spans="1:2" x14ac:dyDescent="0.2">
      <c r="A7943" s="68">
        <v>36800</v>
      </c>
      <c r="B7943" s="69"/>
    </row>
    <row r="7944" spans="1:2" x14ac:dyDescent="0.2">
      <c r="A7944" s="68">
        <v>36799</v>
      </c>
      <c r="B7944" s="69">
        <v>1.0613999999999999</v>
      </c>
    </row>
    <row r="7945" spans="1:2" x14ac:dyDescent="0.2">
      <c r="A7945" s="68">
        <v>36798</v>
      </c>
      <c r="B7945" s="69">
        <v>1.0615000000000001</v>
      </c>
    </row>
    <row r="7946" spans="1:2" x14ac:dyDescent="0.2">
      <c r="A7946" s="68">
        <v>36797</v>
      </c>
      <c r="B7946" s="69">
        <v>1.0613999999999999</v>
      </c>
    </row>
    <row r="7947" spans="1:2" x14ac:dyDescent="0.2">
      <c r="A7947" s="68">
        <v>36796</v>
      </c>
      <c r="B7947" s="69">
        <v>1.0615000000000001</v>
      </c>
    </row>
    <row r="7948" spans="1:2" x14ac:dyDescent="0.2">
      <c r="A7948" s="68">
        <v>36795</v>
      </c>
      <c r="B7948" s="69">
        <v>1.0609999999999999</v>
      </c>
    </row>
    <row r="7949" spans="1:2" x14ac:dyDescent="0.2">
      <c r="A7949" s="68">
        <v>36794</v>
      </c>
      <c r="B7949" s="69">
        <v>1.0617000000000001</v>
      </c>
    </row>
    <row r="7950" spans="1:2" x14ac:dyDescent="0.2">
      <c r="A7950" s="68">
        <v>36793</v>
      </c>
      <c r="B7950" s="69"/>
    </row>
    <row r="7951" spans="1:2" x14ac:dyDescent="0.2">
      <c r="A7951" s="68">
        <v>36792</v>
      </c>
      <c r="B7951" s="69"/>
    </row>
    <row r="7952" spans="1:2" x14ac:dyDescent="0.2">
      <c r="A7952" s="68">
        <v>36791</v>
      </c>
      <c r="B7952" s="69">
        <v>1.0613999999999999</v>
      </c>
    </row>
    <row r="7953" spans="1:2" x14ac:dyDescent="0.2">
      <c r="A7953" s="68">
        <v>36790</v>
      </c>
      <c r="B7953" s="69">
        <v>1.0610999999999999</v>
      </c>
    </row>
    <row r="7954" spans="1:2" x14ac:dyDescent="0.2">
      <c r="A7954" s="68">
        <v>36789</v>
      </c>
      <c r="B7954" s="69">
        <v>1.0608</v>
      </c>
    </row>
    <row r="7955" spans="1:2" x14ac:dyDescent="0.2">
      <c r="A7955" s="68">
        <v>36788</v>
      </c>
      <c r="B7955" s="69">
        <v>1.0605</v>
      </c>
    </row>
    <row r="7956" spans="1:2" x14ac:dyDescent="0.2">
      <c r="A7956" s="68">
        <v>36787</v>
      </c>
      <c r="B7956" s="69">
        <v>1.0604</v>
      </c>
    </row>
    <row r="7957" spans="1:2" x14ac:dyDescent="0.2">
      <c r="A7957" s="68">
        <v>36786</v>
      </c>
      <c r="B7957" s="69"/>
    </row>
    <row r="7958" spans="1:2" x14ac:dyDescent="0.2">
      <c r="A7958" s="68">
        <v>36785</v>
      </c>
      <c r="B7958" s="69"/>
    </row>
    <row r="7959" spans="1:2" x14ac:dyDescent="0.2">
      <c r="A7959" s="68">
        <v>36784</v>
      </c>
      <c r="B7959" s="69">
        <v>1.0609</v>
      </c>
    </row>
    <row r="7960" spans="1:2" x14ac:dyDescent="0.2">
      <c r="A7960" s="68">
        <v>36783</v>
      </c>
      <c r="B7960" s="69">
        <v>1.0610999999999999</v>
      </c>
    </row>
    <row r="7961" spans="1:2" x14ac:dyDescent="0.2">
      <c r="A7961" s="68">
        <v>36782</v>
      </c>
      <c r="B7961" s="69">
        <v>1.0607</v>
      </c>
    </row>
    <row r="7962" spans="1:2" x14ac:dyDescent="0.2">
      <c r="A7962" s="68">
        <v>36781</v>
      </c>
      <c r="B7962" s="69">
        <v>1.0608</v>
      </c>
    </row>
    <row r="7963" spans="1:2" x14ac:dyDescent="0.2">
      <c r="A7963" s="68">
        <v>36780</v>
      </c>
      <c r="B7963" s="69">
        <v>1.0609999999999999</v>
      </c>
    </row>
    <row r="7964" spans="1:2" x14ac:dyDescent="0.2">
      <c r="A7964" s="68">
        <v>36779</v>
      </c>
      <c r="B7964" s="69"/>
    </row>
    <row r="7965" spans="1:2" x14ac:dyDescent="0.2">
      <c r="A7965" s="68">
        <v>36778</v>
      </c>
      <c r="B7965" s="69"/>
    </row>
    <row r="7966" spans="1:2" x14ac:dyDescent="0.2">
      <c r="A7966" s="68">
        <v>36777</v>
      </c>
      <c r="B7966" s="69">
        <v>1.0610999999999999</v>
      </c>
    </row>
    <row r="7967" spans="1:2" x14ac:dyDescent="0.2">
      <c r="A7967" s="68">
        <v>36776</v>
      </c>
      <c r="B7967" s="69">
        <v>1.0610999999999999</v>
      </c>
    </row>
    <row r="7968" spans="1:2" x14ac:dyDescent="0.2">
      <c r="A7968" s="68">
        <v>36775</v>
      </c>
      <c r="B7968" s="69">
        <v>1.0611999999999999</v>
      </c>
    </row>
    <row r="7969" spans="1:2" x14ac:dyDescent="0.2">
      <c r="A7969" s="68">
        <v>36774</v>
      </c>
      <c r="B7969" s="69">
        <v>1.0611999999999999</v>
      </c>
    </row>
    <row r="7970" spans="1:2" x14ac:dyDescent="0.2">
      <c r="A7970" s="68">
        <v>36773</v>
      </c>
      <c r="B7970" s="69">
        <v>1.0609999999999999</v>
      </c>
    </row>
    <row r="7971" spans="1:2" x14ac:dyDescent="0.2">
      <c r="A7971" s="68">
        <v>36772</v>
      </c>
      <c r="B7971" s="69"/>
    </row>
    <row r="7972" spans="1:2" x14ac:dyDescent="0.2">
      <c r="A7972" s="68">
        <v>36771</v>
      </c>
      <c r="B7972" s="69"/>
    </row>
    <row r="7973" spans="1:2" x14ac:dyDescent="0.2">
      <c r="A7973" s="68">
        <v>36770</v>
      </c>
      <c r="B7973" s="69">
        <v>1.0609999999999999</v>
      </c>
    </row>
    <row r="7974" spans="1:2" x14ac:dyDescent="0.2">
      <c r="A7974" s="68">
        <v>36769</v>
      </c>
      <c r="B7974" s="69">
        <v>1.0609</v>
      </c>
    </row>
    <row r="7975" spans="1:2" x14ac:dyDescent="0.2">
      <c r="A7975" s="68">
        <v>36768</v>
      </c>
      <c r="B7975" s="69">
        <v>1.0609999999999999</v>
      </c>
    </row>
    <row r="7976" spans="1:2" x14ac:dyDescent="0.2">
      <c r="A7976" s="68">
        <v>36767</v>
      </c>
      <c r="B7976" s="69">
        <v>1.0609999999999999</v>
      </c>
    </row>
    <row r="7977" spans="1:2" x14ac:dyDescent="0.2">
      <c r="A7977" s="68">
        <v>36766</v>
      </c>
      <c r="B7977" s="69">
        <v>1.0616000000000001</v>
      </c>
    </row>
    <row r="7978" spans="1:2" x14ac:dyDescent="0.2">
      <c r="A7978" s="68">
        <v>36765</v>
      </c>
      <c r="B7978" s="69"/>
    </row>
    <row r="7979" spans="1:2" x14ac:dyDescent="0.2">
      <c r="A7979" s="68">
        <v>36764</v>
      </c>
      <c r="B7979" s="69"/>
    </row>
    <row r="7980" spans="1:2" x14ac:dyDescent="0.2">
      <c r="A7980" s="68">
        <v>36763</v>
      </c>
      <c r="B7980" s="69">
        <v>1.0616000000000001</v>
      </c>
    </row>
    <row r="7981" spans="1:2" x14ac:dyDescent="0.2">
      <c r="A7981" s="68">
        <v>36762</v>
      </c>
      <c r="B7981" s="69">
        <v>1.0611999999999999</v>
      </c>
    </row>
    <row r="7982" spans="1:2" x14ac:dyDescent="0.2">
      <c r="A7982" s="68">
        <v>36761</v>
      </c>
      <c r="B7982" s="69">
        <v>1.0617000000000001</v>
      </c>
    </row>
    <row r="7983" spans="1:2" x14ac:dyDescent="0.2">
      <c r="A7983" s="68">
        <v>36760</v>
      </c>
      <c r="B7983" s="69">
        <v>1.0613999999999999</v>
      </c>
    </row>
    <row r="7984" spans="1:2" x14ac:dyDescent="0.2">
      <c r="A7984" s="68">
        <v>36759</v>
      </c>
      <c r="B7984" s="69">
        <v>1.0616000000000001</v>
      </c>
    </row>
    <row r="7985" spans="1:2" x14ac:dyDescent="0.2">
      <c r="A7985" s="68">
        <v>36758</v>
      </c>
      <c r="B7985" s="69"/>
    </row>
    <row r="7986" spans="1:2" x14ac:dyDescent="0.2">
      <c r="A7986" s="68">
        <v>36757</v>
      </c>
      <c r="B7986" s="69"/>
    </row>
    <row r="7987" spans="1:2" x14ac:dyDescent="0.2">
      <c r="A7987" s="68">
        <v>36756</v>
      </c>
      <c r="B7987" s="69">
        <v>1.0610999999999999</v>
      </c>
    </row>
    <row r="7988" spans="1:2" x14ac:dyDescent="0.2">
      <c r="A7988" s="68">
        <v>36755</v>
      </c>
      <c r="B7988" s="69">
        <v>1.0613999999999999</v>
      </c>
    </row>
    <row r="7989" spans="1:2" x14ac:dyDescent="0.2">
      <c r="A7989" s="68">
        <v>36754</v>
      </c>
      <c r="B7989" s="69">
        <v>1.0609999999999999</v>
      </c>
    </row>
    <row r="7990" spans="1:2" x14ac:dyDescent="0.2">
      <c r="A7990" s="68">
        <v>36753</v>
      </c>
      <c r="B7990" s="69">
        <v>1.0609</v>
      </c>
    </row>
    <row r="7991" spans="1:2" x14ac:dyDescent="0.2">
      <c r="A7991" s="68">
        <v>36752</v>
      </c>
      <c r="B7991" s="69">
        <v>1.0610999999999999</v>
      </c>
    </row>
    <row r="7992" spans="1:2" x14ac:dyDescent="0.2">
      <c r="A7992" s="68">
        <v>36751</v>
      </c>
      <c r="B7992" s="69"/>
    </row>
    <row r="7993" spans="1:2" x14ac:dyDescent="0.2">
      <c r="A7993" s="68">
        <v>36750</v>
      </c>
      <c r="B7993" s="69"/>
    </row>
    <row r="7994" spans="1:2" x14ac:dyDescent="0.2">
      <c r="A7994" s="68">
        <v>36749</v>
      </c>
      <c r="B7994" s="69">
        <v>1.0613999999999999</v>
      </c>
    </row>
    <row r="7995" spans="1:2" x14ac:dyDescent="0.2">
      <c r="A7995" s="68">
        <v>36748</v>
      </c>
      <c r="B7995" s="69">
        <v>1.0607</v>
      </c>
    </row>
    <row r="7996" spans="1:2" x14ac:dyDescent="0.2">
      <c r="A7996" s="68">
        <v>36747</v>
      </c>
      <c r="B7996" s="69">
        <v>1.0610999999999999</v>
      </c>
    </row>
    <row r="7997" spans="1:2" x14ac:dyDescent="0.2">
      <c r="A7997" s="68">
        <v>36746</v>
      </c>
      <c r="B7997" s="69">
        <v>1.0610999999999999</v>
      </c>
    </row>
    <row r="7998" spans="1:2" x14ac:dyDescent="0.2">
      <c r="A7998" s="68">
        <v>36745</v>
      </c>
      <c r="B7998" s="69">
        <v>1.0613999999999999</v>
      </c>
    </row>
    <row r="7999" spans="1:2" x14ac:dyDescent="0.2">
      <c r="A7999" s="68">
        <v>36744</v>
      </c>
      <c r="B7999" s="69"/>
    </row>
    <row r="8000" spans="1:2" x14ac:dyDescent="0.2">
      <c r="A8000" s="68">
        <v>36743</v>
      </c>
      <c r="B8000" s="69"/>
    </row>
    <row r="8001" spans="1:2" x14ac:dyDescent="0.2">
      <c r="A8001" s="68">
        <v>36742</v>
      </c>
      <c r="B8001" s="69">
        <v>1.0611999999999999</v>
      </c>
    </row>
    <row r="8002" spans="1:2" x14ac:dyDescent="0.2">
      <c r="A8002" s="68">
        <v>36741</v>
      </c>
      <c r="B8002" s="69">
        <v>1.0610999999999999</v>
      </c>
    </row>
    <row r="8003" spans="1:2" x14ac:dyDescent="0.2">
      <c r="A8003" s="68">
        <v>36740</v>
      </c>
      <c r="B8003" s="69">
        <v>1.0611999999999999</v>
      </c>
    </row>
    <row r="8004" spans="1:2" x14ac:dyDescent="0.2">
      <c r="A8004" s="68">
        <v>36739</v>
      </c>
      <c r="B8004" s="69">
        <v>1.0616000000000001</v>
      </c>
    </row>
    <row r="8005" spans="1:2" x14ac:dyDescent="0.2">
      <c r="A8005" s="68">
        <v>36738</v>
      </c>
      <c r="B8005" s="69">
        <v>1.0616000000000001</v>
      </c>
    </row>
    <row r="8006" spans="1:2" x14ac:dyDescent="0.2">
      <c r="A8006" s="68">
        <v>36737</v>
      </c>
      <c r="B8006" s="69"/>
    </row>
    <row r="8007" spans="1:2" x14ac:dyDescent="0.2">
      <c r="A8007" s="68">
        <v>36736</v>
      </c>
      <c r="B8007" s="69"/>
    </row>
    <row r="8008" spans="1:2" x14ac:dyDescent="0.2">
      <c r="A8008" s="68">
        <v>36735</v>
      </c>
      <c r="B8008" s="69">
        <v>1.0616000000000001</v>
      </c>
    </row>
    <row r="8009" spans="1:2" x14ac:dyDescent="0.2">
      <c r="A8009" s="68">
        <v>36734</v>
      </c>
      <c r="B8009" s="69">
        <v>1.0619000000000001</v>
      </c>
    </row>
    <row r="8010" spans="1:2" x14ac:dyDescent="0.2">
      <c r="A8010" s="68">
        <v>36733</v>
      </c>
      <c r="B8010" s="69">
        <v>1.0618000000000001</v>
      </c>
    </row>
    <row r="8011" spans="1:2" x14ac:dyDescent="0.2">
      <c r="A8011" s="68">
        <v>36732</v>
      </c>
      <c r="B8011" s="69">
        <v>1.0619000000000001</v>
      </c>
    </row>
    <row r="8012" spans="1:2" x14ac:dyDescent="0.2">
      <c r="A8012" s="68">
        <v>36731</v>
      </c>
      <c r="B8012" s="69">
        <v>1.0619000000000001</v>
      </c>
    </row>
    <row r="8013" spans="1:2" x14ac:dyDescent="0.2">
      <c r="A8013" s="68">
        <v>36730</v>
      </c>
      <c r="B8013" s="69"/>
    </row>
    <row r="8014" spans="1:2" x14ac:dyDescent="0.2">
      <c r="A8014" s="68">
        <v>36729</v>
      </c>
      <c r="B8014" s="69"/>
    </row>
    <row r="8015" spans="1:2" x14ac:dyDescent="0.2">
      <c r="A8015" s="68">
        <v>36728</v>
      </c>
      <c r="B8015" s="69">
        <v>1.0618000000000001</v>
      </c>
    </row>
    <row r="8016" spans="1:2" x14ac:dyDescent="0.2">
      <c r="A8016" s="68">
        <v>36727</v>
      </c>
      <c r="B8016" s="69">
        <v>1.0622</v>
      </c>
    </row>
    <row r="8017" spans="1:2" x14ac:dyDescent="0.2">
      <c r="A8017" s="68">
        <v>36726</v>
      </c>
      <c r="B8017" s="69">
        <v>1.0612999999999999</v>
      </c>
    </row>
    <row r="8018" spans="1:2" x14ac:dyDescent="0.2">
      <c r="A8018" s="68">
        <v>36725</v>
      </c>
      <c r="B8018" s="69">
        <v>1.0620000000000001</v>
      </c>
    </row>
    <row r="8019" spans="1:2" x14ac:dyDescent="0.2">
      <c r="A8019" s="68">
        <v>36724</v>
      </c>
      <c r="B8019" s="69">
        <v>1.0615000000000001</v>
      </c>
    </row>
    <row r="8020" spans="1:2" x14ac:dyDescent="0.2">
      <c r="A8020" s="68">
        <v>36723</v>
      </c>
      <c r="B8020" s="69"/>
    </row>
    <row r="8021" spans="1:2" x14ac:dyDescent="0.2">
      <c r="A8021" s="68">
        <v>36722</v>
      </c>
      <c r="B8021" s="69"/>
    </row>
    <row r="8022" spans="1:2" x14ac:dyDescent="0.2">
      <c r="A8022" s="68">
        <v>36721</v>
      </c>
      <c r="B8022" s="69">
        <v>1.0617000000000001</v>
      </c>
    </row>
    <row r="8023" spans="1:2" x14ac:dyDescent="0.2">
      <c r="A8023" s="68">
        <v>36720</v>
      </c>
      <c r="B8023" s="69">
        <v>1.0620000000000001</v>
      </c>
    </row>
    <row r="8024" spans="1:2" x14ac:dyDescent="0.2">
      <c r="A8024" s="68">
        <v>36719</v>
      </c>
      <c r="B8024" s="69">
        <v>1.0620000000000001</v>
      </c>
    </row>
    <row r="8025" spans="1:2" x14ac:dyDescent="0.2">
      <c r="A8025" s="68">
        <v>36718</v>
      </c>
      <c r="B8025" s="69">
        <v>1.0613999999999999</v>
      </c>
    </row>
    <row r="8026" spans="1:2" x14ac:dyDescent="0.2">
      <c r="A8026" s="68">
        <v>36717</v>
      </c>
      <c r="B8026" s="69">
        <v>1.0619000000000001</v>
      </c>
    </row>
    <row r="8027" spans="1:2" x14ac:dyDescent="0.2">
      <c r="A8027" s="68">
        <v>36716</v>
      </c>
      <c r="B8027" s="69"/>
    </row>
    <row r="8028" spans="1:2" x14ac:dyDescent="0.2">
      <c r="A8028" s="68">
        <v>36715</v>
      </c>
      <c r="B8028" s="69"/>
    </row>
    <row r="8029" spans="1:2" x14ac:dyDescent="0.2">
      <c r="A8029" s="68">
        <v>36714</v>
      </c>
      <c r="B8029" s="69">
        <v>1.0615000000000001</v>
      </c>
    </row>
    <row r="8030" spans="1:2" x14ac:dyDescent="0.2">
      <c r="A8030" s="68">
        <v>36713</v>
      </c>
      <c r="B8030" s="69">
        <v>1.0611999999999999</v>
      </c>
    </row>
    <row r="8031" spans="1:2" x14ac:dyDescent="0.2">
      <c r="A8031" s="68">
        <v>36712</v>
      </c>
      <c r="B8031" s="69">
        <v>1.0611999999999999</v>
      </c>
    </row>
    <row r="8032" spans="1:2" x14ac:dyDescent="0.2">
      <c r="A8032" s="68">
        <v>36711</v>
      </c>
      <c r="B8032" s="69">
        <v>1.0612999999999999</v>
      </c>
    </row>
    <row r="8033" spans="1:2" x14ac:dyDescent="0.2">
      <c r="A8033" s="68">
        <v>36710</v>
      </c>
      <c r="B8033" s="69">
        <v>1.0613999999999999</v>
      </c>
    </row>
    <row r="8034" spans="1:2" x14ac:dyDescent="0.2">
      <c r="A8034" s="68">
        <v>36709</v>
      </c>
      <c r="B8034" s="69"/>
    </row>
    <row r="8035" spans="1:2" x14ac:dyDescent="0.2">
      <c r="A8035" s="68">
        <v>36708</v>
      </c>
      <c r="B8035" s="69"/>
    </row>
    <row r="8036" spans="1:2" x14ac:dyDescent="0.2">
      <c r="A8036" s="68">
        <v>36707</v>
      </c>
      <c r="B8036" s="69">
        <v>1.0624</v>
      </c>
    </row>
    <row r="8037" spans="1:2" x14ac:dyDescent="0.2">
      <c r="A8037" s="68">
        <v>36706</v>
      </c>
      <c r="B8037" s="69">
        <v>1.0624</v>
      </c>
    </row>
    <row r="8038" spans="1:2" x14ac:dyDescent="0.2">
      <c r="A8038" s="68">
        <v>36705</v>
      </c>
      <c r="B8038" s="69">
        <v>1.0611999999999999</v>
      </c>
    </row>
    <row r="8039" spans="1:2" x14ac:dyDescent="0.2">
      <c r="A8039" s="68">
        <v>36704</v>
      </c>
      <c r="B8039" s="69">
        <v>1.0615000000000001</v>
      </c>
    </row>
    <row r="8040" spans="1:2" x14ac:dyDescent="0.2">
      <c r="A8040" s="68">
        <v>36703</v>
      </c>
      <c r="B8040" s="69">
        <v>1.0613999999999999</v>
      </c>
    </row>
    <row r="8041" spans="1:2" x14ac:dyDescent="0.2">
      <c r="A8041" s="68">
        <v>36702</v>
      </c>
      <c r="B8041" s="69"/>
    </row>
    <row r="8042" spans="1:2" x14ac:dyDescent="0.2">
      <c r="A8042" s="68">
        <v>36701</v>
      </c>
      <c r="B8042" s="69"/>
    </row>
    <row r="8043" spans="1:2" x14ac:dyDescent="0.2">
      <c r="A8043" s="68">
        <v>36700</v>
      </c>
      <c r="B8043" s="69">
        <v>1.0613999999999999</v>
      </c>
    </row>
    <row r="8044" spans="1:2" x14ac:dyDescent="0.2">
      <c r="A8044" s="68">
        <v>36699</v>
      </c>
      <c r="B8044" s="69">
        <v>1.0615000000000001</v>
      </c>
    </row>
    <row r="8045" spans="1:2" x14ac:dyDescent="0.2">
      <c r="A8045" s="68">
        <v>36698</v>
      </c>
      <c r="B8045" s="69">
        <v>1.0611999999999999</v>
      </c>
    </row>
    <row r="8046" spans="1:2" x14ac:dyDescent="0.2">
      <c r="A8046" s="68">
        <v>36697</v>
      </c>
      <c r="B8046" s="69">
        <v>1.0615000000000001</v>
      </c>
    </row>
    <row r="8047" spans="1:2" x14ac:dyDescent="0.2">
      <c r="A8047" s="68">
        <v>36696</v>
      </c>
      <c r="B8047" s="69">
        <v>1.0613999999999999</v>
      </c>
    </row>
    <row r="8048" spans="1:2" x14ac:dyDescent="0.2">
      <c r="A8048" s="68">
        <v>36695</v>
      </c>
      <c r="B8048" s="69"/>
    </row>
    <row r="8049" spans="1:2" x14ac:dyDescent="0.2">
      <c r="A8049" s="68">
        <v>36694</v>
      </c>
      <c r="B8049" s="69"/>
    </row>
    <row r="8050" spans="1:2" x14ac:dyDescent="0.2">
      <c r="A8050" s="68">
        <v>36693</v>
      </c>
      <c r="B8050" s="69">
        <v>1.0613999999999999</v>
      </c>
    </row>
    <row r="8051" spans="1:2" x14ac:dyDescent="0.2">
      <c r="A8051" s="68">
        <v>36692</v>
      </c>
      <c r="B8051" s="69">
        <v>1.0622</v>
      </c>
    </row>
    <row r="8052" spans="1:2" x14ac:dyDescent="0.2">
      <c r="A8052" s="68">
        <v>36691</v>
      </c>
      <c r="B8052" s="69">
        <v>1.0616000000000001</v>
      </c>
    </row>
    <row r="8053" spans="1:2" x14ac:dyDescent="0.2">
      <c r="A8053" s="68">
        <v>36690</v>
      </c>
      <c r="B8053" s="69">
        <v>1.0615000000000001</v>
      </c>
    </row>
    <row r="8054" spans="1:2" x14ac:dyDescent="0.2">
      <c r="A8054" s="68">
        <v>36689</v>
      </c>
      <c r="B8054" s="69">
        <v>1.0626</v>
      </c>
    </row>
    <row r="8055" spans="1:2" x14ac:dyDescent="0.2">
      <c r="A8055" s="68">
        <v>36688</v>
      </c>
      <c r="B8055" s="69"/>
    </row>
    <row r="8056" spans="1:2" x14ac:dyDescent="0.2">
      <c r="A8056" s="68">
        <v>36687</v>
      </c>
      <c r="B8056" s="69"/>
    </row>
    <row r="8057" spans="1:2" x14ac:dyDescent="0.2">
      <c r="A8057" s="68">
        <v>36686</v>
      </c>
      <c r="B8057" s="69">
        <v>1.0624</v>
      </c>
    </row>
    <row r="8058" spans="1:2" x14ac:dyDescent="0.2">
      <c r="A8058" s="68">
        <v>36685</v>
      </c>
      <c r="B8058" s="69">
        <v>1.0613999999999999</v>
      </c>
    </row>
    <row r="8059" spans="1:2" x14ac:dyDescent="0.2">
      <c r="A8059" s="68">
        <v>36684</v>
      </c>
      <c r="B8059" s="69">
        <v>1.0613999999999999</v>
      </c>
    </row>
    <row r="8060" spans="1:2" x14ac:dyDescent="0.2">
      <c r="A8060" s="68">
        <v>36683</v>
      </c>
      <c r="B8060" s="69">
        <v>1.0615000000000001</v>
      </c>
    </row>
    <row r="8061" spans="1:2" x14ac:dyDescent="0.2">
      <c r="A8061" s="68">
        <v>36682</v>
      </c>
      <c r="B8061" s="69">
        <v>1.0617000000000001</v>
      </c>
    </row>
    <row r="8062" spans="1:2" x14ac:dyDescent="0.2">
      <c r="A8062" s="68">
        <v>36681</v>
      </c>
      <c r="B8062" s="69"/>
    </row>
    <row r="8063" spans="1:2" x14ac:dyDescent="0.2">
      <c r="A8063" s="68">
        <v>36680</v>
      </c>
      <c r="B8063" s="69"/>
    </row>
    <row r="8064" spans="1:2" x14ac:dyDescent="0.2">
      <c r="A8064" s="68">
        <v>36679</v>
      </c>
      <c r="B8064" s="69">
        <v>1.0615000000000001</v>
      </c>
    </row>
    <row r="8065" spans="1:2" x14ac:dyDescent="0.2">
      <c r="A8065" s="68">
        <v>36678</v>
      </c>
      <c r="B8065" s="69">
        <v>1.0613999999999999</v>
      </c>
    </row>
    <row r="8066" spans="1:2" x14ac:dyDescent="0.2">
      <c r="A8066" s="68">
        <v>36677</v>
      </c>
      <c r="B8066" s="69">
        <v>1.0615000000000001</v>
      </c>
    </row>
    <row r="8067" spans="1:2" x14ac:dyDescent="0.2">
      <c r="A8067" s="68">
        <v>36676</v>
      </c>
      <c r="B8067" s="69">
        <v>1.0613999999999999</v>
      </c>
    </row>
    <row r="8068" spans="1:2" x14ac:dyDescent="0.2">
      <c r="A8068" s="68">
        <v>36675</v>
      </c>
      <c r="B8068" s="69">
        <v>1.0612999999999999</v>
      </c>
    </row>
    <row r="8069" spans="1:2" x14ac:dyDescent="0.2">
      <c r="A8069" s="68">
        <v>36674</v>
      </c>
      <c r="B8069" s="69"/>
    </row>
    <row r="8070" spans="1:2" x14ac:dyDescent="0.2">
      <c r="A8070" s="68">
        <v>36673</v>
      </c>
      <c r="B8070" s="69"/>
    </row>
    <row r="8071" spans="1:2" x14ac:dyDescent="0.2">
      <c r="A8071" s="68">
        <v>36672</v>
      </c>
      <c r="B8071" s="69">
        <v>1.0612999999999999</v>
      </c>
    </row>
    <row r="8072" spans="1:2" x14ac:dyDescent="0.2">
      <c r="A8072" s="68">
        <v>36671</v>
      </c>
      <c r="B8072" s="69">
        <v>1.0616000000000001</v>
      </c>
    </row>
    <row r="8073" spans="1:2" x14ac:dyDescent="0.2">
      <c r="A8073" s="68">
        <v>36670</v>
      </c>
      <c r="B8073" s="69">
        <v>1.0616000000000001</v>
      </c>
    </row>
    <row r="8074" spans="1:2" x14ac:dyDescent="0.2">
      <c r="A8074" s="68">
        <v>36669</v>
      </c>
      <c r="B8074" s="69">
        <v>1.0624</v>
      </c>
    </row>
    <row r="8075" spans="1:2" x14ac:dyDescent="0.2">
      <c r="A8075" s="68">
        <v>36668</v>
      </c>
      <c r="B8075" s="69">
        <v>1.0618000000000001</v>
      </c>
    </row>
    <row r="8076" spans="1:2" x14ac:dyDescent="0.2">
      <c r="A8076" s="68">
        <v>36667</v>
      </c>
      <c r="B8076" s="69"/>
    </row>
    <row r="8077" spans="1:2" x14ac:dyDescent="0.2">
      <c r="A8077" s="68">
        <v>36666</v>
      </c>
      <c r="B8077" s="69"/>
    </row>
    <row r="8078" spans="1:2" x14ac:dyDescent="0.2">
      <c r="A8078" s="68">
        <v>36665</v>
      </c>
      <c r="B8078" s="69">
        <v>1.0616000000000001</v>
      </c>
    </row>
    <row r="8079" spans="1:2" x14ac:dyDescent="0.2">
      <c r="A8079" s="68">
        <v>36664</v>
      </c>
      <c r="B8079" s="69">
        <v>1.0618000000000001</v>
      </c>
    </row>
    <row r="8080" spans="1:2" x14ac:dyDescent="0.2">
      <c r="A8080" s="68">
        <v>36663</v>
      </c>
      <c r="B8080" s="69">
        <v>1.0620000000000001</v>
      </c>
    </row>
    <row r="8081" spans="1:2" x14ac:dyDescent="0.2">
      <c r="A8081" s="68">
        <v>36662</v>
      </c>
      <c r="B8081" s="69">
        <v>1.0620000000000001</v>
      </c>
    </row>
    <row r="8082" spans="1:2" x14ac:dyDescent="0.2">
      <c r="A8082" s="68">
        <v>36661</v>
      </c>
      <c r="B8082" s="69">
        <v>1.0621</v>
      </c>
    </row>
    <row r="8083" spans="1:2" x14ac:dyDescent="0.2">
      <c r="A8083" s="68">
        <v>36660</v>
      </c>
      <c r="B8083" s="69"/>
    </row>
    <row r="8084" spans="1:2" x14ac:dyDescent="0.2">
      <c r="A8084" s="68">
        <v>36659</v>
      </c>
      <c r="B8084" s="69"/>
    </row>
    <row r="8085" spans="1:2" x14ac:dyDescent="0.2">
      <c r="A8085" s="68">
        <v>36658</v>
      </c>
      <c r="B8085" s="69">
        <v>1.0620000000000001</v>
      </c>
    </row>
    <row r="8086" spans="1:2" x14ac:dyDescent="0.2">
      <c r="A8086" s="68">
        <v>36657</v>
      </c>
      <c r="B8086" s="69">
        <v>1.0619000000000001</v>
      </c>
    </row>
    <row r="8087" spans="1:2" x14ac:dyDescent="0.2">
      <c r="A8087" s="68">
        <v>36656</v>
      </c>
      <c r="B8087" s="69">
        <v>1.0621</v>
      </c>
    </row>
    <row r="8088" spans="1:2" x14ac:dyDescent="0.2">
      <c r="A8088" s="68">
        <v>36655</v>
      </c>
      <c r="B8088" s="69">
        <v>1.0621</v>
      </c>
    </row>
    <row r="8089" spans="1:2" x14ac:dyDescent="0.2">
      <c r="A8089" s="68">
        <v>36654</v>
      </c>
      <c r="B8089" s="69">
        <v>1.0627</v>
      </c>
    </row>
    <row r="8090" spans="1:2" x14ac:dyDescent="0.2">
      <c r="A8090" s="68">
        <v>36653</v>
      </c>
      <c r="B8090" s="69"/>
    </row>
    <row r="8091" spans="1:2" x14ac:dyDescent="0.2">
      <c r="A8091" s="68">
        <v>36652</v>
      </c>
      <c r="B8091" s="69"/>
    </row>
    <row r="8092" spans="1:2" x14ac:dyDescent="0.2">
      <c r="A8092" s="68">
        <v>36651</v>
      </c>
      <c r="B8092" s="69"/>
    </row>
    <row r="8093" spans="1:2" x14ac:dyDescent="0.2">
      <c r="A8093" s="68">
        <v>36650</v>
      </c>
      <c r="B8093" s="69"/>
    </row>
    <row r="8094" spans="1:2" x14ac:dyDescent="0.2">
      <c r="A8094" s="68">
        <v>36649</v>
      </c>
      <c r="B8094" s="69"/>
    </row>
    <row r="8095" spans="1:2" x14ac:dyDescent="0.2">
      <c r="A8095" s="68">
        <v>36648</v>
      </c>
      <c r="B8095" s="69"/>
    </row>
    <row r="8096" spans="1:2" x14ac:dyDescent="0.2">
      <c r="A8096" s="68">
        <v>36647</v>
      </c>
      <c r="B8096" s="69"/>
    </row>
    <row r="8097" spans="1:2" x14ac:dyDescent="0.2">
      <c r="A8097" s="68">
        <v>36646</v>
      </c>
      <c r="B8097" s="69">
        <v>1.0626</v>
      </c>
    </row>
    <row r="8098" spans="1:2" x14ac:dyDescent="0.2">
      <c r="A8098" s="68">
        <v>36645</v>
      </c>
      <c r="B8098" s="69">
        <v>1.0626</v>
      </c>
    </row>
    <row r="8099" spans="1:2" x14ac:dyDescent="0.2">
      <c r="A8099" s="68">
        <v>36644</v>
      </c>
      <c r="B8099" s="69">
        <v>1.0627</v>
      </c>
    </row>
    <row r="8100" spans="1:2" x14ac:dyDescent="0.2">
      <c r="A8100" s="68">
        <v>36643</v>
      </c>
      <c r="B8100" s="69">
        <v>1.0627</v>
      </c>
    </row>
    <row r="8101" spans="1:2" x14ac:dyDescent="0.2">
      <c r="A8101" s="68">
        <v>36642</v>
      </c>
      <c r="B8101" s="69">
        <v>1.0627</v>
      </c>
    </row>
    <row r="8102" spans="1:2" x14ac:dyDescent="0.2">
      <c r="A8102" s="68">
        <v>36641</v>
      </c>
      <c r="B8102" s="69">
        <v>1.0620000000000001</v>
      </c>
    </row>
    <row r="8103" spans="1:2" x14ac:dyDescent="0.2">
      <c r="A8103" s="68">
        <v>36640</v>
      </c>
      <c r="B8103" s="69">
        <v>1.0621</v>
      </c>
    </row>
    <row r="8104" spans="1:2" x14ac:dyDescent="0.2">
      <c r="A8104" s="68">
        <v>36639</v>
      </c>
      <c r="B8104" s="69"/>
    </row>
    <row r="8105" spans="1:2" x14ac:dyDescent="0.2">
      <c r="A8105" s="68">
        <v>36638</v>
      </c>
      <c r="B8105" s="69"/>
    </row>
    <row r="8106" spans="1:2" x14ac:dyDescent="0.2">
      <c r="A8106" s="68">
        <v>36637</v>
      </c>
      <c r="B8106" s="69">
        <v>1.0631999999999999</v>
      </c>
    </row>
    <row r="8107" spans="1:2" x14ac:dyDescent="0.2">
      <c r="A8107" s="68">
        <v>36636</v>
      </c>
      <c r="B8107" s="69">
        <v>1.0629</v>
      </c>
    </row>
    <row r="8108" spans="1:2" x14ac:dyDescent="0.2">
      <c r="A8108" s="68">
        <v>36635</v>
      </c>
      <c r="B8108" s="69">
        <v>1.0628</v>
      </c>
    </row>
    <row r="8109" spans="1:2" x14ac:dyDescent="0.2">
      <c r="A8109" s="68">
        <v>36634</v>
      </c>
      <c r="B8109" s="69">
        <v>1.0625</v>
      </c>
    </row>
    <row r="8110" spans="1:2" x14ac:dyDescent="0.2">
      <c r="A8110" s="68">
        <v>36633</v>
      </c>
      <c r="B8110" s="69">
        <v>1.0628</v>
      </c>
    </row>
    <row r="8111" spans="1:2" x14ac:dyDescent="0.2">
      <c r="A8111" s="68">
        <v>36632</v>
      </c>
      <c r="B8111" s="69"/>
    </row>
    <row r="8112" spans="1:2" x14ac:dyDescent="0.2">
      <c r="A8112" s="68">
        <v>36631</v>
      </c>
      <c r="B8112" s="69"/>
    </row>
    <row r="8113" spans="1:2" x14ac:dyDescent="0.2">
      <c r="A8113" s="68">
        <v>36630</v>
      </c>
      <c r="B8113" s="69">
        <v>1.0628</v>
      </c>
    </row>
    <row r="8114" spans="1:2" x14ac:dyDescent="0.2">
      <c r="A8114" s="68">
        <v>36629</v>
      </c>
      <c r="B8114" s="69">
        <v>1.0627</v>
      </c>
    </row>
    <row r="8115" spans="1:2" x14ac:dyDescent="0.2">
      <c r="A8115" s="68">
        <v>36628</v>
      </c>
      <c r="B8115" s="69">
        <v>1.0627</v>
      </c>
    </row>
    <row r="8116" spans="1:2" x14ac:dyDescent="0.2">
      <c r="A8116" s="68">
        <v>36627</v>
      </c>
      <c r="B8116" s="69">
        <v>1.0629</v>
      </c>
    </row>
    <row r="8117" spans="1:2" x14ac:dyDescent="0.2">
      <c r="A8117" s="68">
        <v>36626</v>
      </c>
      <c r="B8117" s="69">
        <v>1.0628</v>
      </c>
    </row>
    <row r="8118" spans="1:2" x14ac:dyDescent="0.2">
      <c r="A8118" s="68">
        <v>36625</v>
      </c>
      <c r="B8118" s="69"/>
    </row>
    <row r="8119" spans="1:2" x14ac:dyDescent="0.2">
      <c r="A8119" s="68">
        <v>36624</v>
      </c>
      <c r="B8119" s="69"/>
    </row>
    <row r="8120" spans="1:2" x14ac:dyDescent="0.2">
      <c r="A8120" s="68">
        <v>36623</v>
      </c>
      <c r="B8120" s="69">
        <v>1.0626</v>
      </c>
    </row>
    <row r="8121" spans="1:2" x14ac:dyDescent="0.2">
      <c r="A8121" s="68">
        <v>36622</v>
      </c>
      <c r="B8121" s="69">
        <v>1.0631999999999999</v>
      </c>
    </row>
    <row r="8122" spans="1:2" x14ac:dyDescent="0.2">
      <c r="A8122" s="68">
        <v>36621</v>
      </c>
      <c r="B8122" s="69">
        <v>1.0633999999999999</v>
      </c>
    </row>
    <row r="8123" spans="1:2" x14ac:dyDescent="0.2">
      <c r="A8123" s="68">
        <v>36620</v>
      </c>
      <c r="B8123" s="69">
        <v>1.0627</v>
      </c>
    </row>
    <row r="8124" spans="1:2" x14ac:dyDescent="0.2">
      <c r="A8124" s="68">
        <v>36619</v>
      </c>
      <c r="B8124" s="69">
        <v>1.0630999999999999</v>
      </c>
    </row>
    <row r="8125" spans="1:2" x14ac:dyDescent="0.2">
      <c r="A8125" s="68">
        <v>36618</v>
      </c>
      <c r="B8125" s="69"/>
    </row>
    <row r="8126" spans="1:2" x14ac:dyDescent="0.2">
      <c r="A8126" s="68">
        <v>36617</v>
      </c>
      <c r="B8126" s="69"/>
    </row>
    <row r="8127" spans="1:2" x14ac:dyDescent="0.2">
      <c r="A8127" s="68">
        <v>36616</v>
      </c>
      <c r="B8127" s="69">
        <v>1.0637000000000001</v>
      </c>
    </row>
    <row r="8128" spans="1:2" x14ac:dyDescent="0.2">
      <c r="A8128" s="68">
        <v>36615</v>
      </c>
      <c r="B8128" s="69">
        <v>1.0630999999999999</v>
      </c>
    </row>
    <row r="8129" spans="1:2" x14ac:dyDescent="0.2">
      <c r="A8129" s="68">
        <v>36614</v>
      </c>
      <c r="B8129" s="69">
        <v>1.0633999999999999</v>
      </c>
    </row>
    <row r="8130" spans="1:2" x14ac:dyDescent="0.2">
      <c r="A8130" s="68">
        <v>36613</v>
      </c>
      <c r="B8130" s="69">
        <v>1.0604</v>
      </c>
    </row>
    <row r="8131" spans="1:2" x14ac:dyDescent="0.2">
      <c r="A8131" s="68">
        <v>36612</v>
      </c>
      <c r="B8131" s="69">
        <v>1.0632999999999999</v>
      </c>
    </row>
    <row r="8132" spans="1:2" x14ac:dyDescent="0.2">
      <c r="A8132" s="68">
        <v>36611</v>
      </c>
      <c r="B8132" s="69"/>
    </row>
    <row r="8133" spans="1:2" x14ac:dyDescent="0.2">
      <c r="A8133" s="68">
        <v>36610</v>
      </c>
      <c r="B8133" s="69"/>
    </row>
    <row r="8134" spans="1:2" x14ac:dyDescent="0.2">
      <c r="A8134" s="68">
        <v>36609</v>
      </c>
      <c r="B8134" s="69">
        <v>1.0631999999999999</v>
      </c>
    </row>
    <row r="8135" spans="1:2" x14ac:dyDescent="0.2">
      <c r="A8135" s="68">
        <v>36608</v>
      </c>
      <c r="B8135" s="69">
        <v>1.0628</v>
      </c>
    </row>
    <row r="8136" spans="1:2" x14ac:dyDescent="0.2">
      <c r="A8136" s="68">
        <v>36607</v>
      </c>
      <c r="B8136" s="69">
        <v>1.0627</v>
      </c>
    </row>
    <row r="8137" spans="1:2" x14ac:dyDescent="0.2">
      <c r="A8137" s="68">
        <v>36606</v>
      </c>
      <c r="B8137" s="69">
        <v>1.0627</v>
      </c>
    </row>
    <row r="8138" spans="1:2" x14ac:dyDescent="0.2">
      <c r="A8138" s="68">
        <v>36605</v>
      </c>
      <c r="B8138" s="69">
        <v>1.0627</v>
      </c>
    </row>
    <row r="8139" spans="1:2" x14ac:dyDescent="0.2">
      <c r="A8139" s="68">
        <v>36604</v>
      </c>
      <c r="B8139" s="69"/>
    </row>
    <row r="8140" spans="1:2" x14ac:dyDescent="0.2">
      <c r="A8140" s="68">
        <v>36603</v>
      </c>
      <c r="B8140" s="69"/>
    </row>
    <row r="8141" spans="1:2" x14ac:dyDescent="0.2">
      <c r="A8141" s="68">
        <v>36602</v>
      </c>
      <c r="B8141" s="69">
        <v>1.0625</v>
      </c>
    </row>
    <row r="8142" spans="1:2" x14ac:dyDescent="0.2">
      <c r="A8142" s="68">
        <v>36601</v>
      </c>
      <c r="B8142" s="69">
        <v>1.0630999999999999</v>
      </c>
    </row>
    <row r="8143" spans="1:2" x14ac:dyDescent="0.2">
      <c r="A8143" s="68">
        <v>36600</v>
      </c>
      <c r="B8143" s="69">
        <v>1.0631999999999999</v>
      </c>
    </row>
    <row r="8144" spans="1:2" x14ac:dyDescent="0.2">
      <c r="A8144" s="68">
        <v>36599</v>
      </c>
      <c r="B8144" s="69">
        <v>1.0629</v>
      </c>
    </row>
    <row r="8145" spans="1:2" x14ac:dyDescent="0.2">
      <c r="A8145" s="68">
        <v>36598</v>
      </c>
      <c r="B8145" s="69">
        <v>1.0630999999999999</v>
      </c>
    </row>
    <row r="8146" spans="1:2" x14ac:dyDescent="0.2">
      <c r="A8146" s="68">
        <v>36597</v>
      </c>
      <c r="B8146" s="69"/>
    </row>
    <row r="8147" spans="1:2" x14ac:dyDescent="0.2">
      <c r="A8147" s="68">
        <v>36596</v>
      </c>
      <c r="B8147" s="69"/>
    </row>
    <row r="8148" spans="1:2" x14ac:dyDescent="0.2">
      <c r="A8148" s="68">
        <v>36595</v>
      </c>
      <c r="B8148" s="69">
        <v>1.0634999999999999</v>
      </c>
    </row>
    <row r="8149" spans="1:2" x14ac:dyDescent="0.2">
      <c r="A8149" s="68">
        <v>36594</v>
      </c>
      <c r="B8149" s="69">
        <v>1.0631999999999999</v>
      </c>
    </row>
    <row r="8150" spans="1:2" x14ac:dyDescent="0.2">
      <c r="A8150" s="68">
        <v>36593</v>
      </c>
      <c r="B8150" s="69">
        <v>1.0631999999999999</v>
      </c>
    </row>
    <row r="8151" spans="1:2" x14ac:dyDescent="0.2">
      <c r="A8151" s="68">
        <v>36592</v>
      </c>
      <c r="B8151" s="69">
        <v>1.0637000000000001</v>
      </c>
    </row>
    <row r="8152" spans="1:2" x14ac:dyDescent="0.2">
      <c r="A8152" s="68">
        <v>36591</v>
      </c>
      <c r="B8152" s="69">
        <v>1.0631999999999999</v>
      </c>
    </row>
    <row r="8153" spans="1:2" x14ac:dyDescent="0.2">
      <c r="A8153" s="68">
        <v>36590</v>
      </c>
      <c r="B8153" s="69"/>
    </row>
    <row r="8154" spans="1:2" x14ac:dyDescent="0.2">
      <c r="A8154" s="68">
        <v>36589</v>
      </c>
      <c r="B8154" s="69"/>
    </row>
    <row r="8155" spans="1:2" x14ac:dyDescent="0.2">
      <c r="A8155" s="68">
        <v>36588</v>
      </c>
      <c r="B8155" s="69">
        <v>1.0631999999999999</v>
      </c>
    </row>
    <row r="8156" spans="1:2" x14ac:dyDescent="0.2">
      <c r="A8156" s="68">
        <v>36587</v>
      </c>
      <c r="B8156" s="69">
        <v>1.0631999999999999</v>
      </c>
    </row>
    <row r="8157" spans="1:2" x14ac:dyDescent="0.2">
      <c r="A8157" s="68">
        <v>36586</v>
      </c>
      <c r="B8157" s="69">
        <v>1.0631999999999999</v>
      </c>
    </row>
    <row r="8158" spans="1:2" x14ac:dyDescent="0.2">
      <c r="A8158" s="68">
        <v>36585</v>
      </c>
      <c r="B8158" s="69">
        <v>1.0638000000000001</v>
      </c>
    </row>
    <row r="8159" spans="1:2" x14ac:dyDescent="0.2">
      <c r="A8159" s="68">
        <v>36584</v>
      </c>
      <c r="B8159" s="69">
        <v>1.0632999999999999</v>
      </c>
    </row>
    <row r="8160" spans="1:2" x14ac:dyDescent="0.2">
      <c r="A8160" s="68">
        <v>36583</v>
      </c>
      <c r="B8160" s="69"/>
    </row>
    <row r="8161" spans="1:2" x14ac:dyDescent="0.2">
      <c r="A8161" s="68">
        <v>36582</v>
      </c>
      <c r="B8161" s="69"/>
    </row>
    <row r="8162" spans="1:2" x14ac:dyDescent="0.2">
      <c r="A8162" s="68">
        <v>36581</v>
      </c>
      <c r="B8162" s="69">
        <v>1.0639000000000001</v>
      </c>
    </row>
    <row r="8163" spans="1:2" x14ac:dyDescent="0.2">
      <c r="A8163" s="68">
        <v>36580</v>
      </c>
      <c r="B8163" s="69">
        <v>1.0632999999999999</v>
      </c>
    </row>
    <row r="8164" spans="1:2" x14ac:dyDescent="0.2">
      <c r="A8164" s="68">
        <v>36579</v>
      </c>
      <c r="B8164" s="69">
        <v>1.0633999999999999</v>
      </c>
    </row>
    <row r="8165" spans="1:2" x14ac:dyDescent="0.2">
      <c r="A8165" s="68">
        <v>36578</v>
      </c>
      <c r="B8165" s="69">
        <v>1.0633999999999999</v>
      </c>
    </row>
    <row r="8166" spans="1:2" x14ac:dyDescent="0.2">
      <c r="A8166" s="68">
        <v>36577</v>
      </c>
      <c r="B8166" s="69">
        <v>1.0632999999999999</v>
      </c>
    </row>
    <row r="8167" spans="1:2" x14ac:dyDescent="0.2">
      <c r="A8167" s="68">
        <v>36576</v>
      </c>
      <c r="B8167" s="69"/>
    </row>
    <row r="8168" spans="1:2" x14ac:dyDescent="0.2">
      <c r="A8168" s="68">
        <v>36575</v>
      </c>
      <c r="B8168" s="69"/>
    </row>
    <row r="8169" spans="1:2" x14ac:dyDescent="0.2">
      <c r="A8169" s="68">
        <v>36574</v>
      </c>
      <c r="B8169" s="69">
        <v>1.0630999999999999</v>
      </c>
    </row>
    <row r="8170" spans="1:2" x14ac:dyDescent="0.2">
      <c r="A8170" s="68">
        <v>36573</v>
      </c>
      <c r="B8170" s="69">
        <v>1.0632999999999999</v>
      </c>
    </row>
    <row r="8171" spans="1:2" x14ac:dyDescent="0.2">
      <c r="A8171" s="68">
        <v>36572</v>
      </c>
      <c r="B8171" s="69">
        <v>1.0630999999999999</v>
      </c>
    </row>
    <row r="8172" spans="1:2" x14ac:dyDescent="0.2">
      <c r="A8172" s="68">
        <v>36571</v>
      </c>
      <c r="B8172" s="69">
        <v>1.0630999999999999</v>
      </c>
    </row>
    <row r="8173" spans="1:2" x14ac:dyDescent="0.2">
      <c r="A8173" s="68">
        <v>36570</v>
      </c>
      <c r="B8173" s="69">
        <v>1.0618000000000001</v>
      </c>
    </row>
    <row r="8174" spans="1:2" x14ac:dyDescent="0.2">
      <c r="A8174" s="68">
        <v>36569</v>
      </c>
      <c r="B8174" s="69">
        <v>1.0618000000000001</v>
      </c>
    </row>
    <row r="8175" spans="1:2" x14ac:dyDescent="0.2">
      <c r="A8175" s="68">
        <v>36568</v>
      </c>
      <c r="B8175" s="69">
        <v>1.0529999999999999</v>
      </c>
    </row>
    <row r="8176" spans="1:2" x14ac:dyDescent="0.2">
      <c r="A8176" s="68">
        <v>36567</v>
      </c>
      <c r="B8176" s="69"/>
    </row>
    <row r="8177" spans="1:2" x14ac:dyDescent="0.2">
      <c r="A8177" s="68">
        <v>36566</v>
      </c>
      <c r="B8177" s="69"/>
    </row>
    <row r="8178" spans="1:2" x14ac:dyDescent="0.2">
      <c r="A8178" s="68">
        <v>36565</v>
      </c>
      <c r="B8178" s="69"/>
    </row>
    <row r="8179" spans="1:2" x14ac:dyDescent="0.2">
      <c r="A8179" s="68">
        <v>36564</v>
      </c>
      <c r="B8179" s="69"/>
    </row>
    <row r="8180" spans="1:2" x14ac:dyDescent="0.2">
      <c r="A8180" s="68">
        <v>36563</v>
      </c>
      <c r="B8180" s="69"/>
    </row>
    <row r="8181" spans="1:2" x14ac:dyDescent="0.2">
      <c r="A8181" s="68">
        <v>36562</v>
      </c>
      <c r="B8181" s="69"/>
    </row>
    <row r="8182" spans="1:2" x14ac:dyDescent="0.2">
      <c r="A8182" s="68">
        <v>36561</v>
      </c>
      <c r="B8182" s="69"/>
    </row>
    <row r="8183" spans="1:2" x14ac:dyDescent="0.2">
      <c r="A8183" s="68">
        <v>36560</v>
      </c>
      <c r="B8183" s="69">
        <v>1.0529999999999999</v>
      </c>
    </row>
    <row r="8184" spans="1:2" x14ac:dyDescent="0.2">
      <c r="A8184" s="68">
        <v>36559</v>
      </c>
      <c r="B8184" s="69">
        <v>1.0631999999999999</v>
      </c>
    </row>
    <row r="8185" spans="1:2" x14ac:dyDescent="0.2">
      <c r="A8185" s="68">
        <v>36558</v>
      </c>
      <c r="B8185" s="69">
        <v>1.0637000000000001</v>
      </c>
    </row>
    <row r="8186" spans="1:2" x14ac:dyDescent="0.2">
      <c r="A8186" s="68">
        <v>36557</v>
      </c>
      <c r="B8186" s="69">
        <v>1.0641</v>
      </c>
    </row>
    <row r="8187" spans="1:2" x14ac:dyDescent="0.2">
      <c r="A8187" s="68">
        <v>36556</v>
      </c>
      <c r="B8187" s="69">
        <v>1.0634999999999999</v>
      </c>
    </row>
    <row r="8188" spans="1:2" x14ac:dyDescent="0.2">
      <c r="A8188" s="68">
        <v>36555</v>
      </c>
      <c r="B8188" s="69"/>
    </row>
    <row r="8189" spans="1:2" x14ac:dyDescent="0.2">
      <c r="A8189" s="68">
        <v>36554</v>
      </c>
      <c r="B8189" s="69"/>
    </row>
    <row r="8190" spans="1:2" x14ac:dyDescent="0.2">
      <c r="A8190" s="68">
        <v>36553</v>
      </c>
      <c r="B8190" s="69">
        <v>1.0636000000000001</v>
      </c>
    </row>
    <row r="8191" spans="1:2" x14ac:dyDescent="0.2">
      <c r="A8191" s="68">
        <v>36552</v>
      </c>
      <c r="B8191" s="69">
        <v>1.0642</v>
      </c>
    </row>
    <row r="8192" spans="1:2" x14ac:dyDescent="0.2">
      <c r="A8192" s="68">
        <v>36551</v>
      </c>
      <c r="B8192" s="69">
        <v>1.0643</v>
      </c>
    </row>
    <row r="8193" spans="1:2" x14ac:dyDescent="0.2">
      <c r="A8193" s="68">
        <v>36550</v>
      </c>
      <c r="B8193" s="69">
        <v>1.0638000000000001</v>
      </c>
    </row>
    <row r="8194" spans="1:2" x14ac:dyDescent="0.2">
      <c r="A8194" s="68">
        <v>36549</v>
      </c>
      <c r="B8194" s="69">
        <v>1.0645</v>
      </c>
    </row>
    <row r="8195" spans="1:2" x14ac:dyDescent="0.2">
      <c r="A8195" s="68">
        <v>36548</v>
      </c>
      <c r="B8195" s="69"/>
    </row>
    <row r="8196" spans="1:2" x14ac:dyDescent="0.2">
      <c r="A8196" s="68">
        <v>36547</v>
      </c>
      <c r="B8196" s="69"/>
    </row>
    <row r="8197" spans="1:2" x14ac:dyDescent="0.2">
      <c r="A8197" s="68">
        <v>36546</v>
      </c>
      <c r="B8197" s="69">
        <v>1.0649</v>
      </c>
    </row>
    <row r="8198" spans="1:2" x14ac:dyDescent="0.2">
      <c r="A8198" s="68">
        <v>36545</v>
      </c>
      <c r="B8198" s="69">
        <v>1.0645</v>
      </c>
    </row>
    <row r="8199" spans="1:2" x14ac:dyDescent="0.2">
      <c r="A8199" s="68">
        <v>36544</v>
      </c>
      <c r="B8199" s="69">
        <v>1.0647</v>
      </c>
    </row>
    <row r="8200" spans="1:2" x14ac:dyDescent="0.2">
      <c r="A8200" s="68">
        <v>36543</v>
      </c>
      <c r="B8200" s="69">
        <v>1.0639000000000001</v>
      </c>
    </row>
    <row r="8201" spans="1:2" x14ac:dyDescent="0.2">
      <c r="A8201" s="68">
        <v>36542</v>
      </c>
      <c r="B8201" s="69">
        <v>1.0640000000000001</v>
      </c>
    </row>
    <row r="8202" spans="1:2" x14ac:dyDescent="0.2">
      <c r="A8202" s="68">
        <v>36541</v>
      </c>
      <c r="B8202" s="69"/>
    </row>
    <row r="8203" spans="1:2" x14ac:dyDescent="0.2">
      <c r="A8203" s="68">
        <v>36540</v>
      </c>
      <c r="B8203" s="69"/>
    </row>
    <row r="8204" spans="1:2" x14ac:dyDescent="0.2">
      <c r="A8204" s="68">
        <v>36539</v>
      </c>
      <c r="B8204" s="69">
        <v>1.0639000000000001</v>
      </c>
    </row>
    <row r="8205" spans="1:2" x14ac:dyDescent="0.2">
      <c r="A8205" s="68">
        <v>36538</v>
      </c>
      <c r="B8205" s="69">
        <v>1.0638000000000001</v>
      </c>
    </row>
    <row r="8206" spans="1:2" x14ac:dyDescent="0.2">
      <c r="A8206" s="68">
        <v>36537</v>
      </c>
      <c r="B8206" s="69">
        <v>1.0640000000000001</v>
      </c>
    </row>
    <row r="8207" spans="1:2" x14ac:dyDescent="0.2">
      <c r="A8207" s="68">
        <v>36536</v>
      </c>
      <c r="B8207" s="69">
        <v>1.0640000000000001</v>
      </c>
    </row>
    <row r="8208" spans="1:2" x14ac:dyDescent="0.2">
      <c r="A8208" s="68">
        <v>36535</v>
      </c>
      <c r="B8208" s="69">
        <v>1.0641</v>
      </c>
    </row>
    <row r="8209" spans="1:2" x14ac:dyDescent="0.2">
      <c r="A8209" s="68">
        <v>36534</v>
      </c>
      <c r="B8209" s="69"/>
    </row>
    <row r="8210" spans="1:2" x14ac:dyDescent="0.2">
      <c r="A8210" s="68">
        <v>36533</v>
      </c>
      <c r="B8210" s="69"/>
    </row>
    <row r="8211" spans="1:2" x14ac:dyDescent="0.2">
      <c r="A8211" s="68">
        <v>36532</v>
      </c>
      <c r="B8211" s="69">
        <v>1.0644</v>
      </c>
    </row>
    <row r="8212" spans="1:2" x14ac:dyDescent="0.2">
      <c r="A8212" s="68">
        <v>36531</v>
      </c>
      <c r="B8212" s="69">
        <v>1.0649999999999999</v>
      </c>
    </row>
    <row r="8213" spans="1:2" x14ac:dyDescent="0.2">
      <c r="A8213" s="68">
        <v>36530</v>
      </c>
      <c r="B8213" s="69">
        <v>1.0644</v>
      </c>
    </row>
    <row r="8214" spans="1:2" x14ac:dyDescent="0.2">
      <c r="A8214" s="68">
        <v>36529</v>
      </c>
      <c r="B8214" s="69">
        <v>1.0647</v>
      </c>
    </row>
    <row r="8215" spans="1:2" x14ac:dyDescent="0.2">
      <c r="A8215" s="68">
        <v>36528</v>
      </c>
      <c r="B8215" s="69">
        <v>1.0649</v>
      </c>
    </row>
    <row r="8216" spans="1:2" x14ac:dyDescent="0.2">
      <c r="A8216" s="68">
        <v>36527</v>
      </c>
      <c r="B8216" s="69"/>
    </row>
    <row r="8217" spans="1:2" x14ac:dyDescent="0.2">
      <c r="A8217" s="68">
        <v>36526</v>
      </c>
      <c r="B8217" s="69"/>
    </row>
    <row r="8218" spans="1:2" x14ac:dyDescent="0.2">
      <c r="A8218" s="68">
        <v>36525</v>
      </c>
      <c r="B8218" s="69"/>
    </row>
    <row r="8219" spans="1:2" x14ac:dyDescent="0.2">
      <c r="A8219" s="68">
        <v>36524</v>
      </c>
      <c r="B8219" s="69">
        <v>1.0650999999999999</v>
      </c>
    </row>
    <row r="8220" spans="1:2" x14ac:dyDescent="0.2">
      <c r="A8220" s="68">
        <v>36523</v>
      </c>
      <c r="B8220" s="69">
        <v>1.0649999999999999</v>
      </c>
    </row>
    <row r="8221" spans="1:2" x14ac:dyDescent="0.2">
      <c r="A8221" s="68">
        <v>36522</v>
      </c>
      <c r="B8221" s="69">
        <v>1.0662</v>
      </c>
    </row>
    <row r="8222" spans="1:2" x14ac:dyDescent="0.2">
      <c r="A8222" s="68">
        <v>36521</v>
      </c>
      <c r="B8222" s="69">
        <v>1.0651999999999999</v>
      </c>
    </row>
    <row r="8223" spans="1:2" x14ac:dyDescent="0.2">
      <c r="A8223" s="68">
        <v>36520</v>
      </c>
      <c r="B8223" s="69"/>
    </row>
    <row r="8224" spans="1:2" x14ac:dyDescent="0.2">
      <c r="A8224" s="68">
        <v>36519</v>
      </c>
      <c r="B8224" s="69"/>
    </row>
    <row r="8225" spans="1:2" x14ac:dyDescent="0.2">
      <c r="A8225" s="68">
        <v>36518</v>
      </c>
      <c r="B8225" s="69">
        <v>1.0652999999999999</v>
      </c>
    </row>
    <row r="8226" spans="1:2" x14ac:dyDescent="0.2">
      <c r="A8226" s="68">
        <v>36517</v>
      </c>
      <c r="B8226" s="69">
        <v>1.0649999999999999</v>
      </c>
    </row>
    <row r="8227" spans="1:2" x14ac:dyDescent="0.2">
      <c r="A8227" s="68">
        <v>36516</v>
      </c>
      <c r="B8227" s="69">
        <v>1.0652999999999999</v>
      </c>
    </row>
    <row r="8228" spans="1:2" x14ac:dyDescent="0.2">
      <c r="A8228" s="68">
        <v>36515</v>
      </c>
      <c r="B8228" s="69">
        <v>1.0644</v>
      </c>
    </row>
    <row r="8229" spans="1:2" x14ac:dyDescent="0.2">
      <c r="A8229" s="68">
        <v>36514</v>
      </c>
      <c r="B8229" s="69"/>
    </row>
    <row r="8230" spans="1:2" x14ac:dyDescent="0.2">
      <c r="A8230" s="68">
        <v>36513</v>
      </c>
      <c r="B8230" s="69"/>
    </row>
    <row r="8231" spans="1:2" x14ac:dyDescent="0.2">
      <c r="A8231" s="68">
        <v>36512</v>
      </c>
      <c r="B8231" s="69"/>
    </row>
    <row r="8232" spans="1:2" x14ac:dyDescent="0.2">
      <c r="A8232" s="68">
        <v>36511</v>
      </c>
      <c r="B8232" s="69">
        <v>1.0645</v>
      </c>
    </row>
    <row r="8233" spans="1:2" x14ac:dyDescent="0.2">
      <c r="A8233" s="68">
        <v>36510</v>
      </c>
      <c r="B8233" s="69">
        <v>1.0644</v>
      </c>
    </row>
    <row r="8234" spans="1:2" x14ac:dyDescent="0.2">
      <c r="A8234" s="68">
        <v>36509</v>
      </c>
      <c r="B8234" s="69">
        <v>1.0643</v>
      </c>
    </row>
    <row r="8235" spans="1:2" x14ac:dyDescent="0.2">
      <c r="A8235" s="68">
        <v>36508</v>
      </c>
      <c r="B8235" s="69">
        <v>1.0647</v>
      </c>
    </row>
    <row r="8236" spans="1:2" x14ac:dyDescent="0.2">
      <c r="A8236" s="68">
        <v>36507</v>
      </c>
      <c r="B8236" s="69">
        <v>1.0644</v>
      </c>
    </row>
    <row r="8237" spans="1:2" x14ac:dyDescent="0.2">
      <c r="A8237" s="68">
        <v>36506</v>
      </c>
      <c r="B8237" s="69"/>
    </row>
    <row r="8238" spans="1:2" x14ac:dyDescent="0.2">
      <c r="A8238" s="68">
        <v>36505</v>
      </c>
      <c r="B8238" s="69"/>
    </row>
    <row r="8239" spans="1:2" x14ac:dyDescent="0.2">
      <c r="A8239" s="68">
        <v>36504</v>
      </c>
      <c r="B8239" s="69">
        <v>1.0648</v>
      </c>
    </row>
    <row r="8240" spans="1:2" x14ac:dyDescent="0.2">
      <c r="A8240" s="68">
        <v>36503</v>
      </c>
      <c r="B8240" s="69">
        <v>1.0644</v>
      </c>
    </row>
    <row r="8241" spans="1:2" x14ac:dyDescent="0.2">
      <c r="A8241" s="68">
        <v>36502</v>
      </c>
      <c r="B8241" s="69">
        <v>1.0643</v>
      </c>
    </row>
    <row r="8242" spans="1:2" x14ac:dyDescent="0.2">
      <c r="A8242" s="68">
        <v>36501</v>
      </c>
      <c r="B8242" s="69">
        <v>1.0643</v>
      </c>
    </row>
    <row r="8243" spans="1:2" x14ac:dyDescent="0.2">
      <c r="A8243" s="68">
        <v>36500</v>
      </c>
      <c r="B8243" s="69">
        <v>1.0649</v>
      </c>
    </row>
    <row r="8244" spans="1:2" x14ac:dyDescent="0.2">
      <c r="A8244" s="68">
        <v>36499</v>
      </c>
      <c r="B8244" s="69"/>
    </row>
    <row r="8245" spans="1:2" x14ac:dyDescent="0.2">
      <c r="A8245" s="68">
        <v>36498</v>
      </c>
      <c r="B8245" s="69"/>
    </row>
    <row r="8246" spans="1:2" x14ac:dyDescent="0.2">
      <c r="A8246" s="68">
        <v>36497</v>
      </c>
      <c r="B8246" s="69">
        <v>1.0649999999999999</v>
      </c>
    </row>
    <row r="8247" spans="1:2" x14ac:dyDescent="0.2">
      <c r="A8247" s="68">
        <v>36496</v>
      </c>
      <c r="B8247" s="69">
        <v>1.0649999999999999</v>
      </c>
    </row>
    <row r="8248" spans="1:2" x14ac:dyDescent="0.2">
      <c r="A8248" s="68">
        <v>36495</v>
      </c>
      <c r="B8248" s="69">
        <v>1.0656000000000001</v>
      </c>
    </row>
    <row r="8249" spans="1:2" x14ac:dyDescent="0.2">
      <c r="A8249" s="68">
        <v>36494</v>
      </c>
      <c r="B8249" s="69">
        <v>1.0650999999999999</v>
      </c>
    </row>
    <row r="8250" spans="1:2" x14ac:dyDescent="0.2">
      <c r="A8250" s="68">
        <v>36493</v>
      </c>
      <c r="B8250" s="69">
        <v>1.0649</v>
      </c>
    </row>
    <row r="8251" spans="1:2" x14ac:dyDescent="0.2">
      <c r="A8251" s="68">
        <v>36492</v>
      </c>
      <c r="B8251" s="69"/>
    </row>
    <row r="8252" spans="1:2" x14ac:dyDescent="0.2">
      <c r="A8252" s="68">
        <v>36491</v>
      </c>
      <c r="B8252" s="69"/>
    </row>
    <row r="8253" spans="1:2" x14ac:dyDescent="0.2">
      <c r="A8253" s="68">
        <v>36490</v>
      </c>
      <c r="B8253" s="69">
        <v>1.0653999999999999</v>
      </c>
    </row>
    <row r="8254" spans="1:2" x14ac:dyDescent="0.2">
      <c r="A8254" s="68">
        <v>36489</v>
      </c>
      <c r="B8254" s="69">
        <v>1.0648</v>
      </c>
    </row>
    <row r="8255" spans="1:2" x14ac:dyDescent="0.2">
      <c r="A8255" s="68">
        <v>36488</v>
      </c>
      <c r="B8255" s="69">
        <v>1.0646</v>
      </c>
    </row>
    <row r="8256" spans="1:2" x14ac:dyDescent="0.2">
      <c r="A8256" s="68">
        <v>36487</v>
      </c>
      <c r="B8256" s="69">
        <v>1.0645</v>
      </c>
    </row>
    <row r="8257" spans="1:2" x14ac:dyDescent="0.2">
      <c r="A8257" s="68">
        <v>36486</v>
      </c>
      <c r="B8257" s="69">
        <v>1.0649</v>
      </c>
    </row>
    <row r="8258" spans="1:2" x14ac:dyDescent="0.2">
      <c r="A8258" s="68">
        <v>36485</v>
      </c>
      <c r="B8258" s="69"/>
    </row>
    <row r="8259" spans="1:2" x14ac:dyDescent="0.2">
      <c r="A8259" s="68">
        <v>36484</v>
      </c>
      <c r="B8259" s="69"/>
    </row>
    <row r="8260" spans="1:2" x14ac:dyDescent="0.2">
      <c r="A8260" s="68">
        <v>36483</v>
      </c>
      <c r="B8260" s="69">
        <v>1.0646</v>
      </c>
    </row>
    <row r="8261" spans="1:2" x14ac:dyDescent="0.2">
      <c r="A8261" s="68">
        <v>36482</v>
      </c>
      <c r="B8261" s="69">
        <v>1.0651999999999999</v>
      </c>
    </row>
    <row r="8262" spans="1:2" x14ac:dyDescent="0.2">
      <c r="A8262" s="68">
        <v>36481</v>
      </c>
      <c r="B8262" s="69">
        <v>1.0645</v>
      </c>
    </row>
    <row r="8263" spans="1:2" x14ac:dyDescent="0.2">
      <c r="A8263" s="68">
        <v>36480</v>
      </c>
      <c r="B8263" s="69">
        <v>1.0646</v>
      </c>
    </row>
    <row r="8264" spans="1:2" x14ac:dyDescent="0.2">
      <c r="A8264" s="68">
        <v>36479</v>
      </c>
      <c r="B8264" s="69">
        <v>1.0652999999999999</v>
      </c>
    </row>
    <row r="8265" spans="1:2" x14ac:dyDescent="0.2">
      <c r="A8265" s="68">
        <v>36478</v>
      </c>
      <c r="B8265" s="69"/>
    </row>
    <row r="8266" spans="1:2" x14ac:dyDescent="0.2">
      <c r="A8266" s="68">
        <v>36477</v>
      </c>
      <c r="B8266" s="69"/>
    </row>
    <row r="8267" spans="1:2" x14ac:dyDescent="0.2">
      <c r="A8267" s="68">
        <v>36476</v>
      </c>
      <c r="B8267" s="69">
        <v>1.0651999999999999</v>
      </c>
    </row>
    <row r="8268" spans="1:2" x14ac:dyDescent="0.2">
      <c r="A8268" s="68">
        <v>36475</v>
      </c>
      <c r="B8268" s="69">
        <v>1.0651999999999999</v>
      </c>
    </row>
    <row r="8269" spans="1:2" x14ac:dyDescent="0.2">
      <c r="A8269" s="68">
        <v>36474</v>
      </c>
      <c r="B8269" s="69">
        <v>1.0648</v>
      </c>
    </row>
    <row r="8270" spans="1:2" x14ac:dyDescent="0.2">
      <c r="A8270" s="68">
        <v>36473</v>
      </c>
      <c r="B8270" s="69">
        <v>1.0648</v>
      </c>
    </row>
    <row r="8271" spans="1:2" x14ac:dyDescent="0.2">
      <c r="A8271" s="68">
        <v>36472</v>
      </c>
      <c r="B8271" s="69">
        <v>1.0645</v>
      </c>
    </row>
    <row r="8272" spans="1:2" x14ac:dyDescent="0.2">
      <c r="A8272" s="68">
        <v>36471</v>
      </c>
      <c r="B8272" s="69"/>
    </row>
    <row r="8273" spans="1:2" x14ac:dyDescent="0.2">
      <c r="A8273" s="68">
        <v>36470</v>
      </c>
      <c r="B8273" s="69"/>
    </row>
    <row r="8274" spans="1:2" x14ac:dyDescent="0.2">
      <c r="A8274" s="68">
        <v>36469</v>
      </c>
      <c r="B8274" s="69">
        <v>1.0657000000000001</v>
      </c>
    </row>
    <row r="8275" spans="1:2" x14ac:dyDescent="0.2">
      <c r="A8275" s="68">
        <v>36468</v>
      </c>
      <c r="B8275" s="69">
        <v>1.0653999999999999</v>
      </c>
    </row>
    <row r="8276" spans="1:2" x14ac:dyDescent="0.2">
      <c r="A8276" s="68">
        <v>36467</v>
      </c>
      <c r="B8276" s="69">
        <v>1.0650999999999999</v>
      </c>
    </row>
    <row r="8277" spans="1:2" x14ac:dyDescent="0.2">
      <c r="A8277" s="68">
        <v>36466</v>
      </c>
      <c r="B8277" s="69">
        <v>1.0651999999999999</v>
      </c>
    </row>
    <row r="8278" spans="1:2" x14ac:dyDescent="0.2">
      <c r="A8278" s="68">
        <v>36465</v>
      </c>
      <c r="B8278" s="69">
        <v>1.0652999999999999</v>
      </c>
    </row>
    <row r="8279" spans="1:2" x14ac:dyDescent="0.2">
      <c r="A8279" s="68">
        <v>36464</v>
      </c>
      <c r="B8279" s="69"/>
    </row>
    <row r="8280" spans="1:2" x14ac:dyDescent="0.2">
      <c r="A8280" s="68">
        <v>36463</v>
      </c>
      <c r="B8280" s="69"/>
    </row>
    <row r="8281" spans="1:2" x14ac:dyDescent="0.2">
      <c r="A8281" s="68">
        <v>36462</v>
      </c>
      <c r="B8281" s="69">
        <v>1.0656000000000001</v>
      </c>
    </row>
    <row r="8282" spans="1:2" x14ac:dyDescent="0.2">
      <c r="A8282" s="68">
        <v>36461</v>
      </c>
      <c r="B8282" s="69">
        <v>1.0651999999999999</v>
      </c>
    </row>
    <row r="8283" spans="1:2" x14ac:dyDescent="0.2">
      <c r="A8283" s="68">
        <v>36460</v>
      </c>
      <c r="B8283" s="69">
        <v>1.0650999999999999</v>
      </c>
    </row>
    <row r="8284" spans="1:2" x14ac:dyDescent="0.2">
      <c r="A8284" s="68">
        <v>36459</v>
      </c>
      <c r="B8284" s="69">
        <v>1.0647</v>
      </c>
    </row>
    <row r="8285" spans="1:2" x14ac:dyDescent="0.2">
      <c r="A8285" s="68">
        <v>36458</v>
      </c>
      <c r="B8285" s="69">
        <v>1.0652999999999999</v>
      </c>
    </row>
    <row r="8286" spans="1:2" x14ac:dyDescent="0.2">
      <c r="A8286" s="68">
        <v>36457</v>
      </c>
      <c r="B8286" s="69"/>
    </row>
    <row r="8287" spans="1:2" x14ac:dyDescent="0.2">
      <c r="A8287" s="68">
        <v>36456</v>
      </c>
      <c r="B8287" s="69"/>
    </row>
    <row r="8288" spans="1:2" x14ac:dyDescent="0.2">
      <c r="A8288" s="68">
        <v>36455</v>
      </c>
      <c r="B8288" s="69">
        <v>1.0648</v>
      </c>
    </row>
    <row r="8289" spans="1:2" x14ac:dyDescent="0.2">
      <c r="A8289" s="68">
        <v>36454</v>
      </c>
      <c r="B8289" s="69">
        <v>1.0648</v>
      </c>
    </row>
    <row r="8290" spans="1:2" x14ac:dyDescent="0.2">
      <c r="A8290" s="68">
        <v>36453</v>
      </c>
      <c r="B8290" s="69">
        <v>1.0648</v>
      </c>
    </row>
    <row r="8291" spans="1:2" x14ac:dyDescent="0.2">
      <c r="A8291" s="68">
        <v>36452</v>
      </c>
      <c r="B8291" s="69">
        <v>1.0649</v>
      </c>
    </row>
    <row r="8292" spans="1:2" x14ac:dyDescent="0.2">
      <c r="A8292" s="68">
        <v>36451</v>
      </c>
      <c r="B8292" s="69">
        <v>1.0649</v>
      </c>
    </row>
    <row r="8293" spans="1:2" x14ac:dyDescent="0.2">
      <c r="A8293" s="68">
        <v>36450</v>
      </c>
      <c r="B8293" s="69"/>
    </row>
    <row r="8294" spans="1:2" x14ac:dyDescent="0.2">
      <c r="A8294" s="68">
        <v>36449</v>
      </c>
      <c r="B8294" s="69"/>
    </row>
    <row r="8295" spans="1:2" x14ac:dyDescent="0.2">
      <c r="A8295" s="68">
        <v>36448</v>
      </c>
      <c r="B8295" s="69">
        <v>1.0649</v>
      </c>
    </row>
    <row r="8296" spans="1:2" x14ac:dyDescent="0.2">
      <c r="A8296" s="68">
        <v>36447</v>
      </c>
      <c r="B8296" s="69">
        <v>1.0649999999999999</v>
      </c>
    </row>
    <row r="8297" spans="1:2" x14ac:dyDescent="0.2">
      <c r="A8297" s="68">
        <v>36446</v>
      </c>
      <c r="B8297" s="69">
        <v>1.0654999999999999</v>
      </c>
    </row>
    <row r="8298" spans="1:2" x14ac:dyDescent="0.2">
      <c r="A8298" s="68">
        <v>36445</v>
      </c>
      <c r="B8298" s="69">
        <v>1.0651999999999999</v>
      </c>
    </row>
    <row r="8299" spans="1:2" x14ac:dyDescent="0.2">
      <c r="A8299" s="68">
        <v>36444</v>
      </c>
      <c r="B8299" s="69">
        <v>1.0650999999999999</v>
      </c>
    </row>
    <row r="8300" spans="1:2" x14ac:dyDescent="0.2">
      <c r="A8300" s="68">
        <v>36443</v>
      </c>
      <c r="B8300" s="69">
        <v>1.0650999999999999</v>
      </c>
    </row>
    <row r="8301" spans="1:2" x14ac:dyDescent="0.2">
      <c r="A8301" s="68">
        <v>36442</v>
      </c>
      <c r="B8301" s="69">
        <v>1.0651999999999999</v>
      </c>
    </row>
    <row r="8302" spans="1:2" x14ac:dyDescent="0.2">
      <c r="A8302" s="68">
        <v>36441</v>
      </c>
      <c r="B8302" s="69">
        <v>1.0652999999999999</v>
      </c>
    </row>
    <row r="8303" spans="1:2" x14ac:dyDescent="0.2">
      <c r="A8303" s="68">
        <v>36440</v>
      </c>
      <c r="B8303" s="69"/>
    </row>
    <row r="8304" spans="1:2" x14ac:dyDescent="0.2">
      <c r="A8304" s="68">
        <v>36439</v>
      </c>
      <c r="B8304" s="69"/>
    </row>
    <row r="8305" spans="1:2" x14ac:dyDescent="0.2">
      <c r="A8305" s="68">
        <v>36438</v>
      </c>
      <c r="B8305" s="69"/>
    </row>
    <row r="8306" spans="1:2" x14ac:dyDescent="0.2">
      <c r="A8306" s="68">
        <v>36437</v>
      </c>
      <c r="B8306" s="69"/>
    </row>
    <row r="8307" spans="1:2" x14ac:dyDescent="0.2">
      <c r="A8307" s="68">
        <v>36436</v>
      </c>
      <c r="B8307" s="69"/>
    </row>
    <row r="8308" spans="1:2" x14ac:dyDescent="0.2">
      <c r="A8308" s="68">
        <v>36435</v>
      </c>
      <c r="B8308" s="69"/>
    </row>
    <row r="8309" spans="1:2" x14ac:dyDescent="0.2">
      <c r="A8309" s="68">
        <v>36434</v>
      </c>
      <c r="B8309" s="69"/>
    </row>
    <row r="8310" spans="1:2" x14ac:dyDescent="0.2">
      <c r="A8310" s="68">
        <v>36433</v>
      </c>
      <c r="B8310" s="69">
        <v>1.0653999999999999</v>
      </c>
    </row>
    <row r="8311" spans="1:2" x14ac:dyDescent="0.2">
      <c r="A8311" s="68">
        <v>36432</v>
      </c>
      <c r="B8311" s="69">
        <v>1.0658000000000001</v>
      </c>
    </row>
    <row r="8312" spans="1:2" x14ac:dyDescent="0.2">
      <c r="A8312" s="68">
        <v>36431</v>
      </c>
      <c r="B8312" s="69">
        <v>1.0659000000000001</v>
      </c>
    </row>
    <row r="8313" spans="1:2" x14ac:dyDescent="0.2">
      <c r="A8313" s="68">
        <v>36430</v>
      </c>
      <c r="B8313" s="69"/>
    </row>
    <row r="8314" spans="1:2" x14ac:dyDescent="0.2">
      <c r="A8314" s="68">
        <v>36429</v>
      </c>
      <c r="B8314" s="69"/>
    </row>
    <row r="8315" spans="1:2" x14ac:dyDescent="0.2">
      <c r="A8315" s="68">
        <v>36428</v>
      </c>
      <c r="B8315" s="69"/>
    </row>
    <row r="8316" spans="1:2" x14ac:dyDescent="0.2">
      <c r="A8316" s="68">
        <v>36427</v>
      </c>
      <c r="B8316" s="69">
        <v>1.0651999999999999</v>
      </c>
    </row>
    <row r="8317" spans="1:2" x14ac:dyDescent="0.2">
      <c r="A8317" s="68">
        <v>36426</v>
      </c>
      <c r="B8317" s="69">
        <v>1.0649999999999999</v>
      </c>
    </row>
    <row r="8318" spans="1:2" x14ac:dyDescent="0.2">
      <c r="A8318" s="68">
        <v>36425</v>
      </c>
      <c r="B8318" s="69">
        <v>1.0659000000000001</v>
      </c>
    </row>
    <row r="8319" spans="1:2" x14ac:dyDescent="0.2">
      <c r="A8319" s="68">
        <v>36424</v>
      </c>
      <c r="B8319" s="69">
        <v>1.0656000000000001</v>
      </c>
    </row>
    <row r="8320" spans="1:2" x14ac:dyDescent="0.2">
      <c r="A8320" s="68">
        <v>36423</v>
      </c>
      <c r="B8320" s="69">
        <v>1.0656000000000001</v>
      </c>
    </row>
    <row r="8321" spans="1:2" x14ac:dyDescent="0.2">
      <c r="A8321" s="68">
        <v>36422</v>
      </c>
      <c r="B8321" s="69"/>
    </row>
    <row r="8322" spans="1:2" x14ac:dyDescent="0.2">
      <c r="A8322" s="68">
        <v>36421</v>
      </c>
      <c r="B8322" s="69"/>
    </row>
    <row r="8323" spans="1:2" x14ac:dyDescent="0.2">
      <c r="A8323" s="68">
        <v>36420</v>
      </c>
      <c r="B8323" s="69">
        <v>1.0654999999999999</v>
      </c>
    </row>
    <row r="8324" spans="1:2" x14ac:dyDescent="0.2">
      <c r="A8324" s="68">
        <v>36419</v>
      </c>
      <c r="B8324" s="69">
        <v>1.0653999999999999</v>
      </c>
    </row>
    <row r="8325" spans="1:2" x14ac:dyDescent="0.2">
      <c r="A8325" s="68">
        <v>36418</v>
      </c>
      <c r="B8325" s="69">
        <v>1.0652999999999999</v>
      </c>
    </row>
    <row r="8326" spans="1:2" x14ac:dyDescent="0.2">
      <c r="A8326" s="68">
        <v>36417</v>
      </c>
      <c r="B8326" s="69">
        <v>1.0653999999999999</v>
      </c>
    </row>
    <row r="8327" spans="1:2" x14ac:dyDescent="0.2">
      <c r="A8327" s="68">
        <v>36416</v>
      </c>
      <c r="B8327" s="69">
        <v>1.0664</v>
      </c>
    </row>
    <row r="8328" spans="1:2" x14ac:dyDescent="0.2">
      <c r="A8328" s="68">
        <v>36415</v>
      </c>
      <c r="B8328" s="69"/>
    </row>
    <row r="8329" spans="1:2" x14ac:dyDescent="0.2">
      <c r="A8329" s="68">
        <v>36414</v>
      </c>
      <c r="B8329" s="69"/>
    </row>
    <row r="8330" spans="1:2" x14ac:dyDescent="0.2">
      <c r="A8330" s="68">
        <v>36413</v>
      </c>
      <c r="B8330" s="69">
        <v>1.0652999999999999</v>
      </c>
    </row>
    <row r="8331" spans="1:2" x14ac:dyDescent="0.2">
      <c r="A8331" s="68">
        <v>36412</v>
      </c>
      <c r="B8331" s="69">
        <v>1.0652999999999999</v>
      </c>
    </row>
    <row r="8332" spans="1:2" x14ac:dyDescent="0.2">
      <c r="A8332" s="68">
        <v>36411</v>
      </c>
      <c r="B8332" s="69">
        <v>1.0653999999999999</v>
      </c>
    </row>
    <row r="8333" spans="1:2" x14ac:dyDescent="0.2">
      <c r="A8333" s="68">
        <v>36410</v>
      </c>
      <c r="B8333" s="69">
        <v>1.0653999999999999</v>
      </c>
    </row>
    <row r="8334" spans="1:2" x14ac:dyDescent="0.2">
      <c r="A8334" s="68">
        <v>36409</v>
      </c>
      <c r="B8334" s="69">
        <v>1.0653999999999999</v>
      </c>
    </row>
    <row r="8335" spans="1:2" x14ac:dyDescent="0.2">
      <c r="A8335" s="68">
        <v>36408</v>
      </c>
      <c r="B8335" s="69"/>
    </row>
    <row r="8336" spans="1:2" x14ac:dyDescent="0.2">
      <c r="A8336" s="68">
        <v>36407</v>
      </c>
      <c r="B8336" s="69"/>
    </row>
    <row r="8337" spans="1:2" x14ac:dyDescent="0.2">
      <c r="A8337" s="68">
        <v>36406</v>
      </c>
      <c r="B8337" s="69">
        <v>1.0656000000000001</v>
      </c>
    </row>
    <row r="8338" spans="1:2" x14ac:dyDescent="0.2">
      <c r="A8338" s="68">
        <v>36405</v>
      </c>
      <c r="B8338" s="69">
        <v>1.0657000000000001</v>
      </c>
    </row>
    <row r="8339" spans="1:2" x14ac:dyDescent="0.2">
      <c r="A8339" s="68">
        <v>36404</v>
      </c>
      <c r="B8339" s="69">
        <v>1.0659000000000001</v>
      </c>
    </row>
    <row r="8340" spans="1:2" x14ac:dyDescent="0.2">
      <c r="A8340" s="68">
        <v>36403</v>
      </c>
      <c r="B8340" s="69">
        <v>1.0654999999999999</v>
      </c>
    </row>
    <row r="8341" spans="1:2" x14ac:dyDescent="0.2">
      <c r="A8341" s="68">
        <v>36402</v>
      </c>
      <c r="B8341" s="69">
        <v>1.0654999999999999</v>
      </c>
    </row>
    <row r="8342" spans="1:2" x14ac:dyDescent="0.2">
      <c r="A8342" s="68">
        <v>36401</v>
      </c>
      <c r="B8342" s="69"/>
    </row>
    <row r="8343" spans="1:2" x14ac:dyDescent="0.2">
      <c r="A8343" s="68">
        <v>36400</v>
      </c>
      <c r="B8343" s="69"/>
    </row>
    <row r="8344" spans="1:2" x14ac:dyDescent="0.2">
      <c r="A8344" s="68">
        <v>36399</v>
      </c>
      <c r="B8344" s="69">
        <v>1.0656000000000001</v>
      </c>
    </row>
    <row r="8345" spans="1:2" x14ac:dyDescent="0.2">
      <c r="A8345" s="68">
        <v>36398</v>
      </c>
      <c r="B8345" s="69">
        <v>1.0656000000000001</v>
      </c>
    </row>
    <row r="8346" spans="1:2" x14ac:dyDescent="0.2">
      <c r="A8346" s="68">
        <v>36397</v>
      </c>
      <c r="B8346" s="69">
        <v>1.0660000000000001</v>
      </c>
    </row>
    <row r="8347" spans="1:2" x14ac:dyDescent="0.2">
      <c r="A8347" s="68">
        <v>36396</v>
      </c>
      <c r="B8347" s="69">
        <v>1.0661</v>
      </c>
    </row>
    <row r="8348" spans="1:2" x14ac:dyDescent="0.2">
      <c r="A8348" s="68">
        <v>36395</v>
      </c>
      <c r="B8348" s="69">
        <v>1.0654999999999999</v>
      </c>
    </row>
    <row r="8349" spans="1:2" x14ac:dyDescent="0.2">
      <c r="A8349" s="68">
        <v>36394</v>
      </c>
      <c r="B8349" s="69"/>
    </row>
    <row r="8350" spans="1:2" x14ac:dyDescent="0.2">
      <c r="A8350" s="68">
        <v>36393</v>
      </c>
      <c r="B8350" s="69"/>
    </row>
    <row r="8351" spans="1:2" x14ac:dyDescent="0.2">
      <c r="A8351" s="68">
        <v>36392</v>
      </c>
      <c r="B8351" s="69">
        <v>1.0657000000000001</v>
      </c>
    </row>
    <row r="8352" spans="1:2" x14ac:dyDescent="0.2">
      <c r="A8352" s="68">
        <v>36391</v>
      </c>
      <c r="B8352" s="69">
        <v>1.0662</v>
      </c>
    </row>
    <row r="8353" spans="1:2" x14ac:dyDescent="0.2">
      <c r="A8353" s="68">
        <v>36390</v>
      </c>
      <c r="B8353" s="69">
        <v>1.0662</v>
      </c>
    </row>
    <row r="8354" spans="1:2" x14ac:dyDescent="0.2">
      <c r="A8354" s="68">
        <v>36389</v>
      </c>
      <c r="B8354" s="69">
        <v>1.0654999999999999</v>
      </c>
    </row>
    <row r="8355" spans="1:2" x14ac:dyDescent="0.2">
      <c r="A8355" s="68">
        <v>36388</v>
      </c>
      <c r="B8355" s="69">
        <v>1.0657000000000001</v>
      </c>
    </row>
    <row r="8356" spans="1:2" x14ac:dyDescent="0.2">
      <c r="A8356" s="68">
        <v>36387</v>
      </c>
      <c r="B8356" s="69"/>
    </row>
    <row r="8357" spans="1:2" x14ac:dyDescent="0.2">
      <c r="A8357" s="68">
        <v>36386</v>
      </c>
      <c r="B8357" s="69"/>
    </row>
    <row r="8358" spans="1:2" x14ac:dyDescent="0.2">
      <c r="A8358" s="68">
        <v>36385</v>
      </c>
      <c r="B8358" s="69">
        <v>1.0656000000000001</v>
      </c>
    </row>
    <row r="8359" spans="1:2" x14ac:dyDescent="0.2">
      <c r="A8359" s="68">
        <v>36384</v>
      </c>
      <c r="B8359" s="69">
        <v>1.0657000000000001</v>
      </c>
    </row>
    <row r="8360" spans="1:2" x14ac:dyDescent="0.2">
      <c r="A8360" s="68">
        <v>36383</v>
      </c>
      <c r="B8360" s="69">
        <v>1.0657000000000001</v>
      </c>
    </row>
    <row r="8361" spans="1:2" x14ac:dyDescent="0.2">
      <c r="A8361" s="68">
        <v>36382</v>
      </c>
      <c r="B8361" s="69">
        <v>1.0660000000000001</v>
      </c>
    </row>
    <row r="8362" spans="1:2" x14ac:dyDescent="0.2">
      <c r="A8362" s="68">
        <v>36381</v>
      </c>
      <c r="B8362" s="69">
        <v>1.0658000000000001</v>
      </c>
    </row>
    <row r="8363" spans="1:2" x14ac:dyDescent="0.2">
      <c r="A8363" s="68">
        <v>36380</v>
      </c>
      <c r="B8363" s="69"/>
    </row>
    <row r="8364" spans="1:2" x14ac:dyDescent="0.2">
      <c r="A8364" s="68">
        <v>36379</v>
      </c>
      <c r="B8364" s="69"/>
    </row>
    <row r="8365" spans="1:2" x14ac:dyDescent="0.2">
      <c r="A8365" s="68">
        <v>36378</v>
      </c>
      <c r="B8365" s="69">
        <v>1.0658000000000001</v>
      </c>
    </row>
    <row r="8366" spans="1:2" x14ac:dyDescent="0.2">
      <c r="A8366" s="68">
        <v>36377</v>
      </c>
      <c r="B8366" s="69">
        <v>1.0658000000000001</v>
      </c>
    </row>
    <row r="8367" spans="1:2" x14ac:dyDescent="0.2">
      <c r="A8367" s="68">
        <v>36376</v>
      </c>
      <c r="B8367" s="69">
        <v>1.0659000000000001</v>
      </c>
    </row>
    <row r="8368" spans="1:2" x14ac:dyDescent="0.2">
      <c r="A8368" s="68">
        <v>36375</v>
      </c>
      <c r="B8368" s="69">
        <v>1.0659000000000001</v>
      </c>
    </row>
    <row r="8369" spans="1:2" x14ac:dyDescent="0.2">
      <c r="A8369" s="68">
        <v>36374</v>
      </c>
      <c r="B8369" s="69">
        <v>1.0658000000000001</v>
      </c>
    </row>
    <row r="8370" spans="1:2" x14ac:dyDescent="0.2">
      <c r="A8370" s="68">
        <v>36373</v>
      </c>
      <c r="B8370" s="69"/>
    </row>
    <row r="8371" spans="1:2" x14ac:dyDescent="0.2">
      <c r="A8371" s="68">
        <v>36372</v>
      </c>
      <c r="B8371" s="69"/>
    </row>
    <row r="8372" spans="1:2" x14ac:dyDescent="0.2">
      <c r="A8372" s="68">
        <v>36371</v>
      </c>
      <c r="B8372" s="69">
        <v>1.0658000000000001</v>
      </c>
    </row>
    <row r="8373" spans="1:2" x14ac:dyDescent="0.2">
      <c r="A8373" s="68">
        <v>36370</v>
      </c>
      <c r="B8373" s="69">
        <v>1.0659000000000001</v>
      </c>
    </row>
    <row r="8374" spans="1:2" x14ac:dyDescent="0.2">
      <c r="A8374" s="68">
        <v>36369</v>
      </c>
      <c r="B8374" s="69">
        <v>1.0659000000000001</v>
      </c>
    </row>
    <row r="8375" spans="1:2" x14ac:dyDescent="0.2">
      <c r="A8375" s="68">
        <v>36368</v>
      </c>
      <c r="B8375" s="69">
        <v>1.0661</v>
      </c>
    </row>
    <row r="8376" spans="1:2" x14ac:dyDescent="0.2">
      <c r="A8376" s="68">
        <v>36367</v>
      </c>
      <c r="B8376" s="69">
        <v>1.0667</v>
      </c>
    </row>
    <row r="8377" spans="1:2" x14ac:dyDescent="0.2">
      <c r="A8377" s="68">
        <v>36366</v>
      </c>
      <c r="B8377" s="69"/>
    </row>
    <row r="8378" spans="1:2" x14ac:dyDescent="0.2">
      <c r="A8378" s="68">
        <v>36365</v>
      </c>
      <c r="B8378" s="69"/>
    </row>
    <row r="8379" spans="1:2" x14ac:dyDescent="0.2">
      <c r="A8379" s="68">
        <v>36364</v>
      </c>
      <c r="B8379" s="69">
        <v>1.0665</v>
      </c>
    </row>
    <row r="8380" spans="1:2" x14ac:dyDescent="0.2">
      <c r="A8380" s="68">
        <v>36363</v>
      </c>
      <c r="B8380" s="69">
        <v>1.0661</v>
      </c>
    </row>
    <row r="8381" spans="1:2" x14ac:dyDescent="0.2">
      <c r="A8381" s="68">
        <v>36362</v>
      </c>
      <c r="B8381" s="69">
        <v>1.0662</v>
      </c>
    </row>
    <row r="8382" spans="1:2" x14ac:dyDescent="0.2">
      <c r="A8382" s="68">
        <v>36361</v>
      </c>
      <c r="B8382" s="69">
        <v>1.0662</v>
      </c>
    </row>
    <row r="8383" spans="1:2" x14ac:dyDescent="0.2">
      <c r="A8383" s="68">
        <v>36360</v>
      </c>
      <c r="B8383" s="69">
        <v>1.0662</v>
      </c>
    </row>
    <row r="8384" spans="1:2" x14ac:dyDescent="0.2">
      <c r="A8384" s="68">
        <v>36359</v>
      </c>
      <c r="B8384" s="69"/>
    </row>
    <row r="8385" spans="1:2" x14ac:dyDescent="0.2">
      <c r="A8385" s="68">
        <v>36358</v>
      </c>
      <c r="B8385" s="69"/>
    </row>
    <row r="8386" spans="1:2" x14ac:dyDescent="0.2">
      <c r="A8386" s="68">
        <v>36357</v>
      </c>
      <c r="B8386" s="69">
        <v>1.0663</v>
      </c>
    </row>
    <row r="8387" spans="1:2" x14ac:dyDescent="0.2">
      <c r="A8387" s="68">
        <v>36356</v>
      </c>
      <c r="B8387" s="69">
        <v>1.0664</v>
      </c>
    </row>
    <row r="8388" spans="1:2" x14ac:dyDescent="0.2">
      <c r="A8388" s="68">
        <v>36355</v>
      </c>
      <c r="B8388" s="69">
        <v>1.0662</v>
      </c>
    </row>
    <row r="8389" spans="1:2" x14ac:dyDescent="0.2">
      <c r="A8389" s="68">
        <v>36354</v>
      </c>
      <c r="B8389" s="69">
        <v>1.0665</v>
      </c>
    </row>
    <row r="8390" spans="1:2" x14ac:dyDescent="0.2">
      <c r="A8390" s="68">
        <v>36353</v>
      </c>
      <c r="B8390" s="69">
        <v>1.0664</v>
      </c>
    </row>
    <row r="8391" spans="1:2" x14ac:dyDescent="0.2">
      <c r="A8391" s="68">
        <v>36352</v>
      </c>
      <c r="B8391" s="69"/>
    </row>
    <row r="8392" spans="1:2" x14ac:dyDescent="0.2">
      <c r="A8392" s="68">
        <v>36351</v>
      </c>
      <c r="B8392" s="69"/>
    </row>
    <row r="8393" spans="1:2" x14ac:dyDescent="0.2">
      <c r="A8393" s="68">
        <v>36350</v>
      </c>
      <c r="B8393" s="69">
        <v>1.0667</v>
      </c>
    </row>
    <row r="8394" spans="1:2" x14ac:dyDescent="0.2">
      <c r="A8394" s="68">
        <v>36349</v>
      </c>
      <c r="B8394" s="69">
        <v>1.0666</v>
      </c>
    </row>
    <row r="8395" spans="1:2" x14ac:dyDescent="0.2">
      <c r="A8395" s="68">
        <v>36348</v>
      </c>
      <c r="B8395" s="69">
        <v>1.0665</v>
      </c>
    </row>
    <row r="8396" spans="1:2" x14ac:dyDescent="0.2">
      <c r="A8396" s="68">
        <v>36347</v>
      </c>
      <c r="B8396" s="69">
        <v>1.0664</v>
      </c>
    </row>
    <row r="8397" spans="1:2" x14ac:dyDescent="0.2">
      <c r="A8397" s="68">
        <v>36346</v>
      </c>
      <c r="B8397" s="69">
        <v>1.0666</v>
      </c>
    </row>
    <row r="8398" spans="1:2" x14ac:dyDescent="0.2">
      <c r="A8398" s="68">
        <v>36345</v>
      </c>
      <c r="B8398" s="69"/>
    </row>
    <row r="8399" spans="1:2" x14ac:dyDescent="0.2">
      <c r="A8399" s="68">
        <v>36344</v>
      </c>
      <c r="B8399" s="69"/>
    </row>
    <row r="8400" spans="1:2" x14ac:dyDescent="0.2">
      <c r="A8400" s="68">
        <v>36343</v>
      </c>
      <c r="B8400" s="69">
        <v>1.0665</v>
      </c>
    </row>
    <row r="8401" spans="1:2" x14ac:dyDescent="0.2">
      <c r="A8401" s="68">
        <v>36342</v>
      </c>
      <c r="B8401" s="69">
        <v>1.0664</v>
      </c>
    </row>
    <row r="8402" spans="1:2" x14ac:dyDescent="0.2">
      <c r="A8402" s="68">
        <v>36341</v>
      </c>
      <c r="B8402" s="69">
        <v>1.0666</v>
      </c>
    </row>
    <row r="8403" spans="1:2" x14ac:dyDescent="0.2">
      <c r="A8403" s="68">
        <v>36340</v>
      </c>
      <c r="B8403" s="69">
        <v>1.0666</v>
      </c>
    </row>
    <row r="8404" spans="1:2" x14ac:dyDescent="0.2">
      <c r="A8404" s="68">
        <v>36339</v>
      </c>
      <c r="B8404" s="69">
        <v>1.0676000000000001</v>
      </c>
    </row>
    <row r="8405" spans="1:2" x14ac:dyDescent="0.2">
      <c r="A8405" s="68">
        <v>36338</v>
      </c>
      <c r="B8405" s="69"/>
    </row>
    <row r="8406" spans="1:2" x14ac:dyDescent="0.2">
      <c r="A8406" s="68">
        <v>36337</v>
      </c>
      <c r="B8406" s="69"/>
    </row>
    <row r="8407" spans="1:2" x14ac:dyDescent="0.2">
      <c r="A8407" s="68">
        <v>36336</v>
      </c>
      <c r="B8407" s="69">
        <v>1.0667</v>
      </c>
    </row>
    <row r="8408" spans="1:2" x14ac:dyDescent="0.2">
      <c r="A8408" s="68">
        <v>36335</v>
      </c>
      <c r="B8408" s="69">
        <v>1.0666</v>
      </c>
    </row>
    <row r="8409" spans="1:2" x14ac:dyDescent="0.2">
      <c r="A8409" s="68">
        <v>36334</v>
      </c>
      <c r="B8409" s="69">
        <v>1.0666</v>
      </c>
    </row>
    <row r="8410" spans="1:2" x14ac:dyDescent="0.2">
      <c r="A8410" s="68">
        <v>36333</v>
      </c>
      <c r="B8410" s="69">
        <v>1.0665</v>
      </c>
    </row>
    <row r="8411" spans="1:2" x14ac:dyDescent="0.2">
      <c r="A8411" s="68">
        <v>36332</v>
      </c>
      <c r="B8411" s="69">
        <v>1.0666</v>
      </c>
    </row>
    <row r="8412" spans="1:2" x14ac:dyDescent="0.2">
      <c r="A8412" s="68">
        <v>36331</v>
      </c>
      <c r="B8412" s="69"/>
    </row>
    <row r="8413" spans="1:2" x14ac:dyDescent="0.2">
      <c r="A8413" s="68">
        <v>36330</v>
      </c>
      <c r="B8413" s="69"/>
    </row>
    <row r="8414" spans="1:2" x14ac:dyDescent="0.2">
      <c r="A8414" s="68">
        <v>36329</v>
      </c>
      <c r="B8414" s="69">
        <v>1.0669</v>
      </c>
    </row>
    <row r="8415" spans="1:2" x14ac:dyDescent="0.2">
      <c r="A8415" s="68">
        <v>36328</v>
      </c>
      <c r="B8415" s="69">
        <v>1.0669999999999999</v>
      </c>
    </row>
    <row r="8416" spans="1:2" x14ac:dyDescent="0.2">
      <c r="A8416" s="68">
        <v>36327</v>
      </c>
      <c r="B8416" s="69">
        <v>1.0671999999999999</v>
      </c>
    </row>
    <row r="8417" spans="1:2" x14ac:dyDescent="0.2">
      <c r="A8417" s="68">
        <v>36326</v>
      </c>
      <c r="B8417" s="69">
        <v>1.0679000000000001</v>
      </c>
    </row>
    <row r="8418" spans="1:2" x14ac:dyDescent="0.2">
      <c r="A8418" s="68">
        <v>36325</v>
      </c>
      <c r="B8418" s="69">
        <v>1.0669</v>
      </c>
    </row>
    <row r="8419" spans="1:2" x14ac:dyDescent="0.2">
      <c r="A8419" s="68">
        <v>36324</v>
      </c>
      <c r="B8419" s="69"/>
    </row>
    <row r="8420" spans="1:2" x14ac:dyDescent="0.2">
      <c r="A8420" s="68">
        <v>36323</v>
      </c>
      <c r="B8420" s="69"/>
    </row>
    <row r="8421" spans="1:2" x14ac:dyDescent="0.2">
      <c r="A8421" s="68">
        <v>36322</v>
      </c>
      <c r="B8421" s="69">
        <v>1.0669999999999999</v>
      </c>
    </row>
    <row r="8422" spans="1:2" x14ac:dyDescent="0.2">
      <c r="A8422" s="68">
        <v>36321</v>
      </c>
      <c r="B8422" s="69">
        <v>1.0666</v>
      </c>
    </row>
    <row r="8423" spans="1:2" x14ac:dyDescent="0.2">
      <c r="A8423" s="68">
        <v>36320</v>
      </c>
      <c r="B8423" s="69">
        <v>1.0666</v>
      </c>
    </row>
    <row r="8424" spans="1:2" x14ac:dyDescent="0.2">
      <c r="A8424" s="68">
        <v>36319</v>
      </c>
      <c r="B8424" s="69">
        <v>1.0664</v>
      </c>
    </row>
    <row r="8425" spans="1:2" x14ac:dyDescent="0.2">
      <c r="A8425" s="68">
        <v>36318</v>
      </c>
      <c r="B8425" s="69">
        <v>1.0668</v>
      </c>
    </row>
    <row r="8426" spans="1:2" x14ac:dyDescent="0.2">
      <c r="A8426" s="68">
        <v>36317</v>
      </c>
      <c r="B8426" s="69"/>
    </row>
    <row r="8427" spans="1:2" x14ac:dyDescent="0.2">
      <c r="A8427" s="68">
        <v>36316</v>
      </c>
      <c r="B8427" s="69"/>
    </row>
    <row r="8428" spans="1:2" x14ac:dyDescent="0.2">
      <c r="A8428" s="68">
        <v>36315</v>
      </c>
      <c r="B8428" s="69">
        <v>1.0668</v>
      </c>
    </row>
    <row r="8429" spans="1:2" x14ac:dyDescent="0.2">
      <c r="A8429" s="68">
        <v>36314</v>
      </c>
      <c r="B8429" s="69">
        <v>1.0669</v>
      </c>
    </row>
    <row r="8430" spans="1:2" x14ac:dyDescent="0.2">
      <c r="A8430" s="68">
        <v>36313</v>
      </c>
      <c r="B8430" s="69">
        <v>1.0679000000000001</v>
      </c>
    </row>
    <row r="8431" spans="1:2" x14ac:dyDescent="0.2">
      <c r="A8431" s="68">
        <v>36312</v>
      </c>
      <c r="B8431" s="69">
        <v>1.0676000000000001</v>
      </c>
    </row>
    <row r="8432" spans="1:2" x14ac:dyDescent="0.2">
      <c r="A8432" s="68">
        <v>36311</v>
      </c>
      <c r="B8432" s="69">
        <v>1.0672999999999999</v>
      </c>
    </row>
    <row r="8433" spans="1:2" x14ac:dyDescent="0.2">
      <c r="A8433" s="68">
        <v>36310</v>
      </c>
      <c r="B8433" s="69"/>
    </row>
    <row r="8434" spans="1:2" x14ac:dyDescent="0.2">
      <c r="A8434" s="68">
        <v>36309</v>
      </c>
      <c r="B8434" s="69"/>
    </row>
    <row r="8435" spans="1:2" x14ac:dyDescent="0.2">
      <c r="A8435" s="68">
        <v>36308</v>
      </c>
      <c r="B8435" s="69">
        <v>1.0672999999999999</v>
      </c>
    </row>
    <row r="8436" spans="1:2" x14ac:dyDescent="0.2">
      <c r="A8436" s="68">
        <v>36307</v>
      </c>
      <c r="B8436" s="69">
        <v>1.0674999999999999</v>
      </c>
    </row>
    <row r="8437" spans="1:2" x14ac:dyDescent="0.2">
      <c r="A8437" s="68">
        <v>36306</v>
      </c>
      <c r="B8437" s="69">
        <v>1.0674999999999999</v>
      </c>
    </row>
    <row r="8438" spans="1:2" x14ac:dyDescent="0.2">
      <c r="A8438" s="68">
        <v>36305</v>
      </c>
      <c r="B8438" s="69">
        <v>1.0676000000000001</v>
      </c>
    </row>
    <row r="8439" spans="1:2" x14ac:dyDescent="0.2">
      <c r="A8439" s="68">
        <v>36304</v>
      </c>
      <c r="B8439" s="69">
        <v>1.0672999999999999</v>
      </c>
    </row>
    <row r="8440" spans="1:2" x14ac:dyDescent="0.2">
      <c r="A8440" s="68">
        <v>36303</v>
      </c>
      <c r="B8440" s="69"/>
    </row>
    <row r="8441" spans="1:2" x14ac:dyDescent="0.2">
      <c r="A8441" s="68">
        <v>36302</v>
      </c>
      <c r="B8441" s="69"/>
    </row>
    <row r="8442" spans="1:2" x14ac:dyDescent="0.2">
      <c r="A8442" s="68">
        <v>36301</v>
      </c>
      <c r="B8442" s="69">
        <v>1.0670999999999999</v>
      </c>
    </row>
    <row r="8443" spans="1:2" x14ac:dyDescent="0.2">
      <c r="A8443" s="68">
        <v>36300</v>
      </c>
      <c r="B8443" s="69">
        <v>1.0673999999999999</v>
      </c>
    </row>
    <row r="8444" spans="1:2" x14ac:dyDescent="0.2">
      <c r="A8444" s="68">
        <v>36299</v>
      </c>
      <c r="B8444" s="69">
        <v>1.0673999999999999</v>
      </c>
    </row>
    <row r="8445" spans="1:2" x14ac:dyDescent="0.2">
      <c r="A8445" s="68">
        <v>36298</v>
      </c>
      <c r="B8445" s="69">
        <v>1.0673999999999999</v>
      </c>
    </row>
    <row r="8446" spans="1:2" x14ac:dyDescent="0.2">
      <c r="A8446" s="68">
        <v>36297</v>
      </c>
      <c r="B8446" s="69">
        <v>1.0680000000000001</v>
      </c>
    </row>
    <row r="8447" spans="1:2" x14ac:dyDescent="0.2">
      <c r="A8447" s="68">
        <v>36296</v>
      </c>
      <c r="B8447" s="69"/>
    </row>
    <row r="8448" spans="1:2" x14ac:dyDescent="0.2">
      <c r="A8448" s="68">
        <v>36295</v>
      </c>
      <c r="B8448" s="69"/>
    </row>
    <row r="8449" spans="1:2" x14ac:dyDescent="0.2">
      <c r="A8449" s="68">
        <v>36294</v>
      </c>
      <c r="B8449" s="69">
        <v>1.0672999999999999</v>
      </c>
    </row>
    <row r="8450" spans="1:2" x14ac:dyDescent="0.2">
      <c r="A8450" s="68">
        <v>36293</v>
      </c>
      <c r="B8450" s="69">
        <v>1.0672999999999999</v>
      </c>
    </row>
    <row r="8451" spans="1:2" x14ac:dyDescent="0.2">
      <c r="A8451" s="68">
        <v>36292</v>
      </c>
      <c r="B8451" s="69">
        <v>1.0674999999999999</v>
      </c>
    </row>
    <row r="8452" spans="1:2" x14ac:dyDescent="0.2">
      <c r="A8452" s="68">
        <v>36291</v>
      </c>
      <c r="B8452" s="69">
        <v>1.0672999999999999</v>
      </c>
    </row>
    <row r="8453" spans="1:2" x14ac:dyDescent="0.2">
      <c r="A8453" s="68">
        <v>36290</v>
      </c>
      <c r="B8453" s="69">
        <v>1.0679000000000001</v>
      </c>
    </row>
    <row r="8454" spans="1:2" x14ac:dyDescent="0.2">
      <c r="A8454" s="68">
        <v>36289</v>
      </c>
      <c r="B8454" s="69"/>
    </row>
    <row r="8455" spans="1:2" x14ac:dyDescent="0.2">
      <c r="A8455" s="68">
        <v>36288</v>
      </c>
      <c r="B8455" s="69"/>
    </row>
    <row r="8456" spans="1:2" x14ac:dyDescent="0.2">
      <c r="A8456" s="68">
        <v>36287</v>
      </c>
      <c r="B8456" s="69">
        <v>1.0676000000000001</v>
      </c>
    </row>
    <row r="8457" spans="1:2" x14ac:dyDescent="0.2">
      <c r="A8457" s="68">
        <v>36286</v>
      </c>
      <c r="B8457" s="69">
        <v>1.0674999999999999</v>
      </c>
    </row>
    <row r="8458" spans="1:2" x14ac:dyDescent="0.2">
      <c r="A8458" s="68">
        <v>36285</v>
      </c>
      <c r="B8458" s="69">
        <v>1.0676000000000001</v>
      </c>
    </row>
    <row r="8459" spans="1:2" x14ac:dyDescent="0.2">
      <c r="A8459" s="68">
        <v>36284</v>
      </c>
      <c r="B8459" s="69">
        <v>1.0682</v>
      </c>
    </row>
    <row r="8460" spans="1:2" x14ac:dyDescent="0.2">
      <c r="A8460" s="68">
        <v>36283</v>
      </c>
      <c r="B8460" s="69"/>
    </row>
    <row r="8461" spans="1:2" x14ac:dyDescent="0.2">
      <c r="A8461" s="68">
        <v>36282</v>
      </c>
      <c r="B8461" s="69"/>
    </row>
    <row r="8462" spans="1:2" x14ac:dyDescent="0.2">
      <c r="A8462" s="68">
        <v>36281</v>
      </c>
      <c r="B8462" s="69"/>
    </row>
    <row r="8463" spans="1:2" x14ac:dyDescent="0.2">
      <c r="A8463" s="68">
        <v>36280</v>
      </c>
      <c r="B8463" s="69">
        <v>1.0683</v>
      </c>
    </row>
    <row r="8464" spans="1:2" x14ac:dyDescent="0.2">
      <c r="A8464" s="68">
        <v>36279</v>
      </c>
      <c r="B8464" s="69">
        <v>1.0684</v>
      </c>
    </row>
    <row r="8465" spans="1:2" x14ac:dyDescent="0.2">
      <c r="A8465" s="68">
        <v>36278</v>
      </c>
      <c r="B8465" s="69">
        <v>1.0686</v>
      </c>
    </row>
    <row r="8466" spans="1:2" x14ac:dyDescent="0.2">
      <c r="A8466" s="68">
        <v>36277</v>
      </c>
      <c r="B8466" s="69">
        <v>1.0686</v>
      </c>
    </row>
    <row r="8467" spans="1:2" x14ac:dyDescent="0.2">
      <c r="A8467" s="68">
        <v>36276</v>
      </c>
      <c r="B8467" s="69">
        <v>1.0683</v>
      </c>
    </row>
    <row r="8468" spans="1:2" x14ac:dyDescent="0.2">
      <c r="A8468" s="68">
        <v>36275</v>
      </c>
      <c r="B8468" s="69"/>
    </row>
    <row r="8469" spans="1:2" x14ac:dyDescent="0.2">
      <c r="A8469" s="68">
        <v>36274</v>
      </c>
      <c r="B8469" s="69"/>
    </row>
    <row r="8470" spans="1:2" x14ac:dyDescent="0.2">
      <c r="A8470" s="68">
        <v>36273</v>
      </c>
      <c r="B8470" s="69">
        <v>1.0680000000000001</v>
      </c>
    </row>
    <row r="8471" spans="1:2" x14ac:dyDescent="0.2">
      <c r="A8471" s="68">
        <v>36272</v>
      </c>
      <c r="B8471" s="69">
        <v>1.0683</v>
      </c>
    </row>
    <row r="8472" spans="1:2" x14ac:dyDescent="0.2">
      <c r="A8472" s="68">
        <v>36271</v>
      </c>
      <c r="B8472" s="69">
        <v>1.0684</v>
      </c>
    </row>
    <row r="8473" spans="1:2" x14ac:dyDescent="0.2">
      <c r="A8473" s="68">
        <v>36270</v>
      </c>
      <c r="B8473" s="69">
        <v>1.0679000000000001</v>
      </c>
    </row>
    <row r="8474" spans="1:2" x14ac:dyDescent="0.2">
      <c r="A8474" s="68">
        <v>36269</v>
      </c>
      <c r="B8474" s="69">
        <v>1.0676000000000001</v>
      </c>
    </row>
    <row r="8475" spans="1:2" x14ac:dyDescent="0.2">
      <c r="A8475" s="68">
        <v>36268</v>
      </c>
      <c r="B8475" s="69"/>
    </row>
    <row r="8476" spans="1:2" x14ac:dyDescent="0.2">
      <c r="A8476" s="68">
        <v>36267</v>
      </c>
      <c r="B8476" s="69"/>
    </row>
    <row r="8477" spans="1:2" x14ac:dyDescent="0.2">
      <c r="A8477" s="68">
        <v>36266</v>
      </c>
      <c r="B8477" s="69">
        <v>1.0683</v>
      </c>
    </row>
    <row r="8478" spans="1:2" x14ac:dyDescent="0.2">
      <c r="A8478" s="68">
        <v>36265</v>
      </c>
      <c r="B8478" s="69">
        <v>1.0676000000000001</v>
      </c>
    </row>
    <row r="8479" spans="1:2" x14ac:dyDescent="0.2">
      <c r="A8479" s="68">
        <v>36264</v>
      </c>
      <c r="B8479" s="69">
        <v>1.0683</v>
      </c>
    </row>
    <row r="8480" spans="1:2" x14ac:dyDescent="0.2">
      <c r="A8480" s="68">
        <v>36263</v>
      </c>
      <c r="B8480" s="69">
        <v>1.0680000000000001</v>
      </c>
    </row>
    <row r="8481" spans="1:2" x14ac:dyDescent="0.2">
      <c r="A8481" s="68">
        <v>36262</v>
      </c>
      <c r="B8481" s="69">
        <v>1.0687</v>
      </c>
    </row>
    <row r="8482" spans="1:2" x14ac:dyDescent="0.2">
      <c r="A8482" s="68">
        <v>36261</v>
      </c>
      <c r="B8482" s="69"/>
    </row>
    <row r="8483" spans="1:2" x14ac:dyDescent="0.2">
      <c r="A8483" s="68">
        <v>36260</v>
      </c>
      <c r="B8483" s="69"/>
    </row>
    <row r="8484" spans="1:2" x14ac:dyDescent="0.2">
      <c r="A8484" s="68">
        <v>36259</v>
      </c>
      <c r="B8484" s="69">
        <v>1.0681</v>
      </c>
    </row>
    <row r="8485" spans="1:2" x14ac:dyDescent="0.2">
      <c r="A8485" s="68">
        <v>36258</v>
      </c>
      <c r="B8485" s="69">
        <v>1.0683</v>
      </c>
    </row>
    <row r="8486" spans="1:2" x14ac:dyDescent="0.2">
      <c r="A8486" s="68">
        <v>36257</v>
      </c>
      <c r="B8486" s="69">
        <v>1.0682</v>
      </c>
    </row>
    <row r="8487" spans="1:2" x14ac:dyDescent="0.2">
      <c r="A8487" s="68">
        <v>36256</v>
      </c>
      <c r="B8487" s="69">
        <v>1.0681</v>
      </c>
    </row>
    <row r="8488" spans="1:2" x14ac:dyDescent="0.2">
      <c r="A8488" s="68">
        <v>36255</v>
      </c>
      <c r="B8488" s="69">
        <v>1.0680000000000001</v>
      </c>
    </row>
    <row r="8489" spans="1:2" x14ac:dyDescent="0.2">
      <c r="A8489" s="68">
        <v>36254</v>
      </c>
      <c r="B8489" s="69"/>
    </row>
    <row r="8490" spans="1:2" x14ac:dyDescent="0.2">
      <c r="A8490" s="68">
        <v>36253</v>
      </c>
      <c r="B8490" s="69"/>
    </row>
    <row r="8491" spans="1:2" x14ac:dyDescent="0.2">
      <c r="A8491" s="68">
        <v>36252</v>
      </c>
      <c r="B8491" s="69">
        <v>1.0680000000000001</v>
      </c>
    </row>
    <row r="8492" spans="1:2" x14ac:dyDescent="0.2">
      <c r="A8492" s="68">
        <v>36251</v>
      </c>
      <c r="B8492" s="69">
        <v>1.0679000000000001</v>
      </c>
    </row>
    <row r="8493" spans="1:2" x14ac:dyDescent="0.2">
      <c r="A8493" s="68">
        <v>36250</v>
      </c>
      <c r="B8493" s="69">
        <v>1.0685</v>
      </c>
    </row>
    <row r="8494" spans="1:2" x14ac:dyDescent="0.2">
      <c r="A8494" s="68">
        <v>36249</v>
      </c>
      <c r="B8494" s="69">
        <v>1.0679000000000001</v>
      </c>
    </row>
    <row r="8495" spans="1:2" x14ac:dyDescent="0.2">
      <c r="A8495" s="68">
        <v>36248</v>
      </c>
      <c r="B8495" s="69">
        <v>1.0679000000000001</v>
      </c>
    </row>
    <row r="8496" spans="1:2" x14ac:dyDescent="0.2">
      <c r="A8496" s="68">
        <v>36247</v>
      </c>
      <c r="B8496" s="69"/>
    </row>
    <row r="8497" spans="1:2" x14ac:dyDescent="0.2">
      <c r="A8497" s="68">
        <v>36246</v>
      </c>
      <c r="B8497" s="69"/>
    </row>
    <row r="8498" spans="1:2" x14ac:dyDescent="0.2">
      <c r="A8498" s="68">
        <v>36245</v>
      </c>
      <c r="B8498" s="69">
        <v>1.0680000000000001</v>
      </c>
    </row>
    <row r="8499" spans="1:2" x14ac:dyDescent="0.2">
      <c r="A8499" s="68">
        <v>36244</v>
      </c>
      <c r="B8499" s="69">
        <v>1.0678000000000001</v>
      </c>
    </row>
    <row r="8500" spans="1:2" x14ac:dyDescent="0.2">
      <c r="A8500" s="68">
        <v>36243</v>
      </c>
      <c r="B8500" s="69">
        <v>1.0676000000000001</v>
      </c>
    </row>
    <row r="8501" spans="1:2" x14ac:dyDescent="0.2">
      <c r="A8501" s="68">
        <v>36242</v>
      </c>
      <c r="B8501" s="69">
        <v>1.0677000000000001</v>
      </c>
    </row>
    <row r="8502" spans="1:2" x14ac:dyDescent="0.2">
      <c r="A8502" s="68">
        <v>36241</v>
      </c>
      <c r="B8502" s="69">
        <v>1.0679000000000001</v>
      </c>
    </row>
    <row r="8503" spans="1:2" x14ac:dyDescent="0.2">
      <c r="A8503" s="68">
        <v>36240</v>
      </c>
      <c r="B8503" s="69"/>
    </row>
    <row r="8504" spans="1:2" x14ac:dyDescent="0.2">
      <c r="A8504" s="68">
        <v>36239</v>
      </c>
      <c r="B8504" s="69"/>
    </row>
    <row r="8505" spans="1:2" x14ac:dyDescent="0.2">
      <c r="A8505" s="68">
        <v>36238</v>
      </c>
      <c r="B8505" s="69">
        <v>1.0680000000000001</v>
      </c>
    </row>
    <row r="8506" spans="1:2" x14ac:dyDescent="0.2">
      <c r="A8506" s="68">
        <v>36237</v>
      </c>
      <c r="B8506" s="69">
        <v>1.0686</v>
      </c>
    </row>
    <row r="8507" spans="1:2" x14ac:dyDescent="0.2">
      <c r="A8507" s="68">
        <v>36236</v>
      </c>
      <c r="B8507" s="69">
        <v>1.0685</v>
      </c>
    </row>
    <row r="8508" spans="1:2" x14ac:dyDescent="0.2">
      <c r="A8508" s="68">
        <v>36235</v>
      </c>
      <c r="B8508" s="69">
        <v>1.0683</v>
      </c>
    </row>
    <row r="8509" spans="1:2" x14ac:dyDescent="0.2">
      <c r="A8509" s="68">
        <v>36234</v>
      </c>
      <c r="B8509" s="69">
        <v>1.0685</v>
      </c>
    </row>
    <row r="8510" spans="1:2" x14ac:dyDescent="0.2">
      <c r="A8510" s="68">
        <v>36233</v>
      </c>
      <c r="B8510" s="69"/>
    </row>
    <row r="8511" spans="1:2" x14ac:dyDescent="0.2">
      <c r="A8511" s="68">
        <v>36232</v>
      </c>
      <c r="B8511" s="69"/>
    </row>
    <row r="8512" spans="1:2" x14ac:dyDescent="0.2">
      <c r="A8512" s="68">
        <v>36231</v>
      </c>
      <c r="B8512" s="69">
        <v>1.0682</v>
      </c>
    </row>
    <row r="8513" spans="1:2" x14ac:dyDescent="0.2">
      <c r="A8513" s="68">
        <v>36230</v>
      </c>
      <c r="B8513" s="69">
        <v>1.0684</v>
      </c>
    </row>
    <row r="8514" spans="1:2" x14ac:dyDescent="0.2">
      <c r="A8514" s="68">
        <v>36229</v>
      </c>
      <c r="B8514" s="69">
        <v>1.0679000000000001</v>
      </c>
    </row>
    <row r="8515" spans="1:2" x14ac:dyDescent="0.2">
      <c r="A8515" s="68">
        <v>36228</v>
      </c>
      <c r="B8515" s="69">
        <v>1.0689</v>
      </c>
    </row>
    <row r="8516" spans="1:2" x14ac:dyDescent="0.2">
      <c r="A8516" s="68">
        <v>36227</v>
      </c>
      <c r="B8516" s="69">
        <v>1.0677000000000001</v>
      </c>
    </row>
    <row r="8517" spans="1:2" x14ac:dyDescent="0.2">
      <c r="A8517" s="68">
        <v>36226</v>
      </c>
      <c r="B8517" s="69"/>
    </row>
    <row r="8518" spans="1:2" x14ac:dyDescent="0.2">
      <c r="A8518" s="68">
        <v>36225</v>
      </c>
      <c r="B8518" s="69"/>
    </row>
    <row r="8519" spans="1:2" x14ac:dyDescent="0.2">
      <c r="A8519" s="68">
        <v>36224</v>
      </c>
      <c r="B8519" s="69">
        <v>1.0677000000000001</v>
      </c>
    </row>
    <row r="8520" spans="1:2" x14ac:dyDescent="0.2">
      <c r="A8520" s="68">
        <v>36223</v>
      </c>
      <c r="B8520" s="69">
        <v>1.0689</v>
      </c>
    </row>
    <row r="8521" spans="1:2" x14ac:dyDescent="0.2">
      <c r="A8521" s="68">
        <v>36222</v>
      </c>
      <c r="B8521" s="69">
        <v>1.0689</v>
      </c>
    </row>
    <row r="8522" spans="1:2" x14ac:dyDescent="0.2">
      <c r="A8522" s="68">
        <v>36221</v>
      </c>
      <c r="B8522" s="69">
        <v>1.0691999999999999</v>
      </c>
    </row>
    <row r="8523" spans="1:2" x14ac:dyDescent="0.2">
      <c r="A8523" s="68">
        <v>36220</v>
      </c>
      <c r="B8523" s="69">
        <v>1.0673999999999999</v>
      </c>
    </row>
    <row r="8524" spans="1:2" x14ac:dyDescent="0.2">
      <c r="A8524" s="68">
        <v>36219</v>
      </c>
      <c r="B8524" s="69"/>
    </row>
    <row r="8525" spans="1:2" x14ac:dyDescent="0.2">
      <c r="A8525" s="68">
        <v>36218</v>
      </c>
      <c r="B8525" s="69"/>
    </row>
    <row r="8526" spans="1:2" x14ac:dyDescent="0.2">
      <c r="A8526" s="68">
        <v>36217</v>
      </c>
      <c r="B8526" s="69">
        <v>1.0692999999999999</v>
      </c>
    </row>
    <row r="8527" spans="1:2" x14ac:dyDescent="0.2">
      <c r="A8527" s="68">
        <v>36216</v>
      </c>
      <c r="B8527" s="69">
        <v>1.0683</v>
      </c>
    </row>
    <row r="8528" spans="1:2" x14ac:dyDescent="0.2">
      <c r="A8528" s="68">
        <v>36215</v>
      </c>
      <c r="B8528" s="69">
        <v>1.0683</v>
      </c>
    </row>
    <row r="8529" spans="1:2" x14ac:dyDescent="0.2">
      <c r="A8529" s="68">
        <v>36214</v>
      </c>
      <c r="B8529" s="69">
        <v>1.0691999999999999</v>
      </c>
    </row>
    <row r="8530" spans="1:2" x14ac:dyDescent="0.2">
      <c r="A8530" s="68">
        <v>36213</v>
      </c>
      <c r="B8530" s="69"/>
    </row>
    <row r="8531" spans="1:2" x14ac:dyDescent="0.2">
      <c r="A8531" s="68">
        <v>36212</v>
      </c>
      <c r="B8531" s="69"/>
    </row>
    <row r="8532" spans="1:2" x14ac:dyDescent="0.2">
      <c r="A8532" s="68">
        <v>36211</v>
      </c>
      <c r="B8532" s="69"/>
    </row>
    <row r="8533" spans="1:2" x14ac:dyDescent="0.2">
      <c r="A8533" s="68">
        <v>36210</v>
      </c>
      <c r="B8533" s="69"/>
    </row>
    <row r="8534" spans="1:2" x14ac:dyDescent="0.2">
      <c r="A8534" s="68">
        <v>36209</v>
      </c>
      <c r="B8534" s="69"/>
    </row>
    <row r="8535" spans="1:2" x14ac:dyDescent="0.2">
      <c r="A8535" s="68">
        <v>36208</v>
      </c>
      <c r="B8535" s="69"/>
    </row>
    <row r="8536" spans="1:2" x14ac:dyDescent="0.2">
      <c r="A8536" s="68">
        <v>36207</v>
      </c>
      <c r="B8536" s="69"/>
    </row>
    <row r="8537" spans="1:2" x14ac:dyDescent="0.2">
      <c r="A8537" s="68">
        <v>36206</v>
      </c>
      <c r="B8537" s="69">
        <v>1.0686</v>
      </c>
    </row>
    <row r="8538" spans="1:2" x14ac:dyDescent="0.2">
      <c r="A8538" s="68">
        <v>36205</v>
      </c>
      <c r="B8538" s="69">
        <v>1.0685</v>
      </c>
    </row>
    <row r="8539" spans="1:2" x14ac:dyDescent="0.2">
      <c r="A8539" s="68">
        <v>36204</v>
      </c>
      <c r="B8539" s="69">
        <v>1.0681</v>
      </c>
    </row>
    <row r="8540" spans="1:2" x14ac:dyDescent="0.2">
      <c r="A8540" s="68">
        <v>36203</v>
      </c>
      <c r="B8540" s="69">
        <v>1.0686</v>
      </c>
    </row>
    <row r="8541" spans="1:2" x14ac:dyDescent="0.2">
      <c r="A8541" s="68">
        <v>36202</v>
      </c>
      <c r="B8541" s="69">
        <v>1.0673999999999999</v>
      </c>
    </row>
    <row r="8542" spans="1:2" x14ac:dyDescent="0.2">
      <c r="A8542" s="68">
        <v>36201</v>
      </c>
      <c r="B8542" s="69">
        <v>1.0672999999999999</v>
      </c>
    </row>
    <row r="8543" spans="1:2" x14ac:dyDescent="0.2">
      <c r="A8543" s="68">
        <v>36200</v>
      </c>
      <c r="B8543" s="69">
        <v>1.0673999999999999</v>
      </c>
    </row>
    <row r="8544" spans="1:2" x14ac:dyDescent="0.2">
      <c r="A8544" s="68">
        <v>36199</v>
      </c>
      <c r="B8544" s="69">
        <v>1.0673999999999999</v>
      </c>
    </row>
    <row r="8545" spans="1:2" x14ac:dyDescent="0.2">
      <c r="A8545" s="68">
        <v>36198</v>
      </c>
      <c r="B8545" s="69"/>
    </row>
    <row r="8546" spans="1:2" x14ac:dyDescent="0.2">
      <c r="A8546" s="68">
        <v>36197</v>
      </c>
      <c r="B8546" s="69"/>
    </row>
    <row r="8547" spans="1:2" x14ac:dyDescent="0.2">
      <c r="A8547" s="68">
        <v>36196</v>
      </c>
      <c r="B8547" s="69">
        <v>1.0674999999999999</v>
      </c>
    </row>
    <row r="8548" spans="1:2" x14ac:dyDescent="0.2">
      <c r="A8548" s="68">
        <v>36195</v>
      </c>
      <c r="B8548" s="69">
        <v>1.0673999999999999</v>
      </c>
    </row>
    <row r="8549" spans="1:2" x14ac:dyDescent="0.2">
      <c r="A8549" s="68">
        <v>36194</v>
      </c>
      <c r="B8549" s="69">
        <v>1.0674999999999999</v>
      </c>
    </row>
    <row r="8550" spans="1:2" x14ac:dyDescent="0.2">
      <c r="A8550" s="68">
        <v>36193</v>
      </c>
      <c r="B8550" s="69">
        <v>1.0676000000000001</v>
      </c>
    </row>
    <row r="8551" spans="1:2" x14ac:dyDescent="0.2">
      <c r="A8551" s="68">
        <v>36192</v>
      </c>
      <c r="B8551" s="69">
        <v>1.0674999999999999</v>
      </c>
    </row>
    <row r="8552" spans="1:2" x14ac:dyDescent="0.2">
      <c r="A8552" s="68">
        <v>36191</v>
      </c>
      <c r="B8552" s="69"/>
    </row>
    <row r="8553" spans="1:2" x14ac:dyDescent="0.2">
      <c r="A8553" s="68">
        <v>36190</v>
      </c>
      <c r="B8553" s="69"/>
    </row>
    <row r="8554" spans="1:2" x14ac:dyDescent="0.2">
      <c r="A8554" s="68">
        <v>36189</v>
      </c>
      <c r="B8554" s="69">
        <v>1.0676000000000001</v>
      </c>
    </row>
    <row r="8555" spans="1:2" x14ac:dyDescent="0.2">
      <c r="A8555" s="68">
        <v>36188</v>
      </c>
      <c r="B8555" s="69">
        <v>1.0677000000000001</v>
      </c>
    </row>
    <row r="8556" spans="1:2" x14ac:dyDescent="0.2">
      <c r="A8556" s="68">
        <v>36187</v>
      </c>
      <c r="B8556" s="69">
        <v>1.0678000000000001</v>
      </c>
    </row>
    <row r="8557" spans="1:2" x14ac:dyDescent="0.2">
      <c r="A8557" s="68">
        <v>36186</v>
      </c>
      <c r="B8557" s="69">
        <v>1.0688</v>
      </c>
    </row>
    <row r="8558" spans="1:2" x14ac:dyDescent="0.2">
      <c r="A8558" s="68">
        <v>36185</v>
      </c>
      <c r="B8558" s="69">
        <v>1.0677000000000001</v>
      </c>
    </row>
    <row r="8559" spans="1:2" x14ac:dyDescent="0.2">
      <c r="A8559" s="68">
        <v>36184</v>
      </c>
      <c r="B8559" s="69"/>
    </row>
    <row r="8560" spans="1:2" x14ac:dyDescent="0.2">
      <c r="A8560" s="68">
        <v>36183</v>
      </c>
      <c r="B8560" s="69"/>
    </row>
    <row r="8561" spans="1:2" x14ac:dyDescent="0.2">
      <c r="A8561" s="68">
        <v>36182</v>
      </c>
      <c r="B8561" s="69">
        <v>1.0684</v>
      </c>
    </row>
    <row r="8562" spans="1:2" x14ac:dyDescent="0.2">
      <c r="A8562" s="68">
        <v>36181</v>
      </c>
      <c r="B8562" s="69">
        <v>1.0679000000000001</v>
      </c>
    </row>
    <row r="8563" spans="1:2" x14ac:dyDescent="0.2">
      <c r="A8563" s="68">
        <v>36180</v>
      </c>
      <c r="B8563" s="69">
        <v>1.0680000000000001</v>
      </c>
    </row>
    <row r="8564" spans="1:2" x14ac:dyDescent="0.2">
      <c r="A8564" s="68">
        <v>36179</v>
      </c>
      <c r="B8564" s="69">
        <v>1.0678000000000001</v>
      </c>
    </row>
    <row r="8565" spans="1:2" x14ac:dyDescent="0.2">
      <c r="A8565" s="68">
        <v>36178</v>
      </c>
      <c r="B8565" s="69">
        <v>1.0683</v>
      </c>
    </row>
    <row r="8566" spans="1:2" x14ac:dyDescent="0.2">
      <c r="A8566" s="68">
        <v>36177</v>
      </c>
      <c r="B8566" s="69"/>
    </row>
    <row r="8567" spans="1:2" x14ac:dyDescent="0.2">
      <c r="A8567" s="68">
        <v>36176</v>
      </c>
      <c r="B8567" s="69"/>
    </row>
    <row r="8568" spans="1:2" x14ac:dyDescent="0.2">
      <c r="A8568" s="68">
        <v>36175</v>
      </c>
      <c r="B8568" s="69">
        <v>1.0681</v>
      </c>
    </row>
    <row r="8569" spans="1:2" x14ac:dyDescent="0.2">
      <c r="A8569" s="68">
        <v>36174</v>
      </c>
      <c r="B8569" s="69">
        <v>1.0683</v>
      </c>
    </row>
    <row r="8570" spans="1:2" x14ac:dyDescent="0.2">
      <c r="A8570" s="68">
        <v>36173</v>
      </c>
      <c r="B8570" s="69">
        <v>1.0686</v>
      </c>
    </row>
    <row r="8571" spans="1:2" x14ac:dyDescent="0.2">
      <c r="A8571" s="68">
        <v>36172</v>
      </c>
      <c r="B8571" s="69">
        <v>1.0685</v>
      </c>
    </row>
    <row r="8572" spans="1:2" x14ac:dyDescent="0.2">
      <c r="A8572" s="68">
        <v>36171</v>
      </c>
      <c r="B8572" s="69">
        <v>1.0684</v>
      </c>
    </row>
    <row r="8573" spans="1:2" x14ac:dyDescent="0.2">
      <c r="A8573" s="68">
        <v>36170</v>
      </c>
      <c r="B8573" s="69"/>
    </row>
    <row r="8574" spans="1:2" x14ac:dyDescent="0.2">
      <c r="A8574" s="68">
        <v>36169</v>
      </c>
      <c r="B8574" s="69"/>
    </row>
    <row r="8575" spans="1:2" x14ac:dyDescent="0.2">
      <c r="A8575" s="68">
        <v>36168</v>
      </c>
      <c r="B8575" s="69">
        <v>1.0689</v>
      </c>
    </row>
    <row r="8576" spans="1:2" x14ac:dyDescent="0.2">
      <c r="A8576" s="68">
        <v>36167</v>
      </c>
      <c r="B8576" s="69">
        <v>1.0682</v>
      </c>
    </row>
    <row r="8577" spans="1:2" x14ac:dyDescent="0.2">
      <c r="A8577" s="68">
        <v>36166</v>
      </c>
      <c r="B8577" s="69">
        <v>1.0681</v>
      </c>
    </row>
    <row r="8578" spans="1:2" x14ac:dyDescent="0.2">
      <c r="A8578" s="68">
        <v>36165</v>
      </c>
      <c r="B8578" s="69">
        <v>1.0681</v>
      </c>
    </row>
    <row r="8579" spans="1:2" x14ac:dyDescent="0.2">
      <c r="A8579" s="68">
        <v>36164</v>
      </c>
      <c r="B8579" s="69">
        <v>1.0681</v>
      </c>
    </row>
    <row r="8580" spans="1:2" x14ac:dyDescent="0.2">
      <c r="A8580" s="68">
        <v>36163</v>
      </c>
      <c r="B8580" s="69"/>
    </row>
    <row r="8581" spans="1:2" x14ac:dyDescent="0.2">
      <c r="A8581" s="68">
        <v>36162</v>
      </c>
      <c r="B8581" s="69"/>
    </row>
    <row r="8582" spans="1:2" x14ac:dyDescent="0.2">
      <c r="A8582" s="68">
        <v>36161</v>
      </c>
      <c r="B8582" s="69"/>
    </row>
    <row r="8583" spans="1:2" x14ac:dyDescent="0.2">
      <c r="A8583" s="68">
        <v>36160</v>
      </c>
      <c r="B8583" s="69">
        <v>1.0678000000000001</v>
      </c>
    </row>
    <row r="8584" spans="1:2" x14ac:dyDescent="0.2">
      <c r="A8584" s="68">
        <v>36159</v>
      </c>
      <c r="B8584" s="69">
        <v>1.0685</v>
      </c>
    </row>
    <row r="8585" spans="1:2" x14ac:dyDescent="0.2">
      <c r="A8585" s="68">
        <v>36158</v>
      </c>
      <c r="B8585" s="69">
        <v>1.0680000000000001</v>
      </c>
    </row>
    <row r="8586" spans="1:2" x14ac:dyDescent="0.2">
      <c r="A8586" s="68">
        <v>36157</v>
      </c>
      <c r="B8586" s="69">
        <v>1.0674999999999999</v>
      </c>
    </row>
    <row r="8587" spans="1:2" x14ac:dyDescent="0.2">
      <c r="A8587" s="68">
        <v>36156</v>
      </c>
      <c r="B8587" s="69"/>
    </row>
    <row r="8588" spans="1:2" x14ac:dyDescent="0.2">
      <c r="A8588" s="68">
        <v>36155</v>
      </c>
      <c r="B8588" s="69"/>
    </row>
    <row r="8589" spans="1:2" x14ac:dyDescent="0.2">
      <c r="A8589" s="68">
        <v>36154</v>
      </c>
      <c r="B8589" s="69">
        <v>1.0679000000000001</v>
      </c>
    </row>
    <row r="8590" spans="1:2" x14ac:dyDescent="0.2">
      <c r="A8590" s="68">
        <v>36153</v>
      </c>
      <c r="B8590" s="69">
        <v>1.0680000000000001</v>
      </c>
    </row>
    <row r="8591" spans="1:2" x14ac:dyDescent="0.2">
      <c r="A8591" s="68">
        <v>36152</v>
      </c>
      <c r="B8591" s="69">
        <v>1.0678000000000001</v>
      </c>
    </row>
    <row r="8592" spans="1:2" x14ac:dyDescent="0.2">
      <c r="A8592" s="68">
        <v>36151</v>
      </c>
      <c r="B8592" s="69">
        <v>1.0678000000000001</v>
      </c>
    </row>
    <row r="8593" spans="1:2" x14ac:dyDescent="0.2">
      <c r="A8593" s="68">
        <v>36150</v>
      </c>
      <c r="B8593" s="69">
        <v>1.0705</v>
      </c>
    </row>
    <row r="8594" spans="1:2" x14ac:dyDescent="0.2">
      <c r="A8594" s="68">
        <v>36149</v>
      </c>
      <c r="B8594" s="69"/>
    </row>
    <row r="8595" spans="1:2" x14ac:dyDescent="0.2">
      <c r="A8595" s="68">
        <v>36148</v>
      </c>
      <c r="B8595" s="69"/>
    </row>
    <row r="8596" spans="1:2" x14ac:dyDescent="0.2">
      <c r="A8596" s="68">
        <v>36147</v>
      </c>
      <c r="B8596" s="69">
        <v>1.0678000000000001</v>
      </c>
    </row>
    <row r="8597" spans="1:2" x14ac:dyDescent="0.2">
      <c r="A8597" s="68">
        <v>36146</v>
      </c>
      <c r="B8597" s="69">
        <v>1.0676000000000001</v>
      </c>
    </row>
    <row r="8598" spans="1:2" x14ac:dyDescent="0.2">
      <c r="A8598" s="68">
        <v>36145</v>
      </c>
      <c r="B8598" s="69">
        <v>1.0676000000000001</v>
      </c>
    </row>
    <row r="8599" spans="1:2" x14ac:dyDescent="0.2">
      <c r="A8599" s="68">
        <v>36144</v>
      </c>
      <c r="B8599" s="69">
        <v>1.0677000000000001</v>
      </c>
    </row>
    <row r="8600" spans="1:2" x14ac:dyDescent="0.2">
      <c r="A8600" s="68">
        <v>36143</v>
      </c>
      <c r="B8600" s="69">
        <v>1.0676000000000001</v>
      </c>
    </row>
    <row r="8601" spans="1:2" x14ac:dyDescent="0.2">
      <c r="A8601" s="68">
        <v>36142</v>
      </c>
      <c r="B8601" s="69"/>
    </row>
    <row r="8602" spans="1:2" x14ac:dyDescent="0.2">
      <c r="A8602" s="68">
        <v>36141</v>
      </c>
      <c r="B8602" s="69"/>
    </row>
    <row r="8603" spans="1:2" x14ac:dyDescent="0.2">
      <c r="A8603" s="68">
        <v>36140</v>
      </c>
      <c r="B8603" s="69">
        <v>1.0676000000000001</v>
      </c>
    </row>
    <row r="8604" spans="1:2" x14ac:dyDescent="0.2">
      <c r="A8604" s="68">
        <v>36139</v>
      </c>
      <c r="B8604" s="69">
        <v>1.0676000000000001</v>
      </c>
    </row>
    <row r="8605" spans="1:2" x14ac:dyDescent="0.2">
      <c r="A8605" s="68">
        <v>36138</v>
      </c>
      <c r="B8605" s="69">
        <v>1.0676000000000001</v>
      </c>
    </row>
    <row r="8606" spans="1:2" x14ac:dyDescent="0.2">
      <c r="A8606" s="68">
        <v>36137</v>
      </c>
      <c r="B8606" s="69">
        <v>1.0677000000000001</v>
      </c>
    </row>
    <row r="8607" spans="1:2" x14ac:dyDescent="0.2">
      <c r="A8607" s="68">
        <v>36136</v>
      </c>
      <c r="B8607" s="69">
        <v>1.0679000000000001</v>
      </c>
    </row>
    <row r="8608" spans="1:2" x14ac:dyDescent="0.2">
      <c r="A8608" s="68">
        <v>36135</v>
      </c>
      <c r="B8608" s="69"/>
    </row>
    <row r="8609" spans="1:2" x14ac:dyDescent="0.2">
      <c r="A8609" s="68">
        <v>36134</v>
      </c>
      <c r="B8609" s="69"/>
    </row>
    <row r="8610" spans="1:2" x14ac:dyDescent="0.2">
      <c r="A8610" s="68">
        <v>36133</v>
      </c>
      <c r="B8610" s="69">
        <v>1.0679000000000001</v>
      </c>
    </row>
    <row r="8611" spans="1:2" x14ac:dyDescent="0.2">
      <c r="A8611" s="68">
        <v>36132</v>
      </c>
      <c r="B8611" s="69">
        <v>1.0680000000000001</v>
      </c>
    </row>
    <row r="8612" spans="1:2" x14ac:dyDescent="0.2">
      <c r="A8612" s="68">
        <v>36131</v>
      </c>
      <c r="B8612" s="69">
        <v>1.0683</v>
      </c>
    </row>
    <row r="8613" spans="1:2" x14ac:dyDescent="0.2">
      <c r="A8613" s="68">
        <v>36130</v>
      </c>
      <c r="B8613" s="69">
        <v>1.0682</v>
      </c>
    </row>
    <row r="8614" spans="1:2" x14ac:dyDescent="0.2">
      <c r="A8614" s="68">
        <v>36129</v>
      </c>
      <c r="B8614" s="69">
        <v>1.0681</v>
      </c>
    </row>
    <row r="8615" spans="1:2" x14ac:dyDescent="0.2">
      <c r="A8615" s="68">
        <v>36128</v>
      </c>
      <c r="B8615" s="69"/>
    </row>
    <row r="8616" spans="1:2" x14ac:dyDescent="0.2">
      <c r="A8616" s="68">
        <v>36127</v>
      </c>
      <c r="B8616" s="69"/>
    </row>
    <row r="8617" spans="1:2" x14ac:dyDescent="0.2">
      <c r="A8617" s="68">
        <v>36126</v>
      </c>
      <c r="B8617" s="69">
        <v>1.0681</v>
      </c>
    </row>
    <row r="8618" spans="1:2" x14ac:dyDescent="0.2">
      <c r="A8618" s="68">
        <v>36125</v>
      </c>
      <c r="B8618" s="69">
        <v>1.0680000000000001</v>
      </c>
    </row>
    <row r="8619" spans="1:2" x14ac:dyDescent="0.2">
      <c r="A8619" s="68">
        <v>36124</v>
      </c>
      <c r="B8619" s="69">
        <v>1.0681</v>
      </c>
    </row>
    <row r="8620" spans="1:2" x14ac:dyDescent="0.2">
      <c r="A8620" s="68">
        <v>36123</v>
      </c>
      <c r="B8620" s="69">
        <v>1.0682</v>
      </c>
    </row>
    <row r="8621" spans="1:2" x14ac:dyDescent="0.2">
      <c r="A8621" s="68">
        <v>36122</v>
      </c>
      <c r="B8621" s="69">
        <v>1.0681</v>
      </c>
    </row>
    <row r="8622" spans="1:2" x14ac:dyDescent="0.2">
      <c r="A8622" s="68">
        <v>36121</v>
      </c>
      <c r="B8622" s="69"/>
    </row>
    <row r="8623" spans="1:2" x14ac:dyDescent="0.2">
      <c r="A8623" s="68">
        <v>36120</v>
      </c>
      <c r="B8623" s="69"/>
    </row>
    <row r="8624" spans="1:2" x14ac:dyDescent="0.2">
      <c r="A8624" s="68">
        <v>36119</v>
      </c>
      <c r="B8624" s="69">
        <v>1.0680000000000001</v>
      </c>
    </row>
    <row r="8625" spans="1:2" x14ac:dyDescent="0.2">
      <c r="A8625" s="68">
        <v>36118</v>
      </c>
      <c r="B8625" s="69">
        <v>1.0681</v>
      </c>
    </row>
    <row r="8626" spans="1:2" x14ac:dyDescent="0.2">
      <c r="A8626" s="68">
        <v>36117</v>
      </c>
      <c r="B8626" s="69">
        <v>1.0681</v>
      </c>
    </row>
    <row r="8627" spans="1:2" x14ac:dyDescent="0.2">
      <c r="A8627" s="68">
        <v>36116</v>
      </c>
      <c r="B8627" s="69">
        <v>1.0681</v>
      </c>
    </row>
    <row r="8628" spans="1:2" x14ac:dyDescent="0.2">
      <c r="A8628" s="68">
        <v>36115</v>
      </c>
      <c r="B8628" s="69"/>
    </row>
    <row r="8629" spans="1:2" x14ac:dyDescent="0.2">
      <c r="A8629" s="68">
        <v>36114</v>
      </c>
      <c r="B8629" s="69"/>
    </row>
    <row r="8630" spans="1:2" x14ac:dyDescent="0.2">
      <c r="A8630" s="68">
        <v>36113</v>
      </c>
      <c r="B8630" s="69"/>
    </row>
    <row r="8631" spans="1:2" x14ac:dyDescent="0.2">
      <c r="A8631" s="68">
        <v>36112</v>
      </c>
      <c r="B8631" s="69">
        <v>1.0678000000000001</v>
      </c>
    </row>
    <row r="8632" spans="1:2" x14ac:dyDescent="0.2">
      <c r="A8632" s="68">
        <v>36111</v>
      </c>
      <c r="B8632" s="69">
        <v>1.0688</v>
      </c>
    </row>
    <row r="8633" spans="1:2" x14ac:dyDescent="0.2">
      <c r="A8633" s="68">
        <v>36110</v>
      </c>
      <c r="B8633" s="69">
        <v>1.0686</v>
      </c>
    </row>
    <row r="8634" spans="1:2" x14ac:dyDescent="0.2">
      <c r="A8634" s="68">
        <v>36109</v>
      </c>
      <c r="B8634" s="69">
        <v>1.0680000000000001</v>
      </c>
    </row>
    <row r="8635" spans="1:2" x14ac:dyDescent="0.2">
      <c r="A8635" s="68">
        <v>36108</v>
      </c>
      <c r="B8635" s="69">
        <v>1.0681</v>
      </c>
    </row>
    <row r="8636" spans="1:2" x14ac:dyDescent="0.2">
      <c r="A8636" s="68">
        <v>36107</v>
      </c>
      <c r="B8636" s="69"/>
    </row>
    <row r="8637" spans="1:2" x14ac:dyDescent="0.2">
      <c r="A8637" s="68">
        <v>36106</v>
      </c>
      <c r="B8637" s="69"/>
    </row>
    <row r="8638" spans="1:2" x14ac:dyDescent="0.2">
      <c r="A8638" s="68">
        <v>36105</v>
      </c>
      <c r="B8638" s="69">
        <v>1.0683</v>
      </c>
    </row>
    <row r="8639" spans="1:2" x14ac:dyDescent="0.2">
      <c r="A8639" s="68">
        <v>36104</v>
      </c>
      <c r="B8639" s="69">
        <v>1.0681</v>
      </c>
    </row>
    <row r="8640" spans="1:2" x14ac:dyDescent="0.2">
      <c r="A8640" s="68">
        <v>36103</v>
      </c>
      <c r="B8640" s="69">
        <v>1.0679000000000001</v>
      </c>
    </row>
    <row r="8641" spans="1:2" x14ac:dyDescent="0.2">
      <c r="A8641" s="68">
        <v>36102</v>
      </c>
      <c r="B8641" s="69">
        <v>1.0672999999999999</v>
      </c>
    </row>
    <row r="8642" spans="1:2" x14ac:dyDescent="0.2">
      <c r="A8642" s="68">
        <v>36101</v>
      </c>
      <c r="B8642" s="69">
        <v>1.0672999999999999</v>
      </c>
    </row>
    <row r="8643" spans="1:2" x14ac:dyDescent="0.2">
      <c r="A8643" s="68">
        <v>36100</v>
      </c>
      <c r="B8643" s="69"/>
    </row>
    <row r="8644" spans="1:2" x14ac:dyDescent="0.2">
      <c r="A8644" s="68">
        <v>36099</v>
      </c>
      <c r="B8644" s="69"/>
    </row>
    <row r="8645" spans="1:2" x14ac:dyDescent="0.2">
      <c r="A8645" s="68">
        <v>36098</v>
      </c>
      <c r="B8645" s="69">
        <v>1.0672999999999999</v>
      </c>
    </row>
    <row r="8646" spans="1:2" x14ac:dyDescent="0.2">
      <c r="A8646" s="68">
        <v>36097</v>
      </c>
      <c r="B8646" s="69">
        <v>1.0670999999999999</v>
      </c>
    </row>
    <row r="8647" spans="1:2" x14ac:dyDescent="0.2">
      <c r="A8647" s="68">
        <v>36096</v>
      </c>
      <c r="B8647" s="69">
        <v>1.0670999999999999</v>
      </c>
    </row>
    <row r="8648" spans="1:2" x14ac:dyDescent="0.2">
      <c r="A8648" s="68">
        <v>36095</v>
      </c>
      <c r="B8648" s="69">
        <v>1.0670999999999999</v>
      </c>
    </row>
    <row r="8649" spans="1:2" x14ac:dyDescent="0.2">
      <c r="A8649" s="68">
        <v>36094</v>
      </c>
      <c r="B8649" s="69">
        <v>1.0669999999999999</v>
      </c>
    </row>
    <row r="8650" spans="1:2" x14ac:dyDescent="0.2">
      <c r="A8650" s="68">
        <v>36093</v>
      </c>
      <c r="B8650" s="69"/>
    </row>
    <row r="8651" spans="1:2" x14ac:dyDescent="0.2">
      <c r="A8651" s="68">
        <v>36092</v>
      </c>
      <c r="B8651" s="69"/>
    </row>
    <row r="8652" spans="1:2" x14ac:dyDescent="0.2">
      <c r="A8652" s="68">
        <v>36091</v>
      </c>
      <c r="B8652" s="69">
        <v>1.0670999999999999</v>
      </c>
    </row>
    <row r="8653" spans="1:2" x14ac:dyDescent="0.2">
      <c r="A8653" s="68">
        <v>36090</v>
      </c>
      <c r="B8653" s="69">
        <v>1.0672999999999999</v>
      </c>
    </row>
    <row r="8654" spans="1:2" x14ac:dyDescent="0.2">
      <c r="A8654" s="68">
        <v>36089</v>
      </c>
      <c r="B8654" s="69">
        <v>1.0671999999999999</v>
      </c>
    </row>
    <row r="8655" spans="1:2" x14ac:dyDescent="0.2">
      <c r="A8655" s="68">
        <v>36088</v>
      </c>
      <c r="B8655" s="69">
        <v>1.0669</v>
      </c>
    </row>
    <row r="8656" spans="1:2" x14ac:dyDescent="0.2">
      <c r="A8656" s="68">
        <v>36087</v>
      </c>
      <c r="B8656" s="69">
        <v>1.0671999999999999</v>
      </c>
    </row>
    <row r="8657" spans="1:2" x14ac:dyDescent="0.2">
      <c r="A8657" s="68">
        <v>36086</v>
      </c>
      <c r="B8657" s="69"/>
    </row>
    <row r="8658" spans="1:2" x14ac:dyDescent="0.2">
      <c r="A8658" s="68">
        <v>36085</v>
      </c>
      <c r="B8658" s="69"/>
    </row>
    <row r="8659" spans="1:2" x14ac:dyDescent="0.2">
      <c r="A8659" s="68">
        <v>36084</v>
      </c>
      <c r="B8659" s="69">
        <v>1.0666</v>
      </c>
    </row>
    <row r="8660" spans="1:2" x14ac:dyDescent="0.2">
      <c r="A8660" s="68">
        <v>36083</v>
      </c>
      <c r="B8660" s="69">
        <v>1.0672999999999999</v>
      </c>
    </row>
    <row r="8661" spans="1:2" x14ac:dyDescent="0.2">
      <c r="A8661" s="68">
        <v>36082</v>
      </c>
      <c r="B8661" s="69">
        <v>1.0682</v>
      </c>
    </row>
    <row r="8662" spans="1:2" x14ac:dyDescent="0.2">
      <c r="A8662" s="68">
        <v>36081</v>
      </c>
      <c r="B8662" s="69">
        <v>1.0672999999999999</v>
      </c>
    </row>
    <row r="8663" spans="1:2" x14ac:dyDescent="0.2">
      <c r="A8663" s="68">
        <v>36080</v>
      </c>
      <c r="B8663" s="69">
        <v>1.0671999999999999</v>
      </c>
    </row>
    <row r="8664" spans="1:2" x14ac:dyDescent="0.2">
      <c r="A8664" s="68">
        <v>36079</v>
      </c>
      <c r="B8664" s="69"/>
    </row>
    <row r="8665" spans="1:2" x14ac:dyDescent="0.2">
      <c r="A8665" s="68">
        <v>36078</v>
      </c>
      <c r="B8665" s="69"/>
    </row>
    <row r="8666" spans="1:2" x14ac:dyDescent="0.2">
      <c r="A8666" s="68">
        <v>36077</v>
      </c>
      <c r="B8666" s="69">
        <v>1.0672999999999999</v>
      </c>
    </row>
    <row r="8667" spans="1:2" x14ac:dyDescent="0.2">
      <c r="A8667" s="68">
        <v>36076</v>
      </c>
      <c r="B8667" s="69">
        <v>1.0671999999999999</v>
      </c>
    </row>
    <row r="8668" spans="1:2" x14ac:dyDescent="0.2">
      <c r="A8668" s="68">
        <v>36075</v>
      </c>
      <c r="B8668" s="69">
        <v>1.0672999999999999</v>
      </c>
    </row>
    <row r="8669" spans="1:2" x14ac:dyDescent="0.2">
      <c r="A8669" s="68">
        <v>36074</v>
      </c>
      <c r="B8669" s="69">
        <v>1.0677000000000001</v>
      </c>
    </row>
    <row r="8670" spans="1:2" x14ac:dyDescent="0.2">
      <c r="A8670" s="68">
        <v>36073</v>
      </c>
      <c r="B8670" s="69">
        <v>1.0671999999999999</v>
      </c>
    </row>
    <row r="8671" spans="1:2" x14ac:dyDescent="0.2">
      <c r="A8671" s="68">
        <v>36072</v>
      </c>
      <c r="B8671" s="69"/>
    </row>
    <row r="8672" spans="1:2" x14ac:dyDescent="0.2">
      <c r="A8672" s="68">
        <v>36071</v>
      </c>
      <c r="B8672" s="69"/>
    </row>
    <row r="8673" spans="1:2" x14ac:dyDescent="0.2">
      <c r="A8673" s="68">
        <v>36070</v>
      </c>
      <c r="B8673" s="69"/>
    </row>
    <row r="8674" spans="1:2" x14ac:dyDescent="0.2">
      <c r="A8674" s="68">
        <v>36069</v>
      </c>
      <c r="B8674" s="69"/>
    </row>
    <row r="8675" spans="1:2" x14ac:dyDescent="0.2">
      <c r="A8675" s="68">
        <v>36068</v>
      </c>
      <c r="B8675" s="69">
        <v>1.0672999999999999</v>
      </c>
    </row>
    <row r="8676" spans="1:2" x14ac:dyDescent="0.2">
      <c r="A8676" s="68">
        <v>36067</v>
      </c>
      <c r="B8676" s="69">
        <v>1.0671999999999999</v>
      </c>
    </row>
    <row r="8677" spans="1:2" x14ac:dyDescent="0.2">
      <c r="A8677" s="68">
        <v>36066</v>
      </c>
      <c r="B8677" s="69">
        <v>1.0673999999999999</v>
      </c>
    </row>
    <row r="8678" spans="1:2" x14ac:dyDescent="0.2">
      <c r="A8678" s="68">
        <v>36065</v>
      </c>
      <c r="B8678" s="69"/>
    </row>
    <row r="8679" spans="1:2" x14ac:dyDescent="0.2">
      <c r="A8679" s="68">
        <v>36064</v>
      </c>
      <c r="B8679" s="69"/>
    </row>
    <row r="8680" spans="1:2" x14ac:dyDescent="0.2">
      <c r="A8680" s="68">
        <v>36063</v>
      </c>
      <c r="B8680" s="69">
        <v>1.0670999999999999</v>
      </c>
    </row>
    <row r="8681" spans="1:2" x14ac:dyDescent="0.2">
      <c r="A8681" s="68">
        <v>36062</v>
      </c>
      <c r="B8681" s="69">
        <v>1.0671999999999999</v>
      </c>
    </row>
    <row r="8682" spans="1:2" x14ac:dyDescent="0.2">
      <c r="A8682" s="68">
        <v>36061</v>
      </c>
      <c r="B8682" s="69">
        <v>1.0673999999999999</v>
      </c>
    </row>
    <row r="8683" spans="1:2" x14ac:dyDescent="0.2">
      <c r="A8683" s="68">
        <v>36060</v>
      </c>
      <c r="B8683" s="69">
        <v>1.0674999999999999</v>
      </c>
    </row>
    <row r="8684" spans="1:2" x14ac:dyDescent="0.2">
      <c r="A8684" s="68">
        <v>36059</v>
      </c>
      <c r="B8684" s="69">
        <v>1.0676000000000001</v>
      </c>
    </row>
    <row r="8685" spans="1:2" x14ac:dyDescent="0.2">
      <c r="A8685" s="68">
        <v>36058</v>
      </c>
      <c r="B8685" s="69"/>
    </row>
    <row r="8686" spans="1:2" x14ac:dyDescent="0.2">
      <c r="A8686" s="68">
        <v>36057</v>
      </c>
      <c r="B8686" s="69"/>
    </row>
    <row r="8687" spans="1:2" x14ac:dyDescent="0.2">
      <c r="A8687" s="68">
        <v>36056</v>
      </c>
      <c r="B8687" s="69">
        <v>1.0674999999999999</v>
      </c>
    </row>
    <row r="8688" spans="1:2" x14ac:dyDescent="0.2">
      <c r="A8688" s="68">
        <v>36055</v>
      </c>
      <c r="B8688" s="69">
        <v>1.0679000000000001</v>
      </c>
    </row>
    <row r="8689" spans="1:2" x14ac:dyDescent="0.2">
      <c r="A8689" s="68">
        <v>36054</v>
      </c>
      <c r="B8689" s="69">
        <v>1.0679000000000001</v>
      </c>
    </row>
    <row r="8690" spans="1:2" x14ac:dyDescent="0.2">
      <c r="A8690" s="68">
        <v>36053</v>
      </c>
      <c r="B8690" s="69">
        <v>1.0673999999999999</v>
      </c>
    </row>
    <row r="8691" spans="1:2" x14ac:dyDescent="0.2">
      <c r="A8691" s="68">
        <v>36052</v>
      </c>
      <c r="B8691" s="69">
        <v>1.0672999999999999</v>
      </c>
    </row>
    <row r="8692" spans="1:2" x14ac:dyDescent="0.2">
      <c r="A8692" s="68">
        <v>36051</v>
      </c>
      <c r="B8692" s="69"/>
    </row>
    <row r="8693" spans="1:2" x14ac:dyDescent="0.2">
      <c r="A8693" s="68">
        <v>36050</v>
      </c>
      <c r="B8693" s="69"/>
    </row>
    <row r="8694" spans="1:2" x14ac:dyDescent="0.2">
      <c r="A8694" s="68">
        <v>36049</v>
      </c>
      <c r="B8694" s="69">
        <v>1.0677000000000001</v>
      </c>
    </row>
    <row r="8695" spans="1:2" x14ac:dyDescent="0.2">
      <c r="A8695" s="68">
        <v>36048</v>
      </c>
      <c r="B8695" s="69">
        <v>1.0677000000000001</v>
      </c>
    </row>
    <row r="8696" spans="1:2" x14ac:dyDescent="0.2">
      <c r="A8696" s="68">
        <v>36047</v>
      </c>
      <c r="B8696" s="69">
        <v>1.0678000000000001</v>
      </c>
    </row>
    <row r="8697" spans="1:2" x14ac:dyDescent="0.2">
      <c r="A8697" s="68">
        <v>36046</v>
      </c>
      <c r="B8697" s="69">
        <v>1.0680000000000001</v>
      </c>
    </row>
    <row r="8698" spans="1:2" x14ac:dyDescent="0.2">
      <c r="A8698" s="68">
        <v>36045</v>
      </c>
      <c r="B8698" s="69">
        <v>1.0683</v>
      </c>
    </row>
    <row r="8699" spans="1:2" x14ac:dyDescent="0.2">
      <c r="A8699" s="68">
        <v>36044</v>
      </c>
      <c r="B8699" s="69"/>
    </row>
    <row r="8700" spans="1:2" x14ac:dyDescent="0.2">
      <c r="A8700" s="68">
        <v>36043</v>
      </c>
      <c r="B8700" s="69"/>
    </row>
    <row r="8701" spans="1:2" x14ac:dyDescent="0.2">
      <c r="A8701" s="68">
        <v>36042</v>
      </c>
      <c r="B8701" s="69">
        <v>1.0688</v>
      </c>
    </row>
    <row r="8702" spans="1:2" x14ac:dyDescent="0.2">
      <c r="A8702" s="68">
        <v>36041</v>
      </c>
      <c r="B8702" s="69">
        <v>1.0687</v>
      </c>
    </row>
    <row r="8703" spans="1:2" x14ac:dyDescent="0.2">
      <c r="A8703" s="68">
        <v>36040</v>
      </c>
      <c r="B8703" s="69">
        <v>1.0683</v>
      </c>
    </row>
    <row r="8704" spans="1:2" x14ac:dyDescent="0.2">
      <c r="A8704" s="68">
        <v>36039</v>
      </c>
      <c r="B8704" s="69">
        <v>1.0687</v>
      </c>
    </row>
    <row r="8705" spans="1:2" x14ac:dyDescent="0.2">
      <c r="A8705" s="68">
        <v>36038</v>
      </c>
      <c r="B8705" s="69">
        <v>1.0691999999999999</v>
      </c>
    </row>
    <row r="8706" spans="1:2" x14ac:dyDescent="0.2">
      <c r="A8706" s="68">
        <v>36037</v>
      </c>
      <c r="B8706" s="69"/>
    </row>
    <row r="8707" spans="1:2" x14ac:dyDescent="0.2">
      <c r="A8707" s="68">
        <v>36036</v>
      </c>
      <c r="B8707" s="69"/>
    </row>
    <row r="8708" spans="1:2" x14ac:dyDescent="0.2">
      <c r="A8708" s="68">
        <v>36035</v>
      </c>
      <c r="B8708" s="69">
        <v>1.0690999999999999</v>
      </c>
    </row>
    <row r="8709" spans="1:2" x14ac:dyDescent="0.2">
      <c r="A8709" s="68">
        <v>36034</v>
      </c>
      <c r="B8709" s="69">
        <v>1.0692999999999999</v>
      </c>
    </row>
    <row r="8710" spans="1:2" x14ac:dyDescent="0.2">
      <c r="A8710" s="68">
        <v>36033</v>
      </c>
      <c r="B8710" s="69">
        <v>1.0687</v>
      </c>
    </row>
    <row r="8711" spans="1:2" x14ac:dyDescent="0.2">
      <c r="A8711" s="68">
        <v>36032</v>
      </c>
      <c r="B8711" s="69">
        <v>1.0688</v>
      </c>
    </row>
    <row r="8712" spans="1:2" x14ac:dyDescent="0.2">
      <c r="A8712" s="68">
        <v>36031</v>
      </c>
      <c r="B8712" s="69">
        <v>1.069</v>
      </c>
    </row>
    <row r="8713" spans="1:2" x14ac:dyDescent="0.2">
      <c r="A8713" s="68">
        <v>36030</v>
      </c>
      <c r="B8713" s="69"/>
    </row>
    <row r="8714" spans="1:2" x14ac:dyDescent="0.2">
      <c r="A8714" s="68">
        <v>36029</v>
      </c>
      <c r="B8714" s="69"/>
    </row>
    <row r="8715" spans="1:2" x14ac:dyDescent="0.2">
      <c r="A8715" s="68">
        <v>36028</v>
      </c>
      <c r="B8715" s="69">
        <v>1.0686</v>
      </c>
    </row>
    <row r="8716" spans="1:2" x14ac:dyDescent="0.2">
      <c r="A8716" s="68">
        <v>36027</v>
      </c>
      <c r="B8716" s="69">
        <v>1.0684</v>
      </c>
    </row>
    <row r="8717" spans="1:2" x14ac:dyDescent="0.2">
      <c r="A8717" s="68">
        <v>36026</v>
      </c>
      <c r="B8717" s="69">
        <v>1.0681</v>
      </c>
    </row>
    <row r="8718" spans="1:2" x14ac:dyDescent="0.2">
      <c r="A8718" s="68">
        <v>36025</v>
      </c>
      <c r="B8718" s="69">
        <v>1.0682</v>
      </c>
    </row>
    <row r="8719" spans="1:2" x14ac:dyDescent="0.2">
      <c r="A8719" s="68">
        <v>36024</v>
      </c>
      <c r="B8719" s="69">
        <v>1.0682</v>
      </c>
    </row>
    <row r="8720" spans="1:2" x14ac:dyDescent="0.2">
      <c r="A8720" s="68">
        <v>36023</v>
      </c>
      <c r="B8720" s="69"/>
    </row>
    <row r="8721" spans="1:2" x14ac:dyDescent="0.2">
      <c r="A8721" s="68">
        <v>36022</v>
      </c>
      <c r="B8721" s="69"/>
    </row>
    <row r="8722" spans="1:2" x14ac:dyDescent="0.2">
      <c r="A8722" s="68">
        <v>36021</v>
      </c>
      <c r="B8722" s="69">
        <v>1.0685</v>
      </c>
    </row>
    <row r="8723" spans="1:2" x14ac:dyDescent="0.2">
      <c r="A8723" s="68">
        <v>36020</v>
      </c>
      <c r="B8723" s="69">
        <v>1.069</v>
      </c>
    </row>
    <row r="8724" spans="1:2" x14ac:dyDescent="0.2">
      <c r="A8724" s="68">
        <v>36019</v>
      </c>
      <c r="B8724" s="69">
        <v>1.0685</v>
      </c>
    </row>
    <row r="8725" spans="1:2" x14ac:dyDescent="0.2">
      <c r="A8725" s="68">
        <v>36018</v>
      </c>
      <c r="B8725" s="69">
        <v>1.069</v>
      </c>
    </row>
    <row r="8726" spans="1:2" x14ac:dyDescent="0.2">
      <c r="A8726" s="68">
        <v>36017</v>
      </c>
      <c r="B8726" s="69">
        <v>1.0682</v>
      </c>
    </row>
    <row r="8727" spans="1:2" x14ac:dyDescent="0.2">
      <c r="A8727" s="68">
        <v>36016</v>
      </c>
      <c r="B8727" s="69"/>
    </row>
    <row r="8728" spans="1:2" x14ac:dyDescent="0.2">
      <c r="A8728" s="68">
        <v>36015</v>
      </c>
      <c r="B8728" s="69"/>
    </row>
    <row r="8729" spans="1:2" x14ac:dyDescent="0.2">
      <c r="A8729" s="68">
        <v>36014</v>
      </c>
      <c r="B8729" s="69">
        <v>1.0682</v>
      </c>
    </row>
    <row r="8730" spans="1:2" x14ac:dyDescent="0.2">
      <c r="A8730" s="68">
        <v>36013</v>
      </c>
      <c r="B8730" s="69">
        <v>1.0682</v>
      </c>
    </row>
    <row r="8731" spans="1:2" x14ac:dyDescent="0.2">
      <c r="A8731" s="68">
        <v>36012</v>
      </c>
      <c r="B8731" s="69">
        <v>1.0681</v>
      </c>
    </row>
    <row r="8732" spans="1:2" x14ac:dyDescent="0.2">
      <c r="A8732" s="68">
        <v>36011</v>
      </c>
      <c r="B8732" s="69">
        <v>1.0682</v>
      </c>
    </row>
    <row r="8733" spans="1:2" x14ac:dyDescent="0.2">
      <c r="A8733" s="68">
        <v>36010</v>
      </c>
      <c r="B8733" s="69">
        <v>1.0681</v>
      </c>
    </row>
    <row r="8734" spans="1:2" x14ac:dyDescent="0.2">
      <c r="A8734" s="68">
        <v>36009</v>
      </c>
      <c r="B8734" s="69"/>
    </row>
    <row r="8735" spans="1:2" x14ac:dyDescent="0.2">
      <c r="A8735" s="68">
        <v>36008</v>
      </c>
      <c r="B8735" s="69"/>
    </row>
    <row r="8736" spans="1:2" x14ac:dyDescent="0.2">
      <c r="A8736" s="68">
        <v>36007</v>
      </c>
      <c r="B8736" s="69">
        <v>1.0681</v>
      </c>
    </row>
    <row r="8737" spans="1:2" x14ac:dyDescent="0.2">
      <c r="A8737" s="68">
        <v>36006</v>
      </c>
      <c r="B8737" s="69">
        <v>1.0683</v>
      </c>
    </row>
    <row r="8738" spans="1:2" x14ac:dyDescent="0.2">
      <c r="A8738" s="68">
        <v>36005</v>
      </c>
      <c r="B8738" s="69">
        <v>1.0686</v>
      </c>
    </row>
    <row r="8739" spans="1:2" x14ac:dyDescent="0.2">
      <c r="A8739" s="68">
        <v>36004</v>
      </c>
      <c r="B8739" s="69">
        <v>1.0681</v>
      </c>
    </row>
    <row r="8740" spans="1:2" x14ac:dyDescent="0.2">
      <c r="A8740" s="68">
        <v>36003</v>
      </c>
      <c r="B8740" s="69">
        <v>1.0682</v>
      </c>
    </row>
    <row r="8741" spans="1:2" x14ac:dyDescent="0.2">
      <c r="A8741" s="68">
        <v>36002</v>
      </c>
      <c r="B8741" s="69"/>
    </row>
    <row r="8742" spans="1:2" x14ac:dyDescent="0.2">
      <c r="A8742" s="68">
        <v>36001</v>
      </c>
      <c r="B8742" s="69"/>
    </row>
    <row r="8743" spans="1:2" x14ac:dyDescent="0.2">
      <c r="A8743" s="68">
        <v>36000</v>
      </c>
      <c r="B8743" s="69">
        <v>1.0684</v>
      </c>
    </row>
    <row r="8744" spans="1:2" x14ac:dyDescent="0.2">
      <c r="A8744" s="68">
        <v>35999</v>
      </c>
      <c r="B8744" s="69">
        <v>1.0686</v>
      </c>
    </row>
    <row r="8745" spans="1:2" x14ac:dyDescent="0.2">
      <c r="A8745" s="68">
        <v>35998</v>
      </c>
      <c r="B8745" s="69">
        <v>1.0687</v>
      </c>
    </row>
    <row r="8746" spans="1:2" x14ac:dyDescent="0.2">
      <c r="A8746" s="68">
        <v>35997</v>
      </c>
      <c r="B8746" s="69">
        <v>1.0681</v>
      </c>
    </row>
    <row r="8747" spans="1:2" x14ac:dyDescent="0.2">
      <c r="A8747" s="68">
        <v>35996</v>
      </c>
      <c r="B8747" s="69">
        <v>1.0680000000000001</v>
      </c>
    </row>
    <row r="8748" spans="1:2" x14ac:dyDescent="0.2">
      <c r="A8748" s="68">
        <v>35995</v>
      </c>
      <c r="B8748" s="69"/>
    </row>
    <row r="8749" spans="1:2" x14ac:dyDescent="0.2">
      <c r="A8749" s="68">
        <v>35994</v>
      </c>
      <c r="B8749" s="69"/>
    </row>
    <row r="8750" spans="1:2" x14ac:dyDescent="0.2">
      <c r="A8750" s="68">
        <v>35993</v>
      </c>
      <c r="B8750" s="69">
        <v>1.0679000000000001</v>
      </c>
    </row>
    <row r="8751" spans="1:2" x14ac:dyDescent="0.2">
      <c r="A8751" s="68">
        <v>35992</v>
      </c>
      <c r="B8751" s="69">
        <v>1.0678000000000001</v>
      </c>
    </row>
    <row r="8752" spans="1:2" x14ac:dyDescent="0.2">
      <c r="A8752" s="68">
        <v>35991</v>
      </c>
      <c r="B8752" s="69">
        <v>1.0680000000000001</v>
      </c>
    </row>
    <row r="8753" spans="1:2" x14ac:dyDescent="0.2">
      <c r="A8753" s="68">
        <v>35990</v>
      </c>
      <c r="B8753" s="69">
        <v>1.0691999999999999</v>
      </c>
    </row>
    <row r="8754" spans="1:2" x14ac:dyDescent="0.2">
      <c r="A8754" s="68">
        <v>35989</v>
      </c>
      <c r="B8754" s="69">
        <v>1.0691999999999999</v>
      </c>
    </row>
    <row r="8755" spans="1:2" x14ac:dyDescent="0.2">
      <c r="A8755" s="68">
        <v>35988</v>
      </c>
      <c r="B8755" s="69"/>
    </row>
    <row r="8756" spans="1:2" x14ac:dyDescent="0.2">
      <c r="A8756" s="68">
        <v>35987</v>
      </c>
      <c r="B8756" s="69"/>
    </row>
    <row r="8757" spans="1:2" x14ac:dyDescent="0.2">
      <c r="A8757" s="68">
        <v>35986</v>
      </c>
      <c r="B8757" s="69">
        <v>1.069</v>
      </c>
    </row>
    <row r="8758" spans="1:2" x14ac:dyDescent="0.2">
      <c r="A8758" s="68">
        <v>35985</v>
      </c>
      <c r="B8758" s="69">
        <v>1.069</v>
      </c>
    </row>
    <row r="8759" spans="1:2" x14ac:dyDescent="0.2">
      <c r="A8759" s="68">
        <v>35984</v>
      </c>
      <c r="B8759" s="69">
        <v>1.0692999999999999</v>
      </c>
    </row>
    <row r="8760" spans="1:2" x14ac:dyDescent="0.2">
      <c r="A8760" s="68">
        <v>35983</v>
      </c>
      <c r="B8760" s="69">
        <v>1.0693999999999999</v>
      </c>
    </row>
    <row r="8761" spans="1:2" x14ac:dyDescent="0.2">
      <c r="A8761" s="68">
        <v>35982</v>
      </c>
      <c r="B8761" s="69">
        <v>1.0691999999999999</v>
      </c>
    </row>
    <row r="8762" spans="1:2" x14ac:dyDescent="0.2">
      <c r="A8762" s="68">
        <v>35981</v>
      </c>
      <c r="B8762" s="69"/>
    </row>
    <row r="8763" spans="1:2" x14ac:dyDescent="0.2">
      <c r="A8763" s="68">
        <v>35980</v>
      </c>
      <c r="B8763" s="69"/>
    </row>
    <row r="8764" spans="1:2" x14ac:dyDescent="0.2">
      <c r="A8764" s="68">
        <v>35979</v>
      </c>
      <c r="B8764" s="69">
        <v>1.0682</v>
      </c>
    </row>
    <row r="8765" spans="1:2" x14ac:dyDescent="0.2">
      <c r="A8765" s="68">
        <v>35978</v>
      </c>
      <c r="B8765" s="69">
        <v>1.0683</v>
      </c>
    </row>
    <row r="8766" spans="1:2" x14ac:dyDescent="0.2">
      <c r="A8766" s="68">
        <v>35977</v>
      </c>
      <c r="B8766" s="69">
        <v>1.0683</v>
      </c>
    </row>
    <row r="8767" spans="1:2" x14ac:dyDescent="0.2">
      <c r="A8767" s="68">
        <v>35976</v>
      </c>
      <c r="B8767" s="69">
        <v>1.0689</v>
      </c>
    </row>
    <row r="8768" spans="1:2" x14ac:dyDescent="0.2">
      <c r="A8768" s="68">
        <v>35975</v>
      </c>
      <c r="B8768" s="69">
        <v>1.0693999999999999</v>
      </c>
    </row>
    <row r="8769" spans="1:2" x14ac:dyDescent="0.2">
      <c r="A8769" s="68">
        <v>35974</v>
      </c>
      <c r="B8769" s="69"/>
    </row>
    <row r="8770" spans="1:2" x14ac:dyDescent="0.2">
      <c r="A8770" s="68">
        <v>35973</v>
      </c>
      <c r="B8770" s="69"/>
    </row>
    <row r="8771" spans="1:2" x14ac:dyDescent="0.2">
      <c r="A8771" s="68">
        <v>35972</v>
      </c>
      <c r="B8771" s="69">
        <v>1.0693999999999999</v>
      </c>
    </row>
    <row r="8772" spans="1:2" x14ac:dyDescent="0.2">
      <c r="A8772" s="68">
        <v>35971</v>
      </c>
      <c r="B8772" s="69">
        <v>1.0698000000000001</v>
      </c>
    </row>
    <row r="8773" spans="1:2" x14ac:dyDescent="0.2">
      <c r="A8773" s="68">
        <v>35970</v>
      </c>
      <c r="B8773" s="69">
        <v>1.0701000000000001</v>
      </c>
    </row>
    <row r="8774" spans="1:2" x14ac:dyDescent="0.2">
      <c r="A8774" s="68">
        <v>35969</v>
      </c>
      <c r="B8774" s="69">
        <v>1.07</v>
      </c>
    </row>
    <row r="8775" spans="1:2" x14ac:dyDescent="0.2">
      <c r="A8775" s="68">
        <v>35968</v>
      </c>
      <c r="B8775" s="69">
        <v>1.0699000000000001</v>
      </c>
    </row>
    <row r="8776" spans="1:2" x14ac:dyDescent="0.2">
      <c r="A8776" s="68">
        <v>35967</v>
      </c>
      <c r="B8776" s="69"/>
    </row>
    <row r="8777" spans="1:2" x14ac:dyDescent="0.2">
      <c r="A8777" s="68">
        <v>35966</v>
      </c>
      <c r="B8777" s="69"/>
    </row>
    <row r="8778" spans="1:2" x14ac:dyDescent="0.2">
      <c r="A8778" s="68">
        <v>35965</v>
      </c>
      <c r="B8778" s="69">
        <v>1.0699000000000001</v>
      </c>
    </row>
    <row r="8779" spans="1:2" x14ac:dyDescent="0.2">
      <c r="A8779" s="68">
        <v>35964</v>
      </c>
      <c r="B8779" s="69">
        <v>1.0702</v>
      </c>
    </row>
    <row r="8780" spans="1:2" x14ac:dyDescent="0.2">
      <c r="A8780" s="68">
        <v>35963</v>
      </c>
      <c r="B8780" s="69">
        <v>1.07</v>
      </c>
    </row>
    <row r="8781" spans="1:2" x14ac:dyDescent="0.2">
      <c r="A8781" s="68">
        <v>35962</v>
      </c>
      <c r="B8781" s="69">
        <v>1.07</v>
      </c>
    </row>
    <row r="8782" spans="1:2" x14ac:dyDescent="0.2">
      <c r="A8782" s="68">
        <v>35961</v>
      </c>
      <c r="B8782" s="69">
        <v>1.0696000000000001</v>
      </c>
    </row>
    <row r="8783" spans="1:2" x14ac:dyDescent="0.2">
      <c r="A8783" s="68">
        <v>35960</v>
      </c>
      <c r="B8783" s="69"/>
    </row>
    <row r="8784" spans="1:2" x14ac:dyDescent="0.2">
      <c r="A8784" s="68">
        <v>35959</v>
      </c>
      <c r="B8784" s="69"/>
    </row>
    <row r="8785" spans="1:2" x14ac:dyDescent="0.2">
      <c r="A8785" s="68">
        <v>35958</v>
      </c>
      <c r="B8785" s="69">
        <v>1.0702</v>
      </c>
    </row>
    <row r="8786" spans="1:2" x14ac:dyDescent="0.2">
      <c r="A8786" s="68">
        <v>35957</v>
      </c>
      <c r="B8786" s="69">
        <v>1.0690999999999999</v>
      </c>
    </row>
    <row r="8787" spans="1:2" x14ac:dyDescent="0.2">
      <c r="A8787" s="68">
        <v>35956</v>
      </c>
      <c r="B8787" s="69">
        <v>1.0691999999999999</v>
      </c>
    </row>
    <row r="8788" spans="1:2" x14ac:dyDescent="0.2">
      <c r="A8788" s="68">
        <v>35955</v>
      </c>
      <c r="B8788" s="69">
        <v>1.069</v>
      </c>
    </row>
    <row r="8789" spans="1:2" x14ac:dyDescent="0.2">
      <c r="A8789" s="68">
        <v>35954</v>
      </c>
      <c r="B8789" s="69">
        <v>1.0688</v>
      </c>
    </row>
    <row r="8790" spans="1:2" x14ac:dyDescent="0.2">
      <c r="A8790" s="68">
        <v>35953</v>
      </c>
      <c r="B8790" s="69"/>
    </row>
    <row r="8791" spans="1:2" x14ac:dyDescent="0.2">
      <c r="A8791" s="68">
        <v>35952</v>
      </c>
      <c r="B8791" s="69"/>
    </row>
    <row r="8792" spans="1:2" x14ac:dyDescent="0.2">
      <c r="A8792" s="68">
        <v>35951</v>
      </c>
      <c r="B8792" s="69">
        <v>1.0686</v>
      </c>
    </row>
    <row r="8793" spans="1:2" x14ac:dyDescent="0.2">
      <c r="A8793" s="68">
        <v>35950</v>
      </c>
      <c r="B8793" s="69">
        <v>1.0690999999999999</v>
      </c>
    </row>
    <row r="8794" spans="1:2" x14ac:dyDescent="0.2">
      <c r="A8794" s="68">
        <v>35949</v>
      </c>
      <c r="B8794" s="69">
        <v>1.0692999999999999</v>
      </c>
    </row>
    <row r="8795" spans="1:2" x14ac:dyDescent="0.2">
      <c r="A8795" s="68">
        <v>35948</v>
      </c>
      <c r="B8795" s="69">
        <v>1.0692999999999999</v>
      </c>
    </row>
    <row r="8796" spans="1:2" x14ac:dyDescent="0.2">
      <c r="A8796" s="68">
        <v>35947</v>
      </c>
      <c r="B8796" s="69">
        <v>1.0691999999999999</v>
      </c>
    </row>
    <row r="8797" spans="1:2" x14ac:dyDescent="0.2">
      <c r="A8797" s="68">
        <v>35946</v>
      </c>
      <c r="B8797" s="69"/>
    </row>
    <row r="8798" spans="1:2" x14ac:dyDescent="0.2">
      <c r="A8798" s="68">
        <v>35945</v>
      </c>
      <c r="B8798" s="69"/>
    </row>
    <row r="8799" spans="1:2" x14ac:dyDescent="0.2">
      <c r="A8799" s="68">
        <v>35944</v>
      </c>
      <c r="B8799" s="69">
        <v>1.0693999999999999</v>
      </c>
    </row>
    <row r="8800" spans="1:2" x14ac:dyDescent="0.2">
      <c r="A8800" s="68">
        <v>35943</v>
      </c>
      <c r="B8800" s="69">
        <v>1.0692999999999999</v>
      </c>
    </row>
    <row r="8801" spans="1:2" x14ac:dyDescent="0.2">
      <c r="A8801" s="68">
        <v>35942</v>
      </c>
      <c r="B8801" s="69">
        <v>1.0692999999999999</v>
      </c>
    </row>
    <row r="8802" spans="1:2" x14ac:dyDescent="0.2">
      <c r="A8802" s="68">
        <v>35941</v>
      </c>
      <c r="B8802" s="69">
        <v>1.0692999999999999</v>
      </c>
    </row>
    <row r="8803" spans="1:2" x14ac:dyDescent="0.2">
      <c r="A8803" s="68">
        <v>35940</v>
      </c>
      <c r="B8803" s="69">
        <v>1.0687</v>
      </c>
    </row>
    <row r="8804" spans="1:2" x14ac:dyDescent="0.2">
      <c r="A8804" s="68">
        <v>35939</v>
      </c>
      <c r="B8804" s="69"/>
    </row>
    <row r="8805" spans="1:2" x14ac:dyDescent="0.2">
      <c r="A8805" s="68">
        <v>35938</v>
      </c>
      <c r="B8805" s="69"/>
    </row>
    <row r="8806" spans="1:2" x14ac:dyDescent="0.2">
      <c r="A8806" s="68">
        <v>35937</v>
      </c>
      <c r="B8806" s="69">
        <v>1.0687</v>
      </c>
    </row>
    <row r="8807" spans="1:2" x14ac:dyDescent="0.2">
      <c r="A8807" s="68">
        <v>35936</v>
      </c>
      <c r="B8807" s="69">
        <v>1.0690999999999999</v>
      </c>
    </row>
    <row r="8808" spans="1:2" x14ac:dyDescent="0.2">
      <c r="A8808" s="68">
        <v>35935</v>
      </c>
      <c r="B8808" s="69">
        <v>1.0690999999999999</v>
      </c>
    </row>
    <row r="8809" spans="1:2" x14ac:dyDescent="0.2">
      <c r="A8809" s="68">
        <v>35934</v>
      </c>
      <c r="B8809" s="69">
        <v>1.0690999999999999</v>
      </c>
    </row>
    <row r="8810" spans="1:2" x14ac:dyDescent="0.2">
      <c r="A8810" s="68">
        <v>35933</v>
      </c>
      <c r="B8810" s="69">
        <v>1.0693999999999999</v>
      </c>
    </row>
    <row r="8811" spans="1:2" x14ac:dyDescent="0.2">
      <c r="A8811" s="68">
        <v>35932</v>
      </c>
      <c r="B8811" s="69"/>
    </row>
    <row r="8812" spans="1:2" x14ac:dyDescent="0.2">
      <c r="A8812" s="68">
        <v>35931</v>
      </c>
      <c r="B8812" s="69"/>
    </row>
    <row r="8813" spans="1:2" x14ac:dyDescent="0.2">
      <c r="A8813" s="68">
        <v>35930</v>
      </c>
      <c r="B8813" s="69">
        <v>1.0692999999999999</v>
      </c>
    </row>
    <row r="8814" spans="1:2" x14ac:dyDescent="0.2">
      <c r="A8814" s="68">
        <v>35929</v>
      </c>
      <c r="B8814" s="69">
        <v>1.0692999999999999</v>
      </c>
    </row>
    <row r="8815" spans="1:2" x14ac:dyDescent="0.2">
      <c r="A8815" s="68">
        <v>35928</v>
      </c>
      <c r="B8815" s="69">
        <v>1.0688</v>
      </c>
    </row>
    <row r="8816" spans="1:2" x14ac:dyDescent="0.2">
      <c r="A8816" s="68">
        <v>35927</v>
      </c>
      <c r="B8816" s="69">
        <v>1.0688</v>
      </c>
    </row>
    <row r="8817" spans="1:2" x14ac:dyDescent="0.2">
      <c r="A8817" s="68">
        <v>35926</v>
      </c>
      <c r="B8817" s="69">
        <v>1.069</v>
      </c>
    </row>
    <row r="8818" spans="1:2" x14ac:dyDescent="0.2">
      <c r="A8818" s="68">
        <v>35925</v>
      </c>
      <c r="B8818" s="69"/>
    </row>
    <row r="8819" spans="1:2" x14ac:dyDescent="0.2">
      <c r="A8819" s="68">
        <v>35924</v>
      </c>
      <c r="B8819" s="69"/>
    </row>
    <row r="8820" spans="1:2" x14ac:dyDescent="0.2">
      <c r="A8820" s="68">
        <v>35923</v>
      </c>
      <c r="B8820" s="69">
        <v>1.069</v>
      </c>
    </row>
    <row r="8821" spans="1:2" x14ac:dyDescent="0.2">
      <c r="A8821" s="68">
        <v>35922</v>
      </c>
      <c r="B8821" s="69">
        <v>1.0689</v>
      </c>
    </row>
    <row r="8822" spans="1:2" x14ac:dyDescent="0.2">
      <c r="A8822" s="68">
        <v>35921</v>
      </c>
      <c r="B8822" s="69">
        <v>1.069</v>
      </c>
    </row>
    <row r="8823" spans="1:2" x14ac:dyDescent="0.2">
      <c r="A8823" s="68">
        <v>35920</v>
      </c>
      <c r="B8823" s="69">
        <v>1.0687</v>
      </c>
    </row>
    <row r="8824" spans="1:2" x14ac:dyDescent="0.2">
      <c r="A8824" s="68">
        <v>35919</v>
      </c>
      <c r="B8824" s="69">
        <v>1.0687</v>
      </c>
    </row>
    <row r="8825" spans="1:2" x14ac:dyDescent="0.2">
      <c r="A8825" s="68">
        <v>35918</v>
      </c>
      <c r="B8825" s="69"/>
    </row>
    <row r="8826" spans="1:2" x14ac:dyDescent="0.2">
      <c r="A8826" s="68">
        <v>35917</v>
      </c>
      <c r="B8826" s="69"/>
    </row>
    <row r="8827" spans="1:2" x14ac:dyDescent="0.2">
      <c r="A8827" s="68">
        <v>35916</v>
      </c>
      <c r="B8827" s="69"/>
    </row>
    <row r="8828" spans="1:2" x14ac:dyDescent="0.2">
      <c r="A8828" s="68">
        <v>35915</v>
      </c>
      <c r="B8828" s="69">
        <v>1.0683</v>
      </c>
    </row>
    <row r="8829" spans="1:2" x14ac:dyDescent="0.2">
      <c r="A8829" s="68">
        <v>35914</v>
      </c>
      <c r="B8829" s="69">
        <v>1.0688</v>
      </c>
    </row>
    <row r="8830" spans="1:2" x14ac:dyDescent="0.2">
      <c r="A8830" s="68">
        <v>35913</v>
      </c>
      <c r="B8830" s="69">
        <v>1.0689</v>
      </c>
    </row>
    <row r="8831" spans="1:2" x14ac:dyDescent="0.2">
      <c r="A8831" s="68">
        <v>35912</v>
      </c>
      <c r="B8831" s="69">
        <v>1.0688</v>
      </c>
    </row>
    <row r="8832" spans="1:2" x14ac:dyDescent="0.2">
      <c r="A8832" s="68">
        <v>35911</v>
      </c>
      <c r="B8832" s="69"/>
    </row>
    <row r="8833" spans="1:2" x14ac:dyDescent="0.2">
      <c r="A8833" s="68">
        <v>35910</v>
      </c>
      <c r="B8833" s="69"/>
    </row>
    <row r="8834" spans="1:2" x14ac:dyDescent="0.2">
      <c r="A8834" s="68">
        <v>35909</v>
      </c>
      <c r="B8834" s="69">
        <v>1.0689</v>
      </c>
    </row>
    <row r="8835" spans="1:2" x14ac:dyDescent="0.2">
      <c r="A8835" s="68">
        <v>35908</v>
      </c>
      <c r="B8835" s="69">
        <v>1.0689</v>
      </c>
    </row>
    <row r="8836" spans="1:2" x14ac:dyDescent="0.2">
      <c r="A8836" s="68">
        <v>35907</v>
      </c>
      <c r="B8836" s="69">
        <v>1.0690999999999999</v>
      </c>
    </row>
    <row r="8837" spans="1:2" x14ac:dyDescent="0.2">
      <c r="A8837" s="68">
        <v>35906</v>
      </c>
      <c r="B8837" s="69">
        <v>1.0692999999999999</v>
      </c>
    </row>
    <row r="8838" spans="1:2" x14ac:dyDescent="0.2">
      <c r="A8838" s="68">
        <v>35905</v>
      </c>
      <c r="B8838" s="69">
        <v>1.0687</v>
      </c>
    </row>
    <row r="8839" spans="1:2" x14ac:dyDescent="0.2">
      <c r="A8839" s="68">
        <v>35904</v>
      </c>
      <c r="B8839" s="69"/>
    </row>
    <row r="8840" spans="1:2" x14ac:dyDescent="0.2">
      <c r="A8840" s="68">
        <v>35903</v>
      </c>
      <c r="B8840" s="69"/>
    </row>
    <row r="8841" spans="1:2" x14ac:dyDescent="0.2">
      <c r="A8841" s="68">
        <v>35902</v>
      </c>
      <c r="B8841" s="69">
        <v>1.0688</v>
      </c>
    </row>
    <row r="8842" spans="1:2" x14ac:dyDescent="0.2">
      <c r="A8842" s="68">
        <v>35901</v>
      </c>
      <c r="B8842" s="69">
        <v>1.0685</v>
      </c>
    </row>
    <row r="8843" spans="1:2" x14ac:dyDescent="0.2">
      <c r="A8843" s="68">
        <v>35900</v>
      </c>
      <c r="B8843" s="69">
        <v>1.0678000000000001</v>
      </c>
    </row>
    <row r="8844" spans="1:2" x14ac:dyDescent="0.2">
      <c r="A8844" s="68">
        <v>35899</v>
      </c>
      <c r="B8844" s="69">
        <v>1.0686</v>
      </c>
    </row>
    <row r="8845" spans="1:2" x14ac:dyDescent="0.2">
      <c r="A8845" s="68">
        <v>35898</v>
      </c>
      <c r="B8845" s="69">
        <v>1.0685</v>
      </c>
    </row>
    <row r="8846" spans="1:2" x14ac:dyDescent="0.2">
      <c r="A8846" s="68">
        <v>35897</v>
      </c>
      <c r="B8846" s="69"/>
    </row>
    <row r="8847" spans="1:2" x14ac:dyDescent="0.2">
      <c r="A8847" s="68">
        <v>35896</v>
      </c>
      <c r="B8847" s="69"/>
    </row>
    <row r="8848" spans="1:2" x14ac:dyDescent="0.2">
      <c r="A8848" s="68">
        <v>35895</v>
      </c>
      <c r="B8848" s="69">
        <v>1.0685</v>
      </c>
    </row>
    <row r="8849" spans="1:2" x14ac:dyDescent="0.2">
      <c r="A8849" s="68">
        <v>35894</v>
      </c>
      <c r="B8849" s="69">
        <v>1.0690999999999999</v>
      </c>
    </row>
    <row r="8850" spans="1:2" x14ac:dyDescent="0.2">
      <c r="A8850" s="68">
        <v>35893</v>
      </c>
      <c r="B8850" s="69">
        <v>1.0691999999999999</v>
      </c>
    </row>
    <row r="8851" spans="1:2" x14ac:dyDescent="0.2">
      <c r="A8851" s="68">
        <v>35892</v>
      </c>
      <c r="B8851" s="69">
        <v>1.069</v>
      </c>
    </row>
    <row r="8852" spans="1:2" x14ac:dyDescent="0.2">
      <c r="A8852" s="68">
        <v>35891</v>
      </c>
      <c r="B8852" s="69">
        <v>1.0691999999999999</v>
      </c>
    </row>
    <row r="8853" spans="1:2" x14ac:dyDescent="0.2">
      <c r="A8853" s="68">
        <v>35890</v>
      </c>
      <c r="B8853" s="69"/>
    </row>
    <row r="8854" spans="1:2" x14ac:dyDescent="0.2">
      <c r="A8854" s="68">
        <v>35889</v>
      </c>
      <c r="B8854" s="69"/>
    </row>
    <row r="8855" spans="1:2" x14ac:dyDescent="0.2">
      <c r="A8855" s="68">
        <v>35888</v>
      </c>
      <c r="B8855" s="69">
        <v>1.0691999999999999</v>
      </c>
    </row>
    <row r="8856" spans="1:2" x14ac:dyDescent="0.2">
      <c r="A8856" s="68">
        <v>35887</v>
      </c>
      <c r="B8856" s="69">
        <v>1.0690999999999999</v>
      </c>
    </row>
    <row r="8857" spans="1:2" x14ac:dyDescent="0.2">
      <c r="A8857" s="68">
        <v>35886</v>
      </c>
      <c r="B8857" s="69">
        <v>1.0689</v>
      </c>
    </row>
    <row r="8858" spans="1:2" x14ac:dyDescent="0.2">
      <c r="A8858" s="68">
        <v>35885</v>
      </c>
      <c r="B8858" s="69">
        <v>1.0691999999999999</v>
      </c>
    </row>
    <row r="8859" spans="1:2" x14ac:dyDescent="0.2">
      <c r="A8859" s="68">
        <v>35884</v>
      </c>
      <c r="B8859" s="69">
        <v>1.0691999999999999</v>
      </c>
    </row>
    <row r="8860" spans="1:2" x14ac:dyDescent="0.2">
      <c r="A8860" s="68">
        <v>35883</v>
      </c>
      <c r="B8860" s="69"/>
    </row>
    <row r="8861" spans="1:2" x14ac:dyDescent="0.2">
      <c r="A8861" s="68">
        <v>35882</v>
      </c>
      <c r="B8861" s="69"/>
    </row>
    <row r="8862" spans="1:2" x14ac:dyDescent="0.2">
      <c r="A8862" s="68">
        <v>35881</v>
      </c>
      <c r="B8862" s="69">
        <v>1.0692999999999999</v>
      </c>
    </row>
    <row r="8863" spans="1:2" x14ac:dyDescent="0.2">
      <c r="A8863" s="68">
        <v>35880</v>
      </c>
      <c r="B8863" s="69">
        <v>1.0692999999999999</v>
      </c>
    </row>
    <row r="8864" spans="1:2" x14ac:dyDescent="0.2">
      <c r="A8864" s="68">
        <v>35879</v>
      </c>
      <c r="B8864" s="69">
        <v>1.0691999999999999</v>
      </c>
    </row>
    <row r="8865" spans="1:2" x14ac:dyDescent="0.2">
      <c r="A8865" s="68">
        <v>35878</v>
      </c>
      <c r="B8865" s="69">
        <v>1.0692999999999999</v>
      </c>
    </row>
    <row r="8866" spans="1:2" x14ac:dyDescent="0.2">
      <c r="A8866" s="68">
        <v>35877</v>
      </c>
      <c r="B8866" s="69">
        <v>1.069</v>
      </c>
    </row>
    <row r="8867" spans="1:2" x14ac:dyDescent="0.2">
      <c r="A8867" s="68">
        <v>35876</v>
      </c>
      <c r="B8867" s="69"/>
    </row>
    <row r="8868" spans="1:2" x14ac:dyDescent="0.2">
      <c r="A8868" s="68">
        <v>35875</v>
      </c>
      <c r="B8868" s="69"/>
    </row>
    <row r="8869" spans="1:2" x14ac:dyDescent="0.2">
      <c r="A8869" s="68">
        <v>35874</v>
      </c>
      <c r="B8869" s="69">
        <v>1.0692999999999999</v>
      </c>
    </row>
    <row r="8870" spans="1:2" x14ac:dyDescent="0.2">
      <c r="A8870" s="68">
        <v>35873</v>
      </c>
      <c r="B8870" s="69">
        <v>1.0693999999999999</v>
      </c>
    </row>
    <row r="8871" spans="1:2" x14ac:dyDescent="0.2">
      <c r="A8871" s="68">
        <v>35872</v>
      </c>
      <c r="B8871" s="69">
        <v>1.0694999999999999</v>
      </c>
    </row>
    <row r="8872" spans="1:2" x14ac:dyDescent="0.2">
      <c r="A8872" s="68">
        <v>35871</v>
      </c>
      <c r="B8872" s="69">
        <v>1.0699000000000001</v>
      </c>
    </row>
    <row r="8873" spans="1:2" x14ac:dyDescent="0.2">
      <c r="A8873" s="68">
        <v>35870</v>
      </c>
      <c r="B8873" s="69">
        <v>1.0697000000000001</v>
      </c>
    </row>
    <row r="8874" spans="1:2" x14ac:dyDescent="0.2">
      <c r="A8874" s="68">
        <v>35869</v>
      </c>
      <c r="B8874" s="69"/>
    </row>
    <row r="8875" spans="1:2" x14ac:dyDescent="0.2">
      <c r="A8875" s="68">
        <v>35868</v>
      </c>
      <c r="B8875" s="69"/>
    </row>
    <row r="8876" spans="1:2" x14ac:dyDescent="0.2">
      <c r="A8876" s="68">
        <v>35867</v>
      </c>
      <c r="B8876" s="69">
        <v>1.0697000000000001</v>
      </c>
    </row>
    <row r="8877" spans="1:2" x14ac:dyDescent="0.2">
      <c r="A8877" s="68">
        <v>35866</v>
      </c>
      <c r="B8877" s="69">
        <v>1.0698000000000001</v>
      </c>
    </row>
    <row r="8878" spans="1:2" x14ac:dyDescent="0.2">
      <c r="A8878" s="68">
        <v>35865</v>
      </c>
      <c r="B8878" s="69">
        <v>1.0699000000000001</v>
      </c>
    </row>
    <row r="8879" spans="1:2" x14ac:dyDescent="0.2">
      <c r="A8879" s="68">
        <v>35864</v>
      </c>
      <c r="B8879" s="69">
        <v>1.0698000000000001</v>
      </c>
    </row>
    <row r="8880" spans="1:2" x14ac:dyDescent="0.2">
      <c r="A8880" s="68">
        <v>35863</v>
      </c>
      <c r="B8880" s="69">
        <v>1.0697000000000001</v>
      </c>
    </row>
    <row r="8881" spans="1:2" x14ac:dyDescent="0.2">
      <c r="A8881" s="68">
        <v>35862</v>
      </c>
      <c r="B8881" s="69"/>
    </row>
    <row r="8882" spans="1:2" x14ac:dyDescent="0.2">
      <c r="A8882" s="68">
        <v>35861</v>
      </c>
      <c r="B8882" s="69"/>
    </row>
    <row r="8883" spans="1:2" x14ac:dyDescent="0.2">
      <c r="A8883" s="68">
        <v>35860</v>
      </c>
      <c r="B8883" s="69">
        <v>1.0699000000000001</v>
      </c>
    </row>
    <row r="8884" spans="1:2" x14ac:dyDescent="0.2">
      <c r="A8884" s="68">
        <v>35859</v>
      </c>
      <c r="B8884" s="69">
        <v>1.0699000000000001</v>
      </c>
    </row>
    <row r="8885" spans="1:2" x14ac:dyDescent="0.2">
      <c r="A8885" s="68">
        <v>35858</v>
      </c>
      <c r="B8885" s="69">
        <v>1.0701000000000001</v>
      </c>
    </row>
    <row r="8886" spans="1:2" x14ac:dyDescent="0.2">
      <c r="A8886" s="68">
        <v>35857</v>
      </c>
      <c r="B8886" s="69">
        <v>1.0698000000000001</v>
      </c>
    </row>
    <row r="8887" spans="1:2" x14ac:dyDescent="0.2">
      <c r="A8887" s="68">
        <v>35856</v>
      </c>
      <c r="B8887" s="69">
        <v>1.0699000000000001</v>
      </c>
    </row>
    <row r="8888" spans="1:2" x14ac:dyDescent="0.2">
      <c r="A8888" s="68">
        <v>35855</v>
      </c>
      <c r="B8888" s="69"/>
    </row>
    <row r="8889" spans="1:2" x14ac:dyDescent="0.2">
      <c r="A8889" s="68">
        <v>35854</v>
      </c>
      <c r="B8889" s="69"/>
    </row>
    <row r="8890" spans="1:2" x14ac:dyDescent="0.2">
      <c r="A8890" s="68">
        <v>35853</v>
      </c>
      <c r="B8890" s="69">
        <v>1.0698000000000001</v>
      </c>
    </row>
    <row r="8891" spans="1:2" x14ac:dyDescent="0.2">
      <c r="A8891" s="68">
        <v>35852</v>
      </c>
      <c r="B8891" s="69">
        <v>1.0694999999999999</v>
      </c>
    </row>
    <row r="8892" spans="1:2" x14ac:dyDescent="0.2">
      <c r="A8892" s="68">
        <v>35851</v>
      </c>
      <c r="B8892" s="69">
        <v>1.0693999999999999</v>
      </c>
    </row>
    <row r="8893" spans="1:2" x14ac:dyDescent="0.2">
      <c r="A8893" s="68">
        <v>35850</v>
      </c>
      <c r="B8893" s="69">
        <v>1.0696000000000001</v>
      </c>
    </row>
    <row r="8894" spans="1:2" x14ac:dyDescent="0.2">
      <c r="A8894" s="68">
        <v>35849</v>
      </c>
      <c r="B8894" s="69">
        <v>1.0699000000000001</v>
      </c>
    </row>
    <row r="8895" spans="1:2" x14ac:dyDescent="0.2">
      <c r="A8895" s="68">
        <v>35848</v>
      </c>
      <c r="B8895" s="69"/>
    </row>
    <row r="8896" spans="1:2" x14ac:dyDescent="0.2">
      <c r="A8896" s="68">
        <v>35847</v>
      </c>
      <c r="B8896" s="69"/>
    </row>
    <row r="8897" spans="1:2" x14ac:dyDescent="0.2">
      <c r="A8897" s="68">
        <v>35846</v>
      </c>
      <c r="B8897" s="69">
        <v>1.0697000000000001</v>
      </c>
    </row>
    <row r="8898" spans="1:2" x14ac:dyDescent="0.2">
      <c r="A8898" s="68">
        <v>35845</v>
      </c>
      <c r="B8898" s="69">
        <v>1.0702</v>
      </c>
    </row>
    <row r="8899" spans="1:2" x14ac:dyDescent="0.2">
      <c r="A8899" s="68">
        <v>35844</v>
      </c>
      <c r="B8899" s="69">
        <v>1.0704</v>
      </c>
    </row>
    <row r="8900" spans="1:2" x14ac:dyDescent="0.2">
      <c r="A8900" s="68">
        <v>35843</v>
      </c>
      <c r="B8900" s="69">
        <v>1.0704</v>
      </c>
    </row>
    <row r="8901" spans="1:2" x14ac:dyDescent="0.2">
      <c r="A8901" s="68">
        <v>35842</v>
      </c>
      <c r="B8901" s="69">
        <v>1.0705</v>
      </c>
    </row>
    <row r="8902" spans="1:2" x14ac:dyDescent="0.2">
      <c r="A8902" s="68">
        <v>35841</v>
      </c>
      <c r="B8902" s="69"/>
    </row>
    <row r="8903" spans="1:2" x14ac:dyDescent="0.2">
      <c r="A8903" s="68">
        <v>35840</v>
      </c>
      <c r="B8903" s="69"/>
    </row>
    <row r="8904" spans="1:2" x14ac:dyDescent="0.2">
      <c r="A8904" s="68">
        <v>35839</v>
      </c>
      <c r="B8904" s="69">
        <v>1.0705</v>
      </c>
    </row>
    <row r="8905" spans="1:2" x14ac:dyDescent="0.2">
      <c r="A8905" s="68">
        <v>35838</v>
      </c>
      <c r="B8905" s="69">
        <v>1.0709</v>
      </c>
    </row>
    <row r="8906" spans="1:2" x14ac:dyDescent="0.2">
      <c r="A8906" s="68">
        <v>35837</v>
      </c>
      <c r="B8906" s="69">
        <v>1.0706</v>
      </c>
    </row>
    <row r="8907" spans="1:2" x14ac:dyDescent="0.2">
      <c r="A8907" s="68">
        <v>35836</v>
      </c>
      <c r="B8907" s="69">
        <v>1.0706</v>
      </c>
    </row>
    <row r="8908" spans="1:2" x14ac:dyDescent="0.2">
      <c r="A8908" s="68">
        <v>35835</v>
      </c>
      <c r="B8908" s="69">
        <v>1.071</v>
      </c>
    </row>
    <row r="8909" spans="1:2" x14ac:dyDescent="0.2">
      <c r="A8909" s="68">
        <v>35834</v>
      </c>
      <c r="B8909" s="69"/>
    </row>
    <row r="8910" spans="1:2" x14ac:dyDescent="0.2">
      <c r="A8910" s="68">
        <v>35833</v>
      </c>
      <c r="B8910" s="69"/>
    </row>
    <row r="8911" spans="1:2" x14ac:dyDescent="0.2">
      <c r="A8911" s="68">
        <v>35832</v>
      </c>
      <c r="B8911" s="69">
        <v>1.0707</v>
      </c>
    </row>
    <row r="8912" spans="1:2" x14ac:dyDescent="0.2">
      <c r="A8912" s="68">
        <v>35831</v>
      </c>
      <c r="B8912" s="69">
        <v>1.0708</v>
      </c>
    </row>
    <row r="8913" spans="1:2" x14ac:dyDescent="0.2">
      <c r="A8913" s="68">
        <v>35830</v>
      </c>
      <c r="B8913" s="69">
        <v>1.0704</v>
      </c>
    </row>
    <row r="8914" spans="1:2" x14ac:dyDescent="0.2">
      <c r="A8914" s="68">
        <v>35829</v>
      </c>
      <c r="B8914" s="69"/>
    </row>
    <row r="8915" spans="1:2" x14ac:dyDescent="0.2">
      <c r="A8915" s="68">
        <v>35828</v>
      </c>
      <c r="B8915" s="69"/>
    </row>
    <row r="8916" spans="1:2" x14ac:dyDescent="0.2">
      <c r="A8916" s="68">
        <v>35827</v>
      </c>
      <c r="B8916" s="69"/>
    </row>
    <row r="8917" spans="1:2" x14ac:dyDescent="0.2">
      <c r="A8917" s="68">
        <v>35826</v>
      </c>
      <c r="B8917" s="69"/>
    </row>
    <row r="8918" spans="1:2" x14ac:dyDescent="0.2">
      <c r="A8918" s="68">
        <v>35825</v>
      </c>
      <c r="B8918" s="69"/>
    </row>
    <row r="8919" spans="1:2" x14ac:dyDescent="0.2">
      <c r="A8919" s="68">
        <v>35824</v>
      </c>
      <c r="B8919" s="69"/>
    </row>
    <row r="8920" spans="1:2" x14ac:dyDescent="0.2">
      <c r="A8920" s="68">
        <v>35823</v>
      </c>
      <c r="B8920" s="69"/>
    </row>
    <row r="8921" spans="1:2" x14ac:dyDescent="0.2">
      <c r="A8921" s="68">
        <v>35822</v>
      </c>
      <c r="B8921" s="69">
        <v>1.0704</v>
      </c>
    </row>
    <row r="8922" spans="1:2" x14ac:dyDescent="0.2">
      <c r="A8922" s="68">
        <v>35821</v>
      </c>
      <c r="B8922" s="69">
        <v>1.0707</v>
      </c>
    </row>
    <row r="8923" spans="1:2" x14ac:dyDescent="0.2">
      <c r="A8923" s="68">
        <v>35820</v>
      </c>
      <c r="B8923" s="69">
        <v>1.0705</v>
      </c>
    </row>
    <row r="8924" spans="1:2" x14ac:dyDescent="0.2">
      <c r="A8924" s="68">
        <v>35819</v>
      </c>
      <c r="B8924" s="69">
        <v>1.0701000000000001</v>
      </c>
    </row>
    <row r="8925" spans="1:2" x14ac:dyDescent="0.2">
      <c r="A8925" s="68">
        <v>35818</v>
      </c>
      <c r="B8925" s="69">
        <v>1.0705</v>
      </c>
    </row>
    <row r="8926" spans="1:2" x14ac:dyDescent="0.2">
      <c r="A8926" s="68">
        <v>35817</v>
      </c>
      <c r="B8926" s="69">
        <v>1.0703</v>
      </c>
    </row>
    <row r="8927" spans="1:2" x14ac:dyDescent="0.2">
      <c r="A8927" s="68">
        <v>35816</v>
      </c>
      <c r="B8927" s="69">
        <v>1.0704</v>
      </c>
    </row>
    <row r="8928" spans="1:2" x14ac:dyDescent="0.2">
      <c r="A8928" s="68">
        <v>35815</v>
      </c>
      <c r="B8928" s="69">
        <v>1.0706</v>
      </c>
    </row>
    <row r="8929" spans="1:2" x14ac:dyDescent="0.2">
      <c r="A8929" s="68">
        <v>35814</v>
      </c>
      <c r="B8929" s="69">
        <v>1.0708</v>
      </c>
    </row>
    <row r="8930" spans="1:2" x14ac:dyDescent="0.2">
      <c r="A8930" s="68">
        <v>35813</v>
      </c>
      <c r="B8930" s="69"/>
    </row>
    <row r="8931" spans="1:2" x14ac:dyDescent="0.2">
      <c r="A8931" s="68">
        <v>35812</v>
      </c>
      <c r="B8931" s="69"/>
    </row>
    <row r="8932" spans="1:2" x14ac:dyDescent="0.2">
      <c r="A8932" s="68">
        <v>35811</v>
      </c>
      <c r="B8932" s="69">
        <v>1.0701000000000001</v>
      </c>
    </row>
    <row r="8933" spans="1:2" x14ac:dyDescent="0.2">
      <c r="A8933" s="68">
        <v>35810</v>
      </c>
      <c r="B8933" s="69">
        <v>1.07</v>
      </c>
    </row>
    <row r="8934" spans="1:2" x14ac:dyDescent="0.2">
      <c r="A8934" s="68">
        <v>35809</v>
      </c>
      <c r="B8934" s="69">
        <v>1.07</v>
      </c>
    </row>
    <row r="8935" spans="1:2" x14ac:dyDescent="0.2">
      <c r="A8935" s="68">
        <v>35808</v>
      </c>
      <c r="B8935" s="69">
        <v>1.0706</v>
      </c>
    </row>
    <row r="8936" spans="1:2" x14ac:dyDescent="0.2">
      <c r="A8936" s="68">
        <v>35807</v>
      </c>
      <c r="B8936" s="69">
        <v>1.0701000000000001</v>
      </c>
    </row>
    <row r="8937" spans="1:2" x14ac:dyDescent="0.2">
      <c r="A8937" s="68">
        <v>35806</v>
      </c>
      <c r="B8937" s="69"/>
    </row>
    <row r="8938" spans="1:2" x14ac:dyDescent="0.2">
      <c r="A8938" s="68">
        <v>35805</v>
      </c>
      <c r="B8938" s="69"/>
    </row>
    <row r="8939" spans="1:2" x14ac:dyDescent="0.2">
      <c r="A8939" s="68">
        <v>35804</v>
      </c>
      <c r="B8939" s="69">
        <v>1.0699000000000001</v>
      </c>
    </row>
    <row r="8940" spans="1:2" x14ac:dyDescent="0.2">
      <c r="A8940" s="68">
        <v>35803</v>
      </c>
      <c r="B8940" s="69">
        <v>1.0693999999999999</v>
      </c>
    </row>
    <row r="8941" spans="1:2" x14ac:dyDescent="0.2">
      <c r="A8941" s="68">
        <v>35802</v>
      </c>
      <c r="B8941" s="69">
        <v>1.0685</v>
      </c>
    </row>
    <row r="8942" spans="1:2" x14ac:dyDescent="0.2">
      <c r="A8942" s="68">
        <v>35801</v>
      </c>
      <c r="B8942" s="69">
        <v>1.0684</v>
      </c>
    </row>
    <row r="8943" spans="1:2" x14ac:dyDescent="0.2">
      <c r="A8943" s="68">
        <v>35800</v>
      </c>
      <c r="B8943" s="69">
        <v>1.0693999999999999</v>
      </c>
    </row>
    <row r="8944" spans="1:2" x14ac:dyDescent="0.2">
      <c r="A8944" s="68">
        <v>35799</v>
      </c>
      <c r="B8944" s="69">
        <v>1.0699000000000001</v>
      </c>
    </row>
    <row r="8945" spans="1:2" x14ac:dyDescent="0.2">
      <c r="A8945" s="68">
        <v>35798</v>
      </c>
      <c r="B8945" s="69"/>
    </row>
    <row r="8946" spans="1:2" x14ac:dyDescent="0.2">
      <c r="A8946" s="68">
        <v>35797</v>
      </c>
      <c r="B8946" s="69"/>
    </row>
    <row r="8947" spans="1:2" x14ac:dyDescent="0.2">
      <c r="A8947" s="68">
        <v>35796</v>
      </c>
      <c r="B8947" s="69"/>
    </row>
    <row r="8948" spans="1:2" x14ac:dyDescent="0.2">
      <c r="A8948" s="68">
        <v>35795</v>
      </c>
      <c r="B8948" s="69">
        <v>1.0681</v>
      </c>
    </row>
    <row r="8949" spans="1:2" x14ac:dyDescent="0.2">
      <c r="A8949" s="68">
        <v>35794</v>
      </c>
      <c r="B8949" s="69">
        <v>1.0684</v>
      </c>
    </row>
    <row r="8950" spans="1:2" x14ac:dyDescent="0.2">
      <c r="A8950" s="68">
        <v>35793</v>
      </c>
      <c r="B8950" s="69">
        <v>1.0692999999999999</v>
      </c>
    </row>
    <row r="8951" spans="1:2" x14ac:dyDescent="0.2">
      <c r="A8951" s="68">
        <v>35792</v>
      </c>
      <c r="B8951" s="69"/>
    </row>
    <row r="8952" spans="1:2" x14ac:dyDescent="0.2">
      <c r="A8952" s="68">
        <v>35791</v>
      </c>
      <c r="B8952" s="69"/>
    </row>
    <row r="8953" spans="1:2" x14ac:dyDescent="0.2">
      <c r="A8953" s="68">
        <v>35790</v>
      </c>
      <c r="B8953" s="69">
        <v>1.069</v>
      </c>
    </row>
    <row r="8954" spans="1:2" x14ac:dyDescent="0.2">
      <c r="A8954" s="68">
        <v>35789</v>
      </c>
      <c r="B8954" s="69">
        <v>1.0687</v>
      </c>
    </row>
    <row r="8955" spans="1:2" x14ac:dyDescent="0.2">
      <c r="A8955" s="68">
        <v>35788</v>
      </c>
      <c r="B8955" s="69">
        <v>1.0687</v>
      </c>
    </row>
    <row r="8956" spans="1:2" x14ac:dyDescent="0.2">
      <c r="A8956" s="68">
        <v>35787</v>
      </c>
      <c r="B8956" s="69">
        <v>1.0689</v>
      </c>
    </row>
    <row r="8957" spans="1:2" x14ac:dyDescent="0.2">
      <c r="A8957" s="68">
        <v>35786</v>
      </c>
      <c r="B8957" s="69">
        <v>1.0686</v>
      </c>
    </row>
    <row r="8958" spans="1:2" x14ac:dyDescent="0.2">
      <c r="A8958" s="68">
        <v>35785</v>
      </c>
      <c r="B8958" s="69"/>
    </row>
    <row r="8959" spans="1:2" x14ac:dyDescent="0.2">
      <c r="A8959" s="68">
        <v>35784</v>
      </c>
      <c r="B8959" s="69"/>
    </row>
    <row r="8960" spans="1:2" x14ac:dyDescent="0.2">
      <c r="A8960" s="68">
        <v>35783</v>
      </c>
      <c r="B8960" s="69">
        <v>1.0688</v>
      </c>
    </row>
    <row r="8961" spans="1:2" x14ac:dyDescent="0.2">
      <c r="A8961" s="68">
        <v>35782</v>
      </c>
      <c r="B8961" s="69">
        <v>1.0689</v>
      </c>
    </row>
    <row r="8962" spans="1:2" x14ac:dyDescent="0.2">
      <c r="A8962" s="68">
        <v>35781</v>
      </c>
      <c r="B8962" s="69">
        <v>1.0689</v>
      </c>
    </row>
    <row r="8963" spans="1:2" x14ac:dyDescent="0.2">
      <c r="A8963" s="68">
        <v>35780</v>
      </c>
      <c r="B8963" s="69">
        <v>1.069</v>
      </c>
    </row>
    <row r="8964" spans="1:2" x14ac:dyDescent="0.2">
      <c r="A8964" s="68">
        <v>35779</v>
      </c>
      <c r="B8964" s="69">
        <v>1.0691999999999999</v>
      </c>
    </row>
    <row r="8965" spans="1:2" x14ac:dyDescent="0.2">
      <c r="A8965" s="68">
        <v>35778</v>
      </c>
      <c r="B8965" s="69"/>
    </row>
    <row r="8966" spans="1:2" x14ac:dyDescent="0.2">
      <c r="A8966" s="68">
        <v>35777</v>
      </c>
      <c r="B8966" s="69"/>
    </row>
    <row r="8967" spans="1:2" x14ac:dyDescent="0.2">
      <c r="A8967" s="68">
        <v>35776</v>
      </c>
      <c r="B8967" s="69">
        <v>1.07</v>
      </c>
    </row>
    <row r="8968" spans="1:2" x14ac:dyDescent="0.2">
      <c r="A8968" s="68">
        <v>35775</v>
      </c>
      <c r="B8968" s="69">
        <v>1.0705</v>
      </c>
    </row>
    <row r="8969" spans="1:2" x14ac:dyDescent="0.2">
      <c r="A8969" s="68">
        <v>35774</v>
      </c>
      <c r="B8969" s="69">
        <v>1.0708</v>
      </c>
    </row>
    <row r="8970" spans="1:2" x14ac:dyDescent="0.2">
      <c r="A8970" s="68">
        <v>35773</v>
      </c>
      <c r="B8970" s="69">
        <v>1.0709</v>
      </c>
    </row>
    <row r="8971" spans="1:2" x14ac:dyDescent="0.2">
      <c r="A8971" s="68">
        <v>35772</v>
      </c>
      <c r="B8971" s="69">
        <v>1.071</v>
      </c>
    </row>
    <row r="8972" spans="1:2" x14ac:dyDescent="0.2">
      <c r="A8972" s="68">
        <v>35771</v>
      </c>
      <c r="B8972" s="69"/>
    </row>
    <row r="8973" spans="1:2" x14ac:dyDescent="0.2">
      <c r="A8973" s="68">
        <v>35770</v>
      </c>
      <c r="B8973" s="69"/>
    </row>
    <row r="8974" spans="1:2" x14ac:dyDescent="0.2">
      <c r="A8974" s="68">
        <v>35769</v>
      </c>
      <c r="B8974" s="69">
        <v>1.0709</v>
      </c>
    </row>
    <row r="8975" spans="1:2" x14ac:dyDescent="0.2">
      <c r="A8975" s="68">
        <v>35768</v>
      </c>
      <c r="B8975" s="69">
        <v>1.071</v>
      </c>
    </row>
    <row r="8976" spans="1:2" x14ac:dyDescent="0.2">
      <c r="A8976" s="68">
        <v>35767</v>
      </c>
      <c r="B8976" s="69">
        <v>1.0711999999999999</v>
      </c>
    </row>
    <row r="8977" spans="1:2" x14ac:dyDescent="0.2">
      <c r="A8977" s="68">
        <v>35766</v>
      </c>
      <c r="B8977" s="69">
        <v>1.0711999999999999</v>
      </c>
    </row>
    <row r="8978" spans="1:2" x14ac:dyDescent="0.2">
      <c r="A8978" s="68">
        <v>35765</v>
      </c>
      <c r="B8978" s="69">
        <v>1.0714999999999999</v>
      </c>
    </row>
    <row r="8979" spans="1:2" x14ac:dyDescent="0.2">
      <c r="A8979" s="68">
        <v>35764</v>
      </c>
      <c r="B8979" s="69"/>
    </row>
    <row r="8980" spans="1:2" x14ac:dyDescent="0.2">
      <c r="A8980" s="68">
        <v>35763</v>
      </c>
      <c r="B8980" s="69"/>
    </row>
    <row r="8981" spans="1:2" x14ac:dyDescent="0.2">
      <c r="A8981" s="68">
        <v>35762</v>
      </c>
      <c r="B8981" s="69">
        <v>1.0716000000000001</v>
      </c>
    </row>
    <row r="8982" spans="1:2" x14ac:dyDescent="0.2">
      <c r="A8982" s="68">
        <v>35761</v>
      </c>
      <c r="B8982" s="69">
        <v>1.0717000000000001</v>
      </c>
    </row>
    <row r="8983" spans="1:2" x14ac:dyDescent="0.2">
      <c r="A8983" s="68">
        <v>35760</v>
      </c>
      <c r="B8983" s="69">
        <v>1.0716000000000001</v>
      </c>
    </row>
    <row r="8984" spans="1:2" x14ac:dyDescent="0.2">
      <c r="A8984" s="68">
        <v>35759</v>
      </c>
      <c r="B8984" s="69">
        <v>1.0717000000000001</v>
      </c>
    </row>
    <row r="8985" spans="1:2" x14ac:dyDescent="0.2">
      <c r="A8985" s="68">
        <v>35758</v>
      </c>
      <c r="B8985" s="69">
        <v>1.0717000000000001</v>
      </c>
    </row>
    <row r="8986" spans="1:2" x14ac:dyDescent="0.2">
      <c r="A8986" s="68">
        <v>35757</v>
      </c>
      <c r="B8986" s="69"/>
    </row>
    <row r="8987" spans="1:2" x14ac:dyDescent="0.2">
      <c r="A8987" s="68">
        <v>35756</v>
      </c>
      <c r="B8987" s="69"/>
    </row>
    <row r="8988" spans="1:2" x14ac:dyDescent="0.2">
      <c r="A8988" s="68">
        <v>35755</v>
      </c>
      <c r="B8988" s="69">
        <v>1.0716000000000001</v>
      </c>
    </row>
    <row r="8989" spans="1:2" x14ac:dyDescent="0.2">
      <c r="A8989" s="68">
        <v>35754</v>
      </c>
      <c r="B8989" s="69">
        <v>1.0712999999999999</v>
      </c>
    </row>
    <row r="8990" spans="1:2" x14ac:dyDescent="0.2">
      <c r="A8990" s="68">
        <v>35753</v>
      </c>
      <c r="B8990" s="69">
        <v>1.0718000000000001</v>
      </c>
    </row>
    <row r="8991" spans="1:2" x14ac:dyDescent="0.2">
      <c r="A8991" s="68">
        <v>35752</v>
      </c>
      <c r="B8991" s="69">
        <v>1.0720000000000001</v>
      </c>
    </row>
    <row r="8992" spans="1:2" x14ac:dyDescent="0.2">
      <c r="A8992" s="68">
        <v>35751</v>
      </c>
      <c r="B8992" s="69">
        <v>1.0716000000000001</v>
      </c>
    </row>
    <row r="8993" spans="1:2" x14ac:dyDescent="0.2">
      <c r="A8993" s="68">
        <v>35750</v>
      </c>
      <c r="B8993" s="69"/>
    </row>
    <row r="8994" spans="1:2" x14ac:dyDescent="0.2">
      <c r="A8994" s="68">
        <v>35749</v>
      </c>
      <c r="B8994" s="69"/>
    </row>
    <row r="8995" spans="1:2" x14ac:dyDescent="0.2">
      <c r="A8995" s="68">
        <v>35748</v>
      </c>
      <c r="B8995" s="69">
        <v>1.0712999999999999</v>
      </c>
    </row>
    <row r="8996" spans="1:2" x14ac:dyDescent="0.2">
      <c r="A8996" s="68">
        <v>35747</v>
      </c>
      <c r="B8996" s="69">
        <v>1.0713999999999999</v>
      </c>
    </row>
    <row r="8997" spans="1:2" x14ac:dyDescent="0.2">
      <c r="A8997" s="68">
        <v>35746</v>
      </c>
      <c r="B8997" s="69">
        <v>1.0713999999999999</v>
      </c>
    </row>
    <row r="8998" spans="1:2" x14ac:dyDescent="0.2">
      <c r="A8998" s="68">
        <v>35745</v>
      </c>
      <c r="B8998" s="69">
        <v>1.0721000000000001</v>
      </c>
    </row>
    <row r="8999" spans="1:2" x14ac:dyDescent="0.2">
      <c r="A8999" s="68">
        <v>35744</v>
      </c>
      <c r="B8999" s="69">
        <v>1.0717000000000001</v>
      </c>
    </row>
    <row r="9000" spans="1:2" x14ac:dyDescent="0.2">
      <c r="A9000" s="68">
        <v>35743</v>
      </c>
      <c r="B9000" s="69"/>
    </row>
    <row r="9001" spans="1:2" x14ac:dyDescent="0.2">
      <c r="A9001" s="68">
        <v>35742</v>
      </c>
      <c r="B9001" s="69"/>
    </row>
    <row r="9002" spans="1:2" x14ac:dyDescent="0.2">
      <c r="A9002" s="68">
        <v>35741</v>
      </c>
      <c r="B9002" s="69">
        <v>1.0714999999999999</v>
      </c>
    </row>
    <row r="9003" spans="1:2" x14ac:dyDescent="0.2">
      <c r="A9003" s="68">
        <v>35740</v>
      </c>
      <c r="B9003" s="69">
        <v>1.0713999999999999</v>
      </c>
    </row>
    <row r="9004" spans="1:2" x14ac:dyDescent="0.2">
      <c r="A9004" s="68">
        <v>35739</v>
      </c>
      <c r="B9004" s="69">
        <v>1.0710999999999999</v>
      </c>
    </row>
    <row r="9005" spans="1:2" x14ac:dyDescent="0.2">
      <c r="A9005" s="68">
        <v>35738</v>
      </c>
      <c r="B9005" s="69">
        <v>1.0716000000000001</v>
      </c>
    </row>
    <row r="9006" spans="1:2" x14ac:dyDescent="0.2">
      <c r="A9006" s="68">
        <v>35737</v>
      </c>
      <c r="B9006" s="69">
        <v>1.0723</v>
      </c>
    </row>
    <row r="9007" spans="1:2" x14ac:dyDescent="0.2">
      <c r="A9007" s="68">
        <v>35736</v>
      </c>
      <c r="B9007" s="69"/>
    </row>
    <row r="9008" spans="1:2" x14ac:dyDescent="0.2">
      <c r="A9008" s="68">
        <v>35735</v>
      </c>
      <c r="B9008" s="69"/>
    </row>
    <row r="9009" spans="1:2" x14ac:dyDescent="0.2">
      <c r="A9009" s="68">
        <v>35734</v>
      </c>
      <c r="B9009" s="69">
        <v>1.0721000000000001</v>
      </c>
    </row>
    <row r="9010" spans="1:2" x14ac:dyDescent="0.2">
      <c r="A9010" s="68">
        <v>35733</v>
      </c>
      <c r="B9010" s="69">
        <v>1.071</v>
      </c>
    </row>
    <row r="9011" spans="1:2" x14ac:dyDescent="0.2">
      <c r="A9011" s="68">
        <v>35732</v>
      </c>
      <c r="B9011" s="69">
        <v>1.0719000000000001</v>
      </c>
    </row>
    <row r="9012" spans="1:2" x14ac:dyDescent="0.2">
      <c r="A9012" s="68">
        <v>35731</v>
      </c>
      <c r="B9012" s="69">
        <v>1.0719000000000001</v>
      </c>
    </row>
    <row r="9013" spans="1:2" x14ac:dyDescent="0.2">
      <c r="A9013" s="68">
        <v>35730</v>
      </c>
      <c r="B9013" s="69">
        <v>1.0747</v>
      </c>
    </row>
    <row r="9014" spans="1:2" x14ac:dyDescent="0.2">
      <c r="A9014" s="68">
        <v>35729</v>
      </c>
      <c r="B9014" s="69"/>
    </row>
    <row r="9015" spans="1:2" x14ac:dyDescent="0.2">
      <c r="A9015" s="68">
        <v>35728</v>
      </c>
      <c r="B9015" s="69"/>
    </row>
    <row r="9016" spans="1:2" x14ac:dyDescent="0.2">
      <c r="A9016" s="68">
        <v>35727</v>
      </c>
      <c r="B9016" s="69">
        <v>1.0702</v>
      </c>
    </row>
    <row r="9017" spans="1:2" x14ac:dyDescent="0.2">
      <c r="A9017" s="68">
        <v>35726</v>
      </c>
      <c r="B9017" s="69">
        <v>1.0698000000000001</v>
      </c>
    </row>
    <row r="9018" spans="1:2" x14ac:dyDescent="0.2">
      <c r="A9018" s="68">
        <v>35725</v>
      </c>
      <c r="B9018" s="69">
        <v>1.07</v>
      </c>
    </row>
    <row r="9019" spans="1:2" x14ac:dyDescent="0.2">
      <c r="A9019" s="68">
        <v>35724</v>
      </c>
      <c r="B9019" s="69">
        <v>1.0703</v>
      </c>
    </row>
    <row r="9020" spans="1:2" x14ac:dyDescent="0.2">
      <c r="A9020" s="68">
        <v>35723</v>
      </c>
      <c r="B9020" s="69">
        <v>1.0705</v>
      </c>
    </row>
    <row r="9021" spans="1:2" x14ac:dyDescent="0.2">
      <c r="A9021" s="68">
        <v>35722</v>
      </c>
      <c r="B9021" s="69"/>
    </row>
    <row r="9022" spans="1:2" x14ac:dyDescent="0.2">
      <c r="A9022" s="68">
        <v>35721</v>
      </c>
      <c r="B9022" s="69"/>
    </row>
    <row r="9023" spans="1:2" x14ac:dyDescent="0.2">
      <c r="A9023" s="68">
        <v>35720</v>
      </c>
      <c r="B9023" s="69">
        <v>1.0708</v>
      </c>
    </row>
    <row r="9024" spans="1:2" x14ac:dyDescent="0.2">
      <c r="A9024" s="68">
        <v>35719</v>
      </c>
      <c r="B9024" s="69">
        <v>1.071</v>
      </c>
    </row>
    <row r="9025" spans="1:2" x14ac:dyDescent="0.2">
      <c r="A9025" s="68">
        <v>35718</v>
      </c>
      <c r="B9025" s="69">
        <v>1.0711999999999999</v>
      </c>
    </row>
    <row r="9026" spans="1:2" x14ac:dyDescent="0.2">
      <c r="A9026" s="68">
        <v>35717</v>
      </c>
      <c r="B9026" s="69">
        <v>1.0708</v>
      </c>
    </row>
    <row r="9027" spans="1:2" x14ac:dyDescent="0.2">
      <c r="A9027" s="68">
        <v>35716</v>
      </c>
      <c r="B9027" s="69">
        <v>1.0705</v>
      </c>
    </row>
    <row r="9028" spans="1:2" x14ac:dyDescent="0.2">
      <c r="A9028" s="68">
        <v>35715</v>
      </c>
      <c r="B9028" s="69"/>
    </row>
    <row r="9029" spans="1:2" x14ac:dyDescent="0.2">
      <c r="A9029" s="68">
        <v>35714</v>
      </c>
      <c r="B9029" s="69"/>
    </row>
    <row r="9030" spans="1:2" x14ac:dyDescent="0.2">
      <c r="A9030" s="68">
        <v>35713</v>
      </c>
      <c r="B9030" s="69">
        <v>1.0706</v>
      </c>
    </row>
    <row r="9031" spans="1:2" x14ac:dyDescent="0.2">
      <c r="A9031" s="68">
        <v>35712</v>
      </c>
      <c r="B9031" s="69">
        <v>1.0704</v>
      </c>
    </row>
    <row r="9032" spans="1:2" x14ac:dyDescent="0.2">
      <c r="A9032" s="68">
        <v>35711</v>
      </c>
      <c r="B9032" s="69">
        <v>1.0706</v>
      </c>
    </row>
    <row r="9033" spans="1:2" x14ac:dyDescent="0.2">
      <c r="A9033" s="68">
        <v>35710</v>
      </c>
      <c r="B9033" s="69">
        <v>1.0704</v>
      </c>
    </row>
    <row r="9034" spans="1:2" x14ac:dyDescent="0.2">
      <c r="A9034" s="68">
        <v>35709</v>
      </c>
      <c r="B9034" s="69">
        <v>1.0704</v>
      </c>
    </row>
    <row r="9035" spans="1:2" x14ac:dyDescent="0.2">
      <c r="A9035" s="68">
        <v>35708</v>
      </c>
      <c r="B9035" s="69">
        <v>1.0704</v>
      </c>
    </row>
    <row r="9036" spans="1:2" x14ac:dyDescent="0.2">
      <c r="A9036" s="68">
        <v>35707</v>
      </c>
      <c r="B9036" s="69"/>
    </row>
    <row r="9037" spans="1:2" x14ac:dyDescent="0.2">
      <c r="A9037" s="68">
        <v>35706</v>
      </c>
      <c r="B9037" s="69"/>
    </row>
    <row r="9038" spans="1:2" x14ac:dyDescent="0.2">
      <c r="A9038" s="68">
        <v>35705</v>
      </c>
      <c r="B9038" s="69"/>
    </row>
    <row r="9039" spans="1:2" x14ac:dyDescent="0.2">
      <c r="A9039" s="68">
        <v>35704</v>
      </c>
      <c r="B9039" s="69"/>
    </row>
    <row r="9040" spans="1:2" x14ac:dyDescent="0.2">
      <c r="A9040" s="68">
        <v>35703</v>
      </c>
      <c r="B9040" s="69">
        <v>1.0701000000000001</v>
      </c>
    </row>
    <row r="9041" spans="1:2" x14ac:dyDescent="0.2">
      <c r="A9041" s="68">
        <v>35702</v>
      </c>
      <c r="B9041" s="69">
        <v>1.0701000000000001</v>
      </c>
    </row>
    <row r="9042" spans="1:2" x14ac:dyDescent="0.2">
      <c r="A9042" s="68">
        <v>35701</v>
      </c>
      <c r="B9042" s="69"/>
    </row>
    <row r="9043" spans="1:2" x14ac:dyDescent="0.2">
      <c r="A9043" s="68">
        <v>35700</v>
      </c>
      <c r="B9043" s="69"/>
    </row>
    <row r="9044" spans="1:2" x14ac:dyDescent="0.2">
      <c r="A9044" s="68">
        <v>35699</v>
      </c>
      <c r="B9044" s="69">
        <v>1.0701000000000001</v>
      </c>
    </row>
    <row r="9045" spans="1:2" x14ac:dyDescent="0.2">
      <c r="A9045" s="68">
        <v>35698</v>
      </c>
      <c r="B9045" s="69">
        <v>1.07</v>
      </c>
    </row>
    <row r="9046" spans="1:2" x14ac:dyDescent="0.2">
      <c r="A9046" s="68">
        <v>35697</v>
      </c>
      <c r="B9046" s="69">
        <v>1.07</v>
      </c>
    </row>
    <row r="9047" spans="1:2" x14ac:dyDescent="0.2">
      <c r="A9047" s="68">
        <v>35696</v>
      </c>
      <c r="B9047" s="69">
        <v>1.0699000000000001</v>
      </c>
    </row>
    <row r="9048" spans="1:2" x14ac:dyDescent="0.2">
      <c r="A9048" s="68">
        <v>35695</v>
      </c>
      <c r="B9048" s="69">
        <v>1.07</v>
      </c>
    </row>
    <row r="9049" spans="1:2" x14ac:dyDescent="0.2">
      <c r="A9049" s="68">
        <v>35694</v>
      </c>
      <c r="B9049" s="69"/>
    </row>
    <row r="9050" spans="1:2" x14ac:dyDescent="0.2">
      <c r="A9050" s="68">
        <v>35693</v>
      </c>
      <c r="B9050" s="69"/>
    </row>
    <row r="9051" spans="1:2" x14ac:dyDescent="0.2">
      <c r="A9051" s="68">
        <v>35692</v>
      </c>
      <c r="B9051" s="69">
        <v>1.0698000000000001</v>
      </c>
    </row>
    <row r="9052" spans="1:2" x14ac:dyDescent="0.2">
      <c r="A9052" s="68">
        <v>35691</v>
      </c>
      <c r="B9052" s="69">
        <v>1.0698000000000001</v>
      </c>
    </row>
    <row r="9053" spans="1:2" x14ac:dyDescent="0.2">
      <c r="A9053" s="68">
        <v>35690</v>
      </c>
      <c r="B9053" s="69">
        <v>1.0698000000000001</v>
      </c>
    </row>
    <row r="9054" spans="1:2" x14ac:dyDescent="0.2">
      <c r="A9054" s="68">
        <v>35689</v>
      </c>
      <c r="B9054" s="69">
        <v>1.0716000000000001</v>
      </c>
    </row>
    <row r="9055" spans="1:2" x14ac:dyDescent="0.2">
      <c r="A9055" s="68">
        <v>35688</v>
      </c>
      <c r="B9055" s="69">
        <v>1.07</v>
      </c>
    </row>
    <row r="9056" spans="1:2" x14ac:dyDescent="0.2">
      <c r="A9056" s="68">
        <v>35687</v>
      </c>
      <c r="B9056" s="69"/>
    </row>
    <row r="9057" spans="1:2" x14ac:dyDescent="0.2">
      <c r="A9057" s="68">
        <v>35686</v>
      </c>
      <c r="B9057" s="69"/>
    </row>
    <row r="9058" spans="1:2" x14ac:dyDescent="0.2">
      <c r="A9058" s="68">
        <v>35685</v>
      </c>
      <c r="B9058" s="69">
        <v>1.07</v>
      </c>
    </row>
    <row r="9059" spans="1:2" x14ac:dyDescent="0.2">
      <c r="A9059" s="68">
        <v>35684</v>
      </c>
      <c r="B9059" s="69">
        <v>1.0702</v>
      </c>
    </row>
    <row r="9060" spans="1:2" x14ac:dyDescent="0.2">
      <c r="A9060" s="68">
        <v>35683</v>
      </c>
      <c r="B9060" s="69">
        <v>1.0693999999999999</v>
      </c>
    </row>
    <row r="9061" spans="1:2" x14ac:dyDescent="0.2">
      <c r="A9061" s="68">
        <v>35682</v>
      </c>
      <c r="B9061" s="69">
        <v>1.0694999999999999</v>
      </c>
    </row>
    <row r="9062" spans="1:2" x14ac:dyDescent="0.2">
      <c r="A9062" s="68">
        <v>35681</v>
      </c>
      <c r="B9062" s="69">
        <v>1.0698000000000001</v>
      </c>
    </row>
    <row r="9063" spans="1:2" x14ac:dyDescent="0.2">
      <c r="A9063" s="68">
        <v>35680</v>
      </c>
      <c r="B9063" s="69"/>
    </row>
    <row r="9064" spans="1:2" x14ac:dyDescent="0.2">
      <c r="A9064" s="68">
        <v>35679</v>
      </c>
      <c r="B9064" s="69"/>
    </row>
    <row r="9065" spans="1:2" x14ac:dyDescent="0.2">
      <c r="A9065" s="68">
        <v>35678</v>
      </c>
      <c r="B9065" s="69">
        <v>1.0703</v>
      </c>
    </row>
    <row r="9066" spans="1:2" x14ac:dyDescent="0.2">
      <c r="A9066" s="68">
        <v>35677</v>
      </c>
      <c r="B9066" s="69">
        <v>1.0691999999999999</v>
      </c>
    </row>
    <row r="9067" spans="1:2" x14ac:dyDescent="0.2">
      <c r="A9067" s="68">
        <v>35676</v>
      </c>
      <c r="B9067" s="69">
        <v>1.0698000000000001</v>
      </c>
    </row>
    <row r="9068" spans="1:2" x14ac:dyDescent="0.2">
      <c r="A9068" s="68">
        <v>35675</v>
      </c>
      <c r="B9068" s="69">
        <v>1.0699000000000001</v>
      </c>
    </row>
    <row r="9069" spans="1:2" x14ac:dyDescent="0.2">
      <c r="A9069" s="68">
        <v>35674</v>
      </c>
      <c r="B9069" s="69">
        <v>1.0702</v>
      </c>
    </row>
    <row r="9070" spans="1:2" x14ac:dyDescent="0.2">
      <c r="A9070" s="68">
        <v>35673</v>
      </c>
      <c r="B9070" s="69"/>
    </row>
    <row r="9071" spans="1:2" x14ac:dyDescent="0.2">
      <c r="A9071" s="68">
        <v>35672</v>
      </c>
      <c r="B9071" s="69"/>
    </row>
    <row r="9072" spans="1:2" x14ac:dyDescent="0.2">
      <c r="A9072" s="68">
        <v>35671</v>
      </c>
      <c r="B9072" s="69">
        <v>1.0705</v>
      </c>
    </row>
    <row r="9073" spans="1:2" x14ac:dyDescent="0.2">
      <c r="A9073" s="68">
        <v>35670</v>
      </c>
      <c r="B9073" s="69">
        <v>1.0707</v>
      </c>
    </row>
    <row r="9074" spans="1:2" x14ac:dyDescent="0.2">
      <c r="A9074" s="68">
        <v>35669</v>
      </c>
      <c r="B9074" s="69">
        <v>1.0708</v>
      </c>
    </row>
    <row r="9075" spans="1:2" x14ac:dyDescent="0.2">
      <c r="A9075" s="68">
        <v>35668</v>
      </c>
      <c r="B9075" s="69">
        <v>1.0708</v>
      </c>
    </row>
    <row r="9076" spans="1:2" x14ac:dyDescent="0.2">
      <c r="A9076" s="68">
        <v>35667</v>
      </c>
      <c r="B9076" s="69">
        <v>1.0706</v>
      </c>
    </row>
    <row r="9077" spans="1:2" x14ac:dyDescent="0.2">
      <c r="A9077" s="68">
        <v>35666</v>
      </c>
      <c r="B9077" s="69"/>
    </row>
    <row r="9078" spans="1:2" x14ac:dyDescent="0.2">
      <c r="A9078" s="68">
        <v>35665</v>
      </c>
      <c r="B9078" s="69"/>
    </row>
    <row r="9079" spans="1:2" x14ac:dyDescent="0.2">
      <c r="A9079" s="68">
        <v>35664</v>
      </c>
      <c r="B9079" s="69">
        <v>1.0706</v>
      </c>
    </row>
    <row r="9080" spans="1:2" x14ac:dyDescent="0.2">
      <c r="A9080" s="68">
        <v>35663</v>
      </c>
      <c r="B9080" s="69">
        <v>1.0707</v>
      </c>
    </row>
    <row r="9081" spans="1:2" x14ac:dyDescent="0.2">
      <c r="A9081" s="68">
        <v>35662</v>
      </c>
      <c r="B9081" s="69">
        <v>1.0705</v>
      </c>
    </row>
    <row r="9082" spans="1:2" x14ac:dyDescent="0.2">
      <c r="A9082" s="68">
        <v>35661</v>
      </c>
      <c r="B9082" s="69">
        <v>1.0697000000000001</v>
      </c>
    </row>
    <row r="9083" spans="1:2" x14ac:dyDescent="0.2">
      <c r="A9083" s="68">
        <v>35660</v>
      </c>
      <c r="B9083" s="69">
        <v>1.0701000000000001</v>
      </c>
    </row>
    <row r="9084" spans="1:2" x14ac:dyDescent="0.2">
      <c r="A9084" s="68">
        <v>35659</v>
      </c>
      <c r="B9084" s="69"/>
    </row>
    <row r="9085" spans="1:2" x14ac:dyDescent="0.2">
      <c r="A9085" s="68">
        <v>35658</v>
      </c>
      <c r="B9085" s="69"/>
    </row>
    <row r="9086" spans="1:2" x14ac:dyDescent="0.2">
      <c r="A9086" s="68">
        <v>35657</v>
      </c>
      <c r="B9086" s="69">
        <v>1.0699000000000001</v>
      </c>
    </row>
    <row r="9087" spans="1:2" x14ac:dyDescent="0.2">
      <c r="A9087" s="68">
        <v>35656</v>
      </c>
      <c r="B9087" s="69">
        <v>1.0699000000000001</v>
      </c>
    </row>
    <row r="9088" spans="1:2" x14ac:dyDescent="0.2">
      <c r="A9088" s="68">
        <v>35655</v>
      </c>
      <c r="B9088" s="69">
        <v>1.0696000000000001</v>
      </c>
    </row>
    <row r="9089" spans="1:2" x14ac:dyDescent="0.2">
      <c r="A9089" s="68">
        <v>35654</v>
      </c>
      <c r="B9089" s="69">
        <v>1.0699000000000001</v>
      </c>
    </row>
    <row r="9090" spans="1:2" x14ac:dyDescent="0.2">
      <c r="A9090" s="68">
        <v>35653</v>
      </c>
      <c r="B9090" s="69">
        <v>1.0701000000000001</v>
      </c>
    </row>
    <row r="9091" spans="1:2" x14ac:dyDescent="0.2">
      <c r="A9091" s="68">
        <v>35652</v>
      </c>
      <c r="B9091" s="69"/>
    </row>
    <row r="9092" spans="1:2" x14ac:dyDescent="0.2">
      <c r="A9092" s="68">
        <v>35651</v>
      </c>
      <c r="B9092" s="69"/>
    </row>
    <row r="9093" spans="1:2" x14ac:dyDescent="0.2">
      <c r="A9093" s="68">
        <v>35650</v>
      </c>
      <c r="B9093" s="69">
        <v>1.0704</v>
      </c>
    </row>
    <row r="9094" spans="1:2" x14ac:dyDescent="0.2">
      <c r="A9094" s="68">
        <v>35649</v>
      </c>
      <c r="B9094" s="69">
        <v>1.0701000000000001</v>
      </c>
    </row>
    <row r="9095" spans="1:2" x14ac:dyDescent="0.2">
      <c r="A9095" s="68">
        <v>35648</v>
      </c>
      <c r="B9095" s="69">
        <v>1.0702</v>
      </c>
    </row>
    <row r="9096" spans="1:2" x14ac:dyDescent="0.2">
      <c r="A9096" s="68">
        <v>35647</v>
      </c>
      <c r="B9096" s="69">
        <v>1.0703</v>
      </c>
    </row>
    <row r="9097" spans="1:2" x14ac:dyDescent="0.2">
      <c r="A9097" s="68">
        <v>35646</v>
      </c>
      <c r="B9097" s="69">
        <v>1.0701000000000001</v>
      </c>
    </row>
    <row r="9098" spans="1:2" x14ac:dyDescent="0.2">
      <c r="A9098" s="68">
        <v>35645</v>
      </c>
      <c r="B9098" s="69"/>
    </row>
    <row r="9099" spans="1:2" x14ac:dyDescent="0.2">
      <c r="A9099" s="68">
        <v>35644</v>
      </c>
      <c r="B9099" s="69"/>
    </row>
    <row r="9100" spans="1:2" x14ac:dyDescent="0.2">
      <c r="A9100" s="68">
        <v>35643</v>
      </c>
      <c r="B9100" s="69">
        <v>1.0699000000000001</v>
      </c>
    </row>
    <row r="9101" spans="1:2" x14ac:dyDescent="0.2">
      <c r="A9101" s="68">
        <v>35642</v>
      </c>
      <c r="B9101" s="69">
        <v>1.0701000000000001</v>
      </c>
    </row>
    <row r="9102" spans="1:2" x14ac:dyDescent="0.2">
      <c r="A9102" s="68">
        <v>35641</v>
      </c>
      <c r="B9102" s="69">
        <v>1.0701000000000001</v>
      </c>
    </row>
    <row r="9103" spans="1:2" x14ac:dyDescent="0.2">
      <c r="A9103" s="68">
        <v>35640</v>
      </c>
      <c r="B9103" s="69">
        <v>1.0701000000000001</v>
      </c>
    </row>
    <row r="9104" spans="1:2" x14ac:dyDescent="0.2">
      <c r="A9104" s="68">
        <v>35639</v>
      </c>
      <c r="B9104" s="69">
        <v>1.0702</v>
      </c>
    </row>
    <row r="9105" spans="1:2" x14ac:dyDescent="0.2">
      <c r="A9105" s="68">
        <v>35638</v>
      </c>
      <c r="B9105" s="69"/>
    </row>
    <row r="9106" spans="1:2" x14ac:dyDescent="0.2">
      <c r="A9106" s="68">
        <v>35637</v>
      </c>
      <c r="B9106" s="69"/>
    </row>
    <row r="9107" spans="1:2" x14ac:dyDescent="0.2">
      <c r="A9107" s="68">
        <v>35636</v>
      </c>
      <c r="B9107" s="69">
        <v>1.0698000000000001</v>
      </c>
    </row>
    <row r="9108" spans="1:2" x14ac:dyDescent="0.2">
      <c r="A9108" s="68">
        <v>35635</v>
      </c>
      <c r="B9108" s="69">
        <v>1.0699000000000001</v>
      </c>
    </row>
    <row r="9109" spans="1:2" x14ac:dyDescent="0.2">
      <c r="A9109" s="68">
        <v>35634</v>
      </c>
      <c r="B9109" s="69">
        <v>1.0697000000000001</v>
      </c>
    </row>
    <row r="9110" spans="1:2" x14ac:dyDescent="0.2">
      <c r="A9110" s="68">
        <v>35633</v>
      </c>
      <c r="B9110" s="69">
        <v>1.0698000000000001</v>
      </c>
    </row>
    <row r="9111" spans="1:2" x14ac:dyDescent="0.2">
      <c r="A9111" s="68">
        <v>35632</v>
      </c>
      <c r="B9111" s="69">
        <v>1.07</v>
      </c>
    </row>
    <row r="9112" spans="1:2" x14ac:dyDescent="0.2">
      <c r="A9112" s="68">
        <v>35631</v>
      </c>
      <c r="B9112" s="69"/>
    </row>
    <row r="9113" spans="1:2" x14ac:dyDescent="0.2">
      <c r="A9113" s="68">
        <v>35630</v>
      </c>
      <c r="B9113" s="69"/>
    </row>
    <row r="9114" spans="1:2" x14ac:dyDescent="0.2">
      <c r="A9114" s="68">
        <v>35629</v>
      </c>
      <c r="B9114" s="69">
        <v>1.0707</v>
      </c>
    </row>
    <row r="9115" spans="1:2" x14ac:dyDescent="0.2">
      <c r="A9115" s="68">
        <v>35628</v>
      </c>
      <c r="B9115" s="69">
        <v>1.0704</v>
      </c>
    </row>
    <row r="9116" spans="1:2" x14ac:dyDescent="0.2">
      <c r="A9116" s="68">
        <v>35627</v>
      </c>
      <c r="B9116" s="69">
        <v>1.07</v>
      </c>
    </row>
    <row r="9117" spans="1:2" x14ac:dyDescent="0.2">
      <c r="A9117" s="68">
        <v>35626</v>
      </c>
      <c r="B9117" s="69">
        <v>1.0699000000000001</v>
      </c>
    </row>
    <row r="9118" spans="1:2" x14ac:dyDescent="0.2">
      <c r="A9118" s="68">
        <v>35625</v>
      </c>
      <c r="B9118" s="69">
        <v>1.0702</v>
      </c>
    </row>
    <row r="9119" spans="1:2" x14ac:dyDescent="0.2">
      <c r="A9119" s="68">
        <v>35624</v>
      </c>
      <c r="B9119" s="69"/>
    </row>
    <row r="9120" spans="1:2" x14ac:dyDescent="0.2">
      <c r="A9120" s="68">
        <v>35623</v>
      </c>
      <c r="B9120" s="69"/>
    </row>
    <row r="9121" spans="1:2" x14ac:dyDescent="0.2">
      <c r="A9121" s="68">
        <v>35622</v>
      </c>
      <c r="B9121" s="69">
        <v>1.0710999999999999</v>
      </c>
    </row>
    <row r="9122" spans="1:2" x14ac:dyDescent="0.2">
      <c r="A9122" s="68">
        <v>35621</v>
      </c>
      <c r="B9122" s="69">
        <v>1.0712999999999999</v>
      </c>
    </row>
    <row r="9123" spans="1:2" x14ac:dyDescent="0.2">
      <c r="A9123" s="68">
        <v>35620</v>
      </c>
      <c r="B9123" s="69">
        <v>1.0712999999999999</v>
      </c>
    </row>
    <row r="9124" spans="1:2" x14ac:dyDescent="0.2">
      <c r="A9124" s="68">
        <v>35619</v>
      </c>
      <c r="B9124" s="69">
        <v>1.0708</v>
      </c>
    </row>
    <row r="9125" spans="1:2" x14ac:dyDescent="0.2">
      <c r="A9125" s="68">
        <v>35618</v>
      </c>
      <c r="B9125" s="69">
        <v>1.0703</v>
      </c>
    </row>
    <row r="9126" spans="1:2" x14ac:dyDescent="0.2">
      <c r="A9126" s="68">
        <v>35617</v>
      </c>
      <c r="B9126" s="69"/>
    </row>
    <row r="9127" spans="1:2" x14ac:dyDescent="0.2">
      <c r="A9127" s="68">
        <v>35616</v>
      </c>
      <c r="B9127" s="69"/>
    </row>
    <row r="9128" spans="1:2" x14ac:dyDescent="0.2">
      <c r="A9128" s="68">
        <v>35615</v>
      </c>
      <c r="B9128" s="69">
        <v>1.0697000000000001</v>
      </c>
    </row>
    <row r="9129" spans="1:2" x14ac:dyDescent="0.2">
      <c r="A9129" s="68">
        <v>35614</v>
      </c>
      <c r="B9129" s="69">
        <v>1.0690999999999999</v>
      </c>
    </row>
    <row r="9130" spans="1:2" x14ac:dyDescent="0.2">
      <c r="A9130" s="68">
        <v>35613</v>
      </c>
      <c r="B9130" s="69">
        <v>1.0690999999999999</v>
      </c>
    </row>
    <row r="9131" spans="1:2" x14ac:dyDescent="0.2">
      <c r="A9131" s="68">
        <v>35612</v>
      </c>
      <c r="B9131" s="69"/>
    </row>
    <row r="9132" spans="1:2" x14ac:dyDescent="0.2">
      <c r="A9132" s="68">
        <v>35611</v>
      </c>
      <c r="B9132" s="69"/>
    </row>
    <row r="9133" spans="1:2" x14ac:dyDescent="0.2">
      <c r="A9133" s="68">
        <v>35610</v>
      </c>
      <c r="B9133" s="69"/>
    </row>
    <row r="9134" spans="1:2" x14ac:dyDescent="0.2">
      <c r="A9134" s="68">
        <v>35609</v>
      </c>
      <c r="B9134" s="69">
        <v>1.0693999999999999</v>
      </c>
    </row>
    <row r="9135" spans="1:2" x14ac:dyDescent="0.2">
      <c r="A9135" s="68">
        <v>35608</v>
      </c>
      <c r="B9135" s="69">
        <v>1.0696000000000001</v>
      </c>
    </row>
    <row r="9136" spans="1:2" x14ac:dyDescent="0.2">
      <c r="A9136" s="68">
        <v>35607</v>
      </c>
      <c r="B9136" s="69">
        <v>1.0696000000000001</v>
      </c>
    </row>
    <row r="9137" spans="1:2" x14ac:dyDescent="0.2">
      <c r="A9137" s="68">
        <v>35606</v>
      </c>
      <c r="B9137" s="69">
        <v>1.0703</v>
      </c>
    </row>
    <row r="9138" spans="1:2" x14ac:dyDescent="0.2">
      <c r="A9138" s="68">
        <v>35605</v>
      </c>
      <c r="B9138" s="69">
        <v>1.0703</v>
      </c>
    </row>
    <row r="9139" spans="1:2" x14ac:dyDescent="0.2">
      <c r="A9139" s="68">
        <v>35604</v>
      </c>
      <c r="B9139" s="69">
        <v>1.0709</v>
      </c>
    </row>
    <row r="9140" spans="1:2" x14ac:dyDescent="0.2">
      <c r="A9140" s="68">
        <v>35603</v>
      </c>
      <c r="B9140" s="69"/>
    </row>
    <row r="9141" spans="1:2" x14ac:dyDescent="0.2">
      <c r="A9141" s="68">
        <v>35602</v>
      </c>
      <c r="B9141" s="69"/>
    </row>
    <row r="9142" spans="1:2" x14ac:dyDescent="0.2">
      <c r="A9142" s="68">
        <v>35601</v>
      </c>
      <c r="B9142" s="69">
        <v>1.0717000000000001</v>
      </c>
    </row>
    <row r="9143" spans="1:2" x14ac:dyDescent="0.2">
      <c r="A9143" s="68">
        <v>35600</v>
      </c>
      <c r="B9143" s="69">
        <v>1.0718000000000001</v>
      </c>
    </row>
    <row r="9144" spans="1:2" x14ac:dyDescent="0.2">
      <c r="A9144" s="68">
        <v>35599</v>
      </c>
      <c r="B9144" s="69">
        <v>1.0714999999999999</v>
      </c>
    </row>
    <row r="9145" spans="1:2" x14ac:dyDescent="0.2">
      <c r="A9145" s="68">
        <v>35598</v>
      </c>
      <c r="B9145" s="69">
        <v>1.071</v>
      </c>
    </row>
    <row r="9146" spans="1:2" x14ac:dyDescent="0.2">
      <c r="A9146" s="68">
        <v>35597</v>
      </c>
      <c r="B9146" s="69">
        <v>1.071</v>
      </c>
    </row>
    <row r="9147" spans="1:2" x14ac:dyDescent="0.2">
      <c r="A9147" s="68">
        <v>35596</v>
      </c>
      <c r="B9147" s="69"/>
    </row>
    <row r="9148" spans="1:2" x14ac:dyDescent="0.2">
      <c r="A9148" s="68">
        <v>35595</v>
      </c>
      <c r="B9148" s="69"/>
    </row>
    <row r="9149" spans="1:2" x14ac:dyDescent="0.2">
      <c r="A9149" s="68">
        <v>35594</v>
      </c>
      <c r="B9149" s="69">
        <v>1.0707</v>
      </c>
    </row>
    <row r="9150" spans="1:2" x14ac:dyDescent="0.2">
      <c r="A9150" s="68">
        <v>35593</v>
      </c>
      <c r="B9150" s="69">
        <v>1.0707</v>
      </c>
    </row>
    <row r="9151" spans="1:2" x14ac:dyDescent="0.2">
      <c r="A9151" s="68">
        <v>35592</v>
      </c>
      <c r="B9151" s="69">
        <v>1.0704</v>
      </c>
    </row>
    <row r="9152" spans="1:2" x14ac:dyDescent="0.2">
      <c r="A9152" s="68">
        <v>35591</v>
      </c>
      <c r="B9152" s="69">
        <v>1.07</v>
      </c>
    </row>
    <row r="9153" spans="1:2" x14ac:dyDescent="0.2">
      <c r="A9153" s="68">
        <v>35590</v>
      </c>
      <c r="B9153" s="69">
        <v>1.0704</v>
      </c>
    </row>
    <row r="9154" spans="1:2" x14ac:dyDescent="0.2">
      <c r="A9154" s="68">
        <v>35589</v>
      </c>
      <c r="B9154" s="69"/>
    </row>
    <row r="9155" spans="1:2" x14ac:dyDescent="0.2">
      <c r="A9155" s="68">
        <v>35588</v>
      </c>
      <c r="B9155" s="69"/>
    </row>
    <row r="9156" spans="1:2" x14ac:dyDescent="0.2">
      <c r="A9156" s="68">
        <v>35587</v>
      </c>
      <c r="B9156" s="69">
        <v>1.0706</v>
      </c>
    </row>
    <row r="9157" spans="1:2" x14ac:dyDescent="0.2">
      <c r="A9157" s="68">
        <v>35586</v>
      </c>
      <c r="B9157" s="69">
        <v>1.0709</v>
      </c>
    </row>
    <row r="9158" spans="1:2" x14ac:dyDescent="0.2">
      <c r="A9158" s="68">
        <v>35585</v>
      </c>
      <c r="B9158" s="69">
        <v>1.0707</v>
      </c>
    </row>
    <row r="9159" spans="1:2" x14ac:dyDescent="0.2">
      <c r="A9159" s="68">
        <v>35584</v>
      </c>
      <c r="B9159" s="69">
        <v>1.0707</v>
      </c>
    </row>
    <row r="9160" spans="1:2" x14ac:dyDescent="0.2">
      <c r="A9160" s="68">
        <v>35583</v>
      </c>
      <c r="B9160" s="69">
        <v>1.0708</v>
      </c>
    </row>
    <row r="9161" spans="1:2" x14ac:dyDescent="0.2">
      <c r="A9161" s="68">
        <v>35582</v>
      </c>
      <c r="B9161" s="69"/>
    </row>
    <row r="9162" spans="1:2" x14ac:dyDescent="0.2">
      <c r="A9162" s="68">
        <v>35581</v>
      </c>
      <c r="B9162" s="69"/>
    </row>
    <row r="9163" spans="1:2" x14ac:dyDescent="0.2">
      <c r="A9163" s="68">
        <v>35580</v>
      </c>
      <c r="B9163" s="69">
        <v>1.071</v>
      </c>
    </row>
    <row r="9164" spans="1:2" x14ac:dyDescent="0.2">
      <c r="A9164" s="68">
        <v>35579</v>
      </c>
      <c r="B9164" s="69">
        <v>1.0712999999999999</v>
      </c>
    </row>
    <row r="9165" spans="1:2" x14ac:dyDescent="0.2">
      <c r="A9165" s="68">
        <v>35578</v>
      </c>
      <c r="B9165" s="69">
        <v>1.0717000000000001</v>
      </c>
    </row>
    <row r="9166" spans="1:2" x14ac:dyDescent="0.2">
      <c r="A9166" s="68">
        <v>35577</v>
      </c>
      <c r="B9166" s="69">
        <v>1.0720000000000001</v>
      </c>
    </row>
    <row r="9167" spans="1:2" x14ac:dyDescent="0.2">
      <c r="A9167" s="68">
        <v>35576</v>
      </c>
      <c r="B9167" s="69">
        <v>1.0717000000000001</v>
      </c>
    </row>
    <row r="9168" spans="1:2" x14ac:dyDescent="0.2">
      <c r="A9168" s="68">
        <v>35575</v>
      </c>
      <c r="B9168" s="69"/>
    </row>
    <row r="9169" spans="1:2" x14ac:dyDescent="0.2">
      <c r="A9169" s="68">
        <v>35574</v>
      </c>
      <c r="B9169" s="69"/>
    </row>
    <row r="9170" spans="1:2" x14ac:dyDescent="0.2">
      <c r="A9170" s="68">
        <v>35573</v>
      </c>
      <c r="B9170" s="69">
        <v>1.0724</v>
      </c>
    </row>
    <row r="9171" spans="1:2" x14ac:dyDescent="0.2">
      <c r="A9171" s="68">
        <v>35572</v>
      </c>
      <c r="B9171" s="69">
        <v>1.0721000000000001</v>
      </c>
    </row>
    <row r="9172" spans="1:2" x14ac:dyDescent="0.2">
      <c r="A9172" s="68">
        <v>35571</v>
      </c>
      <c r="B9172" s="69">
        <v>1.0718000000000001</v>
      </c>
    </row>
    <row r="9173" spans="1:2" x14ac:dyDescent="0.2">
      <c r="A9173" s="68">
        <v>35570</v>
      </c>
      <c r="B9173" s="69">
        <v>1.0717000000000001</v>
      </c>
    </row>
    <row r="9174" spans="1:2" x14ac:dyDescent="0.2">
      <c r="A9174" s="68">
        <v>35569</v>
      </c>
      <c r="B9174" s="69">
        <v>1.0721000000000001</v>
      </c>
    </row>
    <row r="9175" spans="1:2" x14ac:dyDescent="0.2">
      <c r="A9175" s="68">
        <v>35568</v>
      </c>
      <c r="B9175" s="69"/>
    </row>
    <row r="9176" spans="1:2" x14ac:dyDescent="0.2">
      <c r="A9176" s="68">
        <v>35567</v>
      </c>
      <c r="B9176" s="69"/>
    </row>
    <row r="9177" spans="1:2" x14ac:dyDescent="0.2">
      <c r="A9177" s="68">
        <v>35566</v>
      </c>
      <c r="B9177" s="69">
        <v>1.0719000000000001</v>
      </c>
    </row>
    <row r="9178" spans="1:2" x14ac:dyDescent="0.2">
      <c r="A9178" s="68">
        <v>35565</v>
      </c>
      <c r="B9178" s="69">
        <v>1.0719000000000001</v>
      </c>
    </row>
    <row r="9179" spans="1:2" x14ac:dyDescent="0.2">
      <c r="A9179" s="68">
        <v>35564</v>
      </c>
      <c r="B9179" s="69">
        <v>1.0712999999999999</v>
      </c>
    </row>
    <row r="9180" spans="1:2" x14ac:dyDescent="0.2">
      <c r="A9180" s="68">
        <v>35563</v>
      </c>
      <c r="B9180" s="69">
        <v>1.0712999999999999</v>
      </c>
    </row>
    <row r="9181" spans="1:2" x14ac:dyDescent="0.2">
      <c r="A9181" s="68">
        <v>35562</v>
      </c>
      <c r="B9181" s="69">
        <v>1.0712999999999999</v>
      </c>
    </row>
    <row r="9182" spans="1:2" x14ac:dyDescent="0.2">
      <c r="A9182" s="68">
        <v>35561</v>
      </c>
      <c r="B9182" s="69"/>
    </row>
    <row r="9183" spans="1:2" x14ac:dyDescent="0.2">
      <c r="A9183" s="68">
        <v>35560</v>
      </c>
      <c r="B9183" s="69"/>
    </row>
    <row r="9184" spans="1:2" x14ac:dyDescent="0.2">
      <c r="A9184" s="68">
        <v>35559</v>
      </c>
      <c r="B9184" s="69">
        <v>1.0709</v>
      </c>
    </row>
    <row r="9185" spans="1:2" x14ac:dyDescent="0.2">
      <c r="A9185" s="68">
        <v>35558</v>
      </c>
      <c r="B9185" s="69">
        <v>1.0710999999999999</v>
      </c>
    </row>
    <row r="9186" spans="1:2" x14ac:dyDescent="0.2">
      <c r="A9186" s="68">
        <v>35557</v>
      </c>
      <c r="B9186" s="69">
        <v>1.0709</v>
      </c>
    </row>
    <row r="9187" spans="1:2" x14ac:dyDescent="0.2">
      <c r="A9187" s="68">
        <v>35556</v>
      </c>
      <c r="B9187" s="69">
        <v>1.0710999999999999</v>
      </c>
    </row>
    <row r="9188" spans="1:2" x14ac:dyDescent="0.2">
      <c r="A9188" s="68">
        <v>35555</v>
      </c>
      <c r="B9188" s="69">
        <v>1.0713999999999999</v>
      </c>
    </row>
    <row r="9189" spans="1:2" x14ac:dyDescent="0.2">
      <c r="A9189" s="68">
        <v>35554</v>
      </c>
      <c r="B9189" s="69"/>
    </row>
    <row r="9190" spans="1:2" x14ac:dyDescent="0.2">
      <c r="A9190" s="68">
        <v>35553</v>
      </c>
      <c r="B9190" s="69"/>
    </row>
    <row r="9191" spans="1:2" x14ac:dyDescent="0.2">
      <c r="A9191" s="68">
        <v>35552</v>
      </c>
      <c r="B9191" s="69"/>
    </row>
    <row r="9192" spans="1:2" x14ac:dyDescent="0.2">
      <c r="A9192" s="68">
        <v>35551</v>
      </c>
      <c r="B9192" s="69"/>
    </row>
    <row r="9193" spans="1:2" x14ac:dyDescent="0.2">
      <c r="A9193" s="68">
        <v>35550</v>
      </c>
      <c r="B9193" s="69">
        <v>1.0709</v>
      </c>
    </row>
    <row r="9194" spans="1:2" x14ac:dyDescent="0.2">
      <c r="A9194" s="68">
        <v>35549</v>
      </c>
      <c r="B9194" s="69">
        <v>1.0710999999999999</v>
      </c>
    </row>
    <row r="9195" spans="1:2" x14ac:dyDescent="0.2">
      <c r="A9195" s="68">
        <v>35548</v>
      </c>
      <c r="B9195" s="69">
        <v>1.0708</v>
      </c>
    </row>
    <row r="9196" spans="1:2" x14ac:dyDescent="0.2">
      <c r="A9196" s="68">
        <v>35547</v>
      </c>
      <c r="B9196" s="69"/>
    </row>
    <row r="9197" spans="1:2" x14ac:dyDescent="0.2">
      <c r="A9197" s="68">
        <v>35546</v>
      </c>
      <c r="B9197" s="69"/>
    </row>
    <row r="9198" spans="1:2" x14ac:dyDescent="0.2">
      <c r="A9198" s="68">
        <v>35545</v>
      </c>
      <c r="B9198" s="69">
        <v>1.0708</v>
      </c>
    </row>
    <row r="9199" spans="1:2" x14ac:dyDescent="0.2">
      <c r="A9199" s="68">
        <v>35544</v>
      </c>
      <c r="B9199" s="69">
        <v>1.0707</v>
      </c>
    </row>
    <row r="9200" spans="1:2" x14ac:dyDescent="0.2">
      <c r="A9200" s="68">
        <v>35543</v>
      </c>
      <c r="B9200" s="69">
        <v>1.0705</v>
      </c>
    </row>
    <row r="9201" spans="1:2" x14ac:dyDescent="0.2">
      <c r="A9201" s="68">
        <v>35542</v>
      </c>
      <c r="B9201" s="69">
        <v>1.0711999999999999</v>
      </c>
    </row>
    <row r="9202" spans="1:2" x14ac:dyDescent="0.2">
      <c r="A9202" s="68">
        <v>35541</v>
      </c>
      <c r="B9202" s="69">
        <v>1.071</v>
      </c>
    </row>
    <row r="9203" spans="1:2" x14ac:dyDescent="0.2">
      <c r="A9203" s="68">
        <v>35540</v>
      </c>
      <c r="B9203" s="69"/>
    </row>
    <row r="9204" spans="1:2" x14ac:dyDescent="0.2">
      <c r="A9204" s="68">
        <v>35539</v>
      </c>
      <c r="B9204" s="69"/>
    </row>
    <row r="9205" spans="1:2" x14ac:dyDescent="0.2">
      <c r="A9205" s="68">
        <v>35538</v>
      </c>
      <c r="B9205" s="69">
        <v>1.0710999999999999</v>
      </c>
    </row>
    <row r="9206" spans="1:2" x14ac:dyDescent="0.2">
      <c r="A9206" s="68">
        <v>35537</v>
      </c>
      <c r="B9206" s="69">
        <v>1.0713999999999999</v>
      </c>
    </row>
    <row r="9207" spans="1:2" x14ac:dyDescent="0.2">
      <c r="A9207" s="68">
        <v>35536</v>
      </c>
      <c r="B9207" s="69">
        <v>1.0712999999999999</v>
      </c>
    </row>
    <row r="9208" spans="1:2" x14ac:dyDescent="0.2">
      <c r="A9208" s="68">
        <v>35535</v>
      </c>
      <c r="B9208" s="69">
        <v>1.0716000000000001</v>
      </c>
    </row>
    <row r="9209" spans="1:2" x14ac:dyDescent="0.2">
      <c r="A9209" s="68">
        <v>35534</v>
      </c>
      <c r="B9209" s="69">
        <v>1.0714999999999999</v>
      </c>
    </row>
    <row r="9210" spans="1:2" x14ac:dyDescent="0.2">
      <c r="A9210" s="68">
        <v>35533</v>
      </c>
      <c r="B9210" s="69"/>
    </row>
    <row r="9211" spans="1:2" x14ac:dyDescent="0.2">
      <c r="A9211" s="68">
        <v>35532</v>
      </c>
      <c r="B9211" s="69"/>
    </row>
    <row r="9212" spans="1:2" x14ac:dyDescent="0.2">
      <c r="A9212" s="68">
        <v>35531</v>
      </c>
      <c r="B9212" s="69">
        <v>1.0717000000000001</v>
      </c>
    </row>
    <row r="9213" spans="1:2" x14ac:dyDescent="0.2">
      <c r="A9213" s="68">
        <v>35530</v>
      </c>
      <c r="B9213" s="69">
        <v>1.0716000000000001</v>
      </c>
    </row>
    <row r="9214" spans="1:2" x14ac:dyDescent="0.2">
      <c r="A9214" s="68">
        <v>35529</v>
      </c>
      <c r="B9214" s="69">
        <v>1.0716000000000001</v>
      </c>
    </row>
    <row r="9215" spans="1:2" x14ac:dyDescent="0.2">
      <c r="A9215" s="68">
        <v>35528</v>
      </c>
      <c r="B9215" s="69">
        <v>1.0717000000000001</v>
      </c>
    </row>
    <row r="9216" spans="1:2" x14ac:dyDescent="0.2">
      <c r="A9216" s="68">
        <v>35527</v>
      </c>
      <c r="B9216" s="69">
        <v>1.0718000000000001</v>
      </c>
    </row>
    <row r="9217" spans="1:2" x14ac:dyDescent="0.2">
      <c r="A9217" s="68">
        <v>35526</v>
      </c>
      <c r="B9217" s="69"/>
    </row>
    <row r="9218" spans="1:2" x14ac:dyDescent="0.2">
      <c r="A9218" s="68">
        <v>35525</v>
      </c>
      <c r="B9218" s="69"/>
    </row>
    <row r="9219" spans="1:2" x14ac:dyDescent="0.2">
      <c r="A9219" s="68">
        <v>35524</v>
      </c>
      <c r="B9219" s="69">
        <v>1.0716000000000001</v>
      </c>
    </row>
    <row r="9220" spans="1:2" x14ac:dyDescent="0.2">
      <c r="A9220" s="68">
        <v>35523</v>
      </c>
      <c r="B9220" s="69">
        <v>1.0709</v>
      </c>
    </row>
    <row r="9221" spans="1:2" x14ac:dyDescent="0.2">
      <c r="A9221" s="68">
        <v>35522</v>
      </c>
      <c r="B9221" s="69">
        <v>1.0708</v>
      </c>
    </row>
    <row r="9222" spans="1:2" x14ac:dyDescent="0.2">
      <c r="A9222" s="68">
        <v>35521</v>
      </c>
      <c r="B9222" s="69">
        <v>1.071</v>
      </c>
    </row>
    <row r="9223" spans="1:2" x14ac:dyDescent="0.2">
      <c r="A9223" s="68">
        <v>35520</v>
      </c>
      <c r="B9223" s="69">
        <v>1.0707</v>
      </c>
    </row>
    <row r="9224" spans="1:2" x14ac:dyDescent="0.2">
      <c r="A9224" s="68">
        <v>35519</v>
      </c>
      <c r="B9224" s="69"/>
    </row>
    <row r="9225" spans="1:2" x14ac:dyDescent="0.2">
      <c r="A9225" s="68">
        <v>35518</v>
      </c>
      <c r="B9225" s="69"/>
    </row>
    <row r="9226" spans="1:2" x14ac:dyDescent="0.2">
      <c r="A9226" s="68">
        <v>35517</v>
      </c>
      <c r="B9226" s="69">
        <v>1.0713999999999999</v>
      </c>
    </row>
    <row r="9227" spans="1:2" x14ac:dyDescent="0.2">
      <c r="A9227" s="68">
        <v>35516</v>
      </c>
      <c r="B9227" s="69">
        <v>1.071</v>
      </c>
    </row>
    <row r="9228" spans="1:2" x14ac:dyDescent="0.2">
      <c r="A9228" s="68">
        <v>35515</v>
      </c>
      <c r="B9228" s="69">
        <v>1.071</v>
      </c>
    </row>
    <row r="9229" spans="1:2" x14ac:dyDescent="0.2">
      <c r="A9229" s="68">
        <v>35514</v>
      </c>
      <c r="B9229" s="69">
        <v>1.0710999999999999</v>
      </c>
    </row>
    <row r="9230" spans="1:2" x14ac:dyDescent="0.2">
      <c r="A9230" s="68">
        <v>35513</v>
      </c>
      <c r="B9230" s="69">
        <v>1.0711999999999999</v>
      </c>
    </row>
    <row r="9231" spans="1:2" x14ac:dyDescent="0.2">
      <c r="A9231" s="68">
        <v>35512</v>
      </c>
      <c r="B9231" s="69"/>
    </row>
    <row r="9232" spans="1:2" x14ac:dyDescent="0.2">
      <c r="A9232" s="68">
        <v>35511</v>
      </c>
      <c r="B9232" s="69"/>
    </row>
    <row r="9233" spans="1:2" x14ac:dyDescent="0.2">
      <c r="A9233" s="68">
        <v>35510</v>
      </c>
      <c r="B9233" s="69">
        <v>1.0717000000000001</v>
      </c>
    </row>
    <row r="9234" spans="1:2" x14ac:dyDescent="0.2">
      <c r="A9234" s="68">
        <v>35509</v>
      </c>
      <c r="B9234" s="69">
        <v>1.0712999999999999</v>
      </c>
    </row>
    <row r="9235" spans="1:2" x14ac:dyDescent="0.2">
      <c r="A9235" s="68">
        <v>35508</v>
      </c>
      <c r="B9235" s="69">
        <v>1.0716000000000001</v>
      </c>
    </row>
    <row r="9236" spans="1:2" x14ac:dyDescent="0.2">
      <c r="A9236" s="68">
        <v>35507</v>
      </c>
      <c r="B9236" s="69">
        <v>1.0717000000000001</v>
      </c>
    </row>
    <row r="9237" spans="1:2" x14ac:dyDescent="0.2">
      <c r="A9237" s="68">
        <v>35506</v>
      </c>
      <c r="B9237" s="69">
        <v>1.0718000000000001</v>
      </c>
    </row>
    <row r="9238" spans="1:2" x14ac:dyDescent="0.2">
      <c r="A9238" s="68">
        <v>35505</v>
      </c>
      <c r="B9238" s="69"/>
    </row>
    <row r="9239" spans="1:2" x14ac:dyDescent="0.2">
      <c r="A9239" s="68">
        <v>35504</v>
      </c>
      <c r="B9239" s="69"/>
    </row>
    <row r="9240" spans="1:2" x14ac:dyDescent="0.2">
      <c r="A9240" s="68">
        <v>35503</v>
      </c>
      <c r="B9240" s="69">
        <v>1.0720000000000001</v>
      </c>
    </row>
    <row r="9241" spans="1:2" x14ac:dyDescent="0.2">
      <c r="A9241" s="68">
        <v>35502</v>
      </c>
      <c r="B9241" s="69">
        <v>1.0719000000000001</v>
      </c>
    </row>
    <row r="9242" spans="1:2" x14ac:dyDescent="0.2">
      <c r="A9242" s="68">
        <v>35501</v>
      </c>
      <c r="B9242" s="69">
        <v>1.0717000000000001</v>
      </c>
    </row>
    <row r="9243" spans="1:2" x14ac:dyDescent="0.2">
      <c r="A9243" s="68">
        <v>35500</v>
      </c>
      <c r="B9243" s="69">
        <v>1.0716000000000001</v>
      </c>
    </row>
    <row r="9244" spans="1:2" x14ac:dyDescent="0.2">
      <c r="A9244" s="68">
        <v>35499</v>
      </c>
      <c r="B9244" s="69">
        <v>1.0716000000000001</v>
      </c>
    </row>
    <row r="9245" spans="1:2" x14ac:dyDescent="0.2">
      <c r="A9245" s="68">
        <v>35498</v>
      </c>
      <c r="B9245" s="69"/>
    </row>
    <row r="9246" spans="1:2" x14ac:dyDescent="0.2">
      <c r="A9246" s="68">
        <v>35497</v>
      </c>
      <c r="B9246" s="69"/>
    </row>
    <row r="9247" spans="1:2" x14ac:dyDescent="0.2">
      <c r="A9247" s="68">
        <v>35496</v>
      </c>
      <c r="B9247" s="69">
        <v>1.0717000000000001</v>
      </c>
    </row>
    <row r="9248" spans="1:2" x14ac:dyDescent="0.2">
      <c r="A9248" s="68">
        <v>35495</v>
      </c>
      <c r="B9248" s="69">
        <v>1.0717000000000001</v>
      </c>
    </row>
    <row r="9249" spans="1:2" x14ac:dyDescent="0.2">
      <c r="A9249" s="68">
        <v>35494</v>
      </c>
      <c r="B9249" s="69">
        <v>1.0719000000000001</v>
      </c>
    </row>
    <row r="9250" spans="1:2" x14ac:dyDescent="0.2">
      <c r="A9250" s="68">
        <v>35493</v>
      </c>
      <c r="B9250" s="69">
        <v>1.0718000000000001</v>
      </c>
    </row>
    <row r="9251" spans="1:2" x14ac:dyDescent="0.2">
      <c r="A9251" s="68">
        <v>35492</v>
      </c>
      <c r="B9251" s="69">
        <v>1.0719000000000001</v>
      </c>
    </row>
    <row r="9252" spans="1:2" x14ac:dyDescent="0.2">
      <c r="A9252" s="68">
        <v>35491</v>
      </c>
      <c r="B9252" s="69"/>
    </row>
    <row r="9253" spans="1:2" x14ac:dyDescent="0.2">
      <c r="A9253" s="68">
        <v>35490</v>
      </c>
      <c r="B9253" s="69"/>
    </row>
    <row r="9254" spans="1:2" x14ac:dyDescent="0.2">
      <c r="A9254" s="68">
        <v>35489</v>
      </c>
      <c r="B9254" s="69">
        <v>1.0717000000000001</v>
      </c>
    </row>
    <row r="9255" spans="1:2" x14ac:dyDescent="0.2">
      <c r="A9255" s="68">
        <v>35488</v>
      </c>
      <c r="B9255" s="69">
        <v>1.0720000000000001</v>
      </c>
    </row>
    <row r="9256" spans="1:2" x14ac:dyDescent="0.2">
      <c r="A9256" s="68">
        <v>35487</v>
      </c>
      <c r="B9256" s="69">
        <v>1.0721000000000001</v>
      </c>
    </row>
    <row r="9257" spans="1:2" x14ac:dyDescent="0.2">
      <c r="A9257" s="68">
        <v>35486</v>
      </c>
      <c r="B9257" s="69">
        <v>1.0716000000000001</v>
      </c>
    </row>
    <row r="9258" spans="1:2" x14ac:dyDescent="0.2">
      <c r="A9258" s="68">
        <v>35485</v>
      </c>
      <c r="B9258" s="69">
        <v>1.0712999999999999</v>
      </c>
    </row>
    <row r="9259" spans="1:2" x14ac:dyDescent="0.2">
      <c r="A9259" s="68">
        <v>35484</v>
      </c>
      <c r="B9259" s="69"/>
    </row>
    <row r="9260" spans="1:2" x14ac:dyDescent="0.2">
      <c r="A9260" s="68">
        <v>35483</v>
      </c>
      <c r="B9260" s="69"/>
    </row>
    <row r="9261" spans="1:2" x14ac:dyDescent="0.2">
      <c r="A9261" s="68">
        <v>35482</v>
      </c>
      <c r="B9261" s="69">
        <v>1.0711999999999999</v>
      </c>
    </row>
    <row r="9262" spans="1:2" x14ac:dyDescent="0.2">
      <c r="A9262" s="68">
        <v>35481</v>
      </c>
      <c r="B9262" s="69">
        <v>1.071</v>
      </c>
    </row>
    <row r="9263" spans="1:2" x14ac:dyDescent="0.2">
      <c r="A9263" s="68">
        <v>35480</v>
      </c>
      <c r="B9263" s="69">
        <v>1.0703</v>
      </c>
    </row>
    <row r="9264" spans="1:2" x14ac:dyDescent="0.2">
      <c r="A9264" s="68">
        <v>35479</v>
      </c>
      <c r="B9264" s="69">
        <v>1.07</v>
      </c>
    </row>
    <row r="9265" spans="1:2" x14ac:dyDescent="0.2">
      <c r="A9265" s="68">
        <v>35478</v>
      </c>
      <c r="B9265" s="69">
        <v>1.0706</v>
      </c>
    </row>
    <row r="9266" spans="1:2" x14ac:dyDescent="0.2">
      <c r="A9266" s="68">
        <v>35477</v>
      </c>
      <c r="B9266" s="69"/>
    </row>
    <row r="9267" spans="1:2" x14ac:dyDescent="0.2">
      <c r="A9267" s="68">
        <v>35476</v>
      </c>
      <c r="B9267" s="69"/>
    </row>
    <row r="9268" spans="1:2" x14ac:dyDescent="0.2">
      <c r="A9268" s="68">
        <v>35475</v>
      </c>
      <c r="B9268" s="69">
        <v>1.0704</v>
      </c>
    </row>
    <row r="9269" spans="1:2" x14ac:dyDescent="0.2">
      <c r="A9269" s="68">
        <v>35474</v>
      </c>
      <c r="B9269" s="69">
        <v>1.0703</v>
      </c>
    </row>
    <row r="9270" spans="1:2" x14ac:dyDescent="0.2">
      <c r="A9270" s="68">
        <v>35473</v>
      </c>
      <c r="B9270" s="69">
        <v>1.0680000000000001</v>
      </c>
    </row>
    <row r="9271" spans="1:2" x14ac:dyDescent="0.2">
      <c r="A9271" s="68">
        <v>35472</v>
      </c>
      <c r="B9271" s="69"/>
    </row>
    <row r="9272" spans="1:2" x14ac:dyDescent="0.2">
      <c r="A9272" s="68">
        <v>35471</v>
      </c>
      <c r="B9272" s="69"/>
    </row>
    <row r="9273" spans="1:2" x14ac:dyDescent="0.2">
      <c r="A9273" s="68">
        <v>35470</v>
      </c>
      <c r="B9273" s="69"/>
    </row>
    <row r="9274" spans="1:2" x14ac:dyDescent="0.2">
      <c r="A9274" s="68">
        <v>35469</v>
      </c>
      <c r="B9274" s="69"/>
    </row>
    <row r="9275" spans="1:2" x14ac:dyDescent="0.2">
      <c r="A9275" s="68">
        <v>35468</v>
      </c>
      <c r="B9275" s="69"/>
    </row>
    <row r="9276" spans="1:2" x14ac:dyDescent="0.2">
      <c r="A9276" s="68">
        <v>35467</v>
      </c>
      <c r="B9276" s="69">
        <v>1.069</v>
      </c>
    </row>
    <row r="9277" spans="1:2" x14ac:dyDescent="0.2">
      <c r="A9277" s="68">
        <v>35466</v>
      </c>
      <c r="B9277" s="69">
        <v>1.0697000000000001</v>
      </c>
    </row>
    <row r="9278" spans="1:2" x14ac:dyDescent="0.2">
      <c r="A9278" s="68">
        <v>35465</v>
      </c>
      <c r="B9278" s="69">
        <v>1.0699000000000001</v>
      </c>
    </row>
    <row r="9279" spans="1:2" x14ac:dyDescent="0.2">
      <c r="A9279" s="68">
        <v>35464</v>
      </c>
      <c r="B9279" s="69">
        <v>1.0704</v>
      </c>
    </row>
    <row r="9280" spans="1:2" x14ac:dyDescent="0.2">
      <c r="A9280" s="68">
        <v>35463</v>
      </c>
      <c r="B9280" s="69"/>
    </row>
    <row r="9281" spans="1:2" x14ac:dyDescent="0.2">
      <c r="A9281" s="68">
        <v>35462</v>
      </c>
      <c r="B9281" s="69"/>
    </row>
    <row r="9282" spans="1:2" x14ac:dyDescent="0.2">
      <c r="A9282" s="68">
        <v>35461</v>
      </c>
      <c r="B9282" s="69">
        <v>1.0708</v>
      </c>
    </row>
    <row r="9283" spans="1:2" x14ac:dyDescent="0.2">
      <c r="A9283" s="68">
        <v>35460</v>
      </c>
      <c r="B9283" s="69">
        <v>1.0709</v>
      </c>
    </row>
    <row r="9284" spans="1:2" x14ac:dyDescent="0.2">
      <c r="A9284" s="68">
        <v>35459</v>
      </c>
      <c r="B9284" s="69">
        <v>1.0712999999999999</v>
      </c>
    </row>
    <row r="9285" spans="1:2" x14ac:dyDescent="0.2">
      <c r="A9285" s="68">
        <v>35458</v>
      </c>
      <c r="B9285" s="69">
        <v>1.0718000000000001</v>
      </c>
    </row>
    <row r="9286" spans="1:2" x14ac:dyDescent="0.2">
      <c r="A9286" s="68">
        <v>35457</v>
      </c>
      <c r="B9286" s="69">
        <v>1.0722</v>
      </c>
    </row>
    <row r="9287" spans="1:2" x14ac:dyDescent="0.2">
      <c r="A9287" s="68">
        <v>35456</v>
      </c>
      <c r="B9287" s="69"/>
    </row>
    <row r="9288" spans="1:2" x14ac:dyDescent="0.2">
      <c r="A9288" s="68">
        <v>35455</v>
      </c>
      <c r="B9288" s="69"/>
    </row>
    <row r="9289" spans="1:2" x14ac:dyDescent="0.2">
      <c r="A9289" s="68">
        <v>35454</v>
      </c>
      <c r="B9289" s="69">
        <v>1.0725</v>
      </c>
    </row>
    <row r="9290" spans="1:2" x14ac:dyDescent="0.2">
      <c r="A9290" s="68">
        <v>35453</v>
      </c>
      <c r="B9290" s="69">
        <v>1.0724</v>
      </c>
    </row>
    <row r="9291" spans="1:2" x14ac:dyDescent="0.2">
      <c r="A9291" s="68">
        <v>35452</v>
      </c>
      <c r="B9291" s="69">
        <v>1.0722</v>
      </c>
    </row>
    <row r="9292" spans="1:2" x14ac:dyDescent="0.2">
      <c r="A9292" s="68">
        <v>35451</v>
      </c>
      <c r="B9292" s="69">
        <v>1.0728</v>
      </c>
    </row>
    <row r="9293" spans="1:2" x14ac:dyDescent="0.2">
      <c r="A9293" s="68">
        <v>35450</v>
      </c>
      <c r="B9293" s="69">
        <v>1.0722</v>
      </c>
    </row>
    <row r="9294" spans="1:2" x14ac:dyDescent="0.2">
      <c r="A9294" s="68">
        <v>35449</v>
      </c>
      <c r="B9294" s="69"/>
    </row>
    <row r="9295" spans="1:2" x14ac:dyDescent="0.2">
      <c r="A9295" s="68">
        <v>35448</v>
      </c>
      <c r="B9295" s="69"/>
    </row>
    <row r="9296" spans="1:2" x14ac:dyDescent="0.2">
      <c r="A9296" s="68">
        <v>35447</v>
      </c>
      <c r="B9296" s="69">
        <v>1.0724</v>
      </c>
    </row>
    <row r="9297" spans="1:2" x14ac:dyDescent="0.2">
      <c r="A9297" s="68">
        <v>35446</v>
      </c>
      <c r="B9297" s="69">
        <v>1.0725</v>
      </c>
    </row>
    <row r="9298" spans="1:2" x14ac:dyDescent="0.2">
      <c r="A9298" s="68">
        <v>35445</v>
      </c>
      <c r="B9298" s="69">
        <v>1.0727</v>
      </c>
    </row>
    <row r="9299" spans="1:2" x14ac:dyDescent="0.2">
      <c r="A9299" s="68">
        <v>35444</v>
      </c>
      <c r="B9299" s="69">
        <v>1.0723</v>
      </c>
    </row>
    <row r="9300" spans="1:2" x14ac:dyDescent="0.2">
      <c r="A9300" s="68">
        <v>35443</v>
      </c>
      <c r="B9300" s="69">
        <v>1.0722</v>
      </c>
    </row>
    <row r="9301" spans="1:2" x14ac:dyDescent="0.2">
      <c r="A9301" s="68">
        <v>35442</v>
      </c>
      <c r="B9301" s="69"/>
    </row>
    <row r="9302" spans="1:2" x14ac:dyDescent="0.2">
      <c r="A9302" s="68">
        <v>35441</v>
      </c>
      <c r="B9302" s="69"/>
    </row>
    <row r="9303" spans="1:2" x14ac:dyDescent="0.2">
      <c r="A9303" s="68">
        <v>35440</v>
      </c>
      <c r="B9303" s="69">
        <v>1.0726</v>
      </c>
    </row>
    <row r="9304" spans="1:2" x14ac:dyDescent="0.2">
      <c r="A9304" s="68">
        <v>35439</v>
      </c>
      <c r="B9304" s="69">
        <v>1.0726</v>
      </c>
    </row>
    <row r="9305" spans="1:2" x14ac:dyDescent="0.2">
      <c r="A9305" s="68">
        <v>35438</v>
      </c>
      <c r="B9305" s="69">
        <v>1.0733999999999999</v>
      </c>
    </row>
    <row r="9306" spans="1:2" x14ac:dyDescent="0.2">
      <c r="A9306" s="68">
        <v>35437</v>
      </c>
      <c r="B9306" s="69">
        <v>1.0724</v>
      </c>
    </row>
    <row r="9307" spans="1:2" x14ac:dyDescent="0.2">
      <c r="A9307" s="68">
        <v>35436</v>
      </c>
      <c r="B9307" s="69">
        <v>1.0721000000000001</v>
      </c>
    </row>
    <row r="9308" spans="1:2" x14ac:dyDescent="0.2">
      <c r="A9308" s="68">
        <v>35435</v>
      </c>
      <c r="B9308" s="69"/>
    </row>
    <row r="9309" spans="1:2" x14ac:dyDescent="0.2">
      <c r="A9309" s="68">
        <v>35434</v>
      </c>
      <c r="B9309" s="69"/>
    </row>
    <row r="9310" spans="1:2" x14ac:dyDescent="0.2">
      <c r="A9310" s="68">
        <v>35433</v>
      </c>
      <c r="B9310" s="69">
        <v>1.0728</v>
      </c>
    </row>
    <row r="9311" spans="1:2" x14ac:dyDescent="0.2">
      <c r="A9311" s="68">
        <v>35432</v>
      </c>
      <c r="B9311" s="69">
        <v>1.0724</v>
      </c>
    </row>
    <row r="9312" spans="1:2" x14ac:dyDescent="0.2">
      <c r="A9312" s="68">
        <v>35431</v>
      </c>
      <c r="B9312" s="69">
        <v>1.0719000000000001</v>
      </c>
    </row>
    <row r="9313" spans="1:2" x14ac:dyDescent="0.2">
      <c r="A9313" s="68">
        <v>35430</v>
      </c>
      <c r="B9313" s="69">
        <v>1.0719000000000001</v>
      </c>
    </row>
    <row r="9314" spans="1:2" x14ac:dyDescent="0.2">
      <c r="A9314" s="68">
        <v>35429</v>
      </c>
      <c r="B9314" s="69">
        <v>1.0718000000000001</v>
      </c>
    </row>
    <row r="9315" spans="1:2" x14ac:dyDescent="0.2">
      <c r="A9315" s="68">
        <v>35428</v>
      </c>
      <c r="B9315" s="69"/>
    </row>
    <row r="9316" spans="1:2" x14ac:dyDescent="0.2">
      <c r="A9316" s="68">
        <v>35427</v>
      </c>
      <c r="B9316" s="69"/>
    </row>
    <row r="9317" spans="1:2" x14ac:dyDescent="0.2">
      <c r="A9317" s="68">
        <v>35426</v>
      </c>
      <c r="B9317" s="69">
        <v>1.0713999999999999</v>
      </c>
    </row>
    <row r="9318" spans="1:2" x14ac:dyDescent="0.2">
      <c r="A9318" s="68">
        <v>35425</v>
      </c>
      <c r="B9318" s="69">
        <v>1.0716000000000001</v>
      </c>
    </row>
    <row r="9319" spans="1:2" x14ac:dyDescent="0.2">
      <c r="A9319" s="68">
        <v>35424</v>
      </c>
      <c r="B9319" s="69">
        <v>1.0714999999999999</v>
      </c>
    </row>
    <row r="9320" spans="1:2" x14ac:dyDescent="0.2">
      <c r="A9320" s="68">
        <v>35423</v>
      </c>
      <c r="B9320" s="69">
        <v>1.0721000000000001</v>
      </c>
    </row>
    <row r="9321" spans="1:2" x14ac:dyDescent="0.2">
      <c r="A9321" s="68">
        <v>35422</v>
      </c>
      <c r="B9321" s="69">
        <v>1.0723</v>
      </c>
    </row>
    <row r="9322" spans="1:2" x14ac:dyDescent="0.2">
      <c r="A9322" s="68">
        <v>35421</v>
      </c>
      <c r="B9322" s="69"/>
    </row>
    <row r="9323" spans="1:2" x14ac:dyDescent="0.2">
      <c r="A9323" s="68">
        <v>35420</v>
      </c>
      <c r="B9323" s="69"/>
    </row>
    <row r="9324" spans="1:2" x14ac:dyDescent="0.2">
      <c r="A9324" s="68">
        <v>35419</v>
      </c>
      <c r="B9324" s="69">
        <v>1.0723</v>
      </c>
    </row>
    <row r="9325" spans="1:2" x14ac:dyDescent="0.2">
      <c r="A9325" s="68">
        <v>35418</v>
      </c>
      <c r="B9325" s="69">
        <v>1.0728</v>
      </c>
    </row>
    <row r="9326" spans="1:2" x14ac:dyDescent="0.2">
      <c r="A9326" s="68">
        <v>35417</v>
      </c>
      <c r="B9326" s="69">
        <v>1.0724</v>
      </c>
    </row>
    <row r="9327" spans="1:2" x14ac:dyDescent="0.2">
      <c r="A9327" s="68">
        <v>35416</v>
      </c>
      <c r="B9327" s="69">
        <v>1.0727</v>
      </c>
    </row>
    <row r="9328" spans="1:2" x14ac:dyDescent="0.2">
      <c r="A9328" s="68">
        <v>35415</v>
      </c>
      <c r="B9328" s="69">
        <v>1.073</v>
      </c>
    </row>
    <row r="9329" spans="1:2" x14ac:dyDescent="0.2">
      <c r="A9329" s="68">
        <v>35414</v>
      </c>
      <c r="B9329" s="69"/>
    </row>
    <row r="9330" spans="1:2" x14ac:dyDescent="0.2">
      <c r="A9330" s="68">
        <v>35413</v>
      </c>
      <c r="B9330" s="69"/>
    </row>
    <row r="9331" spans="1:2" x14ac:dyDescent="0.2">
      <c r="A9331" s="68">
        <v>35412</v>
      </c>
      <c r="B9331" s="69">
        <v>1.0736000000000001</v>
      </c>
    </row>
    <row r="9332" spans="1:2" x14ac:dyDescent="0.2">
      <c r="A9332" s="68">
        <v>35411</v>
      </c>
      <c r="B9332" s="69">
        <v>1.0737000000000001</v>
      </c>
    </row>
    <row r="9333" spans="1:2" x14ac:dyDescent="0.2">
      <c r="A9333" s="68">
        <v>35410</v>
      </c>
      <c r="B9333" s="69">
        <v>1.0738000000000001</v>
      </c>
    </row>
    <row r="9334" spans="1:2" x14ac:dyDescent="0.2">
      <c r="A9334" s="68">
        <v>35409</v>
      </c>
      <c r="B9334" s="69">
        <v>1.0737000000000001</v>
      </c>
    </row>
    <row r="9335" spans="1:2" x14ac:dyDescent="0.2">
      <c r="A9335" s="68">
        <v>35408</v>
      </c>
      <c r="B9335" s="69">
        <v>1.0737000000000001</v>
      </c>
    </row>
    <row r="9336" spans="1:2" x14ac:dyDescent="0.2">
      <c r="A9336" s="68">
        <v>35407</v>
      </c>
      <c r="B9336" s="69"/>
    </row>
    <row r="9337" spans="1:2" x14ac:dyDescent="0.2">
      <c r="A9337" s="68">
        <v>35406</v>
      </c>
      <c r="B9337" s="69"/>
    </row>
    <row r="9338" spans="1:2" x14ac:dyDescent="0.2">
      <c r="A9338" s="68">
        <v>35405</v>
      </c>
      <c r="B9338" s="69">
        <v>1.0743</v>
      </c>
    </row>
    <row r="9339" spans="1:2" x14ac:dyDescent="0.2">
      <c r="A9339" s="68">
        <v>35404</v>
      </c>
      <c r="B9339" s="69">
        <v>1.0737000000000001</v>
      </c>
    </row>
    <row r="9340" spans="1:2" x14ac:dyDescent="0.2">
      <c r="A9340" s="68">
        <v>35403</v>
      </c>
      <c r="B9340" s="69">
        <v>1.0738000000000001</v>
      </c>
    </row>
    <row r="9341" spans="1:2" x14ac:dyDescent="0.2">
      <c r="A9341" s="68">
        <v>35402</v>
      </c>
      <c r="B9341" s="69">
        <v>1.0733999999999999</v>
      </c>
    </row>
    <row r="9342" spans="1:2" x14ac:dyDescent="0.2">
      <c r="A9342" s="68">
        <v>35401</v>
      </c>
      <c r="B9342" s="69">
        <v>1.0733999999999999</v>
      </c>
    </row>
    <row r="9343" spans="1:2" x14ac:dyDescent="0.2">
      <c r="A9343" s="68">
        <v>35400</v>
      </c>
      <c r="B9343" s="69"/>
    </row>
    <row r="9344" spans="1:2" x14ac:dyDescent="0.2">
      <c r="A9344" s="68">
        <v>35399</v>
      </c>
      <c r="B9344" s="69"/>
    </row>
    <row r="9345" spans="1:2" x14ac:dyDescent="0.2">
      <c r="A9345" s="68">
        <v>35398</v>
      </c>
      <c r="B9345" s="69">
        <v>1.0733999999999999</v>
      </c>
    </row>
    <row r="9346" spans="1:2" x14ac:dyDescent="0.2">
      <c r="A9346" s="68">
        <v>35397</v>
      </c>
      <c r="B9346" s="69">
        <v>1.0736000000000001</v>
      </c>
    </row>
    <row r="9347" spans="1:2" x14ac:dyDescent="0.2">
      <c r="A9347" s="68">
        <v>35396</v>
      </c>
      <c r="B9347" s="69">
        <v>1.0732999999999999</v>
      </c>
    </row>
    <row r="9348" spans="1:2" x14ac:dyDescent="0.2">
      <c r="A9348" s="68">
        <v>35395</v>
      </c>
      <c r="B9348" s="69"/>
    </row>
    <row r="9349" spans="1:2" x14ac:dyDescent="0.2">
      <c r="A9349" s="68">
        <v>35394</v>
      </c>
      <c r="B9349" s="69">
        <v>1.0732999999999999</v>
      </c>
    </row>
    <row r="9350" spans="1:2" x14ac:dyDescent="0.2">
      <c r="A9350" s="68">
        <v>35393</v>
      </c>
      <c r="B9350" s="69"/>
    </row>
    <row r="9351" spans="1:2" x14ac:dyDescent="0.2">
      <c r="A9351" s="68">
        <v>35392</v>
      </c>
      <c r="B9351" s="69"/>
    </row>
    <row r="9352" spans="1:2" x14ac:dyDescent="0.2">
      <c r="A9352" s="68">
        <v>35391</v>
      </c>
      <c r="B9352" s="69">
        <v>1.0732999999999999</v>
      </c>
    </row>
    <row r="9353" spans="1:2" x14ac:dyDescent="0.2">
      <c r="A9353" s="68">
        <v>35390</v>
      </c>
      <c r="B9353" s="69">
        <v>1.0736000000000001</v>
      </c>
    </row>
    <row r="9354" spans="1:2" x14ac:dyDescent="0.2">
      <c r="A9354" s="68">
        <v>35389</v>
      </c>
      <c r="B9354" s="69">
        <v>1.0733999999999999</v>
      </c>
    </row>
    <row r="9355" spans="1:2" x14ac:dyDescent="0.2">
      <c r="A9355" s="68">
        <v>35388</v>
      </c>
      <c r="B9355" s="69">
        <v>1.0736000000000001</v>
      </c>
    </row>
    <row r="9356" spans="1:2" x14ac:dyDescent="0.2">
      <c r="A9356" s="68">
        <v>35387</v>
      </c>
      <c r="B9356" s="69">
        <v>1.0739000000000001</v>
      </c>
    </row>
    <row r="9357" spans="1:2" x14ac:dyDescent="0.2">
      <c r="A9357" s="68">
        <v>35386</v>
      </c>
      <c r="B9357" s="69"/>
    </row>
    <row r="9358" spans="1:2" x14ac:dyDescent="0.2">
      <c r="A9358" s="68">
        <v>35385</v>
      </c>
      <c r="B9358" s="69"/>
    </row>
    <row r="9359" spans="1:2" x14ac:dyDescent="0.2">
      <c r="A9359" s="68">
        <v>35384</v>
      </c>
      <c r="B9359" s="69">
        <v>1.0739000000000001</v>
      </c>
    </row>
    <row r="9360" spans="1:2" x14ac:dyDescent="0.2">
      <c r="A9360" s="68">
        <v>35383</v>
      </c>
      <c r="B9360" s="69">
        <v>1.0730999999999999</v>
      </c>
    </row>
    <row r="9361" spans="1:2" x14ac:dyDescent="0.2">
      <c r="A9361" s="68">
        <v>35382</v>
      </c>
      <c r="B9361" s="69">
        <v>1.0733999999999999</v>
      </c>
    </row>
    <row r="9362" spans="1:2" x14ac:dyDescent="0.2">
      <c r="A9362" s="68">
        <v>35381</v>
      </c>
      <c r="B9362" s="69">
        <v>1.0734999999999999</v>
      </c>
    </row>
    <row r="9363" spans="1:2" x14ac:dyDescent="0.2">
      <c r="A9363" s="68">
        <v>35380</v>
      </c>
      <c r="B9363" s="69">
        <v>1.0738000000000001</v>
      </c>
    </row>
    <row r="9364" spans="1:2" x14ac:dyDescent="0.2">
      <c r="A9364" s="68">
        <v>35379</v>
      </c>
      <c r="B9364" s="69"/>
    </row>
    <row r="9365" spans="1:2" x14ac:dyDescent="0.2">
      <c r="A9365" s="68">
        <v>35378</v>
      </c>
      <c r="B9365" s="69"/>
    </row>
    <row r="9366" spans="1:2" x14ac:dyDescent="0.2">
      <c r="A9366" s="68">
        <v>35377</v>
      </c>
      <c r="B9366" s="69">
        <v>1.0738000000000001</v>
      </c>
    </row>
    <row r="9367" spans="1:2" x14ac:dyDescent="0.2">
      <c r="A9367" s="68">
        <v>35376</v>
      </c>
      <c r="B9367" s="69">
        <v>1.0736000000000001</v>
      </c>
    </row>
    <row r="9368" spans="1:2" x14ac:dyDescent="0.2">
      <c r="A9368" s="68">
        <v>35375</v>
      </c>
      <c r="B9368" s="69">
        <v>1.0738000000000001</v>
      </c>
    </row>
    <row r="9369" spans="1:2" x14ac:dyDescent="0.2">
      <c r="A9369" s="68">
        <v>35374</v>
      </c>
      <c r="B9369" s="69">
        <v>1.0738000000000001</v>
      </c>
    </row>
    <row r="9370" spans="1:2" x14ac:dyDescent="0.2">
      <c r="A9370" s="68">
        <v>35373</v>
      </c>
      <c r="B9370" s="69">
        <v>1.0733999999999999</v>
      </c>
    </row>
    <row r="9371" spans="1:2" x14ac:dyDescent="0.2">
      <c r="A9371" s="68">
        <v>35372</v>
      </c>
      <c r="B9371" s="69"/>
    </row>
    <row r="9372" spans="1:2" x14ac:dyDescent="0.2">
      <c r="A9372" s="68">
        <v>35371</v>
      </c>
      <c r="B9372" s="69"/>
    </row>
    <row r="9373" spans="1:2" x14ac:dyDescent="0.2">
      <c r="A9373" s="68">
        <v>35370</v>
      </c>
      <c r="B9373" s="69">
        <v>1.0737000000000001</v>
      </c>
    </row>
    <row r="9374" spans="1:2" x14ac:dyDescent="0.2">
      <c r="A9374" s="68">
        <v>35369</v>
      </c>
      <c r="B9374" s="69">
        <v>1.0731999999999999</v>
      </c>
    </row>
    <row r="9375" spans="1:2" x14ac:dyDescent="0.2">
      <c r="A9375" s="68">
        <v>35368</v>
      </c>
      <c r="B9375" s="69">
        <v>1.0732999999999999</v>
      </c>
    </row>
    <row r="9376" spans="1:2" x14ac:dyDescent="0.2">
      <c r="A9376" s="68">
        <v>35367</v>
      </c>
      <c r="B9376" s="69">
        <v>1.0736000000000001</v>
      </c>
    </row>
    <row r="9377" spans="1:2" x14ac:dyDescent="0.2">
      <c r="A9377" s="68">
        <v>35366</v>
      </c>
      <c r="B9377" s="69">
        <v>1.0740000000000001</v>
      </c>
    </row>
    <row r="9378" spans="1:2" x14ac:dyDescent="0.2">
      <c r="A9378" s="68">
        <v>35365</v>
      </c>
      <c r="B9378" s="69"/>
    </row>
    <row r="9379" spans="1:2" x14ac:dyDescent="0.2">
      <c r="A9379" s="68">
        <v>35364</v>
      </c>
      <c r="B9379" s="69"/>
    </row>
    <row r="9380" spans="1:2" x14ac:dyDescent="0.2">
      <c r="A9380" s="68">
        <v>35363</v>
      </c>
      <c r="B9380" s="69">
        <v>1.0745</v>
      </c>
    </row>
    <row r="9381" spans="1:2" x14ac:dyDescent="0.2">
      <c r="A9381" s="68">
        <v>35362</v>
      </c>
      <c r="B9381" s="69">
        <v>1.0739000000000001</v>
      </c>
    </row>
    <row r="9382" spans="1:2" x14ac:dyDescent="0.2">
      <c r="A9382" s="68">
        <v>35361</v>
      </c>
      <c r="B9382" s="69">
        <v>1.0736000000000001</v>
      </c>
    </row>
    <row r="9383" spans="1:2" x14ac:dyDescent="0.2">
      <c r="A9383" s="68">
        <v>35360</v>
      </c>
      <c r="B9383" s="69">
        <v>1.0734999999999999</v>
      </c>
    </row>
    <row r="9384" spans="1:2" x14ac:dyDescent="0.2">
      <c r="A9384" s="68">
        <v>35359</v>
      </c>
      <c r="B9384" s="69">
        <v>1.0734999999999999</v>
      </c>
    </row>
    <row r="9385" spans="1:2" x14ac:dyDescent="0.2">
      <c r="A9385" s="68">
        <v>35358</v>
      </c>
      <c r="B9385" s="69"/>
    </row>
    <row r="9386" spans="1:2" x14ac:dyDescent="0.2">
      <c r="A9386" s="68">
        <v>35357</v>
      </c>
      <c r="B9386" s="69"/>
    </row>
    <row r="9387" spans="1:2" x14ac:dyDescent="0.2">
      <c r="A9387" s="68">
        <v>35356</v>
      </c>
      <c r="B9387" s="69">
        <v>1.073</v>
      </c>
    </row>
    <row r="9388" spans="1:2" x14ac:dyDescent="0.2">
      <c r="A9388" s="68">
        <v>35355</v>
      </c>
      <c r="B9388" s="69">
        <v>1.073</v>
      </c>
    </row>
    <row r="9389" spans="1:2" x14ac:dyDescent="0.2">
      <c r="A9389" s="68">
        <v>35354</v>
      </c>
      <c r="B9389" s="69">
        <v>1.0730999999999999</v>
      </c>
    </row>
    <row r="9390" spans="1:2" x14ac:dyDescent="0.2">
      <c r="A9390" s="68">
        <v>35353</v>
      </c>
      <c r="B9390" s="69">
        <v>1.0736000000000001</v>
      </c>
    </row>
    <row r="9391" spans="1:2" x14ac:dyDescent="0.2">
      <c r="A9391" s="68">
        <v>35352</v>
      </c>
      <c r="B9391" s="69">
        <v>1.0731999999999999</v>
      </c>
    </row>
    <row r="9392" spans="1:2" x14ac:dyDescent="0.2">
      <c r="A9392" s="68">
        <v>35351</v>
      </c>
      <c r="B9392" s="69"/>
    </row>
    <row r="9393" spans="1:2" x14ac:dyDescent="0.2">
      <c r="A9393" s="68">
        <v>35350</v>
      </c>
      <c r="B9393" s="69"/>
    </row>
    <row r="9394" spans="1:2" x14ac:dyDescent="0.2">
      <c r="A9394" s="68">
        <v>35349</v>
      </c>
      <c r="B9394" s="69">
        <v>1.0736000000000001</v>
      </c>
    </row>
    <row r="9395" spans="1:2" x14ac:dyDescent="0.2">
      <c r="A9395" s="68">
        <v>35348</v>
      </c>
      <c r="B9395" s="69">
        <v>1.0737000000000001</v>
      </c>
    </row>
    <row r="9396" spans="1:2" x14ac:dyDescent="0.2">
      <c r="A9396" s="68">
        <v>35347</v>
      </c>
      <c r="B9396" s="69">
        <v>1.0737000000000001</v>
      </c>
    </row>
    <row r="9397" spans="1:2" x14ac:dyDescent="0.2">
      <c r="A9397" s="68">
        <v>35346</v>
      </c>
      <c r="B9397" s="69">
        <v>1.0739000000000001</v>
      </c>
    </row>
    <row r="9398" spans="1:2" x14ac:dyDescent="0.2">
      <c r="A9398" s="68">
        <v>35345</v>
      </c>
      <c r="B9398" s="69">
        <v>1.0728</v>
      </c>
    </row>
    <row r="9399" spans="1:2" x14ac:dyDescent="0.2">
      <c r="A9399" s="68">
        <v>35344</v>
      </c>
      <c r="B9399" s="69"/>
    </row>
    <row r="9400" spans="1:2" x14ac:dyDescent="0.2">
      <c r="A9400" s="68">
        <v>35343</v>
      </c>
      <c r="B9400" s="69"/>
    </row>
    <row r="9401" spans="1:2" x14ac:dyDescent="0.2">
      <c r="A9401" s="68">
        <v>35342</v>
      </c>
      <c r="B9401" s="69">
        <v>1.0731999999999999</v>
      </c>
    </row>
    <row r="9402" spans="1:2" x14ac:dyDescent="0.2">
      <c r="A9402" s="68">
        <v>35341</v>
      </c>
      <c r="B9402" s="69">
        <v>1.0725</v>
      </c>
    </row>
    <row r="9403" spans="1:2" x14ac:dyDescent="0.2">
      <c r="A9403" s="68">
        <v>35340</v>
      </c>
      <c r="B9403" s="69">
        <v>1.0727</v>
      </c>
    </row>
    <row r="9404" spans="1:2" x14ac:dyDescent="0.2">
      <c r="A9404" s="68">
        <v>35339</v>
      </c>
      <c r="B9404" s="69"/>
    </row>
    <row r="9405" spans="1:2" x14ac:dyDescent="0.2">
      <c r="A9405" s="68">
        <v>35338</v>
      </c>
      <c r="B9405" s="69"/>
    </row>
    <row r="9406" spans="1:2" x14ac:dyDescent="0.2">
      <c r="A9406" s="68">
        <v>35337</v>
      </c>
      <c r="B9406" s="69"/>
    </row>
    <row r="9407" spans="1:2" x14ac:dyDescent="0.2">
      <c r="A9407" s="68">
        <v>35336</v>
      </c>
      <c r="B9407" s="69"/>
    </row>
    <row r="9408" spans="1:2" x14ac:dyDescent="0.2">
      <c r="A9408" s="68">
        <v>35335</v>
      </c>
      <c r="B9408" s="69">
        <v>1.073</v>
      </c>
    </row>
    <row r="9409" spans="1:2" x14ac:dyDescent="0.2">
      <c r="A9409" s="68">
        <v>35334</v>
      </c>
      <c r="B9409" s="69">
        <v>1.0730999999999999</v>
      </c>
    </row>
    <row r="9410" spans="1:2" x14ac:dyDescent="0.2">
      <c r="A9410" s="68">
        <v>35333</v>
      </c>
      <c r="B9410" s="69">
        <v>1.0737000000000001</v>
      </c>
    </row>
    <row r="9411" spans="1:2" x14ac:dyDescent="0.2">
      <c r="A9411" s="68">
        <v>35332</v>
      </c>
      <c r="B9411" s="69">
        <v>1.0730999999999999</v>
      </c>
    </row>
    <row r="9412" spans="1:2" x14ac:dyDescent="0.2">
      <c r="A9412" s="68">
        <v>35331</v>
      </c>
      <c r="B9412" s="69">
        <v>1.0736000000000001</v>
      </c>
    </row>
    <row r="9413" spans="1:2" x14ac:dyDescent="0.2">
      <c r="A9413" s="68">
        <v>35330</v>
      </c>
      <c r="B9413" s="69"/>
    </row>
    <row r="9414" spans="1:2" x14ac:dyDescent="0.2">
      <c r="A9414" s="68">
        <v>35329</v>
      </c>
      <c r="B9414" s="69"/>
    </row>
    <row r="9415" spans="1:2" x14ac:dyDescent="0.2">
      <c r="A9415" s="68">
        <v>35328</v>
      </c>
      <c r="B9415" s="69">
        <v>1.0738000000000001</v>
      </c>
    </row>
    <row r="9416" spans="1:2" x14ac:dyDescent="0.2">
      <c r="A9416" s="68">
        <v>35327</v>
      </c>
      <c r="B9416" s="69">
        <v>1.0737000000000001</v>
      </c>
    </row>
    <row r="9417" spans="1:2" x14ac:dyDescent="0.2">
      <c r="A9417" s="68">
        <v>35326</v>
      </c>
      <c r="B9417" s="69">
        <v>1.0737000000000001</v>
      </c>
    </row>
    <row r="9418" spans="1:2" x14ac:dyDescent="0.2">
      <c r="A9418" s="68">
        <v>35325</v>
      </c>
      <c r="B9418" s="69">
        <v>1.0741000000000001</v>
      </c>
    </row>
    <row r="9419" spans="1:2" x14ac:dyDescent="0.2">
      <c r="A9419" s="68">
        <v>35324</v>
      </c>
      <c r="B9419" s="69">
        <v>1.0737000000000001</v>
      </c>
    </row>
    <row r="9420" spans="1:2" x14ac:dyDescent="0.2">
      <c r="A9420" s="68">
        <v>35323</v>
      </c>
      <c r="B9420" s="69"/>
    </row>
    <row r="9421" spans="1:2" x14ac:dyDescent="0.2">
      <c r="A9421" s="68">
        <v>35322</v>
      </c>
      <c r="B9421" s="69"/>
    </row>
    <row r="9422" spans="1:2" x14ac:dyDescent="0.2">
      <c r="A9422" s="68">
        <v>35321</v>
      </c>
      <c r="B9422" s="69">
        <v>1.0742</v>
      </c>
    </row>
    <row r="9423" spans="1:2" x14ac:dyDescent="0.2">
      <c r="A9423" s="68">
        <v>35320</v>
      </c>
      <c r="B9423" s="69">
        <v>1.0743</v>
      </c>
    </row>
    <row r="9424" spans="1:2" x14ac:dyDescent="0.2">
      <c r="A9424" s="68">
        <v>35319</v>
      </c>
      <c r="B9424" s="69">
        <v>1.0743</v>
      </c>
    </row>
    <row r="9425" spans="1:2" x14ac:dyDescent="0.2">
      <c r="A9425" s="68">
        <v>35318</v>
      </c>
      <c r="B9425" s="69">
        <v>1.0739000000000001</v>
      </c>
    </row>
    <row r="9426" spans="1:2" x14ac:dyDescent="0.2">
      <c r="A9426" s="68">
        <v>35317</v>
      </c>
      <c r="B9426" s="69">
        <v>1.0742</v>
      </c>
    </row>
    <row r="9427" spans="1:2" x14ac:dyDescent="0.2">
      <c r="A9427" s="68">
        <v>35316</v>
      </c>
      <c r="B9427" s="69"/>
    </row>
    <row r="9428" spans="1:2" x14ac:dyDescent="0.2">
      <c r="A9428" s="68">
        <v>35315</v>
      </c>
      <c r="B9428" s="69"/>
    </row>
    <row r="9429" spans="1:2" x14ac:dyDescent="0.2">
      <c r="A9429" s="68">
        <v>35314</v>
      </c>
      <c r="B9429" s="69">
        <v>1.0736000000000001</v>
      </c>
    </row>
    <row r="9430" spans="1:2" x14ac:dyDescent="0.2">
      <c r="A9430" s="68">
        <v>35313</v>
      </c>
      <c r="B9430" s="69">
        <v>1.0734999999999999</v>
      </c>
    </row>
    <row r="9431" spans="1:2" x14ac:dyDescent="0.2">
      <c r="A9431" s="68">
        <v>35312</v>
      </c>
      <c r="B9431" s="69">
        <v>1.0740000000000001</v>
      </c>
    </row>
    <row r="9432" spans="1:2" x14ac:dyDescent="0.2">
      <c r="A9432" s="68">
        <v>35311</v>
      </c>
      <c r="B9432" s="69">
        <v>1.0745</v>
      </c>
    </row>
    <row r="9433" spans="1:2" x14ac:dyDescent="0.2">
      <c r="A9433" s="68">
        <v>35310</v>
      </c>
      <c r="B9433" s="69">
        <v>1.0746</v>
      </c>
    </row>
    <row r="9434" spans="1:2" x14ac:dyDescent="0.2">
      <c r="A9434" s="68">
        <v>35309</v>
      </c>
      <c r="B9434" s="69"/>
    </row>
    <row r="9435" spans="1:2" x14ac:dyDescent="0.2">
      <c r="A9435" s="68">
        <v>35308</v>
      </c>
      <c r="B9435" s="69"/>
    </row>
    <row r="9436" spans="1:2" x14ac:dyDescent="0.2">
      <c r="A9436" s="68">
        <v>35307</v>
      </c>
      <c r="B9436" s="69">
        <v>1.0751999999999999</v>
      </c>
    </row>
    <row r="9437" spans="1:2" x14ac:dyDescent="0.2">
      <c r="A9437" s="68">
        <v>35306</v>
      </c>
      <c r="B9437" s="69">
        <v>1.0734999999999999</v>
      </c>
    </row>
    <row r="9438" spans="1:2" x14ac:dyDescent="0.2">
      <c r="A9438" s="68">
        <v>35305</v>
      </c>
      <c r="B9438" s="69">
        <v>1.0738000000000001</v>
      </c>
    </row>
    <row r="9439" spans="1:2" x14ac:dyDescent="0.2">
      <c r="A9439" s="68">
        <v>35304</v>
      </c>
      <c r="B9439" s="69">
        <v>1.0740000000000001</v>
      </c>
    </row>
    <row r="9440" spans="1:2" x14ac:dyDescent="0.2">
      <c r="A9440" s="68">
        <v>35303</v>
      </c>
      <c r="B9440" s="69">
        <v>1.0744</v>
      </c>
    </row>
    <row r="9441" spans="1:2" x14ac:dyDescent="0.2">
      <c r="A9441" s="68">
        <v>35302</v>
      </c>
      <c r="B9441" s="69"/>
    </row>
    <row r="9442" spans="1:2" x14ac:dyDescent="0.2">
      <c r="A9442" s="68">
        <v>35301</v>
      </c>
      <c r="B9442" s="69"/>
    </row>
    <row r="9443" spans="1:2" x14ac:dyDescent="0.2">
      <c r="A9443" s="68">
        <v>35300</v>
      </c>
      <c r="B9443" s="69">
        <v>1.0738000000000001</v>
      </c>
    </row>
    <row r="9444" spans="1:2" x14ac:dyDescent="0.2">
      <c r="A9444" s="68">
        <v>35299</v>
      </c>
      <c r="B9444" s="69">
        <v>1.0740000000000001</v>
      </c>
    </row>
    <row r="9445" spans="1:2" x14ac:dyDescent="0.2">
      <c r="A9445" s="68">
        <v>35298</v>
      </c>
      <c r="B9445" s="69">
        <v>1.0734999999999999</v>
      </c>
    </row>
    <row r="9446" spans="1:2" x14ac:dyDescent="0.2">
      <c r="A9446" s="68">
        <v>35297</v>
      </c>
      <c r="B9446" s="69">
        <v>1.0739000000000001</v>
      </c>
    </row>
    <row r="9447" spans="1:2" x14ac:dyDescent="0.2">
      <c r="A9447" s="68">
        <v>35296</v>
      </c>
      <c r="B9447" s="69">
        <v>1.0740000000000001</v>
      </c>
    </row>
    <row r="9448" spans="1:2" x14ac:dyDescent="0.2">
      <c r="A9448" s="68">
        <v>35295</v>
      </c>
      <c r="B9448" s="69"/>
    </row>
    <row r="9449" spans="1:2" x14ac:dyDescent="0.2">
      <c r="A9449" s="68">
        <v>35294</v>
      </c>
      <c r="B9449" s="69"/>
    </row>
    <row r="9450" spans="1:2" x14ac:dyDescent="0.2">
      <c r="A9450" s="68">
        <v>35293</v>
      </c>
      <c r="B9450" s="69">
        <v>1.0734999999999999</v>
      </c>
    </row>
    <row r="9451" spans="1:2" x14ac:dyDescent="0.2">
      <c r="A9451" s="68">
        <v>35292</v>
      </c>
      <c r="B9451" s="69">
        <v>1.0732999999999999</v>
      </c>
    </row>
    <row r="9452" spans="1:2" x14ac:dyDescent="0.2">
      <c r="A9452" s="68">
        <v>35291</v>
      </c>
      <c r="B9452" s="69">
        <v>1.073</v>
      </c>
    </row>
    <row r="9453" spans="1:2" x14ac:dyDescent="0.2">
      <c r="A9453" s="68">
        <v>35290</v>
      </c>
      <c r="B9453" s="69">
        <v>1.0732999999999999</v>
      </c>
    </row>
    <row r="9454" spans="1:2" x14ac:dyDescent="0.2">
      <c r="A9454" s="68">
        <v>35289</v>
      </c>
      <c r="B9454" s="69">
        <v>1.073</v>
      </c>
    </row>
    <row r="9455" spans="1:2" x14ac:dyDescent="0.2">
      <c r="A9455" s="68">
        <v>35288</v>
      </c>
      <c r="B9455" s="69"/>
    </row>
    <row r="9456" spans="1:2" x14ac:dyDescent="0.2">
      <c r="A9456" s="68">
        <v>35287</v>
      </c>
      <c r="B9456" s="69"/>
    </row>
    <row r="9457" spans="1:2" x14ac:dyDescent="0.2">
      <c r="A9457" s="68">
        <v>35286</v>
      </c>
      <c r="B9457" s="69">
        <v>1.0731999999999999</v>
      </c>
    </row>
    <row r="9458" spans="1:2" x14ac:dyDescent="0.2">
      <c r="A9458" s="68">
        <v>35285</v>
      </c>
      <c r="B9458" s="69">
        <v>1.0733999999999999</v>
      </c>
    </row>
    <row r="9459" spans="1:2" x14ac:dyDescent="0.2">
      <c r="A9459" s="68">
        <v>35284</v>
      </c>
      <c r="B9459" s="69">
        <v>1.0743</v>
      </c>
    </row>
    <row r="9460" spans="1:2" x14ac:dyDescent="0.2">
      <c r="A9460" s="68">
        <v>35283</v>
      </c>
      <c r="B9460" s="69">
        <v>1.0742</v>
      </c>
    </row>
    <row r="9461" spans="1:2" x14ac:dyDescent="0.2">
      <c r="A9461" s="68">
        <v>35282</v>
      </c>
      <c r="B9461" s="69">
        <v>1.0738000000000001</v>
      </c>
    </row>
    <row r="9462" spans="1:2" x14ac:dyDescent="0.2">
      <c r="A9462" s="68">
        <v>35281</v>
      </c>
      <c r="B9462" s="69"/>
    </row>
    <row r="9463" spans="1:2" x14ac:dyDescent="0.2">
      <c r="A9463" s="68">
        <v>35280</v>
      </c>
      <c r="B9463" s="69"/>
    </row>
    <row r="9464" spans="1:2" x14ac:dyDescent="0.2">
      <c r="A9464" s="68">
        <v>35279</v>
      </c>
      <c r="B9464" s="69">
        <v>1.0738000000000001</v>
      </c>
    </row>
    <row r="9465" spans="1:2" x14ac:dyDescent="0.2">
      <c r="A9465" s="68">
        <v>35278</v>
      </c>
      <c r="B9465" s="69">
        <v>1.0737000000000001</v>
      </c>
    </row>
    <row r="9466" spans="1:2" x14ac:dyDescent="0.2">
      <c r="A9466" s="68">
        <v>35277</v>
      </c>
      <c r="B9466" s="69">
        <v>1.0744</v>
      </c>
    </row>
    <row r="9467" spans="1:2" x14ac:dyDescent="0.2">
      <c r="A9467" s="68">
        <v>35276</v>
      </c>
      <c r="B9467" s="69">
        <v>1.0749</v>
      </c>
    </row>
    <row r="9468" spans="1:2" x14ac:dyDescent="0.2">
      <c r="A9468" s="68">
        <v>35275</v>
      </c>
      <c r="B9468" s="69">
        <v>1.0747</v>
      </c>
    </row>
    <row r="9469" spans="1:2" x14ac:dyDescent="0.2">
      <c r="A9469" s="68">
        <v>35274</v>
      </c>
      <c r="B9469" s="69"/>
    </row>
    <row r="9470" spans="1:2" x14ac:dyDescent="0.2">
      <c r="A9470" s="68">
        <v>35273</v>
      </c>
      <c r="B9470" s="69"/>
    </row>
    <row r="9471" spans="1:2" x14ac:dyDescent="0.2">
      <c r="A9471" s="68">
        <v>35272</v>
      </c>
      <c r="B9471" s="69">
        <v>1.0741000000000001</v>
      </c>
    </row>
    <row r="9472" spans="1:2" x14ac:dyDescent="0.2">
      <c r="A9472" s="68">
        <v>35271</v>
      </c>
      <c r="B9472" s="69">
        <v>1.0737000000000001</v>
      </c>
    </row>
    <row r="9473" spans="1:2" x14ac:dyDescent="0.2">
      <c r="A9473" s="68">
        <v>35270</v>
      </c>
      <c r="B9473" s="69">
        <v>1.0739000000000001</v>
      </c>
    </row>
    <row r="9474" spans="1:2" x14ac:dyDescent="0.2">
      <c r="A9474" s="68">
        <v>35269</v>
      </c>
      <c r="B9474" s="69">
        <v>1.0745</v>
      </c>
    </row>
    <row r="9475" spans="1:2" x14ac:dyDescent="0.2">
      <c r="A9475" s="68">
        <v>35268</v>
      </c>
      <c r="B9475" s="69">
        <v>1.075</v>
      </c>
    </row>
    <row r="9476" spans="1:2" x14ac:dyDescent="0.2">
      <c r="A9476" s="68">
        <v>35267</v>
      </c>
      <c r="B9476" s="69"/>
    </row>
    <row r="9477" spans="1:2" x14ac:dyDescent="0.2">
      <c r="A9477" s="68">
        <v>35266</v>
      </c>
      <c r="B9477" s="69"/>
    </row>
    <row r="9478" spans="1:2" x14ac:dyDescent="0.2">
      <c r="A9478" s="68">
        <v>35265</v>
      </c>
      <c r="B9478" s="69">
        <v>1.0738000000000001</v>
      </c>
    </row>
    <row r="9479" spans="1:2" x14ac:dyDescent="0.2">
      <c r="A9479" s="68">
        <v>35264</v>
      </c>
      <c r="B9479" s="69">
        <v>1.0738000000000001</v>
      </c>
    </row>
    <row r="9480" spans="1:2" x14ac:dyDescent="0.2">
      <c r="A9480" s="68">
        <v>35263</v>
      </c>
      <c r="B9480" s="69">
        <v>1.0739000000000001</v>
      </c>
    </row>
    <row r="9481" spans="1:2" x14ac:dyDescent="0.2">
      <c r="A9481" s="68">
        <v>35262</v>
      </c>
      <c r="B9481" s="69">
        <v>1.0744</v>
      </c>
    </row>
    <row r="9482" spans="1:2" x14ac:dyDescent="0.2">
      <c r="A9482" s="68">
        <v>35261</v>
      </c>
      <c r="B9482" s="69">
        <v>1.0745</v>
      </c>
    </row>
    <row r="9483" spans="1:2" x14ac:dyDescent="0.2">
      <c r="A9483" s="68">
        <v>35260</v>
      </c>
      <c r="B9483" s="69"/>
    </row>
    <row r="9484" spans="1:2" x14ac:dyDescent="0.2">
      <c r="A9484" s="68">
        <v>35259</v>
      </c>
      <c r="B9484" s="69"/>
    </row>
    <row r="9485" spans="1:2" x14ac:dyDescent="0.2">
      <c r="A9485" s="68">
        <v>35258</v>
      </c>
      <c r="B9485" s="69">
        <v>1.0744</v>
      </c>
    </row>
    <row r="9486" spans="1:2" x14ac:dyDescent="0.2">
      <c r="A9486" s="68">
        <v>35257</v>
      </c>
      <c r="B9486" s="69">
        <v>1.0743</v>
      </c>
    </row>
    <row r="9487" spans="1:2" x14ac:dyDescent="0.2">
      <c r="A9487" s="68">
        <v>35256</v>
      </c>
      <c r="B9487" s="69">
        <v>1.0748</v>
      </c>
    </row>
    <row r="9488" spans="1:2" x14ac:dyDescent="0.2">
      <c r="A9488" s="68">
        <v>35255</v>
      </c>
      <c r="B9488" s="69">
        <v>1.0743</v>
      </c>
    </row>
    <row r="9489" spans="1:2" x14ac:dyDescent="0.2">
      <c r="A9489" s="68">
        <v>35254</v>
      </c>
      <c r="B9489" s="69">
        <v>1.0740000000000001</v>
      </c>
    </row>
    <row r="9490" spans="1:2" x14ac:dyDescent="0.2">
      <c r="A9490" s="68">
        <v>35253</v>
      </c>
      <c r="B9490" s="69"/>
    </row>
    <row r="9491" spans="1:2" x14ac:dyDescent="0.2">
      <c r="A9491" s="68">
        <v>35252</v>
      </c>
      <c r="B9491" s="69"/>
    </row>
    <row r="9492" spans="1:2" x14ac:dyDescent="0.2">
      <c r="A9492" s="68">
        <v>35251</v>
      </c>
      <c r="B9492" s="69">
        <v>1.0738000000000001</v>
      </c>
    </row>
    <row r="9493" spans="1:2" x14ac:dyDescent="0.2">
      <c r="A9493" s="68">
        <v>35250</v>
      </c>
      <c r="B9493" s="69">
        <v>1.0744</v>
      </c>
    </row>
    <row r="9494" spans="1:2" x14ac:dyDescent="0.2">
      <c r="A9494" s="68">
        <v>35249</v>
      </c>
      <c r="B9494" s="69">
        <v>1.0745</v>
      </c>
    </row>
    <row r="9495" spans="1:2" x14ac:dyDescent="0.2">
      <c r="A9495" s="68">
        <v>35248</v>
      </c>
      <c r="B9495" s="69">
        <v>1.0749</v>
      </c>
    </row>
    <row r="9496" spans="1:2" x14ac:dyDescent="0.2">
      <c r="A9496" s="68">
        <v>35247</v>
      </c>
      <c r="B9496" s="69">
        <v>1.0752999999999999</v>
      </c>
    </row>
    <row r="9497" spans="1:2" x14ac:dyDescent="0.2">
      <c r="A9497" s="68">
        <v>35246</v>
      </c>
      <c r="B9497" s="69"/>
    </row>
    <row r="9498" spans="1:2" x14ac:dyDescent="0.2">
      <c r="A9498" s="68">
        <v>35245</v>
      </c>
      <c r="B9498" s="69"/>
    </row>
    <row r="9499" spans="1:2" x14ac:dyDescent="0.2">
      <c r="A9499" s="68">
        <v>35244</v>
      </c>
      <c r="B9499" s="69">
        <v>1.0751999999999999</v>
      </c>
    </row>
    <row r="9500" spans="1:2" x14ac:dyDescent="0.2">
      <c r="A9500" s="68">
        <v>35243</v>
      </c>
      <c r="B9500" s="69">
        <v>1.0749</v>
      </c>
    </row>
    <row r="9501" spans="1:2" x14ac:dyDescent="0.2">
      <c r="A9501" s="68">
        <v>35242</v>
      </c>
      <c r="B9501" s="69">
        <v>1.0743</v>
      </c>
    </row>
    <row r="9502" spans="1:2" x14ac:dyDescent="0.2">
      <c r="A9502" s="68">
        <v>35241</v>
      </c>
      <c r="B9502" s="69">
        <v>1.0743</v>
      </c>
    </row>
    <row r="9503" spans="1:2" x14ac:dyDescent="0.2">
      <c r="A9503" s="68">
        <v>35240</v>
      </c>
      <c r="B9503" s="69">
        <v>1.0748</v>
      </c>
    </row>
    <row r="9504" spans="1:2" x14ac:dyDescent="0.2">
      <c r="A9504" s="68">
        <v>35239</v>
      </c>
      <c r="B9504" s="69"/>
    </row>
    <row r="9505" spans="1:2" x14ac:dyDescent="0.2">
      <c r="A9505" s="68">
        <v>35238</v>
      </c>
      <c r="B9505" s="69"/>
    </row>
    <row r="9506" spans="1:2" x14ac:dyDescent="0.2">
      <c r="A9506" s="68">
        <v>35237</v>
      </c>
      <c r="B9506" s="69">
        <v>1.0753999999999999</v>
      </c>
    </row>
    <row r="9507" spans="1:2" x14ac:dyDescent="0.2">
      <c r="A9507" s="68">
        <v>35236</v>
      </c>
      <c r="B9507" s="69">
        <v>1.0757000000000001</v>
      </c>
    </row>
    <row r="9508" spans="1:2" x14ac:dyDescent="0.2">
      <c r="A9508" s="68">
        <v>35235</v>
      </c>
      <c r="B9508" s="69">
        <v>1.0755999999999999</v>
      </c>
    </row>
    <row r="9509" spans="1:2" x14ac:dyDescent="0.2">
      <c r="A9509" s="68">
        <v>35234</v>
      </c>
      <c r="B9509" s="69"/>
    </row>
    <row r="9510" spans="1:2" x14ac:dyDescent="0.2">
      <c r="A9510" s="68">
        <v>35233</v>
      </c>
      <c r="B9510" s="69">
        <v>1.0752999999999999</v>
      </c>
    </row>
    <row r="9511" spans="1:2" x14ac:dyDescent="0.2">
      <c r="A9511" s="68">
        <v>35232</v>
      </c>
      <c r="B9511" s="69"/>
    </row>
    <row r="9512" spans="1:2" x14ac:dyDescent="0.2">
      <c r="A9512" s="68">
        <v>35231</v>
      </c>
      <c r="B9512" s="69"/>
    </row>
    <row r="9513" spans="1:2" x14ac:dyDescent="0.2">
      <c r="A9513" s="68">
        <v>35230</v>
      </c>
      <c r="B9513" s="69"/>
    </row>
    <row r="9514" spans="1:2" x14ac:dyDescent="0.2">
      <c r="A9514" s="68">
        <v>35229</v>
      </c>
      <c r="B9514" s="69">
        <v>1.0759000000000001</v>
      </c>
    </row>
    <row r="9515" spans="1:2" x14ac:dyDescent="0.2">
      <c r="A9515" s="68">
        <v>35228</v>
      </c>
      <c r="B9515" s="69">
        <v>1.0759000000000001</v>
      </c>
    </row>
    <row r="9516" spans="1:2" x14ac:dyDescent="0.2">
      <c r="A9516" s="68">
        <v>35227</v>
      </c>
      <c r="B9516" s="69">
        <v>1.0759000000000001</v>
      </c>
    </row>
    <row r="9517" spans="1:2" x14ac:dyDescent="0.2">
      <c r="A9517" s="68">
        <v>35226</v>
      </c>
      <c r="B9517" s="69">
        <v>1.0763</v>
      </c>
    </row>
    <row r="9518" spans="1:2" x14ac:dyDescent="0.2">
      <c r="A9518" s="68">
        <v>35225</v>
      </c>
      <c r="B9518" s="69"/>
    </row>
    <row r="9519" spans="1:2" x14ac:dyDescent="0.2">
      <c r="A9519" s="68">
        <v>35224</v>
      </c>
      <c r="B9519" s="69"/>
    </row>
    <row r="9520" spans="1:2" x14ac:dyDescent="0.2">
      <c r="A9520" s="68">
        <v>35223</v>
      </c>
      <c r="B9520" s="69">
        <v>1.0765</v>
      </c>
    </row>
    <row r="9521" spans="1:2" x14ac:dyDescent="0.2">
      <c r="A9521" s="68">
        <v>35222</v>
      </c>
      <c r="B9521" s="69">
        <v>1.0764</v>
      </c>
    </row>
    <row r="9522" spans="1:2" x14ac:dyDescent="0.2">
      <c r="A9522" s="68">
        <v>35221</v>
      </c>
      <c r="B9522" s="69">
        <v>1.0768</v>
      </c>
    </row>
    <row r="9523" spans="1:2" x14ac:dyDescent="0.2">
      <c r="A9523" s="68">
        <v>35220</v>
      </c>
      <c r="B9523" s="69">
        <v>1.0759000000000001</v>
      </c>
    </row>
    <row r="9524" spans="1:2" x14ac:dyDescent="0.2">
      <c r="A9524" s="68">
        <v>35219</v>
      </c>
      <c r="B9524" s="69">
        <v>1.0766</v>
      </c>
    </row>
    <row r="9525" spans="1:2" x14ac:dyDescent="0.2">
      <c r="A9525" s="68">
        <v>35218</v>
      </c>
      <c r="B9525" s="69"/>
    </row>
    <row r="9526" spans="1:2" x14ac:dyDescent="0.2">
      <c r="A9526" s="68">
        <v>35217</v>
      </c>
      <c r="B9526" s="69"/>
    </row>
    <row r="9527" spans="1:2" x14ac:dyDescent="0.2">
      <c r="A9527" s="68">
        <v>35216</v>
      </c>
      <c r="B9527" s="69">
        <v>1.0769</v>
      </c>
    </row>
    <row r="9528" spans="1:2" x14ac:dyDescent="0.2">
      <c r="A9528" s="68">
        <v>35215</v>
      </c>
      <c r="B9528" s="69">
        <v>1.077</v>
      </c>
    </row>
    <row r="9529" spans="1:2" x14ac:dyDescent="0.2">
      <c r="A9529" s="68">
        <v>35214</v>
      </c>
      <c r="B9529" s="69">
        <v>1.0753999999999999</v>
      </c>
    </row>
    <row r="9530" spans="1:2" x14ac:dyDescent="0.2">
      <c r="A9530" s="68">
        <v>35213</v>
      </c>
      <c r="B9530" s="69">
        <v>1.0759000000000001</v>
      </c>
    </row>
    <row r="9531" spans="1:2" x14ac:dyDescent="0.2">
      <c r="A9531" s="68">
        <v>35212</v>
      </c>
      <c r="B9531" s="69">
        <v>1.0754999999999999</v>
      </c>
    </row>
    <row r="9532" spans="1:2" x14ac:dyDescent="0.2">
      <c r="A9532" s="68">
        <v>35211</v>
      </c>
      <c r="B9532" s="69"/>
    </row>
    <row r="9533" spans="1:2" x14ac:dyDescent="0.2">
      <c r="A9533" s="68">
        <v>35210</v>
      </c>
      <c r="B9533" s="69"/>
    </row>
    <row r="9534" spans="1:2" x14ac:dyDescent="0.2">
      <c r="A9534" s="68">
        <v>35209</v>
      </c>
      <c r="B9534" s="69">
        <v>1.0754999999999999</v>
      </c>
    </row>
    <row r="9535" spans="1:2" x14ac:dyDescent="0.2">
      <c r="A9535" s="68">
        <v>35208</v>
      </c>
      <c r="B9535" s="69">
        <v>1.0764</v>
      </c>
    </row>
    <row r="9536" spans="1:2" x14ac:dyDescent="0.2">
      <c r="A9536" s="68">
        <v>35207</v>
      </c>
      <c r="B9536" s="69">
        <v>1.0762</v>
      </c>
    </row>
    <row r="9537" spans="1:2" x14ac:dyDescent="0.2">
      <c r="A9537" s="68">
        <v>35206</v>
      </c>
      <c r="B9537" s="69">
        <v>1.0760000000000001</v>
      </c>
    </row>
    <row r="9538" spans="1:2" x14ac:dyDescent="0.2">
      <c r="A9538" s="68">
        <v>35205</v>
      </c>
      <c r="B9538" s="69">
        <v>1.0759000000000001</v>
      </c>
    </row>
    <row r="9539" spans="1:2" x14ac:dyDescent="0.2">
      <c r="A9539" s="68">
        <v>35204</v>
      </c>
      <c r="B9539" s="69"/>
    </row>
    <row r="9540" spans="1:2" x14ac:dyDescent="0.2">
      <c r="A9540" s="68">
        <v>35203</v>
      </c>
      <c r="B9540" s="69"/>
    </row>
    <row r="9541" spans="1:2" x14ac:dyDescent="0.2">
      <c r="A9541" s="68">
        <v>35202</v>
      </c>
      <c r="B9541" s="69">
        <v>1.0769</v>
      </c>
    </row>
    <row r="9542" spans="1:2" x14ac:dyDescent="0.2">
      <c r="A9542" s="68">
        <v>35201</v>
      </c>
      <c r="B9542" s="69">
        <v>1.0768</v>
      </c>
    </row>
    <row r="9543" spans="1:2" x14ac:dyDescent="0.2">
      <c r="A9543" s="68">
        <v>35200</v>
      </c>
      <c r="B9543" s="69">
        <v>1.0771999999999999</v>
      </c>
    </row>
    <row r="9544" spans="1:2" x14ac:dyDescent="0.2">
      <c r="A9544" s="68">
        <v>35199</v>
      </c>
      <c r="B9544" s="69">
        <v>1.0767</v>
      </c>
    </row>
    <row r="9545" spans="1:2" x14ac:dyDescent="0.2">
      <c r="A9545" s="68">
        <v>35198</v>
      </c>
      <c r="B9545" s="69">
        <v>1.0773999999999999</v>
      </c>
    </row>
    <row r="9546" spans="1:2" x14ac:dyDescent="0.2">
      <c r="A9546" s="68">
        <v>35197</v>
      </c>
      <c r="B9546" s="69"/>
    </row>
    <row r="9547" spans="1:2" x14ac:dyDescent="0.2">
      <c r="A9547" s="68">
        <v>35196</v>
      </c>
      <c r="B9547" s="69"/>
    </row>
    <row r="9548" spans="1:2" x14ac:dyDescent="0.2">
      <c r="A9548" s="68">
        <v>35195</v>
      </c>
      <c r="B9548" s="69">
        <v>1.0768</v>
      </c>
    </row>
    <row r="9549" spans="1:2" x14ac:dyDescent="0.2">
      <c r="A9549" s="68">
        <v>35194</v>
      </c>
      <c r="B9549" s="69">
        <v>1.0767</v>
      </c>
    </row>
    <row r="9550" spans="1:2" x14ac:dyDescent="0.2">
      <c r="A9550" s="68">
        <v>35193</v>
      </c>
      <c r="B9550" s="69">
        <v>1.0773999999999999</v>
      </c>
    </row>
    <row r="9551" spans="1:2" x14ac:dyDescent="0.2">
      <c r="A9551" s="68">
        <v>35192</v>
      </c>
      <c r="B9551" s="69">
        <v>1.0774999999999999</v>
      </c>
    </row>
    <row r="9552" spans="1:2" x14ac:dyDescent="0.2">
      <c r="A9552" s="68">
        <v>35191</v>
      </c>
      <c r="B9552" s="69">
        <v>1.0774999999999999</v>
      </c>
    </row>
    <row r="9553" spans="1:2" x14ac:dyDescent="0.2">
      <c r="A9553" s="68">
        <v>35190</v>
      </c>
      <c r="B9553" s="69"/>
    </row>
    <row r="9554" spans="1:2" x14ac:dyDescent="0.2">
      <c r="A9554" s="68">
        <v>35189</v>
      </c>
      <c r="B9554" s="69"/>
    </row>
    <row r="9555" spans="1:2" x14ac:dyDescent="0.2">
      <c r="A9555" s="68">
        <v>35188</v>
      </c>
      <c r="B9555" s="69">
        <v>1.0769</v>
      </c>
    </row>
    <row r="9556" spans="1:2" x14ac:dyDescent="0.2">
      <c r="A9556" s="68">
        <v>35187</v>
      </c>
      <c r="B9556" s="69">
        <v>1.0774999999999999</v>
      </c>
    </row>
    <row r="9557" spans="1:2" x14ac:dyDescent="0.2">
      <c r="A9557" s="68">
        <v>35186</v>
      </c>
      <c r="B9557" s="69"/>
    </row>
    <row r="9558" spans="1:2" x14ac:dyDescent="0.2">
      <c r="A9558" s="68">
        <v>35185</v>
      </c>
      <c r="B9558" s="69">
        <v>1.077</v>
      </c>
    </row>
    <row r="9559" spans="1:2" x14ac:dyDescent="0.2">
      <c r="A9559" s="68">
        <v>35184</v>
      </c>
      <c r="B9559" s="69">
        <v>1.0773999999999999</v>
      </c>
    </row>
    <row r="9560" spans="1:2" x14ac:dyDescent="0.2">
      <c r="A9560" s="68">
        <v>35183</v>
      </c>
      <c r="B9560" s="69"/>
    </row>
    <row r="9561" spans="1:2" x14ac:dyDescent="0.2">
      <c r="A9561" s="68">
        <v>35182</v>
      </c>
      <c r="B9561" s="69"/>
    </row>
    <row r="9562" spans="1:2" x14ac:dyDescent="0.2">
      <c r="A9562" s="68">
        <v>35181</v>
      </c>
      <c r="B9562" s="69">
        <v>1.0765</v>
      </c>
    </row>
    <row r="9563" spans="1:2" x14ac:dyDescent="0.2">
      <c r="A9563" s="68">
        <v>35180</v>
      </c>
      <c r="B9563" s="69">
        <v>1.0765</v>
      </c>
    </row>
    <row r="9564" spans="1:2" x14ac:dyDescent="0.2">
      <c r="A9564" s="68">
        <v>35179</v>
      </c>
      <c r="B9564" s="69">
        <v>1.0772999999999999</v>
      </c>
    </row>
    <row r="9565" spans="1:2" x14ac:dyDescent="0.2">
      <c r="A9565" s="68">
        <v>35178</v>
      </c>
      <c r="B9565" s="69">
        <v>1.077</v>
      </c>
    </row>
    <row r="9566" spans="1:2" x14ac:dyDescent="0.2">
      <c r="A9566" s="68">
        <v>35177</v>
      </c>
      <c r="B9566" s="69">
        <v>1.0769</v>
      </c>
    </row>
    <row r="9567" spans="1:2" x14ac:dyDescent="0.2">
      <c r="A9567" s="68">
        <v>35176</v>
      </c>
      <c r="B9567" s="69"/>
    </row>
    <row r="9568" spans="1:2" x14ac:dyDescent="0.2">
      <c r="A9568" s="68">
        <v>35175</v>
      </c>
      <c r="B9568" s="69"/>
    </row>
    <row r="9569" spans="1:2" x14ac:dyDescent="0.2">
      <c r="A9569" s="68">
        <v>35174</v>
      </c>
      <c r="B9569" s="69">
        <v>1.0771999999999999</v>
      </c>
    </row>
    <row r="9570" spans="1:2" x14ac:dyDescent="0.2">
      <c r="A9570" s="68">
        <v>35173</v>
      </c>
      <c r="B9570" s="69">
        <v>1.0775999999999999</v>
      </c>
    </row>
    <row r="9571" spans="1:2" x14ac:dyDescent="0.2">
      <c r="A9571" s="68">
        <v>35172</v>
      </c>
      <c r="B9571" s="69">
        <v>1.0771999999999999</v>
      </c>
    </row>
    <row r="9572" spans="1:2" x14ac:dyDescent="0.2">
      <c r="A9572" s="68">
        <v>35171</v>
      </c>
      <c r="B9572" s="69">
        <v>1.0774999999999999</v>
      </c>
    </row>
    <row r="9573" spans="1:2" x14ac:dyDescent="0.2">
      <c r="A9573" s="68">
        <v>35170</v>
      </c>
      <c r="B9573" s="69">
        <v>1.0780000000000001</v>
      </c>
    </row>
    <row r="9574" spans="1:2" x14ac:dyDescent="0.2">
      <c r="A9574" s="68">
        <v>35169</v>
      </c>
      <c r="B9574" s="69"/>
    </row>
    <row r="9575" spans="1:2" x14ac:dyDescent="0.2">
      <c r="A9575" s="68">
        <v>35168</v>
      </c>
      <c r="B9575" s="69"/>
    </row>
    <row r="9576" spans="1:2" x14ac:dyDescent="0.2">
      <c r="A9576" s="68">
        <v>35167</v>
      </c>
      <c r="B9576" s="69">
        <v>1.0780000000000001</v>
      </c>
    </row>
    <row r="9577" spans="1:2" x14ac:dyDescent="0.2">
      <c r="A9577" s="68">
        <v>35166</v>
      </c>
      <c r="B9577" s="69">
        <v>1.0774999999999999</v>
      </c>
    </row>
    <row r="9578" spans="1:2" x14ac:dyDescent="0.2">
      <c r="A9578" s="68">
        <v>35165</v>
      </c>
      <c r="B9578" s="69">
        <v>1.0774999999999999</v>
      </c>
    </row>
    <row r="9579" spans="1:2" x14ac:dyDescent="0.2">
      <c r="A9579" s="68">
        <v>35164</v>
      </c>
      <c r="B9579" s="69">
        <v>1.0773999999999999</v>
      </c>
    </row>
    <row r="9580" spans="1:2" x14ac:dyDescent="0.2">
      <c r="A9580" s="68">
        <v>35163</v>
      </c>
      <c r="B9580" s="69">
        <v>1.0764</v>
      </c>
    </row>
    <row r="9581" spans="1:2" x14ac:dyDescent="0.2">
      <c r="A9581" s="68">
        <v>35162</v>
      </c>
      <c r="B9581" s="69"/>
    </row>
    <row r="9582" spans="1:2" x14ac:dyDescent="0.2">
      <c r="A9582" s="68">
        <v>35161</v>
      </c>
      <c r="B9582" s="69"/>
    </row>
    <row r="9583" spans="1:2" x14ac:dyDescent="0.2">
      <c r="A9583" s="68">
        <v>35160</v>
      </c>
      <c r="B9583" s="69">
        <v>1.0778000000000001</v>
      </c>
    </row>
    <row r="9584" spans="1:2" x14ac:dyDescent="0.2">
      <c r="A9584" s="68">
        <v>35159</v>
      </c>
      <c r="B9584" s="69">
        <v>1.0779000000000001</v>
      </c>
    </row>
    <row r="9585" spans="1:2" x14ac:dyDescent="0.2">
      <c r="A9585" s="68">
        <v>35158</v>
      </c>
      <c r="B9585" s="69">
        <v>1.0784</v>
      </c>
    </row>
    <row r="9586" spans="1:2" x14ac:dyDescent="0.2">
      <c r="A9586" s="68">
        <v>35157</v>
      </c>
      <c r="B9586" s="69">
        <v>1.0784</v>
      </c>
    </row>
    <row r="9587" spans="1:2" x14ac:dyDescent="0.2">
      <c r="A9587" s="68">
        <v>35156</v>
      </c>
      <c r="B9587" s="69">
        <v>1.0781000000000001</v>
      </c>
    </row>
    <row r="9588" spans="1:2" x14ac:dyDescent="0.2">
      <c r="A9588" s="68">
        <v>35155</v>
      </c>
      <c r="B9588" s="69"/>
    </row>
    <row r="9589" spans="1:2" x14ac:dyDescent="0.2">
      <c r="A9589" s="68">
        <v>35154</v>
      </c>
      <c r="B9589" s="69"/>
    </row>
    <row r="9590" spans="1:2" x14ac:dyDescent="0.2">
      <c r="A9590" s="68">
        <v>35153</v>
      </c>
      <c r="B9590" s="69">
        <v>1.0788</v>
      </c>
    </row>
    <row r="9591" spans="1:2" x14ac:dyDescent="0.2">
      <c r="A9591" s="68">
        <v>35152</v>
      </c>
      <c r="B9591" s="69">
        <v>1.0787</v>
      </c>
    </row>
    <row r="9592" spans="1:2" x14ac:dyDescent="0.2">
      <c r="A9592" s="68">
        <v>35151</v>
      </c>
      <c r="B9592" s="69">
        <v>1.0783</v>
      </c>
    </row>
    <row r="9593" spans="1:2" x14ac:dyDescent="0.2">
      <c r="A9593" s="68">
        <v>35150</v>
      </c>
      <c r="B9593" s="69">
        <v>1.0787</v>
      </c>
    </row>
    <row r="9594" spans="1:2" x14ac:dyDescent="0.2">
      <c r="A9594" s="68">
        <v>35149</v>
      </c>
      <c r="B9594" s="69">
        <v>1.0787</v>
      </c>
    </row>
    <row r="9595" spans="1:2" x14ac:dyDescent="0.2">
      <c r="A9595" s="68">
        <v>35148</v>
      </c>
      <c r="B9595" s="69"/>
    </row>
    <row r="9596" spans="1:2" x14ac:dyDescent="0.2">
      <c r="A9596" s="68">
        <v>35147</v>
      </c>
      <c r="B9596" s="69"/>
    </row>
    <row r="9597" spans="1:2" x14ac:dyDescent="0.2">
      <c r="A9597" s="68">
        <v>35146</v>
      </c>
      <c r="B9597" s="69">
        <v>1.0780000000000001</v>
      </c>
    </row>
    <row r="9598" spans="1:2" x14ac:dyDescent="0.2">
      <c r="A9598" s="68">
        <v>35145</v>
      </c>
      <c r="B9598" s="69">
        <v>1.0780000000000001</v>
      </c>
    </row>
    <row r="9599" spans="1:2" x14ac:dyDescent="0.2">
      <c r="A9599" s="68">
        <v>35144</v>
      </c>
      <c r="B9599" s="69">
        <v>1.0784</v>
      </c>
    </row>
    <row r="9600" spans="1:2" x14ac:dyDescent="0.2">
      <c r="A9600" s="68">
        <v>35143</v>
      </c>
      <c r="B9600" s="69">
        <v>1.0785</v>
      </c>
    </row>
    <row r="9601" spans="1:2" x14ac:dyDescent="0.2">
      <c r="A9601" s="68">
        <v>35142</v>
      </c>
      <c r="B9601" s="69">
        <v>1.0780000000000001</v>
      </c>
    </row>
    <row r="9602" spans="1:2" x14ac:dyDescent="0.2">
      <c r="A9602" s="68">
        <v>35141</v>
      </c>
      <c r="B9602" s="69"/>
    </row>
    <row r="9603" spans="1:2" x14ac:dyDescent="0.2">
      <c r="A9603" s="68">
        <v>35140</v>
      </c>
      <c r="B9603" s="69"/>
    </row>
    <row r="9604" spans="1:2" x14ac:dyDescent="0.2">
      <c r="A9604" s="68">
        <v>35139</v>
      </c>
      <c r="B9604" s="69">
        <v>1.0784</v>
      </c>
    </row>
    <row r="9605" spans="1:2" x14ac:dyDescent="0.2">
      <c r="A9605" s="68">
        <v>35138</v>
      </c>
      <c r="B9605" s="69">
        <v>1.0789</v>
      </c>
    </row>
    <row r="9606" spans="1:2" x14ac:dyDescent="0.2">
      <c r="A9606" s="68">
        <v>35137</v>
      </c>
      <c r="B9606" s="69">
        <v>1.0781000000000001</v>
      </c>
    </row>
    <row r="9607" spans="1:2" x14ac:dyDescent="0.2">
      <c r="A9607" s="68">
        <v>35136</v>
      </c>
      <c r="B9607" s="69">
        <v>1.0772999999999999</v>
      </c>
    </row>
    <row r="9608" spans="1:2" x14ac:dyDescent="0.2">
      <c r="A9608" s="68">
        <v>35135</v>
      </c>
      <c r="B9608" s="69">
        <v>1.0771999999999999</v>
      </c>
    </row>
    <row r="9609" spans="1:2" x14ac:dyDescent="0.2">
      <c r="A9609" s="68">
        <v>35134</v>
      </c>
      <c r="B9609" s="69"/>
    </row>
    <row r="9610" spans="1:2" x14ac:dyDescent="0.2">
      <c r="A9610" s="68">
        <v>35133</v>
      </c>
      <c r="B9610" s="69"/>
    </row>
    <row r="9611" spans="1:2" x14ac:dyDescent="0.2">
      <c r="A9611" s="68">
        <v>35132</v>
      </c>
      <c r="B9611" s="69">
        <v>1.0771999999999999</v>
      </c>
    </row>
    <row r="9612" spans="1:2" x14ac:dyDescent="0.2">
      <c r="A9612" s="68">
        <v>35131</v>
      </c>
      <c r="B9612" s="69">
        <v>1.0771999999999999</v>
      </c>
    </row>
    <row r="9613" spans="1:2" x14ac:dyDescent="0.2">
      <c r="A9613" s="68">
        <v>35130</v>
      </c>
      <c r="B9613" s="69">
        <v>1.0771999999999999</v>
      </c>
    </row>
    <row r="9614" spans="1:2" x14ac:dyDescent="0.2">
      <c r="A9614" s="68">
        <v>35129</v>
      </c>
      <c r="B9614" s="69">
        <v>1.0771999999999999</v>
      </c>
    </row>
    <row r="9615" spans="1:2" x14ac:dyDescent="0.2">
      <c r="A9615" s="68">
        <v>35128</v>
      </c>
      <c r="B9615" s="69">
        <v>1.0772999999999999</v>
      </c>
    </row>
    <row r="9616" spans="1:2" x14ac:dyDescent="0.2">
      <c r="A9616" s="68">
        <v>35127</v>
      </c>
      <c r="B9616" s="69"/>
    </row>
    <row r="9617" spans="1:2" x14ac:dyDescent="0.2">
      <c r="A9617" s="68">
        <v>35126</v>
      </c>
      <c r="B9617" s="69"/>
    </row>
    <row r="9618" spans="1:2" x14ac:dyDescent="0.2">
      <c r="A9618" s="68">
        <v>35125</v>
      </c>
      <c r="B9618" s="69">
        <v>1.0772999999999999</v>
      </c>
    </row>
    <row r="9619" spans="1:2" x14ac:dyDescent="0.2">
      <c r="A9619" s="68">
        <v>35124</v>
      </c>
      <c r="B9619" s="69">
        <v>1.0771999999999999</v>
      </c>
    </row>
    <row r="9620" spans="1:2" x14ac:dyDescent="0.2">
      <c r="A9620" s="68">
        <v>35123</v>
      </c>
      <c r="B9620" s="69">
        <v>1.0748</v>
      </c>
    </row>
    <row r="9621" spans="1:2" x14ac:dyDescent="0.2">
      <c r="A9621" s="68">
        <v>35122</v>
      </c>
      <c r="B9621" s="69">
        <v>1.0740000000000001</v>
      </c>
    </row>
    <row r="9622" spans="1:2" x14ac:dyDescent="0.2">
      <c r="A9622" s="68">
        <v>35121</v>
      </c>
      <c r="B9622" s="69">
        <v>1.0732999999999999</v>
      </c>
    </row>
    <row r="9623" spans="1:2" x14ac:dyDescent="0.2">
      <c r="A9623" s="68">
        <v>35120</v>
      </c>
      <c r="B9623" s="69"/>
    </row>
    <row r="9624" spans="1:2" x14ac:dyDescent="0.2">
      <c r="A9624" s="68">
        <v>35119</v>
      </c>
      <c r="B9624" s="69"/>
    </row>
    <row r="9625" spans="1:2" x14ac:dyDescent="0.2">
      <c r="A9625" s="68">
        <v>35118</v>
      </c>
      <c r="B9625" s="69"/>
    </row>
    <row r="9626" spans="1:2" x14ac:dyDescent="0.2">
      <c r="A9626" s="68">
        <v>35117</v>
      </c>
      <c r="B9626" s="69"/>
    </row>
    <row r="9627" spans="1:2" x14ac:dyDescent="0.2">
      <c r="A9627" s="68">
        <v>35116</v>
      </c>
      <c r="B9627" s="69"/>
    </row>
    <row r="9628" spans="1:2" x14ac:dyDescent="0.2">
      <c r="A9628" s="68">
        <v>35115</v>
      </c>
      <c r="B9628" s="69"/>
    </row>
    <row r="9629" spans="1:2" x14ac:dyDescent="0.2">
      <c r="A9629" s="68">
        <v>35114</v>
      </c>
      <c r="B9629" s="69"/>
    </row>
    <row r="9630" spans="1:2" x14ac:dyDescent="0.2">
      <c r="A9630" s="68">
        <v>35113</v>
      </c>
      <c r="B9630" s="69">
        <v>1.0746</v>
      </c>
    </row>
    <row r="9631" spans="1:2" x14ac:dyDescent="0.2">
      <c r="A9631" s="68">
        <v>35112</v>
      </c>
      <c r="B9631" s="69">
        <v>1.0750999999999999</v>
      </c>
    </row>
    <row r="9632" spans="1:2" x14ac:dyDescent="0.2">
      <c r="A9632" s="68">
        <v>35111</v>
      </c>
      <c r="B9632" s="69">
        <v>1.0739000000000001</v>
      </c>
    </row>
    <row r="9633" spans="1:2" x14ac:dyDescent="0.2">
      <c r="A9633" s="68">
        <v>35110</v>
      </c>
      <c r="B9633" s="69">
        <v>1.0741000000000001</v>
      </c>
    </row>
    <row r="9634" spans="1:2" x14ac:dyDescent="0.2">
      <c r="A9634" s="68">
        <v>35109</v>
      </c>
      <c r="B9634" s="69">
        <v>1.0746</v>
      </c>
    </row>
    <row r="9635" spans="1:2" x14ac:dyDescent="0.2">
      <c r="A9635" s="68">
        <v>35108</v>
      </c>
      <c r="B9635" s="69">
        <v>1.0751999999999999</v>
      </c>
    </row>
    <row r="9636" spans="1:2" x14ac:dyDescent="0.2">
      <c r="A9636" s="68">
        <v>35107</v>
      </c>
      <c r="B9636" s="69">
        <v>1.0746</v>
      </c>
    </row>
    <row r="9637" spans="1:2" x14ac:dyDescent="0.2">
      <c r="A9637" s="68">
        <v>35106</v>
      </c>
      <c r="B9637" s="69"/>
    </row>
    <row r="9638" spans="1:2" x14ac:dyDescent="0.2">
      <c r="A9638" s="68">
        <v>35105</v>
      </c>
      <c r="B9638" s="69"/>
    </row>
    <row r="9639" spans="1:2" x14ac:dyDescent="0.2">
      <c r="A9639" s="68">
        <v>35104</v>
      </c>
      <c r="B9639" s="69">
        <v>1.0748</v>
      </c>
    </row>
    <row r="9640" spans="1:2" x14ac:dyDescent="0.2">
      <c r="A9640" s="68">
        <v>35103</v>
      </c>
      <c r="B9640" s="69">
        <v>1.0750999999999999</v>
      </c>
    </row>
    <row r="9641" spans="1:2" x14ac:dyDescent="0.2">
      <c r="A9641" s="68">
        <v>35102</v>
      </c>
      <c r="B9641" s="69">
        <v>1.0755999999999999</v>
      </c>
    </row>
    <row r="9642" spans="1:2" x14ac:dyDescent="0.2">
      <c r="A9642" s="68">
        <v>35101</v>
      </c>
      <c r="B9642" s="69">
        <v>1.0761000000000001</v>
      </c>
    </row>
    <row r="9643" spans="1:2" x14ac:dyDescent="0.2">
      <c r="A9643" s="68">
        <v>35100</v>
      </c>
      <c r="B9643" s="69">
        <v>1.0760000000000001</v>
      </c>
    </row>
    <row r="9644" spans="1:2" x14ac:dyDescent="0.2">
      <c r="A9644" s="68">
        <v>35099</v>
      </c>
      <c r="B9644" s="69"/>
    </row>
    <row r="9645" spans="1:2" x14ac:dyDescent="0.2">
      <c r="A9645" s="68">
        <v>35098</v>
      </c>
      <c r="B9645" s="69"/>
    </row>
    <row r="9646" spans="1:2" x14ac:dyDescent="0.2">
      <c r="A9646" s="68">
        <v>35097</v>
      </c>
      <c r="B9646" s="69">
        <v>1.0754999999999999</v>
      </c>
    </row>
    <row r="9647" spans="1:2" x14ac:dyDescent="0.2">
      <c r="A9647" s="68">
        <v>35096</v>
      </c>
      <c r="B9647" s="69">
        <v>1.0754999999999999</v>
      </c>
    </row>
    <row r="9648" spans="1:2" x14ac:dyDescent="0.2">
      <c r="A9648" s="68">
        <v>35095</v>
      </c>
      <c r="B9648" s="69">
        <v>1.0755999999999999</v>
      </c>
    </row>
    <row r="9649" spans="1:2" x14ac:dyDescent="0.2">
      <c r="A9649" s="68">
        <v>35094</v>
      </c>
      <c r="B9649" s="69">
        <v>1.075</v>
      </c>
    </row>
    <row r="9650" spans="1:2" x14ac:dyDescent="0.2">
      <c r="A9650" s="68">
        <v>35093</v>
      </c>
      <c r="B9650" s="69">
        <v>1.0754999999999999</v>
      </c>
    </row>
    <row r="9651" spans="1:2" x14ac:dyDescent="0.2">
      <c r="A9651" s="68">
        <v>35092</v>
      </c>
      <c r="B9651" s="69"/>
    </row>
    <row r="9652" spans="1:2" x14ac:dyDescent="0.2">
      <c r="A9652" s="68">
        <v>35091</v>
      </c>
      <c r="B9652" s="69"/>
    </row>
    <row r="9653" spans="1:2" x14ac:dyDescent="0.2">
      <c r="A9653" s="68">
        <v>35090</v>
      </c>
      <c r="B9653" s="69">
        <v>1.0761000000000001</v>
      </c>
    </row>
    <row r="9654" spans="1:2" x14ac:dyDescent="0.2">
      <c r="A9654" s="68">
        <v>35089</v>
      </c>
      <c r="B9654" s="69">
        <v>1.0767</v>
      </c>
    </row>
    <row r="9655" spans="1:2" x14ac:dyDescent="0.2">
      <c r="A9655" s="68">
        <v>35088</v>
      </c>
      <c r="B9655" s="69">
        <v>1.0766</v>
      </c>
    </row>
    <row r="9656" spans="1:2" x14ac:dyDescent="0.2">
      <c r="A9656" s="68">
        <v>35087</v>
      </c>
      <c r="B9656" s="69">
        <v>1.0767</v>
      </c>
    </row>
    <row r="9657" spans="1:2" x14ac:dyDescent="0.2">
      <c r="A9657" s="68">
        <v>35086</v>
      </c>
      <c r="B9657" s="69">
        <v>1.0762</v>
      </c>
    </row>
    <row r="9658" spans="1:2" x14ac:dyDescent="0.2">
      <c r="A9658" s="68">
        <v>35085</v>
      </c>
      <c r="B9658" s="69"/>
    </row>
    <row r="9659" spans="1:2" x14ac:dyDescent="0.2">
      <c r="A9659" s="68">
        <v>35084</v>
      </c>
      <c r="B9659" s="69"/>
    </row>
    <row r="9660" spans="1:2" x14ac:dyDescent="0.2">
      <c r="A9660" s="68">
        <v>35083</v>
      </c>
      <c r="B9660" s="69">
        <v>1.0764</v>
      </c>
    </row>
    <row r="9661" spans="1:2" x14ac:dyDescent="0.2">
      <c r="A9661" s="68">
        <v>35082</v>
      </c>
      <c r="B9661" s="69">
        <v>1.0766</v>
      </c>
    </row>
    <row r="9662" spans="1:2" x14ac:dyDescent="0.2">
      <c r="A9662" s="68">
        <v>35081</v>
      </c>
      <c r="B9662" s="69">
        <v>1.0768</v>
      </c>
    </row>
    <row r="9663" spans="1:2" x14ac:dyDescent="0.2">
      <c r="A9663" s="68">
        <v>35080</v>
      </c>
      <c r="B9663" s="69">
        <v>1.0764</v>
      </c>
    </row>
    <row r="9664" spans="1:2" x14ac:dyDescent="0.2">
      <c r="A9664" s="68">
        <v>35079</v>
      </c>
      <c r="B9664" s="69">
        <v>1.0764</v>
      </c>
    </row>
    <row r="9665" spans="1:2" x14ac:dyDescent="0.2">
      <c r="A9665" s="68">
        <v>35078</v>
      </c>
      <c r="B9665" s="69"/>
    </row>
    <row r="9666" spans="1:2" x14ac:dyDescent="0.2">
      <c r="A9666" s="68">
        <v>35077</v>
      </c>
      <c r="B9666" s="69"/>
    </row>
    <row r="9667" spans="1:2" x14ac:dyDescent="0.2">
      <c r="A9667" s="68">
        <v>35076</v>
      </c>
      <c r="B9667" s="69">
        <v>1.0763</v>
      </c>
    </row>
    <row r="9668" spans="1:2" x14ac:dyDescent="0.2">
      <c r="A9668" s="68">
        <v>35075</v>
      </c>
      <c r="B9668" s="69">
        <v>1.0762</v>
      </c>
    </row>
    <row r="9669" spans="1:2" x14ac:dyDescent="0.2">
      <c r="A9669" s="68">
        <v>35074</v>
      </c>
      <c r="B9669" s="69">
        <v>1.0764</v>
      </c>
    </row>
    <row r="9670" spans="1:2" x14ac:dyDescent="0.2">
      <c r="A9670" s="68">
        <v>35073</v>
      </c>
      <c r="B9670" s="69">
        <v>1.0765</v>
      </c>
    </row>
    <row r="9671" spans="1:2" x14ac:dyDescent="0.2">
      <c r="A9671" s="68">
        <v>35072</v>
      </c>
      <c r="B9671" s="69">
        <v>1.0764</v>
      </c>
    </row>
    <row r="9672" spans="1:2" x14ac:dyDescent="0.2">
      <c r="A9672" s="68">
        <v>35071</v>
      </c>
      <c r="B9672" s="69"/>
    </row>
    <row r="9673" spans="1:2" x14ac:dyDescent="0.2">
      <c r="A9673" s="68">
        <v>35070</v>
      </c>
      <c r="B9673" s="69"/>
    </row>
    <row r="9674" spans="1:2" x14ac:dyDescent="0.2">
      <c r="A9674" s="68">
        <v>35069</v>
      </c>
      <c r="B9674" s="69">
        <v>1.0764</v>
      </c>
    </row>
    <row r="9675" spans="1:2" x14ac:dyDescent="0.2">
      <c r="A9675" s="68">
        <v>35068</v>
      </c>
      <c r="B9675" s="69">
        <v>1.0762</v>
      </c>
    </row>
    <row r="9676" spans="1:2" x14ac:dyDescent="0.2">
      <c r="A9676" s="68">
        <v>35067</v>
      </c>
      <c r="B9676" s="69">
        <v>1.0760000000000001</v>
      </c>
    </row>
    <row r="9677" spans="1:2" x14ac:dyDescent="0.2">
      <c r="A9677" s="68">
        <v>35066</v>
      </c>
      <c r="B9677" s="69">
        <v>1.0755999999999999</v>
      </c>
    </row>
    <row r="9678" spans="1:2" x14ac:dyDescent="0.2">
      <c r="A9678" s="68">
        <v>35065</v>
      </c>
      <c r="B9678" s="69">
        <v>1.0758000000000001</v>
      </c>
    </row>
    <row r="9679" spans="1:2" x14ac:dyDescent="0.2">
      <c r="A9679" s="68">
        <v>35064</v>
      </c>
      <c r="B9679" s="69">
        <v>1.0758000000000001</v>
      </c>
    </row>
    <row r="9680" spans="1:2" x14ac:dyDescent="0.2">
      <c r="A9680" s="68">
        <v>35063</v>
      </c>
      <c r="B9680" s="69"/>
    </row>
    <row r="9681" spans="1:2" x14ac:dyDescent="0.2">
      <c r="A9681" s="68">
        <v>35062</v>
      </c>
      <c r="B9681" s="69">
        <v>1.0760000000000001</v>
      </c>
    </row>
    <row r="9682" spans="1:2" x14ac:dyDescent="0.2">
      <c r="A9682" s="68">
        <v>35061</v>
      </c>
      <c r="B9682" s="69">
        <v>1.0758000000000001</v>
      </c>
    </row>
    <row r="9683" spans="1:2" x14ac:dyDescent="0.2">
      <c r="A9683" s="68">
        <v>35060</v>
      </c>
      <c r="B9683" s="69">
        <v>1.0755999999999999</v>
      </c>
    </row>
    <row r="9684" spans="1:2" x14ac:dyDescent="0.2">
      <c r="A9684" s="68">
        <v>35059</v>
      </c>
      <c r="B9684" s="69">
        <v>1.0755999999999999</v>
      </c>
    </row>
    <row r="9685" spans="1:2" x14ac:dyDescent="0.2">
      <c r="A9685" s="68">
        <v>35058</v>
      </c>
      <c r="B9685" s="69">
        <v>1.0757000000000001</v>
      </c>
    </row>
    <row r="9686" spans="1:2" x14ac:dyDescent="0.2">
      <c r="A9686" s="68">
        <v>35057</v>
      </c>
      <c r="B9686" s="69"/>
    </row>
    <row r="9687" spans="1:2" x14ac:dyDescent="0.2">
      <c r="A9687" s="68">
        <v>35056</v>
      </c>
      <c r="B9687" s="69"/>
    </row>
    <row r="9688" spans="1:2" x14ac:dyDescent="0.2">
      <c r="A9688" s="68">
        <v>35055</v>
      </c>
      <c r="B9688" s="69">
        <v>1.0753999999999999</v>
      </c>
    </row>
    <row r="9689" spans="1:2" x14ac:dyDescent="0.2">
      <c r="A9689" s="68">
        <v>35054</v>
      </c>
      <c r="B9689" s="69">
        <v>1.0752999999999999</v>
      </c>
    </row>
    <row r="9690" spans="1:2" x14ac:dyDescent="0.2">
      <c r="A9690" s="68">
        <v>35053</v>
      </c>
      <c r="B9690" s="69">
        <v>1.0751999999999999</v>
      </c>
    </row>
    <row r="9691" spans="1:2" x14ac:dyDescent="0.2">
      <c r="A9691" s="68">
        <v>35052</v>
      </c>
      <c r="B9691" s="69">
        <v>1.0751999999999999</v>
      </c>
    </row>
    <row r="9692" spans="1:2" x14ac:dyDescent="0.2">
      <c r="A9692" s="68">
        <v>35051</v>
      </c>
      <c r="B9692" s="69">
        <v>1.0759000000000001</v>
      </c>
    </row>
    <row r="9693" spans="1:2" x14ac:dyDescent="0.2">
      <c r="A9693" s="68">
        <v>35050</v>
      </c>
      <c r="B9693" s="69"/>
    </row>
    <row r="9694" spans="1:2" x14ac:dyDescent="0.2">
      <c r="A9694" s="68">
        <v>35049</v>
      </c>
      <c r="B9694" s="69"/>
    </row>
    <row r="9695" spans="1:2" x14ac:dyDescent="0.2">
      <c r="A9695" s="68">
        <v>35048</v>
      </c>
      <c r="B9695" s="69">
        <v>1.0753999999999999</v>
      </c>
    </row>
    <row r="9696" spans="1:2" x14ac:dyDescent="0.2">
      <c r="A9696" s="68">
        <v>35047</v>
      </c>
      <c r="B9696" s="69">
        <v>1.0751999999999999</v>
      </c>
    </row>
    <row r="9697" spans="1:2" x14ac:dyDescent="0.2">
      <c r="A9697" s="68">
        <v>35046</v>
      </c>
      <c r="B9697" s="69">
        <v>1.0754999999999999</v>
      </c>
    </row>
    <row r="9698" spans="1:2" x14ac:dyDescent="0.2">
      <c r="A9698" s="68">
        <v>35045</v>
      </c>
      <c r="B9698" s="69">
        <v>1.0754999999999999</v>
      </c>
    </row>
    <row r="9699" spans="1:2" x14ac:dyDescent="0.2">
      <c r="A9699" s="68">
        <v>35044</v>
      </c>
      <c r="B9699" s="69">
        <v>1.0752999999999999</v>
      </c>
    </row>
    <row r="9700" spans="1:2" x14ac:dyDescent="0.2">
      <c r="A9700" s="68">
        <v>35043</v>
      </c>
      <c r="B9700" s="69"/>
    </row>
    <row r="9701" spans="1:2" x14ac:dyDescent="0.2">
      <c r="A9701" s="68">
        <v>35042</v>
      </c>
      <c r="B9701" s="69"/>
    </row>
    <row r="9702" spans="1:2" x14ac:dyDescent="0.2">
      <c r="A9702" s="68">
        <v>35041</v>
      </c>
      <c r="B9702" s="69">
        <v>1.0751999999999999</v>
      </c>
    </row>
    <row r="9703" spans="1:2" x14ac:dyDescent="0.2">
      <c r="A9703" s="68">
        <v>35040</v>
      </c>
      <c r="B9703" s="69">
        <v>1.0751999999999999</v>
      </c>
    </row>
    <row r="9704" spans="1:2" x14ac:dyDescent="0.2">
      <c r="A9704" s="68">
        <v>35039</v>
      </c>
      <c r="B9704" s="69">
        <v>1.0751999999999999</v>
      </c>
    </row>
    <row r="9705" spans="1:2" x14ac:dyDescent="0.2">
      <c r="A9705" s="68">
        <v>35038</v>
      </c>
      <c r="B9705" s="69">
        <v>1.0752999999999999</v>
      </c>
    </row>
    <row r="9706" spans="1:2" x14ac:dyDescent="0.2">
      <c r="A9706" s="68">
        <v>35037</v>
      </c>
      <c r="B9706" s="69">
        <v>1.0751999999999999</v>
      </c>
    </row>
    <row r="9707" spans="1:2" x14ac:dyDescent="0.2">
      <c r="A9707" s="68">
        <v>35036</v>
      </c>
      <c r="B9707" s="69"/>
    </row>
    <row r="9708" spans="1:2" x14ac:dyDescent="0.2">
      <c r="A9708" s="68">
        <v>35035</v>
      </c>
      <c r="B9708" s="69"/>
    </row>
    <row r="9709" spans="1:2" x14ac:dyDescent="0.2">
      <c r="A9709" s="68">
        <v>35034</v>
      </c>
      <c r="B9709" s="69">
        <v>1.0751999999999999</v>
      </c>
    </row>
    <row r="9710" spans="1:2" x14ac:dyDescent="0.2">
      <c r="A9710" s="68">
        <v>35033</v>
      </c>
      <c r="B9710" s="69">
        <v>1.0747</v>
      </c>
    </row>
    <row r="9711" spans="1:2" x14ac:dyDescent="0.2">
      <c r="A9711" s="68">
        <v>35032</v>
      </c>
      <c r="B9711" s="69">
        <v>1.0747</v>
      </c>
    </row>
    <row r="9712" spans="1:2" x14ac:dyDescent="0.2">
      <c r="A9712" s="68">
        <v>35031</v>
      </c>
      <c r="B9712" s="69">
        <v>1.0749</v>
      </c>
    </row>
    <row r="9713" spans="1:2" x14ac:dyDescent="0.2">
      <c r="A9713" s="68">
        <v>35030</v>
      </c>
      <c r="B9713" s="69">
        <v>1.0748</v>
      </c>
    </row>
    <row r="9714" spans="1:2" x14ac:dyDescent="0.2">
      <c r="A9714" s="68">
        <v>35029</v>
      </c>
      <c r="B9714" s="69"/>
    </row>
    <row r="9715" spans="1:2" x14ac:dyDescent="0.2">
      <c r="A9715" s="68">
        <v>35028</v>
      </c>
      <c r="B9715" s="69"/>
    </row>
    <row r="9716" spans="1:2" x14ac:dyDescent="0.2">
      <c r="A9716" s="68">
        <v>35027</v>
      </c>
      <c r="B9716" s="69">
        <v>1.075</v>
      </c>
    </row>
    <row r="9717" spans="1:2" x14ac:dyDescent="0.2">
      <c r="A9717" s="68">
        <v>35026</v>
      </c>
      <c r="B9717" s="69">
        <v>1.0750999999999999</v>
      </c>
    </row>
    <row r="9718" spans="1:2" x14ac:dyDescent="0.2">
      <c r="A9718" s="68">
        <v>35025</v>
      </c>
      <c r="B9718" s="69">
        <v>1.0752999999999999</v>
      </c>
    </row>
    <row r="9719" spans="1:2" x14ac:dyDescent="0.2">
      <c r="A9719" s="68">
        <v>35024</v>
      </c>
      <c r="B9719" s="69">
        <v>1.0753999999999999</v>
      </c>
    </row>
    <row r="9720" spans="1:2" x14ac:dyDescent="0.2">
      <c r="A9720" s="68">
        <v>35023</v>
      </c>
      <c r="B9720" s="69">
        <v>1.0752999999999999</v>
      </c>
    </row>
    <row r="9721" spans="1:2" x14ac:dyDescent="0.2">
      <c r="A9721" s="68">
        <v>35022</v>
      </c>
      <c r="B9721" s="69"/>
    </row>
    <row r="9722" spans="1:2" x14ac:dyDescent="0.2">
      <c r="A9722" s="68">
        <v>35021</v>
      </c>
      <c r="B9722" s="69"/>
    </row>
    <row r="9723" spans="1:2" x14ac:dyDescent="0.2">
      <c r="A9723" s="68">
        <v>35020</v>
      </c>
      <c r="B9723" s="69">
        <v>1.0752999999999999</v>
      </c>
    </row>
    <row r="9724" spans="1:2" x14ac:dyDescent="0.2">
      <c r="A9724" s="68">
        <v>35019</v>
      </c>
      <c r="B9724" s="69">
        <v>1.0749</v>
      </c>
    </row>
    <row r="9725" spans="1:2" x14ac:dyDescent="0.2">
      <c r="A9725" s="68">
        <v>35018</v>
      </c>
      <c r="B9725" s="69">
        <v>1.0751999999999999</v>
      </c>
    </row>
    <row r="9726" spans="1:2" x14ac:dyDescent="0.2">
      <c r="A9726" s="68">
        <v>35017</v>
      </c>
      <c r="B9726" s="69">
        <v>1.075</v>
      </c>
    </row>
    <row r="9727" spans="1:2" x14ac:dyDescent="0.2">
      <c r="A9727" s="68">
        <v>35016</v>
      </c>
      <c r="B9727" s="69">
        <v>1.0751999999999999</v>
      </c>
    </row>
    <row r="9728" spans="1:2" x14ac:dyDescent="0.2">
      <c r="A9728" s="68">
        <v>35015</v>
      </c>
      <c r="B9728" s="69"/>
    </row>
    <row r="9729" spans="1:2" x14ac:dyDescent="0.2">
      <c r="A9729" s="68">
        <v>35014</v>
      </c>
      <c r="B9729" s="69"/>
    </row>
    <row r="9730" spans="1:2" x14ac:dyDescent="0.2">
      <c r="A9730" s="68">
        <v>35013</v>
      </c>
      <c r="B9730" s="69">
        <v>1.0753999999999999</v>
      </c>
    </row>
    <row r="9731" spans="1:2" x14ac:dyDescent="0.2">
      <c r="A9731" s="68">
        <v>35012</v>
      </c>
      <c r="B9731" s="69">
        <v>1.0751999999999999</v>
      </c>
    </row>
    <row r="9732" spans="1:2" x14ac:dyDescent="0.2">
      <c r="A9732" s="68">
        <v>35011</v>
      </c>
      <c r="B9732" s="69">
        <v>1.0753999999999999</v>
      </c>
    </row>
    <row r="9733" spans="1:2" x14ac:dyDescent="0.2">
      <c r="A9733" s="68">
        <v>35010</v>
      </c>
      <c r="B9733" s="69">
        <v>1.0751999999999999</v>
      </c>
    </row>
    <row r="9734" spans="1:2" x14ac:dyDescent="0.2">
      <c r="A9734" s="68">
        <v>35009</v>
      </c>
      <c r="B9734" s="69">
        <v>1.0754999999999999</v>
      </c>
    </row>
    <row r="9735" spans="1:2" x14ac:dyDescent="0.2">
      <c r="A9735" s="68">
        <v>35008</v>
      </c>
      <c r="B9735" s="69"/>
    </row>
    <row r="9736" spans="1:2" x14ac:dyDescent="0.2">
      <c r="A9736" s="68">
        <v>35007</v>
      </c>
      <c r="B9736" s="69"/>
    </row>
    <row r="9737" spans="1:2" x14ac:dyDescent="0.2">
      <c r="A9737" s="68">
        <v>35006</v>
      </c>
      <c r="B9737" s="69">
        <v>1.0753999999999999</v>
      </c>
    </row>
    <row r="9738" spans="1:2" x14ac:dyDescent="0.2">
      <c r="A9738" s="68">
        <v>35005</v>
      </c>
      <c r="B9738" s="69">
        <v>1.075</v>
      </c>
    </row>
    <row r="9739" spans="1:2" x14ac:dyDescent="0.2">
      <c r="A9739" s="68">
        <v>35004</v>
      </c>
      <c r="B9739" s="69">
        <v>1.0754999999999999</v>
      </c>
    </row>
    <row r="9740" spans="1:2" x14ac:dyDescent="0.2">
      <c r="A9740" s="68">
        <v>35003</v>
      </c>
      <c r="B9740" s="69">
        <v>1.0754999999999999</v>
      </c>
    </row>
    <row r="9741" spans="1:2" x14ac:dyDescent="0.2">
      <c r="A9741" s="68">
        <v>35002</v>
      </c>
      <c r="B9741" s="69">
        <v>1.0754999999999999</v>
      </c>
    </row>
    <row r="9742" spans="1:2" x14ac:dyDescent="0.2">
      <c r="A9742" s="68">
        <v>35001</v>
      </c>
      <c r="B9742" s="69"/>
    </row>
    <row r="9743" spans="1:2" x14ac:dyDescent="0.2">
      <c r="A9743" s="68">
        <v>35000</v>
      </c>
      <c r="B9743" s="69"/>
    </row>
    <row r="9744" spans="1:2" x14ac:dyDescent="0.2">
      <c r="A9744" s="68">
        <v>34999</v>
      </c>
      <c r="B9744" s="69">
        <v>1.0753999999999999</v>
      </c>
    </row>
    <row r="9745" spans="1:2" x14ac:dyDescent="0.2">
      <c r="A9745" s="68">
        <v>34998</v>
      </c>
      <c r="B9745" s="69">
        <v>1.0752999999999999</v>
      </c>
    </row>
    <row r="9746" spans="1:2" x14ac:dyDescent="0.2">
      <c r="A9746" s="68">
        <v>34997</v>
      </c>
      <c r="B9746" s="69">
        <v>1.0753999999999999</v>
      </c>
    </row>
    <row r="9747" spans="1:2" x14ac:dyDescent="0.2">
      <c r="A9747" s="68">
        <v>34996</v>
      </c>
      <c r="B9747" s="69">
        <v>1.0753999999999999</v>
      </c>
    </row>
    <row r="9748" spans="1:2" x14ac:dyDescent="0.2">
      <c r="A9748" s="68">
        <v>34995</v>
      </c>
      <c r="B9748" s="69">
        <v>1.0754999999999999</v>
      </c>
    </row>
    <row r="9749" spans="1:2" x14ac:dyDescent="0.2">
      <c r="A9749" s="68">
        <v>34994</v>
      </c>
      <c r="B9749" s="69"/>
    </row>
    <row r="9750" spans="1:2" x14ac:dyDescent="0.2">
      <c r="A9750" s="68">
        <v>34993</v>
      </c>
      <c r="B9750" s="69"/>
    </row>
    <row r="9751" spans="1:2" x14ac:dyDescent="0.2">
      <c r="A9751" s="68">
        <v>34992</v>
      </c>
      <c r="B9751" s="69">
        <v>1.0753999999999999</v>
      </c>
    </row>
    <row r="9752" spans="1:2" x14ac:dyDescent="0.2">
      <c r="A9752" s="68">
        <v>34991</v>
      </c>
      <c r="B9752" s="69">
        <v>1.0754999999999999</v>
      </c>
    </row>
    <row r="9753" spans="1:2" x14ac:dyDescent="0.2">
      <c r="A9753" s="68">
        <v>34990</v>
      </c>
      <c r="B9753" s="69">
        <v>1.0757000000000001</v>
      </c>
    </row>
    <row r="9754" spans="1:2" x14ac:dyDescent="0.2">
      <c r="A9754" s="68">
        <v>34989</v>
      </c>
      <c r="B9754" s="69">
        <v>1.0758000000000001</v>
      </c>
    </row>
    <row r="9755" spans="1:2" x14ac:dyDescent="0.2">
      <c r="A9755" s="68">
        <v>34988</v>
      </c>
      <c r="B9755" s="69">
        <v>1.0757000000000001</v>
      </c>
    </row>
    <row r="9756" spans="1:2" x14ac:dyDescent="0.2">
      <c r="A9756" s="68">
        <v>34987</v>
      </c>
      <c r="B9756" s="69"/>
    </row>
    <row r="9757" spans="1:2" x14ac:dyDescent="0.2">
      <c r="A9757" s="68">
        <v>34986</v>
      </c>
      <c r="B9757" s="69"/>
    </row>
    <row r="9758" spans="1:2" x14ac:dyDescent="0.2">
      <c r="A9758" s="68">
        <v>34985</v>
      </c>
      <c r="B9758" s="69">
        <v>1.0757000000000001</v>
      </c>
    </row>
    <row r="9759" spans="1:2" x14ac:dyDescent="0.2">
      <c r="A9759" s="68">
        <v>34984</v>
      </c>
      <c r="B9759" s="69">
        <v>1.0757000000000001</v>
      </c>
    </row>
    <row r="9760" spans="1:2" x14ac:dyDescent="0.2">
      <c r="A9760" s="68">
        <v>34983</v>
      </c>
      <c r="B9760" s="69">
        <v>1.0759000000000001</v>
      </c>
    </row>
    <row r="9761" spans="1:2" x14ac:dyDescent="0.2">
      <c r="A9761" s="68">
        <v>34982</v>
      </c>
      <c r="B9761" s="69">
        <v>1.0754999999999999</v>
      </c>
    </row>
    <row r="9762" spans="1:2" x14ac:dyDescent="0.2">
      <c r="A9762" s="68">
        <v>34981</v>
      </c>
      <c r="B9762" s="69">
        <v>1.0764</v>
      </c>
    </row>
    <row r="9763" spans="1:2" x14ac:dyDescent="0.2">
      <c r="A9763" s="68">
        <v>34980</v>
      </c>
      <c r="B9763" s="69"/>
    </row>
    <row r="9764" spans="1:2" x14ac:dyDescent="0.2">
      <c r="A9764" s="68">
        <v>34979</v>
      </c>
      <c r="B9764" s="69"/>
    </row>
    <row r="9765" spans="1:2" x14ac:dyDescent="0.2">
      <c r="A9765" s="68">
        <v>34978</v>
      </c>
      <c r="B9765" s="69">
        <v>1.0761000000000001</v>
      </c>
    </row>
    <row r="9766" spans="1:2" x14ac:dyDescent="0.2">
      <c r="A9766" s="68">
        <v>34977</v>
      </c>
      <c r="B9766" s="69">
        <v>1.0760000000000001</v>
      </c>
    </row>
    <row r="9767" spans="1:2" x14ac:dyDescent="0.2">
      <c r="A9767" s="68">
        <v>34976</v>
      </c>
      <c r="B9767" s="69">
        <v>1.0764</v>
      </c>
    </row>
    <row r="9768" spans="1:2" x14ac:dyDescent="0.2">
      <c r="A9768" s="68">
        <v>34975</v>
      </c>
      <c r="B9768" s="69"/>
    </row>
    <row r="9769" spans="1:2" x14ac:dyDescent="0.2">
      <c r="A9769" s="68">
        <v>34974</v>
      </c>
      <c r="B9769" s="69"/>
    </row>
    <row r="9770" spans="1:2" x14ac:dyDescent="0.2">
      <c r="A9770" s="68">
        <v>34973</v>
      </c>
      <c r="B9770" s="69"/>
    </row>
    <row r="9771" spans="1:2" x14ac:dyDescent="0.2">
      <c r="A9771" s="68">
        <v>34972</v>
      </c>
      <c r="B9771" s="69"/>
    </row>
    <row r="9772" spans="1:2" x14ac:dyDescent="0.2">
      <c r="A9772" s="68">
        <v>34971</v>
      </c>
      <c r="B9772" s="69">
        <v>1.0761000000000001</v>
      </c>
    </row>
    <row r="9773" spans="1:2" x14ac:dyDescent="0.2">
      <c r="A9773" s="68">
        <v>34970</v>
      </c>
      <c r="B9773" s="69">
        <v>1.0769</v>
      </c>
    </row>
    <row r="9774" spans="1:2" x14ac:dyDescent="0.2">
      <c r="A9774" s="68">
        <v>34969</v>
      </c>
      <c r="B9774" s="69">
        <v>1.0763</v>
      </c>
    </row>
    <row r="9775" spans="1:2" x14ac:dyDescent="0.2">
      <c r="A9775" s="68">
        <v>34968</v>
      </c>
      <c r="B9775" s="69">
        <v>1.0764</v>
      </c>
    </row>
    <row r="9776" spans="1:2" x14ac:dyDescent="0.2">
      <c r="A9776" s="68">
        <v>34967</v>
      </c>
      <c r="B9776" s="69">
        <v>1.0759000000000001</v>
      </c>
    </row>
    <row r="9777" spans="1:2" x14ac:dyDescent="0.2">
      <c r="A9777" s="68">
        <v>34966</v>
      </c>
      <c r="B9777" s="69"/>
    </row>
    <row r="9778" spans="1:2" x14ac:dyDescent="0.2">
      <c r="A9778" s="68">
        <v>34965</v>
      </c>
      <c r="B9778" s="69"/>
    </row>
    <row r="9779" spans="1:2" x14ac:dyDescent="0.2">
      <c r="A9779" s="68">
        <v>34964</v>
      </c>
      <c r="B9779" s="69">
        <v>1.0749</v>
      </c>
    </row>
    <row r="9780" spans="1:2" x14ac:dyDescent="0.2">
      <c r="A9780" s="68">
        <v>34963</v>
      </c>
      <c r="B9780" s="69">
        <v>1.0750999999999999</v>
      </c>
    </row>
    <row r="9781" spans="1:2" x14ac:dyDescent="0.2">
      <c r="A9781" s="68">
        <v>34962</v>
      </c>
      <c r="B9781" s="69">
        <v>1.075</v>
      </c>
    </row>
    <row r="9782" spans="1:2" x14ac:dyDescent="0.2">
      <c r="A9782" s="68">
        <v>34961</v>
      </c>
      <c r="B9782" s="69">
        <v>1.0750999999999999</v>
      </c>
    </row>
    <row r="9783" spans="1:2" x14ac:dyDescent="0.2">
      <c r="A9783" s="68">
        <v>34960</v>
      </c>
      <c r="B9783" s="69">
        <v>1.0749</v>
      </c>
    </row>
    <row r="9784" spans="1:2" x14ac:dyDescent="0.2">
      <c r="A9784" s="68">
        <v>34959</v>
      </c>
      <c r="B9784" s="69"/>
    </row>
    <row r="9785" spans="1:2" x14ac:dyDescent="0.2">
      <c r="A9785" s="68">
        <v>34958</v>
      </c>
      <c r="B9785" s="69"/>
    </row>
    <row r="9786" spans="1:2" x14ac:dyDescent="0.2">
      <c r="A9786" s="68">
        <v>34957</v>
      </c>
      <c r="B9786" s="69">
        <v>1.0749</v>
      </c>
    </row>
    <row r="9787" spans="1:2" x14ac:dyDescent="0.2">
      <c r="A9787" s="68">
        <v>34956</v>
      </c>
      <c r="B9787" s="69">
        <v>1.0745</v>
      </c>
    </row>
    <row r="9788" spans="1:2" x14ac:dyDescent="0.2">
      <c r="A9788" s="68">
        <v>34955</v>
      </c>
      <c r="B9788" s="69">
        <v>1.0741000000000001</v>
      </c>
    </row>
    <row r="9789" spans="1:2" x14ac:dyDescent="0.2">
      <c r="A9789" s="68">
        <v>34954</v>
      </c>
      <c r="B9789" s="69">
        <v>1.0746</v>
      </c>
    </row>
    <row r="9790" spans="1:2" x14ac:dyDescent="0.2">
      <c r="A9790" s="68">
        <v>34953</v>
      </c>
      <c r="B9790" s="69">
        <v>1.0738000000000001</v>
      </c>
    </row>
    <row r="9791" spans="1:2" x14ac:dyDescent="0.2">
      <c r="A9791" s="68">
        <v>34952</v>
      </c>
      <c r="B9791" s="69"/>
    </row>
    <row r="9792" spans="1:2" x14ac:dyDescent="0.2">
      <c r="A9792" s="68">
        <v>34951</v>
      </c>
      <c r="B9792" s="69"/>
    </row>
    <row r="9793" spans="1:2" x14ac:dyDescent="0.2">
      <c r="A9793" s="68">
        <v>34950</v>
      </c>
      <c r="B9793" s="69">
        <v>1.0733999999999999</v>
      </c>
    </row>
    <row r="9794" spans="1:2" x14ac:dyDescent="0.2">
      <c r="A9794" s="68">
        <v>34949</v>
      </c>
      <c r="B9794" s="69">
        <v>1.0736000000000001</v>
      </c>
    </row>
    <row r="9795" spans="1:2" x14ac:dyDescent="0.2">
      <c r="A9795" s="68">
        <v>34948</v>
      </c>
      <c r="B9795" s="69">
        <v>1.0739000000000001</v>
      </c>
    </row>
    <row r="9796" spans="1:2" x14ac:dyDescent="0.2">
      <c r="A9796" s="68">
        <v>34947</v>
      </c>
      <c r="B9796" s="69">
        <v>1.0744</v>
      </c>
    </row>
    <row r="9797" spans="1:2" x14ac:dyDescent="0.2">
      <c r="A9797" s="68">
        <v>34946</v>
      </c>
      <c r="B9797" s="69">
        <v>1.0744</v>
      </c>
    </row>
    <row r="9798" spans="1:2" x14ac:dyDescent="0.2">
      <c r="A9798" s="68">
        <v>34945</v>
      </c>
      <c r="B9798" s="69"/>
    </row>
    <row r="9799" spans="1:2" x14ac:dyDescent="0.2">
      <c r="A9799" s="68">
        <v>34944</v>
      </c>
      <c r="B9799" s="69"/>
    </row>
    <row r="9800" spans="1:2" x14ac:dyDescent="0.2">
      <c r="A9800" s="68">
        <v>34943</v>
      </c>
      <c r="B9800" s="69">
        <v>1.0742</v>
      </c>
    </row>
    <row r="9801" spans="1:2" x14ac:dyDescent="0.2">
      <c r="A9801" s="68">
        <v>34942</v>
      </c>
      <c r="B9801" s="69">
        <v>1.0740000000000001</v>
      </c>
    </row>
    <row r="9802" spans="1:2" x14ac:dyDescent="0.2">
      <c r="A9802" s="68">
        <v>34941</v>
      </c>
      <c r="B9802" s="69">
        <v>1.0736000000000001</v>
      </c>
    </row>
    <row r="9803" spans="1:2" x14ac:dyDescent="0.2">
      <c r="A9803" s="68">
        <v>34940</v>
      </c>
      <c r="B9803" s="69">
        <v>1.0734999999999999</v>
      </c>
    </row>
    <row r="9804" spans="1:2" x14ac:dyDescent="0.2">
      <c r="A9804" s="68">
        <v>34939</v>
      </c>
      <c r="B9804" s="69">
        <v>1.0730999999999999</v>
      </c>
    </row>
    <row r="9805" spans="1:2" x14ac:dyDescent="0.2">
      <c r="A9805" s="68">
        <v>34938</v>
      </c>
      <c r="B9805" s="69"/>
    </row>
    <row r="9806" spans="1:2" x14ac:dyDescent="0.2">
      <c r="A9806" s="68">
        <v>34937</v>
      </c>
      <c r="B9806" s="69"/>
    </row>
    <row r="9807" spans="1:2" x14ac:dyDescent="0.2">
      <c r="A9807" s="68">
        <v>34936</v>
      </c>
      <c r="B9807" s="69">
        <v>1.0730999999999999</v>
      </c>
    </row>
    <row r="9808" spans="1:2" x14ac:dyDescent="0.2">
      <c r="A9808" s="68">
        <v>34935</v>
      </c>
      <c r="B9808" s="69">
        <v>1.0729</v>
      </c>
    </row>
    <row r="9809" spans="1:2" x14ac:dyDescent="0.2">
      <c r="A9809" s="68">
        <v>34934</v>
      </c>
      <c r="B9809" s="69">
        <v>1.0729</v>
      </c>
    </row>
    <row r="9810" spans="1:2" x14ac:dyDescent="0.2">
      <c r="A9810" s="68">
        <v>34933</v>
      </c>
      <c r="B9810" s="69">
        <v>1.073</v>
      </c>
    </row>
    <row r="9811" spans="1:2" x14ac:dyDescent="0.2">
      <c r="A9811" s="68">
        <v>34932</v>
      </c>
      <c r="B9811" s="69">
        <v>1.0730999999999999</v>
      </c>
    </row>
    <row r="9812" spans="1:2" x14ac:dyDescent="0.2">
      <c r="A9812" s="68">
        <v>34931</v>
      </c>
      <c r="B9812" s="69"/>
    </row>
    <row r="9813" spans="1:2" x14ac:dyDescent="0.2">
      <c r="A9813" s="68">
        <v>34930</v>
      </c>
      <c r="B9813" s="69"/>
    </row>
    <row r="9814" spans="1:2" x14ac:dyDescent="0.2">
      <c r="A9814" s="68">
        <v>34929</v>
      </c>
      <c r="B9814" s="69">
        <v>1.0728</v>
      </c>
    </row>
    <row r="9815" spans="1:2" x14ac:dyDescent="0.2">
      <c r="A9815" s="68">
        <v>34928</v>
      </c>
      <c r="B9815" s="69">
        <v>1.0724</v>
      </c>
    </row>
    <row r="9816" spans="1:2" x14ac:dyDescent="0.2">
      <c r="A9816" s="68">
        <v>34927</v>
      </c>
      <c r="B9816" s="69">
        <v>1.0724</v>
      </c>
    </row>
    <row r="9817" spans="1:2" x14ac:dyDescent="0.2">
      <c r="A9817" s="68">
        <v>34926</v>
      </c>
      <c r="B9817" s="69">
        <v>1.0723</v>
      </c>
    </row>
    <row r="9818" spans="1:2" x14ac:dyDescent="0.2">
      <c r="A9818" s="68">
        <v>34925</v>
      </c>
      <c r="B9818" s="69">
        <v>1.0717000000000001</v>
      </c>
    </row>
    <row r="9819" spans="1:2" x14ac:dyDescent="0.2">
      <c r="A9819" s="68">
        <v>34924</v>
      </c>
      <c r="B9819" s="69"/>
    </row>
    <row r="9820" spans="1:2" x14ac:dyDescent="0.2">
      <c r="A9820" s="68">
        <v>34923</v>
      </c>
      <c r="B9820" s="69"/>
    </row>
    <row r="9821" spans="1:2" x14ac:dyDescent="0.2">
      <c r="A9821" s="68">
        <v>34922</v>
      </c>
      <c r="B9821" s="69">
        <v>1.0719000000000001</v>
      </c>
    </row>
    <row r="9822" spans="1:2" x14ac:dyDescent="0.2">
      <c r="A9822" s="68">
        <v>34921</v>
      </c>
      <c r="B9822" s="69">
        <v>1.0719000000000001</v>
      </c>
    </row>
    <row r="9823" spans="1:2" x14ac:dyDescent="0.2">
      <c r="A9823" s="68">
        <v>34920</v>
      </c>
      <c r="B9823" s="69">
        <v>1.0717000000000001</v>
      </c>
    </row>
    <row r="9824" spans="1:2" x14ac:dyDescent="0.2">
      <c r="A9824" s="68">
        <v>34919</v>
      </c>
      <c r="B9824" s="69">
        <v>1.0717000000000001</v>
      </c>
    </row>
    <row r="9825" spans="1:2" x14ac:dyDescent="0.2">
      <c r="A9825" s="68">
        <v>34918</v>
      </c>
      <c r="B9825" s="69">
        <v>1.0718000000000001</v>
      </c>
    </row>
    <row r="9826" spans="1:2" x14ac:dyDescent="0.2">
      <c r="A9826" s="68">
        <v>34917</v>
      </c>
      <c r="B9826" s="69"/>
    </row>
    <row r="9827" spans="1:2" x14ac:dyDescent="0.2">
      <c r="A9827" s="68">
        <v>34916</v>
      </c>
      <c r="B9827" s="69"/>
    </row>
    <row r="9828" spans="1:2" x14ac:dyDescent="0.2">
      <c r="A9828" s="68">
        <v>34915</v>
      </c>
      <c r="B9828" s="69">
        <v>1.0719000000000001</v>
      </c>
    </row>
    <row r="9829" spans="1:2" x14ac:dyDescent="0.2">
      <c r="A9829" s="68">
        <v>34914</v>
      </c>
      <c r="B9829" s="69">
        <v>1.0714999999999999</v>
      </c>
    </row>
    <row r="9830" spans="1:2" x14ac:dyDescent="0.2">
      <c r="A9830" s="68">
        <v>34913</v>
      </c>
      <c r="B9830" s="69">
        <v>1.0718000000000001</v>
      </c>
    </row>
    <row r="9831" spans="1:2" x14ac:dyDescent="0.2">
      <c r="A9831" s="68">
        <v>34912</v>
      </c>
      <c r="B9831" s="69">
        <v>1.0717000000000001</v>
      </c>
    </row>
    <row r="9832" spans="1:2" x14ac:dyDescent="0.2">
      <c r="A9832" s="68">
        <v>34911</v>
      </c>
      <c r="B9832" s="69">
        <v>1.0714999999999999</v>
      </c>
    </row>
    <row r="9833" spans="1:2" x14ac:dyDescent="0.2">
      <c r="A9833" s="68">
        <v>34910</v>
      </c>
      <c r="B9833" s="69"/>
    </row>
    <row r="9834" spans="1:2" x14ac:dyDescent="0.2">
      <c r="A9834" s="68">
        <v>34909</v>
      </c>
      <c r="B9834" s="69"/>
    </row>
    <row r="9835" spans="1:2" x14ac:dyDescent="0.2">
      <c r="A9835" s="68">
        <v>34908</v>
      </c>
      <c r="B9835" s="69">
        <v>1.0718000000000001</v>
      </c>
    </row>
    <row r="9836" spans="1:2" x14ac:dyDescent="0.2">
      <c r="A9836" s="68">
        <v>34907</v>
      </c>
      <c r="B9836" s="69">
        <v>1.0713999999999999</v>
      </c>
    </row>
    <row r="9837" spans="1:2" x14ac:dyDescent="0.2">
      <c r="A9837" s="68">
        <v>34906</v>
      </c>
      <c r="B9837" s="69">
        <v>1.0713999999999999</v>
      </c>
    </row>
    <row r="9838" spans="1:2" x14ac:dyDescent="0.2">
      <c r="A9838" s="68">
        <v>34905</v>
      </c>
      <c r="B9838" s="69">
        <v>1.0716000000000001</v>
      </c>
    </row>
    <row r="9839" spans="1:2" x14ac:dyDescent="0.2">
      <c r="A9839" s="68">
        <v>34904</v>
      </c>
      <c r="B9839" s="69">
        <v>1.0713999999999999</v>
      </c>
    </row>
    <row r="9840" spans="1:2" x14ac:dyDescent="0.2">
      <c r="A9840" s="68">
        <v>34903</v>
      </c>
      <c r="B9840" s="69"/>
    </row>
    <row r="9841" spans="1:2" x14ac:dyDescent="0.2">
      <c r="A9841" s="68">
        <v>34902</v>
      </c>
      <c r="B9841" s="69"/>
    </row>
    <row r="9842" spans="1:2" x14ac:dyDescent="0.2">
      <c r="A9842" s="68">
        <v>34901</v>
      </c>
      <c r="B9842" s="69">
        <v>1.0713999999999999</v>
      </c>
    </row>
    <row r="9843" spans="1:2" x14ac:dyDescent="0.2">
      <c r="A9843" s="68">
        <v>34900</v>
      </c>
      <c r="B9843" s="69">
        <v>1.0716000000000001</v>
      </c>
    </row>
    <row r="9844" spans="1:2" x14ac:dyDescent="0.2">
      <c r="A9844" s="68">
        <v>34899</v>
      </c>
      <c r="B9844" s="69">
        <v>1.0717000000000001</v>
      </c>
    </row>
    <row r="9845" spans="1:2" x14ac:dyDescent="0.2">
      <c r="A9845" s="68">
        <v>34898</v>
      </c>
      <c r="B9845" s="69">
        <v>1.0713999999999999</v>
      </c>
    </row>
    <row r="9846" spans="1:2" x14ac:dyDescent="0.2">
      <c r="A9846" s="68">
        <v>34897</v>
      </c>
      <c r="B9846" s="69">
        <v>1.0720000000000001</v>
      </c>
    </row>
    <row r="9847" spans="1:2" x14ac:dyDescent="0.2">
      <c r="A9847" s="68">
        <v>34896</v>
      </c>
      <c r="B9847" s="69"/>
    </row>
    <row r="9848" spans="1:2" x14ac:dyDescent="0.2">
      <c r="A9848" s="68">
        <v>34895</v>
      </c>
      <c r="B9848" s="69"/>
    </row>
    <row r="9849" spans="1:2" x14ac:dyDescent="0.2">
      <c r="A9849" s="68">
        <v>34894</v>
      </c>
      <c r="B9849" s="69">
        <v>1.0711999999999999</v>
      </c>
    </row>
    <row r="9850" spans="1:2" x14ac:dyDescent="0.2">
      <c r="A9850" s="68">
        <v>34893</v>
      </c>
      <c r="B9850" s="69">
        <v>1.0721000000000001</v>
      </c>
    </row>
    <row r="9851" spans="1:2" x14ac:dyDescent="0.2">
      <c r="A9851" s="68">
        <v>34892</v>
      </c>
      <c r="B9851" s="69">
        <v>1.0724</v>
      </c>
    </row>
    <row r="9852" spans="1:2" x14ac:dyDescent="0.2">
      <c r="A9852" s="68">
        <v>34891</v>
      </c>
      <c r="B9852" s="69">
        <v>1.0736000000000001</v>
      </c>
    </row>
    <row r="9853" spans="1:2" x14ac:dyDescent="0.2">
      <c r="A9853" s="68">
        <v>34890</v>
      </c>
      <c r="B9853" s="69">
        <v>1.0734999999999999</v>
      </c>
    </row>
    <row r="9854" spans="1:2" x14ac:dyDescent="0.2">
      <c r="A9854" s="68">
        <v>34889</v>
      </c>
      <c r="B9854" s="69"/>
    </row>
    <row r="9855" spans="1:2" x14ac:dyDescent="0.2">
      <c r="A9855" s="68">
        <v>34888</v>
      </c>
      <c r="B9855" s="69"/>
    </row>
    <row r="9856" spans="1:2" x14ac:dyDescent="0.2">
      <c r="A9856" s="68">
        <v>34887</v>
      </c>
      <c r="B9856" s="69">
        <v>1.0733999999999999</v>
      </c>
    </row>
    <row r="9857" spans="1:2" x14ac:dyDescent="0.2">
      <c r="A9857" s="68">
        <v>34886</v>
      </c>
      <c r="B9857" s="69">
        <v>1.0737000000000001</v>
      </c>
    </row>
    <row r="9858" spans="1:2" x14ac:dyDescent="0.2">
      <c r="A9858" s="68">
        <v>34885</v>
      </c>
      <c r="B9858" s="69">
        <v>1.0733999999999999</v>
      </c>
    </row>
    <row r="9859" spans="1:2" x14ac:dyDescent="0.2">
      <c r="A9859" s="68">
        <v>34884</v>
      </c>
      <c r="B9859" s="69">
        <v>1.0720000000000001</v>
      </c>
    </row>
    <row r="9860" spans="1:2" x14ac:dyDescent="0.2">
      <c r="A9860" s="68">
        <v>34883</v>
      </c>
      <c r="B9860" s="69">
        <v>1.0725</v>
      </c>
    </row>
    <row r="9861" spans="1:2" x14ac:dyDescent="0.2">
      <c r="A9861" s="68">
        <v>34882</v>
      </c>
      <c r="B9861" s="69"/>
    </row>
    <row r="9862" spans="1:2" x14ac:dyDescent="0.2">
      <c r="A9862" s="68">
        <v>34881</v>
      </c>
      <c r="B9862" s="69"/>
    </row>
    <row r="9863" spans="1:2" x14ac:dyDescent="0.2">
      <c r="A9863" s="68">
        <v>34880</v>
      </c>
      <c r="B9863" s="69">
        <v>1.073</v>
      </c>
    </row>
    <row r="9864" spans="1:2" x14ac:dyDescent="0.2">
      <c r="A9864" s="68">
        <v>34879</v>
      </c>
      <c r="B9864" s="69">
        <v>1.0721000000000001</v>
      </c>
    </row>
    <row r="9865" spans="1:2" x14ac:dyDescent="0.2">
      <c r="A9865" s="68">
        <v>34878</v>
      </c>
      <c r="B9865" s="69">
        <v>1.073</v>
      </c>
    </row>
    <row r="9866" spans="1:2" x14ac:dyDescent="0.2">
      <c r="A9866" s="68">
        <v>34877</v>
      </c>
      <c r="B9866" s="69">
        <v>1.0733999999999999</v>
      </c>
    </row>
    <row r="9867" spans="1:2" x14ac:dyDescent="0.2">
      <c r="A9867" s="68">
        <v>34876</v>
      </c>
      <c r="B9867" s="69">
        <v>1.0731999999999999</v>
      </c>
    </row>
    <row r="9868" spans="1:2" x14ac:dyDescent="0.2">
      <c r="A9868" s="68">
        <v>34875</v>
      </c>
      <c r="B9868" s="69"/>
    </row>
    <row r="9869" spans="1:2" x14ac:dyDescent="0.2">
      <c r="A9869" s="68">
        <v>34874</v>
      </c>
      <c r="B9869" s="69"/>
    </row>
    <row r="9870" spans="1:2" x14ac:dyDescent="0.2">
      <c r="A9870" s="68">
        <v>34873</v>
      </c>
      <c r="B9870" s="69">
        <v>1.0739000000000001</v>
      </c>
    </row>
    <row r="9871" spans="1:2" x14ac:dyDescent="0.2">
      <c r="A9871" s="68">
        <v>34872</v>
      </c>
      <c r="B9871" s="69">
        <v>1.0737000000000001</v>
      </c>
    </row>
    <row r="9872" spans="1:2" x14ac:dyDescent="0.2">
      <c r="A9872" s="68">
        <v>34871</v>
      </c>
      <c r="B9872" s="69">
        <v>1.0738000000000001</v>
      </c>
    </row>
    <row r="9873" spans="1:2" x14ac:dyDescent="0.2">
      <c r="A9873" s="68">
        <v>34870</v>
      </c>
      <c r="B9873" s="69">
        <v>1.0738000000000001</v>
      </c>
    </row>
    <row r="9874" spans="1:2" x14ac:dyDescent="0.2">
      <c r="A9874" s="68">
        <v>34869</v>
      </c>
      <c r="B9874" s="69">
        <v>1.0740000000000001</v>
      </c>
    </row>
    <row r="9875" spans="1:2" x14ac:dyDescent="0.2">
      <c r="A9875" s="68">
        <v>34868</v>
      </c>
      <c r="B9875" s="69"/>
    </row>
    <row r="9876" spans="1:2" x14ac:dyDescent="0.2">
      <c r="A9876" s="68">
        <v>34867</v>
      </c>
      <c r="B9876" s="69"/>
    </row>
    <row r="9877" spans="1:2" x14ac:dyDescent="0.2">
      <c r="A9877" s="68">
        <v>34866</v>
      </c>
      <c r="B9877" s="69">
        <v>1.0741000000000001</v>
      </c>
    </row>
    <row r="9878" spans="1:2" x14ac:dyDescent="0.2">
      <c r="A9878" s="68">
        <v>34865</v>
      </c>
      <c r="B9878" s="69">
        <v>1.0738000000000001</v>
      </c>
    </row>
    <row r="9879" spans="1:2" x14ac:dyDescent="0.2">
      <c r="A9879" s="68">
        <v>34864</v>
      </c>
      <c r="B9879" s="69">
        <v>1.0734999999999999</v>
      </c>
    </row>
    <row r="9880" spans="1:2" x14ac:dyDescent="0.2">
      <c r="A9880" s="68">
        <v>34863</v>
      </c>
      <c r="B9880" s="69">
        <v>1.0734999999999999</v>
      </c>
    </row>
    <row r="9881" spans="1:2" x14ac:dyDescent="0.2">
      <c r="A9881" s="68">
        <v>34862</v>
      </c>
      <c r="B9881" s="69">
        <v>1.0732999999999999</v>
      </c>
    </row>
    <row r="9882" spans="1:2" x14ac:dyDescent="0.2">
      <c r="A9882" s="68">
        <v>34861</v>
      </c>
      <c r="B9882" s="69"/>
    </row>
    <row r="9883" spans="1:2" x14ac:dyDescent="0.2">
      <c r="A9883" s="68">
        <v>34860</v>
      </c>
      <c r="B9883" s="69"/>
    </row>
    <row r="9884" spans="1:2" x14ac:dyDescent="0.2">
      <c r="A9884" s="68">
        <v>34859</v>
      </c>
      <c r="B9884" s="69">
        <v>1.0729</v>
      </c>
    </row>
    <row r="9885" spans="1:2" x14ac:dyDescent="0.2">
      <c r="A9885" s="68">
        <v>34858</v>
      </c>
      <c r="B9885" s="69">
        <v>1.0739000000000001</v>
      </c>
    </row>
    <row r="9886" spans="1:2" x14ac:dyDescent="0.2">
      <c r="A9886" s="68">
        <v>34857</v>
      </c>
      <c r="B9886" s="69">
        <v>1.0744</v>
      </c>
    </row>
    <row r="9887" spans="1:2" x14ac:dyDescent="0.2">
      <c r="A9887" s="68">
        <v>34856</v>
      </c>
      <c r="B9887" s="69">
        <v>1.0724</v>
      </c>
    </row>
    <row r="9888" spans="1:2" x14ac:dyDescent="0.2">
      <c r="A9888" s="68">
        <v>34855</v>
      </c>
      <c r="B9888" s="69">
        <v>1.0736000000000001</v>
      </c>
    </row>
    <row r="9889" spans="1:2" x14ac:dyDescent="0.2">
      <c r="A9889" s="68">
        <v>34854</v>
      </c>
      <c r="B9889" s="69"/>
    </row>
    <row r="9890" spans="1:2" x14ac:dyDescent="0.2">
      <c r="A9890" s="68">
        <v>34853</v>
      </c>
      <c r="B9890" s="69"/>
    </row>
    <row r="9891" spans="1:2" x14ac:dyDescent="0.2">
      <c r="A9891" s="68">
        <v>34852</v>
      </c>
      <c r="B9891" s="69">
        <v>1.0743</v>
      </c>
    </row>
    <row r="9892" spans="1:2" x14ac:dyDescent="0.2">
      <c r="A9892" s="68">
        <v>34851</v>
      </c>
      <c r="B9892" s="69">
        <v>1.0747</v>
      </c>
    </row>
    <row r="9893" spans="1:2" x14ac:dyDescent="0.2">
      <c r="A9893" s="68">
        <v>34850</v>
      </c>
      <c r="B9893" s="69">
        <v>1.0753999999999999</v>
      </c>
    </row>
    <row r="9894" spans="1:2" x14ac:dyDescent="0.2">
      <c r="A9894" s="68">
        <v>34849</v>
      </c>
      <c r="B9894" s="69">
        <v>1.0748</v>
      </c>
    </row>
    <row r="9895" spans="1:2" x14ac:dyDescent="0.2">
      <c r="A9895" s="68">
        <v>34848</v>
      </c>
      <c r="B9895" s="69">
        <v>1.0743</v>
      </c>
    </row>
    <row r="9896" spans="1:2" x14ac:dyDescent="0.2">
      <c r="A9896" s="68">
        <v>34847</v>
      </c>
      <c r="B9896" s="69"/>
    </row>
    <row r="9897" spans="1:2" x14ac:dyDescent="0.2">
      <c r="A9897" s="68">
        <v>34846</v>
      </c>
      <c r="B9897" s="69"/>
    </row>
    <row r="9898" spans="1:2" x14ac:dyDescent="0.2">
      <c r="A9898" s="68">
        <v>34845</v>
      </c>
      <c r="B9898" s="69">
        <v>1.0738000000000001</v>
      </c>
    </row>
    <row r="9899" spans="1:2" x14ac:dyDescent="0.2">
      <c r="A9899" s="68">
        <v>34844</v>
      </c>
      <c r="B9899" s="69">
        <v>1.0740000000000001</v>
      </c>
    </row>
    <row r="9900" spans="1:2" x14ac:dyDescent="0.2">
      <c r="A9900" s="68">
        <v>34843</v>
      </c>
      <c r="B9900" s="69">
        <v>1.0740000000000001</v>
      </c>
    </row>
    <row r="9901" spans="1:2" x14ac:dyDescent="0.2">
      <c r="A9901" s="68">
        <v>34842</v>
      </c>
      <c r="B9901" s="69">
        <v>1.0734999999999999</v>
      </c>
    </row>
    <row r="9902" spans="1:2" x14ac:dyDescent="0.2">
      <c r="A9902" s="68">
        <v>34841</v>
      </c>
      <c r="B9902" s="69">
        <v>1.0734999999999999</v>
      </c>
    </row>
    <row r="9903" spans="1:2" x14ac:dyDescent="0.2">
      <c r="A9903" s="68">
        <v>34840</v>
      </c>
      <c r="B9903" s="69"/>
    </row>
    <row r="9904" spans="1:2" x14ac:dyDescent="0.2">
      <c r="A9904" s="68">
        <v>34839</v>
      </c>
      <c r="B9904" s="69"/>
    </row>
    <row r="9905" spans="1:2" x14ac:dyDescent="0.2">
      <c r="A9905" s="68">
        <v>34838</v>
      </c>
      <c r="B9905" s="69">
        <v>1.0721000000000001</v>
      </c>
    </row>
    <row r="9906" spans="1:2" x14ac:dyDescent="0.2">
      <c r="A9906" s="68">
        <v>34837</v>
      </c>
      <c r="B9906" s="69">
        <v>1.0718000000000001</v>
      </c>
    </row>
    <row r="9907" spans="1:2" x14ac:dyDescent="0.2">
      <c r="A9907" s="68">
        <v>34836</v>
      </c>
      <c r="B9907" s="69">
        <v>1.0705</v>
      </c>
    </row>
    <row r="9908" spans="1:2" x14ac:dyDescent="0.2">
      <c r="A9908" s="68">
        <v>34835</v>
      </c>
      <c r="B9908" s="69">
        <v>1.0705</v>
      </c>
    </row>
    <row r="9909" spans="1:2" x14ac:dyDescent="0.2">
      <c r="A9909" s="68">
        <v>34834</v>
      </c>
      <c r="B9909" s="69">
        <v>1.0717000000000001</v>
      </c>
    </row>
    <row r="9910" spans="1:2" x14ac:dyDescent="0.2">
      <c r="A9910" s="68">
        <v>34833</v>
      </c>
      <c r="B9910" s="69"/>
    </row>
    <row r="9911" spans="1:2" x14ac:dyDescent="0.2">
      <c r="A9911" s="68">
        <v>34832</v>
      </c>
      <c r="B9911" s="69"/>
    </row>
    <row r="9912" spans="1:2" x14ac:dyDescent="0.2">
      <c r="A9912" s="68">
        <v>34831</v>
      </c>
      <c r="B9912" s="69">
        <v>1.0727</v>
      </c>
    </row>
    <row r="9913" spans="1:2" x14ac:dyDescent="0.2">
      <c r="A9913" s="68">
        <v>34830</v>
      </c>
      <c r="B9913" s="69">
        <v>1.0753999999999999</v>
      </c>
    </row>
    <row r="9914" spans="1:2" x14ac:dyDescent="0.2">
      <c r="A9914" s="68">
        <v>34829</v>
      </c>
      <c r="B9914" s="69">
        <v>1.0755999999999999</v>
      </c>
    </row>
    <row r="9915" spans="1:2" x14ac:dyDescent="0.2">
      <c r="A9915" s="68">
        <v>34828</v>
      </c>
      <c r="B9915" s="69">
        <v>1.0780000000000001</v>
      </c>
    </row>
    <row r="9916" spans="1:2" x14ac:dyDescent="0.2">
      <c r="A9916" s="68">
        <v>34827</v>
      </c>
      <c r="B9916" s="69">
        <v>1.0795999999999999</v>
      </c>
    </row>
    <row r="9917" spans="1:2" x14ac:dyDescent="0.2">
      <c r="A9917" s="68">
        <v>34826</v>
      </c>
      <c r="B9917" s="69"/>
    </row>
    <row r="9918" spans="1:2" x14ac:dyDescent="0.2">
      <c r="A9918" s="68">
        <v>34825</v>
      </c>
      <c r="B9918" s="69"/>
    </row>
    <row r="9919" spans="1:2" x14ac:dyDescent="0.2">
      <c r="A9919" s="68">
        <v>34824</v>
      </c>
      <c r="B9919" s="69">
        <v>1.0820000000000001</v>
      </c>
    </row>
    <row r="9920" spans="1:2" x14ac:dyDescent="0.2">
      <c r="A9920" s="68">
        <v>34823</v>
      </c>
      <c r="B9920" s="69">
        <v>1.0812999999999999</v>
      </c>
    </row>
    <row r="9921" spans="1:2" x14ac:dyDescent="0.2">
      <c r="A9921" s="68">
        <v>34822</v>
      </c>
      <c r="B9921" s="69">
        <v>1.0847</v>
      </c>
    </row>
    <row r="9922" spans="1:2" x14ac:dyDescent="0.2">
      <c r="A9922" s="68">
        <v>34821</v>
      </c>
      <c r="B9922" s="69">
        <v>1.0867</v>
      </c>
    </row>
    <row r="9923" spans="1:2" x14ac:dyDescent="0.2">
      <c r="A9923" s="68">
        <v>34820</v>
      </c>
      <c r="B9923" s="69"/>
    </row>
    <row r="9924" spans="1:2" x14ac:dyDescent="0.2">
      <c r="A9924" s="68">
        <v>34819</v>
      </c>
      <c r="B9924" s="69"/>
    </row>
    <row r="9925" spans="1:2" x14ac:dyDescent="0.2">
      <c r="A9925" s="68">
        <v>34818</v>
      </c>
      <c r="B9925" s="69"/>
    </row>
    <row r="9926" spans="1:2" x14ac:dyDescent="0.2">
      <c r="A9926" s="68">
        <v>34817</v>
      </c>
      <c r="B9926" s="69">
        <v>1.0872999999999999</v>
      </c>
    </row>
    <row r="9927" spans="1:2" x14ac:dyDescent="0.2">
      <c r="A9927" s="68">
        <v>34816</v>
      </c>
      <c r="B9927" s="69">
        <v>1.0881000000000001</v>
      </c>
    </row>
    <row r="9928" spans="1:2" x14ac:dyDescent="0.2">
      <c r="A9928" s="68">
        <v>34815</v>
      </c>
      <c r="B9928" s="69">
        <v>1.0894999999999999</v>
      </c>
    </row>
    <row r="9929" spans="1:2" x14ac:dyDescent="0.2">
      <c r="A9929" s="68">
        <v>34814</v>
      </c>
      <c r="B9929" s="69">
        <v>1.0895999999999999</v>
      </c>
    </row>
    <row r="9930" spans="1:2" x14ac:dyDescent="0.2">
      <c r="A9930" s="68">
        <v>34813</v>
      </c>
      <c r="B9930" s="69">
        <v>1.0895999999999999</v>
      </c>
    </row>
    <row r="9931" spans="1:2" x14ac:dyDescent="0.2">
      <c r="A9931" s="68">
        <v>34812</v>
      </c>
      <c r="B9931" s="69"/>
    </row>
    <row r="9932" spans="1:2" x14ac:dyDescent="0.2">
      <c r="A9932" s="68">
        <v>34811</v>
      </c>
      <c r="B9932" s="69">
        <v>1.0894999999999999</v>
      </c>
    </row>
    <row r="9933" spans="1:2" x14ac:dyDescent="0.2">
      <c r="A9933" s="68">
        <v>34810</v>
      </c>
      <c r="B9933" s="69">
        <v>1.0894999999999999</v>
      </c>
    </row>
    <row r="9934" spans="1:2" x14ac:dyDescent="0.2">
      <c r="A9934" s="68">
        <v>34809</v>
      </c>
      <c r="B9934" s="69">
        <v>1.0895999999999999</v>
      </c>
    </row>
    <row r="9935" spans="1:2" x14ac:dyDescent="0.2">
      <c r="A9935" s="68">
        <v>34808</v>
      </c>
      <c r="B9935" s="69">
        <v>1.0893999999999999</v>
      </c>
    </row>
    <row r="9936" spans="1:2" x14ac:dyDescent="0.2">
      <c r="A9936" s="68">
        <v>34807</v>
      </c>
      <c r="B9936" s="69">
        <v>1.0892999999999999</v>
      </c>
    </row>
    <row r="9937" spans="1:2" x14ac:dyDescent="0.2">
      <c r="A9937" s="68">
        <v>34806</v>
      </c>
      <c r="B9937" s="69">
        <v>1.0894999999999999</v>
      </c>
    </row>
    <row r="9938" spans="1:2" x14ac:dyDescent="0.2">
      <c r="A9938" s="68">
        <v>34805</v>
      </c>
      <c r="B9938" s="69"/>
    </row>
    <row r="9939" spans="1:2" x14ac:dyDescent="0.2">
      <c r="A9939" s="68">
        <v>34804</v>
      </c>
      <c r="B9939" s="69"/>
    </row>
    <row r="9940" spans="1:2" x14ac:dyDescent="0.2">
      <c r="A9940" s="68">
        <v>34803</v>
      </c>
      <c r="B9940" s="69">
        <v>1.0895999999999999</v>
      </c>
    </row>
    <row r="9941" spans="1:2" x14ac:dyDescent="0.2">
      <c r="A9941" s="68">
        <v>34802</v>
      </c>
      <c r="B9941" s="69">
        <v>1.0892999999999999</v>
      </c>
    </row>
    <row r="9942" spans="1:2" x14ac:dyDescent="0.2">
      <c r="A9942" s="68">
        <v>34801</v>
      </c>
      <c r="B9942" s="69">
        <v>1.0895999999999999</v>
      </c>
    </row>
    <row r="9943" spans="1:2" x14ac:dyDescent="0.2">
      <c r="A9943" s="68">
        <v>34800</v>
      </c>
      <c r="B9943" s="69">
        <v>1.0896999999999999</v>
      </c>
    </row>
    <row r="9944" spans="1:2" x14ac:dyDescent="0.2">
      <c r="A9944" s="68">
        <v>34799</v>
      </c>
      <c r="B9944" s="69">
        <v>1.0895999999999999</v>
      </c>
    </row>
    <row r="9945" spans="1:2" x14ac:dyDescent="0.2">
      <c r="A9945" s="68">
        <v>34798</v>
      </c>
      <c r="B9945" s="69"/>
    </row>
    <row r="9946" spans="1:2" x14ac:dyDescent="0.2">
      <c r="A9946" s="68">
        <v>34797</v>
      </c>
      <c r="B9946" s="69">
        <v>1.0895999999999999</v>
      </c>
    </row>
    <row r="9947" spans="1:2" x14ac:dyDescent="0.2">
      <c r="A9947" s="68">
        <v>34796</v>
      </c>
      <c r="B9947" s="69">
        <v>1.0896999999999999</v>
      </c>
    </row>
    <row r="9948" spans="1:2" x14ac:dyDescent="0.2">
      <c r="A9948" s="68">
        <v>34795</v>
      </c>
      <c r="B9948" s="69">
        <v>1.0896999999999999</v>
      </c>
    </row>
    <row r="9949" spans="1:2" x14ac:dyDescent="0.2">
      <c r="A9949" s="68">
        <v>34794</v>
      </c>
      <c r="B9949" s="69">
        <v>1.0896999999999999</v>
      </c>
    </row>
    <row r="9950" spans="1:2" x14ac:dyDescent="0.2">
      <c r="A9950" s="68">
        <v>34793</v>
      </c>
      <c r="B9950" s="69">
        <v>1.0896999999999999</v>
      </c>
    </row>
    <row r="9951" spans="1:2" x14ac:dyDescent="0.2">
      <c r="A9951" s="68">
        <v>34792</v>
      </c>
      <c r="B9951" s="69">
        <v>1.0896999999999999</v>
      </c>
    </row>
    <row r="9952" spans="1:2" x14ac:dyDescent="0.2">
      <c r="A9952" s="68">
        <v>34791</v>
      </c>
      <c r="B9952" s="69"/>
    </row>
    <row r="9953" spans="1:2" x14ac:dyDescent="0.2">
      <c r="A9953" s="68">
        <v>34790</v>
      </c>
      <c r="B9953" s="69"/>
    </row>
    <row r="9954" spans="1:2" x14ac:dyDescent="0.2">
      <c r="A9954" s="68">
        <v>34789</v>
      </c>
      <c r="B9954" s="69">
        <v>1.0896999999999999</v>
      </c>
    </row>
    <row r="9955" spans="1:2" x14ac:dyDescent="0.2">
      <c r="A9955" s="68">
        <v>34788</v>
      </c>
      <c r="B9955" s="69">
        <v>1.0898000000000001</v>
      </c>
    </row>
    <row r="9956" spans="1:2" x14ac:dyDescent="0.2">
      <c r="A9956" s="68">
        <v>34787</v>
      </c>
      <c r="B9956" s="69">
        <v>1.0898000000000001</v>
      </c>
    </row>
    <row r="9957" spans="1:2" x14ac:dyDescent="0.2">
      <c r="A9957" s="68">
        <v>34786</v>
      </c>
      <c r="B9957" s="69">
        <v>1.0899000000000001</v>
      </c>
    </row>
    <row r="9958" spans="1:2" x14ac:dyDescent="0.2">
      <c r="A9958" s="68">
        <v>34785</v>
      </c>
      <c r="B9958" s="69"/>
    </row>
    <row r="9959" spans="1:2" x14ac:dyDescent="0.2">
      <c r="A9959" s="68">
        <v>34784</v>
      </c>
      <c r="B9959" s="69"/>
    </row>
    <row r="9960" spans="1:2" x14ac:dyDescent="0.2">
      <c r="A9960" s="68">
        <v>34783</v>
      </c>
      <c r="B9960" s="69">
        <v>1.0900000000000001</v>
      </c>
    </row>
    <row r="9961" spans="1:2" x14ac:dyDescent="0.2">
      <c r="A9961" s="68">
        <v>34782</v>
      </c>
      <c r="B9961" s="69">
        <v>1.0899000000000001</v>
      </c>
    </row>
    <row r="9962" spans="1:2" x14ac:dyDescent="0.2">
      <c r="A9962" s="68">
        <v>34781</v>
      </c>
      <c r="B9962" s="69">
        <v>1.0899000000000001</v>
      </c>
    </row>
    <row r="9963" spans="1:2" x14ac:dyDescent="0.2">
      <c r="A9963" s="68">
        <v>34780</v>
      </c>
      <c r="B9963" s="69">
        <v>1.0899000000000001</v>
      </c>
    </row>
    <row r="9964" spans="1:2" x14ac:dyDescent="0.2">
      <c r="A9964" s="68">
        <v>34779</v>
      </c>
      <c r="B9964" s="69">
        <v>1.0898000000000001</v>
      </c>
    </row>
    <row r="9965" spans="1:2" x14ac:dyDescent="0.2">
      <c r="A9965" s="68">
        <v>34778</v>
      </c>
      <c r="B9965" s="69"/>
    </row>
    <row r="9966" spans="1:2" x14ac:dyDescent="0.2">
      <c r="A9966" s="68">
        <v>34777</v>
      </c>
      <c r="B9966" s="69"/>
    </row>
    <row r="9967" spans="1:2" x14ac:dyDescent="0.2">
      <c r="A9967" s="68">
        <v>34776</v>
      </c>
      <c r="B9967" s="69">
        <v>1.0900000000000001</v>
      </c>
    </row>
    <row r="9968" spans="1:2" x14ac:dyDescent="0.2">
      <c r="A9968" s="68">
        <v>34775</v>
      </c>
      <c r="B9968" s="69">
        <v>1.0900000000000001</v>
      </c>
    </row>
    <row r="9969" spans="1:2" x14ac:dyDescent="0.2">
      <c r="A9969" s="68">
        <v>34774</v>
      </c>
      <c r="B9969" s="69">
        <v>1.0899000000000001</v>
      </c>
    </row>
    <row r="9970" spans="1:2" x14ac:dyDescent="0.2">
      <c r="A9970" s="68">
        <v>34773</v>
      </c>
      <c r="B9970" s="69">
        <v>1.0899000000000001</v>
      </c>
    </row>
    <row r="9971" spans="1:2" x14ac:dyDescent="0.2">
      <c r="A9971" s="68">
        <v>34772</v>
      </c>
      <c r="B9971" s="69">
        <v>1.0899000000000001</v>
      </c>
    </row>
    <row r="9972" spans="1:2" x14ac:dyDescent="0.2">
      <c r="A9972" s="68">
        <v>34771</v>
      </c>
      <c r="B9972" s="69"/>
    </row>
    <row r="9973" spans="1:2" x14ac:dyDescent="0.2">
      <c r="A9973" s="68">
        <v>34770</v>
      </c>
      <c r="B9973" s="69"/>
    </row>
    <row r="9974" spans="1:2" x14ac:dyDescent="0.2">
      <c r="A9974" s="68">
        <v>34769</v>
      </c>
      <c r="B9974" s="69">
        <v>1.0899000000000001</v>
      </c>
    </row>
    <row r="9975" spans="1:2" x14ac:dyDescent="0.2">
      <c r="A9975" s="68">
        <v>34768</v>
      </c>
      <c r="B9975" s="69">
        <v>1.0899000000000001</v>
      </c>
    </row>
    <row r="9976" spans="1:2" x14ac:dyDescent="0.2">
      <c r="A9976" s="68">
        <v>34767</v>
      </c>
      <c r="B9976" s="69">
        <v>1.0899000000000001</v>
      </c>
    </row>
    <row r="9977" spans="1:2" x14ac:dyDescent="0.2">
      <c r="A9977" s="68">
        <v>34766</v>
      </c>
      <c r="B9977" s="69">
        <v>1.0900000000000001</v>
      </c>
    </row>
    <row r="9978" spans="1:2" x14ac:dyDescent="0.2">
      <c r="A9978" s="68">
        <v>34765</v>
      </c>
      <c r="B9978" s="69">
        <v>1.0901000000000001</v>
      </c>
    </row>
    <row r="9979" spans="1:2" x14ac:dyDescent="0.2">
      <c r="A9979" s="68">
        <v>34764</v>
      </c>
      <c r="B9979" s="69">
        <v>1.0902000000000001</v>
      </c>
    </row>
    <row r="9980" spans="1:2" x14ac:dyDescent="0.2">
      <c r="A9980" s="68">
        <v>34763</v>
      </c>
      <c r="B9980" s="69"/>
    </row>
    <row r="9981" spans="1:2" x14ac:dyDescent="0.2">
      <c r="A9981" s="68">
        <v>34762</v>
      </c>
      <c r="B9981" s="69">
        <v>1.0902000000000001</v>
      </c>
    </row>
    <row r="9982" spans="1:2" x14ac:dyDescent="0.2">
      <c r="A9982" s="68">
        <v>34761</v>
      </c>
      <c r="B9982" s="69">
        <v>1.0903</v>
      </c>
    </row>
    <row r="9983" spans="1:2" x14ac:dyDescent="0.2">
      <c r="A9983" s="68">
        <v>34760</v>
      </c>
      <c r="B9983" s="69">
        <v>1.0903</v>
      </c>
    </row>
    <row r="9984" spans="1:2" x14ac:dyDescent="0.2">
      <c r="A9984" s="68">
        <v>34759</v>
      </c>
      <c r="B9984" s="69">
        <v>1.0905</v>
      </c>
    </row>
    <row r="9985" spans="1:2" x14ac:dyDescent="0.2">
      <c r="A9985" s="68">
        <v>34758</v>
      </c>
      <c r="B9985" s="69">
        <v>1.0906</v>
      </c>
    </row>
    <row r="9986" spans="1:2" x14ac:dyDescent="0.2">
      <c r="A9986" s="68">
        <v>34757</v>
      </c>
      <c r="B9986" s="69"/>
    </row>
    <row r="9987" spans="1:2" x14ac:dyDescent="0.2">
      <c r="A9987" s="68">
        <v>34756</v>
      </c>
      <c r="B9987" s="69"/>
    </row>
    <row r="9988" spans="1:2" x14ac:dyDescent="0.2">
      <c r="A9988" s="68">
        <v>34755</v>
      </c>
      <c r="B9988" s="69">
        <v>1.0907</v>
      </c>
    </row>
    <row r="9989" spans="1:2" x14ac:dyDescent="0.2">
      <c r="A9989" s="68">
        <v>34754</v>
      </c>
      <c r="B9989" s="69">
        <v>1.0908</v>
      </c>
    </row>
    <row r="9990" spans="1:2" x14ac:dyDescent="0.2">
      <c r="A9990" s="68">
        <v>34753</v>
      </c>
      <c r="B9990" s="69">
        <v>1.0908</v>
      </c>
    </row>
    <row r="9991" spans="1:2" x14ac:dyDescent="0.2">
      <c r="A9991" s="68">
        <v>34752</v>
      </c>
      <c r="B9991" s="69">
        <v>1.0909</v>
      </c>
    </row>
    <row r="9992" spans="1:2" x14ac:dyDescent="0.2">
      <c r="A9992" s="68">
        <v>34751</v>
      </c>
      <c r="B9992" s="69">
        <v>1.091</v>
      </c>
    </row>
    <row r="9993" spans="1:2" x14ac:dyDescent="0.2">
      <c r="A9993" s="68">
        <v>34750</v>
      </c>
      <c r="B9993" s="69"/>
    </row>
    <row r="9994" spans="1:2" x14ac:dyDescent="0.2">
      <c r="A9994" s="68">
        <v>34749</v>
      </c>
      <c r="B9994" s="69"/>
    </row>
    <row r="9995" spans="1:2" x14ac:dyDescent="0.2">
      <c r="A9995" s="68">
        <v>34748</v>
      </c>
      <c r="B9995" s="69">
        <v>1.0911</v>
      </c>
    </row>
    <row r="9996" spans="1:2" x14ac:dyDescent="0.2">
      <c r="A9996" s="68">
        <v>34747</v>
      </c>
      <c r="B9996" s="69">
        <v>1.0911</v>
      </c>
    </row>
    <row r="9997" spans="1:2" x14ac:dyDescent="0.2">
      <c r="A9997" s="68">
        <v>34746</v>
      </c>
      <c r="B9997" s="69">
        <v>1.0911</v>
      </c>
    </row>
    <row r="9998" spans="1:2" x14ac:dyDescent="0.2">
      <c r="A9998" s="68">
        <v>34745</v>
      </c>
      <c r="B9998" s="69">
        <v>1.0911</v>
      </c>
    </row>
    <row r="9999" spans="1:2" x14ac:dyDescent="0.2">
      <c r="A9999" s="68">
        <v>34744</v>
      </c>
      <c r="B9999" s="69">
        <v>1.0908</v>
      </c>
    </row>
    <row r="10000" spans="1:2" x14ac:dyDescent="0.2">
      <c r="A10000" s="68">
        <v>34743</v>
      </c>
      <c r="B10000" s="69"/>
    </row>
    <row r="10001" spans="1:2" x14ac:dyDescent="0.2">
      <c r="A10001" s="68">
        <v>34742</v>
      </c>
      <c r="B10001" s="69"/>
    </row>
    <row r="10002" spans="1:2" x14ac:dyDescent="0.2">
      <c r="A10002" s="68">
        <v>34741</v>
      </c>
      <c r="B10002" s="69">
        <v>1.0911</v>
      </c>
    </row>
    <row r="10003" spans="1:2" x14ac:dyDescent="0.2">
      <c r="A10003" s="68">
        <v>34740</v>
      </c>
      <c r="B10003" s="69">
        <v>1.0911</v>
      </c>
    </row>
    <row r="10004" spans="1:2" x14ac:dyDescent="0.2">
      <c r="A10004" s="68">
        <v>34739</v>
      </c>
      <c r="B10004" s="69">
        <v>1.0911</v>
      </c>
    </row>
    <row r="10005" spans="1:2" x14ac:dyDescent="0.2">
      <c r="A10005" s="68">
        <v>34738</v>
      </c>
      <c r="B10005" s="69">
        <v>1.0912999999999999</v>
      </c>
    </row>
    <row r="10006" spans="1:2" x14ac:dyDescent="0.2">
      <c r="A10006" s="68">
        <v>34737</v>
      </c>
      <c r="B10006" s="69">
        <v>1.09121</v>
      </c>
    </row>
    <row r="10007" spans="1:2" x14ac:dyDescent="0.2">
      <c r="A10007" s="68">
        <v>34736</v>
      </c>
      <c r="B10007" s="69">
        <v>1.09151</v>
      </c>
    </row>
    <row r="10008" spans="1:2" x14ac:dyDescent="0.2">
      <c r="A10008" s="68">
        <v>34735</v>
      </c>
      <c r="B10008" s="69"/>
    </row>
    <row r="10009" spans="1:2" x14ac:dyDescent="0.2">
      <c r="A10009" s="68">
        <v>34734</v>
      </c>
      <c r="B10009" s="69"/>
    </row>
    <row r="10010" spans="1:2" x14ac:dyDescent="0.2">
      <c r="A10010" s="68">
        <v>34733</v>
      </c>
      <c r="B10010" s="69"/>
    </row>
    <row r="10011" spans="1:2" x14ac:dyDescent="0.2">
      <c r="A10011" s="68">
        <v>34732</v>
      </c>
      <c r="B10011" s="69"/>
    </row>
    <row r="10012" spans="1:2" x14ac:dyDescent="0.2">
      <c r="A10012" s="68">
        <v>34731</v>
      </c>
      <c r="B10012" s="69"/>
    </row>
    <row r="10013" spans="1:2" x14ac:dyDescent="0.2">
      <c r="A10013" s="68">
        <v>34730</v>
      </c>
      <c r="B10013" s="69"/>
    </row>
    <row r="10014" spans="1:2" x14ac:dyDescent="0.2">
      <c r="A10014" s="68">
        <v>34729</v>
      </c>
      <c r="B10014" s="69"/>
    </row>
    <row r="10015" spans="1:2" x14ac:dyDescent="0.2">
      <c r="A10015" s="68">
        <v>34728</v>
      </c>
      <c r="B10015" s="69"/>
    </row>
    <row r="10016" spans="1:2" x14ac:dyDescent="0.2">
      <c r="A10016" s="68">
        <v>34727</v>
      </c>
      <c r="B10016" s="69"/>
    </row>
    <row r="10017" spans="1:2" x14ac:dyDescent="0.2">
      <c r="A10017" s="68">
        <v>34726</v>
      </c>
      <c r="B10017" s="69">
        <v>1.0912999999999999</v>
      </c>
    </row>
    <row r="10018" spans="1:2" x14ac:dyDescent="0.2">
      <c r="A10018" s="68">
        <v>34725</v>
      </c>
      <c r="B10018" s="69">
        <v>1.0911999999999999</v>
      </c>
    </row>
    <row r="10019" spans="1:2" x14ac:dyDescent="0.2">
      <c r="A10019" s="68">
        <v>34724</v>
      </c>
      <c r="B10019" s="69">
        <v>1.0909</v>
      </c>
    </row>
    <row r="10020" spans="1:2" x14ac:dyDescent="0.2">
      <c r="A10020" s="68">
        <v>34723</v>
      </c>
      <c r="B10020" s="69">
        <v>1.0911999999999999</v>
      </c>
    </row>
    <row r="10021" spans="1:2" x14ac:dyDescent="0.2">
      <c r="A10021" s="68">
        <v>34722</v>
      </c>
      <c r="B10021" s="69"/>
    </row>
    <row r="10022" spans="1:2" x14ac:dyDescent="0.2">
      <c r="A10022" s="68">
        <v>34721</v>
      </c>
      <c r="B10022" s="69"/>
    </row>
    <row r="10023" spans="1:2" x14ac:dyDescent="0.2">
      <c r="A10023" s="68">
        <v>34720</v>
      </c>
      <c r="B10023" s="69">
        <v>1.0896999999999999</v>
      </c>
    </row>
    <row r="10024" spans="1:2" x14ac:dyDescent="0.2">
      <c r="A10024" s="68">
        <v>34719</v>
      </c>
      <c r="B10024" s="69">
        <v>1.0905</v>
      </c>
    </row>
    <row r="10025" spans="1:2" x14ac:dyDescent="0.2">
      <c r="A10025" s="68">
        <v>34718</v>
      </c>
      <c r="B10025" s="69">
        <v>1.0902000000000001</v>
      </c>
    </row>
    <row r="10026" spans="1:2" x14ac:dyDescent="0.2">
      <c r="A10026" s="68">
        <v>34717</v>
      </c>
      <c r="B10026" s="69">
        <v>1.0900000000000001</v>
      </c>
    </row>
    <row r="10027" spans="1:2" x14ac:dyDescent="0.2">
      <c r="A10027" s="68">
        <v>34716</v>
      </c>
      <c r="B10027" s="69">
        <v>1.0894999999999999</v>
      </c>
    </row>
    <row r="10028" spans="1:2" x14ac:dyDescent="0.2">
      <c r="A10028" s="68">
        <v>34715</v>
      </c>
      <c r="B10028" s="69"/>
    </row>
    <row r="10029" spans="1:2" x14ac:dyDescent="0.2">
      <c r="A10029" s="68">
        <v>34714</v>
      </c>
      <c r="B10029" s="69"/>
    </row>
    <row r="10030" spans="1:2" x14ac:dyDescent="0.2">
      <c r="A10030" s="68">
        <v>34713</v>
      </c>
      <c r="B10030" s="69">
        <v>1.0889</v>
      </c>
    </row>
    <row r="10031" spans="1:2" x14ac:dyDescent="0.2">
      <c r="A10031" s="68">
        <v>34712</v>
      </c>
      <c r="B10031" s="69">
        <v>1.0869</v>
      </c>
    </row>
    <row r="10032" spans="1:2" x14ac:dyDescent="0.2">
      <c r="A10032" s="68">
        <v>34711</v>
      </c>
      <c r="B10032" s="69">
        <v>1.0874999999999999</v>
      </c>
    </row>
    <row r="10033" spans="1:2" x14ac:dyDescent="0.2">
      <c r="A10033" s="68">
        <v>34710</v>
      </c>
      <c r="B10033" s="69">
        <v>1.0886</v>
      </c>
    </row>
    <row r="10034" spans="1:2" x14ac:dyDescent="0.2">
      <c r="A10034" s="68">
        <v>34709</v>
      </c>
      <c r="B10034" s="69">
        <v>1.0886</v>
      </c>
    </row>
    <row r="10035" spans="1:2" x14ac:dyDescent="0.2">
      <c r="A10035" s="68">
        <v>34708</v>
      </c>
      <c r="B10035" s="69"/>
    </row>
    <row r="10036" spans="1:2" x14ac:dyDescent="0.2">
      <c r="A10036" s="68">
        <v>34707</v>
      </c>
      <c r="B10036" s="69"/>
    </row>
    <row r="10037" spans="1:2" x14ac:dyDescent="0.2">
      <c r="A10037" s="68">
        <v>34706</v>
      </c>
      <c r="B10037" s="69">
        <v>1.0902000000000001</v>
      </c>
    </row>
    <row r="10038" spans="1:2" x14ac:dyDescent="0.2">
      <c r="A10038" s="68">
        <v>34705</v>
      </c>
      <c r="B10038" s="69">
        <v>1.0907</v>
      </c>
    </row>
    <row r="10039" spans="1:2" x14ac:dyDescent="0.2">
      <c r="A10039" s="68">
        <v>34704</v>
      </c>
      <c r="B10039" s="69">
        <v>1.0911999999999999</v>
      </c>
    </row>
    <row r="10040" spans="1:2" x14ac:dyDescent="0.2">
      <c r="A10040" s="68">
        <v>34703</v>
      </c>
      <c r="B10040" s="69">
        <v>1.0914999999999999</v>
      </c>
    </row>
    <row r="10041" spans="1:2" x14ac:dyDescent="0.2">
      <c r="A10041" s="68">
        <v>34702</v>
      </c>
      <c r="B10041" s="69"/>
    </row>
    <row r="10042" spans="1:2" x14ac:dyDescent="0.2">
      <c r="A10042" s="68">
        <v>34701</v>
      </c>
      <c r="B10042" s="69"/>
    </row>
    <row r="10043" spans="1:2" x14ac:dyDescent="0.2">
      <c r="A10043" s="68">
        <v>34700</v>
      </c>
      <c r="B10043" s="69"/>
    </row>
    <row r="10044" spans="1:2" x14ac:dyDescent="0.2">
      <c r="A10044" s="68">
        <v>34699</v>
      </c>
      <c r="B10044" s="69">
        <v>1.0913999999999999</v>
      </c>
    </row>
    <row r="10045" spans="1:2" x14ac:dyDescent="0.2">
      <c r="A10045" s="68">
        <v>34698</v>
      </c>
      <c r="B10045" s="69">
        <v>1.0918000000000001</v>
      </c>
    </row>
    <row r="10046" spans="1:2" x14ac:dyDescent="0.2">
      <c r="A10046" s="68">
        <v>34697</v>
      </c>
      <c r="B10046" s="69">
        <v>1.0921000000000001</v>
      </c>
    </row>
    <row r="10047" spans="1:2" x14ac:dyDescent="0.2">
      <c r="A10047" s="68">
        <v>34696</v>
      </c>
      <c r="B10047" s="69">
        <v>1.0925</v>
      </c>
    </row>
    <row r="10048" spans="1:2" x14ac:dyDescent="0.2">
      <c r="A10048" s="68">
        <v>34695</v>
      </c>
      <c r="B10048" s="69">
        <v>1.0932999999999999</v>
      </c>
    </row>
    <row r="10049" spans="1:2" x14ac:dyDescent="0.2">
      <c r="A10049" s="68">
        <v>34694</v>
      </c>
      <c r="B10049" s="69"/>
    </row>
    <row r="10050" spans="1:2" x14ac:dyDescent="0.2">
      <c r="A10050" s="68">
        <v>34693</v>
      </c>
      <c r="B10050" s="69"/>
    </row>
    <row r="10051" spans="1:2" x14ac:dyDescent="0.2">
      <c r="A10051" s="68">
        <v>34692</v>
      </c>
      <c r="B10051" s="69">
        <v>1.0935999999999999</v>
      </c>
    </row>
    <row r="10052" spans="1:2" x14ac:dyDescent="0.2">
      <c r="A10052" s="68">
        <v>34691</v>
      </c>
      <c r="B10052" s="69">
        <v>1.0943000000000001</v>
      </c>
    </row>
    <row r="10053" spans="1:2" x14ac:dyDescent="0.2">
      <c r="A10053" s="68">
        <v>34690</v>
      </c>
      <c r="B10053" s="69">
        <v>1.0949</v>
      </c>
    </row>
    <row r="10054" spans="1:2" x14ac:dyDescent="0.2">
      <c r="A10054" s="68">
        <v>34689</v>
      </c>
      <c r="B10054" s="69">
        <v>1.0952</v>
      </c>
    </row>
    <row r="10055" spans="1:2" x14ac:dyDescent="0.2">
      <c r="A10055" s="68">
        <v>34688</v>
      </c>
      <c r="B10055" s="69">
        <v>1.0960000000000001</v>
      </c>
    </row>
    <row r="10056" spans="1:2" x14ac:dyDescent="0.2">
      <c r="A10056" s="68">
        <v>34687</v>
      </c>
      <c r="B10056" s="69"/>
    </row>
    <row r="10057" spans="1:2" x14ac:dyDescent="0.2">
      <c r="A10057" s="68">
        <v>34686</v>
      </c>
      <c r="B10057" s="69"/>
    </row>
    <row r="10058" spans="1:2" x14ac:dyDescent="0.2">
      <c r="A10058" s="68">
        <v>34685</v>
      </c>
      <c r="B10058" s="69">
        <v>1.0963000000000001</v>
      </c>
    </row>
    <row r="10059" spans="1:2" x14ac:dyDescent="0.2">
      <c r="A10059" s="68">
        <v>34684</v>
      </c>
      <c r="B10059" s="69">
        <v>1.0967</v>
      </c>
    </row>
    <row r="10060" spans="1:2" x14ac:dyDescent="0.2">
      <c r="A10060" s="68">
        <v>34683</v>
      </c>
      <c r="B10060" s="69">
        <v>1.0969</v>
      </c>
    </row>
    <row r="10061" spans="1:2" x14ac:dyDescent="0.2">
      <c r="A10061" s="68">
        <v>34682</v>
      </c>
      <c r="B10061" s="69">
        <v>1.0974999999999999</v>
      </c>
    </row>
    <row r="10062" spans="1:2" x14ac:dyDescent="0.2">
      <c r="A10062" s="68">
        <v>34681</v>
      </c>
      <c r="B10062" s="69">
        <v>1.0980000000000001</v>
      </c>
    </row>
    <row r="10063" spans="1:2" x14ac:dyDescent="0.2">
      <c r="A10063" s="68">
        <v>34680</v>
      </c>
      <c r="B10063" s="69"/>
    </row>
    <row r="10064" spans="1:2" x14ac:dyDescent="0.2">
      <c r="A10064" s="68">
        <v>34679</v>
      </c>
      <c r="B10064" s="69"/>
    </row>
    <row r="10065" spans="1:2" x14ac:dyDescent="0.2">
      <c r="A10065" s="68">
        <v>34678</v>
      </c>
      <c r="B10065" s="69">
        <v>1.0984</v>
      </c>
    </row>
    <row r="10066" spans="1:2" x14ac:dyDescent="0.2">
      <c r="A10066" s="68">
        <v>34677</v>
      </c>
      <c r="B10066" s="69">
        <v>1.0989</v>
      </c>
    </row>
    <row r="10067" spans="1:2" x14ac:dyDescent="0.2">
      <c r="A10067" s="68">
        <v>34676</v>
      </c>
      <c r="B10067" s="69">
        <v>1.0992999999999999</v>
      </c>
    </row>
    <row r="10068" spans="1:2" x14ac:dyDescent="0.2">
      <c r="A10068" s="68">
        <v>34675</v>
      </c>
      <c r="B10068" s="69">
        <v>1.1000000000000001</v>
      </c>
    </row>
    <row r="10069" spans="1:2" x14ac:dyDescent="0.2">
      <c r="A10069" s="68">
        <v>34674</v>
      </c>
      <c r="B10069" s="69">
        <v>1.0996999999999999</v>
      </c>
    </row>
    <row r="10070" spans="1:2" x14ac:dyDescent="0.2">
      <c r="A10070" s="68">
        <v>34673</v>
      </c>
      <c r="B10070" s="69"/>
    </row>
    <row r="10071" spans="1:2" x14ac:dyDescent="0.2">
      <c r="A10071" s="68">
        <v>34672</v>
      </c>
      <c r="B10071" s="69"/>
    </row>
    <row r="10072" spans="1:2" x14ac:dyDescent="0.2">
      <c r="A10072" s="68">
        <v>34671</v>
      </c>
      <c r="B10072" s="69">
        <v>1.0999000000000001</v>
      </c>
    </row>
    <row r="10073" spans="1:2" x14ac:dyDescent="0.2">
      <c r="A10073" s="68">
        <v>34670</v>
      </c>
      <c r="B10073" s="69">
        <v>1.1002000000000001</v>
      </c>
    </row>
    <row r="10074" spans="1:2" x14ac:dyDescent="0.2">
      <c r="A10074" s="68">
        <v>34669</v>
      </c>
      <c r="B10074" s="69">
        <v>1.1003000000000001</v>
      </c>
    </row>
    <row r="10075" spans="1:2" x14ac:dyDescent="0.2">
      <c r="A10075" s="68">
        <v>34668</v>
      </c>
      <c r="B10075" s="69">
        <v>1.1005</v>
      </c>
    </row>
    <row r="10076" spans="1:2" x14ac:dyDescent="0.2">
      <c r="A10076" s="68">
        <v>34667</v>
      </c>
      <c r="B10076" s="69">
        <v>1.1007</v>
      </c>
    </row>
    <row r="10077" spans="1:2" x14ac:dyDescent="0.2">
      <c r="A10077" s="68">
        <v>34666</v>
      </c>
      <c r="B10077" s="69"/>
    </row>
    <row r="10078" spans="1:2" x14ac:dyDescent="0.2">
      <c r="A10078" s="68">
        <v>34665</v>
      </c>
      <c r="B10078" s="69"/>
    </row>
    <row r="10079" spans="1:2" x14ac:dyDescent="0.2">
      <c r="A10079" s="68">
        <v>34664</v>
      </c>
      <c r="B10079" s="69">
        <v>1.1007</v>
      </c>
    </row>
    <row r="10080" spans="1:2" x14ac:dyDescent="0.2">
      <c r="A10080" s="68">
        <v>34663</v>
      </c>
      <c r="B10080" s="69">
        <v>1.1008</v>
      </c>
    </row>
    <row r="10081" spans="1:2" x14ac:dyDescent="0.2">
      <c r="A10081" s="68">
        <v>34662</v>
      </c>
      <c r="B10081" s="69">
        <v>1.1008</v>
      </c>
    </row>
    <row r="10082" spans="1:2" x14ac:dyDescent="0.2">
      <c r="A10082" s="68">
        <v>34661</v>
      </c>
      <c r="B10082" s="69">
        <v>1.101</v>
      </c>
    </row>
    <row r="10083" spans="1:2" x14ac:dyDescent="0.2">
      <c r="A10083" s="68">
        <v>34660</v>
      </c>
      <c r="B10083" s="69">
        <v>1.1011</v>
      </c>
    </row>
    <row r="10084" spans="1:2" x14ac:dyDescent="0.2">
      <c r="A10084" s="68">
        <v>34659</v>
      </c>
      <c r="B10084" s="69"/>
    </row>
    <row r="10085" spans="1:2" x14ac:dyDescent="0.2">
      <c r="A10085" s="68">
        <v>34658</v>
      </c>
      <c r="B10085" s="69"/>
    </row>
    <row r="10086" spans="1:2" x14ac:dyDescent="0.2">
      <c r="A10086" s="68">
        <v>34657</v>
      </c>
      <c r="B10086" s="69">
        <v>1.101</v>
      </c>
    </row>
    <row r="10087" spans="1:2" x14ac:dyDescent="0.2">
      <c r="A10087" s="68">
        <v>34656</v>
      </c>
      <c r="B10087" s="69">
        <v>1.1014999999999999</v>
      </c>
    </row>
    <row r="10088" spans="1:2" x14ac:dyDescent="0.2">
      <c r="A10088" s="68">
        <v>34655</v>
      </c>
      <c r="B10088" s="69">
        <v>1.1016999999999999</v>
      </c>
    </row>
    <row r="10089" spans="1:2" x14ac:dyDescent="0.2">
      <c r="A10089" s="68">
        <v>34654</v>
      </c>
      <c r="B10089" s="69">
        <v>1.1019000000000001</v>
      </c>
    </row>
    <row r="10090" spans="1:2" x14ac:dyDescent="0.2">
      <c r="A10090" s="68">
        <v>34653</v>
      </c>
      <c r="B10090" s="69">
        <v>1.1021000000000001</v>
      </c>
    </row>
    <row r="10091" spans="1:2" x14ac:dyDescent="0.2">
      <c r="A10091" s="68">
        <v>34652</v>
      </c>
      <c r="B10091" s="69"/>
    </row>
    <row r="10092" spans="1:2" x14ac:dyDescent="0.2">
      <c r="A10092" s="68">
        <v>34651</v>
      </c>
      <c r="B10092" s="69"/>
    </row>
    <row r="10093" spans="1:2" x14ac:dyDescent="0.2">
      <c r="A10093" s="68">
        <v>34650</v>
      </c>
      <c r="B10093" s="69">
        <v>1.1022000000000001</v>
      </c>
    </row>
    <row r="10094" spans="1:2" x14ac:dyDescent="0.2">
      <c r="A10094" s="68">
        <v>34649</v>
      </c>
      <c r="B10094" s="69">
        <v>1.1023000000000001</v>
      </c>
    </row>
    <row r="10095" spans="1:2" x14ac:dyDescent="0.2">
      <c r="A10095" s="68">
        <v>34648</v>
      </c>
      <c r="B10095" s="69">
        <v>1.1024</v>
      </c>
    </row>
    <row r="10096" spans="1:2" x14ac:dyDescent="0.2">
      <c r="A10096" s="68">
        <v>34647</v>
      </c>
      <c r="B10096" s="69">
        <v>1.1025</v>
      </c>
    </row>
    <row r="10097" spans="1:2" x14ac:dyDescent="0.2">
      <c r="A10097" s="68">
        <v>34646</v>
      </c>
      <c r="B10097" s="69">
        <v>1.1025</v>
      </c>
    </row>
    <row r="10098" spans="1:2" x14ac:dyDescent="0.2">
      <c r="A10098" s="68">
        <v>34645</v>
      </c>
      <c r="B10098" s="69"/>
    </row>
    <row r="10099" spans="1:2" x14ac:dyDescent="0.2">
      <c r="A10099" s="68">
        <v>34644</v>
      </c>
      <c r="B10099" s="69"/>
    </row>
    <row r="10100" spans="1:2" x14ac:dyDescent="0.2">
      <c r="A10100" s="68">
        <v>34643</v>
      </c>
      <c r="B10100" s="69">
        <v>1.1025</v>
      </c>
    </row>
    <row r="10101" spans="1:2" x14ac:dyDescent="0.2">
      <c r="A10101" s="68">
        <v>34642</v>
      </c>
      <c r="B10101" s="69">
        <v>1.103</v>
      </c>
    </row>
    <row r="10102" spans="1:2" x14ac:dyDescent="0.2">
      <c r="A10102" s="68">
        <v>34641</v>
      </c>
      <c r="B10102" s="69">
        <v>1.1032</v>
      </c>
    </row>
    <row r="10103" spans="1:2" x14ac:dyDescent="0.2">
      <c r="A10103" s="68">
        <v>34640</v>
      </c>
      <c r="B10103" s="69">
        <v>1.1032999999999999</v>
      </c>
    </row>
    <row r="10104" spans="1:2" x14ac:dyDescent="0.2">
      <c r="A10104" s="68">
        <v>34639</v>
      </c>
      <c r="B10104" s="69">
        <v>1.1032999999999999</v>
      </c>
    </row>
    <row r="10105" spans="1:2" x14ac:dyDescent="0.2">
      <c r="A10105" s="68">
        <v>34638</v>
      </c>
      <c r="B10105" s="69"/>
    </row>
    <row r="10106" spans="1:2" x14ac:dyDescent="0.2">
      <c r="A10106" s="68">
        <v>34637</v>
      </c>
      <c r="B10106" s="69"/>
    </row>
    <row r="10107" spans="1:2" x14ac:dyDescent="0.2">
      <c r="A10107" s="68">
        <v>34636</v>
      </c>
      <c r="B10107" s="69">
        <v>1.1033999999999999</v>
      </c>
    </row>
    <row r="10108" spans="1:2" x14ac:dyDescent="0.2">
      <c r="A10108" s="68">
        <v>34635</v>
      </c>
      <c r="B10108" s="69">
        <v>1.1034999999999999</v>
      </c>
    </row>
    <row r="10109" spans="1:2" x14ac:dyDescent="0.2">
      <c r="A10109" s="68">
        <v>34634</v>
      </c>
      <c r="B10109" s="69">
        <v>1.1035999999999999</v>
      </c>
    </row>
    <row r="10110" spans="1:2" x14ac:dyDescent="0.2">
      <c r="A10110" s="68">
        <v>34633</v>
      </c>
      <c r="B10110" s="69">
        <v>1.1036999999999999</v>
      </c>
    </row>
    <row r="10111" spans="1:2" x14ac:dyDescent="0.2">
      <c r="A10111" s="68">
        <v>34632</v>
      </c>
      <c r="B10111" s="69">
        <v>1.1036999999999999</v>
      </c>
    </row>
    <row r="10112" spans="1:2" x14ac:dyDescent="0.2">
      <c r="A10112" s="68">
        <v>34631</v>
      </c>
      <c r="B10112" s="69"/>
    </row>
    <row r="10113" spans="1:2" x14ac:dyDescent="0.2">
      <c r="A10113" s="68">
        <v>34630</v>
      </c>
      <c r="B10113" s="69"/>
    </row>
    <row r="10114" spans="1:2" x14ac:dyDescent="0.2">
      <c r="A10114" s="68">
        <v>34629</v>
      </c>
      <c r="B10114" s="69">
        <v>1.1039000000000001</v>
      </c>
    </row>
    <row r="10115" spans="1:2" x14ac:dyDescent="0.2">
      <c r="A10115" s="68">
        <v>34628</v>
      </c>
      <c r="B10115" s="69">
        <v>1.1039000000000001</v>
      </c>
    </row>
    <row r="10116" spans="1:2" x14ac:dyDescent="0.2">
      <c r="A10116" s="68">
        <v>34627</v>
      </c>
      <c r="B10116" s="69">
        <v>1.1037999999999999</v>
      </c>
    </row>
    <row r="10117" spans="1:2" x14ac:dyDescent="0.2">
      <c r="A10117" s="68">
        <v>34626</v>
      </c>
      <c r="B10117" s="69">
        <v>1.1039000000000001</v>
      </c>
    </row>
    <row r="10118" spans="1:2" x14ac:dyDescent="0.2">
      <c r="A10118" s="68">
        <v>34625</v>
      </c>
      <c r="B10118" s="69">
        <v>1.1037999999999999</v>
      </c>
    </row>
    <row r="10119" spans="1:2" x14ac:dyDescent="0.2">
      <c r="A10119" s="68">
        <v>34624</v>
      </c>
      <c r="B10119" s="69"/>
    </row>
    <row r="10120" spans="1:2" x14ac:dyDescent="0.2">
      <c r="A10120" s="68">
        <v>34623</v>
      </c>
      <c r="B10120" s="69"/>
    </row>
    <row r="10121" spans="1:2" x14ac:dyDescent="0.2">
      <c r="A10121" s="68">
        <v>34622</v>
      </c>
      <c r="B10121" s="69">
        <v>1.1037999999999999</v>
      </c>
    </row>
    <row r="10122" spans="1:2" x14ac:dyDescent="0.2">
      <c r="A10122" s="68">
        <v>34621</v>
      </c>
      <c r="B10122" s="69">
        <v>1.1037999999999999</v>
      </c>
    </row>
    <row r="10123" spans="1:2" x14ac:dyDescent="0.2">
      <c r="A10123" s="68">
        <v>34620</v>
      </c>
      <c r="B10123" s="69">
        <v>1.1036999999999999</v>
      </c>
    </row>
    <row r="10124" spans="1:2" x14ac:dyDescent="0.2">
      <c r="A10124" s="68">
        <v>34619</v>
      </c>
      <c r="B10124" s="69">
        <v>1.1037999999999999</v>
      </c>
    </row>
    <row r="10125" spans="1:2" x14ac:dyDescent="0.2">
      <c r="A10125" s="68">
        <v>34618</v>
      </c>
      <c r="B10125" s="69">
        <v>1.1037999999999999</v>
      </c>
    </row>
    <row r="10126" spans="1:2" x14ac:dyDescent="0.2">
      <c r="A10126" s="68">
        <v>34617</v>
      </c>
      <c r="B10126" s="69"/>
    </row>
    <row r="10127" spans="1:2" x14ac:dyDescent="0.2">
      <c r="A10127" s="68">
        <v>34616</v>
      </c>
      <c r="B10127" s="69"/>
    </row>
    <row r="10128" spans="1:2" x14ac:dyDescent="0.2">
      <c r="A10128" s="68">
        <v>34615</v>
      </c>
      <c r="B10128" s="69">
        <v>1.1037999999999999</v>
      </c>
    </row>
    <row r="10129" spans="1:2" x14ac:dyDescent="0.2">
      <c r="A10129" s="68">
        <v>34614</v>
      </c>
      <c r="B10129" s="69">
        <v>1.1037999999999999</v>
      </c>
    </row>
    <row r="10130" spans="1:2" x14ac:dyDescent="0.2">
      <c r="A10130" s="68">
        <v>34613</v>
      </c>
      <c r="B10130" s="69">
        <v>1.1037999999999999</v>
      </c>
    </row>
    <row r="10131" spans="1:2" x14ac:dyDescent="0.2">
      <c r="A10131" s="68">
        <v>34612</v>
      </c>
      <c r="B10131" s="69"/>
    </row>
    <row r="10132" spans="1:2" x14ac:dyDescent="0.2">
      <c r="A10132" s="68">
        <v>34611</v>
      </c>
      <c r="B10132" s="69"/>
    </row>
    <row r="10133" spans="1:2" x14ac:dyDescent="0.2">
      <c r="A10133" s="68">
        <v>34610</v>
      </c>
      <c r="B10133" s="69"/>
    </row>
    <row r="10134" spans="1:2" x14ac:dyDescent="0.2">
      <c r="A10134" s="68">
        <v>34609</v>
      </c>
      <c r="B10134" s="69"/>
    </row>
    <row r="10135" spans="1:2" x14ac:dyDescent="0.2">
      <c r="A10135" s="68">
        <v>34608</v>
      </c>
      <c r="B10135" s="69">
        <v>1.1037999999999999</v>
      </c>
    </row>
    <row r="10136" spans="1:2" x14ac:dyDescent="0.2">
      <c r="A10136" s="68">
        <v>34607</v>
      </c>
      <c r="B10136" s="69">
        <v>1.1039000000000001</v>
      </c>
    </row>
    <row r="10137" spans="1:2" x14ac:dyDescent="0.2">
      <c r="A10137" s="68">
        <v>34606</v>
      </c>
      <c r="B10137" s="69">
        <v>1.1039000000000001</v>
      </c>
    </row>
    <row r="10138" spans="1:2" x14ac:dyDescent="0.2">
      <c r="A10138" s="68">
        <v>34605</v>
      </c>
      <c r="B10138" s="69">
        <v>1.1039000000000001</v>
      </c>
    </row>
    <row r="10139" spans="1:2" x14ac:dyDescent="0.2">
      <c r="A10139" s="68">
        <v>34604</v>
      </c>
      <c r="B10139" s="69">
        <v>1.1040000000000001</v>
      </c>
    </row>
    <row r="10140" spans="1:2" x14ac:dyDescent="0.2">
      <c r="A10140" s="68">
        <v>34603</v>
      </c>
      <c r="B10140" s="69"/>
    </row>
    <row r="10141" spans="1:2" x14ac:dyDescent="0.2">
      <c r="A10141" s="68">
        <v>34602</v>
      </c>
      <c r="B10141" s="69"/>
    </row>
    <row r="10142" spans="1:2" x14ac:dyDescent="0.2">
      <c r="A10142" s="68">
        <v>34601</v>
      </c>
      <c r="B10142" s="69">
        <v>1.1041000000000001</v>
      </c>
    </row>
    <row r="10143" spans="1:2" x14ac:dyDescent="0.2">
      <c r="A10143" s="68">
        <v>34600</v>
      </c>
      <c r="B10143" s="69">
        <v>1.1042000000000001</v>
      </c>
    </row>
    <row r="10144" spans="1:2" x14ac:dyDescent="0.2">
      <c r="A10144" s="68">
        <v>34599</v>
      </c>
      <c r="B10144" s="69">
        <v>1.1043000000000001</v>
      </c>
    </row>
    <row r="10145" spans="1:2" x14ac:dyDescent="0.2">
      <c r="A10145" s="68">
        <v>34598</v>
      </c>
      <c r="B10145" s="69">
        <v>1.1043000000000001</v>
      </c>
    </row>
    <row r="10146" spans="1:2" x14ac:dyDescent="0.2">
      <c r="A10146" s="68">
        <v>34597</v>
      </c>
      <c r="B10146" s="69">
        <v>1.1044</v>
      </c>
    </row>
    <row r="10147" spans="1:2" x14ac:dyDescent="0.2">
      <c r="A10147" s="68">
        <v>34596</v>
      </c>
      <c r="B10147" s="69"/>
    </row>
    <row r="10148" spans="1:2" x14ac:dyDescent="0.2">
      <c r="A10148" s="68">
        <v>34595</v>
      </c>
      <c r="B10148" s="69"/>
    </row>
    <row r="10149" spans="1:2" x14ac:dyDescent="0.2">
      <c r="A10149" s="68">
        <v>34594</v>
      </c>
      <c r="B10149" s="69">
        <v>1.1046</v>
      </c>
    </row>
    <row r="10150" spans="1:2" x14ac:dyDescent="0.2">
      <c r="A10150" s="68">
        <v>34593</v>
      </c>
      <c r="B10150" s="69">
        <v>1.1048</v>
      </c>
    </row>
    <row r="10151" spans="1:2" x14ac:dyDescent="0.2">
      <c r="A10151" s="68">
        <v>34592</v>
      </c>
      <c r="B10151" s="69">
        <v>1.105</v>
      </c>
    </row>
    <row r="10152" spans="1:2" x14ac:dyDescent="0.2">
      <c r="A10152" s="68">
        <v>34591</v>
      </c>
      <c r="B10152" s="69">
        <v>1.1051</v>
      </c>
    </row>
    <row r="10153" spans="1:2" x14ac:dyDescent="0.2">
      <c r="A10153" s="68">
        <v>34590</v>
      </c>
      <c r="B10153" s="69">
        <v>1.1052999999999999</v>
      </c>
    </row>
    <row r="10154" spans="1:2" x14ac:dyDescent="0.2">
      <c r="A10154" s="68">
        <v>34589</v>
      </c>
      <c r="B10154" s="69"/>
    </row>
    <row r="10155" spans="1:2" x14ac:dyDescent="0.2">
      <c r="A10155" s="68">
        <v>34588</v>
      </c>
      <c r="B10155" s="69"/>
    </row>
    <row r="10156" spans="1:2" x14ac:dyDescent="0.2">
      <c r="A10156" s="68">
        <v>34587</v>
      </c>
      <c r="B10156" s="69">
        <v>1.1053999999999999</v>
      </c>
    </row>
    <row r="10157" spans="1:2" x14ac:dyDescent="0.2">
      <c r="A10157" s="68">
        <v>34586</v>
      </c>
      <c r="B10157" s="69">
        <v>1.1056999999999999</v>
      </c>
    </row>
    <row r="10158" spans="1:2" x14ac:dyDescent="0.2">
      <c r="A10158" s="68">
        <v>34585</v>
      </c>
      <c r="B10158" s="69">
        <v>1.1060000000000001</v>
      </c>
    </row>
    <row r="10159" spans="1:2" x14ac:dyDescent="0.2">
      <c r="A10159" s="68">
        <v>34584</v>
      </c>
      <c r="B10159" s="69">
        <v>1.1065</v>
      </c>
    </row>
    <row r="10160" spans="1:2" x14ac:dyDescent="0.2">
      <c r="A10160" s="68">
        <v>34583</v>
      </c>
      <c r="B10160" s="69">
        <v>1.1067</v>
      </c>
    </row>
    <row r="10161" spans="1:2" x14ac:dyDescent="0.2">
      <c r="A10161" s="68">
        <v>34582</v>
      </c>
      <c r="B10161" s="69">
        <v>1.1069</v>
      </c>
    </row>
    <row r="10162" spans="1:2" x14ac:dyDescent="0.2">
      <c r="A10162" s="68">
        <v>34581</v>
      </c>
      <c r="B10162" s="69"/>
    </row>
    <row r="10163" spans="1:2" x14ac:dyDescent="0.2">
      <c r="A10163" s="68">
        <v>34580</v>
      </c>
      <c r="B10163" s="69"/>
    </row>
    <row r="10164" spans="1:2" x14ac:dyDescent="0.2">
      <c r="A10164" s="68">
        <v>34579</v>
      </c>
      <c r="B10164" s="69">
        <v>1.1072</v>
      </c>
    </row>
    <row r="10165" spans="1:2" x14ac:dyDescent="0.2">
      <c r="A10165" s="68">
        <v>34578</v>
      </c>
      <c r="B10165" s="69">
        <v>1.1074999999999999</v>
      </c>
    </row>
  </sheetData>
  <phoneticPr fontId="2" type="noConversion"/>
  <pageMargins left="0.75" right="0.75" top="1" bottom="1" header="0.5" footer="0.5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"/>
  <sheetViews>
    <sheetView workbookViewId="0">
      <selection activeCell="G24" sqref="G24"/>
    </sheetView>
  </sheetViews>
  <sheetFormatPr defaultRowHeight="14.25" x14ac:dyDescent="0.1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9</vt:i4>
      </vt:variant>
    </vt:vector>
  </HeadingPairs>
  <TitlesOfParts>
    <vt:vector size="13" baseType="lpstr">
      <vt:lpstr>AH股溢价一览</vt:lpstr>
      <vt:lpstr>溢价变动趋势</vt:lpstr>
      <vt:lpstr>公司名单</vt:lpstr>
      <vt:lpstr>汇率表</vt:lpstr>
      <vt:lpstr>AHMD</vt:lpstr>
      <vt:lpstr>BZ</vt:lpstr>
      <vt:lpstr>gslb</vt:lpstr>
      <vt:lpstr>hcrate1</vt:lpstr>
      <vt:lpstr>HKS_CNY中间价最新</vt:lpstr>
      <vt:lpstr>hl</vt:lpstr>
      <vt:lpstr>QJ</vt:lpstr>
      <vt:lpstr>wcodea</vt:lpstr>
      <vt:lpstr>wcodeh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AH股溢价分析</dc:title>
  <dc:creator>Feng Lei</dc:creator>
  <cp:keywords>AH溢价</cp:keywords>
  <dc:description>《AH股溢价分析》提供AH股的实时行情、价差及溢价分析，同时提供个股历史股价走势、溢价变动趋势。</dc:description>
  <cp:lastModifiedBy>Cui YongQiang</cp:lastModifiedBy>
  <dcterms:created xsi:type="dcterms:W3CDTF">1996-12-17T01:32:42Z</dcterms:created>
  <dcterms:modified xsi:type="dcterms:W3CDTF">2025-08-26T05:38:10Z</dcterms:modified>
  <cp:category>wind模板</cp:category>
</cp:coreProperties>
</file>